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xampp\htdocs\python\stocks\ORDER_MGMT\regular_order_mgmt\PENDING_ORDERS_REPOSITORY_FILES\"/>
    </mc:Choice>
  </mc:AlternateContent>
  <xr:revisionPtr revIDLastSave="0" documentId="13_ncr:1_{F4E261BD-6F3A-4012-82FB-2B67672FC2A0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Sheet1!$A$1:$O$218</definedName>
    <definedName name="_xlnm._FilterDatabase" localSheetId="1" hidden="1">Sheet2!$H$1:$H$198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6" i="1" l="1"/>
  <c r="F107" i="1"/>
  <c r="F54" i="1"/>
  <c r="F71" i="1"/>
  <c r="F56" i="1"/>
  <c r="F169" i="1"/>
  <c r="F122" i="1"/>
  <c r="F36" i="1"/>
  <c r="F24" i="1"/>
  <c r="F21" i="1"/>
  <c r="F48" i="1"/>
  <c r="F10" i="1"/>
  <c r="F30" i="1"/>
  <c r="F14" i="1"/>
  <c r="F34" i="1"/>
  <c r="F212" i="1"/>
  <c r="F66" i="1"/>
  <c r="F91" i="1"/>
  <c r="F67" i="1"/>
  <c r="F15" i="1"/>
  <c r="F45" i="1"/>
  <c r="F62" i="1"/>
  <c r="F73" i="1"/>
  <c r="F63" i="1"/>
  <c r="F142" i="1"/>
  <c r="F85" i="1"/>
  <c r="F77" i="1"/>
  <c r="F47" i="1"/>
  <c r="F89" i="1"/>
  <c r="F112" i="1"/>
  <c r="F108" i="1"/>
  <c r="F102" i="1"/>
  <c r="F98" i="1"/>
  <c r="F82" i="1"/>
  <c r="F117" i="1"/>
  <c r="F114" i="1"/>
  <c r="F130" i="1"/>
  <c r="F120" i="1"/>
  <c r="F137" i="1"/>
  <c r="F131" i="1"/>
  <c r="F80" i="1"/>
  <c r="F140" i="1"/>
  <c r="F125" i="1"/>
  <c r="F161" i="1"/>
  <c r="F162" i="1"/>
  <c r="F176" i="1"/>
  <c r="F166" i="1"/>
  <c r="F214" i="1"/>
  <c r="F207" i="1"/>
  <c r="F193" i="1"/>
  <c r="F186" i="1"/>
  <c r="F172" i="1"/>
  <c r="F184" i="1"/>
  <c r="F197" i="1"/>
  <c r="F165" i="1"/>
  <c r="F163" i="1"/>
  <c r="F160" i="1"/>
  <c r="F147" i="1"/>
  <c r="F126" i="1"/>
  <c r="F190" i="1"/>
  <c r="F41" i="1"/>
  <c r="F132" i="1"/>
  <c r="F64" i="1"/>
  <c r="F93" i="1"/>
  <c r="F123" i="1"/>
  <c r="F52" i="1"/>
  <c r="F79" i="1"/>
  <c r="F40" i="1"/>
  <c r="F143" i="1"/>
  <c r="F68" i="1"/>
  <c r="F57" i="1"/>
  <c r="F74" i="1"/>
  <c r="F53" i="1"/>
  <c r="F95" i="1"/>
  <c r="F72" i="1"/>
  <c r="F69" i="1"/>
  <c r="F111" i="1"/>
  <c r="F180" i="1"/>
  <c r="F83" i="1"/>
  <c r="F75" i="1"/>
  <c r="F109" i="1"/>
  <c r="F88" i="1"/>
  <c r="F100" i="1"/>
  <c r="F124" i="1"/>
  <c r="F44" i="1"/>
  <c r="F87" i="1"/>
  <c r="F116" i="1"/>
  <c r="F94" i="1"/>
  <c r="F115" i="1"/>
  <c r="F113" i="1"/>
  <c r="F96" i="1"/>
  <c r="F128" i="1"/>
  <c r="F106" i="1"/>
  <c r="F118" i="1"/>
  <c r="F139" i="1"/>
  <c r="F134" i="1"/>
  <c r="F101" i="1"/>
  <c r="F105" i="1"/>
  <c r="F129" i="1"/>
  <c r="F104" i="1"/>
  <c r="F119" i="1"/>
  <c r="F121" i="1"/>
  <c r="F135" i="1"/>
  <c r="F86" i="1"/>
  <c r="F84" i="1"/>
  <c r="F133" i="1"/>
  <c r="F59" i="1"/>
  <c r="F141" i="1"/>
  <c r="F191" i="1"/>
  <c r="F199" i="1"/>
  <c r="F196" i="1"/>
  <c r="F198" i="1"/>
  <c r="F215" i="1"/>
  <c r="F189" i="1"/>
  <c r="F194" i="1"/>
  <c r="F187" i="1"/>
  <c r="F185" i="1"/>
  <c r="F183" i="1"/>
  <c r="F181" i="1"/>
  <c r="F173" i="1"/>
  <c r="F179" i="1"/>
  <c r="F157" i="1"/>
  <c r="F171" i="1"/>
  <c r="F154" i="1"/>
  <c r="F149" i="1"/>
  <c r="F164" i="1"/>
  <c r="F144" i="1"/>
  <c r="F155" i="1"/>
  <c r="F159" i="1"/>
  <c r="F148" i="1"/>
  <c r="F158" i="1"/>
  <c r="F174" i="1"/>
  <c r="F150" i="1"/>
  <c r="F167" i="1"/>
  <c r="F146" i="1"/>
  <c r="F151" i="1"/>
  <c r="F145" i="1"/>
  <c r="F2" i="1"/>
  <c r="F3" i="1"/>
  <c r="F5" i="1"/>
  <c r="F4" i="1"/>
  <c r="F9" i="1"/>
  <c r="F6" i="1"/>
  <c r="F11" i="1"/>
  <c r="F8" i="1"/>
  <c r="F7" i="1"/>
  <c r="F19" i="1"/>
  <c r="F25" i="1"/>
  <c r="F16" i="1"/>
  <c r="F20" i="1"/>
  <c r="F13" i="1"/>
  <c r="F26" i="1"/>
  <c r="F23" i="1"/>
  <c r="F22" i="1"/>
  <c r="F17" i="1"/>
  <c r="F33" i="1"/>
  <c r="F12" i="1"/>
  <c r="F37" i="1"/>
  <c r="F18" i="1"/>
  <c r="F39" i="1"/>
  <c r="F27" i="1"/>
  <c r="F42" i="1"/>
  <c r="F28" i="1"/>
  <c r="F43" i="1"/>
  <c r="F29" i="1"/>
  <c r="F35" i="1"/>
  <c r="F55" i="1"/>
  <c r="F58" i="1"/>
  <c r="F110" i="1"/>
  <c r="F38" i="1"/>
  <c r="F61" i="1"/>
  <c r="F49" i="1"/>
  <c r="F50" i="1"/>
  <c r="F60" i="1"/>
  <c r="F32" i="1"/>
  <c r="F70" i="1"/>
  <c r="F51" i="1"/>
  <c r="F31" i="1"/>
  <c r="F92" i="1"/>
  <c r="F138" i="1"/>
  <c r="F76" i="1"/>
  <c r="F78" i="1"/>
  <c r="F65" i="1"/>
  <c r="F97" i="1"/>
  <c r="F81" i="1"/>
  <c r="F90" i="1"/>
  <c r="F99" i="1"/>
  <c r="F103" i="1"/>
  <c r="F136" i="1"/>
  <c r="F127" i="1"/>
  <c r="F153" i="1"/>
  <c r="F156" i="1"/>
  <c r="F168" i="1"/>
  <c r="F178" i="1"/>
  <c r="F175" i="1"/>
  <c r="F170" i="1"/>
  <c r="F182" i="1"/>
  <c r="F177" i="1"/>
  <c r="F188" i="1"/>
  <c r="F192" i="1"/>
  <c r="F200" i="1"/>
  <c r="F195" i="1"/>
  <c r="F203" i="1"/>
  <c r="F202" i="1"/>
  <c r="F218" i="1"/>
  <c r="F201" i="1"/>
  <c r="F205" i="1"/>
  <c r="F213" i="1"/>
  <c r="F208" i="1"/>
  <c r="F206" i="1"/>
  <c r="F211" i="1"/>
  <c r="F204" i="1"/>
  <c r="F210" i="1"/>
  <c r="F209" i="1"/>
  <c r="F216" i="1"/>
  <c r="F217" i="1"/>
  <c r="F152" i="1"/>
  <c r="O46" i="1"/>
  <c r="O107" i="1"/>
  <c r="O54" i="1"/>
  <c r="O71" i="1"/>
  <c r="O56" i="1"/>
  <c r="O169" i="1"/>
  <c r="O122" i="1"/>
  <c r="O36" i="1"/>
  <c r="O24" i="1"/>
  <c r="O21" i="1"/>
  <c r="O48" i="1"/>
  <c r="O10" i="1"/>
  <c r="O30" i="1"/>
  <c r="O14" i="1"/>
  <c r="O34" i="1"/>
  <c r="O212" i="1"/>
  <c r="O66" i="1"/>
  <c r="O91" i="1"/>
  <c r="O67" i="1"/>
  <c r="O15" i="1"/>
  <c r="O45" i="1"/>
  <c r="O62" i="1"/>
  <c r="O73" i="1"/>
  <c r="O63" i="1"/>
  <c r="O142" i="1"/>
  <c r="O85" i="1"/>
  <c r="O77" i="1"/>
  <c r="O47" i="1"/>
  <c r="O89" i="1"/>
  <c r="O112" i="1"/>
  <c r="O108" i="1"/>
  <c r="O102" i="1"/>
  <c r="O98" i="1"/>
  <c r="O82" i="1"/>
  <c r="O117" i="1"/>
  <c r="O114" i="1"/>
  <c r="O130" i="1"/>
  <c r="O120" i="1"/>
  <c r="O137" i="1"/>
  <c r="O131" i="1"/>
  <c r="O80" i="1"/>
  <c r="O140" i="1"/>
  <c r="O125" i="1"/>
  <c r="O161" i="1"/>
  <c r="O162" i="1"/>
  <c r="O176" i="1"/>
  <c r="O166" i="1"/>
  <c r="O214" i="1"/>
  <c r="O207" i="1"/>
  <c r="O193" i="1"/>
  <c r="O186" i="1"/>
  <c r="O172" i="1"/>
  <c r="O184" i="1"/>
  <c r="O197" i="1"/>
  <c r="O165" i="1"/>
  <c r="O163" i="1"/>
  <c r="O160" i="1"/>
  <c r="O147" i="1"/>
  <c r="O126" i="1"/>
  <c r="O190" i="1"/>
  <c r="O41" i="1"/>
  <c r="O132" i="1"/>
  <c r="O64" i="1"/>
  <c r="O93" i="1"/>
  <c r="O123" i="1"/>
  <c r="O52" i="1"/>
  <c r="O79" i="1"/>
  <c r="O40" i="1"/>
  <c r="O143" i="1"/>
  <c r="O68" i="1"/>
  <c r="O57" i="1"/>
  <c r="O74" i="1"/>
  <c r="O53" i="1"/>
  <c r="O95" i="1"/>
  <c r="O72" i="1"/>
  <c r="O69" i="1"/>
  <c r="O111" i="1"/>
  <c r="O180" i="1"/>
  <c r="O83" i="1"/>
  <c r="O75" i="1"/>
  <c r="O109" i="1"/>
  <c r="O88" i="1"/>
  <c r="O100" i="1"/>
  <c r="O124" i="1"/>
  <c r="O44" i="1"/>
  <c r="O87" i="1"/>
  <c r="O116" i="1"/>
  <c r="O94" i="1"/>
  <c r="O115" i="1"/>
  <c r="O113" i="1"/>
  <c r="O96" i="1"/>
  <c r="O128" i="1"/>
  <c r="O106" i="1"/>
  <c r="O118" i="1"/>
  <c r="O139" i="1"/>
  <c r="O134" i="1"/>
  <c r="O101" i="1"/>
  <c r="O105" i="1"/>
  <c r="O129" i="1"/>
  <c r="O104" i="1"/>
  <c r="O119" i="1"/>
  <c r="O121" i="1"/>
  <c r="O135" i="1"/>
  <c r="O86" i="1"/>
  <c r="O84" i="1"/>
  <c r="O133" i="1"/>
  <c r="O59" i="1"/>
  <c r="O141" i="1"/>
  <c r="O191" i="1"/>
  <c r="O199" i="1"/>
  <c r="O196" i="1"/>
  <c r="O198" i="1"/>
  <c r="O215" i="1"/>
  <c r="O189" i="1"/>
  <c r="O194" i="1"/>
  <c r="O187" i="1"/>
  <c r="O185" i="1"/>
  <c r="O183" i="1"/>
  <c r="O181" i="1"/>
  <c r="O173" i="1"/>
  <c r="O179" i="1"/>
  <c r="O157" i="1"/>
  <c r="O171" i="1"/>
  <c r="O154" i="1"/>
  <c r="O149" i="1"/>
  <c r="O164" i="1"/>
  <c r="O144" i="1"/>
  <c r="O155" i="1"/>
  <c r="O159" i="1"/>
  <c r="O148" i="1"/>
  <c r="O158" i="1"/>
  <c r="O174" i="1"/>
  <c r="O150" i="1"/>
  <c r="O167" i="1"/>
  <c r="O146" i="1"/>
  <c r="O151" i="1"/>
  <c r="O145" i="1"/>
  <c r="O2" i="1"/>
  <c r="O3" i="1"/>
  <c r="O5" i="1"/>
  <c r="O4" i="1"/>
  <c r="O9" i="1"/>
  <c r="O6" i="1"/>
  <c r="O11" i="1"/>
  <c r="O8" i="1"/>
  <c r="O7" i="1"/>
  <c r="O19" i="1"/>
  <c r="O25" i="1"/>
  <c r="O16" i="1"/>
  <c r="O20" i="1"/>
  <c r="O13" i="1"/>
  <c r="O26" i="1"/>
  <c r="O23" i="1"/>
  <c r="O22" i="1"/>
  <c r="O17" i="1"/>
  <c r="O33" i="1"/>
  <c r="O12" i="1"/>
  <c r="O37" i="1"/>
  <c r="O18" i="1"/>
  <c r="O39" i="1"/>
  <c r="O27" i="1"/>
  <c r="O42" i="1"/>
  <c r="O28" i="1"/>
  <c r="O43" i="1"/>
  <c r="O29" i="1"/>
  <c r="O35" i="1"/>
  <c r="O55" i="1"/>
  <c r="O58" i="1"/>
  <c r="O110" i="1"/>
  <c r="O38" i="1"/>
  <c r="O61" i="1"/>
  <c r="O49" i="1"/>
  <c r="O50" i="1"/>
  <c r="O60" i="1"/>
  <c r="O32" i="1"/>
  <c r="O70" i="1"/>
  <c r="O51" i="1"/>
  <c r="O31" i="1"/>
  <c r="O92" i="1"/>
  <c r="O138" i="1"/>
  <c r="O76" i="1"/>
  <c r="O78" i="1"/>
  <c r="O65" i="1"/>
  <c r="O97" i="1"/>
  <c r="O81" i="1"/>
  <c r="O90" i="1"/>
  <c r="O99" i="1"/>
  <c r="O103" i="1"/>
  <c r="O136" i="1"/>
  <c r="O127" i="1"/>
  <c r="O153" i="1"/>
  <c r="O156" i="1"/>
  <c r="O168" i="1"/>
  <c r="O178" i="1"/>
  <c r="O175" i="1"/>
  <c r="O170" i="1"/>
  <c r="O182" i="1"/>
  <c r="O177" i="1"/>
  <c r="O188" i="1"/>
  <c r="O192" i="1"/>
  <c r="O200" i="1"/>
  <c r="O195" i="1"/>
  <c r="O203" i="1"/>
  <c r="O202" i="1"/>
  <c r="O218" i="1"/>
  <c r="O201" i="1"/>
  <c r="O205" i="1"/>
  <c r="O213" i="1"/>
  <c r="O208" i="1"/>
  <c r="O206" i="1"/>
  <c r="O211" i="1"/>
  <c r="O204" i="1"/>
  <c r="O210" i="1"/>
  <c r="O209" i="1"/>
  <c r="O216" i="1"/>
  <c r="O217" i="1"/>
  <c r="O152" i="1"/>
  <c r="H198" i="2"/>
  <c r="H197" i="2"/>
  <c r="H196" i="2"/>
  <c r="H195" i="2"/>
  <c r="H194" i="2"/>
  <c r="H193" i="2"/>
  <c r="H192" i="2"/>
  <c r="H191" i="2"/>
  <c r="H190" i="2"/>
  <c r="H189" i="2"/>
  <c r="H188" i="2"/>
  <c r="H187" i="2"/>
  <c r="H186" i="2"/>
  <c r="H185" i="2"/>
  <c r="H184" i="2"/>
  <c r="H183" i="2"/>
  <c r="H182" i="2"/>
  <c r="H181" i="2"/>
  <c r="H180" i="2"/>
  <c r="H179" i="2"/>
  <c r="H178" i="2"/>
  <c r="H177" i="2"/>
  <c r="H176" i="2"/>
  <c r="H175" i="2"/>
  <c r="H174" i="2"/>
  <c r="H173" i="2"/>
  <c r="H172" i="2"/>
  <c r="H171" i="2"/>
  <c r="H170" i="2"/>
  <c r="H169" i="2"/>
  <c r="H168" i="2"/>
  <c r="H167" i="2"/>
  <c r="H166" i="2"/>
  <c r="H165" i="2"/>
  <c r="H164" i="2"/>
  <c r="H163" i="2"/>
  <c r="H162" i="2"/>
  <c r="H161" i="2"/>
  <c r="H160" i="2"/>
  <c r="H159" i="2"/>
  <c r="H158" i="2"/>
  <c r="H157" i="2"/>
  <c r="H156" i="2"/>
  <c r="H155" i="2"/>
  <c r="H154" i="2"/>
  <c r="H153" i="2"/>
  <c r="H152" i="2"/>
  <c r="H151" i="2"/>
  <c r="H150" i="2"/>
  <c r="H149" i="2"/>
  <c r="H148" i="2"/>
  <c r="H147" i="2"/>
  <c r="H146" i="2"/>
  <c r="H145" i="2"/>
  <c r="H144" i="2"/>
  <c r="H143" i="2"/>
  <c r="H142" i="2"/>
  <c r="H141" i="2"/>
  <c r="H140" i="2"/>
  <c r="H139" i="2"/>
  <c r="H138" i="2"/>
  <c r="H137" i="2"/>
  <c r="H136" i="2"/>
  <c r="H135" i="2"/>
  <c r="H134" i="2"/>
  <c r="H133" i="2"/>
  <c r="H132" i="2"/>
  <c r="H131" i="2"/>
  <c r="H130" i="2"/>
  <c r="H129" i="2"/>
  <c r="H128" i="2"/>
  <c r="H127" i="2"/>
  <c r="H126" i="2"/>
  <c r="H125" i="2"/>
  <c r="H124" i="2"/>
  <c r="H123" i="2"/>
  <c r="H122" i="2"/>
  <c r="H121" i="2"/>
  <c r="H120" i="2"/>
  <c r="H119" i="2"/>
  <c r="H118" i="2"/>
  <c r="H117" i="2"/>
  <c r="H116" i="2"/>
  <c r="H115" i="2"/>
  <c r="H114" i="2"/>
  <c r="H113" i="2"/>
  <c r="H112" i="2"/>
  <c r="H111" i="2"/>
  <c r="H110" i="2"/>
  <c r="H109" i="2"/>
  <c r="H108" i="2"/>
  <c r="H107" i="2"/>
  <c r="H106" i="2"/>
  <c r="H105" i="2"/>
  <c r="H104" i="2"/>
  <c r="H103" i="2"/>
  <c r="H102" i="2"/>
  <c r="H101" i="2"/>
  <c r="H100" i="2"/>
  <c r="H99" i="2"/>
  <c r="H98" i="2"/>
  <c r="H97" i="2"/>
  <c r="H96" i="2"/>
  <c r="H95" i="2"/>
  <c r="H94" i="2"/>
  <c r="H93" i="2"/>
  <c r="H92" i="2"/>
  <c r="H91" i="2"/>
  <c r="H90" i="2"/>
  <c r="H89" i="2"/>
  <c r="H88" i="2"/>
  <c r="H87" i="2"/>
  <c r="H86" i="2"/>
  <c r="H85" i="2"/>
  <c r="H84" i="2"/>
  <c r="H83" i="2"/>
  <c r="H82" i="2"/>
  <c r="H81" i="2"/>
  <c r="H80" i="2"/>
  <c r="H79" i="2"/>
  <c r="H78" i="2"/>
  <c r="H77" i="2"/>
  <c r="H76" i="2"/>
  <c r="H75" i="2"/>
  <c r="H74" i="2"/>
  <c r="H73" i="2"/>
  <c r="H72" i="2"/>
  <c r="H71" i="2"/>
  <c r="H70" i="2"/>
  <c r="H69" i="2"/>
  <c r="H68" i="2"/>
  <c r="H67" i="2"/>
  <c r="H66" i="2"/>
  <c r="H65" i="2"/>
  <c r="H64" i="2"/>
  <c r="H63" i="2"/>
  <c r="H62" i="2"/>
  <c r="H61" i="2"/>
  <c r="H60" i="2"/>
  <c r="H59" i="2"/>
  <c r="H58" i="2"/>
  <c r="H57" i="2"/>
  <c r="H56" i="2"/>
  <c r="H55" i="2"/>
  <c r="H54" i="2"/>
  <c r="H53" i="2"/>
  <c r="H52" i="2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H2" i="2"/>
</calcChain>
</file>

<file path=xl/sharedStrings.xml><?xml version="1.0" encoding="utf-8"?>
<sst xmlns="http://schemas.openxmlformats.org/spreadsheetml/2006/main" count="1806" uniqueCount="213">
  <si>
    <t>Date</t>
  </si>
  <si>
    <t>Stock</t>
  </si>
  <si>
    <t>Order Type (Buy/Sell)</t>
  </si>
  <si>
    <t>Quantity</t>
  </si>
  <si>
    <t>Price</t>
  </si>
  <si>
    <t>Status</t>
  </si>
  <si>
    <t>07 AUG 2026 04:30:55 PM</t>
  </si>
  <si>
    <t>IGILEQ</t>
  </si>
  <si>
    <t>S</t>
  </si>
  <si>
    <t>Expired</t>
  </si>
  <si>
    <t>07 AUG 2026 04:30:51 PM</t>
  </si>
  <si>
    <t>GOLDBEESEQ</t>
  </si>
  <si>
    <t>B</t>
  </si>
  <si>
    <t>07 AUG 2026 06:22:21 PM</t>
  </si>
  <si>
    <t>SILVERBEESEQ</t>
  </si>
  <si>
    <t>07 AUG 2026 06:22:20 PM</t>
  </si>
  <si>
    <t>GRSEEQ</t>
  </si>
  <si>
    <t>07 AUG 2026 04:30:48 PM</t>
  </si>
  <si>
    <t>07 AUG 2026 04:30:45 PM</t>
  </si>
  <si>
    <t>SCIEQ</t>
  </si>
  <si>
    <t>07 AUG 2026 06:22:19 PM</t>
  </si>
  <si>
    <t>07 AUG 2026 06:22:18 PM</t>
  </si>
  <si>
    <t>APOLLOTYREEQ</t>
  </si>
  <si>
    <t>07 AUG 2026 06:22:17 PM</t>
  </si>
  <si>
    <t>EXIDEINDEQ</t>
  </si>
  <si>
    <t>07 AUG 2026 06:22:16 PM</t>
  </si>
  <si>
    <t>LALPATHLABEQ</t>
  </si>
  <si>
    <t>JUSTDIALEQ</t>
  </si>
  <si>
    <t>KERNEXEQ</t>
  </si>
  <si>
    <t>NETWEBEQ</t>
  </si>
  <si>
    <t>ARE&amp;MEQ</t>
  </si>
  <si>
    <t>E2EEQ</t>
  </si>
  <si>
    <t>HUDCOEQ</t>
  </si>
  <si>
    <t>07 AUG 2026 06:22:14 PM</t>
  </si>
  <si>
    <t>SENCOEQ</t>
  </si>
  <si>
    <t>07 AUG 2026 06:22:15 PM</t>
  </si>
  <si>
    <t>07 AUG 2026 06:21:45 PM</t>
  </si>
  <si>
    <t>MAFANGEQ</t>
  </si>
  <si>
    <t>URBANCOEQ</t>
  </si>
  <si>
    <t>07 AUG 2026 06:21:44 PM</t>
  </si>
  <si>
    <t>07 AUG 2026 06:21:43 PM</t>
  </si>
  <si>
    <t>ITBEESEQ</t>
  </si>
  <si>
    <t>07 AUG 2026 06:22:13 PM</t>
  </si>
  <si>
    <t>ZENTECEQ</t>
  </si>
  <si>
    <t>07 AUG 2026 06:21:41 PM</t>
  </si>
  <si>
    <t>07 AUG 2026 06:22:11 PM</t>
  </si>
  <si>
    <t>07 AUG 2026 04:30:47 PM</t>
  </si>
  <si>
    <t>IRCONEQ</t>
  </si>
  <si>
    <t>MOSCHIPEQ</t>
  </si>
  <si>
    <t>07 AUG 2026 06:21:40 PM</t>
  </si>
  <si>
    <t>07 AUG 2026 06:21:38 PM</t>
  </si>
  <si>
    <t>07 AUG 2026 06:21:37 PM</t>
  </si>
  <si>
    <t>07 AUG 2026 06:22:23 PM</t>
  </si>
  <si>
    <t>RAILTELEQ</t>
  </si>
  <si>
    <t>07 AUG 2026 06:22:22 PM</t>
  </si>
  <si>
    <t>WAAREERTLEQ</t>
  </si>
  <si>
    <t>07 AUG 2026 04:30:54 PM</t>
  </si>
  <si>
    <t>07 AUG 2026 04:30:46 PM</t>
  </si>
  <si>
    <t>07 AUG 2026 03:29:29 PM</t>
  </si>
  <si>
    <t>SBINEQ</t>
  </si>
  <si>
    <t>07 AUG 2026 03:15:10 PM</t>
  </si>
  <si>
    <t>HALEQ</t>
  </si>
  <si>
    <t>07 AUG 2026 03:29:30 PM</t>
  </si>
  <si>
    <t>BAJFINANCEEQ</t>
  </si>
  <si>
    <t>07 AUG 2026 03:15:12 PM</t>
  </si>
  <si>
    <t>TRENTEQ</t>
  </si>
  <si>
    <t>07 AUG 2026 03:29:28 PM</t>
  </si>
  <si>
    <t>07 AUG 2026 03:15:11 PM</t>
  </si>
  <si>
    <t>MAZDOCKEQ</t>
  </si>
  <si>
    <t>07 AUG 2026 03:15:13 PM</t>
  </si>
  <si>
    <t>COCHINSHIPEQ</t>
  </si>
  <si>
    <t>07 AUG 2026 03:29:34 PM</t>
  </si>
  <si>
    <t>SOLARINDSEQ</t>
  </si>
  <si>
    <t>LODHAEQ</t>
  </si>
  <si>
    <t>CGPOWEREQ</t>
  </si>
  <si>
    <t>TVSMOTOREQ</t>
  </si>
  <si>
    <t>CAMSEQ</t>
  </si>
  <si>
    <t>07 AUG 2026 03:15:07 PM</t>
  </si>
  <si>
    <t>DIXONEQ</t>
  </si>
  <si>
    <t>NAM-INDIAEQ</t>
  </si>
  <si>
    <t>CDSLEQ</t>
  </si>
  <si>
    <t>BDLEQ</t>
  </si>
  <si>
    <t>07 AUG 2026 03:15:09 PM</t>
  </si>
  <si>
    <t>KFINTECHEQ</t>
  </si>
  <si>
    <t>07 AUG 2026 03:29:32 PM</t>
  </si>
  <si>
    <t>RVNLEQ</t>
  </si>
  <si>
    <t>HDFCAMCEQ</t>
  </si>
  <si>
    <t>LTEQ</t>
  </si>
  <si>
    <t>MCXEQ</t>
  </si>
  <si>
    <t>07 AUG 2026 03:29:33 PM</t>
  </si>
  <si>
    <t>BELEQ</t>
  </si>
  <si>
    <t>IRFCEQ</t>
  </si>
  <si>
    <t>INDHOTELEQ</t>
  </si>
  <si>
    <t>TCSEQ</t>
  </si>
  <si>
    <t>BSEEQ</t>
  </si>
  <si>
    <t>MAXHEALTHEQ</t>
  </si>
  <si>
    <t>IREDAEQ</t>
  </si>
  <si>
    <t>07 AUG 2026 03:15:14 PM</t>
  </si>
  <si>
    <t>KAYNESEQ</t>
  </si>
  <si>
    <t>07 AUG 2026 03:29:31 PM</t>
  </si>
  <si>
    <t>07 AUG 2026 03:29:35 PM</t>
  </si>
  <si>
    <t>05 AUG 2026 06:56:58 PM</t>
  </si>
  <si>
    <t>06 AUG 2026 04:30:41 PM</t>
  </si>
  <si>
    <t>SONACOMSEQ</t>
  </si>
  <si>
    <t>ABBEQ</t>
  </si>
  <si>
    <t>05 AUG 2026 03:15:10 PM</t>
  </si>
  <si>
    <t>05 AUG 2026 06:57:00 PM</t>
  </si>
  <si>
    <t>TMCVEQ</t>
  </si>
  <si>
    <t>06 AUG 2026 03:15:12 PM</t>
  </si>
  <si>
    <t>06 AUG 2026 04:30:48 PM</t>
  </si>
  <si>
    <t>06 AUG 2026 04:30:44 PM</t>
  </si>
  <si>
    <t>06 AUG 2026 04:30:46 PM</t>
  </si>
  <si>
    <t>PRINCEPIPEEQ</t>
  </si>
  <si>
    <t>06 AUG 2026 04:30:43 PM</t>
  </si>
  <si>
    <t>05 AUG 2026 03:15:09 PM</t>
  </si>
  <si>
    <t>05 AUG 2026 06:56:59 PM</t>
  </si>
  <si>
    <t>06 AUG 2026 04:30:38 PM</t>
  </si>
  <si>
    <t>06 AUG 2026 03:15:14 PM</t>
  </si>
  <si>
    <t>05 AUG 2026 04:43:15 PM</t>
  </si>
  <si>
    <t>05 AUG 2026 07:02:43 PM</t>
  </si>
  <si>
    <t>06 AUG 2026 04:30:40 PM</t>
  </si>
  <si>
    <t>05 AUG 2026 07:02:42 PM</t>
  </si>
  <si>
    <t>06 AUG 2026 03:15:13 PM</t>
  </si>
  <si>
    <t>06 AUG 2026 04:30:36 PM</t>
  </si>
  <si>
    <t>06 AUG 2026 03:15:15 PM</t>
  </si>
  <si>
    <t>06 AUG 2026 03:15:11 PM</t>
  </si>
  <si>
    <t>06 AUG 2026 04:30:51 PM</t>
  </si>
  <si>
    <t>06 AUG 2026 03:15:10 PM</t>
  </si>
  <si>
    <t>05 AUG 2026 03:15:12 PM</t>
  </si>
  <si>
    <t>06 AUG 2026 04:30:45 PM</t>
  </si>
  <si>
    <t>06 AUG 2026 04:30:39 PM</t>
  </si>
  <si>
    <t>06 AUG 2026 04:30:42 PM</t>
  </si>
  <si>
    <t>06 AUG 2026 04:30:37 PM</t>
  </si>
  <si>
    <t>06 AUG 2026 03:28:53 PM</t>
  </si>
  <si>
    <t>06 AUG 2026 03:28:59 PM</t>
  </si>
  <si>
    <t>06 AUG 2026 03:28:56 PM</t>
  </si>
  <si>
    <t>06 AUG 2026 03:28:51 PM</t>
  </si>
  <si>
    <t>06 AUG 2026 03:28:57 PM</t>
  </si>
  <si>
    <t>06 AUG 2026 03:28:58 PM</t>
  </si>
  <si>
    <t>06 AUG 2026 03:28:52 PM</t>
  </si>
  <si>
    <t>06 AUG 2026 03:29:00 PM</t>
  </si>
  <si>
    <t>05 AUG 2026 03:15:14 PM</t>
  </si>
  <si>
    <t>06 AUG 2026 04:30:50 PM</t>
  </si>
  <si>
    <t>05 AUG 2026 03:15:11 PM</t>
  </si>
  <si>
    <t>06 AUG 2026 03:15:16 PM</t>
  </si>
  <si>
    <t>CONCOREQ</t>
  </si>
  <si>
    <t>05 AUG 2026 03:15:13 PM</t>
  </si>
  <si>
    <t>VBLEQ</t>
  </si>
  <si>
    <t>05 AUG 2026 07:02:44 PM</t>
  </si>
  <si>
    <t>NSDLEQ</t>
  </si>
  <si>
    <t>05 AUG 2026 06:57:06 PM</t>
  </si>
  <si>
    <t>05 AUG 2026 06:56:53 PM</t>
  </si>
  <si>
    <t>NSE Code</t>
  </si>
  <si>
    <t>Latest Recorded Price</t>
  </si>
  <si>
    <t>NSE:IGIL</t>
  </si>
  <si>
    <t>NSE:GOLDBEES</t>
  </si>
  <si>
    <t>NSE:SILVERBEES</t>
  </si>
  <si>
    <t>NSE:GRSE</t>
  </si>
  <si>
    <t>NSE:SCI</t>
  </si>
  <si>
    <t>NSE:APOLLOTYRE</t>
  </si>
  <si>
    <t>NSE:EXIDEIND</t>
  </si>
  <si>
    <t>NSE:LALPATHLAB</t>
  </si>
  <si>
    <t>NSE:JUSTDIAL</t>
  </si>
  <si>
    <t>NSE:KERNEX</t>
  </si>
  <si>
    <t>NSE:NETWEB</t>
  </si>
  <si>
    <t>NSE:ARE&amp;M</t>
  </si>
  <si>
    <t>NSE:E2E</t>
  </si>
  <si>
    <t>NSE:HUDCO</t>
  </si>
  <si>
    <t>NSE:SENCO</t>
  </si>
  <si>
    <t>NSE:MAFANG</t>
  </si>
  <si>
    <t>NSE:URBANCO</t>
  </si>
  <si>
    <t>NSE:ITBEES</t>
  </si>
  <si>
    <t>NSE:ZENTEC</t>
  </si>
  <si>
    <t>NSE:IRCON</t>
  </si>
  <si>
    <t>NSE:MOSCHIP</t>
  </si>
  <si>
    <t>NSE:RAILTEL</t>
  </si>
  <si>
    <t>NSE:WAAREERTL</t>
  </si>
  <si>
    <t>NSE:SBIN</t>
  </si>
  <si>
    <t>NSE:HAL</t>
  </si>
  <si>
    <t>NSE:BAJFINANCE</t>
  </si>
  <si>
    <t>NSE:TRENT</t>
  </si>
  <si>
    <t>NSE:MAZDOCK</t>
  </si>
  <si>
    <t>NSE:COCHINSHIP</t>
  </si>
  <si>
    <t>NSE:SOLARINDS</t>
  </si>
  <si>
    <t>NSE:LODHA</t>
  </si>
  <si>
    <t>NSE:CGPOWER</t>
  </si>
  <si>
    <t>NSE:TVSMOTOR</t>
  </si>
  <si>
    <t>NSE:CAMS</t>
  </si>
  <si>
    <t>NSE:DIXON</t>
  </si>
  <si>
    <t>NSE:NAM-INDIA</t>
  </si>
  <si>
    <t>NSE:CDSL</t>
  </si>
  <si>
    <t>NSE:BDL</t>
  </si>
  <si>
    <t>NSE:KFINTECH</t>
  </si>
  <si>
    <t>NSE:RVNL</t>
  </si>
  <si>
    <t>NSE:HDFCAMC</t>
  </si>
  <si>
    <t>NSE:LT</t>
  </si>
  <si>
    <t>NSE:MCX</t>
  </si>
  <si>
    <t>NSE:BEL</t>
  </si>
  <si>
    <t>NSE:IRFC</t>
  </si>
  <si>
    <t>NSE:INDHOTEL</t>
  </si>
  <si>
    <t>NSE:TCS</t>
  </si>
  <si>
    <t>NSE:BSE</t>
  </si>
  <si>
    <t>NSE:MAXHEALTH</t>
  </si>
  <si>
    <t>NSE:IREDA</t>
  </si>
  <si>
    <t>NSE:KAYNES</t>
  </si>
  <si>
    <t>NSE:SONACOMS</t>
  </si>
  <si>
    <t>NSE:ABB</t>
  </si>
  <si>
    <t>NSE:TMCV</t>
  </si>
  <si>
    <t>NSE:PRINCEPIPE</t>
  </si>
  <si>
    <t>NSE:CONCOR</t>
  </si>
  <si>
    <t>NSE:VBL</t>
  </si>
  <si>
    <t>NSE:NSDL</t>
  </si>
  <si>
    <t>%Diff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</si>
</sst>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B050"/>
      <name val="Calibri"/>
      <family val="2"/>
    </font>
    <font>
      <b/>
      <sz val="11"/>
      <color rgb="FFFFC000"/>
      <name val="Calibri"/>
      <family val="2"/>
    </font>
    <font>
      <b/>
      <sz val="11"/>
      <color rgb="FF00B050"/>
      <name val="Calibri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6">
    <xf numFmtId="0" fontId="0" fillId="0" borderId="0" xfId="0"/>
    <xf numFmtId="22" fontId="1" fillId="0" borderId="0" xfId="0" applyNumberFormat="1" applyFont="1" applyAlignment="1">
      <alignment horizontal="right"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right" wrapText="1"/>
    </xf>
    <xf numFmtId="0" fontId="2" fillId="0" borderId="0" xfId="0" applyFont="1" applyAlignment="1">
      <alignment horizontal="right" wrapText="1"/>
    </xf>
    <xf numFmtId="0" fontId="0" fillId="0" borderId="1" xfId="0" applyBorder="1"/>
    <xf numFmtId="22" fontId="1" fillId="0" borderId="1" xfId="0" applyNumberFormat="1" applyFont="1" applyBorder="1" applyAlignment="1">
      <alignment horizontal="right"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0" fontId="2" fillId="0" borderId="1" xfId="0" applyFont="1" applyBorder="1" applyAlignment="1">
      <alignment horizontal="right" wrapText="1"/>
    </xf>
    <xf numFmtId="0" fontId="3" fillId="0" borderId="1" xfId="0" applyFont="1" applyBorder="1" applyAlignment="1">
      <alignment wrapText="1"/>
    </xf>
    <xf numFmtId="0" fontId="4" fillId="0" borderId="1" xfId="0" applyFont="1" applyBorder="1" applyAlignment="1">
      <alignment horizontal="right" wrapText="1"/>
    </xf>
    <xf numFmtId="0" fontId="5" fillId="0" borderId="1" xfId="0" applyFont="1" applyBorder="1" applyAlignment="1">
      <alignment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right" wrapText="1"/>
    </xf>
    <xf numFmtId="0" fontId="5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00"/>
  <sheetViews>
    <sheetView workbookViewId="0">
      <selection sqref="A1:XFD1"/>
    </sheetView>
  </sheetViews>
  <sheetFormatPr defaultRowHeight="14.5" x14ac:dyDescent="0.35"/>
  <cols>
    <col min="1" max="1" width="18" customWidth="1"/>
    <col min="2" max="2" width="17.453125" customWidth="1"/>
    <col min="7" max="7" width="18" customWidth="1"/>
    <col min="10" max="11" width="8.7265625" customWidth="1"/>
  </cols>
  <sheetData>
    <row r="1" spans="1:15" ht="15" thickBot="1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212</v>
      </c>
      <c r="G1" s="12" t="s">
        <v>152</v>
      </c>
      <c r="H1" s="13" t="s">
        <v>153</v>
      </c>
      <c r="I1" t="s">
        <v>5</v>
      </c>
    </row>
    <row r="2" spans="1:15" ht="15" thickBot="1" x14ac:dyDescent="0.4">
      <c r="A2" s="1">
        <v>46234.6875</v>
      </c>
      <c r="B2" s="2" t="s">
        <v>29</v>
      </c>
      <c r="C2" s="2" t="s">
        <v>12</v>
      </c>
      <c r="D2" s="3">
        <v>1</v>
      </c>
      <c r="E2" s="3">
        <v>3914</v>
      </c>
      <c r="F2">
        <f t="shared" ref="F2:F65" si="0">((E2-H2)/H2)*100</f>
        <v>-20.65680113521184</v>
      </c>
      <c r="G2" s="12" t="s">
        <v>164</v>
      </c>
      <c r="H2" s="14">
        <v>4933</v>
      </c>
      <c r="I2" s="2" t="s">
        <v>9</v>
      </c>
      <c r="O2" t="str">
        <f t="shared" ref="O2:O65" si="1">IF(COUNTIFS( $B$2:$B$973, B2, $C$2:$C$973, C2, $D$2:$D$973, D2, $E$2:$E$973, E2) &gt; 1, "Duplicate", "Unique")</f>
        <v>Unique</v>
      </c>
    </row>
    <row r="3" spans="1:15" ht="15" thickBot="1" x14ac:dyDescent="0.4">
      <c r="A3" s="1">
        <v>46234.6875</v>
      </c>
      <c r="B3" s="2" t="s">
        <v>29</v>
      </c>
      <c r="C3" s="2" t="s">
        <v>12</v>
      </c>
      <c r="D3" s="3">
        <v>1</v>
      </c>
      <c r="E3" s="3">
        <v>4014</v>
      </c>
      <c r="F3">
        <f t="shared" si="0"/>
        <v>-18.629637137644437</v>
      </c>
      <c r="G3" s="12" t="s">
        <v>164</v>
      </c>
      <c r="H3" s="14">
        <v>4933</v>
      </c>
      <c r="I3" s="2" t="s">
        <v>9</v>
      </c>
      <c r="O3" t="str">
        <f t="shared" si="1"/>
        <v>Unique</v>
      </c>
    </row>
    <row r="4" spans="1:15" ht="15" thickBot="1" x14ac:dyDescent="0.4">
      <c r="A4" s="1">
        <v>46237.69027777778</v>
      </c>
      <c r="B4" s="2" t="s">
        <v>24</v>
      </c>
      <c r="C4" s="2" t="s">
        <v>12</v>
      </c>
      <c r="D4" s="3">
        <v>29</v>
      </c>
      <c r="E4" s="3">
        <v>401</v>
      </c>
      <c r="F4">
        <f t="shared" si="0"/>
        <v>-18.00429403946427</v>
      </c>
      <c r="G4" s="12" t="s">
        <v>160</v>
      </c>
      <c r="H4" s="14">
        <v>489.05</v>
      </c>
      <c r="I4" s="2" t="s">
        <v>9</v>
      </c>
      <c r="O4" t="str">
        <f t="shared" si="1"/>
        <v>Unique</v>
      </c>
    </row>
    <row r="5" spans="1:15" ht="15" thickBot="1" x14ac:dyDescent="0.4">
      <c r="A5" s="1">
        <v>46237.768750000003</v>
      </c>
      <c r="B5" s="2" t="s">
        <v>28</v>
      </c>
      <c r="C5" s="2" t="s">
        <v>12</v>
      </c>
      <c r="D5" s="3">
        <v>1</v>
      </c>
      <c r="E5" s="3">
        <v>2064</v>
      </c>
      <c r="F5">
        <f t="shared" si="0"/>
        <v>-16.437246963562753</v>
      </c>
      <c r="G5" s="12" t="s">
        <v>163</v>
      </c>
      <c r="H5" s="14">
        <v>2470</v>
      </c>
      <c r="I5" s="2" t="s">
        <v>9</v>
      </c>
      <c r="O5" t="str">
        <f t="shared" si="1"/>
        <v>Unique</v>
      </c>
    </row>
    <row r="6" spans="1:15" ht="15" thickBot="1" x14ac:dyDescent="0.4">
      <c r="A6" s="1">
        <v>46237.69027777778</v>
      </c>
      <c r="B6" s="2" t="s">
        <v>29</v>
      </c>
      <c r="C6" s="2" t="s">
        <v>12</v>
      </c>
      <c r="D6" s="3">
        <v>1</v>
      </c>
      <c r="E6" s="3">
        <v>4164</v>
      </c>
      <c r="F6">
        <f t="shared" si="0"/>
        <v>-15.588891141293331</v>
      </c>
      <c r="G6" s="12" t="s">
        <v>164</v>
      </c>
      <c r="H6" s="14">
        <v>4933</v>
      </c>
      <c r="I6" s="2" t="s">
        <v>9</v>
      </c>
      <c r="O6" t="str">
        <f t="shared" si="1"/>
        <v>Unique</v>
      </c>
    </row>
    <row r="7" spans="1:15" ht="15" thickBot="1" x14ac:dyDescent="0.4">
      <c r="A7" s="1">
        <v>46237.63553240741</v>
      </c>
      <c r="B7" s="2" t="s">
        <v>103</v>
      </c>
      <c r="C7" s="2" t="s">
        <v>12</v>
      </c>
      <c r="D7" s="3">
        <v>4</v>
      </c>
      <c r="E7" s="3">
        <v>701</v>
      </c>
      <c r="F7">
        <f t="shared" si="0"/>
        <v>-14.533040721775182</v>
      </c>
      <c r="G7" s="12" t="s">
        <v>205</v>
      </c>
      <c r="H7" s="14">
        <v>820.2</v>
      </c>
      <c r="I7" s="2" t="s">
        <v>9</v>
      </c>
      <c r="O7" t="str">
        <f t="shared" si="1"/>
        <v>Unique</v>
      </c>
    </row>
    <row r="8" spans="1:15" ht="15" thickBot="1" x14ac:dyDescent="0.4">
      <c r="A8" t="s">
        <v>101</v>
      </c>
      <c r="B8" t="s">
        <v>24</v>
      </c>
      <c r="C8" t="s">
        <v>12</v>
      </c>
      <c r="D8">
        <v>5</v>
      </c>
      <c r="E8">
        <v>419</v>
      </c>
      <c r="F8">
        <f t="shared" si="0"/>
        <v>-14.323688784377877</v>
      </c>
      <c r="G8" s="12" t="s">
        <v>160</v>
      </c>
      <c r="H8" s="14">
        <v>489.05</v>
      </c>
      <c r="I8" t="s">
        <v>9</v>
      </c>
      <c r="O8" t="str">
        <f t="shared" si="1"/>
        <v>Unique</v>
      </c>
    </row>
    <row r="9" spans="1:15" ht="15" thickBot="1" x14ac:dyDescent="0.4">
      <c r="A9" t="s">
        <v>101</v>
      </c>
      <c r="B9" t="s">
        <v>34</v>
      </c>
      <c r="C9" t="s">
        <v>12</v>
      </c>
      <c r="D9">
        <v>25</v>
      </c>
      <c r="E9">
        <v>336</v>
      </c>
      <c r="F9">
        <f t="shared" si="0"/>
        <v>-14.285714285714285</v>
      </c>
      <c r="G9" s="12" t="s">
        <v>168</v>
      </c>
      <c r="H9" s="14">
        <v>392</v>
      </c>
      <c r="I9" t="s">
        <v>9</v>
      </c>
      <c r="O9" t="str">
        <f t="shared" si="1"/>
        <v>Unique</v>
      </c>
    </row>
    <row r="10" spans="1:15" ht="15" thickBot="1" x14ac:dyDescent="0.4">
      <c r="A10" t="s">
        <v>25</v>
      </c>
      <c r="B10" t="s">
        <v>28</v>
      </c>
      <c r="C10" t="s">
        <v>12</v>
      </c>
      <c r="D10">
        <v>1</v>
      </c>
      <c r="E10">
        <v>2164</v>
      </c>
      <c r="F10">
        <f t="shared" si="0"/>
        <v>-12.388663967611336</v>
      </c>
      <c r="G10" s="12" t="s">
        <v>163</v>
      </c>
      <c r="H10" s="14">
        <v>2470</v>
      </c>
      <c r="I10" t="s">
        <v>9</v>
      </c>
      <c r="O10" t="str">
        <f t="shared" si="1"/>
        <v>Unique</v>
      </c>
    </row>
    <row r="11" spans="1:15" ht="15" thickBot="1" x14ac:dyDescent="0.4">
      <c r="A11" t="s">
        <v>102</v>
      </c>
      <c r="B11" t="s">
        <v>28</v>
      </c>
      <c r="C11" t="s">
        <v>12</v>
      </c>
      <c r="D11">
        <v>2</v>
      </c>
      <c r="E11">
        <v>2164</v>
      </c>
      <c r="F11">
        <f t="shared" si="0"/>
        <v>-12.388663967611336</v>
      </c>
      <c r="G11" s="12" t="s">
        <v>163</v>
      </c>
      <c r="H11" s="14">
        <v>2470</v>
      </c>
      <c r="I11" t="s">
        <v>9</v>
      </c>
      <c r="O11" t="str">
        <f t="shared" si="1"/>
        <v>Unique</v>
      </c>
    </row>
    <row r="12" spans="1:15" ht="15" thickBot="1" x14ac:dyDescent="0.4">
      <c r="A12" s="1">
        <v>46238.690509259257</v>
      </c>
      <c r="B12" s="2" t="s">
        <v>29</v>
      </c>
      <c r="C12" s="2" t="s">
        <v>12</v>
      </c>
      <c r="D12" s="3">
        <v>1</v>
      </c>
      <c r="E12" s="3">
        <v>4364</v>
      </c>
      <c r="F12">
        <f t="shared" si="0"/>
        <v>-11.534563146158524</v>
      </c>
      <c r="G12" s="12" t="s">
        <v>164</v>
      </c>
      <c r="H12" s="14">
        <v>4933</v>
      </c>
      <c r="I12" s="2" t="s">
        <v>9</v>
      </c>
      <c r="O12" t="str">
        <f t="shared" si="1"/>
        <v>Unique</v>
      </c>
    </row>
    <row r="13" spans="1:15" ht="15" thickBot="1" x14ac:dyDescent="0.4">
      <c r="A13" s="1">
        <v>46237.768750000003</v>
      </c>
      <c r="B13" s="2" t="s">
        <v>41</v>
      </c>
      <c r="C13" s="2" t="s">
        <v>12</v>
      </c>
      <c r="D13" s="3">
        <v>200</v>
      </c>
      <c r="E13" s="3">
        <v>31.01</v>
      </c>
      <c r="F13">
        <f t="shared" si="0"/>
        <v>-10.788262370540842</v>
      </c>
      <c r="G13" s="12" t="s">
        <v>171</v>
      </c>
      <c r="H13" s="14">
        <v>34.76</v>
      </c>
      <c r="I13" s="2" t="s">
        <v>9</v>
      </c>
      <c r="O13" t="str">
        <f t="shared" si="1"/>
        <v>Unique</v>
      </c>
    </row>
    <row r="14" spans="1:15" ht="15" thickBot="1" x14ac:dyDescent="0.4">
      <c r="A14" t="s">
        <v>10</v>
      </c>
      <c r="B14" t="s">
        <v>29</v>
      </c>
      <c r="C14" t="s">
        <v>12</v>
      </c>
      <c r="D14">
        <v>2</v>
      </c>
      <c r="E14">
        <v>4410</v>
      </c>
      <c r="F14">
        <f t="shared" si="0"/>
        <v>-10.602067707277518</v>
      </c>
      <c r="G14" s="12" t="s">
        <v>164</v>
      </c>
      <c r="H14" s="14">
        <v>4933</v>
      </c>
      <c r="I14" t="s">
        <v>9</v>
      </c>
      <c r="O14" t="str">
        <f t="shared" si="1"/>
        <v>Unique</v>
      </c>
    </row>
    <row r="15" spans="1:15" ht="15" thickBot="1" x14ac:dyDescent="0.4">
      <c r="A15" t="s">
        <v>33</v>
      </c>
      <c r="B15" t="s">
        <v>34</v>
      </c>
      <c r="C15" t="s">
        <v>12</v>
      </c>
      <c r="D15">
        <v>25</v>
      </c>
      <c r="E15">
        <v>352</v>
      </c>
      <c r="F15">
        <f t="shared" si="0"/>
        <v>-10.204081632653061</v>
      </c>
      <c r="G15" s="12" t="s">
        <v>168</v>
      </c>
      <c r="H15" s="14">
        <v>392</v>
      </c>
      <c r="I15" t="s">
        <v>9</v>
      </c>
      <c r="O15" t="str">
        <f t="shared" si="1"/>
        <v>Unique</v>
      </c>
    </row>
    <row r="16" spans="1:15" ht="15" thickBot="1" x14ac:dyDescent="0.4">
      <c r="A16" t="s">
        <v>105</v>
      </c>
      <c r="B16" t="s">
        <v>61</v>
      </c>
      <c r="C16" t="s">
        <v>12</v>
      </c>
      <c r="D16">
        <v>15</v>
      </c>
      <c r="E16">
        <v>4415</v>
      </c>
      <c r="F16">
        <f t="shared" si="0"/>
        <v>-10.042991911000625</v>
      </c>
      <c r="G16" s="12" t="s">
        <v>178</v>
      </c>
      <c r="H16" s="14">
        <v>4907.8999999999996</v>
      </c>
      <c r="I16" t="s">
        <v>9</v>
      </c>
      <c r="O16" t="str">
        <f t="shared" si="1"/>
        <v>Unique</v>
      </c>
    </row>
    <row r="17" spans="1:15" ht="15" thickBot="1" x14ac:dyDescent="0.4">
      <c r="A17" t="s">
        <v>110</v>
      </c>
      <c r="B17" t="s">
        <v>11</v>
      </c>
      <c r="C17" t="s">
        <v>12</v>
      </c>
      <c r="D17">
        <v>100</v>
      </c>
      <c r="E17">
        <v>111</v>
      </c>
      <c r="F17">
        <f t="shared" si="0"/>
        <v>-10.034041173609982</v>
      </c>
      <c r="G17" s="12" t="s">
        <v>155</v>
      </c>
      <c r="H17" s="14">
        <v>123.38</v>
      </c>
      <c r="I17" t="s">
        <v>9</v>
      </c>
      <c r="O17" t="str">
        <f t="shared" si="1"/>
        <v>Unique</v>
      </c>
    </row>
    <row r="18" spans="1:15" ht="15" thickBot="1" x14ac:dyDescent="0.4">
      <c r="A18" s="1">
        <v>46233.688194444447</v>
      </c>
      <c r="B18" s="2" t="s">
        <v>75</v>
      </c>
      <c r="C18" s="2" t="s">
        <v>12</v>
      </c>
      <c r="D18" s="3">
        <v>2</v>
      </c>
      <c r="E18" s="3">
        <v>4010</v>
      </c>
      <c r="F18">
        <f t="shared" si="0"/>
        <v>-9.7050213915784731</v>
      </c>
      <c r="G18" s="12" t="s">
        <v>186</v>
      </c>
      <c r="H18" s="14">
        <v>4441</v>
      </c>
      <c r="I18" s="2" t="s">
        <v>9</v>
      </c>
      <c r="O18" t="str">
        <f t="shared" si="1"/>
        <v>Unique</v>
      </c>
    </row>
    <row r="19" spans="1:15" ht="15" thickBot="1" x14ac:dyDescent="0.4">
      <c r="A19" s="1">
        <v>46237.768750000003</v>
      </c>
      <c r="B19" s="2" t="s">
        <v>7</v>
      </c>
      <c r="C19" s="2" t="s">
        <v>12</v>
      </c>
      <c r="D19" s="3">
        <v>100</v>
      </c>
      <c r="E19" s="3">
        <v>322</v>
      </c>
      <c r="F19">
        <f t="shared" si="0"/>
        <v>-9.5759618084807698</v>
      </c>
      <c r="G19" s="12" t="s">
        <v>154</v>
      </c>
      <c r="H19" s="14">
        <v>356.1</v>
      </c>
      <c r="I19" s="2" t="s">
        <v>9</v>
      </c>
      <c r="O19" t="str">
        <f t="shared" si="1"/>
        <v>Unique</v>
      </c>
    </row>
    <row r="20" spans="1:15" ht="15" thickBot="1" x14ac:dyDescent="0.4">
      <c r="A20" t="s">
        <v>106</v>
      </c>
      <c r="B20" t="s">
        <v>107</v>
      </c>
      <c r="C20" t="s">
        <v>12</v>
      </c>
      <c r="D20">
        <v>7</v>
      </c>
      <c r="E20">
        <v>411</v>
      </c>
      <c r="F20">
        <f t="shared" si="0"/>
        <v>-9.2514903952307304</v>
      </c>
      <c r="G20" s="12" t="s">
        <v>207</v>
      </c>
      <c r="H20" s="14">
        <v>452.9</v>
      </c>
      <c r="I20" t="s">
        <v>9</v>
      </c>
      <c r="O20" t="str">
        <f t="shared" si="1"/>
        <v>Unique</v>
      </c>
    </row>
    <row r="21" spans="1:15" ht="15" thickBot="1" x14ac:dyDescent="0.4">
      <c r="A21" t="s">
        <v>6</v>
      </c>
      <c r="B21" t="s">
        <v>27</v>
      </c>
      <c r="C21" t="s">
        <v>12</v>
      </c>
      <c r="D21">
        <v>20</v>
      </c>
      <c r="E21">
        <v>620</v>
      </c>
      <c r="F21">
        <f t="shared" si="0"/>
        <v>-9.2240117130307464</v>
      </c>
      <c r="G21" s="12" t="s">
        <v>162</v>
      </c>
      <c r="H21" s="14">
        <v>683</v>
      </c>
      <c r="I21" t="s">
        <v>9</v>
      </c>
      <c r="O21" t="str">
        <f t="shared" si="1"/>
        <v>Unique</v>
      </c>
    </row>
    <row r="22" spans="1:15" ht="15" thickBot="1" x14ac:dyDescent="0.4">
      <c r="A22" t="s">
        <v>109</v>
      </c>
      <c r="B22" t="s">
        <v>27</v>
      </c>
      <c r="C22" t="s">
        <v>12</v>
      </c>
      <c r="D22">
        <v>30</v>
      </c>
      <c r="E22">
        <v>620</v>
      </c>
      <c r="F22">
        <f t="shared" si="0"/>
        <v>-9.2240117130307464</v>
      </c>
      <c r="G22" s="12" t="s">
        <v>162</v>
      </c>
      <c r="H22" s="14">
        <v>683</v>
      </c>
      <c r="I22" t="s">
        <v>9</v>
      </c>
      <c r="O22" t="str">
        <f t="shared" si="1"/>
        <v>Unique</v>
      </c>
    </row>
    <row r="23" spans="1:15" ht="15" thickBot="1" x14ac:dyDescent="0.4">
      <c r="A23" t="s">
        <v>108</v>
      </c>
      <c r="B23" t="s">
        <v>61</v>
      </c>
      <c r="C23" t="s">
        <v>12</v>
      </c>
      <c r="D23">
        <v>2</v>
      </c>
      <c r="E23">
        <v>4456</v>
      </c>
      <c r="F23">
        <f t="shared" si="0"/>
        <v>-9.2076040669125234</v>
      </c>
      <c r="G23" s="12" t="s">
        <v>178</v>
      </c>
      <c r="H23" s="14">
        <v>4907.8999999999996</v>
      </c>
      <c r="I23" t="s">
        <v>9</v>
      </c>
      <c r="O23" t="str">
        <f t="shared" si="1"/>
        <v>Unique</v>
      </c>
    </row>
    <row r="24" spans="1:15" ht="15" thickBot="1" x14ac:dyDescent="0.4">
      <c r="A24" t="s">
        <v>25</v>
      </c>
      <c r="B24" t="s">
        <v>26</v>
      </c>
      <c r="C24" t="s">
        <v>12</v>
      </c>
      <c r="D24">
        <v>4</v>
      </c>
      <c r="E24">
        <v>1751</v>
      </c>
      <c r="F24">
        <f t="shared" si="0"/>
        <v>-9.0389610389610393</v>
      </c>
      <c r="G24" s="12" t="s">
        <v>161</v>
      </c>
      <c r="H24" s="14">
        <v>1925</v>
      </c>
      <c r="I24" t="s">
        <v>9</v>
      </c>
      <c r="O24" t="str">
        <f t="shared" si="1"/>
        <v>Unique</v>
      </c>
    </row>
    <row r="25" spans="1:15" ht="15" thickBot="1" x14ac:dyDescent="0.4">
      <c r="A25" s="1">
        <v>46237.635497685187</v>
      </c>
      <c r="B25" s="2" t="s">
        <v>104</v>
      </c>
      <c r="C25" s="2" t="s">
        <v>12</v>
      </c>
      <c r="D25" s="3">
        <v>1</v>
      </c>
      <c r="E25" s="3">
        <v>6920</v>
      </c>
      <c r="F25">
        <f t="shared" si="0"/>
        <v>-8.8994207477619796</v>
      </c>
      <c r="G25" s="12" t="s">
        <v>206</v>
      </c>
      <c r="H25" s="14">
        <v>7596</v>
      </c>
      <c r="I25" s="2" t="s">
        <v>9</v>
      </c>
      <c r="O25" t="str">
        <f t="shared" si="1"/>
        <v>Unique</v>
      </c>
    </row>
    <row r="26" spans="1:15" ht="15" thickBot="1" x14ac:dyDescent="0.4">
      <c r="A26" s="1">
        <v>46238.690462962964</v>
      </c>
      <c r="B26" s="2" t="s">
        <v>19</v>
      </c>
      <c r="C26" s="2" t="s">
        <v>12</v>
      </c>
      <c r="D26" s="3">
        <v>37</v>
      </c>
      <c r="E26" s="3">
        <v>277</v>
      </c>
      <c r="F26">
        <f t="shared" si="0"/>
        <v>-8.8515959197104248</v>
      </c>
      <c r="G26" s="12" t="s">
        <v>158</v>
      </c>
      <c r="H26" s="14">
        <v>303.89999999999998</v>
      </c>
      <c r="I26" s="2" t="s">
        <v>9</v>
      </c>
      <c r="O26" t="str">
        <f t="shared" si="1"/>
        <v>Unique</v>
      </c>
    </row>
    <row r="27" spans="1:15" ht="15" thickBot="1" x14ac:dyDescent="0.4">
      <c r="A27" s="1">
        <v>46237.69027777778</v>
      </c>
      <c r="B27" s="2" t="s">
        <v>30</v>
      </c>
      <c r="C27" s="2" t="s">
        <v>12</v>
      </c>
      <c r="D27" s="3">
        <v>5</v>
      </c>
      <c r="E27" s="3">
        <v>852</v>
      </c>
      <c r="F27">
        <f t="shared" si="0"/>
        <v>-8.7794432548179877</v>
      </c>
      <c r="G27" s="12" t="s">
        <v>165</v>
      </c>
      <c r="H27" s="14">
        <v>934</v>
      </c>
      <c r="I27" s="2" t="s">
        <v>9</v>
      </c>
      <c r="O27" t="str">
        <f t="shared" si="1"/>
        <v>Unique</v>
      </c>
    </row>
    <row r="28" spans="1:15" ht="15" thickBot="1" x14ac:dyDescent="0.4">
      <c r="A28" s="1">
        <v>46233.688194444447</v>
      </c>
      <c r="B28" s="2" t="s">
        <v>75</v>
      </c>
      <c r="C28" s="2" t="s">
        <v>12</v>
      </c>
      <c r="D28" s="3">
        <v>2</v>
      </c>
      <c r="E28" s="3">
        <v>4060</v>
      </c>
      <c r="F28">
        <f t="shared" si="0"/>
        <v>-8.579148840351273</v>
      </c>
      <c r="G28" s="12" t="s">
        <v>186</v>
      </c>
      <c r="H28" s="14">
        <v>4441</v>
      </c>
      <c r="I28" s="2" t="s">
        <v>9</v>
      </c>
      <c r="O28" t="str">
        <f t="shared" si="1"/>
        <v>Unique</v>
      </c>
    </row>
    <row r="29" spans="1:15" ht="15" thickBot="1" x14ac:dyDescent="0.4">
      <c r="A29" t="s">
        <v>114</v>
      </c>
      <c r="B29" t="s">
        <v>59</v>
      </c>
      <c r="C29" t="s">
        <v>12</v>
      </c>
      <c r="D29">
        <v>15</v>
      </c>
      <c r="E29">
        <v>1005</v>
      </c>
      <c r="F29">
        <f t="shared" si="0"/>
        <v>-8.386508659981768</v>
      </c>
      <c r="G29" s="12" t="s">
        <v>177</v>
      </c>
      <c r="H29" s="14">
        <v>1097</v>
      </c>
      <c r="I29" t="s">
        <v>9</v>
      </c>
      <c r="O29" t="str">
        <f t="shared" si="1"/>
        <v>Unique</v>
      </c>
    </row>
    <row r="30" spans="1:15" ht="15" thickBot="1" x14ac:dyDescent="0.4">
      <c r="A30" t="s">
        <v>25</v>
      </c>
      <c r="B30" t="s">
        <v>28</v>
      </c>
      <c r="C30" t="s">
        <v>12</v>
      </c>
      <c r="D30">
        <v>1</v>
      </c>
      <c r="E30">
        <v>2264</v>
      </c>
      <c r="F30">
        <f t="shared" si="0"/>
        <v>-8.3400809716599191</v>
      </c>
      <c r="G30" s="12" t="s">
        <v>163</v>
      </c>
      <c r="H30" s="14">
        <v>2470</v>
      </c>
      <c r="I30" t="s">
        <v>9</v>
      </c>
      <c r="O30" t="str">
        <f t="shared" si="1"/>
        <v>Unique</v>
      </c>
    </row>
    <row r="31" spans="1:15" ht="15" thickBot="1" x14ac:dyDescent="0.4">
      <c r="A31" t="s">
        <v>122</v>
      </c>
      <c r="B31" t="s">
        <v>93</v>
      </c>
      <c r="C31" t="s">
        <v>12</v>
      </c>
      <c r="D31">
        <v>9</v>
      </c>
      <c r="E31">
        <v>2251</v>
      </c>
      <c r="F31">
        <f t="shared" si="0"/>
        <v>-8.3095723014256624</v>
      </c>
      <c r="G31" s="12" t="s">
        <v>200</v>
      </c>
      <c r="H31" s="14">
        <v>2455</v>
      </c>
      <c r="I31" t="s">
        <v>9</v>
      </c>
      <c r="O31" t="str">
        <f t="shared" si="1"/>
        <v>Unique</v>
      </c>
    </row>
    <row r="32" spans="1:15" ht="15" thickBot="1" x14ac:dyDescent="0.4">
      <c r="A32" t="s">
        <v>102</v>
      </c>
      <c r="B32" t="s">
        <v>14</v>
      </c>
      <c r="C32" t="s">
        <v>12</v>
      </c>
      <c r="D32">
        <v>50</v>
      </c>
      <c r="E32">
        <v>202</v>
      </c>
      <c r="F32">
        <f t="shared" si="0"/>
        <v>-8.2693792289178543</v>
      </c>
      <c r="G32" s="12" t="s">
        <v>156</v>
      </c>
      <c r="H32" s="14">
        <v>220.21</v>
      </c>
      <c r="I32" t="s">
        <v>9</v>
      </c>
      <c r="O32" t="str">
        <f t="shared" si="1"/>
        <v>Unique</v>
      </c>
    </row>
    <row r="33" spans="1:15" ht="15" thickBot="1" x14ac:dyDescent="0.4">
      <c r="A33" s="1">
        <v>46237.768750000003</v>
      </c>
      <c r="B33" s="2" t="s">
        <v>7</v>
      </c>
      <c r="C33" s="2" t="s">
        <v>12</v>
      </c>
      <c r="D33" s="3">
        <v>100</v>
      </c>
      <c r="E33" s="3">
        <v>327</v>
      </c>
      <c r="F33">
        <f t="shared" si="0"/>
        <v>-8.1718618365627691</v>
      </c>
      <c r="G33" s="12" t="s">
        <v>154</v>
      </c>
      <c r="H33" s="14">
        <v>356.1</v>
      </c>
      <c r="I33" s="2" t="s">
        <v>9</v>
      </c>
      <c r="O33" t="str">
        <f t="shared" si="1"/>
        <v>Unique</v>
      </c>
    </row>
    <row r="34" spans="1:15" ht="15" thickBot="1" x14ac:dyDescent="0.4">
      <c r="A34" t="s">
        <v>23</v>
      </c>
      <c r="B34" t="s">
        <v>30</v>
      </c>
      <c r="C34" t="s">
        <v>12</v>
      </c>
      <c r="D34">
        <v>30</v>
      </c>
      <c r="E34">
        <v>860</v>
      </c>
      <c r="F34">
        <f t="shared" si="0"/>
        <v>-7.9229122055674521</v>
      </c>
      <c r="G34" s="12" t="s">
        <v>165</v>
      </c>
      <c r="H34" s="14">
        <v>934</v>
      </c>
      <c r="I34" t="s">
        <v>9</v>
      </c>
      <c r="O34" t="str">
        <f t="shared" si="1"/>
        <v>Unique</v>
      </c>
    </row>
    <row r="35" spans="1:15" ht="15" thickBot="1" x14ac:dyDescent="0.4">
      <c r="A35" s="1">
        <v>46238.635567129626</v>
      </c>
      <c r="B35" s="2" t="s">
        <v>74</v>
      </c>
      <c r="C35" s="2" t="s">
        <v>12</v>
      </c>
      <c r="D35" s="3">
        <v>5</v>
      </c>
      <c r="E35" s="3">
        <v>812</v>
      </c>
      <c r="F35">
        <f t="shared" si="0"/>
        <v>-7.7272727272727266</v>
      </c>
      <c r="G35" s="12" t="s">
        <v>185</v>
      </c>
      <c r="H35" s="14">
        <v>880</v>
      </c>
      <c r="I35" s="2" t="s">
        <v>9</v>
      </c>
      <c r="O35" t="str">
        <f t="shared" si="1"/>
        <v>Unique</v>
      </c>
    </row>
    <row r="36" spans="1:15" ht="15" thickBot="1" x14ac:dyDescent="0.4">
      <c r="A36" t="s">
        <v>23</v>
      </c>
      <c r="B36" t="s">
        <v>24</v>
      </c>
      <c r="C36" t="s">
        <v>12</v>
      </c>
      <c r="D36">
        <v>5</v>
      </c>
      <c r="E36">
        <v>452</v>
      </c>
      <c r="F36">
        <f t="shared" si="0"/>
        <v>-7.5759124833861584</v>
      </c>
      <c r="G36" s="12" t="s">
        <v>160</v>
      </c>
      <c r="H36" s="14">
        <v>489.05</v>
      </c>
      <c r="I36" t="s">
        <v>9</v>
      </c>
      <c r="O36" t="str">
        <f t="shared" si="1"/>
        <v>Unique</v>
      </c>
    </row>
    <row r="37" spans="1:15" ht="15" thickBot="1" x14ac:dyDescent="0.4">
      <c r="A37" s="1">
        <v>46238.690462962964</v>
      </c>
      <c r="B37" s="2" t="s">
        <v>19</v>
      </c>
      <c r="C37" s="2" t="s">
        <v>12</v>
      </c>
      <c r="D37" s="3">
        <v>20</v>
      </c>
      <c r="E37" s="3">
        <v>281</v>
      </c>
      <c r="F37">
        <f t="shared" si="0"/>
        <v>-7.535373478117795</v>
      </c>
      <c r="G37" s="12" t="s">
        <v>158</v>
      </c>
      <c r="H37" s="14">
        <v>303.89999999999998</v>
      </c>
      <c r="I37" s="2" t="s">
        <v>9</v>
      </c>
      <c r="O37" t="str">
        <f t="shared" si="1"/>
        <v>Unique</v>
      </c>
    </row>
    <row r="38" spans="1:15" ht="15" thickBot="1" x14ac:dyDescent="0.4">
      <c r="A38" s="1">
        <v>46237.635555555556</v>
      </c>
      <c r="B38" s="2" t="s">
        <v>75</v>
      </c>
      <c r="C38" s="2" t="s">
        <v>12</v>
      </c>
      <c r="D38" s="3">
        <v>1</v>
      </c>
      <c r="E38" s="3">
        <v>4110</v>
      </c>
      <c r="F38">
        <f t="shared" si="0"/>
        <v>-7.4532762891240711</v>
      </c>
      <c r="G38" s="12" t="s">
        <v>186</v>
      </c>
      <c r="H38" s="14">
        <v>4441</v>
      </c>
      <c r="I38" s="2" t="s">
        <v>9</v>
      </c>
      <c r="O38" t="str">
        <f t="shared" si="1"/>
        <v>Unique</v>
      </c>
    </row>
    <row r="39" spans="1:15" ht="15" thickBot="1" x14ac:dyDescent="0.4">
      <c r="A39" s="1">
        <v>46237.69027777778</v>
      </c>
      <c r="B39" s="2" t="s">
        <v>112</v>
      </c>
      <c r="C39" s="2" t="s">
        <v>12</v>
      </c>
      <c r="D39" s="3">
        <v>10</v>
      </c>
      <c r="E39" s="3">
        <v>251</v>
      </c>
      <c r="F39">
        <f t="shared" si="0"/>
        <v>-7.4483775811209405</v>
      </c>
      <c r="G39" s="12" t="s">
        <v>208</v>
      </c>
      <c r="H39" s="14">
        <v>271.2</v>
      </c>
      <c r="I39" s="2" t="s">
        <v>9</v>
      </c>
      <c r="O39" t="str">
        <f t="shared" si="1"/>
        <v>Unique</v>
      </c>
    </row>
    <row r="40" spans="1:15" ht="15" thickBot="1" x14ac:dyDescent="0.4">
      <c r="A40" t="s">
        <v>69</v>
      </c>
      <c r="B40" t="s">
        <v>70</v>
      </c>
      <c r="C40" t="s">
        <v>12</v>
      </c>
      <c r="D40">
        <v>10</v>
      </c>
      <c r="E40">
        <v>1410</v>
      </c>
      <c r="F40">
        <f t="shared" si="0"/>
        <v>-7.3100184065211709</v>
      </c>
      <c r="G40" s="12" t="s">
        <v>182</v>
      </c>
      <c r="H40" s="14">
        <v>1521.2</v>
      </c>
      <c r="I40" t="s">
        <v>9</v>
      </c>
      <c r="O40" t="str">
        <f t="shared" si="1"/>
        <v>Unique</v>
      </c>
    </row>
    <row r="41" spans="1:15" ht="15" thickBot="1" x14ac:dyDescent="0.4">
      <c r="A41" t="s">
        <v>60</v>
      </c>
      <c r="B41" t="s">
        <v>61</v>
      </c>
      <c r="C41" t="s">
        <v>12</v>
      </c>
      <c r="D41">
        <v>1</v>
      </c>
      <c r="E41">
        <v>4560</v>
      </c>
      <c r="F41">
        <f t="shared" si="0"/>
        <v>-7.088571486786603</v>
      </c>
      <c r="G41" s="12" t="s">
        <v>178</v>
      </c>
      <c r="H41" s="14">
        <v>4907.8999999999996</v>
      </c>
      <c r="I41" t="s">
        <v>9</v>
      </c>
      <c r="O41" t="str">
        <f t="shared" si="1"/>
        <v>Unique</v>
      </c>
    </row>
    <row r="42" spans="1:15" ht="15" thickBot="1" x14ac:dyDescent="0.4">
      <c r="A42" s="1">
        <v>46237.768750000003</v>
      </c>
      <c r="B42" s="2" t="s">
        <v>7</v>
      </c>
      <c r="C42" s="2" t="s">
        <v>12</v>
      </c>
      <c r="D42" s="3">
        <v>100</v>
      </c>
      <c r="E42" s="3">
        <v>331</v>
      </c>
      <c r="F42">
        <f t="shared" si="0"/>
        <v>-7.0485818590283689</v>
      </c>
      <c r="G42" s="12" t="s">
        <v>154</v>
      </c>
      <c r="H42" s="14">
        <v>356.1</v>
      </c>
      <c r="I42" s="2" t="s">
        <v>9</v>
      </c>
      <c r="O42" t="str">
        <f t="shared" si="1"/>
        <v>Unique</v>
      </c>
    </row>
    <row r="43" spans="1:15" ht="15" thickBot="1" x14ac:dyDescent="0.4">
      <c r="A43" s="1">
        <v>46233.688194444447</v>
      </c>
      <c r="B43" s="2" t="s">
        <v>87</v>
      </c>
      <c r="C43" s="2" t="s">
        <v>12</v>
      </c>
      <c r="D43" s="3">
        <v>2</v>
      </c>
      <c r="E43" s="3">
        <v>3760</v>
      </c>
      <c r="F43">
        <f t="shared" si="0"/>
        <v>-6.9306930693069315</v>
      </c>
      <c r="G43" s="12" t="s">
        <v>195</v>
      </c>
      <c r="H43" s="14">
        <v>4040</v>
      </c>
      <c r="I43" s="2" t="s">
        <v>9</v>
      </c>
      <c r="O43" t="str">
        <f t="shared" si="1"/>
        <v>Unique</v>
      </c>
    </row>
    <row r="44" spans="1:15" ht="15" thickBot="1" x14ac:dyDescent="0.4">
      <c r="A44" t="s">
        <v>69</v>
      </c>
      <c r="B44" t="s">
        <v>70</v>
      </c>
      <c r="C44" t="s">
        <v>12</v>
      </c>
      <c r="D44">
        <v>10</v>
      </c>
      <c r="E44">
        <v>1420</v>
      </c>
      <c r="F44">
        <f t="shared" si="0"/>
        <v>-6.6526426505390504</v>
      </c>
      <c r="G44" s="12" t="s">
        <v>182</v>
      </c>
      <c r="H44" s="14">
        <v>1521.2</v>
      </c>
      <c r="I44" t="s">
        <v>9</v>
      </c>
      <c r="O44" t="str">
        <f t="shared" si="1"/>
        <v>Unique</v>
      </c>
    </row>
    <row r="45" spans="1:15" ht="15" thickBot="1" x14ac:dyDescent="0.4">
      <c r="A45" t="s">
        <v>35</v>
      </c>
      <c r="B45" t="s">
        <v>34</v>
      </c>
      <c r="C45" t="s">
        <v>12</v>
      </c>
      <c r="D45">
        <v>5</v>
      </c>
      <c r="E45">
        <v>366</v>
      </c>
      <c r="F45">
        <f t="shared" si="0"/>
        <v>-6.6326530612244898</v>
      </c>
      <c r="G45" s="12" t="s">
        <v>168</v>
      </c>
      <c r="H45" s="14">
        <v>392</v>
      </c>
      <c r="I45" t="s">
        <v>9</v>
      </c>
      <c r="O45" t="str">
        <f t="shared" si="1"/>
        <v>Unique</v>
      </c>
    </row>
    <row r="46" spans="1:15" ht="15" thickBot="1" x14ac:dyDescent="0.4">
      <c r="A46" t="s">
        <v>10</v>
      </c>
      <c r="B46" t="s">
        <v>11</v>
      </c>
      <c r="C46" t="s">
        <v>12</v>
      </c>
      <c r="D46">
        <v>200</v>
      </c>
      <c r="E46">
        <v>115.25</v>
      </c>
      <c r="F46">
        <f t="shared" si="0"/>
        <v>-6.5893986059328862</v>
      </c>
      <c r="G46" s="12" t="s">
        <v>155</v>
      </c>
      <c r="H46" s="14">
        <v>123.38</v>
      </c>
      <c r="I46" t="s">
        <v>9</v>
      </c>
      <c r="O46" t="str">
        <f t="shared" si="1"/>
        <v>Unique</v>
      </c>
    </row>
    <row r="47" spans="1:15" ht="15" thickBot="1" x14ac:dyDescent="0.4">
      <c r="A47" t="s">
        <v>17</v>
      </c>
      <c r="B47" t="s">
        <v>14</v>
      </c>
      <c r="C47" t="s">
        <v>12</v>
      </c>
      <c r="D47">
        <v>50</v>
      </c>
      <c r="E47">
        <v>206</v>
      </c>
      <c r="F47">
        <f t="shared" si="0"/>
        <v>-6.452931292856821</v>
      </c>
      <c r="G47" s="12" t="s">
        <v>156</v>
      </c>
      <c r="H47" s="14">
        <v>220.21</v>
      </c>
      <c r="I47" t="s">
        <v>9</v>
      </c>
      <c r="O47" t="str">
        <f t="shared" si="1"/>
        <v>Unique</v>
      </c>
    </row>
    <row r="48" spans="1:15" ht="15" thickBot="1" x14ac:dyDescent="0.4">
      <c r="A48" t="s">
        <v>6</v>
      </c>
      <c r="B48" t="s">
        <v>27</v>
      </c>
      <c r="C48" t="s">
        <v>12</v>
      </c>
      <c r="D48">
        <v>10</v>
      </c>
      <c r="E48">
        <v>640</v>
      </c>
      <c r="F48">
        <f t="shared" si="0"/>
        <v>-6.2957540263543192</v>
      </c>
      <c r="G48" s="12" t="s">
        <v>162</v>
      </c>
      <c r="H48" s="14">
        <v>683</v>
      </c>
      <c r="I48" t="s">
        <v>9</v>
      </c>
      <c r="O48" t="str">
        <f t="shared" si="1"/>
        <v>Unique</v>
      </c>
    </row>
    <row r="49" spans="1:15" ht="15" thickBot="1" x14ac:dyDescent="0.4">
      <c r="A49" t="s">
        <v>109</v>
      </c>
      <c r="B49" t="s">
        <v>27</v>
      </c>
      <c r="C49" t="s">
        <v>12</v>
      </c>
      <c r="D49">
        <v>5</v>
      </c>
      <c r="E49">
        <v>640</v>
      </c>
      <c r="F49">
        <f t="shared" si="0"/>
        <v>-6.2957540263543192</v>
      </c>
      <c r="G49" s="12" t="s">
        <v>162</v>
      </c>
      <c r="H49" s="14">
        <v>683</v>
      </c>
      <c r="I49" t="s">
        <v>9</v>
      </c>
      <c r="O49" t="str">
        <f t="shared" si="1"/>
        <v>Unique</v>
      </c>
    </row>
    <row r="50" spans="1:15" ht="15" thickBot="1" x14ac:dyDescent="0.4">
      <c r="A50" t="s">
        <v>121</v>
      </c>
      <c r="B50" t="s">
        <v>27</v>
      </c>
      <c r="C50" t="s">
        <v>12</v>
      </c>
      <c r="D50">
        <v>30</v>
      </c>
      <c r="E50">
        <v>640</v>
      </c>
      <c r="F50">
        <f t="shared" si="0"/>
        <v>-6.2957540263543192</v>
      </c>
      <c r="G50" s="12" t="s">
        <v>162</v>
      </c>
      <c r="H50" s="14">
        <v>683</v>
      </c>
      <c r="I50" t="s">
        <v>9</v>
      </c>
      <c r="O50" t="str">
        <f t="shared" si="1"/>
        <v>Unique</v>
      </c>
    </row>
    <row r="51" spans="1:15" ht="15" thickBot="1" x14ac:dyDescent="0.4">
      <c r="A51" t="s">
        <v>114</v>
      </c>
      <c r="B51" t="s">
        <v>83</v>
      </c>
      <c r="C51" t="s">
        <v>12</v>
      </c>
      <c r="D51">
        <v>40</v>
      </c>
      <c r="E51">
        <v>878</v>
      </c>
      <c r="F51">
        <f t="shared" si="0"/>
        <v>-6.1965811965811968</v>
      </c>
      <c r="G51" s="12" t="s">
        <v>192</v>
      </c>
      <c r="H51" s="14">
        <v>936</v>
      </c>
      <c r="I51" t="s">
        <v>9</v>
      </c>
      <c r="O51" t="str">
        <f t="shared" si="1"/>
        <v>Unique</v>
      </c>
    </row>
    <row r="52" spans="1:15" ht="15" thickBot="1" x14ac:dyDescent="0.4">
      <c r="A52" t="s">
        <v>67</v>
      </c>
      <c r="B52" t="s">
        <v>68</v>
      </c>
      <c r="C52" t="s">
        <v>12</v>
      </c>
      <c r="D52">
        <v>8</v>
      </c>
      <c r="E52">
        <v>2370</v>
      </c>
      <c r="F52">
        <f t="shared" si="0"/>
        <v>-6.1386138613861387</v>
      </c>
      <c r="G52" s="12" t="s">
        <v>181</v>
      </c>
      <c r="H52" s="14">
        <v>2525</v>
      </c>
      <c r="I52" t="s">
        <v>9</v>
      </c>
      <c r="O52" t="str">
        <f t="shared" si="1"/>
        <v>Unique</v>
      </c>
    </row>
    <row r="53" spans="1:15" ht="15" thickBot="1" x14ac:dyDescent="0.4">
      <c r="A53" t="s">
        <v>60</v>
      </c>
      <c r="B53" t="s">
        <v>59</v>
      </c>
      <c r="C53" t="s">
        <v>12</v>
      </c>
      <c r="D53">
        <v>10</v>
      </c>
      <c r="E53">
        <v>1030</v>
      </c>
      <c r="F53">
        <f t="shared" si="0"/>
        <v>-6.1075660893345489</v>
      </c>
      <c r="G53" s="12" t="s">
        <v>177</v>
      </c>
      <c r="H53" s="14">
        <v>1097</v>
      </c>
      <c r="I53" t="s">
        <v>9</v>
      </c>
      <c r="O53" t="str">
        <f t="shared" si="1"/>
        <v>Unique</v>
      </c>
    </row>
    <row r="54" spans="1:15" ht="15" thickBot="1" x14ac:dyDescent="0.4">
      <c r="A54" t="s">
        <v>15</v>
      </c>
      <c r="B54" t="s">
        <v>16</v>
      </c>
      <c r="C54" t="s">
        <v>12</v>
      </c>
      <c r="D54">
        <v>30</v>
      </c>
      <c r="E54">
        <v>2435</v>
      </c>
      <c r="F54">
        <f t="shared" si="0"/>
        <v>-6.0969495970074394</v>
      </c>
      <c r="G54" s="12" t="s">
        <v>157</v>
      </c>
      <c r="H54" s="14">
        <v>2593.1</v>
      </c>
      <c r="I54" t="s">
        <v>9</v>
      </c>
      <c r="O54" t="str">
        <f t="shared" si="1"/>
        <v>Unique</v>
      </c>
    </row>
    <row r="55" spans="1:15" ht="15" thickBot="1" x14ac:dyDescent="0.4">
      <c r="A55" t="s">
        <v>118</v>
      </c>
      <c r="B55" t="s">
        <v>7</v>
      </c>
      <c r="C55" t="s">
        <v>12</v>
      </c>
      <c r="D55">
        <v>100</v>
      </c>
      <c r="E55">
        <v>335</v>
      </c>
      <c r="F55">
        <f t="shared" si="0"/>
        <v>-5.9253018814939686</v>
      </c>
      <c r="G55" s="12" t="s">
        <v>154</v>
      </c>
      <c r="H55" s="14">
        <v>356.1</v>
      </c>
      <c r="I55" t="s">
        <v>9</v>
      </c>
      <c r="O55" t="str">
        <f t="shared" si="1"/>
        <v>Unique</v>
      </c>
    </row>
    <row r="56" spans="1:15" ht="15" thickBot="1" x14ac:dyDescent="0.4">
      <c r="A56" t="s">
        <v>18</v>
      </c>
      <c r="B56" t="s">
        <v>19</v>
      </c>
      <c r="C56" t="s">
        <v>12</v>
      </c>
      <c r="D56">
        <v>30</v>
      </c>
      <c r="E56">
        <v>286</v>
      </c>
      <c r="F56">
        <f t="shared" si="0"/>
        <v>-5.8900954261270089</v>
      </c>
      <c r="G56" s="12" t="s">
        <v>158</v>
      </c>
      <c r="H56" s="14">
        <v>303.89999999999998</v>
      </c>
      <c r="I56" t="s">
        <v>9</v>
      </c>
      <c r="O56" t="str">
        <f t="shared" si="1"/>
        <v>Unique</v>
      </c>
    </row>
    <row r="57" spans="1:15" ht="15" thickBot="1" x14ac:dyDescent="0.4">
      <c r="A57" t="s">
        <v>60</v>
      </c>
      <c r="B57" t="s">
        <v>72</v>
      </c>
      <c r="C57" t="s">
        <v>12</v>
      </c>
      <c r="D57">
        <v>1</v>
      </c>
      <c r="E57">
        <v>17552</v>
      </c>
      <c r="F57">
        <f t="shared" si="0"/>
        <v>-5.8873994638069709</v>
      </c>
      <c r="G57" s="12" t="s">
        <v>183</v>
      </c>
      <c r="H57" s="14">
        <v>18650</v>
      </c>
      <c r="I57" t="s">
        <v>9</v>
      </c>
      <c r="O57" t="str">
        <f t="shared" si="1"/>
        <v>Unique</v>
      </c>
    </row>
    <row r="58" spans="1:15" ht="15" thickBot="1" x14ac:dyDescent="0.4">
      <c r="A58" t="s">
        <v>102</v>
      </c>
      <c r="B58" t="s">
        <v>43</v>
      </c>
      <c r="C58" t="s">
        <v>12</v>
      </c>
      <c r="D58">
        <v>5</v>
      </c>
      <c r="E58">
        <v>1614</v>
      </c>
      <c r="F58">
        <f t="shared" si="0"/>
        <v>-5.8343057176196034</v>
      </c>
      <c r="G58" s="12" t="s">
        <v>172</v>
      </c>
      <c r="H58" s="14">
        <v>1714</v>
      </c>
      <c r="I58" t="s">
        <v>9</v>
      </c>
      <c r="O58" t="str">
        <f t="shared" si="1"/>
        <v>Unique</v>
      </c>
    </row>
    <row r="59" spans="1:15" ht="15" thickBot="1" x14ac:dyDescent="0.4">
      <c r="A59" t="s">
        <v>67</v>
      </c>
      <c r="B59" t="s">
        <v>95</v>
      </c>
      <c r="C59" t="s">
        <v>12</v>
      </c>
      <c r="D59">
        <v>30</v>
      </c>
      <c r="E59">
        <v>1007</v>
      </c>
      <c r="F59">
        <f t="shared" si="0"/>
        <v>-5.7116104868913862</v>
      </c>
      <c r="G59" s="12" t="s">
        <v>202</v>
      </c>
      <c r="H59" s="14">
        <v>1068</v>
      </c>
      <c r="I59" t="s">
        <v>9</v>
      </c>
      <c r="O59" t="str">
        <f t="shared" si="1"/>
        <v>Unique</v>
      </c>
    </row>
    <row r="60" spans="1:15" ht="15" thickBot="1" x14ac:dyDescent="0.4">
      <c r="A60" s="1">
        <v>46233.688194444447</v>
      </c>
      <c r="B60" s="2" t="s">
        <v>87</v>
      </c>
      <c r="C60" s="2" t="s">
        <v>12</v>
      </c>
      <c r="D60" s="3">
        <v>3</v>
      </c>
      <c r="E60" s="3">
        <v>3810</v>
      </c>
      <c r="F60">
        <f t="shared" si="0"/>
        <v>-5.6930693069306937</v>
      </c>
      <c r="G60" s="12" t="s">
        <v>195</v>
      </c>
      <c r="H60" s="14">
        <v>4040</v>
      </c>
      <c r="I60" s="2" t="s">
        <v>9</v>
      </c>
      <c r="O60" t="str">
        <f t="shared" si="1"/>
        <v>Unique</v>
      </c>
    </row>
    <row r="61" spans="1:15" ht="15" thickBot="1" x14ac:dyDescent="0.4">
      <c r="A61" s="1">
        <v>46237.635520833333</v>
      </c>
      <c r="B61" s="2" t="s">
        <v>85</v>
      </c>
      <c r="C61" s="2" t="s">
        <v>12</v>
      </c>
      <c r="D61" s="3">
        <v>20</v>
      </c>
      <c r="E61" s="3">
        <v>220.1</v>
      </c>
      <c r="F61">
        <f t="shared" si="0"/>
        <v>-5.6902905133259063</v>
      </c>
      <c r="G61" s="12" t="s">
        <v>193</v>
      </c>
      <c r="H61" s="14">
        <v>233.38</v>
      </c>
      <c r="I61" s="2" t="s">
        <v>9</v>
      </c>
      <c r="O61" t="str">
        <f t="shared" si="1"/>
        <v>Unique</v>
      </c>
    </row>
    <row r="62" spans="1:15" ht="15" thickBot="1" x14ac:dyDescent="0.4">
      <c r="A62" t="s">
        <v>36</v>
      </c>
      <c r="B62" t="s">
        <v>30</v>
      </c>
      <c r="C62" t="s">
        <v>12</v>
      </c>
      <c r="D62">
        <v>11</v>
      </c>
      <c r="E62">
        <v>882</v>
      </c>
      <c r="F62">
        <f t="shared" si="0"/>
        <v>-5.5674518201284791</v>
      </c>
      <c r="G62" s="12" t="s">
        <v>165</v>
      </c>
      <c r="H62" s="14">
        <v>934</v>
      </c>
      <c r="I62" t="s">
        <v>9</v>
      </c>
      <c r="O62" t="str">
        <f t="shared" si="1"/>
        <v>Unique</v>
      </c>
    </row>
    <row r="63" spans="1:15" ht="15" thickBot="1" x14ac:dyDescent="0.4">
      <c r="A63" t="s">
        <v>36</v>
      </c>
      <c r="B63" t="s">
        <v>38</v>
      </c>
      <c r="C63" t="s">
        <v>12</v>
      </c>
      <c r="D63">
        <v>45</v>
      </c>
      <c r="E63">
        <v>136.1</v>
      </c>
      <c r="F63">
        <f t="shared" si="0"/>
        <v>-5.4861111111111152</v>
      </c>
      <c r="G63" s="12" t="s">
        <v>170</v>
      </c>
      <c r="H63" s="14">
        <v>144</v>
      </c>
      <c r="I63" t="s">
        <v>9</v>
      </c>
      <c r="O63" t="str">
        <f t="shared" si="1"/>
        <v>Unique</v>
      </c>
    </row>
    <row r="64" spans="1:15" ht="15" thickBot="1" x14ac:dyDescent="0.4">
      <c r="A64" t="s">
        <v>60</v>
      </c>
      <c r="B64" t="s">
        <v>61</v>
      </c>
      <c r="C64" t="s">
        <v>12</v>
      </c>
      <c r="D64">
        <v>1</v>
      </c>
      <c r="E64">
        <v>4640</v>
      </c>
      <c r="F64">
        <f t="shared" si="0"/>
        <v>-5.4585464251512796</v>
      </c>
      <c r="G64" s="12" t="s">
        <v>178</v>
      </c>
      <c r="H64" s="14">
        <v>4907.8999999999996</v>
      </c>
      <c r="I64" t="s">
        <v>9</v>
      </c>
      <c r="O64" t="str">
        <f t="shared" si="1"/>
        <v>Unique</v>
      </c>
    </row>
    <row r="65" spans="1:15" ht="15" thickBot="1" x14ac:dyDescent="0.4">
      <c r="A65" t="s">
        <v>126</v>
      </c>
      <c r="B65" t="s">
        <v>38</v>
      </c>
      <c r="C65" t="s">
        <v>12</v>
      </c>
      <c r="D65">
        <v>45</v>
      </c>
      <c r="E65">
        <v>136.15</v>
      </c>
      <c r="F65">
        <f t="shared" si="0"/>
        <v>-5.4513888888888848</v>
      </c>
      <c r="G65" s="12" t="s">
        <v>170</v>
      </c>
      <c r="H65" s="14">
        <v>144</v>
      </c>
      <c r="I65" t="s">
        <v>9</v>
      </c>
      <c r="O65" t="str">
        <f t="shared" si="1"/>
        <v>Unique</v>
      </c>
    </row>
    <row r="66" spans="1:15" ht="15" thickBot="1" x14ac:dyDescent="0.4">
      <c r="A66" t="s">
        <v>25</v>
      </c>
      <c r="B66" t="s">
        <v>32</v>
      </c>
      <c r="C66" t="s">
        <v>12</v>
      </c>
      <c r="D66">
        <v>25</v>
      </c>
      <c r="E66">
        <v>190.1</v>
      </c>
      <c r="F66">
        <f t="shared" ref="F66:F129" si="2">((E66-H66)/H66)*100</f>
        <v>-5.4275906671309864</v>
      </c>
      <c r="G66" s="12" t="s">
        <v>167</v>
      </c>
      <c r="H66" s="14">
        <v>201.01</v>
      </c>
      <c r="I66" t="s">
        <v>9</v>
      </c>
      <c r="O66" t="str">
        <f t="shared" ref="O66:O129" si="3">IF(COUNTIFS( $B$2:$B$973, B66, $C$2:$C$973, C66, $D$2:$D$973, D66, $E$2:$E$973, E66) &gt; 1, "Duplicate", "Unique")</f>
        <v>Unique</v>
      </c>
    </row>
    <row r="67" spans="1:15" ht="15" thickBot="1" x14ac:dyDescent="0.4">
      <c r="A67" t="s">
        <v>6</v>
      </c>
      <c r="B67" t="s">
        <v>7</v>
      </c>
      <c r="C67" t="s">
        <v>12</v>
      </c>
      <c r="D67">
        <v>100</v>
      </c>
      <c r="E67">
        <v>337</v>
      </c>
      <c r="F67">
        <f t="shared" si="2"/>
        <v>-5.3636618927267685</v>
      </c>
      <c r="G67" s="12" t="s">
        <v>154</v>
      </c>
      <c r="H67" s="14">
        <v>356.1</v>
      </c>
      <c r="I67" t="s">
        <v>9</v>
      </c>
      <c r="O67" t="str">
        <f t="shared" si="3"/>
        <v>Unique</v>
      </c>
    </row>
    <row r="68" spans="1:15" ht="15" thickBot="1" x14ac:dyDescent="0.4">
      <c r="A68" t="s">
        <v>69</v>
      </c>
      <c r="B68" t="s">
        <v>70</v>
      </c>
      <c r="C68" t="s">
        <v>12</v>
      </c>
      <c r="D68">
        <v>10</v>
      </c>
      <c r="E68">
        <v>1440</v>
      </c>
      <c r="F68">
        <f t="shared" si="2"/>
        <v>-5.337891138574812</v>
      </c>
      <c r="G68" s="12" t="s">
        <v>182</v>
      </c>
      <c r="H68" s="14">
        <v>1521.2</v>
      </c>
      <c r="I68" t="s">
        <v>9</v>
      </c>
      <c r="O68" t="str">
        <f t="shared" si="3"/>
        <v>Unique</v>
      </c>
    </row>
    <row r="69" spans="1:15" ht="15" thickBot="1" x14ac:dyDescent="0.4">
      <c r="A69" t="s">
        <v>64</v>
      </c>
      <c r="B69" t="s">
        <v>75</v>
      </c>
      <c r="C69" t="s">
        <v>12</v>
      </c>
      <c r="D69">
        <v>1</v>
      </c>
      <c r="E69">
        <v>4206</v>
      </c>
      <c r="F69">
        <f t="shared" si="2"/>
        <v>-5.2916009907678454</v>
      </c>
      <c r="G69" s="12" t="s">
        <v>186</v>
      </c>
      <c r="H69" s="14">
        <v>4441</v>
      </c>
      <c r="I69" t="s">
        <v>9</v>
      </c>
      <c r="O69" t="str">
        <f t="shared" si="3"/>
        <v>Unique</v>
      </c>
    </row>
    <row r="70" spans="1:15" ht="15" thickBot="1" x14ac:dyDescent="0.4">
      <c r="A70" s="1">
        <v>46237.63553240741</v>
      </c>
      <c r="B70" s="2" t="s">
        <v>87</v>
      </c>
      <c r="C70" s="2" t="s">
        <v>12</v>
      </c>
      <c r="D70" s="3">
        <v>2</v>
      </c>
      <c r="E70" s="3">
        <v>3830</v>
      </c>
      <c r="F70">
        <f t="shared" si="2"/>
        <v>-5.1980198019801982</v>
      </c>
      <c r="G70" s="12" t="s">
        <v>195</v>
      </c>
      <c r="H70" s="14">
        <v>4040</v>
      </c>
      <c r="I70" s="2" t="s">
        <v>9</v>
      </c>
      <c r="O70" t="str">
        <f t="shared" si="3"/>
        <v>Unique</v>
      </c>
    </row>
    <row r="71" spans="1:15" ht="15" thickBot="1" x14ac:dyDescent="0.4">
      <c r="A71" t="s">
        <v>17</v>
      </c>
      <c r="B71" t="s">
        <v>16</v>
      </c>
      <c r="C71" t="s">
        <v>12</v>
      </c>
      <c r="D71">
        <v>30</v>
      </c>
      <c r="E71">
        <v>2460</v>
      </c>
      <c r="F71">
        <f t="shared" si="2"/>
        <v>-5.1328525702826697</v>
      </c>
      <c r="G71" s="12" t="s">
        <v>157</v>
      </c>
      <c r="H71" s="14">
        <v>2593.1</v>
      </c>
      <c r="I71" t="s">
        <v>9</v>
      </c>
      <c r="O71" t="str">
        <f t="shared" si="3"/>
        <v>Unique</v>
      </c>
    </row>
    <row r="72" spans="1:15" ht="15" thickBot="1" x14ac:dyDescent="0.4">
      <c r="A72" t="s">
        <v>69</v>
      </c>
      <c r="B72" t="s">
        <v>74</v>
      </c>
      <c r="C72" t="s">
        <v>12</v>
      </c>
      <c r="D72">
        <v>25</v>
      </c>
      <c r="E72">
        <v>836</v>
      </c>
      <c r="F72">
        <f t="shared" si="2"/>
        <v>-5</v>
      </c>
      <c r="G72" s="12" t="s">
        <v>185</v>
      </c>
      <c r="H72" s="14">
        <v>880</v>
      </c>
      <c r="I72" t="s">
        <v>9</v>
      </c>
      <c r="O72" t="str">
        <f t="shared" si="3"/>
        <v>Unique</v>
      </c>
    </row>
    <row r="73" spans="1:15" ht="15" thickBot="1" x14ac:dyDescent="0.4">
      <c r="A73" t="s">
        <v>36</v>
      </c>
      <c r="B73" t="s">
        <v>37</v>
      </c>
      <c r="C73" t="s">
        <v>12</v>
      </c>
      <c r="D73">
        <v>25</v>
      </c>
      <c r="E73">
        <v>196</v>
      </c>
      <c r="F73">
        <f t="shared" si="2"/>
        <v>-4.9927290353853664</v>
      </c>
      <c r="G73" s="12" t="s">
        <v>169</v>
      </c>
      <c r="H73" s="14">
        <v>206.3</v>
      </c>
      <c r="I73" t="s">
        <v>9</v>
      </c>
      <c r="O73" t="str">
        <f t="shared" si="3"/>
        <v>Unique</v>
      </c>
    </row>
    <row r="74" spans="1:15" ht="15" thickBot="1" x14ac:dyDescent="0.4">
      <c r="A74" t="s">
        <v>67</v>
      </c>
      <c r="B74" t="s">
        <v>68</v>
      </c>
      <c r="C74" t="s">
        <v>12</v>
      </c>
      <c r="D74">
        <v>7</v>
      </c>
      <c r="E74">
        <v>2401</v>
      </c>
      <c r="F74">
        <f t="shared" si="2"/>
        <v>-4.9108910891089108</v>
      </c>
      <c r="G74" s="12" t="s">
        <v>181</v>
      </c>
      <c r="H74" s="14">
        <v>2525</v>
      </c>
      <c r="I74" t="s">
        <v>9</v>
      </c>
      <c r="O74" t="str">
        <f t="shared" si="3"/>
        <v>Unique</v>
      </c>
    </row>
    <row r="75" spans="1:15" ht="15" thickBot="1" x14ac:dyDescent="0.4">
      <c r="A75" t="s">
        <v>69</v>
      </c>
      <c r="B75" t="s">
        <v>74</v>
      </c>
      <c r="C75" t="s">
        <v>12</v>
      </c>
      <c r="D75">
        <v>5</v>
      </c>
      <c r="E75">
        <v>838</v>
      </c>
      <c r="F75">
        <f t="shared" si="2"/>
        <v>-4.7727272727272734</v>
      </c>
      <c r="G75" s="12" t="s">
        <v>185</v>
      </c>
      <c r="H75" s="14">
        <v>880</v>
      </c>
      <c r="I75" t="s">
        <v>9</v>
      </c>
      <c r="O75" t="str">
        <f t="shared" si="3"/>
        <v>Unique</v>
      </c>
    </row>
    <row r="76" spans="1:15" ht="15" thickBot="1" x14ac:dyDescent="0.4">
      <c r="A76" t="s">
        <v>120</v>
      </c>
      <c r="B76" t="s">
        <v>16</v>
      </c>
      <c r="C76" t="s">
        <v>12</v>
      </c>
      <c r="D76">
        <v>5</v>
      </c>
      <c r="E76">
        <v>2470</v>
      </c>
      <c r="F76">
        <f t="shared" si="2"/>
        <v>-4.7472137595927615</v>
      </c>
      <c r="G76" s="12" t="s">
        <v>157</v>
      </c>
      <c r="H76" s="14">
        <v>2593.1</v>
      </c>
      <c r="I76" t="s">
        <v>9</v>
      </c>
      <c r="O76" t="str">
        <f t="shared" si="3"/>
        <v>Unique</v>
      </c>
    </row>
    <row r="77" spans="1:15" ht="15" thickBot="1" x14ac:dyDescent="0.4">
      <c r="A77" t="s">
        <v>40</v>
      </c>
      <c r="B77" t="s">
        <v>41</v>
      </c>
      <c r="C77" t="s">
        <v>12</v>
      </c>
      <c r="D77">
        <v>500</v>
      </c>
      <c r="E77">
        <v>33.159999999999997</v>
      </c>
      <c r="F77">
        <f t="shared" si="2"/>
        <v>-4.602991944764101</v>
      </c>
      <c r="G77" s="12" t="s">
        <v>171</v>
      </c>
      <c r="H77" s="14">
        <v>34.76</v>
      </c>
      <c r="I77" t="s">
        <v>9</v>
      </c>
      <c r="O77" t="str">
        <f t="shared" si="3"/>
        <v>Unique</v>
      </c>
    </row>
    <row r="78" spans="1:15" ht="15" thickBot="1" x14ac:dyDescent="0.4">
      <c r="A78" s="1">
        <v>46237.63553240741</v>
      </c>
      <c r="B78" s="2" t="s">
        <v>87</v>
      </c>
      <c r="C78" s="2" t="s">
        <v>12</v>
      </c>
      <c r="D78" s="3">
        <v>2</v>
      </c>
      <c r="E78" s="3">
        <v>3856</v>
      </c>
      <c r="F78">
        <f t="shared" si="2"/>
        <v>-4.5544554455445541</v>
      </c>
      <c r="G78" s="12" t="s">
        <v>195</v>
      </c>
      <c r="H78" s="14">
        <v>4040</v>
      </c>
      <c r="I78" s="2" t="s">
        <v>9</v>
      </c>
      <c r="O78" t="str">
        <f t="shared" si="3"/>
        <v>Unique</v>
      </c>
    </row>
    <row r="79" spans="1:15" ht="15" thickBot="1" x14ac:dyDescent="0.4">
      <c r="A79" t="s">
        <v>69</v>
      </c>
      <c r="B79" t="s">
        <v>70</v>
      </c>
      <c r="C79" t="s">
        <v>12</v>
      </c>
      <c r="D79">
        <v>10</v>
      </c>
      <c r="E79">
        <v>1452</v>
      </c>
      <c r="F79">
        <f t="shared" si="2"/>
        <v>-4.549040231396269</v>
      </c>
      <c r="G79" s="12" t="s">
        <v>182</v>
      </c>
      <c r="H79" s="14">
        <v>1521.2</v>
      </c>
      <c r="I79" t="s">
        <v>9</v>
      </c>
      <c r="O79" t="str">
        <f t="shared" si="3"/>
        <v>Unique</v>
      </c>
    </row>
    <row r="80" spans="1:15" ht="15" thickBot="1" x14ac:dyDescent="0.4">
      <c r="A80" t="s">
        <v>52</v>
      </c>
      <c r="B80" t="s">
        <v>29</v>
      </c>
      <c r="C80" t="s">
        <v>12</v>
      </c>
      <c r="D80">
        <v>3</v>
      </c>
      <c r="E80">
        <v>4710</v>
      </c>
      <c r="F80">
        <f t="shared" si="2"/>
        <v>-4.5205757145753092</v>
      </c>
      <c r="G80" s="12" t="s">
        <v>164</v>
      </c>
      <c r="H80" s="14">
        <v>4933</v>
      </c>
      <c r="I80" t="s">
        <v>9</v>
      </c>
      <c r="O80" t="str">
        <f t="shared" si="3"/>
        <v>Unique</v>
      </c>
    </row>
    <row r="81" spans="1:15" ht="15" thickBot="1" x14ac:dyDescent="0.4">
      <c r="A81" s="1">
        <v>46233.688194444447</v>
      </c>
      <c r="B81" s="2" t="s">
        <v>92</v>
      </c>
      <c r="C81" s="2" t="s">
        <v>12</v>
      </c>
      <c r="D81" s="3">
        <v>5</v>
      </c>
      <c r="E81" s="3">
        <v>702</v>
      </c>
      <c r="F81">
        <f t="shared" si="2"/>
        <v>-4.4897959183673466</v>
      </c>
      <c r="G81" s="12" t="s">
        <v>199</v>
      </c>
      <c r="H81" s="14">
        <v>735</v>
      </c>
      <c r="I81" s="2" t="s">
        <v>9</v>
      </c>
      <c r="O81" t="str">
        <f t="shared" si="3"/>
        <v>Unique</v>
      </c>
    </row>
    <row r="82" spans="1:15" ht="15" thickBot="1" x14ac:dyDescent="0.4">
      <c r="A82" t="s">
        <v>44</v>
      </c>
      <c r="B82" t="s">
        <v>7</v>
      </c>
      <c r="C82" t="s">
        <v>12</v>
      </c>
      <c r="D82">
        <v>100</v>
      </c>
      <c r="E82">
        <v>340.2</v>
      </c>
      <c r="F82">
        <f t="shared" si="2"/>
        <v>-4.4650379106992508</v>
      </c>
      <c r="G82" s="12" t="s">
        <v>154</v>
      </c>
      <c r="H82" s="14">
        <v>356.1</v>
      </c>
      <c r="I82" t="s">
        <v>9</v>
      </c>
      <c r="O82" t="str">
        <f t="shared" si="3"/>
        <v>Unique</v>
      </c>
    </row>
    <row r="83" spans="1:15" ht="15" thickBot="1" x14ac:dyDescent="0.4">
      <c r="A83" t="s">
        <v>77</v>
      </c>
      <c r="B83" t="s">
        <v>78</v>
      </c>
      <c r="C83" t="s">
        <v>12</v>
      </c>
      <c r="D83">
        <v>1</v>
      </c>
      <c r="E83">
        <v>13552</v>
      </c>
      <c r="F83">
        <f t="shared" si="2"/>
        <v>-4.2937853107344628</v>
      </c>
      <c r="G83" s="12" t="s">
        <v>188</v>
      </c>
      <c r="H83" s="14">
        <v>14160</v>
      </c>
      <c r="I83" t="s">
        <v>9</v>
      </c>
      <c r="O83" t="str">
        <f t="shared" si="3"/>
        <v>Unique</v>
      </c>
    </row>
    <row r="84" spans="1:15" ht="15" thickBot="1" x14ac:dyDescent="0.4">
      <c r="A84" t="s">
        <v>64</v>
      </c>
      <c r="B84" t="s">
        <v>94</v>
      </c>
      <c r="C84" t="s">
        <v>12</v>
      </c>
      <c r="D84">
        <v>3</v>
      </c>
      <c r="E84">
        <v>3310</v>
      </c>
      <c r="F84">
        <f t="shared" si="2"/>
        <v>-4.2550114257614746</v>
      </c>
      <c r="G84" s="12" t="s">
        <v>201</v>
      </c>
      <c r="H84" s="14">
        <v>3457.1</v>
      </c>
      <c r="I84" t="s">
        <v>9</v>
      </c>
      <c r="O84" t="str">
        <f t="shared" si="3"/>
        <v>Unique</v>
      </c>
    </row>
    <row r="85" spans="1:15" ht="15" thickBot="1" x14ac:dyDescent="0.4">
      <c r="A85" t="s">
        <v>40</v>
      </c>
      <c r="B85" t="s">
        <v>22</v>
      </c>
      <c r="C85" t="s">
        <v>12</v>
      </c>
      <c r="D85">
        <v>40</v>
      </c>
      <c r="E85">
        <v>426</v>
      </c>
      <c r="F85">
        <f t="shared" si="2"/>
        <v>-4.2373833876587668</v>
      </c>
      <c r="G85" s="12" t="s">
        <v>159</v>
      </c>
      <c r="H85" s="14">
        <v>444.85</v>
      </c>
      <c r="I85" t="s">
        <v>9</v>
      </c>
      <c r="O85" t="str">
        <f t="shared" si="3"/>
        <v>Unique</v>
      </c>
    </row>
    <row r="86" spans="1:15" ht="15" thickBot="1" x14ac:dyDescent="0.4">
      <c r="A86" t="s">
        <v>64</v>
      </c>
      <c r="B86" t="s">
        <v>93</v>
      </c>
      <c r="C86" t="s">
        <v>12</v>
      </c>
      <c r="D86">
        <v>8</v>
      </c>
      <c r="E86">
        <v>2352</v>
      </c>
      <c r="F86">
        <f t="shared" si="2"/>
        <v>-4.1955193482688387</v>
      </c>
      <c r="G86" s="12" t="s">
        <v>200</v>
      </c>
      <c r="H86" s="14">
        <v>2455</v>
      </c>
      <c r="I86" t="s">
        <v>9</v>
      </c>
      <c r="O86" t="str">
        <f t="shared" si="3"/>
        <v>Unique</v>
      </c>
    </row>
    <row r="87" spans="1:15" ht="15" thickBot="1" x14ac:dyDescent="0.4">
      <c r="A87" t="s">
        <v>82</v>
      </c>
      <c r="B87" t="s">
        <v>83</v>
      </c>
      <c r="C87" t="s">
        <v>12</v>
      </c>
      <c r="D87">
        <v>40</v>
      </c>
      <c r="E87">
        <v>897</v>
      </c>
      <c r="F87">
        <f t="shared" si="2"/>
        <v>-4.1666666666666661</v>
      </c>
      <c r="G87" s="12" t="s">
        <v>192</v>
      </c>
      <c r="H87" s="14">
        <v>936</v>
      </c>
      <c r="I87" t="s">
        <v>9</v>
      </c>
      <c r="O87" t="str">
        <f t="shared" si="3"/>
        <v>Unique</v>
      </c>
    </row>
    <row r="88" spans="1:15" ht="15" thickBot="1" x14ac:dyDescent="0.4">
      <c r="A88" t="s">
        <v>69</v>
      </c>
      <c r="B88" t="s">
        <v>80</v>
      </c>
      <c r="C88" t="s">
        <v>12</v>
      </c>
      <c r="D88">
        <v>69</v>
      </c>
      <c r="E88">
        <v>1277</v>
      </c>
      <c r="F88">
        <f t="shared" si="2"/>
        <v>-3.9849624060150379</v>
      </c>
      <c r="G88" s="12" t="s">
        <v>190</v>
      </c>
      <c r="H88" s="14">
        <v>1330</v>
      </c>
      <c r="I88" t="s">
        <v>9</v>
      </c>
      <c r="O88" t="str">
        <f t="shared" si="3"/>
        <v>Unique</v>
      </c>
    </row>
    <row r="89" spans="1:15" ht="15" thickBot="1" x14ac:dyDescent="0.4">
      <c r="A89" t="s">
        <v>17</v>
      </c>
      <c r="B89" t="s">
        <v>16</v>
      </c>
      <c r="C89" t="s">
        <v>12</v>
      </c>
      <c r="D89">
        <v>5</v>
      </c>
      <c r="E89">
        <v>2490</v>
      </c>
      <c r="F89">
        <f t="shared" si="2"/>
        <v>-3.9759361382129468</v>
      </c>
      <c r="G89" s="12" t="s">
        <v>157</v>
      </c>
      <c r="H89" s="14">
        <v>2593.1</v>
      </c>
      <c r="I89" t="s">
        <v>9</v>
      </c>
      <c r="O89" t="str">
        <f t="shared" si="3"/>
        <v>Unique</v>
      </c>
    </row>
    <row r="90" spans="1:15" ht="15" thickBot="1" x14ac:dyDescent="0.4">
      <c r="A90" s="1">
        <v>46238.64472222222</v>
      </c>
      <c r="B90" s="2" t="s">
        <v>87</v>
      </c>
      <c r="C90" s="2" t="s">
        <v>12</v>
      </c>
      <c r="D90" s="3">
        <v>5</v>
      </c>
      <c r="E90" s="3">
        <v>3888</v>
      </c>
      <c r="F90">
        <f t="shared" si="2"/>
        <v>-3.7623762376237622</v>
      </c>
      <c r="G90" s="12" t="s">
        <v>195</v>
      </c>
      <c r="H90" s="14">
        <v>4040</v>
      </c>
      <c r="I90" s="2" t="s">
        <v>9</v>
      </c>
      <c r="O90" t="str">
        <f t="shared" si="3"/>
        <v>Unique</v>
      </c>
    </row>
    <row r="91" spans="1:15" ht="15" thickBot="1" x14ac:dyDescent="0.4">
      <c r="A91" t="s">
        <v>25</v>
      </c>
      <c r="B91" t="s">
        <v>14</v>
      </c>
      <c r="C91" t="s">
        <v>12</v>
      </c>
      <c r="D91">
        <v>50</v>
      </c>
      <c r="E91">
        <v>212</v>
      </c>
      <c r="F91">
        <f t="shared" si="2"/>
        <v>-3.7282593887652733</v>
      </c>
      <c r="G91" s="12" t="s">
        <v>156</v>
      </c>
      <c r="H91" s="14">
        <v>220.21</v>
      </c>
      <c r="I91" t="s">
        <v>9</v>
      </c>
      <c r="O91" t="str">
        <f t="shared" si="3"/>
        <v>Unique</v>
      </c>
    </row>
    <row r="92" spans="1:15" ht="15" thickBot="1" x14ac:dyDescent="0.4">
      <c r="A92" t="s">
        <v>117</v>
      </c>
      <c r="B92" t="s">
        <v>79</v>
      </c>
      <c r="C92" t="s">
        <v>12</v>
      </c>
      <c r="D92">
        <v>5</v>
      </c>
      <c r="E92">
        <v>1132</v>
      </c>
      <c r="F92">
        <f t="shared" si="2"/>
        <v>-3.6431733060946505</v>
      </c>
      <c r="G92" s="12" t="s">
        <v>189</v>
      </c>
      <c r="H92" s="14">
        <v>1174.8</v>
      </c>
      <c r="I92" t="s">
        <v>9</v>
      </c>
      <c r="O92" t="str">
        <f t="shared" si="3"/>
        <v>Unique</v>
      </c>
    </row>
    <row r="93" spans="1:15" ht="15" thickBot="1" x14ac:dyDescent="0.4">
      <c r="A93" t="s">
        <v>64</v>
      </c>
      <c r="B93" t="s">
        <v>65</v>
      </c>
      <c r="C93" t="s">
        <v>12</v>
      </c>
      <c r="D93">
        <v>5</v>
      </c>
      <c r="E93">
        <v>2888</v>
      </c>
      <c r="F93">
        <f t="shared" si="2"/>
        <v>-3.6176745427846781</v>
      </c>
      <c r="G93" s="12" t="s">
        <v>180</v>
      </c>
      <c r="H93" s="14">
        <v>2996.4</v>
      </c>
      <c r="I93" t="s">
        <v>9</v>
      </c>
      <c r="O93" t="str">
        <f t="shared" si="3"/>
        <v>Unique</v>
      </c>
    </row>
    <row r="94" spans="1:15" ht="15" thickBot="1" x14ac:dyDescent="0.4">
      <c r="A94" t="s">
        <v>60</v>
      </c>
      <c r="B94" t="s">
        <v>86</v>
      </c>
      <c r="C94" t="s">
        <v>12</v>
      </c>
      <c r="D94">
        <v>2</v>
      </c>
      <c r="E94">
        <v>2460</v>
      </c>
      <c r="F94">
        <f t="shared" si="2"/>
        <v>-3.5672285378283028</v>
      </c>
      <c r="G94" s="12" t="s">
        <v>194</v>
      </c>
      <c r="H94" s="14">
        <v>2551</v>
      </c>
      <c r="I94" t="s">
        <v>9</v>
      </c>
      <c r="O94" t="str">
        <f t="shared" si="3"/>
        <v>Unique</v>
      </c>
    </row>
    <row r="95" spans="1:15" ht="15" thickBot="1" x14ac:dyDescent="0.4">
      <c r="A95" t="s">
        <v>60</v>
      </c>
      <c r="B95" t="s">
        <v>73</v>
      </c>
      <c r="C95" t="s">
        <v>12</v>
      </c>
      <c r="D95">
        <v>10</v>
      </c>
      <c r="E95">
        <v>1166</v>
      </c>
      <c r="F95">
        <f t="shared" si="2"/>
        <v>-3.5007862285856124</v>
      </c>
      <c r="G95" s="12" t="s">
        <v>184</v>
      </c>
      <c r="H95" s="14">
        <v>1208.3</v>
      </c>
      <c r="I95" t="s">
        <v>9</v>
      </c>
      <c r="O95" t="str">
        <f t="shared" si="3"/>
        <v>Unique</v>
      </c>
    </row>
    <row r="96" spans="1:15" ht="15" thickBot="1" x14ac:dyDescent="0.4">
      <c r="A96" t="s">
        <v>69</v>
      </c>
      <c r="B96" t="s">
        <v>74</v>
      </c>
      <c r="C96" t="s">
        <v>12</v>
      </c>
      <c r="D96">
        <v>50</v>
      </c>
      <c r="E96">
        <v>850</v>
      </c>
      <c r="F96">
        <f t="shared" si="2"/>
        <v>-3.4090909090909087</v>
      </c>
      <c r="G96" s="12" t="s">
        <v>185</v>
      </c>
      <c r="H96" s="14">
        <v>880</v>
      </c>
      <c r="I96" t="s">
        <v>9</v>
      </c>
      <c r="O96" t="str">
        <f t="shared" si="3"/>
        <v>Unique</v>
      </c>
    </row>
    <row r="97" spans="1:15" ht="15" thickBot="1" x14ac:dyDescent="0.4">
      <c r="A97" t="s">
        <v>109</v>
      </c>
      <c r="B97" t="s">
        <v>7</v>
      </c>
      <c r="C97" t="s">
        <v>12</v>
      </c>
      <c r="D97">
        <v>50</v>
      </c>
      <c r="E97">
        <v>344</v>
      </c>
      <c r="F97">
        <f t="shared" si="2"/>
        <v>-3.3979219320415677</v>
      </c>
      <c r="G97" s="12" t="s">
        <v>154</v>
      </c>
      <c r="H97" s="14">
        <v>356.1</v>
      </c>
      <c r="I97" t="s">
        <v>9</v>
      </c>
      <c r="O97" t="str">
        <f t="shared" si="3"/>
        <v>Unique</v>
      </c>
    </row>
    <row r="98" spans="1:15" ht="15" thickBot="1" x14ac:dyDescent="0.4">
      <c r="A98" t="s">
        <v>35</v>
      </c>
      <c r="B98" t="s">
        <v>27</v>
      </c>
      <c r="C98" t="s">
        <v>12</v>
      </c>
      <c r="D98">
        <v>5</v>
      </c>
      <c r="E98">
        <v>660</v>
      </c>
      <c r="F98">
        <f t="shared" si="2"/>
        <v>-3.3674963396778916</v>
      </c>
      <c r="G98" s="12" t="s">
        <v>162</v>
      </c>
      <c r="H98" s="14">
        <v>683</v>
      </c>
      <c r="I98" t="s">
        <v>9</v>
      </c>
      <c r="O98" t="str">
        <f t="shared" si="3"/>
        <v>Unique</v>
      </c>
    </row>
    <row r="99" spans="1:15" ht="15" thickBot="1" x14ac:dyDescent="0.4">
      <c r="A99" s="1">
        <v>46238.63554398148</v>
      </c>
      <c r="B99" s="2" t="s">
        <v>88</v>
      </c>
      <c r="C99" s="2" t="s">
        <v>12</v>
      </c>
      <c r="D99" s="3">
        <v>2</v>
      </c>
      <c r="E99" s="3">
        <v>2552</v>
      </c>
      <c r="F99">
        <f t="shared" si="2"/>
        <v>-3.2600454890068233</v>
      </c>
      <c r="G99" s="12" t="s">
        <v>196</v>
      </c>
      <c r="H99" s="14">
        <v>2638</v>
      </c>
      <c r="I99" s="2" t="s">
        <v>9</v>
      </c>
      <c r="O99" t="str">
        <f t="shared" si="3"/>
        <v>Unique</v>
      </c>
    </row>
    <row r="100" spans="1:15" ht="15" thickBot="1" x14ac:dyDescent="0.4">
      <c r="A100" t="s">
        <v>67</v>
      </c>
      <c r="B100" t="s">
        <v>81</v>
      </c>
      <c r="C100" t="s">
        <v>12</v>
      </c>
      <c r="D100">
        <v>10</v>
      </c>
      <c r="E100">
        <v>1251</v>
      </c>
      <c r="F100">
        <f t="shared" si="2"/>
        <v>-3.2482598607888629</v>
      </c>
      <c r="G100" s="12" t="s">
        <v>191</v>
      </c>
      <c r="H100" s="14">
        <v>1293</v>
      </c>
      <c r="I100" t="s">
        <v>9</v>
      </c>
      <c r="O100" t="str">
        <f t="shared" si="3"/>
        <v>Unique</v>
      </c>
    </row>
    <row r="101" spans="1:15" ht="15" thickBot="1" x14ac:dyDescent="0.4">
      <c r="A101" t="s">
        <v>89</v>
      </c>
      <c r="B101" t="s">
        <v>72</v>
      </c>
      <c r="C101" t="s">
        <v>12</v>
      </c>
      <c r="D101">
        <v>1</v>
      </c>
      <c r="E101">
        <v>18052</v>
      </c>
      <c r="F101">
        <f t="shared" si="2"/>
        <v>-3.2064343163538873</v>
      </c>
      <c r="G101" s="12" t="s">
        <v>183</v>
      </c>
      <c r="H101" s="14">
        <v>18650</v>
      </c>
      <c r="I101" t="s">
        <v>9</v>
      </c>
      <c r="O101" t="str">
        <f t="shared" si="3"/>
        <v>Unique</v>
      </c>
    </row>
    <row r="102" spans="1:15" ht="15" thickBot="1" x14ac:dyDescent="0.4">
      <c r="A102" t="s">
        <v>39</v>
      </c>
      <c r="B102" t="s">
        <v>16</v>
      </c>
      <c r="C102" t="s">
        <v>12</v>
      </c>
      <c r="D102">
        <v>5</v>
      </c>
      <c r="E102">
        <v>2510</v>
      </c>
      <c r="F102">
        <f t="shared" si="2"/>
        <v>-3.2046585168331312</v>
      </c>
      <c r="G102" s="12" t="s">
        <v>157</v>
      </c>
      <c r="H102" s="14">
        <v>2593.1</v>
      </c>
      <c r="I102" t="s">
        <v>9</v>
      </c>
      <c r="O102" t="str">
        <f t="shared" si="3"/>
        <v>Unique</v>
      </c>
    </row>
    <row r="103" spans="1:15" ht="15" thickBot="1" x14ac:dyDescent="0.4">
      <c r="A103" s="1">
        <v>46237.635567129626</v>
      </c>
      <c r="B103" s="2" t="s">
        <v>92</v>
      </c>
      <c r="C103" s="2" t="s">
        <v>12</v>
      </c>
      <c r="D103" s="3">
        <v>5</v>
      </c>
      <c r="E103" s="3">
        <v>712</v>
      </c>
      <c r="F103">
        <f t="shared" si="2"/>
        <v>-3.1292517006802725</v>
      </c>
      <c r="G103" s="12" t="s">
        <v>199</v>
      </c>
      <c r="H103" s="14">
        <v>735</v>
      </c>
      <c r="I103" s="2" t="s">
        <v>9</v>
      </c>
      <c r="O103" t="str">
        <f t="shared" si="3"/>
        <v>Unique</v>
      </c>
    </row>
    <row r="104" spans="1:15" ht="15" thickBot="1" x14ac:dyDescent="0.4">
      <c r="A104" t="s">
        <v>64</v>
      </c>
      <c r="B104" t="s">
        <v>75</v>
      </c>
      <c r="C104" t="s">
        <v>12</v>
      </c>
      <c r="D104">
        <v>1</v>
      </c>
      <c r="E104">
        <v>4306</v>
      </c>
      <c r="F104">
        <f t="shared" si="2"/>
        <v>-3.039855888313443</v>
      </c>
      <c r="G104" s="12" t="s">
        <v>186</v>
      </c>
      <c r="H104" s="14">
        <v>4441</v>
      </c>
      <c r="I104" t="s">
        <v>9</v>
      </c>
      <c r="O104" t="str">
        <f t="shared" si="3"/>
        <v>Unique</v>
      </c>
    </row>
    <row r="105" spans="1:15" ht="15" thickBot="1" x14ac:dyDescent="0.4">
      <c r="A105" t="s">
        <v>67</v>
      </c>
      <c r="B105" t="s">
        <v>90</v>
      </c>
      <c r="C105" t="s">
        <v>12</v>
      </c>
      <c r="D105">
        <v>100</v>
      </c>
      <c r="E105">
        <v>390</v>
      </c>
      <c r="F105">
        <f t="shared" si="2"/>
        <v>-2.9850746268656714</v>
      </c>
      <c r="G105" s="12" t="s">
        <v>197</v>
      </c>
      <c r="H105" s="14">
        <v>402</v>
      </c>
      <c r="I105" t="s">
        <v>9</v>
      </c>
      <c r="O105" t="str">
        <f t="shared" si="3"/>
        <v>Unique</v>
      </c>
    </row>
    <row r="106" spans="1:15" ht="15" thickBot="1" x14ac:dyDescent="0.4">
      <c r="A106" t="s">
        <v>71</v>
      </c>
      <c r="B106" t="s">
        <v>88</v>
      </c>
      <c r="C106" t="s">
        <v>12</v>
      </c>
      <c r="D106">
        <v>2</v>
      </c>
      <c r="E106">
        <v>2560</v>
      </c>
      <c r="F106">
        <f t="shared" si="2"/>
        <v>-2.9567854435178167</v>
      </c>
      <c r="G106" s="12" t="s">
        <v>196</v>
      </c>
      <c r="H106" s="14">
        <v>2638</v>
      </c>
      <c r="I106" t="s">
        <v>9</v>
      </c>
      <c r="O106" t="str">
        <f t="shared" si="3"/>
        <v>Unique</v>
      </c>
    </row>
    <row r="107" spans="1:15" ht="15" thickBot="1" x14ac:dyDescent="0.4">
      <c r="A107" t="s">
        <v>13</v>
      </c>
      <c r="B107" t="s">
        <v>14</v>
      </c>
      <c r="C107" t="s">
        <v>12</v>
      </c>
      <c r="D107">
        <v>150</v>
      </c>
      <c r="E107">
        <v>214</v>
      </c>
      <c r="F107">
        <f t="shared" si="2"/>
        <v>-2.8200354207347567</v>
      </c>
      <c r="G107" s="12" t="s">
        <v>156</v>
      </c>
      <c r="H107" s="14">
        <v>220.21</v>
      </c>
      <c r="I107" t="s">
        <v>9</v>
      </c>
      <c r="O107" t="str">
        <f t="shared" si="3"/>
        <v>Unique</v>
      </c>
    </row>
    <row r="108" spans="1:15" ht="15" thickBot="1" x14ac:dyDescent="0.4">
      <c r="A108" t="s">
        <v>42</v>
      </c>
      <c r="B108" t="s">
        <v>43</v>
      </c>
      <c r="C108" t="s">
        <v>12</v>
      </c>
      <c r="D108">
        <v>10</v>
      </c>
      <c r="E108">
        <v>1666</v>
      </c>
      <c r="F108">
        <f t="shared" si="2"/>
        <v>-2.8004667444574096</v>
      </c>
      <c r="G108" s="12" t="s">
        <v>172</v>
      </c>
      <c r="H108" s="14">
        <v>1714</v>
      </c>
      <c r="I108" t="s">
        <v>9</v>
      </c>
      <c r="O108" t="str">
        <f t="shared" si="3"/>
        <v>Unique</v>
      </c>
    </row>
    <row r="109" spans="1:15" ht="15" thickBot="1" x14ac:dyDescent="0.4">
      <c r="A109" t="s">
        <v>66</v>
      </c>
      <c r="B109" t="s">
        <v>79</v>
      </c>
      <c r="C109" t="s">
        <v>12</v>
      </c>
      <c r="D109">
        <v>5</v>
      </c>
      <c r="E109">
        <v>1142</v>
      </c>
      <c r="F109">
        <f t="shared" si="2"/>
        <v>-2.791964589717395</v>
      </c>
      <c r="G109" s="12" t="s">
        <v>189</v>
      </c>
      <c r="H109" s="14">
        <v>1174.8</v>
      </c>
      <c r="I109" t="s">
        <v>9</v>
      </c>
      <c r="O109" t="str">
        <f t="shared" si="3"/>
        <v>Unique</v>
      </c>
    </row>
    <row r="110" spans="1:15" ht="15" thickBot="1" x14ac:dyDescent="0.4">
      <c r="A110" t="s">
        <v>119</v>
      </c>
      <c r="B110" t="s">
        <v>31</v>
      </c>
      <c r="C110" t="s">
        <v>12</v>
      </c>
      <c r="D110">
        <v>5</v>
      </c>
      <c r="E110">
        <v>560</v>
      </c>
      <c r="F110">
        <f t="shared" si="2"/>
        <v>-2.684855330610834</v>
      </c>
      <c r="G110" s="12" t="s">
        <v>166</v>
      </c>
      <c r="H110" s="14">
        <v>575.45000000000005</v>
      </c>
      <c r="I110" t="s">
        <v>9</v>
      </c>
      <c r="O110" t="str">
        <f t="shared" si="3"/>
        <v>Unique</v>
      </c>
    </row>
    <row r="111" spans="1:15" ht="15" thickBot="1" x14ac:dyDescent="0.4">
      <c r="A111" t="s">
        <v>62</v>
      </c>
      <c r="B111" t="s">
        <v>76</v>
      </c>
      <c r="C111" t="s">
        <v>12</v>
      </c>
      <c r="D111">
        <v>25</v>
      </c>
      <c r="E111">
        <v>764</v>
      </c>
      <c r="F111">
        <f t="shared" si="2"/>
        <v>-2.6751592356687901</v>
      </c>
      <c r="G111" s="12" t="s">
        <v>187</v>
      </c>
      <c r="H111" s="14">
        <v>785</v>
      </c>
      <c r="I111" t="s">
        <v>9</v>
      </c>
      <c r="O111" t="str">
        <f t="shared" si="3"/>
        <v>Unique</v>
      </c>
    </row>
    <row r="112" spans="1:15" ht="15" thickBot="1" x14ac:dyDescent="0.4">
      <c r="A112" t="s">
        <v>18</v>
      </c>
      <c r="B112" t="s">
        <v>19</v>
      </c>
      <c r="C112" t="s">
        <v>12</v>
      </c>
      <c r="D112">
        <v>20</v>
      </c>
      <c r="E112">
        <v>296</v>
      </c>
      <c r="F112">
        <f t="shared" si="2"/>
        <v>-2.5995393221454353</v>
      </c>
      <c r="G112" s="12" t="s">
        <v>158</v>
      </c>
      <c r="H112" s="14">
        <v>303.89999999999998</v>
      </c>
      <c r="I112" t="s">
        <v>9</v>
      </c>
      <c r="O112" t="str">
        <f t="shared" si="3"/>
        <v>Unique</v>
      </c>
    </row>
    <row r="113" spans="1:15" ht="15" thickBot="1" x14ac:dyDescent="0.4">
      <c r="A113" t="s">
        <v>58</v>
      </c>
      <c r="B113" t="s">
        <v>81</v>
      </c>
      <c r="C113" t="s">
        <v>12</v>
      </c>
      <c r="D113">
        <v>10</v>
      </c>
      <c r="E113">
        <v>1260</v>
      </c>
      <c r="F113">
        <f t="shared" si="2"/>
        <v>-2.5522041763341066</v>
      </c>
      <c r="G113" s="12" t="s">
        <v>191</v>
      </c>
      <c r="H113" s="14">
        <v>1293</v>
      </c>
      <c r="I113" t="s">
        <v>9</v>
      </c>
      <c r="O113" t="str">
        <f t="shared" si="3"/>
        <v>Unique</v>
      </c>
    </row>
    <row r="114" spans="1:15" ht="15" thickBot="1" x14ac:dyDescent="0.4">
      <c r="A114" t="s">
        <v>46</v>
      </c>
      <c r="B114" t="s">
        <v>47</v>
      </c>
      <c r="C114" t="s">
        <v>12</v>
      </c>
      <c r="D114">
        <v>150</v>
      </c>
      <c r="E114">
        <v>128</v>
      </c>
      <c r="F114">
        <f t="shared" si="2"/>
        <v>-2.5504377617053633</v>
      </c>
      <c r="G114" s="12" t="s">
        <v>173</v>
      </c>
      <c r="H114" s="14">
        <v>131.35</v>
      </c>
      <c r="I114" t="s">
        <v>9</v>
      </c>
      <c r="O114" t="str">
        <f t="shared" si="3"/>
        <v>Unique</v>
      </c>
    </row>
    <row r="115" spans="1:15" ht="15" thickBot="1" x14ac:dyDescent="0.4">
      <c r="A115" t="s">
        <v>84</v>
      </c>
      <c r="B115" t="s">
        <v>87</v>
      </c>
      <c r="C115" t="s">
        <v>12</v>
      </c>
      <c r="D115">
        <v>5</v>
      </c>
      <c r="E115">
        <v>3938</v>
      </c>
      <c r="F115">
        <f t="shared" si="2"/>
        <v>-2.5247524752475248</v>
      </c>
      <c r="G115" s="12" t="s">
        <v>195</v>
      </c>
      <c r="H115" s="14">
        <v>4040</v>
      </c>
      <c r="I115" t="s">
        <v>9</v>
      </c>
      <c r="O115" t="str">
        <f t="shared" si="3"/>
        <v>Unique</v>
      </c>
    </row>
    <row r="116" spans="1:15" ht="15" thickBot="1" x14ac:dyDescent="0.4">
      <c r="A116" t="s">
        <v>84</v>
      </c>
      <c r="B116" t="s">
        <v>85</v>
      </c>
      <c r="C116" t="s">
        <v>12</v>
      </c>
      <c r="D116">
        <v>200</v>
      </c>
      <c r="E116">
        <v>227.5</v>
      </c>
      <c r="F116">
        <f t="shared" si="2"/>
        <v>-2.519496100779842</v>
      </c>
      <c r="G116" s="12" t="s">
        <v>193</v>
      </c>
      <c r="H116" s="14">
        <v>233.38</v>
      </c>
      <c r="I116" t="s">
        <v>9</v>
      </c>
      <c r="O116" t="str">
        <f t="shared" si="3"/>
        <v>Unique</v>
      </c>
    </row>
    <row r="117" spans="1:15" ht="15" thickBot="1" x14ac:dyDescent="0.4">
      <c r="A117" t="s">
        <v>45</v>
      </c>
      <c r="B117" t="s">
        <v>7</v>
      </c>
      <c r="C117" t="s">
        <v>12</v>
      </c>
      <c r="D117">
        <v>50</v>
      </c>
      <c r="E117">
        <v>348</v>
      </c>
      <c r="F117">
        <f t="shared" si="2"/>
        <v>-2.2746419545071674</v>
      </c>
      <c r="G117" s="12" t="s">
        <v>154</v>
      </c>
      <c r="H117" s="14">
        <v>356.1</v>
      </c>
      <c r="I117" t="s">
        <v>9</v>
      </c>
      <c r="O117" t="str">
        <f t="shared" si="3"/>
        <v>Unique</v>
      </c>
    </row>
    <row r="118" spans="1:15" ht="15" thickBot="1" x14ac:dyDescent="0.4">
      <c r="A118" t="s">
        <v>84</v>
      </c>
      <c r="B118" t="s">
        <v>87</v>
      </c>
      <c r="C118" t="s">
        <v>12</v>
      </c>
      <c r="D118">
        <v>10</v>
      </c>
      <c r="E118">
        <v>3950</v>
      </c>
      <c r="F118">
        <f t="shared" si="2"/>
        <v>-2.2277227722772275</v>
      </c>
      <c r="G118" s="12" t="s">
        <v>195</v>
      </c>
      <c r="H118" s="14">
        <v>4040</v>
      </c>
      <c r="I118" t="s">
        <v>9</v>
      </c>
      <c r="O118" t="str">
        <f t="shared" si="3"/>
        <v>Unique</v>
      </c>
    </row>
    <row r="119" spans="1:15" ht="15" thickBot="1" x14ac:dyDescent="0.4">
      <c r="A119" t="s">
        <v>71</v>
      </c>
      <c r="B119" t="s">
        <v>80</v>
      </c>
      <c r="C119" t="s">
        <v>12</v>
      </c>
      <c r="D119">
        <v>3</v>
      </c>
      <c r="E119">
        <v>1302</v>
      </c>
      <c r="F119">
        <f t="shared" si="2"/>
        <v>-2.1052631578947367</v>
      </c>
      <c r="G119" s="12" t="s">
        <v>190</v>
      </c>
      <c r="H119" s="14">
        <v>1330</v>
      </c>
      <c r="I119" t="s">
        <v>9</v>
      </c>
      <c r="O119" t="str">
        <f t="shared" si="3"/>
        <v>Unique</v>
      </c>
    </row>
    <row r="120" spans="1:15" ht="15" thickBot="1" x14ac:dyDescent="0.4">
      <c r="A120" t="s">
        <v>49</v>
      </c>
      <c r="B120" t="s">
        <v>16</v>
      </c>
      <c r="C120" t="s">
        <v>12</v>
      </c>
      <c r="D120">
        <v>5</v>
      </c>
      <c r="E120">
        <v>2540</v>
      </c>
      <c r="F120">
        <f t="shared" si="2"/>
        <v>-2.0477420847634069</v>
      </c>
      <c r="G120" s="12" t="s">
        <v>157</v>
      </c>
      <c r="H120" s="14">
        <v>2593.1</v>
      </c>
      <c r="I120" t="s">
        <v>9</v>
      </c>
      <c r="O120" t="str">
        <f t="shared" si="3"/>
        <v>Unique</v>
      </c>
    </row>
    <row r="121" spans="1:15" ht="15" thickBot="1" x14ac:dyDescent="0.4">
      <c r="A121" t="s">
        <v>89</v>
      </c>
      <c r="B121" t="s">
        <v>83</v>
      </c>
      <c r="C121" t="s">
        <v>12</v>
      </c>
      <c r="D121">
        <v>20</v>
      </c>
      <c r="E121">
        <v>917</v>
      </c>
      <c r="F121">
        <f t="shared" si="2"/>
        <v>-2.0299145299145298</v>
      </c>
      <c r="G121" s="12" t="s">
        <v>192</v>
      </c>
      <c r="H121" s="14">
        <v>936</v>
      </c>
      <c r="I121" t="s">
        <v>9</v>
      </c>
      <c r="O121" t="str">
        <f t="shared" si="3"/>
        <v>Unique</v>
      </c>
    </row>
    <row r="122" spans="1:15" ht="15" thickBot="1" x14ac:dyDescent="0.4">
      <c r="A122" t="s">
        <v>21</v>
      </c>
      <c r="B122" t="s">
        <v>22</v>
      </c>
      <c r="C122" t="s">
        <v>12</v>
      </c>
      <c r="D122">
        <v>40</v>
      </c>
      <c r="E122">
        <v>436</v>
      </c>
      <c r="F122">
        <f t="shared" si="2"/>
        <v>-1.9894346408901926</v>
      </c>
      <c r="G122" s="12" t="s">
        <v>159</v>
      </c>
      <c r="H122" s="14">
        <v>444.85</v>
      </c>
      <c r="I122" t="s">
        <v>9</v>
      </c>
      <c r="O122" t="str">
        <f t="shared" si="3"/>
        <v>Unique</v>
      </c>
    </row>
    <row r="123" spans="1:15" ht="15" thickBot="1" x14ac:dyDescent="0.4">
      <c r="A123" t="s">
        <v>66</v>
      </c>
      <c r="B123" t="s">
        <v>65</v>
      </c>
      <c r="C123" t="s">
        <v>12</v>
      </c>
      <c r="D123">
        <v>5</v>
      </c>
      <c r="E123">
        <v>2938</v>
      </c>
      <c r="F123">
        <f t="shared" si="2"/>
        <v>-1.949005473234551</v>
      </c>
      <c r="G123" s="12" t="s">
        <v>180</v>
      </c>
      <c r="H123" s="14">
        <v>2996.4</v>
      </c>
      <c r="I123" t="s">
        <v>9</v>
      </c>
      <c r="O123" t="str">
        <f t="shared" si="3"/>
        <v>Unique</v>
      </c>
    </row>
    <row r="124" spans="1:15" ht="15" thickBot="1" x14ac:dyDescent="0.4">
      <c r="A124" t="s">
        <v>66</v>
      </c>
      <c r="B124" t="s">
        <v>79</v>
      </c>
      <c r="C124" t="s">
        <v>12</v>
      </c>
      <c r="D124">
        <v>5</v>
      </c>
      <c r="E124">
        <v>1152</v>
      </c>
      <c r="F124">
        <f t="shared" si="2"/>
        <v>-1.9407558733401393</v>
      </c>
      <c r="G124" s="12" t="s">
        <v>189</v>
      </c>
      <c r="H124" s="14">
        <v>1174.8</v>
      </c>
      <c r="I124" t="s">
        <v>9</v>
      </c>
      <c r="O124" t="str">
        <f t="shared" si="3"/>
        <v>Unique</v>
      </c>
    </row>
    <row r="125" spans="1:15" ht="15" thickBot="1" x14ac:dyDescent="0.4">
      <c r="A125" t="s">
        <v>50</v>
      </c>
      <c r="B125" t="s">
        <v>30</v>
      </c>
      <c r="C125" t="s">
        <v>12</v>
      </c>
      <c r="D125">
        <v>5</v>
      </c>
      <c r="E125">
        <v>916</v>
      </c>
      <c r="F125">
        <f t="shared" si="2"/>
        <v>-1.9271948608137044</v>
      </c>
      <c r="G125" s="12" t="s">
        <v>165</v>
      </c>
      <c r="H125" s="14">
        <v>934</v>
      </c>
      <c r="I125" t="s">
        <v>9</v>
      </c>
      <c r="O125" t="str">
        <f t="shared" si="3"/>
        <v>Unique</v>
      </c>
    </row>
    <row r="126" spans="1:15" ht="15" thickBot="1" x14ac:dyDescent="0.4">
      <c r="A126" t="s">
        <v>58</v>
      </c>
      <c r="B126" t="s">
        <v>59</v>
      </c>
      <c r="C126" t="s">
        <v>12</v>
      </c>
      <c r="D126">
        <v>2</v>
      </c>
      <c r="E126">
        <v>1076</v>
      </c>
      <c r="F126">
        <f t="shared" si="2"/>
        <v>-1.9143117593436645</v>
      </c>
      <c r="G126" s="12" t="s">
        <v>177</v>
      </c>
      <c r="H126" s="14">
        <v>1097</v>
      </c>
      <c r="I126" t="s">
        <v>9</v>
      </c>
      <c r="O126" t="str">
        <f t="shared" si="3"/>
        <v>Unique</v>
      </c>
    </row>
    <row r="127" spans="1:15" ht="15" thickBot="1" x14ac:dyDescent="0.4">
      <c r="A127" t="s">
        <v>137</v>
      </c>
      <c r="B127" t="s">
        <v>85</v>
      </c>
      <c r="C127" t="s">
        <v>12</v>
      </c>
      <c r="D127">
        <v>200</v>
      </c>
      <c r="E127">
        <v>229</v>
      </c>
      <c r="F127">
        <f t="shared" si="2"/>
        <v>-1.8767675036421267</v>
      </c>
      <c r="G127" s="12" t="s">
        <v>193</v>
      </c>
      <c r="H127" s="14">
        <v>233.38</v>
      </c>
      <c r="I127" t="s">
        <v>9</v>
      </c>
      <c r="O127" t="str">
        <f t="shared" si="3"/>
        <v>Unique</v>
      </c>
    </row>
    <row r="128" spans="1:15" ht="15" thickBot="1" x14ac:dyDescent="0.4">
      <c r="A128" t="s">
        <v>62</v>
      </c>
      <c r="B128" t="s">
        <v>73</v>
      </c>
      <c r="C128" t="s">
        <v>12</v>
      </c>
      <c r="D128">
        <v>5</v>
      </c>
      <c r="E128">
        <v>1188</v>
      </c>
      <c r="F128">
        <f t="shared" si="2"/>
        <v>-1.6800463461060959</v>
      </c>
      <c r="G128" s="12" t="s">
        <v>184</v>
      </c>
      <c r="H128" s="14">
        <v>1208.3</v>
      </c>
      <c r="I128" t="s">
        <v>9</v>
      </c>
      <c r="O128" t="str">
        <f t="shared" si="3"/>
        <v>Unique</v>
      </c>
    </row>
    <row r="129" spans="1:15" ht="15" thickBot="1" x14ac:dyDescent="0.4">
      <c r="A129" t="s">
        <v>71</v>
      </c>
      <c r="B129" t="s">
        <v>91</v>
      </c>
      <c r="C129" t="s">
        <v>12</v>
      </c>
      <c r="D129">
        <v>100</v>
      </c>
      <c r="E129">
        <v>87.3</v>
      </c>
      <c r="F129">
        <f t="shared" si="2"/>
        <v>-1.6338028169014116</v>
      </c>
      <c r="G129" s="12" t="s">
        <v>198</v>
      </c>
      <c r="H129" s="14">
        <v>88.75</v>
      </c>
      <c r="I129" t="s">
        <v>9</v>
      </c>
      <c r="O129" t="str">
        <f t="shared" si="3"/>
        <v>Unique</v>
      </c>
    </row>
    <row r="130" spans="1:15" ht="15" thickBot="1" x14ac:dyDescent="0.4">
      <c r="A130" t="s">
        <v>44</v>
      </c>
      <c r="B130" t="s">
        <v>48</v>
      </c>
      <c r="C130" t="s">
        <v>12</v>
      </c>
      <c r="D130">
        <v>50</v>
      </c>
      <c r="E130">
        <v>203.5</v>
      </c>
      <c r="F130">
        <f t="shared" ref="F130:F193" si="4">((E130-H130)/H130)*100</f>
        <v>-1.5957446808510694</v>
      </c>
      <c r="G130" s="12" t="s">
        <v>174</v>
      </c>
      <c r="H130" s="14">
        <v>206.8</v>
      </c>
      <c r="I130" t="s">
        <v>9</v>
      </c>
      <c r="O130" t="str">
        <f t="shared" ref="O130:O193" si="5">IF(COUNTIFS( $B$2:$B$973, B130, $C$2:$C$973, C130, $D$2:$D$973, D130, $E$2:$E$973, E130) &gt; 1, "Duplicate", "Unique")</f>
        <v>Unique</v>
      </c>
    </row>
    <row r="131" spans="1:15" ht="15" thickBot="1" x14ac:dyDescent="0.4">
      <c r="A131" t="s">
        <v>51</v>
      </c>
      <c r="B131" t="s">
        <v>16</v>
      </c>
      <c r="C131" t="s">
        <v>12</v>
      </c>
      <c r="D131">
        <v>10</v>
      </c>
      <c r="E131">
        <v>2552</v>
      </c>
      <c r="F131">
        <f t="shared" si="4"/>
        <v>-1.5849755119355178</v>
      </c>
      <c r="G131" s="12" t="s">
        <v>157</v>
      </c>
      <c r="H131" s="14">
        <v>2593.1</v>
      </c>
      <c r="I131" t="s">
        <v>9</v>
      </c>
      <c r="O131" t="str">
        <f t="shared" si="5"/>
        <v>Unique</v>
      </c>
    </row>
    <row r="132" spans="1:15" ht="15" thickBot="1" x14ac:dyDescent="0.4">
      <c r="A132" t="s">
        <v>62</v>
      </c>
      <c r="B132" t="s">
        <v>63</v>
      </c>
      <c r="C132" t="s">
        <v>12</v>
      </c>
      <c r="D132">
        <v>4</v>
      </c>
      <c r="E132">
        <v>1066</v>
      </c>
      <c r="F132">
        <f t="shared" si="4"/>
        <v>-1.405845357010733</v>
      </c>
      <c r="G132" s="12" t="s">
        <v>179</v>
      </c>
      <c r="H132" s="14">
        <v>1081.2</v>
      </c>
      <c r="I132" t="s">
        <v>9</v>
      </c>
      <c r="O132" t="str">
        <f t="shared" si="5"/>
        <v>Unique</v>
      </c>
    </row>
    <row r="133" spans="1:15" ht="15" thickBot="1" x14ac:dyDescent="0.4">
      <c r="A133" t="s">
        <v>89</v>
      </c>
      <c r="B133" t="s">
        <v>94</v>
      </c>
      <c r="C133" t="s">
        <v>12</v>
      </c>
      <c r="D133">
        <v>2</v>
      </c>
      <c r="E133">
        <v>3410</v>
      </c>
      <c r="F133">
        <f t="shared" si="4"/>
        <v>-1.362413583639464</v>
      </c>
      <c r="G133" s="12" t="s">
        <v>201</v>
      </c>
      <c r="H133" s="14">
        <v>3457.1</v>
      </c>
      <c r="I133" t="s">
        <v>9</v>
      </c>
      <c r="O133" t="str">
        <f t="shared" si="5"/>
        <v>Unique</v>
      </c>
    </row>
    <row r="134" spans="1:15" ht="15" thickBot="1" x14ac:dyDescent="0.4">
      <c r="A134" t="s">
        <v>82</v>
      </c>
      <c r="B134" t="s">
        <v>85</v>
      </c>
      <c r="C134" t="s">
        <v>12</v>
      </c>
      <c r="D134">
        <v>200</v>
      </c>
      <c r="E134">
        <v>230.5</v>
      </c>
      <c r="F134">
        <f t="shared" si="4"/>
        <v>-1.2340389065044115</v>
      </c>
      <c r="G134" s="12" t="s">
        <v>193</v>
      </c>
      <c r="H134" s="14">
        <v>233.38</v>
      </c>
      <c r="I134" t="s">
        <v>9</v>
      </c>
      <c r="O134" t="str">
        <f t="shared" si="5"/>
        <v>Unique</v>
      </c>
    </row>
    <row r="135" spans="1:15" ht="15" thickBot="1" x14ac:dyDescent="0.4">
      <c r="A135" t="s">
        <v>71</v>
      </c>
      <c r="B135" t="s">
        <v>92</v>
      </c>
      <c r="C135" t="s">
        <v>12</v>
      </c>
      <c r="D135">
        <v>5</v>
      </c>
      <c r="E135">
        <v>726</v>
      </c>
      <c r="F135">
        <f t="shared" si="4"/>
        <v>-1.2244897959183674</v>
      </c>
      <c r="G135" s="12" t="s">
        <v>199</v>
      </c>
      <c r="H135" s="14">
        <v>735</v>
      </c>
      <c r="I135" t="s">
        <v>9</v>
      </c>
      <c r="O135" t="str">
        <f t="shared" si="5"/>
        <v>Unique</v>
      </c>
    </row>
    <row r="136" spans="1:15" ht="15" thickBot="1" x14ac:dyDescent="0.4">
      <c r="A136" t="s">
        <v>128</v>
      </c>
      <c r="B136" t="s">
        <v>79</v>
      </c>
      <c r="C136" t="s">
        <v>12</v>
      </c>
      <c r="D136">
        <v>5</v>
      </c>
      <c r="E136">
        <v>1161</v>
      </c>
      <c r="F136">
        <f t="shared" si="4"/>
        <v>-1.174668028600609</v>
      </c>
      <c r="G136" s="12" t="s">
        <v>189</v>
      </c>
      <c r="H136" s="14">
        <v>1174.8</v>
      </c>
      <c r="I136" t="s">
        <v>9</v>
      </c>
      <c r="O136" t="str">
        <f t="shared" si="5"/>
        <v>Unique</v>
      </c>
    </row>
    <row r="137" spans="1:15" ht="15" thickBot="1" x14ac:dyDescent="0.4">
      <c r="A137" t="s">
        <v>50</v>
      </c>
      <c r="B137" t="s">
        <v>7</v>
      </c>
      <c r="C137" t="s">
        <v>12</v>
      </c>
      <c r="D137">
        <v>50</v>
      </c>
      <c r="E137">
        <v>352</v>
      </c>
      <c r="F137">
        <f t="shared" si="4"/>
        <v>-1.1513619769727668</v>
      </c>
      <c r="G137" s="12" t="s">
        <v>154</v>
      </c>
      <c r="H137" s="14">
        <v>356.1</v>
      </c>
      <c r="I137" t="s">
        <v>9</v>
      </c>
      <c r="O137" t="str">
        <f t="shared" si="5"/>
        <v>Unique</v>
      </c>
    </row>
    <row r="138" spans="1:15" ht="15" thickBot="1" x14ac:dyDescent="0.4">
      <c r="A138" t="s">
        <v>120</v>
      </c>
      <c r="B138" t="s">
        <v>31</v>
      </c>
      <c r="C138" t="s">
        <v>12</v>
      </c>
      <c r="D138">
        <v>5</v>
      </c>
      <c r="E138">
        <v>569</v>
      </c>
      <c r="F138">
        <f t="shared" si="4"/>
        <v>-1.1208619341385082</v>
      </c>
      <c r="G138" s="12" t="s">
        <v>166</v>
      </c>
      <c r="H138" s="14">
        <v>575.45000000000005</v>
      </c>
      <c r="I138" t="s">
        <v>9</v>
      </c>
      <c r="O138" t="str">
        <f t="shared" si="5"/>
        <v>Unique</v>
      </c>
    </row>
    <row r="139" spans="1:15" ht="15" thickBot="1" x14ac:dyDescent="0.4">
      <c r="A139" t="s">
        <v>66</v>
      </c>
      <c r="B139" t="s">
        <v>79</v>
      </c>
      <c r="C139" t="s">
        <v>12</v>
      </c>
      <c r="D139">
        <v>5</v>
      </c>
      <c r="E139">
        <v>1162</v>
      </c>
      <c r="F139">
        <f t="shared" si="4"/>
        <v>-1.0895471569628834</v>
      </c>
      <c r="G139" s="12" t="s">
        <v>189</v>
      </c>
      <c r="H139" s="14">
        <v>1174.8</v>
      </c>
      <c r="I139" t="s">
        <v>9</v>
      </c>
      <c r="O139" t="str">
        <f t="shared" si="5"/>
        <v>Unique</v>
      </c>
    </row>
    <row r="140" spans="1:15" ht="15" thickBot="1" x14ac:dyDescent="0.4">
      <c r="A140" t="s">
        <v>50</v>
      </c>
      <c r="B140" t="s">
        <v>53</v>
      </c>
      <c r="C140" t="s">
        <v>12</v>
      </c>
      <c r="D140">
        <v>50</v>
      </c>
      <c r="E140">
        <v>286</v>
      </c>
      <c r="F140">
        <f t="shared" si="4"/>
        <v>-1.0722933241093124</v>
      </c>
      <c r="G140" s="12" t="s">
        <v>175</v>
      </c>
      <c r="H140" s="14">
        <v>289.10000000000002</v>
      </c>
      <c r="I140" t="s">
        <v>9</v>
      </c>
      <c r="O140" t="str">
        <f t="shared" si="5"/>
        <v>Unique</v>
      </c>
    </row>
    <row r="141" spans="1:15" ht="15" thickBot="1" x14ac:dyDescent="0.4">
      <c r="A141" t="s">
        <v>71</v>
      </c>
      <c r="B141" t="s">
        <v>95</v>
      </c>
      <c r="C141" t="s">
        <v>12</v>
      </c>
      <c r="D141">
        <v>2</v>
      </c>
      <c r="E141">
        <v>1060</v>
      </c>
      <c r="F141">
        <f t="shared" si="4"/>
        <v>-0.74906367041198507</v>
      </c>
      <c r="G141" s="12" t="s">
        <v>202</v>
      </c>
      <c r="H141" s="14">
        <v>1068</v>
      </c>
      <c r="I141" t="s">
        <v>9</v>
      </c>
      <c r="O141" t="str">
        <f t="shared" si="5"/>
        <v>Unique</v>
      </c>
    </row>
    <row r="142" spans="1:15" ht="15" thickBot="1" x14ac:dyDescent="0.4">
      <c r="A142" t="s">
        <v>39</v>
      </c>
      <c r="B142" t="s">
        <v>16</v>
      </c>
      <c r="C142" t="s">
        <v>8</v>
      </c>
      <c r="D142">
        <v>10</v>
      </c>
      <c r="E142">
        <v>2636</v>
      </c>
      <c r="F142">
        <f t="shared" si="4"/>
        <v>1.6543904978597079</v>
      </c>
      <c r="G142" s="12" t="s">
        <v>157</v>
      </c>
      <c r="H142" s="14">
        <v>2593.1</v>
      </c>
      <c r="I142" t="s">
        <v>9</v>
      </c>
      <c r="O142" t="str">
        <f t="shared" si="5"/>
        <v>Unique</v>
      </c>
    </row>
    <row r="143" spans="1:15" ht="15" thickBot="1" x14ac:dyDescent="0.4">
      <c r="A143" t="s">
        <v>71</v>
      </c>
      <c r="B143" t="s">
        <v>70</v>
      </c>
      <c r="C143" t="s">
        <v>8</v>
      </c>
      <c r="D143">
        <v>10</v>
      </c>
      <c r="E143">
        <v>1548</v>
      </c>
      <c r="F143">
        <f t="shared" si="4"/>
        <v>1.761767026032077</v>
      </c>
      <c r="G143" s="12" t="s">
        <v>182</v>
      </c>
      <c r="H143" s="14">
        <v>1521.2</v>
      </c>
      <c r="I143" t="s">
        <v>9</v>
      </c>
      <c r="O143" t="str">
        <f t="shared" si="5"/>
        <v>Unique</v>
      </c>
    </row>
    <row r="144" spans="1:15" ht="15" thickBot="1" x14ac:dyDescent="0.4">
      <c r="A144" t="s">
        <v>99</v>
      </c>
      <c r="B144" t="s">
        <v>74</v>
      </c>
      <c r="C144" t="s">
        <v>8</v>
      </c>
      <c r="D144">
        <v>20</v>
      </c>
      <c r="E144">
        <v>896</v>
      </c>
      <c r="F144">
        <f t="shared" si="4"/>
        <v>1.8181818181818181</v>
      </c>
      <c r="G144" s="12" t="s">
        <v>185</v>
      </c>
      <c r="H144" s="14">
        <v>880</v>
      </c>
      <c r="I144" t="s">
        <v>9</v>
      </c>
      <c r="O144" t="str">
        <f t="shared" si="5"/>
        <v>Unique</v>
      </c>
    </row>
    <row r="145" spans="1:15" ht="15" thickBot="1" x14ac:dyDescent="0.4">
      <c r="A145" t="s">
        <v>82</v>
      </c>
      <c r="B145" t="s">
        <v>85</v>
      </c>
      <c r="C145" t="s">
        <v>8</v>
      </c>
      <c r="D145">
        <v>100</v>
      </c>
      <c r="E145">
        <v>238.2</v>
      </c>
      <c r="F145">
        <f t="shared" si="4"/>
        <v>2.0653012254691889</v>
      </c>
      <c r="G145" s="12" t="s">
        <v>193</v>
      </c>
      <c r="H145" s="14">
        <v>233.38</v>
      </c>
      <c r="I145" t="s">
        <v>9</v>
      </c>
      <c r="O145" t="str">
        <f t="shared" si="5"/>
        <v>Unique</v>
      </c>
    </row>
    <row r="146" spans="1:15" ht="15" thickBot="1" x14ac:dyDescent="0.4">
      <c r="A146" t="s">
        <v>99</v>
      </c>
      <c r="B146" t="s">
        <v>81</v>
      </c>
      <c r="C146" t="s">
        <v>8</v>
      </c>
      <c r="D146">
        <v>10</v>
      </c>
      <c r="E146">
        <v>1320</v>
      </c>
      <c r="F146">
        <f t="shared" si="4"/>
        <v>2.0881670533642689</v>
      </c>
      <c r="G146" s="12" t="s">
        <v>191</v>
      </c>
      <c r="H146" s="14">
        <v>1293</v>
      </c>
      <c r="I146" t="s">
        <v>9</v>
      </c>
      <c r="O146" t="str">
        <f t="shared" si="5"/>
        <v>Unique</v>
      </c>
    </row>
    <row r="147" spans="1:15" ht="15" thickBot="1" x14ac:dyDescent="0.4">
      <c r="A147" t="s">
        <v>36</v>
      </c>
      <c r="B147" t="s">
        <v>16</v>
      </c>
      <c r="C147" t="s">
        <v>8</v>
      </c>
      <c r="D147">
        <v>10</v>
      </c>
      <c r="E147">
        <v>2648</v>
      </c>
      <c r="F147">
        <f t="shared" si="4"/>
        <v>2.1171570706875977</v>
      </c>
      <c r="G147" s="12" t="s">
        <v>157</v>
      </c>
      <c r="H147" s="14">
        <v>2593.1</v>
      </c>
      <c r="I147" t="s">
        <v>9</v>
      </c>
      <c r="O147" t="str">
        <f t="shared" si="5"/>
        <v>Unique</v>
      </c>
    </row>
    <row r="148" spans="1:15" ht="15" thickBot="1" x14ac:dyDescent="0.4">
      <c r="A148" t="s">
        <v>89</v>
      </c>
      <c r="B148" t="s">
        <v>87</v>
      </c>
      <c r="C148" t="s">
        <v>8</v>
      </c>
      <c r="D148">
        <v>5</v>
      </c>
      <c r="E148">
        <v>4129</v>
      </c>
      <c r="F148">
        <f t="shared" si="4"/>
        <v>2.2029702970297027</v>
      </c>
      <c r="G148" s="12" t="s">
        <v>195</v>
      </c>
      <c r="H148" s="14">
        <v>4040</v>
      </c>
      <c r="I148" t="s">
        <v>9</v>
      </c>
      <c r="O148" t="str">
        <f t="shared" si="5"/>
        <v>Unique</v>
      </c>
    </row>
    <row r="149" spans="1:15" ht="15" thickBot="1" x14ac:dyDescent="0.4">
      <c r="A149" t="s">
        <v>89</v>
      </c>
      <c r="B149" t="s">
        <v>83</v>
      </c>
      <c r="C149" t="s">
        <v>8</v>
      </c>
      <c r="D149">
        <v>10</v>
      </c>
      <c r="E149">
        <v>957</v>
      </c>
      <c r="F149">
        <f t="shared" si="4"/>
        <v>2.2435897435897436</v>
      </c>
      <c r="G149" s="12" t="s">
        <v>192</v>
      </c>
      <c r="H149" s="14">
        <v>936</v>
      </c>
      <c r="I149" t="s">
        <v>9</v>
      </c>
      <c r="O149" t="str">
        <f t="shared" si="5"/>
        <v>Unique</v>
      </c>
    </row>
    <row r="150" spans="1:15" ht="15" thickBot="1" x14ac:dyDescent="0.4">
      <c r="A150" t="s">
        <v>71</v>
      </c>
      <c r="B150" t="s">
        <v>91</v>
      </c>
      <c r="C150" t="s">
        <v>8</v>
      </c>
      <c r="D150">
        <v>200</v>
      </c>
      <c r="E150">
        <v>90.75</v>
      </c>
      <c r="F150">
        <f t="shared" si="4"/>
        <v>2.2535211267605635</v>
      </c>
      <c r="G150" s="12" t="s">
        <v>198</v>
      </c>
      <c r="H150" s="14">
        <v>88.75</v>
      </c>
      <c r="I150" t="s">
        <v>9</v>
      </c>
      <c r="O150" t="str">
        <f t="shared" si="5"/>
        <v>Unique</v>
      </c>
    </row>
    <row r="151" spans="1:15" ht="15" thickBot="1" x14ac:dyDescent="0.4">
      <c r="A151" t="s">
        <v>82</v>
      </c>
      <c r="B151" t="s">
        <v>85</v>
      </c>
      <c r="C151" t="s">
        <v>8</v>
      </c>
      <c r="D151">
        <v>200</v>
      </c>
      <c r="E151">
        <v>239</v>
      </c>
      <c r="F151">
        <f t="shared" si="4"/>
        <v>2.4080898106093085</v>
      </c>
      <c r="G151" s="12" t="s">
        <v>193</v>
      </c>
      <c r="H151" s="14">
        <v>233.38</v>
      </c>
      <c r="I151" t="s">
        <v>9</v>
      </c>
      <c r="O151" t="str">
        <f t="shared" si="5"/>
        <v>Unique</v>
      </c>
    </row>
    <row r="152" spans="1:15" ht="15" thickBot="1" x14ac:dyDescent="0.4">
      <c r="A152" t="s">
        <v>6</v>
      </c>
      <c r="B152" t="s">
        <v>7</v>
      </c>
      <c r="C152" t="s">
        <v>8</v>
      </c>
      <c r="D152">
        <v>50</v>
      </c>
      <c r="E152">
        <v>365</v>
      </c>
      <c r="F152">
        <f t="shared" si="4"/>
        <v>2.4992979500140344</v>
      </c>
      <c r="G152" s="12" t="s">
        <v>154</v>
      </c>
      <c r="H152" s="14">
        <v>356.1</v>
      </c>
      <c r="I152" t="s">
        <v>9</v>
      </c>
      <c r="O152" t="str">
        <f t="shared" si="5"/>
        <v>Unique</v>
      </c>
    </row>
    <row r="153" spans="1:15" ht="15" thickBot="1" x14ac:dyDescent="0.4">
      <c r="A153" s="1">
        <v>46237.768750000003</v>
      </c>
      <c r="B153" s="2" t="s">
        <v>47</v>
      </c>
      <c r="C153" s="2" t="s">
        <v>8</v>
      </c>
      <c r="D153" s="3">
        <v>150</v>
      </c>
      <c r="E153" s="4">
        <v>134.80000000000001</v>
      </c>
      <c r="F153">
        <f t="shared" si="4"/>
        <v>2.6265702322040481</v>
      </c>
      <c r="G153" s="12" t="s">
        <v>173</v>
      </c>
      <c r="H153" s="14">
        <v>131.35</v>
      </c>
      <c r="I153" s="2" t="s">
        <v>9</v>
      </c>
      <c r="O153" t="str">
        <f t="shared" si="5"/>
        <v>Unique</v>
      </c>
    </row>
    <row r="154" spans="1:15" ht="15" thickBot="1" x14ac:dyDescent="0.4">
      <c r="A154" t="s">
        <v>60</v>
      </c>
      <c r="B154" t="s">
        <v>72</v>
      </c>
      <c r="C154" t="s">
        <v>8</v>
      </c>
      <c r="D154">
        <v>1</v>
      </c>
      <c r="E154">
        <v>19198</v>
      </c>
      <c r="F154">
        <f t="shared" si="4"/>
        <v>2.9383378016085793</v>
      </c>
      <c r="G154" s="12" t="s">
        <v>183</v>
      </c>
      <c r="H154" s="14">
        <v>18650</v>
      </c>
      <c r="I154" t="s">
        <v>9</v>
      </c>
      <c r="O154" t="str">
        <f t="shared" si="5"/>
        <v>Unique</v>
      </c>
    </row>
    <row r="155" spans="1:15" ht="15" thickBot="1" x14ac:dyDescent="0.4">
      <c r="A155" t="s">
        <v>100</v>
      </c>
      <c r="B155" t="s">
        <v>96</v>
      </c>
      <c r="C155" t="s">
        <v>8</v>
      </c>
      <c r="D155">
        <v>150</v>
      </c>
      <c r="E155">
        <v>123.4</v>
      </c>
      <c r="F155">
        <f t="shared" si="4"/>
        <v>3.01360714583855</v>
      </c>
      <c r="G155" s="12" t="s">
        <v>203</v>
      </c>
      <c r="H155" s="14">
        <v>119.79</v>
      </c>
      <c r="I155" t="s">
        <v>9</v>
      </c>
      <c r="O155" t="str">
        <f t="shared" si="5"/>
        <v>Unique</v>
      </c>
    </row>
    <row r="156" spans="1:15" ht="15" thickBot="1" x14ac:dyDescent="0.4">
      <c r="A156" t="s">
        <v>120</v>
      </c>
      <c r="B156" t="s">
        <v>16</v>
      </c>
      <c r="C156" t="s">
        <v>8</v>
      </c>
      <c r="D156">
        <v>10</v>
      </c>
      <c r="E156">
        <v>2672</v>
      </c>
      <c r="F156">
        <f t="shared" si="4"/>
        <v>3.0426902163433764</v>
      </c>
      <c r="G156" s="12" t="s">
        <v>157</v>
      </c>
      <c r="H156" s="14">
        <v>2593.1</v>
      </c>
      <c r="I156" t="s">
        <v>9</v>
      </c>
      <c r="O156" t="str">
        <f t="shared" si="5"/>
        <v>Unique</v>
      </c>
    </row>
    <row r="157" spans="1:15" ht="15" thickBot="1" x14ac:dyDescent="0.4">
      <c r="A157" t="s">
        <v>82</v>
      </c>
      <c r="B157" t="s">
        <v>98</v>
      </c>
      <c r="C157" t="s">
        <v>8</v>
      </c>
      <c r="D157">
        <v>5</v>
      </c>
      <c r="E157">
        <v>3980</v>
      </c>
      <c r="F157">
        <f t="shared" si="4"/>
        <v>3.3739383392639177</v>
      </c>
      <c r="G157" s="12" t="s">
        <v>204</v>
      </c>
      <c r="H157" s="14">
        <v>3850.1</v>
      </c>
      <c r="I157" t="s">
        <v>9</v>
      </c>
      <c r="O157" t="str">
        <f t="shared" si="5"/>
        <v>Unique</v>
      </c>
    </row>
    <row r="158" spans="1:15" ht="15" thickBot="1" x14ac:dyDescent="0.4">
      <c r="A158" t="s">
        <v>97</v>
      </c>
      <c r="B158" t="s">
        <v>91</v>
      </c>
      <c r="C158" t="s">
        <v>8</v>
      </c>
      <c r="D158">
        <v>200</v>
      </c>
      <c r="E158">
        <v>91.75</v>
      </c>
      <c r="F158">
        <f t="shared" si="4"/>
        <v>3.3802816901408446</v>
      </c>
      <c r="G158" s="12" t="s">
        <v>198</v>
      </c>
      <c r="H158" s="14">
        <v>88.75</v>
      </c>
      <c r="I158" t="s">
        <v>9</v>
      </c>
      <c r="O158" t="str">
        <f t="shared" si="5"/>
        <v>Unique</v>
      </c>
    </row>
    <row r="159" spans="1:15" ht="15" thickBot="1" x14ac:dyDescent="0.4">
      <c r="A159" t="s">
        <v>60</v>
      </c>
      <c r="B159" t="s">
        <v>87</v>
      </c>
      <c r="C159" t="s">
        <v>8</v>
      </c>
      <c r="D159">
        <v>5</v>
      </c>
      <c r="E159">
        <v>4177</v>
      </c>
      <c r="F159">
        <f t="shared" si="4"/>
        <v>3.3910891089108914</v>
      </c>
      <c r="G159" s="12" t="s">
        <v>195</v>
      </c>
      <c r="H159" s="14">
        <v>4040</v>
      </c>
      <c r="I159" t="s">
        <v>9</v>
      </c>
      <c r="O159" t="str">
        <f t="shared" si="5"/>
        <v>Unique</v>
      </c>
    </row>
    <row r="160" spans="1:15" ht="15" thickBot="1" x14ac:dyDescent="0.4">
      <c r="A160" t="s">
        <v>36</v>
      </c>
      <c r="B160" t="s">
        <v>48</v>
      </c>
      <c r="C160" t="s">
        <v>8</v>
      </c>
      <c r="D160">
        <v>50</v>
      </c>
      <c r="E160">
        <v>214</v>
      </c>
      <c r="F160">
        <f t="shared" si="4"/>
        <v>3.4816247582204971</v>
      </c>
      <c r="G160" s="12" t="s">
        <v>174</v>
      </c>
      <c r="H160" s="14">
        <v>206.8</v>
      </c>
      <c r="I160" t="s">
        <v>9</v>
      </c>
      <c r="O160" t="str">
        <f t="shared" si="5"/>
        <v>Unique</v>
      </c>
    </row>
    <row r="161" spans="1:15" ht="15" thickBot="1" x14ac:dyDescent="0.4">
      <c r="A161" t="s">
        <v>54</v>
      </c>
      <c r="B161" t="s">
        <v>55</v>
      </c>
      <c r="C161" t="s">
        <v>8</v>
      </c>
      <c r="D161">
        <v>30</v>
      </c>
      <c r="E161">
        <v>940</v>
      </c>
      <c r="F161">
        <f t="shared" si="4"/>
        <v>3.495733553537022</v>
      </c>
      <c r="G161" s="12" t="s">
        <v>176</v>
      </c>
      <c r="H161" s="14">
        <v>908.25</v>
      </c>
      <c r="I161" t="s">
        <v>9</v>
      </c>
      <c r="O161" t="str">
        <f t="shared" si="5"/>
        <v>Unique</v>
      </c>
    </row>
    <row r="162" spans="1:15" ht="15" thickBot="1" x14ac:dyDescent="0.4">
      <c r="A162" t="s">
        <v>54</v>
      </c>
      <c r="B162" t="s">
        <v>47</v>
      </c>
      <c r="C162" t="s">
        <v>8</v>
      </c>
      <c r="D162">
        <v>150</v>
      </c>
      <c r="E162">
        <v>136</v>
      </c>
      <c r="F162">
        <f t="shared" si="4"/>
        <v>3.5401598781880517</v>
      </c>
      <c r="G162" s="12" t="s">
        <v>173</v>
      </c>
      <c r="H162" s="14">
        <v>131.35</v>
      </c>
      <c r="I162" t="s">
        <v>9</v>
      </c>
      <c r="O162" t="str">
        <f t="shared" si="5"/>
        <v>Unique</v>
      </c>
    </row>
    <row r="163" spans="1:15" ht="15" thickBot="1" x14ac:dyDescent="0.4">
      <c r="A163" t="s">
        <v>36</v>
      </c>
      <c r="B163" t="s">
        <v>7</v>
      </c>
      <c r="C163" t="s">
        <v>8</v>
      </c>
      <c r="D163">
        <v>67</v>
      </c>
      <c r="E163">
        <v>369</v>
      </c>
      <c r="F163">
        <f t="shared" si="4"/>
        <v>3.6225779275484351</v>
      </c>
      <c r="G163" s="12" t="s">
        <v>154</v>
      </c>
      <c r="H163" s="14">
        <v>356.1</v>
      </c>
      <c r="I163" t="s">
        <v>9</v>
      </c>
      <c r="O163" t="str">
        <f t="shared" si="5"/>
        <v>Unique</v>
      </c>
    </row>
    <row r="164" spans="1:15" ht="15" thickBot="1" x14ac:dyDescent="0.4">
      <c r="A164" t="s">
        <v>64</v>
      </c>
      <c r="B164" t="s">
        <v>79</v>
      </c>
      <c r="C164" t="s">
        <v>8</v>
      </c>
      <c r="D164">
        <v>10</v>
      </c>
      <c r="E164">
        <v>1221</v>
      </c>
      <c r="F164">
        <f t="shared" si="4"/>
        <v>3.9325842696629252</v>
      </c>
      <c r="G164" s="12" t="s">
        <v>189</v>
      </c>
      <c r="H164" s="14">
        <v>1174.8</v>
      </c>
      <c r="I164" t="s">
        <v>9</v>
      </c>
      <c r="O164" t="str">
        <f t="shared" si="5"/>
        <v>Unique</v>
      </c>
    </row>
    <row r="165" spans="1:15" ht="15" thickBot="1" x14ac:dyDescent="0.4">
      <c r="A165" t="s">
        <v>50</v>
      </c>
      <c r="B165" t="s">
        <v>53</v>
      </c>
      <c r="C165" t="s">
        <v>8</v>
      </c>
      <c r="D165">
        <v>120</v>
      </c>
      <c r="E165">
        <v>300.5</v>
      </c>
      <c r="F165">
        <f t="shared" si="4"/>
        <v>3.9432722241438865</v>
      </c>
      <c r="G165" s="12" t="s">
        <v>175</v>
      </c>
      <c r="H165" s="14">
        <v>289.10000000000002</v>
      </c>
      <c r="I165" t="s">
        <v>9</v>
      </c>
      <c r="O165" t="str">
        <f t="shared" si="5"/>
        <v>Unique</v>
      </c>
    </row>
    <row r="166" spans="1:15" ht="15" thickBot="1" x14ac:dyDescent="0.4">
      <c r="A166" t="s">
        <v>17</v>
      </c>
      <c r="B166" t="s">
        <v>16</v>
      </c>
      <c r="C166" t="s">
        <v>8</v>
      </c>
      <c r="D166">
        <v>10</v>
      </c>
      <c r="E166">
        <v>2696</v>
      </c>
      <c r="F166">
        <f t="shared" si="4"/>
        <v>3.9682233619991556</v>
      </c>
      <c r="G166" s="12" t="s">
        <v>157</v>
      </c>
      <c r="H166" s="14">
        <v>2593.1</v>
      </c>
      <c r="I166" t="s">
        <v>9</v>
      </c>
      <c r="O166" t="str">
        <f t="shared" si="5"/>
        <v>Unique</v>
      </c>
    </row>
    <row r="167" spans="1:15" ht="15" thickBot="1" x14ac:dyDescent="0.4">
      <c r="A167" t="s">
        <v>67</v>
      </c>
      <c r="B167" t="s">
        <v>81</v>
      </c>
      <c r="C167" t="s">
        <v>8</v>
      </c>
      <c r="D167">
        <v>10</v>
      </c>
      <c r="E167">
        <v>1348</v>
      </c>
      <c r="F167">
        <f t="shared" si="4"/>
        <v>4.2536736272235114</v>
      </c>
      <c r="G167" s="12" t="s">
        <v>191</v>
      </c>
      <c r="H167" s="14">
        <v>1293</v>
      </c>
      <c r="I167" t="s">
        <v>9</v>
      </c>
      <c r="O167" t="str">
        <f t="shared" si="5"/>
        <v>Unique</v>
      </c>
    </row>
    <row r="168" spans="1:15" ht="15" thickBot="1" x14ac:dyDescent="0.4">
      <c r="A168" t="s">
        <v>141</v>
      </c>
      <c r="B168" t="s">
        <v>96</v>
      </c>
      <c r="C168" t="s">
        <v>8</v>
      </c>
      <c r="D168">
        <v>150</v>
      </c>
      <c r="E168">
        <v>124.9</v>
      </c>
      <c r="F168">
        <f t="shared" si="4"/>
        <v>4.2657984806745128</v>
      </c>
      <c r="G168" s="12" t="s">
        <v>203</v>
      </c>
      <c r="H168" s="14">
        <v>119.79</v>
      </c>
      <c r="I168" t="s">
        <v>9</v>
      </c>
      <c r="O168" t="str">
        <f t="shared" si="5"/>
        <v>Unique</v>
      </c>
    </row>
    <row r="169" spans="1:15" ht="15" thickBot="1" x14ac:dyDescent="0.4">
      <c r="A169" t="s">
        <v>20</v>
      </c>
      <c r="B169" t="s">
        <v>19</v>
      </c>
      <c r="C169" t="s">
        <v>8</v>
      </c>
      <c r="D169">
        <v>50</v>
      </c>
      <c r="E169">
        <v>317</v>
      </c>
      <c r="F169">
        <f t="shared" si="4"/>
        <v>4.3106284962158679</v>
      </c>
      <c r="G169" s="12" t="s">
        <v>158</v>
      </c>
      <c r="H169" s="14">
        <v>303.89999999999998</v>
      </c>
      <c r="I169" t="s">
        <v>9</v>
      </c>
      <c r="O169" t="str">
        <f t="shared" si="5"/>
        <v>Unique</v>
      </c>
    </row>
    <row r="170" spans="1:15" ht="15" thickBot="1" x14ac:dyDescent="0.4">
      <c r="A170" t="s">
        <v>142</v>
      </c>
      <c r="B170" t="s">
        <v>55</v>
      </c>
      <c r="C170" t="s">
        <v>8</v>
      </c>
      <c r="D170">
        <v>30</v>
      </c>
      <c r="E170">
        <v>948</v>
      </c>
      <c r="F170">
        <f t="shared" si="4"/>
        <v>4.3765483071841453</v>
      </c>
      <c r="G170" s="12" t="s">
        <v>176</v>
      </c>
      <c r="H170" s="14">
        <v>908.25</v>
      </c>
      <c r="I170" t="s">
        <v>9</v>
      </c>
      <c r="O170" t="str">
        <f t="shared" si="5"/>
        <v>Unique</v>
      </c>
    </row>
    <row r="171" spans="1:15" ht="15" thickBot="1" x14ac:dyDescent="0.4">
      <c r="A171" t="s">
        <v>82</v>
      </c>
      <c r="B171" t="s">
        <v>83</v>
      </c>
      <c r="C171" t="s">
        <v>8</v>
      </c>
      <c r="D171">
        <v>10</v>
      </c>
      <c r="E171">
        <v>977</v>
      </c>
      <c r="F171">
        <f t="shared" si="4"/>
        <v>4.3803418803418799</v>
      </c>
      <c r="G171" s="12" t="s">
        <v>192</v>
      </c>
      <c r="H171" s="14">
        <v>936</v>
      </c>
      <c r="I171" t="s">
        <v>9</v>
      </c>
      <c r="O171" t="str">
        <f t="shared" si="5"/>
        <v>Unique</v>
      </c>
    </row>
    <row r="172" spans="1:15" ht="15" thickBot="1" x14ac:dyDescent="0.4">
      <c r="A172" t="s">
        <v>56</v>
      </c>
      <c r="B172" t="s">
        <v>32</v>
      </c>
      <c r="C172" t="s">
        <v>8</v>
      </c>
      <c r="D172">
        <v>25</v>
      </c>
      <c r="E172">
        <v>210</v>
      </c>
      <c r="F172">
        <f t="shared" si="4"/>
        <v>4.472414307745888</v>
      </c>
      <c r="G172" s="12" t="s">
        <v>167</v>
      </c>
      <c r="H172" s="14">
        <v>201.01</v>
      </c>
      <c r="I172" t="s">
        <v>9</v>
      </c>
      <c r="O172" t="str">
        <f t="shared" si="5"/>
        <v>Unique</v>
      </c>
    </row>
    <row r="173" spans="1:15" ht="15" thickBot="1" x14ac:dyDescent="0.4">
      <c r="A173" t="s">
        <v>97</v>
      </c>
      <c r="B173" t="s">
        <v>91</v>
      </c>
      <c r="C173" t="s">
        <v>8</v>
      </c>
      <c r="D173">
        <v>200</v>
      </c>
      <c r="E173">
        <v>92.75</v>
      </c>
      <c r="F173">
        <f t="shared" si="4"/>
        <v>4.507042253521127</v>
      </c>
      <c r="G173" s="12" t="s">
        <v>198</v>
      </c>
      <c r="H173" s="14">
        <v>88.75</v>
      </c>
      <c r="I173" t="s">
        <v>9</v>
      </c>
      <c r="O173" t="str">
        <f t="shared" si="5"/>
        <v>Unique</v>
      </c>
    </row>
    <row r="174" spans="1:15" ht="15" thickBot="1" x14ac:dyDescent="0.4">
      <c r="A174" t="s">
        <v>82</v>
      </c>
      <c r="B174" t="s">
        <v>85</v>
      </c>
      <c r="C174" t="s">
        <v>8</v>
      </c>
      <c r="D174">
        <v>200</v>
      </c>
      <c r="E174">
        <v>244</v>
      </c>
      <c r="F174">
        <f t="shared" si="4"/>
        <v>4.5505184677350261</v>
      </c>
      <c r="G174" s="12" t="s">
        <v>193</v>
      </c>
      <c r="H174" s="14">
        <v>233.38</v>
      </c>
      <c r="I174" t="s">
        <v>9</v>
      </c>
      <c r="O174" t="str">
        <f t="shared" si="5"/>
        <v>Unique</v>
      </c>
    </row>
    <row r="175" spans="1:15" ht="15" thickBot="1" x14ac:dyDescent="0.4">
      <c r="A175" t="s">
        <v>118</v>
      </c>
      <c r="B175" t="s">
        <v>7</v>
      </c>
      <c r="C175" t="s">
        <v>8</v>
      </c>
      <c r="D175">
        <v>67</v>
      </c>
      <c r="E175">
        <v>373</v>
      </c>
      <c r="F175">
        <f t="shared" si="4"/>
        <v>4.7458579050828353</v>
      </c>
      <c r="G175" s="12" t="s">
        <v>154</v>
      </c>
      <c r="H175" s="14">
        <v>356.1</v>
      </c>
      <c r="I175" t="s">
        <v>9</v>
      </c>
      <c r="O175" t="str">
        <f t="shared" si="5"/>
        <v>Unique</v>
      </c>
    </row>
    <row r="176" spans="1:15" ht="15" thickBot="1" x14ac:dyDescent="0.4">
      <c r="A176" t="s">
        <v>17</v>
      </c>
      <c r="B176" t="s">
        <v>16</v>
      </c>
      <c r="C176" t="s">
        <v>8</v>
      </c>
      <c r="D176">
        <v>10</v>
      </c>
      <c r="E176">
        <v>2720</v>
      </c>
      <c r="F176">
        <f t="shared" si="4"/>
        <v>4.8937565076549339</v>
      </c>
      <c r="G176" s="12" t="s">
        <v>157</v>
      </c>
      <c r="H176" s="14">
        <v>2593.1</v>
      </c>
      <c r="I176" t="s">
        <v>9</v>
      </c>
      <c r="O176" t="str">
        <f t="shared" si="5"/>
        <v>Unique</v>
      </c>
    </row>
    <row r="177" spans="1:15" ht="15" thickBot="1" x14ac:dyDescent="0.4">
      <c r="A177" t="s">
        <v>127</v>
      </c>
      <c r="B177" t="s">
        <v>98</v>
      </c>
      <c r="C177" t="s">
        <v>8</v>
      </c>
      <c r="D177">
        <v>5</v>
      </c>
      <c r="E177">
        <v>4040</v>
      </c>
      <c r="F177">
        <f t="shared" si="4"/>
        <v>4.9323394197553334</v>
      </c>
      <c r="G177" s="12" t="s">
        <v>204</v>
      </c>
      <c r="H177" s="14">
        <v>3850.1</v>
      </c>
      <c r="I177" t="s">
        <v>9</v>
      </c>
      <c r="O177" t="str">
        <f t="shared" si="5"/>
        <v>Unique</v>
      </c>
    </row>
    <row r="178" spans="1:15" ht="15" thickBot="1" x14ac:dyDescent="0.4">
      <c r="A178" t="s">
        <v>123</v>
      </c>
      <c r="B178" t="s">
        <v>22</v>
      </c>
      <c r="C178" t="s">
        <v>8</v>
      </c>
      <c r="D178">
        <v>5</v>
      </c>
      <c r="E178">
        <v>467.25</v>
      </c>
      <c r="F178">
        <f t="shared" si="4"/>
        <v>5.0354051927615995</v>
      </c>
      <c r="G178" s="12" t="s">
        <v>159</v>
      </c>
      <c r="H178" s="14">
        <v>444.85</v>
      </c>
      <c r="I178" t="s">
        <v>9</v>
      </c>
      <c r="O178" t="str">
        <f t="shared" si="5"/>
        <v>Unique</v>
      </c>
    </row>
    <row r="179" spans="1:15" ht="15" thickBot="1" x14ac:dyDescent="0.4">
      <c r="A179" t="s">
        <v>69</v>
      </c>
      <c r="B179" t="s">
        <v>94</v>
      </c>
      <c r="C179" t="s">
        <v>8</v>
      </c>
      <c r="D179">
        <v>5</v>
      </c>
      <c r="E179">
        <v>3633</v>
      </c>
      <c r="F179">
        <f t="shared" si="4"/>
        <v>5.0880796042926182</v>
      </c>
      <c r="G179" s="12" t="s">
        <v>201</v>
      </c>
      <c r="H179" s="14">
        <v>3457.1</v>
      </c>
      <c r="I179" t="s">
        <v>9</v>
      </c>
      <c r="O179" t="str">
        <f t="shared" si="5"/>
        <v>Unique</v>
      </c>
    </row>
    <row r="180" spans="1:15" ht="15" thickBot="1" x14ac:dyDescent="0.4">
      <c r="A180" t="s">
        <v>69</v>
      </c>
      <c r="B180" t="s">
        <v>76</v>
      </c>
      <c r="C180" t="s">
        <v>8</v>
      </c>
      <c r="D180">
        <v>20</v>
      </c>
      <c r="E180">
        <v>825</v>
      </c>
      <c r="F180">
        <f t="shared" si="4"/>
        <v>5.095541401273886</v>
      </c>
      <c r="G180" s="12" t="s">
        <v>187</v>
      </c>
      <c r="H180" s="14">
        <v>785</v>
      </c>
      <c r="I180" t="s">
        <v>9</v>
      </c>
      <c r="O180" t="str">
        <f t="shared" si="5"/>
        <v>Unique</v>
      </c>
    </row>
    <row r="181" spans="1:15" ht="15" thickBot="1" x14ac:dyDescent="0.4">
      <c r="A181" t="s">
        <v>69</v>
      </c>
      <c r="B181" t="s">
        <v>96</v>
      </c>
      <c r="C181" t="s">
        <v>8</v>
      </c>
      <c r="D181">
        <v>150</v>
      </c>
      <c r="E181">
        <v>125.9</v>
      </c>
      <c r="F181">
        <f t="shared" si="4"/>
        <v>5.1005927038984886</v>
      </c>
      <c r="G181" s="12" t="s">
        <v>203</v>
      </c>
      <c r="H181" s="14">
        <v>119.79</v>
      </c>
      <c r="I181" t="s">
        <v>9</v>
      </c>
      <c r="O181" t="str">
        <f t="shared" si="5"/>
        <v>Unique</v>
      </c>
    </row>
    <row r="182" spans="1:15" ht="15" thickBot="1" x14ac:dyDescent="0.4">
      <c r="A182" t="s">
        <v>122</v>
      </c>
      <c r="B182" t="s">
        <v>81</v>
      </c>
      <c r="C182" t="s">
        <v>8</v>
      </c>
      <c r="D182">
        <v>10</v>
      </c>
      <c r="E182">
        <v>1360</v>
      </c>
      <c r="F182">
        <f t="shared" si="4"/>
        <v>5.1817478731631867</v>
      </c>
      <c r="G182" s="12" t="s">
        <v>191</v>
      </c>
      <c r="H182" s="14">
        <v>1293</v>
      </c>
      <c r="I182" t="s">
        <v>9</v>
      </c>
      <c r="O182" t="str">
        <f t="shared" si="5"/>
        <v>Unique</v>
      </c>
    </row>
    <row r="183" spans="1:15" ht="15" thickBot="1" x14ac:dyDescent="0.4">
      <c r="A183" t="s">
        <v>60</v>
      </c>
      <c r="B183" t="s">
        <v>86</v>
      </c>
      <c r="C183" t="s">
        <v>8</v>
      </c>
      <c r="D183">
        <v>2</v>
      </c>
      <c r="E183">
        <v>2690</v>
      </c>
      <c r="F183">
        <f t="shared" si="4"/>
        <v>5.4488435907487265</v>
      </c>
      <c r="G183" s="12" t="s">
        <v>194</v>
      </c>
      <c r="H183" s="14">
        <v>2551</v>
      </c>
      <c r="I183" t="s">
        <v>9</v>
      </c>
      <c r="O183" t="str">
        <f t="shared" si="5"/>
        <v>Unique</v>
      </c>
    </row>
    <row r="184" spans="1:15" ht="15" thickBot="1" x14ac:dyDescent="0.4">
      <c r="A184" t="s">
        <v>57</v>
      </c>
      <c r="B184" t="s">
        <v>19</v>
      </c>
      <c r="C184" t="s">
        <v>8</v>
      </c>
      <c r="D184">
        <v>40</v>
      </c>
      <c r="E184">
        <v>320.5</v>
      </c>
      <c r="F184">
        <f t="shared" si="4"/>
        <v>5.462323132609419</v>
      </c>
      <c r="G184" s="12" t="s">
        <v>158</v>
      </c>
      <c r="H184" s="14">
        <v>303.89999999999998</v>
      </c>
      <c r="I184" t="s">
        <v>9</v>
      </c>
      <c r="O184" t="str">
        <f t="shared" si="5"/>
        <v>Unique</v>
      </c>
    </row>
    <row r="185" spans="1:15" ht="15" thickBot="1" x14ac:dyDescent="0.4">
      <c r="A185" t="s">
        <v>67</v>
      </c>
      <c r="B185" t="s">
        <v>90</v>
      </c>
      <c r="C185" t="s">
        <v>8</v>
      </c>
      <c r="D185">
        <v>20</v>
      </c>
      <c r="E185">
        <v>424</v>
      </c>
      <c r="F185">
        <f t="shared" si="4"/>
        <v>5.4726368159203984</v>
      </c>
      <c r="G185" s="12" t="s">
        <v>197</v>
      </c>
      <c r="H185" s="14">
        <v>402</v>
      </c>
      <c r="I185" t="s">
        <v>9</v>
      </c>
      <c r="O185" t="str">
        <f t="shared" si="5"/>
        <v>Unique</v>
      </c>
    </row>
    <row r="186" spans="1:15" ht="15" thickBot="1" x14ac:dyDescent="0.4">
      <c r="A186" t="s">
        <v>50</v>
      </c>
      <c r="B186" t="s">
        <v>48</v>
      </c>
      <c r="C186" t="s">
        <v>8</v>
      </c>
      <c r="D186">
        <v>65</v>
      </c>
      <c r="E186">
        <v>219</v>
      </c>
      <c r="F186">
        <f t="shared" si="4"/>
        <v>5.8994197292069579</v>
      </c>
      <c r="G186" s="12" t="s">
        <v>174</v>
      </c>
      <c r="H186" s="14">
        <v>206.8</v>
      </c>
      <c r="I186" t="s">
        <v>9</v>
      </c>
      <c r="O186" t="str">
        <f t="shared" si="5"/>
        <v>Unique</v>
      </c>
    </row>
    <row r="187" spans="1:15" ht="15" thickBot="1" x14ac:dyDescent="0.4">
      <c r="A187" t="s">
        <v>67</v>
      </c>
      <c r="B187" t="s">
        <v>86</v>
      </c>
      <c r="C187" t="s">
        <v>8</v>
      </c>
      <c r="D187">
        <v>3</v>
      </c>
      <c r="E187">
        <v>2710</v>
      </c>
      <c r="F187">
        <f t="shared" si="4"/>
        <v>6.2328498627989024</v>
      </c>
      <c r="G187" s="12" t="s">
        <v>194</v>
      </c>
      <c r="H187" s="14">
        <v>2551</v>
      </c>
      <c r="I187" t="s">
        <v>9</v>
      </c>
      <c r="O187" t="str">
        <f t="shared" si="5"/>
        <v>Unique</v>
      </c>
    </row>
    <row r="188" spans="1:15" ht="15" thickBot="1" x14ac:dyDescent="0.4">
      <c r="A188" s="1">
        <v>46237.768750000003</v>
      </c>
      <c r="B188" s="2" t="s">
        <v>32</v>
      </c>
      <c r="C188" s="2" t="s">
        <v>8</v>
      </c>
      <c r="D188" s="3">
        <v>25</v>
      </c>
      <c r="E188" s="4">
        <v>214</v>
      </c>
      <c r="F188">
        <f t="shared" si="4"/>
        <v>6.4623650564648569</v>
      </c>
      <c r="G188" s="12" t="s">
        <v>167</v>
      </c>
      <c r="H188" s="14">
        <v>201.01</v>
      </c>
      <c r="I188" s="2" t="s">
        <v>9</v>
      </c>
      <c r="O188" t="str">
        <f t="shared" si="5"/>
        <v>Unique</v>
      </c>
    </row>
    <row r="189" spans="1:15" ht="15" thickBot="1" x14ac:dyDescent="0.4">
      <c r="A189" t="s">
        <v>82</v>
      </c>
      <c r="B189" t="s">
        <v>83</v>
      </c>
      <c r="C189" t="s">
        <v>8</v>
      </c>
      <c r="D189">
        <v>10</v>
      </c>
      <c r="E189">
        <v>997</v>
      </c>
      <c r="F189">
        <f t="shared" si="4"/>
        <v>6.5170940170940179</v>
      </c>
      <c r="G189" s="12" t="s">
        <v>192</v>
      </c>
      <c r="H189" s="14">
        <v>936</v>
      </c>
      <c r="I189" t="s">
        <v>9</v>
      </c>
      <c r="O189" t="str">
        <f t="shared" si="5"/>
        <v>Unique</v>
      </c>
    </row>
    <row r="190" spans="1:15" ht="15" thickBot="1" x14ac:dyDescent="0.4">
      <c r="A190" t="s">
        <v>60</v>
      </c>
      <c r="B190" t="s">
        <v>59</v>
      </c>
      <c r="C190" t="s">
        <v>8</v>
      </c>
      <c r="D190">
        <v>9</v>
      </c>
      <c r="E190">
        <v>1170</v>
      </c>
      <c r="F190">
        <f t="shared" si="4"/>
        <v>6.654512306289881</v>
      </c>
      <c r="G190" s="12" t="s">
        <v>177</v>
      </c>
      <c r="H190" s="14">
        <v>1097</v>
      </c>
      <c r="I190" t="s">
        <v>9</v>
      </c>
      <c r="O190" t="str">
        <f t="shared" si="5"/>
        <v>Unique</v>
      </c>
    </row>
    <row r="191" spans="1:15" ht="15" thickBot="1" x14ac:dyDescent="0.4">
      <c r="A191" t="s">
        <v>82</v>
      </c>
      <c r="B191" t="s">
        <v>85</v>
      </c>
      <c r="C191" t="s">
        <v>8</v>
      </c>
      <c r="D191">
        <v>200</v>
      </c>
      <c r="E191">
        <v>249</v>
      </c>
      <c r="F191">
        <f t="shared" si="4"/>
        <v>6.6929471248607442</v>
      </c>
      <c r="G191" s="12" t="s">
        <v>193</v>
      </c>
      <c r="H191" s="14">
        <v>233.38</v>
      </c>
      <c r="I191" t="s">
        <v>9</v>
      </c>
      <c r="O191" t="str">
        <f t="shared" si="5"/>
        <v>Unique</v>
      </c>
    </row>
    <row r="192" spans="1:15" ht="15" thickBot="1" x14ac:dyDescent="0.4">
      <c r="A192" t="s">
        <v>120</v>
      </c>
      <c r="B192" t="s">
        <v>16</v>
      </c>
      <c r="C192" t="s">
        <v>8</v>
      </c>
      <c r="D192">
        <v>10</v>
      </c>
      <c r="E192">
        <v>2770</v>
      </c>
      <c r="F192">
        <f t="shared" si="4"/>
        <v>6.8219505611044724</v>
      </c>
      <c r="G192" s="12" t="s">
        <v>157</v>
      </c>
      <c r="H192" s="14">
        <v>2593.1</v>
      </c>
      <c r="I192" t="s">
        <v>9</v>
      </c>
      <c r="O192" t="str">
        <f t="shared" si="5"/>
        <v>Unique</v>
      </c>
    </row>
    <row r="193" spans="1:15" ht="15" thickBot="1" x14ac:dyDescent="0.4">
      <c r="A193" t="s">
        <v>50</v>
      </c>
      <c r="B193" t="s">
        <v>27</v>
      </c>
      <c r="C193" t="s">
        <v>8</v>
      </c>
      <c r="D193">
        <v>5</v>
      </c>
      <c r="E193">
        <v>730</v>
      </c>
      <c r="F193">
        <f t="shared" si="4"/>
        <v>6.8814055636896052</v>
      </c>
      <c r="G193" s="12" t="s">
        <v>162</v>
      </c>
      <c r="H193" s="14">
        <v>683</v>
      </c>
      <c r="I193" t="s">
        <v>9</v>
      </c>
      <c r="O193" t="str">
        <f t="shared" si="5"/>
        <v>Unique</v>
      </c>
    </row>
    <row r="194" spans="1:15" ht="15" thickBot="1" x14ac:dyDescent="0.4">
      <c r="A194" t="s">
        <v>69</v>
      </c>
      <c r="B194" t="s">
        <v>80</v>
      </c>
      <c r="C194" t="s">
        <v>8</v>
      </c>
      <c r="D194">
        <v>7</v>
      </c>
      <c r="E194">
        <v>1424</v>
      </c>
      <c r="F194">
        <f t="shared" ref="F194:F218" si="6">((E194-H194)/H194)*100</f>
        <v>7.0676691729323311</v>
      </c>
      <c r="G194" s="12" t="s">
        <v>190</v>
      </c>
      <c r="H194" s="14">
        <v>1330</v>
      </c>
      <c r="I194" t="s">
        <v>9</v>
      </c>
      <c r="O194" t="str">
        <f t="shared" ref="O194:O218" si="7">IF(COUNTIFS( $B$2:$B$973, B194, $C$2:$C$973, C194, $D$2:$D$973, D194, $E$2:$E$973, E194) &gt; 1, "Duplicate", "Unique")</f>
        <v>Unique</v>
      </c>
    </row>
    <row r="195" spans="1:15" ht="15" thickBot="1" x14ac:dyDescent="0.4">
      <c r="A195" s="1">
        <v>46237.768750000003</v>
      </c>
      <c r="B195" s="2" t="s">
        <v>55</v>
      </c>
      <c r="C195" s="2" t="s">
        <v>8</v>
      </c>
      <c r="D195" s="3">
        <v>30</v>
      </c>
      <c r="E195" s="4">
        <v>974</v>
      </c>
      <c r="F195">
        <f t="shared" si="6"/>
        <v>7.2391962565372978</v>
      </c>
      <c r="G195" s="12" t="s">
        <v>176</v>
      </c>
      <c r="H195" s="14">
        <v>908.25</v>
      </c>
      <c r="I195" s="2" t="s">
        <v>9</v>
      </c>
      <c r="O195" t="str">
        <f t="shared" si="7"/>
        <v>Unique</v>
      </c>
    </row>
    <row r="196" spans="1:15" ht="15" thickBot="1" x14ac:dyDescent="0.4">
      <c r="A196" t="s">
        <v>64</v>
      </c>
      <c r="B196" t="s">
        <v>94</v>
      </c>
      <c r="C196" t="s">
        <v>8</v>
      </c>
      <c r="D196">
        <v>1</v>
      </c>
      <c r="E196">
        <v>3710</v>
      </c>
      <c r="F196">
        <f t="shared" si="6"/>
        <v>7.3153799427265662</v>
      </c>
      <c r="G196" s="12" t="s">
        <v>201</v>
      </c>
      <c r="H196" s="14">
        <v>3457.1</v>
      </c>
      <c r="I196" t="s">
        <v>9</v>
      </c>
      <c r="O196" t="str">
        <f t="shared" si="7"/>
        <v>Unique</v>
      </c>
    </row>
    <row r="197" spans="1:15" ht="15" thickBot="1" x14ac:dyDescent="0.4">
      <c r="A197" t="s">
        <v>50</v>
      </c>
      <c r="B197" t="s">
        <v>53</v>
      </c>
      <c r="C197" t="s">
        <v>8</v>
      </c>
      <c r="D197">
        <v>100</v>
      </c>
      <c r="E197">
        <v>310.5</v>
      </c>
      <c r="F197">
        <f t="shared" si="6"/>
        <v>7.4022829470771283</v>
      </c>
      <c r="G197" s="12" t="s">
        <v>175</v>
      </c>
      <c r="H197" s="14">
        <v>289.10000000000002</v>
      </c>
      <c r="I197" t="s">
        <v>9</v>
      </c>
      <c r="O197" t="str">
        <f t="shared" si="7"/>
        <v>Unique</v>
      </c>
    </row>
    <row r="198" spans="1:15" ht="15" thickBot="1" x14ac:dyDescent="0.4">
      <c r="A198" t="s">
        <v>69</v>
      </c>
      <c r="B198" t="s">
        <v>92</v>
      </c>
      <c r="C198" t="s">
        <v>8</v>
      </c>
      <c r="D198">
        <v>5</v>
      </c>
      <c r="E198">
        <v>790</v>
      </c>
      <c r="F198">
        <f t="shared" si="6"/>
        <v>7.4829931972789119</v>
      </c>
      <c r="G198" s="12" t="s">
        <v>199</v>
      </c>
      <c r="H198" s="14">
        <v>735</v>
      </c>
      <c r="I198" t="s">
        <v>9</v>
      </c>
      <c r="O198" t="str">
        <f t="shared" si="7"/>
        <v>Unique</v>
      </c>
    </row>
    <row r="199" spans="1:15" ht="15" thickBot="1" x14ac:dyDescent="0.4">
      <c r="A199" t="s">
        <v>67</v>
      </c>
      <c r="B199" t="s">
        <v>88</v>
      </c>
      <c r="C199" t="s">
        <v>8</v>
      </c>
      <c r="D199">
        <v>3</v>
      </c>
      <c r="E199">
        <v>2846</v>
      </c>
      <c r="F199">
        <f t="shared" si="6"/>
        <v>7.8847611827141773</v>
      </c>
      <c r="G199" s="12" t="s">
        <v>196</v>
      </c>
      <c r="H199" s="14">
        <v>2638</v>
      </c>
      <c r="I199" t="s">
        <v>9</v>
      </c>
      <c r="O199" t="str">
        <f t="shared" si="7"/>
        <v>Unique</v>
      </c>
    </row>
    <row r="200" spans="1:15" ht="15" thickBot="1" x14ac:dyDescent="0.4">
      <c r="A200" t="s">
        <v>144</v>
      </c>
      <c r="B200" t="s">
        <v>145</v>
      </c>
      <c r="C200" t="s">
        <v>8</v>
      </c>
      <c r="D200">
        <v>11</v>
      </c>
      <c r="E200">
        <v>548</v>
      </c>
      <c r="F200">
        <f t="shared" si="6"/>
        <v>8.0867850098619325</v>
      </c>
      <c r="G200" s="12" t="s">
        <v>209</v>
      </c>
      <c r="H200" s="14">
        <v>507</v>
      </c>
      <c r="I200" t="s">
        <v>9</v>
      </c>
      <c r="O200" t="str">
        <f t="shared" si="7"/>
        <v>Unique</v>
      </c>
    </row>
    <row r="201" spans="1:15" ht="15" thickBot="1" x14ac:dyDescent="0.4">
      <c r="A201" s="1">
        <v>46238.69059027778</v>
      </c>
      <c r="B201" s="2" t="s">
        <v>55</v>
      </c>
      <c r="C201" s="2" t="s">
        <v>8</v>
      </c>
      <c r="D201" s="3">
        <v>5</v>
      </c>
      <c r="E201" s="3">
        <v>986</v>
      </c>
      <c r="F201">
        <f t="shared" si="6"/>
        <v>8.5604183870079833</v>
      </c>
      <c r="G201" s="12" t="s">
        <v>176</v>
      </c>
      <c r="H201" s="14">
        <v>908.25</v>
      </c>
      <c r="I201" s="2" t="s">
        <v>9</v>
      </c>
      <c r="O201" t="str">
        <f t="shared" si="7"/>
        <v>Unique</v>
      </c>
    </row>
    <row r="202" spans="1:15" ht="15" thickBot="1" x14ac:dyDescent="0.4">
      <c r="A202" t="s">
        <v>128</v>
      </c>
      <c r="B202" t="s">
        <v>147</v>
      </c>
      <c r="C202" t="s">
        <v>8</v>
      </c>
      <c r="D202">
        <v>50</v>
      </c>
      <c r="E202">
        <v>480</v>
      </c>
      <c r="F202">
        <f t="shared" si="6"/>
        <v>8.5972850678733028</v>
      </c>
      <c r="G202" s="12" t="s">
        <v>210</v>
      </c>
      <c r="H202" s="14">
        <v>442</v>
      </c>
      <c r="I202" t="s">
        <v>9</v>
      </c>
      <c r="O202" t="str">
        <f t="shared" si="7"/>
        <v>Unique</v>
      </c>
    </row>
    <row r="203" spans="1:15" ht="15" thickBot="1" x14ac:dyDescent="0.4">
      <c r="A203" s="6">
        <v>46234.686805555553</v>
      </c>
      <c r="B203" s="7" t="s">
        <v>53</v>
      </c>
      <c r="C203" s="7" t="s">
        <v>8</v>
      </c>
      <c r="D203" s="8">
        <v>100</v>
      </c>
      <c r="E203" s="9">
        <v>314</v>
      </c>
      <c r="F203">
        <f t="shared" si="6"/>
        <v>8.6129367001037611</v>
      </c>
      <c r="G203" s="12" t="s">
        <v>175</v>
      </c>
      <c r="H203" s="14">
        <v>289.10000000000002</v>
      </c>
      <c r="I203" s="7" t="s">
        <v>9</v>
      </c>
      <c r="O203" t="str">
        <f t="shared" si="7"/>
        <v>Unique</v>
      </c>
    </row>
    <row r="204" spans="1:15" ht="15" thickBot="1" x14ac:dyDescent="0.4">
      <c r="A204" s="6">
        <v>46237.635520833333</v>
      </c>
      <c r="B204" s="7" t="s">
        <v>83</v>
      </c>
      <c r="C204" s="7" t="s">
        <v>8</v>
      </c>
      <c r="D204" s="8">
        <v>10</v>
      </c>
      <c r="E204" s="9">
        <v>1024</v>
      </c>
      <c r="F204">
        <f t="shared" si="6"/>
        <v>9.4017094017094021</v>
      </c>
      <c r="G204" s="12" t="s">
        <v>192</v>
      </c>
      <c r="H204" s="14">
        <v>936</v>
      </c>
      <c r="I204" s="7" t="s">
        <v>9</v>
      </c>
      <c r="O204" t="str">
        <f t="shared" si="7"/>
        <v>Unique</v>
      </c>
    </row>
    <row r="205" spans="1:15" ht="15" thickBot="1" x14ac:dyDescent="0.4">
      <c r="A205" s="6">
        <v>46238.690567129626</v>
      </c>
      <c r="B205" s="7" t="s">
        <v>32</v>
      </c>
      <c r="C205" s="7" t="s">
        <v>8</v>
      </c>
      <c r="D205" s="8">
        <v>25</v>
      </c>
      <c r="E205" s="8">
        <v>220</v>
      </c>
      <c r="F205">
        <f t="shared" si="6"/>
        <v>9.4472911795433117</v>
      </c>
      <c r="G205" s="12" t="s">
        <v>167</v>
      </c>
      <c r="H205" s="14">
        <v>201.01</v>
      </c>
      <c r="I205" s="7" t="s">
        <v>9</v>
      </c>
      <c r="O205" t="str">
        <f t="shared" si="7"/>
        <v>Unique</v>
      </c>
    </row>
    <row r="206" spans="1:15" ht="15" thickBot="1" x14ac:dyDescent="0.4">
      <c r="A206" s="6">
        <v>46233.688194444447</v>
      </c>
      <c r="B206" s="10" t="s">
        <v>55</v>
      </c>
      <c r="C206" s="7" t="s">
        <v>8</v>
      </c>
      <c r="D206" s="8">
        <v>40</v>
      </c>
      <c r="E206" s="11">
        <v>996</v>
      </c>
      <c r="F206">
        <f t="shared" si="6"/>
        <v>9.6614368290668864</v>
      </c>
      <c r="G206" s="12" t="s">
        <v>176</v>
      </c>
      <c r="H206" s="14">
        <v>908.25</v>
      </c>
      <c r="I206" s="7" t="s">
        <v>9</v>
      </c>
      <c r="O206" t="str">
        <f t="shared" si="7"/>
        <v>Unique</v>
      </c>
    </row>
    <row r="207" spans="1:15" ht="15" thickBot="1" x14ac:dyDescent="0.4">
      <c r="A207" s="5" t="s">
        <v>6</v>
      </c>
      <c r="B207" s="5" t="s">
        <v>27</v>
      </c>
      <c r="C207" s="5" t="s">
        <v>8</v>
      </c>
      <c r="D207" s="5">
        <v>11</v>
      </c>
      <c r="E207" s="5">
        <v>749</v>
      </c>
      <c r="F207">
        <f t="shared" si="6"/>
        <v>9.6632503660322104</v>
      </c>
      <c r="G207" s="12" t="s">
        <v>162</v>
      </c>
      <c r="H207" s="14">
        <v>683</v>
      </c>
      <c r="I207" s="5" t="s">
        <v>9</v>
      </c>
      <c r="O207" t="str">
        <f t="shared" si="7"/>
        <v>Unique</v>
      </c>
    </row>
    <row r="208" spans="1:15" ht="15" thickBot="1" x14ac:dyDescent="0.4">
      <c r="A208" s="5" t="s">
        <v>151</v>
      </c>
      <c r="B208" s="5" t="s">
        <v>53</v>
      </c>
      <c r="C208" s="5" t="s">
        <v>8</v>
      </c>
      <c r="D208" s="5">
        <v>100</v>
      </c>
      <c r="E208" s="5">
        <v>318</v>
      </c>
      <c r="F208">
        <f t="shared" si="6"/>
        <v>9.996540989277058</v>
      </c>
      <c r="G208" s="12" t="s">
        <v>175</v>
      </c>
      <c r="H208" s="14">
        <v>289.10000000000002</v>
      </c>
      <c r="I208" s="5" t="s">
        <v>9</v>
      </c>
      <c r="O208" t="str">
        <f t="shared" si="7"/>
        <v>Unique</v>
      </c>
    </row>
    <row r="209" spans="1:15" ht="15" thickBot="1" x14ac:dyDescent="0.4">
      <c r="A209" t="s">
        <v>146</v>
      </c>
      <c r="B209" s="5" t="s">
        <v>94</v>
      </c>
      <c r="C209" s="5" t="s">
        <v>8</v>
      </c>
      <c r="D209" s="5">
        <v>1</v>
      </c>
      <c r="E209" s="5">
        <v>3810</v>
      </c>
      <c r="F209">
        <f t="shared" si="6"/>
        <v>10.207977784848575</v>
      </c>
      <c r="G209" s="12" t="s">
        <v>201</v>
      </c>
      <c r="H209" s="14">
        <v>3457.1</v>
      </c>
      <c r="I209" s="5" t="s">
        <v>9</v>
      </c>
      <c r="O209" t="str">
        <f t="shared" si="7"/>
        <v>Unique</v>
      </c>
    </row>
    <row r="210" spans="1:15" ht="15" thickBot="1" x14ac:dyDescent="0.4">
      <c r="A210" s="6">
        <v>46238.690578703703</v>
      </c>
      <c r="B210" s="7" t="s">
        <v>55</v>
      </c>
      <c r="C210" s="7" t="s">
        <v>8</v>
      </c>
      <c r="D210" s="8">
        <v>5</v>
      </c>
      <c r="E210" s="8">
        <v>1002</v>
      </c>
      <c r="F210">
        <f t="shared" si="6"/>
        <v>10.322047894302228</v>
      </c>
      <c r="G210" s="12" t="s">
        <v>176</v>
      </c>
      <c r="H210" s="14">
        <v>908.25</v>
      </c>
      <c r="I210" s="7" t="s">
        <v>9</v>
      </c>
      <c r="O210" t="str">
        <f t="shared" si="7"/>
        <v>Unique</v>
      </c>
    </row>
    <row r="211" spans="1:15" ht="15" thickBot="1" x14ac:dyDescent="0.4">
      <c r="A211" s="6">
        <v>46234.686805555553</v>
      </c>
      <c r="B211" s="7" t="s">
        <v>53</v>
      </c>
      <c r="C211" s="7" t="s">
        <v>8</v>
      </c>
      <c r="D211" s="8">
        <v>100</v>
      </c>
      <c r="E211" s="9">
        <v>319</v>
      </c>
      <c r="F211">
        <f t="shared" si="6"/>
        <v>10.342442061570383</v>
      </c>
      <c r="G211" s="12" t="s">
        <v>175</v>
      </c>
      <c r="H211" s="14">
        <v>289.10000000000002</v>
      </c>
      <c r="I211" s="7" t="s">
        <v>9</v>
      </c>
      <c r="O211" t="str">
        <f t="shared" si="7"/>
        <v>Unique</v>
      </c>
    </row>
    <row r="212" spans="1:15" ht="15" thickBot="1" x14ac:dyDescent="0.4">
      <c r="A212" s="5" t="s">
        <v>25</v>
      </c>
      <c r="B212" s="5" t="s">
        <v>31</v>
      </c>
      <c r="C212" s="5" t="s">
        <v>8</v>
      </c>
      <c r="D212" s="5">
        <v>5</v>
      </c>
      <c r="E212" s="5">
        <v>635.75</v>
      </c>
      <c r="F212">
        <f t="shared" si="6"/>
        <v>10.478755756364576</v>
      </c>
      <c r="G212" s="12" t="s">
        <v>166</v>
      </c>
      <c r="H212" s="14">
        <v>575.45000000000005</v>
      </c>
      <c r="I212" s="5" t="s">
        <v>9</v>
      </c>
      <c r="O212" t="str">
        <f t="shared" si="7"/>
        <v>Unique</v>
      </c>
    </row>
    <row r="213" spans="1:15" ht="15" thickBot="1" x14ac:dyDescent="0.4">
      <c r="A213" s="6">
        <v>46233.688194444447</v>
      </c>
      <c r="B213" s="10" t="s">
        <v>48</v>
      </c>
      <c r="C213" s="7" t="s">
        <v>8</v>
      </c>
      <c r="D213" s="8">
        <v>40</v>
      </c>
      <c r="E213" s="11">
        <v>229</v>
      </c>
      <c r="F213">
        <f t="shared" si="6"/>
        <v>10.735009671179878</v>
      </c>
      <c r="G213" s="12" t="s">
        <v>174</v>
      </c>
      <c r="H213" s="14">
        <v>206.8</v>
      </c>
      <c r="I213" s="7" t="s">
        <v>9</v>
      </c>
      <c r="O213" t="str">
        <f t="shared" si="7"/>
        <v>Unique</v>
      </c>
    </row>
    <row r="214" spans="1:15" ht="15" thickBot="1" x14ac:dyDescent="0.4">
      <c r="A214" s="5" t="s">
        <v>50</v>
      </c>
      <c r="B214" s="5" t="s">
        <v>34</v>
      </c>
      <c r="C214" s="5" t="s">
        <v>8</v>
      </c>
      <c r="D214" s="5">
        <v>5</v>
      </c>
      <c r="E214" s="5">
        <v>435</v>
      </c>
      <c r="F214">
        <f t="shared" si="6"/>
        <v>10.969387755102041</v>
      </c>
      <c r="G214" s="12" t="s">
        <v>168</v>
      </c>
      <c r="H214" s="14">
        <v>392</v>
      </c>
      <c r="I214" s="5" t="s">
        <v>9</v>
      </c>
      <c r="O214" t="str">
        <f t="shared" si="7"/>
        <v>Unique</v>
      </c>
    </row>
    <row r="215" spans="1:15" ht="15" thickBot="1" x14ac:dyDescent="0.4">
      <c r="A215" s="5" t="s">
        <v>64</v>
      </c>
      <c r="B215" s="5" t="s">
        <v>65</v>
      </c>
      <c r="C215" s="5" t="s">
        <v>8</v>
      </c>
      <c r="D215" s="5">
        <v>3</v>
      </c>
      <c r="E215" s="5">
        <v>3341</v>
      </c>
      <c r="F215">
        <f t="shared" si="6"/>
        <v>11.50046722733947</v>
      </c>
      <c r="G215" s="12" t="s">
        <v>180</v>
      </c>
      <c r="H215" s="14">
        <v>2996.4</v>
      </c>
      <c r="I215" s="5" t="s">
        <v>9</v>
      </c>
      <c r="O215" t="str">
        <f t="shared" si="7"/>
        <v>Unique</v>
      </c>
    </row>
    <row r="216" spans="1:15" ht="15" thickBot="1" x14ac:dyDescent="0.4">
      <c r="A216" s="5" t="s">
        <v>151</v>
      </c>
      <c r="B216" s="5" t="s">
        <v>53</v>
      </c>
      <c r="C216" s="5" t="s">
        <v>8</v>
      </c>
      <c r="D216" s="5">
        <v>150</v>
      </c>
      <c r="E216" s="5">
        <v>323</v>
      </c>
      <c r="F216">
        <f t="shared" si="6"/>
        <v>11.726046350743678</v>
      </c>
      <c r="G216" s="12" t="s">
        <v>175</v>
      </c>
      <c r="H216" s="14">
        <v>289.10000000000002</v>
      </c>
      <c r="I216" s="5" t="s">
        <v>9</v>
      </c>
      <c r="O216" t="str">
        <f t="shared" si="7"/>
        <v>Unique</v>
      </c>
    </row>
    <row r="217" spans="1:15" ht="15" thickBot="1" x14ac:dyDescent="0.4">
      <c r="A217" s="6">
        <v>46234.6875</v>
      </c>
      <c r="B217" s="7" t="s">
        <v>147</v>
      </c>
      <c r="C217" s="7" t="s">
        <v>8</v>
      </c>
      <c r="D217" s="8">
        <v>35</v>
      </c>
      <c r="E217" s="9">
        <v>494</v>
      </c>
      <c r="F217">
        <f t="shared" si="6"/>
        <v>11.76470588235294</v>
      </c>
      <c r="G217" s="12" t="s">
        <v>210</v>
      </c>
      <c r="H217" s="14">
        <v>442</v>
      </c>
      <c r="I217" s="7" t="s">
        <v>9</v>
      </c>
      <c r="O217" t="str">
        <f t="shared" si="7"/>
        <v>Unique</v>
      </c>
    </row>
    <row r="218" spans="1:15" ht="15" thickBot="1" x14ac:dyDescent="0.4">
      <c r="A218" t="s">
        <v>148</v>
      </c>
      <c r="B218" t="s">
        <v>149</v>
      </c>
      <c r="C218" t="s">
        <v>8</v>
      </c>
      <c r="D218">
        <v>23</v>
      </c>
      <c r="E218">
        <v>890</v>
      </c>
      <c r="F218" t="e">
        <f t="shared" si="6"/>
        <v>#N/A</v>
      </c>
      <c r="G218" s="12" t="s">
        <v>211</v>
      </c>
      <c r="H218" s="15" t="e">
        <v>#N/A</v>
      </c>
      <c r="I218" t="s">
        <v>9</v>
      </c>
      <c r="O218" t="str">
        <f t="shared" si="7"/>
        <v>Unique</v>
      </c>
    </row>
    <row r="219" spans="1:15" ht="15" thickBot="1" x14ac:dyDescent="0.4">
      <c r="G219" s="12"/>
      <c r="H219" s="12"/>
    </row>
    <row r="220" spans="1:15" ht="15" thickBot="1" x14ac:dyDescent="0.4">
      <c r="G220" s="12"/>
      <c r="H220" s="12"/>
    </row>
    <row r="221" spans="1:15" ht="15" thickBot="1" x14ac:dyDescent="0.4">
      <c r="G221" s="12"/>
      <c r="H221" s="12"/>
    </row>
    <row r="222" spans="1:15" ht="15" thickBot="1" x14ac:dyDescent="0.4">
      <c r="G222" s="12"/>
      <c r="H222" s="12"/>
    </row>
    <row r="223" spans="1:15" ht="15" thickBot="1" x14ac:dyDescent="0.4">
      <c r="G223" s="12"/>
      <c r="H223" s="12"/>
    </row>
    <row r="224" spans="1:15" ht="15" thickBot="1" x14ac:dyDescent="0.4">
      <c r="G224" s="12"/>
      <c r="H224" s="12"/>
    </row>
    <row r="225" spans="7:8" ht="15" thickBot="1" x14ac:dyDescent="0.4">
      <c r="G225" s="12"/>
      <c r="H225" s="12"/>
    </row>
    <row r="226" spans="7:8" ht="15" thickBot="1" x14ac:dyDescent="0.4">
      <c r="G226" s="12"/>
      <c r="H226" s="12"/>
    </row>
    <row r="227" spans="7:8" ht="15" thickBot="1" x14ac:dyDescent="0.4">
      <c r="G227" s="12"/>
      <c r="H227" s="12"/>
    </row>
    <row r="228" spans="7:8" ht="15" thickBot="1" x14ac:dyDescent="0.4">
      <c r="G228" s="12"/>
      <c r="H228" s="12"/>
    </row>
    <row r="229" spans="7:8" ht="15" thickBot="1" x14ac:dyDescent="0.4">
      <c r="G229" s="12"/>
      <c r="H229" s="12"/>
    </row>
    <row r="230" spans="7:8" ht="15" thickBot="1" x14ac:dyDescent="0.4">
      <c r="G230" s="12"/>
      <c r="H230" s="12"/>
    </row>
    <row r="231" spans="7:8" ht="15" thickBot="1" x14ac:dyDescent="0.4">
      <c r="G231" s="12"/>
      <c r="H231" s="12"/>
    </row>
    <row r="232" spans="7:8" ht="15" thickBot="1" x14ac:dyDescent="0.4">
      <c r="G232" s="12"/>
      <c r="H232" s="12"/>
    </row>
    <row r="233" spans="7:8" ht="15" thickBot="1" x14ac:dyDescent="0.4">
      <c r="G233" s="12"/>
      <c r="H233" s="12"/>
    </row>
    <row r="234" spans="7:8" ht="15" thickBot="1" x14ac:dyDescent="0.4">
      <c r="G234" s="12"/>
      <c r="H234" s="12"/>
    </row>
    <row r="235" spans="7:8" ht="15" thickBot="1" x14ac:dyDescent="0.4">
      <c r="G235" s="12"/>
      <c r="H235" s="12"/>
    </row>
    <row r="236" spans="7:8" ht="15" thickBot="1" x14ac:dyDescent="0.4">
      <c r="G236" s="12"/>
      <c r="H236" s="12"/>
    </row>
    <row r="237" spans="7:8" ht="15" thickBot="1" x14ac:dyDescent="0.4">
      <c r="G237" s="12"/>
      <c r="H237" s="12"/>
    </row>
    <row r="238" spans="7:8" ht="15" thickBot="1" x14ac:dyDescent="0.4">
      <c r="G238" s="12"/>
      <c r="H238" s="12"/>
    </row>
    <row r="239" spans="7:8" ht="15" thickBot="1" x14ac:dyDescent="0.4">
      <c r="G239" s="12"/>
      <c r="H239" s="12"/>
    </row>
    <row r="240" spans="7:8" ht="15" thickBot="1" x14ac:dyDescent="0.4">
      <c r="G240" s="12"/>
      <c r="H240" s="12"/>
    </row>
    <row r="241" spans="7:8" ht="15" thickBot="1" x14ac:dyDescent="0.4">
      <c r="G241" s="12"/>
      <c r="H241" s="12"/>
    </row>
    <row r="242" spans="7:8" ht="15" thickBot="1" x14ac:dyDescent="0.4">
      <c r="G242" s="12"/>
      <c r="H242" s="12"/>
    </row>
    <row r="243" spans="7:8" ht="15" thickBot="1" x14ac:dyDescent="0.4">
      <c r="G243" s="12"/>
      <c r="H243" s="12"/>
    </row>
    <row r="244" spans="7:8" ht="15" thickBot="1" x14ac:dyDescent="0.4">
      <c r="G244" s="12"/>
      <c r="H244" s="12"/>
    </row>
    <row r="245" spans="7:8" ht="15" thickBot="1" x14ac:dyDescent="0.4">
      <c r="G245" s="12"/>
      <c r="H245" s="12"/>
    </row>
    <row r="246" spans="7:8" ht="15" thickBot="1" x14ac:dyDescent="0.4">
      <c r="G246" s="12"/>
      <c r="H246" s="12"/>
    </row>
    <row r="247" spans="7:8" ht="15" thickBot="1" x14ac:dyDescent="0.4">
      <c r="G247" s="12"/>
      <c r="H247" s="12"/>
    </row>
    <row r="248" spans="7:8" ht="15" thickBot="1" x14ac:dyDescent="0.4">
      <c r="G248" s="12"/>
      <c r="H248" s="12"/>
    </row>
    <row r="249" spans="7:8" ht="15" thickBot="1" x14ac:dyDescent="0.4">
      <c r="G249" s="12"/>
      <c r="H249" s="12"/>
    </row>
    <row r="250" spans="7:8" ht="15" thickBot="1" x14ac:dyDescent="0.4">
      <c r="G250" s="12"/>
      <c r="H250" s="12"/>
    </row>
    <row r="251" spans="7:8" ht="15" thickBot="1" x14ac:dyDescent="0.4">
      <c r="G251" s="12"/>
      <c r="H251" s="12"/>
    </row>
    <row r="252" spans="7:8" ht="15" thickBot="1" x14ac:dyDescent="0.4">
      <c r="G252" s="12"/>
      <c r="H252" s="12"/>
    </row>
    <row r="253" spans="7:8" ht="15" thickBot="1" x14ac:dyDescent="0.4">
      <c r="G253" s="12"/>
      <c r="H253" s="12"/>
    </row>
    <row r="254" spans="7:8" ht="15" thickBot="1" x14ac:dyDescent="0.4">
      <c r="G254" s="12"/>
      <c r="H254" s="12"/>
    </row>
    <row r="255" spans="7:8" ht="15" thickBot="1" x14ac:dyDescent="0.4">
      <c r="G255" s="12"/>
      <c r="H255" s="12"/>
    </row>
    <row r="256" spans="7:8" ht="15" thickBot="1" x14ac:dyDescent="0.4">
      <c r="G256" s="12"/>
      <c r="H256" s="12"/>
    </row>
    <row r="257" spans="7:8" ht="15" thickBot="1" x14ac:dyDescent="0.4">
      <c r="G257" s="12"/>
      <c r="H257" s="12"/>
    </row>
    <row r="258" spans="7:8" ht="15" thickBot="1" x14ac:dyDescent="0.4">
      <c r="G258" s="12"/>
      <c r="H258" s="12"/>
    </row>
    <row r="259" spans="7:8" ht="15" thickBot="1" x14ac:dyDescent="0.4">
      <c r="G259" s="12"/>
      <c r="H259" s="12"/>
    </row>
    <row r="260" spans="7:8" ht="15" thickBot="1" x14ac:dyDescent="0.4">
      <c r="G260" s="12"/>
      <c r="H260" s="12"/>
    </row>
    <row r="261" spans="7:8" ht="15" thickBot="1" x14ac:dyDescent="0.4">
      <c r="G261" s="12"/>
      <c r="H261" s="12"/>
    </row>
    <row r="262" spans="7:8" ht="15" thickBot="1" x14ac:dyDescent="0.4">
      <c r="G262" s="12"/>
      <c r="H262" s="12"/>
    </row>
    <row r="263" spans="7:8" ht="15" thickBot="1" x14ac:dyDescent="0.4">
      <c r="G263" s="12"/>
      <c r="H263" s="12"/>
    </row>
    <row r="264" spans="7:8" ht="15" thickBot="1" x14ac:dyDescent="0.4">
      <c r="G264" s="12"/>
      <c r="H264" s="12"/>
    </row>
    <row r="265" spans="7:8" ht="15" thickBot="1" x14ac:dyDescent="0.4">
      <c r="G265" s="12"/>
      <c r="H265" s="12"/>
    </row>
    <row r="266" spans="7:8" ht="15" thickBot="1" x14ac:dyDescent="0.4">
      <c r="G266" s="12"/>
      <c r="H266" s="12"/>
    </row>
    <row r="267" spans="7:8" ht="15" thickBot="1" x14ac:dyDescent="0.4">
      <c r="G267" s="12"/>
      <c r="H267" s="12"/>
    </row>
    <row r="268" spans="7:8" ht="15" thickBot="1" x14ac:dyDescent="0.4">
      <c r="G268" s="12"/>
      <c r="H268" s="12"/>
    </row>
    <row r="269" spans="7:8" ht="15" thickBot="1" x14ac:dyDescent="0.4">
      <c r="G269" s="12"/>
      <c r="H269" s="12"/>
    </row>
    <row r="270" spans="7:8" ht="15" thickBot="1" x14ac:dyDescent="0.4">
      <c r="G270" s="12"/>
      <c r="H270" s="12"/>
    </row>
    <row r="271" spans="7:8" ht="15" thickBot="1" x14ac:dyDescent="0.4">
      <c r="G271" s="12"/>
      <c r="H271" s="12"/>
    </row>
    <row r="272" spans="7:8" ht="15" thickBot="1" x14ac:dyDescent="0.4">
      <c r="G272" s="12"/>
      <c r="H272" s="12"/>
    </row>
    <row r="273" spans="7:8" ht="15" thickBot="1" x14ac:dyDescent="0.4">
      <c r="G273" s="12"/>
      <c r="H273" s="12"/>
    </row>
    <row r="274" spans="7:8" ht="15" thickBot="1" x14ac:dyDescent="0.4">
      <c r="G274" s="12"/>
      <c r="H274" s="12"/>
    </row>
    <row r="275" spans="7:8" ht="15" thickBot="1" x14ac:dyDescent="0.4">
      <c r="G275" s="12"/>
      <c r="H275" s="12"/>
    </row>
    <row r="276" spans="7:8" ht="15" thickBot="1" x14ac:dyDescent="0.4">
      <c r="G276" s="12"/>
      <c r="H276" s="12"/>
    </row>
    <row r="277" spans="7:8" ht="15" thickBot="1" x14ac:dyDescent="0.4">
      <c r="G277" s="12"/>
      <c r="H277" s="12"/>
    </row>
    <row r="278" spans="7:8" ht="15" thickBot="1" x14ac:dyDescent="0.4">
      <c r="G278" s="12"/>
      <c r="H278" s="12"/>
    </row>
    <row r="279" spans="7:8" ht="15" thickBot="1" x14ac:dyDescent="0.4">
      <c r="G279" s="12"/>
      <c r="H279" s="12"/>
    </row>
    <row r="280" spans="7:8" ht="15" thickBot="1" x14ac:dyDescent="0.4">
      <c r="G280" s="12"/>
      <c r="H280" s="12"/>
    </row>
    <row r="281" spans="7:8" ht="15" thickBot="1" x14ac:dyDescent="0.4">
      <c r="G281" s="12"/>
      <c r="H281" s="12"/>
    </row>
    <row r="282" spans="7:8" ht="15" thickBot="1" x14ac:dyDescent="0.4">
      <c r="G282" s="12"/>
      <c r="H282" s="12"/>
    </row>
    <row r="283" spans="7:8" ht="15" thickBot="1" x14ac:dyDescent="0.4">
      <c r="G283" s="12"/>
      <c r="H283" s="12"/>
    </row>
    <row r="284" spans="7:8" ht="15" thickBot="1" x14ac:dyDescent="0.4">
      <c r="G284" s="12"/>
      <c r="H284" s="12"/>
    </row>
    <row r="285" spans="7:8" ht="15" thickBot="1" x14ac:dyDescent="0.4">
      <c r="G285" s="12"/>
      <c r="H285" s="12"/>
    </row>
    <row r="286" spans="7:8" ht="15" thickBot="1" x14ac:dyDescent="0.4">
      <c r="G286" s="12"/>
      <c r="H286" s="12"/>
    </row>
    <row r="287" spans="7:8" ht="15" thickBot="1" x14ac:dyDescent="0.4">
      <c r="G287" s="12"/>
      <c r="H287" s="12"/>
    </row>
    <row r="288" spans="7:8" ht="15" thickBot="1" x14ac:dyDescent="0.4">
      <c r="G288" s="12"/>
      <c r="H288" s="12"/>
    </row>
    <row r="289" spans="7:8" ht="15" thickBot="1" x14ac:dyDescent="0.4">
      <c r="G289" s="12"/>
      <c r="H289" s="12"/>
    </row>
    <row r="290" spans="7:8" ht="15" thickBot="1" x14ac:dyDescent="0.4">
      <c r="G290" s="12"/>
      <c r="H290" s="12"/>
    </row>
    <row r="291" spans="7:8" ht="15" thickBot="1" x14ac:dyDescent="0.4">
      <c r="G291" s="12"/>
      <c r="H291" s="12"/>
    </row>
    <row r="292" spans="7:8" ht="15" thickBot="1" x14ac:dyDescent="0.4">
      <c r="G292" s="12"/>
      <c r="H292" s="12"/>
    </row>
    <row r="293" spans="7:8" ht="15" thickBot="1" x14ac:dyDescent="0.4">
      <c r="G293" s="12"/>
      <c r="H293" s="12"/>
    </row>
    <row r="294" spans="7:8" ht="15" thickBot="1" x14ac:dyDescent="0.4">
      <c r="G294" s="12"/>
      <c r="H294" s="12"/>
    </row>
    <row r="295" spans="7:8" ht="15" thickBot="1" x14ac:dyDescent="0.4">
      <c r="G295" s="12"/>
      <c r="H295" s="12"/>
    </row>
    <row r="296" spans="7:8" ht="15" thickBot="1" x14ac:dyDescent="0.4">
      <c r="G296" s="12"/>
      <c r="H296" s="12"/>
    </row>
    <row r="297" spans="7:8" ht="15" thickBot="1" x14ac:dyDescent="0.4">
      <c r="G297" s="12"/>
      <c r="H297" s="12"/>
    </row>
    <row r="298" spans="7:8" ht="15" thickBot="1" x14ac:dyDescent="0.4">
      <c r="G298" s="12"/>
      <c r="H298" s="12"/>
    </row>
    <row r="299" spans="7:8" ht="15" thickBot="1" x14ac:dyDescent="0.4">
      <c r="G299" s="12"/>
      <c r="H299" s="12"/>
    </row>
    <row r="300" spans="7:8" ht="15" thickBot="1" x14ac:dyDescent="0.4">
      <c r="G300" s="12"/>
      <c r="H300" s="12"/>
    </row>
    <row r="301" spans="7:8" ht="15" thickBot="1" x14ac:dyDescent="0.4">
      <c r="G301" s="12"/>
      <c r="H301" s="12"/>
    </row>
    <row r="302" spans="7:8" ht="15" thickBot="1" x14ac:dyDescent="0.4">
      <c r="G302" s="12"/>
      <c r="H302" s="12"/>
    </row>
    <row r="303" spans="7:8" ht="15" thickBot="1" x14ac:dyDescent="0.4">
      <c r="G303" s="12"/>
      <c r="H303" s="12"/>
    </row>
    <row r="304" spans="7:8" ht="15" thickBot="1" x14ac:dyDescent="0.4">
      <c r="G304" s="12"/>
      <c r="H304" s="12"/>
    </row>
    <row r="305" spans="7:8" ht="15" thickBot="1" x14ac:dyDescent="0.4">
      <c r="G305" s="12"/>
      <c r="H305" s="12"/>
    </row>
    <row r="306" spans="7:8" ht="15" thickBot="1" x14ac:dyDescent="0.4">
      <c r="G306" s="12"/>
      <c r="H306" s="12"/>
    </row>
    <row r="307" spans="7:8" ht="15" thickBot="1" x14ac:dyDescent="0.4">
      <c r="G307" s="12"/>
      <c r="H307" s="12"/>
    </row>
    <row r="308" spans="7:8" ht="15" thickBot="1" x14ac:dyDescent="0.4">
      <c r="G308" s="12"/>
      <c r="H308" s="12"/>
    </row>
    <row r="309" spans="7:8" ht="15" thickBot="1" x14ac:dyDescent="0.4">
      <c r="G309" s="12"/>
      <c r="H309" s="12"/>
    </row>
    <row r="310" spans="7:8" ht="15" thickBot="1" x14ac:dyDescent="0.4">
      <c r="G310" s="12"/>
      <c r="H310" s="12"/>
    </row>
    <row r="311" spans="7:8" ht="15" thickBot="1" x14ac:dyDescent="0.4">
      <c r="G311" s="12"/>
      <c r="H311" s="12"/>
    </row>
    <row r="312" spans="7:8" ht="15" thickBot="1" x14ac:dyDescent="0.4">
      <c r="G312" s="12"/>
      <c r="H312" s="12"/>
    </row>
    <row r="313" spans="7:8" ht="15" thickBot="1" x14ac:dyDescent="0.4">
      <c r="G313" s="12"/>
      <c r="H313" s="12"/>
    </row>
    <row r="314" spans="7:8" ht="15" thickBot="1" x14ac:dyDescent="0.4">
      <c r="G314" s="12"/>
      <c r="H314" s="12"/>
    </row>
    <row r="315" spans="7:8" ht="15" thickBot="1" x14ac:dyDescent="0.4">
      <c r="G315" s="12"/>
      <c r="H315" s="12"/>
    </row>
    <row r="316" spans="7:8" ht="15" thickBot="1" x14ac:dyDescent="0.4">
      <c r="G316" s="12"/>
      <c r="H316" s="12"/>
    </row>
    <row r="317" spans="7:8" ht="15" thickBot="1" x14ac:dyDescent="0.4">
      <c r="G317" s="12"/>
      <c r="H317" s="12"/>
    </row>
    <row r="318" spans="7:8" ht="15" thickBot="1" x14ac:dyDescent="0.4">
      <c r="G318" s="12"/>
      <c r="H318" s="12"/>
    </row>
    <row r="319" spans="7:8" ht="15" thickBot="1" x14ac:dyDescent="0.4">
      <c r="G319" s="12"/>
      <c r="H319" s="12"/>
    </row>
    <row r="320" spans="7:8" ht="15" thickBot="1" x14ac:dyDescent="0.4">
      <c r="G320" s="12"/>
      <c r="H320" s="12"/>
    </row>
    <row r="321" spans="7:8" ht="15" thickBot="1" x14ac:dyDescent="0.4">
      <c r="G321" s="12"/>
      <c r="H321" s="12"/>
    </row>
    <row r="322" spans="7:8" ht="15" thickBot="1" x14ac:dyDescent="0.4">
      <c r="G322" s="12"/>
      <c r="H322" s="12"/>
    </row>
    <row r="323" spans="7:8" ht="15" thickBot="1" x14ac:dyDescent="0.4">
      <c r="G323" s="12"/>
      <c r="H323" s="12"/>
    </row>
    <row r="324" spans="7:8" ht="15" thickBot="1" x14ac:dyDescent="0.4">
      <c r="G324" s="12"/>
      <c r="H324" s="12"/>
    </row>
    <row r="325" spans="7:8" ht="15" thickBot="1" x14ac:dyDescent="0.4">
      <c r="G325" s="12"/>
      <c r="H325" s="12"/>
    </row>
    <row r="326" spans="7:8" ht="15" thickBot="1" x14ac:dyDescent="0.4">
      <c r="G326" s="12"/>
      <c r="H326" s="12"/>
    </row>
    <row r="327" spans="7:8" ht="15" thickBot="1" x14ac:dyDescent="0.4">
      <c r="G327" s="12"/>
      <c r="H327" s="12"/>
    </row>
    <row r="328" spans="7:8" ht="15" thickBot="1" x14ac:dyDescent="0.4">
      <c r="G328" s="12"/>
      <c r="H328" s="12"/>
    </row>
    <row r="329" spans="7:8" ht="15" thickBot="1" x14ac:dyDescent="0.4">
      <c r="G329" s="12"/>
      <c r="H329" s="12"/>
    </row>
    <row r="330" spans="7:8" ht="15" thickBot="1" x14ac:dyDescent="0.4">
      <c r="G330" s="12"/>
      <c r="H330" s="12"/>
    </row>
    <row r="331" spans="7:8" ht="15" thickBot="1" x14ac:dyDescent="0.4">
      <c r="G331" s="12"/>
      <c r="H331" s="12"/>
    </row>
    <row r="332" spans="7:8" ht="15" thickBot="1" x14ac:dyDescent="0.4">
      <c r="G332" s="12"/>
      <c r="H332" s="12"/>
    </row>
    <row r="333" spans="7:8" ht="15" thickBot="1" x14ac:dyDescent="0.4">
      <c r="G333" s="12"/>
      <c r="H333" s="12"/>
    </row>
    <row r="334" spans="7:8" ht="15" thickBot="1" x14ac:dyDescent="0.4">
      <c r="G334" s="12"/>
      <c r="H334" s="12"/>
    </row>
    <row r="335" spans="7:8" ht="15" thickBot="1" x14ac:dyDescent="0.4">
      <c r="G335" s="12"/>
      <c r="H335" s="12"/>
    </row>
    <row r="336" spans="7:8" ht="15" thickBot="1" x14ac:dyDescent="0.4">
      <c r="G336" s="12"/>
      <c r="H336" s="12"/>
    </row>
    <row r="337" spans="7:8" ht="15" thickBot="1" x14ac:dyDescent="0.4">
      <c r="G337" s="12"/>
      <c r="H337" s="12"/>
    </row>
    <row r="338" spans="7:8" ht="15" thickBot="1" x14ac:dyDescent="0.4">
      <c r="G338" s="12"/>
      <c r="H338" s="12"/>
    </row>
    <row r="339" spans="7:8" ht="15" thickBot="1" x14ac:dyDescent="0.4">
      <c r="G339" s="12"/>
      <c r="H339" s="12"/>
    </row>
    <row r="340" spans="7:8" ht="15" thickBot="1" x14ac:dyDescent="0.4">
      <c r="G340" s="12"/>
      <c r="H340" s="12"/>
    </row>
    <row r="341" spans="7:8" ht="15" thickBot="1" x14ac:dyDescent="0.4">
      <c r="G341" s="12"/>
      <c r="H341" s="12"/>
    </row>
    <row r="342" spans="7:8" ht="15" thickBot="1" x14ac:dyDescent="0.4">
      <c r="G342" s="12"/>
      <c r="H342" s="12"/>
    </row>
    <row r="343" spans="7:8" ht="15" thickBot="1" x14ac:dyDescent="0.4">
      <c r="G343" s="12"/>
      <c r="H343" s="12"/>
    </row>
    <row r="344" spans="7:8" ht="15" thickBot="1" x14ac:dyDescent="0.4">
      <c r="G344" s="12"/>
      <c r="H344" s="12"/>
    </row>
    <row r="345" spans="7:8" ht="15" thickBot="1" x14ac:dyDescent="0.4">
      <c r="G345" s="12"/>
      <c r="H345" s="12"/>
    </row>
    <row r="346" spans="7:8" ht="15" thickBot="1" x14ac:dyDescent="0.4">
      <c r="G346" s="12"/>
      <c r="H346" s="12"/>
    </row>
    <row r="347" spans="7:8" ht="15" thickBot="1" x14ac:dyDescent="0.4">
      <c r="G347" s="12"/>
      <c r="H347" s="12"/>
    </row>
    <row r="348" spans="7:8" ht="15" thickBot="1" x14ac:dyDescent="0.4">
      <c r="G348" s="12"/>
      <c r="H348" s="12"/>
    </row>
    <row r="349" spans="7:8" ht="15" thickBot="1" x14ac:dyDescent="0.4">
      <c r="G349" s="12"/>
      <c r="H349" s="12"/>
    </row>
    <row r="350" spans="7:8" ht="15" thickBot="1" x14ac:dyDescent="0.4">
      <c r="G350" s="12"/>
      <c r="H350" s="12"/>
    </row>
    <row r="351" spans="7:8" ht="15" thickBot="1" x14ac:dyDescent="0.4">
      <c r="G351" s="12"/>
      <c r="H351" s="12"/>
    </row>
    <row r="352" spans="7:8" ht="15" thickBot="1" x14ac:dyDescent="0.4">
      <c r="G352" s="12"/>
      <c r="H352" s="12"/>
    </row>
    <row r="353" spans="7:8" ht="15" thickBot="1" x14ac:dyDescent="0.4">
      <c r="G353" s="12"/>
      <c r="H353" s="12"/>
    </row>
    <row r="354" spans="7:8" ht="15" thickBot="1" x14ac:dyDescent="0.4">
      <c r="G354" s="12"/>
      <c r="H354" s="12"/>
    </row>
    <row r="355" spans="7:8" ht="15" thickBot="1" x14ac:dyDescent="0.4">
      <c r="G355" s="12"/>
      <c r="H355" s="12"/>
    </row>
    <row r="356" spans="7:8" ht="15" thickBot="1" x14ac:dyDescent="0.4">
      <c r="G356" s="12"/>
      <c r="H356" s="12"/>
    </row>
    <row r="357" spans="7:8" ht="15" thickBot="1" x14ac:dyDescent="0.4">
      <c r="G357" s="12"/>
      <c r="H357" s="12"/>
    </row>
    <row r="358" spans="7:8" ht="15" thickBot="1" x14ac:dyDescent="0.4">
      <c r="G358" s="12"/>
      <c r="H358" s="12"/>
    </row>
    <row r="359" spans="7:8" ht="15" thickBot="1" x14ac:dyDescent="0.4">
      <c r="G359" s="12"/>
      <c r="H359" s="12"/>
    </row>
    <row r="360" spans="7:8" ht="15" thickBot="1" x14ac:dyDescent="0.4">
      <c r="G360" s="12"/>
      <c r="H360" s="12"/>
    </row>
    <row r="361" spans="7:8" ht="15" thickBot="1" x14ac:dyDescent="0.4">
      <c r="G361" s="12"/>
      <c r="H361" s="12"/>
    </row>
    <row r="362" spans="7:8" ht="15" thickBot="1" x14ac:dyDescent="0.4">
      <c r="G362" s="12"/>
      <c r="H362" s="12"/>
    </row>
    <row r="363" spans="7:8" ht="15" thickBot="1" x14ac:dyDescent="0.4">
      <c r="G363" s="12"/>
      <c r="H363" s="12"/>
    </row>
    <row r="364" spans="7:8" ht="15" thickBot="1" x14ac:dyDescent="0.4">
      <c r="G364" s="12"/>
      <c r="H364" s="12"/>
    </row>
    <row r="365" spans="7:8" ht="15" thickBot="1" x14ac:dyDescent="0.4">
      <c r="G365" s="12"/>
      <c r="H365" s="12"/>
    </row>
    <row r="366" spans="7:8" ht="15" thickBot="1" x14ac:dyDescent="0.4">
      <c r="G366" s="12"/>
      <c r="H366" s="12"/>
    </row>
    <row r="367" spans="7:8" ht="15" thickBot="1" x14ac:dyDescent="0.4">
      <c r="G367" s="12"/>
      <c r="H367" s="12"/>
    </row>
    <row r="368" spans="7:8" ht="15" thickBot="1" x14ac:dyDescent="0.4">
      <c r="G368" s="12"/>
      <c r="H368" s="12"/>
    </row>
    <row r="369" spans="7:8" ht="15" thickBot="1" x14ac:dyDescent="0.4">
      <c r="G369" s="12"/>
      <c r="H369" s="12"/>
    </row>
    <row r="370" spans="7:8" ht="15" thickBot="1" x14ac:dyDescent="0.4">
      <c r="G370" s="12"/>
      <c r="H370" s="12"/>
    </row>
    <row r="371" spans="7:8" ht="15" thickBot="1" x14ac:dyDescent="0.4">
      <c r="G371" s="12"/>
      <c r="H371" s="12"/>
    </row>
    <row r="372" spans="7:8" ht="15" thickBot="1" x14ac:dyDescent="0.4">
      <c r="G372" s="12"/>
      <c r="H372" s="12"/>
    </row>
    <row r="373" spans="7:8" ht="15" thickBot="1" x14ac:dyDescent="0.4">
      <c r="G373" s="12"/>
      <c r="H373" s="12"/>
    </row>
    <row r="374" spans="7:8" ht="15" thickBot="1" x14ac:dyDescent="0.4">
      <c r="G374" s="12"/>
      <c r="H374" s="12"/>
    </row>
    <row r="375" spans="7:8" ht="15" thickBot="1" x14ac:dyDescent="0.4">
      <c r="G375" s="12"/>
      <c r="H375" s="12"/>
    </row>
    <row r="376" spans="7:8" ht="15" thickBot="1" x14ac:dyDescent="0.4">
      <c r="G376" s="12"/>
      <c r="H376" s="12"/>
    </row>
    <row r="377" spans="7:8" ht="15" thickBot="1" x14ac:dyDescent="0.4">
      <c r="G377" s="12"/>
      <c r="H377" s="12"/>
    </row>
    <row r="378" spans="7:8" ht="15" thickBot="1" x14ac:dyDescent="0.4">
      <c r="G378" s="12"/>
      <c r="H378" s="12"/>
    </row>
    <row r="379" spans="7:8" ht="15" thickBot="1" x14ac:dyDescent="0.4">
      <c r="G379" s="12"/>
      <c r="H379" s="12"/>
    </row>
    <row r="380" spans="7:8" ht="15" thickBot="1" x14ac:dyDescent="0.4">
      <c r="G380" s="12"/>
      <c r="H380" s="12"/>
    </row>
    <row r="381" spans="7:8" ht="15" thickBot="1" x14ac:dyDescent="0.4">
      <c r="G381" s="12"/>
      <c r="H381" s="12"/>
    </row>
    <row r="382" spans="7:8" ht="15" thickBot="1" x14ac:dyDescent="0.4">
      <c r="G382" s="12"/>
      <c r="H382" s="12"/>
    </row>
    <row r="383" spans="7:8" ht="15" thickBot="1" x14ac:dyDescent="0.4">
      <c r="G383" s="12"/>
      <c r="H383" s="12"/>
    </row>
    <row r="384" spans="7:8" ht="15" thickBot="1" x14ac:dyDescent="0.4">
      <c r="G384" s="12"/>
      <c r="H384" s="12"/>
    </row>
    <row r="385" spans="7:8" ht="15" thickBot="1" x14ac:dyDescent="0.4">
      <c r="G385" s="12"/>
      <c r="H385" s="12"/>
    </row>
    <row r="386" spans="7:8" ht="15" thickBot="1" x14ac:dyDescent="0.4">
      <c r="G386" s="12"/>
      <c r="H386" s="12"/>
    </row>
    <row r="387" spans="7:8" ht="15" thickBot="1" x14ac:dyDescent="0.4">
      <c r="G387" s="12"/>
      <c r="H387" s="12"/>
    </row>
    <row r="388" spans="7:8" ht="15" thickBot="1" x14ac:dyDescent="0.4">
      <c r="G388" s="12"/>
      <c r="H388" s="12"/>
    </row>
    <row r="389" spans="7:8" ht="15" thickBot="1" x14ac:dyDescent="0.4">
      <c r="G389" s="12"/>
      <c r="H389" s="12"/>
    </row>
    <row r="390" spans="7:8" ht="15" thickBot="1" x14ac:dyDescent="0.4">
      <c r="G390" s="12"/>
      <c r="H390" s="12"/>
    </row>
    <row r="391" spans="7:8" ht="15" thickBot="1" x14ac:dyDescent="0.4">
      <c r="G391" s="12"/>
      <c r="H391" s="12"/>
    </row>
    <row r="392" spans="7:8" ht="15" thickBot="1" x14ac:dyDescent="0.4">
      <c r="G392" s="12"/>
      <c r="H392" s="12"/>
    </row>
    <row r="393" spans="7:8" ht="15" thickBot="1" x14ac:dyDescent="0.4">
      <c r="G393" s="12"/>
      <c r="H393" s="12"/>
    </row>
    <row r="394" spans="7:8" ht="15" thickBot="1" x14ac:dyDescent="0.4">
      <c r="G394" s="12"/>
      <c r="H394" s="12"/>
    </row>
    <row r="395" spans="7:8" ht="15" thickBot="1" x14ac:dyDescent="0.4">
      <c r="G395" s="12"/>
      <c r="H395" s="12"/>
    </row>
    <row r="396" spans="7:8" ht="15" thickBot="1" x14ac:dyDescent="0.4">
      <c r="G396" s="12"/>
      <c r="H396" s="12"/>
    </row>
    <row r="397" spans="7:8" ht="15" thickBot="1" x14ac:dyDescent="0.4">
      <c r="G397" s="12"/>
      <c r="H397" s="12"/>
    </row>
    <row r="398" spans="7:8" ht="15" thickBot="1" x14ac:dyDescent="0.4">
      <c r="G398" s="12"/>
      <c r="H398" s="12"/>
    </row>
    <row r="399" spans="7:8" ht="15" thickBot="1" x14ac:dyDescent="0.4">
      <c r="G399" s="12"/>
      <c r="H399" s="12"/>
    </row>
    <row r="400" spans="7:8" ht="15" thickBot="1" x14ac:dyDescent="0.4">
      <c r="G400" s="12"/>
      <c r="H400" s="12"/>
    </row>
    <row r="401" spans="7:8" ht="15" thickBot="1" x14ac:dyDescent="0.4">
      <c r="G401" s="12"/>
      <c r="H401" s="12"/>
    </row>
    <row r="402" spans="7:8" ht="15" thickBot="1" x14ac:dyDescent="0.4">
      <c r="G402" s="12"/>
      <c r="H402" s="12"/>
    </row>
    <row r="403" spans="7:8" ht="15" thickBot="1" x14ac:dyDescent="0.4">
      <c r="G403" s="12"/>
      <c r="H403" s="12"/>
    </row>
    <row r="404" spans="7:8" ht="15" thickBot="1" x14ac:dyDescent="0.4">
      <c r="G404" s="12"/>
      <c r="H404" s="12"/>
    </row>
    <row r="405" spans="7:8" ht="15" thickBot="1" x14ac:dyDescent="0.4">
      <c r="G405" s="12"/>
      <c r="H405" s="12"/>
    </row>
    <row r="406" spans="7:8" ht="15" thickBot="1" x14ac:dyDescent="0.4">
      <c r="G406" s="12"/>
      <c r="H406" s="12"/>
    </row>
    <row r="407" spans="7:8" ht="15" thickBot="1" x14ac:dyDescent="0.4">
      <c r="G407" s="12"/>
      <c r="H407" s="12"/>
    </row>
    <row r="408" spans="7:8" ht="15" thickBot="1" x14ac:dyDescent="0.4">
      <c r="G408" s="12"/>
      <c r="H408" s="12"/>
    </row>
    <row r="409" spans="7:8" ht="15" thickBot="1" x14ac:dyDescent="0.4">
      <c r="G409" s="12"/>
      <c r="H409" s="12"/>
    </row>
    <row r="410" spans="7:8" ht="15" thickBot="1" x14ac:dyDescent="0.4">
      <c r="G410" s="12"/>
      <c r="H410" s="12"/>
    </row>
    <row r="411" spans="7:8" ht="15" thickBot="1" x14ac:dyDescent="0.4">
      <c r="G411" s="12"/>
      <c r="H411" s="12"/>
    </row>
    <row r="412" spans="7:8" ht="15" thickBot="1" x14ac:dyDescent="0.4">
      <c r="G412" s="12"/>
      <c r="H412" s="12"/>
    </row>
    <row r="413" spans="7:8" ht="15" thickBot="1" x14ac:dyDescent="0.4">
      <c r="G413" s="12"/>
      <c r="H413" s="12"/>
    </row>
    <row r="414" spans="7:8" ht="15" thickBot="1" x14ac:dyDescent="0.4">
      <c r="G414" s="12"/>
      <c r="H414" s="12"/>
    </row>
    <row r="415" spans="7:8" ht="15" thickBot="1" x14ac:dyDescent="0.4">
      <c r="G415" s="12"/>
      <c r="H415" s="12"/>
    </row>
    <row r="416" spans="7:8" ht="15" thickBot="1" x14ac:dyDescent="0.4">
      <c r="G416" s="12"/>
      <c r="H416" s="12"/>
    </row>
    <row r="417" spans="7:8" ht="15" thickBot="1" x14ac:dyDescent="0.4">
      <c r="G417" s="12"/>
      <c r="H417" s="12"/>
    </row>
    <row r="418" spans="7:8" ht="15" thickBot="1" x14ac:dyDescent="0.4">
      <c r="G418" s="12"/>
      <c r="H418" s="12"/>
    </row>
    <row r="419" spans="7:8" ht="15" thickBot="1" x14ac:dyDescent="0.4">
      <c r="G419" s="12"/>
      <c r="H419" s="12"/>
    </row>
    <row r="420" spans="7:8" ht="15" thickBot="1" x14ac:dyDescent="0.4">
      <c r="G420" s="12"/>
      <c r="H420" s="12"/>
    </row>
    <row r="421" spans="7:8" ht="15" thickBot="1" x14ac:dyDescent="0.4">
      <c r="G421" s="12"/>
      <c r="H421" s="12"/>
    </row>
    <row r="422" spans="7:8" ht="15" thickBot="1" x14ac:dyDescent="0.4">
      <c r="G422" s="12"/>
      <c r="H422" s="12"/>
    </row>
    <row r="423" spans="7:8" ht="15" thickBot="1" x14ac:dyDescent="0.4">
      <c r="G423" s="12"/>
      <c r="H423" s="12"/>
    </row>
    <row r="424" spans="7:8" ht="15" thickBot="1" x14ac:dyDescent="0.4">
      <c r="G424" s="12"/>
      <c r="H424" s="12"/>
    </row>
    <row r="425" spans="7:8" ht="15" thickBot="1" x14ac:dyDescent="0.4">
      <c r="G425" s="12"/>
      <c r="H425" s="12"/>
    </row>
    <row r="426" spans="7:8" ht="15" thickBot="1" x14ac:dyDescent="0.4">
      <c r="G426" s="12"/>
      <c r="H426" s="12"/>
    </row>
    <row r="427" spans="7:8" ht="15" thickBot="1" x14ac:dyDescent="0.4">
      <c r="G427" s="12"/>
      <c r="H427" s="12"/>
    </row>
    <row r="428" spans="7:8" ht="15" thickBot="1" x14ac:dyDescent="0.4">
      <c r="G428" s="12"/>
      <c r="H428" s="12"/>
    </row>
    <row r="429" spans="7:8" ht="15" thickBot="1" x14ac:dyDescent="0.4">
      <c r="G429" s="12"/>
      <c r="H429" s="12"/>
    </row>
    <row r="430" spans="7:8" ht="15" thickBot="1" x14ac:dyDescent="0.4">
      <c r="G430" s="12"/>
      <c r="H430" s="12"/>
    </row>
    <row r="431" spans="7:8" ht="15" thickBot="1" x14ac:dyDescent="0.4">
      <c r="G431" s="12"/>
      <c r="H431" s="12"/>
    </row>
    <row r="432" spans="7:8" ht="15" thickBot="1" x14ac:dyDescent="0.4">
      <c r="G432" s="12"/>
      <c r="H432" s="12"/>
    </row>
    <row r="433" spans="7:8" ht="15" thickBot="1" x14ac:dyDescent="0.4">
      <c r="G433" s="12"/>
      <c r="H433" s="12"/>
    </row>
    <row r="434" spans="7:8" ht="15" thickBot="1" x14ac:dyDescent="0.4">
      <c r="G434" s="12"/>
      <c r="H434" s="12"/>
    </row>
    <row r="435" spans="7:8" ht="15" thickBot="1" x14ac:dyDescent="0.4">
      <c r="G435" s="12"/>
      <c r="H435" s="12"/>
    </row>
    <row r="436" spans="7:8" ht="15" thickBot="1" x14ac:dyDescent="0.4">
      <c r="G436" s="12"/>
      <c r="H436" s="12"/>
    </row>
    <row r="437" spans="7:8" ht="15" thickBot="1" x14ac:dyDescent="0.4">
      <c r="G437" s="12"/>
      <c r="H437" s="12"/>
    </row>
    <row r="438" spans="7:8" ht="15" thickBot="1" x14ac:dyDescent="0.4">
      <c r="G438" s="12"/>
      <c r="H438" s="12"/>
    </row>
    <row r="439" spans="7:8" ht="15" thickBot="1" x14ac:dyDescent="0.4">
      <c r="G439" s="12"/>
      <c r="H439" s="12"/>
    </row>
    <row r="440" spans="7:8" ht="15" thickBot="1" x14ac:dyDescent="0.4">
      <c r="G440" s="12"/>
      <c r="H440" s="12"/>
    </row>
    <row r="441" spans="7:8" ht="15" thickBot="1" x14ac:dyDescent="0.4">
      <c r="G441" s="12"/>
      <c r="H441" s="12"/>
    </row>
    <row r="442" spans="7:8" ht="15" thickBot="1" x14ac:dyDescent="0.4">
      <c r="G442" s="12"/>
      <c r="H442" s="12"/>
    </row>
    <row r="443" spans="7:8" ht="15" thickBot="1" x14ac:dyDescent="0.4">
      <c r="G443" s="12"/>
      <c r="H443" s="12"/>
    </row>
    <row r="444" spans="7:8" ht="15" thickBot="1" x14ac:dyDescent="0.4">
      <c r="G444" s="12"/>
      <c r="H444" s="12"/>
    </row>
    <row r="445" spans="7:8" ht="15" thickBot="1" x14ac:dyDescent="0.4">
      <c r="G445" s="12"/>
      <c r="H445" s="12"/>
    </row>
    <row r="446" spans="7:8" ht="15" thickBot="1" x14ac:dyDescent="0.4">
      <c r="G446" s="12"/>
      <c r="H446" s="12"/>
    </row>
    <row r="447" spans="7:8" ht="15" thickBot="1" x14ac:dyDescent="0.4">
      <c r="G447" s="12"/>
      <c r="H447" s="12"/>
    </row>
    <row r="448" spans="7:8" ht="15" thickBot="1" x14ac:dyDescent="0.4">
      <c r="G448" s="12"/>
      <c r="H448" s="12"/>
    </row>
    <row r="449" spans="7:8" ht="15" thickBot="1" x14ac:dyDescent="0.4">
      <c r="G449" s="12"/>
      <c r="H449" s="12"/>
    </row>
    <row r="450" spans="7:8" ht="15" thickBot="1" x14ac:dyDescent="0.4">
      <c r="G450" s="12"/>
      <c r="H450" s="12"/>
    </row>
    <row r="451" spans="7:8" ht="15" thickBot="1" x14ac:dyDescent="0.4">
      <c r="G451" s="12"/>
      <c r="H451" s="12"/>
    </row>
    <row r="452" spans="7:8" ht="15" thickBot="1" x14ac:dyDescent="0.4">
      <c r="G452" s="12"/>
      <c r="H452" s="12"/>
    </row>
    <row r="453" spans="7:8" ht="15" thickBot="1" x14ac:dyDescent="0.4">
      <c r="G453" s="12"/>
      <c r="H453" s="12"/>
    </row>
    <row r="454" spans="7:8" ht="15" thickBot="1" x14ac:dyDescent="0.4">
      <c r="G454" s="12"/>
      <c r="H454" s="12"/>
    </row>
    <row r="455" spans="7:8" ht="15" thickBot="1" x14ac:dyDescent="0.4">
      <c r="G455" s="12"/>
      <c r="H455" s="12"/>
    </row>
    <row r="456" spans="7:8" ht="15" thickBot="1" x14ac:dyDescent="0.4">
      <c r="G456" s="12"/>
      <c r="H456" s="12"/>
    </row>
    <row r="457" spans="7:8" ht="15" thickBot="1" x14ac:dyDescent="0.4">
      <c r="G457" s="12"/>
      <c r="H457" s="12"/>
    </row>
    <row r="458" spans="7:8" ht="15" thickBot="1" x14ac:dyDescent="0.4">
      <c r="G458" s="12"/>
      <c r="H458" s="12"/>
    </row>
    <row r="459" spans="7:8" ht="15" thickBot="1" x14ac:dyDescent="0.4">
      <c r="G459" s="12"/>
      <c r="H459" s="12"/>
    </row>
    <row r="460" spans="7:8" ht="15" thickBot="1" x14ac:dyDescent="0.4">
      <c r="G460" s="12"/>
      <c r="H460" s="12"/>
    </row>
    <row r="461" spans="7:8" ht="15" thickBot="1" x14ac:dyDescent="0.4">
      <c r="G461" s="12"/>
      <c r="H461" s="12"/>
    </row>
    <row r="462" spans="7:8" ht="15" thickBot="1" x14ac:dyDescent="0.4">
      <c r="G462" s="12"/>
      <c r="H462" s="12"/>
    </row>
    <row r="463" spans="7:8" ht="15" thickBot="1" x14ac:dyDescent="0.4">
      <c r="G463" s="12"/>
      <c r="H463" s="12"/>
    </row>
    <row r="464" spans="7:8" ht="15" thickBot="1" x14ac:dyDescent="0.4">
      <c r="G464" s="12"/>
      <c r="H464" s="12"/>
    </row>
    <row r="465" spans="7:8" ht="15" thickBot="1" x14ac:dyDescent="0.4">
      <c r="G465" s="12"/>
      <c r="H465" s="12"/>
    </row>
    <row r="466" spans="7:8" ht="15" thickBot="1" x14ac:dyDescent="0.4">
      <c r="G466" s="12"/>
      <c r="H466" s="12"/>
    </row>
    <row r="467" spans="7:8" ht="15" thickBot="1" x14ac:dyDescent="0.4">
      <c r="G467" s="12"/>
      <c r="H467" s="12"/>
    </row>
    <row r="468" spans="7:8" ht="15" thickBot="1" x14ac:dyDescent="0.4">
      <c r="G468" s="12"/>
      <c r="H468" s="12"/>
    </row>
    <row r="469" spans="7:8" ht="15" thickBot="1" x14ac:dyDescent="0.4">
      <c r="G469" s="12"/>
      <c r="H469" s="12"/>
    </row>
    <row r="470" spans="7:8" ht="15" thickBot="1" x14ac:dyDescent="0.4">
      <c r="G470" s="12"/>
      <c r="H470" s="12"/>
    </row>
    <row r="471" spans="7:8" ht="15" thickBot="1" x14ac:dyDescent="0.4">
      <c r="G471" s="12"/>
      <c r="H471" s="12"/>
    </row>
    <row r="472" spans="7:8" ht="15" thickBot="1" x14ac:dyDescent="0.4">
      <c r="G472" s="12"/>
      <c r="H472" s="12"/>
    </row>
    <row r="473" spans="7:8" ht="15" thickBot="1" x14ac:dyDescent="0.4">
      <c r="G473" s="12"/>
      <c r="H473" s="12"/>
    </row>
    <row r="474" spans="7:8" ht="15" thickBot="1" x14ac:dyDescent="0.4">
      <c r="G474" s="12"/>
      <c r="H474" s="12"/>
    </row>
    <row r="475" spans="7:8" ht="15" thickBot="1" x14ac:dyDescent="0.4">
      <c r="G475" s="12"/>
      <c r="H475" s="12"/>
    </row>
    <row r="476" spans="7:8" ht="15" thickBot="1" x14ac:dyDescent="0.4">
      <c r="G476" s="12"/>
      <c r="H476" s="12"/>
    </row>
    <row r="477" spans="7:8" ht="15" thickBot="1" x14ac:dyDescent="0.4">
      <c r="G477" s="12"/>
      <c r="H477" s="12"/>
    </row>
    <row r="478" spans="7:8" ht="15" thickBot="1" x14ac:dyDescent="0.4">
      <c r="G478" s="12"/>
      <c r="H478" s="12"/>
    </row>
    <row r="479" spans="7:8" ht="15" thickBot="1" x14ac:dyDescent="0.4">
      <c r="G479" s="12"/>
      <c r="H479" s="12"/>
    </row>
    <row r="480" spans="7:8" ht="15" thickBot="1" x14ac:dyDescent="0.4">
      <c r="G480" s="12"/>
      <c r="H480" s="12"/>
    </row>
    <row r="481" spans="7:8" ht="15" thickBot="1" x14ac:dyDescent="0.4">
      <c r="G481" s="12"/>
      <c r="H481" s="12"/>
    </row>
    <row r="482" spans="7:8" ht="15" thickBot="1" x14ac:dyDescent="0.4">
      <c r="G482" s="12"/>
      <c r="H482" s="12"/>
    </row>
    <row r="483" spans="7:8" ht="15" thickBot="1" x14ac:dyDescent="0.4">
      <c r="G483" s="12"/>
      <c r="H483" s="12"/>
    </row>
    <row r="484" spans="7:8" ht="15" thickBot="1" x14ac:dyDescent="0.4">
      <c r="G484" s="12"/>
      <c r="H484" s="12"/>
    </row>
    <row r="485" spans="7:8" ht="15" thickBot="1" x14ac:dyDescent="0.4">
      <c r="G485" s="12"/>
      <c r="H485" s="12"/>
    </row>
    <row r="486" spans="7:8" ht="15" thickBot="1" x14ac:dyDescent="0.4">
      <c r="G486" s="12"/>
      <c r="H486" s="12"/>
    </row>
    <row r="487" spans="7:8" ht="15" thickBot="1" x14ac:dyDescent="0.4">
      <c r="G487" s="12"/>
      <c r="H487" s="12"/>
    </row>
    <row r="488" spans="7:8" ht="15" thickBot="1" x14ac:dyDescent="0.4">
      <c r="G488" s="12"/>
      <c r="H488" s="12"/>
    </row>
    <row r="489" spans="7:8" ht="15" thickBot="1" x14ac:dyDescent="0.4">
      <c r="G489" s="12"/>
      <c r="H489" s="12"/>
    </row>
    <row r="490" spans="7:8" ht="15" thickBot="1" x14ac:dyDescent="0.4">
      <c r="G490" s="12"/>
      <c r="H490" s="12"/>
    </row>
    <row r="491" spans="7:8" ht="15" thickBot="1" x14ac:dyDescent="0.4">
      <c r="G491" s="12"/>
      <c r="H491" s="12"/>
    </row>
    <row r="492" spans="7:8" ht="15" thickBot="1" x14ac:dyDescent="0.4">
      <c r="G492" s="12"/>
      <c r="H492" s="12"/>
    </row>
    <row r="493" spans="7:8" ht="15" thickBot="1" x14ac:dyDescent="0.4">
      <c r="G493" s="12"/>
      <c r="H493" s="12"/>
    </row>
    <row r="494" spans="7:8" ht="15" thickBot="1" x14ac:dyDescent="0.4">
      <c r="G494" s="12"/>
      <c r="H494" s="12"/>
    </row>
    <row r="495" spans="7:8" ht="15" thickBot="1" x14ac:dyDescent="0.4">
      <c r="G495" s="12"/>
      <c r="H495" s="12"/>
    </row>
    <row r="496" spans="7:8" ht="15" thickBot="1" x14ac:dyDescent="0.4">
      <c r="G496" s="12"/>
      <c r="H496" s="12"/>
    </row>
    <row r="497" spans="7:8" ht="15" thickBot="1" x14ac:dyDescent="0.4">
      <c r="G497" s="12"/>
      <c r="H497" s="12"/>
    </row>
    <row r="498" spans="7:8" ht="15" thickBot="1" x14ac:dyDescent="0.4">
      <c r="G498" s="12"/>
      <c r="H498" s="12"/>
    </row>
    <row r="499" spans="7:8" ht="15" thickBot="1" x14ac:dyDescent="0.4">
      <c r="G499" s="12"/>
      <c r="H499" s="12"/>
    </row>
    <row r="500" spans="7:8" ht="15" thickBot="1" x14ac:dyDescent="0.4">
      <c r="G500" s="12"/>
      <c r="H500" s="12"/>
    </row>
    <row r="501" spans="7:8" ht="15" thickBot="1" x14ac:dyDescent="0.4">
      <c r="G501" s="12"/>
      <c r="H501" s="12"/>
    </row>
    <row r="502" spans="7:8" ht="15" thickBot="1" x14ac:dyDescent="0.4">
      <c r="G502" s="12"/>
      <c r="H502" s="12"/>
    </row>
    <row r="503" spans="7:8" ht="15" thickBot="1" x14ac:dyDescent="0.4">
      <c r="G503" s="12"/>
      <c r="H503" s="12"/>
    </row>
    <row r="504" spans="7:8" ht="15" thickBot="1" x14ac:dyDescent="0.4">
      <c r="G504" s="12"/>
      <c r="H504" s="12"/>
    </row>
    <row r="505" spans="7:8" ht="15" thickBot="1" x14ac:dyDescent="0.4">
      <c r="G505" s="12"/>
      <c r="H505" s="12"/>
    </row>
    <row r="506" spans="7:8" ht="15" thickBot="1" x14ac:dyDescent="0.4">
      <c r="G506" s="12"/>
      <c r="H506" s="12"/>
    </row>
    <row r="507" spans="7:8" ht="15" thickBot="1" x14ac:dyDescent="0.4">
      <c r="G507" s="12"/>
      <c r="H507" s="12"/>
    </row>
    <row r="508" spans="7:8" ht="15" thickBot="1" x14ac:dyDescent="0.4">
      <c r="G508" s="12"/>
      <c r="H508" s="12"/>
    </row>
    <row r="509" spans="7:8" ht="15" thickBot="1" x14ac:dyDescent="0.4">
      <c r="G509" s="12"/>
      <c r="H509" s="12"/>
    </row>
    <row r="510" spans="7:8" ht="15" thickBot="1" x14ac:dyDescent="0.4">
      <c r="G510" s="12"/>
      <c r="H510" s="12"/>
    </row>
    <row r="511" spans="7:8" ht="15" thickBot="1" x14ac:dyDescent="0.4">
      <c r="G511" s="12"/>
      <c r="H511" s="12"/>
    </row>
    <row r="512" spans="7:8" ht="15" thickBot="1" x14ac:dyDescent="0.4">
      <c r="G512" s="12"/>
      <c r="H512" s="12"/>
    </row>
    <row r="513" spans="7:8" ht="15" thickBot="1" x14ac:dyDescent="0.4">
      <c r="G513" s="12"/>
      <c r="H513" s="12"/>
    </row>
    <row r="514" spans="7:8" ht="15" thickBot="1" x14ac:dyDescent="0.4">
      <c r="G514" s="12"/>
      <c r="H514" s="12"/>
    </row>
    <row r="515" spans="7:8" ht="15" thickBot="1" x14ac:dyDescent="0.4">
      <c r="G515" s="12"/>
      <c r="H515" s="12"/>
    </row>
    <row r="516" spans="7:8" ht="15" thickBot="1" x14ac:dyDescent="0.4">
      <c r="G516" s="12"/>
      <c r="H516" s="12"/>
    </row>
    <row r="517" spans="7:8" ht="15" thickBot="1" x14ac:dyDescent="0.4">
      <c r="G517" s="12"/>
      <c r="H517" s="12"/>
    </row>
    <row r="518" spans="7:8" ht="15" thickBot="1" x14ac:dyDescent="0.4">
      <c r="G518" s="12"/>
      <c r="H518" s="12"/>
    </row>
    <row r="519" spans="7:8" ht="15" thickBot="1" x14ac:dyDescent="0.4">
      <c r="G519" s="12"/>
      <c r="H519" s="12"/>
    </row>
    <row r="520" spans="7:8" ht="15" thickBot="1" x14ac:dyDescent="0.4">
      <c r="G520" s="12"/>
      <c r="H520" s="12"/>
    </row>
    <row r="521" spans="7:8" ht="15" thickBot="1" x14ac:dyDescent="0.4">
      <c r="G521" s="12"/>
      <c r="H521" s="12"/>
    </row>
    <row r="522" spans="7:8" ht="15" thickBot="1" x14ac:dyDescent="0.4">
      <c r="G522" s="12"/>
      <c r="H522" s="12"/>
    </row>
    <row r="523" spans="7:8" ht="15" thickBot="1" x14ac:dyDescent="0.4">
      <c r="G523" s="12"/>
      <c r="H523" s="12"/>
    </row>
    <row r="524" spans="7:8" ht="15" thickBot="1" x14ac:dyDescent="0.4">
      <c r="G524" s="12"/>
      <c r="H524" s="12"/>
    </row>
    <row r="525" spans="7:8" ht="15" thickBot="1" x14ac:dyDescent="0.4">
      <c r="G525" s="12"/>
      <c r="H525" s="12"/>
    </row>
    <row r="526" spans="7:8" ht="15" thickBot="1" x14ac:dyDescent="0.4">
      <c r="G526" s="12"/>
      <c r="H526" s="12"/>
    </row>
    <row r="527" spans="7:8" ht="15" thickBot="1" x14ac:dyDescent="0.4">
      <c r="G527" s="12"/>
      <c r="H527" s="12"/>
    </row>
    <row r="528" spans="7:8" ht="15" thickBot="1" x14ac:dyDescent="0.4">
      <c r="G528" s="12"/>
      <c r="H528" s="12"/>
    </row>
    <row r="529" spans="7:8" ht="15" thickBot="1" x14ac:dyDescent="0.4">
      <c r="G529" s="12"/>
      <c r="H529" s="12"/>
    </row>
    <row r="530" spans="7:8" ht="15" thickBot="1" x14ac:dyDescent="0.4">
      <c r="G530" s="12"/>
      <c r="H530" s="12"/>
    </row>
    <row r="531" spans="7:8" ht="15" thickBot="1" x14ac:dyDescent="0.4">
      <c r="G531" s="12"/>
      <c r="H531" s="12"/>
    </row>
    <row r="532" spans="7:8" ht="15" thickBot="1" x14ac:dyDescent="0.4">
      <c r="G532" s="12"/>
      <c r="H532" s="12"/>
    </row>
    <row r="533" spans="7:8" ht="15" thickBot="1" x14ac:dyDescent="0.4">
      <c r="G533" s="12"/>
      <c r="H533" s="12"/>
    </row>
    <row r="534" spans="7:8" ht="15" thickBot="1" x14ac:dyDescent="0.4">
      <c r="G534" s="12"/>
      <c r="H534" s="12"/>
    </row>
    <row r="535" spans="7:8" ht="15" thickBot="1" x14ac:dyDescent="0.4">
      <c r="G535" s="12"/>
      <c r="H535" s="12"/>
    </row>
    <row r="536" spans="7:8" ht="15" thickBot="1" x14ac:dyDescent="0.4">
      <c r="G536" s="12"/>
      <c r="H536" s="12"/>
    </row>
    <row r="537" spans="7:8" ht="15" thickBot="1" x14ac:dyDescent="0.4">
      <c r="G537" s="12"/>
      <c r="H537" s="12"/>
    </row>
    <row r="538" spans="7:8" ht="15" thickBot="1" x14ac:dyDescent="0.4">
      <c r="G538" s="12"/>
      <c r="H538" s="12"/>
    </row>
    <row r="539" spans="7:8" ht="15" thickBot="1" x14ac:dyDescent="0.4">
      <c r="G539" s="12"/>
      <c r="H539" s="12"/>
    </row>
    <row r="540" spans="7:8" ht="15" thickBot="1" x14ac:dyDescent="0.4">
      <c r="G540" s="12"/>
      <c r="H540" s="12"/>
    </row>
    <row r="541" spans="7:8" ht="15" thickBot="1" x14ac:dyDescent="0.4">
      <c r="G541" s="12"/>
      <c r="H541" s="12"/>
    </row>
    <row r="542" spans="7:8" ht="15" thickBot="1" x14ac:dyDescent="0.4">
      <c r="G542" s="12"/>
      <c r="H542" s="12"/>
    </row>
    <row r="543" spans="7:8" ht="15" thickBot="1" x14ac:dyDescent="0.4">
      <c r="G543" s="12"/>
      <c r="H543" s="12"/>
    </row>
    <row r="544" spans="7:8" ht="15" thickBot="1" x14ac:dyDescent="0.4">
      <c r="G544" s="12"/>
      <c r="H544" s="12"/>
    </row>
    <row r="545" spans="7:8" ht="15" thickBot="1" x14ac:dyDescent="0.4">
      <c r="G545" s="12"/>
      <c r="H545" s="12"/>
    </row>
    <row r="546" spans="7:8" ht="15" thickBot="1" x14ac:dyDescent="0.4">
      <c r="G546" s="12"/>
      <c r="H546" s="12"/>
    </row>
    <row r="547" spans="7:8" ht="15" thickBot="1" x14ac:dyDescent="0.4">
      <c r="G547" s="12"/>
      <c r="H547" s="12"/>
    </row>
    <row r="548" spans="7:8" ht="15" thickBot="1" x14ac:dyDescent="0.4">
      <c r="G548" s="12"/>
      <c r="H548" s="12"/>
    </row>
    <row r="549" spans="7:8" ht="15" thickBot="1" x14ac:dyDescent="0.4">
      <c r="G549" s="12"/>
      <c r="H549" s="12"/>
    </row>
    <row r="550" spans="7:8" ht="15" thickBot="1" x14ac:dyDescent="0.4">
      <c r="G550" s="12"/>
      <c r="H550" s="12"/>
    </row>
    <row r="551" spans="7:8" ht="15" thickBot="1" x14ac:dyDescent="0.4">
      <c r="G551" s="12"/>
      <c r="H551" s="12"/>
    </row>
    <row r="552" spans="7:8" ht="15" thickBot="1" x14ac:dyDescent="0.4">
      <c r="G552" s="12"/>
      <c r="H552" s="12"/>
    </row>
    <row r="553" spans="7:8" ht="15" thickBot="1" x14ac:dyDescent="0.4">
      <c r="G553" s="12"/>
      <c r="H553" s="12"/>
    </row>
    <row r="554" spans="7:8" ht="15" thickBot="1" x14ac:dyDescent="0.4">
      <c r="G554" s="12"/>
      <c r="H554" s="12"/>
    </row>
    <row r="555" spans="7:8" ht="15" thickBot="1" x14ac:dyDescent="0.4">
      <c r="G555" s="12"/>
      <c r="H555" s="12"/>
    </row>
    <row r="556" spans="7:8" ht="15" thickBot="1" x14ac:dyDescent="0.4">
      <c r="G556" s="12"/>
      <c r="H556" s="12"/>
    </row>
    <row r="557" spans="7:8" ht="15" thickBot="1" x14ac:dyDescent="0.4">
      <c r="G557" s="12"/>
      <c r="H557" s="12"/>
    </row>
    <row r="558" spans="7:8" ht="15" thickBot="1" x14ac:dyDescent="0.4">
      <c r="G558" s="12"/>
      <c r="H558" s="12"/>
    </row>
    <row r="559" spans="7:8" ht="15" thickBot="1" x14ac:dyDescent="0.4">
      <c r="G559" s="12"/>
      <c r="H559" s="12"/>
    </row>
    <row r="560" spans="7:8" ht="15" thickBot="1" x14ac:dyDescent="0.4">
      <c r="G560" s="12"/>
      <c r="H560" s="12"/>
    </row>
    <row r="561" spans="7:8" ht="15" thickBot="1" x14ac:dyDescent="0.4">
      <c r="G561" s="12"/>
      <c r="H561" s="12"/>
    </row>
    <row r="562" spans="7:8" ht="15" thickBot="1" x14ac:dyDescent="0.4">
      <c r="G562" s="12"/>
      <c r="H562" s="12"/>
    </row>
    <row r="563" spans="7:8" ht="15" thickBot="1" x14ac:dyDescent="0.4">
      <c r="G563" s="12"/>
      <c r="H563" s="12"/>
    </row>
    <row r="564" spans="7:8" ht="15" thickBot="1" x14ac:dyDescent="0.4">
      <c r="G564" s="12"/>
      <c r="H564" s="12"/>
    </row>
    <row r="565" spans="7:8" ht="15" thickBot="1" x14ac:dyDescent="0.4">
      <c r="G565" s="12"/>
      <c r="H565" s="12"/>
    </row>
    <row r="566" spans="7:8" ht="15" thickBot="1" x14ac:dyDescent="0.4">
      <c r="G566" s="12"/>
      <c r="H566" s="12"/>
    </row>
    <row r="567" spans="7:8" ht="15" thickBot="1" x14ac:dyDescent="0.4">
      <c r="G567" s="12"/>
      <c r="H567" s="12"/>
    </row>
    <row r="568" spans="7:8" ht="15" thickBot="1" x14ac:dyDescent="0.4">
      <c r="G568" s="12"/>
      <c r="H568" s="12"/>
    </row>
    <row r="569" spans="7:8" ht="15" thickBot="1" x14ac:dyDescent="0.4">
      <c r="G569" s="12"/>
      <c r="H569" s="12"/>
    </row>
    <row r="570" spans="7:8" ht="15" thickBot="1" x14ac:dyDescent="0.4">
      <c r="G570" s="12"/>
      <c r="H570" s="12"/>
    </row>
    <row r="571" spans="7:8" ht="15" thickBot="1" x14ac:dyDescent="0.4">
      <c r="G571" s="12"/>
      <c r="H571" s="12"/>
    </row>
    <row r="572" spans="7:8" ht="15" thickBot="1" x14ac:dyDescent="0.4">
      <c r="G572" s="12"/>
      <c r="H572" s="12"/>
    </row>
    <row r="573" spans="7:8" ht="15" thickBot="1" x14ac:dyDescent="0.4">
      <c r="G573" s="12"/>
      <c r="H573" s="12"/>
    </row>
    <row r="574" spans="7:8" ht="15" thickBot="1" x14ac:dyDescent="0.4">
      <c r="G574" s="12"/>
      <c r="H574" s="12"/>
    </row>
    <row r="575" spans="7:8" ht="15" thickBot="1" x14ac:dyDescent="0.4">
      <c r="G575" s="12"/>
      <c r="H575" s="12"/>
    </row>
    <row r="576" spans="7:8" ht="15" thickBot="1" x14ac:dyDescent="0.4">
      <c r="G576" s="12"/>
      <c r="H576" s="12"/>
    </row>
    <row r="577" spans="7:8" ht="15" thickBot="1" x14ac:dyDescent="0.4">
      <c r="G577" s="12"/>
      <c r="H577" s="12"/>
    </row>
    <row r="578" spans="7:8" ht="15" thickBot="1" x14ac:dyDescent="0.4">
      <c r="G578" s="12"/>
      <c r="H578" s="12"/>
    </row>
    <row r="579" spans="7:8" ht="15" thickBot="1" x14ac:dyDescent="0.4">
      <c r="G579" s="12"/>
      <c r="H579" s="12"/>
    </row>
    <row r="580" spans="7:8" ht="15" thickBot="1" x14ac:dyDescent="0.4">
      <c r="G580" s="12"/>
      <c r="H580" s="12"/>
    </row>
    <row r="581" spans="7:8" ht="15" thickBot="1" x14ac:dyDescent="0.4">
      <c r="G581" s="12"/>
      <c r="H581" s="12"/>
    </row>
    <row r="582" spans="7:8" ht="15" thickBot="1" x14ac:dyDescent="0.4">
      <c r="G582" s="12"/>
      <c r="H582" s="12"/>
    </row>
    <row r="583" spans="7:8" ht="15" thickBot="1" x14ac:dyDescent="0.4">
      <c r="G583" s="12"/>
      <c r="H583" s="12"/>
    </row>
    <row r="584" spans="7:8" ht="15" thickBot="1" x14ac:dyDescent="0.4">
      <c r="G584" s="12"/>
      <c r="H584" s="12"/>
    </row>
    <row r="585" spans="7:8" ht="15" thickBot="1" x14ac:dyDescent="0.4">
      <c r="G585" s="12"/>
      <c r="H585" s="12"/>
    </row>
    <row r="586" spans="7:8" ht="15" thickBot="1" x14ac:dyDescent="0.4">
      <c r="G586" s="12"/>
      <c r="H586" s="12"/>
    </row>
    <row r="587" spans="7:8" ht="15" thickBot="1" x14ac:dyDescent="0.4">
      <c r="G587" s="12"/>
      <c r="H587" s="12"/>
    </row>
    <row r="588" spans="7:8" ht="15" thickBot="1" x14ac:dyDescent="0.4">
      <c r="G588" s="12"/>
      <c r="H588" s="12"/>
    </row>
    <row r="589" spans="7:8" ht="15" thickBot="1" x14ac:dyDescent="0.4">
      <c r="G589" s="12"/>
      <c r="H589" s="12"/>
    </row>
    <row r="590" spans="7:8" ht="15" thickBot="1" x14ac:dyDescent="0.4">
      <c r="G590" s="12"/>
      <c r="H590" s="12"/>
    </row>
    <row r="591" spans="7:8" ht="15" thickBot="1" x14ac:dyDescent="0.4">
      <c r="G591" s="12"/>
      <c r="H591" s="12"/>
    </row>
    <row r="592" spans="7:8" ht="15" thickBot="1" x14ac:dyDescent="0.4">
      <c r="G592" s="12"/>
      <c r="H592" s="12"/>
    </row>
    <row r="593" spans="7:8" ht="15" thickBot="1" x14ac:dyDescent="0.4">
      <c r="G593" s="12"/>
      <c r="H593" s="12"/>
    </row>
    <row r="594" spans="7:8" ht="15" thickBot="1" x14ac:dyDescent="0.4">
      <c r="G594" s="12"/>
      <c r="H594" s="12"/>
    </row>
    <row r="595" spans="7:8" ht="15" thickBot="1" x14ac:dyDescent="0.4">
      <c r="G595" s="12"/>
      <c r="H595" s="12"/>
    </row>
    <row r="596" spans="7:8" ht="15" thickBot="1" x14ac:dyDescent="0.4">
      <c r="G596" s="12"/>
      <c r="H596" s="12"/>
    </row>
    <row r="597" spans="7:8" ht="15" thickBot="1" x14ac:dyDescent="0.4">
      <c r="G597" s="12"/>
      <c r="H597" s="12"/>
    </row>
    <row r="598" spans="7:8" ht="15" thickBot="1" x14ac:dyDescent="0.4">
      <c r="G598" s="12"/>
      <c r="H598" s="12"/>
    </row>
    <row r="599" spans="7:8" ht="15" thickBot="1" x14ac:dyDescent="0.4">
      <c r="G599" s="12"/>
      <c r="H599" s="12"/>
    </row>
    <row r="600" spans="7:8" ht="15" thickBot="1" x14ac:dyDescent="0.4">
      <c r="G600" s="12"/>
      <c r="H600" s="12"/>
    </row>
    <row r="601" spans="7:8" ht="15" thickBot="1" x14ac:dyDescent="0.4">
      <c r="G601" s="12"/>
      <c r="H601" s="12"/>
    </row>
    <row r="602" spans="7:8" ht="15" thickBot="1" x14ac:dyDescent="0.4">
      <c r="G602" s="12"/>
      <c r="H602" s="12"/>
    </row>
    <row r="603" spans="7:8" ht="15" thickBot="1" x14ac:dyDescent="0.4">
      <c r="G603" s="12"/>
      <c r="H603" s="12"/>
    </row>
    <row r="604" spans="7:8" ht="15" thickBot="1" x14ac:dyDescent="0.4">
      <c r="G604" s="12"/>
      <c r="H604" s="12"/>
    </row>
    <row r="605" spans="7:8" ht="15" thickBot="1" x14ac:dyDescent="0.4">
      <c r="G605" s="12"/>
      <c r="H605" s="12"/>
    </row>
    <row r="606" spans="7:8" ht="15" thickBot="1" x14ac:dyDescent="0.4">
      <c r="G606" s="12"/>
      <c r="H606" s="12"/>
    </row>
    <row r="607" spans="7:8" ht="15" thickBot="1" x14ac:dyDescent="0.4">
      <c r="G607" s="12"/>
      <c r="H607" s="12"/>
    </row>
    <row r="608" spans="7:8" ht="15" thickBot="1" x14ac:dyDescent="0.4">
      <c r="G608" s="12"/>
      <c r="H608" s="12"/>
    </row>
    <row r="609" spans="7:8" ht="15" thickBot="1" x14ac:dyDescent="0.4">
      <c r="G609" s="12"/>
      <c r="H609" s="12"/>
    </row>
    <row r="610" spans="7:8" ht="15" thickBot="1" x14ac:dyDescent="0.4">
      <c r="G610" s="12"/>
      <c r="H610" s="12"/>
    </row>
    <row r="611" spans="7:8" ht="15" thickBot="1" x14ac:dyDescent="0.4">
      <c r="G611" s="12"/>
      <c r="H611" s="12"/>
    </row>
    <row r="612" spans="7:8" ht="15" thickBot="1" x14ac:dyDescent="0.4">
      <c r="G612" s="12"/>
      <c r="H612" s="12"/>
    </row>
    <row r="613" spans="7:8" ht="15" thickBot="1" x14ac:dyDescent="0.4">
      <c r="G613" s="12"/>
      <c r="H613" s="12"/>
    </row>
    <row r="614" spans="7:8" ht="15" thickBot="1" x14ac:dyDescent="0.4">
      <c r="G614" s="12"/>
      <c r="H614" s="12"/>
    </row>
    <row r="615" spans="7:8" ht="15" thickBot="1" x14ac:dyDescent="0.4">
      <c r="G615" s="12"/>
      <c r="H615" s="12"/>
    </row>
    <row r="616" spans="7:8" ht="15" thickBot="1" x14ac:dyDescent="0.4">
      <c r="G616" s="12"/>
      <c r="H616" s="12"/>
    </row>
    <row r="617" spans="7:8" ht="15" thickBot="1" x14ac:dyDescent="0.4">
      <c r="G617" s="12"/>
      <c r="H617" s="12"/>
    </row>
    <row r="618" spans="7:8" ht="15" thickBot="1" x14ac:dyDescent="0.4">
      <c r="G618" s="12"/>
      <c r="H618" s="12"/>
    </row>
    <row r="619" spans="7:8" ht="15" thickBot="1" x14ac:dyDescent="0.4">
      <c r="G619" s="12"/>
      <c r="H619" s="12"/>
    </row>
    <row r="620" spans="7:8" ht="15" thickBot="1" x14ac:dyDescent="0.4">
      <c r="G620" s="12"/>
      <c r="H620" s="12"/>
    </row>
    <row r="621" spans="7:8" ht="15" thickBot="1" x14ac:dyDescent="0.4">
      <c r="G621" s="12"/>
      <c r="H621" s="12"/>
    </row>
    <row r="622" spans="7:8" ht="15" thickBot="1" x14ac:dyDescent="0.4">
      <c r="G622" s="12"/>
      <c r="H622" s="12"/>
    </row>
    <row r="623" spans="7:8" ht="15" thickBot="1" x14ac:dyDescent="0.4">
      <c r="G623" s="12"/>
      <c r="H623" s="12"/>
    </row>
    <row r="624" spans="7:8" ht="15" thickBot="1" x14ac:dyDescent="0.4">
      <c r="G624" s="12"/>
      <c r="H624" s="12"/>
    </row>
    <row r="625" spans="7:8" ht="15" thickBot="1" x14ac:dyDescent="0.4">
      <c r="G625" s="12"/>
      <c r="H625" s="12"/>
    </row>
    <row r="626" spans="7:8" ht="15" thickBot="1" x14ac:dyDescent="0.4">
      <c r="G626" s="12"/>
      <c r="H626" s="12"/>
    </row>
    <row r="627" spans="7:8" ht="15" thickBot="1" x14ac:dyDescent="0.4">
      <c r="G627" s="12"/>
      <c r="H627" s="12"/>
    </row>
    <row r="628" spans="7:8" ht="15" thickBot="1" x14ac:dyDescent="0.4">
      <c r="G628" s="12"/>
      <c r="H628" s="12"/>
    </row>
    <row r="629" spans="7:8" ht="15" thickBot="1" x14ac:dyDescent="0.4">
      <c r="G629" s="12"/>
      <c r="H629" s="12"/>
    </row>
    <row r="630" spans="7:8" ht="15" thickBot="1" x14ac:dyDescent="0.4">
      <c r="G630" s="12"/>
      <c r="H630" s="12"/>
    </row>
    <row r="631" spans="7:8" ht="15" thickBot="1" x14ac:dyDescent="0.4">
      <c r="G631" s="12"/>
      <c r="H631" s="12"/>
    </row>
    <row r="632" spans="7:8" ht="15" thickBot="1" x14ac:dyDescent="0.4">
      <c r="G632" s="12"/>
      <c r="H632" s="12"/>
    </row>
    <row r="633" spans="7:8" ht="15" thickBot="1" x14ac:dyDescent="0.4">
      <c r="G633" s="12"/>
      <c r="H633" s="12"/>
    </row>
    <row r="634" spans="7:8" ht="15" thickBot="1" x14ac:dyDescent="0.4">
      <c r="G634" s="12"/>
      <c r="H634" s="12"/>
    </row>
    <row r="635" spans="7:8" ht="15" thickBot="1" x14ac:dyDescent="0.4">
      <c r="G635" s="12"/>
      <c r="H635" s="12"/>
    </row>
    <row r="636" spans="7:8" ht="15" thickBot="1" x14ac:dyDescent="0.4">
      <c r="G636" s="12"/>
      <c r="H636" s="12"/>
    </row>
    <row r="637" spans="7:8" ht="15" thickBot="1" x14ac:dyDescent="0.4">
      <c r="G637" s="12"/>
      <c r="H637" s="12"/>
    </row>
    <row r="638" spans="7:8" ht="15" thickBot="1" x14ac:dyDescent="0.4">
      <c r="G638" s="12"/>
      <c r="H638" s="12"/>
    </row>
    <row r="639" spans="7:8" ht="15" thickBot="1" x14ac:dyDescent="0.4">
      <c r="G639" s="12"/>
      <c r="H639" s="12"/>
    </row>
    <row r="640" spans="7:8" ht="15" thickBot="1" x14ac:dyDescent="0.4">
      <c r="G640" s="12"/>
      <c r="H640" s="12"/>
    </row>
    <row r="641" spans="7:8" ht="15" thickBot="1" x14ac:dyDescent="0.4">
      <c r="G641" s="12"/>
      <c r="H641" s="12"/>
    </row>
    <row r="642" spans="7:8" ht="15" thickBot="1" x14ac:dyDescent="0.4">
      <c r="G642" s="12"/>
      <c r="H642" s="12"/>
    </row>
    <row r="643" spans="7:8" ht="15" thickBot="1" x14ac:dyDescent="0.4">
      <c r="G643" s="12"/>
      <c r="H643" s="12"/>
    </row>
    <row r="644" spans="7:8" ht="15" thickBot="1" x14ac:dyDescent="0.4">
      <c r="G644" s="12"/>
      <c r="H644" s="12"/>
    </row>
    <row r="645" spans="7:8" ht="15" thickBot="1" x14ac:dyDescent="0.4">
      <c r="G645" s="12"/>
      <c r="H645" s="12"/>
    </row>
    <row r="646" spans="7:8" ht="15" thickBot="1" x14ac:dyDescent="0.4">
      <c r="G646" s="12"/>
      <c r="H646" s="12"/>
    </row>
    <row r="647" spans="7:8" ht="15" thickBot="1" x14ac:dyDescent="0.4">
      <c r="G647" s="12"/>
      <c r="H647" s="12"/>
    </row>
    <row r="648" spans="7:8" ht="15" thickBot="1" x14ac:dyDescent="0.4">
      <c r="G648" s="12"/>
      <c r="H648" s="12"/>
    </row>
    <row r="649" spans="7:8" ht="15" thickBot="1" x14ac:dyDescent="0.4">
      <c r="G649" s="12"/>
      <c r="H649" s="12"/>
    </row>
    <row r="650" spans="7:8" ht="15" thickBot="1" x14ac:dyDescent="0.4">
      <c r="G650" s="12"/>
      <c r="H650" s="12"/>
    </row>
    <row r="651" spans="7:8" ht="15" thickBot="1" x14ac:dyDescent="0.4">
      <c r="G651" s="12"/>
      <c r="H651" s="12"/>
    </row>
    <row r="652" spans="7:8" ht="15" thickBot="1" x14ac:dyDescent="0.4">
      <c r="G652" s="12"/>
      <c r="H652" s="12"/>
    </row>
    <row r="653" spans="7:8" ht="15" thickBot="1" x14ac:dyDescent="0.4">
      <c r="G653" s="12"/>
      <c r="H653" s="12"/>
    </row>
    <row r="654" spans="7:8" ht="15" thickBot="1" x14ac:dyDescent="0.4">
      <c r="G654" s="12"/>
      <c r="H654" s="12"/>
    </row>
    <row r="655" spans="7:8" ht="15" thickBot="1" x14ac:dyDescent="0.4">
      <c r="G655" s="12"/>
      <c r="H655" s="12"/>
    </row>
    <row r="656" spans="7:8" ht="15" thickBot="1" x14ac:dyDescent="0.4">
      <c r="G656" s="12"/>
      <c r="H656" s="12"/>
    </row>
    <row r="657" spans="7:8" ht="15" thickBot="1" x14ac:dyDescent="0.4">
      <c r="G657" s="12"/>
      <c r="H657" s="12"/>
    </row>
    <row r="658" spans="7:8" ht="15" thickBot="1" x14ac:dyDescent="0.4">
      <c r="G658" s="12"/>
      <c r="H658" s="12"/>
    </row>
    <row r="659" spans="7:8" ht="15" thickBot="1" x14ac:dyDescent="0.4">
      <c r="G659" s="12"/>
      <c r="H659" s="12"/>
    </row>
    <row r="660" spans="7:8" ht="15" thickBot="1" x14ac:dyDescent="0.4">
      <c r="G660" s="12"/>
      <c r="H660" s="12"/>
    </row>
    <row r="661" spans="7:8" ht="15" thickBot="1" x14ac:dyDescent="0.4">
      <c r="G661" s="12"/>
      <c r="H661" s="12"/>
    </row>
    <row r="662" spans="7:8" ht="15" thickBot="1" x14ac:dyDescent="0.4">
      <c r="G662" s="12"/>
      <c r="H662" s="12"/>
    </row>
    <row r="663" spans="7:8" ht="15" thickBot="1" x14ac:dyDescent="0.4">
      <c r="G663" s="12"/>
      <c r="H663" s="12"/>
    </row>
    <row r="664" spans="7:8" ht="15" thickBot="1" x14ac:dyDescent="0.4">
      <c r="G664" s="12"/>
      <c r="H664" s="12"/>
    </row>
    <row r="665" spans="7:8" ht="15" thickBot="1" x14ac:dyDescent="0.4">
      <c r="G665" s="12"/>
      <c r="H665" s="12"/>
    </row>
    <row r="666" spans="7:8" ht="15" thickBot="1" x14ac:dyDescent="0.4">
      <c r="G666" s="12"/>
      <c r="H666" s="12"/>
    </row>
    <row r="667" spans="7:8" ht="15" thickBot="1" x14ac:dyDescent="0.4">
      <c r="G667" s="12"/>
      <c r="H667" s="12"/>
    </row>
    <row r="668" spans="7:8" ht="15" thickBot="1" x14ac:dyDescent="0.4">
      <c r="G668" s="12"/>
      <c r="H668" s="12"/>
    </row>
    <row r="669" spans="7:8" ht="15" thickBot="1" x14ac:dyDescent="0.4">
      <c r="G669" s="12"/>
      <c r="H669" s="12"/>
    </row>
    <row r="670" spans="7:8" ht="15" thickBot="1" x14ac:dyDescent="0.4">
      <c r="G670" s="12"/>
      <c r="H670" s="12"/>
    </row>
    <row r="671" spans="7:8" ht="15" thickBot="1" x14ac:dyDescent="0.4">
      <c r="G671" s="12"/>
      <c r="H671" s="12"/>
    </row>
    <row r="672" spans="7:8" ht="15" thickBot="1" x14ac:dyDescent="0.4">
      <c r="G672" s="12"/>
      <c r="H672" s="12"/>
    </row>
    <row r="673" spans="7:8" ht="15" thickBot="1" x14ac:dyDescent="0.4">
      <c r="G673" s="12"/>
      <c r="H673" s="12"/>
    </row>
    <row r="674" spans="7:8" ht="15" thickBot="1" x14ac:dyDescent="0.4">
      <c r="G674" s="12"/>
      <c r="H674" s="12"/>
    </row>
    <row r="675" spans="7:8" ht="15" thickBot="1" x14ac:dyDescent="0.4">
      <c r="G675" s="12"/>
      <c r="H675" s="12"/>
    </row>
    <row r="676" spans="7:8" ht="15" thickBot="1" x14ac:dyDescent="0.4">
      <c r="G676" s="12"/>
      <c r="H676" s="12"/>
    </row>
    <row r="677" spans="7:8" ht="15" thickBot="1" x14ac:dyDescent="0.4">
      <c r="G677" s="12"/>
      <c r="H677" s="12"/>
    </row>
    <row r="678" spans="7:8" ht="15" thickBot="1" x14ac:dyDescent="0.4">
      <c r="G678" s="12"/>
      <c r="H678" s="12"/>
    </row>
    <row r="679" spans="7:8" ht="15" thickBot="1" x14ac:dyDescent="0.4">
      <c r="G679" s="12"/>
      <c r="H679" s="12"/>
    </row>
    <row r="680" spans="7:8" ht="15" thickBot="1" x14ac:dyDescent="0.4">
      <c r="G680" s="12"/>
      <c r="H680" s="12"/>
    </row>
    <row r="681" spans="7:8" ht="15" thickBot="1" x14ac:dyDescent="0.4">
      <c r="G681" s="12"/>
      <c r="H681" s="12"/>
    </row>
    <row r="682" spans="7:8" ht="15" thickBot="1" x14ac:dyDescent="0.4">
      <c r="G682" s="12"/>
      <c r="H682" s="12"/>
    </row>
    <row r="683" spans="7:8" ht="15" thickBot="1" x14ac:dyDescent="0.4">
      <c r="G683" s="12"/>
      <c r="H683" s="12"/>
    </row>
    <row r="684" spans="7:8" ht="15" thickBot="1" x14ac:dyDescent="0.4">
      <c r="G684" s="12"/>
      <c r="H684" s="12"/>
    </row>
    <row r="685" spans="7:8" ht="15" thickBot="1" x14ac:dyDescent="0.4">
      <c r="G685" s="12"/>
      <c r="H685" s="12"/>
    </row>
    <row r="686" spans="7:8" ht="15" thickBot="1" x14ac:dyDescent="0.4">
      <c r="G686" s="12"/>
      <c r="H686" s="12"/>
    </row>
    <row r="687" spans="7:8" ht="15" thickBot="1" x14ac:dyDescent="0.4">
      <c r="G687" s="12"/>
      <c r="H687" s="12"/>
    </row>
    <row r="688" spans="7:8" ht="15" thickBot="1" x14ac:dyDescent="0.4">
      <c r="G688" s="12"/>
      <c r="H688" s="12"/>
    </row>
    <row r="689" spans="7:8" ht="15" thickBot="1" x14ac:dyDescent="0.4">
      <c r="G689" s="12"/>
      <c r="H689" s="12"/>
    </row>
    <row r="690" spans="7:8" ht="15" thickBot="1" x14ac:dyDescent="0.4">
      <c r="G690" s="12"/>
      <c r="H690" s="12"/>
    </row>
    <row r="691" spans="7:8" ht="15" thickBot="1" x14ac:dyDescent="0.4">
      <c r="G691" s="12"/>
      <c r="H691" s="12"/>
    </row>
    <row r="692" spans="7:8" ht="15" thickBot="1" x14ac:dyDescent="0.4">
      <c r="G692" s="12"/>
      <c r="H692" s="12"/>
    </row>
    <row r="693" spans="7:8" ht="15" thickBot="1" x14ac:dyDescent="0.4">
      <c r="G693" s="12"/>
      <c r="H693" s="12"/>
    </row>
    <row r="694" spans="7:8" ht="15" thickBot="1" x14ac:dyDescent="0.4">
      <c r="G694" s="12"/>
      <c r="H694" s="12"/>
    </row>
    <row r="695" spans="7:8" ht="15" thickBot="1" x14ac:dyDescent="0.4">
      <c r="G695" s="12"/>
      <c r="H695" s="12"/>
    </row>
    <row r="696" spans="7:8" ht="15" thickBot="1" x14ac:dyDescent="0.4">
      <c r="G696" s="12"/>
      <c r="H696" s="12"/>
    </row>
    <row r="697" spans="7:8" ht="15" thickBot="1" x14ac:dyDescent="0.4">
      <c r="G697" s="12"/>
      <c r="H697" s="12"/>
    </row>
    <row r="698" spans="7:8" ht="15" thickBot="1" x14ac:dyDescent="0.4">
      <c r="G698" s="12"/>
      <c r="H698" s="12"/>
    </row>
    <row r="699" spans="7:8" ht="15" thickBot="1" x14ac:dyDescent="0.4">
      <c r="G699" s="12"/>
      <c r="H699" s="12"/>
    </row>
    <row r="700" spans="7:8" ht="15" thickBot="1" x14ac:dyDescent="0.4">
      <c r="G700" s="12"/>
      <c r="H700" s="12"/>
    </row>
    <row r="701" spans="7:8" ht="15" thickBot="1" x14ac:dyDescent="0.4">
      <c r="G701" s="12"/>
      <c r="H701" s="12"/>
    </row>
    <row r="702" spans="7:8" ht="15" thickBot="1" x14ac:dyDescent="0.4">
      <c r="G702" s="12"/>
      <c r="H702" s="12"/>
    </row>
    <row r="703" spans="7:8" ht="15" thickBot="1" x14ac:dyDescent="0.4">
      <c r="G703" s="12"/>
      <c r="H703" s="12"/>
    </row>
    <row r="704" spans="7:8" ht="15" thickBot="1" x14ac:dyDescent="0.4">
      <c r="G704" s="12"/>
      <c r="H704" s="12"/>
    </row>
    <row r="705" spans="7:8" ht="15" thickBot="1" x14ac:dyDescent="0.4">
      <c r="G705" s="12"/>
      <c r="H705" s="12"/>
    </row>
    <row r="706" spans="7:8" ht="15" thickBot="1" x14ac:dyDescent="0.4">
      <c r="G706" s="12"/>
      <c r="H706" s="12"/>
    </row>
    <row r="707" spans="7:8" ht="15" thickBot="1" x14ac:dyDescent="0.4">
      <c r="G707" s="12"/>
      <c r="H707" s="12"/>
    </row>
    <row r="708" spans="7:8" ht="15" thickBot="1" x14ac:dyDescent="0.4">
      <c r="G708" s="12"/>
      <c r="H708" s="12"/>
    </row>
    <row r="709" spans="7:8" ht="15" thickBot="1" x14ac:dyDescent="0.4">
      <c r="G709" s="12"/>
      <c r="H709" s="12"/>
    </row>
    <row r="710" spans="7:8" ht="15" thickBot="1" x14ac:dyDescent="0.4">
      <c r="G710" s="12"/>
      <c r="H710" s="12"/>
    </row>
    <row r="711" spans="7:8" ht="15" thickBot="1" x14ac:dyDescent="0.4">
      <c r="G711" s="12"/>
      <c r="H711" s="12"/>
    </row>
    <row r="712" spans="7:8" ht="15" thickBot="1" x14ac:dyDescent="0.4">
      <c r="G712" s="12"/>
      <c r="H712" s="12"/>
    </row>
    <row r="713" spans="7:8" ht="15" thickBot="1" x14ac:dyDescent="0.4">
      <c r="G713" s="12"/>
      <c r="H713" s="12"/>
    </row>
    <row r="714" spans="7:8" ht="15" thickBot="1" x14ac:dyDescent="0.4">
      <c r="G714" s="12"/>
      <c r="H714" s="12"/>
    </row>
    <row r="715" spans="7:8" ht="15" thickBot="1" x14ac:dyDescent="0.4">
      <c r="G715" s="12"/>
      <c r="H715" s="12"/>
    </row>
    <row r="716" spans="7:8" ht="15" thickBot="1" x14ac:dyDescent="0.4">
      <c r="G716" s="12"/>
      <c r="H716" s="12"/>
    </row>
    <row r="717" spans="7:8" ht="15" thickBot="1" x14ac:dyDescent="0.4">
      <c r="G717" s="12"/>
      <c r="H717" s="12"/>
    </row>
    <row r="718" spans="7:8" ht="15" thickBot="1" x14ac:dyDescent="0.4">
      <c r="G718" s="12"/>
      <c r="H718" s="12"/>
    </row>
    <row r="719" spans="7:8" ht="15" thickBot="1" x14ac:dyDescent="0.4">
      <c r="G719" s="12"/>
      <c r="H719" s="12"/>
    </row>
    <row r="720" spans="7:8" ht="15" thickBot="1" x14ac:dyDescent="0.4">
      <c r="G720" s="12"/>
      <c r="H720" s="12"/>
    </row>
    <row r="721" spans="7:8" ht="15" thickBot="1" x14ac:dyDescent="0.4">
      <c r="G721" s="12"/>
      <c r="H721" s="12"/>
    </row>
    <row r="722" spans="7:8" ht="15" thickBot="1" x14ac:dyDescent="0.4">
      <c r="G722" s="12"/>
      <c r="H722" s="12"/>
    </row>
    <row r="723" spans="7:8" ht="15" thickBot="1" x14ac:dyDescent="0.4">
      <c r="G723" s="12"/>
      <c r="H723" s="12"/>
    </row>
    <row r="724" spans="7:8" ht="15" thickBot="1" x14ac:dyDescent="0.4">
      <c r="G724" s="12"/>
      <c r="H724" s="12"/>
    </row>
    <row r="725" spans="7:8" ht="15" thickBot="1" x14ac:dyDescent="0.4">
      <c r="G725" s="12"/>
      <c r="H725" s="12"/>
    </row>
    <row r="726" spans="7:8" ht="15" thickBot="1" x14ac:dyDescent="0.4">
      <c r="G726" s="12"/>
      <c r="H726" s="12"/>
    </row>
    <row r="727" spans="7:8" ht="15" thickBot="1" x14ac:dyDescent="0.4">
      <c r="G727" s="12"/>
      <c r="H727" s="12"/>
    </row>
    <row r="728" spans="7:8" ht="15" thickBot="1" x14ac:dyDescent="0.4">
      <c r="G728" s="12"/>
      <c r="H728" s="12"/>
    </row>
    <row r="729" spans="7:8" ht="15" thickBot="1" x14ac:dyDescent="0.4">
      <c r="G729" s="12"/>
      <c r="H729" s="12"/>
    </row>
    <row r="730" spans="7:8" ht="15" thickBot="1" x14ac:dyDescent="0.4">
      <c r="G730" s="12"/>
      <c r="H730" s="12"/>
    </row>
    <row r="731" spans="7:8" ht="15" thickBot="1" x14ac:dyDescent="0.4">
      <c r="G731" s="12"/>
      <c r="H731" s="12"/>
    </row>
    <row r="732" spans="7:8" ht="15" thickBot="1" x14ac:dyDescent="0.4">
      <c r="G732" s="12"/>
      <c r="H732" s="12"/>
    </row>
    <row r="733" spans="7:8" ht="15" thickBot="1" x14ac:dyDescent="0.4">
      <c r="G733" s="12"/>
      <c r="H733" s="12"/>
    </row>
    <row r="734" spans="7:8" ht="15" thickBot="1" x14ac:dyDescent="0.4">
      <c r="G734" s="12"/>
      <c r="H734" s="12"/>
    </row>
    <row r="735" spans="7:8" ht="15" thickBot="1" x14ac:dyDescent="0.4">
      <c r="G735" s="12"/>
      <c r="H735" s="12"/>
    </row>
    <row r="736" spans="7:8" ht="15" thickBot="1" x14ac:dyDescent="0.4">
      <c r="G736" s="12"/>
      <c r="H736" s="12"/>
    </row>
    <row r="737" spans="7:8" ht="15" thickBot="1" x14ac:dyDescent="0.4">
      <c r="G737" s="12"/>
      <c r="H737" s="12"/>
    </row>
    <row r="738" spans="7:8" ht="15" thickBot="1" x14ac:dyDescent="0.4">
      <c r="G738" s="12"/>
      <c r="H738" s="12"/>
    </row>
    <row r="739" spans="7:8" ht="15" thickBot="1" x14ac:dyDescent="0.4">
      <c r="G739" s="12"/>
      <c r="H739" s="12"/>
    </row>
    <row r="740" spans="7:8" ht="15" thickBot="1" x14ac:dyDescent="0.4">
      <c r="G740" s="12"/>
      <c r="H740" s="12"/>
    </row>
    <row r="741" spans="7:8" ht="15" thickBot="1" x14ac:dyDescent="0.4">
      <c r="G741" s="12"/>
      <c r="H741" s="12"/>
    </row>
    <row r="742" spans="7:8" ht="15" thickBot="1" x14ac:dyDescent="0.4">
      <c r="G742" s="12"/>
      <c r="H742" s="12"/>
    </row>
    <row r="743" spans="7:8" ht="15" thickBot="1" x14ac:dyDescent="0.4">
      <c r="G743" s="12"/>
      <c r="H743" s="12"/>
    </row>
    <row r="744" spans="7:8" ht="15" thickBot="1" x14ac:dyDescent="0.4">
      <c r="G744" s="12"/>
      <c r="H744" s="12"/>
    </row>
    <row r="745" spans="7:8" ht="15" thickBot="1" x14ac:dyDescent="0.4">
      <c r="G745" s="12"/>
      <c r="H745" s="12"/>
    </row>
    <row r="746" spans="7:8" ht="15" thickBot="1" x14ac:dyDescent="0.4">
      <c r="G746" s="12"/>
      <c r="H746" s="12"/>
    </row>
    <row r="747" spans="7:8" ht="15" thickBot="1" x14ac:dyDescent="0.4">
      <c r="G747" s="12"/>
      <c r="H747" s="12"/>
    </row>
    <row r="748" spans="7:8" ht="15" thickBot="1" x14ac:dyDescent="0.4">
      <c r="G748" s="12"/>
      <c r="H748" s="12"/>
    </row>
    <row r="749" spans="7:8" ht="15" thickBot="1" x14ac:dyDescent="0.4">
      <c r="G749" s="12"/>
      <c r="H749" s="12"/>
    </row>
    <row r="750" spans="7:8" ht="15" thickBot="1" x14ac:dyDescent="0.4">
      <c r="G750" s="12"/>
      <c r="H750" s="12"/>
    </row>
    <row r="751" spans="7:8" ht="15" thickBot="1" x14ac:dyDescent="0.4">
      <c r="G751" s="12"/>
      <c r="H751" s="12"/>
    </row>
    <row r="752" spans="7:8" ht="15" thickBot="1" x14ac:dyDescent="0.4">
      <c r="G752" s="12"/>
      <c r="H752" s="12"/>
    </row>
    <row r="753" spans="7:8" ht="15" thickBot="1" x14ac:dyDescent="0.4">
      <c r="G753" s="12"/>
      <c r="H753" s="12"/>
    </row>
    <row r="754" spans="7:8" ht="15" thickBot="1" x14ac:dyDescent="0.4">
      <c r="G754" s="12"/>
      <c r="H754" s="12"/>
    </row>
    <row r="755" spans="7:8" ht="15" thickBot="1" x14ac:dyDescent="0.4">
      <c r="G755" s="12"/>
      <c r="H755" s="12"/>
    </row>
    <row r="756" spans="7:8" ht="15" thickBot="1" x14ac:dyDescent="0.4">
      <c r="G756" s="12"/>
      <c r="H756" s="12"/>
    </row>
    <row r="757" spans="7:8" ht="15" thickBot="1" x14ac:dyDescent="0.4">
      <c r="G757" s="12"/>
      <c r="H757" s="12"/>
    </row>
    <row r="758" spans="7:8" ht="15" thickBot="1" x14ac:dyDescent="0.4">
      <c r="G758" s="12"/>
      <c r="H758" s="12"/>
    </row>
    <row r="759" spans="7:8" ht="15" thickBot="1" x14ac:dyDescent="0.4">
      <c r="G759" s="12"/>
      <c r="H759" s="12"/>
    </row>
    <row r="760" spans="7:8" ht="15" thickBot="1" x14ac:dyDescent="0.4">
      <c r="G760" s="12"/>
      <c r="H760" s="12"/>
    </row>
    <row r="761" spans="7:8" ht="15" thickBot="1" x14ac:dyDescent="0.4">
      <c r="G761" s="12"/>
      <c r="H761" s="12"/>
    </row>
    <row r="762" spans="7:8" ht="15" thickBot="1" x14ac:dyDescent="0.4">
      <c r="G762" s="12"/>
      <c r="H762" s="12"/>
    </row>
    <row r="763" spans="7:8" ht="15" thickBot="1" x14ac:dyDescent="0.4">
      <c r="G763" s="12"/>
      <c r="H763" s="12"/>
    </row>
    <row r="764" spans="7:8" ht="15" thickBot="1" x14ac:dyDescent="0.4">
      <c r="G764" s="12"/>
      <c r="H764" s="12"/>
    </row>
    <row r="765" spans="7:8" ht="15" thickBot="1" x14ac:dyDescent="0.4">
      <c r="G765" s="12"/>
      <c r="H765" s="12"/>
    </row>
    <row r="766" spans="7:8" ht="15" thickBot="1" x14ac:dyDescent="0.4">
      <c r="G766" s="12"/>
      <c r="H766" s="12"/>
    </row>
    <row r="767" spans="7:8" ht="15" thickBot="1" x14ac:dyDescent="0.4">
      <c r="G767" s="12"/>
      <c r="H767" s="12"/>
    </row>
    <row r="768" spans="7:8" ht="15" thickBot="1" x14ac:dyDescent="0.4">
      <c r="G768" s="12"/>
      <c r="H768" s="12"/>
    </row>
    <row r="769" spans="7:8" ht="15" thickBot="1" x14ac:dyDescent="0.4">
      <c r="G769" s="12"/>
      <c r="H769" s="12"/>
    </row>
    <row r="770" spans="7:8" ht="15" thickBot="1" x14ac:dyDescent="0.4">
      <c r="G770" s="12"/>
      <c r="H770" s="12"/>
    </row>
    <row r="771" spans="7:8" ht="15" thickBot="1" x14ac:dyDescent="0.4">
      <c r="G771" s="12"/>
      <c r="H771" s="12"/>
    </row>
    <row r="772" spans="7:8" ht="15" thickBot="1" x14ac:dyDescent="0.4">
      <c r="G772" s="12"/>
      <c r="H772" s="12"/>
    </row>
    <row r="773" spans="7:8" ht="15" thickBot="1" x14ac:dyDescent="0.4">
      <c r="G773" s="12"/>
      <c r="H773" s="12"/>
    </row>
    <row r="774" spans="7:8" ht="15" thickBot="1" x14ac:dyDescent="0.4">
      <c r="G774" s="12"/>
      <c r="H774" s="12"/>
    </row>
    <row r="775" spans="7:8" ht="15" thickBot="1" x14ac:dyDescent="0.4">
      <c r="G775" s="12"/>
      <c r="H775" s="12"/>
    </row>
    <row r="776" spans="7:8" ht="15" thickBot="1" x14ac:dyDescent="0.4">
      <c r="G776" s="12"/>
      <c r="H776" s="12"/>
    </row>
    <row r="777" spans="7:8" ht="15" thickBot="1" x14ac:dyDescent="0.4">
      <c r="G777" s="12"/>
      <c r="H777" s="12"/>
    </row>
    <row r="778" spans="7:8" ht="15" thickBot="1" x14ac:dyDescent="0.4">
      <c r="G778" s="12"/>
      <c r="H778" s="12"/>
    </row>
    <row r="779" spans="7:8" ht="15" thickBot="1" x14ac:dyDescent="0.4">
      <c r="G779" s="12"/>
      <c r="H779" s="12"/>
    </row>
    <row r="780" spans="7:8" ht="15" thickBot="1" x14ac:dyDescent="0.4">
      <c r="G780" s="12"/>
      <c r="H780" s="12"/>
    </row>
    <row r="781" spans="7:8" ht="15" thickBot="1" x14ac:dyDescent="0.4">
      <c r="G781" s="12"/>
      <c r="H781" s="12"/>
    </row>
    <row r="782" spans="7:8" ht="15" thickBot="1" x14ac:dyDescent="0.4">
      <c r="G782" s="12"/>
      <c r="H782" s="12"/>
    </row>
    <row r="783" spans="7:8" ht="15" thickBot="1" x14ac:dyDescent="0.4">
      <c r="G783" s="12"/>
      <c r="H783" s="12"/>
    </row>
    <row r="784" spans="7:8" ht="15" thickBot="1" x14ac:dyDescent="0.4">
      <c r="G784" s="12"/>
      <c r="H784" s="12"/>
    </row>
    <row r="785" spans="7:8" ht="15" thickBot="1" x14ac:dyDescent="0.4">
      <c r="G785" s="12"/>
      <c r="H785" s="12"/>
    </row>
    <row r="786" spans="7:8" ht="15" thickBot="1" x14ac:dyDescent="0.4">
      <c r="G786" s="12"/>
      <c r="H786" s="12"/>
    </row>
    <row r="787" spans="7:8" ht="15" thickBot="1" x14ac:dyDescent="0.4">
      <c r="G787" s="12"/>
      <c r="H787" s="12"/>
    </row>
    <row r="788" spans="7:8" ht="15" thickBot="1" x14ac:dyDescent="0.4">
      <c r="G788" s="12"/>
      <c r="H788" s="12"/>
    </row>
    <row r="789" spans="7:8" ht="15" thickBot="1" x14ac:dyDescent="0.4">
      <c r="G789" s="12"/>
      <c r="H789" s="12"/>
    </row>
    <row r="790" spans="7:8" ht="15" thickBot="1" x14ac:dyDescent="0.4">
      <c r="G790" s="12"/>
      <c r="H790" s="12"/>
    </row>
    <row r="791" spans="7:8" ht="15" thickBot="1" x14ac:dyDescent="0.4">
      <c r="G791" s="12"/>
      <c r="H791" s="12"/>
    </row>
    <row r="792" spans="7:8" ht="15" thickBot="1" x14ac:dyDescent="0.4">
      <c r="G792" s="12"/>
      <c r="H792" s="12"/>
    </row>
    <row r="793" spans="7:8" ht="15" thickBot="1" x14ac:dyDescent="0.4">
      <c r="G793" s="12"/>
      <c r="H793" s="12"/>
    </row>
    <row r="794" spans="7:8" ht="15" thickBot="1" x14ac:dyDescent="0.4">
      <c r="G794" s="12"/>
      <c r="H794" s="12"/>
    </row>
    <row r="795" spans="7:8" ht="15" thickBot="1" x14ac:dyDescent="0.4">
      <c r="G795" s="12"/>
      <c r="H795" s="12"/>
    </row>
    <row r="796" spans="7:8" ht="15" thickBot="1" x14ac:dyDescent="0.4">
      <c r="G796" s="12"/>
      <c r="H796" s="12"/>
    </row>
    <row r="797" spans="7:8" ht="15" thickBot="1" x14ac:dyDescent="0.4">
      <c r="G797" s="12"/>
      <c r="H797" s="12"/>
    </row>
    <row r="798" spans="7:8" ht="15" thickBot="1" x14ac:dyDescent="0.4">
      <c r="G798" s="12"/>
      <c r="H798" s="12"/>
    </row>
    <row r="799" spans="7:8" ht="15" thickBot="1" x14ac:dyDescent="0.4">
      <c r="G799" s="12"/>
      <c r="H799" s="12"/>
    </row>
    <row r="800" spans="7:8" ht="15" thickBot="1" x14ac:dyDescent="0.4">
      <c r="G800" s="12"/>
      <c r="H800" s="12"/>
    </row>
    <row r="801" spans="7:8" ht="15" thickBot="1" x14ac:dyDescent="0.4">
      <c r="G801" s="12"/>
      <c r="H801" s="12"/>
    </row>
    <row r="802" spans="7:8" ht="15" thickBot="1" x14ac:dyDescent="0.4">
      <c r="G802" s="12"/>
      <c r="H802" s="12"/>
    </row>
    <row r="803" spans="7:8" ht="15" thickBot="1" x14ac:dyDescent="0.4">
      <c r="G803" s="12"/>
      <c r="H803" s="12"/>
    </row>
    <row r="804" spans="7:8" ht="15" thickBot="1" x14ac:dyDescent="0.4">
      <c r="G804" s="12"/>
      <c r="H804" s="12"/>
    </row>
    <row r="805" spans="7:8" ht="15" thickBot="1" x14ac:dyDescent="0.4">
      <c r="G805" s="12"/>
      <c r="H805" s="12"/>
    </row>
    <row r="806" spans="7:8" ht="15" thickBot="1" x14ac:dyDescent="0.4">
      <c r="G806" s="12"/>
      <c r="H806" s="12"/>
    </row>
    <row r="807" spans="7:8" ht="15" thickBot="1" x14ac:dyDescent="0.4">
      <c r="G807" s="12"/>
      <c r="H807" s="12"/>
    </row>
    <row r="808" spans="7:8" ht="15" thickBot="1" x14ac:dyDescent="0.4">
      <c r="G808" s="12"/>
      <c r="H808" s="12"/>
    </row>
    <row r="809" spans="7:8" ht="15" thickBot="1" x14ac:dyDescent="0.4">
      <c r="G809" s="12"/>
      <c r="H809" s="12"/>
    </row>
    <row r="810" spans="7:8" ht="15" thickBot="1" x14ac:dyDescent="0.4">
      <c r="G810" s="12"/>
      <c r="H810" s="12"/>
    </row>
    <row r="811" spans="7:8" ht="15" thickBot="1" x14ac:dyDescent="0.4">
      <c r="G811" s="12"/>
      <c r="H811" s="12"/>
    </row>
    <row r="812" spans="7:8" ht="15" thickBot="1" x14ac:dyDescent="0.4">
      <c r="G812" s="12"/>
      <c r="H812" s="12"/>
    </row>
    <row r="813" spans="7:8" ht="15" thickBot="1" x14ac:dyDescent="0.4">
      <c r="G813" s="12"/>
      <c r="H813" s="12"/>
    </row>
    <row r="814" spans="7:8" ht="15" thickBot="1" x14ac:dyDescent="0.4">
      <c r="G814" s="12"/>
      <c r="H814" s="12"/>
    </row>
    <row r="815" spans="7:8" ht="15" thickBot="1" x14ac:dyDescent="0.4">
      <c r="G815" s="12"/>
      <c r="H815" s="12"/>
    </row>
    <row r="816" spans="7:8" ht="15" thickBot="1" x14ac:dyDescent="0.4">
      <c r="G816" s="12"/>
      <c r="H816" s="12"/>
    </row>
    <row r="817" spans="7:8" ht="15" thickBot="1" x14ac:dyDescent="0.4">
      <c r="G817" s="12"/>
      <c r="H817" s="12"/>
    </row>
    <row r="818" spans="7:8" ht="15" thickBot="1" x14ac:dyDescent="0.4">
      <c r="G818" s="12"/>
      <c r="H818" s="12"/>
    </row>
    <row r="819" spans="7:8" ht="15" thickBot="1" x14ac:dyDescent="0.4">
      <c r="G819" s="12"/>
      <c r="H819" s="12"/>
    </row>
    <row r="820" spans="7:8" ht="15" thickBot="1" x14ac:dyDescent="0.4">
      <c r="G820" s="12"/>
      <c r="H820" s="12"/>
    </row>
    <row r="821" spans="7:8" ht="15" thickBot="1" x14ac:dyDescent="0.4">
      <c r="G821" s="12"/>
      <c r="H821" s="12"/>
    </row>
    <row r="822" spans="7:8" ht="15" thickBot="1" x14ac:dyDescent="0.4">
      <c r="G822" s="12"/>
      <c r="H822" s="12"/>
    </row>
    <row r="823" spans="7:8" ht="15" thickBot="1" x14ac:dyDescent="0.4">
      <c r="G823" s="12"/>
      <c r="H823" s="12"/>
    </row>
    <row r="824" spans="7:8" ht="15" thickBot="1" x14ac:dyDescent="0.4">
      <c r="G824" s="12"/>
      <c r="H824" s="12"/>
    </row>
    <row r="825" spans="7:8" ht="15" thickBot="1" x14ac:dyDescent="0.4">
      <c r="G825" s="12"/>
      <c r="H825" s="12"/>
    </row>
    <row r="826" spans="7:8" ht="15" thickBot="1" x14ac:dyDescent="0.4">
      <c r="G826" s="12"/>
      <c r="H826" s="12"/>
    </row>
    <row r="827" spans="7:8" ht="15" thickBot="1" x14ac:dyDescent="0.4">
      <c r="G827" s="12"/>
      <c r="H827" s="12"/>
    </row>
    <row r="828" spans="7:8" ht="15" thickBot="1" x14ac:dyDescent="0.4">
      <c r="G828" s="12"/>
      <c r="H828" s="12"/>
    </row>
    <row r="829" spans="7:8" ht="15" thickBot="1" x14ac:dyDescent="0.4">
      <c r="G829" s="12"/>
      <c r="H829" s="12"/>
    </row>
    <row r="830" spans="7:8" ht="15" thickBot="1" x14ac:dyDescent="0.4">
      <c r="G830" s="12"/>
      <c r="H830" s="12"/>
    </row>
    <row r="831" spans="7:8" ht="15" thickBot="1" x14ac:dyDescent="0.4">
      <c r="G831" s="12"/>
      <c r="H831" s="12"/>
    </row>
    <row r="832" spans="7:8" ht="15" thickBot="1" x14ac:dyDescent="0.4">
      <c r="G832" s="12"/>
      <c r="H832" s="12"/>
    </row>
    <row r="833" spans="7:8" ht="15" thickBot="1" x14ac:dyDescent="0.4">
      <c r="G833" s="12"/>
      <c r="H833" s="12"/>
    </row>
    <row r="834" spans="7:8" ht="15" thickBot="1" x14ac:dyDescent="0.4">
      <c r="G834" s="12"/>
      <c r="H834" s="12"/>
    </row>
    <row r="835" spans="7:8" ht="15" thickBot="1" x14ac:dyDescent="0.4">
      <c r="G835" s="12"/>
      <c r="H835" s="12"/>
    </row>
    <row r="836" spans="7:8" ht="15" thickBot="1" x14ac:dyDescent="0.4">
      <c r="G836" s="12"/>
      <c r="H836" s="12"/>
    </row>
    <row r="837" spans="7:8" ht="15" thickBot="1" x14ac:dyDescent="0.4">
      <c r="G837" s="12"/>
      <c r="H837" s="12"/>
    </row>
    <row r="838" spans="7:8" ht="15" thickBot="1" x14ac:dyDescent="0.4">
      <c r="G838" s="12"/>
      <c r="H838" s="12"/>
    </row>
    <row r="839" spans="7:8" ht="15" thickBot="1" x14ac:dyDescent="0.4">
      <c r="G839" s="12"/>
      <c r="H839" s="12"/>
    </row>
    <row r="840" spans="7:8" ht="15" thickBot="1" x14ac:dyDescent="0.4">
      <c r="G840" s="12"/>
      <c r="H840" s="12"/>
    </row>
    <row r="841" spans="7:8" ht="15" thickBot="1" x14ac:dyDescent="0.4">
      <c r="G841" s="12"/>
      <c r="H841" s="12"/>
    </row>
    <row r="842" spans="7:8" ht="15" thickBot="1" x14ac:dyDescent="0.4">
      <c r="G842" s="12"/>
      <c r="H842" s="12"/>
    </row>
    <row r="843" spans="7:8" ht="15" thickBot="1" x14ac:dyDescent="0.4">
      <c r="G843" s="12"/>
      <c r="H843" s="12"/>
    </row>
    <row r="844" spans="7:8" ht="15" thickBot="1" x14ac:dyDescent="0.4">
      <c r="G844" s="12"/>
      <c r="H844" s="12"/>
    </row>
    <row r="845" spans="7:8" ht="15" thickBot="1" x14ac:dyDescent="0.4">
      <c r="G845" s="12"/>
      <c r="H845" s="12"/>
    </row>
    <row r="846" spans="7:8" ht="15" thickBot="1" x14ac:dyDescent="0.4">
      <c r="G846" s="12"/>
      <c r="H846" s="12"/>
    </row>
    <row r="847" spans="7:8" ht="15" thickBot="1" x14ac:dyDescent="0.4">
      <c r="G847" s="12"/>
      <c r="H847" s="12"/>
    </row>
    <row r="848" spans="7:8" ht="15" thickBot="1" x14ac:dyDescent="0.4">
      <c r="G848" s="12"/>
      <c r="H848" s="12"/>
    </row>
    <row r="849" spans="7:8" ht="15" thickBot="1" x14ac:dyDescent="0.4">
      <c r="G849" s="12"/>
      <c r="H849" s="12"/>
    </row>
    <row r="850" spans="7:8" ht="15" thickBot="1" x14ac:dyDescent="0.4">
      <c r="G850" s="12"/>
      <c r="H850" s="12"/>
    </row>
    <row r="851" spans="7:8" ht="15" thickBot="1" x14ac:dyDescent="0.4">
      <c r="G851" s="12"/>
      <c r="H851" s="12"/>
    </row>
    <row r="852" spans="7:8" ht="15" thickBot="1" x14ac:dyDescent="0.4">
      <c r="G852" s="12"/>
      <c r="H852" s="12"/>
    </row>
    <row r="853" spans="7:8" ht="15" thickBot="1" x14ac:dyDescent="0.4">
      <c r="G853" s="12"/>
      <c r="H853" s="12"/>
    </row>
    <row r="854" spans="7:8" ht="15" thickBot="1" x14ac:dyDescent="0.4">
      <c r="G854" s="12"/>
      <c r="H854" s="12"/>
    </row>
    <row r="855" spans="7:8" ht="15" thickBot="1" x14ac:dyDescent="0.4">
      <c r="G855" s="12"/>
      <c r="H855" s="12"/>
    </row>
    <row r="856" spans="7:8" ht="15" thickBot="1" x14ac:dyDescent="0.4">
      <c r="G856" s="12"/>
      <c r="H856" s="12"/>
    </row>
    <row r="857" spans="7:8" ht="15" thickBot="1" x14ac:dyDescent="0.4">
      <c r="G857" s="12"/>
      <c r="H857" s="12"/>
    </row>
    <row r="858" spans="7:8" ht="15" thickBot="1" x14ac:dyDescent="0.4">
      <c r="G858" s="12"/>
      <c r="H858" s="12"/>
    </row>
    <row r="859" spans="7:8" ht="15" thickBot="1" x14ac:dyDescent="0.4">
      <c r="G859" s="12"/>
      <c r="H859" s="12"/>
    </row>
    <row r="860" spans="7:8" ht="15" thickBot="1" x14ac:dyDescent="0.4">
      <c r="G860" s="12"/>
      <c r="H860" s="12"/>
    </row>
    <row r="861" spans="7:8" ht="15" thickBot="1" x14ac:dyDescent="0.4">
      <c r="G861" s="12"/>
      <c r="H861" s="12"/>
    </row>
    <row r="862" spans="7:8" ht="15" thickBot="1" x14ac:dyDescent="0.4">
      <c r="G862" s="12"/>
      <c r="H862" s="12"/>
    </row>
    <row r="863" spans="7:8" ht="15" thickBot="1" x14ac:dyDescent="0.4">
      <c r="G863" s="12"/>
      <c r="H863" s="12"/>
    </row>
    <row r="864" spans="7:8" ht="15" thickBot="1" x14ac:dyDescent="0.4">
      <c r="G864" s="12"/>
      <c r="H864" s="12"/>
    </row>
    <row r="865" spans="7:8" ht="15" thickBot="1" x14ac:dyDescent="0.4">
      <c r="G865" s="12"/>
      <c r="H865" s="12"/>
    </row>
    <row r="866" spans="7:8" ht="15" thickBot="1" x14ac:dyDescent="0.4">
      <c r="G866" s="12"/>
      <c r="H866" s="12"/>
    </row>
    <row r="867" spans="7:8" ht="15" thickBot="1" x14ac:dyDescent="0.4">
      <c r="G867" s="12"/>
      <c r="H867" s="12"/>
    </row>
    <row r="868" spans="7:8" ht="15" thickBot="1" x14ac:dyDescent="0.4">
      <c r="G868" s="12"/>
      <c r="H868" s="12"/>
    </row>
    <row r="869" spans="7:8" ht="15" thickBot="1" x14ac:dyDescent="0.4">
      <c r="G869" s="12"/>
      <c r="H869" s="12"/>
    </row>
    <row r="870" spans="7:8" ht="15" thickBot="1" x14ac:dyDescent="0.4">
      <c r="G870" s="12"/>
      <c r="H870" s="12"/>
    </row>
    <row r="871" spans="7:8" ht="15" thickBot="1" x14ac:dyDescent="0.4">
      <c r="G871" s="12"/>
      <c r="H871" s="12"/>
    </row>
    <row r="872" spans="7:8" ht="15" thickBot="1" x14ac:dyDescent="0.4">
      <c r="G872" s="12"/>
      <c r="H872" s="12"/>
    </row>
    <row r="873" spans="7:8" ht="15" thickBot="1" x14ac:dyDescent="0.4">
      <c r="G873" s="12"/>
      <c r="H873" s="12"/>
    </row>
    <row r="874" spans="7:8" ht="15" thickBot="1" x14ac:dyDescent="0.4">
      <c r="G874" s="12"/>
      <c r="H874" s="12"/>
    </row>
    <row r="875" spans="7:8" ht="15" thickBot="1" x14ac:dyDescent="0.4">
      <c r="G875" s="12"/>
      <c r="H875" s="12"/>
    </row>
    <row r="876" spans="7:8" ht="15" thickBot="1" x14ac:dyDescent="0.4">
      <c r="G876" s="12"/>
      <c r="H876" s="12"/>
    </row>
    <row r="877" spans="7:8" ht="15" thickBot="1" x14ac:dyDescent="0.4">
      <c r="G877" s="12"/>
      <c r="H877" s="12"/>
    </row>
    <row r="878" spans="7:8" ht="15" thickBot="1" x14ac:dyDescent="0.4">
      <c r="G878" s="12"/>
      <c r="H878" s="12"/>
    </row>
    <row r="879" spans="7:8" ht="15" thickBot="1" x14ac:dyDescent="0.4">
      <c r="G879" s="12"/>
      <c r="H879" s="12"/>
    </row>
    <row r="880" spans="7:8" ht="15" thickBot="1" x14ac:dyDescent="0.4">
      <c r="G880" s="12"/>
      <c r="H880" s="12"/>
    </row>
    <row r="881" spans="7:8" ht="15" thickBot="1" x14ac:dyDescent="0.4">
      <c r="G881" s="12"/>
      <c r="H881" s="12"/>
    </row>
    <row r="882" spans="7:8" ht="15" thickBot="1" x14ac:dyDescent="0.4">
      <c r="G882" s="12"/>
      <c r="H882" s="12"/>
    </row>
    <row r="883" spans="7:8" ht="15" thickBot="1" x14ac:dyDescent="0.4">
      <c r="G883" s="12"/>
      <c r="H883" s="12"/>
    </row>
    <row r="884" spans="7:8" ht="15" thickBot="1" x14ac:dyDescent="0.4">
      <c r="G884" s="12"/>
      <c r="H884" s="12"/>
    </row>
    <row r="885" spans="7:8" ht="15" thickBot="1" x14ac:dyDescent="0.4">
      <c r="G885" s="12"/>
      <c r="H885" s="12"/>
    </row>
    <row r="886" spans="7:8" ht="15" thickBot="1" x14ac:dyDescent="0.4">
      <c r="G886" s="12"/>
      <c r="H886" s="12"/>
    </row>
    <row r="887" spans="7:8" ht="15" thickBot="1" x14ac:dyDescent="0.4">
      <c r="G887" s="12"/>
      <c r="H887" s="12"/>
    </row>
    <row r="888" spans="7:8" ht="15" thickBot="1" x14ac:dyDescent="0.4">
      <c r="G888" s="12"/>
      <c r="H888" s="12"/>
    </row>
    <row r="889" spans="7:8" ht="15" thickBot="1" x14ac:dyDescent="0.4">
      <c r="G889" s="12"/>
      <c r="H889" s="12"/>
    </row>
    <row r="890" spans="7:8" ht="15" thickBot="1" x14ac:dyDescent="0.4">
      <c r="G890" s="12"/>
      <c r="H890" s="12"/>
    </row>
    <row r="891" spans="7:8" ht="15" thickBot="1" x14ac:dyDescent="0.4">
      <c r="G891" s="12"/>
      <c r="H891" s="12"/>
    </row>
    <row r="892" spans="7:8" ht="15" thickBot="1" x14ac:dyDescent="0.4">
      <c r="G892" s="12"/>
      <c r="H892" s="12"/>
    </row>
    <row r="893" spans="7:8" ht="15" thickBot="1" x14ac:dyDescent="0.4">
      <c r="G893" s="12"/>
      <c r="H893" s="12"/>
    </row>
    <row r="894" spans="7:8" ht="15" thickBot="1" x14ac:dyDescent="0.4">
      <c r="G894" s="12"/>
      <c r="H894" s="12"/>
    </row>
    <row r="895" spans="7:8" ht="15" thickBot="1" x14ac:dyDescent="0.4">
      <c r="G895" s="12"/>
      <c r="H895" s="12"/>
    </row>
    <row r="896" spans="7:8" ht="15" thickBot="1" x14ac:dyDescent="0.4">
      <c r="G896" s="12"/>
      <c r="H896" s="12"/>
    </row>
    <row r="897" spans="7:8" ht="15" thickBot="1" x14ac:dyDescent="0.4">
      <c r="G897" s="12"/>
      <c r="H897" s="12"/>
    </row>
    <row r="898" spans="7:8" ht="15" thickBot="1" x14ac:dyDescent="0.4">
      <c r="G898" s="12"/>
      <c r="H898" s="12"/>
    </row>
    <row r="899" spans="7:8" ht="15" thickBot="1" x14ac:dyDescent="0.4">
      <c r="G899" s="12"/>
      <c r="H899" s="12"/>
    </row>
    <row r="900" spans="7:8" ht="15" thickBot="1" x14ac:dyDescent="0.4">
      <c r="G900" s="12"/>
      <c r="H900" s="12"/>
    </row>
    <row r="901" spans="7:8" ht="15" thickBot="1" x14ac:dyDescent="0.4">
      <c r="G901" s="12"/>
      <c r="H901" s="12"/>
    </row>
    <row r="902" spans="7:8" ht="15" thickBot="1" x14ac:dyDescent="0.4">
      <c r="G902" s="12"/>
      <c r="H902" s="12"/>
    </row>
    <row r="903" spans="7:8" ht="15" thickBot="1" x14ac:dyDescent="0.4">
      <c r="G903" s="12"/>
      <c r="H903" s="12"/>
    </row>
    <row r="904" spans="7:8" ht="15" thickBot="1" x14ac:dyDescent="0.4">
      <c r="G904" s="12"/>
      <c r="H904" s="12"/>
    </row>
    <row r="905" spans="7:8" ht="15" thickBot="1" x14ac:dyDescent="0.4">
      <c r="G905" s="12"/>
      <c r="H905" s="12"/>
    </row>
    <row r="906" spans="7:8" ht="15" thickBot="1" x14ac:dyDescent="0.4">
      <c r="G906" s="12"/>
      <c r="H906" s="12"/>
    </row>
    <row r="907" spans="7:8" ht="15" thickBot="1" x14ac:dyDescent="0.4">
      <c r="G907" s="12"/>
      <c r="H907" s="12"/>
    </row>
    <row r="908" spans="7:8" ht="15" thickBot="1" x14ac:dyDescent="0.4">
      <c r="G908" s="12"/>
      <c r="H908" s="12"/>
    </row>
    <row r="909" spans="7:8" ht="15" thickBot="1" x14ac:dyDescent="0.4">
      <c r="G909" s="12"/>
      <c r="H909" s="12"/>
    </row>
    <row r="910" spans="7:8" ht="15" thickBot="1" x14ac:dyDescent="0.4">
      <c r="G910" s="12"/>
      <c r="H910" s="12"/>
    </row>
    <row r="911" spans="7:8" ht="15" thickBot="1" x14ac:dyDescent="0.4">
      <c r="G911" s="12"/>
      <c r="H911" s="12"/>
    </row>
    <row r="912" spans="7:8" ht="15" thickBot="1" x14ac:dyDescent="0.4">
      <c r="G912" s="12"/>
      <c r="H912" s="12"/>
    </row>
    <row r="913" spans="7:8" ht="15" thickBot="1" x14ac:dyDescent="0.4">
      <c r="G913" s="12"/>
      <c r="H913" s="12"/>
    </row>
    <row r="914" spans="7:8" ht="15" thickBot="1" x14ac:dyDescent="0.4">
      <c r="G914" s="12"/>
      <c r="H914" s="12"/>
    </row>
    <row r="915" spans="7:8" ht="15" thickBot="1" x14ac:dyDescent="0.4">
      <c r="G915" s="12"/>
      <c r="H915" s="12"/>
    </row>
    <row r="916" spans="7:8" ht="15" thickBot="1" x14ac:dyDescent="0.4">
      <c r="G916" s="12"/>
      <c r="H916" s="12"/>
    </row>
    <row r="917" spans="7:8" ht="15" thickBot="1" x14ac:dyDescent="0.4">
      <c r="G917" s="12"/>
      <c r="H917" s="12"/>
    </row>
    <row r="918" spans="7:8" ht="15" thickBot="1" x14ac:dyDescent="0.4">
      <c r="G918" s="12"/>
      <c r="H918" s="12"/>
    </row>
    <row r="919" spans="7:8" ht="15" thickBot="1" x14ac:dyDescent="0.4">
      <c r="G919" s="12"/>
      <c r="H919" s="12"/>
    </row>
    <row r="920" spans="7:8" ht="15" thickBot="1" x14ac:dyDescent="0.4">
      <c r="G920" s="12"/>
      <c r="H920" s="12"/>
    </row>
    <row r="921" spans="7:8" ht="15" thickBot="1" x14ac:dyDescent="0.4">
      <c r="G921" s="12"/>
      <c r="H921" s="12"/>
    </row>
    <row r="922" spans="7:8" ht="15" thickBot="1" x14ac:dyDescent="0.4">
      <c r="G922" s="12"/>
      <c r="H922" s="12"/>
    </row>
    <row r="923" spans="7:8" ht="15" thickBot="1" x14ac:dyDescent="0.4">
      <c r="G923" s="12"/>
      <c r="H923" s="12"/>
    </row>
    <row r="924" spans="7:8" ht="15" thickBot="1" x14ac:dyDescent="0.4">
      <c r="G924" s="12"/>
      <c r="H924" s="12"/>
    </row>
    <row r="925" spans="7:8" ht="15" thickBot="1" x14ac:dyDescent="0.4">
      <c r="G925" s="12"/>
      <c r="H925" s="12"/>
    </row>
    <row r="926" spans="7:8" ht="15" thickBot="1" x14ac:dyDescent="0.4">
      <c r="G926" s="12"/>
      <c r="H926" s="12"/>
    </row>
    <row r="927" spans="7:8" ht="15" thickBot="1" x14ac:dyDescent="0.4">
      <c r="G927" s="12"/>
      <c r="H927" s="12"/>
    </row>
    <row r="928" spans="7:8" ht="15" thickBot="1" x14ac:dyDescent="0.4">
      <c r="G928" s="12"/>
      <c r="H928" s="12"/>
    </row>
    <row r="929" spans="7:8" ht="15" thickBot="1" x14ac:dyDescent="0.4">
      <c r="G929" s="12"/>
      <c r="H929" s="12"/>
    </row>
    <row r="930" spans="7:8" ht="15" thickBot="1" x14ac:dyDescent="0.4">
      <c r="G930" s="12"/>
      <c r="H930" s="12"/>
    </row>
    <row r="931" spans="7:8" ht="15" thickBot="1" x14ac:dyDescent="0.4">
      <c r="G931" s="12"/>
      <c r="H931" s="12"/>
    </row>
    <row r="932" spans="7:8" ht="15" thickBot="1" x14ac:dyDescent="0.4">
      <c r="G932" s="12"/>
      <c r="H932" s="12"/>
    </row>
    <row r="933" spans="7:8" ht="15" thickBot="1" x14ac:dyDescent="0.4">
      <c r="G933" s="12"/>
      <c r="H933" s="12"/>
    </row>
    <row r="934" spans="7:8" ht="15" thickBot="1" x14ac:dyDescent="0.4">
      <c r="G934" s="12"/>
      <c r="H934" s="12"/>
    </row>
    <row r="935" spans="7:8" ht="15" thickBot="1" x14ac:dyDescent="0.4">
      <c r="G935" s="12"/>
      <c r="H935" s="12"/>
    </row>
    <row r="936" spans="7:8" ht="15" thickBot="1" x14ac:dyDescent="0.4">
      <c r="G936" s="12"/>
      <c r="H936" s="12"/>
    </row>
    <row r="937" spans="7:8" ht="15" thickBot="1" x14ac:dyDescent="0.4">
      <c r="G937" s="12"/>
      <c r="H937" s="12"/>
    </row>
    <row r="938" spans="7:8" ht="15" thickBot="1" x14ac:dyDescent="0.4">
      <c r="G938" s="12"/>
      <c r="H938" s="12"/>
    </row>
    <row r="939" spans="7:8" ht="15" thickBot="1" x14ac:dyDescent="0.4">
      <c r="G939" s="12"/>
      <c r="H939" s="12"/>
    </row>
    <row r="940" spans="7:8" ht="15" thickBot="1" x14ac:dyDescent="0.4">
      <c r="G940" s="12"/>
      <c r="H940" s="12"/>
    </row>
    <row r="941" spans="7:8" ht="15" thickBot="1" x14ac:dyDescent="0.4">
      <c r="G941" s="12"/>
      <c r="H941" s="12"/>
    </row>
    <row r="942" spans="7:8" ht="15" thickBot="1" x14ac:dyDescent="0.4">
      <c r="G942" s="12"/>
      <c r="H942" s="12"/>
    </row>
    <row r="943" spans="7:8" ht="15" thickBot="1" x14ac:dyDescent="0.4">
      <c r="G943" s="12"/>
      <c r="H943" s="12"/>
    </row>
    <row r="944" spans="7:8" ht="15" thickBot="1" x14ac:dyDescent="0.4">
      <c r="G944" s="12"/>
      <c r="H944" s="12"/>
    </row>
    <row r="945" spans="7:8" ht="15" thickBot="1" x14ac:dyDescent="0.4">
      <c r="G945" s="12"/>
      <c r="H945" s="12"/>
    </row>
    <row r="946" spans="7:8" ht="15" thickBot="1" x14ac:dyDescent="0.4">
      <c r="G946" s="12"/>
      <c r="H946" s="12"/>
    </row>
    <row r="947" spans="7:8" ht="15" thickBot="1" x14ac:dyDescent="0.4">
      <c r="G947" s="12"/>
      <c r="H947" s="12"/>
    </row>
    <row r="948" spans="7:8" ht="15" thickBot="1" x14ac:dyDescent="0.4">
      <c r="G948" s="12"/>
      <c r="H948" s="12"/>
    </row>
    <row r="949" spans="7:8" ht="15" thickBot="1" x14ac:dyDescent="0.4">
      <c r="G949" s="12"/>
      <c r="H949" s="12"/>
    </row>
    <row r="950" spans="7:8" ht="15" thickBot="1" x14ac:dyDescent="0.4">
      <c r="G950" s="12"/>
      <c r="H950" s="12"/>
    </row>
    <row r="951" spans="7:8" ht="15" thickBot="1" x14ac:dyDescent="0.4">
      <c r="G951" s="12"/>
      <c r="H951" s="12"/>
    </row>
    <row r="952" spans="7:8" ht="15" thickBot="1" x14ac:dyDescent="0.4">
      <c r="G952" s="12"/>
      <c r="H952" s="12"/>
    </row>
    <row r="953" spans="7:8" ht="15" thickBot="1" x14ac:dyDescent="0.4">
      <c r="G953" s="12"/>
      <c r="H953" s="12"/>
    </row>
    <row r="954" spans="7:8" ht="15" thickBot="1" x14ac:dyDescent="0.4">
      <c r="G954" s="12"/>
      <c r="H954" s="12"/>
    </row>
    <row r="955" spans="7:8" ht="15" thickBot="1" x14ac:dyDescent="0.4">
      <c r="G955" s="12"/>
      <c r="H955" s="12"/>
    </row>
    <row r="956" spans="7:8" ht="15" thickBot="1" x14ac:dyDescent="0.4">
      <c r="G956" s="12"/>
      <c r="H956" s="12"/>
    </row>
    <row r="957" spans="7:8" ht="15" thickBot="1" x14ac:dyDescent="0.4">
      <c r="G957" s="12"/>
      <c r="H957" s="12"/>
    </row>
    <row r="958" spans="7:8" ht="15" thickBot="1" x14ac:dyDescent="0.4">
      <c r="G958" s="12"/>
      <c r="H958" s="12"/>
    </row>
    <row r="959" spans="7:8" ht="15" thickBot="1" x14ac:dyDescent="0.4">
      <c r="G959" s="12"/>
      <c r="H959" s="12"/>
    </row>
    <row r="960" spans="7:8" ht="15" thickBot="1" x14ac:dyDescent="0.4">
      <c r="G960" s="12"/>
      <c r="H960" s="12"/>
    </row>
    <row r="961" spans="7:8" ht="15" thickBot="1" x14ac:dyDescent="0.4">
      <c r="G961" s="12"/>
      <c r="H961" s="12"/>
    </row>
    <row r="962" spans="7:8" ht="15" thickBot="1" x14ac:dyDescent="0.4">
      <c r="G962" s="12"/>
      <c r="H962" s="12"/>
    </row>
    <row r="963" spans="7:8" ht="15" thickBot="1" x14ac:dyDescent="0.4">
      <c r="G963" s="12"/>
      <c r="H963" s="12"/>
    </row>
    <row r="964" spans="7:8" ht="15" thickBot="1" x14ac:dyDescent="0.4">
      <c r="G964" s="12"/>
      <c r="H964" s="12"/>
    </row>
    <row r="965" spans="7:8" ht="15" thickBot="1" x14ac:dyDescent="0.4">
      <c r="G965" s="12"/>
      <c r="H965" s="12"/>
    </row>
    <row r="966" spans="7:8" ht="15" thickBot="1" x14ac:dyDescent="0.4">
      <c r="G966" s="12"/>
      <c r="H966" s="12"/>
    </row>
    <row r="967" spans="7:8" ht="15" thickBot="1" x14ac:dyDescent="0.4">
      <c r="G967" s="12"/>
      <c r="H967" s="12"/>
    </row>
    <row r="968" spans="7:8" ht="15" thickBot="1" x14ac:dyDescent="0.4">
      <c r="G968" s="12"/>
      <c r="H968" s="12"/>
    </row>
    <row r="969" spans="7:8" ht="15" thickBot="1" x14ac:dyDescent="0.4">
      <c r="G969" s="12"/>
      <c r="H969" s="12"/>
    </row>
    <row r="970" spans="7:8" ht="15" thickBot="1" x14ac:dyDescent="0.4">
      <c r="G970" s="12"/>
      <c r="H970" s="12"/>
    </row>
    <row r="971" spans="7:8" ht="15" thickBot="1" x14ac:dyDescent="0.4">
      <c r="G971" s="12"/>
      <c r="H971" s="12"/>
    </row>
    <row r="972" spans="7:8" ht="15" thickBot="1" x14ac:dyDescent="0.4">
      <c r="G972" s="12"/>
      <c r="H972" s="12"/>
    </row>
    <row r="973" spans="7:8" ht="15" thickBot="1" x14ac:dyDescent="0.4">
      <c r="G973" s="12"/>
      <c r="H973" s="12"/>
    </row>
    <row r="974" spans="7:8" ht="15" thickBot="1" x14ac:dyDescent="0.4">
      <c r="G974" s="12"/>
      <c r="H974" s="12"/>
    </row>
    <row r="975" spans="7:8" ht="15" thickBot="1" x14ac:dyDescent="0.4">
      <c r="G975" s="12"/>
      <c r="H975" s="12"/>
    </row>
    <row r="976" spans="7:8" ht="15" thickBot="1" x14ac:dyDescent="0.4">
      <c r="G976" s="12"/>
      <c r="H976" s="12"/>
    </row>
    <row r="977" spans="7:8" ht="15" thickBot="1" x14ac:dyDescent="0.4">
      <c r="G977" s="12"/>
      <c r="H977" s="12"/>
    </row>
    <row r="978" spans="7:8" ht="15" thickBot="1" x14ac:dyDescent="0.4">
      <c r="G978" s="12"/>
      <c r="H978" s="12"/>
    </row>
    <row r="979" spans="7:8" ht="15" thickBot="1" x14ac:dyDescent="0.4">
      <c r="G979" s="12"/>
      <c r="H979" s="12"/>
    </row>
    <row r="980" spans="7:8" ht="15" thickBot="1" x14ac:dyDescent="0.4">
      <c r="G980" s="12"/>
      <c r="H980" s="12"/>
    </row>
    <row r="981" spans="7:8" ht="15" thickBot="1" x14ac:dyDescent="0.4">
      <c r="G981" s="12"/>
      <c r="H981" s="12"/>
    </row>
    <row r="982" spans="7:8" ht="15" thickBot="1" x14ac:dyDescent="0.4">
      <c r="G982" s="12"/>
      <c r="H982" s="12"/>
    </row>
    <row r="983" spans="7:8" ht="15" thickBot="1" x14ac:dyDescent="0.4">
      <c r="G983" s="12"/>
      <c r="H983" s="12"/>
    </row>
    <row r="984" spans="7:8" ht="15" thickBot="1" x14ac:dyDescent="0.4">
      <c r="G984" s="12"/>
      <c r="H984" s="12"/>
    </row>
    <row r="985" spans="7:8" ht="15" thickBot="1" x14ac:dyDescent="0.4">
      <c r="G985" s="12"/>
      <c r="H985" s="12"/>
    </row>
    <row r="986" spans="7:8" ht="15" thickBot="1" x14ac:dyDescent="0.4">
      <c r="G986" s="12"/>
      <c r="H986" s="12"/>
    </row>
    <row r="987" spans="7:8" ht="15" thickBot="1" x14ac:dyDescent="0.4">
      <c r="G987" s="12"/>
      <c r="H987" s="12"/>
    </row>
    <row r="988" spans="7:8" ht="15" thickBot="1" x14ac:dyDescent="0.4">
      <c r="G988" s="12"/>
      <c r="H988" s="12"/>
    </row>
    <row r="989" spans="7:8" ht="15" thickBot="1" x14ac:dyDescent="0.4">
      <c r="G989" s="12"/>
      <c r="H989" s="12"/>
    </row>
    <row r="990" spans="7:8" ht="15" thickBot="1" x14ac:dyDescent="0.4">
      <c r="G990" s="12"/>
      <c r="H990" s="12"/>
    </row>
    <row r="991" spans="7:8" ht="15" thickBot="1" x14ac:dyDescent="0.4">
      <c r="G991" s="12"/>
      <c r="H991" s="12"/>
    </row>
    <row r="992" spans="7:8" ht="15" thickBot="1" x14ac:dyDescent="0.4">
      <c r="G992" s="12"/>
      <c r="H992" s="12"/>
    </row>
    <row r="993" spans="7:8" ht="15" thickBot="1" x14ac:dyDescent="0.4">
      <c r="G993" s="12"/>
      <c r="H993" s="12"/>
    </row>
    <row r="994" spans="7:8" ht="15" thickBot="1" x14ac:dyDescent="0.4">
      <c r="G994" s="12"/>
      <c r="H994" s="12"/>
    </row>
    <row r="995" spans="7:8" ht="15" thickBot="1" x14ac:dyDescent="0.4">
      <c r="G995" s="12"/>
      <c r="H995" s="12"/>
    </row>
    <row r="996" spans="7:8" ht="15" thickBot="1" x14ac:dyDescent="0.4">
      <c r="G996" s="12"/>
      <c r="H996" s="12"/>
    </row>
    <row r="997" spans="7:8" ht="15" thickBot="1" x14ac:dyDescent="0.4">
      <c r="G997" s="12"/>
      <c r="H997" s="12"/>
    </row>
    <row r="998" spans="7:8" ht="15" thickBot="1" x14ac:dyDescent="0.4">
      <c r="G998" s="12"/>
      <c r="H998" s="12"/>
    </row>
    <row r="999" spans="7:8" ht="15" thickBot="1" x14ac:dyDescent="0.4">
      <c r="G999" s="12"/>
      <c r="H999" s="12"/>
    </row>
    <row r="1000" spans="7:8" ht="15" thickBot="1" x14ac:dyDescent="0.4">
      <c r="G1000" s="12"/>
      <c r="H1000" s="12"/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C8B01-30D9-4196-92E7-1F70C7F62A69}">
  <dimension ref="A1:H198"/>
  <sheetViews>
    <sheetView tabSelected="1" zoomScaleNormal="100" workbookViewId="0">
      <selection sqref="A1:XFD1"/>
    </sheetView>
  </sheetViews>
  <sheetFormatPr defaultRowHeight="14.5" x14ac:dyDescent="0.35"/>
  <cols>
    <col min="1" max="1" width="20.36328125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8" ht="29" x14ac:dyDescent="0.35">
      <c r="A2" s="1">
        <v>46234.6875</v>
      </c>
      <c r="B2" s="2" t="s">
        <v>29</v>
      </c>
      <c r="C2" s="2" t="s">
        <v>12</v>
      </c>
      <c r="D2" s="3">
        <v>1</v>
      </c>
      <c r="E2" s="3">
        <v>3914</v>
      </c>
      <c r="F2" s="2" t="s">
        <v>9</v>
      </c>
      <c r="H2" t="str">
        <f>IF(COUNTIFS(
    Sheet1!$B:$B, B2,
    Sheet1!$C:$C, C2,
    Sheet1!$D:$D, D2,
    Sheet1!$E:$E, E2
) = 0, "NO MATCH IN TARGET", "MATCHED")</f>
        <v>MATCHED</v>
      </c>
    </row>
    <row r="3" spans="1:8" ht="29" x14ac:dyDescent="0.35">
      <c r="A3" s="1">
        <v>46234.6875</v>
      </c>
      <c r="B3" s="2" t="s">
        <v>29</v>
      </c>
      <c r="C3" s="2" t="s">
        <v>12</v>
      </c>
      <c r="D3" s="3">
        <v>1</v>
      </c>
      <c r="E3" s="3">
        <v>4014</v>
      </c>
      <c r="F3" s="2" t="s">
        <v>9</v>
      </c>
      <c r="H3" t="str">
        <f>IF(COUNTIFS(
    Sheet1!$B:$B, B3,
    Sheet1!$C:$C, C3,
    Sheet1!$D:$D, D3,
    Sheet1!$E:$E, E3
) = 0, "NO MATCH IN TARGET", "MATCHED")</f>
        <v>MATCHED</v>
      </c>
    </row>
    <row r="4" spans="1:8" ht="29" x14ac:dyDescent="0.35">
      <c r="A4" s="1">
        <v>46237.768750000003</v>
      </c>
      <c r="B4" s="2" t="s">
        <v>28</v>
      </c>
      <c r="C4" s="2" t="s">
        <v>12</v>
      </c>
      <c r="D4" s="3">
        <v>1</v>
      </c>
      <c r="E4" s="3">
        <v>2064</v>
      </c>
      <c r="F4" s="2" t="s">
        <v>9</v>
      </c>
      <c r="H4" t="str">
        <f>IF(COUNTIFS(
    Sheet1!$B:$B, B4,
    Sheet1!$C:$C, C4,
    Sheet1!$D:$D, D4,
    Sheet1!$E:$E, E4
) = 0, "NO MATCH IN TARGET", "MATCHED")</f>
        <v>MATCHED</v>
      </c>
    </row>
    <row r="5" spans="1:8" ht="29" x14ac:dyDescent="0.35">
      <c r="A5" s="1">
        <v>46237.69027777778</v>
      </c>
      <c r="B5" s="2" t="s">
        <v>24</v>
      </c>
      <c r="C5" s="2" t="s">
        <v>12</v>
      </c>
      <c r="D5" s="3">
        <v>29</v>
      </c>
      <c r="E5" s="3">
        <v>401</v>
      </c>
      <c r="F5" s="2" t="s">
        <v>9</v>
      </c>
      <c r="H5" t="str">
        <f>IF(COUNTIFS(
    Sheet1!$B:$B, B5,
    Sheet1!$C:$C, C5,
    Sheet1!$D:$D, D5,
    Sheet1!$E:$E, E5
) = 0, "NO MATCH IN TARGET", "MATCHED")</f>
        <v>MATCHED</v>
      </c>
    </row>
    <row r="6" spans="1:8" x14ac:dyDescent="0.35">
      <c r="A6" t="s">
        <v>101</v>
      </c>
      <c r="B6" t="s">
        <v>34</v>
      </c>
      <c r="C6" t="s">
        <v>12</v>
      </c>
      <c r="D6">
        <v>25</v>
      </c>
      <c r="E6">
        <v>336</v>
      </c>
      <c r="F6" t="s">
        <v>9</v>
      </c>
      <c r="H6" t="str">
        <f>IF(COUNTIFS(
    Sheet1!$B:$B, B6,
    Sheet1!$C:$C, C6,
    Sheet1!$D:$D, D6,
    Sheet1!$E:$E, E6
) = 0, "NO MATCH IN TARGET", "MATCHED")</f>
        <v>MATCHED</v>
      </c>
    </row>
    <row r="7" spans="1:8" ht="29" x14ac:dyDescent="0.35">
      <c r="A7" s="1">
        <v>46237.69027777778</v>
      </c>
      <c r="B7" s="2" t="s">
        <v>29</v>
      </c>
      <c r="C7" s="2" t="s">
        <v>12</v>
      </c>
      <c r="D7" s="3">
        <v>1</v>
      </c>
      <c r="E7" s="3">
        <v>4164</v>
      </c>
      <c r="F7" s="2" t="s">
        <v>9</v>
      </c>
      <c r="H7" t="str">
        <f>IF(COUNTIFS(
    Sheet1!$B:$B, B7,
    Sheet1!$C:$C, C7,
    Sheet1!$D:$D, D7,
    Sheet1!$E:$E, E7
) = 0, "NO MATCH IN TARGET", "MATCHED")</f>
        <v>MATCHED</v>
      </c>
    </row>
    <row r="8" spans="1:8" x14ac:dyDescent="0.35">
      <c r="A8" t="s">
        <v>102</v>
      </c>
      <c r="B8" t="s">
        <v>28</v>
      </c>
      <c r="C8" t="s">
        <v>12</v>
      </c>
      <c r="D8">
        <v>2</v>
      </c>
      <c r="E8">
        <v>2164</v>
      </c>
      <c r="F8" t="s">
        <v>9</v>
      </c>
      <c r="H8" t="str">
        <f>IF(COUNTIFS(
    Sheet1!$B:$B, B8,
    Sheet1!$C:$C, C8,
    Sheet1!$D:$D, D8,
    Sheet1!$E:$E, E8
) = 0, "NO MATCH IN TARGET", "MATCHED")</f>
        <v>MATCHED</v>
      </c>
    </row>
    <row r="9" spans="1:8" x14ac:dyDescent="0.35">
      <c r="A9" t="s">
        <v>101</v>
      </c>
      <c r="B9" t="s">
        <v>24</v>
      </c>
      <c r="C9" t="s">
        <v>12</v>
      </c>
      <c r="D9">
        <v>5</v>
      </c>
      <c r="E9">
        <v>419</v>
      </c>
      <c r="F9" t="s">
        <v>9</v>
      </c>
      <c r="H9" t="str">
        <f>IF(COUNTIFS(
    Sheet1!$B:$B, B9,
    Sheet1!$C:$C, C9,
    Sheet1!$D:$D, D9,
    Sheet1!$E:$E, E9
) = 0, "NO MATCH IN TARGET", "MATCHED")</f>
        <v>MATCHED</v>
      </c>
    </row>
    <row r="10" spans="1:8" ht="29" x14ac:dyDescent="0.35">
      <c r="A10" s="1">
        <v>46237.63553240741</v>
      </c>
      <c r="B10" s="2" t="s">
        <v>103</v>
      </c>
      <c r="C10" s="2" t="s">
        <v>12</v>
      </c>
      <c r="D10" s="3">
        <v>4</v>
      </c>
      <c r="E10" s="3">
        <v>701</v>
      </c>
      <c r="F10" s="2" t="s">
        <v>9</v>
      </c>
      <c r="H10" t="str">
        <f>IF(COUNTIFS(
    Sheet1!$B:$B, B10,
    Sheet1!$C:$C, C10,
    Sheet1!$D:$D, D10,
    Sheet1!$E:$E, E10
) = 0, "NO MATCH IN TARGET", "MATCHED")</f>
        <v>MATCHED</v>
      </c>
    </row>
    <row r="11" spans="1:8" x14ac:dyDescent="0.35">
      <c r="A11" s="1">
        <v>46237.768750000003</v>
      </c>
      <c r="B11" s="2" t="s">
        <v>7</v>
      </c>
      <c r="C11" s="2" t="s">
        <v>12</v>
      </c>
      <c r="D11" s="3">
        <v>100</v>
      </c>
      <c r="E11" s="3">
        <v>322</v>
      </c>
      <c r="F11" s="2" t="s">
        <v>9</v>
      </c>
      <c r="H11" t="str">
        <f>IF(COUNTIFS(
    Sheet1!$B:$B, B11,
    Sheet1!$C:$C, C11,
    Sheet1!$D:$D, D11,
    Sheet1!$E:$E, E11
) = 0, "NO MATCH IN TARGET", "MATCHED")</f>
        <v>MATCHED</v>
      </c>
    </row>
    <row r="12" spans="1:8" x14ac:dyDescent="0.35">
      <c r="A12" s="1">
        <v>46237.635497685187</v>
      </c>
      <c r="B12" s="2" t="s">
        <v>104</v>
      </c>
      <c r="C12" s="2" t="s">
        <v>12</v>
      </c>
      <c r="D12" s="3">
        <v>1</v>
      </c>
      <c r="E12" s="3">
        <v>6920</v>
      </c>
      <c r="F12" s="2" t="s">
        <v>9</v>
      </c>
      <c r="H12" t="str">
        <f>IF(COUNTIFS(
    Sheet1!$B:$B, B12,
    Sheet1!$C:$C, C12,
    Sheet1!$D:$D, D12,
    Sheet1!$E:$E, E12
) = 0, "NO MATCH IN TARGET", "MATCHED")</f>
        <v>MATCHED</v>
      </c>
    </row>
    <row r="13" spans="1:8" x14ac:dyDescent="0.35">
      <c r="A13" t="s">
        <v>105</v>
      </c>
      <c r="B13" t="s">
        <v>61</v>
      </c>
      <c r="C13" t="s">
        <v>12</v>
      </c>
      <c r="D13">
        <v>15</v>
      </c>
      <c r="E13">
        <v>4415</v>
      </c>
      <c r="F13" t="s">
        <v>9</v>
      </c>
      <c r="H13" t="str">
        <f>IF(COUNTIFS(
    Sheet1!$B:$B, B13,
    Sheet1!$C:$C, C13,
    Sheet1!$D:$D, D13,
    Sheet1!$E:$E, E13
) = 0, "NO MATCH IN TARGET", "MATCHED")</f>
        <v>MATCHED</v>
      </c>
    </row>
    <row r="14" spans="1:8" x14ac:dyDescent="0.35">
      <c r="A14" t="s">
        <v>106</v>
      </c>
      <c r="B14" t="s">
        <v>107</v>
      </c>
      <c r="C14" t="s">
        <v>12</v>
      </c>
      <c r="D14">
        <v>7</v>
      </c>
      <c r="E14">
        <v>411</v>
      </c>
      <c r="F14" t="s">
        <v>9</v>
      </c>
      <c r="H14" t="str">
        <f>IF(COUNTIFS(
    Sheet1!$B:$B, B14,
    Sheet1!$C:$C, C14,
    Sheet1!$D:$D, D14,
    Sheet1!$E:$E, E14
) = 0, "NO MATCH IN TARGET", "MATCHED")</f>
        <v>MATCHED</v>
      </c>
    </row>
    <row r="15" spans="1:8" x14ac:dyDescent="0.35">
      <c r="A15" s="1">
        <v>46237.768750000003</v>
      </c>
      <c r="B15" s="2" t="s">
        <v>41</v>
      </c>
      <c r="C15" s="2" t="s">
        <v>12</v>
      </c>
      <c r="D15" s="3">
        <v>200</v>
      </c>
      <c r="E15" s="3">
        <v>31.01</v>
      </c>
      <c r="F15" s="2" t="s">
        <v>9</v>
      </c>
      <c r="H15" t="str">
        <f>IF(COUNTIFS(
    Sheet1!$B:$B, B15,
    Sheet1!$C:$C, C15,
    Sheet1!$D:$D, D15,
    Sheet1!$E:$E, E15
) = 0, "NO MATCH IN TARGET", "MATCHED")</f>
        <v>MATCHED</v>
      </c>
    </row>
    <row r="16" spans="1:8" x14ac:dyDescent="0.35">
      <c r="A16" s="1">
        <v>46238.690462962964</v>
      </c>
      <c r="B16" s="2" t="s">
        <v>19</v>
      </c>
      <c r="C16" s="2" t="s">
        <v>12</v>
      </c>
      <c r="D16" s="3">
        <v>37</v>
      </c>
      <c r="E16" s="3">
        <v>277</v>
      </c>
      <c r="F16" s="2" t="s">
        <v>9</v>
      </c>
      <c r="H16" t="str">
        <f>IF(COUNTIFS(
    Sheet1!$B:$B, B16,
    Sheet1!$C:$C, C16,
    Sheet1!$D:$D, D16,
    Sheet1!$E:$E, E16
) = 0, "NO MATCH IN TARGET", "MATCHED")</f>
        <v>MATCHED</v>
      </c>
    </row>
    <row r="17" spans="1:8" x14ac:dyDescent="0.35">
      <c r="A17" t="s">
        <v>108</v>
      </c>
      <c r="B17" t="s">
        <v>61</v>
      </c>
      <c r="C17" t="s">
        <v>12</v>
      </c>
      <c r="D17">
        <v>2</v>
      </c>
      <c r="E17">
        <v>4456</v>
      </c>
      <c r="F17" t="s">
        <v>9</v>
      </c>
      <c r="H17" t="str">
        <f>IF(COUNTIFS(
    Sheet1!$B:$B, B17,
    Sheet1!$C:$C, C17,
    Sheet1!$D:$D, D17,
    Sheet1!$E:$E, E17
) = 0, "NO MATCH IN TARGET", "MATCHED")</f>
        <v>MATCHED</v>
      </c>
    </row>
    <row r="18" spans="1:8" x14ac:dyDescent="0.35">
      <c r="A18" t="s">
        <v>109</v>
      </c>
      <c r="B18" t="s">
        <v>27</v>
      </c>
      <c r="C18" t="s">
        <v>12</v>
      </c>
      <c r="D18">
        <v>30</v>
      </c>
      <c r="E18">
        <v>620</v>
      </c>
      <c r="F18" t="s">
        <v>9</v>
      </c>
      <c r="H18" t="str">
        <f>IF(COUNTIFS(
    Sheet1!$B:$B, B18,
    Sheet1!$C:$C, C18,
    Sheet1!$D:$D, D18,
    Sheet1!$E:$E, E18
) = 0, "NO MATCH IN TARGET", "MATCHED")</f>
        <v>MATCHED</v>
      </c>
    </row>
    <row r="19" spans="1:8" x14ac:dyDescent="0.35">
      <c r="A19" t="s">
        <v>110</v>
      </c>
      <c r="B19" t="s">
        <v>11</v>
      </c>
      <c r="C19" t="s">
        <v>12</v>
      </c>
      <c r="D19">
        <v>100</v>
      </c>
      <c r="E19">
        <v>111</v>
      </c>
      <c r="F19" t="s">
        <v>9</v>
      </c>
      <c r="H19" t="str">
        <f>IF(COUNTIFS(
    Sheet1!$B:$B, B19,
    Sheet1!$C:$C, C19,
    Sheet1!$D:$D, D19,
    Sheet1!$E:$E, E19
) = 0, "NO MATCH IN TARGET", "MATCHED")</f>
        <v>MATCHED</v>
      </c>
    </row>
    <row r="20" spans="1:8" x14ac:dyDescent="0.35">
      <c r="A20" s="1">
        <v>46237.768750000003</v>
      </c>
      <c r="B20" s="2" t="s">
        <v>7</v>
      </c>
      <c r="C20" s="2" t="s">
        <v>12</v>
      </c>
      <c r="D20" s="3">
        <v>100</v>
      </c>
      <c r="E20" s="3">
        <v>327</v>
      </c>
      <c r="F20" s="2" t="s">
        <v>9</v>
      </c>
      <c r="H20" t="str">
        <f>IF(COUNTIFS(
    Sheet1!$B:$B, B20,
    Sheet1!$C:$C, C20,
    Sheet1!$D:$D, D20,
    Sheet1!$E:$E, E20
) = 0, "NO MATCH IN TARGET", "MATCHED")</f>
        <v>MATCHED</v>
      </c>
    </row>
    <row r="21" spans="1:8" x14ac:dyDescent="0.35">
      <c r="A21" t="s">
        <v>102</v>
      </c>
      <c r="B21" t="s">
        <v>26</v>
      </c>
      <c r="C21" t="s">
        <v>12</v>
      </c>
      <c r="D21">
        <v>4</v>
      </c>
      <c r="E21">
        <v>1751</v>
      </c>
      <c r="F21" t="s">
        <v>9</v>
      </c>
      <c r="H21" t="str">
        <f>IF(COUNTIFS(
    Sheet1!$B:$B, B21,
    Sheet1!$C:$C, C21,
    Sheet1!$D:$D, D21,
    Sheet1!$E:$E, E21
) = 0, "NO MATCH IN TARGET", "MATCHED")</f>
        <v>MATCHED</v>
      </c>
    </row>
    <row r="22" spans="1:8" x14ac:dyDescent="0.35">
      <c r="A22" t="s">
        <v>111</v>
      </c>
      <c r="B22" t="s">
        <v>34</v>
      </c>
      <c r="C22" t="s">
        <v>12</v>
      </c>
      <c r="D22">
        <v>25</v>
      </c>
      <c r="E22">
        <v>352</v>
      </c>
      <c r="F22" t="s">
        <v>9</v>
      </c>
      <c r="H22" t="str">
        <f>IF(COUNTIFS(
    Sheet1!$B:$B, B22,
    Sheet1!$C:$C, C22,
    Sheet1!$D:$D, D22,
    Sheet1!$E:$E, E22
) = 0, "NO MATCH IN TARGET", "MATCHED")</f>
        <v>MATCHED</v>
      </c>
    </row>
    <row r="23" spans="1:8" ht="29" x14ac:dyDescent="0.35">
      <c r="A23" s="1">
        <v>46238.690509259257</v>
      </c>
      <c r="B23" s="2" t="s">
        <v>29</v>
      </c>
      <c r="C23" s="2" t="s">
        <v>12</v>
      </c>
      <c r="D23" s="3">
        <v>1</v>
      </c>
      <c r="E23" s="3">
        <v>4364</v>
      </c>
      <c r="F23" s="2" t="s">
        <v>9</v>
      </c>
      <c r="H23" t="str">
        <f>IF(COUNTIFS(
    Sheet1!$B:$B, B23,
    Sheet1!$C:$C, C23,
    Sheet1!$D:$D, D23,
    Sheet1!$E:$E, E23
) = 0, "NO MATCH IN TARGET", "MATCHED")</f>
        <v>MATCHED</v>
      </c>
    </row>
    <row r="24" spans="1:8" x14ac:dyDescent="0.35">
      <c r="A24" s="1">
        <v>46238.690462962964</v>
      </c>
      <c r="B24" s="2" t="s">
        <v>19</v>
      </c>
      <c r="C24" s="2" t="s">
        <v>12</v>
      </c>
      <c r="D24" s="3">
        <v>20</v>
      </c>
      <c r="E24" s="3">
        <v>281</v>
      </c>
      <c r="F24" s="2" t="s">
        <v>9</v>
      </c>
      <c r="H24" t="str">
        <f>IF(COUNTIFS(
    Sheet1!$B:$B, B24,
    Sheet1!$C:$C, C24,
    Sheet1!$D:$D, D24,
    Sheet1!$E:$E, E24
) = 0, "NO MATCH IN TARGET", "MATCHED")</f>
        <v>MATCHED</v>
      </c>
    </row>
    <row r="25" spans="1:8" ht="29" x14ac:dyDescent="0.35">
      <c r="A25" s="1">
        <v>46233.688194444447</v>
      </c>
      <c r="B25" s="2" t="s">
        <v>75</v>
      </c>
      <c r="C25" s="2" t="s">
        <v>12</v>
      </c>
      <c r="D25" s="3">
        <v>2</v>
      </c>
      <c r="E25" s="3">
        <v>4010</v>
      </c>
      <c r="F25" s="2" t="s">
        <v>9</v>
      </c>
      <c r="H25" t="str">
        <f>IF(COUNTIFS(
    Sheet1!$B:$B, B25,
    Sheet1!$C:$C, C25,
    Sheet1!$D:$D, D25,
    Sheet1!$E:$E, E25
) = 0, "NO MATCH IN TARGET", "MATCHED")</f>
        <v>MATCHED</v>
      </c>
    </row>
    <row r="26" spans="1:8" ht="29" x14ac:dyDescent="0.35">
      <c r="A26" s="1">
        <v>46237.69027777778</v>
      </c>
      <c r="B26" s="2" t="s">
        <v>112</v>
      </c>
      <c r="C26" s="2" t="s">
        <v>12</v>
      </c>
      <c r="D26" s="3">
        <v>10</v>
      </c>
      <c r="E26" s="3">
        <v>251</v>
      </c>
      <c r="F26" s="2" t="s">
        <v>9</v>
      </c>
      <c r="H26" t="str">
        <f>IF(COUNTIFS(
    Sheet1!$B:$B, B26,
    Sheet1!$C:$C, C26,
    Sheet1!$D:$D, D26,
    Sheet1!$E:$E, E26
) = 0, "NO MATCH IN TARGET", "MATCHED")</f>
        <v>MATCHED</v>
      </c>
    </row>
    <row r="27" spans="1:8" ht="29" x14ac:dyDescent="0.35">
      <c r="A27" s="1">
        <v>46237.69027777778</v>
      </c>
      <c r="B27" s="2" t="s">
        <v>30</v>
      </c>
      <c r="C27" s="2" t="s">
        <v>12</v>
      </c>
      <c r="D27" s="3">
        <v>5</v>
      </c>
      <c r="E27" s="3">
        <v>852</v>
      </c>
      <c r="F27" s="2" t="s">
        <v>9</v>
      </c>
      <c r="H27" t="str">
        <f>IF(COUNTIFS(
    Sheet1!$B:$B, B27,
    Sheet1!$C:$C, C27,
    Sheet1!$D:$D, D27,
    Sheet1!$E:$E, E27
) = 0, "NO MATCH IN TARGET", "MATCHED")</f>
        <v>MATCHED</v>
      </c>
    </row>
    <row r="28" spans="1:8" x14ac:dyDescent="0.35">
      <c r="A28" s="1">
        <v>46237.768750000003</v>
      </c>
      <c r="B28" s="2" t="s">
        <v>7</v>
      </c>
      <c r="C28" s="2" t="s">
        <v>12</v>
      </c>
      <c r="D28" s="3">
        <v>100</v>
      </c>
      <c r="E28" s="3">
        <v>331</v>
      </c>
      <c r="F28" s="2" t="s">
        <v>9</v>
      </c>
      <c r="H28" t="str">
        <f>IF(COUNTIFS(
    Sheet1!$B:$B, B28,
    Sheet1!$C:$C, C28,
    Sheet1!$D:$D, D28,
    Sheet1!$E:$E, E28
) = 0, "NO MATCH IN TARGET", "MATCHED")</f>
        <v>MATCHED</v>
      </c>
    </row>
    <row r="29" spans="1:8" x14ac:dyDescent="0.35">
      <c r="A29" t="s">
        <v>113</v>
      </c>
      <c r="B29" t="s">
        <v>29</v>
      </c>
      <c r="C29" t="s">
        <v>12</v>
      </c>
      <c r="D29">
        <v>2</v>
      </c>
      <c r="E29">
        <v>4410</v>
      </c>
      <c r="F29" t="s">
        <v>9</v>
      </c>
      <c r="H29" t="str">
        <f>IF(COUNTIFS(
    Sheet1!$B:$B, B29,
    Sheet1!$C:$C, C29,
    Sheet1!$D:$D, D29,
    Sheet1!$E:$E, E29
) = 0, "NO MATCH IN TARGET", "MATCHED")</f>
        <v>MATCHED</v>
      </c>
    </row>
    <row r="30" spans="1:8" ht="29" x14ac:dyDescent="0.35">
      <c r="A30" s="1">
        <v>46233.688194444447</v>
      </c>
      <c r="B30" s="2" t="s">
        <v>75</v>
      </c>
      <c r="C30" s="2" t="s">
        <v>12</v>
      </c>
      <c r="D30" s="3">
        <v>2</v>
      </c>
      <c r="E30" s="3">
        <v>4060</v>
      </c>
      <c r="F30" s="2" t="s">
        <v>9</v>
      </c>
      <c r="H30" t="str">
        <f>IF(COUNTIFS(
    Sheet1!$B:$B, B30,
    Sheet1!$C:$C, C30,
    Sheet1!$D:$D, D30,
    Sheet1!$E:$E, E30
) = 0, "NO MATCH IN TARGET", "MATCHED")</f>
        <v>MATCHED</v>
      </c>
    </row>
    <row r="31" spans="1:8" x14ac:dyDescent="0.35">
      <c r="A31" t="s">
        <v>102</v>
      </c>
      <c r="B31" t="s">
        <v>28</v>
      </c>
      <c r="C31" t="s">
        <v>12</v>
      </c>
      <c r="D31">
        <v>1</v>
      </c>
      <c r="E31">
        <v>2264</v>
      </c>
      <c r="F31" t="s">
        <v>9</v>
      </c>
      <c r="H31" t="str">
        <f>IF(COUNTIFS(
    Sheet1!$B:$B, B31,
    Sheet1!$C:$C, C31,
    Sheet1!$D:$D, D31,
    Sheet1!$E:$E, E31
) = 0, "NO MATCH IN TARGET", "MATCHED")</f>
        <v>MATCHED</v>
      </c>
    </row>
    <row r="32" spans="1:8" x14ac:dyDescent="0.35">
      <c r="A32" t="s">
        <v>108</v>
      </c>
      <c r="B32" t="s">
        <v>61</v>
      </c>
      <c r="C32" t="s">
        <v>12</v>
      </c>
      <c r="D32">
        <v>1</v>
      </c>
      <c r="E32">
        <v>4560</v>
      </c>
      <c r="F32" t="s">
        <v>9</v>
      </c>
      <c r="H32" t="str">
        <f>IF(COUNTIFS(
    Sheet1!$B:$B, B32,
    Sheet1!$C:$C, C32,
    Sheet1!$D:$D, D32,
    Sheet1!$E:$E, E32
) = 0, "NO MATCH IN TARGET", "MATCHED")</f>
        <v>MATCHED</v>
      </c>
    </row>
    <row r="33" spans="1:8" x14ac:dyDescent="0.35">
      <c r="A33" t="s">
        <v>105</v>
      </c>
      <c r="B33" t="s">
        <v>63</v>
      </c>
      <c r="C33" t="s">
        <v>12</v>
      </c>
      <c r="D33">
        <v>4</v>
      </c>
      <c r="E33">
        <v>1066</v>
      </c>
      <c r="F33" t="s">
        <v>9</v>
      </c>
      <c r="H33" t="str">
        <f>IF(COUNTIFS(
    Sheet1!$B:$B, B33,
    Sheet1!$C:$C, C33,
    Sheet1!$D:$D, D33,
    Sheet1!$E:$E, E33
) = 0, "NO MATCH IN TARGET", "MATCHED")</f>
        <v>MATCHED</v>
      </c>
    </row>
    <row r="34" spans="1:8" x14ac:dyDescent="0.35">
      <c r="A34" s="1">
        <v>46233.688194444447</v>
      </c>
      <c r="B34" s="2" t="s">
        <v>87</v>
      </c>
      <c r="C34" s="2" t="s">
        <v>12</v>
      </c>
      <c r="D34" s="3">
        <v>2</v>
      </c>
      <c r="E34" s="3">
        <v>3760</v>
      </c>
      <c r="F34" s="2" t="s">
        <v>9</v>
      </c>
      <c r="H34" t="str">
        <f>IF(COUNTIFS(
    Sheet1!$B:$B, B34,
    Sheet1!$C:$C, C34,
    Sheet1!$D:$D, D34,
    Sheet1!$E:$E, E34
) = 0, "NO MATCH IN TARGET", "MATCHED")</f>
        <v>MATCHED</v>
      </c>
    </row>
    <row r="35" spans="1:8" x14ac:dyDescent="0.35">
      <c r="A35" t="s">
        <v>114</v>
      </c>
      <c r="B35" t="s">
        <v>59</v>
      </c>
      <c r="C35" t="s">
        <v>12</v>
      </c>
      <c r="D35">
        <v>15</v>
      </c>
      <c r="E35">
        <v>1005</v>
      </c>
      <c r="F35" t="s">
        <v>9</v>
      </c>
      <c r="H35" t="str">
        <f>IF(COUNTIFS(
    Sheet1!$B:$B, B35,
    Sheet1!$C:$C, C35,
    Sheet1!$D:$D, D35,
    Sheet1!$E:$E, E35
) = 0, "NO MATCH IN TARGET", "MATCHED")</f>
        <v>MATCHED</v>
      </c>
    </row>
    <row r="36" spans="1:8" x14ac:dyDescent="0.35">
      <c r="A36" t="s">
        <v>115</v>
      </c>
      <c r="B36" t="s">
        <v>30</v>
      </c>
      <c r="C36" t="s">
        <v>12</v>
      </c>
      <c r="D36">
        <v>30</v>
      </c>
      <c r="E36">
        <v>860</v>
      </c>
      <c r="F36" t="s">
        <v>9</v>
      </c>
      <c r="H36" t="str">
        <f>IF(COUNTIFS(
    Sheet1!$B:$B, B36,
    Sheet1!$C:$C, C36,
    Sheet1!$D:$D, D36,
    Sheet1!$E:$E, E36
) = 0, "NO MATCH IN TARGET", "MATCHED")</f>
        <v>MATCHED</v>
      </c>
    </row>
    <row r="37" spans="1:8" ht="29" x14ac:dyDescent="0.35">
      <c r="A37" s="1">
        <v>46238.635567129626</v>
      </c>
      <c r="B37" s="2" t="s">
        <v>74</v>
      </c>
      <c r="C37" s="2" t="s">
        <v>12</v>
      </c>
      <c r="D37" s="3">
        <v>5</v>
      </c>
      <c r="E37" s="3">
        <v>812</v>
      </c>
      <c r="F37" s="2" t="s">
        <v>9</v>
      </c>
      <c r="H37" t="str">
        <f>IF(COUNTIFS(
    Sheet1!$B:$B, B37,
    Sheet1!$C:$C, C37,
    Sheet1!$D:$D, D37,
    Sheet1!$E:$E, E37
) = 0, "NO MATCH IN TARGET", "MATCHED")</f>
        <v>MATCHED</v>
      </c>
    </row>
    <row r="38" spans="1:8" x14ac:dyDescent="0.35">
      <c r="A38" t="s">
        <v>116</v>
      </c>
      <c r="B38" t="s">
        <v>19</v>
      </c>
      <c r="C38" t="s">
        <v>12</v>
      </c>
      <c r="D38">
        <v>20</v>
      </c>
      <c r="E38">
        <v>286</v>
      </c>
      <c r="F38" t="s">
        <v>9</v>
      </c>
      <c r="H38" t="str">
        <f>IF(COUNTIFS(
    Sheet1!$B:$B, B38,
    Sheet1!$C:$C, C38,
    Sheet1!$D:$D, D38,
    Sheet1!$E:$E, E38
) = 0, "NO MATCH IN TARGET", "MATCHED")</f>
        <v>NO MATCH IN TARGET</v>
      </c>
    </row>
    <row r="39" spans="1:8" x14ac:dyDescent="0.35">
      <c r="A39" t="s">
        <v>117</v>
      </c>
      <c r="B39" t="s">
        <v>65</v>
      </c>
      <c r="C39" t="s">
        <v>12</v>
      </c>
      <c r="D39">
        <v>5</v>
      </c>
      <c r="E39">
        <v>2888</v>
      </c>
      <c r="F39" t="s">
        <v>9</v>
      </c>
      <c r="H39" t="str">
        <f>IF(COUNTIFS(
    Sheet1!$B:$B, B39,
    Sheet1!$C:$C, C39,
    Sheet1!$D:$D, D39,
    Sheet1!$E:$E, E39
) = 0, "NO MATCH IN TARGET", "MATCHED")</f>
        <v>MATCHED</v>
      </c>
    </row>
    <row r="40" spans="1:8" x14ac:dyDescent="0.35">
      <c r="A40" t="s">
        <v>118</v>
      </c>
      <c r="B40" t="s">
        <v>7</v>
      </c>
      <c r="C40" t="s">
        <v>12</v>
      </c>
      <c r="D40">
        <v>100</v>
      </c>
      <c r="E40">
        <v>335</v>
      </c>
      <c r="F40" t="s">
        <v>9</v>
      </c>
      <c r="H40" t="str">
        <f>IF(COUNTIFS(
    Sheet1!$B:$B, B40,
    Sheet1!$C:$C, C40,
    Sheet1!$D:$D, D40,
    Sheet1!$E:$E, E40
) = 0, "NO MATCH IN TARGET", "MATCHED")</f>
        <v>MATCHED</v>
      </c>
    </row>
    <row r="41" spans="1:8" x14ac:dyDescent="0.35">
      <c r="A41" t="s">
        <v>102</v>
      </c>
      <c r="B41" t="s">
        <v>43</v>
      </c>
      <c r="C41" t="s">
        <v>12</v>
      </c>
      <c r="D41">
        <v>5</v>
      </c>
      <c r="E41">
        <v>1614</v>
      </c>
      <c r="F41" t="s">
        <v>9</v>
      </c>
      <c r="H41" t="str">
        <f>IF(COUNTIFS(
    Sheet1!$B:$B, B41,
    Sheet1!$C:$C, C41,
    Sheet1!$D:$D, D41,
    Sheet1!$E:$E, E41
) = 0, "NO MATCH IN TARGET", "MATCHED")</f>
        <v>MATCHED</v>
      </c>
    </row>
    <row r="42" spans="1:8" x14ac:dyDescent="0.35">
      <c r="A42" t="s">
        <v>119</v>
      </c>
      <c r="B42" t="s">
        <v>31</v>
      </c>
      <c r="C42" t="s">
        <v>12</v>
      </c>
      <c r="D42">
        <v>5</v>
      </c>
      <c r="E42">
        <v>560</v>
      </c>
      <c r="F42" t="s">
        <v>9</v>
      </c>
      <c r="H42" t="str">
        <f>IF(COUNTIFS(
    Sheet1!$B:$B, B42,
    Sheet1!$C:$C, C42,
    Sheet1!$D:$D, D42,
    Sheet1!$E:$E, E42
) = 0, "NO MATCH IN TARGET", "MATCHED")</f>
        <v>MATCHED</v>
      </c>
    </row>
    <row r="43" spans="1:8" ht="29" x14ac:dyDescent="0.35">
      <c r="A43" s="1">
        <v>46237.635555555556</v>
      </c>
      <c r="B43" s="2" t="s">
        <v>75</v>
      </c>
      <c r="C43" s="2" t="s">
        <v>12</v>
      </c>
      <c r="D43" s="3">
        <v>1</v>
      </c>
      <c r="E43" s="3">
        <v>4110</v>
      </c>
      <c r="F43" s="2" t="s">
        <v>9</v>
      </c>
      <c r="H43" t="str">
        <f>IF(COUNTIFS(
    Sheet1!$B:$B, B43,
    Sheet1!$C:$C, C43,
    Sheet1!$D:$D, D43,
    Sheet1!$E:$E, E43
) = 0, "NO MATCH IN TARGET", "MATCHED")</f>
        <v>MATCHED</v>
      </c>
    </row>
    <row r="44" spans="1:8" x14ac:dyDescent="0.35">
      <c r="A44" s="1">
        <v>46237.635520833333</v>
      </c>
      <c r="B44" s="2" t="s">
        <v>85</v>
      </c>
      <c r="C44" s="2" t="s">
        <v>12</v>
      </c>
      <c r="D44" s="3">
        <v>20</v>
      </c>
      <c r="E44" s="3">
        <v>220.1</v>
      </c>
      <c r="F44" s="2" t="s">
        <v>9</v>
      </c>
      <c r="H44" t="str">
        <f>IF(COUNTIFS(
    Sheet1!$B:$B, B44,
    Sheet1!$C:$C, C44,
    Sheet1!$D:$D, D44,
    Sheet1!$E:$E, E44
) = 0, "NO MATCH IN TARGET", "MATCHED")</f>
        <v>MATCHED</v>
      </c>
    </row>
    <row r="45" spans="1:8" x14ac:dyDescent="0.35">
      <c r="A45" t="s">
        <v>120</v>
      </c>
      <c r="B45" t="s">
        <v>16</v>
      </c>
      <c r="C45" t="s">
        <v>12</v>
      </c>
      <c r="D45">
        <v>30</v>
      </c>
      <c r="E45">
        <v>2435</v>
      </c>
      <c r="F45" t="s">
        <v>9</v>
      </c>
      <c r="H45" t="str">
        <f>IF(COUNTIFS(
    Sheet1!$B:$B, B45,
    Sheet1!$C:$C, C45,
    Sheet1!$D:$D, D45,
    Sheet1!$E:$E, E45
) = 0, "NO MATCH IN TARGET", "MATCHED")</f>
        <v>MATCHED</v>
      </c>
    </row>
    <row r="46" spans="1:8" x14ac:dyDescent="0.35">
      <c r="A46" t="s">
        <v>109</v>
      </c>
      <c r="B46" t="s">
        <v>27</v>
      </c>
      <c r="C46" t="s">
        <v>12</v>
      </c>
      <c r="D46">
        <v>5</v>
      </c>
      <c r="E46">
        <v>640</v>
      </c>
      <c r="F46" t="s">
        <v>9</v>
      </c>
      <c r="H46" t="str">
        <f>IF(COUNTIFS(
    Sheet1!$B:$B, B46,
    Sheet1!$C:$C, C46,
    Sheet1!$D:$D, D46,
    Sheet1!$E:$E, E46
) = 0, "NO MATCH IN TARGET", "MATCHED")</f>
        <v>MATCHED</v>
      </c>
    </row>
    <row r="47" spans="1:8" x14ac:dyDescent="0.35">
      <c r="A47" t="s">
        <v>121</v>
      </c>
      <c r="B47" t="s">
        <v>27</v>
      </c>
      <c r="C47" t="s">
        <v>12</v>
      </c>
      <c r="D47">
        <v>30</v>
      </c>
      <c r="E47">
        <v>640</v>
      </c>
      <c r="F47" t="s">
        <v>9</v>
      </c>
      <c r="H47" t="str">
        <f>IF(COUNTIFS(
    Sheet1!$B:$B, B47,
    Sheet1!$C:$C, C47,
    Sheet1!$D:$D, D47,
    Sheet1!$E:$E, E47
) = 0, "NO MATCH IN TARGET", "MATCHED")</f>
        <v>MATCHED</v>
      </c>
    </row>
    <row r="48" spans="1:8" x14ac:dyDescent="0.35">
      <c r="A48" t="s">
        <v>118</v>
      </c>
      <c r="B48" t="s">
        <v>7</v>
      </c>
      <c r="C48" t="s">
        <v>12</v>
      </c>
      <c r="D48">
        <v>100</v>
      </c>
      <c r="E48">
        <v>337</v>
      </c>
      <c r="F48" t="s">
        <v>9</v>
      </c>
      <c r="H48" t="str">
        <f>IF(COUNTIFS(
    Sheet1!$B:$B, B48,
    Sheet1!$C:$C, C48,
    Sheet1!$D:$D, D48,
    Sheet1!$E:$E, E48
) = 0, "NO MATCH IN TARGET", "MATCHED")</f>
        <v>MATCHED</v>
      </c>
    </row>
    <row r="49" spans="1:8" x14ac:dyDescent="0.35">
      <c r="A49" t="s">
        <v>122</v>
      </c>
      <c r="B49" t="s">
        <v>68</v>
      </c>
      <c r="C49" t="s">
        <v>12</v>
      </c>
      <c r="D49">
        <v>8</v>
      </c>
      <c r="E49">
        <v>2370</v>
      </c>
      <c r="F49" t="s">
        <v>9</v>
      </c>
      <c r="H49" t="str">
        <f>IF(COUNTIFS(
    Sheet1!$B:$B, B49,
    Sheet1!$C:$C, C49,
    Sheet1!$D:$D, D49,
    Sheet1!$E:$E, E49
) = 0, "NO MATCH IN TARGET", "MATCHED")</f>
        <v>MATCHED</v>
      </c>
    </row>
    <row r="50" spans="1:8" x14ac:dyDescent="0.35">
      <c r="A50" s="1">
        <v>46233.688194444447</v>
      </c>
      <c r="B50" s="2" t="s">
        <v>87</v>
      </c>
      <c r="C50" s="2" t="s">
        <v>12</v>
      </c>
      <c r="D50" s="3">
        <v>3</v>
      </c>
      <c r="E50" s="3">
        <v>3810</v>
      </c>
      <c r="F50" s="2" t="s">
        <v>9</v>
      </c>
      <c r="H50" t="str">
        <f>IF(COUNTIFS(
    Sheet1!$B:$B, B50,
    Sheet1!$C:$C, C50,
    Sheet1!$D:$D, D50,
    Sheet1!$E:$E, E50
) = 0, "NO MATCH IN TARGET", "MATCHED")</f>
        <v>MATCHED</v>
      </c>
    </row>
    <row r="51" spans="1:8" x14ac:dyDescent="0.35">
      <c r="A51" t="s">
        <v>108</v>
      </c>
      <c r="B51" t="s">
        <v>61</v>
      </c>
      <c r="C51" t="s">
        <v>12</v>
      </c>
      <c r="D51">
        <v>1</v>
      </c>
      <c r="E51">
        <v>4640</v>
      </c>
      <c r="F51" t="s">
        <v>9</v>
      </c>
      <c r="H51" t="str">
        <f>IF(COUNTIFS(
    Sheet1!$B:$B, B51,
    Sheet1!$C:$C, C51,
    Sheet1!$D:$D, D51,
    Sheet1!$E:$E, E51
) = 0, "NO MATCH IN TARGET", "MATCHED")</f>
        <v>MATCHED</v>
      </c>
    </row>
    <row r="52" spans="1:8" x14ac:dyDescent="0.35">
      <c r="A52" t="s">
        <v>102</v>
      </c>
      <c r="B52" t="s">
        <v>14</v>
      </c>
      <c r="C52" t="s">
        <v>12</v>
      </c>
      <c r="D52">
        <v>50</v>
      </c>
      <c r="E52">
        <v>202</v>
      </c>
      <c r="F52" t="s">
        <v>9</v>
      </c>
      <c r="H52" t="str">
        <f>IF(COUNTIFS(
    Sheet1!$B:$B, B52,
    Sheet1!$C:$C, C52,
    Sheet1!$D:$D, D52,
    Sheet1!$E:$E, E52
) = 0, "NO MATCH IN TARGET", "MATCHED")</f>
        <v>MATCHED</v>
      </c>
    </row>
    <row r="53" spans="1:8" x14ac:dyDescent="0.35">
      <c r="A53" s="1">
        <v>46237.63553240741</v>
      </c>
      <c r="B53" s="2" t="s">
        <v>87</v>
      </c>
      <c r="C53" s="2" t="s">
        <v>12</v>
      </c>
      <c r="D53" s="3">
        <v>2</v>
      </c>
      <c r="E53" s="3">
        <v>3830</v>
      </c>
      <c r="F53" s="2" t="s">
        <v>9</v>
      </c>
      <c r="H53" t="str">
        <f>IF(COUNTIFS(
    Sheet1!$B:$B, B53,
    Sheet1!$C:$C, C53,
    Sheet1!$D:$D, D53,
    Sheet1!$E:$E, E53
) = 0, "NO MATCH IN TARGET", "MATCHED")</f>
        <v>MATCHED</v>
      </c>
    </row>
    <row r="54" spans="1:8" x14ac:dyDescent="0.35">
      <c r="A54" t="s">
        <v>108</v>
      </c>
      <c r="B54" t="s">
        <v>95</v>
      </c>
      <c r="C54" t="s">
        <v>12</v>
      </c>
      <c r="D54">
        <v>30</v>
      </c>
      <c r="E54">
        <v>1007</v>
      </c>
      <c r="F54" t="s">
        <v>9</v>
      </c>
      <c r="H54" t="str">
        <f>IF(COUNTIFS(
    Sheet1!$B:$B, B54,
    Sheet1!$C:$C, C54,
    Sheet1!$D:$D, D54,
    Sheet1!$E:$E, E54
) = 0, "NO MATCH IN TARGET", "MATCHED")</f>
        <v>MATCHED</v>
      </c>
    </row>
    <row r="55" spans="1:8" x14ac:dyDescent="0.35">
      <c r="A55" t="s">
        <v>123</v>
      </c>
      <c r="B55" t="s">
        <v>22</v>
      </c>
      <c r="C55" t="s">
        <v>12</v>
      </c>
      <c r="D55">
        <v>40</v>
      </c>
      <c r="E55">
        <v>426</v>
      </c>
      <c r="F55" t="s">
        <v>9</v>
      </c>
      <c r="H55" t="str">
        <f>IF(COUNTIFS(
    Sheet1!$B:$B, B55,
    Sheet1!$C:$C, C55,
    Sheet1!$D:$D, D55,
    Sheet1!$E:$E, E55
) = 0, "NO MATCH IN TARGET", "MATCHED")</f>
        <v>MATCHED</v>
      </c>
    </row>
    <row r="56" spans="1:8" x14ac:dyDescent="0.35">
      <c r="A56" t="s">
        <v>111</v>
      </c>
      <c r="B56" t="s">
        <v>32</v>
      </c>
      <c r="C56" t="s">
        <v>12</v>
      </c>
      <c r="D56">
        <v>25</v>
      </c>
      <c r="E56">
        <v>190.1</v>
      </c>
      <c r="F56" t="s">
        <v>9</v>
      </c>
      <c r="H56" t="str">
        <f>IF(COUNTIFS(
    Sheet1!$B:$B, B56,
    Sheet1!$C:$C, C56,
    Sheet1!$D:$D, D56,
    Sheet1!$E:$E, E56
) = 0, "NO MATCH IN TARGET", "MATCHED")</f>
        <v>MATCHED</v>
      </c>
    </row>
    <row r="57" spans="1:8" x14ac:dyDescent="0.35">
      <c r="A57" t="s">
        <v>109</v>
      </c>
      <c r="B57" t="s">
        <v>7</v>
      </c>
      <c r="C57" t="s">
        <v>12</v>
      </c>
      <c r="D57">
        <v>100</v>
      </c>
      <c r="E57">
        <v>340.2</v>
      </c>
      <c r="F57" t="s">
        <v>9</v>
      </c>
      <c r="H57" t="str">
        <f>IF(COUNTIFS(
    Sheet1!$B:$B, B57,
    Sheet1!$C:$C, C57,
    Sheet1!$D:$D, D57,
    Sheet1!$E:$E, E57
) = 0, "NO MATCH IN TARGET", "MATCHED")</f>
        <v>MATCHED</v>
      </c>
    </row>
    <row r="58" spans="1:8" x14ac:dyDescent="0.35">
      <c r="A58" t="s">
        <v>124</v>
      </c>
      <c r="B58" t="s">
        <v>70</v>
      </c>
      <c r="C58" t="s">
        <v>12</v>
      </c>
      <c r="D58">
        <v>10</v>
      </c>
      <c r="E58">
        <v>1410</v>
      </c>
      <c r="F58" t="s">
        <v>9</v>
      </c>
      <c r="H58" t="str">
        <f>IF(COUNTIFS(
    Sheet1!$B:$B, B58,
    Sheet1!$C:$C, C58,
    Sheet1!$D:$D, D58,
    Sheet1!$E:$E, E58
) = 0, "NO MATCH IN TARGET", "MATCHED")</f>
        <v>MATCHED</v>
      </c>
    </row>
    <row r="59" spans="1:8" x14ac:dyDescent="0.35">
      <c r="A59" t="s">
        <v>120</v>
      </c>
      <c r="B59" t="s">
        <v>16</v>
      </c>
      <c r="C59" t="s">
        <v>12</v>
      </c>
      <c r="D59">
        <v>30</v>
      </c>
      <c r="E59">
        <v>2460</v>
      </c>
      <c r="F59" t="s">
        <v>9</v>
      </c>
      <c r="H59" t="str">
        <f>IF(COUNTIFS(
    Sheet1!$B:$B, B59,
    Sheet1!$C:$C, C59,
    Sheet1!$D:$D, D59,
    Sheet1!$E:$E, E59
) = 0, "NO MATCH IN TARGET", "MATCHED")</f>
        <v>MATCHED</v>
      </c>
    </row>
    <row r="60" spans="1:8" x14ac:dyDescent="0.35">
      <c r="A60" t="s">
        <v>114</v>
      </c>
      <c r="B60" t="s">
        <v>83</v>
      </c>
      <c r="C60" t="s">
        <v>12</v>
      </c>
      <c r="D60">
        <v>40</v>
      </c>
      <c r="E60">
        <v>878</v>
      </c>
      <c r="F60" t="s">
        <v>9</v>
      </c>
      <c r="H60" t="str">
        <f>IF(COUNTIFS(
    Sheet1!$B:$B, B60,
    Sheet1!$C:$C, C60,
    Sheet1!$D:$D, D60,
    Sheet1!$E:$E, E60
) = 0, "NO MATCH IN TARGET", "MATCHED")</f>
        <v>MATCHED</v>
      </c>
    </row>
    <row r="61" spans="1:8" x14ac:dyDescent="0.35">
      <c r="A61" t="s">
        <v>117</v>
      </c>
      <c r="B61" t="s">
        <v>65</v>
      </c>
      <c r="C61" t="s">
        <v>12</v>
      </c>
      <c r="D61">
        <v>5</v>
      </c>
      <c r="E61">
        <v>2938</v>
      </c>
      <c r="F61" t="s">
        <v>9</v>
      </c>
      <c r="H61" t="str">
        <f>IF(COUNTIFS(
    Sheet1!$B:$B, B61,
    Sheet1!$C:$C, C61,
    Sheet1!$D:$D, D61,
    Sheet1!$E:$E, E61
) = 0, "NO MATCH IN TARGET", "MATCHED")</f>
        <v>MATCHED</v>
      </c>
    </row>
    <row r="62" spans="1:8" x14ac:dyDescent="0.35">
      <c r="A62" t="s">
        <v>111</v>
      </c>
      <c r="B62" t="s">
        <v>34</v>
      </c>
      <c r="C62" t="s">
        <v>12</v>
      </c>
      <c r="D62">
        <v>5</v>
      </c>
      <c r="E62">
        <v>366</v>
      </c>
      <c r="F62" t="s">
        <v>9</v>
      </c>
      <c r="H62" t="str">
        <f>IF(COUNTIFS(
    Sheet1!$B:$B, B62,
    Sheet1!$C:$C, C62,
    Sheet1!$D:$D, D62,
    Sheet1!$E:$E, E62
) = 0, "NO MATCH IN TARGET", "MATCHED")</f>
        <v>MATCHED</v>
      </c>
    </row>
    <row r="63" spans="1:8" x14ac:dyDescent="0.35">
      <c r="A63" t="s">
        <v>108</v>
      </c>
      <c r="B63" t="s">
        <v>72</v>
      </c>
      <c r="C63" t="s">
        <v>12</v>
      </c>
      <c r="D63">
        <v>1</v>
      </c>
      <c r="E63">
        <v>17552</v>
      </c>
      <c r="F63" t="s">
        <v>9</v>
      </c>
      <c r="H63" t="str">
        <f>IF(COUNTIFS(
    Sheet1!$B:$B, B63,
    Sheet1!$C:$C, C63,
    Sheet1!$D:$D, D63,
    Sheet1!$E:$E, E63
) = 0, "NO MATCH IN TARGET", "MATCHED")</f>
        <v>MATCHED</v>
      </c>
    </row>
    <row r="64" spans="1:8" x14ac:dyDescent="0.35">
      <c r="A64" t="s">
        <v>122</v>
      </c>
      <c r="B64" t="s">
        <v>93</v>
      </c>
      <c r="C64" t="s">
        <v>12</v>
      </c>
      <c r="D64">
        <v>9</v>
      </c>
      <c r="E64">
        <v>2251</v>
      </c>
      <c r="F64" t="s">
        <v>9</v>
      </c>
      <c r="H64" t="str">
        <f>IF(COUNTIFS(
    Sheet1!$B:$B, B64,
    Sheet1!$C:$C, C64,
    Sheet1!$D:$D, D64,
    Sheet1!$E:$E, E64
) = 0, "NO MATCH IN TARGET", "MATCHED")</f>
        <v>MATCHED</v>
      </c>
    </row>
    <row r="65" spans="1:8" x14ac:dyDescent="0.35">
      <c r="A65" t="s">
        <v>117</v>
      </c>
      <c r="B65" t="s">
        <v>79</v>
      </c>
      <c r="C65" t="s">
        <v>12</v>
      </c>
      <c r="D65">
        <v>5</v>
      </c>
      <c r="E65">
        <v>1132</v>
      </c>
      <c r="F65" t="s">
        <v>9</v>
      </c>
      <c r="H65" t="str">
        <f>IF(COUNTIFS(
    Sheet1!$B:$B, B65,
    Sheet1!$C:$C, C65,
    Sheet1!$D:$D, D65,
    Sheet1!$E:$E, E65
) = 0, "NO MATCH IN TARGET", "MATCHED")</f>
        <v>MATCHED</v>
      </c>
    </row>
    <row r="66" spans="1:8" x14ac:dyDescent="0.35">
      <c r="A66" t="s">
        <v>120</v>
      </c>
      <c r="B66" t="s">
        <v>31</v>
      </c>
      <c r="C66" t="s">
        <v>12</v>
      </c>
      <c r="D66">
        <v>5</v>
      </c>
      <c r="E66">
        <v>569</v>
      </c>
      <c r="F66" t="s">
        <v>9</v>
      </c>
      <c r="H66" t="str">
        <f>IF(COUNTIFS(
    Sheet1!$B:$B, B66,
    Sheet1!$C:$C, C66,
    Sheet1!$D:$D, D66,
    Sheet1!$E:$E, E66
) = 0, "NO MATCH IN TARGET", "MATCHED")</f>
        <v>MATCHED</v>
      </c>
    </row>
    <row r="67" spans="1:8" x14ac:dyDescent="0.35">
      <c r="A67" t="s">
        <v>108</v>
      </c>
      <c r="B67" t="s">
        <v>68</v>
      </c>
      <c r="C67" t="s">
        <v>12</v>
      </c>
      <c r="D67">
        <v>7</v>
      </c>
      <c r="E67">
        <v>2401</v>
      </c>
      <c r="F67" t="s">
        <v>9</v>
      </c>
      <c r="H67" t="str">
        <f>IF(COUNTIFS(
    Sheet1!$B:$B, B67,
    Sheet1!$C:$C, C67,
    Sheet1!$D:$D, D67,
    Sheet1!$E:$E, E67
) = 0, "NO MATCH IN TARGET", "MATCHED")</f>
        <v>MATCHED</v>
      </c>
    </row>
    <row r="68" spans="1:8" x14ac:dyDescent="0.35">
      <c r="A68" t="s">
        <v>108</v>
      </c>
      <c r="B68" t="s">
        <v>59</v>
      </c>
      <c r="C68" t="s">
        <v>12</v>
      </c>
      <c r="D68">
        <v>10</v>
      </c>
      <c r="E68">
        <v>1030</v>
      </c>
      <c r="F68" t="s">
        <v>9</v>
      </c>
      <c r="H68" t="str">
        <f>IF(COUNTIFS(
    Sheet1!$B:$B, B68,
    Sheet1!$C:$C, C68,
    Sheet1!$D:$D, D68,
    Sheet1!$E:$E, E68
) = 0, "NO MATCH IN TARGET", "MATCHED")</f>
        <v>MATCHED</v>
      </c>
    </row>
    <row r="69" spans="1:8" x14ac:dyDescent="0.35">
      <c r="A69" t="s">
        <v>120</v>
      </c>
      <c r="B69" t="s">
        <v>16</v>
      </c>
      <c r="C69" t="s">
        <v>12</v>
      </c>
      <c r="D69">
        <v>5</v>
      </c>
      <c r="E69">
        <v>2470</v>
      </c>
      <c r="F69" t="s">
        <v>9</v>
      </c>
      <c r="H69" t="str">
        <f>IF(COUNTIFS(
    Sheet1!$B:$B, B69,
    Sheet1!$C:$C, C69,
    Sheet1!$D:$D, D69,
    Sheet1!$E:$E, E69
) = 0, "NO MATCH IN TARGET", "MATCHED")</f>
        <v>MATCHED</v>
      </c>
    </row>
    <row r="70" spans="1:8" x14ac:dyDescent="0.35">
      <c r="A70" s="1">
        <v>46237.63553240741</v>
      </c>
      <c r="B70" s="2" t="s">
        <v>87</v>
      </c>
      <c r="C70" s="2" t="s">
        <v>12</v>
      </c>
      <c r="D70" s="3">
        <v>2</v>
      </c>
      <c r="E70" s="3">
        <v>3856</v>
      </c>
      <c r="F70" s="2" t="s">
        <v>9</v>
      </c>
      <c r="H70" t="str">
        <f>IF(COUNTIFS(
    Sheet1!$B:$B, B70,
    Sheet1!$C:$C, C70,
    Sheet1!$D:$D, D70,
    Sheet1!$E:$E, E70
) = 0, "NO MATCH IN TARGET", "MATCHED")</f>
        <v>MATCHED</v>
      </c>
    </row>
    <row r="71" spans="1:8" x14ac:dyDescent="0.35">
      <c r="A71" t="s">
        <v>123</v>
      </c>
      <c r="B71" t="s">
        <v>30</v>
      </c>
      <c r="C71" t="s">
        <v>12</v>
      </c>
      <c r="D71">
        <v>11</v>
      </c>
      <c r="E71">
        <v>882</v>
      </c>
      <c r="F71" t="s">
        <v>9</v>
      </c>
      <c r="H71" t="str">
        <f>IF(COUNTIFS(
    Sheet1!$B:$B, B71,
    Sheet1!$C:$C, C71,
    Sheet1!$D:$D, D71,
    Sheet1!$E:$E, E71
) = 0, "NO MATCH IN TARGET", "MATCHED")</f>
        <v>MATCHED</v>
      </c>
    </row>
    <row r="72" spans="1:8" x14ac:dyDescent="0.35">
      <c r="A72" t="s">
        <v>116</v>
      </c>
      <c r="B72" t="s">
        <v>37</v>
      </c>
      <c r="C72" t="s">
        <v>12</v>
      </c>
      <c r="D72">
        <v>25</v>
      </c>
      <c r="E72">
        <v>196</v>
      </c>
      <c r="F72" t="s">
        <v>9</v>
      </c>
      <c r="H72" t="str">
        <f>IF(COUNTIFS(
    Sheet1!$B:$B, B72,
    Sheet1!$C:$C, C72,
    Sheet1!$D:$D, D72,
    Sheet1!$E:$E, E72
) = 0, "NO MATCH IN TARGET", "MATCHED")</f>
        <v>MATCHED</v>
      </c>
    </row>
    <row r="73" spans="1:8" x14ac:dyDescent="0.35">
      <c r="A73" t="s">
        <v>124</v>
      </c>
      <c r="B73" t="s">
        <v>70</v>
      </c>
      <c r="C73" t="s">
        <v>12</v>
      </c>
      <c r="D73">
        <v>10</v>
      </c>
      <c r="E73">
        <v>1420</v>
      </c>
      <c r="F73" t="s">
        <v>9</v>
      </c>
      <c r="H73" t="str">
        <f>IF(COUNTIFS(
    Sheet1!$B:$B, B73,
    Sheet1!$C:$C, C73,
    Sheet1!$D:$D, D73,
    Sheet1!$E:$E, E73
) = 0, "NO MATCH IN TARGET", "MATCHED")</f>
        <v>MATCHED</v>
      </c>
    </row>
    <row r="74" spans="1:8" x14ac:dyDescent="0.35">
      <c r="A74" t="s">
        <v>125</v>
      </c>
      <c r="B74" t="s">
        <v>73</v>
      </c>
      <c r="C74" t="s">
        <v>12</v>
      </c>
      <c r="D74">
        <v>10</v>
      </c>
      <c r="E74">
        <v>1166</v>
      </c>
      <c r="F74" t="s">
        <v>9</v>
      </c>
      <c r="H74" t="str">
        <f>IF(COUNTIFS(
    Sheet1!$B:$B, B74,
    Sheet1!$C:$C, C74,
    Sheet1!$D:$D, D74,
    Sheet1!$E:$E, E74
) = 0, "NO MATCH IN TARGET", "MATCHED")</f>
        <v>MATCHED</v>
      </c>
    </row>
    <row r="75" spans="1:8" x14ac:dyDescent="0.35">
      <c r="A75" t="s">
        <v>126</v>
      </c>
      <c r="B75" t="s">
        <v>38</v>
      </c>
      <c r="C75" t="s">
        <v>12</v>
      </c>
      <c r="D75">
        <v>45</v>
      </c>
      <c r="E75">
        <v>136.15</v>
      </c>
      <c r="F75" t="s">
        <v>9</v>
      </c>
      <c r="H75" t="str">
        <f>IF(COUNTIFS(
    Sheet1!$B:$B, B75,
    Sheet1!$C:$C, C75,
    Sheet1!$D:$D, D75,
    Sheet1!$E:$E, E75
) = 0, "NO MATCH IN TARGET", "MATCHED")</f>
        <v>MATCHED</v>
      </c>
    </row>
    <row r="76" spans="1:8" x14ac:dyDescent="0.35">
      <c r="A76" t="s">
        <v>124</v>
      </c>
      <c r="B76" t="s">
        <v>74</v>
      </c>
      <c r="C76" t="s">
        <v>12</v>
      </c>
      <c r="D76">
        <v>25</v>
      </c>
      <c r="E76">
        <v>836</v>
      </c>
      <c r="F76" t="s">
        <v>9</v>
      </c>
      <c r="H76" t="str">
        <f>IF(COUNTIFS(
    Sheet1!$B:$B, B76,
    Sheet1!$C:$C, C76,
    Sheet1!$D:$D, D76,
    Sheet1!$E:$E, E76
) = 0, "NO MATCH IN TARGET", "MATCHED")</f>
        <v>MATCHED</v>
      </c>
    </row>
    <row r="77" spans="1:8" x14ac:dyDescent="0.35">
      <c r="A77" t="s">
        <v>127</v>
      </c>
      <c r="B77" t="s">
        <v>78</v>
      </c>
      <c r="C77" t="s">
        <v>12</v>
      </c>
      <c r="D77">
        <v>1</v>
      </c>
      <c r="E77">
        <v>13552</v>
      </c>
      <c r="F77" t="s">
        <v>9</v>
      </c>
      <c r="H77" t="str">
        <f>IF(COUNTIFS(
    Sheet1!$B:$B, B77,
    Sheet1!$C:$C, C77,
    Sheet1!$D:$D, D77,
    Sheet1!$E:$E, E77
) = 0, "NO MATCH IN TARGET", "MATCHED")</f>
        <v>MATCHED</v>
      </c>
    </row>
    <row r="78" spans="1:8" x14ac:dyDescent="0.35">
      <c r="A78" t="s">
        <v>109</v>
      </c>
      <c r="B78" t="s">
        <v>7</v>
      </c>
      <c r="C78" t="s">
        <v>12</v>
      </c>
      <c r="D78">
        <v>50</v>
      </c>
      <c r="E78">
        <v>344</v>
      </c>
      <c r="F78" t="s">
        <v>9</v>
      </c>
      <c r="H78" t="str">
        <f>IF(COUNTIFS(
    Sheet1!$B:$B, B78,
    Sheet1!$C:$C, C78,
    Sheet1!$D:$D, D78,
    Sheet1!$E:$E, E78
) = 0, "NO MATCH IN TARGET", "MATCHED")</f>
        <v>MATCHED</v>
      </c>
    </row>
    <row r="79" spans="1:8" x14ac:dyDescent="0.35">
      <c r="A79" t="s">
        <v>117</v>
      </c>
      <c r="B79" t="s">
        <v>76</v>
      </c>
      <c r="C79" t="s">
        <v>12</v>
      </c>
      <c r="D79">
        <v>25</v>
      </c>
      <c r="E79">
        <v>764</v>
      </c>
      <c r="F79" t="s">
        <v>9</v>
      </c>
      <c r="H79" t="str">
        <f>IF(COUNTIFS(
    Sheet1!$B:$B, B79,
    Sheet1!$C:$C, C79,
    Sheet1!$D:$D, D79,
    Sheet1!$E:$E, E79
) = 0, "NO MATCH IN TARGET", "MATCHED")</f>
        <v>MATCHED</v>
      </c>
    </row>
    <row r="80" spans="1:8" x14ac:dyDescent="0.35">
      <c r="A80" t="s">
        <v>128</v>
      </c>
      <c r="B80" t="s">
        <v>75</v>
      </c>
      <c r="C80" t="s">
        <v>12</v>
      </c>
      <c r="D80">
        <v>1</v>
      </c>
      <c r="E80">
        <v>4206</v>
      </c>
      <c r="F80" t="s">
        <v>9</v>
      </c>
      <c r="H80" t="str">
        <f>IF(COUNTIFS(
    Sheet1!$B:$B, B80,
    Sheet1!$C:$C, C80,
    Sheet1!$D:$D, D80,
    Sheet1!$E:$E, E80
) = 0, "NO MATCH IN TARGET", "MATCHED")</f>
        <v>MATCHED</v>
      </c>
    </row>
    <row r="81" spans="1:8" ht="29" x14ac:dyDescent="0.35">
      <c r="A81" s="1">
        <v>46233.688194444447</v>
      </c>
      <c r="B81" s="2" t="s">
        <v>92</v>
      </c>
      <c r="C81" s="2" t="s">
        <v>12</v>
      </c>
      <c r="D81" s="3">
        <v>5</v>
      </c>
      <c r="E81" s="3">
        <v>702</v>
      </c>
      <c r="F81" s="2" t="s">
        <v>9</v>
      </c>
      <c r="H81" t="str">
        <f>IF(COUNTIFS(
    Sheet1!$B:$B, B81,
    Sheet1!$C:$C, C81,
    Sheet1!$D:$D, D81,
    Sheet1!$E:$E, E81
) = 0, "NO MATCH IN TARGET", "MATCHED")</f>
        <v>MATCHED</v>
      </c>
    </row>
    <row r="82" spans="1:8" x14ac:dyDescent="0.35">
      <c r="A82" t="s">
        <v>124</v>
      </c>
      <c r="B82" t="s">
        <v>74</v>
      </c>
      <c r="C82" t="s">
        <v>12</v>
      </c>
      <c r="D82">
        <v>5</v>
      </c>
      <c r="E82">
        <v>838</v>
      </c>
      <c r="F82" t="s">
        <v>9</v>
      </c>
      <c r="H82" t="str">
        <f>IF(COUNTIFS(
    Sheet1!$B:$B, B82,
    Sheet1!$C:$C, C82,
    Sheet1!$D:$D, D82,
    Sheet1!$E:$E, E82
) = 0, "NO MATCH IN TARGET", "MATCHED")</f>
        <v>MATCHED</v>
      </c>
    </row>
    <row r="83" spans="1:8" x14ac:dyDescent="0.35">
      <c r="A83" t="s">
        <v>122</v>
      </c>
      <c r="B83" t="s">
        <v>79</v>
      </c>
      <c r="C83" t="s">
        <v>12</v>
      </c>
      <c r="D83">
        <v>5</v>
      </c>
      <c r="E83">
        <v>1142</v>
      </c>
      <c r="F83" t="s">
        <v>9</v>
      </c>
      <c r="H83" t="str">
        <f>IF(COUNTIFS(
    Sheet1!$B:$B, B83,
    Sheet1!$C:$C, C83,
    Sheet1!$D:$D, D83,
    Sheet1!$E:$E, E83
) = 0, "NO MATCH IN TARGET", "MATCHED")</f>
        <v>MATCHED</v>
      </c>
    </row>
    <row r="84" spans="1:8" x14ac:dyDescent="0.35">
      <c r="A84" t="s">
        <v>120</v>
      </c>
      <c r="B84" t="s">
        <v>16</v>
      </c>
      <c r="C84" t="s">
        <v>12</v>
      </c>
      <c r="D84">
        <v>5</v>
      </c>
      <c r="E84">
        <v>2490</v>
      </c>
      <c r="F84" t="s">
        <v>9</v>
      </c>
      <c r="H84" t="str">
        <f>IF(COUNTIFS(
    Sheet1!$B:$B, B84,
    Sheet1!$C:$C, C84,
    Sheet1!$D:$D, D84,
    Sheet1!$E:$E, E84
) = 0, "NO MATCH IN TARGET", "MATCHED")</f>
        <v>MATCHED</v>
      </c>
    </row>
    <row r="85" spans="1:8" x14ac:dyDescent="0.35">
      <c r="A85" s="1">
        <v>46238.64472222222</v>
      </c>
      <c r="B85" s="2" t="s">
        <v>87</v>
      </c>
      <c r="C85" s="2" t="s">
        <v>12</v>
      </c>
      <c r="D85" s="3">
        <v>5</v>
      </c>
      <c r="E85" s="3">
        <v>3888</v>
      </c>
      <c r="F85" s="2" t="s">
        <v>9</v>
      </c>
      <c r="H85" t="str">
        <f>IF(COUNTIFS(
    Sheet1!$B:$B, B85,
    Sheet1!$C:$C, C85,
    Sheet1!$D:$D, D85,
    Sheet1!$E:$E, E85
) = 0, "NO MATCH IN TARGET", "MATCHED")</f>
        <v>MATCHED</v>
      </c>
    </row>
    <row r="86" spans="1:8" x14ac:dyDescent="0.35">
      <c r="A86" t="s">
        <v>129</v>
      </c>
      <c r="B86" t="s">
        <v>41</v>
      </c>
      <c r="C86" t="s">
        <v>12</v>
      </c>
      <c r="D86">
        <v>500</v>
      </c>
      <c r="E86">
        <v>33.159999999999997</v>
      </c>
      <c r="F86" t="s">
        <v>9</v>
      </c>
      <c r="H86" t="str">
        <f>IF(COUNTIFS(
    Sheet1!$B:$B, B86,
    Sheet1!$C:$C, C86,
    Sheet1!$D:$D, D86,
    Sheet1!$E:$E, E86
) = 0, "NO MATCH IN TARGET", "MATCHED")</f>
        <v>MATCHED</v>
      </c>
    </row>
    <row r="87" spans="1:8" x14ac:dyDescent="0.35">
      <c r="A87" t="s">
        <v>130</v>
      </c>
      <c r="B87" t="s">
        <v>19</v>
      </c>
      <c r="C87" t="s">
        <v>12</v>
      </c>
      <c r="D87">
        <v>20</v>
      </c>
      <c r="E87">
        <v>296</v>
      </c>
      <c r="F87" t="s">
        <v>9</v>
      </c>
      <c r="H87" t="str">
        <f>IF(COUNTIFS(
    Sheet1!$B:$B, B87,
    Sheet1!$C:$C, C87,
    Sheet1!$D:$D, D87,
    Sheet1!$E:$E, E87
) = 0, "NO MATCH IN TARGET", "MATCHED")</f>
        <v>MATCHED</v>
      </c>
    </row>
    <row r="88" spans="1:8" x14ac:dyDescent="0.35">
      <c r="A88" t="s">
        <v>124</v>
      </c>
      <c r="B88" t="s">
        <v>80</v>
      </c>
      <c r="C88" t="s">
        <v>12</v>
      </c>
      <c r="D88">
        <v>69</v>
      </c>
      <c r="E88">
        <v>1277</v>
      </c>
      <c r="F88" t="s">
        <v>9</v>
      </c>
      <c r="H88" t="str">
        <f>IF(COUNTIFS(
    Sheet1!$B:$B, B88,
    Sheet1!$C:$C, C88,
    Sheet1!$D:$D, D88,
    Sheet1!$E:$E, E88
) = 0, "NO MATCH IN TARGET", "MATCHED")</f>
        <v>MATCHED</v>
      </c>
    </row>
    <row r="89" spans="1:8" x14ac:dyDescent="0.35">
      <c r="A89" t="s">
        <v>131</v>
      </c>
      <c r="B89" t="s">
        <v>14</v>
      </c>
      <c r="C89" t="s">
        <v>12</v>
      </c>
      <c r="D89">
        <v>50</v>
      </c>
      <c r="E89">
        <v>206</v>
      </c>
      <c r="F89" t="s">
        <v>9</v>
      </c>
      <c r="H89" t="str">
        <f>IF(COUNTIFS(
    Sheet1!$B:$B, B89,
    Sheet1!$C:$C, C89,
    Sheet1!$D:$D, D89,
    Sheet1!$E:$E, E89
) = 0, "NO MATCH IN TARGET", "MATCHED")</f>
        <v>MATCHED</v>
      </c>
    </row>
    <row r="90" spans="1:8" x14ac:dyDescent="0.35">
      <c r="A90" t="s">
        <v>102</v>
      </c>
      <c r="B90" t="s">
        <v>43</v>
      </c>
      <c r="C90" t="s">
        <v>12</v>
      </c>
      <c r="D90">
        <v>10</v>
      </c>
      <c r="E90">
        <v>1666</v>
      </c>
      <c r="F90" t="s">
        <v>9</v>
      </c>
      <c r="H90" t="str">
        <f>IF(COUNTIFS(
    Sheet1!$B:$B, B90,
    Sheet1!$C:$C, C90,
    Sheet1!$D:$D, D90,
    Sheet1!$E:$E, E90
) = 0, "NO MATCH IN TARGET", "MATCHED")</f>
        <v>MATCHED</v>
      </c>
    </row>
    <row r="91" spans="1:8" x14ac:dyDescent="0.35">
      <c r="A91" t="s">
        <v>122</v>
      </c>
      <c r="B91" t="s">
        <v>81</v>
      </c>
      <c r="C91" t="s">
        <v>12</v>
      </c>
      <c r="D91">
        <v>10</v>
      </c>
      <c r="E91">
        <v>1251</v>
      </c>
      <c r="F91" t="s">
        <v>9</v>
      </c>
      <c r="H91" t="str">
        <f>IF(COUNTIFS(
    Sheet1!$B:$B, B91,
    Sheet1!$C:$C, C91,
    Sheet1!$D:$D, D91,
    Sheet1!$E:$E, E91
) = 0, "NO MATCH IN TARGET", "MATCHED")</f>
        <v>MATCHED</v>
      </c>
    </row>
    <row r="92" spans="1:8" x14ac:dyDescent="0.35">
      <c r="A92" t="s">
        <v>117</v>
      </c>
      <c r="B92" t="s">
        <v>94</v>
      </c>
      <c r="C92" t="s">
        <v>12</v>
      </c>
      <c r="D92">
        <v>3</v>
      </c>
      <c r="E92">
        <v>3310</v>
      </c>
      <c r="F92" t="s">
        <v>9</v>
      </c>
      <c r="H92" t="str">
        <f>IF(COUNTIFS(
    Sheet1!$B:$B, B92,
    Sheet1!$C:$C, C92,
    Sheet1!$D:$D, D92,
    Sheet1!$E:$E, E92
) = 0, "NO MATCH IN TARGET", "MATCHED")</f>
        <v>MATCHED</v>
      </c>
    </row>
    <row r="93" spans="1:8" x14ac:dyDescent="0.35">
      <c r="A93" t="s">
        <v>120</v>
      </c>
      <c r="B93" t="s">
        <v>16</v>
      </c>
      <c r="C93" t="s">
        <v>12</v>
      </c>
      <c r="D93">
        <v>5</v>
      </c>
      <c r="E93">
        <v>2510</v>
      </c>
      <c r="F93" t="s">
        <v>9</v>
      </c>
      <c r="H93" t="str">
        <f>IF(COUNTIFS(
    Sheet1!$B:$B, B93,
    Sheet1!$C:$C, C93,
    Sheet1!$D:$D, D93,
    Sheet1!$E:$E, E93
) = 0, "NO MATCH IN TARGET", "MATCHED")</f>
        <v>MATCHED</v>
      </c>
    </row>
    <row r="94" spans="1:8" x14ac:dyDescent="0.35">
      <c r="A94" t="s">
        <v>122</v>
      </c>
      <c r="B94" t="s">
        <v>79</v>
      </c>
      <c r="C94" t="s">
        <v>12</v>
      </c>
      <c r="D94">
        <v>5</v>
      </c>
      <c r="E94">
        <v>1152</v>
      </c>
      <c r="F94" t="s">
        <v>9</v>
      </c>
      <c r="H94" t="str">
        <f>IF(COUNTIFS(
    Sheet1!$B:$B, B94,
    Sheet1!$C:$C, C94,
    Sheet1!$D:$D, D94,
    Sheet1!$E:$E, E94
) = 0, "NO MATCH IN TARGET", "MATCHED")</f>
        <v>MATCHED</v>
      </c>
    </row>
    <row r="95" spans="1:8" x14ac:dyDescent="0.35">
      <c r="A95" t="s">
        <v>109</v>
      </c>
      <c r="B95" t="s">
        <v>27</v>
      </c>
      <c r="C95" t="s">
        <v>12</v>
      </c>
      <c r="D95">
        <v>5</v>
      </c>
      <c r="E95">
        <v>660</v>
      </c>
      <c r="F95" t="s">
        <v>9</v>
      </c>
      <c r="H95" t="str">
        <f>IF(COUNTIFS(
    Sheet1!$B:$B, B95,
    Sheet1!$C:$C, C95,
    Sheet1!$D:$D, D95,
    Sheet1!$E:$E, E95
) = 0, "NO MATCH IN TARGET", "MATCHED")</f>
        <v>MATCHED</v>
      </c>
    </row>
    <row r="96" spans="1:8" x14ac:dyDescent="0.35">
      <c r="A96" t="s">
        <v>124</v>
      </c>
      <c r="B96" t="s">
        <v>70</v>
      </c>
      <c r="C96" t="s">
        <v>12</v>
      </c>
      <c r="D96">
        <v>10</v>
      </c>
      <c r="E96">
        <v>1440</v>
      </c>
      <c r="F96" t="s">
        <v>9</v>
      </c>
      <c r="H96" t="str">
        <f>IF(COUNTIFS(
    Sheet1!$B:$B, B96,
    Sheet1!$C:$C, C96,
    Sheet1!$D:$D, D96,
    Sheet1!$E:$E, E96
) = 0, "NO MATCH IN TARGET", "MATCHED")</f>
        <v>MATCHED</v>
      </c>
    </row>
    <row r="97" spans="1:8" x14ac:dyDescent="0.35">
      <c r="A97" t="s">
        <v>127</v>
      </c>
      <c r="B97" t="s">
        <v>83</v>
      </c>
      <c r="C97" t="s">
        <v>12</v>
      </c>
      <c r="D97">
        <v>40</v>
      </c>
      <c r="E97">
        <v>897</v>
      </c>
      <c r="F97" t="s">
        <v>9</v>
      </c>
      <c r="H97" t="str">
        <f>IF(COUNTIFS(
    Sheet1!$B:$B, B97,
    Sheet1!$C:$C, C97,
    Sheet1!$D:$D, D97,
    Sheet1!$E:$E, E97
) = 0, "NO MATCH IN TARGET", "MATCHED")</f>
        <v>MATCHED</v>
      </c>
    </row>
    <row r="98" spans="1:8" x14ac:dyDescent="0.35">
      <c r="A98" t="s">
        <v>132</v>
      </c>
      <c r="B98" t="s">
        <v>22</v>
      </c>
      <c r="C98" t="s">
        <v>12</v>
      </c>
      <c r="D98">
        <v>40</v>
      </c>
      <c r="E98">
        <v>436</v>
      </c>
      <c r="F98" t="s">
        <v>9</v>
      </c>
      <c r="H98" t="str">
        <f>IF(COUNTIFS(
    Sheet1!$B:$B, B98,
    Sheet1!$C:$C, C98,
    Sheet1!$D:$D, D98,
    Sheet1!$E:$E, E98
) = 0, "NO MATCH IN TARGET", "MATCHED")</f>
        <v>MATCHED</v>
      </c>
    </row>
    <row r="99" spans="1:8" x14ac:dyDescent="0.35">
      <c r="A99" t="s">
        <v>109</v>
      </c>
      <c r="B99" t="s">
        <v>7</v>
      </c>
      <c r="C99" t="s">
        <v>12</v>
      </c>
      <c r="D99">
        <v>50</v>
      </c>
      <c r="E99">
        <v>348</v>
      </c>
      <c r="F99" t="s">
        <v>9</v>
      </c>
      <c r="H99" t="str">
        <f>IF(COUNTIFS(
    Sheet1!$B:$B, B99,
    Sheet1!$C:$C, C99,
    Sheet1!$D:$D, D99,
    Sheet1!$E:$E, E99
) = 0, "NO MATCH IN TARGET", "MATCHED")</f>
        <v>MATCHED</v>
      </c>
    </row>
    <row r="100" spans="1:8" x14ac:dyDescent="0.35">
      <c r="A100" t="s">
        <v>130</v>
      </c>
      <c r="B100" t="s">
        <v>47</v>
      </c>
      <c r="C100" t="s">
        <v>12</v>
      </c>
      <c r="D100">
        <v>150</v>
      </c>
      <c r="E100">
        <v>128</v>
      </c>
      <c r="F100" t="s">
        <v>9</v>
      </c>
      <c r="H100" t="str">
        <f>IF(COUNTIFS(
    Sheet1!$B:$B, B100,
    Sheet1!$C:$C, C100,
    Sheet1!$D:$D, D100,
    Sheet1!$E:$E, E100
) = 0, "NO MATCH IN TARGET", "MATCHED")</f>
        <v>MATCHED</v>
      </c>
    </row>
    <row r="101" spans="1:8" x14ac:dyDescent="0.35">
      <c r="A101" t="s">
        <v>125</v>
      </c>
      <c r="B101" t="s">
        <v>85</v>
      </c>
      <c r="C101" t="s">
        <v>12</v>
      </c>
      <c r="D101">
        <v>200</v>
      </c>
      <c r="E101">
        <v>227.5</v>
      </c>
      <c r="F101" t="s">
        <v>9</v>
      </c>
      <c r="H101" t="str">
        <f>IF(COUNTIFS(
    Sheet1!$B:$B, B101,
    Sheet1!$C:$C, C101,
    Sheet1!$D:$D, D101,
    Sheet1!$E:$E, E101
) = 0, "NO MATCH IN TARGET", "MATCHED")</f>
        <v>MATCHED</v>
      </c>
    </row>
    <row r="102" spans="1:8" x14ac:dyDescent="0.35">
      <c r="A102" s="1">
        <v>46238.63554398148</v>
      </c>
      <c r="B102" s="2" t="s">
        <v>88</v>
      </c>
      <c r="C102" s="2" t="s">
        <v>12</v>
      </c>
      <c r="D102" s="3">
        <v>2</v>
      </c>
      <c r="E102" s="3">
        <v>2552</v>
      </c>
      <c r="F102" s="2" t="s">
        <v>9</v>
      </c>
      <c r="H102" t="str">
        <f>IF(COUNTIFS(
    Sheet1!$B:$B, B102,
    Sheet1!$C:$C, C102,
    Sheet1!$D:$D, D102,
    Sheet1!$E:$E, E102
) = 0, "NO MATCH IN TARGET", "MATCHED")</f>
        <v>MATCHED</v>
      </c>
    </row>
    <row r="103" spans="1:8" x14ac:dyDescent="0.35">
      <c r="A103" t="s">
        <v>122</v>
      </c>
      <c r="B103" t="s">
        <v>86</v>
      </c>
      <c r="C103" t="s">
        <v>12</v>
      </c>
      <c r="D103">
        <v>2</v>
      </c>
      <c r="E103">
        <v>2460</v>
      </c>
      <c r="F103" t="s">
        <v>9</v>
      </c>
      <c r="H103" t="str">
        <f>IF(COUNTIFS(
    Sheet1!$B:$B, B103,
    Sheet1!$C:$C, C103,
    Sheet1!$D:$D, D103,
    Sheet1!$E:$E, E103
) = 0, "NO MATCH IN TARGET", "MATCHED")</f>
        <v>MATCHED</v>
      </c>
    </row>
    <row r="104" spans="1:8" x14ac:dyDescent="0.35">
      <c r="A104" t="s">
        <v>108</v>
      </c>
      <c r="B104" t="s">
        <v>87</v>
      </c>
      <c r="C104" t="s">
        <v>12</v>
      </c>
      <c r="D104">
        <v>5</v>
      </c>
      <c r="E104">
        <v>3938</v>
      </c>
      <c r="F104" t="s">
        <v>9</v>
      </c>
      <c r="H104" t="str">
        <f>IF(COUNTIFS(
    Sheet1!$B:$B, B104,
    Sheet1!$C:$C, C104,
    Sheet1!$D:$D, D104,
    Sheet1!$E:$E, E104
) = 0, "NO MATCH IN TARGET", "MATCHED")</f>
        <v>MATCHED</v>
      </c>
    </row>
    <row r="105" spans="1:8" x14ac:dyDescent="0.35">
      <c r="A105" t="s">
        <v>108</v>
      </c>
      <c r="B105" t="s">
        <v>81</v>
      </c>
      <c r="C105" t="s">
        <v>12</v>
      </c>
      <c r="D105">
        <v>10</v>
      </c>
      <c r="E105">
        <v>1260</v>
      </c>
      <c r="F105" t="s">
        <v>9</v>
      </c>
      <c r="H105" t="str">
        <f>IF(COUNTIFS(
    Sheet1!$B:$B, B105,
    Sheet1!$C:$C, C105,
    Sheet1!$D:$D, D105,
    Sheet1!$E:$E, E105
) = 0, "NO MATCH IN TARGET", "MATCHED")</f>
        <v>MATCHED</v>
      </c>
    </row>
    <row r="106" spans="1:8" ht="29" x14ac:dyDescent="0.35">
      <c r="A106" s="1">
        <v>46237.635567129626</v>
      </c>
      <c r="B106" s="2" t="s">
        <v>92</v>
      </c>
      <c r="C106" s="2" t="s">
        <v>12</v>
      </c>
      <c r="D106" s="3">
        <v>5</v>
      </c>
      <c r="E106" s="3">
        <v>712</v>
      </c>
      <c r="F106" s="2" t="s">
        <v>9</v>
      </c>
      <c r="H106" t="str">
        <f>IF(COUNTIFS(
    Sheet1!$B:$B, B106,
    Sheet1!$C:$C, C106,
    Sheet1!$D:$D, D106,
    Sheet1!$E:$E, E106
) = 0, "NO MATCH IN TARGET", "MATCHED")</f>
        <v>MATCHED</v>
      </c>
    </row>
    <row r="107" spans="1:8" x14ac:dyDescent="0.35">
      <c r="A107" t="s">
        <v>124</v>
      </c>
      <c r="B107" t="s">
        <v>74</v>
      </c>
      <c r="C107" t="s">
        <v>12</v>
      </c>
      <c r="D107">
        <v>50</v>
      </c>
      <c r="E107">
        <v>850</v>
      </c>
      <c r="F107" t="s">
        <v>9</v>
      </c>
      <c r="H107" t="str">
        <f>IF(COUNTIFS(
    Sheet1!$B:$B, B107,
    Sheet1!$C:$C, C107,
    Sheet1!$D:$D, D107,
    Sheet1!$E:$E, E107
) = 0, "NO MATCH IN TARGET", "MATCHED")</f>
        <v>MATCHED</v>
      </c>
    </row>
    <row r="108" spans="1:8" x14ac:dyDescent="0.35">
      <c r="A108" t="s">
        <v>133</v>
      </c>
      <c r="B108" t="s">
        <v>73</v>
      </c>
      <c r="C108" t="s">
        <v>12</v>
      </c>
      <c r="D108">
        <v>5</v>
      </c>
      <c r="E108">
        <v>1188</v>
      </c>
      <c r="F108" t="s">
        <v>9</v>
      </c>
      <c r="H108" t="str">
        <f>IF(COUNTIFS(
    Sheet1!$B:$B, B108,
    Sheet1!$C:$C, C108,
    Sheet1!$D:$D, D108,
    Sheet1!$E:$E, E108
) = 0, "NO MATCH IN TARGET", "MATCHED")</f>
        <v>MATCHED</v>
      </c>
    </row>
    <row r="109" spans="1:8" x14ac:dyDescent="0.35">
      <c r="A109" t="s">
        <v>111</v>
      </c>
      <c r="B109" t="s">
        <v>48</v>
      </c>
      <c r="C109" t="s">
        <v>12</v>
      </c>
      <c r="D109">
        <v>50</v>
      </c>
      <c r="E109">
        <v>203.5</v>
      </c>
      <c r="F109" t="s">
        <v>9</v>
      </c>
      <c r="H109" t="str">
        <f>IF(COUNTIFS(
    Sheet1!$B:$B, B109,
    Sheet1!$C:$C, C109,
    Sheet1!$D:$D, D109,
    Sheet1!$E:$E, E109
) = 0, "NO MATCH IN TARGET", "MATCHED")</f>
        <v>MATCHED</v>
      </c>
    </row>
    <row r="110" spans="1:8" x14ac:dyDescent="0.35">
      <c r="A110" t="s">
        <v>134</v>
      </c>
      <c r="B110" t="s">
        <v>88</v>
      </c>
      <c r="C110" t="s">
        <v>12</v>
      </c>
      <c r="D110">
        <v>2</v>
      </c>
      <c r="E110">
        <v>2560</v>
      </c>
      <c r="F110" t="s">
        <v>9</v>
      </c>
      <c r="H110" t="str">
        <f>IF(COUNTIFS(
    Sheet1!$B:$B, B110,
    Sheet1!$C:$C, C110,
    Sheet1!$D:$D, D110,
    Sheet1!$E:$E, E110
) = 0, "NO MATCH IN TARGET", "MATCHED")</f>
        <v>MATCHED</v>
      </c>
    </row>
    <row r="111" spans="1:8" x14ac:dyDescent="0.35">
      <c r="A111" t="s">
        <v>135</v>
      </c>
      <c r="B111" t="s">
        <v>87</v>
      </c>
      <c r="C111" t="s">
        <v>12</v>
      </c>
      <c r="D111">
        <v>10</v>
      </c>
      <c r="E111">
        <v>3950</v>
      </c>
      <c r="F111" t="s">
        <v>9</v>
      </c>
      <c r="H111" t="str">
        <f>IF(COUNTIFS(
    Sheet1!$B:$B, B111,
    Sheet1!$C:$C, C111,
    Sheet1!$D:$D, D111,
    Sheet1!$E:$E, E111
) = 0, "NO MATCH IN TARGET", "MATCHED")</f>
        <v>MATCHED</v>
      </c>
    </row>
    <row r="112" spans="1:8" x14ac:dyDescent="0.35">
      <c r="A112" t="s">
        <v>128</v>
      </c>
      <c r="B112" t="s">
        <v>79</v>
      </c>
      <c r="C112" t="s">
        <v>12</v>
      </c>
      <c r="D112">
        <v>5</v>
      </c>
      <c r="E112">
        <v>1161</v>
      </c>
      <c r="F112" t="s">
        <v>9</v>
      </c>
      <c r="H112" t="str">
        <f>IF(COUNTIFS(
    Sheet1!$B:$B, B112,
    Sheet1!$C:$C, C112,
    Sheet1!$D:$D, D112,
    Sheet1!$E:$E, E112
) = 0, "NO MATCH IN TARGET", "MATCHED")</f>
        <v>MATCHED</v>
      </c>
    </row>
    <row r="113" spans="1:8" x14ac:dyDescent="0.35">
      <c r="A113" t="s">
        <v>136</v>
      </c>
      <c r="B113" t="s">
        <v>79</v>
      </c>
      <c r="C113" t="s">
        <v>12</v>
      </c>
      <c r="D113">
        <v>5</v>
      </c>
      <c r="E113">
        <v>1162</v>
      </c>
      <c r="F113" t="s">
        <v>9</v>
      </c>
      <c r="H113" t="str">
        <f>IF(COUNTIFS(
    Sheet1!$B:$B, B113,
    Sheet1!$C:$C, C113,
    Sheet1!$D:$D, D113,
    Sheet1!$E:$E, E113
) = 0, "NO MATCH IN TARGET", "MATCHED")</f>
        <v>MATCHED</v>
      </c>
    </row>
    <row r="114" spans="1:8" x14ac:dyDescent="0.35">
      <c r="A114" t="s">
        <v>137</v>
      </c>
      <c r="B114" t="s">
        <v>85</v>
      </c>
      <c r="C114" t="s">
        <v>12</v>
      </c>
      <c r="D114">
        <v>200</v>
      </c>
      <c r="E114">
        <v>229</v>
      </c>
      <c r="F114" t="s">
        <v>9</v>
      </c>
      <c r="H114" t="str">
        <f>IF(COUNTIFS(
    Sheet1!$B:$B, B114,
    Sheet1!$C:$C, C114,
    Sheet1!$D:$D, D114,
    Sheet1!$E:$E, E114
) = 0, "NO MATCH IN TARGET", "MATCHED")</f>
        <v>MATCHED</v>
      </c>
    </row>
    <row r="115" spans="1:8" x14ac:dyDescent="0.35">
      <c r="A115" t="s">
        <v>134</v>
      </c>
      <c r="B115" t="s">
        <v>72</v>
      </c>
      <c r="C115" t="s">
        <v>12</v>
      </c>
      <c r="D115">
        <v>1</v>
      </c>
      <c r="E115">
        <v>18052</v>
      </c>
      <c r="F115" t="s">
        <v>9</v>
      </c>
      <c r="H115" t="str">
        <f>IF(COUNTIFS(
    Sheet1!$B:$B, B115,
    Sheet1!$C:$C, C115,
    Sheet1!$D:$D, D115,
    Sheet1!$E:$E, E115
) = 0, "NO MATCH IN TARGET", "MATCHED")</f>
        <v>MATCHED</v>
      </c>
    </row>
    <row r="116" spans="1:8" x14ac:dyDescent="0.35">
      <c r="A116" t="s">
        <v>120</v>
      </c>
      <c r="B116" t="s">
        <v>16</v>
      </c>
      <c r="C116" t="s">
        <v>12</v>
      </c>
      <c r="D116">
        <v>5</v>
      </c>
      <c r="E116">
        <v>2540</v>
      </c>
      <c r="F116" t="s">
        <v>9</v>
      </c>
      <c r="H116" t="str">
        <f>IF(COUNTIFS(
    Sheet1!$B:$B, B116,
    Sheet1!$C:$C, C116,
    Sheet1!$D:$D, D116,
    Sheet1!$E:$E, E116
) = 0, "NO MATCH IN TARGET", "MATCHED")</f>
        <v>MATCHED</v>
      </c>
    </row>
    <row r="117" spans="1:8" x14ac:dyDescent="0.35">
      <c r="A117" t="s">
        <v>133</v>
      </c>
      <c r="B117" t="s">
        <v>90</v>
      </c>
      <c r="C117" t="s">
        <v>12</v>
      </c>
      <c r="D117">
        <v>100</v>
      </c>
      <c r="E117">
        <v>390</v>
      </c>
      <c r="F117" t="s">
        <v>9</v>
      </c>
      <c r="H117" t="str">
        <f>IF(COUNTIFS(
    Sheet1!$B:$B, B117,
    Sheet1!$C:$C, C117,
    Sheet1!$D:$D, D117,
    Sheet1!$E:$E, E117
) = 0, "NO MATCH IN TARGET", "MATCHED")</f>
        <v>MATCHED</v>
      </c>
    </row>
    <row r="118" spans="1:8" x14ac:dyDescent="0.35">
      <c r="A118" t="s">
        <v>137</v>
      </c>
      <c r="B118" t="s">
        <v>91</v>
      </c>
      <c r="C118" t="s">
        <v>12</v>
      </c>
      <c r="D118">
        <v>100</v>
      </c>
      <c r="E118">
        <v>87.3</v>
      </c>
      <c r="F118" t="s">
        <v>9</v>
      </c>
      <c r="H118" t="str">
        <f>IF(COUNTIFS(
    Sheet1!$B:$B, B118,
    Sheet1!$C:$C, C118,
    Sheet1!$D:$D, D118,
    Sheet1!$E:$E, E118
) = 0, "NO MATCH IN TARGET", "MATCHED")</f>
        <v>MATCHED</v>
      </c>
    </row>
    <row r="119" spans="1:8" x14ac:dyDescent="0.35">
      <c r="A119" t="s">
        <v>109</v>
      </c>
      <c r="B119" t="s">
        <v>7</v>
      </c>
      <c r="C119" t="s">
        <v>12</v>
      </c>
      <c r="D119">
        <v>50</v>
      </c>
      <c r="E119">
        <v>352</v>
      </c>
      <c r="F119" t="s">
        <v>9</v>
      </c>
      <c r="H119" t="str">
        <f>IF(COUNTIFS(
    Sheet1!$B:$B, B119,
    Sheet1!$C:$C, C119,
    Sheet1!$D:$D, D119,
    Sheet1!$E:$E, E119
) = 0, "NO MATCH IN TARGET", "MATCHED")</f>
        <v>MATCHED</v>
      </c>
    </row>
    <row r="120" spans="1:8" x14ac:dyDescent="0.35">
      <c r="A120" t="s">
        <v>135</v>
      </c>
      <c r="B120" t="s">
        <v>75</v>
      </c>
      <c r="C120" t="s">
        <v>12</v>
      </c>
      <c r="D120">
        <v>1</v>
      </c>
      <c r="E120">
        <v>4306</v>
      </c>
      <c r="F120" t="s">
        <v>9</v>
      </c>
      <c r="H120" t="str">
        <f>IF(COUNTIFS(
    Sheet1!$B:$B, B120,
    Sheet1!$C:$C, C120,
    Sheet1!$D:$D, D120,
    Sheet1!$E:$E, E120
) = 0, "NO MATCH IN TARGET", "MATCHED")</f>
        <v>MATCHED</v>
      </c>
    </row>
    <row r="121" spans="1:8" x14ac:dyDescent="0.35">
      <c r="A121" t="s">
        <v>134</v>
      </c>
      <c r="B121" t="s">
        <v>80</v>
      </c>
      <c r="C121" t="s">
        <v>12</v>
      </c>
      <c r="D121">
        <v>3</v>
      </c>
      <c r="E121">
        <v>1302</v>
      </c>
      <c r="F121" t="s">
        <v>9</v>
      </c>
      <c r="H121" t="str">
        <f>IF(COUNTIFS(
    Sheet1!$B:$B, B121,
    Sheet1!$C:$C, C121,
    Sheet1!$D:$D, D121,
    Sheet1!$E:$E, E121
) = 0, "NO MATCH IN TARGET", "MATCHED")</f>
        <v>MATCHED</v>
      </c>
    </row>
    <row r="122" spans="1:8" x14ac:dyDescent="0.35">
      <c r="A122" t="s">
        <v>120</v>
      </c>
      <c r="B122" t="s">
        <v>16</v>
      </c>
      <c r="C122" t="s">
        <v>12</v>
      </c>
      <c r="D122">
        <v>10</v>
      </c>
      <c r="E122">
        <v>2552</v>
      </c>
      <c r="F122" t="s">
        <v>9</v>
      </c>
      <c r="H122" t="str">
        <f>IF(COUNTIFS(
    Sheet1!$B:$B, B122,
    Sheet1!$C:$C, C122,
    Sheet1!$D:$D, D122,
    Sheet1!$E:$E, E122
) = 0, "NO MATCH IN TARGET", "MATCHED")</f>
        <v>MATCHED</v>
      </c>
    </row>
    <row r="123" spans="1:8" x14ac:dyDescent="0.35">
      <c r="A123" t="s">
        <v>113</v>
      </c>
      <c r="B123" t="s">
        <v>29</v>
      </c>
      <c r="C123" t="s">
        <v>12</v>
      </c>
      <c r="D123">
        <v>3</v>
      </c>
      <c r="E123">
        <v>4710</v>
      </c>
      <c r="F123" t="s">
        <v>9</v>
      </c>
      <c r="H123" t="str">
        <f>IF(COUNTIFS(
    Sheet1!$B:$B, B123,
    Sheet1!$C:$C, C123,
    Sheet1!$D:$D, D123,
    Sheet1!$E:$E, E123
) = 0, "NO MATCH IN TARGET", "MATCHED")</f>
        <v>MATCHED</v>
      </c>
    </row>
    <row r="124" spans="1:8" x14ac:dyDescent="0.35">
      <c r="A124" t="s">
        <v>116</v>
      </c>
      <c r="B124" t="s">
        <v>53</v>
      </c>
      <c r="C124" t="s">
        <v>12</v>
      </c>
      <c r="D124">
        <v>50</v>
      </c>
      <c r="E124">
        <v>286</v>
      </c>
      <c r="F124" t="s">
        <v>9</v>
      </c>
      <c r="H124" t="str">
        <f>IF(COUNTIFS(
    Sheet1!$B:$B, B124,
    Sheet1!$C:$C, C124,
    Sheet1!$D:$D, D124,
    Sheet1!$E:$E, E124
) = 0, "NO MATCH IN TARGET", "MATCHED")</f>
        <v>MATCHED</v>
      </c>
    </row>
    <row r="125" spans="1:8" x14ac:dyDescent="0.35">
      <c r="A125" t="s">
        <v>123</v>
      </c>
      <c r="B125" t="s">
        <v>30</v>
      </c>
      <c r="C125" t="s">
        <v>12</v>
      </c>
      <c r="D125">
        <v>5</v>
      </c>
      <c r="E125">
        <v>916</v>
      </c>
      <c r="F125" t="s">
        <v>9</v>
      </c>
      <c r="H125" t="str">
        <f>IF(COUNTIFS(
    Sheet1!$B:$B, B125,
    Sheet1!$C:$C, C125,
    Sheet1!$D:$D, D125,
    Sheet1!$E:$E, E125
) = 0, "NO MATCH IN TARGET", "MATCHED")</f>
        <v>MATCHED</v>
      </c>
    </row>
    <row r="126" spans="1:8" x14ac:dyDescent="0.35">
      <c r="A126" t="s">
        <v>138</v>
      </c>
      <c r="B126" t="s">
        <v>83</v>
      </c>
      <c r="C126" t="s">
        <v>12</v>
      </c>
      <c r="D126">
        <v>20</v>
      </c>
      <c r="E126">
        <v>917</v>
      </c>
      <c r="F126" t="s">
        <v>9</v>
      </c>
      <c r="H126" t="str">
        <f>IF(COUNTIFS(
    Sheet1!$B:$B, B126,
    Sheet1!$C:$C, C126,
    Sheet1!$D:$D, D126,
    Sheet1!$E:$E, E126
) = 0, "NO MATCH IN TARGET", "MATCHED")</f>
        <v>MATCHED</v>
      </c>
    </row>
    <row r="127" spans="1:8" x14ac:dyDescent="0.35">
      <c r="A127" t="s">
        <v>137</v>
      </c>
      <c r="B127" t="s">
        <v>92</v>
      </c>
      <c r="C127" t="s">
        <v>12</v>
      </c>
      <c r="D127">
        <v>5</v>
      </c>
      <c r="E127">
        <v>726</v>
      </c>
      <c r="F127" t="s">
        <v>9</v>
      </c>
      <c r="H127" t="str">
        <f>IF(COUNTIFS(
    Sheet1!$B:$B, B127,
    Sheet1!$C:$C, C127,
    Sheet1!$D:$D, D127,
    Sheet1!$E:$E, E127
) = 0, "NO MATCH IN TARGET", "MATCHED")</f>
        <v>MATCHED</v>
      </c>
    </row>
    <row r="128" spans="1:8" x14ac:dyDescent="0.35">
      <c r="A128" t="s">
        <v>137</v>
      </c>
      <c r="B128" t="s">
        <v>93</v>
      </c>
      <c r="C128" t="s">
        <v>12</v>
      </c>
      <c r="D128">
        <v>8</v>
      </c>
      <c r="E128">
        <v>2352</v>
      </c>
      <c r="F128" t="s">
        <v>9</v>
      </c>
      <c r="H128" t="str">
        <f>IF(COUNTIFS(
    Sheet1!$B:$B, B128,
    Sheet1!$C:$C, C128,
    Sheet1!$D:$D, D128,
    Sheet1!$E:$E, E128
) = 0, "NO MATCH IN TARGET", "MATCHED")</f>
        <v>MATCHED</v>
      </c>
    </row>
    <row r="129" spans="1:8" x14ac:dyDescent="0.35">
      <c r="A129" t="s">
        <v>139</v>
      </c>
      <c r="B129" t="s">
        <v>76</v>
      </c>
      <c r="C129" t="s">
        <v>12</v>
      </c>
      <c r="D129">
        <v>20</v>
      </c>
      <c r="E129">
        <v>793</v>
      </c>
      <c r="F129" t="s">
        <v>9</v>
      </c>
      <c r="H129" t="str">
        <f>IF(COUNTIFS(
    Sheet1!$B:$B, B129,
    Sheet1!$C:$C, C129,
    Sheet1!$D:$D, D129,
    Sheet1!$E:$E, E129
) = 0, "NO MATCH IN TARGET", "MATCHED")</f>
        <v>NO MATCH IN TARGET</v>
      </c>
    </row>
    <row r="130" spans="1:8" x14ac:dyDescent="0.35">
      <c r="A130" t="s">
        <v>134</v>
      </c>
      <c r="B130" t="s">
        <v>94</v>
      </c>
      <c r="C130" t="s">
        <v>12</v>
      </c>
      <c r="D130">
        <v>2</v>
      </c>
      <c r="E130">
        <v>3410</v>
      </c>
      <c r="F130" t="s">
        <v>9</v>
      </c>
      <c r="H130" t="str">
        <f>IF(COUNTIFS(
    Sheet1!$B:$B, B130,
    Sheet1!$C:$C, C130,
    Sheet1!$D:$D, D130,
    Sheet1!$E:$E, E130
) = 0, "NO MATCH IN TARGET", "MATCHED")</f>
        <v>MATCHED</v>
      </c>
    </row>
    <row r="131" spans="1:8" x14ac:dyDescent="0.35">
      <c r="A131" t="s">
        <v>134</v>
      </c>
      <c r="B131" t="s">
        <v>95</v>
      </c>
      <c r="C131" t="s">
        <v>12</v>
      </c>
      <c r="D131">
        <v>2</v>
      </c>
      <c r="E131">
        <v>1060</v>
      </c>
      <c r="F131" t="s">
        <v>9</v>
      </c>
      <c r="H131" t="str">
        <f>IF(COUNTIFS(
    Sheet1!$B:$B, B131,
    Sheet1!$C:$C, C131,
    Sheet1!$D:$D, D131,
    Sheet1!$E:$E, E131
) = 0, "NO MATCH IN TARGET", "MATCHED")</f>
        <v>MATCHED</v>
      </c>
    </row>
    <row r="132" spans="1:8" x14ac:dyDescent="0.35">
      <c r="A132" t="s">
        <v>114</v>
      </c>
      <c r="B132" t="s">
        <v>85</v>
      </c>
      <c r="C132" t="s">
        <v>8</v>
      </c>
      <c r="D132">
        <v>100</v>
      </c>
      <c r="E132">
        <v>238.2</v>
      </c>
      <c r="F132" t="s">
        <v>9</v>
      </c>
      <c r="H132" t="str">
        <f>IF(COUNTIFS(
    Sheet1!$B:$B, B132,
    Sheet1!$C:$C, C132,
    Sheet1!$D:$D, D132,
    Sheet1!$E:$E, E132
) = 0, "NO MATCH IN TARGET", "MATCHED")</f>
        <v>MATCHED</v>
      </c>
    </row>
    <row r="133" spans="1:8" x14ac:dyDescent="0.35">
      <c r="A133" t="s">
        <v>114</v>
      </c>
      <c r="B133" t="s">
        <v>85</v>
      </c>
      <c r="C133" t="s">
        <v>8</v>
      </c>
      <c r="D133">
        <v>200</v>
      </c>
      <c r="E133">
        <v>239</v>
      </c>
      <c r="F133" t="s">
        <v>9</v>
      </c>
      <c r="H133" t="str">
        <f>IF(COUNTIFS(
    Sheet1!$B:$B, B133,
    Sheet1!$C:$C, C133,
    Sheet1!$D:$D, D133,
    Sheet1!$E:$E, E133
) = 0, "NO MATCH IN TARGET", "MATCHED")</f>
        <v>MATCHED</v>
      </c>
    </row>
    <row r="134" spans="1:8" x14ac:dyDescent="0.35">
      <c r="A134" t="s">
        <v>122</v>
      </c>
      <c r="B134" t="s">
        <v>81</v>
      </c>
      <c r="C134" t="s">
        <v>8</v>
      </c>
      <c r="D134">
        <v>10</v>
      </c>
      <c r="E134">
        <v>1320</v>
      </c>
      <c r="F134" t="s">
        <v>9</v>
      </c>
      <c r="H134" t="str">
        <f>IF(COUNTIFS(
    Sheet1!$B:$B, B134,
    Sheet1!$C:$C, C134,
    Sheet1!$D:$D, D134,
    Sheet1!$E:$E, E134
) = 0, "NO MATCH IN TARGET", "MATCHED")</f>
        <v>MATCHED</v>
      </c>
    </row>
    <row r="135" spans="1:8" x14ac:dyDescent="0.35">
      <c r="A135" t="s">
        <v>138</v>
      </c>
      <c r="B135" t="s">
        <v>91</v>
      </c>
      <c r="C135" t="s">
        <v>8</v>
      </c>
      <c r="D135">
        <v>200</v>
      </c>
      <c r="E135">
        <v>90.75</v>
      </c>
      <c r="F135" t="s">
        <v>9</v>
      </c>
      <c r="H135" t="str">
        <f>IF(COUNTIFS(
    Sheet1!$B:$B, B135,
    Sheet1!$C:$C, C135,
    Sheet1!$D:$D, D135,
    Sheet1!$E:$E, E135
) = 0, "NO MATCH IN TARGET", "MATCHED")</f>
        <v>MATCHED</v>
      </c>
    </row>
    <row r="136" spans="1:8" x14ac:dyDescent="0.35">
      <c r="A136" t="s">
        <v>137</v>
      </c>
      <c r="B136" t="s">
        <v>87</v>
      </c>
      <c r="C136" t="s">
        <v>8</v>
      </c>
      <c r="D136">
        <v>5</v>
      </c>
      <c r="E136">
        <v>4129</v>
      </c>
      <c r="F136" t="s">
        <v>9</v>
      </c>
      <c r="H136" t="str">
        <f>IF(COUNTIFS(
    Sheet1!$B:$B, B136,
    Sheet1!$C:$C, C136,
    Sheet1!$D:$D, D136,
    Sheet1!$E:$E, E136
) = 0, "NO MATCH IN TARGET", "MATCHED")</f>
        <v>MATCHED</v>
      </c>
    </row>
    <row r="137" spans="1:8" x14ac:dyDescent="0.35">
      <c r="A137" t="s">
        <v>131</v>
      </c>
      <c r="B137" t="s">
        <v>14</v>
      </c>
      <c r="C137" t="s">
        <v>8</v>
      </c>
      <c r="D137">
        <v>50</v>
      </c>
      <c r="E137">
        <v>218</v>
      </c>
      <c r="F137" t="s">
        <v>9</v>
      </c>
      <c r="H137" t="str">
        <f>IF(COUNTIFS(
    Sheet1!$B:$B, B137,
    Sheet1!$C:$C, C137,
    Sheet1!$D:$D, D137,
    Sheet1!$E:$E, E137
) = 0, "NO MATCH IN TARGET", "MATCHED")</f>
        <v>NO MATCH IN TARGET</v>
      </c>
    </row>
    <row r="138" spans="1:8" x14ac:dyDescent="0.35">
      <c r="A138" t="s">
        <v>140</v>
      </c>
      <c r="B138" t="s">
        <v>96</v>
      </c>
      <c r="C138" t="s">
        <v>8</v>
      </c>
      <c r="D138">
        <v>150</v>
      </c>
      <c r="E138">
        <v>123.4</v>
      </c>
      <c r="F138" t="s">
        <v>9</v>
      </c>
      <c r="H138" t="str">
        <f>IF(COUNTIFS(
    Sheet1!$B:$B, B138,
    Sheet1!$C:$C, C138,
    Sheet1!$D:$D, D138,
    Sheet1!$E:$E, E138
) = 0, "NO MATCH IN TARGET", "MATCHED")</f>
        <v>MATCHED</v>
      </c>
    </row>
    <row r="139" spans="1:8" x14ac:dyDescent="0.35">
      <c r="A139" t="s">
        <v>120</v>
      </c>
      <c r="B139" t="s">
        <v>16</v>
      </c>
      <c r="C139" t="s">
        <v>8</v>
      </c>
      <c r="D139">
        <v>10</v>
      </c>
      <c r="E139">
        <v>2648</v>
      </c>
      <c r="F139" t="s">
        <v>9</v>
      </c>
      <c r="H139" t="str">
        <f>IF(COUNTIFS(
    Sheet1!$B:$B, B139,
    Sheet1!$C:$C, C139,
    Sheet1!$D:$D, D139,
    Sheet1!$E:$E, E139
) = 0, "NO MATCH IN TARGET", "MATCHED")</f>
        <v>MATCHED</v>
      </c>
    </row>
    <row r="140" spans="1:8" x14ac:dyDescent="0.35">
      <c r="A140" s="1">
        <v>46237.768750000003</v>
      </c>
      <c r="B140" s="2" t="s">
        <v>47</v>
      </c>
      <c r="C140" s="2" t="s">
        <v>8</v>
      </c>
      <c r="D140" s="3">
        <v>150</v>
      </c>
      <c r="E140" s="4">
        <v>134.80000000000001</v>
      </c>
      <c r="F140" s="2" t="s">
        <v>9</v>
      </c>
      <c r="H140" t="str">
        <f>IF(COUNTIFS(
    Sheet1!$B:$B, B140,
    Sheet1!$C:$C, C140,
    Sheet1!$D:$D, D140,
    Sheet1!$E:$E, E140
) = 0, "NO MATCH IN TARGET", "MATCHED")</f>
        <v>MATCHED</v>
      </c>
    </row>
    <row r="141" spans="1:8" x14ac:dyDescent="0.35">
      <c r="A141" t="s">
        <v>134</v>
      </c>
      <c r="B141" t="s">
        <v>70</v>
      </c>
      <c r="C141" t="s">
        <v>8</v>
      </c>
      <c r="D141">
        <v>10</v>
      </c>
      <c r="E141">
        <v>1520</v>
      </c>
      <c r="F141" t="s">
        <v>9</v>
      </c>
      <c r="H141" t="str">
        <f>IF(COUNTIFS(
    Sheet1!$B:$B, B141,
    Sheet1!$C:$C, C141,
    Sheet1!$D:$D, D141,
    Sheet1!$E:$E, E141
) = 0, "NO MATCH IN TARGET", "MATCHED")</f>
        <v>NO MATCH IN TARGET</v>
      </c>
    </row>
    <row r="142" spans="1:8" x14ac:dyDescent="0.35">
      <c r="A142" t="s">
        <v>111</v>
      </c>
      <c r="B142" t="s">
        <v>48</v>
      </c>
      <c r="C142" t="s">
        <v>8</v>
      </c>
      <c r="D142">
        <v>50</v>
      </c>
      <c r="E142">
        <v>214</v>
      </c>
      <c r="F142" t="s">
        <v>9</v>
      </c>
      <c r="H142" t="str">
        <f>IF(COUNTIFS(
    Sheet1!$B:$B, B142,
    Sheet1!$C:$C, C142,
    Sheet1!$D:$D, D142,
    Sheet1!$E:$E, E142
) = 0, "NO MATCH IN TARGET", "MATCHED")</f>
        <v>MATCHED</v>
      </c>
    </row>
    <row r="143" spans="1:8" x14ac:dyDescent="0.35">
      <c r="A143" t="s">
        <v>133</v>
      </c>
      <c r="B143" t="s">
        <v>74</v>
      </c>
      <c r="C143" t="s">
        <v>8</v>
      </c>
      <c r="D143">
        <v>20</v>
      </c>
      <c r="E143">
        <v>896</v>
      </c>
      <c r="F143" t="s">
        <v>9</v>
      </c>
      <c r="H143" t="str">
        <f>IF(COUNTIFS(
    Sheet1!$B:$B, B143,
    Sheet1!$C:$C, C143,
    Sheet1!$D:$D, D143,
    Sheet1!$E:$E, E143
) = 0, "NO MATCH IN TARGET", "MATCHED")</f>
        <v>MATCHED</v>
      </c>
    </row>
    <row r="144" spans="1:8" x14ac:dyDescent="0.35">
      <c r="A144" t="s">
        <v>136</v>
      </c>
      <c r="B144" t="s">
        <v>79</v>
      </c>
      <c r="C144" t="s">
        <v>8</v>
      </c>
      <c r="D144">
        <v>10</v>
      </c>
      <c r="E144">
        <v>1221</v>
      </c>
      <c r="F144" t="s">
        <v>9</v>
      </c>
      <c r="H144" t="str">
        <f>IF(COUNTIFS(
    Sheet1!$B:$B, B144,
    Sheet1!$C:$C, C144,
    Sheet1!$D:$D, D144,
    Sheet1!$E:$E, E144
) = 0, "NO MATCH IN TARGET", "MATCHED")</f>
        <v>MATCHED</v>
      </c>
    </row>
    <row r="145" spans="1:8" x14ac:dyDescent="0.35">
      <c r="A145" t="s">
        <v>109</v>
      </c>
      <c r="B145" t="s">
        <v>7</v>
      </c>
      <c r="C145" t="s">
        <v>8</v>
      </c>
      <c r="D145">
        <v>67</v>
      </c>
      <c r="E145">
        <v>369</v>
      </c>
      <c r="F145" t="s">
        <v>9</v>
      </c>
      <c r="H145" t="str">
        <f>IF(COUNTIFS(
    Sheet1!$B:$B, B145,
    Sheet1!$C:$C, C145,
    Sheet1!$D:$D, D145,
    Sheet1!$E:$E, E145
) = 0, "NO MATCH IN TARGET", "MATCHED")</f>
        <v>MATCHED</v>
      </c>
    </row>
    <row r="146" spans="1:8" x14ac:dyDescent="0.35">
      <c r="A146" t="s">
        <v>120</v>
      </c>
      <c r="B146" t="s">
        <v>16</v>
      </c>
      <c r="C146" t="s">
        <v>8</v>
      </c>
      <c r="D146">
        <v>10</v>
      </c>
      <c r="E146">
        <v>2672</v>
      </c>
      <c r="F146" t="s">
        <v>9</v>
      </c>
      <c r="H146" t="str">
        <f>IF(COUNTIFS(
    Sheet1!$B:$B, B146,
    Sheet1!$C:$C, C146,
    Sheet1!$D:$D, D146,
    Sheet1!$E:$E, E146
) = 0, "NO MATCH IN TARGET", "MATCHED")</f>
        <v>MATCHED</v>
      </c>
    </row>
    <row r="147" spans="1:8" x14ac:dyDescent="0.35">
      <c r="A147" t="s">
        <v>138</v>
      </c>
      <c r="B147" t="s">
        <v>91</v>
      </c>
      <c r="C147" t="s">
        <v>8</v>
      </c>
      <c r="D147">
        <v>200</v>
      </c>
      <c r="E147">
        <v>91.75</v>
      </c>
      <c r="F147" t="s">
        <v>9</v>
      </c>
      <c r="H147" t="str">
        <f>IF(COUNTIFS(
    Sheet1!$B:$B, B147,
    Sheet1!$C:$C, C147,
    Sheet1!$D:$D, D147,
    Sheet1!$E:$E, E147
) = 0, "NO MATCH IN TARGET", "MATCHED")</f>
        <v>MATCHED</v>
      </c>
    </row>
    <row r="148" spans="1:8" x14ac:dyDescent="0.35">
      <c r="A148" t="s">
        <v>130</v>
      </c>
      <c r="B148" t="s">
        <v>47</v>
      </c>
      <c r="C148" t="s">
        <v>8</v>
      </c>
      <c r="D148">
        <v>150</v>
      </c>
      <c r="E148">
        <v>136</v>
      </c>
      <c r="F148" t="s">
        <v>9</v>
      </c>
      <c r="H148" t="str">
        <f>IF(COUNTIFS(
    Sheet1!$B:$B, B148,
    Sheet1!$C:$C, C148,
    Sheet1!$D:$D, D148,
    Sheet1!$E:$E, E148
) = 0, "NO MATCH IN TARGET", "MATCHED")</f>
        <v>MATCHED</v>
      </c>
    </row>
    <row r="149" spans="1:8" x14ac:dyDescent="0.35">
      <c r="A149" t="s">
        <v>138</v>
      </c>
      <c r="B149" t="s">
        <v>87</v>
      </c>
      <c r="C149" t="s">
        <v>8</v>
      </c>
      <c r="D149">
        <v>5</v>
      </c>
      <c r="E149">
        <v>4177</v>
      </c>
      <c r="F149" t="s">
        <v>9</v>
      </c>
      <c r="H149" t="str">
        <f>IF(COUNTIFS(
    Sheet1!$B:$B, B149,
    Sheet1!$C:$C, C149,
    Sheet1!$D:$D, D149,
    Sheet1!$E:$E, E149
) = 0, "NO MATCH IN TARGET", "MATCHED")</f>
        <v>MATCHED</v>
      </c>
    </row>
    <row r="150" spans="1:8" x14ac:dyDescent="0.35">
      <c r="A150" t="s">
        <v>141</v>
      </c>
      <c r="B150" t="s">
        <v>96</v>
      </c>
      <c r="C150" t="s">
        <v>8</v>
      </c>
      <c r="D150">
        <v>150</v>
      </c>
      <c r="E150">
        <v>124.9</v>
      </c>
      <c r="F150" t="s">
        <v>9</v>
      </c>
      <c r="H150" t="str">
        <f>IF(COUNTIFS(
    Sheet1!$B:$B, B150,
    Sheet1!$C:$C, C150,
    Sheet1!$D:$D, D150,
    Sheet1!$E:$E, E150
) = 0, "NO MATCH IN TARGET", "MATCHED")</f>
        <v>MATCHED</v>
      </c>
    </row>
    <row r="151" spans="1:8" x14ac:dyDescent="0.35">
      <c r="A151" t="s">
        <v>127</v>
      </c>
      <c r="B151" t="s">
        <v>83</v>
      </c>
      <c r="C151" t="s">
        <v>8</v>
      </c>
      <c r="D151">
        <v>10</v>
      </c>
      <c r="E151">
        <v>957</v>
      </c>
      <c r="F151" t="s">
        <v>9</v>
      </c>
      <c r="H151" t="str">
        <f>IF(COUNTIFS(
    Sheet1!$B:$B, B151,
    Sheet1!$C:$C, C151,
    Sheet1!$D:$D, D151,
    Sheet1!$E:$E, E151
) = 0, "NO MATCH IN TARGET", "MATCHED")</f>
        <v>MATCHED</v>
      </c>
    </row>
    <row r="152" spans="1:8" x14ac:dyDescent="0.35">
      <c r="A152" t="s">
        <v>132</v>
      </c>
      <c r="B152" t="s">
        <v>53</v>
      </c>
      <c r="C152" t="s">
        <v>8</v>
      </c>
      <c r="D152">
        <v>120</v>
      </c>
      <c r="E152">
        <v>300.5</v>
      </c>
      <c r="F152" t="s">
        <v>9</v>
      </c>
      <c r="H152" t="str">
        <f>IF(COUNTIFS(
    Sheet1!$B:$B, B152,
    Sheet1!$C:$C, C152,
    Sheet1!$D:$D, D152,
    Sheet1!$E:$E, E152
) = 0, "NO MATCH IN TARGET", "MATCHED")</f>
        <v>MATCHED</v>
      </c>
    </row>
    <row r="153" spans="1:8" x14ac:dyDescent="0.35">
      <c r="A153" t="s">
        <v>123</v>
      </c>
      <c r="B153" t="s">
        <v>22</v>
      </c>
      <c r="C153" t="s">
        <v>8</v>
      </c>
      <c r="D153">
        <v>5</v>
      </c>
      <c r="E153">
        <v>467.25</v>
      </c>
      <c r="F153" t="s">
        <v>9</v>
      </c>
      <c r="H153" t="str">
        <f>IF(COUNTIFS(
    Sheet1!$B:$B, B153,
    Sheet1!$C:$C, C153,
    Sheet1!$D:$D, D153,
    Sheet1!$E:$E, E153
) = 0, "NO MATCH IN TARGET", "MATCHED")</f>
        <v>MATCHED</v>
      </c>
    </row>
    <row r="154" spans="1:8" x14ac:dyDescent="0.35">
      <c r="A154" t="s">
        <v>108</v>
      </c>
      <c r="B154" t="s">
        <v>72</v>
      </c>
      <c r="C154" t="s">
        <v>8</v>
      </c>
      <c r="D154">
        <v>1</v>
      </c>
      <c r="E154">
        <v>19198</v>
      </c>
      <c r="F154" t="s">
        <v>9</v>
      </c>
      <c r="H154" t="str">
        <f>IF(COUNTIFS(
    Sheet1!$B:$B, B154,
    Sheet1!$C:$C, C154,
    Sheet1!$D:$D, D154,
    Sheet1!$E:$E, E154
) = 0, "NO MATCH IN TARGET", "MATCHED")</f>
        <v>MATCHED</v>
      </c>
    </row>
    <row r="155" spans="1:8" x14ac:dyDescent="0.35">
      <c r="A155" t="s">
        <v>118</v>
      </c>
      <c r="B155" t="s">
        <v>7</v>
      </c>
      <c r="C155" t="s">
        <v>8</v>
      </c>
      <c r="D155">
        <v>67</v>
      </c>
      <c r="E155">
        <v>373</v>
      </c>
      <c r="F155" t="s">
        <v>9</v>
      </c>
      <c r="H155" t="str">
        <f>IF(COUNTIFS(
    Sheet1!$B:$B, B155,
    Sheet1!$C:$C, C155,
    Sheet1!$D:$D, D155,
    Sheet1!$E:$E, E155
) = 0, "NO MATCH IN TARGET", "MATCHED")</f>
        <v>MATCHED</v>
      </c>
    </row>
    <row r="156" spans="1:8" x14ac:dyDescent="0.35">
      <c r="A156" t="s">
        <v>120</v>
      </c>
      <c r="B156" t="s">
        <v>16</v>
      </c>
      <c r="C156" t="s">
        <v>8</v>
      </c>
      <c r="D156">
        <v>10</v>
      </c>
      <c r="E156">
        <v>2696</v>
      </c>
      <c r="F156" t="s">
        <v>9</v>
      </c>
      <c r="H156" t="str">
        <f>IF(COUNTIFS(
    Sheet1!$B:$B, B156,
    Sheet1!$C:$C, C156,
    Sheet1!$D:$D, D156,
    Sheet1!$E:$E, E156
) = 0, "NO MATCH IN TARGET", "MATCHED")</f>
        <v>MATCHED</v>
      </c>
    </row>
    <row r="157" spans="1:8" x14ac:dyDescent="0.35">
      <c r="A157" t="s">
        <v>122</v>
      </c>
      <c r="B157" t="s">
        <v>81</v>
      </c>
      <c r="C157" t="s">
        <v>8</v>
      </c>
      <c r="D157">
        <v>10</v>
      </c>
      <c r="E157">
        <v>1348</v>
      </c>
      <c r="F157" t="s">
        <v>9</v>
      </c>
      <c r="H157" t="str">
        <f>IF(COUNTIFS(
    Sheet1!$B:$B, B157,
    Sheet1!$C:$C, C157,
    Sheet1!$D:$D, D157,
    Sheet1!$E:$E, E157
) = 0, "NO MATCH IN TARGET", "MATCHED")</f>
        <v>MATCHED</v>
      </c>
    </row>
    <row r="158" spans="1:8" x14ac:dyDescent="0.35">
      <c r="A158" t="s">
        <v>141</v>
      </c>
      <c r="B158" t="s">
        <v>91</v>
      </c>
      <c r="C158" t="s">
        <v>8</v>
      </c>
      <c r="D158">
        <v>200</v>
      </c>
      <c r="E158">
        <v>92.75</v>
      </c>
      <c r="F158" t="s">
        <v>9</v>
      </c>
      <c r="H158" t="str">
        <f>IF(COUNTIFS(
    Sheet1!$B:$B, B158,
    Sheet1!$C:$C, C158,
    Sheet1!$D:$D, D158,
    Sheet1!$E:$E, E158
) = 0, "NO MATCH IN TARGET", "MATCHED")</f>
        <v>MATCHED</v>
      </c>
    </row>
    <row r="159" spans="1:8" x14ac:dyDescent="0.35">
      <c r="A159" t="s">
        <v>130</v>
      </c>
      <c r="B159" t="s">
        <v>19</v>
      </c>
      <c r="C159" t="s">
        <v>8</v>
      </c>
      <c r="D159">
        <v>40</v>
      </c>
      <c r="E159">
        <v>320.5</v>
      </c>
      <c r="F159" t="s">
        <v>9</v>
      </c>
      <c r="H159" t="str">
        <f>IF(COUNTIFS(
    Sheet1!$B:$B, B159,
    Sheet1!$C:$C, C159,
    Sheet1!$D:$D, D159,
    Sheet1!$E:$E, E159
) = 0, "NO MATCH IN TARGET", "MATCHED")</f>
        <v>MATCHED</v>
      </c>
    </row>
    <row r="160" spans="1:8" x14ac:dyDescent="0.35">
      <c r="A160" t="s">
        <v>111</v>
      </c>
      <c r="B160" t="s">
        <v>32</v>
      </c>
      <c r="C160" t="s">
        <v>8</v>
      </c>
      <c r="D160">
        <v>25</v>
      </c>
      <c r="E160">
        <v>210</v>
      </c>
      <c r="F160" t="s">
        <v>9</v>
      </c>
      <c r="H160" t="str">
        <f>IF(COUNTIFS(
    Sheet1!$B:$B, B160,
    Sheet1!$C:$C, C160,
    Sheet1!$D:$D, D160,
    Sheet1!$E:$E, E160
) = 0, "NO MATCH IN TARGET", "MATCHED")</f>
        <v>MATCHED</v>
      </c>
    </row>
    <row r="161" spans="1:8" x14ac:dyDescent="0.35">
      <c r="A161" t="s">
        <v>120</v>
      </c>
      <c r="B161" t="s">
        <v>16</v>
      </c>
      <c r="C161" t="s">
        <v>8</v>
      </c>
      <c r="D161">
        <v>10</v>
      </c>
      <c r="E161">
        <v>2720</v>
      </c>
      <c r="F161" t="s">
        <v>9</v>
      </c>
      <c r="H161" t="str">
        <f>IF(COUNTIFS(
    Sheet1!$B:$B, B161,
    Sheet1!$C:$C, C161,
    Sheet1!$D:$D, D161,
    Sheet1!$E:$E, E161
) = 0, "NO MATCH IN TARGET", "MATCHED")</f>
        <v>MATCHED</v>
      </c>
    </row>
    <row r="162" spans="1:8" x14ac:dyDescent="0.35">
      <c r="A162" t="s">
        <v>142</v>
      </c>
      <c r="B162" t="s">
        <v>55</v>
      </c>
      <c r="C162" t="s">
        <v>8</v>
      </c>
      <c r="D162">
        <v>30</v>
      </c>
      <c r="E162">
        <v>948</v>
      </c>
      <c r="F162" t="s">
        <v>9</v>
      </c>
      <c r="H162" t="str">
        <f>IF(COUNTIFS(
    Sheet1!$B:$B, B162,
    Sheet1!$C:$C, C162,
    Sheet1!$D:$D, D162,
    Sheet1!$E:$E, E162
) = 0, "NO MATCH IN TARGET", "MATCHED")</f>
        <v>MATCHED</v>
      </c>
    </row>
    <row r="163" spans="1:8" x14ac:dyDescent="0.35">
      <c r="A163" t="s">
        <v>111</v>
      </c>
      <c r="B163" t="s">
        <v>48</v>
      </c>
      <c r="C163" t="s">
        <v>8</v>
      </c>
      <c r="D163">
        <v>65</v>
      </c>
      <c r="E163">
        <v>219</v>
      </c>
      <c r="F163" t="s">
        <v>9</v>
      </c>
      <c r="H163" t="str">
        <f>IF(COUNTIFS(
    Sheet1!$B:$B, B163,
    Sheet1!$C:$C, C163,
    Sheet1!$D:$D, D163,
    Sheet1!$E:$E, E163
) = 0, "NO MATCH IN TARGET", "MATCHED")</f>
        <v>MATCHED</v>
      </c>
    </row>
    <row r="164" spans="1:8" x14ac:dyDescent="0.35">
      <c r="A164" t="s">
        <v>122</v>
      </c>
      <c r="B164" t="s">
        <v>81</v>
      </c>
      <c r="C164" t="s">
        <v>8</v>
      </c>
      <c r="D164">
        <v>10</v>
      </c>
      <c r="E164">
        <v>1360</v>
      </c>
      <c r="F164" t="s">
        <v>9</v>
      </c>
      <c r="H164" t="str">
        <f>IF(COUNTIFS(
    Sheet1!$B:$B, B164,
    Sheet1!$C:$C, C164,
    Sheet1!$D:$D, D164,
    Sheet1!$E:$E, E164
) = 0, "NO MATCH IN TARGET", "MATCHED")</f>
        <v>MATCHED</v>
      </c>
    </row>
    <row r="165" spans="1:8" x14ac:dyDescent="0.35">
      <c r="A165" t="s">
        <v>127</v>
      </c>
      <c r="B165" t="s">
        <v>83</v>
      </c>
      <c r="C165" t="s">
        <v>8</v>
      </c>
      <c r="D165">
        <v>10</v>
      </c>
      <c r="E165">
        <v>977</v>
      </c>
      <c r="F165" t="s">
        <v>9</v>
      </c>
      <c r="H165" t="str">
        <f>IF(COUNTIFS(
    Sheet1!$B:$B, B165,
    Sheet1!$C:$C, C165,
    Sheet1!$D:$D, D165,
    Sheet1!$E:$E, E165
) = 0, "NO MATCH IN TARGET", "MATCHED")</f>
        <v>MATCHED</v>
      </c>
    </row>
    <row r="166" spans="1:8" x14ac:dyDescent="0.35">
      <c r="A166" t="s">
        <v>127</v>
      </c>
      <c r="B166" t="s">
        <v>98</v>
      </c>
      <c r="C166" t="s">
        <v>8</v>
      </c>
      <c r="D166">
        <v>5</v>
      </c>
      <c r="E166">
        <v>4040</v>
      </c>
      <c r="F166" t="s">
        <v>9</v>
      </c>
      <c r="H166" t="str">
        <f>IF(COUNTIFS(
    Sheet1!$B:$B, B166,
    Sheet1!$C:$C, C166,
    Sheet1!$D:$D, D166,
    Sheet1!$E:$E, E166
) = 0, "NO MATCH IN TARGET", "MATCHED")</f>
        <v>MATCHED</v>
      </c>
    </row>
    <row r="167" spans="1:8" x14ac:dyDescent="0.35">
      <c r="A167" t="s">
        <v>117</v>
      </c>
      <c r="B167" t="s">
        <v>94</v>
      </c>
      <c r="C167" t="s">
        <v>8</v>
      </c>
      <c r="D167">
        <v>5</v>
      </c>
      <c r="E167">
        <v>3633</v>
      </c>
      <c r="F167" t="s">
        <v>9</v>
      </c>
      <c r="H167" t="str">
        <f>IF(COUNTIFS(
    Sheet1!$B:$B, B167,
    Sheet1!$C:$C, C167,
    Sheet1!$D:$D, D167,
    Sheet1!$E:$E, E167
) = 0, "NO MATCH IN TARGET", "MATCHED")</f>
        <v>MATCHED</v>
      </c>
    </row>
    <row r="168" spans="1:8" x14ac:dyDescent="0.35">
      <c r="A168" t="s">
        <v>122</v>
      </c>
      <c r="B168" t="s">
        <v>86</v>
      </c>
      <c r="C168" t="s">
        <v>8</v>
      </c>
      <c r="D168">
        <v>2</v>
      </c>
      <c r="E168">
        <v>2690</v>
      </c>
      <c r="F168" t="s">
        <v>9</v>
      </c>
      <c r="H168" t="str">
        <f>IF(COUNTIFS(
    Sheet1!$B:$B, B168,
    Sheet1!$C:$C, C168,
    Sheet1!$D:$D, D168,
    Sheet1!$E:$E, E168
) = 0, "NO MATCH IN TARGET", "MATCHED")</f>
        <v>MATCHED</v>
      </c>
    </row>
    <row r="169" spans="1:8" x14ac:dyDescent="0.35">
      <c r="A169" t="s">
        <v>143</v>
      </c>
      <c r="B169" t="s">
        <v>90</v>
      </c>
      <c r="C169" t="s">
        <v>8</v>
      </c>
      <c r="D169">
        <v>20</v>
      </c>
      <c r="E169">
        <v>424</v>
      </c>
      <c r="F169" t="s">
        <v>9</v>
      </c>
      <c r="H169" t="str">
        <f>IF(COUNTIFS(
    Sheet1!$B:$B, B169,
    Sheet1!$C:$C, C169,
    Sheet1!$D:$D, D169,
    Sheet1!$E:$E, E169
) = 0, "NO MATCH IN TARGET", "MATCHED")</f>
        <v>MATCHED</v>
      </c>
    </row>
    <row r="170" spans="1:8" ht="29" x14ac:dyDescent="0.35">
      <c r="A170" s="1">
        <v>46237.768750000003</v>
      </c>
      <c r="B170" s="2" t="s">
        <v>32</v>
      </c>
      <c r="C170" s="2" t="s">
        <v>8</v>
      </c>
      <c r="D170" s="3">
        <v>25</v>
      </c>
      <c r="E170" s="4">
        <v>214</v>
      </c>
      <c r="F170" s="2" t="s">
        <v>9</v>
      </c>
      <c r="H170" t="str">
        <f>IF(COUNTIFS(
    Sheet1!$B:$B, B170,
    Sheet1!$C:$C, C170,
    Sheet1!$D:$D, D170,
    Sheet1!$E:$E, E170
) = 0, "NO MATCH IN TARGET", "MATCHED")</f>
        <v>MATCHED</v>
      </c>
    </row>
    <row r="171" spans="1:8" x14ac:dyDescent="0.35">
      <c r="A171" t="s">
        <v>120</v>
      </c>
      <c r="B171" t="s">
        <v>16</v>
      </c>
      <c r="C171" t="s">
        <v>8</v>
      </c>
      <c r="D171">
        <v>10</v>
      </c>
      <c r="E171">
        <v>2770</v>
      </c>
      <c r="F171" t="s">
        <v>9</v>
      </c>
      <c r="H171" t="str">
        <f>IF(COUNTIFS(
    Sheet1!$B:$B, B171,
    Sheet1!$C:$C, C171,
    Sheet1!$D:$D, D171,
    Sheet1!$E:$E, E171
) = 0, "NO MATCH IN TARGET", "MATCHED")</f>
        <v>MATCHED</v>
      </c>
    </row>
    <row r="172" spans="1:8" x14ac:dyDescent="0.35">
      <c r="A172" t="s">
        <v>109</v>
      </c>
      <c r="B172" t="s">
        <v>27</v>
      </c>
      <c r="C172" t="s">
        <v>8</v>
      </c>
      <c r="D172">
        <v>5</v>
      </c>
      <c r="E172">
        <v>730</v>
      </c>
      <c r="F172" t="s">
        <v>9</v>
      </c>
      <c r="H172" t="str">
        <f>IF(COUNTIFS(
    Sheet1!$B:$B, B172,
    Sheet1!$C:$C, C172,
    Sheet1!$D:$D, D172,
    Sheet1!$E:$E, E172
) = 0, "NO MATCH IN TARGET", "MATCHED")</f>
        <v>MATCHED</v>
      </c>
    </row>
    <row r="173" spans="1:8" x14ac:dyDescent="0.35">
      <c r="A173" t="s">
        <v>143</v>
      </c>
      <c r="B173" t="s">
        <v>86</v>
      </c>
      <c r="C173" t="s">
        <v>8</v>
      </c>
      <c r="D173">
        <v>3</v>
      </c>
      <c r="E173">
        <v>2710</v>
      </c>
      <c r="F173" t="s">
        <v>9</v>
      </c>
      <c r="H173" t="str">
        <f>IF(COUNTIFS(
    Sheet1!$B:$B, B173,
    Sheet1!$C:$C, C173,
    Sheet1!$D:$D, D173,
    Sheet1!$E:$E, E173
) = 0, "NO MATCH IN TARGET", "MATCHED")</f>
        <v>MATCHED</v>
      </c>
    </row>
    <row r="174" spans="1:8" ht="15" thickBot="1" x14ac:dyDescent="0.4">
      <c r="A174" t="s">
        <v>132</v>
      </c>
      <c r="B174" t="s">
        <v>53</v>
      </c>
      <c r="C174" t="s">
        <v>8</v>
      </c>
      <c r="D174">
        <v>100</v>
      </c>
      <c r="E174">
        <v>310.5</v>
      </c>
      <c r="F174" t="s">
        <v>9</v>
      </c>
      <c r="H174" t="str">
        <f>IF(COUNTIFS(
    Sheet1!$B:$B, B174,
    Sheet1!$C:$C, C174,
    Sheet1!$D:$D, D174,
    Sheet1!$E:$E, E174
) = 0, "NO MATCH IN TARGET", "MATCHED")</f>
        <v>MATCHED</v>
      </c>
    </row>
    <row r="175" spans="1:8" ht="15" thickBot="1" x14ac:dyDescent="0.4">
      <c r="A175" s="5" t="s">
        <v>144</v>
      </c>
      <c r="B175" s="5" t="s">
        <v>145</v>
      </c>
      <c r="C175" s="5" t="s">
        <v>8</v>
      </c>
      <c r="D175" s="5">
        <v>11</v>
      </c>
      <c r="E175" s="5">
        <v>548</v>
      </c>
      <c r="F175" s="5" t="s">
        <v>9</v>
      </c>
      <c r="H175" t="str">
        <f>IF(COUNTIFS(
    Sheet1!$B:$B, B175,
    Sheet1!$C:$C, C175,
    Sheet1!$D:$D, D175,
    Sheet1!$E:$E, E175
) = 0, "NO MATCH IN TARGET", "MATCHED")</f>
        <v>MATCHED</v>
      </c>
    </row>
    <row r="176" spans="1:8" ht="15" thickBot="1" x14ac:dyDescent="0.4">
      <c r="A176" s="5" t="s">
        <v>146</v>
      </c>
      <c r="B176" s="5" t="s">
        <v>80</v>
      </c>
      <c r="C176" s="5" t="s">
        <v>8</v>
      </c>
      <c r="D176" s="5">
        <v>7</v>
      </c>
      <c r="E176" s="5">
        <v>1424</v>
      </c>
      <c r="F176" s="5" t="s">
        <v>9</v>
      </c>
      <c r="H176" t="str">
        <f>IF(COUNTIFS(
    Sheet1!$B:$B, B176,
    Sheet1!$C:$C, C176,
    Sheet1!$D:$D, D176,
    Sheet1!$E:$E, E176
) = 0, "NO MATCH IN TARGET", "MATCHED")</f>
        <v>MATCHED</v>
      </c>
    </row>
    <row r="177" spans="1:8" ht="15" thickBot="1" x14ac:dyDescent="0.4">
      <c r="A177" s="5" t="s">
        <v>127</v>
      </c>
      <c r="B177" s="5" t="s">
        <v>83</v>
      </c>
      <c r="C177" s="5" t="s">
        <v>8</v>
      </c>
      <c r="D177" s="5">
        <v>10</v>
      </c>
      <c r="E177" s="5">
        <v>997</v>
      </c>
      <c r="F177" s="5" t="s">
        <v>9</v>
      </c>
      <c r="H177" t="str">
        <f>IF(COUNTIFS(
    Sheet1!$B:$B, B177,
    Sheet1!$C:$C, C177,
    Sheet1!$D:$D, D177,
    Sheet1!$E:$E, E177
) = 0, "NO MATCH IN TARGET", "MATCHED")</f>
        <v>MATCHED</v>
      </c>
    </row>
    <row r="178" spans="1:8" ht="29.5" thickBot="1" x14ac:dyDescent="0.4">
      <c r="A178" s="6">
        <v>46237.768750000003</v>
      </c>
      <c r="B178" s="7" t="s">
        <v>55</v>
      </c>
      <c r="C178" s="7" t="s">
        <v>8</v>
      </c>
      <c r="D178" s="8">
        <v>30</v>
      </c>
      <c r="E178" s="9">
        <v>974</v>
      </c>
      <c r="F178" s="7" t="s">
        <v>9</v>
      </c>
      <c r="H178" t="str">
        <f>IF(COUNTIFS(
    Sheet1!$B:$B, B178,
    Sheet1!$C:$C, C178,
    Sheet1!$D:$D, D178,
    Sheet1!$E:$E, E178
) = 0, "NO MATCH IN TARGET", "MATCHED")</f>
        <v>MATCHED</v>
      </c>
    </row>
    <row r="179" spans="1:8" ht="15" thickBot="1" x14ac:dyDescent="0.4">
      <c r="A179" s="5" t="s">
        <v>124</v>
      </c>
      <c r="B179" s="5" t="s">
        <v>65</v>
      </c>
      <c r="C179" s="5" t="s">
        <v>8</v>
      </c>
      <c r="D179" s="5">
        <v>3</v>
      </c>
      <c r="E179" s="5">
        <v>3341</v>
      </c>
      <c r="F179" s="5" t="s">
        <v>9</v>
      </c>
      <c r="H179" t="str">
        <f>IF(COUNTIFS(
    Sheet1!$B:$B, B179,
    Sheet1!$C:$C, C179,
    Sheet1!$D:$D, D179,
    Sheet1!$E:$E, E179
) = 0, "NO MATCH IN TARGET", "MATCHED")</f>
        <v>MATCHED</v>
      </c>
    </row>
    <row r="180" spans="1:8" ht="15" thickBot="1" x14ac:dyDescent="0.4">
      <c r="A180" s="5" t="s">
        <v>124</v>
      </c>
      <c r="B180" s="5" t="s">
        <v>92</v>
      </c>
      <c r="C180" s="5" t="s">
        <v>8</v>
      </c>
      <c r="D180" s="5">
        <v>5</v>
      </c>
      <c r="E180" s="5">
        <v>790</v>
      </c>
      <c r="F180" s="5" t="s">
        <v>9</v>
      </c>
      <c r="H180" t="str">
        <f>IF(COUNTIFS(
    Sheet1!$B:$B, B180,
    Sheet1!$C:$C, C180,
    Sheet1!$D:$D, D180,
    Sheet1!$E:$E, E180
) = 0, "NO MATCH IN TARGET", "MATCHED")</f>
        <v>MATCHED</v>
      </c>
    </row>
    <row r="181" spans="1:8" ht="15" thickBot="1" x14ac:dyDescent="0.4">
      <c r="A181" s="5" t="s">
        <v>146</v>
      </c>
      <c r="B181" s="5" t="s">
        <v>94</v>
      </c>
      <c r="C181" s="5" t="s">
        <v>8</v>
      </c>
      <c r="D181" s="5">
        <v>1</v>
      </c>
      <c r="E181" s="5">
        <v>3710</v>
      </c>
      <c r="F181" s="5" t="s">
        <v>9</v>
      </c>
      <c r="H181" t="str">
        <f>IF(COUNTIFS(
    Sheet1!$B:$B, B181,
    Sheet1!$C:$C, C181,
    Sheet1!$D:$D, D181,
    Sheet1!$E:$E, E181
) = 0, "NO MATCH IN TARGET", "MATCHED")</f>
        <v>MATCHED</v>
      </c>
    </row>
    <row r="182" spans="1:8" ht="15" thickBot="1" x14ac:dyDescent="0.4">
      <c r="A182" s="5" t="s">
        <v>143</v>
      </c>
      <c r="B182" s="5" t="s">
        <v>88</v>
      </c>
      <c r="C182" s="5" t="s">
        <v>8</v>
      </c>
      <c r="D182" s="5">
        <v>3</v>
      </c>
      <c r="E182" s="5">
        <v>2846</v>
      </c>
      <c r="F182" s="5" t="s">
        <v>9</v>
      </c>
      <c r="H182" t="str">
        <f>IF(COUNTIFS(
    Sheet1!$B:$B, B182,
    Sheet1!$C:$C, C182,
    Sheet1!$D:$D, D182,
    Sheet1!$E:$E, E182
) = 0, "NO MATCH IN TARGET", "MATCHED")</f>
        <v>MATCHED</v>
      </c>
    </row>
    <row r="183" spans="1:8" ht="29.5" thickBot="1" x14ac:dyDescent="0.4">
      <c r="A183" s="6">
        <v>46234.686805555553</v>
      </c>
      <c r="B183" s="7" t="s">
        <v>53</v>
      </c>
      <c r="C183" s="7" t="s">
        <v>8</v>
      </c>
      <c r="D183" s="8">
        <v>100</v>
      </c>
      <c r="E183" s="9">
        <v>314</v>
      </c>
      <c r="F183" s="7" t="s">
        <v>9</v>
      </c>
      <c r="H183" t="str">
        <f>IF(COUNTIFS(
    Sheet1!$B:$B, B183,
    Sheet1!$C:$C, C183,
    Sheet1!$D:$D, D183,
    Sheet1!$E:$E, E183
) = 0, "NO MATCH IN TARGET", "MATCHED")</f>
        <v>MATCHED</v>
      </c>
    </row>
    <row r="184" spans="1:8" ht="15" thickBot="1" x14ac:dyDescent="0.4">
      <c r="A184" s="5" t="s">
        <v>128</v>
      </c>
      <c r="B184" s="5" t="s">
        <v>147</v>
      </c>
      <c r="C184" s="5" t="s">
        <v>8</v>
      </c>
      <c r="D184" s="5">
        <v>50</v>
      </c>
      <c r="E184" s="5">
        <v>480</v>
      </c>
      <c r="F184" s="5" t="s">
        <v>9</v>
      </c>
      <c r="H184" t="str">
        <f>IF(COUNTIFS(
    Sheet1!$B:$B, B184,
    Sheet1!$C:$C, C184,
    Sheet1!$D:$D, D184,
    Sheet1!$E:$E, E184
) = 0, "NO MATCH IN TARGET", "MATCHED")</f>
        <v>MATCHED</v>
      </c>
    </row>
    <row r="185" spans="1:8" ht="15" thickBot="1" x14ac:dyDescent="0.4">
      <c r="A185" s="5" t="s">
        <v>148</v>
      </c>
      <c r="B185" s="5" t="s">
        <v>149</v>
      </c>
      <c r="C185" s="5" t="s">
        <v>8</v>
      </c>
      <c r="D185" s="5">
        <v>23</v>
      </c>
      <c r="E185" s="5">
        <v>890</v>
      </c>
      <c r="F185" s="5" t="s">
        <v>9</v>
      </c>
      <c r="H185" t="str">
        <f>IF(COUNTIFS(
    Sheet1!$B:$B, B185,
    Sheet1!$C:$C, C185,
    Sheet1!$D:$D, D185,
    Sheet1!$E:$E, E185
) = 0, "NO MATCH IN TARGET", "MATCHED")</f>
        <v>MATCHED</v>
      </c>
    </row>
    <row r="186" spans="1:8" ht="29.5" thickBot="1" x14ac:dyDescent="0.4">
      <c r="A186" s="6">
        <v>46238.69059027778</v>
      </c>
      <c r="B186" s="7" t="s">
        <v>55</v>
      </c>
      <c r="C186" s="7" t="s">
        <v>8</v>
      </c>
      <c r="D186" s="8">
        <v>5</v>
      </c>
      <c r="E186" s="8">
        <v>986</v>
      </c>
      <c r="F186" s="7" t="s">
        <v>9</v>
      </c>
      <c r="H186" t="str">
        <f>IF(COUNTIFS(
    Sheet1!$B:$B, B186,
    Sheet1!$C:$C, C186,
    Sheet1!$D:$D, D186,
    Sheet1!$E:$E, E186
) = 0, "NO MATCH IN TARGET", "MATCHED")</f>
        <v>MATCHED</v>
      </c>
    </row>
    <row r="187" spans="1:8" ht="29.5" thickBot="1" x14ac:dyDescent="0.4">
      <c r="A187" s="1">
        <v>46238.690567129626</v>
      </c>
      <c r="B187" s="7" t="s">
        <v>32</v>
      </c>
      <c r="C187" s="7" t="s">
        <v>8</v>
      </c>
      <c r="D187" s="8">
        <v>25</v>
      </c>
      <c r="E187" s="8">
        <v>220</v>
      </c>
      <c r="F187" s="7" t="s">
        <v>9</v>
      </c>
      <c r="H187" t="str">
        <f>IF(COUNTIFS(
    Sheet1!$B:$B, B187,
    Sheet1!$C:$C, C187,
    Sheet1!$D:$D, D187,
    Sheet1!$E:$E, E187
) = 0, "NO MATCH IN TARGET", "MATCHED")</f>
        <v>MATCHED</v>
      </c>
    </row>
    <row r="188" spans="1:8" ht="29.5" thickBot="1" x14ac:dyDescent="0.4">
      <c r="A188" s="6">
        <v>46233.688194444447</v>
      </c>
      <c r="B188" s="10" t="s">
        <v>48</v>
      </c>
      <c r="C188" s="7" t="s">
        <v>8</v>
      </c>
      <c r="D188" s="8">
        <v>40</v>
      </c>
      <c r="E188" s="11">
        <v>229</v>
      </c>
      <c r="F188" s="7" t="s">
        <v>9</v>
      </c>
      <c r="H188" t="str">
        <f>IF(COUNTIFS(
    Sheet1!$B:$B, B188,
    Sheet1!$C:$C, C188,
    Sheet1!$D:$D, D188,
    Sheet1!$E:$E, E188
) = 0, "NO MATCH IN TARGET", "MATCHED")</f>
        <v>MATCHED</v>
      </c>
    </row>
    <row r="189" spans="1:8" ht="15" thickBot="1" x14ac:dyDescent="0.4">
      <c r="A189" s="5" t="s">
        <v>150</v>
      </c>
      <c r="B189" s="5" t="s">
        <v>27</v>
      </c>
      <c r="C189" s="5" t="s">
        <v>8</v>
      </c>
      <c r="D189" s="5">
        <v>11</v>
      </c>
      <c r="E189" s="5">
        <v>749</v>
      </c>
      <c r="F189" s="5" t="s">
        <v>9</v>
      </c>
      <c r="H189" t="str">
        <f>IF(COUNTIFS(
    Sheet1!$B:$B, B189,
    Sheet1!$C:$C, C189,
    Sheet1!$D:$D, D189,
    Sheet1!$E:$E, E189
) = 0, "NO MATCH IN TARGET", "MATCHED")</f>
        <v>MATCHED</v>
      </c>
    </row>
    <row r="190" spans="1:8" ht="15" thickBot="1" x14ac:dyDescent="0.4">
      <c r="A190" s="5" t="s">
        <v>151</v>
      </c>
      <c r="B190" s="5" t="s">
        <v>53</v>
      </c>
      <c r="C190" s="5" t="s">
        <v>8</v>
      </c>
      <c r="D190" s="5">
        <v>100</v>
      </c>
      <c r="E190" s="5">
        <v>318</v>
      </c>
      <c r="F190" s="5" t="s">
        <v>9</v>
      </c>
      <c r="H190" t="str">
        <f>IF(COUNTIFS(
    Sheet1!$B:$B, B190,
    Sheet1!$C:$C, C190,
    Sheet1!$D:$D, D190,
    Sheet1!$E:$E, E190
) = 0, "NO MATCH IN TARGET", "MATCHED")</f>
        <v>MATCHED</v>
      </c>
    </row>
    <row r="191" spans="1:8" ht="29.5" thickBot="1" x14ac:dyDescent="0.4">
      <c r="A191" s="6">
        <v>46233.688194444447</v>
      </c>
      <c r="B191" s="10" t="s">
        <v>55</v>
      </c>
      <c r="C191" s="7" t="s">
        <v>8</v>
      </c>
      <c r="D191" s="8">
        <v>40</v>
      </c>
      <c r="E191" s="11">
        <v>996</v>
      </c>
      <c r="F191" s="7" t="s">
        <v>9</v>
      </c>
      <c r="H191" t="str">
        <f>IF(COUNTIFS(
    Sheet1!$B:$B, B191,
    Sheet1!$C:$C, C191,
    Sheet1!$D:$D, D191,
    Sheet1!$E:$E, E191
) = 0, "NO MATCH IN TARGET", "MATCHED")</f>
        <v>MATCHED</v>
      </c>
    </row>
    <row r="192" spans="1:8" ht="29.5" thickBot="1" x14ac:dyDescent="0.4">
      <c r="A192" s="6">
        <v>46234.686805555553</v>
      </c>
      <c r="B192" s="7" t="s">
        <v>53</v>
      </c>
      <c r="C192" s="7" t="s">
        <v>8</v>
      </c>
      <c r="D192" s="8">
        <v>100</v>
      </c>
      <c r="E192" s="9">
        <v>319</v>
      </c>
      <c r="F192" s="7" t="s">
        <v>9</v>
      </c>
      <c r="H192" t="str">
        <f>IF(COUNTIFS(
    Sheet1!$B:$B, B192,
    Sheet1!$C:$C, C192,
    Sheet1!$D:$D, D192,
    Sheet1!$E:$E, E192
) = 0, "NO MATCH IN TARGET", "MATCHED")</f>
        <v>MATCHED</v>
      </c>
    </row>
    <row r="193" spans="1:8" ht="29.5" thickBot="1" x14ac:dyDescent="0.4">
      <c r="A193" s="6">
        <v>46237.635520833333</v>
      </c>
      <c r="B193" s="7" t="s">
        <v>83</v>
      </c>
      <c r="C193" s="7" t="s">
        <v>8</v>
      </c>
      <c r="D193" s="8">
        <v>10</v>
      </c>
      <c r="E193" s="9">
        <v>1024</v>
      </c>
      <c r="F193" s="7" t="s">
        <v>9</v>
      </c>
      <c r="H193" t="str">
        <f>IF(COUNTIFS(
    Sheet1!$B:$B, B193,
    Sheet1!$C:$C, C193,
    Sheet1!$D:$D, D193,
    Sheet1!$E:$E, E193
) = 0, "NO MATCH IN TARGET", "MATCHED")</f>
        <v>MATCHED</v>
      </c>
    </row>
    <row r="194" spans="1:8" ht="29.5" thickBot="1" x14ac:dyDescent="0.4">
      <c r="A194" s="6">
        <v>46238.690578703703</v>
      </c>
      <c r="B194" s="7" t="s">
        <v>55</v>
      </c>
      <c r="C194" s="7" t="s">
        <v>8</v>
      </c>
      <c r="D194" s="8">
        <v>5</v>
      </c>
      <c r="E194" s="8">
        <v>1002</v>
      </c>
      <c r="F194" s="7" t="s">
        <v>9</v>
      </c>
      <c r="H194" t="str">
        <f>IF(COUNTIFS(
    Sheet1!$B:$B, B194,
    Sheet1!$C:$C, C194,
    Sheet1!$D:$D, D194,
    Sheet1!$E:$E, E194
) = 0, "NO MATCH IN TARGET", "MATCHED")</f>
        <v>MATCHED</v>
      </c>
    </row>
    <row r="195" spans="1:8" ht="15" thickBot="1" x14ac:dyDescent="0.4">
      <c r="A195" s="5" t="s">
        <v>146</v>
      </c>
      <c r="B195" s="5" t="s">
        <v>94</v>
      </c>
      <c r="C195" s="5" t="s">
        <v>8</v>
      </c>
      <c r="D195" s="5">
        <v>1</v>
      </c>
      <c r="E195" s="5">
        <v>3810</v>
      </c>
      <c r="F195" s="5" t="s">
        <v>9</v>
      </c>
      <c r="H195" t="str">
        <f>IF(COUNTIFS(
    Sheet1!$B:$B, B195,
    Sheet1!$C:$C, C195,
    Sheet1!$D:$D, D195,
    Sheet1!$E:$E, E195
) = 0, "NO MATCH IN TARGET", "MATCHED")</f>
        <v>MATCHED</v>
      </c>
    </row>
    <row r="196" spans="1:8" ht="15" thickBot="1" x14ac:dyDescent="0.4">
      <c r="A196" s="5" t="s">
        <v>151</v>
      </c>
      <c r="B196" s="5" t="s">
        <v>53</v>
      </c>
      <c r="C196" s="5" t="s">
        <v>8</v>
      </c>
      <c r="D196" s="5">
        <v>150</v>
      </c>
      <c r="E196" s="5">
        <v>323</v>
      </c>
      <c r="F196" s="5" t="s">
        <v>9</v>
      </c>
      <c r="H196" t="str">
        <f>IF(COUNTIFS(
    Sheet1!$B:$B, B196,
    Sheet1!$C:$C, C196,
    Sheet1!$D:$D, D196,
    Sheet1!$E:$E, E196
) = 0, "NO MATCH IN TARGET", "MATCHED")</f>
        <v>MATCHED</v>
      </c>
    </row>
    <row r="197" spans="1:8" ht="15" thickBot="1" x14ac:dyDescent="0.4">
      <c r="A197" s="1">
        <v>46234.6875</v>
      </c>
      <c r="B197" s="2" t="s">
        <v>147</v>
      </c>
      <c r="C197" s="2" t="s">
        <v>8</v>
      </c>
      <c r="D197" s="3">
        <v>35</v>
      </c>
      <c r="E197" s="4">
        <v>494</v>
      </c>
      <c r="F197" s="2" t="s">
        <v>9</v>
      </c>
      <c r="H197" t="str">
        <f>IF(COUNTIFS(
    Sheet1!$B:$B, B197,
    Sheet1!$C:$C, C197,
    Sheet1!$D:$D, D197,
    Sheet1!$E:$E, E197
) = 0, "NO MATCH IN TARGET", "MATCHED")</f>
        <v>MATCHED</v>
      </c>
    </row>
    <row r="198" spans="1:8" ht="15" thickBot="1" x14ac:dyDescent="0.4">
      <c r="A198" t="s">
        <v>111</v>
      </c>
      <c r="B198" t="s">
        <v>34</v>
      </c>
      <c r="C198" t="s">
        <v>8</v>
      </c>
      <c r="D198">
        <v>5</v>
      </c>
      <c r="E198">
        <v>435</v>
      </c>
      <c r="F198" s="5" t="s">
        <v>9</v>
      </c>
      <c r="H198" t="str">
        <f>IF(COUNTIFS(
    Sheet1!$B:$B, B198,
    Sheet1!$C:$C, C198,
    Sheet1!$D:$D, D198,
    Sheet1!$E:$E, E198
) = 0, "NO MATCH IN TARGET", "MATCHED")</f>
        <v>MATCHED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2026-08-09T18:09:13Z</dcterms:created>
  <dcterms:modified xsi:type="dcterms:W3CDTF">2026-08-17T13:51:24Z</dcterms:modified>
</cp:coreProperties>
</file>