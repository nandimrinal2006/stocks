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7E3A64B6-42F8-413E-991E-44F4C8D7C4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6" r:id="rId3"/>
  </sheets>
  <definedNames>
    <definedName name="_xlnm._FilterDatabase" localSheetId="0" hidden="1">Sheet1!$A$1:$O$278</definedName>
    <definedName name="_xlnm._FilterDatabase" localSheetId="2" hidden="1">'Sheet1 (2)'!$A$1:$N$278</definedName>
    <definedName name="_xlnm._FilterDatabase" localSheetId="1" hidden="1">Sheet2!$A$1:$L$14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8" i="6" l="1"/>
  <c r="L278" i="6"/>
  <c r="M278" i="6" s="1"/>
  <c r="N277" i="6"/>
  <c r="M277" i="6"/>
  <c r="N276" i="6"/>
  <c r="M276" i="6"/>
  <c r="N275" i="6"/>
  <c r="M275" i="6"/>
  <c r="N274" i="6"/>
  <c r="M274" i="6"/>
  <c r="N273" i="6"/>
  <c r="M273" i="6"/>
  <c r="N272" i="6"/>
  <c r="M272" i="6"/>
  <c r="N271" i="6"/>
  <c r="L271" i="6"/>
  <c r="M271" i="6" s="1"/>
  <c r="N270" i="6"/>
  <c r="M270" i="6"/>
  <c r="N269" i="6"/>
  <c r="M269" i="6"/>
  <c r="N268" i="6"/>
  <c r="M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M243" i="6"/>
  <c r="N242" i="6"/>
  <c r="N241" i="6"/>
  <c r="N240" i="6"/>
  <c r="N239" i="6"/>
  <c r="N238" i="6"/>
  <c r="N237" i="6"/>
  <c r="N236" i="6"/>
  <c r="M236" i="6"/>
  <c r="N235" i="6"/>
  <c r="N234" i="6"/>
  <c r="N233" i="6"/>
  <c r="N232" i="6"/>
  <c r="N231" i="6"/>
  <c r="N230" i="6"/>
  <c r="N229" i="6"/>
  <c r="N228" i="6"/>
  <c r="N227" i="6"/>
  <c r="N226" i="6"/>
  <c r="M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M213" i="6"/>
  <c r="N212" i="6"/>
  <c r="N211" i="6"/>
  <c r="N210" i="6"/>
  <c r="M210" i="6"/>
  <c r="N209" i="6"/>
  <c r="N208" i="6"/>
  <c r="N207" i="6"/>
  <c r="N206" i="6"/>
  <c r="M206" i="6"/>
  <c r="N205" i="6"/>
  <c r="N204" i="6"/>
  <c r="N203" i="6"/>
  <c r="N202" i="6"/>
  <c r="N201" i="6"/>
  <c r="N200" i="6"/>
  <c r="M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M188" i="6"/>
  <c r="N187" i="6"/>
  <c r="N186" i="6"/>
  <c r="M186" i="6"/>
  <c r="N185" i="6"/>
  <c r="M185" i="6"/>
  <c r="N184" i="6"/>
  <c r="N183" i="6"/>
  <c r="M183" i="6"/>
  <c r="N182" i="6"/>
  <c r="M182" i="6"/>
  <c r="N181" i="6"/>
  <c r="N180" i="6"/>
  <c r="M180" i="6"/>
  <c r="N179" i="6"/>
  <c r="M179" i="6"/>
  <c r="N178" i="6"/>
  <c r="N177" i="6"/>
  <c r="N176" i="6"/>
  <c r="N175" i="6"/>
  <c r="M175" i="6"/>
  <c r="N174" i="6"/>
  <c r="N173" i="6"/>
  <c r="N172" i="6"/>
  <c r="M172" i="6"/>
  <c r="N171" i="6"/>
  <c r="N170" i="6"/>
  <c r="N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N159" i="6"/>
  <c r="M159" i="6"/>
  <c r="N158" i="6"/>
  <c r="M158" i="6"/>
  <c r="N157" i="6"/>
  <c r="M157" i="6"/>
  <c r="N156" i="6"/>
  <c r="M156" i="6"/>
  <c r="N155" i="6"/>
  <c r="M155" i="6"/>
  <c r="N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N129" i="6"/>
  <c r="M129" i="6"/>
  <c r="N128" i="6"/>
  <c r="M128" i="6"/>
  <c r="N127" i="6"/>
  <c r="M127" i="6"/>
  <c r="N126" i="6"/>
  <c r="N125" i="6"/>
  <c r="N124" i="6"/>
  <c r="M124" i="6"/>
  <c r="N123" i="6"/>
  <c r="M123" i="6"/>
  <c r="L123" i="6"/>
  <c r="N122" i="6"/>
  <c r="L122" i="6"/>
  <c r="M122" i="6" s="1"/>
  <c r="N121" i="6"/>
  <c r="M121" i="6"/>
  <c r="N120" i="6"/>
  <c r="M120" i="6"/>
  <c r="N119" i="6"/>
  <c r="M119" i="6"/>
  <c r="N118" i="6"/>
  <c r="M118" i="6"/>
  <c r="N117" i="6"/>
  <c r="N116" i="6"/>
  <c r="M116" i="6"/>
  <c r="N115" i="6"/>
  <c r="N114" i="6"/>
  <c r="N113" i="6"/>
  <c r="N112" i="6"/>
  <c r="M112" i="6"/>
  <c r="N111" i="6"/>
  <c r="N110" i="6"/>
  <c r="M110" i="6"/>
  <c r="N109" i="6"/>
  <c r="M109" i="6"/>
  <c r="N108" i="6"/>
  <c r="M108" i="6"/>
  <c r="N107" i="6"/>
  <c r="M107" i="6"/>
  <c r="N106" i="6"/>
  <c r="M106" i="6"/>
  <c r="N105" i="6"/>
  <c r="N104" i="6"/>
  <c r="N103" i="6"/>
  <c r="N102" i="6"/>
  <c r="N101" i="6"/>
  <c r="M101" i="6"/>
  <c r="N100" i="6"/>
  <c r="M100" i="6"/>
  <c r="N99" i="6"/>
  <c r="M99" i="6"/>
  <c r="N98" i="6"/>
  <c r="M98" i="6"/>
  <c r="N97" i="6"/>
  <c r="N96" i="6"/>
  <c r="M96" i="6"/>
  <c r="N95" i="6"/>
  <c r="N94" i="6"/>
  <c r="N93" i="6"/>
  <c r="N92" i="6"/>
  <c r="M92" i="6"/>
  <c r="N91" i="6"/>
  <c r="N90" i="6"/>
  <c r="N89" i="6"/>
  <c r="N88" i="6"/>
  <c r="N87" i="6"/>
  <c r="N86" i="6"/>
  <c r="M86" i="6"/>
  <c r="N85" i="6"/>
  <c r="N84" i="6"/>
  <c r="M84" i="6"/>
  <c r="N83" i="6"/>
  <c r="M83" i="6"/>
  <c r="N82" i="6"/>
  <c r="M82" i="6"/>
  <c r="N81" i="6"/>
  <c r="M81" i="6"/>
  <c r="N80" i="6"/>
  <c r="N79" i="6"/>
  <c r="N78" i="6"/>
  <c r="M78" i="6"/>
  <c r="N77" i="6"/>
  <c r="M77" i="6"/>
  <c r="N76" i="6"/>
  <c r="N75" i="6"/>
  <c r="N74" i="6"/>
  <c r="N73" i="6"/>
  <c r="N72" i="6"/>
  <c r="N71" i="6"/>
  <c r="M71" i="6"/>
  <c r="N70" i="6"/>
  <c r="M70" i="6"/>
  <c r="N69" i="6"/>
  <c r="M69" i="6"/>
  <c r="N68" i="6"/>
  <c r="M68" i="6"/>
  <c r="N67" i="6"/>
  <c r="M67" i="6"/>
  <c r="N66" i="6"/>
  <c r="N65" i="6"/>
  <c r="N64" i="6"/>
  <c r="N63" i="6"/>
  <c r="M63" i="6"/>
  <c r="N62" i="6"/>
  <c r="M62" i="6"/>
  <c r="N61" i="6"/>
  <c r="N60" i="6"/>
  <c r="N59" i="6"/>
  <c r="N58" i="6"/>
  <c r="N57" i="6"/>
  <c r="M57" i="6"/>
  <c r="N56" i="6"/>
  <c r="N55" i="6"/>
  <c r="N54" i="6"/>
  <c r="N53" i="6"/>
  <c r="M53" i="6"/>
  <c r="N52" i="6"/>
  <c r="N51" i="6"/>
  <c r="N50" i="6"/>
  <c r="N49" i="6"/>
  <c r="M49" i="6"/>
  <c r="N48" i="6"/>
  <c r="M48" i="6"/>
  <c r="N47" i="6"/>
  <c r="M47" i="6"/>
  <c r="N46" i="6"/>
  <c r="M46" i="6"/>
  <c r="N45" i="6"/>
  <c r="N44" i="6"/>
  <c r="N43" i="6"/>
  <c r="N42" i="6"/>
  <c r="N41" i="6"/>
  <c r="N40" i="6"/>
  <c r="M40" i="6"/>
  <c r="N39" i="6"/>
  <c r="N38" i="6"/>
  <c r="N37" i="6"/>
  <c r="N36" i="6"/>
  <c r="N35" i="6"/>
  <c r="N34" i="6"/>
  <c r="N33" i="6"/>
  <c r="N32" i="6"/>
  <c r="N31" i="6"/>
  <c r="N30" i="6"/>
  <c r="N29" i="6"/>
  <c r="M29" i="6"/>
  <c r="N28" i="6"/>
  <c r="N27" i="6"/>
  <c r="M27" i="6"/>
  <c r="N26" i="6"/>
  <c r="N25" i="6"/>
  <c r="N24" i="6"/>
  <c r="N23" i="6"/>
  <c r="N22" i="6"/>
  <c r="N21" i="6"/>
  <c r="N20" i="6"/>
  <c r="N19" i="6"/>
  <c r="N18" i="6"/>
  <c r="N17" i="6"/>
  <c r="N16" i="6"/>
  <c r="M16" i="6"/>
  <c r="N15" i="6"/>
  <c r="N14" i="6"/>
  <c r="N13" i="6"/>
  <c r="M13" i="6"/>
  <c r="N12" i="6"/>
  <c r="N11" i="6"/>
  <c r="N10" i="6"/>
  <c r="M10" i="6"/>
  <c r="N9" i="6"/>
  <c r="N8" i="6"/>
  <c r="N7" i="6"/>
  <c r="N6" i="6"/>
  <c r="N5" i="6"/>
  <c r="N4" i="6"/>
  <c r="N3" i="6"/>
  <c r="N2" i="6"/>
  <c r="L108" i="1"/>
  <c r="M108" i="1" s="1"/>
  <c r="N108" i="1"/>
  <c r="L87" i="1"/>
  <c r="M87" i="1" s="1"/>
  <c r="L31" i="1"/>
  <c r="M31" i="1" s="1"/>
  <c r="L17" i="1"/>
  <c r="M17" i="1" s="1"/>
  <c r="N17" i="1"/>
  <c r="N31" i="1"/>
  <c r="N113" i="1"/>
  <c r="N147" i="1"/>
  <c r="N128" i="1"/>
  <c r="N87" i="1"/>
  <c r="N121" i="1"/>
  <c r="N232" i="1"/>
  <c r="N55" i="1"/>
  <c r="N52" i="1"/>
  <c r="N86" i="1"/>
  <c r="N107" i="1"/>
  <c r="M147" i="1"/>
  <c r="M128" i="1"/>
  <c r="M121" i="1"/>
  <c r="M232" i="1"/>
  <c r="M55" i="1"/>
  <c r="M52" i="1"/>
  <c r="M86" i="1"/>
  <c r="M107" i="1"/>
  <c r="M113" i="1"/>
  <c r="N160" i="1"/>
  <c r="N126" i="1"/>
  <c r="N96" i="1"/>
  <c r="N89" i="1"/>
  <c r="N75" i="1"/>
  <c r="N106" i="1"/>
  <c r="M126" i="1"/>
  <c r="M96" i="1"/>
  <c r="M89" i="1"/>
  <c r="M75" i="1"/>
  <c r="M106" i="1"/>
  <c r="M160" i="1"/>
  <c r="M88" i="1"/>
  <c r="N88" i="1"/>
  <c r="M125" i="1"/>
  <c r="N125" i="1"/>
  <c r="M145" i="1"/>
  <c r="N145" i="1"/>
  <c r="M167" i="1"/>
  <c r="N167" i="1"/>
  <c r="M184" i="1"/>
  <c r="N184" i="1"/>
  <c r="M146" i="1"/>
  <c r="N146" i="1"/>
  <c r="M139" i="1"/>
  <c r="N139" i="1"/>
  <c r="M129" i="1"/>
  <c r="N129" i="1"/>
  <c r="M136" i="1"/>
  <c r="N136" i="1"/>
  <c r="M111" i="1"/>
  <c r="N111" i="1"/>
  <c r="M152" i="1"/>
  <c r="N152" i="1"/>
  <c r="M127" i="1"/>
  <c r="N127" i="1"/>
  <c r="M137" i="1"/>
  <c r="N137" i="1"/>
  <c r="M51" i="1"/>
  <c r="N51" i="1"/>
  <c r="N181" i="1"/>
  <c r="N93" i="1"/>
  <c r="N114" i="1"/>
  <c r="N124" i="1"/>
  <c r="N166" i="1"/>
  <c r="N216" i="1"/>
  <c r="N135" i="1"/>
  <c r="N117" i="1"/>
  <c r="N110" i="1"/>
  <c r="N168" i="1"/>
  <c r="N144" i="1"/>
  <c r="N154" i="1"/>
  <c r="M93" i="1"/>
  <c r="M114" i="1"/>
  <c r="M124" i="1"/>
  <c r="M166" i="1"/>
  <c r="M216" i="1"/>
  <c r="M135" i="1"/>
  <c r="M117" i="1"/>
  <c r="M110" i="1"/>
  <c r="M168" i="1"/>
  <c r="M144" i="1"/>
  <c r="M154" i="1"/>
  <c r="M181" i="1"/>
  <c r="N209" i="1"/>
  <c r="M149" i="1"/>
  <c r="M215" i="1"/>
  <c r="M112" i="1"/>
  <c r="M183" i="1"/>
  <c r="M119" i="1"/>
  <c r="M165" i="1"/>
  <c r="M123" i="1"/>
  <c r="M142" i="1"/>
  <c r="M233" i="1"/>
  <c r="M116" i="1"/>
  <c r="M172" i="1"/>
  <c r="M174" i="1"/>
  <c r="M173" i="1"/>
  <c r="M115" i="1"/>
  <c r="M133" i="1"/>
  <c r="M131" i="1"/>
  <c r="M97" i="1"/>
  <c r="M186" i="1"/>
  <c r="N186" i="1"/>
  <c r="N149" i="1"/>
  <c r="N215" i="1"/>
  <c r="N112" i="1"/>
  <c r="N183" i="1"/>
  <c r="N119" i="1"/>
  <c r="N165" i="1"/>
  <c r="N123" i="1"/>
  <c r="N142" i="1"/>
  <c r="N233" i="1"/>
  <c r="N116" i="1"/>
  <c r="N172" i="1"/>
  <c r="N174" i="1"/>
  <c r="N173" i="1"/>
  <c r="N115" i="1"/>
  <c r="N133" i="1"/>
  <c r="N131" i="1"/>
  <c r="N97" i="1"/>
  <c r="I4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I13" i="5"/>
  <c r="J13" i="5"/>
  <c r="L13" i="5"/>
  <c r="I14" i="5"/>
  <c r="J14" i="5"/>
  <c r="L14" i="5"/>
  <c r="I15" i="5"/>
  <c r="J15" i="5"/>
  <c r="L15" i="5"/>
  <c r="I16" i="5"/>
  <c r="J16" i="5"/>
  <c r="L16" i="5"/>
  <c r="I17" i="5"/>
  <c r="J17" i="5"/>
  <c r="L17" i="5"/>
  <c r="I18" i="5"/>
  <c r="J18" i="5"/>
  <c r="L18" i="5"/>
  <c r="I19" i="5"/>
  <c r="J19" i="5"/>
  <c r="L19" i="5"/>
  <c r="M64" i="1"/>
  <c r="M150" i="1"/>
  <c r="M161" i="1"/>
  <c r="M185" i="1"/>
  <c r="M138" i="1"/>
  <c r="M190" i="1"/>
  <c r="M132" i="1"/>
  <c r="M141" i="1"/>
  <c r="M148" i="1"/>
  <c r="N64" i="1"/>
  <c r="N150" i="1"/>
  <c r="N161" i="1"/>
  <c r="N185" i="1"/>
  <c r="N138" i="1"/>
  <c r="N190" i="1"/>
  <c r="N132" i="1"/>
  <c r="N141" i="1"/>
  <c r="N148" i="1"/>
  <c r="N163" i="1"/>
  <c r="N171" i="1"/>
  <c r="N153" i="1"/>
  <c r="N211" i="1"/>
  <c r="N198" i="1"/>
  <c r="N200" i="1"/>
  <c r="N180" i="1"/>
  <c r="N214" i="1"/>
  <c r="N191" i="1"/>
  <c r="N120" i="1"/>
  <c r="N157" i="1"/>
  <c r="N95" i="1"/>
  <c r="N77" i="1"/>
  <c r="M171" i="1"/>
  <c r="M153" i="1"/>
  <c r="M211" i="1"/>
  <c r="M198" i="1"/>
  <c r="M200" i="1"/>
  <c r="M180" i="1"/>
  <c r="M214" i="1"/>
  <c r="M191" i="1"/>
  <c r="M120" i="1"/>
  <c r="M157" i="1"/>
  <c r="M95" i="1"/>
  <c r="M77" i="1"/>
  <c r="M163" i="1"/>
  <c r="M237" i="1" l="1"/>
  <c r="M249" i="1"/>
  <c r="M156" i="1"/>
  <c r="M205" i="1"/>
  <c r="M122" i="1"/>
  <c r="M218" i="1"/>
  <c r="M223" i="1"/>
  <c r="M80" i="1"/>
  <c r="M199" i="1"/>
  <c r="M170" i="1"/>
  <c r="M238" i="1"/>
  <c r="N238" i="1"/>
  <c r="N199" i="1"/>
  <c r="N170" i="1"/>
  <c r="N237" i="1"/>
  <c r="N249" i="1"/>
  <c r="N156" i="1"/>
  <c r="N205" i="1"/>
  <c r="N122" i="1"/>
  <c r="N218" i="1"/>
  <c r="N223" i="1"/>
  <c r="N80" i="1"/>
  <c r="J4" i="5"/>
  <c r="L4" i="5"/>
  <c r="I5" i="5"/>
  <c r="J5" i="5"/>
  <c r="L5" i="5"/>
  <c r="I6" i="5"/>
  <c r="J6" i="5"/>
  <c r="L6" i="5"/>
  <c r="M271" i="1"/>
  <c r="M217" i="1"/>
  <c r="M178" i="1"/>
  <c r="M189" i="1"/>
  <c r="N271" i="1"/>
  <c r="N217" i="1"/>
  <c r="N178" i="1"/>
  <c r="N189" i="1"/>
  <c r="I3" i="5"/>
  <c r="J3" i="5"/>
  <c r="L3" i="5"/>
  <c r="M213" i="1"/>
  <c r="M194" i="1"/>
  <c r="M188" i="1"/>
  <c r="M267" i="1"/>
  <c r="M46" i="1"/>
  <c r="M92" i="1"/>
  <c r="N92" i="1"/>
  <c r="N46" i="1"/>
  <c r="N267" i="1"/>
  <c r="N188" i="1"/>
  <c r="N194" i="1"/>
  <c r="N213" i="1"/>
  <c r="M29" i="1" l="1"/>
  <c r="M49" i="1"/>
  <c r="M197" i="1"/>
  <c r="M254" i="1"/>
  <c r="J2" i="5"/>
  <c r="I2" i="5"/>
  <c r="L2" i="5"/>
  <c r="N49" i="1"/>
  <c r="N29" i="1"/>
  <c r="N197" i="1"/>
  <c r="N254" i="1"/>
  <c r="N151" i="1" l="1"/>
  <c r="N32" i="1"/>
  <c r="N83" i="1"/>
  <c r="N78" i="1"/>
  <c r="N100" i="1"/>
  <c r="N104" i="1"/>
  <c r="N98" i="1"/>
  <c r="N70" i="1"/>
  <c r="N105" i="1"/>
  <c r="N35" i="1"/>
  <c r="N103" i="1"/>
  <c r="N26" i="1"/>
  <c r="N44" i="1"/>
  <c r="N102" i="1"/>
  <c r="N71" i="1"/>
  <c r="N74" i="1"/>
  <c r="N58" i="1"/>
  <c r="N94" i="1"/>
  <c r="N68" i="1"/>
  <c r="N91" i="1"/>
  <c r="N63" i="1"/>
  <c r="N69" i="1"/>
  <c r="N62" i="1"/>
  <c r="N57" i="1"/>
  <c r="N101" i="1"/>
  <c r="N15" i="1"/>
  <c r="N30" i="1"/>
  <c r="N41" i="1"/>
  <c r="N81" i="1"/>
  <c r="N19" i="1"/>
  <c r="N59" i="1"/>
  <c r="N72" i="1"/>
  <c r="N50" i="1"/>
  <c r="N76" i="1"/>
  <c r="N2" i="1"/>
  <c r="N48" i="1"/>
  <c r="N66" i="1"/>
  <c r="N85" i="1"/>
  <c r="N45" i="1"/>
  <c r="N67" i="1"/>
  <c r="N34" i="1"/>
  <c r="N54" i="1"/>
  <c r="N47" i="1"/>
  <c r="N37" i="1"/>
  <c r="N39" i="1"/>
  <c r="N79" i="1"/>
  <c r="N53" i="1"/>
  <c r="N36" i="1"/>
  <c r="N13" i="1"/>
  <c r="N23" i="1"/>
  <c r="N90" i="1"/>
  <c r="N82" i="1"/>
  <c r="N33" i="1"/>
  <c r="N60" i="1"/>
  <c r="N84" i="1"/>
  <c r="N28" i="1"/>
  <c r="N42" i="1"/>
  <c r="N65" i="1"/>
  <c r="N61" i="1"/>
  <c r="N24" i="1"/>
  <c r="N99" i="1"/>
  <c r="N73" i="1"/>
  <c r="N9" i="1"/>
  <c r="N40" i="1"/>
  <c r="N11" i="1"/>
  <c r="N43" i="1"/>
  <c r="N25" i="1"/>
  <c r="N14" i="1"/>
  <c r="N21" i="1"/>
  <c r="N27" i="1"/>
  <c r="N8" i="1"/>
  <c r="N16" i="1"/>
  <c r="N22" i="1"/>
  <c r="N56" i="1"/>
  <c r="N18" i="1"/>
  <c r="N6" i="1"/>
  <c r="N38" i="1"/>
  <c r="N12" i="1"/>
  <c r="N10" i="1"/>
  <c r="N20" i="1"/>
  <c r="N7" i="1"/>
  <c r="N4" i="1"/>
  <c r="N5" i="1"/>
  <c r="N3" i="1"/>
  <c r="N158" i="1"/>
  <c r="N177" i="1"/>
  <c r="N143" i="1"/>
  <c r="N130" i="1"/>
  <c r="N159" i="1"/>
  <c r="N225" i="1"/>
  <c r="N140" i="1"/>
  <c r="N118" i="1"/>
  <c r="N134" i="1"/>
  <c r="N210" i="1"/>
  <c r="N235" i="1"/>
  <c r="N176" i="1"/>
  <c r="N226" i="1"/>
  <c r="N182" i="1"/>
  <c r="N193" i="1"/>
  <c r="N219" i="1"/>
  <c r="N240" i="1"/>
  <c r="N196" i="1"/>
  <c r="N162" i="1"/>
  <c r="N202" i="1"/>
  <c r="N109" i="1"/>
  <c r="N207" i="1"/>
  <c r="N169" i="1"/>
  <c r="N231" i="1"/>
  <c r="N236" i="1"/>
  <c r="N239" i="1"/>
  <c r="N264" i="1"/>
  <c r="N208" i="1"/>
  <c r="N221" i="1"/>
  <c r="N228" i="1"/>
  <c r="N203" i="1"/>
  <c r="N175" i="1"/>
  <c r="N252" i="1"/>
  <c r="N253" i="1"/>
  <c r="N227" i="1"/>
  <c r="N155" i="1"/>
  <c r="N204" i="1"/>
  <c r="N179" i="1"/>
  <c r="N229" i="1"/>
  <c r="N230" i="1"/>
  <c r="N222" i="1"/>
  <c r="N201" i="1"/>
  <c r="N247" i="1"/>
  <c r="N224" i="1"/>
  <c r="N245" i="1"/>
  <c r="N241" i="1"/>
  <c r="N187" i="1"/>
  <c r="N266" i="1"/>
  <c r="N220" i="1"/>
  <c r="N164" i="1"/>
  <c r="N250" i="1"/>
  <c r="N268" i="1"/>
  <c r="N243" i="1"/>
  <c r="N262" i="1"/>
  <c r="N246" i="1"/>
  <c r="N248" i="1"/>
  <c r="N259" i="1"/>
  <c r="N255" i="1"/>
  <c r="N244" i="1"/>
  <c r="N257" i="1"/>
  <c r="N206" i="1"/>
  <c r="N258" i="1"/>
  <c r="N273" i="1"/>
  <c r="N260" i="1"/>
  <c r="N251" i="1"/>
  <c r="N192" i="1"/>
  <c r="N265" i="1"/>
  <c r="N261" i="1"/>
  <c r="N272" i="1"/>
  <c r="N263" i="1"/>
  <c r="N234" i="1"/>
  <c r="N270" i="1"/>
  <c r="N269" i="1"/>
  <c r="N275" i="1"/>
  <c r="N256" i="1"/>
  <c r="N274" i="1"/>
  <c r="N276" i="1"/>
  <c r="N277" i="1"/>
  <c r="N278" i="1"/>
  <c r="N195" i="1"/>
  <c r="N242" i="1"/>
  <c r="N212" i="1"/>
</calcChain>
</file>

<file path=xl/sharedStrings.xml><?xml version="1.0" encoding="utf-8"?>
<sst xmlns="http://schemas.openxmlformats.org/spreadsheetml/2006/main" count="3127" uniqueCount="276">
  <si>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</si>
  <si>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</si>
  <si>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</si>
  <si>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</si>
  <si>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</si>
  <si>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</si>
  <si>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</si>
  <si>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</si>
  <si>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</si>
  <si>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</si>
  <si>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</si>
  <si>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</si>
  <si>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</si>
  <si>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</si>
  <si>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</si>
  <si>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</si>
  <si>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</si>
  <si>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</si>
  <si>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</si>
  <si>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</si>
  <si>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</si>
  <si>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</si>
  <si>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</si>
  <si>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</si>
  <si>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</si>
  <si>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</si>
  <si>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</si>
  <si>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</si>
  <si>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</si>
  <si>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</si>
  <si>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</si>
  <si>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</si>
  <si>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</si>
  <si>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</si>
  <si>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</si>
  <si>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</si>
  <si>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</si>
  <si>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</si>
  <si>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</si>
  <si>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</si>
  <si>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</si>
  <si>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</si>
  <si>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</si>
  <si>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</si>
  <si>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</si>
  <si>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</si>
  <si>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</si>
  <si>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</si>
  <si>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</si>
  <si>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</si>
  <si>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</si>
  <si>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</si>
  <si>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</si>
  <si>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</si>
  <si>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</si>
  <si>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</si>
  <si>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</si>
  <si>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</si>
  <si>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</si>
  <si>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</si>
  <si>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</si>
  <si>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</si>
  <si>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</si>
  <si>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</si>
  <si>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</si>
  <si>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</si>
  <si>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</si>
  <si>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</si>
  <si>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</si>
  <si>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</si>
  <si>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</si>
  <si>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</si>
  <si>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</si>
  <si>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</si>
  <si>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</si>
  <si>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</si>
  <si>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</si>
  <si>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</si>
  <si>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</si>
  <si>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</si>
  <si>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</si>
  <si>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</si>
  <si>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</si>
  <si>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</si>
  <si>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</si>
  <si>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</si>
  <si>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</si>
  <si>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</si>
  <si>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</si>
  <si>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</si>
  <si>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</si>
  <si>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</si>
  <si>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</si>
  <si>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</si>
  <si>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</si>
  <si>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</si>
  <si>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</si>
  <si>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</si>
  <si>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</si>
  <si>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</si>
  <si>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</si>
  <si>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</si>
  <si>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</si>
  <si>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</si>
  <si>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</si>
  <si>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</si>
  <si>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</si>
  <si>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</si>
  <si>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</si>
  <si>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</si>
  <si>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</si>
  <si>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</si>
  <si>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</si>
  <si>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</si>
  <si>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</si>
  <si>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</si>
  <si>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</si>
  <si>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</si>
  <si>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</si>
  <si>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</si>
  <si>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</si>
  <si>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</si>
  <si>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</si>
  <si>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</si>
  <si>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</si>
  <si>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</si>
  <si>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</si>
  <si>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</si>
  <si>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</si>
  <si>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</si>
  <si>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</si>
  <si>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</si>
  <si>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</si>
  <si>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</si>
  <si>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</si>
  <si>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</si>
  <si>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</si>
  <si>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</si>
  <si>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</si>
  <si>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</si>
  <si>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</si>
  <si>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</si>
  <si>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</si>
  <si>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</si>
  <si>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</si>
  <si>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</si>
  <si>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</si>
  <si>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</si>
  <si>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</si>
  <si>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SELL 1*19992 :21-AUG-26</t>
  </si>
  <si>
    <t>SELL 25*348 :21-AUG-26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</si>
  <si>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</si>
  <si>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</si>
  <si>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</si>
  <si>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</si>
  <si>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</si>
  <si>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</si>
  <si>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</si>
  <si>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</si>
  <si>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</si>
  <si>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</si>
  <si>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</si>
  <si>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S 10*1510 :24 AUG 2026 09:01:06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</si>
  <si>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</si>
  <si>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</si>
  <si>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</si>
  <si>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</si>
  <si>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</si>
  <si>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</si>
  <si>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</si>
  <si>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</si>
  <si>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</si>
  <si>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</si>
  <si>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</si>
  <si>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</si>
  <si>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</si>
  <si>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</si>
  <si>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</si>
  <si>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</si>
  <si>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</si>
  <si>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</si>
  <si>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</si>
  <si>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</si>
  <si>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</si>
  <si>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</si>
  <si>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</si>
  <si>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</si>
  <si>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</si>
  <si>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50*214 :27 AUG 2026 09:00:48 AM</t>
  </si>
  <si>
    <t>S 50*211 :27 AUG 2026 09:00:44 AM</t>
  </si>
  <si>
    <t>S 20*885 :27 AUG 2026 09:00:48 AM</t>
  </si>
  <si>
    <t>B 5*1440 :27 AUG 2026 09:01:10 AM</t>
  </si>
  <si>
    <t>S 5*704.55 :28 AUG 2026 10:59:11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</si>
  <si>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</si>
  <si>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</si>
  <si>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</si>
  <si>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</si>
  <si>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</si>
  <si>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5*712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</si>
  <si>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</si>
  <si>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</si>
  <si>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</si>
  <si>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</si>
  <si>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</si>
  <si>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</si>
  <si>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</si>
  <si>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10*1505 :31 AUG 2026 11:12:50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</si>
  <si>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</si>
  <si>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</si>
  <si>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</si>
  <si>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</si>
  <si>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</si>
  <si>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</si>
  <si>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</si>
  <si>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</si>
  <si>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</si>
  <si>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5*702 :31 AUG 2026 09:01:13 AM</t>
  </si>
  <si>
    <t>B 10*2602 :31 AUG 2026 09:01:13 AM</t>
  </si>
  <si>
    <t>S 5*730 :31 AUG 2026 09:01:13 AM</t>
  </si>
  <si>
    <t>B 250*221.53 : IN 3 STEPS: 31 AUG 2026 09:25:44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</si>
  <si>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</si>
  <si>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</si>
  <si>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</si>
  <si>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</si>
  <si>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</si>
  <si>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</si>
  <si>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</si>
  <si>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</si>
  <si>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</si>
  <si>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</si>
  <si>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</si>
  <si>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B 15*1005 :01 SEP 2026 09:00:55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</si>
  <si>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</si>
  <si>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</si>
  <si>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</si>
  <si>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</si>
  <si>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</si>
  <si>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</si>
  <si>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</si>
  <si>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</si>
  <si>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</si>
  <si>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</si>
  <si>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</si>
  <si>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</si>
  <si>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S 1*20350 :02 SEP 2026 09:00:38 AM</t>
  </si>
  <si>
    <t>B 5*601 :02 SEP 2026 09:00:47 AM</t>
  </si>
  <si>
    <t>B 30*860 :03 SEP 2026 09:00:49 AM</t>
  </si>
  <si>
    <t>B 100*322 :03 SEP 2026 09:00:47 AM</t>
  </si>
  <si>
    <t>S 90*297 :03 SEP 2026 09:51:19 AM</t>
  </si>
  <si>
    <t>S 20*896 :03 SEP 2026 09:00:44 AM</t>
  </si>
  <si>
    <t>S 100*219 :03 SEP 2026 09:15:08 AM</t>
  </si>
  <si>
    <t>S 10*937 :03 SEP 2026 09:00:44 AM</t>
  </si>
  <si>
    <t>04 SEP 2026 01:01:43 PM</t>
  </si>
  <si>
    <t>04 SEP 2026 03:26:46 PM</t>
  </si>
  <si>
    <t>04 SEP 2026 09:52:27 AM</t>
  </si>
  <si>
    <t>04 SEP 2026 09:51:01 AM</t>
  </si>
  <si>
    <t>04 SEP 2026 02:45:11 PM</t>
  </si>
  <si>
    <t>04 SEP 2026 09:00:48 AM</t>
  </si>
  <si>
    <t>04 SEP 2026 09:00:46 AM</t>
  </si>
  <si>
    <t>04 SEP 2026 09:00:45 AM</t>
  </si>
  <si>
    <t>04 SEP 2026 09:00:44 AM</t>
  </si>
  <si>
    <t>B 50*324.4 :04 SEP 2026 01:01:43 PM</t>
  </si>
  <si>
    <t>B 1*5180 :04 SEP 2026 03:26:46 PM</t>
  </si>
  <si>
    <t>B 10*1814 :04 SEP 2026 09:52:27 AM</t>
  </si>
  <si>
    <t>B 40*212 :04 SEP 2026 02:45:11 PM</t>
  </si>
  <si>
    <t>B 5*421 :04 SEP 2026 09:00:48 AM</t>
  </si>
  <si>
    <t>S 5*1844 :04 SEP 2026 09:00:46 AM</t>
  </si>
  <si>
    <t>S 2*3440 :04 SEP 2026 09:00:45 AM</t>
  </si>
  <si>
    <t>S 25*360 :04 SEP 2026 09:00:44 AM</t>
  </si>
  <si>
    <t>S 10*947 :04 SEP 2026 09:00:44 AM</t>
  </si>
  <si>
    <t>S 3*1794 :04 SEP 2026 09:00:46 AM</t>
  </si>
  <si>
    <t>S 5*1794 :04 SEP 2026 09:00:46 AM</t>
  </si>
  <si>
    <t>S 5*1869 :04 SEP 2026 09:51:01 AM</t>
  </si>
  <si>
    <t>S 10*1280 :04 SEP 2026 09:00:44 AM</t>
  </si>
  <si>
    <t>GTD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</si>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</sst>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7" borderId="0" xfId="0" applyFill="1" applyAlignment="1">
      <alignment horizontal="center" vertical="top"/>
    </xf>
    <xf numFmtId="15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0" fillId="9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9" borderId="0" xfId="0" applyFill="1"/>
    <xf numFmtId="0" fontId="0" fillId="9" borderId="0" xfId="0" applyFill="1" applyAlignment="1">
      <alignment horizontal="center" vertical="top"/>
    </xf>
    <xf numFmtId="22" fontId="1" fillId="10" borderId="1" xfId="0" applyNumberFormat="1" applyFont="1" applyFill="1" applyBorder="1" applyAlignment="1">
      <alignment horizontal="right" wrapText="1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right" wrapText="1"/>
    </xf>
    <xf numFmtId="15" fontId="1" fillId="10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2" borderId="1" xfId="0" applyFill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7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11" borderId="0" xfId="0" applyFill="1" applyAlignment="1">
      <alignment horizontal="center" vertical="top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82"/>
  <sheetViews>
    <sheetView tabSelected="1" topLeftCell="B1" zoomScaleNormal="100" workbookViewId="0">
      <pane ySplit="1" topLeftCell="A151" activePane="bottomLeft" state="frozen"/>
      <selection pane="bottomLeft" activeCell="O154" sqref="O154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17.179687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5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  <c r="O1" s="10" t="s">
        <v>274</v>
      </c>
    </row>
    <row r="2" spans="1:15" customFormat="1" ht="27.65" hidden="1" customHeight="1" thickBot="1" x14ac:dyDescent="0.4">
      <c r="A2" s="3">
        <v>46252.688194444447</v>
      </c>
      <c r="B2" s="1" t="s">
        <v>96</v>
      </c>
      <c r="C2" s="1" t="s">
        <v>10</v>
      </c>
      <c r="D2" s="4">
        <v>45</v>
      </c>
      <c r="E2" s="4">
        <v>136.15</v>
      </c>
      <c r="F2" s="4">
        <v>-25.19230769</v>
      </c>
      <c r="G2" s="2" t="s">
        <v>97</v>
      </c>
      <c r="H2" s="5">
        <v>182</v>
      </c>
      <c r="I2" s="1" t="s">
        <v>8</v>
      </c>
      <c r="J2" s="52"/>
      <c r="K2" s="17"/>
      <c r="L2" s="17"/>
      <c r="M2" s="17"/>
      <c r="N2" t="str">
        <f t="shared" ref="N2:N33" si="0">IF(COUNTIFS( $B$2:$B$797, B2, $C$2:$C$797, C2, $D$2:$D$797, D2, $E$2:$E$797, E2) &gt; 1, "Duplicate", "Unique")</f>
        <v>Unique</v>
      </c>
    </row>
    <row r="3" spans="1:15" customFormat="1" ht="27.65" hidden="1" customHeight="1" thickBot="1" x14ac:dyDescent="0.4">
      <c r="A3" s="6" t="s">
        <v>62</v>
      </c>
      <c r="B3" s="1" t="s">
        <v>12</v>
      </c>
      <c r="C3" s="1" t="s">
        <v>10</v>
      </c>
      <c r="D3" s="4">
        <v>1</v>
      </c>
      <c r="E3" s="4">
        <v>3914</v>
      </c>
      <c r="F3" s="4">
        <v>-24.585741809999998</v>
      </c>
      <c r="G3" s="2" t="s">
        <v>98</v>
      </c>
      <c r="H3" s="5">
        <v>5190</v>
      </c>
      <c r="I3" s="1" t="s">
        <v>8</v>
      </c>
      <c r="J3" s="53" t="s">
        <v>41</v>
      </c>
      <c r="K3" s="17"/>
      <c r="L3" s="17"/>
      <c r="M3" s="17"/>
      <c r="N3" t="str">
        <f t="shared" si="0"/>
        <v>Unique</v>
      </c>
    </row>
    <row r="4" spans="1:15" customFormat="1" ht="27.65" hidden="1" customHeight="1" thickBot="1" x14ac:dyDescent="0.4">
      <c r="A4" s="6" t="s">
        <v>62</v>
      </c>
      <c r="B4" s="1" t="s">
        <v>115</v>
      </c>
      <c r="C4" s="1" t="s">
        <v>10</v>
      </c>
      <c r="D4" s="4">
        <v>2</v>
      </c>
      <c r="E4" s="4">
        <v>660</v>
      </c>
      <c r="F4" s="4">
        <v>-22.919708029999999</v>
      </c>
      <c r="G4" s="2" t="s">
        <v>116</v>
      </c>
      <c r="H4" s="5">
        <v>856.25</v>
      </c>
      <c r="I4" s="1" t="s">
        <v>8</v>
      </c>
      <c r="J4" s="52"/>
      <c r="K4" s="17"/>
      <c r="L4" s="17"/>
      <c r="M4" s="17"/>
      <c r="N4" t="str">
        <f t="shared" si="0"/>
        <v>Unique</v>
      </c>
    </row>
    <row r="5" spans="1:15" customFormat="1" ht="15" hidden="1" customHeight="1" thickBot="1" x14ac:dyDescent="0.4">
      <c r="A5" s="6" t="s">
        <v>62</v>
      </c>
      <c r="B5" s="1" t="s">
        <v>12</v>
      </c>
      <c r="C5" s="1" t="s">
        <v>10</v>
      </c>
      <c r="D5" s="4">
        <v>1</v>
      </c>
      <c r="E5" s="4">
        <v>4014</v>
      </c>
      <c r="F5" s="4">
        <v>-22.658959540000001</v>
      </c>
      <c r="G5" s="2" t="s">
        <v>98</v>
      </c>
      <c r="H5" s="5">
        <v>5190</v>
      </c>
      <c r="I5" s="1" t="s">
        <v>8</v>
      </c>
      <c r="J5" s="52"/>
      <c r="K5" s="17"/>
      <c r="L5" s="17"/>
      <c r="M5" s="17"/>
      <c r="N5" t="str">
        <f t="shared" si="0"/>
        <v>Unique</v>
      </c>
    </row>
    <row r="6" spans="1:15" customFormat="1" ht="27.65" hidden="1" customHeight="1" thickBot="1" x14ac:dyDescent="0.4">
      <c r="A6" s="6" t="s">
        <v>62</v>
      </c>
      <c r="B6" s="1" t="s">
        <v>92</v>
      </c>
      <c r="C6" s="1" t="s">
        <v>10</v>
      </c>
      <c r="D6" s="4">
        <v>2</v>
      </c>
      <c r="E6" s="4">
        <v>2560</v>
      </c>
      <c r="F6" s="4">
        <v>-22.070015219999998</v>
      </c>
      <c r="G6" s="2" t="s">
        <v>93</v>
      </c>
      <c r="H6" s="5">
        <v>3285</v>
      </c>
      <c r="I6" s="1" t="s">
        <v>8</v>
      </c>
      <c r="J6" s="52"/>
      <c r="K6" s="17"/>
      <c r="L6" s="17"/>
      <c r="M6" s="17"/>
      <c r="N6" t="str">
        <f t="shared" si="0"/>
        <v>Unique</v>
      </c>
    </row>
    <row r="7" spans="1:15" customFormat="1" ht="15" hidden="1" customHeight="1" thickBot="1" x14ac:dyDescent="0.4">
      <c r="A7" s="6" t="s">
        <v>62</v>
      </c>
      <c r="B7" s="1" t="s">
        <v>12</v>
      </c>
      <c r="C7" s="1" t="s">
        <v>10</v>
      </c>
      <c r="D7" s="4">
        <v>1</v>
      </c>
      <c r="E7" s="4">
        <v>4164</v>
      </c>
      <c r="F7" s="4">
        <v>-19.768786129999999</v>
      </c>
      <c r="G7" s="2" t="s">
        <v>98</v>
      </c>
      <c r="H7" s="5">
        <v>5190</v>
      </c>
      <c r="I7" s="1" t="s">
        <v>8</v>
      </c>
      <c r="J7" s="52"/>
      <c r="K7" s="17"/>
      <c r="L7" s="17"/>
      <c r="M7" s="17"/>
      <c r="N7" t="str">
        <f t="shared" si="0"/>
        <v>Unique</v>
      </c>
    </row>
    <row r="8" spans="1:15" customFormat="1" ht="40.75" hidden="1" customHeight="1" thickBot="1" x14ac:dyDescent="0.4">
      <c r="A8" s="6" t="s">
        <v>62</v>
      </c>
      <c r="B8" s="1" t="s">
        <v>92</v>
      </c>
      <c r="C8" s="1" t="s">
        <v>10</v>
      </c>
      <c r="D8" s="4">
        <v>2</v>
      </c>
      <c r="E8" s="4">
        <v>2660</v>
      </c>
      <c r="F8" s="4">
        <v>-19.025875190000001</v>
      </c>
      <c r="G8" s="2" t="s">
        <v>93</v>
      </c>
      <c r="H8" s="5">
        <v>3285</v>
      </c>
      <c r="I8" s="1" t="s">
        <v>8</v>
      </c>
      <c r="J8" s="52"/>
      <c r="K8" s="17"/>
      <c r="L8" s="17"/>
      <c r="M8" s="17"/>
      <c r="N8" t="str">
        <f t="shared" si="0"/>
        <v>Unique</v>
      </c>
    </row>
    <row r="9" spans="1:15" customFormat="1" ht="27.65" hidden="1" customHeight="1" thickBot="1" x14ac:dyDescent="0.4">
      <c r="A9" s="6" t="s">
        <v>62</v>
      </c>
      <c r="B9" s="1" t="s">
        <v>92</v>
      </c>
      <c r="C9" s="1" t="s">
        <v>10</v>
      </c>
      <c r="D9" s="4">
        <v>1</v>
      </c>
      <c r="E9" s="4">
        <v>2752</v>
      </c>
      <c r="F9" s="4">
        <v>-16.225266359999999</v>
      </c>
      <c r="G9" s="2" t="s">
        <v>93</v>
      </c>
      <c r="H9" s="5">
        <v>3285</v>
      </c>
      <c r="I9" s="1" t="s">
        <v>8</v>
      </c>
      <c r="J9" s="52"/>
      <c r="K9" s="17"/>
      <c r="L9" s="17"/>
      <c r="M9" s="17"/>
      <c r="N9" t="str">
        <f t="shared" si="0"/>
        <v>Unique</v>
      </c>
    </row>
    <row r="10" spans="1:15" customFormat="1" ht="27.65" hidden="1" customHeight="1" thickBot="1" x14ac:dyDescent="0.4">
      <c r="A10" s="6" t="s">
        <v>62</v>
      </c>
      <c r="B10" s="1" t="s">
        <v>12</v>
      </c>
      <c r="C10" s="1" t="s">
        <v>10</v>
      </c>
      <c r="D10" s="4">
        <v>1</v>
      </c>
      <c r="E10" s="4">
        <v>4364</v>
      </c>
      <c r="F10" s="4">
        <v>-15.915221580000001</v>
      </c>
      <c r="G10" s="2" t="s">
        <v>98</v>
      </c>
      <c r="H10" s="5">
        <v>5190</v>
      </c>
      <c r="I10" s="1" t="s">
        <v>8</v>
      </c>
      <c r="J10" s="53" t="s">
        <v>41</v>
      </c>
      <c r="K10" s="17"/>
      <c r="L10" s="17"/>
      <c r="M10" s="17"/>
      <c r="N10" t="str">
        <f t="shared" si="0"/>
        <v>Unique</v>
      </c>
    </row>
    <row r="11" spans="1:15" customFormat="1" ht="40.75" hidden="1" customHeight="1" thickBot="1" x14ac:dyDescent="0.4">
      <c r="A11" s="6" t="s">
        <v>62</v>
      </c>
      <c r="B11" s="1" t="s">
        <v>34</v>
      </c>
      <c r="C11" s="1" t="s">
        <v>10</v>
      </c>
      <c r="D11" s="4">
        <v>1</v>
      </c>
      <c r="E11" s="4">
        <v>18052</v>
      </c>
      <c r="F11" s="4">
        <v>-15.427500589999999</v>
      </c>
      <c r="G11" s="2" t="s">
        <v>71</v>
      </c>
      <c r="H11" s="5">
        <v>21345</v>
      </c>
      <c r="I11" s="1" t="s">
        <v>8</v>
      </c>
      <c r="J11" s="52"/>
      <c r="K11" s="17"/>
      <c r="L11" s="17"/>
      <c r="M11" s="17"/>
      <c r="N11" t="str">
        <f t="shared" si="0"/>
        <v>Unique</v>
      </c>
    </row>
    <row r="12" spans="1:15" customFormat="1" ht="27.65" hidden="1" customHeight="1" thickBot="1" x14ac:dyDescent="0.4">
      <c r="A12" s="6" t="s">
        <v>62</v>
      </c>
      <c r="B12" s="1" t="s">
        <v>12</v>
      </c>
      <c r="C12" s="1" t="s">
        <v>10</v>
      </c>
      <c r="D12" s="4">
        <v>2</v>
      </c>
      <c r="E12" s="4">
        <v>4410</v>
      </c>
      <c r="F12" s="4">
        <v>-15.028901729999999</v>
      </c>
      <c r="G12" s="2" t="s">
        <v>98</v>
      </c>
      <c r="H12" s="5">
        <v>5190</v>
      </c>
      <c r="I12" s="1" t="s">
        <v>8</v>
      </c>
      <c r="J12" s="52"/>
      <c r="K12" s="17"/>
      <c r="L12" s="17"/>
      <c r="M12" s="17"/>
      <c r="N12" t="str">
        <f t="shared" si="0"/>
        <v>Unique</v>
      </c>
    </row>
    <row r="13" spans="1:15" customFormat="1" ht="27.65" hidden="1" customHeight="1" thickBot="1" x14ac:dyDescent="0.4">
      <c r="A13" s="6" t="s">
        <v>62</v>
      </c>
      <c r="B13" s="1" t="s">
        <v>34</v>
      </c>
      <c r="C13" s="1" t="s">
        <v>10</v>
      </c>
      <c r="D13" s="4">
        <v>1</v>
      </c>
      <c r="E13" s="4">
        <v>18552</v>
      </c>
      <c r="F13" s="4">
        <v>-13.085031620000001</v>
      </c>
      <c r="G13" s="2" t="s">
        <v>71</v>
      </c>
      <c r="H13" s="5">
        <v>21345</v>
      </c>
      <c r="I13" s="1" t="s">
        <v>8</v>
      </c>
      <c r="J13" s="52"/>
      <c r="K13" s="17"/>
      <c r="L13" s="17"/>
      <c r="M13" s="17"/>
      <c r="N13" t="str">
        <f t="shared" si="0"/>
        <v>Unique</v>
      </c>
    </row>
    <row r="14" spans="1:15" customFormat="1" ht="27.65" hidden="1" customHeight="1" thickBot="1" x14ac:dyDescent="0.4">
      <c r="A14" s="6" t="s">
        <v>62</v>
      </c>
      <c r="B14" s="1" t="s">
        <v>20</v>
      </c>
      <c r="C14" s="1" t="s">
        <v>10</v>
      </c>
      <c r="D14" s="4">
        <v>100</v>
      </c>
      <c r="E14" s="4">
        <v>111</v>
      </c>
      <c r="F14" s="4">
        <v>-12.66031946</v>
      </c>
      <c r="G14" s="2" t="s">
        <v>86</v>
      </c>
      <c r="H14" s="5">
        <v>127.09</v>
      </c>
      <c r="I14" s="1" t="s">
        <v>8</v>
      </c>
      <c r="J14" s="52"/>
      <c r="K14" s="17"/>
      <c r="L14" s="17"/>
      <c r="M14" s="17"/>
      <c r="N14" t="str">
        <f t="shared" si="0"/>
        <v>Unique</v>
      </c>
    </row>
    <row r="15" spans="1:15" customFormat="1" ht="15" hidden="1" customHeight="1" thickBot="1" x14ac:dyDescent="0.4">
      <c r="A15" s="3">
        <v>46252.635416666664</v>
      </c>
      <c r="B15" s="1" t="s">
        <v>92</v>
      </c>
      <c r="C15" s="1" t="s">
        <v>10</v>
      </c>
      <c r="D15" s="4">
        <v>2</v>
      </c>
      <c r="E15" s="4">
        <v>2892</v>
      </c>
      <c r="F15" s="4">
        <v>-11.963470320000001</v>
      </c>
      <c r="G15" s="2" t="s">
        <v>93</v>
      </c>
      <c r="H15" s="5">
        <v>3285</v>
      </c>
      <c r="I15" s="1" t="s">
        <v>8</v>
      </c>
      <c r="J15" s="52"/>
      <c r="K15" s="17"/>
      <c r="L15" s="17"/>
      <c r="M15" s="17"/>
      <c r="N15" t="str">
        <f t="shared" si="0"/>
        <v>Unique</v>
      </c>
    </row>
    <row r="16" spans="1:15" customFormat="1" ht="27.65" hidden="1" customHeight="1" thickBot="1" x14ac:dyDescent="0.4">
      <c r="A16" s="6" t="s">
        <v>62</v>
      </c>
      <c r="B16" s="1" t="s">
        <v>11</v>
      </c>
      <c r="C16" s="1" t="s">
        <v>10</v>
      </c>
      <c r="D16" s="4">
        <v>10</v>
      </c>
      <c r="E16" s="4">
        <v>251</v>
      </c>
      <c r="F16" s="4">
        <v>-11.61971831</v>
      </c>
      <c r="G16" s="2" t="s">
        <v>99</v>
      </c>
      <c r="H16" s="5">
        <v>284</v>
      </c>
      <c r="I16" s="1" t="s">
        <v>8</v>
      </c>
      <c r="J16" s="52"/>
      <c r="K16" s="17"/>
      <c r="L16" s="17"/>
      <c r="M16" s="17"/>
      <c r="N16" t="str">
        <f t="shared" si="0"/>
        <v>Unique</v>
      </c>
    </row>
    <row r="17" spans="1:14" customFormat="1" ht="27.65" hidden="1" customHeight="1" thickBot="1" x14ac:dyDescent="0.4">
      <c r="A17" s="3">
        <v>46121.375</v>
      </c>
      <c r="B17" s="1" t="s">
        <v>13</v>
      </c>
      <c r="C17" s="1" t="s">
        <v>10</v>
      </c>
      <c r="D17" s="4">
        <v>3</v>
      </c>
      <c r="E17" s="4">
        <v>1614</v>
      </c>
      <c r="F17" s="4">
        <v>-11.05477791</v>
      </c>
      <c r="G17" s="2" t="s">
        <v>91</v>
      </c>
      <c r="H17" s="5">
        <v>1814.6</v>
      </c>
      <c r="I17" s="1" t="s">
        <v>8</v>
      </c>
      <c r="J17" s="24" t="s">
        <v>41</v>
      </c>
      <c r="K17" s="18" t="s">
        <v>270</v>
      </c>
      <c r="L17" s="18">
        <f>3*1794</f>
        <v>5382</v>
      </c>
      <c r="M17" s="18">
        <f>ABS((D17*E17)-L17)</f>
        <v>540</v>
      </c>
      <c r="N17" s="10" t="str">
        <f t="shared" si="0"/>
        <v>Unique</v>
      </c>
    </row>
    <row r="18" spans="1:14" customFormat="1" ht="15" hidden="1" customHeight="1" thickBot="1" x14ac:dyDescent="0.4">
      <c r="A18" s="6" t="s">
        <v>62</v>
      </c>
      <c r="B18" s="1" t="s">
        <v>113</v>
      </c>
      <c r="C18" s="1" t="s">
        <v>10</v>
      </c>
      <c r="D18" s="4">
        <v>4</v>
      </c>
      <c r="E18" s="4">
        <v>701</v>
      </c>
      <c r="F18" s="4">
        <v>-10.93888959</v>
      </c>
      <c r="G18" s="2" t="s">
        <v>114</v>
      </c>
      <c r="H18" s="5">
        <v>787.1</v>
      </c>
      <c r="I18" s="1" t="s">
        <v>8</v>
      </c>
      <c r="J18" s="52" t="s">
        <v>41</v>
      </c>
      <c r="K18" s="17"/>
      <c r="L18" s="17"/>
      <c r="M18" s="17"/>
      <c r="N18" t="str">
        <f t="shared" si="0"/>
        <v>Unique</v>
      </c>
    </row>
    <row r="19" spans="1:14" customFormat="1" ht="40.75" hidden="1" customHeight="1" thickBot="1" x14ac:dyDescent="0.4">
      <c r="A19" s="6" t="s">
        <v>62</v>
      </c>
      <c r="B19" s="1" t="s">
        <v>34</v>
      </c>
      <c r="C19" s="1" t="s">
        <v>10</v>
      </c>
      <c r="D19" s="4">
        <v>1</v>
      </c>
      <c r="E19" s="4">
        <v>19052</v>
      </c>
      <c r="F19" s="4">
        <v>-10.742562660000001</v>
      </c>
      <c r="G19" s="2" t="s">
        <v>71</v>
      </c>
      <c r="H19" s="5">
        <v>21345</v>
      </c>
      <c r="I19" s="1" t="s">
        <v>8</v>
      </c>
      <c r="J19" s="52"/>
      <c r="K19" s="17"/>
      <c r="L19" s="17"/>
      <c r="M19" s="17"/>
      <c r="N19" t="str">
        <f t="shared" si="0"/>
        <v>Unique</v>
      </c>
    </row>
    <row r="20" spans="1:14" customFormat="1" ht="27.65" hidden="1" customHeight="1" thickBot="1" x14ac:dyDescent="0.4">
      <c r="A20" s="6" t="s">
        <v>62</v>
      </c>
      <c r="B20" s="1" t="s">
        <v>18</v>
      </c>
      <c r="C20" s="1" t="s">
        <v>10</v>
      </c>
      <c r="D20" s="4">
        <v>5</v>
      </c>
      <c r="E20" s="4">
        <v>1614</v>
      </c>
      <c r="F20" s="4">
        <v>-10.28349083</v>
      </c>
      <c r="G20" s="2" t="s">
        <v>102</v>
      </c>
      <c r="H20" s="5">
        <v>1799</v>
      </c>
      <c r="I20" s="1" t="s">
        <v>8</v>
      </c>
      <c r="J20" s="22" t="s">
        <v>41</v>
      </c>
      <c r="K20" s="17"/>
      <c r="L20" s="17"/>
      <c r="M20" s="17"/>
      <c r="N20" t="str">
        <f t="shared" si="0"/>
        <v>Unique</v>
      </c>
    </row>
    <row r="21" spans="1:14" customFormat="1" ht="27.65" hidden="1" customHeight="1" thickBot="1" x14ac:dyDescent="0.4">
      <c r="A21" s="6" t="s">
        <v>62</v>
      </c>
      <c r="B21" s="1" t="s">
        <v>111</v>
      </c>
      <c r="C21" s="1" t="s">
        <v>10</v>
      </c>
      <c r="D21" s="4">
        <v>7</v>
      </c>
      <c r="E21" s="4">
        <v>411</v>
      </c>
      <c r="F21" s="4">
        <v>-10.163934429999999</v>
      </c>
      <c r="G21" s="2" t="s">
        <v>112</v>
      </c>
      <c r="H21" s="5">
        <v>457.5</v>
      </c>
      <c r="I21" s="1" t="s">
        <v>8</v>
      </c>
      <c r="J21" s="52"/>
      <c r="K21" s="17"/>
      <c r="L21" s="17"/>
      <c r="M21" s="17"/>
      <c r="N21" t="str">
        <f t="shared" si="0"/>
        <v>Unique</v>
      </c>
    </row>
    <row r="22" spans="1:14" customFormat="1" ht="27.65" hidden="1" customHeight="1" thickBot="1" x14ac:dyDescent="0.4">
      <c r="A22" s="6" t="s">
        <v>62</v>
      </c>
      <c r="B22" s="1" t="s">
        <v>109</v>
      </c>
      <c r="C22" s="1" t="s">
        <v>10</v>
      </c>
      <c r="D22" s="4">
        <v>15</v>
      </c>
      <c r="E22" s="4">
        <v>4415</v>
      </c>
      <c r="F22" s="4">
        <v>-9.60463545</v>
      </c>
      <c r="G22" s="2" t="s">
        <v>110</v>
      </c>
      <c r="H22" s="5">
        <v>4884.1000000000004</v>
      </c>
      <c r="I22" s="1" t="s">
        <v>8</v>
      </c>
      <c r="J22" s="52"/>
      <c r="K22" s="17"/>
      <c r="L22" s="17"/>
      <c r="M22" s="17"/>
      <c r="N22" t="str">
        <f t="shared" si="0"/>
        <v>Unique</v>
      </c>
    </row>
    <row r="23" spans="1:14" s="34" customFormat="1" ht="27.65" hidden="1" customHeight="1" thickBot="1" x14ac:dyDescent="0.4">
      <c r="A23" s="6" t="s">
        <v>62</v>
      </c>
      <c r="B23" s="1" t="s">
        <v>25</v>
      </c>
      <c r="C23" s="1" t="s">
        <v>10</v>
      </c>
      <c r="D23" s="4">
        <v>200</v>
      </c>
      <c r="E23" s="4">
        <v>31.01</v>
      </c>
      <c r="F23" s="4">
        <v>-9.4598540149999994</v>
      </c>
      <c r="G23" s="2" t="s">
        <v>46</v>
      </c>
      <c r="H23" s="5">
        <v>34.25</v>
      </c>
      <c r="I23" s="1" t="s">
        <v>8</v>
      </c>
      <c r="J23" s="52"/>
      <c r="K23" s="17"/>
      <c r="L23" s="17"/>
      <c r="M23" s="17"/>
      <c r="N23" t="str">
        <f t="shared" si="0"/>
        <v>Unique</v>
      </c>
    </row>
    <row r="24" spans="1:14" customFormat="1" ht="15" hidden="1" customHeight="1" thickBot="1" x14ac:dyDescent="0.4">
      <c r="A24" s="6" t="s">
        <v>62</v>
      </c>
      <c r="B24" s="1" t="s">
        <v>20</v>
      </c>
      <c r="C24" s="1" t="s">
        <v>10</v>
      </c>
      <c r="D24" s="4">
        <v>200</v>
      </c>
      <c r="E24" s="4">
        <v>115.25</v>
      </c>
      <c r="F24" s="4">
        <v>-9.3162325910000003</v>
      </c>
      <c r="G24" s="2" t="s">
        <v>86</v>
      </c>
      <c r="H24" s="5">
        <v>127.09</v>
      </c>
      <c r="I24" s="1" t="s">
        <v>8</v>
      </c>
      <c r="J24" s="52"/>
      <c r="K24" s="17"/>
      <c r="L24" s="17"/>
      <c r="M24" s="17"/>
      <c r="N24" t="str">
        <f t="shared" si="0"/>
        <v>Unique</v>
      </c>
    </row>
    <row r="25" spans="1:14" customFormat="1" ht="40.75" hidden="1" customHeight="1" thickBot="1" x14ac:dyDescent="0.4">
      <c r="A25" s="6" t="s">
        <v>62</v>
      </c>
      <c r="B25" s="1" t="s">
        <v>12</v>
      </c>
      <c r="C25" s="1" t="s">
        <v>10</v>
      </c>
      <c r="D25" s="4">
        <v>3</v>
      </c>
      <c r="E25" s="4">
        <v>4710</v>
      </c>
      <c r="F25" s="4">
        <v>-9.2485549129999995</v>
      </c>
      <c r="G25" s="2" t="s">
        <v>98</v>
      </c>
      <c r="H25" s="5">
        <v>5190</v>
      </c>
      <c r="I25" s="1" t="s">
        <v>8</v>
      </c>
      <c r="J25" s="52"/>
      <c r="K25" s="17"/>
      <c r="L25" s="17"/>
      <c r="M25" s="17"/>
      <c r="N25" t="str">
        <f t="shared" si="0"/>
        <v>Unique</v>
      </c>
    </row>
    <row r="26" spans="1:14" customFormat="1" ht="15" hidden="1" customHeight="1" thickBot="1" x14ac:dyDescent="0.4">
      <c r="A26" s="3">
        <v>46252.6875</v>
      </c>
      <c r="B26" s="1" t="s">
        <v>17</v>
      </c>
      <c r="C26" s="1" t="s">
        <v>10</v>
      </c>
      <c r="D26" s="4">
        <v>25</v>
      </c>
      <c r="E26" s="4">
        <v>326</v>
      </c>
      <c r="F26" s="4">
        <v>-9.128919861</v>
      </c>
      <c r="G26" s="2" t="s">
        <v>77</v>
      </c>
      <c r="H26" s="5">
        <v>358.75</v>
      </c>
      <c r="I26" s="1" t="s">
        <v>8</v>
      </c>
      <c r="J26" s="52" t="s">
        <v>41</v>
      </c>
      <c r="K26" s="17"/>
      <c r="L26" s="17"/>
      <c r="M26" s="17"/>
      <c r="N26" t="str">
        <f t="shared" si="0"/>
        <v>Unique</v>
      </c>
    </row>
    <row r="27" spans="1:14" customFormat="1" ht="27.65" hidden="1" customHeight="1" thickBot="1" x14ac:dyDescent="0.4">
      <c r="A27" s="6" t="s">
        <v>62</v>
      </c>
      <c r="B27" s="1" t="s">
        <v>109</v>
      </c>
      <c r="C27" s="1" t="s">
        <v>10</v>
      </c>
      <c r="D27" s="4">
        <v>2</v>
      </c>
      <c r="E27" s="4">
        <v>4456</v>
      </c>
      <c r="F27" s="4">
        <v>-8.7651767980000006</v>
      </c>
      <c r="G27" s="2" t="s">
        <v>110</v>
      </c>
      <c r="H27" s="5">
        <v>4884.1000000000004</v>
      </c>
      <c r="I27" s="1" t="s">
        <v>8</v>
      </c>
      <c r="J27" s="52"/>
      <c r="K27" s="17"/>
      <c r="L27" s="17"/>
      <c r="M27" s="17"/>
      <c r="N27" t="str">
        <f t="shared" si="0"/>
        <v>Unique</v>
      </c>
    </row>
    <row r="28" spans="1:14" customFormat="1" ht="27.65" hidden="1" customHeight="1" thickBot="1" x14ac:dyDescent="0.4">
      <c r="A28" s="6" t="s">
        <v>62</v>
      </c>
      <c r="B28" s="1" t="s">
        <v>20</v>
      </c>
      <c r="C28" s="1" t="s">
        <v>10</v>
      </c>
      <c r="D28" s="4">
        <v>50</v>
      </c>
      <c r="E28" s="4">
        <v>116</v>
      </c>
      <c r="F28" s="4">
        <v>-8.7260996140000007</v>
      </c>
      <c r="G28" s="2" t="s">
        <v>86</v>
      </c>
      <c r="H28" s="5">
        <v>127.09</v>
      </c>
      <c r="I28" s="1" t="s">
        <v>8</v>
      </c>
      <c r="J28" s="52"/>
      <c r="K28" s="17"/>
      <c r="L28" s="17"/>
      <c r="M28" s="17"/>
      <c r="N28" t="str">
        <f t="shared" si="0"/>
        <v>Unique</v>
      </c>
    </row>
    <row r="29" spans="1:14" customFormat="1" ht="27.65" hidden="1" customHeight="1" thickBot="1" x14ac:dyDescent="0.4">
      <c r="A29" s="29">
        <v>46255</v>
      </c>
      <c r="B29" s="30" t="s">
        <v>34</v>
      </c>
      <c r="C29" s="30" t="s">
        <v>10</v>
      </c>
      <c r="D29" s="31">
        <v>1</v>
      </c>
      <c r="E29" s="31">
        <v>19550</v>
      </c>
      <c r="F29" s="4">
        <v>-8.4094635750000002</v>
      </c>
      <c r="G29" s="2" t="s">
        <v>71</v>
      </c>
      <c r="H29" s="5">
        <v>21345</v>
      </c>
      <c r="I29" s="1" t="s">
        <v>8</v>
      </c>
      <c r="J29" s="55" t="s">
        <v>41</v>
      </c>
      <c r="K29" s="27" t="s">
        <v>149</v>
      </c>
      <c r="L29" s="27">
        <v>19992</v>
      </c>
      <c r="M29" s="27">
        <f>ABS((D29*E29)-L29)</f>
        <v>442</v>
      </c>
      <c r="N29" s="28" t="str">
        <f t="shared" si="0"/>
        <v>Unique</v>
      </c>
    </row>
    <row r="30" spans="1:14" customFormat="1" ht="27.65" hidden="1" customHeight="1" thickBot="1" x14ac:dyDescent="0.4">
      <c r="A30" s="6" t="s">
        <v>62</v>
      </c>
      <c r="B30" s="1" t="s">
        <v>78</v>
      </c>
      <c r="C30" s="1" t="s">
        <v>10</v>
      </c>
      <c r="D30" s="4">
        <v>69</v>
      </c>
      <c r="E30" s="4">
        <v>1277</v>
      </c>
      <c r="F30" s="4">
        <v>-8.3931133429999996</v>
      </c>
      <c r="G30" s="2" t="s">
        <v>79</v>
      </c>
      <c r="H30" s="5">
        <v>1394</v>
      </c>
      <c r="I30" s="1" t="s">
        <v>8</v>
      </c>
      <c r="J30" s="52"/>
      <c r="K30" s="17"/>
      <c r="L30" s="17"/>
      <c r="M30" s="17"/>
      <c r="N30" t="str">
        <f t="shared" si="0"/>
        <v>Unique</v>
      </c>
    </row>
    <row r="31" spans="1:14" customFormat="1" ht="27.65" hidden="1" customHeight="1" thickBot="1" x14ac:dyDescent="0.4">
      <c r="A31" s="3">
        <v>46121.375</v>
      </c>
      <c r="B31" s="1" t="s">
        <v>13</v>
      </c>
      <c r="C31" s="1" t="s">
        <v>10</v>
      </c>
      <c r="D31" s="4">
        <v>5</v>
      </c>
      <c r="E31" s="4">
        <v>1664</v>
      </c>
      <c r="F31" s="4">
        <v>-8.2993497190000003</v>
      </c>
      <c r="G31" s="2" t="s">
        <v>91</v>
      </c>
      <c r="H31" s="5">
        <v>1814.6</v>
      </c>
      <c r="I31" s="1" t="s">
        <v>8</v>
      </c>
      <c r="J31" s="24" t="s">
        <v>41</v>
      </c>
      <c r="K31" s="18" t="s">
        <v>271</v>
      </c>
      <c r="L31" s="18">
        <f>5*1794</f>
        <v>8970</v>
      </c>
      <c r="M31" s="18">
        <f>ABS((D31*E31)-L31)</f>
        <v>650</v>
      </c>
      <c r="N31" s="10" t="str">
        <f t="shared" si="0"/>
        <v>Unique</v>
      </c>
    </row>
    <row r="32" spans="1:14" customFormat="1" ht="15" hidden="1" customHeight="1" thickBot="1" x14ac:dyDescent="0.4">
      <c r="A32" s="3">
        <v>46254.375</v>
      </c>
      <c r="B32" s="1" t="s">
        <v>33</v>
      </c>
      <c r="C32" s="1" t="s">
        <v>10</v>
      </c>
      <c r="D32" s="4">
        <v>7</v>
      </c>
      <c r="E32" s="4">
        <v>2230</v>
      </c>
      <c r="F32" s="4">
        <v>-8.162424841</v>
      </c>
      <c r="G32" s="2" t="s">
        <v>84</v>
      </c>
      <c r="H32" s="5">
        <v>2428.1999999999998</v>
      </c>
      <c r="I32" s="1" t="s">
        <v>8</v>
      </c>
      <c r="J32" s="23" t="s">
        <v>55</v>
      </c>
      <c r="K32" s="17" t="s">
        <v>148</v>
      </c>
      <c r="L32" s="17"/>
      <c r="M32" s="17"/>
      <c r="N32" s="10" t="str">
        <f t="shared" si="0"/>
        <v>Unique</v>
      </c>
    </row>
    <row r="33" spans="1:14" customFormat="1" ht="27.65" hidden="1" customHeight="1" thickBot="1" x14ac:dyDescent="0.4">
      <c r="A33" s="6" t="s">
        <v>62</v>
      </c>
      <c r="B33" s="1" t="s">
        <v>89</v>
      </c>
      <c r="C33" s="1" t="s">
        <v>10</v>
      </c>
      <c r="D33" s="4">
        <v>1</v>
      </c>
      <c r="E33" s="4">
        <v>13052</v>
      </c>
      <c r="F33" s="4">
        <v>-7.8248587570000003</v>
      </c>
      <c r="G33" s="2" t="s">
        <v>90</v>
      </c>
      <c r="H33" s="5">
        <v>14160</v>
      </c>
      <c r="I33" s="1" t="s">
        <v>8</v>
      </c>
      <c r="J33" s="52"/>
      <c r="K33" s="17"/>
      <c r="L33" s="17"/>
      <c r="M33" s="17"/>
      <c r="N33" t="str">
        <f t="shared" si="0"/>
        <v>Unique</v>
      </c>
    </row>
    <row r="34" spans="1:14" customFormat="1" ht="27.65" hidden="1" customHeight="1" thickBot="1" x14ac:dyDescent="0.4">
      <c r="A34" s="6" t="s">
        <v>62</v>
      </c>
      <c r="B34" s="1" t="s">
        <v>23</v>
      </c>
      <c r="C34" s="1" t="s">
        <v>10</v>
      </c>
      <c r="D34" s="4">
        <v>50</v>
      </c>
      <c r="E34" s="4">
        <v>196</v>
      </c>
      <c r="F34" s="4">
        <v>-7.7212806030000003</v>
      </c>
      <c r="G34" s="2" t="s">
        <v>70</v>
      </c>
      <c r="H34" s="5">
        <v>212.4</v>
      </c>
      <c r="I34" s="1" t="s">
        <v>8</v>
      </c>
      <c r="J34" s="52" t="s">
        <v>41</v>
      </c>
      <c r="K34" s="17"/>
      <c r="L34" s="17"/>
      <c r="M34" s="17"/>
      <c r="N34" t="str">
        <f t="shared" ref="N34:N65" si="1">IF(COUNTIFS( $B$2:$B$797, B34, $C$2:$C$797, C34, $D$2:$D$797, D34, $E$2:$E$797, E34) &gt; 1, "Duplicate", "Unique")</f>
        <v>Unique</v>
      </c>
    </row>
    <row r="35" spans="1:14" customFormat="1" ht="27.65" hidden="1" customHeight="1" thickBot="1" x14ac:dyDescent="0.4">
      <c r="A35" s="3">
        <v>46252.688194444447</v>
      </c>
      <c r="B35" s="1" t="s">
        <v>21</v>
      </c>
      <c r="C35" s="1" t="s">
        <v>10</v>
      </c>
      <c r="D35" s="4">
        <v>5</v>
      </c>
      <c r="E35" s="4">
        <v>640</v>
      </c>
      <c r="F35" s="4">
        <v>-7.6479076480000003</v>
      </c>
      <c r="G35" s="2" t="s">
        <v>76</v>
      </c>
      <c r="H35" s="5">
        <v>693</v>
      </c>
      <c r="I35" s="1" t="s">
        <v>8</v>
      </c>
      <c r="J35" s="52"/>
      <c r="K35" s="17"/>
      <c r="L35" s="17"/>
      <c r="M35" s="17"/>
      <c r="N35" t="str">
        <f t="shared" si="1"/>
        <v>Unique</v>
      </c>
    </row>
    <row r="36" spans="1:14" customFormat="1" ht="27.65" hidden="1" customHeight="1" thickBot="1" x14ac:dyDescent="0.4">
      <c r="A36" s="6" t="s">
        <v>62</v>
      </c>
      <c r="B36" s="1" t="s">
        <v>105</v>
      </c>
      <c r="C36" s="1" t="s">
        <v>10</v>
      </c>
      <c r="D36" s="4">
        <v>4</v>
      </c>
      <c r="E36" s="4">
        <v>1751</v>
      </c>
      <c r="F36" s="4">
        <v>-7.5989445910000004</v>
      </c>
      <c r="G36" s="2" t="s">
        <v>106</v>
      </c>
      <c r="H36" s="5">
        <v>1895</v>
      </c>
      <c r="I36" s="1" t="s">
        <v>8</v>
      </c>
      <c r="J36" s="52"/>
      <c r="K36" s="17"/>
      <c r="L36" s="17"/>
      <c r="M36" s="17"/>
      <c r="N36" t="str">
        <f t="shared" si="1"/>
        <v>Unique</v>
      </c>
    </row>
    <row r="37" spans="1:14" customFormat="1" ht="15" hidden="1" customHeight="1" thickBot="1" x14ac:dyDescent="0.4">
      <c r="A37" s="6" t="s">
        <v>62</v>
      </c>
      <c r="B37" s="1" t="s">
        <v>19</v>
      </c>
      <c r="C37" s="1" t="s">
        <v>10</v>
      </c>
      <c r="D37" s="4">
        <v>50</v>
      </c>
      <c r="E37" s="4">
        <v>206</v>
      </c>
      <c r="F37" s="4">
        <v>-7.5196408530000003</v>
      </c>
      <c r="G37" s="2" t="s">
        <v>40</v>
      </c>
      <c r="H37" s="5">
        <v>222.75</v>
      </c>
      <c r="I37" s="1" t="s">
        <v>8</v>
      </c>
      <c r="J37" s="52" t="s">
        <v>41</v>
      </c>
      <c r="K37" s="17"/>
      <c r="L37" s="17"/>
      <c r="M37" s="17"/>
      <c r="N37" t="str">
        <f t="shared" si="1"/>
        <v>Unique</v>
      </c>
    </row>
    <row r="38" spans="1:14" customFormat="1" ht="27.65" hidden="1" customHeight="1" thickBot="1" x14ac:dyDescent="0.4">
      <c r="A38" s="3">
        <v>46252.6875</v>
      </c>
      <c r="B38" s="1" t="s">
        <v>18</v>
      </c>
      <c r="C38" s="1" t="s">
        <v>10</v>
      </c>
      <c r="D38" s="4">
        <v>10</v>
      </c>
      <c r="E38" s="4">
        <v>1666</v>
      </c>
      <c r="F38" s="4">
        <v>-7.3929961090000003</v>
      </c>
      <c r="G38" s="2" t="s">
        <v>102</v>
      </c>
      <c r="H38" s="5">
        <v>1799</v>
      </c>
      <c r="I38" s="1" t="s">
        <v>8</v>
      </c>
      <c r="J38" s="52" t="s">
        <v>55</v>
      </c>
      <c r="K38" s="17"/>
      <c r="L38" s="17"/>
      <c r="M38" s="17"/>
      <c r="N38" t="str">
        <f t="shared" si="1"/>
        <v>Unique</v>
      </c>
    </row>
    <row r="39" spans="1:14" customFormat="1" ht="15" hidden="1" customHeight="1" thickBot="1" x14ac:dyDescent="0.4">
      <c r="A39" s="6" t="s">
        <v>62</v>
      </c>
      <c r="B39" s="1" t="s">
        <v>66</v>
      </c>
      <c r="C39" s="1" t="s">
        <v>10</v>
      </c>
      <c r="D39" s="4">
        <v>10</v>
      </c>
      <c r="E39" s="4">
        <v>1132</v>
      </c>
      <c r="F39" s="4">
        <v>-7.1369975390000002</v>
      </c>
      <c r="G39" s="2" t="s">
        <v>67</v>
      </c>
      <c r="H39" s="5">
        <v>1219</v>
      </c>
      <c r="I39" s="1" t="s">
        <v>8</v>
      </c>
      <c r="J39" s="52"/>
      <c r="K39" s="17"/>
      <c r="L39" s="17"/>
      <c r="M39" s="17"/>
      <c r="N39" t="str">
        <f t="shared" si="1"/>
        <v>Unique</v>
      </c>
    </row>
    <row r="40" spans="1:14" customFormat="1" ht="27.65" hidden="1" customHeight="1" thickBot="1" x14ac:dyDescent="0.4">
      <c r="A40" s="6" t="s">
        <v>62</v>
      </c>
      <c r="B40" s="1" t="s">
        <v>51</v>
      </c>
      <c r="C40" s="1" t="s">
        <v>10</v>
      </c>
      <c r="D40" s="4">
        <v>40</v>
      </c>
      <c r="E40" s="4">
        <v>862</v>
      </c>
      <c r="F40" s="4">
        <v>-6.8108108109999996</v>
      </c>
      <c r="G40" s="2" t="s">
        <v>52</v>
      </c>
      <c r="H40" s="5">
        <v>925</v>
      </c>
      <c r="I40" s="1" t="s">
        <v>8</v>
      </c>
      <c r="J40" s="52" t="s">
        <v>41</v>
      </c>
      <c r="K40" s="17"/>
      <c r="L40" s="17"/>
      <c r="M40" s="17"/>
      <c r="N40" t="str">
        <f t="shared" si="1"/>
        <v>Unique</v>
      </c>
    </row>
    <row r="41" spans="1:14" customFormat="1" ht="27.65" hidden="1" customHeight="1" thickBot="1" x14ac:dyDescent="0.4">
      <c r="A41" s="6" t="s">
        <v>62</v>
      </c>
      <c r="B41" s="1" t="s">
        <v>31</v>
      </c>
      <c r="C41" s="1" t="s">
        <v>10</v>
      </c>
      <c r="D41" s="4">
        <v>10</v>
      </c>
      <c r="E41" s="4">
        <v>561</v>
      </c>
      <c r="F41" s="4">
        <v>-6.8106312290000002</v>
      </c>
      <c r="G41" s="2" t="s">
        <v>94</v>
      </c>
      <c r="H41" s="5">
        <v>602</v>
      </c>
      <c r="I41" s="1" t="s">
        <v>8</v>
      </c>
      <c r="J41" s="52" t="s">
        <v>41</v>
      </c>
      <c r="K41" s="17"/>
      <c r="L41" s="17"/>
      <c r="M41" s="17"/>
      <c r="N41" t="str">
        <f t="shared" si="1"/>
        <v>Unique</v>
      </c>
    </row>
    <row r="42" spans="1:14" customFormat="1" ht="27.65" hidden="1" customHeight="1" thickBot="1" x14ac:dyDescent="0.4">
      <c r="A42" s="6" t="s">
        <v>62</v>
      </c>
      <c r="B42" s="1" t="s">
        <v>107</v>
      </c>
      <c r="C42" s="1" t="s">
        <v>10</v>
      </c>
      <c r="D42" s="4">
        <v>1</v>
      </c>
      <c r="E42" s="4">
        <v>6920</v>
      </c>
      <c r="F42" s="4">
        <v>-6.725973851</v>
      </c>
      <c r="G42" s="2" t="s">
        <v>108</v>
      </c>
      <c r="H42" s="5">
        <v>7419</v>
      </c>
      <c r="I42" s="1" t="s">
        <v>8</v>
      </c>
      <c r="J42" s="22" t="s">
        <v>140</v>
      </c>
      <c r="K42" s="17"/>
      <c r="L42" s="17"/>
      <c r="M42" s="17"/>
      <c r="N42" t="str">
        <f t="shared" si="1"/>
        <v>Unique</v>
      </c>
    </row>
    <row r="43" spans="1:14" customFormat="1" ht="27.65" hidden="1" customHeight="1" thickBot="1" x14ac:dyDescent="0.4">
      <c r="A43" s="6" t="s">
        <v>62</v>
      </c>
      <c r="B43" s="1" t="s">
        <v>109</v>
      </c>
      <c r="C43" s="1" t="s">
        <v>10</v>
      </c>
      <c r="D43" s="4">
        <v>1</v>
      </c>
      <c r="E43" s="4">
        <v>4560</v>
      </c>
      <c r="F43" s="4">
        <v>-6.6358182670000003</v>
      </c>
      <c r="G43" s="2" t="s">
        <v>110</v>
      </c>
      <c r="H43" s="5">
        <v>4884.1000000000004</v>
      </c>
      <c r="I43" s="1" t="s">
        <v>8</v>
      </c>
      <c r="J43" s="52"/>
      <c r="K43" s="17"/>
      <c r="L43" s="17"/>
      <c r="M43" s="17"/>
      <c r="N43" t="str">
        <f t="shared" si="1"/>
        <v>Unique</v>
      </c>
    </row>
    <row r="44" spans="1:14" customFormat="1" ht="15" hidden="1" customHeight="1" thickBot="1" x14ac:dyDescent="0.4">
      <c r="A44" s="3">
        <v>46252.635416666664</v>
      </c>
      <c r="B44" s="1" t="s">
        <v>78</v>
      </c>
      <c r="C44" s="1" t="s">
        <v>10</v>
      </c>
      <c r="D44" s="4">
        <v>3</v>
      </c>
      <c r="E44" s="4">
        <v>1302</v>
      </c>
      <c r="F44" s="4">
        <v>-6.5997130559999997</v>
      </c>
      <c r="G44" s="2" t="s">
        <v>79</v>
      </c>
      <c r="H44" s="5">
        <v>1394</v>
      </c>
      <c r="I44" s="1" t="s">
        <v>8</v>
      </c>
      <c r="J44" s="52"/>
      <c r="K44" s="17"/>
      <c r="L44" s="17"/>
      <c r="M44" s="17"/>
      <c r="N44" t="str">
        <f t="shared" si="1"/>
        <v>Unique</v>
      </c>
    </row>
    <row r="45" spans="1:14" customFormat="1" ht="27.65" hidden="1" customHeight="1" thickBot="1" x14ac:dyDescent="0.4">
      <c r="A45" s="6" t="s">
        <v>62</v>
      </c>
      <c r="B45" s="1" t="s">
        <v>32</v>
      </c>
      <c r="C45" s="1" t="s">
        <v>10</v>
      </c>
      <c r="D45" s="4">
        <v>25</v>
      </c>
      <c r="E45" s="4">
        <v>836</v>
      </c>
      <c r="F45" s="4">
        <v>-6.5138384120000001</v>
      </c>
      <c r="G45" s="2" t="s">
        <v>85</v>
      </c>
      <c r="H45" s="5">
        <v>894.25</v>
      </c>
      <c r="I45" s="1" t="s">
        <v>8</v>
      </c>
      <c r="J45" s="52" t="s">
        <v>118</v>
      </c>
      <c r="K45" s="17"/>
      <c r="L45" s="17"/>
      <c r="M45" s="17"/>
      <c r="N45" t="str">
        <f t="shared" si="1"/>
        <v>Unique</v>
      </c>
    </row>
    <row r="46" spans="1:14" customFormat="1" ht="27.65" hidden="1" customHeight="1" thickBot="1" x14ac:dyDescent="0.4">
      <c r="A46" s="3">
        <v>46258.601388888892</v>
      </c>
      <c r="B46" s="1" t="s">
        <v>33</v>
      </c>
      <c r="C46" s="1" t="s">
        <v>10</v>
      </c>
      <c r="D46" s="4">
        <v>3</v>
      </c>
      <c r="E46" s="4">
        <v>2271</v>
      </c>
      <c r="F46" s="4">
        <v>-6.473931307</v>
      </c>
      <c r="G46" s="2" t="s">
        <v>84</v>
      </c>
      <c r="H46" s="5">
        <v>2428.1999999999998</v>
      </c>
      <c r="I46" s="1" t="s">
        <v>8</v>
      </c>
      <c r="J46" s="24" t="s">
        <v>55</v>
      </c>
      <c r="K46" s="18" t="s">
        <v>161</v>
      </c>
      <c r="L46" s="18">
        <v>7113</v>
      </c>
      <c r="M46" s="18">
        <f>ABS((D46*E46)-L46)</f>
        <v>300</v>
      </c>
      <c r="N46" s="10" t="str">
        <f t="shared" si="1"/>
        <v>Unique</v>
      </c>
    </row>
    <row r="47" spans="1:14" customFormat="1" ht="27.65" hidden="1" customHeight="1" thickBot="1" x14ac:dyDescent="0.4">
      <c r="A47" s="3">
        <v>46252.6875</v>
      </c>
      <c r="B47" s="1" t="s">
        <v>9</v>
      </c>
      <c r="C47" s="1" t="s">
        <v>10</v>
      </c>
      <c r="D47" s="4">
        <v>37</v>
      </c>
      <c r="E47" s="4">
        <v>277</v>
      </c>
      <c r="F47" s="4">
        <v>-6.4505234720000004</v>
      </c>
      <c r="G47" s="2" t="s">
        <v>95</v>
      </c>
      <c r="H47" s="5">
        <v>296.10000000000002</v>
      </c>
      <c r="I47" s="1" t="s">
        <v>8</v>
      </c>
      <c r="J47" s="52" t="s">
        <v>55</v>
      </c>
      <c r="K47" s="17"/>
      <c r="L47" s="17"/>
      <c r="M47" s="17"/>
      <c r="N47" t="str">
        <f t="shared" si="1"/>
        <v>Unique</v>
      </c>
    </row>
    <row r="48" spans="1:14" customFormat="1" ht="15" hidden="1" customHeight="1" thickBot="1" x14ac:dyDescent="0.4">
      <c r="A48" s="6" t="s">
        <v>62</v>
      </c>
      <c r="B48" s="1" t="s">
        <v>20</v>
      </c>
      <c r="C48" s="1" t="s">
        <v>10</v>
      </c>
      <c r="D48" s="4">
        <v>50</v>
      </c>
      <c r="E48" s="4">
        <v>119</v>
      </c>
      <c r="F48" s="4">
        <v>-6.3655677080000004</v>
      </c>
      <c r="G48" s="2" t="s">
        <v>86</v>
      </c>
      <c r="H48" s="5">
        <v>127.09</v>
      </c>
      <c r="I48" s="1" t="s">
        <v>8</v>
      </c>
      <c r="J48" s="52"/>
      <c r="K48" s="17"/>
      <c r="L48" s="17"/>
      <c r="M48" s="17"/>
      <c r="N48" t="str">
        <f t="shared" si="1"/>
        <v>Unique</v>
      </c>
    </row>
    <row r="49" spans="1:14" customFormat="1" ht="27.65" hidden="1" customHeight="1" thickBot="1" x14ac:dyDescent="0.4">
      <c r="A49" s="20">
        <v>46255</v>
      </c>
      <c r="B49" s="1" t="s">
        <v>17</v>
      </c>
      <c r="C49" s="1" t="s">
        <v>10</v>
      </c>
      <c r="D49" s="4">
        <v>25</v>
      </c>
      <c r="E49" s="4">
        <v>336</v>
      </c>
      <c r="F49" s="4">
        <v>-6.3414634149999998</v>
      </c>
      <c r="G49" s="2" t="s">
        <v>77</v>
      </c>
      <c r="H49" s="5">
        <v>358.75</v>
      </c>
      <c r="I49" s="1" t="s">
        <v>8</v>
      </c>
      <c r="J49" s="24" t="s">
        <v>55</v>
      </c>
      <c r="K49" s="18" t="s">
        <v>150</v>
      </c>
      <c r="L49" s="18">
        <v>8700</v>
      </c>
      <c r="M49" s="18">
        <f>ABS((D49*E49)-L49)</f>
        <v>300</v>
      </c>
      <c r="N49" s="10" t="str">
        <f t="shared" si="1"/>
        <v>Unique</v>
      </c>
    </row>
    <row r="50" spans="1:14" customFormat="1" ht="27.65" hidden="1" customHeight="1" thickBot="1" x14ac:dyDescent="0.4">
      <c r="A50" s="3">
        <v>46252.635416666664</v>
      </c>
      <c r="B50" s="1" t="s">
        <v>80</v>
      </c>
      <c r="C50" s="1" t="s">
        <v>10</v>
      </c>
      <c r="D50" s="4">
        <v>10</v>
      </c>
      <c r="E50" s="4">
        <v>1410</v>
      </c>
      <c r="F50" s="4">
        <v>-6.1251664449999996</v>
      </c>
      <c r="G50" s="2" t="s">
        <v>81</v>
      </c>
      <c r="H50" s="5">
        <v>1502</v>
      </c>
      <c r="I50" s="1" t="s">
        <v>8</v>
      </c>
      <c r="J50" s="52"/>
      <c r="K50" s="17"/>
      <c r="L50" s="17"/>
      <c r="M50" s="17"/>
      <c r="N50" t="str">
        <f t="shared" si="1"/>
        <v>Unique</v>
      </c>
    </row>
    <row r="51" spans="1:14" customFormat="1" ht="27.65" hidden="1" customHeight="1" thickBot="1" x14ac:dyDescent="0.4">
      <c r="A51" s="3">
        <v>46267.375</v>
      </c>
      <c r="B51" s="1" t="s">
        <v>34</v>
      </c>
      <c r="C51" s="1" t="s">
        <v>10</v>
      </c>
      <c r="D51" s="4">
        <v>1</v>
      </c>
      <c r="E51" s="4">
        <v>20050</v>
      </c>
      <c r="F51" s="4">
        <v>-6.0669946120000002</v>
      </c>
      <c r="G51" s="2" t="s">
        <v>71</v>
      </c>
      <c r="H51" s="5">
        <v>21345</v>
      </c>
      <c r="I51" s="1" t="s">
        <v>8</v>
      </c>
      <c r="J51" s="24" t="s">
        <v>41</v>
      </c>
      <c r="K51" s="18" t="s">
        <v>244</v>
      </c>
      <c r="L51" s="18">
        <v>20350</v>
      </c>
      <c r="M51" s="18">
        <f>ABS((D51*E51)-L51)</f>
        <v>300</v>
      </c>
      <c r="N51" s="10" t="str">
        <f t="shared" si="1"/>
        <v>Unique</v>
      </c>
    </row>
    <row r="52" spans="1:14" customFormat="1" ht="27.65" hidden="1" customHeight="1" thickBot="1" x14ac:dyDescent="0.4">
      <c r="A52" s="3">
        <v>46269.375520833331</v>
      </c>
      <c r="B52" s="1" t="s">
        <v>74</v>
      </c>
      <c r="C52" s="1" t="s">
        <v>10</v>
      </c>
      <c r="D52" s="4">
        <v>2</v>
      </c>
      <c r="E52" s="4">
        <v>3210</v>
      </c>
      <c r="F52" s="4">
        <v>-5.8927000879999998</v>
      </c>
      <c r="G52" s="2" t="s">
        <v>75</v>
      </c>
      <c r="H52" s="5">
        <v>3411</v>
      </c>
      <c r="I52" s="1" t="s">
        <v>8</v>
      </c>
      <c r="J52" s="24" t="s">
        <v>41</v>
      </c>
      <c r="K52" s="18" t="s">
        <v>267</v>
      </c>
      <c r="L52" s="18">
        <v>6880</v>
      </c>
      <c r="M52" s="27">
        <f>ABS((D52*E52)-L52)</f>
        <v>460</v>
      </c>
      <c r="N52" t="str">
        <f t="shared" si="1"/>
        <v>Unique</v>
      </c>
    </row>
    <row r="53" spans="1:14" customFormat="1" ht="27.65" hidden="1" customHeight="1" thickBot="1" x14ac:dyDescent="0.4">
      <c r="A53" s="6" t="s">
        <v>62</v>
      </c>
      <c r="B53" s="1" t="s">
        <v>49</v>
      </c>
      <c r="C53" s="1" t="s">
        <v>10</v>
      </c>
      <c r="D53" s="4">
        <v>2</v>
      </c>
      <c r="E53" s="4">
        <v>3760</v>
      </c>
      <c r="F53" s="4">
        <v>-5.6840415389999999</v>
      </c>
      <c r="G53" s="2" t="s">
        <v>50</v>
      </c>
      <c r="H53" s="5">
        <v>3986.6</v>
      </c>
      <c r="I53" s="1" t="s">
        <v>8</v>
      </c>
      <c r="J53" s="52"/>
      <c r="K53" s="17"/>
      <c r="L53" s="17"/>
      <c r="M53" s="17"/>
      <c r="N53" t="str">
        <f t="shared" si="1"/>
        <v>Unique</v>
      </c>
    </row>
    <row r="54" spans="1:14" customFormat="1" ht="27.65" hidden="1" customHeight="1" thickBot="1" x14ac:dyDescent="0.4">
      <c r="A54" s="6" t="s">
        <v>62</v>
      </c>
      <c r="B54" s="1" t="s">
        <v>100</v>
      </c>
      <c r="C54" s="1" t="s">
        <v>10</v>
      </c>
      <c r="D54" s="4">
        <v>25</v>
      </c>
      <c r="E54" s="4">
        <v>196</v>
      </c>
      <c r="F54" s="4">
        <v>-5.569473887</v>
      </c>
      <c r="G54" s="2" t="s">
        <v>101</v>
      </c>
      <c r="H54" s="5">
        <v>207.56</v>
      </c>
      <c r="I54" s="1" t="s">
        <v>8</v>
      </c>
      <c r="J54" s="52"/>
      <c r="K54" s="17"/>
      <c r="L54" s="17"/>
      <c r="M54" s="17"/>
      <c r="N54" t="str">
        <f t="shared" si="1"/>
        <v>Unique</v>
      </c>
    </row>
    <row r="55" spans="1:14" customFormat="1" ht="27.65" hidden="1" customHeight="1" thickBot="1" x14ac:dyDescent="0.4">
      <c r="A55" s="3">
        <v>46269.375532407408</v>
      </c>
      <c r="B55" s="1" t="s">
        <v>13</v>
      </c>
      <c r="C55" s="1" t="s">
        <v>10</v>
      </c>
      <c r="D55" s="4">
        <v>5</v>
      </c>
      <c r="E55" s="4">
        <v>1714</v>
      </c>
      <c r="F55" s="4">
        <v>-5.543921525</v>
      </c>
      <c r="G55" s="2" t="s">
        <v>91</v>
      </c>
      <c r="H55" s="5">
        <v>1814.6</v>
      </c>
      <c r="I55" s="1" t="s">
        <v>8</v>
      </c>
      <c r="J55" s="24" t="s">
        <v>41</v>
      </c>
      <c r="K55" s="18" t="s">
        <v>266</v>
      </c>
      <c r="L55" s="18">
        <v>9220</v>
      </c>
      <c r="M55" s="27">
        <f>ABS((D55*E55)-L55)</f>
        <v>650</v>
      </c>
      <c r="N55" t="str">
        <f t="shared" si="1"/>
        <v>Unique</v>
      </c>
    </row>
    <row r="56" spans="1:14" customFormat="1" ht="27.65" hidden="1" customHeight="1" thickBot="1" x14ac:dyDescent="0.4">
      <c r="A56" s="6" t="s">
        <v>62</v>
      </c>
      <c r="B56" s="1" t="s">
        <v>22</v>
      </c>
      <c r="C56" s="1" t="s">
        <v>10</v>
      </c>
      <c r="D56" s="4">
        <v>29</v>
      </c>
      <c r="E56" s="4">
        <v>401</v>
      </c>
      <c r="F56" s="4">
        <v>-5.4691183399999996</v>
      </c>
      <c r="G56" s="2" t="s">
        <v>73</v>
      </c>
      <c r="H56" s="5">
        <v>424.2</v>
      </c>
      <c r="I56" s="1" t="s">
        <v>8</v>
      </c>
      <c r="J56" s="22" t="s">
        <v>55</v>
      </c>
      <c r="K56" s="17"/>
      <c r="L56" s="17"/>
      <c r="M56" s="17"/>
      <c r="N56" t="str">
        <f t="shared" si="1"/>
        <v>Unique</v>
      </c>
    </row>
    <row r="57" spans="1:14" customFormat="1" ht="27.65" hidden="1" customHeight="1" thickBot="1" x14ac:dyDescent="0.4">
      <c r="A57" s="3">
        <v>46252.635416666664</v>
      </c>
      <c r="B57" s="1" t="s">
        <v>80</v>
      </c>
      <c r="C57" s="1" t="s">
        <v>10</v>
      </c>
      <c r="D57" s="4">
        <v>10</v>
      </c>
      <c r="E57" s="4">
        <v>1420</v>
      </c>
      <c r="F57" s="4">
        <v>-5.4593874830000004</v>
      </c>
      <c r="G57" s="2" t="s">
        <v>81</v>
      </c>
      <c r="H57" s="5">
        <v>1502</v>
      </c>
      <c r="I57" s="1" t="s">
        <v>8</v>
      </c>
      <c r="J57" s="52"/>
      <c r="K57" s="17"/>
      <c r="L57" s="17"/>
      <c r="M57" s="17"/>
      <c r="N57" t="str">
        <f t="shared" si="1"/>
        <v>Unique</v>
      </c>
    </row>
    <row r="58" spans="1:14" customFormat="1" ht="27.65" hidden="1" customHeight="1" thickBot="1" x14ac:dyDescent="0.4">
      <c r="A58" s="6" t="s">
        <v>62</v>
      </c>
      <c r="B58" s="1" t="s">
        <v>23</v>
      </c>
      <c r="C58" s="1" t="s">
        <v>10</v>
      </c>
      <c r="D58" s="4">
        <v>50</v>
      </c>
      <c r="E58" s="4">
        <v>201</v>
      </c>
      <c r="F58" s="4">
        <v>-5.3672316379999998</v>
      </c>
      <c r="G58" s="2" t="s">
        <v>70</v>
      </c>
      <c r="H58" s="5">
        <v>212.4</v>
      </c>
      <c r="I58" s="1" t="s">
        <v>8</v>
      </c>
      <c r="J58" s="53" t="s">
        <v>41</v>
      </c>
      <c r="K58" s="17"/>
      <c r="L58" s="17"/>
      <c r="M58" s="17"/>
      <c r="N58" t="str">
        <f t="shared" si="1"/>
        <v>Unique</v>
      </c>
    </row>
    <row r="59" spans="1:14" ht="40.75" hidden="1" customHeight="1" thickBot="1" x14ac:dyDescent="0.4">
      <c r="A59" s="6" t="s">
        <v>62</v>
      </c>
      <c r="B59" s="1" t="s">
        <v>9</v>
      </c>
      <c r="C59" s="1" t="s">
        <v>10</v>
      </c>
      <c r="D59" s="4">
        <v>20</v>
      </c>
      <c r="E59" s="4">
        <v>281</v>
      </c>
      <c r="F59" s="4">
        <v>-5.099628504</v>
      </c>
      <c r="G59" s="2" t="s">
        <v>95</v>
      </c>
      <c r="H59" s="5">
        <v>296.10000000000002</v>
      </c>
      <c r="I59" s="1" t="s">
        <v>8</v>
      </c>
      <c r="J59" s="52"/>
      <c r="K59" s="17"/>
      <c r="L59" s="17"/>
      <c r="M59" s="17"/>
      <c r="N59" t="str">
        <f t="shared" si="1"/>
        <v>Unique</v>
      </c>
    </row>
    <row r="60" spans="1:14" ht="40.75" hidden="1" customHeight="1" thickBot="1" x14ac:dyDescent="0.4">
      <c r="A60" s="6" t="s">
        <v>62</v>
      </c>
      <c r="B60" s="1" t="s">
        <v>51</v>
      </c>
      <c r="C60" s="1" t="s">
        <v>10</v>
      </c>
      <c r="D60" s="4">
        <v>40</v>
      </c>
      <c r="E60" s="4">
        <v>878</v>
      </c>
      <c r="F60" s="4">
        <v>-5.0810810809999998</v>
      </c>
      <c r="G60" s="2" t="s">
        <v>52</v>
      </c>
      <c r="H60" s="5">
        <v>925</v>
      </c>
      <c r="I60" s="1" t="s">
        <v>8</v>
      </c>
      <c r="J60" s="52"/>
      <c r="K60" s="17"/>
      <c r="L60" s="17"/>
      <c r="M60" s="17"/>
      <c r="N60" t="str">
        <f t="shared" si="1"/>
        <v>Unique</v>
      </c>
    </row>
    <row r="61" spans="1:14" ht="16.25" hidden="1" customHeight="1" thickBot="1" x14ac:dyDescent="0.4">
      <c r="A61" s="6" t="s">
        <v>62</v>
      </c>
      <c r="B61" s="1" t="s">
        <v>109</v>
      </c>
      <c r="C61" s="1" t="s">
        <v>10</v>
      </c>
      <c r="D61" s="4">
        <v>1</v>
      </c>
      <c r="E61" s="4">
        <v>4640</v>
      </c>
      <c r="F61" s="4">
        <v>-4.9978501670000002</v>
      </c>
      <c r="G61" s="2" t="s">
        <v>110</v>
      </c>
      <c r="H61" s="5">
        <v>4884.1000000000004</v>
      </c>
      <c r="I61" s="1" t="s">
        <v>8</v>
      </c>
      <c r="J61" s="52"/>
      <c r="K61" s="17"/>
      <c r="L61" s="17"/>
      <c r="M61" s="17"/>
      <c r="N61" t="str">
        <f t="shared" si="1"/>
        <v>Unique</v>
      </c>
    </row>
    <row r="62" spans="1:14" ht="40.75" hidden="1" customHeight="1" thickBot="1" x14ac:dyDescent="0.4">
      <c r="A62" s="3">
        <v>46252.635416666664</v>
      </c>
      <c r="B62" s="1" t="s">
        <v>32</v>
      </c>
      <c r="C62" s="1" t="s">
        <v>10</v>
      </c>
      <c r="D62" s="4">
        <v>50</v>
      </c>
      <c r="E62" s="4">
        <v>850</v>
      </c>
      <c r="F62" s="4">
        <v>-4.948280682</v>
      </c>
      <c r="G62" s="2" t="s">
        <v>85</v>
      </c>
      <c r="H62" s="5">
        <v>894.25</v>
      </c>
      <c r="I62" s="1" t="s">
        <v>8</v>
      </c>
      <c r="J62" s="53" t="s">
        <v>55</v>
      </c>
      <c r="K62" s="17"/>
      <c r="L62" s="17"/>
      <c r="M62" s="17"/>
      <c r="N62" t="str">
        <f t="shared" si="1"/>
        <v>Unique</v>
      </c>
    </row>
    <row r="63" spans="1:14" ht="15" hidden="1" customHeight="1" thickBot="1" x14ac:dyDescent="0.4">
      <c r="A63" s="6" t="s">
        <v>62</v>
      </c>
      <c r="B63" s="1" t="s">
        <v>19</v>
      </c>
      <c r="C63" s="1" t="s">
        <v>10</v>
      </c>
      <c r="D63" s="4">
        <v>50</v>
      </c>
      <c r="E63" s="4">
        <v>212</v>
      </c>
      <c r="F63" s="4">
        <v>-4.8260381590000003</v>
      </c>
      <c r="G63" s="2" t="s">
        <v>40</v>
      </c>
      <c r="H63" s="5">
        <v>222.75</v>
      </c>
      <c r="I63" s="1" t="s">
        <v>8</v>
      </c>
      <c r="J63" s="52" t="s">
        <v>41</v>
      </c>
      <c r="K63" s="17"/>
      <c r="L63" s="17"/>
      <c r="M63" s="17"/>
      <c r="N63" t="str">
        <f t="shared" si="1"/>
        <v>Unique</v>
      </c>
    </row>
    <row r="64" spans="1:14" ht="27.65" hidden="1" customHeight="1" thickBot="1" x14ac:dyDescent="0.4">
      <c r="A64" s="3">
        <v>46262.457638888889</v>
      </c>
      <c r="B64" s="1" t="s">
        <v>21</v>
      </c>
      <c r="C64" s="1" t="s">
        <v>10</v>
      </c>
      <c r="D64" s="4">
        <v>5</v>
      </c>
      <c r="E64" s="4">
        <v>660</v>
      </c>
      <c r="F64" s="4">
        <v>-4.7619047620000003</v>
      </c>
      <c r="G64" s="2" t="s">
        <v>76</v>
      </c>
      <c r="H64" s="5">
        <v>693</v>
      </c>
      <c r="I64" s="1" t="s">
        <v>8</v>
      </c>
      <c r="J64" s="24" t="s">
        <v>41</v>
      </c>
      <c r="K64" s="18" t="s">
        <v>192</v>
      </c>
      <c r="L64" s="18">
        <v>3522.75</v>
      </c>
      <c r="M64" s="18">
        <f>ABS((D64*E64)-L64)</f>
        <v>222.75</v>
      </c>
      <c r="N64" s="10" t="str">
        <f t="shared" si="1"/>
        <v>Unique</v>
      </c>
    </row>
    <row r="65" spans="1:14" ht="27.65" hidden="1" customHeight="1" thickBot="1" x14ac:dyDescent="0.4">
      <c r="A65" s="6" t="s">
        <v>62</v>
      </c>
      <c r="B65" s="1" t="s">
        <v>103</v>
      </c>
      <c r="C65" s="1" t="s">
        <v>10</v>
      </c>
      <c r="D65" s="4">
        <v>8</v>
      </c>
      <c r="E65" s="4">
        <v>2370</v>
      </c>
      <c r="F65" s="4">
        <v>-4.5893719810000002</v>
      </c>
      <c r="G65" s="2" t="s">
        <v>104</v>
      </c>
      <c r="H65" s="5">
        <v>2484</v>
      </c>
      <c r="I65" s="1" t="s">
        <v>8</v>
      </c>
      <c r="J65" s="52"/>
      <c r="K65" s="17"/>
      <c r="L65" s="17"/>
      <c r="M65" s="17"/>
      <c r="N65" t="str">
        <f t="shared" si="1"/>
        <v>Unique</v>
      </c>
    </row>
    <row r="66" spans="1:14" ht="40.75" hidden="1" customHeight="1" thickBot="1" x14ac:dyDescent="0.4">
      <c r="A66" s="3">
        <v>46252.6875</v>
      </c>
      <c r="B66" s="1" t="s">
        <v>11</v>
      </c>
      <c r="C66" s="1" t="s">
        <v>10</v>
      </c>
      <c r="D66" s="4">
        <v>60</v>
      </c>
      <c r="E66" s="4">
        <v>271</v>
      </c>
      <c r="F66" s="4">
        <v>-4.5774647890000004</v>
      </c>
      <c r="G66" s="2" t="s">
        <v>99</v>
      </c>
      <c r="H66" s="5">
        <v>284</v>
      </c>
      <c r="I66" s="1" t="s">
        <v>8</v>
      </c>
      <c r="J66" s="52"/>
      <c r="K66" s="17"/>
      <c r="L66" s="17"/>
      <c r="M66" s="17"/>
      <c r="N66" t="str">
        <f t="shared" ref="N66:N97" si="2">IF(COUNTIFS( $B$2:$B$797, B66, $C$2:$C$797, C66, $D$2:$D$797, D66, $E$2:$E$797, E66) &gt; 1, "Duplicate", "Unique")</f>
        <v>Unique</v>
      </c>
    </row>
    <row r="67" spans="1:14" ht="40.75" hidden="1" customHeight="1" thickBot="1" x14ac:dyDescent="0.4">
      <c r="A67" s="6" t="s">
        <v>62</v>
      </c>
      <c r="B67" s="1" t="s">
        <v>49</v>
      </c>
      <c r="C67" s="1" t="s">
        <v>10</v>
      </c>
      <c r="D67" s="4">
        <v>3</v>
      </c>
      <c r="E67" s="4">
        <v>3810</v>
      </c>
      <c r="F67" s="4">
        <v>-4.4298399640000001</v>
      </c>
      <c r="G67" s="2" t="s">
        <v>50</v>
      </c>
      <c r="H67" s="5">
        <v>3986.6</v>
      </c>
      <c r="I67" s="1" t="s">
        <v>8</v>
      </c>
      <c r="J67" s="52"/>
      <c r="K67" s="17"/>
      <c r="L67" s="17"/>
      <c r="M67" s="17"/>
      <c r="N67" t="str">
        <f t="shared" si="2"/>
        <v>Unique</v>
      </c>
    </row>
    <row r="68" spans="1:14" ht="27.65" hidden="1" customHeight="1" thickBot="1" x14ac:dyDescent="0.4">
      <c r="A68" s="6" t="s">
        <v>62</v>
      </c>
      <c r="B68" s="1" t="s">
        <v>66</v>
      </c>
      <c r="C68" s="1" t="s">
        <v>10</v>
      </c>
      <c r="D68" s="4">
        <v>10</v>
      </c>
      <c r="E68" s="4">
        <v>1166</v>
      </c>
      <c r="F68" s="4">
        <v>-4.3478260869999996</v>
      </c>
      <c r="G68" s="2" t="s">
        <v>67</v>
      </c>
      <c r="H68" s="5">
        <v>1219</v>
      </c>
      <c r="I68" s="1" t="s">
        <v>8</v>
      </c>
      <c r="J68" s="52"/>
      <c r="K68" s="17"/>
      <c r="L68" s="17"/>
      <c r="M68" s="17"/>
      <c r="N68" t="str">
        <f t="shared" si="2"/>
        <v>Unique</v>
      </c>
    </row>
    <row r="69" spans="1:14" ht="27.65" hidden="1" customHeight="1" thickBot="1" x14ac:dyDescent="0.4">
      <c r="A69" s="3">
        <v>46252.635416666664</v>
      </c>
      <c r="B69" s="1" t="s">
        <v>89</v>
      </c>
      <c r="C69" s="1" t="s">
        <v>10</v>
      </c>
      <c r="D69" s="4">
        <v>1</v>
      </c>
      <c r="E69" s="4">
        <v>13552</v>
      </c>
      <c r="F69" s="4">
        <v>-4.2937853109999997</v>
      </c>
      <c r="G69" s="2" t="s">
        <v>90</v>
      </c>
      <c r="H69" s="5">
        <v>14160</v>
      </c>
      <c r="I69" s="1" t="s">
        <v>8</v>
      </c>
      <c r="J69" s="52"/>
      <c r="K69" s="17"/>
      <c r="L69" s="17"/>
      <c r="M69" s="17"/>
      <c r="N69" t="str">
        <f t="shared" si="2"/>
        <v>Unique</v>
      </c>
    </row>
    <row r="70" spans="1:14" ht="27.65" hidden="1" customHeight="1" thickBot="1" x14ac:dyDescent="0.4">
      <c r="A70" s="3">
        <v>46252.6875</v>
      </c>
      <c r="B70" s="1" t="s">
        <v>23</v>
      </c>
      <c r="C70" s="1" t="s">
        <v>10</v>
      </c>
      <c r="D70" s="4">
        <v>50</v>
      </c>
      <c r="E70" s="4">
        <v>203.5</v>
      </c>
      <c r="F70" s="4">
        <v>-4.1902071559999996</v>
      </c>
      <c r="G70" s="2" t="s">
        <v>70</v>
      </c>
      <c r="H70" s="5">
        <v>212.4</v>
      </c>
      <c r="I70" s="1" t="s">
        <v>8</v>
      </c>
      <c r="J70" s="53" t="s">
        <v>55</v>
      </c>
      <c r="K70" s="17"/>
      <c r="L70" s="17"/>
      <c r="M70" s="17"/>
      <c r="N70" t="str">
        <f t="shared" si="2"/>
        <v>Unique</v>
      </c>
    </row>
    <row r="71" spans="1:14" s="25" customFormat="1" ht="27.65" hidden="1" customHeight="1" thickBot="1" x14ac:dyDescent="0.4">
      <c r="A71" s="3">
        <v>46252.635416666664</v>
      </c>
      <c r="B71" s="1" t="s">
        <v>80</v>
      </c>
      <c r="C71" s="1" t="s">
        <v>10</v>
      </c>
      <c r="D71" s="4">
        <v>10</v>
      </c>
      <c r="E71" s="4">
        <v>1440</v>
      </c>
      <c r="F71" s="4">
        <v>-4.1278295610000004</v>
      </c>
      <c r="G71" s="2" t="s">
        <v>81</v>
      </c>
      <c r="H71" s="5">
        <v>1502</v>
      </c>
      <c r="I71" s="1" t="s">
        <v>8</v>
      </c>
      <c r="J71" s="52"/>
      <c r="K71" s="17"/>
      <c r="L71" s="17"/>
      <c r="M71" s="17"/>
      <c r="N71" t="str">
        <f t="shared" si="2"/>
        <v>Unique</v>
      </c>
    </row>
    <row r="72" spans="1:14" ht="27.65" hidden="1" customHeight="1" thickBot="1" x14ac:dyDescent="0.4">
      <c r="A72" s="3">
        <v>46252.635416666664</v>
      </c>
      <c r="B72" s="1" t="s">
        <v>68</v>
      </c>
      <c r="C72" s="1" t="s">
        <v>10</v>
      </c>
      <c r="D72" s="4">
        <v>100</v>
      </c>
      <c r="E72" s="4">
        <v>391</v>
      </c>
      <c r="F72" s="4">
        <v>-4.0726202159999998</v>
      </c>
      <c r="G72" s="2" t="s">
        <v>69</v>
      </c>
      <c r="H72" s="5">
        <v>407.6</v>
      </c>
      <c r="I72" s="1" t="s">
        <v>8</v>
      </c>
      <c r="J72" s="52" t="s">
        <v>55</v>
      </c>
      <c r="K72" s="17"/>
      <c r="L72" s="17"/>
      <c r="M72" s="17"/>
      <c r="N72" t="str">
        <f t="shared" si="2"/>
        <v>Unique</v>
      </c>
    </row>
    <row r="73" spans="1:14" ht="15" hidden="1" customHeight="1" thickBot="1" x14ac:dyDescent="0.4">
      <c r="A73" s="6" t="s">
        <v>62</v>
      </c>
      <c r="B73" s="1" t="s">
        <v>15</v>
      </c>
      <c r="C73" s="1" t="s">
        <v>10</v>
      </c>
      <c r="D73" s="4">
        <v>30</v>
      </c>
      <c r="E73" s="4">
        <v>2435</v>
      </c>
      <c r="F73" s="4">
        <v>-4.058313633</v>
      </c>
      <c r="G73" s="2" t="s">
        <v>72</v>
      </c>
      <c r="H73" s="5">
        <v>2538</v>
      </c>
      <c r="I73" s="1" t="s">
        <v>8</v>
      </c>
      <c r="J73" s="52"/>
      <c r="K73" s="17"/>
      <c r="L73" s="17"/>
      <c r="M73" s="17"/>
      <c r="N73" t="str">
        <f t="shared" si="2"/>
        <v>Unique</v>
      </c>
    </row>
    <row r="74" spans="1:14" ht="27.65" hidden="1" customHeight="1" thickBot="1" x14ac:dyDescent="0.4">
      <c r="A74" s="3">
        <v>46252.6875</v>
      </c>
      <c r="B74" s="1" t="s">
        <v>20</v>
      </c>
      <c r="C74" s="1" t="s">
        <v>10</v>
      </c>
      <c r="D74" s="4">
        <v>20</v>
      </c>
      <c r="E74" s="4">
        <v>122</v>
      </c>
      <c r="F74" s="4">
        <v>-4.005035801</v>
      </c>
      <c r="G74" s="2" t="s">
        <v>86</v>
      </c>
      <c r="H74" s="5">
        <v>127.09</v>
      </c>
      <c r="I74" s="1" t="s">
        <v>8</v>
      </c>
      <c r="J74" s="53" t="s">
        <v>41</v>
      </c>
      <c r="K74" s="17"/>
      <c r="L74" s="17"/>
      <c r="M74" s="17"/>
      <c r="N74" t="str">
        <f t="shared" si="2"/>
        <v>Unique</v>
      </c>
    </row>
    <row r="75" spans="1:14" ht="27.65" hidden="1" customHeight="1" thickBot="1" x14ac:dyDescent="0.4">
      <c r="A75" s="3">
        <v>46268.385416666664</v>
      </c>
      <c r="B75" s="1" t="s">
        <v>19</v>
      </c>
      <c r="C75" s="1" t="s">
        <v>10</v>
      </c>
      <c r="D75" s="4">
        <v>100</v>
      </c>
      <c r="E75" s="4">
        <v>214</v>
      </c>
      <c r="F75" s="4">
        <v>-3.9281705950000001</v>
      </c>
      <c r="G75" s="2" t="s">
        <v>40</v>
      </c>
      <c r="H75" s="5">
        <v>222.75</v>
      </c>
      <c r="I75" s="1" t="s">
        <v>8</v>
      </c>
      <c r="J75" s="24" t="s">
        <v>55</v>
      </c>
      <c r="K75" s="18" t="s">
        <v>250</v>
      </c>
      <c r="L75" s="18">
        <v>21900</v>
      </c>
      <c r="M75" s="18">
        <f>ABS((D75*E75)-L75)</f>
        <v>500</v>
      </c>
      <c r="N75" s="10" t="str">
        <f t="shared" si="2"/>
        <v>Unique</v>
      </c>
    </row>
    <row r="76" spans="1:14" ht="27.65" hidden="1" customHeight="1" thickBot="1" x14ac:dyDescent="0.4">
      <c r="A76" s="6" t="s">
        <v>62</v>
      </c>
      <c r="B76" s="1" t="s">
        <v>49</v>
      </c>
      <c r="C76" s="1" t="s">
        <v>10</v>
      </c>
      <c r="D76" s="4">
        <v>2</v>
      </c>
      <c r="E76" s="4">
        <v>3830</v>
      </c>
      <c r="F76" s="4">
        <v>-3.9281593340000001</v>
      </c>
      <c r="G76" s="2" t="s">
        <v>50</v>
      </c>
      <c r="H76" s="5">
        <v>3986.6</v>
      </c>
      <c r="I76" s="1" t="s">
        <v>8</v>
      </c>
      <c r="J76" s="52"/>
      <c r="K76" s="17"/>
      <c r="L76" s="17"/>
      <c r="M76" s="17"/>
      <c r="N76" t="str">
        <f t="shared" si="2"/>
        <v>Unique</v>
      </c>
    </row>
    <row r="77" spans="1:14" ht="27.65" hidden="1" customHeight="1" thickBot="1" x14ac:dyDescent="0.4">
      <c r="A77" s="3">
        <v>46261.375</v>
      </c>
      <c r="B77" s="1" t="s">
        <v>23</v>
      </c>
      <c r="C77" s="1" t="s">
        <v>10</v>
      </c>
      <c r="D77" s="4">
        <v>50</v>
      </c>
      <c r="E77" s="4">
        <v>205</v>
      </c>
      <c r="F77" s="4">
        <v>-3.4839924670000002</v>
      </c>
      <c r="G77" s="2" t="s">
        <v>70</v>
      </c>
      <c r="H77" s="5">
        <v>212.4</v>
      </c>
      <c r="I77" s="1" t="s">
        <v>8</v>
      </c>
      <c r="J77" s="24" t="s">
        <v>41</v>
      </c>
      <c r="K77" s="18" t="s">
        <v>189</v>
      </c>
      <c r="L77" s="18">
        <v>10550</v>
      </c>
      <c r="M77" s="18">
        <f>ABS((D77*E77)-L77)</f>
        <v>300</v>
      </c>
      <c r="N77" s="10" t="str">
        <f t="shared" si="2"/>
        <v>Unique</v>
      </c>
    </row>
    <row r="78" spans="1:14" ht="27.65" hidden="1" customHeight="1" thickBot="1" x14ac:dyDescent="0.4">
      <c r="A78" s="3">
        <v>46252.645138888889</v>
      </c>
      <c r="B78" s="1" t="s">
        <v>47</v>
      </c>
      <c r="C78" s="1" t="s">
        <v>10</v>
      </c>
      <c r="D78" s="4">
        <v>9</v>
      </c>
      <c r="E78" s="4">
        <v>2230</v>
      </c>
      <c r="F78" s="4">
        <v>-3.4213945429999999</v>
      </c>
      <c r="G78" s="2" t="s">
        <v>48</v>
      </c>
      <c r="H78" s="5">
        <v>2309</v>
      </c>
      <c r="I78" s="1" t="s">
        <v>8</v>
      </c>
      <c r="J78" s="52"/>
      <c r="K78" s="17"/>
      <c r="L78" s="17"/>
      <c r="M78" s="17"/>
      <c r="N78" t="str">
        <f t="shared" si="2"/>
        <v>Unique</v>
      </c>
    </row>
    <row r="79" spans="1:14" ht="15" hidden="1" customHeight="1" thickBot="1" x14ac:dyDescent="0.4">
      <c r="A79" s="6" t="s">
        <v>62</v>
      </c>
      <c r="B79" s="1" t="s">
        <v>103</v>
      </c>
      <c r="C79" s="1" t="s">
        <v>10</v>
      </c>
      <c r="D79" s="4">
        <v>7</v>
      </c>
      <c r="E79" s="4">
        <v>2401</v>
      </c>
      <c r="F79" s="4">
        <v>-3.341384863</v>
      </c>
      <c r="G79" s="2" t="s">
        <v>104</v>
      </c>
      <c r="H79" s="5">
        <v>2484</v>
      </c>
      <c r="I79" s="1" t="s">
        <v>8</v>
      </c>
      <c r="J79" s="52"/>
      <c r="K79" s="17"/>
      <c r="L79" s="17"/>
      <c r="M79" s="17"/>
      <c r="N79" t="str">
        <f t="shared" si="2"/>
        <v>Unique</v>
      </c>
    </row>
    <row r="80" spans="1:14" ht="27.65" hidden="1" customHeight="1" thickBot="1" x14ac:dyDescent="0.4">
      <c r="A80" s="3">
        <v>46260.375</v>
      </c>
      <c r="B80" s="1" t="s">
        <v>33</v>
      </c>
      <c r="C80" s="1" t="s">
        <v>10</v>
      </c>
      <c r="D80" s="4">
        <v>3</v>
      </c>
      <c r="E80" s="4">
        <v>2348</v>
      </c>
      <c r="F80" s="4">
        <v>-3.3028580839999999</v>
      </c>
      <c r="G80" s="2" t="s">
        <v>84</v>
      </c>
      <c r="H80" s="5">
        <v>2428.1999999999998</v>
      </c>
      <c r="I80" s="1" t="s">
        <v>8</v>
      </c>
      <c r="J80" s="24" t="s">
        <v>41</v>
      </c>
      <c r="K80" s="18" t="s">
        <v>177</v>
      </c>
      <c r="L80" s="18">
        <v>7344</v>
      </c>
      <c r="M80" s="18">
        <f>ABS((D80*E80)-L80)</f>
        <v>300</v>
      </c>
      <c r="N80" t="str">
        <f t="shared" si="2"/>
        <v>Unique</v>
      </c>
    </row>
    <row r="81" spans="1:14" s="19" customFormat="1" ht="27.65" hidden="1" customHeight="1" thickBot="1" x14ac:dyDescent="0.4">
      <c r="A81" s="6" t="s">
        <v>62</v>
      </c>
      <c r="B81" s="1" t="s">
        <v>49</v>
      </c>
      <c r="C81" s="1" t="s">
        <v>10</v>
      </c>
      <c r="D81" s="4">
        <v>2</v>
      </c>
      <c r="E81" s="4">
        <v>3856</v>
      </c>
      <c r="F81" s="4">
        <v>-3.2759745150000001</v>
      </c>
      <c r="G81" s="2" t="s">
        <v>50</v>
      </c>
      <c r="H81" s="5">
        <v>3986.6</v>
      </c>
      <c r="I81" s="1" t="s">
        <v>8</v>
      </c>
      <c r="J81" s="52"/>
      <c r="K81" s="17"/>
      <c r="L81" s="17"/>
      <c r="M81" s="17"/>
      <c r="N81" t="str">
        <f t="shared" si="2"/>
        <v>Unique</v>
      </c>
    </row>
    <row r="82" spans="1:14" ht="27.65" hidden="1" customHeight="1" thickBot="1" x14ac:dyDescent="0.4">
      <c r="A82" s="6" t="s">
        <v>62</v>
      </c>
      <c r="B82" s="1" t="s">
        <v>82</v>
      </c>
      <c r="C82" s="1" t="s">
        <v>10</v>
      </c>
      <c r="D82" s="4">
        <v>2</v>
      </c>
      <c r="E82" s="4">
        <v>4010</v>
      </c>
      <c r="F82" s="4">
        <v>-3.191540727</v>
      </c>
      <c r="G82" s="2" t="s">
        <v>83</v>
      </c>
      <c r="H82" s="5">
        <v>4142.2</v>
      </c>
      <c r="I82" s="1" t="s">
        <v>8</v>
      </c>
      <c r="J82" s="52"/>
      <c r="K82" s="17"/>
      <c r="L82" s="17"/>
      <c r="M82" s="17"/>
      <c r="N82" t="str">
        <f t="shared" si="2"/>
        <v>Unique</v>
      </c>
    </row>
    <row r="83" spans="1:14" ht="27.65" hidden="1" customHeight="1" thickBot="1" x14ac:dyDescent="0.4">
      <c r="A83" s="3">
        <v>46252.6875</v>
      </c>
      <c r="B83" s="1" t="s">
        <v>25</v>
      </c>
      <c r="C83" s="1" t="s">
        <v>10</v>
      </c>
      <c r="D83" s="4">
        <v>500</v>
      </c>
      <c r="E83" s="4">
        <v>33.159999999999997</v>
      </c>
      <c r="F83" s="4">
        <v>-3.1824817520000002</v>
      </c>
      <c r="G83" s="2" t="s">
        <v>46</v>
      </c>
      <c r="H83" s="5">
        <v>34.25</v>
      </c>
      <c r="I83" s="1" t="s">
        <v>8</v>
      </c>
      <c r="J83" s="52"/>
      <c r="K83" s="17"/>
      <c r="L83" s="17"/>
      <c r="M83" s="17"/>
      <c r="N83" t="str">
        <f t="shared" si="2"/>
        <v>Unique</v>
      </c>
    </row>
    <row r="84" spans="1:14" ht="15" hidden="1" customHeight="1" thickBot="1" x14ac:dyDescent="0.4">
      <c r="A84" s="6" t="s">
        <v>62</v>
      </c>
      <c r="B84" s="1" t="s">
        <v>15</v>
      </c>
      <c r="C84" s="1" t="s">
        <v>10</v>
      </c>
      <c r="D84" s="4">
        <v>30</v>
      </c>
      <c r="E84" s="4">
        <v>2460</v>
      </c>
      <c r="F84" s="4">
        <v>-3.0732860519999998</v>
      </c>
      <c r="G84" s="2" t="s">
        <v>72</v>
      </c>
      <c r="H84" s="5">
        <v>2538</v>
      </c>
      <c r="I84" s="1" t="s">
        <v>8</v>
      </c>
      <c r="J84" s="52"/>
      <c r="K84" s="17"/>
      <c r="L84" s="17"/>
      <c r="M84" s="17"/>
      <c r="N84" t="str">
        <f t="shared" si="2"/>
        <v>Unique</v>
      </c>
    </row>
    <row r="85" spans="1:14" ht="27.65" hidden="1" customHeight="1" thickBot="1" x14ac:dyDescent="0.4">
      <c r="A85" s="6" t="s">
        <v>62</v>
      </c>
      <c r="B85" s="1" t="s">
        <v>51</v>
      </c>
      <c r="C85" s="1" t="s">
        <v>10</v>
      </c>
      <c r="D85" s="4">
        <v>40</v>
      </c>
      <c r="E85" s="4">
        <v>897</v>
      </c>
      <c r="F85" s="4">
        <v>-3.0270270269999999</v>
      </c>
      <c r="G85" s="2" t="s">
        <v>52</v>
      </c>
      <c r="H85" s="5">
        <v>925</v>
      </c>
      <c r="I85" s="1" t="s">
        <v>8</v>
      </c>
      <c r="J85" s="52"/>
      <c r="K85" s="17"/>
      <c r="L85" s="17"/>
      <c r="M85" s="17"/>
      <c r="N85" t="str">
        <f t="shared" si="2"/>
        <v>Unique</v>
      </c>
    </row>
    <row r="86" spans="1:14" ht="27.65" hidden="1" customHeight="1" thickBot="1" x14ac:dyDescent="0.4">
      <c r="A86" s="3">
        <v>46269.375509259262</v>
      </c>
      <c r="B86" s="1" t="s">
        <v>17</v>
      </c>
      <c r="C86" s="1" t="s">
        <v>10</v>
      </c>
      <c r="D86" s="4">
        <v>25</v>
      </c>
      <c r="E86" s="4">
        <v>348</v>
      </c>
      <c r="F86" s="4">
        <v>-2.9965156789999998</v>
      </c>
      <c r="G86" s="2" t="s">
        <v>77</v>
      </c>
      <c r="H86" s="5">
        <v>358.75</v>
      </c>
      <c r="I86" s="1" t="s">
        <v>8</v>
      </c>
      <c r="J86" s="24" t="s">
        <v>55</v>
      </c>
      <c r="K86" s="18" t="s">
        <v>268</v>
      </c>
      <c r="L86" s="18">
        <v>9000</v>
      </c>
      <c r="M86" s="27">
        <f>ABS((D86*E86)-L86)</f>
        <v>300</v>
      </c>
      <c r="N86" t="str">
        <f t="shared" si="2"/>
        <v>Unique</v>
      </c>
    </row>
    <row r="87" spans="1:14" ht="27.65" hidden="1" customHeight="1" thickBot="1" x14ac:dyDescent="0.4">
      <c r="A87" s="3">
        <v>46269.410428240742</v>
      </c>
      <c r="B87" s="1" t="s">
        <v>13</v>
      </c>
      <c r="C87" s="1" t="s">
        <v>10</v>
      </c>
      <c r="D87" s="4">
        <v>5</v>
      </c>
      <c r="E87" s="4">
        <v>1764</v>
      </c>
      <c r="F87" s="4">
        <v>-2.7884933319999998</v>
      </c>
      <c r="G87" s="2" t="s">
        <v>91</v>
      </c>
      <c r="H87" s="5">
        <v>1814.6</v>
      </c>
      <c r="I87" s="1" t="s">
        <v>8</v>
      </c>
      <c r="J87" s="24" t="s">
        <v>41</v>
      </c>
      <c r="K87" s="18" t="s">
        <v>272</v>
      </c>
      <c r="L87" s="18">
        <f>5*1869</f>
        <v>9345</v>
      </c>
      <c r="M87" s="27">
        <f>ABS((D87*E87)-L87)</f>
        <v>525</v>
      </c>
      <c r="N87" t="str">
        <f t="shared" si="2"/>
        <v>Unique</v>
      </c>
    </row>
    <row r="88" spans="1:14" ht="27.65" hidden="1" customHeight="1" thickBot="1" x14ac:dyDescent="0.4">
      <c r="A88" s="3">
        <v>46261.375</v>
      </c>
      <c r="B88" s="1" t="s">
        <v>32</v>
      </c>
      <c r="C88" s="1" t="s">
        <v>10</v>
      </c>
      <c r="D88" s="4">
        <v>20</v>
      </c>
      <c r="E88" s="4">
        <v>870</v>
      </c>
      <c r="F88" s="4">
        <v>-2.7117696389999999</v>
      </c>
      <c r="G88" s="2" t="s">
        <v>85</v>
      </c>
      <c r="H88" s="5">
        <v>894.25</v>
      </c>
      <c r="I88" s="1" t="s">
        <v>8</v>
      </c>
      <c r="J88" s="24" t="s">
        <v>41</v>
      </c>
      <c r="K88" s="18" t="s">
        <v>190</v>
      </c>
      <c r="L88" s="18">
        <v>17700</v>
      </c>
      <c r="M88" s="18">
        <f>ABS((D88*E88)-L88)</f>
        <v>300</v>
      </c>
      <c r="N88" s="10" t="str">
        <f t="shared" si="2"/>
        <v>Unique</v>
      </c>
    </row>
    <row r="89" spans="1:14" ht="27.65" hidden="1" customHeight="1" thickBot="1" x14ac:dyDescent="0.4">
      <c r="A89" s="3">
        <v>46268.375</v>
      </c>
      <c r="B89" s="1" t="s">
        <v>32</v>
      </c>
      <c r="C89" s="1" t="s">
        <v>10</v>
      </c>
      <c r="D89" s="4">
        <v>20</v>
      </c>
      <c r="E89" s="4">
        <v>870.2</v>
      </c>
      <c r="F89" s="4">
        <v>-2.6894045289999999</v>
      </c>
      <c r="G89" s="2" t="s">
        <v>85</v>
      </c>
      <c r="H89" s="5">
        <v>894.25</v>
      </c>
      <c r="I89" s="1" t="s">
        <v>8</v>
      </c>
      <c r="J89" s="24" t="s">
        <v>55</v>
      </c>
      <c r="K89" s="18" t="s">
        <v>249</v>
      </c>
      <c r="L89" s="18">
        <v>17920</v>
      </c>
      <c r="M89" s="18">
        <f>ABS((D89*E89)-L89)</f>
        <v>516</v>
      </c>
      <c r="N89" s="10" t="str">
        <f t="shared" si="2"/>
        <v>Unique</v>
      </c>
    </row>
    <row r="90" spans="1:14" ht="27.65" hidden="1" customHeight="1" thickBot="1" x14ac:dyDescent="0.4">
      <c r="A90" s="6" t="s">
        <v>62</v>
      </c>
      <c r="B90" s="1" t="s">
        <v>15</v>
      </c>
      <c r="C90" s="1" t="s">
        <v>10</v>
      </c>
      <c r="D90" s="4">
        <v>5</v>
      </c>
      <c r="E90" s="4">
        <v>2470</v>
      </c>
      <c r="F90" s="4">
        <v>-2.67927502</v>
      </c>
      <c r="G90" s="2" t="s">
        <v>72</v>
      </c>
      <c r="H90" s="5">
        <v>2538</v>
      </c>
      <c r="I90" s="1" t="s">
        <v>8</v>
      </c>
      <c r="J90" s="52"/>
      <c r="K90" s="17"/>
      <c r="L90" s="17"/>
      <c r="M90" s="17"/>
      <c r="N90" t="str">
        <f t="shared" si="2"/>
        <v>Unique</v>
      </c>
    </row>
    <row r="91" spans="1:14" s="26" customFormat="1" ht="27.65" hidden="1" customHeight="1" thickBot="1" x14ac:dyDescent="0.4">
      <c r="A91" s="6" t="s">
        <v>62</v>
      </c>
      <c r="B91" s="1" t="s">
        <v>49</v>
      </c>
      <c r="C91" s="1" t="s">
        <v>10</v>
      </c>
      <c r="D91" s="4">
        <v>5</v>
      </c>
      <c r="E91" s="4">
        <v>3888</v>
      </c>
      <c r="F91" s="4">
        <v>-2.4732855059999999</v>
      </c>
      <c r="G91" s="2" t="s">
        <v>50</v>
      </c>
      <c r="H91" s="5">
        <v>3986.6</v>
      </c>
      <c r="I91" s="1" t="s">
        <v>8</v>
      </c>
      <c r="J91" s="52"/>
      <c r="K91" s="17"/>
      <c r="L91" s="17"/>
      <c r="M91" s="17"/>
      <c r="N91" t="str">
        <f t="shared" si="2"/>
        <v>Unique</v>
      </c>
    </row>
    <row r="92" spans="1:14" ht="27.65" hidden="1" customHeight="1" thickBot="1" x14ac:dyDescent="0.4">
      <c r="A92" s="3">
        <v>46258.375694444447</v>
      </c>
      <c r="B92" s="1" t="s">
        <v>80</v>
      </c>
      <c r="C92" s="1" t="s">
        <v>10</v>
      </c>
      <c r="D92" s="4">
        <v>10</v>
      </c>
      <c r="E92" s="4">
        <v>1465</v>
      </c>
      <c r="F92" s="4">
        <v>-2.4633821569999999</v>
      </c>
      <c r="G92" s="2" t="s">
        <v>81</v>
      </c>
      <c r="H92" s="5">
        <v>1502</v>
      </c>
      <c r="I92" s="1" t="s">
        <v>8</v>
      </c>
      <c r="J92" s="24" t="s">
        <v>55</v>
      </c>
      <c r="K92" s="18" t="s">
        <v>162</v>
      </c>
      <c r="L92" s="18">
        <v>15100</v>
      </c>
      <c r="M92" s="18">
        <f>ABS((D92*E92)-L92)</f>
        <v>450</v>
      </c>
      <c r="N92" s="10" t="str">
        <f t="shared" si="2"/>
        <v>Unique</v>
      </c>
    </row>
    <row r="93" spans="1:14" ht="40.75" hidden="1" customHeight="1" thickBot="1" x14ac:dyDescent="0.4">
      <c r="A93" s="3">
        <v>46031.4375</v>
      </c>
      <c r="B93" s="1" t="s">
        <v>220</v>
      </c>
      <c r="C93" s="1" t="s">
        <v>10</v>
      </c>
      <c r="D93" s="4">
        <v>3</v>
      </c>
      <c r="E93" s="4">
        <v>1052</v>
      </c>
      <c r="F93" s="4">
        <v>-2.1850302190000002</v>
      </c>
      <c r="G93" s="2" t="s">
        <v>232</v>
      </c>
      <c r="H93" s="5">
        <v>1075.5</v>
      </c>
      <c r="I93" s="1" t="s">
        <v>8</v>
      </c>
      <c r="J93" s="24" t="s">
        <v>41</v>
      </c>
      <c r="M93" s="18">
        <f>ABS((D93*E93)-L93)</f>
        <v>3156</v>
      </c>
      <c r="N93" s="10" t="str">
        <f t="shared" si="2"/>
        <v>Unique</v>
      </c>
    </row>
    <row r="94" spans="1:14" ht="27.65" hidden="1" customHeight="1" thickBot="1" x14ac:dyDescent="0.4">
      <c r="A94" s="3">
        <v>46252.635416666664</v>
      </c>
      <c r="B94" s="1" t="s">
        <v>36</v>
      </c>
      <c r="C94" s="1" t="s">
        <v>10</v>
      </c>
      <c r="D94" s="4">
        <v>5</v>
      </c>
      <c r="E94" s="4">
        <v>1132</v>
      </c>
      <c r="F94" s="4">
        <v>-2.0845947580000002</v>
      </c>
      <c r="G94" s="2" t="s">
        <v>65</v>
      </c>
      <c r="H94" s="5">
        <v>1156.0999999999999</v>
      </c>
      <c r="I94" s="1" t="s">
        <v>8</v>
      </c>
      <c r="J94" s="52"/>
      <c r="K94" s="17"/>
      <c r="L94" s="17"/>
      <c r="M94" s="17"/>
      <c r="N94" t="str">
        <f t="shared" si="2"/>
        <v>Unique</v>
      </c>
    </row>
    <row r="95" spans="1:14" s="25" customFormat="1" ht="27.65" hidden="1" customHeight="1" thickBot="1" x14ac:dyDescent="0.4">
      <c r="A95" s="3">
        <v>46261.375</v>
      </c>
      <c r="B95" s="1" t="s">
        <v>23</v>
      </c>
      <c r="C95" s="1" t="s">
        <v>10</v>
      </c>
      <c r="D95" s="4">
        <v>50</v>
      </c>
      <c r="E95" s="4">
        <v>208</v>
      </c>
      <c r="F95" s="4">
        <v>-2.0715630890000001</v>
      </c>
      <c r="G95" s="2" t="s">
        <v>70</v>
      </c>
      <c r="H95" s="5">
        <v>212.4</v>
      </c>
      <c r="I95" s="1" t="s">
        <v>8</v>
      </c>
      <c r="J95" s="24" t="s">
        <v>55</v>
      </c>
      <c r="K95" s="18" t="s">
        <v>188</v>
      </c>
      <c r="L95" s="18">
        <v>10700</v>
      </c>
      <c r="M95" s="18">
        <f>ABS((D95*E95)-L95)</f>
        <v>300</v>
      </c>
      <c r="N95" s="10" t="str">
        <f t="shared" si="2"/>
        <v>Unique</v>
      </c>
    </row>
    <row r="96" spans="1:14" ht="27.65" hidden="1" customHeight="1" thickBot="1" x14ac:dyDescent="0.4">
      <c r="A96" s="3">
        <v>46268.410416666666</v>
      </c>
      <c r="B96" s="1" t="s">
        <v>9</v>
      </c>
      <c r="C96" s="1" t="s">
        <v>10</v>
      </c>
      <c r="D96" s="4">
        <v>90</v>
      </c>
      <c r="E96" s="4">
        <v>290.10000000000002</v>
      </c>
      <c r="F96" s="4">
        <v>-2.0263424520000002</v>
      </c>
      <c r="G96" s="2" t="s">
        <v>95</v>
      </c>
      <c r="H96" s="5">
        <v>296.10000000000002</v>
      </c>
      <c r="I96" s="1" t="s">
        <v>8</v>
      </c>
      <c r="J96" s="24" t="s">
        <v>55</v>
      </c>
      <c r="K96" s="18" t="s">
        <v>248</v>
      </c>
      <c r="L96" s="18">
        <v>26730</v>
      </c>
      <c r="M96" s="18">
        <f>ABS((D96*E96)-L96)</f>
        <v>620.99999999999636</v>
      </c>
      <c r="N96" s="10" t="str">
        <f t="shared" si="2"/>
        <v>Unique</v>
      </c>
    </row>
    <row r="97" spans="1:15" ht="27.65" hidden="1" customHeight="1" thickBot="1" x14ac:dyDescent="0.4">
      <c r="A97" s="3">
        <v>46265.375694444447</v>
      </c>
      <c r="B97" s="1" t="s">
        <v>21</v>
      </c>
      <c r="C97" s="1" t="s">
        <v>10</v>
      </c>
      <c r="D97" s="4">
        <v>5</v>
      </c>
      <c r="E97" s="4">
        <v>680</v>
      </c>
      <c r="F97" s="4">
        <v>-1.8759018759999999</v>
      </c>
      <c r="G97" s="2" t="s">
        <v>76</v>
      </c>
      <c r="H97" s="5">
        <v>693</v>
      </c>
      <c r="I97" s="1" t="s">
        <v>8</v>
      </c>
      <c r="J97" s="24" t="s">
        <v>41</v>
      </c>
      <c r="K97" s="18" t="s">
        <v>218</v>
      </c>
      <c r="L97" s="18">
        <v>3650</v>
      </c>
      <c r="M97" s="18">
        <f>ABS((D97*E97)-L97)</f>
        <v>250</v>
      </c>
      <c r="N97" t="str">
        <f t="shared" si="2"/>
        <v>Unique</v>
      </c>
    </row>
    <row r="98" spans="1:15" ht="27.65" hidden="1" customHeight="1" thickBot="1" x14ac:dyDescent="0.4">
      <c r="A98" s="3">
        <v>46252.645138888889</v>
      </c>
      <c r="B98" s="1" t="s">
        <v>68</v>
      </c>
      <c r="C98" s="1" t="s">
        <v>10</v>
      </c>
      <c r="D98" s="4">
        <v>10</v>
      </c>
      <c r="E98" s="4">
        <v>401</v>
      </c>
      <c r="F98" s="4">
        <v>-1.619234544</v>
      </c>
      <c r="G98" s="2" t="s">
        <v>69</v>
      </c>
      <c r="H98" s="5">
        <v>407.6</v>
      </c>
      <c r="I98" s="1" t="s">
        <v>8</v>
      </c>
      <c r="J98" s="54" t="s">
        <v>118</v>
      </c>
      <c r="K98" s="17"/>
      <c r="L98" s="17"/>
      <c r="M98" s="17"/>
      <c r="N98" t="str">
        <f t="shared" ref="N98:N108" si="3">IF(COUNTIFS( $B$2:$B$797, B98, $C$2:$C$797, C98, $D$2:$D$797, D98, $E$2:$E$797, E98) &gt; 1, "Duplicate", "Unique")</f>
        <v>Unique</v>
      </c>
    </row>
    <row r="99" spans="1:15" ht="27.65" hidden="1" customHeight="1" thickBot="1" x14ac:dyDescent="0.4">
      <c r="A99" s="6" t="s">
        <v>62</v>
      </c>
      <c r="B99" s="1" t="s">
        <v>16</v>
      </c>
      <c r="C99" s="1" t="s">
        <v>10</v>
      </c>
      <c r="D99" s="4">
        <v>5</v>
      </c>
      <c r="E99" s="4">
        <v>852</v>
      </c>
      <c r="F99" s="4">
        <v>-1.491501908</v>
      </c>
      <c r="G99" s="2" t="s">
        <v>61</v>
      </c>
      <c r="H99" s="5">
        <v>864.9</v>
      </c>
      <c r="I99" s="1" t="s">
        <v>8</v>
      </c>
      <c r="J99" s="52" t="s">
        <v>41</v>
      </c>
      <c r="K99" s="17"/>
      <c r="L99" s="17"/>
      <c r="M99" s="17"/>
      <c r="N99" t="str">
        <f t="shared" si="3"/>
        <v>Unique</v>
      </c>
    </row>
    <row r="100" spans="1:15" ht="27.65" hidden="1" customHeight="1" thickBot="1" x14ac:dyDescent="0.4">
      <c r="A100" s="3">
        <v>46252.645833333336</v>
      </c>
      <c r="B100" s="1" t="s">
        <v>53</v>
      </c>
      <c r="C100" s="1" t="s">
        <v>10</v>
      </c>
      <c r="D100" s="4">
        <v>2</v>
      </c>
      <c r="E100" s="4">
        <v>2426</v>
      </c>
      <c r="F100" s="4">
        <v>-1.462225833</v>
      </c>
      <c r="G100" s="2" t="s">
        <v>54</v>
      </c>
      <c r="H100" s="5">
        <v>2462</v>
      </c>
      <c r="I100" s="1" t="s">
        <v>8</v>
      </c>
      <c r="J100" s="54" t="s">
        <v>41</v>
      </c>
      <c r="K100" s="17"/>
      <c r="L100" s="17"/>
      <c r="M100" s="17"/>
      <c r="N100" t="str">
        <f t="shared" si="3"/>
        <v>Unique</v>
      </c>
    </row>
    <row r="101" spans="1:15" ht="27.65" hidden="1" customHeight="1" thickBot="1" x14ac:dyDescent="0.4">
      <c r="A101" s="6" t="s">
        <v>62</v>
      </c>
      <c r="B101" s="1" t="s">
        <v>63</v>
      </c>
      <c r="C101" s="1" t="s">
        <v>10</v>
      </c>
      <c r="D101" s="4">
        <v>15</v>
      </c>
      <c r="E101" s="4">
        <v>1005</v>
      </c>
      <c r="F101" s="4">
        <v>-1.325478645</v>
      </c>
      <c r="G101" s="2" t="s">
        <v>64</v>
      </c>
      <c r="H101" s="5">
        <v>1018.5</v>
      </c>
      <c r="I101" s="1" t="s">
        <v>8</v>
      </c>
      <c r="J101" s="52"/>
      <c r="K101" s="17"/>
      <c r="L101" s="17"/>
      <c r="M101" s="17"/>
      <c r="N101" t="str">
        <f t="shared" si="3"/>
        <v>Unique</v>
      </c>
    </row>
    <row r="102" spans="1:15" ht="27.65" hidden="1" customHeight="1" thickBot="1" x14ac:dyDescent="0.4">
      <c r="A102" s="3">
        <v>46252.635416666664</v>
      </c>
      <c r="B102" s="1" t="s">
        <v>36</v>
      </c>
      <c r="C102" s="1" t="s">
        <v>10</v>
      </c>
      <c r="D102" s="4">
        <v>5</v>
      </c>
      <c r="E102" s="4">
        <v>1142</v>
      </c>
      <c r="F102" s="4">
        <v>-1.21961768</v>
      </c>
      <c r="G102" s="2" t="s">
        <v>65</v>
      </c>
      <c r="H102" s="5">
        <v>1156.0999999999999</v>
      </c>
      <c r="I102" s="1" t="s">
        <v>8</v>
      </c>
      <c r="J102" s="22" t="s">
        <v>41</v>
      </c>
      <c r="K102" s="17"/>
      <c r="L102" s="17"/>
      <c r="M102" s="17"/>
      <c r="N102" t="str">
        <f t="shared" si="3"/>
        <v>Unique</v>
      </c>
    </row>
    <row r="103" spans="1:15" ht="14.4" hidden="1" customHeight="1" thickBot="1" x14ac:dyDescent="0.4">
      <c r="A103" s="6" t="s">
        <v>62</v>
      </c>
      <c r="B103" s="1" t="s">
        <v>49</v>
      </c>
      <c r="C103" s="1" t="s">
        <v>10</v>
      </c>
      <c r="D103" s="4">
        <v>5</v>
      </c>
      <c r="E103" s="4">
        <v>3938</v>
      </c>
      <c r="F103" s="4">
        <v>-1.2190839309999999</v>
      </c>
      <c r="G103" s="2" t="s">
        <v>50</v>
      </c>
      <c r="H103" s="5">
        <v>3986.6</v>
      </c>
      <c r="I103" s="1" t="s">
        <v>8</v>
      </c>
      <c r="J103" s="52"/>
      <c r="K103" s="17"/>
      <c r="L103" s="17"/>
      <c r="M103" s="17"/>
      <c r="N103" t="str">
        <f t="shared" si="3"/>
        <v>Unique</v>
      </c>
    </row>
    <row r="104" spans="1:15" ht="15.65" hidden="1" customHeight="1" thickBot="1" x14ac:dyDescent="0.4">
      <c r="A104" s="3">
        <v>46252.6875</v>
      </c>
      <c r="B104" s="1" t="s">
        <v>24</v>
      </c>
      <c r="C104" s="1" t="s">
        <v>10</v>
      </c>
      <c r="D104" s="4">
        <v>40</v>
      </c>
      <c r="E104" s="4">
        <v>426</v>
      </c>
      <c r="F104" s="4">
        <v>-1.125681792</v>
      </c>
      <c r="G104" s="2" t="s">
        <v>56</v>
      </c>
      <c r="H104" s="5">
        <v>430.85</v>
      </c>
      <c r="I104" s="1" t="s">
        <v>8</v>
      </c>
      <c r="J104" s="52" t="s">
        <v>55</v>
      </c>
      <c r="K104" s="17"/>
      <c r="L104" s="17"/>
      <c r="M104" s="17"/>
      <c r="N104" t="str">
        <f t="shared" si="3"/>
        <v>Unique</v>
      </c>
    </row>
    <row r="105" spans="1:15" ht="14.4" hidden="1" customHeight="1" thickBot="1" x14ac:dyDescent="0.4">
      <c r="A105" s="6" t="s">
        <v>62</v>
      </c>
      <c r="B105" s="1" t="s">
        <v>49</v>
      </c>
      <c r="C105" s="1" t="s">
        <v>10</v>
      </c>
      <c r="D105" s="4">
        <v>5</v>
      </c>
      <c r="E105" s="4">
        <v>3952</v>
      </c>
      <c r="F105" s="4">
        <v>-0.86790749010000001</v>
      </c>
      <c r="G105" s="2" t="s">
        <v>50</v>
      </c>
      <c r="H105" s="5">
        <v>3986.6</v>
      </c>
      <c r="I105" s="1" t="s">
        <v>8</v>
      </c>
      <c r="J105" s="22" t="s">
        <v>55</v>
      </c>
      <c r="K105" s="17"/>
      <c r="L105" s="17"/>
      <c r="M105" s="17"/>
      <c r="N105" t="str">
        <f t="shared" si="3"/>
        <v>Unique</v>
      </c>
    </row>
    <row r="106" spans="1:15" ht="14.4" hidden="1" customHeight="1" thickBot="1" x14ac:dyDescent="0.4">
      <c r="A106" s="36">
        <v>46268.375</v>
      </c>
      <c r="B106" s="37" t="s">
        <v>51</v>
      </c>
      <c r="C106" s="37" t="s">
        <v>10</v>
      </c>
      <c r="D106" s="38">
        <v>10</v>
      </c>
      <c r="E106" s="38">
        <v>917</v>
      </c>
      <c r="F106" s="4">
        <v>-0.86486486490000003</v>
      </c>
      <c r="G106" s="2" t="s">
        <v>52</v>
      </c>
      <c r="H106" s="5">
        <v>925</v>
      </c>
      <c r="I106" s="1" t="s">
        <v>8</v>
      </c>
      <c r="J106" s="32" t="s">
        <v>55</v>
      </c>
      <c r="K106" s="33" t="s">
        <v>251</v>
      </c>
      <c r="L106" s="33">
        <v>9370</v>
      </c>
      <c r="M106" s="33">
        <f>ABS((D106*E106)-L106)</f>
        <v>200</v>
      </c>
      <c r="N106" s="35" t="str">
        <f t="shared" si="3"/>
        <v>Duplicate</v>
      </c>
    </row>
    <row r="107" spans="1:15" ht="15.65" hidden="1" customHeight="1" thickBot="1" x14ac:dyDescent="0.4">
      <c r="A107" s="36">
        <v>46269.375509259262</v>
      </c>
      <c r="B107" s="37" t="s">
        <v>51</v>
      </c>
      <c r="C107" s="37" t="s">
        <v>10</v>
      </c>
      <c r="D107" s="38">
        <v>10</v>
      </c>
      <c r="E107" s="38">
        <v>917</v>
      </c>
      <c r="F107" s="4">
        <v>-0.86486486490000003</v>
      </c>
      <c r="G107" s="2" t="s">
        <v>52</v>
      </c>
      <c r="H107" s="5">
        <v>925</v>
      </c>
      <c r="I107" s="1" t="s">
        <v>8</v>
      </c>
      <c r="J107" s="32" t="s">
        <v>55</v>
      </c>
      <c r="K107" s="33" t="s">
        <v>269</v>
      </c>
      <c r="L107" s="33">
        <v>9470</v>
      </c>
      <c r="M107" s="33">
        <f>ABS((D107*E107)-L107)</f>
        <v>300</v>
      </c>
      <c r="N107" s="34" t="str">
        <f t="shared" si="3"/>
        <v>Duplicate</v>
      </c>
    </row>
    <row r="108" spans="1:15" ht="14.4" hidden="1" customHeight="1" thickBot="1" x14ac:dyDescent="0.4">
      <c r="A108" s="3">
        <v>46269.375509259262</v>
      </c>
      <c r="B108" s="1" t="s">
        <v>87</v>
      </c>
      <c r="C108" s="1" t="s">
        <v>10</v>
      </c>
      <c r="D108" s="4">
        <v>10</v>
      </c>
      <c r="E108" s="4">
        <v>1251</v>
      </c>
      <c r="F108" s="4">
        <v>-0.63542494039999997</v>
      </c>
      <c r="G108" s="2" t="s">
        <v>88</v>
      </c>
      <c r="H108" s="5">
        <v>1259</v>
      </c>
      <c r="I108" s="1" t="s">
        <v>8</v>
      </c>
      <c r="J108" s="32" t="s">
        <v>55</v>
      </c>
      <c r="K108" s="18" t="s">
        <v>273</v>
      </c>
      <c r="L108" s="18">
        <f>10*1280</f>
        <v>12800</v>
      </c>
      <c r="M108" s="27">
        <f>ABS((D108*E108)-L108)</f>
        <v>290</v>
      </c>
      <c r="N108" t="str">
        <f t="shared" si="3"/>
        <v>Unique</v>
      </c>
    </row>
    <row r="109" spans="1:15" ht="14.4" customHeight="1" thickBot="1" x14ac:dyDescent="0.4">
      <c r="A109" s="11">
        <v>46252.635416666664</v>
      </c>
      <c r="B109" s="8" t="s">
        <v>74</v>
      </c>
      <c r="C109" s="8" t="s">
        <v>7</v>
      </c>
      <c r="D109" s="8">
        <v>5</v>
      </c>
      <c r="E109" s="8">
        <v>3482</v>
      </c>
      <c r="F109" s="4">
        <v>2.0815010260000002</v>
      </c>
      <c r="G109" s="2" t="s">
        <v>75</v>
      </c>
      <c r="H109" s="5">
        <v>3411</v>
      </c>
      <c r="I109" s="1" t="s">
        <v>8</v>
      </c>
      <c r="J109" s="21" t="s">
        <v>118</v>
      </c>
      <c r="N109" s="10" t="str">
        <f>IF(COUNTIFS( $B$2:$B$797, B109, $C$2:$C$797, C109, $D$2:$D$797, D109, $E$2:$E$797, E109) &gt; 1, "Duplicate", "Unique")</f>
        <v>Unique</v>
      </c>
      <c r="O109" s="57" t="s">
        <v>275</v>
      </c>
    </row>
    <row r="110" spans="1:15" s="25" customFormat="1" ht="14.4" customHeight="1" thickBot="1" x14ac:dyDescent="0.4">
      <c r="A110" s="3">
        <v>46266.375</v>
      </c>
      <c r="B110" s="1" t="s">
        <v>15</v>
      </c>
      <c r="C110" s="1" t="s">
        <v>7</v>
      </c>
      <c r="D110" s="4">
        <v>10</v>
      </c>
      <c r="E110" s="4">
        <v>2595</v>
      </c>
      <c r="F110" s="4">
        <v>2.2458628840000001</v>
      </c>
      <c r="G110" s="2" t="s">
        <v>72</v>
      </c>
      <c r="H110" s="5">
        <v>2538</v>
      </c>
      <c r="I110" s="1" t="s">
        <v>8</v>
      </c>
      <c r="J110" s="24" t="s">
        <v>118</v>
      </c>
      <c r="K110" s="18" t="s">
        <v>228</v>
      </c>
      <c r="L110" s="18">
        <v>25300</v>
      </c>
      <c r="M110" s="18">
        <f>ABS((D110*E110)-L110)</f>
        <v>650</v>
      </c>
      <c r="N110" s="10" t="str">
        <f>IF(COUNTIFS( $B$2:$B$797, B110, $C$2:$C$797, C110, $D$2:$D$797, D110, $E$2:$E$797, E110) &gt; 1, "Duplicate", "Unique")</f>
        <v>Unique</v>
      </c>
      <c r="O110" s="57" t="s">
        <v>275</v>
      </c>
    </row>
    <row r="111" spans="1:15" ht="14.4" customHeight="1" thickBot="1" x14ac:dyDescent="0.4">
      <c r="A111" s="3">
        <v>46267.513888888891</v>
      </c>
      <c r="B111" s="1" t="s">
        <v>15</v>
      </c>
      <c r="C111" s="1" t="s">
        <v>7</v>
      </c>
      <c r="D111" s="4">
        <v>5</v>
      </c>
      <c r="E111" s="4">
        <v>2595</v>
      </c>
      <c r="F111" s="4">
        <v>2.2458628840000001</v>
      </c>
      <c r="G111" s="2" t="s">
        <v>72</v>
      </c>
      <c r="H111" s="5">
        <v>2538</v>
      </c>
      <c r="I111" s="1" t="s">
        <v>8</v>
      </c>
      <c r="J111" s="24" t="s">
        <v>118</v>
      </c>
      <c r="K111" s="18" t="s">
        <v>240</v>
      </c>
      <c r="L111" s="18">
        <v>12480</v>
      </c>
      <c r="M111" s="18">
        <f>ABS((D111*E111)-L111)</f>
        <v>495</v>
      </c>
      <c r="N111" s="10" t="str">
        <f>IF(COUNTIFS( $B$2:$B$797, B111, $C$2:$C$797, C111, $D$2:$D$797, D111, $E$2:$E$797, E111) &gt; 1, "Duplicate", "Unique")</f>
        <v>Unique</v>
      </c>
      <c r="O111" s="57" t="s">
        <v>275</v>
      </c>
    </row>
    <row r="112" spans="1:15" ht="14.4" customHeight="1" thickBot="1" x14ac:dyDescent="0.4">
      <c r="A112" s="3">
        <v>46265.392361111109</v>
      </c>
      <c r="B112" s="1" t="s">
        <v>19</v>
      </c>
      <c r="C112" s="1" t="s">
        <v>7</v>
      </c>
      <c r="D112" s="4">
        <v>250</v>
      </c>
      <c r="E112" s="4">
        <v>227.8</v>
      </c>
      <c r="F112" s="4">
        <v>2.2671155999999999</v>
      </c>
      <c r="G112" s="2" t="s">
        <v>40</v>
      </c>
      <c r="H112" s="5">
        <v>222.75</v>
      </c>
      <c r="I112" s="1" t="s">
        <v>8</v>
      </c>
      <c r="J112" s="24" t="s">
        <v>118</v>
      </c>
      <c r="K112" s="18" t="s">
        <v>219</v>
      </c>
      <c r="L112" s="18">
        <v>55382.5</v>
      </c>
      <c r="M112" s="18">
        <f>ABS((D112*E112)-L112)</f>
        <v>1567.5</v>
      </c>
      <c r="N112" t="str">
        <f>IF(COUNTIFS( $B$2:$B$797, B112, $C$2:$C$797, C112, $D$2:$D$797, D112, $E$2:$E$797, E112) &gt; 1, "Duplicate", "Unique")</f>
        <v>Unique</v>
      </c>
      <c r="O112" s="57" t="s">
        <v>275</v>
      </c>
    </row>
    <row r="113" spans="1:15" ht="14.4" customHeight="1" thickBot="1" x14ac:dyDescent="0.4">
      <c r="A113" s="3">
        <v>46269.542858796296</v>
      </c>
      <c r="B113" s="1" t="s">
        <v>14</v>
      </c>
      <c r="C113" s="1" t="s">
        <v>7</v>
      </c>
      <c r="D113" s="4">
        <v>50</v>
      </c>
      <c r="E113" s="4">
        <v>330.4</v>
      </c>
      <c r="F113" s="4">
        <v>2.275189599</v>
      </c>
      <c r="G113" s="2" t="s">
        <v>45</v>
      </c>
      <c r="H113" s="5">
        <v>323.05</v>
      </c>
      <c r="I113" s="1" t="s">
        <v>8</v>
      </c>
      <c r="J113" s="24" t="s">
        <v>118</v>
      </c>
      <c r="K113" s="18" t="s">
        <v>261</v>
      </c>
      <c r="L113" s="18">
        <v>16219.999999999998</v>
      </c>
      <c r="M113" s="27">
        <f>ABS((D113*E113)-L113)</f>
        <v>300.00000000000182</v>
      </c>
      <c r="N113" t="str">
        <f>IF(COUNTIFS( $B$2:$B$797, B113, $C$2:$C$797, C113, $D$2:$D$797, D113, $E$2:$E$797, E113) &gt; 1, "Duplicate", "Unique")</f>
        <v>Unique</v>
      </c>
    </row>
    <row r="114" spans="1:15" ht="15" thickBot="1" x14ac:dyDescent="0.4">
      <c r="A114" s="3">
        <v>46266.375694444447</v>
      </c>
      <c r="B114" s="1" t="s">
        <v>66</v>
      </c>
      <c r="C114" s="1" t="s">
        <v>7</v>
      </c>
      <c r="D114" s="4">
        <v>5</v>
      </c>
      <c r="E114" s="4">
        <v>1248</v>
      </c>
      <c r="F114" s="4">
        <v>2.3789991800000001</v>
      </c>
      <c r="G114" s="2" t="s">
        <v>67</v>
      </c>
      <c r="H114" s="5">
        <v>1219</v>
      </c>
      <c r="I114" s="1" t="s">
        <v>8</v>
      </c>
      <c r="J114" s="24" t="s">
        <v>117</v>
      </c>
      <c r="K114" s="18" t="s">
        <v>222</v>
      </c>
      <c r="L114" s="18">
        <v>5940</v>
      </c>
      <c r="M114" s="18">
        <f>ABS((D114*E114)-L114)</f>
        <v>300</v>
      </c>
      <c r="N114" s="10" t="str">
        <f>IF(COUNTIFS( $B$2:$B$797, B114, $C$2:$C$797, C114, $D$2:$D$797, D114, $E$2:$E$797, E114) &gt; 1, "Duplicate", "Unique")</f>
        <v>Unique</v>
      </c>
      <c r="O114" s="57" t="s">
        <v>275</v>
      </c>
    </row>
    <row r="115" spans="1:15" ht="15" thickBot="1" x14ac:dyDescent="0.4">
      <c r="A115" s="3">
        <v>46265.375694444447</v>
      </c>
      <c r="B115" s="1" t="s">
        <v>49</v>
      </c>
      <c r="C115" s="1" t="s">
        <v>7</v>
      </c>
      <c r="D115" s="4">
        <v>5</v>
      </c>
      <c r="E115" s="4">
        <v>4092</v>
      </c>
      <c r="F115" s="4">
        <v>2.6438569209999998</v>
      </c>
      <c r="G115" s="2" t="s">
        <v>50</v>
      </c>
      <c r="H115" s="5">
        <v>3986.6</v>
      </c>
      <c r="I115" s="1" t="s">
        <v>8</v>
      </c>
      <c r="J115" s="24" t="s">
        <v>118</v>
      </c>
      <c r="K115" s="18" t="s">
        <v>215</v>
      </c>
      <c r="L115" s="18">
        <v>20010</v>
      </c>
      <c r="M115" s="18">
        <f>ABS((D115*E115)-L115)</f>
        <v>450</v>
      </c>
      <c r="N115" t="str">
        <f>IF(COUNTIFS( $B$2:$B$797, B115, $C$2:$C$797, C115, $D$2:$D$797, D115, $E$2:$E$797, E115) &gt; 1, "Duplicate", "Unique")</f>
        <v>Unique</v>
      </c>
      <c r="O115" s="57" t="s">
        <v>275</v>
      </c>
    </row>
    <row r="116" spans="1:15" ht="14.4" customHeight="1" thickBot="1" x14ac:dyDescent="0.4">
      <c r="A116" s="3">
        <v>46265.375694444447</v>
      </c>
      <c r="B116" s="1" t="s">
        <v>15</v>
      </c>
      <c r="C116" s="1" t="s">
        <v>7</v>
      </c>
      <c r="D116" s="4">
        <v>10</v>
      </c>
      <c r="E116" s="4">
        <v>2608</v>
      </c>
      <c r="F116" s="4">
        <v>2.7580772260000002</v>
      </c>
      <c r="G116" s="2" t="s">
        <v>72</v>
      </c>
      <c r="H116" s="5">
        <v>2538</v>
      </c>
      <c r="I116" s="1" t="s">
        <v>8</v>
      </c>
      <c r="J116" s="24" t="s">
        <v>118</v>
      </c>
      <c r="K116" s="18" t="s">
        <v>211</v>
      </c>
      <c r="L116" s="18">
        <v>25780</v>
      </c>
      <c r="M116" s="18">
        <f>ABS((D116*E116)-L116)</f>
        <v>300</v>
      </c>
      <c r="N116" t="str">
        <f>IF(COUNTIFS( $B$2:$B$797, B116, $C$2:$C$797, C116, $D$2:$D$797, D116, $E$2:$E$797, E116) &gt; 1, "Duplicate", "Unique")</f>
        <v>Unique</v>
      </c>
      <c r="O116" s="57" t="s">
        <v>275</v>
      </c>
    </row>
    <row r="117" spans="1:15" ht="14.4" customHeight="1" thickBot="1" x14ac:dyDescent="0.4">
      <c r="A117" s="3">
        <v>46266.375</v>
      </c>
      <c r="B117" s="1" t="s">
        <v>87</v>
      </c>
      <c r="C117" s="1" t="s">
        <v>7</v>
      </c>
      <c r="D117" s="4">
        <v>10</v>
      </c>
      <c r="E117" s="4">
        <v>1296</v>
      </c>
      <c r="F117" s="4">
        <v>2.9388403489999999</v>
      </c>
      <c r="G117" s="2" t="s">
        <v>88</v>
      </c>
      <c r="H117" s="5">
        <v>1259</v>
      </c>
      <c r="I117" s="1" t="s">
        <v>8</v>
      </c>
      <c r="J117" s="24" t="s">
        <v>117</v>
      </c>
      <c r="K117" s="18" t="s">
        <v>227</v>
      </c>
      <c r="L117" s="18">
        <v>12600</v>
      </c>
      <c r="M117" s="18">
        <f>ABS((D117*E117)-L117)</f>
        <v>360</v>
      </c>
      <c r="N117" s="10" t="str">
        <f>IF(COUNTIFS( $B$2:$B$797, B117, $C$2:$C$797, C117, $D$2:$D$797, D117, $E$2:$E$797, E117) &gt; 1, "Duplicate", "Unique")</f>
        <v>Unique</v>
      </c>
    </row>
    <row r="118" spans="1:15" customFormat="1" ht="15" thickBot="1" x14ac:dyDescent="0.4">
      <c r="A118" s="11">
        <v>46252.6875</v>
      </c>
      <c r="B118" s="8" t="s">
        <v>9</v>
      </c>
      <c r="C118" s="8" t="s">
        <v>7</v>
      </c>
      <c r="D118" s="8">
        <v>50</v>
      </c>
      <c r="E118" s="8">
        <v>305</v>
      </c>
      <c r="F118" s="4">
        <v>3.0057413039999998</v>
      </c>
      <c r="G118" s="2" t="s">
        <v>95</v>
      </c>
      <c r="H118" s="5">
        <v>296.10000000000002</v>
      </c>
      <c r="I118" s="1" t="s">
        <v>8</v>
      </c>
      <c r="J118" s="40" t="s">
        <v>118</v>
      </c>
      <c r="K118" s="18"/>
      <c r="L118" s="18"/>
      <c r="M118" s="18"/>
      <c r="N118" s="10" t="str">
        <f>IF(COUNTIFS( $B$2:$B$797, B118, $C$2:$C$797, C118, $D$2:$D$797, D118, $E$2:$E$797, E118) &gt; 1, "Duplicate", "Unique")</f>
        <v>Unique</v>
      </c>
      <c r="O118" s="57" t="s">
        <v>275</v>
      </c>
    </row>
    <row r="119" spans="1:15" customFormat="1" ht="15" thickBot="1" x14ac:dyDescent="0.4">
      <c r="A119" s="3">
        <v>46265.466666666667</v>
      </c>
      <c r="B119" s="1" t="s">
        <v>80</v>
      </c>
      <c r="C119" s="1" t="s">
        <v>7</v>
      </c>
      <c r="D119" s="4">
        <v>10</v>
      </c>
      <c r="E119" s="4">
        <v>1548</v>
      </c>
      <c r="F119" s="4">
        <v>3.0625832220000002</v>
      </c>
      <c r="G119" s="2" t="s">
        <v>81</v>
      </c>
      <c r="H119" s="5">
        <v>1502</v>
      </c>
      <c r="I119" s="1" t="s">
        <v>8</v>
      </c>
      <c r="J119" s="18" t="s">
        <v>117</v>
      </c>
      <c r="K119" s="18" t="s">
        <v>206</v>
      </c>
      <c r="L119" s="18">
        <v>15050</v>
      </c>
      <c r="M119" s="18">
        <f>ABS((D119*E119)-L119)</f>
        <v>430</v>
      </c>
      <c r="N119" t="str">
        <f>IF(COUNTIFS( $B$2:$B$797, B119, $C$2:$C$797, C119, $D$2:$D$797, D119, $E$2:$E$797, E119) &gt; 1, "Duplicate", "Unique")</f>
        <v>Unique</v>
      </c>
      <c r="O119" s="57" t="s">
        <v>275</v>
      </c>
    </row>
    <row r="120" spans="1:15" customFormat="1" ht="15" thickBot="1" x14ac:dyDescent="0.4">
      <c r="A120" s="3">
        <v>46261.375</v>
      </c>
      <c r="B120" s="1" t="s">
        <v>57</v>
      </c>
      <c r="C120" s="1" t="s">
        <v>7</v>
      </c>
      <c r="D120" s="4">
        <v>5</v>
      </c>
      <c r="E120" s="4">
        <v>2948</v>
      </c>
      <c r="F120" s="4">
        <v>3.1057638500000002</v>
      </c>
      <c r="G120" s="2" t="s">
        <v>58</v>
      </c>
      <c r="H120" s="5">
        <v>2859.2</v>
      </c>
      <c r="I120" s="1" t="s">
        <v>8</v>
      </c>
      <c r="J120" s="18" t="s">
        <v>117</v>
      </c>
      <c r="K120" s="18" t="s">
        <v>186</v>
      </c>
      <c r="L120" s="18">
        <v>14440</v>
      </c>
      <c r="M120" s="18">
        <f>ABS((D120*E120)-L120)</f>
        <v>300</v>
      </c>
      <c r="N120" s="10" t="str">
        <f>IF(COUNTIFS( $B$2:$B$797, B120, $C$2:$C$797, C120, $D$2:$D$797, D120, $E$2:$E$797, E120) &gt; 1, "Duplicate", "Unique")</f>
        <v>Unique</v>
      </c>
    </row>
    <row r="121" spans="1:15" customFormat="1" ht="15" thickBot="1" x14ac:dyDescent="0.4">
      <c r="A121" s="3">
        <v>46269.614710648151</v>
      </c>
      <c r="B121" s="1" t="s">
        <v>23</v>
      </c>
      <c r="C121" s="1" t="s">
        <v>7</v>
      </c>
      <c r="D121" s="4">
        <v>40</v>
      </c>
      <c r="E121" s="4">
        <v>219</v>
      </c>
      <c r="F121" s="4">
        <v>3.1073446329999999</v>
      </c>
      <c r="G121" s="2" t="s">
        <v>70</v>
      </c>
      <c r="H121" s="5">
        <v>212.4</v>
      </c>
      <c r="I121" s="1" t="s">
        <v>8</v>
      </c>
      <c r="J121" s="18" t="s">
        <v>117</v>
      </c>
      <c r="K121" s="18" t="s">
        <v>264</v>
      </c>
      <c r="L121" s="18">
        <v>8480</v>
      </c>
      <c r="M121" s="27">
        <f>ABS((D121*E121)-L121)</f>
        <v>280</v>
      </c>
      <c r="N121" t="str">
        <f>IF(COUNTIFS( $B$2:$B$797, B121, $C$2:$C$797, C121, $D$2:$D$797, D121, $E$2:$E$797, E121) &gt; 1, "Duplicate", "Unique")</f>
        <v>Unique</v>
      </c>
      <c r="O121" s="57" t="s">
        <v>275</v>
      </c>
    </row>
    <row r="122" spans="1:15" customFormat="1" ht="15" thickBot="1" x14ac:dyDescent="0.4">
      <c r="A122" s="3">
        <v>46260.375694444447</v>
      </c>
      <c r="B122" s="1" t="s">
        <v>49</v>
      </c>
      <c r="C122" s="1" t="s">
        <v>7</v>
      </c>
      <c r="D122" s="4">
        <v>5</v>
      </c>
      <c r="E122" s="4">
        <v>4112</v>
      </c>
      <c r="F122" s="4">
        <v>3.1455375509999999</v>
      </c>
      <c r="G122" s="2" t="s">
        <v>50</v>
      </c>
      <c r="H122" s="5">
        <v>3986.6</v>
      </c>
      <c r="I122" s="1" t="s">
        <v>8</v>
      </c>
      <c r="J122" s="18" t="s">
        <v>118</v>
      </c>
      <c r="K122" s="18" t="s">
        <v>174</v>
      </c>
      <c r="L122" s="18">
        <v>20260</v>
      </c>
      <c r="M122" s="18">
        <f>ABS((D122*E122)-L122)</f>
        <v>300</v>
      </c>
      <c r="N122" t="str">
        <f>IF(COUNTIFS( $B$2:$B$797, B122, $C$2:$C$797, C122, $D$2:$D$797, D122, $E$2:$E$797, E122) &gt; 1, "Duplicate", "Unique")</f>
        <v>Unique</v>
      </c>
    </row>
    <row r="123" spans="1:15" customFormat="1" ht="15" thickBot="1" x14ac:dyDescent="0.4">
      <c r="A123" s="3">
        <v>46265.390277777777</v>
      </c>
      <c r="B123" s="1" t="s">
        <v>15</v>
      </c>
      <c r="C123" s="1" t="s">
        <v>7</v>
      </c>
      <c r="D123" s="4">
        <v>10</v>
      </c>
      <c r="E123" s="4">
        <v>2618</v>
      </c>
      <c r="F123" s="4">
        <v>3.152088258</v>
      </c>
      <c r="G123" s="2" t="s">
        <v>72</v>
      </c>
      <c r="H123" s="5">
        <v>2538</v>
      </c>
      <c r="I123" s="1" t="s">
        <v>8</v>
      </c>
      <c r="J123" s="18" t="s">
        <v>117</v>
      </c>
      <c r="K123" s="18" t="s">
        <v>208</v>
      </c>
      <c r="L123" s="18">
        <v>25530</v>
      </c>
      <c r="M123" s="18">
        <f>ABS((D123*E123)-L123)</f>
        <v>650</v>
      </c>
      <c r="N123" t="str">
        <f>IF(COUNTIFS( $B$2:$B$797, B123, $C$2:$C$797, C123, $D$2:$D$797, D123, $E$2:$E$797, E123) &gt; 1, "Duplicate", "Unique")</f>
        <v>Unique</v>
      </c>
    </row>
    <row r="124" spans="1:15" customFormat="1" ht="15" thickBot="1" x14ac:dyDescent="0.4">
      <c r="A124" s="3">
        <v>46266.375694444447</v>
      </c>
      <c r="B124" s="1" t="s">
        <v>121</v>
      </c>
      <c r="C124" s="1" t="s">
        <v>7</v>
      </c>
      <c r="D124" s="4">
        <v>25</v>
      </c>
      <c r="E124" s="4">
        <v>772</v>
      </c>
      <c r="F124" s="4">
        <v>3.2499665640000002</v>
      </c>
      <c r="G124" s="2" t="s">
        <v>122</v>
      </c>
      <c r="H124" s="5">
        <v>747.7</v>
      </c>
      <c r="I124" s="1" t="s">
        <v>8</v>
      </c>
      <c r="J124" s="18" t="s">
        <v>117</v>
      </c>
      <c r="K124" s="18" t="s">
        <v>223</v>
      </c>
      <c r="L124" s="18">
        <v>18800</v>
      </c>
      <c r="M124" s="18">
        <f>ABS((D124*E124)-L124)</f>
        <v>500</v>
      </c>
      <c r="N124" s="10" t="str">
        <f>IF(COUNTIFS( $B$2:$B$797, B124, $C$2:$C$797, C124, $D$2:$D$797, D124, $E$2:$E$797, E124) &gt; 1, "Duplicate", "Unique")</f>
        <v>Unique</v>
      </c>
      <c r="O124" s="58" t="s">
        <v>275</v>
      </c>
    </row>
    <row r="125" spans="1:15" customFormat="1" ht="15" thickBot="1" x14ac:dyDescent="0.4">
      <c r="A125" s="3">
        <v>46267.425694444442</v>
      </c>
      <c r="B125" s="1" t="s">
        <v>35</v>
      </c>
      <c r="C125" s="1" t="s">
        <v>7</v>
      </c>
      <c r="D125" s="4">
        <v>20</v>
      </c>
      <c r="E125" s="4">
        <v>219.5</v>
      </c>
      <c r="F125" s="4">
        <v>3.2989787750000001</v>
      </c>
      <c r="G125" s="2" t="s">
        <v>42</v>
      </c>
      <c r="H125" s="5">
        <v>212.49</v>
      </c>
      <c r="I125" s="1" t="s">
        <v>8</v>
      </c>
      <c r="J125" s="18" t="s">
        <v>118</v>
      </c>
      <c r="K125" s="18" t="s">
        <v>233</v>
      </c>
      <c r="L125" s="18">
        <v>4120</v>
      </c>
      <c r="M125" s="18">
        <f>ABS((D125*E125)-L125)</f>
        <v>270</v>
      </c>
      <c r="N125" s="10" t="str">
        <f>IF(COUNTIFS( $B$2:$B$797, B125, $C$2:$C$797, C125, $D$2:$D$797, D125, $E$2:$E$797, E125) &gt; 1, "Duplicate", "Unique")</f>
        <v>Unique</v>
      </c>
      <c r="O125" s="58" t="s">
        <v>275</v>
      </c>
    </row>
    <row r="126" spans="1:15" ht="15" thickBot="1" x14ac:dyDescent="0.4">
      <c r="A126" s="3">
        <v>46268.375</v>
      </c>
      <c r="B126" s="1" t="s">
        <v>14</v>
      </c>
      <c r="C126" s="1" t="s">
        <v>7</v>
      </c>
      <c r="D126" s="4">
        <v>100</v>
      </c>
      <c r="E126" s="4">
        <v>334</v>
      </c>
      <c r="F126" s="4">
        <v>3.3895681780000002</v>
      </c>
      <c r="G126" s="2" t="s">
        <v>45</v>
      </c>
      <c r="H126" s="5">
        <v>323.05</v>
      </c>
      <c r="I126" s="1" t="s">
        <v>8</v>
      </c>
      <c r="J126" s="18" t="s">
        <v>117</v>
      </c>
      <c r="K126" s="18" t="s">
        <v>247</v>
      </c>
      <c r="L126" s="18">
        <v>32200</v>
      </c>
      <c r="M126" s="18">
        <f>ABS((D126*E126)-L126)</f>
        <v>1200</v>
      </c>
      <c r="N126" s="10" t="str">
        <f>IF(COUNTIFS( $B$2:$B$797, B126, $C$2:$C$797, C126, $D$2:$D$797, D126, $E$2:$E$797, E126) &gt; 1, "Duplicate", "Unique")</f>
        <v>Unique</v>
      </c>
      <c r="O126" s="57" t="s">
        <v>275</v>
      </c>
    </row>
    <row r="127" spans="1:15" s="35" customFormat="1" ht="15" thickBot="1" x14ac:dyDescent="0.4">
      <c r="A127" s="3">
        <v>46267.375</v>
      </c>
      <c r="B127" s="1" t="s">
        <v>51</v>
      </c>
      <c r="C127" s="1" t="s">
        <v>7</v>
      </c>
      <c r="D127" s="4">
        <v>10</v>
      </c>
      <c r="E127" s="4">
        <v>957</v>
      </c>
      <c r="F127" s="4">
        <v>3.4594594590000001</v>
      </c>
      <c r="G127" s="2" t="s">
        <v>52</v>
      </c>
      <c r="H127" s="5">
        <v>925</v>
      </c>
      <c r="I127" s="1" t="s">
        <v>8</v>
      </c>
      <c r="J127" s="18" t="s">
        <v>117</v>
      </c>
      <c r="K127" s="18" t="s">
        <v>242</v>
      </c>
      <c r="L127" s="18">
        <v>9270</v>
      </c>
      <c r="M127" s="18">
        <f>ABS((D127*E127)-L127)</f>
        <v>300</v>
      </c>
      <c r="N127" s="10" t="str">
        <f>IF(COUNTIFS( $B$2:$B$797, B127, $C$2:$C$797, C127, $D$2:$D$797, D127, $E$2:$E$797, E127) &gt; 1, "Duplicate", "Unique")</f>
        <v>Unique</v>
      </c>
      <c r="O127" s="57" t="s">
        <v>275</v>
      </c>
    </row>
    <row r="128" spans="1:15" s="35" customFormat="1" ht="15" thickBot="1" x14ac:dyDescent="0.4">
      <c r="A128" s="3">
        <v>46269.411423611113</v>
      </c>
      <c r="B128" s="1" t="s">
        <v>13</v>
      </c>
      <c r="C128" s="1" t="s">
        <v>7</v>
      </c>
      <c r="D128" s="4">
        <v>10</v>
      </c>
      <c r="E128" s="4">
        <v>1879</v>
      </c>
      <c r="F128" s="4">
        <v>3.5489915129999998</v>
      </c>
      <c r="G128" s="2" t="s">
        <v>91</v>
      </c>
      <c r="H128" s="5">
        <v>1814.6</v>
      </c>
      <c r="I128" s="1" t="s">
        <v>8</v>
      </c>
      <c r="J128" s="18" t="s">
        <v>118</v>
      </c>
      <c r="K128" s="18" t="s">
        <v>263</v>
      </c>
      <c r="L128" s="18">
        <v>18140</v>
      </c>
      <c r="M128" s="27">
        <f>ABS((D128*E128)-L128)</f>
        <v>650</v>
      </c>
      <c r="N128" t="str">
        <f>IF(COUNTIFS( $B$2:$B$797, B128, $C$2:$C$797, C128, $D$2:$D$797, D128, $E$2:$E$797, E128) &gt; 1, "Duplicate", "Unique")</f>
        <v>Unique</v>
      </c>
      <c r="O128" s="57" t="s">
        <v>275</v>
      </c>
    </row>
    <row r="129" spans="1:15" ht="15" thickBot="1" x14ac:dyDescent="0.4">
      <c r="A129" s="3">
        <v>46267.375</v>
      </c>
      <c r="B129" s="1" t="s">
        <v>82</v>
      </c>
      <c r="C129" s="1" t="s">
        <v>7</v>
      </c>
      <c r="D129" s="4">
        <v>2</v>
      </c>
      <c r="E129" s="4">
        <v>4290</v>
      </c>
      <c r="F129" s="4">
        <v>3.5681521900000002</v>
      </c>
      <c r="G129" s="2" t="s">
        <v>83</v>
      </c>
      <c r="H129" s="5">
        <v>4142.2</v>
      </c>
      <c r="I129" s="1" t="s">
        <v>8</v>
      </c>
      <c r="J129" s="18" t="s">
        <v>118</v>
      </c>
      <c r="K129" s="18" t="s">
        <v>238</v>
      </c>
      <c r="L129" s="18">
        <v>8220</v>
      </c>
      <c r="M129" s="18">
        <f>ABS((D129*E129)-L129)</f>
        <v>360</v>
      </c>
      <c r="N129" s="10" t="str">
        <f>IF(COUNTIFS( $B$2:$B$797, B129, $C$2:$C$797, C129, $D$2:$D$797, D129, $E$2:$E$797, E129) &gt; 1, "Duplicate", "Unique")</f>
        <v>Unique</v>
      </c>
      <c r="O129" s="57" t="s">
        <v>275</v>
      </c>
    </row>
    <row r="130" spans="1:15" ht="15" thickBot="1" x14ac:dyDescent="0.4">
      <c r="A130" s="11">
        <v>46252.645138888889</v>
      </c>
      <c r="B130" s="8" t="s">
        <v>49</v>
      </c>
      <c r="C130" s="8" t="s">
        <v>7</v>
      </c>
      <c r="D130" s="8">
        <v>5</v>
      </c>
      <c r="E130" s="8">
        <v>4129</v>
      </c>
      <c r="F130" s="4">
        <v>3.5719660860000002</v>
      </c>
      <c r="G130" s="2" t="s">
        <v>50</v>
      </c>
      <c r="H130" s="5">
        <v>3986.6</v>
      </c>
      <c r="I130" s="1" t="s">
        <v>8</v>
      </c>
      <c r="J130" s="40"/>
      <c r="N130" s="10" t="str">
        <f>IF(COUNTIFS( $B$2:$B$797, B130, $C$2:$C$797, C130, $D$2:$D$797, D130, $E$2:$E$797, E130) &gt; 1, "Duplicate", "Unique")</f>
        <v>Unique</v>
      </c>
    </row>
    <row r="131" spans="1:15" ht="15" thickBot="1" x14ac:dyDescent="0.4">
      <c r="A131" s="3">
        <v>46265.375694444447</v>
      </c>
      <c r="B131" s="1" t="s">
        <v>15</v>
      </c>
      <c r="C131" s="1" t="s">
        <v>7</v>
      </c>
      <c r="D131" s="4">
        <v>10</v>
      </c>
      <c r="E131" s="4">
        <v>2636</v>
      </c>
      <c r="F131" s="4">
        <v>3.8613081170000001</v>
      </c>
      <c r="G131" s="2" t="s">
        <v>72</v>
      </c>
      <c r="H131" s="5">
        <v>2538</v>
      </c>
      <c r="I131" s="1" t="s">
        <v>8</v>
      </c>
      <c r="J131" s="18" t="s">
        <v>117</v>
      </c>
      <c r="K131" s="18" t="s">
        <v>217</v>
      </c>
      <c r="L131" s="18">
        <v>26020</v>
      </c>
      <c r="M131" s="18">
        <f>ABS((D131*E131)-L131)</f>
        <v>340</v>
      </c>
      <c r="N131" t="str">
        <f>IF(COUNTIFS( $B$2:$B$797, B131, $C$2:$C$797, C131, $D$2:$D$797, D131, $E$2:$E$797, E131) &gt; 1, "Duplicate", "Unique")</f>
        <v>Unique</v>
      </c>
    </row>
    <row r="132" spans="1:15" s="19" customFormat="1" ht="15" thickBot="1" x14ac:dyDescent="0.4">
      <c r="A132" s="36">
        <v>46262.375</v>
      </c>
      <c r="B132" s="37" t="s">
        <v>43</v>
      </c>
      <c r="C132" s="37" t="s">
        <v>7</v>
      </c>
      <c r="D132" s="38">
        <v>5</v>
      </c>
      <c r="E132" s="38">
        <v>747</v>
      </c>
      <c r="F132" s="4">
        <v>4.0100250629999996</v>
      </c>
      <c r="G132" s="2" t="s">
        <v>44</v>
      </c>
      <c r="H132" s="5">
        <v>718.2</v>
      </c>
      <c r="I132" s="1" t="s">
        <v>8</v>
      </c>
      <c r="J132" s="33" t="s">
        <v>118</v>
      </c>
      <c r="K132" s="33" t="s">
        <v>198</v>
      </c>
      <c r="L132" s="33">
        <v>3560</v>
      </c>
      <c r="M132" s="33">
        <f>ABS((D132*E132)-L132)</f>
        <v>175</v>
      </c>
      <c r="N132" s="35" t="str">
        <f>IF(COUNTIFS( $B$2:$B$797, B132, $C$2:$C$797, C132, $D$2:$D$797, D132, $E$2:$E$797, E132) &gt; 1, "Duplicate", "Unique")</f>
        <v>Duplicate</v>
      </c>
      <c r="O132" s="57" t="s">
        <v>275</v>
      </c>
    </row>
    <row r="133" spans="1:15" s="26" customFormat="1" ht="15" thickBot="1" x14ac:dyDescent="0.4">
      <c r="A133" s="36">
        <v>46265.375694444447</v>
      </c>
      <c r="B133" s="37" t="s">
        <v>43</v>
      </c>
      <c r="C133" s="37" t="s">
        <v>7</v>
      </c>
      <c r="D133" s="38">
        <v>5</v>
      </c>
      <c r="E133" s="38">
        <v>747</v>
      </c>
      <c r="F133" s="4">
        <v>4.0100250629999996</v>
      </c>
      <c r="G133" s="2" t="s">
        <v>44</v>
      </c>
      <c r="H133" s="5">
        <v>718.2</v>
      </c>
      <c r="I133" s="1" t="s">
        <v>8</v>
      </c>
      <c r="J133" s="33" t="s">
        <v>118</v>
      </c>
      <c r="K133" s="33" t="s">
        <v>216</v>
      </c>
      <c r="L133" s="33">
        <v>3510</v>
      </c>
      <c r="M133" s="33">
        <f>ABS((D133*E133)-L133)</f>
        <v>225</v>
      </c>
      <c r="N133" s="34" t="str">
        <f>IF(COUNTIFS( $B$2:$B$797, B133, $C$2:$C$797, C133, $D$2:$D$797, D133, $E$2:$E$797, E133) &gt; 1, "Duplicate", "Unique")</f>
        <v>Duplicate</v>
      </c>
      <c r="O133" s="57" t="s">
        <v>275</v>
      </c>
    </row>
    <row r="134" spans="1:15" ht="15" thickBot="1" x14ac:dyDescent="0.4">
      <c r="A134" s="11">
        <v>46252.645138888889</v>
      </c>
      <c r="B134" s="8" t="s">
        <v>68</v>
      </c>
      <c r="C134" s="8" t="s">
        <v>7</v>
      </c>
      <c r="D134" s="8">
        <v>20</v>
      </c>
      <c r="E134" s="8">
        <v>424</v>
      </c>
      <c r="F134" s="4">
        <v>4.0235525020000003</v>
      </c>
      <c r="G134" s="2" t="s">
        <v>69</v>
      </c>
      <c r="H134" s="5">
        <v>407.6</v>
      </c>
      <c r="I134" s="1" t="s">
        <v>8</v>
      </c>
      <c r="J134" s="40"/>
      <c r="N134" s="10" t="str">
        <f>IF(COUNTIFS( $B$2:$B$797, B134, $C$2:$C$797, C134, $D$2:$D$797, D134, $E$2:$E$797, E134) &gt; 1, "Duplicate", "Unique")</f>
        <v>Unique</v>
      </c>
      <c r="O134" s="57" t="s">
        <v>275</v>
      </c>
    </row>
    <row r="135" spans="1:15" ht="15" thickBot="1" x14ac:dyDescent="0.4">
      <c r="A135" s="3">
        <v>46266.375</v>
      </c>
      <c r="B135" s="1" t="s">
        <v>63</v>
      </c>
      <c r="C135" s="1" t="s">
        <v>7</v>
      </c>
      <c r="D135" s="4">
        <v>10</v>
      </c>
      <c r="E135" s="4">
        <v>1060</v>
      </c>
      <c r="F135" s="4">
        <v>4.0746195390000004</v>
      </c>
      <c r="G135" s="2" t="s">
        <v>64</v>
      </c>
      <c r="H135" s="5">
        <v>1018.5</v>
      </c>
      <c r="I135" s="1" t="s">
        <v>8</v>
      </c>
      <c r="J135" s="18" t="s">
        <v>117</v>
      </c>
      <c r="K135" s="18" t="s">
        <v>226</v>
      </c>
      <c r="L135" s="18">
        <v>10300</v>
      </c>
      <c r="M135" s="18">
        <f>ABS((D135*E135)-L135)</f>
        <v>300</v>
      </c>
      <c r="N135" s="10" t="str">
        <f>IF(COUNTIFS( $B$2:$B$797, B135, $C$2:$C$797, C135, $D$2:$D$797, D135, $E$2:$E$797, E135) &gt; 1, "Duplicate", "Unique")</f>
        <v>Unique</v>
      </c>
    </row>
    <row r="136" spans="1:15" ht="15" thickBot="1" x14ac:dyDescent="0.4">
      <c r="A136" s="36">
        <v>46267.375</v>
      </c>
      <c r="B136" s="37" t="s">
        <v>36</v>
      </c>
      <c r="C136" s="37" t="s">
        <v>7</v>
      </c>
      <c r="D136" s="38">
        <v>5</v>
      </c>
      <c r="E136" s="38">
        <v>1206</v>
      </c>
      <c r="F136" s="4">
        <v>4.3162356199999996</v>
      </c>
      <c r="G136" s="2" t="s">
        <v>65</v>
      </c>
      <c r="H136" s="5">
        <v>1156.0999999999999</v>
      </c>
      <c r="I136" s="1" t="s">
        <v>8</v>
      </c>
      <c r="J136" s="33" t="s">
        <v>118</v>
      </c>
      <c r="K136" s="33" t="s">
        <v>239</v>
      </c>
      <c r="L136" s="33">
        <v>5755</v>
      </c>
      <c r="M136" s="33">
        <f>ABS((D136*E136)-L136)</f>
        <v>275</v>
      </c>
      <c r="N136" s="35" t="str">
        <f>IF(COUNTIFS( $B$2:$B$797, B136, $C$2:$C$797, C136, $D$2:$D$797, D136, $E$2:$E$797, E136) &gt; 1, "Duplicate", "Unique")</f>
        <v>Duplicate</v>
      </c>
      <c r="O136" s="57" t="s">
        <v>275</v>
      </c>
    </row>
    <row r="137" spans="1:15" ht="15" thickBot="1" x14ac:dyDescent="0.4">
      <c r="A137" s="36">
        <v>46267.375</v>
      </c>
      <c r="B137" s="37" t="s">
        <v>36</v>
      </c>
      <c r="C137" s="37" t="s">
        <v>7</v>
      </c>
      <c r="D137" s="38">
        <v>5</v>
      </c>
      <c r="E137" s="38">
        <v>1206</v>
      </c>
      <c r="F137" s="4">
        <v>4.3162356199999996</v>
      </c>
      <c r="G137" s="2" t="s">
        <v>65</v>
      </c>
      <c r="H137" s="5">
        <v>1156.0999999999999</v>
      </c>
      <c r="I137" s="1" t="s">
        <v>8</v>
      </c>
      <c r="J137" s="33" t="s">
        <v>118</v>
      </c>
      <c r="K137" s="33" t="s">
        <v>243</v>
      </c>
      <c r="L137" s="33">
        <v>5805</v>
      </c>
      <c r="M137" s="33">
        <f>ABS((D137*E137)-L137)</f>
        <v>225</v>
      </c>
      <c r="N137" s="35" t="str">
        <f>IF(COUNTIFS( $B$2:$B$797, B137, $C$2:$C$797, C137, $D$2:$D$797, D137, $E$2:$E$797, E137) &gt; 1, "Duplicate", "Unique")</f>
        <v>Duplicate</v>
      </c>
      <c r="O137" s="57" t="s">
        <v>275</v>
      </c>
    </row>
    <row r="138" spans="1:15" ht="15" thickBot="1" x14ac:dyDescent="0.4">
      <c r="A138" s="3">
        <v>46262.463194444441</v>
      </c>
      <c r="B138" s="1" t="s">
        <v>15</v>
      </c>
      <c r="C138" s="1" t="s">
        <v>7</v>
      </c>
      <c r="D138" s="4">
        <v>10</v>
      </c>
      <c r="E138" s="4">
        <v>2648</v>
      </c>
      <c r="F138" s="4">
        <v>4.3341213549999997</v>
      </c>
      <c r="G138" s="2" t="s">
        <v>72</v>
      </c>
      <c r="H138" s="5">
        <v>2538</v>
      </c>
      <c r="I138" s="1" t="s">
        <v>8</v>
      </c>
      <c r="J138" s="18" t="s">
        <v>117</v>
      </c>
      <c r="K138" s="18" t="s">
        <v>196</v>
      </c>
      <c r="L138" s="18">
        <v>26180</v>
      </c>
      <c r="M138" s="18">
        <f>ABS((D138*E138)-L138)</f>
        <v>300</v>
      </c>
      <c r="N138" s="10" t="str">
        <f>IF(COUNTIFS( $B$2:$B$797, B138, $C$2:$C$797, C138, $D$2:$D$797, D138, $E$2:$E$797, E138) &gt; 1, "Duplicate", "Unique")</f>
        <v>Unique</v>
      </c>
    </row>
    <row r="139" spans="1:15" ht="15" thickBot="1" x14ac:dyDescent="0.4">
      <c r="A139" s="3">
        <v>46267.375</v>
      </c>
      <c r="B139" s="1" t="s">
        <v>78</v>
      </c>
      <c r="C139" s="1" t="s">
        <v>7</v>
      </c>
      <c r="D139" s="4">
        <v>3</v>
      </c>
      <c r="E139" s="4">
        <v>1460</v>
      </c>
      <c r="F139" s="4">
        <v>4.7345767580000002</v>
      </c>
      <c r="G139" s="2" t="s">
        <v>79</v>
      </c>
      <c r="H139" s="5">
        <v>1394</v>
      </c>
      <c r="I139" s="1" t="s">
        <v>8</v>
      </c>
      <c r="J139" s="18" t="s">
        <v>118</v>
      </c>
      <c r="K139" s="18" t="s">
        <v>237</v>
      </c>
      <c r="L139" s="18">
        <v>4080</v>
      </c>
      <c r="M139" s="18">
        <f>ABS((D139*E139)-L139)</f>
        <v>300</v>
      </c>
      <c r="N139" s="10" t="str">
        <f>IF(COUNTIFS( $B$2:$B$797, B139, $C$2:$C$797, C139, $D$2:$D$797, D139, $E$2:$E$797, E139) &gt; 1, "Duplicate", "Unique")</f>
        <v>Unique</v>
      </c>
    </row>
    <row r="140" spans="1:15" s="25" customFormat="1" ht="15" thickBot="1" x14ac:dyDescent="0.4">
      <c r="A140" s="11">
        <v>46252.645833333336</v>
      </c>
      <c r="B140" s="8" t="s">
        <v>49</v>
      </c>
      <c r="C140" s="8" t="s">
        <v>7</v>
      </c>
      <c r="D140" s="8">
        <v>5</v>
      </c>
      <c r="E140" s="8">
        <v>4177</v>
      </c>
      <c r="F140" s="4">
        <v>4.7759995990000004</v>
      </c>
      <c r="G140" s="2" t="s">
        <v>50</v>
      </c>
      <c r="H140" s="5">
        <v>3986.6</v>
      </c>
      <c r="I140" s="1" t="s">
        <v>8</v>
      </c>
      <c r="J140" s="40"/>
      <c r="K140" s="18"/>
      <c r="L140" s="18"/>
      <c r="M140" s="18"/>
      <c r="N140" s="10" t="str">
        <f>IF(COUNTIFS( $B$2:$B$797, B140, $C$2:$C$797, C140, $D$2:$D$797, D140, $E$2:$E$797, E140) &gt; 1, "Duplicate", "Unique")</f>
        <v>Unique</v>
      </c>
    </row>
    <row r="141" spans="1:15" ht="15" thickBot="1" x14ac:dyDescent="0.4">
      <c r="A141" s="3">
        <v>46262.375</v>
      </c>
      <c r="B141" s="1" t="s">
        <v>15</v>
      </c>
      <c r="C141" s="1" t="s">
        <v>7</v>
      </c>
      <c r="D141" s="4">
        <v>10</v>
      </c>
      <c r="E141" s="4">
        <v>2660</v>
      </c>
      <c r="F141" s="4">
        <v>4.8069345940000003</v>
      </c>
      <c r="G141" s="2" t="s">
        <v>72</v>
      </c>
      <c r="H141" s="5">
        <v>2538</v>
      </c>
      <c r="I141" s="1" t="s">
        <v>8</v>
      </c>
      <c r="J141" s="18" t="s">
        <v>117</v>
      </c>
      <c r="K141" s="18" t="s">
        <v>199</v>
      </c>
      <c r="L141" s="18">
        <v>26300</v>
      </c>
      <c r="M141" s="18">
        <f>ABS((D141*E141)-L141)</f>
        <v>300</v>
      </c>
      <c r="N141" s="10" t="str">
        <f>IF(COUNTIFS( $B$2:$B$797, B141, $C$2:$C$797, C141, $D$2:$D$797, D141, $E$2:$E$797, E141) &gt; 1, "Duplicate", "Unique")</f>
        <v>Unique</v>
      </c>
    </row>
    <row r="142" spans="1:15" ht="15" thickBot="1" x14ac:dyDescent="0.4">
      <c r="A142" s="3">
        <v>46265.375694444447</v>
      </c>
      <c r="B142" s="1" t="s">
        <v>87</v>
      </c>
      <c r="C142" s="1" t="s">
        <v>7</v>
      </c>
      <c r="D142" s="4">
        <v>10</v>
      </c>
      <c r="E142" s="4">
        <v>1320</v>
      </c>
      <c r="F142" s="4">
        <v>4.8451151709999998</v>
      </c>
      <c r="G142" s="2" t="s">
        <v>88</v>
      </c>
      <c r="H142" s="5">
        <v>1259</v>
      </c>
      <c r="I142" s="1" t="s">
        <v>8</v>
      </c>
      <c r="J142" s="18" t="s">
        <v>117</v>
      </c>
      <c r="K142" s="18" t="s">
        <v>209</v>
      </c>
      <c r="L142" s="18">
        <v>12800</v>
      </c>
      <c r="M142" s="18">
        <f>ABS((D142*E142)-L142)</f>
        <v>400</v>
      </c>
      <c r="N142" t="str">
        <f>IF(COUNTIFS( $B$2:$B$797, B142, $C$2:$C$797, C142, $D$2:$D$797, D142, $E$2:$E$797, E142) &gt; 1, "Duplicate", "Unique")</f>
        <v>Unique</v>
      </c>
    </row>
    <row r="143" spans="1:15" ht="15" thickBot="1" x14ac:dyDescent="0.4">
      <c r="A143" s="11">
        <v>46252.645138888889</v>
      </c>
      <c r="B143" s="8" t="s">
        <v>57</v>
      </c>
      <c r="C143" s="8" t="s">
        <v>7</v>
      </c>
      <c r="D143" s="8">
        <v>5</v>
      </c>
      <c r="E143" s="8">
        <v>2998</v>
      </c>
      <c r="F143" s="4">
        <v>4.8545047569999999</v>
      </c>
      <c r="G143" s="2" t="s">
        <v>58</v>
      </c>
      <c r="H143" s="5">
        <v>2859.2</v>
      </c>
      <c r="I143" s="1" t="s">
        <v>8</v>
      </c>
      <c r="J143" s="17" t="s">
        <v>117</v>
      </c>
      <c r="N143" s="10" t="str">
        <f>IF(COUNTIFS( $B$2:$B$797, B143, $C$2:$C$797, C143, $D$2:$D$797, D143, $E$2:$E$797, E143) &gt; 1, "Duplicate", "Unique")</f>
        <v>Unique</v>
      </c>
    </row>
    <row r="144" spans="1:15" ht="15" thickBot="1" x14ac:dyDescent="0.4">
      <c r="A144" s="3">
        <v>46266.375</v>
      </c>
      <c r="B144" s="1" t="s">
        <v>89</v>
      </c>
      <c r="C144" s="1" t="s">
        <v>7</v>
      </c>
      <c r="D144" s="4">
        <v>1</v>
      </c>
      <c r="E144" s="4">
        <v>14852</v>
      </c>
      <c r="F144" s="4">
        <v>4.8870056499999999</v>
      </c>
      <c r="G144" s="2" t="s">
        <v>90</v>
      </c>
      <c r="H144" s="5">
        <v>14160</v>
      </c>
      <c r="I144" s="1" t="s">
        <v>8</v>
      </c>
      <c r="J144" s="18" t="s">
        <v>118</v>
      </c>
      <c r="K144" s="18" t="s">
        <v>230</v>
      </c>
      <c r="L144" s="18">
        <v>14552</v>
      </c>
      <c r="M144" s="18">
        <f>ABS((D144*E144)-L144)</f>
        <v>300</v>
      </c>
      <c r="N144" s="10" t="str">
        <f>IF(COUNTIFS( $B$2:$B$797, B144, $C$2:$C$797, C144, $D$2:$D$797, D144, $E$2:$E$797, E144) &gt; 1, "Duplicate", "Unique")</f>
        <v>Unique</v>
      </c>
      <c r="O144" s="57" t="s">
        <v>275</v>
      </c>
    </row>
    <row r="145" spans="1:15" s="26" customFormat="1" ht="15" thickBot="1" x14ac:dyDescent="0.4">
      <c r="A145" s="36">
        <v>46267.461111111108</v>
      </c>
      <c r="B145" s="37" t="s">
        <v>14</v>
      </c>
      <c r="C145" s="37" t="s">
        <v>7</v>
      </c>
      <c r="D145" s="38">
        <v>100</v>
      </c>
      <c r="E145" s="38">
        <v>339</v>
      </c>
      <c r="F145" s="4">
        <v>4.9373162050000001</v>
      </c>
      <c r="G145" s="2" t="s">
        <v>45</v>
      </c>
      <c r="H145" s="5">
        <v>323.05</v>
      </c>
      <c r="I145" s="1" t="s">
        <v>8</v>
      </c>
      <c r="J145" s="33" t="s">
        <v>117</v>
      </c>
      <c r="K145" s="33" t="s">
        <v>234</v>
      </c>
      <c r="L145" s="33">
        <v>32900</v>
      </c>
      <c r="M145" s="33">
        <f>ABS((D145*E145)-L145)</f>
        <v>1000</v>
      </c>
      <c r="N145" s="35" t="str">
        <f>IF(COUNTIFS( $B$2:$B$797, B145, $C$2:$C$797, C145, $D$2:$D$797, D145, $E$2:$E$797, E145) &gt; 1, "Duplicate", "Unique")</f>
        <v>Duplicate</v>
      </c>
    </row>
    <row r="146" spans="1:15" ht="15" thickBot="1" x14ac:dyDescent="0.4">
      <c r="A146" s="36">
        <v>46267.38958333333</v>
      </c>
      <c r="B146" s="37" t="s">
        <v>14</v>
      </c>
      <c r="C146" s="37" t="s">
        <v>7</v>
      </c>
      <c r="D146" s="38">
        <v>100</v>
      </c>
      <c r="E146" s="38">
        <v>339</v>
      </c>
      <c r="F146" s="4">
        <v>4.9373162050000001</v>
      </c>
      <c r="G146" s="2" t="s">
        <v>45</v>
      </c>
      <c r="H146" s="5">
        <v>323.05</v>
      </c>
      <c r="I146" s="1" t="s">
        <v>8</v>
      </c>
      <c r="J146" s="33" t="s">
        <v>117</v>
      </c>
      <c r="K146" s="33" t="s">
        <v>236</v>
      </c>
      <c r="L146" s="33">
        <v>33200</v>
      </c>
      <c r="M146" s="33">
        <f>ABS((D146*E146)-L146)</f>
        <v>700</v>
      </c>
      <c r="N146" s="35" t="str">
        <f>IF(COUNTIFS( $B$2:$B$797, B146, $C$2:$C$797, C146, $D$2:$D$797, D146, $E$2:$E$797, E146) &gt; 1, "Duplicate", "Unique")</f>
        <v>Duplicate</v>
      </c>
    </row>
    <row r="147" spans="1:15" ht="15" thickBot="1" x14ac:dyDescent="0.4">
      <c r="A147" s="3">
        <v>46269.643587962964</v>
      </c>
      <c r="B147" s="1" t="s">
        <v>12</v>
      </c>
      <c r="C147" s="1" t="s">
        <v>7</v>
      </c>
      <c r="D147" s="4">
        <v>1</v>
      </c>
      <c r="E147" s="4">
        <v>5448</v>
      </c>
      <c r="F147" s="4">
        <v>4.9710982660000003</v>
      </c>
      <c r="G147" s="2" t="s">
        <v>98</v>
      </c>
      <c r="H147" s="5">
        <v>5190</v>
      </c>
      <c r="I147" s="1" t="s">
        <v>8</v>
      </c>
      <c r="J147" s="18" t="s">
        <v>118</v>
      </c>
      <c r="K147" s="18" t="s">
        <v>262</v>
      </c>
      <c r="L147" s="18">
        <v>5180</v>
      </c>
      <c r="M147" s="27">
        <f>ABS((D147*E147)-L147)</f>
        <v>268</v>
      </c>
      <c r="N147" t="str">
        <f>IF(COUNTIFS( $B$2:$B$797, B147, $C$2:$C$797, C147, $D$2:$D$797, D147, $E$2:$E$797, E147) &gt; 1, "Duplicate", "Unique")</f>
        <v>Unique</v>
      </c>
      <c r="O147" s="57" t="s">
        <v>275</v>
      </c>
    </row>
    <row r="148" spans="1:15" s="35" customFormat="1" ht="15" thickBot="1" x14ac:dyDescent="0.4">
      <c r="A148" s="3">
        <v>46262.375</v>
      </c>
      <c r="B148" s="1" t="s">
        <v>63</v>
      </c>
      <c r="C148" s="1" t="s">
        <v>7</v>
      </c>
      <c r="D148" s="4">
        <v>10</v>
      </c>
      <c r="E148" s="4">
        <v>1071</v>
      </c>
      <c r="F148" s="4">
        <v>5.1546391749999998</v>
      </c>
      <c r="G148" s="2" t="s">
        <v>64</v>
      </c>
      <c r="H148" s="5">
        <v>1018.5</v>
      </c>
      <c r="I148" s="1" t="s">
        <v>8</v>
      </c>
      <c r="J148" s="18" t="s">
        <v>118</v>
      </c>
      <c r="K148" s="18" t="s">
        <v>200</v>
      </c>
      <c r="L148" s="18">
        <v>10410</v>
      </c>
      <c r="M148" s="18">
        <f>ABS((D148*E148)-L148)</f>
        <v>300</v>
      </c>
      <c r="N148" s="10" t="str">
        <f>IF(COUNTIFS( $B$2:$B$797, B148, $C$2:$C$797, C148, $D$2:$D$797, D148, $E$2:$E$797, E148) &gt; 1, "Duplicate", "Unique")</f>
        <v>Unique</v>
      </c>
    </row>
    <row r="149" spans="1:15" s="35" customFormat="1" ht="15" thickBot="1" x14ac:dyDescent="0.4">
      <c r="A149" s="3">
        <v>46265.460416666669</v>
      </c>
      <c r="B149" s="1" t="s">
        <v>18</v>
      </c>
      <c r="C149" s="1" t="s">
        <v>7</v>
      </c>
      <c r="D149" s="4">
        <v>5</v>
      </c>
      <c r="E149" s="4">
        <v>1892</v>
      </c>
      <c r="F149" s="4">
        <v>5.1695386330000002</v>
      </c>
      <c r="G149" s="2" t="s">
        <v>102</v>
      </c>
      <c r="H149" s="5">
        <v>1799</v>
      </c>
      <c r="I149" s="1" t="s">
        <v>8</v>
      </c>
      <c r="J149" s="18" t="s">
        <v>118</v>
      </c>
      <c r="K149" s="18" t="s">
        <v>203</v>
      </c>
      <c r="L149" s="18">
        <v>8810</v>
      </c>
      <c r="M149" s="18">
        <f>ABS((D149*E149)-L149)</f>
        <v>650</v>
      </c>
      <c r="N149" t="str">
        <f>IF(COUNTIFS( $B$2:$B$797, B149, $C$2:$C$797, C149, $D$2:$D$797, D149, $E$2:$E$797, E149) &gt; 1, "Duplicate", "Unique")</f>
        <v>Unique</v>
      </c>
      <c r="O149" s="57" t="s">
        <v>275</v>
      </c>
    </row>
    <row r="150" spans="1:15" ht="15" thickBot="1" x14ac:dyDescent="0.4">
      <c r="A150" s="3">
        <v>46262.375</v>
      </c>
      <c r="B150" s="1" t="s">
        <v>82</v>
      </c>
      <c r="C150" s="1" t="s">
        <v>7</v>
      </c>
      <c r="D150" s="4">
        <v>2</v>
      </c>
      <c r="E150" s="4">
        <v>4360</v>
      </c>
      <c r="F150" s="4">
        <v>5.2580754189999999</v>
      </c>
      <c r="G150" s="2" t="s">
        <v>83</v>
      </c>
      <c r="H150" s="5">
        <v>4142.2</v>
      </c>
      <c r="I150" s="1" t="s">
        <v>8</v>
      </c>
      <c r="J150" s="18" t="s">
        <v>118</v>
      </c>
      <c r="K150" s="18" t="s">
        <v>193</v>
      </c>
      <c r="L150" s="18">
        <v>8420</v>
      </c>
      <c r="M150" s="18">
        <f>ABS((D150*E150)-L150)</f>
        <v>300</v>
      </c>
      <c r="N150" s="10" t="str">
        <f>IF(COUNTIFS( $B$2:$B$797, B150, $C$2:$C$797, C150, $D$2:$D$797, D150, $E$2:$E$797, E150) &gt; 1, "Duplicate", "Unique")</f>
        <v>Unique</v>
      </c>
    </row>
    <row r="151" spans="1:15" ht="15" thickBot="1" x14ac:dyDescent="0.4">
      <c r="A151" s="3">
        <v>46254.642361111109</v>
      </c>
      <c r="B151" s="1" t="s">
        <v>15</v>
      </c>
      <c r="C151" s="1" t="s">
        <v>7</v>
      </c>
      <c r="D151" s="4">
        <v>10</v>
      </c>
      <c r="E151" s="4">
        <v>2672</v>
      </c>
      <c r="F151" s="4">
        <v>5.2797478330000001</v>
      </c>
      <c r="G151" s="2" t="s">
        <v>72</v>
      </c>
      <c r="H151" s="5">
        <v>2538</v>
      </c>
      <c r="I151" s="1" t="s">
        <v>8</v>
      </c>
      <c r="J151" s="17" t="s">
        <v>117</v>
      </c>
      <c r="K151" s="17" t="s">
        <v>147</v>
      </c>
      <c r="L151" s="17"/>
      <c r="M151" s="17"/>
      <c r="N151" s="10" t="str">
        <f>IF(COUNTIFS( $B$2:$B$797, B151, $C$2:$C$797, C151, $D$2:$D$797, D151, $E$2:$E$797, E151) &gt; 1, "Duplicate", "Unique")</f>
        <v>Unique</v>
      </c>
    </row>
    <row r="152" spans="1:15" ht="15" thickBot="1" x14ac:dyDescent="0.4">
      <c r="A152" s="3">
        <v>46267.375</v>
      </c>
      <c r="B152" s="1" t="s">
        <v>14</v>
      </c>
      <c r="C152" s="1" t="s">
        <v>7</v>
      </c>
      <c r="D152" s="4">
        <v>50</v>
      </c>
      <c r="E152" s="4">
        <v>341</v>
      </c>
      <c r="F152" s="4">
        <v>5.5564154160000001</v>
      </c>
      <c r="G152" s="2" t="s">
        <v>45</v>
      </c>
      <c r="H152" s="5">
        <v>323.05</v>
      </c>
      <c r="I152" s="1" t="s">
        <v>8</v>
      </c>
      <c r="J152" s="18" t="s">
        <v>117</v>
      </c>
      <c r="K152" s="18" t="s">
        <v>241</v>
      </c>
      <c r="L152" s="18">
        <v>16755</v>
      </c>
      <c r="M152" s="18">
        <f>ABS((D152*E152)-L152)</f>
        <v>295</v>
      </c>
      <c r="N152" s="10" t="str">
        <f>IF(COUNTIFS( $B$2:$B$797, B152, $C$2:$C$797, C152, $D$2:$D$797, D152, $E$2:$E$797, E152) &gt; 1, "Duplicate", "Unique")</f>
        <v>Unique</v>
      </c>
    </row>
    <row r="153" spans="1:15" ht="15" thickBot="1" x14ac:dyDescent="0.4">
      <c r="A153" s="3">
        <v>46261.375694444447</v>
      </c>
      <c r="B153" s="1" t="s">
        <v>51</v>
      </c>
      <c r="C153" s="1" t="s">
        <v>7</v>
      </c>
      <c r="D153" s="4">
        <v>10</v>
      </c>
      <c r="E153" s="4">
        <v>977</v>
      </c>
      <c r="F153" s="4">
        <v>5.6216216220000002</v>
      </c>
      <c r="G153" s="2" t="s">
        <v>52</v>
      </c>
      <c r="H153" s="5">
        <v>925</v>
      </c>
      <c r="I153" s="1" t="s">
        <v>8</v>
      </c>
      <c r="J153" s="18" t="s">
        <v>117</v>
      </c>
      <c r="K153" s="18" t="s">
        <v>179</v>
      </c>
      <c r="L153" s="18">
        <v>9470</v>
      </c>
      <c r="M153" s="18">
        <f>ABS((D153*E153)-L153)</f>
        <v>300</v>
      </c>
      <c r="N153" s="10" t="str">
        <f>IF(COUNTIFS( $B$2:$B$797, B153, $C$2:$C$797, C153, $D$2:$D$797, D153, $E$2:$E$797, E153) &gt; 1, "Duplicate", "Unique")</f>
        <v>Unique</v>
      </c>
    </row>
    <row r="154" spans="1:15" ht="15" thickBot="1" x14ac:dyDescent="0.4">
      <c r="A154" s="3">
        <v>46266.375</v>
      </c>
      <c r="B154" s="1" t="s">
        <v>119</v>
      </c>
      <c r="C154" s="1" t="s">
        <v>7</v>
      </c>
      <c r="D154" s="4">
        <v>15</v>
      </c>
      <c r="E154" s="4">
        <v>1040</v>
      </c>
      <c r="F154" s="4">
        <v>5.7125431999999998</v>
      </c>
      <c r="G154" s="2" t="s">
        <v>120</v>
      </c>
      <c r="H154" s="5">
        <v>983.8</v>
      </c>
      <c r="I154" s="1" t="s">
        <v>8</v>
      </c>
      <c r="J154" s="18" t="s">
        <v>117</v>
      </c>
      <c r="K154" s="18" t="s">
        <v>231</v>
      </c>
      <c r="L154" s="18">
        <v>15075</v>
      </c>
      <c r="M154" s="18">
        <f>ABS((D154*E154)-L154)</f>
        <v>525</v>
      </c>
      <c r="N154" s="10" t="str">
        <f>IF(COUNTIFS( $B$2:$B$797, B154, $C$2:$C$797, C154, $D$2:$D$797, D154, $E$2:$E$797, E154) &gt; 1, "Duplicate", "Unique")</f>
        <v>Unique</v>
      </c>
    </row>
    <row r="155" spans="1:15" ht="15" thickBot="1" x14ac:dyDescent="0.4">
      <c r="A155" s="11">
        <v>46252.635416666664</v>
      </c>
      <c r="B155" s="8" t="s">
        <v>47</v>
      </c>
      <c r="C155" s="8" t="s">
        <v>7</v>
      </c>
      <c r="D155" s="8">
        <v>8</v>
      </c>
      <c r="E155" s="8">
        <v>2448</v>
      </c>
      <c r="F155" s="4">
        <v>6.0199220440000003</v>
      </c>
      <c r="G155" s="2" t="s">
        <v>48</v>
      </c>
      <c r="H155" s="5">
        <v>2309</v>
      </c>
      <c r="I155" s="1" t="s">
        <v>8</v>
      </c>
      <c r="J155" s="40"/>
      <c r="N155" s="10" t="str">
        <f>IF(COUNTIFS( $B$2:$B$797, B155, $C$2:$C$797, C155, $D$2:$D$797, D155, $E$2:$E$797, E155) &gt; 1, "Duplicate", "Unique")</f>
        <v>Unique</v>
      </c>
    </row>
    <row r="156" spans="1:15" ht="15" thickBot="1" x14ac:dyDescent="0.4">
      <c r="A156" s="3">
        <v>46260.425694444442</v>
      </c>
      <c r="B156" s="1" t="s">
        <v>13</v>
      </c>
      <c r="C156" s="1" t="s">
        <v>7</v>
      </c>
      <c r="D156" s="4">
        <v>20</v>
      </c>
      <c r="E156" s="4">
        <v>1924</v>
      </c>
      <c r="F156" s="4">
        <v>6.028876887</v>
      </c>
      <c r="G156" s="2" t="s">
        <v>91</v>
      </c>
      <c r="H156" s="5">
        <v>1814.6</v>
      </c>
      <c r="I156" s="1" t="s">
        <v>8</v>
      </c>
      <c r="J156" s="18" t="s">
        <v>118</v>
      </c>
      <c r="K156" s="18" t="s">
        <v>172</v>
      </c>
      <c r="L156" s="18">
        <v>37480</v>
      </c>
      <c r="M156" s="18">
        <f>ABS((D156*E156)-L156)</f>
        <v>1000</v>
      </c>
      <c r="N156" t="str">
        <f>IF(COUNTIFS( $B$2:$B$797, B156, $C$2:$C$797, C156, $D$2:$D$797, D156, $E$2:$E$797, E156) &gt; 1, "Duplicate", "Unique")</f>
        <v>Unique</v>
      </c>
      <c r="O156" s="57" t="s">
        <v>275</v>
      </c>
    </row>
    <row r="157" spans="1:15" ht="15" thickBot="1" x14ac:dyDescent="0.4">
      <c r="A157" s="3">
        <v>46261.375</v>
      </c>
      <c r="B157" s="1" t="s">
        <v>63</v>
      </c>
      <c r="C157" s="1" t="s">
        <v>7</v>
      </c>
      <c r="D157" s="4">
        <v>10</v>
      </c>
      <c r="E157" s="4">
        <v>1081</v>
      </c>
      <c r="F157" s="4">
        <v>6.1364752090000003</v>
      </c>
      <c r="G157" s="2" t="s">
        <v>64</v>
      </c>
      <c r="H157" s="5">
        <v>1018.5</v>
      </c>
      <c r="I157" s="1" t="s">
        <v>8</v>
      </c>
      <c r="J157" s="18" t="s">
        <v>118</v>
      </c>
      <c r="K157" s="18" t="s">
        <v>187</v>
      </c>
      <c r="L157" s="18">
        <v>10510</v>
      </c>
      <c r="M157" s="18">
        <f>ABS((D157*E157)-L157)</f>
        <v>300</v>
      </c>
      <c r="N157" s="10" t="str">
        <f>IF(COUNTIFS( $B$2:$B$797, B157, $C$2:$C$797, C157, $D$2:$D$797, D157, $E$2:$E$797, E157) &gt; 1, "Duplicate", "Unique")</f>
        <v>Unique</v>
      </c>
    </row>
    <row r="158" spans="1:15" ht="15" thickBot="1" x14ac:dyDescent="0.4">
      <c r="A158" s="11">
        <v>46252.6875</v>
      </c>
      <c r="B158" s="8" t="s">
        <v>15</v>
      </c>
      <c r="C158" s="8" t="s">
        <v>7</v>
      </c>
      <c r="D158" s="8">
        <v>10</v>
      </c>
      <c r="E158" s="8">
        <v>2696</v>
      </c>
      <c r="F158" s="4">
        <v>6.2253743100000003</v>
      </c>
      <c r="G158" s="2" t="s">
        <v>72</v>
      </c>
      <c r="H158" s="5">
        <v>2538</v>
      </c>
      <c r="I158" s="1" t="s">
        <v>8</v>
      </c>
      <c r="J158" s="40" t="s">
        <v>156</v>
      </c>
      <c r="N158" s="10" t="str">
        <f>IF(COUNTIFS( $B$2:$B$797, B158, $C$2:$C$797, C158, $D$2:$D$797, D158, $E$2:$E$797, E158) &gt; 1, "Duplicate", "Unique")</f>
        <v>Unique</v>
      </c>
    </row>
    <row r="159" spans="1:15" ht="15" thickBot="1" x14ac:dyDescent="0.4">
      <c r="A159" s="11">
        <v>46252.6875</v>
      </c>
      <c r="B159" s="8" t="s">
        <v>24</v>
      </c>
      <c r="C159" s="8" t="s">
        <v>7</v>
      </c>
      <c r="D159" s="8">
        <v>40</v>
      </c>
      <c r="E159" s="8">
        <v>458</v>
      </c>
      <c r="F159" s="4">
        <v>6.3014970410000002</v>
      </c>
      <c r="G159" s="2" t="s">
        <v>56</v>
      </c>
      <c r="H159" s="5">
        <v>430.85</v>
      </c>
      <c r="I159" s="1" t="s">
        <v>8</v>
      </c>
      <c r="J159" s="40" t="s">
        <v>117</v>
      </c>
      <c r="N159" s="10" t="str">
        <f>IF(COUNTIFS( $B$2:$B$797, B159, $C$2:$C$797, C159, $D$2:$D$797, D159, $E$2:$E$797, E159) &gt; 1, "Duplicate", "Unique")</f>
        <v>Unique</v>
      </c>
    </row>
    <row r="160" spans="1:15" ht="15" thickBot="1" x14ac:dyDescent="0.4">
      <c r="A160" s="3">
        <v>46268.375</v>
      </c>
      <c r="B160" s="1" t="s">
        <v>16</v>
      </c>
      <c r="C160" s="1" t="s">
        <v>7</v>
      </c>
      <c r="D160" s="4">
        <v>30</v>
      </c>
      <c r="E160" s="4">
        <v>920</v>
      </c>
      <c r="F160" s="4">
        <v>6.3706786910000002</v>
      </c>
      <c r="G160" s="2" t="s">
        <v>61</v>
      </c>
      <c r="H160" s="5">
        <v>864.9</v>
      </c>
      <c r="I160" s="1" t="s">
        <v>8</v>
      </c>
      <c r="J160" s="18" t="s">
        <v>117</v>
      </c>
      <c r="K160" s="18" t="s">
        <v>246</v>
      </c>
      <c r="L160" s="18">
        <v>25800</v>
      </c>
      <c r="M160" s="18">
        <f>ABS((D160*E160)-L160)</f>
        <v>1800</v>
      </c>
      <c r="N160" s="10" t="str">
        <f>IF(COUNTIFS( $B$2:$B$797, B160, $C$2:$C$797, C160, $D$2:$D$797, D160, $E$2:$E$797, E160) &gt; 1, "Duplicate", "Unique")</f>
        <v>Unique</v>
      </c>
    </row>
    <row r="161" spans="1:14" ht="15" thickBot="1" x14ac:dyDescent="0.4">
      <c r="A161" s="3">
        <v>46262.375</v>
      </c>
      <c r="B161" s="1" t="s">
        <v>87</v>
      </c>
      <c r="C161" s="1" t="s">
        <v>7</v>
      </c>
      <c r="D161" s="4">
        <v>10</v>
      </c>
      <c r="E161" s="4">
        <v>1340</v>
      </c>
      <c r="F161" s="4">
        <v>6.433677522</v>
      </c>
      <c r="G161" s="2" t="s">
        <v>88</v>
      </c>
      <c r="H161" s="5">
        <v>1259</v>
      </c>
      <c r="I161" s="1" t="s">
        <v>8</v>
      </c>
      <c r="J161" s="18" t="s">
        <v>117</v>
      </c>
      <c r="K161" s="18" t="s">
        <v>194</v>
      </c>
      <c r="L161" s="18">
        <v>13030</v>
      </c>
      <c r="M161" s="18">
        <f>ABS((D161*E161)-L161)</f>
        <v>370</v>
      </c>
      <c r="N161" s="10" t="str">
        <f>IF(COUNTIFS( $B$2:$B$797, B161, $C$2:$C$797, C161, $D$2:$D$797, D161, $E$2:$E$797, E161) &gt; 1, "Duplicate", "Unique")</f>
        <v>Unique</v>
      </c>
    </row>
    <row r="162" spans="1:14" ht="15" thickBot="1" x14ac:dyDescent="0.4">
      <c r="A162" s="8" t="s">
        <v>62</v>
      </c>
      <c r="B162" s="8" t="s">
        <v>121</v>
      </c>
      <c r="C162" s="8" t="s">
        <v>7</v>
      </c>
      <c r="D162" s="8">
        <v>10</v>
      </c>
      <c r="E162" s="8">
        <v>796</v>
      </c>
      <c r="F162" s="4">
        <v>6.4598100839999999</v>
      </c>
      <c r="G162" s="2" t="s">
        <v>122</v>
      </c>
      <c r="H162" s="5">
        <v>747.7</v>
      </c>
      <c r="I162" s="1" t="s">
        <v>8</v>
      </c>
      <c r="J162" s="40" t="s">
        <v>117</v>
      </c>
      <c r="N162" s="10" t="str">
        <f>IF(COUNTIFS( $B$2:$B$797, B162, $C$2:$C$797, C162, $D$2:$D$797, D162, $E$2:$E$797, E162) &gt; 1, "Duplicate", "Unique")</f>
        <v>Unique</v>
      </c>
    </row>
    <row r="163" spans="1:14" ht="15" thickBot="1" x14ac:dyDescent="0.4">
      <c r="A163" s="3">
        <v>46261.615277777775</v>
      </c>
      <c r="B163" s="1" t="s">
        <v>35</v>
      </c>
      <c r="C163" s="1" t="s">
        <v>7</v>
      </c>
      <c r="D163" s="4">
        <v>50</v>
      </c>
      <c r="E163" s="4">
        <v>226.3</v>
      </c>
      <c r="F163" s="4">
        <v>6.4991293710000004</v>
      </c>
      <c r="G163" s="2" t="s">
        <v>42</v>
      </c>
      <c r="H163" s="5">
        <v>212.49</v>
      </c>
      <c r="I163" s="1" t="s">
        <v>8</v>
      </c>
      <c r="J163" s="18" t="s">
        <v>118</v>
      </c>
      <c r="K163" s="18" t="s">
        <v>178</v>
      </c>
      <c r="L163" s="18">
        <v>10814</v>
      </c>
      <c r="M163" s="18">
        <f>ABS((D163*E163)-L163)</f>
        <v>501</v>
      </c>
      <c r="N163" s="10" t="str">
        <f>IF(COUNTIFS( $B$2:$B$797, B163, $C$2:$C$797, C163, $D$2:$D$797, D163, $E$2:$E$797, E163) &gt; 1, "Duplicate", "Unique")</f>
        <v>Unique</v>
      </c>
    </row>
    <row r="164" spans="1:14" ht="15" thickBot="1" x14ac:dyDescent="0.4">
      <c r="A164" s="8" t="s">
        <v>62</v>
      </c>
      <c r="B164" s="8" t="s">
        <v>74</v>
      </c>
      <c r="C164" s="8" t="s">
        <v>7</v>
      </c>
      <c r="D164" s="8">
        <v>5</v>
      </c>
      <c r="E164" s="8">
        <v>3633</v>
      </c>
      <c r="F164" s="4">
        <v>6.5083553209999998</v>
      </c>
      <c r="G164" s="2" t="s">
        <v>75</v>
      </c>
      <c r="H164" s="5">
        <v>3411</v>
      </c>
      <c r="I164" s="1" t="s">
        <v>8</v>
      </c>
      <c r="J164" s="40"/>
      <c r="N164" s="10" t="str">
        <f>IF(COUNTIFS( $B$2:$B$797, B164, $C$2:$C$797, C164, $D$2:$D$797, D164, $E$2:$E$797, E164) &gt; 1, "Duplicate", "Unique")</f>
        <v>Unique</v>
      </c>
    </row>
    <row r="165" spans="1:14" ht="15" thickBot="1" x14ac:dyDescent="0.4">
      <c r="A165" s="36">
        <v>46265.375694444447</v>
      </c>
      <c r="B165" s="37" t="s">
        <v>53</v>
      </c>
      <c r="C165" s="37" t="s">
        <v>7</v>
      </c>
      <c r="D165" s="38">
        <v>3</v>
      </c>
      <c r="E165" s="38">
        <v>2624</v>
      </c>
      <c r="F165" s="4">
        <v>6.5800162469999997</v>
      </c>
      <c r="G165" s="2" t="s">
        <v>54</v>
      </c>
      <c r="H165" s="5">
        <v>2462</v>
      </c>
      <c r="I165" s="1" t="s">
        <v>8</v>
      </c>
      <c r="J165" s="33" t="s">
        <v>118</v>
      </c>
      <c r="K165" s="33" t="s">
        <v>207</v>
      </c>
      <c r="L165" s="33">
        <v>7578</v>
      </c>
      <c r="M165" s="33">
        <f>ABS((D165*E165)-L165)</f>
        <v>294</v>
      </c>
      <c r="N165" s="34" t="str">
        <f>IF(COUNTIFS( $B$2:$B$797, B165, $C$2:$C$797, C165, $D$2:$D$797, D165, $E$2:$E$797, E165) &gt; 1, "Duplicate", "Unique")</f>
        <v>Duplicate</v>
      </c>
    </row>
    <row r="166" spans="1:14" ht="15" thickBot="1" x14ac:dyDescent="0.4">
      <c r="A166" s="36">
        <v>46266.375694444447</v>
      </c>
      <c r="B166" s="37" t="s">
        <v>53</v>
      </c>
      <c r="C166" s="37" t="s">
        <v>7</v>
      </c>
      <c r="D166" s="38">
        <v>3</v>
      </c>
      <c r="E166" s="38">
        <v>2624</v>
      </c>
      <c r="F166" s="4">
        <v>6.5800162469999997</v>
      </c>
      <c r="G166" s="2" t="s">
        <v>54</v>
      </c>
      <c r="H166" s="5">
        <v>2462</v>
      </c>
      <c r="I166" s="1" t="s">
        <v>8</v>
      </c>
      <c r="J166" s="33" t="s">
        <v>118</v>
      </c>
      <c r="K166" s="33" t="s">
        <v>224</v>
      </c>
      <c r="L166" s="33">
        <v>7578</v>
      </c>
      <c r="M166" s="33">
        <f>ABS((D166*E166)-L166)</f>
        <v>294</v>
      </c>
      <c r="N166" s="35" t="str">
        <f>IF(COUNTIFS( $B$2:$B$797, B166, $C$2:$C$797, C166, $D$2:$D$797, D166, $E$2:$E$797, E166) &gt; 1, "Duplicate", "Unique")</f>
        <v>Duplicate</v>
      </c>
    </row>
    <row r="167" spans="1:14" ht="15" thickBot="1" x14ac:dyDescent="0.4">
      <c r="A167" s="3">
        <v>46267.424305555556</v>
      </c>
      <c r="B167" s="1" t="s">
        <v>53</v>
      </c>
      <c r="C167" s="1" t="s">
        <v>7</v>
      </c>
      <c r="D167" s="4">
        <v>2</v>
      </c>
      <c r="E167" s="4">
        <v>2624</v>
      </c>
      <c r="F167" s="4">
        <v>6.5800162469999997</v>
      </c>
      <c r="G167" s="2" t="s">
        <v>54</v>
      </c>
      <c r="H167" s="5">
        <v>2462</v>
      </c>
      <c r="I167" s="1" t="s">
        <v>8</v>
      </c>
      <c r="J167" s="18" t="s">
        <v>118</v>
      </c>
      <c r="K167" s="18" t="s">
        <v>235</v>
      </c>
      <c r="L167" s="18">
        <v>4968</v>
      </c>
      <c r="M167" s="18">
        <f>ABS((D167*E167)-L167)</f>
        <v>280</v>
      </c>
      <c r="N167" s="10" t="str">
        <f>IF(COUNTIFS( $B$2:$B$797, B167, $C$2:$C$797, C167, $D$2:$D$797, D167, $E$2:$E$797, E167) &gt; 1, "Duplicate", "Unique")</f>
        <v>Unique</v>
      </c>
    </row>
    <row r="168" spans="1:14" ht="15" thickBot="1" x14ac:dyDescent="0.4">
      <c r="A168" s="3">
        <v>46266.642361111109</v>
      </c>
      <c r="B168" s="1" t="s">
        <v>14</v>
      </c>
      <c r="C168" s="1" t="s">
        <v>7</v>
      </c>
      <c r="D168" s="4">
        <v>100</v>
      </c>
      <c r="E168" s="4">
        <v>344.5</v>
      </c>
      <c r="F168" s="4">
        <v>6.6398390340000004</v>
      </c>
      <c r="G168" s="2" t="s">
        <v>45</v>
      </c>
      <c r="H168" s="5">
        <v>323.05</v>
      </c>
      <c r="I168" s="1" t="s">
        <v>8</v>
      </c>
      <c r="J168" s="18" t="s">
        <v>117</v>
      </c>
      <c r="K168" s="18" t="s">
        <v>229</v>
      </c>
      <c r="L168" s="18">
        <v>33950</v>
      </c>
      <c r="M168" s="18">
        <f>ABS((D168*E168)-L168)</f>
        <v>500</v>
      </c>
      <c r="N168" s="10" t="str">
        <f>IF(COUNTIFS( $B$2:$B$797, B168, $C$2:$C$797, C168, $D$2:$D$797, D168, $E$2:$E$797, E168) &gt; 1, "Duplicate", "Unique")</f>
        <v>Unique</v>
      </c>
    </row>
    <row r="169" spans="1:14" ht="15" thickBot="1" x14ac:dyDescent="0.4">
      <c r="A169" s="8" t="s">
        <v>62</v>
      </c>
      <c r="B169" s="8" t="s">
        <v>68</v>
      </c>
      <c r="C169" s="8" t="s">
        <v>7</v>
      </c>
      <c r="D169" s="8">
        <v>10</v>
      </c>
      <c r="E169" s="8">
        <v>435</v>
      </c>
      <c r="F169" s="4">
        <v>6.722276742</v>
      </c>
      <c r="G169" s="2" t="s">
        <v>69</v>
      </c>
      <c r="H169" s="5">
        <v>407.6</v>
      </c>
      <c r="I169" s="1" t="s">
        <v>8</v>
      </c>
      <c r="J169" s="40"/>
      <c r="N169" s="10" t="str">
        <f>IF(COUNTIFS( $B$2:$B$797, B169, $C$2:$C$797, C169, $D$2:$D$797, D169, $E$2:$E$797, E169) &gt; 1, "Duplicate", "Unique")</f>
        <v>Unique</v>
      </c>
    </row>
    <row r="170" spans="1:14" ht="15" thickBot="1" x14ac:dyDescent="0.4">
      <c r="A170" s="3">
        <v>46260.554861111108</v>
      </c>
      <c r="B170" s="1" t="s">
        <v>12</v>
      </c>
      <c r="C170" s="1" t="s">
        <v>7</v>
      </c>
      <c r="D170" s="4">
        <v>1</v>
      </c>
      <c r="E170" s="4">
        <v>5540</v>
      </c>
      <c r="F170" s="4">
        <v>6.7437379579999996</v>
      </c>
      <c r="G170" s="2" t="s">
        <v>98</v>
      </c>
      <c r="H170" s="5">
        <v>5190</v>
      </c>
      <c r="I170" s="1" t="s">
        <v>8</v>
      </c>
      <c r="J170" s="18" t="s">
        <v>118</v>
      </c>
      <c r="K170" s="18" t="s">
        <v>169</v>
      </c>
      <c r="L170" s="18">
        <v>5290</v>
      </c>
      <c r="M170" s="18">
        <f>ABS((D170*E170)-L170)</f>
        <v>250</v>
      </c>
      <c r="N170" t="str">
        <f>IF(COUNTIFS( $B$2:$B$797, B170, $C$2:$C$797, C170, $D$2:$D$797, D170, $E$2:$E$797, E170) &gt; 1, "Duplicate", "Unique")</f>
        <v>Unique</v>
      </c>
    </row>
    <row r="171" spans="1:14" ht="15" thickBot="1" x14ac:dyDescent="0.4">
      <c r="A171" s="3">
        <v>46261.375694444447</v>
      </c>
      <c r="B171" s="1" t="s">
        <v>78</v>
      </c>
      <c r="C171" s="1" t="s">
        <v>7</v>
      </c>
      <c r="D171" s="4">
        <v>5</v>
      </c>
      <c r="E171" s="4">
        <v>1490</v>
      </c>
      <c r="F171" s="4">
        <v>6.886657102</v>
      </c>
      <c r="G171" s="2" t="s">
        <v>79</v>
      </c>
      <c r="H171" s="5">
        <v>1394</v>
      </c>
      <c r="I171" s="1" t="s">
        <v>8</v>
      </c>
      <c r="J171" s="18" t="s">
        <v>118</v>
      </c>
      <c r="K171" s="18" t="s">
        <v>191</v>
      </c>
      <c r="L171" s="18">
        <v>7200</v>
      </c>
      <c r="M171" s="18">
        <f>ABS((D171*E171)-L171)</f>
        <v>250</v>
      </c>
      <c r="N171" s="10" t="str">
        <f>IF(COUNTIFS( $B$2:$B$797, B171, $C$2:$C$797, C171, $D$2:$D$797, D171, $E$2:$E$797, E171) &gt; 1, "Duplicate", "Unique")</f>
        <v>Unique</v>
      </c>
    </row>
    <row r="172" spans="1:14" ht="15" thickBot="1" x14ac:dyDescent="0.4">
      <c r="A172" s="3">
        <v>46265.375694444447</v>
      </c>
      <c r="B172" s="1" t="s">
        <v>78</v>
      </c>
      <c r="C172" s="1" t="s">
        <v>7</v>
      </c>
      <c r="D172" s="4">
        <v>3</v>
      </c>
      <c r="E172" s="4">
        <v>1490</v>
      </c>
      <c r="F172" s="4">
        <v>6.886657102</v>
      </c>
      <c r="G172" s="2" t="s">
        <v>79</v>
      </c>
      <c r="H172" s="5">
        <v>1394</v>
      </c>
      <c r="I172" s="1" t="s">
        <v>8</v>
      </c>
      <c r="J172" s="18" t="s">
        <v>118</v>
      </c>
      <c r="K172" s="18" t="s">
        <v>212</v>
      </c>
      <c r="L172" s="18">
        <v>4170</v>
      </c>
      <c r="M172" s="18">
        <f>ABS((D172*E172)-L172)</f>
        <v>300</v>
      </c>
      <c r="N172" t="str">
        <f>IF(COUNTIFS( $B$2:$B$797, B172, $C$2:$C$797, C172, $D$2:$D$797, D172, $E$2:$E$797, E172) &gt; 1, "Duplicate", "Unique")</f>
        <v>Unique</v>
      </c>
    </row>
    <row r="173" spans="1:14" ht="15" thickBot="1" x14ac:dyDescent="0.4">
      <c r="A173" s="3">
        <v>46265.375694444447</v>
      </c>
      <c r="B173" s="1" t="s">
        <v>36</v>
      </c>
      <c r="C173" s="1" t="s">
        <v>7</v>
      </c>
      <c r="D173" s="4">
        <v>5</v>
      </c>
      <c r="E173" s="4">
        <v>1236</v>
      </c>
      <c r="F173" s="4">
        <v>6.9111668540000002</v>
      </c>
      <c r="G173" s="2" t="s">
        <v>65</v>
      </c>
      <c r="H173" s="5">
        <v>1156.0999999999999</v>
      </c>
      <c r="I173" s="1" t="s">
        <v>8</v>
      </c>
      <c r="J173" s="33" t="s">
        <v>118</v>
      </c>
      <c r="K173" s="18" t="s">
        <v>214</v>
      </c>
      <c r="L173" s="18">
        <v>5905</v>
      </c>
      <c r="M173" s="18">
        <f>ABS((D173*E173)-L173)</f>
        <v>275</v>
      </c>
      <c r="N173" t="str">
        <f>IF(COUNTIFS( $B$2:$B$797, B173, $C$2:$C$797, C173, $D$2:$D$797, D173, $E$2:$E$797, E173) &gt; 1, "Duplicate", "Unique")</f>
        <v>Unique</v>
      </c>
    </row>
    <row r="174" spans="1:14" ht="15" thickBot="1" x14ac:dyDescent="0.4">
      <c r="A174" s="3">
        <v>46265.375694444447</v>
      </c>
      <c r="B174" s="1" t="s">
        <v>6</v>
      </c>
      <c r="C174" s="1" t="s">
        <v>7</v>
      </c>
      <c r="D174" s="4">
        <v>20</v>
      </c>
      <c r="E174" s="4">
        <v>291</v>
      </c>
      <c r="F174" s="4">
        <v>6.9852941179999997</v>
      </c>
      <c r="G174" s="2" t="s">
        <v>130</v>
      </c>
      <c r="H174" s="5">
        <v>272</v>
      </c>
      <c r="I174" s="1" t="s">
        <v>8</v>
      </c>
      <c r="J174" s="18" t="s">
        <v>118</v>
      </c>
      <c r="K174" s="18" t="s">
        <v>213</v>
      </c>
      <c r="L174" s="18">
        <v>5520</v>
      </c>
      <c r="M174" s="18">
        <f>ABS((D174*E174)-L174)</f>
        <v>300</v>
      </c>
      <c r="N174" t="str">
        <f>IF(COUNTIFS( $B$2:$B$797, B174, $C$2:$C$797, C174, $D$2:$D$797, D174, $E$2:$E$797, E174) &gt; 1, "Duplicate", "Unique")</f>
        <v>Unique</v>
      </c>
    </row>
    <row r="175" spans="1:14" ht="15" thickBot="1" x14ac:dyDescent="0.4">
      <c r="A175" s="8" t="s">
        <v>62</v>
      </c>
      <c r="B175" s="8" t="s">
        <v>9</v>
      </c>
      <c r="C175" s="8" t="s">
        <v>7</v>
      </c>
      <c r="D175" s="8">
        <v>50</v>
      </c>
      <c r="E175" s="8">
        <v>317</v>
      </c>
      <c r="F175" s="4">
        <v>7.0584262070000001</v>
      </c>
      <c r="G175" s="2" t="s">
        <v>95</v>
      </c>
      <c r="H175" s="5">
        <v>296.10000000000002</v>
      </c>
      <c r="I175" s="1" t="s">
        <v>8</v>
      </c>
      <c r="J175" s="40"/>
      <c r="N175" s="10" t="str">
        <f>IF(COUNTIFS( $B$2:$B$797, B175, $C$2:$C$797, C175, $D$2:$D$797, D175, $E$2:$E$797, E175) &gt; 1, "Duplicate", "Unique")</f>
        <v>Unique</v>
      </c>
    </row>
    <row r="176" spans="1:14" ht="15" thickBot="1" x14ac:dyDescent="0.4">
      <c r="A176" s="11">
        <v>46252.635416666664</v>
      </c>
      <c r="B176" s="8" t="s">
        <v>123</v>
      </c>
      <c r="C176" s="8" t="s">
        <v>7</v>
      </c>
      <c r="D176" s="8">
        <v>200</v>
      </c>
      <c r="E176" s="8">
        <v>89.3</v>
      </c>
      <c r="F176" s="4">
        <v>7.0743405279999996</v>
      </c>
      <c r="G176" s="2" t="s">
        <v>124</v>
      </c>
      <c r="H176" s="5">
        <v>83.4</v>
      </c>
      <c r="I176" s="1" t="s">
        <v>8</v>
      </c>
      <c r="J176" s="18" t="s">
        <v>118</v>
      </c>
      <c r="N176" s="10" t="str">
        <f>IF(COUNTIFS( $B$2:$B$797, B176, $C$2:$C$797, C176, $D$2:$D$797, D176, $E$2:$E$797, E176) &gt; 1, "Duplicate", "Unique")</f>
        <v>Unique</v>
      </c>
    </row>
    <row r="177" spans="1:14" ht="15" thickBot="1" x14ac:dyDescent="0.4">
      <c r="A177" s="11">
        <v>46252.6875</v>
      </c>
      <c r="B177" s="8" t="s">
        <v>15</v>
      </c>
      <c r="C177" s="8" t="s">
        <v>7</v>
      </c>
      <c r="D177" s="8">
        <v>10</v>
      </c>
      <c r="E177" s="8">
        <v>2720</v>
      </c>
      <c r="F177" s="4">
        <v>7.1710007879999997</v>
      </c>
      <c r="G177" s="2" t="s">
        <v>72</v>
      </c>
      <c r="H177" s="5">
        <v>2538</v>
      </c>
      <c r="I177" s="1" t="s">
        <v>8</v>
      </c>
      <c r="J177" s="40"/>
      <c r="N177" s="10" t="str">
        <f>IF(COUNTIFS( $B$2:$B$797, B177, $C$2:$C$797, C177, $D$2:$D$797, D177, $E$2:$E$797, E177) &gt; 1, "Duplicate", "Unique")</f>
        <v>Unique</v>
      </c>
    </row>
    <row r="178" spans="1:14" ht="15" thickBot="1" x14ac:dyDescent="0.4">
      <c r="A178" s="3">
        <v>46259.388194444444</v>
      </c>
      <c r="B178" s="1" t="s">
        <v>13</v>
      </c>
      <c r="C178" s="1" t="s">
        <v>7</v>
      </c>
      <c r="D178" s="4">
        <v>20</v>
      </c>
      <c r="E178" s="4">
        <v>1948</v>
      </c>
      <c r="F178" s="4">
        <v>7.35148242</v>
      </c>
      <c r="G178" s="2" t="s">
        <v>91</v>
      </c>
      <c r="H178" s="5">
        <v>1814.6</v>
      </c>
      <c r="I178" s="1" t="s">
        <v>8</v>
      </c>
      <c r="J178" s="18" t="s">
        <v>117</v>
      </c>
      <c r="K178" s="18" t="s">
        <v>165</v>
      </c>
      <c r="L178" s="18">
        <v>38020</v>
      </c>
      <c r="M178" s="18">
        <f>ABS((D178*E178)-L178)</f>
        <v>940</v>
      </c>
      <c r="N178" s="10" t="str">
        <f>IF(COUNTIFS( $B$2:$B$797, B178, $C$2:$C$797, C178, $D$2:$D$797, D178, $E$2:$E$797, E178) &gt; 1, "Duplicate", "Unique")</f>
        <v>Unique</v>
      </c>
    </row>
    <row r="179" spans="1:14" ht="15" thickBot="1" x14ac:dyDescent="0.4">
      <c r="A179" s="8" t="s">
        <v>62</v>
      </c>
      <c r="B179" s="8" t="s">
        <v>43</v>
      </c>
      <c r="C179" s="8" t="s">
        <v>7</v>
      </c>
      <c r="D179" s="8">
        <v>10</v>
      </c>
      <c r="E179" s="12">
        <v>773</v>
      </c>
      <c r="F179" s="4">
        <v>7.630186578</v>
      </c>
      <c r="G179" s="2" t="s">
        <v>44</v>
      </c>
      <c r="H179" s="5">
        <v>718.2</v>
      </c>
      <c r="I179" s="1" t="s">
        <v>8</v>
      </c>
      <c r="J179" s="40" t="s">
        <v>118</v>
      </c>
      <c r="N179" s="10" t="str">
        <f>IF(COUNTIFS( $B$2:$B$797, B179, $C$2:$C$797, C179, $D$2:$D$797, D179, $E$2:$E$797, E179) &gt; 1, "Duplicate", "Unique")</f>
        <v>Unique</v>
      </c>
    </row>
    <row r="180" spans="1:14" s="35" customFormat="1" ht="15" thickBot="1" x14ac:dyDescent="0.4">
      <c r="A180" s="3">
        <v>46261.375</v>
      </c>
      <c r="B180" s="1" t="s">
        <v>14</v>
      </c>
      <c r="C180" s="1" t="s">
        <v>7</v>
      </c>
      <c r="D180" s="4">
        <v>100</v>
      </c>
      <c r="E180" s="4">
        <v>348</v>
      </c>
      <c r="F180" s="4">
        <v>7.7232626529999999</v>
      </c>
      <c r="G180" s="2" t="s">
        <v>45</v>
      </c>
      <c r="H180" s="5">
        <v>323.05</v>
      </c>
      <c r="I180" s="1" t="s">
        <v>8</v>
      </c>
      <c r="J180" s="18" t="s">
        <v>117</v>
      </c>
      <c r="K180" s="18" t="s">
        <v>183</v>
      </c>
      <c r="L180" s="18">
        <v>34100</v>
      </c>
      <c r="M180" s="18">
        <f>ABS((D180*E180)-L180)</f>
        <v>700</v>
      </c>
      <c r="N180" s="10" t="str">
        <f>IF(COUNTIFS( $B$2:$B$797, B180, $C$2:$C$797, C180, $D$2:$D$797, D180, $E$2:$E$797, E180) &gt; 1, "Duplicate", "Unique")</f>
        <v>Unique</v>
      </c>
    </row>
    <row r="181" spans="1:14" ht="15" thickBot="1" x14ac:dyDescent="0.4">
      <c r="A181" s="3">
        <v>46266.509722222225</v>
      </c>
      <c r="B181" s="1" t="s">
        <v>11</v>
      </c>
      <c r="C181" s="1" t="s">
        <v>7</v>
      </c>
      <c r="D181" s="4">
        <v>20</v>
      </c>
      <c r="E181" s="4">
        <v>306</v>
      </c>
      <c r="F181" s="4">
        <v>7.746478873</v>
      </c>
      <c r="G181" s="2" t="s">
        <v>99</v>
      </c>
      <c r="H181" s="5">
        <v>284</v>
      </c>
      <c r="I181" s="1" t="s">
        <v>8</v>
      </c>
      <c r="J181" s="18" t="s">
        <v>118</v>
      </c>
      <c r="K181" s="18" t="s">
        <v>221</v>
      </c>
      <c r="L181" s="18">
        <v>5820</v>
      </c>
      <c r="M181" s="18">
        <f>ABS((D181*E181)-L181)</f>
        <v>300</v>
      </c>
      <c r="N181" s="10" t="str">
        <f>IF(COUNTIFS( $B$2:$B$797, B181, $C$2:$C$797, C181, $D$2:$D$797, D181, $E$2:$E$797, E181) &gt; 1, "Duplicate", "Unique")</f>
        <v>Unique</v>
      </c>
    </row>
    <row r="182" spans="1:14" ht="15" thickBot="1" x14ac:dyDescent="0.4">
      <c r="A182" s="11">
        <v>46252.635416666664</v>
      </c>
      <c r="B182" s="8" t="s">
        <v>51</v>
      </c>
      <c r="C182" s="8" t="s">
        <v>7</v>
      </c>
      <c r="D182" s="8">
        <v>10</v>
      </c>
      <c r="E182" s="8">
        <v>997</v>
      </c>
      <c r="F182" s="4">
        <v>7.7837837839999997</v>
      </c>
      <c r="G182" s="2" t="s">
        <v>52</v>
      </c>
      <c r="H182" s="5">
        <v>925</v>
      </c>
      <c r="I182" s="1" t="s">
        <v>8</v>
      </c>
      <c r="J182" s="40" t="s">
        <v>117</v>
      </c>
      <c r="N182" s="10" t="str">
        <f>IF(COUNTIFS( $B$2:$B$797, B182, $C$2:$C$797, C182, $D$2:$D$797, D182, $E$2:$E$797, E182) &gt; 1, "Duplicate", "Unique")</f>
        <v>Unique</v>
      </c>
    </row>
    <row r="183" spans="1:14" ht="15" thickBot="1" x14ac:dyDescent="0.4">
      <c r="A183" s="3">
        <v>46265.474999999999</v>
      </c>
      <c r="B183" s="1" t="s">
        <v>20</v>
      </c>
      <c r="C183" s="1" t="s">
        <v>7</v>
      </c>
      <c r="D183" s="4">
        <v>30</v>
      </c>
      <c r="E183" s="4">
        <v>137</v>
      </c>
      <c r="F183" s="4">
        <v>7.7976237309999998</v>
      </c>
      <c r="G183" s="2" t="s">
        <v>86</v>
      </c>
      <c r="H183" s="5">
        <v>127.09</v>
      </c>
      <c r="I183" s="1" t="s">
        <v>8</v>
      </c>
      <c r="J183" s="18" t="s">
        <v>118</v>
      </c>
      <c r="K183" s="18" t="s">
        <v>205</v>
      </c>
      <c r="L183" s="18">
        <v>3810</v>
      </c>
      <c r="M183" s="18">
        <f>ABS((D183*E183)-L183)</f>
        <v>300</v>
      </c>
      <c r="N183" t="str">
        <f>IF(COUNTIFS( $B$2:$B$797, B183, $C$2:$C$797, C183, $D$2:$D$797, D183, $E$2:$E$797, E183) &gt; 1, "Duplicate", "Unique")</f>
        <v>Unique</v>
      </c>
    </row>
    <row r="184" spans="1:14" ht="15" thickBot="1" x14ac:dyDescent="0.4">
      <c r="A184" s="3">
        <v>46267.375</v>
      </c>
      <c r="B184" s="1" t="s">
        <v>31</v>
      </c>
      <c r="C184" s="1" t="s">
        <v>7</v>
      </c>
      <c r="D184" s="4">
        <v>5</v>
      </c>
      <c r="E184" s="4">
        <v>649</v>
      </c>
      <c r="F184" s="4">
        <v>7.8073089700000002</v>
      </c>
      <c r="G184" s="2" t="s">
        <v>94</v>
      </c>
      <c r="H184" s="5">
        <v>602</v>
      </c>
      <c r="I184" s="1" t="s">
        <v>8</v>
      </c>
      <c r="J184" s="18" t="s">
        <v>118</v>
      </c>
      <c r="K184" s="18" t="s">
        <v>245</v>
      </c>
      <c r="L184" s="18">
        <v>3005</v>
      </c>
      <c r="M184" s="18">
        <f>ABS((D184*E184)-L184)</f>
        <v>240</v>
      </c>
      <c r="N184" s="10" t="str">
        <f>IF(COUNTIFS( $B$2:$B$797, B184, $C$2:$C$797, C184, $D$2:$D$797, D184, $E$2:$E$797, E184) &gt; 1, "Duplicate", "Unique")</f>
        <v>Unique</v>
      </c>
    </row>
    <row r="185" spans="1:14" ht="15" thickBot="1" x14ac:dyDescent="0.4">
      <c r="A185" s="3">
        <v>46262.375</v>
      </c>
      <c r="B185" s="1" t="s">
        <v>59</v>
      </c>
      <c r="C185" s="1" t="s">
        <v>7</v>
      </c>
      <c r="D185" s="4">
        <v>4</v>
      </c>
      <c r="E185" s="4">
        <v>1146</v>
      </c>
      <c r="F185" s="4">
        <v>7.8080903099999999</v>
      </c>
      <c r="G185" s="2" t="s">
        <v>60</v>
      </c>
      <c r="H185" s="5">
        <v>1063</v>
      </c>
      <c r="I185" s="1" t="s">
        <v>8</v>
      </c>
      <c r="J185" s="18" t="s">
        <v>117</v>
      </c>
      <c r="K185" s="18" t="s">
        <v>195</v>
      </c>
      <c r="L185" s="18">
        <v>4264</v>
      </c>
      <c r="M185" s="18">
        <f>ABS((D185*E185)-L185)</f>
        <v>320</v>
      </c>
      <c r="N185" s="10" t="str">
        <f>IF(COUNTIFS( $B$2:$B$797, B185, $C$2:$C$797, C185, $D$2:$D$797, D185, $E$2:$E$797, E185) &gt; 1, "Duplicate", "Unique")</f>
        <v>Unique</v>
      </c>
    </row>
    <row r="186" spans="1:14" ht="15" thickBot="1" x14ac:dyDescent="0.4">
      <c r="A186" s="3">
        <v>46265.486111111109</v>
      </c>
      <c r="B186" s="1" t="s">
        <v>59</v>
      </c>
      <c r="C186" s="1" t="s">
        <v>7</v>
      </c>
      <c r="D186" s="4">
        <v>5</v>
      </c>
      <c r="E186" s="4">
        <v>1146</v>
      </c>
      <c r="F186" s="4">
        <v>7.8080903099999999</v>
      </c>
      <c r="G186" s="2" t="s">
        <v>60</v>
      </c>
      <c r="H186" s="5">
        <v>1063</v>
      </c>
      <c r="I186" s="1" t="s">
        <v>8</v>
      </c>
      <c r="J186" s="18" t="s">
        <v>118</v>
      </c>
      <c r="K186" s="18" t="s">
        <v>202</v>
      </c>
      <c r="L186" s="18">
        <v>5282</v>
      </c>
      <c r="M186" s="18">
        <f>ABS((D186*E186)-L186)</f>
        <v>448</v>
      </c>
      <c r="N186" t="str">
        <f>IF(COUNTIFS( $B$2:$B$797, B186, $C$2:$C$797, C186, $D$2:$D$797, D186, $E$2:$E$797, E186) &gt; 1, "Duplicate", "Unique")</f>
        <v>Unique</v>
      </c>
    </row>
    <row r="187" spans="1:14" ht="15" thickBot="1" x14ac:dyDescent="0.4">
      <c r="A187" s="8" t="s">
        <v>62</v>
      </c>
      <c r="B187" s="14" t="s">
        <v>23</v>
      </c>
      <c r="C187" s="8" t="s">
        <v>7</v>
      </c>
      <c r="D187" s="8">
        <v>40</v>
      </c>
      <c r="E187" s="41">
        <v>229</v>
      </c>
      <c r="F187" s="4">
        <v>7.8154425610000002</v>
      </c>
      <c r="G187" s="2" t="s">
        <v>70</v>
      </c>
      <c r="H187" s="5">
        <v>212.4</v>
      </c>
      <c r="I187" s="1" t="s">
        <v>8</v>
      </c>
      <c r="J187" s="40" t="s">
        <v>117</v>
      </c>
      <c r="N187" s="10" t="str">
        <f>IF(COUNTIFS( $B$2:$B$797, B187, $C$2:$C$797, C187, $D$2:$D$797, D187, $E$2:$E$797, E187) &gt; 1, "Duplicate", "Unique")</f>
        <v>Unique</v>
      </c>
    </row>
    <row r="188" spans="1:14" ht="15" thickBot="1" x14ac:dyDescent="0.4">
      <c r="A188" s="3">
        <v>46258.443055555559</v>
      </c>
      <c r="B188" s="1" t="s">
        <v>35</v>
      </c>
      <c r="C188" s="1" t="s">
        <v>7</v>
      </c>
      <c r="D188" s="4">
        <v>50</v>
      </c>
      <c r="E188" s="4">
        <v>229.5</v>
      </c>
      <c r="F188" s="4">
        <v>8.0050825920000008</v>
      </c>
      <c r="G188" s="2" t="s">
        <v>42</v>
      </c>
      <c r="H188" s="5">
        <v>212.49</v>
      </c>
      <c r="I188" s="1" t="s">
        <v>8</v>
      </c>
      <c r="J188" s="18" t="s">
        <v>118</v>
      </c>
      <c r="K188" s="18" t="s">
        <v>159</v>
      </c>
      <c r="L188" s="18">
        <v>11175</v>
      </c>
      <c r="M188" s="18">
        <f>ABS((D188*E188)-L188)</f>
        <v>300</v>
      </c>
      <c r="N188" s="10" t="str">
        <f>IF(COUNTIFS( $B$2:$B$797, B188, $C$2:$C$797, C188, $D$2:$D$797, D188, $E$2:$E$797, E188) &gt; 1, "Duplicate", "Unique")</f>
        <v>Unique</v>
      </c>
    </row>
    <row r="189" spans="1:14" ht="15" thickBot="1" x14ac:dyDescent="0.4">
      <c r="A189" s="3">
        <v>46259.375</v>
      </c>
      <c r="B189" s="1" t="s">
        <v>35</v>
      </c>
      <c r="C189" s="1" t="s">
        <v>7</v>
      </c>
      <c r="D189" s="4">
        <v>20</v>
      </c>
      <c r="E189" s="4">
        <v>229.5</v>
      </c>
      <c r="F189" s="4">
        <v>8.0050825920000008</v>
      </c>
      <c r="G189" s="2" t="s">
        <v>42</v>
      </c>
      <c r="H189" s="5">
        <v>212.49</v>
      </c>
      <c r="I189" s="1" t="s">
        <v>8</v>
      </c>
      <c r="J189" s="18" t="s">
        <v>118</v>
      </c>
      <c r="K189" s="18" t="s">
        <v>166</v>
      </c>
      <c r="L189" s="18">
        <v>4402</v>
      </c>
      <c r="M189" s="18">
        <f>ABS((D189*E189)-L189)</f>
        <v>188</v>
      </c>
      <c r="N189" s="10" t="str">
        <f>IF(COUNTIFS( $B$2:$B$797, B189, $C$2:$C$797, C189, $D$2:$D$797, D189, $E$2:$E$797, E189) &gt; 1, "Duplicate", "Unique")</f>
        <v>Unique</v>
      </c>
    </row>
    <row r="190" spans="1:14" ht="15" thickBot="1" x14ac:dyDescent="0.4">
      <c r="A190" s="3">
        <v>46262.375</v>
      </c>
      <c r="B190" s="1" t="s">
        <v>87</v>
      </c>
      <c r="C190" s="1" t="s">
        <v>7</v>
      </c>
      <c r="D190" s="4">
        <v>10</v>
      </c>
      <c r="E190" s="4">
        <v>1360</v>
      </c>
      <c r="F190" s="4">
        <v>8.0222398730000002</v>
      </c>
      <c r="G190" s="2" t="s">
        <v>88</v>
      </c>
      <c r="H190" s="5">
        <v>1259</v>
      </c>
      <c r="I190" s="1" t="s">
        <v>8</v>
      </c>
      <c r="J190" s="18" t="s">
        <v>117</v>
      </c>
      <c r="K190" s="18" t="s">
        <v>197</v>
      </c>
      <c r="L190" s="18">
        <v>13300</v>
      </c>
      <c r="M190" s="18">
        <f>ABS((D190*E190)-L190)</f>
        <v>300</v>
      </c>
      <c r="N190" s="10" t="str">
        <f>IF(COUNTIFS( $B$2:$B$797, B190, $C$2:$C$797, C190, $D$2:$D$797, D190, $E$2:$E$797, E190) &gt; 1, "Duplicate", "Unique")</f>
        <v>Unique</v>
      </c>
    </row>
    <row r="191" spans="1:14" ht="15" thickBot="1" x14ac:dyDescent="0.4">
      <c r="A191" s="3">
        <v>46261.375</v>
      </c>
      <c r="B191" s="1" t="s">
        <v>14</v>
      </c>
      <c r="C191" s="1" t="s">
        <v>7</v>
      </c>
      <c r="D191" s="4">
        <v>50</v>
      </c>
      <c r="E191" s="4">
        <v>349</v>
      </c>
      <c r="F191" s="4">
        <v>8.0328122579999999</v>
      </c>
      <c r="G191" s="2" t="s">
        <v>45</v>
      </c>
      <c r="H191" s="5">
        <v>323.05</v>
      </c>
      <c r="I191" s="1" t="s">
        <v>8</v>
      </c>
      <c r="J191" s="18" t="s">
        <v>117</v>
      </c>
      <c r="K191" s="18" t="s">
        <v>185</v>
      </c>
      <c r="L191" s="18">
        <v>17150</v>
      </c>
      <c r="M191" s="18">
        <f>ABS((D191*E191)-L191)</f>
        <v>300</v>
      </c>
      <c r="N191" s="10" t="str">
        <f>IF(COUNTIFS( $B$2:$B$797, B191, $C$2:$C$797, C191, $D$2:$D$797, D191, $E$2:$E$797, E191) &gt; 1, "Duplicate", "Unique")</f>
        <v>Unique</v>
      </c>
    </row>
    <row r="192" spans="1:14" ht="29.5" thickBot="1" x14ac:dyDescent="0.4">
      <c r="A192" s="8" t="s">
        <v>62</v>
      </c>
      <c r="B192" s="8" t="s">
        <v>21</v>
      </c>
      <c r="C192" s="8" t="s">
        <v>7</v>
      </c>
      <c r="D192" s="8">
        <v>11</v>
      </c>
      <c r="E192" s="12">
        <v>749</v>
      </c>
      <c r="F192" s="4">
        <v>8.0808080810000007</v>
      </c>
      <c r="G192" s="2" t="s">
        <v>76</v>
      </c>
      <c r="H192" s="5">
        <v>693</v>
      </c>
      <c r="I192" s="1" t="s">
        <v>8</v>
      </c>
      <c r="J192" s="40" t="s">
        <v>201</v>
      </c>
      <c r="N192" s="10" t="str">
        <f>IF(COUNTIFS( $B$2:$B$797, B192, $C$2:$C$797, C192, $D$2:$D$797, D192, $E$2:$E$797, E192) &gt; 1, "Duplicate", "Unique")</f>
        <v>Unique</v>
      </c>
    </row>
    <row r="193" spans="1:14" ht="15" thickBot="1" x14ac:dyDescent="0.4">
      <c r="A193" s="11">
        <v>46252.688194444447</v>
      </c>
      <c r="B193" s="8" t="s">
        <v>28</v>
      </c>
      <c r="C193" s="8" t="s">
        <v>7</v>
      </c>
      <c r="D193" s="8">
        <v>30</v>
      </c>
      <c r="E193" s="8">
        <v>930</v>
      </c>
      <c r="F193" s="4">
        <v>8.0829798359999998</v>
      </c>
      <c r="G193" s="2" t="s">
        <v>125</v>
      </c>
      <c r="H193" s="5">
        <v>860.45</v>
      </c>
      <c r="I193" s="1" t="s">
        <v>8</v>
      </c>
      <c r="J193" s="40"/>
      <c r="N193" s="10" t="str">
        <f>IF(COUNTIFS( $B$2:$B$797, B193, $C$2:$C$797, C193, $D$2:$D$797, D193, $E$2:$E$797, E193) &gt; 1, "Duplicate", "Unique")</f>
        <v>Unique</v>
      </c>
    </row>
    <row r="194" spans="1:14" ht="15" thickBot="1" x14ac:dyDescent="0.4">
      <c r="A194" s="3">
        <v>46258.443749999999</v>
      </c>
      <c r="B194" s="1" t="s">
        <v>6</v>
      </c>
      <c r="C194" s="1" t="s">
        <v>7</v>
      </c>
      <c r="D194" s="4">
        <v>50</v>
      </c>
      <c r="E194" s="4">
        <v>294</v>
      </c>
      <c r="F194" s="4">
        <v>8.0882352940000004</v>
      </c>
      <c r="G194" s="2" t="s">
        <v>130</v>
      </c>
      <c r="H194" s="5">
        <v>272</v>
      </c>
      <c r="I194" s="1" t="s">
        <v>8</v>
      </c>
      <c r="J194" s="18" t="s">
        <v>118</v>
      </c>
      <c r="K194" s="18" t="s">
        <v>158</v>
      </c>
      <c r="L194" s="18">
        <v>14172.5</v>
      </c>
      <c r="M194" s="18">
        <f>ABS((D194*E194)-L194)</f>
        <v>527.5</v>
      </c>
      <c r="N194" s="10" t="str">
        <f>IF(COUNTIFS( $B$2:$B$797, B194, $C$2:$C$797, C194, $D$2:$D$797, D194, $E$2:$E$797, E194) &gt; 1, "Duplicate", "Unique")</f>
        <v>Unique</v>
      </c>
    </row>
    <row r="195" spans="1:14" ht="15" thickBot="1" x14ac:dyDescent="0.4">
      <c r="A195" s="11">
        <v>46253.4</v>
      </c>
      <c r="B195" s="8" t="s">
        <v>6</v>
      </c>
      <c r="C195" s="8" t="s">
        <v>7</v>
      </c>
      <c r="D195" s="8">
        <v>30</v>
      </c>
      <c r="E195" s="8">
        <v>294</v>
      </c>
      <c r="F195" s="4">
        <v>8.0882352940000004</v>
      </c>
      <c r="G195" s="2" t="s">
        <v>130</v>
      </c>
      <c r="H195" s="5">
        <v>272</v>
      </c>
      <c r="I195" s="1" t="s">
        <v>8</v>
      </c>
      <c r="J195" s="40" t="s">
        <v>118</v>
      </c>
      <c r="K195" s="18" t="s">
        <v>143</v>
      </c>
      <c r="N195" s="10" t="str">
        <f>IF(COUNTIFS( $B$2:$B$797, B195, $C$2:$C$797, C195, $D$2:$D$797, D195, $E$2:$E$797, E195) &gt; 1, "Duplicate", "Unique")</f>
        <v>Unique</v>
      </c>
    </row>
    <row r="196" spans="1:14" s="35" customFormat="1" ht="15" thickBot="1" x14ac:dyDescent="0.4">
      <c r="A196" s="11">
        <v>46252.635416666664</v>
      </c>
      <c r="B196" s="8" t="s">
        <v>126</v>
      </c>
      <c r="C196" s="8" t="s">
        <v>7</v>
      </c>
      <c r="D196" s="8">
        <v>6</v>
      </c>
      <c r="E196" s="8">
        <v>548</v>
      </c>
      <c r="F196" s="4">
        <v>8.1507795539999996</v>
      </c>
      <c r="G196" s="2" t="s">
        <v>127</v>
      </c>
      <c r="H196" s="5">
        <v>506.7</v>
      </c>
      <c r="I196" s="1" t="s">
        <v>8</v>
      </c>
      <c r="J196" s="40"/>
      <c r="K196" s="18"/>
      <c r="L196" s="18"/>
      <c r="M196" s="18"/>
      <c r="N196" s="10" t="str">
        <f>IF(COUNTIFS( $B$2:$B$797, B196, $C$2:$C$797, C196, $D$2:$D$797, D196, $E$2:$E$797, E196) &gt; 1, "Duplicate", "Unique")</f>
        <v>Unique</v>
      </c>
    </row>
    <row r="197" spans="1:14" ht="15" thickBot="1" x14ac:dyDescent="0.4">
      <c r="A197" s="39">
        <v>46255</v>
      </c>
      <c r="B197" s="37" t="s">
        <v>19</v>
      </c>
      <c r="C197" s="37" t="s">
        <v>7</v>
      </c>
      <c r="D197" s="38">
        <v>20</v>
      </c>
      <c r="E197" s="38">
        <v>241</v>
      </c>
      <c r="F197" s="4">
        <v>8.193041526</v>
      </c>
      <c r="G197" s="2" t="s">
        <v>40</v>
      </c>
      <c r="H197" s="5">
        <v>222.75</v>
      </c>
      <c r="I197" s="1" t="s">
        <v>8</v>
      </c>
      <c r="J197" s="33" t="s">
        <v>118</v>
      </c>
      <c r="K197" s="33" t="s">
        <v>152</v>
      </c>
      <c r="L197" s="33">
        <v>4680</v>
      </c>
      <c r="M197" s="33">
        <f>ABS((D197*E197)-L197)</f>
        <v>140</v>
      </c>
      <c r="N197" s="35" t="str">
        <f>IF(COUNTIFS( $B$2:$B$797, B197, $C$2:$C$797, C197, $D$2:$D$797, D197, $E$2:$E$797, E197) &gt; 1, "Duplicate", "Unique")</f>
        <v>Duplicate</v>
      </c>
    </row>
    <row r="198" spans="1:14" ht="15" thickBot="1" x14ac:dyDescent="0.4">
      <c r="A198" s="36">
        <v>46261.385416666664</v>
      </c>
      <c r="B198" s="37" t="s">
        <v>19</v>
      </c>
      <c r="C198" s="37" t="s">
        <v>7</v>
      </c>
      <c r="D198" s="38">
        <v>20</v>
      </c>
      <c r="E198" s="38">
        <v>241</v>
      </c>
      <c r="F198" s="4">
        <v>8.193041526</v>
      </c>
      <c r="G198" s="2" t="s">
        <v>40</v>
      </c>
      <c r="H198" s="5">
        <v>222.75</v>
      </c>
      <c r="I198" s="1" t="s">
        <v>8</v>
      </c>
      <c r="J198" s="33" t="s">
        <v>118</v>
      </c>
      <c r="K198" s="33" t="s">
        <v>181</v>
      </c>
      <c r="L198" s="33">
        <v>4520</v>
      </c>
      <c r="M198" s="33">
        <f>ABS((D198*E198)-L198)</f>
        <v>300</v>
      </c>
      <c r="N198" s="35" t="str">
        <f>IF(COUNTIFS( $B$2:$B$797, B198, $C$2:$C$797, C198, $D$2:$D$797, D198, $E$2:$E$797, E198) &gt; 1, "Duplicate", "Unique")</f>
        <v>Duplicate</v>
      </c>
    </row>
    <row r="199" spans="1:14" ht="15" thickBot="1" x14ac:dyDescent="0.4">
      <c r="A199" s="36">
        <v>46260.556944444441</v>
      </c>
      <c r="B199" s="37" t="s">
        <v>36</v>
      </c>
      <c r="C199" s="37" t="s">
        <v>7</v>
      </c>
      <c r="D199" s="38">
        <v>5</v>
      </c>
      <c r="E199" s="38">
        <v>1251</v>
      </c>
      <c r="F199" s="4">
        <v>8.2086324709999996</v>
      </c>
      <c r="G199" s="2" t="s">
        <v>65</v>
      </c>
      <c r="H199" s="5">
        <v>1156.0999999999999</v>
      </c>
      <c r="I199" s="1" t="s">
        <v>8</v>
      </c>
      <c r="J199" s="33" t="s">
        <v>118</v>
      </c>
      <c r="K199" s="33" t="s">
        <v>168</v>
      </c>
      <c r="L199" s="33">
        <v>6105</v>
      </c>
      <c r="M199" s="33">
        <f>ABS((D199*E199)-L199)</f>
        <v>150</v>
      </c>
      <c r="N199" s="34" t="str">
        <f>IF(COUNTIFS( $B$2:$B$797, B199, $C$2:$C$797, C199, $D$2:$D$797, D199, $E$2:$E$797, E199) &gt; 1, "Duplicate", "Unique")</f>
        <v>Duplicate</v>
      </c>
    </row>
    <row r="200" spans="1:14" ht="15" thickBot="1" x14ac:dyDescent="0.4">
      <c r="A200" s="36">
        <v>46261.375</v>
      </c>
      <c r="B200" s="37" t="s">
        <v>36</v>
      </c>
      <c r="C200" s="37" t="s">
        <v>7</v>
      </c>
      <c r="D200" s="38">
        <v>5</v>
      </c>
      <c r="E200" s="38">
        <v>1251</v>
      </c>
      <c r="F200" s="4">
        <v>8.2086324709999996</v>
      </c>
      <c r="G200" s="2" t="s">
        <v>65</v>
      </c>
      <c r="H200" s="5">
        <v>1156.0999999999999</v>
      </c>
      <c r="I200" s="1" t="s">
        <v>8</v>
      </c>
      <c r="J200" s="33" t="s">
        <v>118</v>
      </c>
      <c r="K200" s="33" t="s">
        <v>182</v>
      </c>
      <c r="L200" s="33">
        <v>6005</v>
      </c>
      <c r="M200" s="33">
        <f>ABS((D200*E200)-L200)</f>
        <v>250</v>
      </c>
      <c r="N200" s="35" t="str">
        <f>IF(COUNTIFS( $B$2:$B$797, B200, $C$2:$C$797, C200, $D$2:$D$797, D200, $E$2:$E$797, E200) &gt; 1, "Duplicate", "Unique")</f>
        <v>Duplicate</v>
      </c>
    </row>
    <row r="201" spans="1:14" ht="15" thickBot="1" x14ac:dyDescent="0.4">
      <c r="A201" s="8" t="s">
        <v>62</v>
      </c>
      <c r="B201" s="8" t="s">
        <v>9</v>
      </c>
      <c r="C201" s="8" t="s">
        <v>7</v>
      </c>
      <c r="D201" s="8">
        <v>40</v>
      </c>
      <c r="E201" s="8">
        <v>320.5</v>
      </c>
      <c r="F201" s="4">
        <v>8.2404593039999998</v>
      </c>
      <c r="G201" s="2" t="s">
        <v>95</v>
      </c>
      <c r="H201" s="5">
        <v>296.10000000000002</v>
      </c>
      <c r="I201" s="1" t="s">
        <v>8</v>
      </c>
      <c r="J201" s="40"/>
      <c r="N201" s="10" t="str">
        <f>IF(COUNTIFS( $B$2:$B$797, B201, $C$2:$C$797, C201, $D$2:$D$797, D201, $E$2:$E$797, E201) &gt; 1, "Duplicate", "Unique")</f>
        <v>Unique</v>
      </c>
    </row>
    <row r="202" spans="1:14" ht="15" thickBot="1" x14ac:dyDescent="0.4">
      <c r="A202" s="8" t="s">
        <v>62</v>
      </c>
      <c r="B202" s="8" t="s">
        <v>128</v>
      </c>
      <c r="C202" s="8" t="s">
        <v>7</v>
      </c>
      <c r="D202" s="8">
        <v>150</v>
      </c>
      <c r="E202" s="8">
        <v>129</v>
      </c>
      <c r="F202" s="4">
        <v>8.2668904740000002</v>
      </c>
      <c r="G202" s="2" t="s">
        <v>129</v>
      </c>
      <c r="H202" s="5">
        <v>119.15</v>
      </c>
      <c r="I202" s="1" t="s">
        <v>8</v>
      </c>
      <c r="J202" s="40"/>
      <c r="N202" s="10" t="str">
        <f>IF(COUNTIFS( $B$2:$B$797, B202, $C$2:$C$797, C202, $D$2:$D$797, D202, $E$2:$E$797, E202) &gt; 1, "Duplicate", "Unique")</f>
        <v>Unique</v>
      </c>
    </row>
    <row r="203" spans="1:14" ht="15" thickBot="1" x14ac:dyDescent="0.4">
      <c r="A203" s="8" t="s">
        <v>62</v>
      </c>
      <c r="B203" s="8" t="s">
        <v>133</v>
      </c>
      <c r="C203" s="8" t="s">
        <v>7</v>
      </c>
      <c r="D203" s="8">
        <v>150</v>
      </c>
      <c r="E203" s="8">
        <v>123.4</v>
      </c>
      <c r="F203" s="4">
        <v>8.5980814930000005</v>
      </c>
      <c r="G203" s="2" t="s">
        <v>134</v>
      </c>
      <c r="H203" s="5">
        <v>113.63</v>
      </c>
      <c r="I203" s="1" t="s">
        <v>8</v>
      </c>
      <c r="J203" s="40" t="s">
        <v>117</v>
      </c>
      <c r="N203" s="10" t="str">
        <f>IF(COUNTIFS( $B$2:$B$797, B203, $C$2:$C$797, C203, $D$2:$D$797, D203, $E$2:$E$797, E203) &gt; 1, "Duplicate", "Unique")</f>
        <v>Unique</v>
      </c>
    </row>
    <row r="204" spans="1:14" ht="15" thickBot="1" x14ac:dyDescent="0.4">
      <c r="A204" s="8" t="s">
        <v>62</v>
      </c>
      <c r="B204" s="8" t="s">
        <v>24</v>
      </c>
      <c r="C204" s="8" t="s">
        <v>7</v>
      </c>
      <c r="D204" s="8">
        <v>5</v>
      </c>
      <c r="E204" s="8">
        <v>468</v>
      </c>
      <c r="F204" s="4">
        <v>8.6224904260000006</v>
      </c>
      <c r="G204" s="2" t="s">
        <v>56</v>
      </c>
      <c r="H204" s="5">
        <v>430.85</v>
      </c>
      <c r="I204" s="1" t="s">
        <v>8</v>
      </c>
      <c r="J204" s="40" t="s">
        <v>118</v>
      </c>
      <c r="N204" s="10" t="str">
        <f>IF(COUNTIFS( $B$2:$B$797, B204, $C$2:$C$797, C204, $D$2:$D$797, D204, $E$2:$E$797, E204) &gt; 1, "Duplicate", "Unique")</f>
        <v>Unique</v>
      </c>
    </row>
    <row r="205" spans="1:14" ht="15" thickBot="1" x14ac:dyDescent="0.4">
      <c r="A205" s="3">
        <v>46260.375</v>
      </c>
      <c r="B205" s="1" t="s">
        <v>24</v>
      </c>
      <c r="C205" s="1" t="s">
        <v>7</v>
      </c>
      <c r="D205" s="4">
        <v>40</v>
      </c>
      <c r="E205" s="4">
        <v>468</v>
      </c>
      <c r="F205" s="4">
        <v>8.6224904260000006</v>
      </c>
      <c r="G205" s="2" t="s">
        <v>56</v>
      </c>
      <c r="H205" s="5">
        <v>430.85</v>
      </c>
      <c r="I205" s="1" t="s">
        <v>8</v>
      </c>
      <c r="J205" s="18" t="s">
        <v>118</v>
      </c>
      <c r="K205" s="18" t="s">
        <v>173</v>
      </c>
      <c r="L205" s="18">
        <v>17920</v>
      </c>
      <c r="M205" s="18">
        <f>ABS((D205*E205)-L205)</f>
        <v>800</v>
      </c>
      <c r="N205" t="str">
        <f>IF(COUNTIFS( $B$2:$B$797, B205, $C$2:$C$797, C205, $D$2:$D$797, D205, $E$2:$E$797, E205) &gt; 1, "Duplicate", "Unique")</f>
        <v>Unique</v>
      </c>
    </row>
    <row r="206" spans="1:14" ht="15" thickBot="1" x14ac:dyDescent="0.4">
      <c r="A206" s="8" t="s">
        <v>62</v>
      </c>
      <c r="B206" s="8" t="s">
        <v>74</v>
      </c>
      <c r="C206" s="8" t="s">
        <v>7</v>
      </c>
      <c r="D206" s="8">
        <v>1</v>
      </c>
      <c r="E206" s="8">
        <v>3710</v>
      </c>
      <c r="F206" s="4">
        <v>8.7657578419999993</v>
      </c>
      <c r="G206" s="2" t="s">
        <v>75</v>
      </c>
      <c r="H206" s="5">
        <v>3411</v>
      </c>
      <c r="I206" s="1" t="s">
        <v>8</v>
      </c>
      <c r="J206" s="40" t="s">
        <v>118</v>
      </c>
      <c r="N206" s="10" t="str">
        <f>IF(COUNTIFS( $B$2:$B$797, B206, $C$2:$C$797, C206, $D$2:$D$797, D206, $E$2:$E$797, E206) &gt; 1, "Duplicate", "Unique")</f>
        <v>Unique</v>
      </c>
    </row>
    <row r="207" spans="1:14" ht="15" thickBot="1" x14ac:dyDescent="0.4">
      <c r="A207" s="8" t="s">
        <v>62</v>
      </c>
      <c r="B207" s="8" t="s">
        <v>123</v>
      </c>
      <c r="C207" s="8" t="s">
        <v>7</v>
      </c>
      <c r="D207" s="8">
        <v>200</v>
      </c>
      <c r="E207" s="8">
        <v>90.75</v>
      </c>
      <c r="F207" s="4">
        <v>8.8129496399999994</v>
      </c>
      <c r="G207" s="2" t="s">
        <v>124</v>
      </c>
      <c r="H207" s="5">
        <v>83.4</v>
      </c>
      <c r="I207" s="1" t="s">
        <v>8</v>
      </c>
      <c r="J207" s="40" t="s">
        <v>55</v>
      </c>
      <c r="N207" s="10" t="str">
        <f>IF(COUNTIFS( $B$2:$B$797, B207, $C$2:$C$797, C207, $D$2:$D$797, D207, $E$2:$E$797, E207) &gt; 1, "Duplicate", "Unique")</f>
        <v>Unique</v>
      </c>
    </row>
    <row r="208" spans="1:14" ht="15" thickBot="1" x14ac:dyDescent="0.4">
      <c r="A208" s="11">
        <v>46252.6875</v>
      </c>
      <c r="B208" s="8" t="s">
        <v>27</v>
      </c>
      <c r="C208" s="8" t="s">
        <v>7</v>
      </c>
      <c r="D208" s="8">
        <v>2</v>
      </c>
      <c r="E208" s="8">
        <v>3048</v>
      </c>
      <c r="F208" s="4">
        <v>8.8571428569999995</v>
      </c>
      <c r="G208" s="2" t="s">
        <v>131</v>
      </c>
      <c r="H208" s="5">
        <v>2800</v>
      </c>
      <c r="I208" s="1" t="s">
        <v>8</v>
      </c>
      <c r="J208" s="40" t="s">
        <v>117</v>
      </c>
      <c r="N208" s="10" t="str">
        <f>IF(COUNTIFS( $B$2:$B$797, B208, $C$2:$C$797, C208, $D$2:$D$797, D208, $E$2:$E$797, E208) &gt; 1, "Duplicate", "Unique")</f>
        <v>Unique</v>
      </c>
    </row>
    <row r="209" spans="1:15" ht="15" thickBot="1" x14ac:dyDescent="0.4">
      <c r="A209" s="8" t="s">
        <v>62</v>
      </c>
      <c r="B209" s="8" t="s">
        <v>121</v>
      </c>
      <c r="C209" s="8" t="s">
        <v>7</v>
      </c>
      <c r="D209" s="8">
        <v>10</v>
      </c>
      <c r="E209" s="8">
        <v>816</v>
      </c>
      <c r="F209" s="4">
        <v>9.134679684</v>
      </c>
      <c r="G209" s="2" t="s">
        <v>122</v>
      </c>
      <c r="H209" s="5">
        <v>747.7</v>
      </c>
      <c r="I209" s="1" t="s">
        <v>8</v>
      </c>
      <c r="J209" s="40" t="s">
        <v>117</v>
      </c>
      <c r="N209" s="10" t="str">
        <f>IF(COUNTIFS( $B$2:$B$797, B209, $C$2:$C$797, C209, $D$2:$D$797, D209, $E$2:$E$797, E209) &gt; 1, "Duplicate", "Unique")</f>
        <v>Unique</v>
      </c>
    </row>
    <row r="210" spans="1:15" ht="15" thickBot="1" x14ac:dyDescent="0.4">
      <c r="A210" s="11">
        <v>46252.645138888889</v>
      </c>
      <c r="B210" s="8" t="s">
        <v>35</v>
      </c>
      <c r="C210" s="8" t="s">
        <v>7</v>
      </c>
      <c r="D210" s="8">
        <v>200</v>
      </c>
      <c r="E210" s="8">
        <v>232</v>
      </c>
      <c r="F210" s="4">
        <v>9.1816085459999996</v>
      </c>
      <c r="G210" s="2" t="s">
        <v>42</v>
      </c>
      <c r="H210" s="5">
        <v>212.49</v>
      </c>
      <c r="I210" s="1" t="s">
        <v>8</v>
      </c>
      <c r="J210" s="17" t="s">
        <v>117</v>
      </c>
      <c r="N210" s="10" t="str">
        <f>IF(COUNTIFS( $B$2:$B$797, B210, $C$2:$C$797, C210, $D$2:$D$797, D210, $E$2:$E$797, E210) &gt; 1, "Duplicate", "Unique")</f>
        <v>Unique</v>
      </c>
    </row>
    <row r="211" spans="1:15" ht="15" thickBot="1" x14ac:dyDescent="0.4">
      <c r="A211" s="3">
        <v>46261.375694444447</v>
      </c>
      <c r="B211" s="1" t="s">
        <v>53</v>
      </c>
      <c r="C211" s="1" t="s">
        <v>7</v>
      </c>
      <c r="D211" s="4">
        <v>2</v>
      </c>
      <c r="E211" s="4">
        <v>2690</v>
      </c>
      <c r="F211" s="4">
        <v>9.2607636069999995</v>
      </c>
      <c r="G211" s="2" t="s">
        <v>54</v>
      </c>
      <c r="H211" s="5">
        <v>2462</v>
      </c>
      <c r="I211" s="1" t="s">
        <v>8</v>
      </c>
      <c r="J211" s="18" t="s">
        <v>118</v>
      </c>
      <c r="K211" s="18" t="s">
        <v>180</v>
      </c>
      <c r="L211" s="18">
        <v>5120</v>
      </c>
      <c r="M211" s="18">
        <f>ABS((D211*E211)-L211)</f>
        <v>260</v>
      </c>
      <c r="N211" s="10" t="str">
        <f>IF(COUNTIFS( $B$2:$B$797, B211, $C$2:$C$797, C211, $D$2:$D$797, D211, $E$2:$E$797, E211) &gt; 1, "Duplicate", "Unique")</f>
        <v>Unique</v>
      </c>
    </row>
    <row r="212" spans="1:15" ht="15" thickBot="1" x14ac:dyDescent="0.4">
      <c r="A212" s="11">
        <v>46253.375</v>
      </c>
      <c r="B212" s="8" t="s">
        <v>14</v>
      </c>
      <c r="C212" s="8" t="s">
        <v>7</v>
      </c>
      <c r="D212" s="8">
        <v>50</v>
      </c>
      <c r="E212" s="8">
        <v>353</v>
      </c>
      <c r="F212" s="4">
        <v>9.2710106789999998</v>
      </c>
      <c r="G212" s="2" t="s">
        <v>45</v>
      </c>
      <c r="H212" s="5">
        <v>323.05</v>
      </c>
      <c r="I212" s="1" t="s">
        <v>8</v>
      </c>
      <c r="J212" s="40" t="s">
        <v>118</v>
      </c>
      <c r="K212" s="18" t="s">
        <v>145</v>
      </c>
      <c r="N212" s="10" t="str">
        <f>IF(COUNTIFS( $B$2:$B$797, B212, $C$2:$C$797, C212, $D$2:$D$797, D212, $E$2:$E$797, E212) &gt; 1, "Duplicate", "Unique")</f>
        <v>Unique</v>
      </c>
    </row>
    <row r="213" spans="1:15" ht="15" thickBot="1" x14ac:dyDescent="0.4">
      <c r="A213" s="3">
        <v>46258.629861111112</v>
      </c>
      <c r="B213" s="1" t="s">
        <v>17</v>
      </c>
      <c r="C213" s="1" t="s">
        <v>7</v>
      </c>
      <c r="D213" s="4">
        <v>25</v>
      </c>
      <c r="E213" s="4">
        <v>392.5</v>
      </c>
      <c r="F213" s="4">
        <v>9.4076655050000006</v>
      </c>
      <c r="G213" s="2" t="s">
        <v>77</v>
      </c>
      <c r="H213" s="5">
        <v>358.75</v>
      </c>
      <c r="I213" s="1" t="s">
        <v>8</v>
      </c>
      <c r="J213" s="18" t="s">
        <v>118</v>
      </c>
      <c r="K213" s="18" t="s">
        <v>157</v>
      </c>
      <c r="L213" s="18">
        <v>9312.5</v>
      </c>
      <c r="M213" s="18">
        <f>ABS((D213*E213)-L213)</f>
        <v>500</v>
      </c>
      <c r="N213" s="10" t="str">
        <f>IF(COUNTIFS( $B$2:$B$797, B213, $C$2:$C$797, C213, $D$2:$D$797, D213, $E$2:$E$797, E213) &gt; 1, "Duplicate", "Unique")</f>
        <v>Unique</v>
      </c>
      <c r="O213" s="57" t="s">
        <v>275</v>
      </c>
    </row>
    <row r="214" spans="1:15" ht="15" thickBot="1" x14ac:dyDescent="0.4">
      <c r="A214" s="3">
        <v>46261.375</v>
      </c>
      <c r="B214" s="1" t="s">
        <v>18</v>
      </c>
      <c r="C214" s="1" t="s">
        <v>7</v>
      </c>
      <c r="D214" s="4">
        <v>2</v>
      </c>
      <c r="E214" s="4">
        <v>1970</v>
      </c>
      <c r="F214" s="4">
        <v>9.5052807119999994</v>
      </c>
      <c r="G214" s="2" t="s">
        <v>102</v>
      </c>
      <c r="H214" s="5">
        <v>1799</v>
      </c>
      <c r="I214" s="1" t="s">
        <v>8</v>
      </c>
      <c r="J214" s="18" t="s">
        <v>117</v>
      </c>
      <c r="K214" s="18" t="s">
        <v>184</v>
      </c>
      <c r="L214" s="18">
        <v>3680</v>
      </c>
      <c r="M214" s="18">
        <f>ABS((D214*E214)-L214)</f>
        <v>260</v>
      </c>
      <c r="N214" s="10" t="str">
        <f>IF(COUNTIFS( $B$2:$B$797, B214, $C$2:$C$797, C214, $D$2:$D$797, D214, $E$2:$E$797, E214) &gt; 1, "Duplicate", "Unique")</f>
        <v>Unique</v>
      </c>
    </row>
    <row r="215" spans="1:15" ht="15" thickBot="1" x14ac:dyDescent="0.4">
      <c r="A215" s="3">
        <v>46265.415277777778</v>
      </c>
      <c r="B215" s="1" t="s">
        <v>16</v>
      </c>
      <c r="C215" s="1" t="s">
        <v>7</v>
      </c>
      <c r="D215" s="4">
        <v>5</v>
      </c>
      <c r="E215" s="4">
        <v>948</v>
      </c>
      <c r="F215" s="4">
        <v>9.6080471729999992</v>
      </c>
      <c r="G215" s="2" t="s">
        <v>61</v>
      </c>
      <c r="H215" s="5">
        <v>864.9</v>
      </c>
      <c r="I215" s="1" t="s">
        <v>8</v>
      </c>
      <c r="J215" s="24" t="s">
        <v>118</v>
      </c>
      <c r="K215" s="18" t="s">
        <v>204</v>
      </c>
      <c r="L215" s="18">
        <v>4455</v>
      </c>
      <c r="M215" s="18">
        <f>ABS((D215*E215)-L215)</f>
        <v>285</v>
      </c>
      <c r="N215" t="str">
        <f>IF(COUNTIFS( $B$2:$B$797, B215, $C$2:$C$797, C215, $D$2:$D$797, D215, $E$2:$E$797, E215) &gt; 1, "Duplicate", "Unique")</f>
        <v>Unique</v>
      </c>
    </row>
    <row r="216" spans="1:15" ht="15" thickBot="1" x14ac:dyDescent="0.4">
      <c r="A216" s="3">
        <v>46266.375</v>
      </c>
      <c r="B216" s="1" t="s">
        <v>16</v>
      </c>
      <c r="C216" s="1" t="s">
        <v>7</v>
      </c>
      <c r="D216" s="4">
        <v>11</v>
      </c>
      <c r="E216" s="4">
        <v>948</v>
      </c>
      <c r="F216" s="4">
        <v>9.6080471729999992</v>
      </c>
      <c r="G216" s="2" t="s">
        <v>61</v>
      </c>
      <c r="H216" s="5">
        <v>864.9</v>
      </c>
      <c r="I216" s="1" t="s">
        <v>8</v>
      </c>
      <c r="J216" s="18" t="s">
        <v>117</v>
      </c>
      <c r="K216" s="18" t="s">
        <v>225</v>
      </c>
      <c r="L216" s="18">
        <v>9702</v>
      </c>
      <c r="M216" s="18">
        <f>ABS((D216*E216)-L216)</f>
        <v>726</v>
      </c>
      <c r="N216" s="10" t="str">
        <f>IF(COUNTIFS( $B$2:$B$797, B216, $C$2:$C$797, C216, $D$2:$D$797, D216, $E$2:$E$797, E216) &gt; 1, "Duplicate", "Unique")</f>
        <v>Unique</v>
      </c>
    </row>
    <row r="217" spans="1:15" s="35" customFormat="1" ht="15" thickBot="1" x14ac:dyDescent="0.4">
      <c r="A217" s="3">
        <v>46259.375</v>
      </c>
      <c r="B217" s="1" t="s">
        <v>24</v>
      </c>
      <c r="C217" s="1" t="s">
        <v>7</v>
      </c>
      <c r="D217" s="4">
        <v>20</v>
      </c>
      <c r="E217" s="4">
        <v>472.5</v>
      </c>
      <c r="F217" s="4">
        <v>9.6669374490000006</v>
      </c>
      <c r="G217" s="2" t="s">
        <v>56</v>
      </c>
      <c r="H217" s="5">
        <v>430.85</v>
      </c>
      <c r="I217" s="1" t="s">
        <v>8</v>
      </c>
      <c r="J217" s="40" t="s">
        <v>118</v>
      </c>
      <c r="K217" s="18" t="s">
        <v>164</v>
      </c>
      <c r="L217" s="18">
        <v>8800</v>
      </c>
      <c r="M217" s="18">
        <f>ABS((D217*E217)-L217)</f>
        <v>650</v>
      </c>
      <c r="N217" s="10" t="str">
        <f>IF(COUNTIFS( $B$2:$B$797, B217, $C$2:$C$797, C217, $D$2:$D$797, D217, $E$2:$E$797, E217) &gt; 1, "Duplicate", "Unique")</f>
        <v>Unique</v>
      </c>
    </row>
    <row r="218" spans="1:15" ht="15" thickBot="1" x14ac:dyDescent="0.4">
      <c r="A218" s="3">
        <v>46260.375</v>
      </c>
      <c r="B218" s="1" t="s">
        <v>13</v>
      </c>
      <c r="C218" s="1" t="s">
        <v>7</v>
      </c>
      <c r="D218" s="4">
        <v>5</v>
      </c>
      <c r="E218" s="4">
        <v>1994</v>
      </c>
      <c r="F218" s="4">
        <v>9.8864763579999995</v>
      </c>
      <c r="G218" s="2" t="s">
        <v>91</v>
      </c>
      <c r="H218" s="5">
        <v>1814.6</v>
      </c>
      <c r="I218" s="1" t="s">
        <v>8</v>
      </c>
      <c r="J218" s="18" t="s">
        <v>118</v>
      </c>
      <c r="K218" s="18" t="s">
        <v>175</v>
      </c>
      <c r="L218" s="18">
        <v>9320</v>
      </c>
      <c r="M218" s="18">
        <f>ABS((D218*E218)-L218)</f>
        <v>650</v>
      </c>
      <c r="N218" t="str">
        <f>IF(COUNTIFS( $B$2:$B$797, B218, $C$2:$C$797, C218, $D$2:$D$797, D218, $E$2:$E$797, E218) &gt; 1, "Duplicate", "Unique")</f>
        <v>Unique</v>
      </c>
    </row>
    <row r="219" spans="1:15" ht="15" thickBot="1" x14ac:dyDescent="0.4">
      <c r="A219" s="11">
        <v>46252.635416666664</v>
      </c>
      <c r="B219" s="8" t="s">
        <v>82</v>
      </c>
      <c r="C219" s="8" t="s">
        <v>7</v>
      </c>
      <c r="D219" s="8">
        <v>1</v>
      </c>
      <c r="E219" s="8">
        <v>4556</v>
      </c>
      <c r="F219" s="4">
        <v>9.9898604609999992</v>
      </c>
      <c r="G219" s="2" t="s">
        <v>83</v>
      </c>
      <c r="H219" s="5">
        <v>4142.2</v>
      </c>
      <c r="I219" s="1" t="s">
        <v>8</v>
      </c>
      <c r="J219" s="40"/>
      <c r="N219" s="10" t="str">
        <f>IF(COUNTIFS( $B$2:$B$797, B219, $C$2:$C$797, C219, $D$2:$D$797, D219, $E$2:$E$797, E219) &gt; 1, "Duplicate", "Unique")</f>
        <v>Unique</v>
      </c>
    </row>
    <row r="220" spans="1:15" ht="15" thickBot="1" x14ac:dyDescent="0.4">
      <c r="A220" s="8" t="s">
        <v>62</v>
      </c>
      <c r="B220" s="8" t="s">
        <v>43</v>
      </c>
      <c r="C220" s="8" t="s">
        <v>7</v>
      </c>
      <c r="D220" s="8">
        <v>5</v>
      </c>
      <c r="E220" s="12">
        <v>790</v>
      </c>
      <c r="F220" s="4">
        <v>9.9972152600000008</v>
      </c>
      <c r="G220" s="2" t="s">
        <v>44</v>
      </c>
      <c r="H220" s="5">
        <v>718.2</v>
      </c>
      <c r="I220" s="1" t="s">
        <v>8</v>
      </c>
      <c r="J220" s="40"/>
      <c r="N220" s="10" t="str">
        <f>IF(COUNTIFS( $B$2:$B$797, B220, $C$2:$C$797, C220, $D$2:$D$797, D220, $E$2:$E$797, E220) &gt; 1, "Duplicate", "Unique")</f>
        <v>Unique</v>
      </c>
    </row>
    <row r="221" spans="1:15" ht="15" thickBot="1" x14ac:dyDescent="0.4">
      <c r="A221" s="8" t="s">
        <v>62</v>
      </c>
      <c r="B221" s="8" t="s">
        <v>123</v>
      </c>
      <c r="C221" s="8" t="s">
        <v>7</v>
      </c>
      <c r="D221" s="8">
        <v>200</v>
      </c>
      <c r="E221" s="8">
        <v>91.75</v>
      </c>
      <c r="F221" s="4">
        <v>10.011990409999999</v>
      </c>
      <c r="G221" s="2" t="s">
        <v>124</v>
      </c>
      <c r="H221" s="5">
        <v>83.4</v>
      </c>
      <c r="I221" s="1" t="s">
        <v>8</v>
      </c>
      <c r="J221" s="40"/>
      <c r="N221" s="10" t="str">
        <f>IF(COUNTIFS( $B$2:$B$797, B221, $C$2:$C$797, C221, $D$2:$D$797, D221, $E$2:$E$797, E221) &gt; 1, "Duplicate", "Unique")</f>
        <v>Unique</v>
      </c>
    </row>
    <row r="222" spans="1:15" ht="15" thickBot="1" x14ac:dyDescent="0.4">
      <c r="A222" s="8" t="s">
        <v>62</v>
      </c>
      <c r="B222" s="8" t="s">
        <v>53</v>
      </c>
      <c r="C222" s="8" t="s">
        <v>7</v>
      </c>
      <c r="D222" s="8">
        <v>3</v>
      </c>
      <c r="E222" s="12">
        <v>2710</v>
      </c>
      <c r="F222" s="4">
        <v>10.07311129</v>
      </c>
      <c r="G222" s="2" t="s">
        <v>54</v>
      </c>
      <c r="H222" s="5">
        <v>2462</v>
      </c>
      <c r="I222" s="1" t="s">
        <v>8</v>
      </c>
      <c r="J222" s="40" t="s">
        <v>118</v>
      </c>
      <c r="N222" s="10" t="str">
        <f>IF(COUNTIFS( $B$2:$B$797, B222, $C$2:$C$797, C222, $D$2:$D$797, D222, $E$2:$E$797, E222) &gt; 1, "Duplicate", "Unique")</f>
        <v>Unique</v>
      </c>
    </row>
    <row r="223" spans="1:15" ht="15" thickBot="1" x14ac:dyDescent="0.4">
      <c r="A223" s="3">
        <v>46260.375</v>
      </c>
      <c r="B223" s="1" t="s">
        <v>87</v>
      </c>
      <c r="C223" s="1" t="s">
        <v>7</v>
      </c>
      <c r="D223" s="4">
        <v>10</v>
      </c>
      <c r="E223" s="4">
        <v>1390</v>
      </c>
      <c r="F223" s="4">
        <v>10.405083400000001</v>
      </c>
      <c r="G223" s="2" t="s">
        <v>88</v>
      </c>
      <c r="H223" s="5">
        <v>1259</v>
      </c>
      <c r="I223" s="1" t="s">
        <v>8</v>
      </c>
      <c r="J223" s="18" t="s">
        <v>117</v>
      </c>
      <c r="K223" s="18" t="s">
        <v>176</v>
      </c>
      <c r="L223" s="18">
        <v>13600</v>
      </c>
      <c r="M223" s="18">
        <f>ABS((D223*E223)-L223)</f>
        <v>300</v>
      </c>
      <c r="N223" t="str">
        <f>IF(COUNTIFS( $B$2:$B$797, B223, $C$2:$C$797, C223, $D$2:$D$797, D223, $E$2:$E$797, E223) &gt; 1, "Duplicate", "Unique")</f>
        <v>Unique</v>
      </c>
    </row>
    <row r="224" spans="1:15" ht="15" thickBot="1" x14ac:dyDescent="0.4">
      <c r="A224" s="8" t="s">
        <v>62</v>
      </c>
      <c r="B224" s="8" t="s">
        <v>6</v>
      </c>
      <c r="C224" s="8" t="s">
        <v>7</v>
      </c>
      <c r="D224" s="8">
        <v>120</v>
      </c>
      <c r="E224" s="8">
        <v>300.5</v>
      </c>
      <c r="F224" s="4">
        <v>10.47794118</v>
      </c>
      <c r="G224" s="2" t="s">
        <v>130</v>
      </c>
      <c r="H224" s="5">
        <v>272</v>
      </c>
      <c r="I224" s="1" t="s">
        <v>8</v>
      </c>
      <c r="J224" s="40" t="s">
        <v>118</v>
      </c>
      <c r="N224" s="10" t="str">
        <f>IF(COUNTIFS( $B$2:$B$797, B224, $C$2:$C$797, C224, $D$2:$D$797, D224, $E$2:$E$797, E224) &gt; 1, "Duplicate", "Unique")</f>
        <v>Unique</v>
      </c>
    </row>
    <row r="225" spans="1:14" s="35" customFormat="1" ht="15" thickBot="1" x14ac:dyDescent="0.4">
      <c r="A225" s="11">
        <v>46252.688194444447</v>
      </c>
      <c r="B225" s="8" t="s">
        <v>14</v>
      </c>
      <c r="C225" s="8" t="s">
        <v>7</v>
      </c>
      <c r="D225" s="8">
        <v>50</v>
      </c>
      <c r="E225" s="8">
        <v>357</v>
      </c>
      <c r="F225" s="4">
        <v>10.5092091</v>
      </c>
      <c r="G225" s="2" t="s">
        <v>45</v>
      </c>
      <c r="H225" s="5">
        <v>323.05</v>
      </c>
      <c r="I225" s="1" t="s">
        <v>8</v>
      </c>
      <c r="J225" s="40"/>
      <c r="K225" s="18"/>
      <c r="L225" s="18"/>
      <c r="M225" s="18"/>
      <c r="N225" s="10" t="str">
        <f>IF(COUNTIFS( $B$2:$B$797, B225, $C$2:$C$797, C225, $D$2:$D$797, D225, $E$2:$E$797, E225) &gt; 1, "Duplicate", "Unique")</f>
        <v>Unique</v>
      </c>
    </row>
    <row r="226" spans="1:14" ht="15" thickBot="1" x14ac:dyDescent="0.4">
      <c r="A226" s="11">
        <v>46252.635416666664</v>
      </c>
      <c r="B226" s="8" t="s">
        <v>35</v>
      </c>
      <c r="C226" s="8" t="s">
        <v>7</v>
      </c>
      <c r="D226" s="8">
        <v>200</v>
      </c>
      <c r="E226" s="8">
        <v>235</v>
      </c>
      <c r="F226" s="4">
        <v>10.59343969</v>
      </c>
      <c r="G226" s="2" t="s">
        <v>42</v>
      </c>
      <c r="H226" s="5">
        <v>212.49</v>
      </c>
      <c r="I226" s="1" t="s">
        <v>8</v>
      </c>
      <c r="J226" s="56" t="s">
        <v>55</v>
      </c>
      <c r="N226" s="10" t="str">
        <f>IF(COUNTIFS( $B$2:$B$797, B226, $C$2:$C$797, C226, $D$2:$D$797, D226, $E$2:$E$797, E226) &gt; 1, "Duplicate", "Unique")</f>
        <v>Unique</v>
      </c>
    </row>
    <row r="227" spans="1:14" ht="15" thickBot="1" x14ac:dyDescent="0.4">
      <c r="A227" s="8" t="s">
        <v>62</v>
      </c>
      <c r="B227" s="8" t="s">
        <v>51</v>
      </c>
      <c r="C227" s="8" t="s">
        <v>7</v>
      </c>
      <c r="D227" s="8">
        <v>10</v>
      </c>
      <c r="E227" s="13">
        <v>1024</v>
      </c>
      <c r="F227" s="4">
        <v>10.7027027</v>
      </c>
      <c r="G227" s="2" t="s">
        <v>52</v>
      </c>
      <c r="H227" s="5">
        <v>925</v>
      </c>
      <c r="I227" s="1" t="s">
        <v>8</v>
      </c>
      <c r="J227" s="40" t="s">
        <v>118</v>
      </c>
      <c r="N227" s="10" t="str">
        <f>IF(COUNTIFS( $B$2:$B$797, B227, $C$2:$C$797, C227, $D$2:$D$797, D227, $E$2:$E$797, E227) &gt; 1, "Duplicate", "Unique")</f>
        <v>Unique</v>
      </c>
    </row>
    <row r="228" spans="1:14" ht="15" thickBot="1" x14ac:dyDescent="0.4">
      <c r="A228" s="8" t="s">
        <v>62</v>
      </c>
      <c r="B228" s="8" t="s">
        <v>26</v>
      </c>
      <c r="C228" s="8" t="s">
        <v>7</v>
      </c>
      <c r="D228" s="8">
        <v>25</v>
      </c>
      <c r="E228" s="8">
        <v>199.9</v>
      </c>
      <c r="F228" s="4">
        <v>10.74792244</v>
      </c>
      <c r="G228" s="2" t="s">
        <v>132</v>
      </c>
      <c r="H228" s="5">
        <v>180.5</v>
      </c>
      <c r="I228" s="1" t="s">
        <v>8</v>
      </c>
      <c r="J228" s="40" t="s">
        <v>117</v>
      </c>
      <c r="N228" s="10" t="str">
        <f>IF(COUNTIFS( $B$2:$B$797, B228, $C$2:$C$797, C228, $D$2:$D$797, D228, $E$2:$E$797, E228) &gt; 1, "Duplicate", "Unique")</f>
        <v>Unique</v>
      </c>
    </row>
    <row r="229" spans="1:14" ht="15" thickBot="1" x14ac:dyDescent="0.4">
      <c r="A229" s="8" t="s">
        <v>62</v>
      </c>
      <c r="B229" s="8" t="s">
        <v>119</v>
      </c>
      <c r="C229" s="8" t="s">
        <v>7</v>
      </c>
      <c r="D229" s="8">
        <v>15</v>
      </c>
      <c r="E229" s="8">
        <v>1090</v>
      </c>
      <c r="F229" s="4">
        <v>10.79487701</v>
      </c>
      <c r="G229" s="2" t="s">
        <v>120</v>
      </c>
      <c r="H229" s="5">
        <v>983.8</v>
      </c>
      <c r="I229" s="1" t="s">
        <v>8</v>
      </c>
      <c r="J229" s="40"/>
      <c r="N229" s="10" t="str">
        <f>IF(COUNTIFS( $B$2:$B$797, B229, $C$2:$C$797, C229, $D$2:$D$797, D229, $E$2:$E$797, E229) &gt; 1, "Duplicate", "Unique")</f>
        <v>Unique</v>
      </c>
    </row>
    <row r="230" spans="1:14" s="35" customFormat="1" ht="15" thickBot="1" x14ac:dyDescent="0.4">
      <c r="A230" s="8" t="s">
        <v>62</v>
      </c>
      <c r="B230" s="8" t="s">
        <v>135</v>
      </c>
      <c r="C230" s="8" t="s">
        <v>7</v>
      </c>
      <c r="D230" s="8">
        <v>5</v>
      </c>
      <c r="E230" s="8">
        <v>2190</v>
      </c>
      <c r="F230" s="4">
        <v>10.9197731</v>
      </c>
      <c r="G230" s="2" t="s">
        <v>136</v>
      </c>
      <c r="H230" s="5">
        <v>1974.4</v>
      </c>
      <c r="I230" s="1" t="s">
        <v>8</v>
      </c>
      <c r="J230" s="40" t="s">
        <v>118</v>
      </c>
      <c r="K230" s="18"/>
      <c r="L230" s="18"/>
      <c r="M230" s="18"/>
      <c r="N230" s="10" t="str">
        <f>IF(COUNTIFS( $B$2:$B$797, B230, $C$2:$C$797, C230, $D$2:$D$797, D230, $E$2:$E$797, E230) &gt; 1, "Duplicate", "Unique")</f>
        <v>Unique</v>
      </c>
    </row>
    <row r="231" spans="1:14" s="35" customFormat="1" ht="15" thickBot="1" x14ac:dyDescent="0.4">
      <c r="A231" s="11">
        <v>46252.6875</v>
      </c>
      <c r="B231" s="8" t="s">
        <v>13</v>
      </c>
      <c r="C231" s="8" t="s">
        <v>7</v>
      </c>
      <c r="D231" s="8">
        <v>5</v>
      </c>
      <c r="E231" s="8">
        <v>2014</v>
      </c>
      <c r="F231" s="4">
        <v>10.98864764</v>
      </c>
      <c r="G231" s="2" t="s">
        <v>91</v>
      </c>
      <c r="H231" s="5">
        <v>1814.6</v>
      </c>
      <c r="I231" s="1" t="s">
        <v>8</v>
      </c>
      <c r="J231" s="40" t="s">
        <v>118</v>
      </c>
      <c r="K231" s="18"/>
      <c r="L231" s="18"/>
      <c r="M231" s="18"/>
      <c r="N231" s="10" t="str">
        <f>IF(COUNTIFS( $B$2:$B$797, B231, $C$2:$C$797, C231, $D$2:$D$797, D231, $E$2:$E$797, E231) &gt; 1, "Duplicate", "Unique")</f>
        <v>Unique</v>
      </c>
    </row>
    <row r="232" spans="1:14" ht="15" thickBot="1" x14ac:dyDescent="0.4">
      <c r="A232" s="3">
        <v>46269.375555555554</v>
      </c>
      <c r="B232" s="1" t="s">
        <v>22</v>
      </c>
      <c r="C232" s="1" t="s">
        <v>7</v>
      </c>
      <c r="D232" s="4">
        <v>5</v>
      </c>
      <c r="E232" s="4">
        <v>471</v>
      </c>
      <c r="F232" s="4">
        <v>11.032531820000001</v>
      </c>
      <c r="G232" s="2" t="s">
        <v>73</v>
      </c>
      <c r="H232" s="5">
        <v>424.2</v>
      </c>
      <c r="I232" s="1" t="s">
        <v>8</v>
      </c>
      <c r="J232" s="18" t="s">
        <v>118</v>
      </c>
      <c r="K232" s="18" t="s">
        <v>265</v>
      </c>
      <c r="L232" s="18">
        <v>2105</v>
      </c>
      <c r="M232" s="27">
        <f>ABS((D232*E232)-L232)</f>
        <v>250</v>
      </c>
      <c r="N232" t="str">
        <f>IF(COUNTIFS( $B$2:$B$797, B232, $C$2:$C$797, C232, $D$2:$D$797, D232, $E$2:$E$797, E232) &gt; 1, "Duplicate", "Unique")</f>
        <v>Unique</v>
      </c>
    </row>
    <row r="233" spans="1:14" ht="15" thickBot="1" x14ac:dyDescent="0.4">
      <c r="A233" s="3">
        <v>46265.375694444447</v>
      </c>
      <c r="B233" s="1" t="s">
        <v>16</v>
      </c>
      <c r="C233" s="1" t="s">
        <v>7</v>
      </c>
      <c r="D233" s="4">
        <v>5</v>
      </c>
      <c r="E233" s="4">
        <v>961</v>
      </c>
      <c r="F233" s="4">
        <v>11.11111111</v>
      </c>
      <c r="G233" s="2" t="s">
        <v>61</v>
      </c>
      <c r="H233" s="5">
        <v>864.9</v>
      </c>
      <c r="I233" s="1" t="s">
        <v>8</v>
      </c>
      <c r="J233" s="18" t="s">
        <v>118</v>
      </c>
      <c r="K233" s="18" t="s">
        <v>210</v>
      </c>
      <c r="L233" s="18">
        <v>4530</v>
      </c>
      <c r="M233" s="18">
        <f>ABS((D233*E233)-L233)</f>
        <v>275</v>
      </c>
      <c r="N233" t="str">
        <f>IF(COUNTIFS( $B$2:$B$797, B233, $C$2:$C$797, C233, $D$2:$D$797, D233, $E$2:$E$797, E233) &gt; 1, "Duplicate", "Unique")</f>
        <v>Unique</v>
      </c>
    </row>
    <row r="234" spans="1:14" ht="15" thickBot="1" x14ac:dyDescent="0.4">
      <c r="A234" s="8" t="s">
        <v>62</v>
      </c>
      <c r="B234" s="8" t="s">
        <v>74</v>
      </c>
      <c r="C234" s="8" t="s">
        <v>7</v>
      </c>
      <c r="D234" s="8">
        <v>1</v>
      </c>
      <c r="E234" s="12">
        <v>3810</v>
      </c>
      <c r="F234" s="4">
        <v>11.697449430000001</v>
      </c>
      <c r="G234" s="2" t="s">
        <v>75</v>
      </c>
      <c r="H234" s="5">
        <v>3411</v>
      </c>
      <c r="I234" s="1" t="s">
        <v>8</v>
      </c>
      <c r="J234" s="40" t="s">
        <v>118</v>
      </c>
      <c r="N234" s="10" t="str">
        <f>IF(COUNTIFS( $B$2:$B$797, B234, $C$2:$C$797, C234, $D$2:$D$797, D234, $E$2:$E$797, E234) &gt; 1, "Duplicate", "Unique")</f>
        <v>Unique</v>
      </c>
    </row>
    <row r="235" spans="1:14" ht="15" thickBot="1" x14ac:dyDescent="0.4">
      <c r="A235" s="11">
        <v>46252.688194444447</v>
      </c>
      <c r="B235" s="8" t="s">
        <v>14</v>
      </c>
      <c r="C235" s="8" t="s">
        <v>7</v>
      </c>
      <c r="D235" s="8">
        <v>50</v>
      </c>
      <c r="E235" s="8">
        <v>361</v>
      </c>
      <c r="F235" s="4">
        <v>11.747407519999999</v>
      </c>
      <c r="G235" s="2" t="s">
        <v>45</v>
      </c>
      <c r="H235" s="5">
        <v>323.05</v>
      </c>
      <c r="I235" s="1" t="s">
        <v>8</v>
      </c>
      <c r="J235" s="40"/>
      <c r="N235" s="10" t="str">
        <f>IF(COUNTIFS( $B$2:$B$797, B235, $C$2:$C$797, C235, $D$2:$D$797, D235, $E$2:$E$797, E235) &gt; 1, "Duplicate", "Unique")</f>
        <v>Unique</v>
      </c>
    </row>
    <row r="236" spans="1:14" ht="15" thickBot="1" x14ac:dyDescent="0.4">
      <c r="A236" s="11">
        <v>46252.635416666664</v>
      </c>
      <c r="B236" s="8" t="s">
        <v>35</v>
      </c>
      <c r="C236" s="8" t="s">
        <v>7</v>
      </c>
      <c r="D236" s="8">
        <v>120</v>
      </c>
      <c r="E236" s="8">
        <v>238.2</v>
      </c>
      <c r="F236" s="4">
        <v>12.099392910000001</v>
      </c>
      <c r="G236" s="2" t="s">
        <v>42</v>
      </c>
      <c r="H236" s="5">
        <v>212.49</v>
      </c>
      <c r="I236" s="1" t="s">
        <v>8</v>
      </c>
      <c r="J236" s="40" t="s">
        <v>118</v>
      </c>
      <c r="K236" s="18" t="s">
        <v>146</v>
      </c>
      <c r="N236" s="10" t="str">
        <f>IF(COUNTIFS( $B$2:$B$797, B236, $C$2:$C$797, C236, $D$2:$D$797, D236, $E$2:$E$797, E236) &gt; 1, "Duplicate", "Unique")</f>
        <v>Unique</v>
      </c>
    </row>
    <row r="237" spans="1:14" ht="15" thickBot="1" x14ac:dyDescent="0.4">
      <c r="A237" s="3">
        <v>46260.550694444442</v>
      </c>
      <c r="B237" s="1" t="s">
        <v>103</v>
      </c>
      <c r="C237" s="1" t="s">
        <v>7</v>
      </c>
      <c r="D237" s="4">
        <v>2</v>
      </c>
      <c r="E237" s="4">
        <v>2787.9</v>
      </c>
      <c r="F237" s="4">
        <v>12.23429952</v>
      </c>
      <c r="G237" s="2" t="s">
        <v>104</v>
      </c>
      <c r="H237" s="5">
        <v>2484</v>
      </c>
      <c r="I237" s="1" t="s">
        <v>8</v>
      </c>
      <c r="J237" s="18" t="s">
        <v>118</v>
      </c>
      <c r="K237" s="18" t="s">
        <v>170</v>
      </c>
      <c r="L237" s="18">
        <v>5275.8</v>
      </c>
      <c r="M237" s="18">
        <f>ABS((D237*E237)-L237)</f>
        <v>300</v>
      </c>
      <c r="N237" t="str">
        <f>IF(COUNTIFS( $B$2:$B$797, B237, $C$2:$C$797, C237, $D$2:$D$797, D237, $E$2:$E$797, E237) &gt; 1, "Duplicate", "Unique")</f>
        <v>Unique</v>
      </c>
    </row>
    <row r="238" spans="1:14" ht="15" thickBot="1" x14ac:dyDescent="0.4">
      <c r="A238" s="3">
        <v>46260.557638888888</v>
      </c>
      <c r="B238" s="1" t="s">
        <v>16</v>
      </c>
      <c r="C238" s="1" t="s">
        <v>7</v>
      </c>
      <c r="D238" s="4">
        <v>5</v>
      </c>
      <c r="E238" s="4">
        <v>971</v>
      </c>
      <c r="F238" s="4">
        <v>12.26731414</v>
      </c>
      <c r="G238" s="2" t="s">
        <v>61</v>
      </c>
      <c r="H238" s="5">
        <v>864.9</v>
      </c>
      <c r="I238" s="1" t="s">
        <v>8</v>
      </c>
      <c r="J238" s="18" t="s">
        <v>118</v>
      </c>
      <c r="K238" s="18" t="s">
        <v>167</v>
      </c>
      <c r="L238" s="18">
        <v>4605</v>
      </c>
      <c r="M238" s="18">
        <f>ABS((D238*E238)-L238)</f>
        <v>250</v>
      </c>
      <c r="N238" t="str">
        <f>IF(COUNTIFS( $B$2:$B$797, B238, $C$2:$C$797, C238, $D$2:$D$797, D238, $E$2:$E$797, E238) &gt; 1, "Duplicate", "Unique")</f>
        <v>Unique</v>
      </c>
    </row>
    <row r="239" spans="1:14" ht="15" thickBot="1" x14ac:dyDescent="0.4">
      <c r="A239" s="8" t="s">
        <v>62</v>
      </c>
      <c r="B239" s="8" t="s">
        <v>35</v>
      </c>
      <c r="C239" s="8" t="s">
        <v>7</v>
      </c>
      <c r="D239" s="8">
        <v>200</v>
      </c>
      <c r="E239" s="8">
        <v>239</v>
      </c>
      <c r="F239" s="4">
        <v>12.47588122</v>
      </c>
      <c r="G239" s="2" t="s">
        <v>42</v>
      </c>
      <c r="H239" s="5">
        <v>212.49</v>
      </c>
      <c r="I239" s="1" t="s">
        <v>8</v>
      </c>
      <c r="J239" s="40"/>
      <c r="N239" s="10" t="str">
        <f>IF(COUNTIFS( $B$2:$B$797, B239, $C$2:$C$797, C239, $D$2:$D$797, D239, $E$2:$E$797, E239) &gt; 1, "Duplicate", "Unique")</f>
        <v>Unique</v>
      </c>
    </row>
    <row r="240" spans="1:14" ht="15" thickBot="1" x14ac:dyDescent="0.4">
      <c r="A240" s="11">
        <v>46252.688194444447</v>
      </c>
      <c r="B240" s="8" t="s">
        <v>14</v>
      </c>
      <c r="C240" s="8" t="s">
        <v>7</v>
      </c>
      <c r="D240" s="8">
        <v>50</v>
      </c>
      <c r="E240" s="8">
        <v>365</v>
      </c>
      <c r="F240" s="4">
        <v>12.985605939999999</v>
      </c>
      <c r="G240" s="2" t="s">
        <v>45</v>
      </c>
      <c r="H240" s="5">
        <v>323.05</v>
      </c>
      <c r="I240" s="1" t="s">
        <v>8</v>
      </c>
      <c r="J240" s="40" t="s">
        <v>118</v>
      </c>
      <c r="N240" s="10" t="str">
        <f>IF(COUNTIFS( $B$2:$B$797, B240, $C$2:$C$797, C240, $D$2:$D$797, D240, $E$2:$E$797, E240) &gt; 1, "Duplicate", "Unique")</f>
        <v>Unique</v>
      </c>
    </row>
    <row r="241" spans="1:14" ht="15" thickBot="1" x14ac:dyDescent="0.4">
      <c r="A241" s="8" t="s">
        <v>62</v>
      </c>
      <c r="B241" s="8" t="s">
        <v>28</v>
      </c>
      <c r="C241" s="8" t="s">
        <v>7</v>
      </c>
      <c r="D241" s="8">
        <v>30</v>
      </c>
      <c r="E241" s="13">
        <v>974</v>
      </c>
      <c r="F241" s="4">
        <v>13.196583179999999</v>
      </c>
      <c r="G241" s="2" t="s">
        <v>125</v>
      </c>
      <c r="H241" s="5">
        <v>860.45</v>
      </c>
      <c r="I241" s="1" t="s">
        <v>8</v>
      </c>
      <c r="J241" s="40"/>
      <c r="N241" s="10" t="str">
        <f>IF(COUNTIFS( $B$2:$B$797, B241, $C$2:$C$797, C241, $D$2:$D$797, D241, $E$2:$E$797, E241) &gt; 1, "Duplicate", "Unique")</f>
        <v>Unique</v>
      </c>
    </row>
    <row r="242" spans="1:14" ht="15" thickBot="1" x14ac:dyDescent="0.4">
      <c r="A242" s="11">
        <v>46253.375</v>
      </c>
      <c r="B242" s="8" t="s">
        <v>31</v>
      </c>
      <c r="C242" s="8" t="s">
        <v>7</v>
      </c>
      <c r="D242" s="8">
        <v>5</v>
      </c>
      <c r="E242" s="8">
        <v>682</v>
      </c>
      <c r="F242" s="4">
        <v>13.28903654</v>
      </c>
      <c r="G242" s="2" t="s">
        <v>94</v>
      </c>
      <c r="H242" s="5">
        <v>602</v>
      </c>
      <c r="I242" s="1" t="s">
        <v>8</v>
      </c>
      <c r="J242" s="18" t="s">
        <v>118</v>
      </c>
      <c r="K242" s="18" t="s">
        <v>144</v>
      </c>
      <c r="N242" s="10" t="str">
        <f>IF(COUNTIFS( $B$2:$B$797, B242, $C$2:$C$797, C242, $D$2:$D$797, D242, $E$2:$E$797, E242) &gt; 1, "Duplicate", "Unique")</f>
        <v>Unique</v>
      </c>
    </row>
    <row r="243" spans="1:14" ht="15" thickBot="1" x14ac:dyDescent="0.4">
      <c r="A243" s="8" t="s">
        <v>62</v>
      </c>
      <c r="B243" s="8" t="s">
        <v>128</v>
      </c>
      <c r="C243" s="8" t="s">
        <v>7</v>
      </c>
      <c r="D243" s="8">
        <v>150</v>
      </c>
      <c r="E243" s="12">
        <v>136</v>
      </c>
      <c r="F243" s="4">
        <v>14.14183802</v>
      </c>
      <c r="G243" s="2" t="s">
        <v>129</v>
      </c>
      <c r="H243" s="5">
        <v>119.15</v>
      </c>
      <c r="I243" s="1" t="s">
        <v>8</v>
      </c>
      <c r="J243" s="40"/>
      <c r="N243" s="10" t="str">
        <f>IF(COUNTIFS( $B$2:$B$797, B243, $C$2:$C$797, C243, $D$2:$D$797, D243, $E$2:$E$797, E243) &gt; 1, "Duplicate", "Unique")</f>
        <v>Unique</v>
      </c>
    </row>
    <row r="244" spans="1:14" ht="15" thickBot="1" x14ac:dyDescent="0.4">
      <c r="A244" s="8" t="s">
        <v>62</v>
      </c>
      <c r="B244" s="8" t="s">
        <v>6</v>
      </c>
      <c r="C244" s="8" t="s">
        <v>7</v>
      </c>
      <c r="D244" s="8">
        <v>100</v>
      </c>
      <c r="E244" s="8">
        <v>310.5</v>
      </c>
      <c r="F244" s="4">
        <v>14.15441176</v>
      </c>
      <c r="G244" s="2" t="s">
        <v>130</v>
      </c>
      <c r="H244" s="5">
        <v>272</v>
      </c>
      <c r="I244" s="1" t="s">
        <v>8</v>
      </c>
      <c r="J244" s="40" t="s">
        <v>118</v>
      </c>
      <c r="N244" s="10" t="str">
        <f>IF(COUNTIFS( $B$2:$B$797, B244, $C$2:$C$797, C244, $D$2:$D$797, D244, $E$2:$E$797, E244) &gt; 1, "Duplicate", "Unique")</f>
        <v>Unique</v>
      </c>
    </row>
    <row r="245" spans="1:14" ht="15" thickBot="1" x14ac:dyDescent="0.4">
      <c r="A245" s="8" t="s">
        <v>62</v>
      </c>
      <c r="B245" s="8" t="s">
        <v>133</v>
      </c>
      <c r="C245" s="8" t="s">
        <v>7</v>
      </c>
      <c r="D245" s="8">
        <v>150</v>
      </c>
      <c r="E245" s="12">
        <v>129.9</v>
      </c>
      <c r="F245" s="4">
        <v>14.318401830000001</v>
      </c>
      <c r="G245" s="2" t="s">
        <v>134</v>
      </c>
      <c r="H245" s="5">
        <v>113.63</v>
      </c>
      <c r="I245" s="1" t="s">
        <v>8</v>
      </c>
      <c r="J245" s="40"/>
      <c r="N245" s="10" t="str">
        <f>IF(COUNTIFS( $B$2:$B$797, B245, $C$2:$C$797, C245, $D$2:$D$797, D245, $E$2:$E$797, E245) &gt; 1, "Duplicate", "Unique")</f>
        <v>Unique</v>
      </c>
    </row>
    <row r="246" spans="1:14" ht="15" thickBot="1" x14ac:dyDescent="0.4">
      <c r="A246" s="8" t="s">
        <v>62</v>
      </c>
      <c r="B246" s="8" t="s">
        <v>28</v>
      </c>
      <c r="C246" s="8" t="s">
        <v>7</v>
      </c>
      <c r="D246" s="8">
        <v>5</v>
      </c>
      <c r="E246" s="12">
        <v>986</v>
      </c>
      <c r="F246" s="4">
        <v>14.591202279999999</v>
      </c>
      <c r="G246" s="2" t="s">
        <v>125</v>
      </c>
      <c r="H246" s="5">
        <v>860.45</v>
      </c>
      <c r="I246" s="1" t="s">
        <v>8</v>
      </c>
      <c r="J246" s="40"/>
      <c r="N246" s="10" t="str">
        <f>IF(COUNTIFS( $B$2:$B$797, B246, $C$2:$C$797, C246, $D$2:$D$797, D246, $E$2:$E$797, E246) &gt; 1, "Duplicate", "Unique")</f>
        <v>Unique</v>
      </c>
    </row>
    <row r="247" spans="1:14" ht="15" thickBot="1" x14ac:dyDescent="0.4">
      <c r="A247" s="8" t="s">
        <v>62</v>
      </c>
      <c r="B247" s="8" t="s">
        <v>35</v>
      </c>
      <c r="C247" s="8" t="s">
        <v>7</v>
      </c>
      <c r="D247" s="8">
        <v>200</v>
      </c>
      <c r="E247" s="12">
        <v>244</v>
      </c>
      <c r="F247" s="4">
        <v>14.828933129999999</v>
      </c>
      <c r="G247" s="2" t="s">
        <v>42</v>
      </c>
      <c r="H247" s="5">
        <v>212.49</v>
      </c>
      <c r="I247" s="1" t="s">
        <v>8</v>
      </c>
      <c r="J247" s="40" t="s">
        <v>117</v>
      </c>
      <c r="N247" s="10" t="str">
        <f>IF(COUNTIFS( $B$2:$B$797, B247, $C$2:$C$797, C247, $D$2:$D$797, D247, $E$2:$E$797, E247) &gt; 1, "Duplicate", "Unique")</f>
        <v>Unique</v>
      </c>
    </row>
    <row r="248" spans="1:14" ht="15" thickBot="1" x14ac:dyDescent="0.4">
      <c r="A248" s="8" t="s">
        <v>62</v>
      </c>
      <c r="B248" s="8" t="s">
        <v>63</v>
      </c>
      <c r="C248" s="8" t="s">
        <v>7</v>
      </c>
      <c r="D248" s="8">
        <v>11</v>
      </c>
      <c r="E248" s="12">
        <v>1170</v>
      </c>
      <c r="F248" s="4">
        <v>14.874815910000001</v>
      </c>
      <c r="G248" s="2" t="s">
        <v>64</v>
      </c>
      <c r="H248" s="5">
        <v>1018.5</v>
      </c>
      <c r="I248" s="1" t="s">
        <v>8</v>
      </c>
      <c r="J248" s="40"/>
      <c r="N248" s="10" t="str">
        <f>IF(COUNTIFS( $B$2:$B$797, B248, $C$2:$C$797, C248, $D$2:$D$797, D248, $E$2:$E$797, E248) &gt; 1, "Duplicate", "Unique")</f>
        <v>Unique</v>
      </c>
    </row>
    <row r="249" spans="1:14" ht="15" thickBot="1" x14ac:dyDescent="0.4">
      <c r="A249" s="3">
        <v>46260.634027777778</v>
      </c>
      <c r="B249" s="1" t="s">
        <v>29</v>
      </c>
      <c r="C249" s="1" t="s">
        <v>7</v>
      </c>
      <c r="D249" s="4">
        <v>5</v>
      </c>
      <c r="E249" s="4">
        <v>4148</v>
      </c>
      <c r="F249" s="4">
        <v>15.06241331</v>
      </c>
      <c r="G249" s="2" t="s">
        <v>137</v>
      </c>
      <c r="H249" s="5">
        <v>3605</v>
      </c>
      <c r="I249" s="1" t="s">
        <v>8</v>
      </c>
      <c r="J249" s="18" t="s">
        <v>118</v>
      </c>
      <c r="K249" s="18" t="s">
        <v>171</v>
      </c>
      <c r="L249" s="18">
        <v>20260</v>
      </c>
      <c r="M249" s="18">
        <f>ABS((D249*E249)-L249)</f>
        <v>480</v>
      </c>
      <c r="N249" t="str">
        <f>IF(COUNTIFS( $B$2:$B$797, B249, $C$2:$C$797, C249, $D$2:$D$797, D249, $E$2:$E$797, E249) &gt; 1, "Duplicate", "Unique")</f>
        <v>Unique</v>
      </c>
    </row>
    <row r="250" spans="1:14" ht="15" thickBot="1" x14ac:dyDescent="0.4">
      <c r="A250" s="11">
        <v>46252.6875</v>
      </c>
      <c r="B250" s="8" t="s">
        <v>13</v>
      </c>
      <c r="C250" s="8" t="s">
        <v>7</v>
      </c>
      <c r="D250" s="8">
        <v>5</v>
      </c>
      <c r="E250" s="8">
        <v>2094</v>
      </c>
      <c r="F250" s="4">
        <v>15.39733275</v>
      </c>
      <c r="G250" s="2" t="s">
        <v>91</v>
      </c>
      <c r="H250" s="5">
        <v>1814.6</v>
      </c>
      <c r="I250" s="1" t="s">
        <v>8</v>
      </c>
      <c r="J250" s="40" t="s">
        <v>118</v>
      </c>
      <c r="N250" s="10" t="str">
        <f>IF(COUNTIFS( $B$2:$B$797, B250, $C$2:$C$797, C250, $D$2:$D$797, D250, $E$2:$E$797, E250) &gt; 1, "Duplicate", "Unique")</f>
        <v>Unique</v>
      </c>
    </row>
    <row r="251" spans="1:14" ht="15" thickBot="1" x14ac:dyDescent="0.4">
      <c r="A251" s="8" t="s">
        <v>62</v>
      </c>
      <c r="B251" s="8" t="s">
        <v>6</v>
      </c>
      <c r="C251" s="8" t="s">
        <v>7</v>
      </c>
      <c r="D251" s="8">
        <v>100</v>
      </c>
      <c r="E251" s="13">
        <v>314</v>
      </c>
      <c r="F251" s="4">
        <v>15.44117647</v>
      </c>
      <c r="G251" s="2" t="s">
        <v>130</v>
      </c>
      <c r="H251" s="5">
        <v>272</v>
      </c>
      <c r="I251" s="1" t="s">
        <v>8</v>
      </c>
      <c r="J251" s="40"/>
      <c r="N251" s="10" t="str">
        <f>IF(COUNTIFS( $B$2:$B$797, B251, $C$2:$C$797, C251, $D$2:$D$797, D251, $E$2:$E$797, E251) &gt; 1, "Duplicate", "Unique")</f>
        <v>Unique</v>
      </c>
    </row>
    <row r="252" spans="1:14" ht="15" thickBot="1" x14ac:dyDescent="0.4">
      <c r="A252" s="8" t="s">
        <v>62</v>
      </c>
      <c r="B252" s="8" t="s">
        <v>14</v>
      </c>
      <c r="C252" s="8" t="s">
        <v>7</v>
      </c>
      <c r="D252" s="8">
        <v>17</v>
      </c>
      <c r="E252" s="8">
        <v>373</v>
      </c>
      <c r="F252" s="4">
        <v>15.46200279</v>
      </c>
      <c r="G252" s="2" t="s">
        <v>45</v>
      </c>
      <c r="H252" s="5">
        <v>323.05</v>
      </c>
      <c r="I252" s="1" t="s">
        <v>8</v>
      </c>
      <c r="J252" s="40"/>
      <c r="N252" s="10" t="str">
        <f>IF(COUNTIFS( $B$2:$B$797, B252, $C$2:$C$797, C252, $D$2:$D$797, D252, $E$2:$E$797, E252) &gt; 1, "Duplicate", "Unique")</f>
        <v>Unique</v>
      </c>
    </row>
    <row r="253" spans="1:14" s="35" customFormat="1" ht="15" thickBot="1" x14ac:dyDescent="0.4">
      <c r="A253" s="8" t="s">
        <v>62</v>
      </c>
      <c r="B253" s="8" t="s">
        <v>14</v>
      </c>
      <c r="C253" s="8" t="s">
        <v>7</v>
      </c>
      <c r="D253" s="8">
        <v>50</v>
      </c>
      <c r="E253" s="12">
        <v>373</v>
      </c>
      <c r="F253" s="4">
        <v>15.46200279</v>
      </c>
      <c r="G253" s="2" t="s">
        <v>45</v>
      </c>
      <c r="H253" s="5">
        <v>323.05</v>
      </c>
      <c r="I253" s="1" t="s">
        <v>8</v>
      </c>
      <c r="J253" s="40" t="s">
        <v>118</v>
      </c>
      <c r="K253" s="18"/>
      <c r="L253" s="18"/>
      <c r="M253" s="18"/>
      <c r="N253" s="10" t="str">
        <f>IF(COUNTIFS( $B$2:$B$797, B253, $C$2:$C$797, C253, $D$2:$D$797, D253, $E$2:$E$797, E253) &gt; 1, "Duplicate", "Unique")</f>
        <v>Unique</v>
      </c>
    </row>
    <row r="254" spans="1:14" ht="15" thickBot="1" x14ac:dyDescent="0.4">
      <c r="A254" s="20">
        <v>46255</v>
      </c>
      <c r="B254" s="1" t="s">
        <v>20</v>
      </c>
      <c r="C254" s="1" t="s">
        <v>7</v>
      </c>
      <c r="D254" s="4">
        <v>20</v>
      </c>
      <c r="E254" s="4">
        <v>147</v>
      </c>
      <c r="F254" s="4">
        <v>15.66606342</v>
      </c>
      <c r="G254" s="2" t="s">
        <v>86</v>
      </c>
      <c r="H254" s="5">
        <v>127.09</v>
      </c>
      <c r="I254" s="1" t="s">
        <v>8</v>
      </c>
      <c r="J254" s="18" t="s">
        <v>55</v>
      </c>
      <c r="K254" s="18" t="s">
        <v>151</v>
      </c>
      <c r="L254" s="18">
        <v>2640</v>
      </c>
      <c r="M254" s="18">
        <f>ABS((D254*E254)-L254)</f>
        <v>300</v>
      </c>
      <c r="N254" s="10" t="str">
        <f>IF(COUNTIFS( $B$2:$B$797, B254, $C$2:$C$797, C254, $D$2:$D$797, D254, $E$2:$E$797, E254) &gt; 1, "Duplicate", "Unique")</f>
        <v>Unique</v>
      </c>
    </row>
    <row r="255" spans="1:14" ht="15" thickBot="1" x14ac:dyDescent="0.4">
      <c r="A255" s="8" t="s">
        <v>62</v>
      </c>
      <c r="B255" s="14" t="s">
        <v>28</v>
      </c>
      <c r="C255" s="8" t="s">
        <v>7</v>
      </c>
      <c r="D255" s="8">
        <v>40</v>
      </c>
      <c r="E255" s="15">
        <v>996</v>
      </c>
      <c r="F255" s="4">
        <v>15.753384860000001</v>
      </c>
      <c r="G255" s="2" t="s">
        <v>125</v>
      </c>
      <c r="H255" s="5">
        <v>860.45</v>
      </c>
      <c r="I255" s="1" t="s">
        <v>8</v>
      </c>
      <c r="J255" s="40" t="s">
        <v>118</v>
      </c>
      <c r="N255" s="10" t="str">
        <f>IF(COUNTIFS( $B$2:$B$797, B255, $C$2:$C$797, C255, $D$2:$D$797, D255, $E$2:$E$797, E255) &gt; 1, "Duplicate", "Unique")</f>
        <v>Unique</v>
      </c>
    </row>
    <row r="256" spans="1:14" ht="15" thickBot="1" x14ac:dyDescent="0.4">
      <c r="A256" s="8" t="s">
        <v>62</v>
      </c>
      <c r="B256" s="8" t="s">
        <v>17</v>
      </c>
      <c r="C256" s="8" t="s">
        <v>7</v>
      </c>
      <c r="D256" s="8">
        <v>5</v>
      </c>
      <c r="E256" s="12">
        <v>416</v>
      </c>
      <c r="F256" s="4">
        <v>15.95818815</v>
      </c>
      <c r="G256" s="2" t="s">
        <v>77</v>
      </c>
      <c r="H256" s="5">
        <v>358.75</v>
      </c>
      <c r="I256" s="1" t="s">
        <v>8</v>
      </c>
      <c r="J256" s="40"/>
      <c r="N256" s="10" t="str">
        <f>IF(COUNTIFS( $B$2:$B$797, B256, $C$2:$C$797, C256, $D$2:$D$797, D256, $E$2:$E$797, E256) &gt; 1, "Duplicate", "Unique")</f>
        <v>Unique</v>
      </c>
    </row>
    <row r="257" spans="1:14" ht="15" thickBot="1" x14ac:dyDescent="0.4">
      <c r="A257" s="8" t="s">
        <v>62</v>
      </c>
      <c r="B257" s="8" t="s">
        <v>26</v>
      </c>
      <c r="C257" s="8" t="s">
        <v>7</v>
      </c>
      <c r="D257" s="8">
        <v>25</v>
      </c>
      <c r="E257" s="8">
        <v>210</v>
      </c>
      <c r="F257" s="4">
        <v>16.343490299999999</v>
      </c>
      <c r="G257" s="2" t="s">
        <v>132</v>
      </c>
      <c r="H257" s="5">
        <v>180.5</v>
      </c>
      <c r="I257" s="1" t="s">
        <v>8</v>
      </c>
      <c r="J257" s="40"/>
      <c r="N257" s="10" t="str">
        <f>IF(COUNTIFS( $B$2:$B$797, B257, $C$2:$C$797, C257, $D$2:$D$797, D257, $E$2:$E$797, E257) &gt; 1, "Duplicate", "Unique")</f>
        <v>Unique</v>
      </c>
    </row>
    <row r="258" spans="1:14" s="35" customFormat="1" ht="15" thickBot="1" x14ac:dyDescent="0.4">
      <c r="A258" s="8" t="s">
        <v>62</v>
      </c>
      <c r="B258" s="8" t="s">
        <v>28</v>
      </c>
      <c r="C258" s="8" t="s">
        <v>7</v>
      </c>
      <c r="D258" s="8">
        <v>5</v>
      </c>
      <c r="E258" s="12">
        <v>1002</v>
      </c>
      <c r="F258" s="4">
        <v>16.4506944</v>
      </c>
      <c r="G258" s="2" t="s">
        <v>125</v>
      </c>
      <c r="H258" s="5">
        <v>860.45</v>
      </c>
      <c r="I258" s="1" t="s">
        <v>8</v>
      </c>
      <c r="J258" s="40"/>
      <c r="K258" s="18"/>
      <c r="L258" s="18"/>
      <c r="M258" s="18"/>
      <c r="N258" s="10" t="str">
        <f>IF(COUNTIFS( $B$2:$B$797, B258, $C$2:$C$797, C258, $D$2:$D$797, D258, $E$2:$E$797, E258) &gt; 1, "Duplicate", "Unique")</f>
        <v>Unique</v>
      </c>
    </row>
    <row r="259" spans="1:14" ht="15" thickBot="1" x14ac:dyDescent="0.4">
      <c r="A259" s="8" t="s">
        <v>62</v>
      </c>
      <c r="B259" s="8" t="s">
        <v>13</v>
      </c>
      <c r="C259" s="8" t="s">
        <v>7</v>
      </c>
      <c r="D259" s="8">
        <v>10</v>
      </c>
      <c r="E259" s="8">
        <v>2114</v>
      </c>
      <c r="F259" s="4">
        <v>16.49950402</v>
      </c>
      <c r="G259" s="2" t="s">
        <v>91</v>
      </c>
      <c r="H259" s="5">
        <v>1814.6</v>
      </c>
      <c r="I259" s="1" t="s">
        <v>8</v>
      </c>
      <c r="J259" s="40"/>
      <c r="N259" s="10" t="str">
        <f>IF(COUNTIFS( $B$2:$B$797, B259, $C$2:$C$797, C259, $D$2:$D$797, D259, $E$2:$E$797, E259) &gt; 1, "Duplicate", "Unique")</f>
        <v>Unique</v>
      </c>
    </row>
    <row r="260" spans="1:14" ht="15" thickBot="1" x14ac:dyDescent="0.4">
      <c r="A260" s="8" t="s">
        <v>62</v>
      </c>
      <c r="B260" s="8" t="s">
        <v>57</v>
      </c>
      <c r="C260" s="8" t="s">
        <v>7</v>
      </c>
      <c r="D260" s="8">
        <v>3</v>
      </c>
      <c r="E260" s="12">
        <v>3341</v>
      </c>
      <c r="F260" s="4">
        <v>16.85086738</v>
      </c>
      <c r="G260" s="2" t="s">
        <v>58</v>
      </c>
      <c r="H260" s="5">
        <v>2859.2</v>
      </c>
      <c r="I260" s="1" t="s">
        <v>8</v>
      </c>
      <c r="J260" s="40"/>
      <c r="N260" s="10" t="str">
        <f>IF(COUNTIFS( $B$2:$B$797, B260, $C$2:$C$797, C260, $D$2:$D$797, D260, $E$2:$E$797, E260) &gt; 1, "Duplicate", "Unique")</f>
        <v>Unique</v>
      </c>
    </row>
    <row r="261" spans="1:14" ht="15" thickBot="1" x14ac:dyDescent="0.4">
      <c r="A261" s="8" t="s">
        <v>62</v>
      </c>
      <c r="B261" s="8" t="s">
        <v>6</v>
      </c>
      <c r="C261" s="8" t="s">
        <v>7</v>
      </c>
      <c r="D261" s="8">
        <v>100</v>
      </c>
      <c r="E261" s="12">
        <v>318</v>
      </c>
      <c r="F261" s="4">
        <v>16.91176471</v>
      </c>
      <c r="G261" s="2" t="s">
        <v>130</v>
      </c>
      <c r="H261" s="5">
        <v>272</v>
      </c>
      <c r="I261" s="1" t="s">
        <v>8</v>
      </c>
      <c r="J261" s="40"/>
      <c r="N261" s="10" t="str">
        <f>IF(COUNTIFS( $B$2:$B$797, B261, $C$2:$C$797, C261, $D$2:$D$797, D261, $E$2:$E$797, E261) &gt; 1, "Duplicate", "Unique")</f>
        <v>Unique</v>
      </c>
    </row>
    <row r="262" spans="1:14" ht="15" thickBot="1" x14ac:dyDescent="0.4">
      <c r="A262" s="8" t="s">
        <v>62</v>
      </c>
      <c r="B262" s="8" t="s">
        <v>35</v>
      </c>
      <c r="C262" s="8" t="s">
        <v>7</v>
      </c>
      <c r="D262" s="8">
        <v>200</v>
      </c>
      <c r="E262" s="12">
        <v>249</v>
      </c>
      <c r="F262" s="4">
        <v>17.18198503</v>
      </c>
      <c r="G262" s="2" t="s">
        <v>42</v>
      </c>
      <c r="H262" s="5">
        <v>212.49</v>
      </c>
      <c r="I262" s="1" t="s">
        <v>8</v>
      </c>
      <c r="J262" s="40"/>
      <c r="N262" s="10" t="str">
        <f>IF(COUNTIFS( $B$2:$B$797, B262, $C$2:$C$797, C262, $D$2:$D$797, D262, $E$2:$E$797, E262) &gt; 1, "Duplicate", "Unique")</f>
        <v>Unique</v>
      </c>
    </row>
    <row r="263" spans="1:14" ht="15" thickBot="1" x14ac:dyDescent="0.4">
      <c r="A263" s="8" t="s">
        <v>62</v>
      </c>
      <c r="B263" s="8" t="s">
        <v>6</v>
      </c>
      <c r="C263" s="8" t="s">
        <v>7</v>
      </c>
      <c r="D263" s="8">
        <v>100</v>
      </c>
      <c r="E263" s="13">
        <v>319</v>
      </c>
      <c r="F263" s="4">
        <v>17.279411759999999</v>
      </c>
      <c r="G263" s="2" t="s">
        <v>130</v>
      </c>
      <c r="H263" s="5">
        <v>272</v>
      </c>
      <c r="I263" s="1" t="s">
        <v>8</v>
      </c>
      <c r="J263" s="40"/>
      <c r="N263" s="10" t="str">
        <f>IF(COUNTIFS( $B$2:$B$797, B263, $C$2:$C$797, C263, $D$2:$D$797, D263, $E$2:$E$797, E263) &gt; 1, "Duplicate", "Unique")</f>
        <v>Unique</v>
      </c>
    </row>
    <row r="264" spans="1:14" ht="15" thickBot="1" x14ac:dyDescent="0.4">
      <c r="A264" s="11">
        <v>46252.635416666664</v>
      </c>
      <c r="B264" s="8" t="s">
        <v>87</v>
      </c>
      <c r="C264" s="8" t="s">
        <v>7</v>
      </c>
      <c r="D264" s="8">
        <v>10</v>
      </c>
      <c r="E264" s="8">
        <v>1479</v>
      </c>
      <c r="F264" s="4">
        <v>17.474185859999999</v>
      </c>
      <c r="G264" s="2" t="s">
        <v>88</v>
      </c>
      <c r="H264" s="5">
        <v>1259</v>
      </c>
      <c r="I264" s="1" t="s">
        <v>8</v>
      </c>
      <c r="J264" s="40" t="s">
        <v>55</v>
      </c>
      <c r="N264" s="10" t="str">
        <f>IF(COUNTIFS( $B$2:$B$797, B264, $C$2:$C$797, C264, $D$2:$D$797, D264, $E$2:$E$797, E264) &gt; 1, "Duplicate", "Unique")</f>
        <v>Unique</v>
      </c>
    </row>
    <row r="265" spans="1:14" ht="15" thickBot="1" x14ac:dyDescent="0.4">
      <c r="A265" s="8" t="s">
        <v>62</v>
      </c>
      <c r="B265" s="8" t="s">
        <v>126</v>
      </c>
      <c r="C265" s="8" t="s">
        <v>7</v>
      </c>
      <c r="D265" s="8">
        <v>5</v>
      </c>
      <c r="E265" s="8">
        <v>596</v>
      </c>
      <c r="F265" s="4">
        <v>17.62384054</v>
      </c>
      <c r="G265" s="2" t="s">
        <v>127</v>
      </c>
      <c r="H265" s="5">
        <v>506.7</v>
      </c>
      <c r="I265" s="1" t="s">
        <v>8</v>
      </c>
      <c r="J265" s="40"/>
      <c r="N265" s="10" t="str">
        <f>IF(COUNTIFS( $B$2:$B$797, B265, $C$2:$C$797, C265, $D$2:$D$797, D265, $E$2:$E$797, E265) &gt; 1, "Duplicate", "Unique")</f>
        <v>Unique</v>
      </c>
    </row>
    <row r="266" spans="1:14" ht="15" thickBot="1" x14ac:dyDescent="0.4">
      <c r="A266" s="8" t="s">
        <v>62</v>
      </c>
      <c r="B266" s="8" t="s">
        <v>138</v>
      </c>
      <c r="C266" s="8" t="s">
        <v>7</v>
      </c>
      <c r="D266" s="8">
        <v>50</v>
      </c>
      <c r="E266" s="12">
        <v>480</v>
      </c>
      <c r="F266" s="4">
        <v>17.733627670000001</v>
      </c>
      <c r="G266" s="2" t="s">
        <v>139</v>
      </c>
      <c r="H266" s="5">
        <v>407.7</v>
      </c>
      <c r="I266" s="1" t="s">
        <v>8</v>
      </c>
      <c r="J266" s="40"/>
      <c r="N266" s="10" t="str">
        <f>IF(COUNTIFS( $B$2:$B$797, B266, $C$2:$C$797, C266, $D$2:$D$797, D266, $E$2:$E$797, E266) &gt; 1, "Duplicate", "Unique")</f>
        <v>Unique</v>
      </c>
    </row>
    <row r="267" spans="1:14" ht="15" thickBot="1" x14ac:dyDescent="0.4">
      <c r="A267" s="3">
        <v>46258.375694444447</v>
      </c>
      <c r="B267" s="1" t="s">
        <v>22</v>
      </c>
      <c r="C267" s="1" t="s">
        <v>7</v>
      </c>
      <c r="D267" s="4">
        <v>5</v>
      </c>
      <c r="E267" s="4">
        <v>502</v>
      </c>
      <c r="F267" s="4">
        <v>18.34040547</v>
      </c>
      <c r="G267" s="2" t="s">
        <v>73</v>
      </c>
      <c r="H267" s="5">
        <v>424.2</v>
      </c>
      <c r="I267" s="1" t="s">
        <v>8</v>
      </c>
      <c r="J267" s="18" t="s">
        <v>118</v>
      </c>
      <c r="K267" s="18" t="s">
        <v>160</v>
      </c>
      <c r="L267" s="18">
        <v>2260</v>
      </c>
      <c r="M267" s="18">
        <f>ABS((D267*E267)-L267)</f>
        <v>250</v>
      </c>
      <c r="N267" s="10" t="str">
        <f>IF(COUNTIFS( $B$2:$B$797, B267, $C$2:$C$797, C267, $D$2:$D$797, D267, $E$2:$E$797, E267) &gt; 1, "Duplicate", "Unique")</f>
        <v>Unique</v>
      </c>
    </row>
    <row r="268" spans="1:14" ht="15" thickBot="1" x14ac:dyDescent="0.4">
      <c r="A268" s="8" t="s">
        <v>62</v>
      </c>
      <c r="B268" s="8" t="s">
        <v>14</v>
      </c>
      <c r="C268" s="8" t="s">
        <v>7</v>
      </c>
      <c r="D268" s="8">
        <v>50</v>
      </c>
      <c r="E268" s="12">
        <v>383</v>
      </c>
      <c r="F268" s="4">
        <v>18.557498840000001</v>
      </c>
      <c r="G268" s="2" t="s">
        <v>45</v>
      </c>
      <c r="H268" s="5">
        <v>323.05</v>
      </c>
      <c r="I268" s="1" t="s">
        <v>8</v>
      </c>
      <c r="J268" s="40"/>
      <c r="N268" s="10" t="str">
        <f>IF(COUNTIFS( $B$2:$B$797, B268, $C$2:$C$797, C268, $D$2:$D$797, D268, $E$2:$E$797, E268) &gt; 1, "Duplicate", "Unique")</f>
        <v>Unique</v>
      </c>
    </row>
    <row r="269" spans="1:14" ht="15" thickBot="1" x14ac:dyDescent="0.4">
      <c r="A269" s="8" t="s">
        <v>62</v>
      </c>
      <c r="B269" s="8" t="s">
        <v>6</v>
      </c>
      <c r="C269" s="8" t="s">
        <v>7</v>
      </c>
      <c r="D269" s="8">
        <v>150</v>
      </c>
      <c r="E269" s="12">
        <v>323</v>
      </c>
      <c r="F269" s="4">
        <v>18.75</v>
      </c>
      <c r="G269" s="2" t="s">
        <v>130</v>
      </c>
      <c r="H269" s="5">
        <v>272</v>
      </c>
      <c r="I269" s="1" t="s">
        <v>8</v>
      </c>
      <c r="J269" s="40" t="s">
        <v>118</v>
      </c>
      <c r="N269" s="10" t="str">
        <f>IF(COUNTIFS( $B$2:$B$797, B269, $C$2:$C$797, C269, $D$2:$D$797, D269, $E$2:$E$797, E269) &gt; 1, "Duplicate", "Unique")</f>
        <v>Unique</v>
      </c>
    </row>
    <row r="270" spans="1:14" ht="15" thickBot="1" x14ac:dyDescent="0.4">
      <c r="A270" s="9" t="s">
        <v>62</v>
      </c>
      <c r="B270" s="9" t="s">
        <v>119</v>
      </c>
      <c r="C270" s="9" t="s">
        <v>7</v>
      </c>
      <c r="D270" s="9">
        <v>7</v>
      </c>
      <c r="E270" s="12">
        <v>1170</v>
      </c>
      <c r="F270" s="4">
        <v>18.926611099999999</v>
      </c>
      <c r="G270" s="2" t="s">
        <v>120</v>
      </c>
      <c r="H270" s="5">
        <v>983.8</v>
      </c>
      <c r="I270" s="1" t="s">
        <v>8</v>
      </c>
      <c r="J270" s="40"/>
      <c r="N270" s="10" t="str">
        <f>IF(COUNTIFS( $B$2:$B$797, B270, $C$2:$C$797, C270, $D$2:$D$797, D270, $E$2:$E$797, E270) &gt; 1, "Duplicate", "Unique")</f>
        <v>Unique</v>
      </c>
    </row>
    <row r="271" spans="1:14" ht="15" thickBot="1" x14ac:dyDescent="0.4">
      <c r="A271" s="3">
        <v>46259.532638888886</v>
      </c>
      <c r="B271" s="1" t="s">
        <v>96</v>
      </c>
      <c r="C271" s="1" t="s">
        <v>7</v>
      </c>
      <c r="D271" s="4">
        <v>5</v>
      </c>
      <c r="E271" s="4">
        <v>218</v>
      </c>
      <c r="F271" s="4">
        <v>19.780219779999999</v>
      </c>
      <c r="G271" s="2" t="s">
        <v>97</v>
      </c>
      <c r="H271" s="5">
        <v>182</v>
      </c>
      <c r="I271" s="1" t="s">
        <v>8</v>
      </c>
      <c r="J271" s="40" t="s">
        <v>118</v>
      </c>
      <c r="K271" s="18" t="s">
        <v>163</v>
      </c>
      <c r="L271" s="18">
        <v>840</v>
      </c>
      <c r="M271" s="18">
        <f>ABS((D271*E271)-L271)</f>
        <v>250</v>
      </c>
      <c r="N271" s="10" t="str">
        <f>IF(COUNTIFS( $B$2:$B$797, B271, $C$2:$C$797, C271, $D$2:$D$797, D271, $E$2:$E$797, E271) &gt; 1, "Duplicate", "Unique")</f>
        <v>Unique</v>
      </c>
    </row>
    <row r="272" spans="1:14" ht="15" thickBot="1" x14ac:dyDescent="0.4">
      <c r="A272" s="8" t="s">
        <v>62</v>
      </c>
      <c r="B272" s="8" t="s">
        <v>13</v>
      </c>
      <c r="C272" s="8" t="s">
        <v>7</v>
      </c>
      <c r="D272" s="8">
        <v>10</v>
      </c>
      <c r="E272" s="8">
        <v>2189</v>
      </c>
      <c r="F272" s="4">
        <v>20.632646309999998</v>
      </c>
      <c r="G272" s="2" t="s">
        <v>91</v>
      </c>
      <c r="H272" s="5">
        <v>1814.6</v>
      </c>
      <c r="I272" s="1" t="s">
        <v>8</v>
      </c>
      <c r="J272" s="40"/>
      <c r="N272" s="10" t="str">
        <f>IF(COUNTIFS( $B$2:$B$797, B272, $C$2:$C$797, C272, $D$2:$D$797, D272, $E$2:$E$797, E272) &gt; 1, "Duplicate", "Unique")</f>
        <v>Unique</v>
      </c>
    </row>
    <row r="273" spans="1:14" ht="15" thickBot="1" x14ac:dyDescent="0.4">
      <c r="A273" s="8" t="s">
        <v>62</v>
      </c>
      <c r="B273" s="8" t="s">
        <v>138</v>
      </c>
      <c r="C273" s="8" t="s">
        <v>7</v>
      </c>
      <c r="D273" s="8">
        <v>35</v>
      </c>
      <c r="E273" s="13">
        <v>494</v>
      </c>
      <c r="F273" s="4">
        <v>21.167525139999999</v>
      </c>
      <c r="G273" s="2" t="s">
        <v>139</v>
      </c>
      <c r="H273" s="5">
        <v>407.7</v>
      </c>
      <c r="I273" s="1" t="s">
        <v>8</v>
      </c>
      <c r="J273" s="40"/>
      <c r="N273" s="10" t="str">
        <f>IF(COUNTIFS( $B$2:$B$797, B273, $C$2:$C$797, C273, $D$2:$D$797, D273, $E$2:$E$797, E273) &gt; 1, "Duplicate", "Unique")</f>
        <v>Unique</v>
      </c>
    </row>
    <row r="274" spans="1:14" ht="15" thickBot="1" x14ac:dyDescent="0.4">
      <c r="A274" s="8" t="s">
        <v>62</v>
      </c>
      <c r="B274" s="8" t="s">
        <v>17</v>
      </c>
      <c r="C274" s="8" t="s">
        <v>7</v>
      </c>
      <c r="D274" s="8">
        <v>5</v>
      </c>
      <c r="E274" s="12">
        <v>435</v>
      </c>
      <c r="F274" s="4">
        <v>21.254355400000001</v>
      </c>
      <c r="G274" s="2" t="s">
        <v>77</v>
      </c>
      <c r="H274" s="5">
        <v>358.75</v>
      </c>
      <c r="I274" s="1" t="s">
        <v>8</v>
      </c>
      <c r="J274" s="40" t="s">
        <v>118</v>
      </c>
      <c r="N274" s="10" t="str">
        <f>IF(COUNTIFS( $B$2:$B$797, B274, $C$2:$C$797, C274, $D$2:$D$797, D274, $E$2:$E$797, E274) &gt; 1, "Duplicate", "Unique")</f>
        <v>Unique</v>
      </c>
    </row>
    <row r="275" spans="1:14" ht="15" thickBot="1" x14ac:dyDescent="0.4">
      <c r="A275" s="8" t="s">
        <v>62</v>
      </c>
      <c r="B275" s="8" t="s">
        <v>13</v>
      </c>
      <c r="C275" s="8" t="s">
        <v>7</v>
      </c>
      <c r="D275" s="8">
        <v>20</v>
      </c>
      <c r="E275" s="8">
        <v>2310</v>
      </c>
      <c r="F275" s="4">
        <v>27.30078254</v>
      </c>
      <c r="G275" s="2" t="s">
        <v>91</v>
      </c>
      <c r="H275" s="5">
        <v>1814.6</v>
      </c>
      <c r="I275" s="1" t="s">
        <v>8</v>
      </c>
      <c r="J275" s="40"/>
      <c r="N275" s="10" t="str">
        <f t="shared" ref="N258:N278" si="4">IF(COUNTIFS( $B$2:$B$797, B275, $C$2:$C$797, C275, $D$2:$D$797, D275, $E$2:$E$797, E275) &gt; 1, "Duplicate", "Unique")</f>
        <v>Unique</v>
      </c>
    </row>
    <row r="276" spans="1:14" ht="15" thickBot="1" x14ac:dyDescent="0.4">
      <c r="A276" s="8" t="s">
        <v>62</v>
      </c>
      <c r="B276" s="8" t="s">
        <v>13</v>
      </c>
      <c r="C276" s="8" t="s">
        <v>7</v>
      </c>
      <c r="D276" s="8">
        <v>1</v>
      </c>
      <c r="E276" s="8">
        <v>2494</v>
      </c>
      <c r="F276" s="4">
        <v>37.440758289999998</v>
      </c>
      <c r="G276" s="2" t="s">
        <v>91</v>
      </c>
      <c r="H276" s="5">
        <v>1814.6</v>
      </c>
      <c r="I276" s="1" t="s">
        <v>8</v>
      </c>
      <c r="J276" s="40"/>
      <c r="N276" s="10" t="str">
        <f t="shared" si="4"/>
        <v>Unique</v>
      </c>
    </row>
    <row r="277" spans="1:14" s="35" customFormat="1" ht="15" thickBot="1" x14ac:dyDescent="0.4">
      <c r="A277" s="11">
        <v>46251.506249999999</v>
      </c>
      <c r="B277" s="8" t="s">
        <v>13</v>
      </c>
      <c r="C277" s="8" t="s">
        <v>7</v>
      </c>
      <c r="D277" s="8">
        <v>3</v>
      </c>
      <c r="E277" s="8">
        <v>2494</v>
      </c>
      <c r="F277" s="4">
        <v>37.440758289999998</v>
      </c>
      <c r="G277" s="2" t="s">
        <v>91</v>
      </c>
      <c r="H277" s="5">
        <v>1814.6</v>
      </c>
      <c r="I277" s="1" t="s">
        <v>8</v>
      </c>
      <c r="J277" s="40"/>
      <c r="K277" s="18"/>
      <c r="L277" s="18"/>
      <c r="M277" s="18"/>
      <c r="N277" s="10" t="str">
        <f t="shared" si="4"/>
        <v>Unique</v>
      </c>
    </row>
    <row r="278" spans="1:14" ht="15" thickBot="1" x14ac:dyDescent="0.4">
      <c r="A278" s="8" t="s">
        <v>62</v>
      </c>
      <c r="B278" s="8" t="s">
        <v>141</v>
      </c>
      <c r="C278" s="8" t="s">
        <v>7</v>
      </c>
      <c r="D278" s="8">
        <v>23</v>
      </c>
      <c r="E278" s="12">
        <v>890</v>
      </c>
      <c r="F278" s="6" t="e">
        <v>#N/A</v>
      </c>
      <c r="G278" s="2" t="s">
        <v>142</v>
      </c>
      <c r="H278" s="7" t="e">
        <v>#N/A</v>
      </c>
      <c r="I278" s="1" t="s">
        <v>8</v>
      </c>
      <c r="J278" s="40"/>
      <c r="N278" s="10" t="str">
        <f t="shared" si="4"/>
        <v>Unique</v>
      </c>
    </row>
    <row r="279" spans="1:14" x14ac:dyDescent="0.35">
      <c r="J279" s="10"/>
      <c r="N279" s="18"/>
    </row>
    <row r="280" spans="1:14" x14ac:dyDescent="0.35">
      <c r="J280" s="10"/>
      <c r="N280" s="18"/>
    </row>
    <row r="281" spans="1:14" x14ac:dyDescent="0.35">
      <c r="J281" s="10"/>
      <c r="N281" s="18"/>
    </row>
    <row r="282" spans="1:14" x14ac:dyDescent="0.35">
      <c r="E282" s="35"/>
      <c r="J282" s="10"/>
      <c r="N282" s="18"/>
    </row>
  </sheetData>
  <autoFilter ref="A1:O278" xr:uid="{00000000-0001-0000-0000-000000000000}">
    <filterColumn colId="2">
      <filters>
        <filter val="S"/>
      </filters>
    </filterColumn>
    <sortState xmlns:xlrd2="http://schemas.microsoft.com/office/spreadsheetml/2017/richdata2" ref="A109:O274">
      <sortCondition ref="F1:F278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selection sqref="A1:XFD1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252</v>
      </c>
      <c r="B2" t="s">
        <v>14</v>
      </c>
      <c r="C2" t="s">
        <v>10</v>
      </c>
      <c r="D2">
        <v>50</v>
      </c>
      <c r="E2">
        <v>324.39999999999998</v>
      </c>
      <c r="F2" t="s">
        <v>30</v>
      </c>
      <c r="I2" t="str">
        <f>C2 &amp; " " &amp; D2 &amp; "*" &amp; E2 &amp; " :" &amp; A2</f>
        <v>B 50*324.4 :04 SEP 2026 01:01:43 PM</v>
      </c>
      <c r="J2">
        <f>D2*E2</f>
        <v>16219.999999999998</v>
      </c>
      <c r="L2" t="str">
        <f t="shared" ref="L2:L19" si="0">IF(COUNTIFS( $B$2:$B$908, B2) &gt; 1, "Duplicate", "Unique")</f>
        <v>Unique</v>
      </c>
    </row>
    <row r="3" spans="1:12" x14ac:dyDescent="0.35">
      <c r="A3" t="s">
        <v>253</v>
      </c>
      <c r="B3" t="s">
        <v>12</v>
      </c>
      <c r="C3" t="s">
        <v>10</v>
      </c>
      <c r="D3">
        <v>1</v>
      </c>
      <c r="E3">
        <v>5180</v>
      </c>
      <c r="F3" t="s">
        <v>30</v>
      </c>
      <c r="I3" t="str">
        <f t="shared" ref="I3" si="1">C3 &amp; " " &amp; D3 &amp; "*" &amp; E3 &amp; " :" &amp; A3</f>
        <v>B 1*5180 :04 SEP 2026 03:26:46 PM</v>
      </c>
      <c r="J3">
        <f t="shared" ref="J3" si="2">D3*E3</f>
        <v>5180</v>
      </c>
      <c r="L3" t="str">
        <f t="shared" si="0"/>
        <v>Duplicate</v>
      </c>
    </row>
    <row r="4" spans="1:12" x14ac:dyDescent="0.35">
      <c r="A4" t="s">
        <v>254</v>
      </c>
      <c r="B4" t="s">
        <v>13</v>
      </c>
      <c r="C4" t="s">
        <v>10</v>
      </c>
      <c r="D4">
        <v>10</v>
      </c>
      <c r="E4">
        <v>1814</v>
      </c>
      <c r="F4" t="s">
        <v>30</v>
      </c>
      <c r="I4" t="str">
        <f>C4 &amp; " " &amp; D4 &amp; "*" &amp; E4 &amp; " :" &amp; A4</f>
        <v>B 10*1814 :04 SEP 2026 09:52:27 AM</v>
      </c>
      <c r="J4">
        <f t="shared" ref="J4:J6" si="3">D4*E4</f>
        <v>18140</v>
      </c>
      <c r="L4" t="str">
        <f t="shared" si="0"/>
        <v>Duplicate</v>
      </c>
    </row>
    <row r="5" spans="1:12" x14ac:dyDescent="0.35">
      <c r="A5" t="s">
        <v>255</v>
      </c>
      <c r="B5" t="s">
        <v>13</v>
      </c>
      <c r="C5" t="s">
        <v>7</v>
      </c>
      <c r="D5">
        <v>15</v>
      </c>
      <c r="E5">
        <v>1869</v>
      </c>
      <c r="F5" t="s">
        <v>30</v>
      </c>
      <c r="I5" t="str">
        <f t="shared" ref="I5:I6" si="4">C5 &amp; " " &amp; D5 &amp; "*" &amp; E5 &amp; " :" &amp; A5</f>
        <v>S 15*1869 :04 SEP 2026 09:51:01 AM</v>
      </c>
      <c r="J5">
        <f t="shared" si="3"/>
        <v>28035</v>
      </c>
      <c r="L5" t="str">
        <f t="shared" si="0"/>
        <v>Duplicate</v>
      </c>
    </row>
    <row r="6" spans="1:12" x14ac:dyDescent="0.35">
      <c r="A6" t="s">
        <v>256</v>
      </c>
      <c r="B6" t="s">
        <v>23</v>
      </c>
      <c r="C6" t="s">
        <v>10</v>
      </c>
      <c r="D6">
        <v>40</v>
      </c>
      <c r="E6">
        <v>212</v>
      </c>
      <c r="F6" t="s">
        <v>30</v>
      </c>
      <c r="I6" t="str">
        <f t="shared" si="4"/>
        <v>B 40*212 :04 SEP 2026 02:45:11 PM</v>
      </c>
      <c r="J6">
        <f t="shared" si="3"/>
        <v>8480</v>
      </c>
      <c r="L6" t="str">
        <f t="shared" si="0"/>
        <v>Unique</v>
      </c>
    </row>
    <row r="7" spans="1:12" x14ac:dyDescent="0.35">
      <c r="A7" t="s">
        <v>257</v>
      </c>
      <c r="B7" t="s">
        <v>22</v>
      </c>
      <c r="C7" t="s">
        <v>10</v>
      </c>
      <c r="D7">
        <v>5</v>
      </c>
      <c r="E7">
        <v>421</v>
      </c>
      <c r="F7" t="s">
        <v>30</v>
      </c>
      <c r="I7" t="str">
        <f t="shared" ref="I7:I19" si="5">C7 &amp; " " &amp; D7 &amp; "*" &amp; E7 &amp; " :" &amp; A7</f>
        <v>B 5*421 :04 SEP 2026 09:00:48 AM</v>
      </c>
      <c r="J7">
        <f t="shared" ref="J7:J19" si="6">D7*E7</f>
        <v>2105</v>
      </c>
      <c r="L7" t="str">
        <f t="shared" si="0"/>
        <v>Unique</v>
      </c>
    </row>
    <row r="8" spans="1:12" x14ac:dyDescent="0.35">
      <c r="A8" t="s">
        <v>258</v>
      </c>
      <c r="B8" t="s">
        <v>13</v>
      </c>
      <c r="C8" t="s">
        <v>7</v>
      </c>
      <c r="D8">
        <v>5</v>
      </c>
      <c r="E8">
        <v>1844</v>
      </c>
      <c r="F8" t="s">
        <v>30</v>
      </c>
      <c r="I8" t="str">
        <f t="shared" si="5"/>
        <v>S 5*1844 :04 SEP 2026 09:00:46 AM</v>
      </c>
      <c r="J8">
        <f t="shared" si="6"/>
        <v>9220</v>
      </c>
      <c r="L8" t="str">
        <f t="shared" si="0"/>
        <v>Duplicate</v>
      </c>
    </row>
    <row r="9" spans="1:12" x14ac:dyDescent="0.35">
      <c r="A9" t="s">
        <v>258</v>
      </c>
      <c r="B9" t="s">
        <v>13</v>
      </c>
      <c r="C9" t="s">
        <v>7</v>
      </c>
      <c r="D9">
        <v>8</v>
      </c>
      <c r="E9">
        <v>1794</v>
      </c>
      <c r="F9" t="s">
        <v>30</v>
      </c>
      <c r="I9" t="str">
        <f t="shared" si="5"/>
        <v>S 8*1794 :04 SEP 2026 09:00:46 AM</v>
      </c>
      <c r="J9">
        <f t="shared" si="6"/>
        <v>14352</v>
      </c>
      <c r="L9" t="str">
        <f t="shared" si="0"/>
        <v>Duplicate</v>
      </c>
    </row>
    <row r="10" spans="1:12" x14ac:dyDescent="0.35">
      <c r="A10" t="s">
        <v>259</v>
      </c>
      <c r="B10" t="s">
        <v>12</v>
      </c>
      <c r="C10" t="s">
        <v>7</v>
      </c>
      <c r="D10">
        <v>1</v>
      </c>
      <c r="E10">
        <v>5424</v>
      </c>
      <c r="F10" t="s">
        <v>30</v>
      </c>
      <c r="I10" t="str">
        <f t="shared" si="5"/>
        <v>S 1*5424 :04 SEP 2026 09:00:45 AM</v>
      </c>
      <c r="J10">
        <f t="shared" si="6"/>
        <v>5424</v>
      </c>
      <c r="L10" t="str">
        <f t="shared" si="0"/>
        <v>Duplicate</v>
      </c>
    </row>
    <row r="11" spans="1:12" x14ac:dyDescent="0.35">
      <c r="A11" t="s">
        <v>259</v>
      </c>
      <c r="B11" t="s">
        <v>74</v>
      </c>
      <c r="C11" t="s">
        <v>7</v>
      </c>
      <c r="D11">
        <v>2</v>
      </c>
      <c r="E11">
        <v>3440</v>
      </c>
      <c r="F11" t="s">
        <v>30</v>
      </c>
      <c r="I11" t="str">
        <f t="shared" si="5"/>
        <v>S 2*3440 :04 SEP 2026 09:00:45 AM</v>
      </c>
      <c r="J11">
        <f t="shared" si="6"/>
        <v>6880</v>
      </c>
      <c r="L11" t="str">
        <f t="shared" si="0"/>
        <v>Unique</v>
      </c>
    </row>
    <row r="12" spans="1:12" x14ac:dyDescent="0.35">
      <c r="A12" t="s">
        <v>260</v>
      </c>
      <c r="B12" t="s">
        <v>17</v>
      </c>
      <c r="C12" t="s">
        <v>7</v>
      </c>
      <c r="D12">
        <v>25</v>
      </c>
      <c r="E12">
        <v>360</v>
      </c>
      <c r="F12" t="s">
        <v>30</v>
      </c>
      <c r="I12" t="str">
        <f t="shared" si="5"/>
        <v>S 25*360 :04 SEP 2026 09:00:44 AM</v>
      </c>
      <c r="J12">
        <f t="shared" si="6"/>
        <v>9000</v>
      </c>
      <c r="L12" t="str">
        <f t="shared" si="0"/>
        <v>Unique</v>
      </c>
    </row>
    <row r="13" spans="1:12" x14ac:dyDescent="0.35">
      <c r="A13" t="s">
        <v>260</v>
      </c>
      <c r="B13" t="s">
        <v>51</v>
      </c>
      <c r="C13" t="s">
        <v>7</v>
      </c>
      <c r="D13">
        <v>10</v>
      </c>
      <c r="E13">
        <v>947</v>
      </c>
      <c r="F13" t="s">
        <v>30</v>
      </c>
      <c r="I13" t="str">
        <f t="shared" si="5"/>
        <v>S 10*947 :04 SEP 2026 09:00:44 AM</v>
      </c>
      <c r="J13">
        <f t="shared" si="6"/>
        <v>9470</v>
      </c>
      <c r="L13" t="str">
        <f t="shared" si="0"/>
        <v>Unique</v>
      </c>
    </row>
    <row r="14" spans="1:12" x14ac:dyDescent="0.35">
      <c r="A14" t="s">
        <v>260</v>
      </c>
      <c r="B14" t="s">
        <v>87</v>
      </c>
      <c r="C14" t="s">
        <v>7</v>
      </c>
      <c r="D14">
        <v>20</v>
      </c>
      <c r="E14">
        <v>1280</v>
      </c>
      <c r="F14" t="s">
        <v>30</v>
      </c>
      <c r="I14" t="str">
        <f t="shared" si="5"/>
        <v>S 20*1280 :04 SEP 2026 09:00:44 AM</v>
      </c>
      <c r="J14">
        <f t="shared" si="6"/>
        <v>25600</v>
      </c>
      <c r="L14" t="str">
        <f t="shared" si="0"/>
        <v>Unique</v>
      </c>
    </row>
    <row r="15" spans="1:12" x14ac:dyDescent="0.35">
      <c r="I15" t="str">
        <f t="shared" si="5"/>
        <v xml:space="preserve"> * :</v>
      </c>
      <c r="J15">
        <f t="shared" si="6"/>
        <v>0</v>
      </c>
      <c r="L15" t="str">
        <f t="shared" si="0"/>
        <v>Unique</v>
      </c>
    </row>
    <row r="16" spans="1:12" x14ac:dyDescent="0.35">
      <c r="I16" t="str">
        <f t="shared" si="5"/>
        <v xml:space="preserve"> * :</v>
      </c>
      <c r="J16">
        <f t="shared" si="6"/>
        <v>0</v>
      </c>
      <c r="L16" t="str">
        <f t="shared" si="0"/>
        <v>Unique</v>
      </c>
    </row>
    <row r="17" spans="9:12" x14ac:dyDescent="0.35">
      <c r="I17" t="str">
        <f t="shared" si="5"/>
        <v xml:space="preserve"> * :</v>
      </c>
      <c r="J17">
        <f t="shared" si="6"/>
        <v>0</v>
      </c>
      <c r="L17" t="str">
        <f t="shared" si="0"/>
        <v>Unique</v>
      </c>
    </row>
    <row r="18" spans="9:12" x14ac:dyDescent="0.35">
      <c r="I18" t="str">
        <f t="shared" si="5"/>
        <v xml:space="preserve"> * :</v>
      </c>
      <c r="J18">
        <f t="shared" si="6"/>
        <v>0</v>
      </c>
      <c r="L18" t="str">
        <f t="shared" si="0"/>
        <v>Unique</v>
      </c>
    </row>
    <row r="19" spans="9:12" x14ac:dyDescent="0.35">
      <c r="I19" t="str">
        <f t="shared" si="5"/>
        <v xml:space="preserve"> * :</v>
      </c>
      <c r="J19">
        <f t="shared" si="6"/>
        <v>0</v>
      </c>
      <c r="L19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7BE8-E8E5-42E6-BAFD-B9F5C09E9DF5}">
  <dimension ref="A1:N282"/>
  <sheetViews>
    <sheetView zoomScaleNormal="100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17.179687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4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153</v>
      </c>
      <c r="L1" s="18" t="s">
        <v>154</v>
      </c>
      <c r="M1" s="18" t="s">
        <v>155</v>
      </c>
    </row>
    <row r="2" spans="1:14" customFormat="1" ht="27.65" customHeight="1" thickBot="1" x14ac:dyDescent="0.4">
      <c r="A2" s="8" t="s">
        <v>62</v>
      </c>
      <c r="B2" s="8" t="s">
        <v>141</v>
      </c>
      <c r="C2" s="8" t="s">
        <v>7</v>
      </c>
      <c r="D2" s="8">
        <v>23</v>
      </c>
      <c r="E2" s="12">
        <v>890</v>
      </c>
      <c r="F2" s="6" t="e">
        <v>#N/A</v>
      </c>
      <c r="G2" s="2" t="s">
        <v>142</v>
      </c>
      <c r="H2" s="7" t="e">
        <v>#N/A</v>
      </c>
      <c r="I2" s="1" t="s">
        <v>8</v>
      </c>
      <c r="J2" s="21"/>
      <c r="K2" s="18"/>
      <c r="L2" s="18"/>
      <c r="M2" s="18"/>
      <c r="N2" s="10" t="str">
        <f t="shared" ref="N2:N65" si="0">IF(COUNTIFS( $B$2:$B$797, B2, $C$2:$C$797, C2, $D$2:$D$797, D2, $E$2:$E$797, E2) &gt; 1, "Duplicate", "Unique")</f>
        <v>Unique</v>
      </c>
    </row>
    <row r="3" spans="1:14" customFormat="1" ht="27.65" customHeight="1" thickBot="1" x14ac:dyDescent="0.4">
      <c r="A3" s="8" t="s">
        <v>62</v>
      </c>
      <c r="B3" s="8" t="s">
        <v>13</v>
      </c>
      <c r="C3" s="8" t="s">
        <v>7</v>
      </c>
      <c r="D3" s="8">
        <v>1</v>
      </c>
      <c r="E3" s="8">
        <v>2494</v>
      </c>
      <c r="F3" s="4">
        <v>46.49045521</v>
      </c>
      <c r="G3" s="2" t="s">
        <v>91</v>
      </c>
      <c r="H3" s="5">
        <v>1702.5</v>
      </c>
      <c r="I3" s="1" t="s">
        <v>8</v>
      </c>
      <c r="J3" s="21"/>
      <c r="K3" s="18"/>
      <c r="L3" s="18"/>
      <c r="M3" s="18"/>
      <c r="N3" s="10" t="str">
        <f t="shared" si="0"/>
        <v>Unique</v>
      </c>
    </row>
    <row r="4" spans="1:14" customFormat="1" ht="27.65" customHeight="1" thickBot="1" x14ac:dyDescent="0.4">
      <c r="A4" s="11">
        <v>46251.506249999999</v>
      </c>
      <c r="B4" s="8" t="s">
        <v>13</v>
      </c>
      <c r="C4" s="8" t="s">
        <v>7</v>
      </c>
      <c r="D4" s="8">
        <v>3</v>
      </c>
      <c r="E4" s="8">
        <v>2494</v>
      </c>
      <c r="F4" s="4">
        <v>46.49045521</v>
      </c>
      <c r="G4" s="2" t="s">
        <v>91</v>
      </c>
      <c r="H4" s="5">
        <v>1702.5</v>
      </c>
      <c r="I4" s="1" t="s">
        <v>8</v>
      </c>
      <c r="J4" s="21"/>
      <c r="K4" s="18"/>
      <c r="L4" s="18"/>
      <c r="M4" s="18"/>
      <c r="N4" s="10" t="str">
        <f t="shared" si="0"/>
        <v>Unique</v>
      </c>
    </row>
    <row r="5" spans="1:14" customFormat="1" ht="15" customHeight="1" thickBot="1" x14ac:dyDescent="0.4">
      <c r="A5" s="8" t="s">
        <v>62</v>
      </c>
      <c r="B5" s="8" t="s">
        <v>13</v>
      </c>
      <c r="C5" s="8" t="s">
        <v>7</v>
      </c>
      <c r="D5" s="8">
        <v>20</v>
      </c>
      <c r="E5" s="8">
        <v>2310</v>
      </c>
      <c r="F5" s="4">
        <v>35.682819379999998</v>
      </c>
      <c r="G5" s="2" t="s">
        <v>91</v>
      </c>
      <c r="H5" s="5">
        <v>1702.5</v>
      </c>
      <c r="I5" s="1" t="s">
        <v>8</v>
      </c>
      <c r="J5" s="21"/>
      <c r="K5" s="18"/>
      <c r="L5" s="18"/>
      <c r="M5" s="18"/>
      <c r="N5" s="10" t="str">
        <f t="shared" si="0"/>
        <v>Unique</v>
      </c>
    </row>
    <row r="6" spans="1:14" customFormat="1" ht="27.65" customHeight="1" thickBot="1" x14ac:dyDescent="0.4">
      <c r="A6" s="8" t="s">
        <v>62</v>
      </c>
      <c r="B6" s="8" t="s">
        <v>13</v>
      </c>
      <c r="C6" s="8" t="s">
        <v>7</v>
      </c>
      <c r="D6" s="8">
        <v>10</v>
      </c>
      <c r="E6" s="8">
        <v>2189</v>
      </c>
      <c r="F6" s="4">
        <v>28.575624080000001</v>
      </c>
      <c r="G6" s="2" t="s">
        <v>91</v>
      </c>
      <c r="H6" s="5">
        <v>1702.5</v>
      </c>
      <c r="I6" s="1" t="s">
        <v>8</v>
      </c>
      <c r="J6" s="21"/>
      <c r="K6" s="18"/>
      <c r="L6" s="18"/>
      <c r="M6" s="18"/>
      <c r="N6" s="10" t="str">
        <f t="shared" si="0"/>
        <v>Unique</v>
      </c>
    </row>
    <row r="7" spans="1:14" customFormat="1" ht="15" customHeight="1" thickBot="1" x14ac:dyDescent="0.4">
      <c r="A7" s="8" t="s">
        <v>62</v>
      </c>
      <c r="B7" s="8" t="s">
        <v>17</v>
      </c>
      <c r="C7" s="8" t="s">
        <v>7</v>
      </c>
      <c r="D7" s="8">
        <v>5</v>
      </c>
      <c r="E7" s="12">
        <v>435</v>
      </c>
      <c r="F7" s="4">
        <v>24.463519309999999</v>
      </c>
      <c r="G7" s="2" t="s">
        <v>77</v>
      </c>
      <c r="H7" s="5">
        <v>349.5</v>
      </c>
      <c r="I7" s="1" t="s">
        <v>8</v>
      </c>
      <c r="J7" s="21" t="s">
        <v>118</v>
      </c>
      <c r="K7" s="18"/>
      <c r="L7" s="18"/>
      <c r="M7" s="18"/>
      <c r="N7" s="10" t="str">
        <f t="shared" si="0"/>
        <v>Unique</v>
      </c>
    </row>
    <row r="8" spans="1:14" customFormat="1" ht="40.75" customHeight="1" thickBot="1" x14ac:dyDescent="0.4">
      <c r="A8" s="8" t="s">
        <v>62</v>
      </c>
      <c r="B8" s="8" t="s">
        <v>13</v>
      </c>
      <c r="C8" s="8" t="s">
        <v>7</v>
      </c>
      <c r="D8" s="8">
        <v>10</v>
      </c>
      <c r="E8" s="8">
        <v>2114</v>
      </c>
      <c r="F8" s="4">
        <v>24.170337740000001</v>
      </c>
      <c r="G8" s="2" t="s">
        <v>91</v>
      </c>
      <c r="H8" s="5">
        <v>1702.5</v>
      </c>
      <c r="I8" s="1" t="s">
        <v>8</v>
      </c>
      <c r="J8" s="21"/>
      <c r="K8" s="18"/>
      <c r="L8" s="18"/>
      <c r="M8" s="18"/>
      <c r="N8" s="10" t="str">
        <f t="shared" si="0"/>
        <v>Unique</v>
      </c>
    </row>
    <row r="9" spans="1:14" customFormat="1" ht="27.65" customHeight="1" thickBot="1" x14ac:dyDescent="0.4">
      <c r="A9" s="11">
        <v>46252.6875</v>
      </c>
      <c r="B9" s="8" t="s">
        <v>13</v>
      </c>
      <c r="C9" s="8" t="s">
        <v>7</v>
      </c>
      <c r="D9" s="8">
        <v>5</v>
      </c>
      <c r="E9" s="8">
        <v>2094</v>
      </c>
      <c r="F9" s="4">
        <v>22.995594709999999</v>
      </c>
      <c r="G9" s="2" t="s">
        <v>91</v>
      </c>
      <c r="H9" s="5">
        <v>1702.5</v>
      </c>
      <c r="I9" s="1" t="s">
        <v>8</v>
      </c>
      <c r="J9" s="21" t="s">
        <v>118</v>
      </c>
      <c r="K9" s="18"/>
      <c r="L9" s="18"/>
      <c r="M9" s="18"/>
      <c r="N9" s="10" t="str">
        <f t="shared" si="0"/>
        <v>Unique</v>
      </c>
    </row>
    <row r="10" spans="1:14" customFormat="1" ht="27.65" customHeight="1" thickBot="1" x14ac:dyDescent="0.4">
      <c r="A10" s="3">
        <v>46259.532638888886</v>
      </c>
      <c r="B10" s="1" t="s">
        <v>96</v>
      </c>
      <c r="C10" s="1" t="s">
        <v>7</v>
      </c>
      <c r="D10" s="4">
        <v>5</v>
      </c>
      <c r="E10" s="4">
        <v>218</v>
      </c>
      <c r="F10" s="4">
        <v>22.747747749999998</v>
      </c>
      <c r="G10" s="2" t="s">
        <v>97</v>
      </c>
      <c r="H10" s="5">
        <v>177.6</v>
      </c>
      <c r="I10" s="1" t="s">
        <v>8</v>
      </c>
      <c r="J10" s="21" t="s">
        <v>118</v>
      </c>
      <c r="K10" s="18" t="s">
        <v>163</v>
      </c>
      <c r="L10" s="18">
        <v>840</v>
      </c>
      <c r="M10" s="18">
        <f>ABS((D10*E10)-L10)</f>
        <v>250</v>
      </c>
      <c r="N10" s="10" t="str">
        <f t="shared" si="0"/>
        <v>Unique</v>
      </c>
    </row>
    <row r="11" spans="1:14" customFormat="1" ht="40.75" customHeight="1" thickBot="1" x14ac:dyDescent="0.4">
      <c r="A11" s="8" t="s">
        <v>62</v>
      </c>
      <c r="B11" s="8" t="s">
        <v>138</v>
      </c>
      <c r="C11" s="8" t="s">
        <v>7</v>
      </c>
      <c r="D11" s="8">
        <v>35</v>
      </c>
      <c r="E11" s="13">
        <v>494</v>
      </c>
      <c r="F11" s="4">
        <v>21.226993870000001</v>
      </c>
      <c r="G11" s="2" t="s">
        <v>139</v>
      </c>
      <c r="H11" s="5">
        <v>407.5</v>
      </c>
      <c r="I11" s="1" t="s">
        <v>8</v>
      </c>
      <c r="J11" s="21"/>
      <c r="K11" s="18"/>
      <c r="L11" s="18"/>
      <c r="M11" s="18"/>
      <c r="N11" s="10" t="str">
        <f t="shared" si="0"/>
        <v>Unique</v>
      </c>
    </row>
    <row r="12" spans="1:14" customFormat="1" ht="27.65" customHeight="1" thickBot="1" x14ac:dyDescent="0.4">
      <c r="A12" s="8" t="s">
        <v>62</v>
      </c>
      <c r="B12" s="8" t="s">
        <v>6</v>
      </c>
      <c r="C12" s="8" t="s">
        <v>7</v>
      </c>
      <c r="D12" s="8">
        <v>150</v>
      </c>
      <c r="E12" s="12">
        <v>323</v>
      </c>
      <c r="F12" s="4">
        <v>19.232189000000002</v>
      </c>
      <c r="G12" s="2" t="s">
        <v>130</v>
      </c>
      <c r="H12" s="5">
        <v>270.89999999999998</v>
      </c>
      <c r="I12" s="1" t="s">
        <v>8</v>
      </c>
      <c r="J12" s="21" t="s">
        <v>118</v>
      </c>
      <c r="K12" s="18"/>
      <c r="L12" s="18"/>
      <c r="M12" s="18"/>
      <c r="N12" s="10" t="str">
        <f t="shared" si="0"/>
        <v>Unique</v>
      </c>
    </row>
    <row r="13" spans="1:14" customFormat="1" ht="27.65" customHeight="1" thickBot="1" x14ac:dyDescent="0.4">
      <c r="A13" s="3">
        <v>46260.634027777778</v>
      </c>
      <c r="B13" s="1" t="s">
        <v>29</v>
      </c>
      <c r="C13" s="1" t="s">
        <v>7</v>
      </c>
      <c r="D13" s="4">
        <v>5</v>
      </c>
      <c r="E13" s="4">
        <v>4148</v>
      </c>
      <c r="F13" s="4">
        <v>19.16800735</v>
      </c>
      <c r="G13" s="2" t="s">
        <v>137</v>
      </c>
      <c r="H13" s="5">
        <v>3480.8</v>
      </c>
      <c r="I13" s="1" t="s">
        <v>8</v>
      </c>
      <c r="J13" s="24" t="s">
        <v>118</v>
      </c>
      <c r="K13" s="18" t="s">
        <v>171</v>
      </c>
      <c r="L13" s="18">
        <v>20260</v>
      </c>
      <c r="M13" s="18">
        <f>ABS((D13*E13)-L13)</f>
        <v>480</v>
      </c>
      <c r="N13" t="str">
        <f t="shared" si="0"/>
        <v>Unique</v>
      </c>
    </row>
    <row r="14" spans="1:14" customFormat="1" ht="27.65" customHeight="1" thickBot="1" x14ac:dyDescent="0.4">
      <c r="A14" s="8" t="s">
        <v>62</v>
      </c>
      <c r="B14" s="8" t="s">
        <v>17</v>
      </c>
      <c r="C14" s="8" t="s">
        <v>7</v>
      </c>
      <c r="D14" s="8">
        <v>5</v>
      </c>
      <c r="E14" s="12">
        <v>416</v>
      </c>
      <c r="F14" s="4">
        <v>19.027181689999999</v>
      </c>
      <c r="G14" s="2" t="s">
        <v>77</v>
      </c>
      <c r="H14" s="5">
        <v>349.5</v>
      </c>
      <c r="I14" s="1" t="s">
        <v>8</v>
      </c>
      <c r="J14" s="21"/>
      <c r="K14" s="18"/>
      <c r="L14" s="18"/>
      <c r="M14" s="18"/>
      <c r="N14" s="10" t="str">
        <f t="shared" si="0"/>
        <v>Unique</v>
      </c>
    </row>
    <row r="15" spans="1:14" customFormat="1" ht="15" customHeight="1" thickBot="1" x14ac:dyDescent="0.4">
      <c r="A15" s="8" t="s">
        <v>62</v>
      </c>
      <c r="B15" s="8" t="s">
        <v>35</v>
      </c>
      <c r="C15" s="8" t="s">
        <v>7</v>
      </c>
      <c r="D15" s="8">
        <v>200</v>
      </c>
      <c r="E15" s="12">
        <v>249</v>
      </c>
      <c r="F15" s="4">
        <v>18.854415270000001</v>
      </c>
      <c r="G15" s="2" t="s">
        <v>42</v>
      </c>
      <c r="H15" s="5">
        <v>209.5</v>
      </c>
      <c r="I15" s="1" t="s">
        <v>8</v>
      </c>
      <c r="J15" s="21"/>
      <c r="K15" s="18"/>
      <c r="L15" s="18"/>
      <c r="M15" s="18"/>
      <c r="N15" s="10" t="str">
        <f t="shared" si="0"/>
        <v>Unique</v>
      </c>
    </row>
    <row r="16" spans="1:14" customFormat="1" ht="27.65" customHeight="1" thickBot="1" x14ac:dyDescent="0.4">
      <c r="A16" s="3">
        <v>46258.375694444447</v>
      </c>
      <c r="B16" s="1" t="s">
        <v>22</v>
      </c>
      <c r="C16" s="1" t="s">
        <v>7</v>
      </c>
      <c r="D16" s="4">
        <v>5</v>
      </c>
      <c r="E16" s="4">
        <v>502</v>
      </c>
      <c r="F16" s="4">
        <v>18.73226112</v>
      </c>
      <c r="G16" s="2" t="s">
        <v>73</v>
      </c>
      <c r="H16" s="5">
        <v>422.8</v>
      </c>
      <c r="I16" s="1" t="s">
        <v>8</v>
      </c>
      <c r="J16" s="24" t="s">
        <v>118</v>
      </c>
      <c r="K16" s="18" t="s">
        <v>160</v>
      </c>
      <c r="L16" s="18">
        <v>2260</v>
      </c>
      <c r="M16" s="18">
        <f>ABS((D16*E16)-L16)</f>
        <v>250</v>
      </c>
      <c r="N16" s="10" t="str">
        <f t="shared" si="0"/>
        <v>Unique</v>
      </c>
    </row>
    <row r="17" spans="1:14" customFormat="1" ht="27.65" customHeight="1" thickBot="1" x14ac:dyDescent="0.4">
      <c r="A17" s="11">
        <v>46252.6875</v>
      </c>
      <c r="B17" s="8" t="s">
        <v>13</v>
      </c>
      <c r="C17" s="8" t="s">
        <v>7</v>
      </c>
      <c r="D17" s="8">
        <v>5</v>
      </c>
      <c r="E17" s="8">
        <v>2014</v>
      </c>
      <c r="F17" s="4">
        <v>18.29662261</v>
      </c>
      <c r="G17" s="2" t="s">
        <v>91</v>
      </c>
      <c r="H17" s="5">
        <v>1702.5</v>
      </c>
      <c r="I17" s="1" t="s">
        <v>8</v>
      </c>
      <c r="J17" s="21" t="s">
        <v>118</v>
      </c>
      <c r="K17" s="18"/>
      <c r="L17" s="18"/>
      <c r="M17" s="18"/>
      <c r="N17" s="10" t="str">
        <f t="shared" si="0"/>
        <v>Unique</v>
      </c>
    </row>
    <row r="18" spans="1:14" customFormat="1" ht="15" customHeight="1" thickBot="1" x14ac:dyDescent="0.4">
      <c r="A18" s="8" t="s">
        <v>62</v>
      </c>
      <c r="B18" s="8" t="s">
        <v>57</v>
      </c>
      <c r="C18" s="8" t="s">
        <v>7</v>
      </c>
      <c r="D18" s="8">
        <v>3</v>
      </c>
      <c r="E18" s="12">
        <v>3341</v>
      </c>
      <c r="F18" s="4">
        <v>18.265486729999999</v>
      </c>
      <c r="G18" s="2" t="s">
        <v>58</v>
      </c>
      <c r="H18" s="5">
        <v>2825</v>
      </c>
      <c r="I18" s="1" t="s">
        <v>8</v>
      </c>
      <c r="J18" s="21"/>
      <c r="K18" s="18"/>
      <c r="L18" s="18"/>
      <c r="M18" s="18"/>
      <c r="N18" s="10" t="str">
        <f t="shared" si="0"/>
        <v>Unique</v>
      </c>
    </row>
    <row r="19" spans="1:14" customFormat="1" ht="40.75" customHeight="1" thickBot="1" x14ac:dyDescent="0.4">
      <c r="A19" s="8" t="s">
        <v>62</v>
      </c>
      <c r="B19" s="8" t="s">
        <v>28</v>
      </c>
      <c r="C19" s="8" t="s">
        <v>7</v>
      </c>
      <c r="D19" s="8">
        <v>5</v>
      </c>
      <c r="E19" s="12">
        <v>1002</v>
      </c>
      <c r="F19" s="4">
        <v>17.937853109999999</v>
      </c>
      <c r="G19" s="2" t="s">
        <v>125</v>
      </c>
      <c r="H19" s="5">
        <v>849.6</v>
      </c>
      <c r="I19" s="1" t="s">
        <v>8</v>
      </c>
      <c r="J19" s="21"/>
      <c r="K19" s="18"/>
      <c r="L19" s="18"/>
      <c r="M19" s="18"/>
      <c r="N19" s="10" t="str">
        <f t="shared" si="0"/>
        <v>Unique</v>
      </c>
    </row>
    <row r="20" spans="1:14" customFormat="1" ht="27.65" customHeight="1" thickBot="1" x14ac:dyDescent="0.4">
      <c r="A20" s="9" t="s">
        <v>62</v>
      </c>
      <c r="B20" s="9" t="s">
        <v>119</v>
      </c>
      <c r="C20" s="9" t="s">
        <v>7</v>
      </c>
      <c r="D20" s="9">
        <v>7</v>
      </c>
      <c r="E20" s="12">
        <v>1170</v>
      </c>
      <c r="F20" s="4">
        <v>17.884130979999998</v>
      </c>
      <c r="G20" s="2" t="s">
        <v>120</v>
      </c>
      <c r="H20" s="5">
        <v>992.5</v>
      </c>
      <c r="I20" s="1" t="s">
        <v>8</v>
      </c>
      <c r="J20" s="21"/>
      <c r="K20" s="18"/>
      <c r="L20" s="18"/>
      <c r="M20" s="18"/>
      <c r="N20" s="10" t="str">
        <f t="shared" si="0"/>
        <v>Unique</v>
      </c>
    </row>
    <row r="21" spans="1:14" customFormat="1" ht="27.65" customHeight="1" thickBot="1" x14ac:dyDescent="0.4">
      <c r="A21" s="11">
        <v>46252.635416666664</v>
      </c>
      <c r="B21" s="8" t="s">
        <v>87</v>
      </c>
      <c r="C21" s="8" t="s">
        <v>7</v>
      </c>
      <c r="D21" s="8">
        <v>10</v>
      </c>
      <c r="E21" s="8">
        <v>1479</v>
      </c>
      <c r="F21" s="4">
        <v>17.848605580000001</v>
      </c>
      <c r="G21" s="2" t="s">
        <v>88</v>
      </c>
      <c r="H21" s="5">
        <v>1255</v>
      </c>
      <c r="I21" s="1" t="s">
        <v>8</v>
      </c>
      <c r="J21" s="21" t="s">
        <v>55</v>
      </c>
      <c r="K21" s="18"/>
      <c r="L21" s="18"/>
      <c r="M21" s="18"/>
      <c r="N21" s="10" t="str">
        <f t="shared" si="0"/>
        <v>Unique</v>
      </c>
    </row>
    <row r="22" spans="1:14" customFormat="1" ht="27.65" customHeight="1" thickBot="1" x14ac:dyDescent="0.4">
      <c r="A22" s="8" t="s">
        <v>62</v>
      </c>
      <c r="B22" s="8" t="s">
        <v>138</v>
      </c>
      <c r="C22" s="8" t="s">
        <v>7</v>
      </c>
      <c r="D22" s="8">
        <v>50</v>
      </c>
      <c r="E22" s="12">
        <v>480</v>
      </c>
      <c r="F22" s="4">
        <v>17.79141104</v>
      </c>
      <c r="G22" s="2" t="s">
        <v>139</v>
      </c>
      <c r="H22" s="5">
        <v>407.5</v>
      </c>
      <c r="I22" s="1" t="s">
        <v>8</v>
      </c>
      <c r="J22" s="21"/>
      <c r="K22" s="18"/>
      <c r="L22" s="18"/>
      <c r="M22" s="18"/>
      <c r="N22" s="10" t="str">
        <f t="shared" si="0"/>
        <v>Unique</v>
      </c>
    </row>
    <row r="23" spans="1:14" s="34" customFormat="1" ht="27.65" customHeight="1" thickBot="1" x14ac:dyDescent="0.4">
      <c r="A23" s="8" t="s">
        <v>62</v>
      </c>
      <c r="B23" s="8" t="s">
        <v>6</v>
      </c>
      <c r="C23" s="8" t="s">
        <v>7</v>
      </c>
      <c r="D23" s="8">
        <v>100</v>
      </c>
      <c r="E23" s="13">
        <v>319</v>
      </c>
      <c r="F23" s="4">
        <v>17.755629379999998</v>
      </c>
      <c r="G23" s="2" t="s">
        <v>130</v>
      </c>
      <c r="H23" s="5">
        <v>270.89999999999998</v>
      </c>
      <c r="I23" s="1" t="s">
        <v>8</v>
      </c>
      <c r="J23" s="21"/>
      <c r="K23" s="18"/>
      <c r="L23" s="18"/>
      <c r="M23" s="18"/>
      <c r="N23" s="10" t="str">
        <f t="shared" si="0"/>
        <v>Unique</v>
      </c>
    </row>
    <row r="24" spans="1:14" customFormat="1" ht="15" customHeight="1" thickBot="1" x14ac:dyDescent="0.4">
      <c r="A24" s="8" t="s">
        <v>62</v>
      </c>
      <c r="B24" s="8" t="s">
        <v>6</v>
      </c>
      <c r="C24" s="8" t="s">
        <v>7</v>
      </c>
      <c r="D24" s="8">
        <v>100</v>
      </c>
      <c r="E24" s="12">
        <v>318</v>
      </c>
      <c r="F24" s="4">
        <v>17.386489480000002</v>
      </c>
      <c r="G24" s="2" t="s">
        <v>130</v>
      </c>
      <c r="H24" s="5">
        <v>270.89999999999998</v>
      </c>
      <c r="I24" s="1" t="s">
        <v>8</v>
      </c>
      <c r="J24" s="21"/>
      <c r="K24" s="18"/>
      <c r="L24" s="18"/>
      <c r="M24" s="18"/>
      <c r="N24" s="10" t="str">
        <f t="shared" si="0"/>
        <v>Unique</v>
      </c>
    </row>
    <row r="25" spans="1:14" customFormat="1" ht="40.75" customHeight="1" thickBot="1" x14ac:dyDescent="0.4">
      <c r="A25" s="8" t="s">
        <v>62</v>
      </c>
      <c r="B25" s="14" t="s">
        <v>28</v>
      </c>
      <c r="C25" s="8" t="s">
        <v>7</v>
      </c>
      <c r="D25" s="8">
        <v>40</v>
      </c>
      <c r="E25" s="15">
        <v>996</v>
      </c>
      <c r="F25" s="4">
        <v>17.231638419999999</v>
      </c>
      <c r="G25" s="2" t="s">
        <v>125</v>
      </c>
      <c r="H25" s="5">
        <v>849.6</v>
      </c>
      <c r="I25" s="1" t="s">
        <v>8</v>
      </c>
      <c r="J25" s="21" t="s">
        <v>118</v>
      </c>
      <c r="K25" s="18"/>
      <c r="L25" s="18"/>
      <c r="M25" s="18"/>
      <c r="N25" s="10" t="str">
        <f t="shared" si="0"/>
        <v>Unique</v>
      </c>
    </row>
    <row r="26" spans="1:14" customFormat="1" ht="15" customHeight="1" thickBot="1" x14ac:dyDescent="0.4">
      <c r="A26" s="8" t="s">
        <v>62</v>
      </c>
      <c r="B26" s="8" t="s">
        <v>14</v>
      </c>
      <c r="C26" s="8" t="s">
        <v>7</v>
      </c>
      <c r="D26" s="8">
        <v>50</v>
      </c>
      <c r="E26" s="12">
        <v>383</v>
      </c>
      <c r="F26" s="4">
        <v>17.125382259999999</v>
      </c>
      <c r="G26" s="2" t="s">
        <v>45</v>
      </c>
      <c r="H26" s="5">
        <v>327</v>
      </c>
      <c r="I26" s="1" t="s">
        <v>8</v>
      </c>
      <c r="J26" s="21"/>
      <c r="K26" s="18"/>
      <c r="L26" s="18"/>
      <c r="M26" s="18"/>
      <c r="N26" s="10" t="str">
        <f t="shared" si="0"/>
        <v>Unique</v>
      </c>
    </row>
    <row r="27" spans="1:14" customFormat="1" ht="27.65" customHeight="1" thickBot="1" x14ac:dyDescent="0.4">
      <c r="A27" s="3">
        <v>46260.375</v>
      </c>
      <c r="B27" s="1" t="s">
        <v>13</v>
      </c>
      <c r="C27" s="1" t="s">
        <v>7</v>
      </c>
      <c r="D27" s="4">
        <v>5</v>
      </c>
      <c r="E27" s="4">
        <v>1994</v>
      </c>
      <c r="F27" s="4">
        <v>17.121879589999999</v>
      </c>
      <c r="G27" s="2" t="s">
        <v>91</v>
      </c>
      <c r="H27" s="5">
        <v>1702.5</v>
      </c>
      <c r="I27" s="1" t="s">
        <v>8</v>
      </c>
      <c r="J27" s="24" t="s">
        <v>118</v>
      </c>
      <c r="K27" s="18" t="s">
        <v>175</v>
      </c>
      <c r="L27" s="18">
        <v>9320</v>
      </c>
      <c r="M27" s="18">
        <f>ABS((D27*E27)-L27)</f>
        <v>650</v>
      </c>
      <c r="N27" t="str">
        <f t="shared" si="0"/>
        <v>Unique</v>
      </c>
    </row>
    <row r="28" spans="1:14" customFormat="1" ht="27.65" customHeight="1" thickBot="1" x14ac:dyDescent="0.4">
      <c r="A28" s="8" t="s">
        <v>62</v>
      </c>
      <c r="B28" s="8" t="s">
        <v>126</v>
      </c>
      <c r="C28" s="8" t="s">
        <v>7</v>
      </c>
      <c r="D28" s="8">
        <v>5</v>
      </c>
      <c r="E28" s="8">
        <v>596</v>
      </c>
      <c r="F28" s="4">
        <v>16.702565109999998</v>
      </c>
      <c r="G28" s="2" t="s">
        <v>127</v>
      </c>
      <c r="H28" s="5">
        <v>510.7</v>
      </c>
      <c r="I28" s="1" t="s">
        <v>8</v>
      </c>
      <c r="J28" s="21"/>
      <c r="K28" s="18"/>
      <c r="L28" s="18"/>
      <c r="M28" s="18"/>
      <c r="N28" s="10" t="str">
        <f t="shared" si="0"/>
        <v>Unique</v>
      </c>
    </row>
    <row r="29" spans="1:14" customFormat="1" ht="27.65" customHeight="1" thickBot="1" x14ac:dyDescent="0.4">
      <c r="A29" s="20">
        <v>46255</v>
      </c>
      <c r="B29" s="1" t="s">
        <v>20</v>
      </c>
      <c r="C29" s="1" t="s">
        <v>7</v>
      </c>
      <c r="D29" s="4">
        <v>20</v>
      </c>
      <c r="E29" s="4">
        <v>147</v>
      </c>
      <c r="F29" s="4">
        <v>16.527942929999998</v>
      </c>
      <c r="G29" s="2" t="s">
        <v>86</v>
      </c>
      <c r="H29" s="5">
        <v>126.15</v>
      </c>
      <c r="I29" s="1" t="s">
        <v>8</v>
      </c>
      <c r="J29" s="24" t="s">
        <v>55</v>
      </c>
      <c r="K29" s="18" t="s">
        <v>151</v>
      </c>
      <c r="L29" s="18">
        <v>2640</v>
      </c>
      <c r="M29" s="18">
        <f>ABS((D29*E29)-L29)</f>
        <v>300</v>
      </c>
      <c r="N29" s="10" t="str">
        <f t="shared" si="0"/>
        <v>Unique</v>
      </c>
    </row>
    <row r="30" spans="1:14" customFormat="1" ht="27.65" customHeight="1" thickBot="1" x14ac:dyDescent="0.4">
      <c r="A30" s="8" t="s">
        <v>62</v>
      </c>
      <c r="B30" s="8" t="s">
        <v>35</v>
      </c>
      <c r="C30" s="8" t="s">
        <v>7</v>
      </c>
      <c r="D30" s="8">
        <v>200</v>
      </c>
      <c r="E30" s="12">
        <v>244</v>
      </c>
      <c r="F30" s="4">
        <v>16.467780430000001</v>
      </c>
      <c r="G30" s="2" t="s">
        <v>42</v>
      </c>
      <c r="H30" s="5">
        <v>209.5</v>
      </c>
      <c r="I30" s="1" t="s">
        <v>8</v>
      </c>
      <c r="J30" s="21" t="s">
        <v>117</v>
      </c>
      <c r="K30" s="18"/>
      <c r="L30" s="18"/>
      <c r="M30" s="18"/>
      <c r="N30" s="10" t="str">
        <f t="shared" si="0"/>
        <v>Unique</v>
      </c>
    </row>
    <row r="31" spans="1:14" customFormat="1" ht="27.65" customHeight="1" thickBot="1" x14ac:dyDescent="0.4">
      <c r="A31" s="8" t="s">
        <v>62</v>
      </c>
      <c r="B31" s="8" t="s">
        <v>28</v>
      </c>
      <c r="C31" s="8" t="s">
        <v>7</v>
      </c>
      <c r="D31" s="8">
        <v>5</v>
      </c>
      <c r="E31" s="12">
        <v>986</v>
      </c>
      <c r="F31" s="4">
        <v>16.054613939999999</v>
      </c>
      <c r="G31" s="2" t="s">
        <v>125</v>
      </c>
      <c r="H31" s="5">
        <v>849.6</v>
      </c>
      <c r="I31" s="1" t="s">
        <v>8</v>
      </c>
      <c r="J31" s="21"/>
      <c r="K31" s="18"/>
      <c r="L31" s="18"/>
      <c r="M31" s="18"/>
      <c r="N31" s="10" t="str">
        <f t="shared" si="0"/>
        <v>Unique</v>
      </c>
    </row>
    <row r="32" spans="1:14" customFormat="1" ht="15" customHeight="1" thickBot="1" x14ac:dyDescent="0.4">
      <c r="A32" s="8" t="s">
        <v>62</v>
      </c>
      <c r="B32" s="8" t="s">
        <v>26</v>
      </c>
      <c r="C32" s="8" t="s">
        <v>7</v>
      </c>
      <c r="D32" s="8">
        <v>25</v>
      </c>
      <c r="E32" s="8">
        <v>210</v>
      </c>
      <c r="F32" s="4">
        <v>16.022099449999999</v>
      </c>
      <c r="G32" s="2" t="s">
        <v>132</v>
      </c>
      <c r="H32" s="5">
        <v>181</v>
      </c>
      <c r="I32" s="1" t="s">
        <v>8</v>
      </c>
      <c r="J32" s="21"/>
      <c r="K32" s="18"/>
      <c r="L32" s="18"/>
      <c r="M32" s="18"/>
      <c r="N32" s="10" t="str">
        <f t="shared" si="0"/>
        <v>Unique</v>
      </c>
    </row>
    <row r="33" spans="1:14" customFormat="1" ht="27.65" customHeight="1" thickBot="1" x14ac:dyDescent="0.4">
      <c r="A33" s="8" t="s">
        <v>62</v>
      </c>
      <c r="B33" s="8" t="s">
        <v>6</v>
      </c>
      <c r="C33" s="8" t="s">
        <v>7</v>
      </c>
      <c r="D33" s="8">
        <v>100</v>
      </c>
      <c r="E33" s="13">
        <v>314</v>
      </c>
      <c r="F33" s="4">
        <v>15.90992986</v>
      </c>
      <c r="G33" s="2" t="s">
        <v>130</v>
      </c>
      <c r="H33" s="5">
        <v>270.89999999999998</v>
      </c>
      <c r="I33" s="1" t="s">
        <v>8</v>
      </c>
      <c r="J33" s="21"/>
      <c r="K33" s="18"/>
      <c r="L33" s="18"/>
      <c r="M33" s="18"/>
      <c r="N33" s="10" t="str">
        <f t="shared" si="0"/>
        <v>Unique</v>
      </c>
    </row>
    <row r="34" spans="1:14" customFormat="1" ht="27.65" customHeight="1" thickBot="1" x14ac:dyDescent="0.4">
      <c r="A34" s="8" t="s">
        <v>62</v>
      </c>
      <c r="B34" s="8" t="s">
        <v>74</v>
      </c>
      <c r="C34" s="8" t="s">
        <v>7</v>
      </c>
      <c r="D34" s="8">
        <v>1</v>
      </c>
      <c r="E34" s="12">
        <v>3810</v>
      </c>
      <c r="F34" s="4">
        <v>15.241523239999999</v>
      </c>
      <c r="G34" s="2" t="s">
        <v>75</v>
      </c>
      <c r="H34" s="5">
        <v>3306.1</v>
      </c>
      <c r="I34" s="1" t="s">
        <v>8</v>
      </c>
      <c r="J34" s="21" t="s">
        <v>118</v>
      </c>
      <c r="K34" s="18"/>
      <c r="L34" s="18"/>
      <c r="M34" s="18"/>
      <c r="N34" s="10" t="str">
        <f t="shared" si="0"/>
        <v>Unique</v>
      </c>
    </row>
    <row r="35" spans="1:14" customFormat="1" ht="27.65" customHeight="1" thickBot="1" x14ac:dyDescent="0.4">
      <c r="A35" s="11">
        <v>46253.375</v>
      </c>
      <c r="B35" s="8" t="s">
        <v>31</v>
      </c>
      <c r="C35" s="8" t="s">
        <v>7</v>
      </c>
      <c r="D35" s="8">
        <v>5</v>
      </c>
      <c r="E35" s="8">
        <v>682</v>
      </c>
      <c r="F35" s="4">
        <v>15.2027027</v>
      </c>
      <c r="G35" s="2" t="s">
        <v>94</v>
      </c>
      <c r="H35" s="5">
        <v>592</v>
      </c>
      <c r="I35" s="1" t="s">
        <v>8</v>
      </c>
      <c r="J35" s="24" t="s">
        <v>118</v>
      </c>
      <c r="K35" s="18" t="s">
        <v>144</v>
      </c>
      <c r="L35" s="18"/>
      <c r="M35" s="18"/>
      <c r="N35" s="10" t="str">
        <f t="shared" si="0"/>
        <v>Unique</v>
      </c>
    </row>
    <row r="36" spans="1:14" customFormat="1" ht="27.65" customHeight="1" thickBot="1" x14ac:dyDescent="0.4">
      <c r="A36" s="8" t="s">
        <v>62</v>
      </c>
      <c r="B36" s="8" t="s">
        <v>133</v>
      </c>
      <c r="C36" s="8" t="s">
        <v>7</v>
      </c>
      <c r="D36" s="8">
        <v>150</v>
      </c>
      <c r="E36" s="12">
        <v>129.9</v>
      </c>
      <c r="F36" s="4">
        <v>14.85411141</v>
      </c>
      <c r="G36" s="2" t="s">
        <v>134</v>
      </c>
      <c r="H36" s="5">
        <v>113.1</v>
      </c>
      <c r="I36" s="1" t="s">
        <v>8</v>
      </c>
      <c r="J36" s="21"/>
      <c r="K36" s="18"/>
      <c r="L36" s="18"/>
      <c r="M36" s="18"/>
      <c r="N36" s="10" t="str">
        <f t="shared" si="0"/>
        <v>Unique</v>
      </c>
    </row>
    <row r="37" spans="1:14" customFormat="1" ht="15" customHeight="1" thickBot="1" x14ac:dyDescent="0.4">
      <c r="A37" s="8" t="s">
        <v>62</v>
      </c>
      <c r="B37" s="8" t="s">
        <v>128</v>
      </c>
      <c r="C37" s="8" t="s">
        <v>7</v>
      </c>
      <c r="D37" s="8">
        <v>150</v>
      </c>
      <c r="E37" s="12">
        <v>136</v>
      </c>
      <c r="F37" s="4">
        <v>14.67116358</v>
      </c>
      <c r="G37" s="2" t="s">
        <v>129</v>
      </c>
      <c r="H37" s="5">
        <v>118.6</v>
      </c>
      <c r="I37" s="1" t="s">
        <v>8</v>
      </c>
      <c r="J37" s="21"/>
      <c r="K37" s="18"/>
      <c r="L37" s="18"/>
      <c r="M37" s="18"/>
      <c r="N37" s="10" t="str">
        <f t="shared" si="0"/>
        <v>Unique</v>
      </c>
    </row>
    <row r="38" spans="1:14" customFormat="1" ht="27.65" customHeight="1" thickBot="1" x14ac:dyDescent="0.4">
      <c r="A38" s="8" t="s">
        <v>62</v>
      </c>
      <c r="B38" s="8" t="s">
        <v>28</v>
      </c>
      <c r="C38" s="8" t="s">
        <v>7</v>
      </c>
      <c r="D38" s="8">
        <v>30</v>
      </c>
      <c r="E38" s="13">
        <v>974</v>
      </c>
      <c r="F38" s="4">
        <v>14.64218456</v>
      </c>
      <c r="G38" s="2" t="s">
        <v>125</v>
      </c>
      <c r="H38" s="5">
        <v>849.6</v>
      </c>
      <c r="I38" s="1" t="s">
        <v>8</v>
      </c>
      <c r="J38" s="21"/>
      <c r="K38" s="18"/>
      <c r="L38" s="18"/>
      <c r="M38" s="18"/>
      <c r="N38" s="10" t="str">
        <f t="shared" si="0"/>
        <v>Unique</v>
      </c>
    </row>
    <row r="39" spans="1:14" customFormat="1" ht="15" customHeight="1" thickBot="1" x14ac:dyDescent="0.4">
      <c r="A39" s="8" t="s">
        <v>62</v>
      </c>
      <c r="B39" s="8" t="s">
        <v>6</v>
      </c>
      <c r="C39" s="8" t="s">
        <v>7</v>
      </c>
      <c r="D39" s="8">
        <v>100</v>
      </c>
      <c r="E39" s="8">
        <v>310.5</v>
      </c>
      <c r="F39" s="4">
        <v>14.6179402</v>
      </c>
      <c r="G39" s="2" t="s">
        <v>130</v>
      </c>
      <c r="H39" s="5">
        <v>270.89999999999998</v>
      </c>
      <c r="I39" s="1" t="s">
        <v>8</v>
      </c>
      <c r="J39" s="21" t="s">
        <v>118</v>
      </c>
      <c r="K39" s="18"/>
      <c r="L39" s="18"/>
      <c r="M39" s="18"/>
      <c r="N39" s="10" t="str">
        <f t="shared" si="0"/>
        <v>Unique</v>
      </c>
    </row>
    <row r="40" spans="1:14" customFormat="1" ht="27.65" customHeight="1" thickBot="1" x14ac:dyDescent="0.4">
      <c r="A40" s="3">
        <v>46259.388194444444</v>
      </c>
      <c r="B40" s="1" t="s">
        <v>13</v>
      </c>
      <c r="C40" s="1" t="s">
        <v>7</v>
      </c>
      <c r="D40" s="4">
        <v>20</v>
      </c>
      <c r="E40" s="4">
        <v>1948</v>
      </c>
      <c r="F40" s="4">
        <v>14.41997063</v>
      </c>
      <c r="G40" s="2" t="s">
        <v>91</v>
      </c>
      <c r="H40" s="5">
        <v>1702.5</v>
      </c>
      <c r="I40" s="1" t="s">
        <v>8</v>
      </c>
      <c r="J40" s="24" t="s">
        <v>117</v>
      </c>
      <c r="K40" s="18" t="s">
        <v>165</v>
      </c>
      <c r="L40" s="18">
        <v>38020</v>
      </c>
      <c r="M40" s="18">
        <f>ABS((D40*E40)-L40)</f>
        <v>940</v>
      </c>
      <c r="N40" s="10" t="str">
        <f t="shared" si="0"/>
        <v>Unique</v>
      </c>
    </row>
    <row r="41" spans="1:14" customFormat="1" ht="27.65" customHeight="1" thickBot="1" x14ac:dyDescent="0.4">
      <c r="A41" s="8" t="s">
        <v>62</v>
      </c>
      <c r="B41" s="8" t="s">
        <v>63</v>
      </c>
      <c r="C41" s="8" t="s">
        <v>7</v>
      </c>
      <c r="D41" s="8">
        <v>11</v>
      </c>
      <c r="E41" s="12">
        <v>1170</v>
      </c>
      <c r="F41" s="4">
        <v>14.3136297</v>
      </c>
      <c r="G41" s="2" t="s">
        <v>64</v>
      </c>
      <c r="H41" s="5">
        <v>1023.5</v>
      </c>
      <c r="I41" s="1" t="s">
        <v>8</v>
      </c>
      <c r="J41" s="21"/>
      <c r="K41" s="18"/>
      <c r="L41" s="18"/>
      <c r="M41" s="18"/>
      <c r="N41" s="10" t="str">
        <f t="shared" si="0"/>
        <v>Unique</v>
      </c>
    </row>
    <row r="42" spans="1:14" customFormat="1" ht="27.65" customHeight="1" thickBot="1" x14ac:dyDescent="0.4">
      <c r="A42" s="8" t="s">
        <v>62</v>
      </c>
      <c r="B42" s="8" t="s">
        <v>35</v>
      </c>
      <c r="C42" s="8" t="s">
        <v>7</v>
      </c>
      <c r="D42" s="8">
        <v>200</v>
      </c>
      <c r="E42" s="8">
        <v>239</v>
      </c>
      <c r="F42" s="4">
        <v>14.081145579999999</v>
      </c>
      <c r="G42" s="2" t="s">
        <v>42</v>
      </c>
      <c r="H42" s="5">
        <v>209.5</v>
      </c>
      <c r="I42" s="1" t="s">
        <v>8</v>
      </c>
      <c r="J42" s="21"/>
      <c r="K42" s="18"/>
      <c r="L42" s="18"/>
      <c r="M42" s="18"/>
      <c r="N42" s="10" t="str">
        <f t="shared" si="0"/>
        <v>Unique</v>
      </c>
    </row>
    <row r="43" spans="1:14" customFormat="1" ht="27.65" customHeight="1" thickBot="1" x14ac:dyDescent="0.4">
      <c r="A43" s="8" t="s">
        <v>62</v>
      </c>
      <c r="B43" s="8" t="s">
        <v>14</v>
      </c>
      <c r="C43" s="8" t="s">
        <v>7</v>
      </c>
      <c r="D43" s="8">
        <v>17</v>
      </c>
      <c r="E43" s="8">
        <v>373</v>
      </c>
      <c r="F43" s="4">
        <v>14.067278290000001</v>
      </c>
      <c r="G43" s="2" t="s">
        <v>45</v>
      </c>
      <c r="H43" s="5">
        <v>327</v>
      </c>
      <c r="I43" s="1" t="s">
        <v>8</v>
      </c>
      <c r="J43" s="21"/>
      <c r="K43" s="18"/>
      <c r="L43" s="18"/>
      <c r="M43" s="18"/>
      <c r="N43" s="10" t="str">
        <f t="shared" si="0"/>
        <v>Unique</v>
      </c>
    </row>
    <row r="44" spans="1:14" customFormat="1" ht="15" customHeight="1" thickBot="1" x14ac:dyDescent="0.4">
      <c r="A44" s="8" t="s">
        <v>62</v>
      </c>
      <c r="B44" s="8" t="s">
        <v>14</v>
      </c>
      <c r="C44" s="8" t="s">
        <v>7</v>
      </c>
      <c r="D44" s="8">
        <v>50</v>
      </c>
      <c r="E44" s="12">
        <v>373</v>
      </c>
      <c r="F44" s="4">
        <v>14.067278290000001</v>
      </c>
      <c r="G44" s="2" t="s">
        <v>45</v>
      </c>
      <c r="H44" s="5">
        <v>327</v>
      </c>
      <c r="I44" s="1" t="s">
        <v>8</v>
      </c>
      <c r="J44" s="21" t="s">
        <v>118</v>
      </c>
      <c r="K44" s="18"/>
      <c r="L44" s="18"/>
      <c r="M44" s="18"/>
      <c r="N44" s="10" t="str">
        <f t="shared" si="0"/>
        <v>Unique</v>
      </c>
    </row>
    <row r="45" spans="1:14" customFormat="1" ht="27.65" customHeight="1" thickBot="1" x14ac:dyDescent="0.4">
      <c r="A45" s="11">
        <v>46252.635416666664</v>
      </c>
      <c r="B45" s="8" t="s">
        <v>35</v>
      </c>
      <c r="C45" s="8" t="s">
        <v>7</v>
      </c>
      <c r="D45" s="8">
        <v>120</v>
      </c>
      <c r="E45" s="8">
        <v>238.2</v>
      </c>
      <c r="F45" s="4">
        <v>13.69928401</v>
      </c>
      <c r="G45" s="2" t="s">
        <v>42</v>
      </c>
      <c r="H45" s="5">
        <v>209.5</v>
      </c>
      <c r="I45" s="1" t="s">
        <v>8</v>
      </c>
      <c r="J45" s="21" t="s">
        <v>118</v>
      </c>
      <c r="K45" s="18" t="s">
        <v>146</v>
      </c>
      <c r="L45" s="18"/>
      <c r="M45" s="18"/>
      <c r="N45" s="10" t="str">
        <f t="shared" si="0"/>
        <v>Unique</v>
      </c>
    </row>
    <row r="46" spans="1:14" customFormat="1" ht="27.65" customHeight="1" thickBot="1" x14ac:dyDescent="0.4">
      <c r="A46" s="3">
        <v>46260.425694444442</v>
      </c>
      <c r="B46" s="1" t="s">
        <v>13</v>
      </c>
      <c r="C46" s="1" t="s">
        <v>7</v>
      </c>
      <c r="D46" s="4">
        <v>20</v>
      </c>
      <c r="E46" s="4">
        <v>1924</v>
      </c>
      <c r="F46" s="4">
        <v>13.010279000000001</v>
      </c>
      <c r="G46" s="2" t="s">
        <v>91</v>
      </c>
      <c r="H46" s="5">
        <v>1702.5</v>
      </c>
      <c r="I46" s="1" t="s">
        <v>8</v>
      </c>
      <c r="J46" s="24" t="s">
        <v>118</v>
      </c>
      <c r="K46" s="18" t="s">
        <v>172</v>
      </c>
      <c r="L46" s="18">
        <v>37480</v>
      </c>
      <c r="M46" s="18">
        <f>ABS((D46*E46)-L46)</f>
        <v>1000</v>
      </c>
      <c r="N46" t="str">
        <f t="shared" si="0"/>
        <v>Unique</v>
      </c>
    </row>
    <row r="47" spans="1:14" customFormat="1" ht="27.65" customHeight="1" thickBot="1" x14ac:dyDescent="0.4">
      <c r="A47" s="3">
        <v>46260.557638888888</v>
      </c>
      <c r="B47" s="1" t="s">
        <v>16</v>
      </c>
      <c r="C47" s="1" t="s">
        <v>7</v>
      </c>
      <c r="D47" s="4">
        <v>5</v>
      </c>
      <c r="E47" s="4">
        <v>971</v>
      </c>
      <c r="F47" s="4">
        <v>12.736561010000001</v>
      </c>
      <c r="G47" s="2" t="s">
        <v>61</v>
      </c>
      <c r="H47" s="5">
        <v>861.3</v>
      </c>
      <c r="I47" s="1" t="s">
        <v>8</v>
      </c>
      <c r="J47" s="24" t="s">
        <v>118</v>
      </c>
      <c r="K47" s="18" t="s">
        <v>167</v>
      </c>
      <c r="L47" s="18">
        <v>4605</v>
      </c>
      <c r="M47" s="18">
        <f>ABS((D47*E47)-L47)</f>
        <v>250</v>
      </c>
      <c r="N47" t="str">
        <f t="shared" si="0"/>
        <v>Unique</v>
      </c>
    </row>
    <row r="48" spans="1:14" customFormat="1" ht="15" customHeight="1" thickBot="1" x14ac:dyDescent="0.4">
      <c r="A48" s="3">
        <v>46260.550694444442</v>
      </c>
      <c r="B48" s="1" t="s">
        <v>103</v>
      </c>
      <c r="C48" s="1" t="s">
        <v>7</v>
      </c>
      <c r="D48" s="4">
        <v>2</v>
      </c>
      <c r="E48" s="4">
        <v>2787.9</v>
      </c>
      <c r="F48" s="4">
        <v>12.68795473</v>
      </c>
      <c r="G48" s="2" t="s">
        <v>104</v>
      </c>
      <c r="H48" s="5">
        <v>2474</v>
      </c>
      <c r="I48" s="1" t="s">
        <v>8</v>
      </c>
      <c r="J48" s="24" t="s">
        <v>118</v>
      </c>
      <c r="K48" s="18" t="s">
        <v>170</v>
      </c>
      <c r="L48" s="18">
        <v>5275.8</v>
      </c>
      <c r="M48" s="18">
        <f>ABS((D48*E48)-L48)</f>
        <v>300</v>
      </c>
      <c r="N48" t="str">
        <f t="shared" si="0"/>
        <v>Unique</v>
      </c>
    </row>
    <row r="49" spans="1:14" customFormat="1" ht="27.65" customHeight="1" thickBot="1" x14ac:dyDescent="0.4">
      <c r="A49" s="3">
        <v>46258.629861111112</v>
      </c>
      <c r="B49" s="1" t="s">
        <v>17</v>
      </c>
      <c r="C49" s="1" t="s">
        <v>7</v>
      </c>
      <c r="D49" s="4">
        <v>25</v>
      </c>
      <c r="E49" s="4">
        <v>392.5</v>
      </c>
      <c r="F49" s="4">
        <v>12.303290410000001</v>
      </c>
      <c r="G49" s="2" t="s">
        <v>77</v>
      </c>
      <c r="H49" s="5">
        <v>349.5</v>
      </c>
      <c r="I49" s="1" t="s">
        <v>8</v>
      </c>
      <c r="J49" s="24" t="s">
        <v>118</v>
      </c>
      <c r="K49" s="18" t="s">
        <v>157</v>
      </c>
      <c r="L49" s="18">
        <v>9312.5</v>
      </c>
      <c r="M49" s="18">
        <f>ABS((D49*E49)-L49)</f>
        <v>500</v>
      </c>
      <c r="N49" s="10" t="str">
        <f t="shared" si="0"/>
        <v>Unique</v>
      </c>
    </row>
    <row r="50" spans="1:14" customFormat="1" ht="27.65" customHeight="1" thickBot="1" x14ac:dyDescent="0.4">
      <c r="A50" s="8" t="s">
        <v>62</v>
      </c>
      <c r="B50" s="8" t="s">
        <v>74</v>
      </c>
      <c r="C50" s="8" t="s">
        <v>7</v>
      </c>
      <c r="D50" s="8">
        <v>1</v>
      </c>
      <c r="E50" s="8">
        <v>3710</v>
      </c>
      <c r="F50" s="4">
        <v>12.21681135</v>
      </c>
      <c r="G50" s="2" t="s">
        <v>75</v>
      </c>
      <c r="H50" s="5">
        <v>3306.1</v>
      </c>
      <c r="I50" s="1" t="s">
        <v>8</v>
      </c>
      <c r="J50" s="21" t="s">
        <v>118</v>
      </c>
      <c r="K50" s="18"/>
      <c r="L50" s="18"/>
      <c r="M50" s="18"/>
      <c r="N50" s="10" t="str">
        <f t="shared" si="0"/>
        <v>Unique</v>
      </c>
    </row>
    <row r="51" spans="1:14" customFormat="1" ht="27.65" customHeight="1" thickBot="1" x14ac:dyDescent="0.4">
      <c r="A51" s="11">
        <v>46252.635416666664</v>
      </c>
      <c r="B51" s="8" t="s">
        <v>35</v>
      </c>
      <c r="C51" s="8" t="s">
        <v>7</v>
      </c>
      <c r="D51" s="8">
        <v>200</v>
      </c>
      <c r="E51" s="8">
        <v>235</v>
      </c>
      <c r="F51" s="4">
        <v>12.17183771</v>
      </c>
      <c r="G51" s="2" t="s">
        <v>42</v>
      </c>
      <c r="H51" s="5">
        <v>209.5</v>
      </c>
      <c r="I51" s="1" t="s">
        <v>8</v>
      </c>
      <c r="J51" s="45" t="s">
        <v>55</v>
      </c>
      <c r="K51" s="18"/>
      <c r="L51" s="18"/>
      <c r="M51" s="18"/>
      <c r="N51" s="10" t="str">
        <f t="shared" si="0"/>
        <v>Unique</v>
      </c>
    </row>
    <row r="52" spans="1:14" customFormat="1" ht="27.65" customHeight="1" thickBot="1" x14ac:dyDescent="0.4">
      <c r="A52" s="11">
        <v>46252.688194444447</v>
      </c>
      <c r="B52" s="8" t="s">
        <v>14</v>
      </c>
      <c r="C52" s="8" t="s">
        <v>7</v>
      </c>
      <c r="D52" s="8">
        <v>50</v>
      </c>
      <c r="E52" s="8">
        <v>365</v>
      </c>
      <c r="F52" s="4">
        <v>11.62079511</v>
      </c>
      <c r="G52" s="2" t="s">
        <v>45</v>
      </c>
      <c r="H52" s="5">
        <v>327</v>
      </c>
      <c r="I52" s="1" t="s">
        <v>8</v>
      </c>
      <c r="J52" s="21" t="s">
        <v>118</v>
      </c>
      <c r="K52" s="18"/>
      <c r="L52" s="18"/>
      <c r="M52" s="18"/>
      <c r="N52" s="10" t="str">
        <f t="shared" si="0"/>
        <v>Unique</v>
      </c>
    </row>
    <row r="53" spans="1:14" customFormat="1" ht="27.65" customHeight="1" thickBot="1" x14ac:dyDescent="0.4">
      <c r="A53" s="3">
        <v>46265.375694444447</v>
      </c>
      <c r="B53" s="1" t="s">
        <v>16</v>
      </c>
      <c r="C53" s="1" t="s">
        <v>7</v>
      </c>
      <c r="D53" s="4">
        <v>5</v>
      </c>
      <c r="E53" s="4">
        <v>961</v>
      </c>
      <c r="F53" s="4">
        <v>11.575525369999999</v>
      </c>
      <c r="G53" s="2" t="s">
        <v>61</v>
      </c>
      <c r="H53" s="5">
        <v>861.3</v>
      </c>
      <c r="I53" s="1" t="s">
        <v>8</v>
      </c>
      <c r="J53" s="24" t="s">
        <v>41</v>
      </c>
      <c r="K53" s="18" t="s">
        <v>210</v>
      </c>
      <c r="L53" s="18">
        <v>4530</v>
      </c>
      <c r="M53" s="18">
        <f>ABS((D53*E53)-L53)</f>
        <v>275</v>
      </c>
      <c r="N53" t="str">
        <f t="shared" si="0"/>
        <v>Unique</v>
      </c>
    </row>
    <row r="54" spans="1:14" customFormat="1" ht="27.65" customHeight="1" thickBot="1" x14ac:dyDescent="0.4">
      <c r="A54" s="8" t="s">
        <v>62</v>
      </c>
      <c r="B54" s="8" t="s">
        <v>135</v>
      </c>
      <c r="C54" s="8" t="s">
        <v>7</v>
      </c>
      <c r="D54" s="8">
        <v>5</v>
      </c>
      <c r="E54" s="8">
        <v>2190</v>
      </c>
      <c r="F54" s="4">
        <v>11.575300589999999</v>
      </c>
      <c r="G54" s="2" t="s">
        <v>136</v>
      </c>
      <c r="H54" s="5">
        <v>1962.8</v>
      </c>
      <c r="I54" s="1" t="s">
        <v>8</v>
      </c>
      <c r="J54" s="21" t="s">
        <v>118</v>
      </c>
      <c r="K54" s="18"/>
      <c r="L54" s="18"/>
      <c r="M54" s="18"/>
      <c r="N54" s="10" t="str">
        <f t="shared" si="0"/>
        <v>Unique</v>
      </c>
    </row>
    <row r="55" spans="1:14" customFormat="1" ht="27.65" customHeight="1" thickBot="1" x14ac:dyDescent="0.4">
      <c r="A55" s="8" t="s">
        <v>62</v>
      </c>
      <c r="B55" s="8" t="s">
        <v>123</v>
      </c>
      <c r="C55" s="8" t="s">
        <v>7</v>
      </c>
      <c r="D55" s="8">
        <v>200</v>
      </c>
      <c r="E55" s="8">
        <v>91.75</v>
      </c>
      <c r="F55" s="4">
        <v>10.94316808</v>
      </c>
      <c r="G55" s="2" t="s">
        <v>124</v>
      </c>
      <c r="H55" s="5">
        <v>82.7</v>
      </c>
      <c r="I55" s="1" t="s">
        <v>8</v>
      </c>
      <c r="J55" s="21"/>
      <c r="K55" s="18"/>
      <c r="L55" s="18"/>
      <c r="M55" s="18"/>
      <c r="N55" s="10" t="str">
        <f t="shared" si="0"/>
        <v>Unique</v>
      </c>
    </row>
    <row r="56" spans="1:14" customFormat="1" ht="27.65" customHeight="1" thickBot="1" x14ac:dyDescent="0.4">
      <c r="A56" s="8" t="s">
        <v>62</v>
      </c>
      <c r="B56" s="8" t="s">
        <v>6</v>
      </c>
      <c r="C56" s="8" t="s">
        <v>7</v>
      </c>
      <c r="D56" s="8">
        <v>120</v>
      </c>
      <c r="E56" s="8">
        <v>300.5</v>
      </c>
      <c r="F56" s="4">
        <v>10.926541159999999</v>
      </c>
      <c r="G56" s="2" t="s">
        <v>130</v>
      </c>
      <c r="H56" s="5">
        <v>270.89999999999998</v>
      </c>
      <c r="I56" s="1" t="s">
        <v>8</v>
      </c>
      <c r="J56" s="21" t="s">
        <v>118</v>
      </c>
      <c r="K56" s="18"/>
      <c r="L56" s="18"/>
      <c r="M56" s="18"/>
      <c r="N56" s="10" t="str">
        <f t="shared" si="0"/>
        <v>Unique</v>
      </c>
    </row>
    <row r="57" spans="1:14" customFormat="1" ht="27.65" customHeight="1" thickBot="1" x14ac:dyDescent="0.4">
      <c r="A57" s="3">
        <v>46260.375</v>
      </c>
      <c r="B57" s="1" t="s">
        <v>87</v>
      </c>
      <c r="C57" s="1" t="s">
        <v>7</v>
      </c>
      <c r="D57" s="4">
        <v>10</v>
      </c>
      <c r="E57" s="4">
        <v>1390</v>
      </c>
      <c r="F57" s="4">
        <v>10.75697211</v>
      </c>
      <c r="G57" s="2" t="s">
        <v>88</v>
      </c>
      <c r="H57" s="5">
        <v>1255</v>
      </c>
      <c r="I57" s="1" t="s">
        <v>8</v>
      </c>
      <c r="J57" s="24" t="s">
        <v>117</v>
      </c>
      <c r="K57" s="18" t="s">
        <v>176</v>
      </c>
      <c r="L57" s="18">
        <v>13600</v>
      </c>
      <c r="M57" s="18">
        <f>ABS((D57*E57)-L57)</f>
        <v>300</v>
      </c>
      <c r="N57" t="str">
        <f t="shared" si="0"/>
        <v>Unique</v>
      </c>
    </row>
    <row r="58" spans="1:14" customFormat="1" ht="27.65" customHeight="1" thickBot="1" x14ac:dyDescent="0.4">
      <c r="A58" s="11">
        <v>46252.645138888889</v>
      </c>
      <c r="B58" s="8" t="s">
        <v>35</v>
      </c>
      <c r="C58" s="8" t="s">
        <v>7</v>
      </c>
      <c r="D58" s="8">
        <v>200</v>
      </c>
      <c r="E58" s="8">
        <v>232</v>
      </c>
      <c r="F58" s="4">
        <v>10.7398568</v>
      </c>
      <c r="G58" s="2" t="s">
        <v>42</v>
      </c>
      <c r="H58" s="5">
        <v>209.5</v>
      </c>
      <c r="I58" s="1" t="s">
        <v>8</v>
      </c>
      <c r="J58" s="23" t="s">
        <v>117</v>
      </c>
      <c r="K58" s="18"/>
      <c r="L58" s="18"/>
      <c r="M58" s="18"/>
      <c r="N58" s="10" t="str">
        <f t="shared" si="0"/>
        <v>Unique</v>
      </c>
    </row>
    <row r="59" spans="1:14" ht="40.75" customHeight="1" thickBot="1" x14ac:dyDescent="0.4">
      <c r="A59" s="8" t="s">
        <v>62</v>
      </c>
      <c r="B59" s="8" t="s">
        <v>51</v>
      </c>
      <c r="C59" s="8" t="s">
        <v>7</v>
      </c>
      <c r="D59" s="8">
        <v>10</v>
      </c>
      <c r="E59" s="13">
        <v>1024</v>
      </c>
      <c r="F59" s="4">
        <v>10.4579041</v>
      </c>
      <c r="G59" s="2" t="s">
        <v>52</v>
      </c>
      <c r="H59" s="5">
        <v>927.05</v>
      </c>
      <c r="I59" s="1" t="s">
        <v>8</v>
      </c>
      <c r="J59" s="21" t="s">
        <v>118</v>
      </c>
      <c r="N59" s="10" t="str">
        <f t="shared" si="0"/>
        <v>Unique</v>
      </c>
    </row>
    <row r="60" spans="1:14" ht="40.75" customHeight="1" thickBot="1" x14ac:dyDescent="0.4">
      <c r="A60" s="8" t="s">
        <v>62</v>
      </c>
      <c r="B60" s="8" t="s">
        <v>26</v>
      </c>
      <c r="C60" s="8" t="s">
        <v>7</v>
      </c>
      <c r="D60" s="8">
        <v>25</v>
      </c>
      <c r="E60" s="8">
        <v>199.9</v>
      </c>
      <c r="F60" s="4">
        <v>10.441988950000001</v>
      </c>
      <c r="G60" s="2" t="s">
        <v>132</v>
      </c>
      <c r="H60" s="5">
        <v>181</v>
      </c>
      <c r="I60" s="1" t="s">
        <v>8</v>
      </c>
      <c r="J60" s="21" t="s">
        <v>117</v>
      </c>
      <c r="N60" s="10" t="str">
        <f t="shared" si="0"/>
        <v>Unique</v>
      </c>
    </row>
    <row r="61" spans="1:14" ht="16.25" customHeight="1" thickBot="1" x14ac:dyDescent="0.4">
      <c r="A61" s="11">
        <v>46252.688194444447</v>
      </c>
      <c r="B61" s="8" t="s">
        <v>14</v>
      </c>
      <c r="C61" s="8" t="s">
        <v>7</v>
      </c>
      <c r="D61" s="8">
        <v>50</v>
      </c>
      <c r="E61" s="8">
        <v>361</v>
      </c>
      <c r="F61" s="4">
        <v>10.397553520000001</v>
      </c>
      <c r="G61" s="2" t="s">
        <v>45</v>
      </c>
      <c r="H61" s="5">
        <v>327</v>
      </c>
      <c r="I61" s="1" t="s">
        <v>8</v>
      </c>
      <c r="J61" s="21"/>
      <c r="N61" s="10" t="str">
        <f t="shared" si="0"/>
        <v>Unique</v>
      </c>
    </row>
    <row r="62" spans="1:14" ht="40.75" customHeight="1" thickBot="1" x14ac:dyDescent="0.4">
      <c r="A62" s="3">
        <v>46265.415277777778</v>
      </c>
      <c r="B62" s="1" t="s">
        <v>16</v>
      </c>
      <c r="C62" s="1" t="s">
        <v>7</v>
      </c>
      <c r="D62" s="4">
        <v>5</v>
      </c>
      <c r="E62" s="4">
        <v>948</v>
      </c>
      <c r="F62" s="4">
        <v>10.066179030000001</v>
      </c>
      <c r="G62" s="2" t="s">
        <v>61</v>
      </c>
      <c r="H62" s="5">
        <v>861.3</v>
      </c>
      <c r="I62" s="1" t="s">
        <v>8</v>
      </c>
      <c r="J62" s="24" t="s">
        <v>118</v>
      </c>
      <c r="K62" s="18" t="s">
        <v>204</v>
      </c>
      <c r="L62" s="18">
        <v>4455</v>
      </c>
      <c r="M62" s="18">
        <f>ABS((D62*E62)-L62)</f>
        <v>285</v>
      </c>
      <c r="N62" t="str">
        <f t="shared" si="0"/>
        <v>Unique</v>
      </c>
    </row>
    <row r="63" spans="1:14" ht="15" customHeight="1" thickBot="1" x14ac:dyDescent="0.4">
      <c r="A63" s="3">
        <v>46266.375</v>
      </c>
      <c r="B63" s="1" t="s">
        <v>16</v>
      </c>
      <c r="C63" s="1" t="s">
        <v>7</v>
      </c>
      <c r="D63" s="4">
        <v>11</v>
      </c>
      <c r="E63" s="4">
        <v>948</v>
      </c>
      <c r="F63" s="4">
        <v>10.066179030000001</v>
      </c>
      <c r="G63" s="2" t="s">
        <v>61</v>
      </c>
      <c r="H63" s="5">
        <v>861.3</v>
      </c>
      <c r="I63" s="1" t="s">
        <v>8</v>
      </c>
      <c r="J63" s="24" t="s">
        <v>117</v>
      </c>
      <c r="K63" s="18" t="s">
        <v>225</v>
      </c>
      <c r="L63" s="18">
        <v>9702</v>
      </c>
      <c r="M63" s="18">
        <f>ABS((D63*E63)-L63)</f>
        <v>726</v>
      </c>
      <c r="N63" s="10" t="str">
        <f t="shared" si="0"/>
        <v>Unique</v>
      </c>
    </row>
    <row r="64" spans="1:14" ht="27.65" customHeight="1" thickBot="1" x14ac:dyDescent="0.4">
      <c r="A64" s="8" t="s">
        <v>62</v>
      </c>
      <c r="B64" s="8" t="s">
        <v>74</v>
      </c>
      <c r="C64" s="8" t="s">
        <v>7</v>
      </c>
      <c r="D64" s="8">
        <v>5</v>
      </c>
      <c r="E64" s="8">
        <v>3633</v>
      </c>
      <c r="F64" s="4">
        <v>9.8877831890000003</v>
      </c>
      <c r="G64" s="2" t="s">
        <v>75</v>
      </c>
      <c r="H64" s="5">
        <v>3306.1</v>
      </c>
      <c r="I64" s="1" t="s">
        <v>8</v>
      </c>
      <c r="J64" s="21"/>
      <c r="N64" s="10" t="str">
        <f t="shared" si="0"/>
        <v>Unique</v>
      </c>
    </row>
    <row r="65" spans="1:14" ht="27.65" customHeight="1" thickBot="1" x14ac:dyDescent="0.4">
      <c r="A65" s="8" t="s">
        <v>62</v>
      </c>
      <c r="B65" s="8" t="s">
        <v>119</v>
      </c>
      <c r="C65" s="8" t="s">
        <v>7</v>
      </c>
      <c r="D65" s="8">
        <v>15</v>
      </c>
      <c r="E65" s="8">
        <v>1090</v>
      </c>
      <c r="F65" s="4">
        <v>9.8236775820000002</v>
      </c>
      <c r="G65" s="2" t="s">
        <v>120</v>
      </c>
      <c r="H65" s="5">
        <v>992.5</v>
      </c>
      <c r="I65" s="1" t="s">
        <v>8</v>
      </c>
      <c r="J65" s="21"/>
      <c r="N65" s="10" t="str">
        <f t="shared" si="0"/>
        <v>Unique</v>
      </c>
    </row>
    <row r="66" spans="1:14" ht="40.75" customHeight="1" thickBot="1" x14ac:dyDescent="0.4">
      <c r="A66" s="8" t="s">
        <v>62</v>
      </c>
      <c r="B66" s="8" t="s">
        <v>123</v>
      </c>
      <c r="C66" s="8" t="s">
        <v>7</v>
      </c>
      <c r="D66" s="8">
        <v>200</v>
      </c>
      <c r="E66" s="8">
        <v>90.75</v>
      </c>
      <c r="F66" s="4">
        <v>9.7339782350000004</v>
      </c>
      <c r="G66" s="2" t="s">
        <v>124</v>
      </c>
      <c r="H66" s="5">
        <v>82.7</v>
      </c>
      <c r="I66" s="1" t="s">
        <v>8</v>
      </c>
      <c r="J66" s="21" t="s">
        <v>55</v>
      </c>
      <c r="N66" s="10" t="str">
        <f t="shared" ref="N66:N129" si="1">IF(COUNTIFS( $B$2:$B$797, B66, $C$2:$C$797, C66, $D$2:$D$797, D66, $E$2:$E$797, E66) &gt; 1, "Duplicate", "Unique")</f>
        <v>Unique</v>
      </c>
    </row>
    <row r="67" spans="1:14" ht="40.75" customHeight="1" thickBot="1" x14ac:dyDescent="0.4">
      <c r="A67" s="39">
        <v>46255</v>
      </c>
      <c r="B67" s="37" t="s">
        <v>19</v>
      </c>
      <c r="C67" s="37" t="s">
        <v>7</v>
      </c>
      <c r="D67" s="38">
        <v>20</v>
      </c>
      <c r="E67" s="38">
        <v>241</v>
      </c>
      <c r="F67" s="4">
        <v>9.7000318629999995</v>
      </c>
      <c r="G67" s="2" t="s">
        <v>40</v>
      </c>
      <c r="H67" s="5">
        <v>219.69</v>
      </c>
      <c r="I67" s="1" t="s">
        <v>8</v>
      </c>
      <c r="J67" s="32" t="s">
        <v>118</v>
      </c>
      <c r="K67" s="33" t="s">
        <v>152</v>
      </c>
      <c r="L67" s="33">
        <v>4680</v>
      </c>
      <c r="M67" s="33">
        <f>ABS((D67*E67)-L67)</f>
        <v>140</v>
      </c>
      <c r="N67" s="35" t="str">
        <f t="shared" si="1"/>
        <v>Duplicate</v>
      </c>
    </row>
    <row r="68" spans="1:14" ht="27.65" customHeight="1" thickBot="1" x14ac:dyDescent="0.4">
      <c r="A68" s="36">
        <v>46261.385416666664</v>
      </c>
      <c r="B68" s="37" t="s">
        <v>19</v>
      </c>
      <c r="C68" s="37" t="s">
        <v>7</v>
      </c>
      <c r="D68" s="38">
        <v>20</v>
      </c>
      <c r="E68" s="38">
        <v>241</v>
      </c>
      <c r="F68" s="4">
        <v>9.7000318629999995</v>
      </c>
      <c r="G68" s="2" t="s">
        <v>40</v>
      </c>
      <c r="H68" s="5">
        <v>219.69</v>
      </c>
      <c r="I68" s="1" t="s">
        <v>8</v>
      </c>
      <c r="J68" s="32" t="s">
        <v>118</v>
      </c>
      <c r="K68" s="33" t="s">
        <v>181</v>
      </c>
      <c r="L68" s="33">
        <v>4520</v>
      </c>
      <c r="M68" s="33">
        <f>ABS((D68*E68)-L68)</f>
        <v>300</v>
      </c>
      <c r="N68" s="35" t="str">
        <f t="shared" si="1"/>
        <v>Duplicate</v>
      </c>
    </row>
    <row r="69" spans="1:14" ht="27.65" customHeight="1" thickBot="1" x14ac:dyDescent="0.4">
      <c r="A69" s="3">
        <v>46267.375</v>
      </c>
      <c r="B69" s="1" t="s">
        <v>31</v>
      </c>
      <c r="C69" s="1" t="s">
        <v>7</v>
      </c>
      <c r="D69" s="4">
        <v>5</v>
      </c>
      <c r="E69" s="4">
        <v>649</v>
      </c>
      <c r="F69" s="4">
        <v>9.6283783780000007</v>
      </c>
      <c r="G69" s="2" t="s">
        <v>94</v>
      </c>
      <c r="H69" s="5">
        <v>592</v>
      </c>
      <c r="I69" s="1" t="s">
        <v>8</v>
      </c>
      <c r="J69" s="24" t="s">
        <v>118</v>
      </c>
      <c r="K69" s="18" t="s">
        <v>245</v>
      </c>
      <c r="L69" s="18">
        <v>3005</v>
      </c>
      <c r="M69" s="18">
        <f>ABS((D69*E69)-L69)</f>
        <v>240</v>
      </c>
      <c r="N69" s="10" t="str">
        <f t="shared" si="1"/>
        <v>Unique</v>
      </c>
    </row>
    <row r="70" spans="1:14" ht="27.65" customHeight="1" thickBot="1" x14ac:dyDescent="0.4">
      <c r="A70" s="3">
        <v>46258.443055555559</v>
      </c>
      <c r="B70" s="1" t="s">
        <v>35</v>
      </c>
      <c r="C70" s="1" t="s">
        <v>7</v>
      </c>
      <c r="D70" s="4">
        <v>50</v>
      </c>
      <c r="E70" s="4">
        <v>229.5</v>
      </c>
      <c r="F70" s="4">
        <v>9.5465393790000004</v>
      </c>
      <c r="G70" s="2" t="s">
        <v>42</v>
      </c>
      <c r="H70" s="5">
        <v>209.5</v>
      </c>
      <c r="I70" s="1" t="s">
        <v>8</v>
      </c>
      <c r="J70" s="24" t="s">
        <v>118</v>
      </c>
      <c r="K70" s="18" t="s">
        <v>159</v>
      </c>
      <c r="L70" s="18">
        <v>11175</v>
      </c>
      <c r="M70" s="18">
        <f>ABS((D70*E70)-L70)</f>
        <v>300</v>
      </c>
      <c r="N70" s="10" t="str">
        <f t="shared" si="1"/>
        <v>Unique</v>
      </c>
    </row>
    <row r="71" spans="1:14" s="25" customFormat="1" ht="27.65" customHeight="1" thickBot="1" x14ac:dyDescent="0.4">
      <c r="A71" s="3">
        <v>46259.375</v>
      </c>
      <c r="B71" s="1" t="s">
        <v>35</v>
      </c>
      <c r="C71" s="1" t="s">
        <v>7</v>
      </c>
      <c r="D71" s="4">
        <v>20</v>
      </c>
      <c r="E71" s="4">
        <v>229.5</v>
      </c>
      <c r="F71" s="4">
        <v>9.5465393790000004</v>
      </c>
      <c r="G71" s="2" t="s">
        <v>42</v>
      </c>
      <c r="H71" s="5">
        <v>209.5</v>
      </c>
      <c r="I71" s="1" t="s">
        <v>8</v>
      </c>
      <c r="J71" s="24" t="s">
        <v>118</v>
      </c>
      <c r="K71" s="18" t="s">
        <v>166</v>
      </c>
      <c r="L71" s="18">
        <v>4402</v>
      </c>
      <c r="M71" s="18">
        <f>ABS((D71*E71)-L71)</f>
        <v>188</v>
      </c>
      <c r="N71" s="10" t="str">
        <f t="shared" si="1"/>
        <v>Unique</v>
      </c>
    </row>
    <row r="72" spans="1:14" ht="27.65" customHeight="1" thickBot="1" x14ac:dyDescent="0.4">
      <c r="A72" s="11">
        <v>46252.6875</v>
      </c>
      <c r="B72" s="8" t="s">
        <v>27</v>
      </c>
      <c r="C72" s="8" t="s">
        <v>7</v>
      </c>
      <c r="D72" s="8">
        <v>2</v>
      </c>
      <c r="E72" s="8">
        <v>3048</v>
      </c>
      <c r="F72" s="4">
        <v>9.4827586210000003</v>
      </c>
      <c r="G72" s="2" t="s">
        <v>131</v>
      </c>
      <c r="H72" s="5">
        <v>2784</v>
      </c>
      <c r="I72" s="1" t="s">
        <v>8</v>
      </c>
      <c r="J72" s="21" t="s">
        <v>41</v>
      </c>
      <c r="N72" s="10" t="str">
        <f t="shared" si="1"/>
        <v>Unique</v>
      </c>
    </row>
    <row r="73" spans="1:14" ht="15" customHeight="1" thickBot="1" x14ac:dyDescent="0.4">
      <c r="A73" s="11">
        <v>46252.688194444447</v>
      </c>
      <c r="B73" s="8" t="s">
        <v>28</v>
      </c>
      <c r="C73" s="8" t="s">
        <v>7</v>
      </c>
      <c r="D73" s="8">
        <v>30</v>
      </c>
      <c r="E73" s="8">
        <v>930</v>
      </c>
      <c r="F73" s="4">
        <v>9.4632768360000004</v>
      </c>
      <c r="G73" s="2" t="s">
        <v>125</v>
      </c>
      <c r="H73" s="5">
        <v>849.6</v>
      </c>
      <c r="I73" s="1" t="s">
        <v>8</v>
      </c>
      <c r="J73" s="21"/>
      <c r="N73" s="10" t="str">
        <f t="shared" si="1"/>
        <v>Unique</v>
      </c>
    </row>
    <row r="74" spans="1:14" ht="27.65" customHeight="1" thickBot="1" x14ac:dyDescent="0.4">
      <c r="A74" s="11">
        <v>46252.688194444447</v>
      </c>
      <c r="B74" s="8" t="s">
        <v>14</v>
      </c>
      <c r="C74" s="8" t="s">
        <v>7</v>
      </c>
      <c r="D74" s="8">
        <v>50</v>
      </c>
      <c r="E74" s="8">
        <v>357</v>
      </c>
      <c r="F74" s="4">
        <v>9.1743119269999998</v>
      </c>
      <c r="G74" s="2" t="s">
        <v>45</v>
      </c>
      <c r="H74" s="5">
        <v>327</v>
      </c>
      <c r="I74" s="1" t="s">
        <v>8</v>
      </c>
      <c r="J74" s="21"/>
      <c r="N74" s="10" t="str">
        <f t="shared" si="1"/>
        <v>Unique</v>
      </c>
    </row>
    <row r="75" spans="1:14" ht="27.65" customHeight="1" thickBot="1" x14ac:dyDescent="0.4">
      <c r="A75" s="8" t="s">
        <v>62</v>
      </c>
      <c r="B75" s="8" t="s">
        <v>133</v>
      </c>
      <c r="C75" s="8" t="s">
        <v>7</v>
      </c>
      <c r="D75" s="8">
        <v>150</v>
      </c>
      <c r="E75" s="8">
        <v>123.4</v>
      </c>
      <c r="F75" s="4">
        <v>9.1069849690000009</v>
      </c>
      <c r="G75" s="2" t="s">
        <v>134</v>
      </c>
      <c r="H75" s="5">
        <v>113.1</v>
      </c>
      <c r="I75" s="1" t="s">
        <v>8</v>
      </c>
      <c r="J75" s="21" t="s">
        <v>117</v>
      </c>
      <c r="N75" s="10" t="str">
        <f t="shared" si="1"/>
        <v>Unique</v>
      </c>
    </row>
    <row r="76" spans="1:14" ht="27.65" customHeight="1" thickBot="1" x14ac:dyDescent="0.4">
      <c r="A76" s="8" t="s">
        <v>62</v>
      </c>
      <c r="B76" s="8" t="s">
        <v>121</v>
      </c>
      <c r="C76" s="8" t="s">
        <v>7</v>
      </c>
      <c r="D76" s="8">
        <v>10</v>
      </c>
      <c r="E76" s="8">
        <v>816</v>
      </c>
      <c r="F76" s="4">
        <v>9.0909090910000003</v>
      </c>
      <c r="G76" s="2" t="s">
        <v>122</v>
      </c>
      <c r="H76" s="5">
        <v>748</v>
      </c>
      <c r="I76" s="1" t="s">
        <v>8</v>
      </c>
      <c r="J76" s="21" t="s">
        <v>117</v>
      </c>
      <c r="N76" s="10" t="str">
        <f t="shared" si="1"/>
        <v>Unique</v>
      </c>
    </row>
    <row r="77" spans="1:14" ht="27.65" customHeight="1" thickBot="1" x14ac:dyDescent="0.4">
      <c r="A77" s="3">
        <v>46262.375</v>
      </c>
      <c r="B77" s="1" t="s">
        <v>59</v>
      </c>
      <c r="C77" s="1" t="s">
        <v>7</v>
      </c>
      <c r="D77" s="4">
        <v>4</v>
      </c>
      <c r="E77" s="4">
        <v>1146</v>
      </c>
      <c r="F77" s="4">
        <v>9.0078949870000002</v>
      </c>
      <c r="G77" s="2" t="s">
        <v>60</v>
      </c>
      <c r="H77" s="5">
        <v>1051.3</v>
      </c>
      <c r="I77" s="1" t="s">
        <v>8</v>
      </c>
      <c r="J77" s="24" t="s">
        <v>117</v>
      </c>
      <c r="K77" s="18" t="s">
        <v>195</v>
      </c>
      <c r="L77" s="18">
        <v>4264</v>
      </c>
      <c r="M77" s="18">
        <f>ABS((D77*E77)-L77)</f>
        <v>320</v>
      </c>
      <c r="N77" s="10" t="str">
        <f t="shared" si="1"/>
        <v>Unique</v>
      </c>
    </row>
    <row r="78" spans="1:14" ht="27.65" customHeight="1" thickBot="1" x14ac:dyDescent="0.4">
      <c r="A78" s="3">
        <v>46265.486111111109</v>
      </c>
      <c r="B78" s="1" t="s">
        <v>59</v>
      </c>
      <c r="C78" s="1" t="s">
        <v>7</v>
      </c>
      <c r="D78" s="4">
        <v>5</v>
      </c>
      <c r="E78" s="4">
        <v>1146</v>
      </c>
      <c r="F78" s="4">
        <v>9.0078949870000002</v>
      </c>
      <c r="G78" s="2" t="s">
        <v>60</v>
      </c>
      <c r="H78" s="5">
        <v>1051.3</v>
      </c>
      <c r="I78" s="1" t="s">
        <v>8</v>
      </c>
      <c r="J78" s="24" t="s">
        <v>118</v>
      </c>
      <c r="K78" s="18" t="s">
        <v>202</v>
      </c>
      <c r="L78" s="18">
        <v>5282</v>
      </c>
      <c r="M78" s="18">
        <f>ABS((D78*E78)-L78)</f>
        <v>448</v>
      </c>
      <c r="N78" t="str">
        <f t="shared" si="1"/>
        <v>Unique</v>
      </c>
    </row>
    <row r="79" spans="1:14" ht="15" customHeight="1" thickBot="1" x14ac:dyDescent="0.4">
      <c r="A79" s="11">
        <v>46252.635416666664</v>
      </c>
      <c r="B79" s="8" t="s">
        <v>82</v>
      </c>
      <c r="C79" s="8" t="s">
        <v>7</v>
      </c>
      <c r="D79" s="8">
        <v>1</v>
      </c>
      <c r="E79" s="8">
        <v>4556</v>
      </c>
      <c r="F79" s="4">
        <v>8.8649940259999997</v>
      </c>
      <c r="G79" s="2" t="s">
        <v>83</v>
      </c>
      <c r="H79" s="5">
        <v>4185</v>
      </c>
      <c r="I79" s="1" t="s">
        <v>8</v>
      </c>
      <c r="J79" s="21"/>
      <c r="N79" s="10" t="str">
        <f t="shared" si="1"/>
        <v>Unique</v>
      </c>
    </row>
    <row r="80" spans="1:14" ht="27.65" customHeight="1" thickBot="1" x14ac:dyDescent="0.4">
      <c r="A80" s="8" t="s">
        <v>62</v>
      </c>
      <c r="B80" s="8" t="s">
        <v>128</v>
      </c>
      <c r="C80" s="8" t="s">
        <v>7</v>
      </c>
      <c r="D80" s="8">
        <v>150</v>
      </c>
      <c r="E80" s="8">
        <v>129</v>
      </c>
      <c r="F80" s="4">
        <v>8.7689713319999996</v>
      </c>
      <c r="G80" s="2" t="s">
        <v>129</v>
      </c>
      <c r="H80" s="5">
        <v>118.6</v>
      </c>
      <c r="I80" s="1" t="s">
        <v>8</v>
      </c>
      <c r="J80" s="21"/>
      <c r="N80" s="10" t="str">
        <f t="shared" si="1"/>
        <v>Unique</v>
      </c>
    </row>
    <row r="81" spans="1:14" s="19" customFormat="1" ht="27.65" customHeight="1" thickBot="1" x14ac:dyDescent="0.4">
      <c r="A81" s="3">
        <v>46259.375</v>
      </c>
      <c r="B81" s="1" t="s">
        <v>24</v>
      </c>
      <c r="C81" s="1" t="s">
        <v>7</v>
      </c>
      <c r="D81" s="4">
        <v>20</v>
      </c>
      <c r="E81" s="4">
        <v>472.5</v>
      </c>
      <c r="F81" s="4">
        <v>8.6831512360000005</v>
      </c>
      <c r="G81" s="2" t="s">
        <v>56</v>
      </c>
      <c r="H81" s="5">
        <v>434.75</v>
      </c>
      <c r="I81" s="1" t="s">
        <v>8</v>
      </c>
      <c r="J81" s="21" t="s">
        <v>118</v>
      </c>
      <c r="K81" s="18" t="s">
        <v>164</v>
      </c>
      <c r="L81" s="18">
        <v>8800</v>
      </c>
      <c r="M81" s="18">
        <f>ABS((D81*E81)-L81)</f>
        <v>650</v>
      </c>
      <c r="N81" s="10" t="str">
        <f t="shared" si="1"/>
        <v>Unique</v>
      </c>
    </row>
    <row r="82" spans="1:14" ht="27.65" customHeight="1" thickBot="1" x14ac:dyDescent="0.4">
      <c r="A82" s="3">
        <v>46261.375</v>
      </c>
      <c r="B82" s="1" t="s">
        <v>18</v>
      </c>
      <c r="C82" s="1" t="s">
        <v>7</v>
      </c>
      <c r="D82" s="4">
        <v>2</v>
      </c>
      <c r="E82" s="4">
        <v>1970</v>
      </c>
      <c r="F82" s="4">
        <v>8.6417029719999991</v>
      </c>
      <c r="G82" s="2" t="s">
        <v>102</v>
      </c>
      <c r="H82" s="5">
        <v>1813.3</v>
      </c>
      <c r="I82" s="1" t="s">
        <v>8</v>
      </c>
      <c r="J82" s="24" t="s">
        <v>117</v>
      </c>
      <c r="K82" s="18" t="s">
        <v>184</v>
      </c>
      <c r="L82" s="18">
        <v>3680</v>
      </c>
      <c r="M82" s="18">
        <f>ABS((D82*E82)-L82)</f>
        <v>260</v>
      </c>
      <c r="N82" s="10" t="str">
        <f t="shared" si="1"/>
        <v>Unique</v>
      </c>
    </row>
    <row r="83" spans="1:14" ht="27.65" customHeight="1" thickBot="1" x14ac:dyDescent="0.4">
      <c r="A83" s="3">
        <v>46265.474999999999</v>
      </c>
      <c r="B83" s="1" t="s">
        <v>20</v>
      </c>
      <c r="C83" s="1" t="s">
        <v>7</v>
      </c>
      <c r="D83" s="4">
        <v>30</v>
      </c>
      <c r="E83" s="4">
        <v>137</v>
      </c>
      <c r="F83" s="4">
        <v>8.6008719780000007</v>
      </c>
      <c r="G83" s="2" t="s">
        <v>86</v>
      </c>
      <c r="H83" s="5">
        <v>126.15</v>
      </c>
      <c r="I83" s="1" t="s">
        <v>8</v>
      </c>
      <c r="J83" s="24" t="s">
        <v>41</v>
      </c>
      <c r="K83" s="18" t="s">
        <v>205</v>
      </c>
      <c r="L83" s="18">
        <v>3810</v>
      </c>
      <c r="M83" s="18">
        <f>ABS((D83*E83)-L83)</f>
        <v>300</v>
      </c>
      <c r="N83" t="str">
        <f t="shared" si="1"/>
        <v>Unique</v>
      </c>
    </row>
    <row r="84" spans="1:14" ht="15" customHeight="1" thickBot="1" x14ac:dyDescent="0.4">
      <c r="A84" s="3">
        <v>46258.443749999999</v>
      </c>
      <c r="B84" s="1" t="s">
        <v>6</v>
      </c>
      <c r="C84" s="1" t="s">
        <v>7</v>
      </c>
      <c r="D84" s="4">
        <v>50</v>
      </c>
      <c r="E84" s="4">
        <v>294</v>
      </c>
      <c r="F84" s="4">
        <v>8.5271317829999997</v>
      </c>
      <c r="G84" s="2" t="s">
        <v>130</v>
      </c>
      <c r="H84" s="5">
        <v>270.89999999999998</v>
      </c>
      <c r="I84" s="1" t="s">
        <v>8</v>
      </c>
      <c r="J84" s="24" t="s">
        <v>118</v>
      </c>
      <c r="K84" s="18" t="s">
        <v>158</v>
      </c>
      <c r="L84" s="18">
        <v>14172.5</v>
      </c>
      <c r="M84" s="18">
        <f>ABS((D84*E84)-L84)</f>
        <v>527.5</v>
      </c>
      <c r="N84" s="10" t="str">
        <f t="shared" si="1"/>
        <v>Unique</v>
      </c>
    </row>
    <row r="85" spans="1:14" ht="27.65" customHeight="1" thickBot="1" x14ac:dyDescent="0.4">
      <c r="A85" s="11">
        <v>46253.4</v>
      </c>
      <c r="B85" s="8" t="s">
        <v>6</v>
      </c>
      <c r="C85" s="8" t="s">
        <v>7</v>
      </c>
      <c r="D85" s="8">
        <v>30</v>
      </c>
      <c r="E85" s="8">
        <v>294</v>
      </c>
      <c r="F85" s="4">
        <v>8.5271317829999997</v>
      </c>
      <c r="G85" s="2" t="s">
        <v>130</v>
      </c>
      <c r="H85" s="5">
        <v>270.89999999999998</v>
      </c>
      <c r="I85" s="1" t="s">
        <v>8</v>
      </c>
      <c r="J85" s="21" t="s">
        <v>118</v>
      </c>
      <c r="K85" s="18" t="s">
        <v>143</v>
      </c>
      <c r="N85" s="10" t="str">
        <f t="shared" si="1"/>
        <v>Unique</v>
      </c>
    </row>
    <row r="86" spans="1:14" ht="27.65" customHeight="1" thickBot="1" x14ac:dyDescent="0.4">
      <c r="A86" s="3">
        <v>46262.375</v>
      </c>
      <c r="B86" s="1" t="s">
        <v>87</v>
      </c>
      <c r="C86" s="1" t="s">
        <v>7</v>
      </c>
      <c r="D86" s="4">
        <v>10</v>
      </c>
      <c r="E86" s="4">
        <v>1360</v>
      </c>
      <c r="F86" s="4">
        <v>8.3665338649999992</v>
      </c>
      <c r="G86" s="2" t="s">
        <v>88</v>
      </c>
      <c r="H86" s="5">
        <v>1255</v>
      </c>
      <c r="I86" s="1" t="s">
        <v>8</v>
      </c>
      <c r="J86" s="24" t="s">
        <v>117</v>
      </c>
      <c r="K86" s="18" t="s">
        <v>197</v>
      </c>
      <c r="L86" s="18">
        <v>13300</v>
      </c>
      <c r="M86" s="18">
        <f>ABS((D86*E86)-L86)</f>
        <v>300</v>
      </c>
      <c r="N86" s="10" t="str">
        <f t="shared" si="1"/>
        <v>Unique</v>
      </c>
    </row>
    <row r="87" spans="1:14" ht="27.65" customHeight="1" thickBot="1" x14ac:dyDescent="0.4">
      <c r="A87" s="8" t="s">
        <v>62</v>
      </c>
      <c r="B87" s="8" t="s">
        <v>53</v>
      </c>
      <c r="C87" s="8" t="s">
        <v>7</v>
      </c>
      <c r="D87" s="8">
        <v>3</v>
      </c>
      <c r="E87" s="12">
        <v>2710</v>
      </c>
      <c r="F87" s="4">
        <v>8.3176785639999995</v>
      </c>
      <c r="G87" s="2" t="s">
        <v>54</v>
      </c>
      <c r="H87" s="5">
        <v>2501.9</v>
      </c>
      <c r="I87" s="1" t="s">
        <v>8</v>
      </c>
      <c r="J87" s="21" t="s">
        <v>118</v>
      </c>
      <c r="N87" s="10" t="str">
        <f t="shared" si="1"/>
        <v>Unique</v>
      </c>
    </row>
    <row r="88" spans="1:14" ht="27.65" customHeight="1" thickBot="1" x14ac:dyDescent="0.4">
      <c r="A88" s="8" t="s">
        <v>62</v>
      </c>
      <c r="B88" s="8" t="s">
        <v>9</v>
      </c>
      <c r="C88" s="8" t="s">
        <v>7</v>
      </c>
      <c r="D88" s="8">
        <v>40</v>
      </c>
      <c r="E88" s="8">
        <v>320.5</v>
      </c>
      <c r="F88" s="4">
        <v>8.2404593039999998</v>
      </c>
      <c r="G88" s="2" t="s">
        <v>95</v>
      </c>
      <c r="H88" s="5">
        <v>296.10000000000002</v>
      </c>
      <c r="I88" s="1" t="s">
        <v>8</v>
      </c>
      <c r="J88" s="21"/>
      <c r="N88" s="10" t="str">
        <f t="shared" si="1"/>
        <v>Unique</v>
      </c>
    </row>
    <row r="89" spans="1:14" ht="27.65" customHeight="1" thickBot="1" x14ac:dyDescent="0.4">
      <c r="A89" s="8" t="s">
        <v>62</v>
      </c>
      <c r="B89" s="8" t="s">
        <v>21</v>
      </c>
      <c r="C89" s="8" t="s">
        <v>7</v>
      </c>
      <c r="D89" s="8">
        <v>11</v>
      </c>
      <c r="E89" s="12">
        <v>749</v>
      </c>
      <c r="F89" s="4">
        <v>8.0808080810000007</v>
      </c>
      <c r="G89" s="2" t="s">
        <v>76</v>
      </c>
      <c r="H89" s="5">
        <v>693</v>
      </c>
      <c r="I89" s="1" t="s">
        <v>8</v>
      </c>
      <c r="J89" s="21" t="s">
        <v>201</v>
      </c>
      <c r="N89" s="10" t="str">
        <f t="shared" si="1"/>
        <v>Unique</v>
      </c>
    </row>
    <row r="90" spans="1:14" ht="27.65" customHeight="1" thickBot="1" x14ac:dyDescent="0.4">
      <c r="A90" s="8" t="s">
        <v>62</v>
      </c>
      <c r="B90" s="8" t="s">
        <v>43</v>
      </c>
      <c r="C90" s="8" t="s">
        <v>7</v>
      </c>
      <c r="D90" s="8">
        <v>5</v>
      </c>
      <c r="E90" s="12">
        <v>790</v>
      </c>
      <c r="F90" s="4">
        <v>8.0711354310000001</v>
      </c>
      <c r="G90" s="2" t="s">
        <v>44</v>
      </c>
      <c r="H90" s="5">
        <v>731</v>
      </c>
      <c r="I90" s="1" t="s">
        <v>8</v>
      </c>
      <c r="J90" s="21"/>
      <c r="N90" s="10" t="str">
        <f t="shared" si="1"/>
        <v>Unique</v>
      </c>
    </row>
    <row r="91" spans="1:14" s="26" customFormat="1" ht="27.65" customHeight="1" thickBot="1" x14ac:dyDescent="0.4">
      <c r="A91" s="11">
        <v>46252.6875</v>
      </c>
      <c r="B91" s="8" t="s">
        <v>15</v>
      </c>
      <c r="C91" s="8" t="s">
        <v>7</v>
      </c>
      <c r="D91" s="8">
        <v>10</v>
      </c>
      <c r="E91" s="8">
        <v>2720</v>
      </c>
      <c r="F91" s="4">
        <v>8.0222398730000002</v>
      </c>
      <c r="G91" s="2" t="s">
        <v>72</v>
      </c>
      <c r="H91" s="5">
        <v>2518</v>
      </c>
      <c r="I91" s="1" t="s">
        <v>8</v>
      </c>
      <c r="J91" s="21"/>
      <c r="K91" s="18"/>
      <c r="L91" s="18"/>
      <c r="M91" s="18"/>
      <c r="N91" s="10" t="str">
        <f t="shared" si="1"/>
        <v>Unique</v>
      </c>
    </row>
    <row r="92" spans="1:14" ht="27.65" customHeight="1" thickBot="1" x14ac:dyDescent="0.4">
      <c r="A92" s="3">
        <v>46261.615277777775</v>
      </c>
      <c r="B92" s="1" t="s">
        <v>35</v>
      </c>
      <c r="C92" s="1" t="s">
        <v>7</v>
      </c>
      <c r="D92" s="4">
        <v>50</v>
      </c>
      <c r="E92" s="4">
        <v>226.3</v>
      </c>
      <c r="F92" s="4">
        <v>8.0190930789999992</v>
      </c>
      <c r="G92" s="2" t="s">
        <v>42</v>
      </c>
      <c r="H92" s="5">
        <v>209.5</v>
      </c>
      <c r="I92" s="1" t="s">
        <v>8</v>
      </c>
      <c r="J92" s="24" t="s">
        <v>118</v>
      </c>
      <c r="K92" s="18" t="s">
        <v>178</v>
      </c>
      <c r="L92" s="18">
        <v>10814</v>
      </c>
      <c r="M92" s="18">
        <f>ABS((D92*E92)-L92)</f>
        <v>501</v>
      </c>
      <c r="N92" s="10" t="str">
        <f t="shared" si="1"/>
        <v>Unique</v>
      </c>
    </row>
    <row r="93" spans="1:14" ht="40.75" customHeight="1" thickBot="1" x14ac:dyDescent="0.4">
      <c r="A93" s="11">
        <v>46252.635416666664</v>
      </c>
      <c r="B93" s="8" t="s">
        <v>123</v>
      </c>
      <c r="C93" s="8" t="s">
        <v>7</v>
      </c>
      <c r="D93" s="8">
        <v>200</v>
      </c>
      <c r="E93" s="8">
        <v>89.3</v>
      </c>
      <c r="F93" s="4">
        <v>7.9806529629999998</v>
      </c>
      <c r="G93" s="2" t="s">
        <v>124</v>
      </c>
      <c r="H93" s="5">
        <v>82.7</v>
      </c>
      <c r="I93" s="1" t="s">
        <v>8</v>
      </c>
      <c r="J93" s="24" t="s">
        <v>118</v>
      </c>
      <c r="N93" s="10" t="str">
        <f t="shared" si="1"/>
        <v>Unique</v>
      </c>
    </row>
    <row r="94" spans="1:14" ht="27.65" customHeight="1" thickBot="1" x14ac:dyDescent="0.4">
      <c r="A94" s="11">
        <v>46253.375</v>
      </c>
      <c r="B94" s="8" t="s">
        <v>14</v>
      </c>
      <c r="C94" s="8" t="s">
        <v>7</v>
      </c>
      <c r="D94" s="8">
        <v>50</v>
      </c>
      <c r="E94" s="8">
        <v>353</v>
      </c>
      <c r="F94" s="4">
        <v>7.9510703359999999</v>
      </c>
      <c r="G94" s="2" t="s">
        <v>45</v>
      </c>
      <c r="H94" s="5">
        <v>327</v>
      </c>
      <c r="I94" s="1" t="s">
        <v>8</v>
      </c>
      <c r="J94" s="21" t="s">
        <v>118</v>
      </c>
      <c r="K94" s="18" t="s">
        <v>145</v>
      </c>
      <c r="N94" s="10" t="str">
        <f t="shared" si="1"/>
        <v>Unique</v>
      </c>
    </row>
    <row r="95" spans="1:14" s="25" customFormat="1" ht="27.65" customHeight="1" thickBot="1" x14ac:dyDescent="0.4">
      <c r="A95" s="8" t="s">
        <v>62</v>
      </c>
      <c r="B95" s="8" t="s">
        <v>24</v>
      </c>
      <c r="C95" s="8" t="s">
        <v>7</v>
      </c>
      <c r="D95" s="8">
        <v>5</v>
      </c>
      <c r="E95" s="8">
        <v>468</v>
      </c>
      <c r="F95" s="4">
        <v>7.6480736059999996</v>
      </c>
      <c r="G95" s="2" t="s">
        <v>56</v>
      </c>
      <c r="H95" s="5">
        <v>434.75</v>
      </c>
      <c r="I95" s="1" t="s">
        <v>8</v>
      </c>
      <c r="J95" s="21" t="s">
        <v>118</v>
      </c>
      <c r="K95" s="18"/>
      <c r="L95" s="18"/>
      <c r="M95" s="18"/>
      <c r="N95" s="10" t="str">
        <f t="shared" si="1"/>
        <v>Unique</v>
      </c>
    </row>
    <row r="96" spans="1:14" ht="27.65" customHeight="1" thickBot="1" x14ac:dyDescent="0.4">
      <c r="A96" s="3">
        <v>46260.375</v>
      </c>
      <c r="B96" s="1" t="s">
        <v>24</v>
      </c>
      <c r="C96" s="1" t="s">
        <v>7</v>
      </c>
      <c r="D96" s="4">
        <v>40</v>
      </c>
      <c r="E96" s="4">
        <v>468</v>
      </c>
      <c r="F96" s="4">
        <v>7.6480736059999996</v>
      </c>
      <c r="G96" s="2" t="s">
        <v>56</v>
      </c>
      <c r="H96" s="5">
        <v>434.75</v>
      </c>
      <c r="I96" s="1" t="s">
        <v>8</v>
      </c>
      <c r="J96" s="24" t="s">
        <v>118</v>
      </c>
      <c r="K96" s="18" t="s">
        <v>173</v>
      </c>
      <c r="L96" s="18">
        <v>17920</v>
      </c>
      <c r="M96" s="18">
        <f>ABS((D96*E96)-L96)</f>
        <v>800</v>
      </c>
      <c r="N96" t="str">
        <f t="shared" si="1"/>
        <v>Unique</v>
      </c>
    </row>
    <row r="97" spans="1:14" ht="27.65" customHeight="1" thickBot="1" x14ac:dyDescent="0.4">
      <c r="A97" s="11">
        <v>46252.635416666664</v>
      </c>
      <c r="B97" s="8" t="s">
        <v>51</v>
      </c>
      <c r="C97" s="8" t="s">
        <v>7</v>
      </c>
      <c r="D97" s="8">
        <v>10</v>
      </c>
      <c r="E97" s="8">
        <v>997</v>
      </c>
      <c r="F97" s="4">
        <v>7.5454398359999999</v>
      </c>
      <c r="G97" s="2" t="s">
        <v>52</v>
      </c>
      <c r="H97" s="5">
        <v>927.05</v>
      </c>
      <c r="I97" s="1" t="s">
        <v>8</v>
      </c>
      <c r="J97" s="21" t="s">
        <v>41</v>
      </c>
      <c r="N97" s="10" t="str">
        <f t="shared" si="1"/>
        <v>Unique</v>
      </c>
    </row>
    <row r="98" spans="1:14" ht="27.65" customHeight="1" thickBot="1" x14ac:dyDescent="0.4">
      <c r="A98" s="3">
        <v>46261.375694444447</v>
      </c>
      <c r="B98" s="1" t="s">
        <v>53</v>
      </c>
      <c r="C98" s="1" t="s">
        <v>7</v>
      </c>
      <c r="D98" s="4">
        <v>2</v>
      </c>
      <c r="E98" s="4">
        <v>2690</v>
      </c>
      <c r="F98" s="4">
        <v>7.5182861030000003</v>
      </c>
      <c r="G98" s="2" t="s">
        <v>54</v>
      </c>
      <c r="H98" s="5">
        <v>2501.9</v>
      </c>
      <c r="I98" s="1" t="s">
        <v>8</v>
      </c>
      <c r="J98" s="24" t="s">
        <v>118</v>
      </c>
      <c r="K98" s="18" t="s">
        <v>180</v>
      </c>
      <c r="L98" s="18">
        <v>5120</v>
      </c>
      <c r="M98" s="18">
        <f>ABS((D98*E98)-L98)</f>
        <v>260</v>
      </c>
      <c r="N98" s="10" t="str">
        <f t="shared" si="1"/>
        <v>Unique</v>
      </c>
    </row>
    <row r="99" spans="1:14" ht="27.65" customHeight="1" thickBot="1" x14ac:dyDescent="0.4">
      <c r="A99" s="3">
        <v>46265.375694444447</v>
      </c>
      <c r="B99" s="1" t="s">
        <v>6</v>
      </c>
      <c r="C99" s="1" t="s">
        <v>7</v>
      </c>
      <c r="D99" s="4">
        <v>20</v>
      </c>
      <c r="E99" s="4">
        <v>291</v>
      </c>
      <c r="F99" s="4">
        <v>7.4197120710000002</v>
      </c>
      <c r="G99" s="2" t="s">
        <v>130</v>
      </c>
      <c r="H99" s="5">
        <v>270.89999999999998</v>
      </c>
      <c r="I99" s="1" t="s">
        <v>8</v>
      </c>
      <c r="J99" s="24" t="s">
        <v>118</v>
      </c>
      <c r="K99" s="18" t="s">
        <v>213</v>
      </c>
      <c r="L99" s="18">
        <v>5520</v>
      </c>
      <c r="M99" s="18">
        <f>ABS((D99*E99)-L99)</f>
        <v>300</v>
      </c>
      <c r="N99" t="str">
        <f t="shared" si="1"/>
        <v>Unique</v>
      </c>
    </row>
    <row r="100" spans="1:14" ht="27.65" customHeight="1" thickBot="1" x14ac:dyDescent="0.4">
      <c r="A100" s="36">
        <v>46260.556944444441</v>
      </c>
      <c r="B100" s="37" t="s">
        <v>36</v>
      </c>
      <c r="C100" s="37" t="s">
        <v>7</v>
      </c>
      <c r="D100" s="38">
        <v>5</v>
      </c>
      <c r="E100" s="38">
        <v>1251</v>
      </c>
      <c r="F100" s="4">
        <v>7.3911923770000003</v>
      </c>
      <c r="G100" s="2" t="s">
        <v>65</v>
      </c>
      <c r="H100" s="5">
        <v>1164.9000000000001</v>
      </c>
      <c r="I100" s="1" t="s">
        <v>8</v>
      </c>
      <c r="J100" s="32" t="s">
        <v>118</v>
      </c>
      <c r="K100" s="33" t="s">
        <v>168</v>
      </c>
      <c r="L100" s="33">
        <v>6105</v>
      </c>
      <c r="M100" s="33">
        <f>ABS((D100*E100)-L100)</f>
        <v>150</v>
      </c>
      <c r="N100" s="34" t="str">
        <f t="shared" si="1"/>
        <v>Duplicate</v>
      </c>
    </row>
    <row r="101" spans="1:14" ht="27.65" customHeight="1" thickBot="1" x14ac:dyDescent="0.4">
      <c r="A101" s="36">
        <v>46261.375</v>
      </c>
      <c r="B101" s="37" t="s">
        <v>36</v>
      </c>
      <c r="C101" s="37" t="s">
        <v>7</v>
      </c>
      <c r="D101" s="38">
        <v>5</v>
      </c>
      <c r="E101" s="38">
        <v>1251</v>
      </c>
      <c r="F101" s="4">
        <v>7.3911923770000003</v>
      </c>
      <c r="G101" s="2" t="s">
        <v>65</v>
      </c>
      <c r="H101" s="5">
        <v>1164.9000000000001</v>
      </c>
      <c r="I101" s="1" t="s">
        <v>8</v>
      </c>
      <c r="J101" s="32" t="s">
        <v>118</v>
      </c>
      <c r="K101" s="33" t="s">
        <v>182</v>
      </c>
      <c r="L101" s="33">
        <v>6005</v>
      </c>
      <c r="M101" s="33">
        <f>ABS((D101*E101)-L101)</f>
        <v>250</v>
      </c>
      <c r="N101" s="35" t="str">
        <f t="shared" si="1"/>
        <v>Duplicate</v>
      </c>
    </row>
    <row r="102" spans="1:14" ht="27.65" customHeight="1" thickBot="1" x14ac:dyDescent="0.4">
      <c r="A102" s="11">
        <v>46252.635416666664</v>
      </c>
      <c r="B102" s="8" t="s">
        <v>126</v>
      </c>
      <c r="C102" s="8" t="s">
        <v>7</v>
      </c>
      <c r="D102" s="8">
        <v>6</v>
      </c>
      <c r="E102" s="8">
        <v>548</v>
      </c>
      <c r="F102" s="4">
        <v>7.3037008029999999</v>
      </c>
      <c r="G102" s="2" t="s">
        <v>127</v>
      </c>
      <c r="H102" s="5">
        <v>510.7</v>
      </c>
      <c r="I102" s="1" t="s">
        <v>8</v>
      </c>
      <c r="J102" s="21"/>
      <c r="N102" s="10" t="str">
        <f t="shared" si="1"/>
        <v>Unique</v>
      </c>
    </row>
    <row r="103" spans="1:14" ht="14.4" customHeight="1" thickBot="1" x14ac:dyDescent="0.4">
      <c r="A103" s="11">
        <v>46252.6875</v>
      </c>
      <c r="B103" s="8" t="s">
        <v>15</v>
      </c>
      <c r="C103" s="8" t="s">
        <v>7</v>
      </c>
      <c r="D103" s="8">
        <v>10</v>
      </c>
      <c r="E103" s="8">
        <v>2696</v>
      </c>
      <c r="F103" s="4">
        <v>7.069102462</v>
      </c>
      <c r="G103" s="2" t="s">
        <v>72</v>
      </c>
      <c r="H103" s="5">
        <v>2518</v>
      </c>
      <c r="I103" s="1" t="s">
        <v>8</v>
      </c>
      <c r="J103" s="21" t="s">
        <v>156</v>
      </c>
      <c r="N103" s="10" t="str">
        <f t="shared" si="1"/>
        <v>Unique</v>
      </c>
    </row>
    <row r="104" spans="1:14" ht="15.65" customHeight="1" thickBot="1" x14ac:dyDescent="0.4">
      <c r="A104" s="8" t="s">
        <v>62</v>
      </c>
      <c r="B104" s="14" t="s">
        <v>23</v>
      </c>
      <c r="C104" s="8" t="s">
        <v>7</v>
      </c>
      <c r="D104" s="8">
        <v>40</v>
      </c>
      <c r="E104" s="41">
        <v>229</v>
      </c>
      <c r="F104" s="4">
        <v>7.0593735390000001</v>
      </c>
      <c r="G104" s="2" t="s">
        <v>70</v>
      </c>
      <c r="H104" s="5">
        <v>213.9</v>
      </c>
      <c r="I104" s="1" t="s">
        <v>8</v>
      </c>
      <c r="J104" s="21" t="s">
        <v>117</v>
      </c>
      <c r="N104" s="10" t="str">
        <f t="shared" si="1"/>
        <v>Unique</v>
      </c>
    </row>
    <row r="105" spans="1:14" ht="14.4" customHeight="1" thickBot="1" x14ac:dyDescent="0.4">
      <c r="A105" s="8" t="s">
        <v>62</v>
      </c>
      <c r="B105" s="8" t="s">
        <v>9</v>
      </c>
      <c r="C105" s="8" t="s">
        <v>7</v>
      </c>
      <c r="D105" s="8">
        <v>50</v>
      </c>
      <c r="E105" s="8">
        <v>317</v>
      </c>
      <c r="F105" s="4">
        <v>7.0584262070000001</v>
      </c>
      <c r="G105" s="2" t="s">
        <v>95</v>
      </c>
      <c r="H105" s="5">
        <v>296.10000000000002</v>
      </c>
      <c r="I105" s="1" t="s">
        <v>8</v>
      </c>
      <c r="J105" s="21"/>
      <c r="N105" s="10" t="str">
        <f t="shared" si="1"/>
        <v>Unique</v>
      </c>
    </row>
    <row r="106" spans="1:14" ht="14.4" customHeight="1" thickBot="1" x14ac:dyDescent="0.4">
      <c r="A106" s="3">
        <v>46261.375694444447</v>
      </c>
      <c r="B106" s="1" t="s">
        <v>78</v>
      </c>
      <c r="C106" s="1" t="s">
        <v>7</v>
      </c>
      <c r="D106" s="4">
        <v>5</v>
      </c>
      <c r="E106" s="4">
        <v>1490</v>
      </c>
      <c r="F106" s="4">
        <v>6.8789900289999997</v>
      </c>
      <c r="G106" s="2" t="s">
        <v>79</v>
      </c>
      <c r="H106" s="5">
        <v>1394.1</v>
      </c>
      <c r="I106" s="1" t="s">
        <v>8</v>
      </c>
      <c r="J106" s="24" t="s">
        <v>118</v>
      </c>
      <c r="K106" s="18" t="s">
        <v>191</v>
      </c>
      <c r="L106" s="18">
        <v>7200</v>
      </c>
      <c r="M106" s="18">
        <f>ABS((D106*E106)-L106)</f>
        <v>250</v>
      </c>
      <c r="N106" s="10" t="str">
        <f t="shared" si="1"/>
        <v>Unique</v>
      </c>
    </row>
    <row r="107" spans="1:14" ht="15.65" customHeight="1" thickBot="1" x14ac:dyDescent="0.4">
      <c r="A107" s="3">
        <v>46265.375694444447</v>
      </c>
      <c r="B107" s="1" t="s">
        <v>78</v>
      </c>
      <c r="C107" s="1" t="s">
        <v>7</v>
      </c>
      <c r="D107" s="4">
        <v>3</v>
      </c>
      <c r="E107" s="4">
        <v>1490</v>
      </c>
      <c r="F107" s="4">
        <v>6.8789900289999997</v>
      </c>
      <c r="G107" s="2" t="s">
        <v>79</v>
      </c>
      <c r="H107" s="5">
        <v>1394.1</v>
      </c>
      <c r="I107" s="1" t="s">
        <v>8</v>
      </c>
      <c r="J107" s="24" t="s">
        <v>118</v>
      </c>
      <c r="K107" s="18" t="s">
        <v>212</v>
      </c>
      <c r="L107" s="18">
        <v>4170</v>
      </c>
      <c r="M107" s="18">
        <f>ABS((D107*E107)-L107)</f>
        <v>300</v>
      </c>
      <c r="N107" t="str">
        <f t="shared" si="1"/>
        <v>Unique</v>
      </c>
    </row>
    <row r="108" spans="1:14" ht="14.4" customHeight="1" thickBot="1" x14ac:dyDescent="0.4">
      <c r="A108" s="3">
        <v>46268.375567129631</v>
      </c>
      <c r="B108" s="1" t="s">
        <v>16</v>
      </c>
      <c r="C108" s="1" t="s">
        <v>7</v>
      </c>
      <c r="D108" s="4">
        <v>30</v>
      </c>
      <c r="E108" s="4">
        <v>920</v>
      </c>
      <c r="F108" s="4">
        <v>6.8152792289999997</v>
      </c>
      <c r="G108" s="2" t="s">
        <v>61</v>
      </c>
      <c r="H108" s="5">
        <v>861.3</v>
      </c>
      <c r="I108" s="1" t="s">
        <v>8</v>
      </c>
      <c r="J108" s="24" t="s">
        <v>117</v>
      </c>
      <c r="K108" s="18" t="s">
        <v>246</v>
      </c>
      <c r="L108" s="18">
        <v>25800</v>
      </c>
      <c r="M108" s="18">
        <f>ABS((D108*E108)-L108)</f>
        <v>1800</v>
      </c>
      <c r="N108" s="10" t="str">
        <f t="shared" si="1"/>
        <v>Unique</v>
      </c>
    </row>
    <row r="109" spans="1:14" ht="14.4" customHeight="1" thickBot="1" x14ac:dyDescent="0.4">
      <c r="A109" s="3">
        <v>46262.375</v>
      </c>
      <c r="B109" s="1" t="s">
        <v>87</v>
      </c>
      <c r="C109" s="1" t="s">
        <v>7</v>
      </c>
      <c r="D109" s="4">
        <v>10</v>
      </c>
      <c r="E109" s="4">
        <v>1340</v>
      </c>
      <c r="F109" s="4">
        <v>6.7729083670000003</v>
      </c>
      <c r="G109" s="2" t="s">
        <v>88</v>
      </c>
      <c r="H109" s="5">
        <v>1255</v>
      </c>
      <c r="I109" s="1" t="s">
        <v>8</v>
      </c>
      <c r="J109" s="24" t="s">
        <v>117</v>
      </c>
      <c r="K109" s="18" t="s">
        <v>194</v>
      </c>
      <c r="L109" s="18">
        <v>13030</v>
      </c>
      <c r="M109" s="18">
        <f>ABS((D109*E109)-L109)</f>
        <v>370</v>
      </c>
      <c r="N109" s="10" t="str">
        <f t="shared" si="1"/>
        <v>Unique</v>
      </c>
    </row>
    <row r="110" spans="1:14" s="25" customFormat="1" ht="14.4" customHeight="1" thickBot="1" x14ac:dyDescent="0.4">
      <c r="A110" s="3">
        <v>46261.375</v>
      </c>
      <c r="B110" s="1" t="s">
        <v>14</v>
      </c>
      <c r="C110" s="1" t="s">
        <v>7</v>
      </c>
      <c r="D110" s="4">
        <v>50</v>
      </c>
      <c r="E110" s="4">
        <v>349</v>
      </c>
      <c r="F110" s="4">
        <v>6.7278287460000001</v>
      </c>
      <c r="G110" s="2" t="s">
        <v>45</v>
      </c>
      <c r="H110" s="5">
        <v>327</v>
      </c>
      <c r="I110" s="1" t="s">
        <v>8</v>
      </c>
      <c r="J110" s="24" t="s">
        <v>117</v>
      </c>
      <c r="K110" s="18" t="s">
        <v>185</v>
      </c>
      <c r="L110" s="18">
        <v>17150</v>
      </c>
      <c r="M110" s="18">
        <f>ABS((D110*E110)-L110)</f>
        <v>300</v>
      </c>
      <c r="N110" s="10" t="str">
        <f t="shared" si="1"/>
        <v>Unique</v>
      </c>
    </row>
    <row r="111" spans="1:14" ht="14.4" customHeight="1" thickBot="1" x14ac:dyDescent="0.4">
      <c r="A111" s="8" t="s">
        <v>62</v>
      </c>
      <c r="B111" s="8" t="s">
        <v>68</v>
      </c>
      <c r="C111" s="8" t="s">
        <v>7</v>
      </c>
      <c r="D111" s="8">
        <v>10</v>
      </c>
      <c r="E111" s="8">
        <v>435</v>
      </c>
      <c r="F111" s="4">
        <v>6.487148103</v>
      </c>
      <c r="G111" s="2" t="s">
        <v>69</v>
      </c>
      <c r="H111" s="5">
        <v>408.5</v>
      </c>
      <c r="I111" s="1" t="s">
        <v>8</v>
      </c>
      <c r="J111" s="21"/>
      <c r="N111" s="10" t="str">
        <f t="shared" si="1"/>
        <v>Unique</v>
      </c>
    </row>
    <row r="112" spans="1:14" ht="14.4" customHeight="1" thickBot="1" x14ac:dyDescent="0.4">
      <c r="A112" s="3">
        <v>46261.375</v>
      </c>
      <c r="B112" s="1" t="s">
        <v>14</v>
      </c>
      <c r="C112" s="1" t="s">
        <v>7</v>
      </c>
      <c r="D112" s="4">
        <v>100</v>
      </c>
      <c r="E112" s="4">
        <v>348</v>
      </c>
      <c r="F112" s="4">
        <v>6.422018349</v>
      </c>
      <c r="G112" s="2" t="s">
        <v>45</v>
      </c>
      <c r="H112" s="5">
        <v>327</v>
      </c>
      <c r="I112" s="1" t="s">
        <v>8</v>
      </c>
      <c r="J112" s="24" t="s">
        <v>117</v>
      </c>
      <c r="K112" s="18" t="s">
        <v>183</v>
      </c>
      <c r="L112" s="18">
        <v>34100</v>
      </c>
      <c r="M112" s="18">
        <f>ABS((D112*E112)-L112)</f>
        <v>700</v>
      </c>
      <c r="N112" s="10" t="str">
        <f t="shared" si="1"/>
        <v>Unique</v>
      </c>
    </row>
    <row r="113" spans="1:14" ht="14.4" customHeight="1" thickBot="1" x14ac:dyDescent="0.4">
      <c r="A113" s="8" t="s">
        <v>62</v>
      </c>
      <c r="B113" s="8" t="s">
        <v>121</v>
      </c>
      <c r="C113" s="8" t="s">
        <v>7</v>
      </c>
      <c r="D113" s="8">
        <v>10</v>
      </c>
      <c r="E113" s="8">
        <v>796</v>
      </c>
      <c r="F113" s="4">
        <v>6.4171122990000002</v>
      </c>
      <c r="G113" s="2" t="s">
        <v>122</v>
      </c>
      <c r="H113" s="5">
        <v>748</v>
      </c>
      <c r="I113" s="1" t="s">
        <v>8</v>
      </c>
      <c r="J113" s="21" t="s">
        <v>117</v>
      </c>
      <c r="N113" s="10" t="str">
        <f t="shared" si="1"/>
        <v>Unique</v>
      </c>
    </row>
    <row r="114" spans="1:14" ht="15" thickBot="1" x14ac:dyDescent="0.4">
      <c r="A114" s="11">
        <v>46252.645138888889</v>
      </c>
      <c r="B114" s="8" t="s">
        <v>57</v>
      </c>
      <c r="C114" s="8" t="s">
        <v>7</v>
      </c>
      <c r="D114" s="8">
        <v>5</v>
      </c>
      <c r="E114" s="8">
        <v>2998</v>
      </c>
      <c r="F114" s="4">
        <v>6.1238938049999998</v>
      </c>
      <c r="G114" s="2" t="s">
        <v>58</v>
      </c>
      <c r="H114" s="5">
        <v>2825</v>
      </c>
      <c r="I114" s="1" t="s">
        <v>8</v>
      </c>
      <c r="J114" s="23" t="s">
        <v>117</v>
      </c>
      <c r="N114" s="10" t="str">
        <f t="shared" si="1"/>
        <v>Unique</v>
      </c>
    </row>
    <row r="115" spans="1:14" ht="15" thickBot="1" x14ac:dyDescent="0.4">
      <c r="A115" s="3">
        <v>46254.642361111109</v>
      </c>
      <c r="B115" s="1" t="s">
        <v>15</v>
      </c>
      <c r="C115" s="1" t="s">
        <v>7</v>
      </c>
      <c r="D115" s="4">
        <v>10</v>
      </c>
      <c r="E115" s="4">
        <v>2672</v>
      </c>
      <c r="F115" s="4">
        <v>6.115965052</v>
      </c>
      <c r="G115" s="2" t="s">
        <v>72</v>
      </c>
      <c r="H115" s="5">
        <v>2518</v>
      </c>
      <c r="I115" s="1" t="s">
        <v>8</v>
      </c>
      <c r="J115" s="23" t="s">
        <v>117</v>
      </c>
      <c r="K115" s="17" t="s">
        <v>147</v>
      </c>
      <c r="L115" s="17"/>
      <c r="M115" s="17"/>
      <c r="N115" s="10" t="str">
        <f t="shared" si="1"/>
        <v>Unique</v>
      </c>
    </row>
    <row r="116" spans="1:14" ht="14.4" customHeight="1" thickBot="1" x14ac:dyDescent="0.4">
      <c r="A116" s="3">
        <v>46265.375694444447</v>
      </c>
      <c r="B116" s="1" t="s">
        <v>36</v>
      </c>
      <c r="C116" s="1" t="s">
        <v>7</v>
      </c>
      <c r="D116" s="4">
        <v>5</v>
      </c>
      <c r="E116" s="4">
        <v>1236</v>
      </c>
      <c r="F116" s="4">
        <v>6.1035282000000004</v>
      </c>
      <c r="G116" s="2" t="s">
        <v>65</v>
      </c>
      <c r="H116" s="5">
        <v>1164.9000000000001</v>
      </c>
      <c r="I116" s="1" t="s">
        <v>8</v>
      </c>
      <c r="J116" s="32" t="s">
        <v>118</v>
      </c>
      <c r="K116" s="18" t="s">
        <v>214</v>
      </c>
      <c r="L116" s="18">
        <v>5905</v>
      </c>
      <c r="M116" s="18">
        <f>ABS((D116*E116)-L116)</f>
        <v>275</v>
      </c>
      <c r="N116" t="str">
        <f t="shared" si="1"/>
        <v>Unique</v>
      </c>
    </row>
    <row r="117" spans="1:14" ht="14.4" customHeight="1" thickBot="1" x14ac:dyDescent="0.4">
      <c r="A117" s="8" t="s">
        <v>62</v>
      </c>
      <c r="B117" s="8" t="s">
        <v>43</v>
      </c>
      <c r="C117" s="8" t="s">
        <v>7</v>
      </c>
      <c r="D117" s="8">
        <v>10</v>
      </c>
      <c r="E117" s="12">
        <v>773</v>
      </c>
      <c r="F117" s="4">
        <v>5.7455540359999997</v>
      </c>
      <c r="G117" s="2" t="s">
        <v>44</v>
      </c>
      <c r="H117" s="5">
        <v>731</v>
      </c>
      <c r="I117" s="1" t="s">
        <v>8</v>
      </c>
      <c r="J117" s="21" t="s">
        <v>118</v>
      </c>
      <c r="N117" s="10" t="str">
        <f t="shared" si="1"/>
        <v>Unique</v>
      </c>
    </row>
    <row r="118" spans="1:14" customFormat="1" ht="15" thickBot="1" x14ac:dyDescent="0.4">
      <c r="A118" s="3">
        <v>46262.375</v>
      </c>
      <c r="B118" s="1" t="s">
        <v>15</v>
      </c>
      <c r="C118" s="1" t="s">
        <v>7</v>
      </c>
      <c r="D118" s="4">
        <v>10</v>
      </c>
      <c r="E118" s="4">
        <v>2660</v>
      </c>
      <c r="F118" s="4">
        <v>5.6393963459999998</v>
      </c>
      <c r="G118" s="2" t="s">
        <v>72</v>
      </c>
      <c r="H118" s="5">
        <v>2518</v>
      </c>
      <c r="I118" s="1" t="s">
        <v>8</v>
      </c>
      <c r="J118" s="18" t="s">
        <v>117</v>
      </c>
      <c r="K118" s="18" t="s">
        <v>199</v>
      </c>
      <c r="L118" s="18">
        <v>26300</v>
      </c>
      <c r="M118" s="18">
        <f t="shared" ref="M118:M124" si="2">ABS((D118*E118)-L118)</f>
        <v>300</v>
      </c>
      <c r="N118" s="10" t="str">
        <f t="shared" si="1"/>
        <v>Unique</v>
      </c>
    </row>
    <row r="119" spans="1:14" customFormat="1" ht="15" thickBot="1" x14ac:dyDescent="0.4">
      <c r="A119" s="3">
        <v>46261.375</v>
      </c>
      <c r="B119" s="1" t="s">
        <v>63</v>
      </c>
      <c r="C119" s="1" t="s">
        <v>7</v>
      </c>
      <c r="D119" s="4">
        <v>10</v>
      </c>
      <c r="E119" s="4">
        <v>1081</v>
      </c>
      <c r="F119" s="4">
        <v>5.6179775279999999</v>
      </c>
      <c r="G119" s="2" t="s">
        <v>64</v>
      </c>
      <c r="H119" s="5">
        <v>1023.5</v>
      </c>
      <c r="I119" s="1" t="s">
        <v>8</v>
      </c>
      <c r="J119" s="18" t="s">
        <v>118</v>
      </c>
      <c r="K119" s="18" t="s">
        <v>187</v>
      </c>
      <c r="L119" s="18">
        <v>10510</v>
      </c>
      <c r="M119" s="18">
        <f t="shared" si="2"/>
        <v>300</v>
      </c>
      <c r="N119" s="10" t="str">
        <f t="shared" si="1"/>
        <v>Unique</v>
      </c>
    </row>
    <row r="120" spans="1:14" customFormat="1" ht="15" thickBot="1" x14ac:dyDescent="0.4">
      <c r="A120" s="3">
        <v>46266.509722222225</v>
      </c>
      <c r="B120" s="1" t="s">
        <v>11</v>
      </c>
      <c r="C120" s="1" t="s">
        <v>7</v>
      </c>
      <c r="D120" s="4">
        <v>20</v>
      </c>
      <c r="E120" s="4">
        <v>306</v>
      </c>
      <c r="F120" s="4">
        <v>5.5172413789999997</v>
      </c>
      <c r="G120" s="2" t="s">
        <v>99</v>
      </c>
      <c r="H120" s="5">
        <v>290</v>
      </c>
      <c r="I120" s="1" t="s">
        <v>8</v>
      </c>
      <c r="J120" s="18" t="s">
        <v>118</v>
      </c>
      <c r="K120" s="18" t="s">
        <v>221</v>
      </c>
      <c r="L120" s="18">
        <v>5820</v>
      </c>
      <c r="M120" s="18">
        <f t="shared" si="2"/>
        <v>300</v>
      </c>
      <c r="N120" s="10" t="str">
        <f t="shared" si="1"/>
        <v>Unique</v>
      </c>
    </row>
    <row r="121" spans="1:14" customFormat="1" ht="15" thickBot="1" x14ac:dyDescent="0.4">
      <c r="A121" s="3">
        <v>46261.375694444447</v>
      </c>
      <c r="B121" s="1" t="s">
        <v>51</v>
      </c>
      <c r="C121" s="1" t="s">
        <v>7</v>
      </c>
      <c r="D121" s="4">
        <v>10</v>
      </c>
      <c r="E121" s="4">
        <v>977</v>
      </c>
      <c r="F121" s="4">
        <v>5.3880588960000004</v>
      </c>
      <c r="G121" s="2" t="s">
        <v>52</v>
      </c>
      <c r="H121" s="5">
        <v>927.05</v>
      </c>
      <c r="I121" s="1" t="s">
        <v>8</v>
      </c>
      <c r="J121" s="18" t="s">
        <v>117</v>
      </c>
      <c r="K121" s="18" t="s">
        <v>179</v>
      </c>
      <c r="L121" s="18">
        <v>9470</v>
      </c>
      <c r="M121" s="18">
        <f t="shared" si="2"/>
        <v>300</v>
      </c>
      <c r="N121" s="10" t="str">
        <f t="shared" si="1"/>
        <v>Unique</v>
      </c>
    </row>
    <row r="122" spans="1:14" customFormat="1" ht="15" thickBot="1" x14ac:dyDescent="0.4">
      <c r="A122" t="s">
        <v>258</v>
      </c>
      <c r="B122" s="1" t="s">
        <v>13</v>
      </c>
      <c r="C122" s="1" t="s">
        <v>10</v>
      </c>
      <c r="D122" s="4">
        <v>3</v>
      </c>
      <c r="E122" s="4">
        <v>1614</v>
      </c>
      <c r="F122" s="4">
        <v>5.3744493389999999</v>
      </c>
      <c r="G122" s="2" t="s">
        <v>91</v>
      </c>
      <c r="H122" s="5">
        <v>1702.5</v>
      </c>
      <c r="I122" s="1" t="s">
        <v>8</v>
      </c>
      <c r="J122" s="18" t="s">
        <v>41</v>
      </c>
      <c r="K122" s="18" t="s">
        <v>270</v>
      </c>
      <c r="L122" s="18">
        <f>3*1794</f>
        <v>5382</v>
      </c>
      <c r="M122" s="18">
        <f t="shared" si="2"/>
        <v>540</v>
      </c>
      <c r="N122" s="10" t="str">
        <f t="shared" si="1"/>
        <v>Unique</v>
      </c>
    </row>
    <row r="123" spans="1:14" customFormat="1" ht="15" thickBot="1" x14ac:dyDescent="0.4">
      <c r="A123" t="s">
        <v>258</v>
      </c>
      <c r="B123" s="1" t="s">
        <v>13</v>
      </c>
      <c r="C123" s="1" t="s">
        <v>10</v>
      </c>
      <c r="D123" s="4">
        <v>5</v>
      </c>
      <c r="E123" s="4">
        <v>1664</v>
      </c>
      <c r="F123" s="4">
        <v>5.3744493389999999</v>
      </c>
      <c r="G123" s="2" t="s">
        <v>91</v>
      </c>
      <c r="H123" s="5">
        <v>1702.5</v>
      </c>
      <c r="I123" s="1" t="s">
        <v>8</v>
      </c>
      <c r="J123" s="18" t="s">
        <v>41</v>
      </c>
      <c r="K123" s="18" t="s">
        <v>271</v>
      </c>
      <c r="L123" s="18">
        <f>5*1794</f>
        <v>8970</v>
      </c>
      <c r="M123" s="18">
        <f t="shared" si="2"/>
        <v>650</v>
      </c>
      <c r="N123" s="10" t="str">
        <f t="shared" si="1"/>
        <v>Unique</v>
      </c>
    </row>
    <row r="124" spans="1:14" customFormat="1" ht="15" thickBot="1" x14ac:dyDescent="0.4">
      <c r="A124" s="3">
        <v>46266.642361111109</v>
      </c>
      <c r="B124" s="1" t="s">
        <v>14</v>
      </c>
      <c r="C124" s="1" t="s">
        <v>7</v>
      </c>
      <c r="D124" s="4">
        <v>100</v>
      </c>
      <c r="E124" s="4">
        <v>344.5</v>
      </c>
      <c r="F124" s="4">
        <v>5.3516819570000003</v>
      </c>
      <c r="G124" s="2" t="s">
        <v>45</v>
      </c>
      <c r="H124" s="5">
        <v>327</v>
      </c>
      <c r="I124" s="1" t="s">
        <v>8</v>
      </c>
      <c r="J124" s="18" t="s">
        <v>117</v>
      </c>
      <c r="K124" s="18" t="s">
        <v>229</v>
      </c>
      <c r="L124" s="18">
        <v>33950</v>
      </c>
      <c r="M124" s="18">
        <f t="shared" si="2"/>
        <v>500</v>
      </c>
      <c r="N124" s="10" t="str">
        <f t="shared" si="1"/>
        <v>Unique</v>
      </c>
    </row>
    <row r="125" spans="1:14" customFormat="1" ht="15" thickBot="1" x14ac:dyDescent="0.4">
      <c r="A125" s="11">
        <v>46252.6875</v>
      </c>
      <c r="B125" s="8" t="s">
        <v>24</v>
      </c>
      <c r="C125" s="8" t="s">
        <v>7</v>
      </c>
      <c r="D125" s="8">
        <v>40</v>
      </c>
      <c r="E125" s="8">
        <v>458</v>
      </c>
      <c r="F125" s="4">
        <v>5.3479010929999999</v>
      </c>
      <c r="G125" s="2" t="s">
        <v>56</v>
      </c>
      <c r="H125" s="5">
        <v>434.75</v>
      </c>
      <c r="I125" s="1" t="s">
        <v>8</v>
      </c>
      <c r="J125" s="40" t="s">
        <v>117</v>
      </c>
      <c r="K125" s="18"/>
      <c r="L125" s="18"/>
      <c r="M125" s="18"/>
      <c r="N125" s="10" t="str">
        <f t="shared" si="1"/>
        <v>Unique</v>
      </c>
    </row>
    <row r="126" spans="1:14" ht="15" thickBot="1" x14ac:dyDescent="0.4">
      <c r="A126" s="11">
        <v>46252.635416666664</v>
      </c>
      <c r="B126" s="8" t="s">
        <v>74</v>
      </c>
      <c r="C126" s="8" t="s">
        <v>7</v>
      </c>
      <c r="D126" s="8">
        <v>5</v>
      </c>
      <c r="E126" s="8">
        <v>3482</v>
      </c>
      <c r="F126" s="4">
        <v>5.3204682249999999</v>
      </c>
      <c r="G126" s="2" t="s">
        <v>75</v>
      </c>
      <c r="H126" s="5">
        <v>3306.1</v>
      </c>
      <c r="I126" s="1" t="s">
        <v>8</v>
      </c>
      <c r="J126" s="40" t="s">
        <v>118</v>
      </c>
      <c r="N126" s="10" t="str">
        <f t="shared" si="1"/>
        <v>Unique</v>
      </c>
    </row>
    <row r="127" spans="1:14" s="35" customFormat="1" ht="15" thickBot="1" x14ac:dyDescent="0.4">
      <c r="A127" s="3">
        <v>46265.375694444447</v>
      </c>
      <c r="B127" s="1" t="s">
        <v>87</v>
      </c>
      <c r="C127" s="1" t="s">
        <v>7</v>
      </c>
      <c r="D127" s="4">
        <v>10</v>
      </c>
      <c r="E127" s="4">
        <v>1320</v>
      </c>
      <c r="F127" s="4">
        <v>5.1792828689999997</v>
      </c>
      <c r="G127" s="2" t="s">
        <v>88</v>
      </c>
      <c r="H127" s="5">
        <v>1255</v>
      </c>
      <c r="I127" s="1" t="s">
        <v>8</v>
      </c>
      <c r="J127" s="18" t="s">
        <v>117</v>
      </c>
      <c r="K127" s="18" t="s">
        <v>209</v>
      </c>
      <c r="L127" s="18">
        <v>12800</v>
      </c>
      <c r="M127" s="18">
        <f>ABS((D127*E127)-L127)</f>
        <v>400</v>
      </c>
      <c r="N127" t="str">
        <f t="shared" si="1"/>
        <v>Unique</v>
      </c>
    </row>
    <row r="128" spans="1:14" s="35" customFormat="1" ht="15" thickBot="1" x14ac:dyDescent="0.4">
      <c r="A128" s="3">
        <v>46262.463194444441</v>
      </c>
      <c r="B128" s="1" t="s">
        <v>15</v>
      </c>
      <c r="C128" s="1" t="s">
        <v>7</v>
      </c>
      <c r="D128" s="4">
        <v>10</v>
      </c>
      <c r="E128" s="4">
        <v>2648</v>
      </c>
      <c r="F128" s="4">
        <v>5.1628276409999998</v>
      </c>
      <c r="G128" s="2" t="s">
        <v>72</v>
      </c>
      <c r="H128" s="5">
        <v>2518</v>
      </c>
      <c r="I128" s="1" t="s">
        <v>8</v>
      </c>
      <c r="J128" s="18" t="s">
        <v>117</v>
      </c>
      <c r="K128" s="18" t="s">
        <v>196</v>
      </c>
      <c r="L128" s="18">
        <v>26180</v>
      </c>
      <c r="M128" s="18">
        <f>ABS((D128*E128)-L128)</f>
        <v>300</v>
      </c>
      <c r="N128" s="10" t="str">
        <f t="shared" si="1"/>
        <v>Unique</v>
      </c>
    </row>
    <row r="129" spans="1:14" ht="15" thickBot="1" x14ac:dyDescent="0.4">
      <c r="A129" s="3">
        <v>46260.554861111108</v>
      </c>
      <c r="B129" s="1" t="s">
        <v>12</v>
      </c>
      <c r="C129" s="1" t="s">
        <v>7</v>
      </c>
      <c r="D129" s="4">
        <v>1</v>
      </c>
      <c r="E129" s="4">
        <v>5540</v>
      </c>
      <c r="F129" s="4">
        <v>4.9441182039999996</v>
      </c>
      <c r="G129" s="2" t="s">
        <v>98</v>
      </c>
      <c r="H129" s="5">
        <v>5279</v>
      </c>
      <c r="I129" s="1" t="s">
        <v>8</v>
      </c>
      <c r="J129" s="18" t="s">
        <v>118</v>
      </c>
      <c r="K129" s="18" t="s">
        <v>169</v>
      </c>
      <c r="L129" s="18">
        <v>5290</v>
      </c>
      <c r="M129" s="18">
        <f>ABS((D129*E129)-L129)</f>
        <v>250</v>
      </c>
      <c r="N129" t="str">
        <f t="shared" si="1"/>
        <v>Unique</v>
      </c>
    </row>
    <row r="130" spans="1:14" ht="15" thickBot="1" x14ac:dyDescent="0.4">
      <c r="A130" s="11">
        <v>46252.635416666664</v>
      </c>
      <c r="B130" s="8" t="s">
        <v>47</v>
      </c>
      <c r="C130" s="8" t="s">
        <v>7</v>
      </c>
      <c r="D130" s="8">
        <v>8</v>
      </c>
      <c r="E130" s="8">
        <v>2448</v>
      </c>
      <c r="F130" s="4">
        <v>4.8888127170000004</v>
      </c>
      <c r="G130" s="2" t="s">
        <v>48</v>
      </c>
      <c r="H130" s="5">
        <v>2333.9</v>
      </c>
      <c r="I130" s="1" t="s">
        <v>8</v>
      </c>
      <c r="J130" s="40"/>
      <c r="N130" s="10" t="str">
        <f t="shared" ref="N130:N193" si="3">IF(COUNTIFS( $B$2:$B$797, B130, $C$2:$C$797, C130, $D$2:$D$797, D130, $E$2:$E$797, E130) &gt; 1, "Duplicate", "Unique")</f>
        <v>Unique</v>
      </c>
    </row>
    <row r="131" spans="1:14" ht="15" thickBot="1" x14ac:dyDescent="0.4">
      <c r="A131" s="36">
        <v>46265.375694444447</v>
      </c>
      <c r="B131" s="37" t="s">
        <v>53</v>
      </c>
      <c r="C131" s="37" t="s">
        <v>7</v>
      </c>
      <c r="D131" s="38">
        <v>3</v>
      </c>
      <c r="E131" s="38">
        <v>2624</v>
      </c>
      <c r="F131" s="4">
        <v>4.8802909789999998</v>
      </c>
      <c r="G131" s="2" t="s">
        <v>54</v>
      </c>
      <c r="H131" s="5">
        <v>2501.9</v>
      </c>
      <c r="I131" s="1" t="s">
        <v>8</v>
      </c>
      <c r="J131" s="33" t="s">
        <v>118</v>
      </c>
      <c r="K131" s="33" t="s">
        <v>207</v>
      </c>
      <c r="L131" s="33">
        <v>7578</v>
      </c>
      <c r="M131" s="33">
        <f t="shared" ref="M131:M138" si="4">ABS((D131*E131)-L131)</f>
        <v>294</v>
      </c>
      <c r="N131" s="34" t="str">
        <f t="shared" si="3"/>
        <v>Duplicate</v>
      </c>
    </row>
    <row r="132" spans="1:14" s="19" customFormat="1" ht="15" thickBot="1" x14ac:dyDescent="0.4">
      <c r="A132" s="36">
        <v>46266.375694444447</v>
      </c>
      <c r="B132" s="37" t="s">
        <v>53</v>
      </c>
      <c r="C132" s="37" t="s">
        <v>7</v>
      </c>
      <c r="D132" s="38">
        <v>3</v>
      </c>
      <c r="E132" s="38">
        <v>2624</v>
      </c>
      <c r="F132" s="4">
        <v>4.8802909789999998</v>
      </c>
      <c r="G132" s="2" t="s">
        <v>54</v>
      </c>
      <c r="H132" s="5">
        <v>2501.9</v>
      </c>
      <c r="I132" s="1" t="s">
        <v>8</v>
      </c>
      <c r="J132" s="33" t="s">
        <v>118</v>
      </c>
      <c r="K132" s="33" t="s">
        <v>224</v>
      </c>
      <c r="L132" s="33">
        <v>7578</v>
      </c>
      <c r="M132" s="33">
        <f t="shared" si="4"/>
        <v>294</v>
      </c>
      <c r="N132" s="35" t="str">
        <f t="shared" si="3"/>
        <v>Duplicate</v>
      </c>
    </row>
    <row r="133" spans="1:14" s="26" customFormat="1" ht="15" thickBot="1" x14ac:dyDescent="0.4">
      <c r="A133" s="3">
        <v>46267.424305555556</v>
      </c>
      <c r="B133" s="1" t="s">
        <v>53</v>
      </c>
      <c r="C133" s="1" t="s">
        <v>7</v>
      </c>
      <c r="D133" s="4">
        <v>2</v>
      </c>
      <c r="E133" s="4">
        <v>2624</v>
      </c>
      <c r="F133" s="4">
        <v>4.8802909789999998</v>
      </c>
      <c r="G133" s="2" t="s">
        <v>54</v>
      </c>
      <c r="H133" s="5">
        <v>2501.9</v>
      </c>
      <c r="I133" s="1" t="s">
        <v>8</v>
      </c>
      <c r="J133" s="18" t="s">
        <v>118</v>
      </c>
      <c r="K133" s="18" t="s">
        <v>235</v>
      </c>
      <c r="L133" s="18">
        <v>4968</v>
      </c>
      <c r="M133" s="18">
        <f t="shared" si="4"/>
        <v>280</v>
      </c>
      <c r="N133" s="10" t="str">
        <f t="shared" si="3"/>
        <v>Unique</v>
      </c>
    </row>
    <row r="134" spans="1:14" ht="15" thickBot="1" x14ac:dyDescent="0.4">
      <c r="A134" s="3">
        <v>46266.375</v>
      </c>
      <c r="B134" s="1" t="s">
        <v>119</v>
      </c>
      <c r="C134" s="1" t="s">
        <v>7</v>
      </c>
      <c r="D134" s="4">
        <v>15</v>
      </c>
      <c r="E134" s="4">
        <v>1040</v>
      </c>
      <c r="F134" s="4">
        <v>4.7858942070000001</v>
      </c>
      <c r="G134" s="2" t="s">
        <v>120</v>
      </c>
      <c r="H134" s="5">
        <v>992.5</v>
      </c>
      <c r="I134" s="1" t="s">
        <v>8</v>
      </c>
      <c r="J134" s="18" t="s">
        <v>117</v>
      </c>
      <c r="K134" s="18" t="s">
        <v>231</v>
      </c>
      <c r="L134" s="18">
        <v>15075</v>
      </c>
      <c r="M134" s="18">
        <f t="shared" si="4"/>
        <v>525</v>
      </c>
      <c r="N134" s="10" t="str">
        <f t="shared" si="3"/>
        <v>Unique</v>
      </c>
    </row>
    <row r="135" spans="1:14" ht="15" thickBot="1" x14ac:dyDescent="0.4">
      <c r="A135" s="3">
        <v>46267.425694444442</v>
      </c>
      <c r="B135" s="1" t="s">
        <v>35</v>
      </c>
      <c r="C135" s="1" t="s">
        <v>7</v>
      </c>
      <c r="D135" s="4">
        <v>20</v>
      </c>
      <c r="E135" s="4">
        <v>219.5</v>
      </c>
      <c r="F135" s="4">
        <v>4.7732696900000002</v>
      </c>
      <c r="G135" s="2" t="s">
        <v>42</v>
      </c>
      <c r="H135" s="5">
        <v>209.5</v>
      </c>
      <c r="I135" s="1" t="s">
        <v>8</v>
      </c>
      <c r="J135" s="18" t="s">
        <v>118</v>
      </c>
      <c r="K135" s="18" t="s">
        <v>233</v>
      </c>
      <c r="L135" s="18">
        <v>4120</v>
      </c>
      <c r="M135" s="18">
        <f t="shared" si="4"/>
        <v>270</v>
      </c>
      <c r="N135" s="10" t="str">
        <f t="shared" si="3"/>
        <v>Unique</v>
      </c>
    </row>
    <row r="136" spans="1:14" ht="15" thickBot="1" x14ac:dyDescent="0.4">
      <c r="A136" s="3">
        <v>46267.375</v>
      </c>
      <c r="B136" s="1" t="s">
        <v>78</v>
      </c>
      <c r="C136" s="1" t="s">
        <v>7</v>
      </c>
      <c r="D136" s="4">
        <v>3</v>
      </c>
      <c r="E136" s="4">
        <v>1460</v>
      </c>
      <c r="F136" s="4">
        <v>4.7270640559999997</v>
      </c>
      <c r="G136" s="2" t="s">
        <v>79</v>
      </c>
      <c r="H136" s="5">
        <v>1394.1</v>
      </c>
      <c r="I136" s="1" t="s">
        <v>8</v>
      </c>
      <c r="J136" s="18" t="s">
        <v>118</v>
      </c>
      <c r="K136" s="18" t="s">
        <v>237</v>
      </c>
      <c r="L136" s="18">
        <v>4080</v>
      </c>
      <c r="M136" s="18">
        <f t="shared" si="4"/>
        <v>300</v>
      </c>
      <c r="N136" s="10" t="str">
        <f t="shared" si="3"/>
        <v>Unique</v>
      </c>
    </row>
    <row r="137" spans="1:14" ht="15" thickBot="1" x14ac:dyDescent="0.4">
      <c r="A137" s="3">
        <v>46265.375694444447</v>
      </c>
      <c r="B137" s="1" t="s">
        <v>15</v>
      </c>
      <c r="C137" s="1" t="s">
        <v>7</v>
      </c>
      <c r="D137" s="4">
        <v>10</v>
      </c>
      <c r="E137" s="4">
        <v>2636</v>
      </c>
      <c r="F137" s="4">
        <v>4.6862589359999998</v>
      </c>
      <c r="G137" s="2" t="s">
        <v>72</v>
      </c>
      <c r="H137" s="5">
        <v>2518</v>
      </c>
      <c r="I137" s="1" t="s">
        <v>8</v>
      </c>
      <c r="J137" s="18" t="s">
        <v>117</v>
      </c>
      <c r="K137" s="18" t="s">
        <v>217</v>
      </c>
      <c r="L137" s="18">
        <v>26020</v>
      </c>
      <c r="M137" s="18">
        <f t="shared" si="4"/>
        <v>340</v>
      </c>
      <c r="N137" t="str">
        <f t="shared" si="3"/>
        <v>Unique</v>
      </c>
    </row>
    <row r="138" spans="1:14" ht="15" thickBot="1" x14ac:dyDescent="0.4">
      <c r="A138" s="3">
        <v>46262.375</v>
      </c>
      <c r="B138" s="1" t="s">
        <v>63</v>
      </c>
      <c r="C138" s="1" t="s">
        <v>7</v>
      </c>
      <c r="D138" s="4">
        <v>10</v>
      </c>
      <c r="E138" s="4">
        <v>1071</v>
      </c>
      <c r="F138" s="4">
        <v>4.6409379580000003</v>
      </c>
      <c r="G138" s="2" t="s">
        <v>64</v>
      </c>
      <c r="H138" s="5">
        <v>1023.5</v>
      </c>
      <c r="I138" s="1" t="s">
        <v>8</v>
      </c>
      <c r="J138" s="18" t="s">
        <v>118</v>
      </c>
      <c r="K138" s="18" t="s">
        <v>200</v>
      </c>
      <c r="L138" s="18">
        <v>10410</v>
      </c>
      <c r="M138" s="18">
        <f t="shared" si="4"/>
        <v>300</v>
      </c>
      <c r="N138" s="10" t="str">
        <f t="shared" si="3"/>
        <v>Unique</v>
      </c>
    </row>
    <row r="139" spans="1:14" ht="15" thickBot="1" x14ac:dyDescent="0.4">
      <c r="A139" s="11">
        <v>46252.645833333336</v>
      </c>
      <c r="B139" s="8" t="s">
        <v>49</v>
      </c>
      <c r="C139" s="8" t="s">
        <v>7</v>
      </c>
      <c r="D139" s="8">
        <v>5</v>
      </c>
      <c r="E139" s="8">
        <v>4177</v>
      </c>
      <c r="F139" s="4">
        <v>4.6133039470000003</v>
      </c>
      <c r="G139" s="2" t="s">
        <v>50</v>
      </c>
      <c r="H139" s="5">
        <v>3992.8</v>
      </c>
      <c r="I139" s="1" t="s">
        <v>8</v>
      </c>
      <c r="J139" s="40"/>
      <c r="N139" s="10" t="str">
        <f t="shared" si="3"/>
        <v>Unique</v>
      </c>
    </row>
    <row r="140" spans="1:14" s="25" customFormat="1" ht="15" thickBot="1" x14ac:dyDescent="0.4">
      <c r="A140" s="3">
        <v>46261.375</v>
      </c>
      <c r="B140" s="1" t="s">
        <v>57</v>
      </c>
      <c r="C140" s="1" t="s">
        <v>7</v>
      </c>
      <c r="D140" s="4">
        <v>5</v>
      </c>
      <c r="E140" s="4">
        <v>2948</v>
      </c>
      <c r="F140" s="4">
        <v>4.3539823010000003</v>
      </c>
      <c r="G140" s="2" t="s">
        <v>58</v>
      </c>
      <c r="H140" s="5">
        <v>2825</v>
      </c>
      <c r="I140" s="1" t="s">
        <v>8</v>
      </c>
      <c r="J140" s="18" t="s">
        <v>117</v>
      </c>
      <c r="K140" s="18" t="s">
        <v>186</v>
      </c>
      <c r="L140" s="18">
        <v>14440</v>
      </c>
      <c r="M140" s="18">
        <f t="shared" ref="M140:M145" si="5">ABS((D140*E140)-L140)</f>
        <v>300</v>
      </c>
      <c r="N140" s="10" t="str">
        <f t="shared" si="3"/>
        <v>Unique</v>
      </c>
    </row>
    <row r="141" spans="1:14" ht="15" thickBot="1" x14ac:dyDescent="0.4">
      <c r="A141" s="3">
        <v>46265.460416666669</v>
      </c>
      <c r="B141" s="1" t="s">
        <v>18</v>
      </c>
      <c r="C141" s="1" t="s">
        <v>7</v>
      </c>
      <c r="D141" s="4">
        <v>5</v>
      </c>
      <c r="E141" s="4">
        <v>1892</v>
      </c>
      <c r="F141" s="4">
        <v>4.340153312</v>
      </c>
      <c r="G141" s="2" t="s">
        <v>102</v>
      </c>
      <c r="H141" s="5">
        <v>1813.3</v>
      </c>
      <c r="I141" s="1" t="s">
        <v>8</v>
      </c>
      <c r="J141" s="18" t="s">
        <v>118</v>
      </c>
      <c r="K141" s="18" t="s">
        <v>203</v>
      </c>
      <c r="L141" s="18">
        <v>8810</v>
      </c>
      <c r="M141" s="18">
        <f t="shared" si="5"/>
        <v>650</v>
      </c>
      <c r="N141" t="str">
        <f t="shared" si="3"/>
        <v>Unique</v>
      </c>
    </row>
    <row r="142" spans="1:14" ht="15" thickBot="1" x14ac:dyDescent="0.4">
      <c r="A142" s="3">
        <v>46267.375</v>
      </c>
      <c r="B142" s="1" t="s">
        <v>14</v>
      </c>
      <c r="C142" s="1" t="s">
        <v>7</v>
      </c>
      <c r="D142" s="4">
        <v>50</v>
      </c>
      <c r="E142" s="4">
        <v>341</v>
      </c>
      <c r="F142" s="4">
        <v>4.2813455659999997</v>
      </c>
      <c r="G142" s="2" t="s">
        <v>45</v>
      </c>
      <c r="H142" s="5">
        <v>327</v>
      </c>
      <c r="I142" s="1" t="s">
        <v>8</v>
      </c>
      <c r="J142" s="18" t="s">
        <v>117</v>
      </c>
      <c r="K142" s="18" t="s">
        <v>241</v>
      </c>
      <c r="L142" s="18">
        <v>16755</v>
      </c>
      <c r="M142" s="18">
        <f t="shared" si="5"/>
        <v>295</v>
      </c>
      <c r="N142" s="10" t="str">
        <f t="shared" si="3"/>
        <v>Unique</v>
      </c>
    </row>
    <row r="143" spans="1:14" ht="15" thickBot="1" x14ac:dyDescent="0.4">
      <c r="A143" s="3">
        <v>46262.375</v>
      </c>
      <c r="B143" s="1" t="s">
        <v>82</v>
      </c>
      <c r="C143" s="1" t="s">
        <v>7</v>
      </c>
      <c r="D143" s="4">
        <v>2</v>
      </c>
      <c r="E143" s="4">
        <v>4360</v>
      </c>
      <c r="F143" s="4">
        <v>4.1816009559999996</v>
      </c>
      <c r="G143" s="2" t="s">
        <v>83</v>
      </c>
      <c r="H143" s="5">
        <v>4185</v>
      </c>
      <c r="I143" s="1" t="s">
        <v>8</v>
      </c>
      <c r="J143" s="18" t="s">
        <v>118</v>
      </c>
      <c r="K143" s="18" t="s">
        <v>193</v>
      </c>
      <c r="L143" s="18">
        <v>8420</v>
      </c>
      <c r="M143" s="18">
        <f t="shared" si="5"/>
        <v>300</v>
      </c>
      <c r="N143" s="10" t="str">
        <f t="shared" si="3"/>
        <v>Unique</v>
      </c>
    </row>
    <row r="144" spans="1:14" ht="15" thickBot="1" x14ac:dyDescent="0.4">
      <c r="A144" s="3">
        <v>46265.390277777777</v>
      </c>
      <c r="B144" s="1" t="s">
        <v>15</v>
      </c>
      <c r="C144" s="1" t="s">
        <v>7</v>
      </c>
      <c r="D144" s="4">
        <v>10</v>
      </c>
      <c r="E144" s="4">
        <v>2618</v>
      </c>
      <c r="F144" s="4">
        <v>3.9714058780000001</v>
      </c>
      <c r="G144" s="2" t="s">
        <v>72</v>
      </c>
      <c r="H144" s="5">
        <v>2518</v>
      </c>
      <c r="I144" s="1" t="s">
        <v>8</v>
      </c>
      <c r="J144" s="18" t="s">
        <v>117</v>
      </c>
      <c r="K144" s="18" t="s">
        <v>208</v>
      </c>
      <c r="L144" s="18">
        <v>25530</v>
      </c>
      <c r="M144" s="18">
        <f t="shared" si="5"/>
        <v>650</v>
      </c>
      <c r="N144" t="str">
        <f t="shared" si="3"/>
        <v>Unique</v>
      </c>
    </row>
    <row r="145" spans="1:14" s="26" customFormat="1" ht="15" thickBot="1" x14ac:dyDescent="0.4">
      <c r="A145" s="3">
        <v>46265.466666666667</v>
      </c>
      <c r="B145" s="1" t="s">
        <v>80</v>
      </c>
      <c r="C145" s="1" t="s">
        <v>7</v>
      </c>
      <c r="D145" s="4">
        <v>10</v>
      </c>
      <c r="E145" s="4">
        <v>1548</v>
      </c>
      <c r="F145" s="4">
        <v>3.9623908659999998</v>
      </c>
      <c r="G145" s="2" t="s">
        <v>81</v>
      </c>
      <c r="H145" s="5">
        <v>1489</v>
      </c>
      <c r="I145" s="1" t="s">
        <v>8</v>
      </c>
      <c r="J145" s="18" t="s">
        <v>117</v>
      </c>
      <c r="K145" s="18" t="s">
        <v>206</v>
      </c>
      <c r="L145" s="18">
        <v>15050</v>
      </c>
      <c r="M145" s="18">
        <f t="shared" si="5"/>
        <v>430</v>
      </c>
      <c r="N145" t="str">
        <f t="shared" si="3"/>
        <v>Unique</v>
      </c>
    </row>
    <row r="146" spans="1:14" ht="15" thickBot="1" x14ac:dyDescent="0.4">
      <c r="A146" s="11">
        <v>46252.645138888889</v>
      </c>
      <c r="B146" s="8" t="s">
        <v>68</v>
      </c>
      <c r="C146" s="8" t="s">
        <v>7</v>
      </c>
      <c r="D146" s="8">
        <v>20</v>
      </c>
      <c r="E146" s="8">
        <v>424</v>
      </c>
      <c r="F146" s="4">
        <v>3.7943696450000002</v>
      </c>
      <c r="G146" s="2" t="s">
        <v>69</v>
      </c>
      <c r="H146" s="5">
        <v>408.5</v>
      </c>
      <c r="I146" s="1" t="s">
        <v>8</v>
      </c>
      <c r="J146" s="40"/>
      <c r="N146" s="10" t="str">
        <f t="shared" si="3"/>
        <v>Unique</v>
      </c>
    </row>
    <row r="147" spans="1:14" ht="15" thickBot="1" x14ac:dyDescent="0.4">
      <c r="A147" s="3">
        <v>46265.392361111109</v>
      </c>
      <c r="B147" s="1" t="s">
        <v>19</v>
      </c>
      <c r="C147" s="1" t="s">
        <v>7</v>
      </c>
      <c r="D147" s="4">
        <v>250</v>
      </c>
      <c r="E147" s="4">
        <v>227.8</v>
      </c>
      <c r="F147" s="4">
        <v>3.6915653879999999</v>
      </c>
      <c r="G147" s="2" t="s">
        <v>40</v>
      </c>
      <c r="H147" s="5">
        <v>219.69</v>
      </c>
      <c r="I147" s="1" t="s">
        <v>8</v>
      </c>
      <c r="J147" s="18" t="s">
        <v>118</v>
      </c>
      <c r="K147" s="18" t="s">
        <v>219</v>
      </c>
      <c r="L147" s="18">
        <v>55382.5</v>
      </c>
      <c r="M147" s="18">
        <f t="shared" ref="M147:M153" si="6">ABS((D147*E147)-L147)</f>
        <v>1567.5</v>
      </c>
      <c r="N147" t="str">
        <f t="shared" si="3"/>
        <v>Unique</v>
      </c>
    </row>
    <row r="148" spans="1:14" s="35" customFormat="1" ht="15" thickBot="1" x14ac:dyDescent="0.4">
      <c r="A148" s="47">
        <v>46267.461111111108</v>
      </c>
      <c r="B148" s="48" t="s">
        <v>14</v>
      </c>
      <c r="C148" s="48" t="s">
        <v>7</v>
      </c>
      <c r="D148" s="49">
        <v>100</v>
      </c>
      <c r="E148" s="49">
        <v>339</v>
      </c>
      <c r="F148" s="49">
        <v>3.6697247709999998</v>
      </c>
      <c r="G148" s="50" t="s">
        <v>45</v>
      </c>
      <c r="H148" s="51">
        <v>327</v>
      </c>
      <c r="I148" s="48" t="s">
        <v>8</v>
      </c>
      <c r="J148" s="33" t="s">
        <v>117</v>
      </c>
      <c r="K148" s="33" t="s">
        <v>234</v>
      </c>
      <c r="L148" s="33">
        <v>32900</v>
      </c>
      <c r="M148" s="33">
        <f t="shared" si="6"/>
        <v>1000</v>
      </c>
      <c r="N148" s="35" t="str">
        <f t="shared" si="3"/>
        <v>Duplicate</v>
      </c>
    </row>
    <row r="149" spans="1:14" s="35" customFormat="1" ht="15" thickBot="1" x14ac:dyDescent="0.4">
      <c r="A149" s="47">
        <v>46267.38958333333</v>
      </c>
      <c r="B149" s="48" t="s">
        <v>14</v>
      </c>
      <c r="C149" s="48" t="s">
        <v>7</v>
      </c>
      <c r="D149" s="49">
        <v>100</v>
      </c>
      <c r="E149" s="49">
        <v>339</v>
      </c>
      <c r="F149" s="49">
        <v>3.6697247709999998</v>
      </c>
      <c r="G149" s="50" t="s">
        <v>45</v>
      </c>
      <c r="H149" s="51">
        <v>327</v>
      </c>
      <c r="I149" s="48" t="s">
        <v>8</v>
      </c>
      <c r="J149" s="33" t="s">
        <v>117</v>
      </c>
      <c r="K149" s="33" t="s">
        <v>236</v>
      </c>
      <c r="L149" s="33">
        <v>33200</v>
      </c>
      <c r="M149" s="33">
        <f t="shared" si="6"/>
        <v>700</v>
      </c>
      <c r="N149" s="35" t="str">
        <f t="shared" si="3"/>
        <v>Duplicate</v>
      </c>
    </row>
    <row r="150" spans="1:14" ht="15" thickBot="1" x14ac:dyDescent="0.4">
      <c r="A150" s="3">
        <v>46265.375694444447</v>
      </c>
      <c r="B150" s="1" t="s">
        <v>15</v>
      </c>
      <c r="C150" s="1" t="s">
        <v>7</v>
      </c>
      <c r="D150" s="4">
        <v>10</v>
      </c>
      <c r="E150" s="4">
        <v>2608</v>
      </c>
      <c r="F150" s="4">
        <v>3.57426529</v>
      </c>
      <c r="G150" s="2" t="s">
        <v>72</v>
      </c>
      <c r="H150" s="5">
        <v>2518</v>
      </c>
      <c r="I150" s="1" t="s">
        <v>8</v>
      </c>
      <c r="J150" s="18" t="s">
        <v>118</v>
      </c>
      <c r="K150" s="18" t="s">
        <v>211</v>
      </c>
      <c r="L150" s="18">
        <v>25780</v>
      </c>
      <c r="M150" s="18">
        <f t="shared" si="6"/>
        <v>300</v>
      </c>
      <c r="N150" t="str">
        <f t="shared" si="3"/>
        <v>Unique</v>
      </c>
    </row>
    <row r="151" spans="1:14" ht="15" thickBot="1" x14ac:dyDescent="0.4">
      <c r="A151" s="3">
        <v>46266.375</v>
      </c>
      <c r="B151" s="1" t="s">
        <v>63</v>
      </c>
      <c r="C151" s="1" t="s">
        <v>7</v>
      </c>
      <c r="D151" s="4">
        <v>10</v>
      </c>
      <c r="E151" s="4">
        <v>1060</v>
      </c>
      <c r="F151" s="4">
        <v>3.566194431</v>
      </c>
      <c r="G151" s="2" t="s">
        <v>64</v>
      </c>
      <c r="H151" s="5">
        <v>1023.5</v>
      </c>
      <c r="I151" s="1" t="s">
        <v>8</v>
      </c>
      <c r="J151" s="18" t="s">
        <v>117</v>
      </c>
      <c r="K151" s="18" t="s">
        <v>226</v>
      </c>
      <c r="L151" s="18">
        <v>10300</v>
      </c>
      <c r="M151" s="18">
        <f t="shared" si="6"/>
        <v>300</v>
      </c>
      <c r="N151" s="10" t="str">
        <f t="shared" si="3"/>
        <v>Unique</v>
      </c>
    </row>
    <row r="152" spans="1:14" ht="15" thickBot="1" x14ac:dyDescent="0.4">
      <c r="A152" s="36">
        <v>46267.375</v>
      </c>
      <c r="B152" s="37" t="s">
        <v>36</v>
      </c>
      <c r="C152" s="37" t="s">
        <v>7</v>
      </c>
      <c r="D152" s="38">
        <v>5</v>
      </c>
      <c r="E152" s="38">
        <v>1206</v>
      </c>
      <c r="F152" s="4">
        <v>3.5281998450000001</v>
      </c>
      <c r="G152" s="2" t="s">
        <v>65</v>
      </c>
      <c r="H152" s="5">
        <v>1164.9000000000001</v>
      </c>
      <c r="I152" s="1" t="s">
        <v>8</v>
      </c>
      <c r="J152" s="33" t="s">
        <v>118</v>
      </c>
      <c r="K152" s="33" t="s">
        <v>239</v>
      </c>
      <c r="L152" s="33">
        <v>5755</v>
      </c>
      <c r="M152" s="33">
        <f t="shared" si="6"/>
        <v>275</v>
      </c>
      <c r="N152" s="35" t="str">
        <f t="shared" si="3"/>
        <v>Duplicate</v>
      </c>
    </row>
    <row r="153" spans="1:14" ht="15" thickBot="1" x14ac:dyDescent="0.4">
      <c r="A153" s="36">
        <v>46267.375</v>
      </c>
      <c r="B153" s="37" t="s">
        <v>36</v>
      </c>
      <c r="C153" s="37" t="s">
        <v>7</v>
      </c>
      <c r="D153" s="38">
        <v>5</v>
      </c>
      <c r="E153" s="38">
        <v>1206</v>
      </c>
      <c r="F153" s="4">
        <v>3.5281998450000001</v>
      </c>
      <c r="G153" s="2" t="s">
        <v>65</v>
      </c>
      <c r="H153" s="5">
        <v>1164.9000000000001</v>
      </c>
      <c r="I153" s="1" t="s">
        <v>8</v>
      </c>
      <c r="J153" s="33" t="s">
        <v>118</v>
      </c>
      <c r="K153" s="33" t="s">
        <v>243</v>
      </c>
      <c r="L153" s="33">
        <v>5805</v>
      </c>
      <c r="M153" s="33">
        <f t="shared" si="6"/>
        <v>225</v>
      </c>
      <c r="N153" s="35" t="str">
        <f t="shared" si="3"/>
        <v>Duplicate</v>
      </c>
    </row>
    <row r="154" spans="1:14" ht="15" thickBot="1" x14ac:dyDescent="0.4">
      <c r="A154" s="11">
        <v>46252.645138888889</v>
      </c>
      <c r="B154" s="8" t="s">
        <v>49</v>
      </c>
      <c r="C154" s="8" t="s">
        <v>7</v>
      </c>
      <c r="D154" s="8">
        <v>5</v>
      </c>
      <c r="E154" s="8">
        <v>4129</v>
      </c>
      <c r="F154" s="4">
        <v>3.4111400519999999</v>
      </c>
      <c r="G154" s="2" t="s">
        <v>50</v>
      </c>
      <c r="H154" s="5">
        <v>3992.8</v>
      </c>
      <c r="I154" s="1" t="s">
        <v>8</v>
      </c>
      <c r="J154" s="40"/>
      <c r="N154" s="10" t="str">
        <f t="shared" si="3"/>
        <v>Unique</v>
      </c>
    </row>
    <row r="155" spans="1:14" ht="15" thickBot="1" x14ac:dyDescent="0.4">
      <c r="A155" s="3">
        <v>46266.375</v>
      </c>
      <c r="B155" s="1" t="s">
        <v>87</v>
      </c>
      <c r="C155" s="1" t="s">
        <v>7</v>
      </c>
      <c r="D155" s="4">
        <v>10</v>
      </c>
      <c r="E155" s="4">
        <v>1296</v>
      </c>
      <c r="F155" s="4">
        <v>3.2669322709999999</v>
      </c>
      <c r="G155" s="2" t="s">
        <v>88</v>
      </c>
      <c r="H155" s="5">
        <v>1255</v>
      </c>
      <c r="I155" s="1" t="s">
        <v>8</v>
      </c>
      <c r="J155" s="18" t="s">
        <v>117</v>
      </c>
      <c r="K155" s="18" t="s">
        <v>227</v>
      </c>
      <c r="L155" s="18">
        <v>12600</v>
      </c>
      <c r="M155" s="18">
        <f>ABS((D155*E155)-L155)</f>
        <v>360</v>
      </c>
      <c r="N155" s="10" t="str">
        <f t="shared" si="3"/>
        <v>Unique</v>
      </c>
    </row>
    <row r="156" spans="1:14" ht="15" thickBot="1" x14ac:dyDescent="0.4">
      <c r="A156" s="3">
        <v>46267.375</v>
      </c>
      <c r="B156" s="1" t="s">
        <v>51</v>
      </c>
      <c r="C156" s="1" t="s">
        <v>7</v>
      </c>
      <c r="D156" s="4">
        <v>10</v>
      </c>
      <c r="E156" s="4">
        <v>957</v>
      </c>
      <c r="F156" s="4">
        <v>3.2306779570000002</v>
      </c>
      <c r="G156" s="2" t="s">
        <v>52</v>
      </c>
      <c r="H156" s="5">
        <v>927.05</v>
      </c>
      <c r="I156" s="1" t="s">
        <v>8</v>
      </c>
      <c r="J156" s="18" t="s">
        <v>117</v>
      </c>
      <c r="K156" s="18" t="s">
        <v>242</v>
      </c>
      <c r="L156" s="18">
        <v>9270</v>
      </c>
      <c r="M156" s="18">
        <f>ABS((D156*E156)-L156)</f>
        <v>300</v>
      </c>
      <c r="N156" s="10" t="str">
        <f t="shared" si="3"/>
        <v>Unique</v>
      </c>
    </row>
    <row r="157" spans="1:14" ht="15" thickBot="1" x14ac:dyDescent="0.4">
      <c r="A157" s="3">
        <v>46266.375694444447</v>
      </c>
      <c r="B157" s="1" t="s">
        <v>121</v>
      </c>
      <c r="C157" s="1" t="s">
        <v>7</v>
      </c>
      <c r="D157" s="4">
        <v>25</v>
      </c>
      <c r="E157" s="4">
        <v>772</v>
      </c>
      <c r="F157" s="4">
        <v>3.2085561500000002</v>
      </c>
      <c r="G157" s="2" t="s">
        <v>122</v>
      </c>
      <c r="H157" s="5">
        <v>748</v>
      </c>
      <c r="I157" s="1" t="s">
        <v>8</v>
      </c>
      <c r="J157" s="18" t="s">
        <v>117</v>
      </c>
      <c r="K157" s="18" t="s">
        <v>223</v>
      </c>
      <c r="L157" s="18">
        <v>18800</v>
      </c>
      <c r="M157" s="18">
        <f>ABS((D157*E157)-L157)</f>
        <v>500</v>
      </c>
      <c r="N157" s="10" t="str">
        <f t="shared" si="3"/>
        <v>Unique</v>
      </c>
    </row>
    <row r="158" spans="1:14" ht="15" thickBot="1" x14ac:dyDescent="0.4">
      <c r="A158" s="3">
        <v>46266.375</v>
      </c>
      <c r="B158" s="1" t="s">
        <v>15</v>
      </c>
      <c r="C158" s="1" t="s">
        <v>7</v>
      </c>
      <c r="D158" s="4">
        <v>10</v>
      </c>
      <c r="E158" s="4">
        <v>2595</v>
      </c>
      <c r="F158" s="4">
        <v>3.057982526</v>
      </c>
      <c r="G158" s="2" t="s">
        <v>72</v>
      </c>
      <c r="H158" s="5">
        <v>2518</v>
      </c>
      <c r="I158" s="1" t="s">
        <v>8</v>
      </c>
      <c r="J158" s="18" t="s">
        <v>118</v>
      </c>
      <c r="K158" s="18" t="s">
        <v>228</v>
      </c>
      <c r="L158" s="18">
        <v>25300</v>
      </c>
      <c r="M158" s="18">
        <f>ABS((D158*E158)-L158)</f>
        <v>650</v>
      </c>
      <c r="N158" s="10" t="str">
        <f t="shared" si="3"/>
        <v>Unique</v>
      </c>
    </row>
    <row r="159" spans="1:14" ht="15" thickBot="1" x14ac:dyDescent="0.4">
      <c r="A159" s="3">
        <v>46267.513888888891</v>
      </c>
      <c r="B159" s="1" t="s">
        <v>15</v>
      </c>
      <c r="C159" s="1" t="s">
        <v>7</v>
      </c>
      <c r="D159" s="4">
        <v>5</v>
      </c>
      <c r="E159" s="4">
        <v>2595</v>
      </c>
      <c r="F159" s="4">
        <v>3.057982526</v>
      </c>
      <c r="G159" s="2" t="s">
        <v>72</v>
      </c>
      <c r="H159" s="5">
        <v>2518</v>
      </c>
      <c r="I159" s="1" t="s">
        <v>8</v>
      </c>
      <c r="J159" s="18" t="s">
        <v>118</v>
      </c>
      <c r="K159" s="18" t="s">
        <v>240</v>
      </c>
      <c r="L159" s="18">
        <v>12480</v>
      </c>
      <c r="M159" s="18">
        <f>ABS((D159*E159)-L159)</f>
        <v>495</v>
      </c>
      <c r="N159" s="10" t="str">
        <f t="shared" si="3"/>
        <v>Unique</v>
      </c>
    </row>
    <row r="160" spans="1:14" ht="15" thickBot="1" x14ac:dyDescent="0.4">
      <c r="A160" s="11">
        <v>46252.6875</v>
      </c>
      <c r="B160" s="8" t="s">
        <v>9</v>
      </c>
      <c r="C160" s="8" t="s">
        <v>7</v>
      </c>
      <c r="D160" s="8">
        <v>50</v>
      </c>
      <c r="E160" s="8">
        <v>305</v>
      </c>
      <c r="F160" s="4">
        <v>3.0057413039999998</v>
      </c>
      <c r="G160" s="2" t="s">
        <v>95</v>
      </c>
      <c r="H160" s="5">
        <v>296.10000000000002</v>
      </c>
      <c r="I160" s="1" t="s">
        <v>8</v>
      </c>
      <c r="J160" s="40" t="s">
        <v>118</v>
      </c>
      <c r="N160" s="10" t="str">
        <f t="shared" si="3"/>
        <v>Unique</v>
      </c>
    </row>
    <row r="161" spans="1:14" ht="15" thickBot="1" x14ac:dyDescent="0.4">
      <c r="A161" s="3">
        <v>46260.375694444447</v>
      </c>
      <c r="B161" s="1" t="s">
        <v>49</v>
      </c>
      <c r="C161" s="1" t="s">
        <v>7</v>
      </c>
      <c r="D161" s="4">
        <v>5</v>
      </c>
      <c r="E161" s="4">
        <v>4112</v>
      </c>
      <c r="F161" s="4">
        <v>2.9853736729999998</v>
      </c>
      <c r="G161" s="2" t="s">
        <v>50</v>
      </c>
      <c r="H161" s="5">
        <v>3992.8</v>
      </c>
      <c r="I161" s="1" t="s">
        <v>8</v>
      </c>
      <c r="J161" s="18" t="s">
        <v>118</v>
      </c>
      <c r="K161" s="18" t="s">
        <v>174</v>
      </c>
      <c r="L161" s="18">
        <v>20260</v>
      </c>
      <c r="M161" s="18">
        <f t="shared" ref="M161:M166" si="7">ABS((D161*E161)-L161)</f>
        <v>300</v>
      </c>
      <c r="N161" t="str">
        <f t="shared" si="3"/>
        <v>Unique</v>
      </c>
    </row>
    <row r="162" spans="1:14" ht="15" thickBot="1" x14ac:dyDescent="0.4">
      <c r="A162" s="3">
        <v>46266.375</v>
      </c>
      <c r="B162" s="1" t="s">
        <v>89</v>
      </c>
      <c r="C162" s="1" t="s">
        <v>7</v>
      </c>
      <c r="D162" s="4">
        <v>1</v>
      </c>
      <c r="E162" s="4">
        <v>14852</v>
      </c>
      <c r="F162" s="4">
        <v>2.8531855959999999</v>
      </c>
      <c r="G162" s="2" t="s">
        <v>90</v>
      </c>
      <c r="H162" s="5">
        <v>14440</v>
      </c>
      <c r="I162" s="1" t="s">
        <v>8</v>
      </c>
      <c r="J162" s="18" t="s">
        <v>118</v>
      </c>
      <c r="K162" s="18" t="s">
        <v>230</v>
      </c>
      <c r="L162" s="18">
        <v>14552</v>
      </c>
      <c r="M162" s="18">
        <f t="shared" si="7"/>
        <v>300</v>
      </c>
      <c r="N162" s="10" t="str">
        <f t="shared" si="3"/>
        <v>Unique</v>
      </c>
    </row>
    <row r="163" spans="1:14" ht="15" thickBot="1" x14ac:dyDescent="0.4">
      <c r="A163" s="3">
        <v>46267.375</v>
      </c>
      <c r="B163" s="1" t="s">
        <v>82</v>
      </c>
      <c r="C163" s="1" t="s">
        <v>7</v>
      </c>
      <c r="D163" s="4">
        <v>2</v>
      </c>
      <c r="E163" s="4">
        <v>4290</v>
      </c>
      <c r="F163" s="4">
        <v>2.508960573</v>
      </c>
      <c r="G163" s="2" t="s">
        <v>83</v>
      </c>
      <c r="H163" s="5">
        <v>4185</v>
      </c>
      <c r="I163" s="1" t="s">
        <v>8</v>
      </c>
      <c r="J163" s="18" t="s">
        <v>118</v>
      </c>
      <c r="K163" s="18" t="s">
        <v>238</v>
      </c>
      <c r="L163" s="18">
        <v>8220</v>
      </c>
      <c r="M163" s="18">
        <f t="shared" si="7"/>
        <v>360</v>
      </c>
      <c r="N163" s="10" t="str">
        <f t="shared" si="3"/>
        <v>Unique</v>
      </c>
    </row>
    <row r="164" spans="1:14" ht="15" thickBot="1" x14ac:dyDescent="0.4">
      <c r="A164" s="3">
        <v>46265.375694444447</v>
      </c>
      <c r="B164" s="1" t="s">
        <v>49</v>
      </c>
      <c r="C164" s="1" t="s">
        <v>7</v>
      </c>
      <c r="D164" s="4">
        <v>5</v>
      </c>
      <c r="E164" s="4">
        <v>4092</v>
      </c>
      <c r="F164" s="4">
        <v>2.4844720499999999</v>
      </c>
      <c r="G164" s="2" t="s">
        <v>50</v>
      </c>
      <c r="H164" s="5">
        <v>3992.8</v>
      </c>
      <c r="I164" s="1" t="s">
        <v>8</v>
      </c>
      <c r="J164" s="18" t="s">
        <v>118</v>
      </c>
      <c r="K164" s="18" t="s">
        <v>215</v>
      </c>
      <c r="L164" s="18">
        <v>20010</v>
      </c>
      <c r="M164" s="18">
        <f t="shared" si="7"/>
        <v>450</v>
      </c>
      <c r="N164" t="str">
        <f t="shared" si="3"/>
        <v>Unique</v>
      </c>
    </row>
    <row r="165" spans="1:14" ht="15" thickBot="1" x14ac:dyDescent="0.4">
      <c r="A165" s="36">
        <v>46262.375</v>
      </c>
      <c r="B165" s="37" t="s">
        <v>43</v>
      </c>
      <c r="C165" s="37" t="s">
        <v>7</v>
      </c>
      <c r="D165" s="38">
        <v>5</v>
      </c>
      <c r="E165" s="38">
        <v>747</v>
      </c>
      <c r="F165" s="4">
        <v>2.1887824899999999</v>
      </c>
      <c r="G165" s="2" t="s">
        <v>44</v>
      </c>
      <c r="H165" s="5">
        <v>731</v>
      </c>
      <c r="I165" s="1" t="s">
        <v>8</v>
      </c>
      <c r="J165" s="33" t="s">
        <v>118</v>
      </c>
      <c r="K165" s="33" t="s">
        <v>198</v>
      </c>
      <c r="L165" s="33">
        <v>3560</v>
      </c>
      <c r="M165" s="33">
        <f t="shared" si="7"/>
        <v>175</v>
      </c>
      <c r="N165" s="35" t="str">
        <f t="shared" si="3"/>
        <v>Duplicate</v>
      </c>
    </row>
    <row r="166" spans="1:14" ht="15" thickBot="1" x14ac:dyDescent="0.4">
      <c r="A166" s="36">
        <v>46265.375694444447</v>
      </c>
      <c r="B166" s="37" t="s">
        <v>43</v>
      </c>
      <c r="C166" s="37" t="s">
        <v>7</v>
      </c>
      <c r="D166" s="38">
        <v>5</v>
      </c>
      <c r="E166" s="38">
        <v>747</v>
      </c>
      <c r="F166" s="4">
        <v>2.1887824899999999</v>
      </c>
      <c r="G166" s="2" t="s">
        <v>44</v>
      </c>
      <c r="H166" s="5">
        <v>731</v>
      </c>
      <c r="I166" s="1" t="s">
        <v>8</v>
      </c>
      <c r="J166" s="33" t="s">
        <v>118</v>
      </c>
      <c r="K166" s="33" t="s">
        <v>216</v>
      </c>
      <c r="L166" s="33">
        <v>3510</v>
      </c>
      <c r="M166" s="33">
        <f t="shared" si="7"/>
        <v>225</v>
      </c>
      <c r="N166" s="34" t="str">
        <f t="shared" si="3"/>
        <v>Duplicate</v>
      </c>
    </row>
    <row r="167" spans="1:14" ht="15" thickBot="1" x14ac:dyDescent="0.4">
      <c r="A167" s="3">
        <v>46268.375543981485</v>
      </c>
      <c r="B167" s="1" t="s">
        <v>14</v>
      </c>
      <c r="C167" s="1" t="s">
        <v>7</v>
      </c>
      <c r="D167" s="4">
        <v>100</v>
      </c>
      <c r="E167" s="4">
        <v>334</v>
      </c>
      <c r="F167" s="4">
        <v>2.1406727829999999</v>
      </c>
      <c r="G167" s="2" t="s">
        <v>45</v>
      </c>
      <c r="H167" s="5">
        <v>327</v>
      </c>
      <c r="I167" s="1" t="s">
        <v>8</v>
      </c>
      <c r="J167" s="18" t="s">
        <v>117</v>
      </c>
      <c r="K167" s="18" t="s">
        <v>247</v>
      </c>
      <c r="L167" s="18">
        <v>32200</v>
      </c>
      <c r="M167" s="18">
        <f>ABS((D167*E167)-L167)</f>
        <v>1200</v>
      </c>
      <c r="N167" s="10" t="str">
        <f t="shared" si="3"/>
        <v>Unique</v>
      </c>
    </row>
    <row r="168" spans="1:14" ht="15" thickBot="1" x14ac:dyDescent="0.4">
      <c r="A168" s="3">
        <v>46266.375694444447</v>
      </c>
      <c r="B168" s="1" t="s">
        <v>66</v>
      </c>
      <c r="C168" s="1" t="s">
        <v>7</v>
      </c>
      <c r="D168" s="4">
        <v>5</v>
      </c>
      <c r="E168" s="4">
        <v>1248</v>
      </c>
      <c r="F168" s="4">
        <v>2.0858895710000001</v>
      </c>
      <c r="G168" s="2" t="s">
        <v>67</v>
      </c>
      <c r="H168" s="5">
        <v>1222.5</v>
      </c>
      <c r="I168" s="1" t="s">
        <v>8</v>
      </c>
      <c r="J168" s="18" t="s">
        <v>117</v>
      </c>
      <c r="K168" s="18" t="s">
        <v>222</v>
      </c>
      <c r="L168" s="18">
        <v>5940</v>
      </c>
      <c r="M168" s="18">
        <f>ABS((D168*E168)-L168)</f>
        <v>300</v>
      </c>
      <c r="N168" s="10" t="str">
        <f t="shared" si="3"/>
        <v>Unique</v>
      </c>
    </row>
    <row r="169" spans="1:14" ht="15" thickBot="1" x14ac:dyDescent="0.4">
      <c r="A169" s="6" t="s">
        <v>62</v>
      </c>
      <c r="B169" s="1" t="s">
        <v>49</v>
      </c>
      <c r="C169" s="1" t="s">
        <v>10</v>
      </c>
      <c r="D169" s="4">
        <v>5</v>
      </c>
      <c r="E169" s="4">
        <v>3952</v>
      </c>
      <c r="F169" s="4">
        <v>-1.0218393109999999</v>
      </c>
      <c r="G169" s="2" t="s">
        <v>50</v>
      </c>
      <c r="H169" s="5">
        <v>3992.8</v>
      </c>
      <c r="I169" s="1" t="s">
        <v>8</v>
      </c>
      <c r="J169" s="44" t="s">
        <v>55</v>
      </c>
      <c r="K169" s="17"/>
      <c r="L169" s="17"/>
      <c r="M169" s="17"/>
      <c r="N169" t="str">
        <f t="shared" si="3"/>
        <v>Unique</v>
      </c>
    </row>
    <row r="170" spans="1:14" ht="15" thickBot="1" x14ac:dyDescent="0.4">
      <c r="A170" s="6" t="s">
        <v>62</v>
      </c>
      <c r="B170" s="1" t="s">
        <v>16</v>
      </c>
      <c r="C170" s="1" t="s">
        <v>10</v>
      </c>
      <c r="D170" s="4">
        <v>5</v>
      </c>
      <c r="E170" s="4">
        <v>852</v>
      </c>
      <c r="F170" s="4">
        <v>-1.0797631489999999</v>
      </c>
      <c r="G170" s="2" t="s">
        <v>61</v>
      </c>
      <c r="H170" s="5">
        <v>861.3</v>
      </c>
      <c r="I170" s="1" t="s">
        <v>8</v>
      </c>
      <c r="J170" s="43" t="s">
        <v>41</v>
      </c>
      <c r="K170" s="17"/>
      <c r="L170" s="17"/>
      <c r="M170" s="17"/>
      <c r="N170" t="str">
        <f t="shared" si="3"/>
        <v>Unique</v>
      </c>
    </row>
    <row r="171" spans="1:14" ht="15" thickBot="1" x14ac:dyDescent="0.4">
      <c r="A171" s="6" t="s">
        <v>62</v>
      </c>
      <c r="B171" s="1" t="s">
        <v>49</v>
      </c>
      <c r="C171" s="1" t="s">
        <v>10</v>
      </c>
      <c r="D171" s="4">
        <v>5</v>
      </c>
      <c r="E171" s="4">
        <v>3938</v>
      </c>
      <c r="F171" s="4">
        <v>-1.372470447</v>
      </c>
      <c r="G171" s="2" t="s">
        <v>50</v>
      </c>
      <c r="H171" s="5">
        <v>3992.8</v>
      </c>
      <c r="I171" s="1" t="s">
        <v>8</v>
      </c>
      <c r="J171" s="43"/>
      <c r="K171" s="17"/>
      <c r="L171" s="17"/>
      <c r="M171" s="17"/>
      <c r="N171" t="str">
        <f t="shared" si="3"/>
        <v>Unique</v>
      </c>
    </row>
    <row r="172" spans="1:14" ht="15" thickBot="1" x14ac:dyDescent="0.4">
      <c r="A172" s="3">
        <v>46258.375694444447</v>
      </c>
      <c r="B172" s="1" t="s">
        <v>80</v>
      </c>
      <c r="C172" s="1" t="s">
        <v>10</v>
      </c>
      <c r="D172" s="4">
        <v>10</v>
      </c>
      <c r="E172" s="4">
        <v>1465</v>
      </c>
      <c r="F172" s="4">
        <v>-1.611820013</v>
      </c>
      <c r="G172" s="2" t="s">
        <v>81</v>
      </c>
      <c r="H172" s="5">
        <v>1489</v>
      </c>
      <c r="I172" s="1" t="s">
        <v>8</v>
      </c>
      <c r="J172" s="18" t="s">
        <v>55</v>
      </c>
      <c r="K172" s="18" t="s">
        <v>162</v>
      </c>
      <c r="L172" s="18">
        <v>15100</v>
      </c>
      <c r="M172" s="18">
        <f>ABS((D172*E172)-L172)</f>
        <v>450</v>
      </c>
      <c r="N172" s="10" t="str">
        <f t="shared" si="3"/>
        <v>Unique</v>
      </c>
    </row>
    <row r="173" spans="1:14" ht="15" thickBot="1" x14ac:dyDescent="0.4">
      <c r="A173" s="6" t="s">
        <v>62</v>
      </c>
      <c r="B173" s="1" t="s">
        <v>63</v>
      </c>
      <c r="C173" s="1" t="s">
        <v>10</v>
      </c>
      <c r="D173" s="4">
        <v>15</v>
      </c>
      <c r="E173" s="4">
        <v>1005</v>
      </c>
      <c r="F173" s="4">
        <v>-1.8075232050000001</v>
      </c>
      <c r="G173" s="2" t="s">
        <v>64</v>
      </c>
      <c r="H173" s="5">
        <v>1023.5</v>
      </c>
      <c r="I173" s="1" t="s">
        <v>8</v>
      </c>
      <c r="J173" s="43"/>
      <c r="K173" s="17"/>
      <c r="L173" s="17"/>
      <c r="M173" s="17"/>
      <c r="N173" t="str">
        <f t="shared" si="3"/>
        <v>Unique</v>
      </c>
    </row>
    <row r="174" spans="1:14" ht="16" thickBot="1" x14ac:dyDescent="0.4">
      <c r="A174" s="3">
        <v>46252.645138888889</v>
      </c>
      <c r="B174" s="1" t="s">
        <v>68</v>
      </c>
      <c r="C174" s="1" t="s">
        <v>10</v>
      </c>
      <c r="D174" s="4">
        <v>10</v>
      </c>
      <c r="E174" s="4">
        <v>401</v>
      </c>
      <c r="F174" s="4">
        <v>-1.835985312</v>
      </c>
      <c r="G174" s="2" t="s">
        <v>69</v>
      </c>
      <c r="H174" s="5">
        <v>408.5</v>
      </c>
      <c r="I174" s="1" t="s">
        <v>8</v>
      </c>
      <c r="J174" s="46" t="s">
        <v>118</v>
      </c>
      <c r="K174" s="17"/>
      <c r="L174" s="17"/>
      <c r="M174" s="17"/>
      <c r="N174" t="str">
        <f t="shared" si="3"/>
        <v>Unique</v>
      </c>
    </row>
    <row r="175" spans="1:14" ht="15" thickBot="1" x14ac:dyDescent="0.4">
      <c r="A175" s="3">
        <v>46265.375694444447</v>
      </c>
      <c r="B175" s="1" t="s">
        <v>21</v>
      </c>
      <c r="C175" s="1" t="s">
        <v>10</v>
      </c>
      <c r="D175" s="4">
        <v>5</v>
      </c>
      <c r="E175" s="4">
        <v>680</v>
      </c>
      <c r="F175" s="4">
        <v>-1.8759018759999999</v>
      </c>
      <c r="G175" s="2" t="s">
        <v>76</v>
      </c>
      <c r="H175" s="5">
        <v>693</v>
      </c>
      <c r="I175" s="1" t="s">
        <v>8</v>
      </c>
      <c r="J175" s="18" t="s">
        <v>41</v>
      </c>
      <c r="K175" s="18" t="s">
        <v>218</v>
      </c>
      <c r="L175" s="18">
        <v>3650</v>
      </c>
      <c r="M175" s="18">
        <f>ABS((D175*E175)-L175)</f>
        <v>250</v>
      </c>
      <c r="N175" t="str">
        <f t="shared" si="3"/>
        <v>Unique</v>
      </c>
    </row>
    <row r="176" spans="1:14" ht="15" thickBot="1" x14ac:dyDescent="0.4">
      <c r="A176" s="6" t="s">
        <v>62</v>
      </c>
      <c r="B176" s="1" t="s">
        <v>15</v>
      </c>
      <c r="C176" s="1" t="s">
        <v>10</v>
      </c>
      <c r="D176" s="4">
        <v>5</v>
      </c>
      <c r="E176" s="4">
        <v>2470</v>
      </c>
      <c r="F176" s="4">
        <v>-1.906274821</v>
      </c>
      <c r="G176" s="2" t="s">
        <v>72</v>
      </c>
      <c r="H176" s="5">
        <v>2518</v>
      </c>
      <c r="I176" s="1" t="s">
        <v>8</v>
      </c>
      <c r="J176" s="43"/>
      <c r="K176" s="17"/>
      <c r="L176" s="17"/>
      <c r="M176" s="17"/>
      <c r="N176" t="str">
        <f t="shared" si="3"/>
        <v>Unique</v>
      </c>
    </row>
    <row r="177" spans="1:14" ht="15" thickBot="1" x14ac:dyDescent="0.4">
      <c r="A177" s="3">
        <v>46252.635416666664</v>
      </c>
      <c r="B177" s="1" t="s">
        <v>36</v>
      </c>
      <c r="C177" s="1" t="s">
        <v>10</v>
      </c>
      <c r="D177" s="4">
        <v>5</v>
      </c>
      <c r="E177" s="4">
        <v>1142</v>
      </c>
      <c r="F177" s="4">
        <v>-1.965833977</v>
      </c>
      <c r="G177" s="2" t="s">
        <v>65</v>
      </c>
      <c r="H177" s="5">
        <v>1164.9000000000001</v>
      </c>
      <c r="I177" s="1" t="s">
        <v>8</v>
      </c>
      <c r="J177" s="44" t="s">
        <v>41</v>
      </c>
      <c r="K177" s="17"/>
      <c r="L177" s="17"/>
      <c r="M177" s="17"/>
      <c r="N177" t="str">
        <f t="shared" si="3"/>
        <v>Unique</v>
      </c>
    </row>
    <row r="178" spans="1:14" ht="15" thickBot="1" x14ac:dyDescent="0.4">
      <c r="A178" s="3">
        <v>46252.6875</v>
      </c>
      <c r="B178" s="1" t="s">
        <v>24</v>
      </c>
      <c r="C178" s="1" t="s">
        <v>10</v>
      </c>
      <c r="D178" s="4">
        <v>40</v>
      </c>
      <c r="E178" s="4">
        <v>426</v>
      </c>
      <c r="F178" s="4">
        <v>-2.0126509490000002</v>
      </c>
      <c r="G178" s="2" t="s">
        <v>56</v>
      </c>
      <c r="H178" s="5">
        <v>434.75</v>
      </c>
      <c r="I178" s="1" t="s">
        <v>8</v>
      </c>
      <c r="J178" s="43" t="s">
        <v>55</v>
      </c>
      <c r="K178" s="17"/>
      <c r="L178" s="17"/>
      <c r="M178" s="17"/>
      <c r="N178" t="str">
        <f t="shared" si="3"/>
        <v>Unique</v>
      </c>
    </row>
    <row r="179" spans="1:14" ht="15" thickBot="1" x14ac:dyDescent="0.4">
      <c r="A179" s="3">
        <v>46268.410636574074</v>
      </c>
      <c r="B179" s="1" t="s">
        <v>9</v>
      </c>
      <c r="C179" s="1" t="s">
        <v>10</v>
      </c>
      <c r="D179" s="4">
        <v>90</v>
      </c>
      <c r="E179" s="4">
        <v>290.10000000000002</v>
      </c>
      <c r="F179" s="4">
        <v>-2.060114826</v>
      </c>
      <c r="G179" s="2" t="s">
        <v>95</v>
      </c>
      <c r="H179" s="5">
        <v>296.10000000000002</v>
      </c>
      <c r="I179" s="1" t="s">
        <v>8</v>
      </c>
      <c r="J179" s="18" t="s">
        <v>55</v>
      </c>
      <c r="K179" s="18" t="s">
        <v>248</v>
      </c>
      <c r="L179" s="18">
        <v>26730</v>
      </c>
      <c r="M179" s="18">
        <f>ABS((D179*E179)-L179)</f>
        <v>620.99999999999636</v>
      </c>
      <c r="N179" s="10" t="str">
        <f t="shared" si="3"/>
        <v>Unique</v>
      </c>
    </row>
    <row r="180" spans="1:14" s="35" customFormat="1" ht="15" thickBot="1" x14ac:dyDescent="0.4">
      <c r="A180" s="47">
        <v>46268.375509259262</v>
      </c>
      <c r="B180" s="48" t="s">
        <v>51</v>
      </c>
      <c r="C180" s="48" t="s">
        <v>10</v>
      </c>
      <c r="D180" s="49">
        <v>10</v>
      </c>
      <c r="E180" s="49">
        <v>917</v>
      </c>
      <c r="F180" s="49">
        <v>-2.1627743920000002</v>
      </c>
      <c r="G180" s="50" t="s">
        <v>52</v>
      </c>
      <c r="H180" s="51">
        <v>927.05</v>
      </c>
      <c r="I180" s="48" t="s">
        <v>8</v>
      </c>
      <c r="J180" s="33" t="s">
        <v>55</v>
      </c>
      <c r="K180" s="33" t="s">
        <v>251</v>
      </c>
      <c r="L180" s="33">
        <v>9370</v>
      </c>
      <c r="M180" s="33">
        <f>ABS((D180*E180)-L180)</f>
        <v>200</v>
      </c>
      <c r="N180" s="35" t="str">
        <f t="shared" si="3"/>
        <v>Duplicate</v>
      </c>
    </row>
    <row r="181" spans="1:14" ht="15" thickBot="1" x14ac:dyDescent="0.4">
      <c r="A181" s="6" t="s">
        <v>62</v>
      </c>
      <c r="B181" s="1" t="s">
        <v>15</v>
      </c>
      <c r="C181" s="1" t="s">
        <v>10</v>
      </c>
      <c r="D181" s="4">
        <v>30</v>
      </c>
      <c r="E181" s="4">
        <v>2460</v>
      </c>
      <c r="F181" s="4">
        <v>-2.3034154089999999</v>
      </c>
      <c r="G181" s="2" t="s">
        <v>72</v>
      </c>
      <c r="H181" s="5">
        <v>2518</v>
      </c>
      <c r="I181" s="1" t="s">
        <v>8</v>
      </c>
      <c r="J181" s="43"/>
      <c r="K181" s="17"/>
      <c r="L181" s="17"/>
      <c r="M181" s="17"/>
      <c r="N181" t="str">
        <f t="shared" si="3"/>
        <v>Unique</v>
      </c>
    </row>
    <row r="182" spans="1:14" ht="15" thickBot="1" x14ac:dyDescent="0.4">
      <c r="A182" s="3">
        <v>46031.4375</v>
      </c>
      <c r="B182" s="1" t="s">
        <v>220</v>
      </c>
      <c r="C182" s="1" t="s">
        <v>10</v>
      </c>
      <c r="D182" s="4">
        <v>3</v>
      </c>
      <c r="E182" s="4">
        <v>1052</v>
      </c>
      <c r="F182" s="4">
        <v>-2.4977987860000002</v>
      </c>
      <c r="G182" s="2" t="s">
        <v>232</v>
      </c>
      <c r="H182" s="5">
        <v>1078.95</v>
      </c>
      <c r="I182" s="1" t="s">
        <v>8</v>
      </c>
      <c r="J182" s="18" t="s">
        <v>41</v>
      </c>
      <c r="M182" s="18">
        <f>ABS((D182*E182)-L182)</f>
        <v>3156</v>
      </c>
      <c r="N182" s="10" t="str">
        <f t="shared" si="3"/>
        <v>Unique</v>
      </c>
    </row>
    <row r="183" spans="1:14" ht="15" thickBot="1" x14ac:dyDescent="0.4">
      <c r="A183" s="3">
        <v>46268.385509259257</v>
      </c>
      <c r="B183" s="1" t="s">
        <v>19</v>
      </c>
      <c r="C183" s="1" t="s">
        <v>10</v>
      </c>
      <c r="D183" s="4">
        <v>100</v>
      </c>
      <c r="E183" s="4">
        <v>214</v>
      </c>
      <c r="F183" s="4">
        <v>-2.5900132</v>
      </c>
      <c r="G183" s="2" t="s">
        <v>40</v>
      </c>
      <c r="H183" s="5">
        <v>219.69</v>
      </c>
      <c r="I183" s="1" t="s">
        <v>8</v>
      </c>
      <c r="J183" s="18" t="s">
        <v>55</v>
      </c>
      <c r="K183" s="18" t="s">
        <v>250</v>
      </c>
      <c r="L183" s="18">
        <v>21900</v>
      </c>
      <c r="M183" s="18">
        <f>ABS((D183*E183)-L183)</f>
        <v>500</v>
      </c>
      <c r="N183" s="10" t="str">
        <f t="shared" si="3"/>
        <v>Unique</v>
      </c>
    </row>
    <row r="184" spans="1:14" ht="15" thickBot="1" x14ac:dyDescent="0.4">
      <c r="A184" s="6" t="s">
        <v>62</v>
      </c>
      <c r="B184" s="1" t="s">
        <v>49</v>
      </c>
      <c r="C184" s="1" t="s">
        <v>10</v>
      </c>
      <c r="D184" s="4">
        <v>5</v>
      </c>
      <c r="E184" s="4">
        <v>3888</v>
      </c>
      <c r="F184" s="4">
        <v>-2.624724504</v>
      </c>
      <c r="G184" s="2" t="s">
        <v>50</v>
      </c>
      <c r="H184" s="5">
        <v>3992.8</v>
      </c>
      <c r="I184" s="1" t="s">
        <v>8</v>
      </c>
      <c r="J184" s="43"/>
      <c r="K184" s="17"/>
      <c r="L184" s="17"/>
      <c r="M184" s="17"/>
      <c r="N184" t="str">
        <f t="shared" si="3"/>
        <v>Unique</v>
      </c>
    </row>
    <row r="185" spans="1:14" ht="15" thickBot="1" x14ac:dyDescent="0.4">
      <c r="A185" s="3">
        <v>46268.375509259262</v>
      </c>
      <c r="B185" s="1" t="s">
        <v>32</v>
      </c>
      <c r="C185" s="1" t="s">
        <v>10</v>
      </c>
      <c r="D185" s="4">
        <v>20</v>
      </c>
      <c r="E185" s="4">
        <v>870.2</v>
      </c>
      <c r="F185" s="4">
        <v>-2.645857806</v>
      </c>
      <c r="G185" s="2" t="s">
        <v>85</v>
      </c>
      <c r="H185" s="5">
        <v>893.85</v>
      </c>
      <c r="I185" s="1" t="s">
        <v>8</v>
      </c>
      <c r="J185" s="18" t="s">
        <v>55</v>
      </c>
      <c r="K185" s="18" t="s">
        <v>249</v>
      </c>
      <c r="L185" s="18">
        <v>17920</v>
      </c>
      <c r="M185" s="18">
        <f>ABS((D185*E185)-L185)</f>
        <v>516</v>
      </c>
      <c r="N185" s="10" t="str">
        <f t="shared" si="3"/>
        <v>Unique</v>
      </c>
    </row>
    <row r="186" spans="1:14" ht="15" thickBot="1" x14ac:dyDescent="0.4">
      <c r="A186" s="3">
        <v>46261.375</v>
      </c>
      <c r="B186" s="1" t="s">
        <v>32</v>
      </c>
      <c r="C186" s="1" t="s">
        <v>10</v>
      </c>
      <c r="D186" s="4">
        <v>20</v>
      </c>
      <c r="E186" s="4">
        <v>870</v>
      </c>
      <c r="F186" s="4">
        <v>-2.6682329249999999</v>
      </c>
      <c r="G186" s="2" t="s">
        <v>85</v>
      </c>
      <c r="H186" s="5">
        <v>893.85</v>
      </c>
      <c r="I186" s="1" t="s">
        <v>8</v>
      </c>
      <c r="J186" s="18" t="s">
        <v>41</v>
      </c>
      <c r="K186" s="18" t="s">
        <v>190</v>
      </c>
      <c r="L186" s="18">
        <v>17700</v>
      </c>
      <c r="M186" s="18">
        <f>ABS((D186*E186)-L186)</f>
        <v>300</v>
      </c>
      <c r="N186" s="10" t="str">
        <f t="shared" si="3"/>
        <v>Unique</v>
      </c>
    </row>
    <row r="187" spans="1:14" ht="15" thickBot="1" x14ac:dyDescent="0.4">
      <c r="A187" s="6" t="s">
        <v>62</v>
      </c>
      <c r="B187" s="1" t="s">
        <v>109</v>
      </c>
      <c r="C187" s="1" t="s">
        <v>10</v>
      </c>
      <c r="D187" s="4">
        <v>1</v>
      </c>
      <c r="E187" s="4">
        <v>4640</v>
      </c>
      <c r="F187" s="4">
        <v>-2.7253668759999998</v>
      </c>
      <c r="G187" s="2" t="s">
        <v>110</v>
      </c>
      <c r="H187" s="5">
        <v>4770</v>
      </c>
      <c r="I187" s="1" t="s">
        <v>8</v>
      </c>
      <c r="J187" s="43"/>
      <c r="K187" s="17"/>
      <c r="L187" s="17"/>
      <c r="M187" s="17"/>
      <c r="N187" t="str">
        <f t="shared" si="3"/>
        <v>Unique</v>
      </c>
    </row>
    <row r="188" spans="1:14" ht="15" thickBot="1" x14ac:dyDescent="0.4">
      <c r="A188" s="3">
        <v>46261.375</v>
      </c>
      <c r="B188" s="1" t="s">
        <v>23</v>
      </c>
      <c r="C188" s="1" t="s">
        <v>10</v>
      </c>
      <c r="D188" s="4">
        <v>50</v>
      </c>
      <c r="E188" s="4">
        <v>208</v>
      </c>
      <c r="F188" s="4">
        <v>-2.7582982700000001</v>
      </c>
      <c r="G188" s="2" t="s">
        <v>70</v>
      </c>
      <c r="H188" s="5">
        <v>213.9</v>
      </c>
      <c r="I188" s="1" t="s">
        <v>8</v>
      </c>
      <c r="J188" s="18" t="s">
        <v>55</v>
      </c>
      <c r="K188" s="18" t="s">
        <v>188</v>
      </c>
      <c r="L188" s="18">
        <v>10700</v>
      </c>
      <c r="M188" s="18">
        <f>ABS((D188*E188)-L188)</f>
        <v>300</v>
      </c>
      <c r="N188" s="10" t="str">
        <f t="shared" si="3"/>
        <v>Unique</v>
      </c>
    </row>
    <row r="189" spans="1:14" ht="15" thickBot="1" x14ac:dyDescent="0.4">
      <c r="A189" s="3">
        <v>46252.635416666664</v>
      </c>
      <c r="B189" s="1" t="s">
        <v>36</v>
      </c>
      <c r="C189" s="1" t="s">
        <v>10</v>
      </c>
      <c r="D189" s="4">
        <v>5</v>
      </c>
      <c r="E189" s="4">
        <v>1132</v>
      </c>
      <c r="F189" s="4">
        <v>-2.8242767620000002</v>
      </c>
      <c r="G189" s="2" t="s">
        <v>65</v>
      </c>
      <c r="H189" s="5">
        <v>1164.9000000000001</v>
      </c>
      <c r="I189" s="1" t="s">
        <v>8</v>
      </c>
      <c r="J189" s="43"/>
      <c r="K189" s="17"/>
      <c r="L189" s="17"/>
      <c r="M189" s="17"/>
      <c r="N189" t="str">
        <f t="shared" si="3"/>
        <v>Unique</v>
      </c>
    </row>
    <row r="190" spans="1:14" ht="15" thickBot="1" x14ac:dyDescent="0.4">
      <c r="A190" s="6" t="s">
        <v>62</v>
      </c>
      <c r="B190" s="1" t="s">
        <v>103</v>
      </c>
      <c r="C190" s="1" t="s">
        <v>10</v>
      </c>
      <c r="D190" s="4">
        <v>7</v>
      </c>
      <c r="E190" s="4">
        <v>2401</v>
      </c>
      <c r="F190" s="4">
        <v>-2.9506871459999999</v>
      </c>
      <c r="G190" s="2" t="s">
        <v>104</v>
      </c>
      <c r="H190" s="5">
        <v>2474</v>
      </c>
      <c r="I190" s="1" t="s">
        <v>8</v>
      </c>
      <c r="J190" s="43"/>
      <c r="K190" s="17"/>
      <c r="L190" s="17"/>
      <c r="M190" s="17"/>
      <c r="N190" t="str">
        <f t="shared" si="3"/>
        <v>Unique</v>
      </c>
    </row>
    <row r="191" spans="1:14" ht="16" thickBot="1" x14ac:dyDescent="0.4">
      <c r="A191" s="3">
        <v>46252.645833333336</v>
      </c>
      <c r="B191" s="1" t="s">
        <v>53</v>
      </c>
      <c r="C191" s="1" t="s">
        <v>10</v>
      </c>
      <c r="D191" s="4">
        <v>2</v>
      </c>
      <c r="E191" s="4">
        <v>2426</v>
      </c>
      <c r="F191" s="4">
        <v>-3.0336943920000001</v>
      </c>
      <c r="G191" s="2" t="s">
        <v>54</v>
      </c>
      <c r="H191" s="5">
        <v>2501.9</v>
      </c>
      <c r="I191" s="1" t="s">
        <v>8</v>
      </c>
      <c r="J191" s="46" t="s">
        <v>41</v>
      </c>
      <c r="K191" s="17"/>
      <c r="L191" s="17"/>
      <c r="M191" s="17"/>
      <c r="N191" t="str">
        <f t="shared" si="3"/>
        <v>Unique</v>
      </c>
    </row>
    <row r="192" spans="1:14" ht="15" thickBot="1" x14ac:dyDescent="0.4">
      <c r="A192" s="6" t="s">
        <v>62</v>
      </c>
      <c r="B192" s="1" t="s">
        <v>51</v>
      </c>
      <c r="C192" s="1" t="s">
        <v>10</v>
      </c>
      <c r="D192" s="4">
        <v>40</v>
      </c>
      <c r="E192" s="4">
        <v>897</v>
      </c>
      <c r="F192" s="4">
        <v>-3.2414648619999999</v>
      </c>
      <c r="G192" s="2" t="s">
        <v>52</v>
      </c>
      <c r="H192" s="5">
        <v>927.05</v>
      </c>
      <c r="I192" s="1" t="s">
        <v>8</v>
      </c>
      <c r="J192" s="43"/>
      <c r="K192" s="17"/>
      <c r="L192" s="17"/>
      <c r="M192" s="17"/>
      <c r="N192" t="str">
        <f t="shared" si="3"/>
        <v>Unique</v>
      </c>
    </row>
    <row r="193" spans="1:14" ht="15" thickBot="1" x14ac:dyDescent="0.4">
      <c r="A193" s="3">
        <v>46252.6875</v>
      </c>
      <c r="B193" s="1" t="s">
        <v>20</v>
      </c>
      <c r="C193" s="1" t="s">
        <v>10</v>
      </c>
      <c r="D193" s="4">
        <v>20</v>
      </c>
      <c r="E193" s="4">
        <v>122</v>
      </c>
      <c r="F193" s="4">
        <v>-3.289734443</v>
      </c>
      <c r="G193" s="2" t="s">
        <v>86</v>
      </c>
      <c r="H193" s="5">
        <v>126.15</v>
      </c>
      <c r="I193" s="1" t="s">
        <v>8</v>
      </c>
      <c r="J193" s="42" t="s">
        <v>41</v>
      </c>
      <c r="K193" s="17"/>
      <c r="L193" s="17"/>
      <c r="M193" s="17"/>
      <c r="N193" t="str">
        <f t="shared" si="3"/>
        <v>Unique</v>
      </c>
    </row>
    <row r="194" spans="1:14" ht="15" thickBot="1" x14ac:dyDescent="0.4">
      <c r="A194" s="3">
        <v>46252.635416666664</v>
      </c>
      <c r="B194" s="1" t="s">
        <v>80</v>
      </c>
      <c r="C194" s="1" t="s">
        <v>10</v>
      </c>
      <c r="D194" s="4">
        <v>10</v>
      </c>
      <c r="E194" s="4">
        <v>1440</v>
      </c>
      <c r="F194" s="4">
        <v>-3.2907991939999999</v>
      </c>
      <c r="G194" s="2" t="s">
        <v>81</v>
      </c>
      <c r="H194" s="5">
        <v>1489</v>
      </c>
      <c r="I194" s="1" t="s">
        <v>8</v>
      </c>
      <c r="J194" s="43"/>
      <c r="K194" s="17"/>
      <c r="L194" s="17"/>
      <c r="M194" s="17"/>
      <c r="N194" t="str">
        <f t="shared" ref="N194:N257" si="8">IF(COUNTIFS( $B$2:$B$797, B194, $C$2:$C$797, C194, $D$2:$D$797, D194, $E$2:$E$797, E194) &gt; 1, "Duplicate", "Unique")</f>
        <v>Unique</v>
      </c>
    </row>
    <row r="195" spans="1:14" ht="15" thickBot="1" x14ac:dyDescent="0.4">
      <c r="A195" s="6" t="s">
        <v>62</v>
      </c>
      <c r="B195" s="1" t="s">
        <v>15</v>
      </c>
      <c r="C195" s="1" t="s">
        <v>10</v>
      </c>
      <c r="D195" s="4">
        <v>30</v>
      </c>
      <c r="E195" s="4">
        <v>2435</v>
      </c>
      <c r="F195" s="4">
        <v>-3.296266878</v>
      </c>
      <c r="G195" s="2" t="s">
        <v>72</v>
      </c>
      <c r="H195" s="5">
        <v>2518</v>
      </c>
      <c r="I195" s="1" t="s">
        <v>8</v>
      </c>
      <c r="J195" s="43"/>
      <c r="K195" s="17"/>
      <c r="L195" s="17"/>
      <c r="M195" s="17"/>
      <c r="N195" t="str">
        <f t="shared" si="8"/>
        <v>Unique</v>
      </c>
    </row>
    <row r="196" spans="1:14" s="35" customFormat="1" ht="15" thickBot="1" x14ac:dyDescent="0.4">
      <c r="A196" s="3">
        <v>46252.6875</v>
      </c>
      <c r="B196" s="1" t="s">
        <v>25</v>
      </c>
      <c r="C196" s="1" t="s">
        <v>10</v>
      </c>
      <c r="D196" s="4">
        <v>500</v>
      </c>
      <c r="E196" s="4">
        <v>33.159999999999997</v>
      </c>
      <c r="F196" s="4">
        <v>-3.3236151600000001</v>
      </c>
      <c r="G196" s="2" t="s">
        <v>46</v>
      </c>
      <c r="H196" s="5">
        <v>34.299999999999997</v>
      </c>
      <c r="I196" s="1" t="s">
        <v>8</v>
      </c>
      <c r="J196" s="43"/>
      <c r="K196" s="17"/>
      <c r="L196" s="17"/>
      <c r="M196" s="17"/>
      <c r="N196" t="str">
        <f t="shared" si="8"/>
        <v>Unique</v>
      </c>
    </row>
    <row r="197" spans="1:14" ht="15" thickBot="1" x14ac:dyDescent="0.4">
      <c r="A197" s="6" t="s">
        <v>62</v>
      </c>
      <c r="B197" s="1" t="s">
        <v>49</v>
      </c>
      <c r="C197" s="1" t="s">
        <v>10</v>
      </c>
      <c r="D197" s="4">
        <v>2</v>
      </c>
      <c r="E197" s="4">
        <v>3856</v>
      </c>
      <c r="F197" s="4">
        <v>-3.4261671009999999</v>
      </c>
      <c r="G197" s="2" t="s">
        <v>50</v>
      </c>
      <c r="H197" s="5">
        <v>3992.8</v>
      </c>
      <c r="I197" s="1" t="s">
        <v>8</v>
      </c>
      <c r="J197" s="43"/>
      <c r="K197" s="17"/>
      <c r="L197" s="17"/>
      <c r="M197" s="17"/>
      <c r="N197" t="str">
        <f t="shared" si="8"/>
        <v>Unique</v>
      </c>
    </row>
    <row r="198" spans="1:14" ht="15" thickBot="1" x14ac:dyDescent="0.4">
      <c r="A198" s="6" t="s">
        <v>62</v>
      </c>
      <c r="B198" s="1" t="s">
        <v>19</v>
      </c>
      <c r="C198" s="1" t="s">
        <v>10</v>
      </c>
      <c r="D198" s="4">
        <v>50</v>
      </c>
      <c r="E198" s="4">
        <v>212</v>
      </c>
      <c r="F198" s="4">
        <v>-3.5003869089999999</v>
      </c>
      <c r="G198" s="2" t="s">
        <v>40</v>
      </c>
      <c r="H198" s="5">
        <v>219.69</v>
      </c>
      <c r="I198" s="1" t="s">
        <v>8</v>
      </c>
      <c r="J198" s="43" t="s">
        <v>41</v>
      </c>
      <c r="K198" s="17"/>
      <c r="L198" s="17"/>
      <c r="M198" s="17"/>
      <c r="N198" t="str">
        <f t="shared" si="8"/>
        <v>Unique</v>
      </c>
    </row>
    <row r="199" spans="1:14" ht="15" thickBot="1" x14ac:dyDescent="0.4">
      <c r="A199" s="6" t="s">
        <v>62</v>
      </c>
      <c r="B199" s="1" t="s">
        <v>49</v>
      </c>
      <c r="C199" s="1" t="s">
        <v>10</v>
      </c>
      <c r="D199" s="4">
        <v>2</v>
      </c>
      <c r="E199" s="4">
        <v>3830</v>
      </c>
      <c r="F199" s="4">
        <v>-4.077339211</v>
      </c>
      <c r="G199" s="2" t="s">
        <v>50</v>
      </c>
      <c r="H199" s="5">
        <v>3992.8</v>
      </c>
      <c r="I199" s="1" t="s">
        <v>8</v>
      </c>
      <c r="J199" s="43"/>
      <c r="K199" s="17"/>
      <c r="L199" s="17"/>
      <c r="M199" s="17"/>
      <c r="N199" t="str">
        <f t="shared" si="8"/>
        <v>Unique</v>
      </c>
    </row>
    <row r="200" spans="1:14" ht="15" thickBot="1" x14ac:dyDescent="0.4">
      <c r="A200" s="3">
        <v>46261.375</v>
      </c>
      <c r="B200" s="1" t="s">
        <v>23</v>
      </c>
      <c r="C200" s="1" t="s">
        <v>10</v>
      </c>
      <c r="D200" s="4">
        <v>50</v>
      </c>
      <c r="E200" s="4">
        <v>205</v>
      </c>
      <c r="F200" s="4">
        <v>-4.1608228140000003</v>
      </c>
      <c r="G200" s="2" t="s">
        <v>70</v>
      </c>
      <c r="H200" s="5">
        <v>213.9</v>
      </c>
      <c r="I200" s="1" t="s">
        <v>8</v>
      </c>
      <c r="J200" s="18" t="s">
        <v>41</v>
      </c>
      <c r="K200" s="18" t="s">
        <v>189</v>
      </c>
      <c r="L200" s="18">
        <v>10550</v>
      </c>
      <c r="M200" s="18">
        <f>ABS((D200*E200)-L200)</f>
        <v>300</v>
      </c>
      <c r="N200" s="10" t="str">
        <f t="shared" si="8"/>
        <v>Unique</v>
      </c>
    </row>
    <row r="201" spans="1:14" ht="15" thickBot="1" x14ac:dyDescent="0.4">
      <c r="A201" s="6" t="s">
        <v>62</v>
      </c>
      <c r="B201" s="1" t="s">
        <v>82</v>
      </c>
      <c r="C201" s="1" t="s">
        <v>10</v>
      </c>
      <c r="D201" s="4">
        <v>2</v>
      </c>
      <c r="E201" s="4">
        <v>4010</v>
      </c>
      <c r="F201" s="4">
        <v>-4.1816009559999996</v>
      </c>
      <c r="G201" s="2" t="s">
        <v>83</v>
      </c>
      <c r="H201" s="5">
        <v>4185</v>
      </c>
      <c r="I201" s="1" t="s">
        <v>8</v>
      </c>
      <c r="J201" s="43"/>
      <c r="K201" s="17"/>
      <c r="L201" s="17"/>
      <c r="M201" s="17"/>
      <c r="N201" t="str">
        <f t="shared" si="8"/>
        <v>Unique</v>
      </c>
    </row>
    <row r="202" spans="1:14" ht="15" thickBot="1" x14ac:dyDescent="0.4">
      <c r="A202" s="6" t="s">
        <v>62</v>
      </c>
      <c r="B202" s="1" t="s">
        <v>103</v>
      </c>
      <c r="C202" s="1" t="s">
        <v>10</v>
      </c>
      <c r="D202" s="4">
        <v>8</v>
      </c>
      <c r="E202" s="4">
        <v>2370</v>
      </c>
      <c r="F202" s="4">
        <v>-4.2037186740000001</v>
      </c>
      <c r="G202" s="2" t="s">
        <v>104</v>
      </c>
      <c r="H202" s="5">
        <v>2474</v>
      </c>
      <c r="I202" s="1" t="s">
        <v>8</v>
      </c>
      <c r="J202" s="43"/>
      <c r="K202" s="17"/>
      <c r="L202" s="17"/>
      <c r="M202" s="17"/>
      <c r="N202" t="str">
        <f t="shared" si="8"/>
        <v>Unique</v>
      </c>
    </row>
    <row r="203" spans="1:14" ht="15" thickBot="1" x14ac:dyDescent="0.4">
      <c r="A203" s="3">
        <v>46252.635416666664</v>
      </c>
      <c r="B203" s="1" t="s">
        <v>68</v>
      </c>
      <c r="C203" s="1" t="s">
        <v>10</v>
      </c>
      <c r="D203" s="4">
        <v>100</v>
      </c>
      <c r="E203" s="4">
        <v>391</v>
      </c>
      <c r="F203" s="4">
        <v>-4.2839657280000001</v>
      </c>
      <c r="G203" s="2" t="s">
        <v>69</v>
      </c>
      <c r="H203" s="5">
        <v>408.5</v>
      </c>
      <c r="I203" s="1" t="s">
        <v>8</v>
      </c>
      <c r="J203" s="43" t="s">
        <v>55</v>
      </c>
      <c r="K203" s="17"/>
      <c r="L203" s="17"/>
      <c r="M203" s="17"/>
      <c r="N203" t="str">
        <f t="shared" si="8"/>
        <v>Unique</v>
      </c>
    </row>
    <row r="204" spans="1:14" ht="15" thickBot="1" x14ac:dyDescent="0.4">
      <c r="A204" s="6" t="s">
        <v>62</v>
      </c>
      <c r="B204" s="1" t="s">
        <v>109</v>
      </c>
      <c r="C204" s="1" t="s">
        <v>10</v>
      </c>
      <c r="D204" s="4">
        <v>1</v>
      </c>
      <c r="E204" s="4">
        <v>4560</v>
      </c>
      <c r="F204" s="4">
        <v>-4.4025157229999996</v>
      </c>
      <c r="G204" s="2" t="s">
        <v>110</v>
      </c>
      <c r="H204" s="5">
        <v>4770</v>
      </c>
      <c r="I204" s="1" t="s">
        <v>8</v>
      </c>
      <c r="J204" s="43"/>
      <c r="K204" s="17"/>
      <c r="L204" s="17"/>
      <c r="M204" s="17"/>
      <c r="N204" t="str">
        <f t="shared" si="8"/>
        <v>Unique</v>
      </c>
    </row>
    <row r="205" spans="1:14" ht="15" thickBot="1" x14ac:dyDescent="0.4">
      <c r="A205" s="3">
        <v>46252.645138888889</v>
      </c>
      <c r="B205" s="1" t="s">
        <v>47</v>
      </c>
      <c r="C205" s="1" t="s">
        <v>10</v>
      </c>
      <c r="D205" s="4">
        <v>9</v>
      </c>
      <c r="E205" s="4">
        <v>2230</v>
      </c>
      <c r="F205" s="4">
        <v>-4.4517759970000004</v>
      </c>
      <c r="G205" s="2" t="s">
        <v>48</v>
      </c>
      <c r="H205" s="5">
        <v>2333.9</v>
      </c>
      <c r="I205" s="1" t="s">
        <v>8</v>
      </c>
      <c r="J205" s="43"/>
      <c r="K205" s="17"/>
      <c r="L205" s="17"/>
      <c r="M205" s="17"/>
      <c r="N205" t="str">
        <f t="shared" si="8"/>
        <v>Unique</v>
      </c>
    </row>
    <row r="206" spans="1:14" ht="15" thickBot="1" x14ac:dyDescent="0.4">
      <c r="A206" s="3">
        <v>46260.375</v>
      </c>
      <c r="B206" s="1" t="s">
        <v>33</v>
      </c>
      <c r="C206" s="1" t="s">
        <v>10</v>
      </c>
      <c r="D206" s="4">
        <v>3</v>
      </c>
      <c r="E206" s="4">
        <v>2348</v>
      </c>
      <c r="F206" s="4">
        <v>-4.5140300939999998</v>
      </c>
      <c r="G206" s="2" t="s">
        <v>84</v>
      </c>
      <c r="H206" s="5">
        <v>2459</v>
      </c>
      <c r="I206" s="1" t="s">
        <v>8</v>
      </c>
      <c r="J206" s="18" t="s">
        <v>41</v>
      </c>
      <c r="K206" s="18" t="s">
        <v>177</v>
      </c>
      <c r="L206" s="18">
        <v>7344</v>
      </c>
      <c r="M206" s="18">
        <f>ABS((D206*E206)-L206)</f>
        <v>300</v>
      </c>
      <c r="N206" t="str">
        <f t="shared" si="8"/>
        <v>Unique</v>
      </c>
    </row>
    <row r="207" spans="1:14" ht="15" thickBot="1" x14ac:dyDescent="0.4">
      <c r="A207" s="6" t="s">
        <v>62</v>
      </c>
      <c r="B207" s="1" t="s">
        <v>49</v>
      </c>
      <c r="C207" s="1" t="s">
        <v>10</v>
      </c>
      <c r="D207" s="4">
        <v>3</v>
      </c>
      <c r="E207" s="4">
        <v>3810</v>
      </c>
      <c r="F207" s="4">
        <v>-4.5782408339999998</v>
      </c>
      <c r="G207" s="2" t="s">
        <v>50</v>
      </c>
      <c r="H207" s="5">
        <v>3992.8</v>
      </c>
      <c r="I207" s="1" t="s">
        <v>8</v>
      </c>
      <c r="J207" s="43"/>
      <c r="K207" s="17"/>
      <c r="L207" s="17"/>
      <c r="M207" s="17"/>
      <c r="N207" t="str">
        <f t="shared" si="8"/>
        <v>Unique</v>
      </c>
    </row>
    <row r="208" spans="1:14" ht="15" thickBot="1" x14ac:dyDescent="0.4">
      <c r="A208" s="6" t="s">
        <v>62</v>
      </c>
      <c r="B208" s="1" t="s">
        <v>66</v>
      </c>
      <c r="C208" s="1" t="s">
        <v>10</v>
      </c>
      <c r="D208" s="4">
        <v>10</v>
      </c>
      <c r="E208" s="4">
        <v>1166</v>
      </c>
      <c r="F208" s="4">
        <v>-4.621676892</v>
      </c>
      <c r="G208" s="2" t="s">
        <v>67</v>
      </c>
      <c r="H208" s="5">
        <v>1222.5</v>
      </c>
      <c r="I208" s="1" t="s">
        <v>8</v>
      </c>
      <c r="J208" s="43"/>
      <c r="K208" s="17"/>
      <c r="L208" s="17"/>
      <c r="M208" s="17"/>
      <c r="N208" t="str">
        <f t="shared" si="8"/>
        <v>Unique</v>
      </c>
    </row>
    <row r="209" spans="1:14" ht="15" thickBot="1" x14ac:dyDescent="0.4">
      <c r="A209" s="3">
        <v>46252.635416666664</v>
      </c>
      <c r="B209" s="1" t="s">
        <v>80</v>
      </c>
      <c r="C209" s="1" t="s">
        <v>10</v>
      </c>
      <c r="D209" s="4">
        <v>10</v>
      </c>
      <c r="E209" s="4">
        <v>1420</v>
      </c>
      <c r="F209" s="4">
        <v>-4.6339825389999998</v>
      </c>
      <c r="G209" s="2" t="s">
        <v>81</v>
      </c>
      <c r="H209" s="5">
        <v>1489</v>
      </c>
      <c r="I209" s="1" t="s">
        <v>8</v>
      </c>
      <c r="J209" s="43"/>
      <c r="K209" s="17"/>
      <c r="L209" s="17"/>
      <c r="M209" s="17"/>
      <c r="N209" t="str">
        <f t="shared" si="8"/>
        <v>Unique</v>
      </c>
    </row>
    <row r="210" spans="1:14" ht="15" thickBot="1" x14ac:dyDescent="0.4">
      <c r="A210" s="3">
        <v>46262.457638888889</v>
      </c>
      <c r="B210" s="1" t="s">
        <v>21</v>
      </c>
      <c r="C210" s="1" t="s">
        <v>10</v>
      </c>
      <c r="D210" s="4">
        <v>5</v>
      </c>
      <c r="E210" s="4">
        <v>660</v>
      </c>
      <c r="F210" s="4">
        <v>-4.7619047620000003</v>
      </c>
      <c r="G210" s="2" t="s">
        <v>76</v>
      </c>
      <c r="H210" s="5">
        <v>693</v>
      </c>
      <c r="I210" s="1" t="s">
        <v>8</v>
      </c>
      <c r="J210" s="18" t="s">
        <v>41</v>
      </c>
      <c r="K210" s="18" t="s">
        <v>192</v>
      </c>
      <c r="L210" s="18">
        <v>3522.75</v>
      </c>
      <c r="M210" s="18">
        <f>ABS((D210*E210)-L210)</f>
        <v>222.75</v>
      </c>
      <c r="N210" s="10" t="str">
        <f t="shared" si="8"/>
        <v>Unique</v>
      </c>
    </row>
    <row r="211" spans="1:14" ht="15" thickBot="1" x14ac:dyDescent="0.4">
      <c r="A211" s="3">
        <v>46252.6875</v>
      </c>
      <c r="B211" s="1" t="s">
        <v>23</v>
      </c>
      <c r="C211" s="1" t="s">
        <v>10</v>
      </c>
      <c r="D211" s="4">
        <v>50</v>
      </c>
      <c r="E211" s="4">
        <v>203.5</v>
      </c>
      <c r="F211" s="4">
        <v>-4.8620850859999996</v>
      </c>
      <c r="G211" s="2" t="s">
        <v>70</v>
      </c>
      <c r="H211" s="5">
        <v>213.9</v>
      </c>
      <c r="I211" s="1" t="s">
        <v>8</v>
      </c>
      <c r="J211" s="42" t="s">
        <v>55</v>
      </c>
      <c r="K211" s="17"/>
      <c r="L211" s="17"/>
      <c r="M211" s="17"/>
      <c r="N211" t="str">
        <f t="shared" si="8"/>
        <v>Unique</v>
      </c>
    </row>
    <row r="212" spans="1:14" ht="15" thickBot="1" x14ac:dyDescent="0.4">
      <c r="A212" s="3">
        <v>46252.635416666664</v>
      </c>
      <c r="B212" s="1" t="s">
        <v>32</v>
      </c>
      <c r="C212" s="1" t="s">
        <v>10</v>
      </c>
      <c r="D212" s="4">
        <v>50</v>
      </c>
      <c r="E212" s="4">
        <v>850</v>
      </c>
      <c r="F212" s="4">
        <v>-4.905744812</v>
      </c>
      <c r="G212" s="2" t="s">
        <v>85</v>
      </c>
      <c r="H212" s="5">
        <v>893.85</v>
      </c>
      <c r="I212" s="1" t="s">
        <v>8</v>
      </c>
      <c r="J212" s="42" t="s">
        <v>55</v>
      </c>
      <c r="K212" s="17"/>
      <c r="L212" s="17"/>
      <c r="M212" s="17"/>
      <c r="N212" t="str">
        <f t="shared" si="8"/>
        <v>Unique</v>
      </c>
    </row>
    <row r="213" spans="1:14" ht="15" thickBot="1" x14ac:dyDescent="0.4">
      <c r="A213" s="20">
        <v>46255</v>
      </c>
      <c r="B213" s="1" t="s">
        <v>17</v>
      </c>
      <c r="C213" s="1" t="s">
        <v>10</v>
      </c>
      <c r="D213" s="4">
        <v>25</v>
      </c>
      <c r="E213" s="4">
        <v>336</v>
      </c>
      <c r="F213" s="4">
        <v>-5.0071530759999998</v>
      </c>
      <c r="G213" s="2" t="s">
        <v>77</v>
      </c>
      <c r="H213" s="5">
        <v>349.5</v>
      </c>
      <c r="I213" s="1" t="s">
        <v>8</v>
      </c>
      <c r="J213" s="18" t="s">
        <v>55</v>
      </c>
      <c r="K213" s="18" t="s">
        <v>150</v>
      </c>
      <c r="L213" s="18">
        <v>8700</v>
      </c>
      <c r="M213" s="18">
        <f>ABS((D213*E213)-L213)</f>
        <v>300</v>
      </c>
      <c r="N213" s="10" t="str">
        <f t="shared" si="8"/>
        <v>Unique</v>
      </c>
    </row>
    <row r="214" spans="1:14" ht="15" thickBot="1" x14ac:dyDescent="0.4">
      <c r="A214" s="6" t="s">
        <v>62</v>
      </c>
      <c r="B214" s="1" t="s">
        <v>9</v>
      </c>
      <c r="C214" s="1" t="s">
        <v>10</v>
      </c>
      <c r="D214" s="4">
        <v>20</v>
      </c>
      <c r="E214" s="4">
        <v>281</v>
      </c>
      <c r="F214" s="4">
        <v>-5.099628504</v>
      </c>
      <c r="G214" s="2" t="s">
        <v>95</v>
      </c>
      <c r="H214" s="5">
        <v>296.10000000000002</v>
      </c>
      <c r="I214" s="1" t="s">
        <v>8</v>
      </c>
      <c r="J214" s="43"/>
      <c r="K214" s="17"/>
      <c r="L214" s="17"/>
      <c r="M214" s="17"/>
      <c r="N214" t="str">
        <f t="shared" si="8"/>
        <v>Unique</v>
      </c>
    </row>
    <row r="215" spans="1:14" ht="15" thickBot="1" x14ac:dyDescent="0.4">
      <c r="A215" s="6" t="s">
        <v>62</v>
      </c>
      <c r="B215" s="1" t="s">
        <v>22</v>
      </c>
      <c r="C215" s="1" t="s">
        <v>10</v>
      </c>
      <c r="D215" s="4">
        <v>29</v>
      </c>
      <c r="E215" s="4">
        <v>401</v>
      </c>
      <c r="F215" s="4">
        <v>-5.1561021760000001</v>
      </c>
      <c r="G215" s="2" t="s">
        <v>73</v>
      </c>
      <c r="H215" s="5">
        <v>422.8</v>
      </c>
      <c r="I215" s="1" t="s">
        <v>8</v>
      </c>
      <c r="J215" s="22" t="s">
        <v>55</v>
      </c>
      <c r="K215" s="17"/>
      <c r="L215" s="17"/>
      <c r="M215" s="17"/>
      <c r="N215" t="str">
        <f t="shared" si="8"/>
        <v>Unique</v>
      </c>
    </row>
    <row r="216" spans="1:14" ht="15" thickBot="1" x14ac:dyDescent="0.4">
      <c r="A216" s="6" t="s">
        <v>62</v>
      </c>
      <c r="B216" s="1" t="s">
        <v>31</v>
      </c>
      <c r="C216" s="1" t="s">
        <v>10</v>
      </c>
      <c r="D216" s="4">
        <v>10</v>
      </c>
      <c r="E216" s="4">
        <v>561</v>
      </c>
      <c r="F216" s="4">
        <v>-5.2364864860000004</v>
      </c>
      <c r="G216" s="2" t="s">
        <v>94</v>
      </c>
      <c r="H216" s="5">
        <v>592</v>
      </c>
      <c r="I216" s="1" t="s">
        <v>8</v>
      </c>
      <c r="J216" s="43" t="s">
        <v>41</v>
      </c>
      <c r="K216" s="17"/>
      <c r="L216" s="17"/>
      <c r="M216" s="17"/>
      <c r="N216" t="str">
        <f t="shared" si="8"/>
        <v>Unique</v>
      </c>
    </row>
    <row r="217" spans="1:14" s="35" customFormat="1" ht="15" thickBot="1" x14ac:dyDescent="0.4">
      <c r="A217" s="6" t="s">
        <v>62</v>
      </c>
      <c r="B217" s="1" t="s">
        <v>51</v>
      </c>
      <c r="C217" s="1" t="s">
        <v>10</v>
      </c>
      <c r="D217" s="4">
        <v>40</v>
      </c>
      <c r="E217" s="4">
        <v>878</v>
      </c>
      <c r="F217" s="4">
        <v>-5.2909767539999999</v>
      </c>
      <c r="G217" s="2" t="s">
        <v>52</v>
      </c>
      <c r="H217" s="5">
        <v>927.05</v>
      </c>
      <c r="I217" s="1" t="s">
        <v>8</v>
      </c>
      <c r="J217" s="43"/>
      <c r="K217" s="17"/>
      <c r="L217" s="17"/>
      <c r="M217" s="17"/>
      <c r="N217" t="str">
        <f t="shared" si="8"/>
        <v>Unique</v>
      </c>
    </row>
    <row r="218" spans="1:14" ht="15" thickBot="1" x14ac:dyDescent="0.4">
      <c r="A218" s="3">
        <v>46252.635416666664</v>
      </c>
      <c r="B218" s="1" t="s">
        <v>80</v>
      </c>
      <c r="C218" s="1" t="s">
        <v>10</v>
      </c>
      <c r="D218" s="4">
        <v>10</v>
      </c>
      <c r="E218" s="4">
        <v>1410</v>
      </c>
      <c r="F218" s="4">
        <v>-5.3055742109999997</v>
      </c>
      <c r="G218" s="2" t="s">
        <v>81</v>
      </c>
      <c r="H218" s="5">
        <v>1489</v>
      </c>
      <c r="I218" s="1" t="s">
        <v>8</v>
      </c>
      <c r="J218" s="43"/>
      <c r="K218" s="17"/>
      <c r="L218" s="17"/>
      <c r="M218" s="17"/>
      <c r="N218" t="str">
        <f t="shared" si="8"/>
        <v>Unique</v>
      </c>
    </row>
    <row r="219" spans="1:14" ht="15" thickBot="1" x14ac:dyDescent="0.4">
      <c r="A219" s="6" t="s">
        <v>62</v>
      </c>
      <c r="B219" s="1" t="s">
        <v>100</v>
      </c>
      <c r="C219" s="1" t="s">
        <v>10</v>
      </c>
      <c r="D219" s="4">
        <v>25</v>
      </c>
      <c r="E219" s="4">
        <v>196</v>
      </c>
      <c r="F219" s="4">
        <v>-5.3505891439999997</v>
      </c>
      <c r="G219" s="2" t="s">
        <v>101</v>
      </c>
      <c r="H219" s="5">
        <v>207.08</v>
      </c>
      <c r="I219" s="1" t="s">
        <v>8</v>
      </c>
      <c r="J219" s="43"/>
      <c r="K219" s="17"/>
      <c r="L219" s="17"/>
      <c r="M219" s="17"/>
      <c r="N219" t="str">
        <f t="shared" si="8"/>
        <v>Unique</v>
      </c>
    </row>
    <row r="220" spans="1:14" ht="15" thickBot="1" x14ac:dyDescent="0.4">
      <c r="A220" s="6" t="s">
        <v>62</v>
      </c>
      <c r="B220" s="1" t="s">
        <v>20</v>
      </c>
      <c r="C220" s="1" t="s">
        <v>10</v>
      </c>
      <c r="D220" s="4">
        <v>50</v>
      </c>
      <c r="E220" s="4">
        <v>119</v>
      </c>
      <c r="F220" s="4">
        <v>-5.6678557270000001</v>
      </c>
      <c r="G220" s="2" t="s">
        <v>86</v>
      </c>
      <c r="H220" s="5">
        <v>126.15</v>
      </c>
      <c r="I220" s="1" t="s">
        <v>8</v>
      </c>
      <c r="J220" s="43"/>
      <c r="K220" s="17"/>
      <c r="L220" s="17"/>
      <c r="M220" s="17"/>
      <c r="N220" t="str">
        <f t="shared" si="8"/>
        <v>Unique</v>
      </c>
    </row>
    <row r="221" spans="1:14" ht="15" thickBot="1" x14ac:dyDescent="0.4">
      <c r="A221" s="6" t="s">
        <v>62</v>
      </c>
      <c r="B221" s="1" t="s">
        <v>49</v>
      </c>
      <c r="C221" s="1" t="s">
        <v>10</v>
      </c>
      <c r="D221" s="4">
        <v>2</v>
      </c>
      <c r="E221" s="4">
        <v>3760</v>
      </c>
      <c r="F221" s="4">
        <v>-5.8304948909999998</v>
      </c>
      <c r="G221" s="2" t="s">
        <v>50</v>
      </c>
      <c r="H221" s="5">
        <v>3992.8</v>
      </c>
      <c r="I221" s="1" t="s">
        <v>8</v>
      </c>
      <c r="J221" s="43"/>
      <c r="K221" s="17"/>
      <c r="L221" s="17"/>
      <c r="M221" s="17"/>
      <c r="N221" t="str">
        <f t="shared" si="8"/>
        <v>Unique</v>
      </c>
    </row>
    <row r="222" spans="1:14" ht="15" thickBot="1" x14ac:dyDescent="0.4">
      <c r="A222" s="6" t="s">
        <v>62</v>
      </c>
      <c r="B222" s="1" t="s">
        <v>23</v>
      </c>
      <c r="C222" s="1" t="s">
        <v>10</v>
      </c>
      <c r="D222" s="4">
        <v>50</v>
      </c>
      <c r="E222" s="4">
        <v>201</v>
      </c>
      <c r="F222" s="4">
        <v>-6.0308555400000001</v>
      </c>
      <c r="G222" s="2" t="s">
        <v>70</v>
      </c>
      <c r="H222" s="5">
        <v>213.9</v>
      </c>
      <c r="I222" s="1" t="s">
        <v>8</v>
      </c>
      <c r="J222" s="42" t="s">
        <v>41</v>
      </c>
      <c r="K222" s="17"/>
      <c r="L222" s="17"/>
      <c r="M222" s="17"/>
      <c r="N222" t="str">
        <f t="shared" si="8"/>
        <v>Unique</v>
      </c>
    </row>
    <row r="223" spans="1:14" ht="15" thickBot="1" x14ac:dyDescent="0.4">
      <c r="A223" s="3">
        <v>46252.635416666664</v>
      </c>
      <c r="B223" s="1" t="s">
        <v>89</v>
      </c>
      <c r="C223" s="1" t="s">
        <v>10</v>
      </c>
      <c r="D223" s="4">
        <v>1</v>
      </c>
      <c r="E223" s="4">
        <v>13552</v>
      </c>
      <c r="F223" s="4">
        <v>-6.1495844880000003</v>
      </c>
      <c r="G223" s="2" t="s">
        <v>90</v>
      </c>
      <c r="H223" s="5">
        <v>14440</v>
      </c>
      <c r="I223" s="1" t="s">
        <v>8</v>
      </c>
      <c r="J223" s="43"/>
      <c r="K223" s="17"/>
      <c r="L223" s="17"/>
      <c r="M223" s="17"/>
      <c r="N223" t="str">
        <f t="shared" si="8"/>
        <v>Unique</v>
      </c>
    </row>
    <row r="224" spans="1:14" ht="15" thickBot="1" x14ac:dyDescent="0.4">
      <c r="A224" s="6" t="s">
        <v>62</v>
      </c>
      <c r="B224" s="1" t="s">
        <v>19</v>
      </c>
      <c r="C224" s="1" t="s">
        <v>10</v>
      </c>
      <c r="D224" s="4">
        <v>50</v>
      </c>
      <c r="E224" s="4">
        <v>206</v>
      </c>
      <c r="F224" s="4">
        <v>-6.231508034</v>
      </c>
      <c r="G224" s="2" t="s">
        <v>40</v>
      </c>
      <c r="H224" s="5">
        <v>219.69</v>
      </c>
      <c r="I224" s="1" t="s">
        <v>8</v>
      </c>
      <c r="J224" s="43" t="s">
        <v>41</v>
      </c>
      <c r="K224" s="17"/>
      <c r="L224" s="17"/>
      <c r="M224" s="17"/>
      <c r="N224" t="str">
        <f t="shared" si="8"/>
        <v>Unique</v>
      </c>
    </row>
    <row r="225" spans="1:14" s="35" customFormat="1" ht="15" thickBot="1" x14ac:dyDescent="0.4">
      <c r="A225" s="3">
        <v>46252.6875</v>
      </c>
      <c r="B225" s="1" t="s">
        <v>9</v>
      </c>
      <c r="C225" s="1" t="s">
        <v>10</v>
      </c>
      <c r="D225" s="4">
        <v>37</v>
      </c>
      <c r="E225" s="4">
        <v>277</v>
      </c>
      <c r="F225" s="4">
        <v>-6.4505234720000004</v>
      </c>
      <c r="G225" s="2" t="s">
        <v>95</v>
      </c>
      <c r="H225" s="5">
        <v>296.10000000000002</v>
      </c>
      <c r="I225" s="1" t="s">
        <v>8</v>
      </c>
      <c r="J225" s="43" t="s">
        <v>55</v>
      </c>
      <c r="K225" s="17"/>
      <c r="L225" s="17"/>
      <c r="M225" s="17"/>
      <c r="N225" t="str">
        <f t="shared" si="8"/>
        <v>Unique</v>
      </c>
    </row>
    <row r="226" spans="1:14" ht="15" thickBot="1" x14ac:dyDescent="0.4">
      <c r="A226" s="3">
        <v>46267.375</v>
      </c>
      <c r="B226" s="1" t="s">
        <v>34</v>
      </c>
      <c r="C226" s="1" t="s">
        <v>10</v>
      </c>
      <c r="D226" s="4">
        <v>1</v>
      </c>
      <c r="E226" s="4">
        <v>20050</v>
      </c>
      <c r="F226" s="4">
        <v>-6.4613949149999996</v>
      </c>
      <c r="G226" s="2" t="s">
        <v>71</v>
      </c>
      <c r="H226" s="5">
        <v>21435</v>
      </c>
      <c r="I226" s="1" t="s">
        <v>8</v>
      </c>
      <c r="J226" s="18" t="s">
        <v>41</v>
      </c>
      <c r="K226" s="18" t="s">
        <v>244</v>
      </c>
      <c r="L226" s="18">
        <v>20350</v>
      </c>
      <c r="M226" s="18">
        <f>ABS((D226*E226)-L226)</f>
        <v>300</v>
      </c>
      <c r="N226" s="10" t="str">
        <f t="shared" si="8"/>
        <v>Unique</v>
      </c>
    </row>
    <row r="227" spans="1:14" ht="15" thickBot="1" x14ac:dyDescent="0.4">
      <c r="A227" s="6" t="s">
        <v>62</v>
      </c>
      <c r="B227" s="1" t="s">
        <v>32</v>
      </c>
      <c r="C227" s="1" t="s">
        <v>10</v>
      </c>
      <c r="D227" s="4">
        <v>25</v>
      </c>
      <c r="E227" s="4">
        <v>836</v>
      </c>
      <c r="F227" s="4">
        <v>-6.4720031330000003</v>
      </c>
      <c r="G227" s="2" t="s">
        <v>85</v>
      </c>
      <c r="H227" s="5">
        <v>893.85</v>
      </c>
      <c r="I227" s="1" t="s">
        <v>8</v>
      </c>
      <c r="J227" s="43" t="s">
        <v>118</v>
      </c>
      <c r="K227" s="17"/>
      <c r="L227" s="17"/>
      <c r="M227" s="17"/>
      <c r="N227" t="str">
        <f t="shared" si="8"/>
        <v>Unique</v>
      </c>
    </row>
    <row r="228" spans="1:14" ht="15" thickBot="1" x14ac:dyDescent="0.4">
      <c r="A228" s="3">
        <v>46252.6875</v>
      </c>
      <c r="B228" s="1" t="s">
        <v>11</v>
      </c>
      <c r="C228" s="1" t="s">
        <v>10</v>
      </c>
      <c r="D228" s="4">
        <v>60</v>
      </c>
      <c r="E228" s="4">
        <v>271</v>
      </c>
      <c r="F228" s="4">
        <v>-6.551724138</v>
      </c>
      <c r="G228" s="2" t="s">
        <v>99</v>
      </c>
      <c r="H228" s="5">
        <v>290</v>
      </c>
      <c r="I228" s="1" t="s">
        <v>8</v>
      </c>
      <c r="J228" s="43"/>
      <c r="K228" s="17"/>
      <c r="L228" s="17"/>
      <c r="M228" s="17"/>
      <c r="N228" t="str">
        <f t="shared" si="8"/>
        <v>Unique</v>
      </c>
    </row>
    <row r="229" spans="1:14" ht="15" thickBot="1" x14ac:dyDescent="0.4">
      <c r="A229" s="6" t="s">
        <v>62</v>
      </c>
      <c r="B229" s="1" t="s">
        <v>109</v>
      </c>
      <c r="C229" s="1" t="s">
        <v>10</v>
      </c>
      <c r="D229" s="4">
        <v>2</v>
      </c>
      <c r="E229" s="4">
        <v>4456</v>
      </c>
      <c r="F229" s="4">
        <v>-6.582809224</v>
      </c>
      <c r="G229" s="2" t="s">
        <v>110</v>
      </c>
      <c r="H229" s="5">
        <v>4770</v>
      </c>
      <c r="I229" s="1" t="s">
        <v>8</v>
      </c>
      <c r="J229" s="43"/>
      <c r="K229" s="17"/>
      <c r="L229" s="17"/>
      <c r="M229" s="17"/>
      <c r="N229" t="str">
        <f t="shared" si="8"/>
        <v>Unique</v>
      </c>
    </row>
    <row r="230" spans="1:14" s="35" customFormat="1" ht="15" thickBot="1" x14ac:dyDescent="0.4">
      <c r="A230" s="3">
        <v>46252.635416666664</v>
      </c>
      <c r="B230" s="1" t="s">
        <v>78</v>
      </c>
      <c r="C230" s="1" t="s">
        <v>10</v>
      </c>
      <c r="D230" s="4">
        <v>3</v>
      </c>
      <c r="E230" s="4">
        <v>1302</v>
      </c>
      <c r="F230" s="4">
        <v>-6.6064127389999996</v>
      </c>
      <c r="G230" s="2" t="s">
        <v>79</v>
      </c>
      <c r="H230" s="5">
        <v>1394.1</v>
      </c>
      <c r="I230" s="1" t="s">
        <v>8</v>
      </c>
      <c r="J230" s="43"/>
      <c r="K230" s="17"/>
      <c r="L230" s="17"/>
      <c r="M230" s="17"/>
      <c r="N230" t="str">
        <f t="shared" si="8"/>
        <v>Unique</v>
      </c>
    </row>
    <row r="231" spans="1:14" s="35" customFormat="1" ht="15" thickBot="1" x14ac:dyDescent="0.4">
      <c r="A231" s="3">
        <v>46252.6875</v>
      </c>
      <c r="B231" s="1" t="s">
        <v>17</v>
      </c>
      <c r="C231" s="1" t="s">
        <v>10</v>
      </c>
      <c r="D231" s="4">
        <v>25</v>
      </c>
      <c r="E231" s="4">
        <v>326</v>
      </c>
      <c r="F231" s="4">
        <v>-6.7238912729999996</v>
      </c>
      <c r="G231" s="2" t="s">
        <v>77</v>
      </c>
      <c r="H231" s="5">
        <v>349.5</v>
      </c>
      <c r="I231" s="1" t="s">
        <v>8</v>
      </c>
      <c r="J231" s="43" t="s">
        <v>41</v>
      </c>
      <c r="K231" s="17"/>
      <c r="L231" s="17"/>
      <c r="M231" s="17"/>
      <c r="N231" t="str">
        <f t="shared" si="8"/>
        <v>Unique</v>
      </c>
    </row>
    <row r="232" spans="1:14" ht="15" thickBot="1" x14ac:dyDescent="0.4">
      <c r="A232" s="6" t="s">
        <v>62</v>
      </c>
      <c r="B232" s="1" t="s">
        <v>107</v>
      </c>
      <c r="C232" s="1" t="s">
        <v>10</v>
      </c>
      <c r="D232" s="4">
        <v>1</v>
      </c>
      <c r="E232" s="4">
        <v>6920</v>
      </c>
      <c r="F232" s="4">
        <v>-6.8891280950000002</v>
      </c>
      <c r="G232" s="2" t="s">
        <v>108</v>
      </c>
      <c r="H232" s="5">
        <v>7432</v>
      </c>
      <c r="I232" s="1" t="s">
        <v>8</v>
      </c>
      <c r="J232" s="44" t="s">
        <v>140</v>
      </c>
      <c r="K232" s="17"/>
      <c r="L232" s="17"/>
      <c r="M232" s="17"/>
      <c r="N232" t="str">
        <f t="shared" si="8"/>
        <v>Unique</v>
      </c>
    </row>
    <row r="233" spans="1:14" ht="15" thickBot="1" x14ac:dyDescent="0.4">
      <c r="A233" s="6" t="s">
        <v>62</v>
      </c>
      <c r="B233" s="1" t="s">
        <v>51</v>
      </c>
      <c r="C233" s="1" t="s">
        <v>10</v>
      </c>
      <c r="D233" s="4">
        <v>40</v>
      </c>
      <c r="E233" s="4">
        <v>862</v>
      </c>
      <c r="F233" s="4">
        <v>-7.0168815059999998</v>
      </c>
      <c r="G233" s="2" t="s">
        <v>52</v>
      </c>
      <c r="H233" s="5">
        <v>927.05</v>
      </c>
      <c r="I233" s="1" t="s">
        <v>8</v>
      </c>
      <c r="J233" s="43" t="s">
        <v>41</v>
      </c>
      <c r="K233" s="17"/>
      <c r="L233" s="17"/>
      <c r="M233" s="17"/>
      <c r="N233" t="str">
        <f t="shared" si="8"/>
        <v>Unique</v>
      </c>
    </row>
    <row r="234" spans="1:14" ht="15" thickBot="1" x14ac:dyDescent="0.4">
      <c r="A234" s="6" t="s">
        <v>62</v>
      </c>
      <c r="B234" s="1" t="s">
        <v>66</v>
      </c>
      <c r="C234" s="1" t="s">
        <v>10</v>
      </c>
      <c r="D234" s="4">
        <v>10</v>
      </c>
      <c r="E234" s="4">
        <v>1132</v>
      </c>
      <c r="F234" s="4">
        <v>-7.4028629859999997</v>
      </c>
      <c r="G234" s="2" t="s">
        <v>67</v>
      </c>
      <c r="H234" s="5">
        <v>1222.5</v>
      </c>
      <c r="I234" s="1" t="s">
        <v>8</v>
      </c>
      <c r="J234" s="43"/>
      <c r="K234" s="17"/>
      <c r="L234" s="17"/>
      <c r="M234" s="17"/>
      <c r="N234" t="str">
        <f t="shared" si="8"/>
        <v>Unique</v>
      </c>
    </row>
    <row r="235" spans="1:14" ht="15" thickBot="1" x14ac:dyDescent="0.4">
      <c r="A235" s="6" t="s">
        <v>62</v>
      </c>
      <c r="B235" s="1" t="s">
        <v>109</v>
      </c>
      <c r="C235" s="1" t="s">
        <v>10</v>
      </c>
      <c r="D235" s="4">
        <v>15</v>
      </c>
      <c r="E235" s="4">
        <v>4415</v>
      </c>
      <c r="F235" s="4">
        <v>-7.4423480079999997</v>
      </c>
      <c r="G235" s="2" t="s">
        <v>110</v>
      </c>
      <c r="H235" s="5">
        <v>4770</v>
      </c>
      <c r="I235" s="1" t="s">
        <v>8</v>
      </c>
      <c r="J235" s="43"/>
      <c r="K235" s="17"/>
      <c r="L235" s="17"/>
      <c r="M235" s="17"/>
      <c r="N235" t="str">
        <f t="shared" si="8"/>
        <v>Unique</v>
      </c>
    </row>
    <row r="236" spans="1:14" ht="15" thickBot="1" x14ac:dyDescent="0.4">
      <c r="A236" s="3">
        <v>46258.601388888892</v>
      </c>
      <c r="B236" s="1" t="s">
        <v>33</v>
      </c>
      <c r="C236" s="1" t="s">
        <v>10</v>
      </c>
      <c r="D236" s="4">
        <v>3</v>
      </c>
      <c r="E236" s="4">
        <v>2271</v>
      </c>
      <c r="F236" s="4">
        <v>-7.6453843030000002</v>
      </c>
      <c r="G236" s="2" t="s">
        <v>84</v>
      </c>
      <c r="H236" s="5">
        <v>2459</v>
      </c>
      <c r="I236" s="1" t="s">
        <v>8</v>
      </c>
      <c r="J236" s="18" t="s">
        <v>55</v>
      </c>
      <c r="K236" s="18" t="s">
        <v>161</v>
      </c>
      <c r="L236" s="18">
        <v>7113</v>
      </c>
      <c r="M236" s="18">
        <f>ABS((D236*E236)-L236)</f>
        <v>300</v>
      </c>
      <c r="N236" s="10" t="str">
        <f t="shared" si="8"/>
        <v>Unique</v>
      </c>
    </row>
    <row r="237" spans="1:14" ht="15" thickBot="1" x14ac:dyDescent="0.4">
      <c r="A237" s="3">
        <v>46252.688194444447</v>
      </c>
      <c r="B237" s="1" t="s">
        <v>21</v>
      </c>
      <c r="C237" s="1" t="s">
        <v>10</v>
      </c>
      <c r="D237" s="4">
        <v>5</v>
      </c>
      <c r="E237" s="4">
        <v>640</v>
      </c>
      <c r="F237" s="4">
        <v>-7.6479076480000003</v>
      </c>
      <c r="G237" s="2" t="s">
        <v>76</v>
      </c>
      <c r="H237" s="5">
        <v>693</v>
      </c>
      <c r="I237" s="1" t="s">
        <v>8</v>
      </c>
      <c r="J237" s="43"/>
      <c r="K237" s="17"/>
      <c r="L237" s="17"/>
      <c r="M237" s="17"/>
      <c r="N237" t="str">
        <f t="shared" si="8"/>
        <v>Unique</v>
      </c>
    </row>
    <row r="238" spans="1:14" ht="15" thickBot="1" x14ac:dyDescent="0.4">
      <c r="A238" s="6" t="s">
        <v>62</v>
      </c>
      <c r="B238" s="1" t="s">
        <v>20</v>
      </c>
      <c r="C238" s="1" t="s">
        <v>10</v>
      </c>
      <c r="D238" s="4">
        <v>50</v>
      </c>
      <c r="E238" s="4">
        <v>116</v>
      </c>
      <c r="F238" s="4">
        <v>-8.0459770109999997</v>
      </c>
      <c r="G238" s="2" t="s">
        <v>86</v>
      </c>
      <c r="H238" s="5">
        <v>126.15</v>
      </c>
      <c r="I238" s="1" t="s">
        <v>8</v>
      </c>
      <c r="J238" s="43"/>
      <c r="K238" s="17"/>
      <c r="L238" s="17"/>
      <c r="M238" s="17"/>
      <c r="N238" t="str">
        <f t="shared" si="8"/>
        <v>Unique</v>
      </c>
    </row>
    <row r="239" spans="1:14" ht="15" thickBot="1" x14ac:dyDescent="0.4">
      <c r="A239" s="3">
        <v>46252.6875</v>
      </c>
      <c r="B239" s="1" t="s">
        <v>18</v>
      </c>
      <c r="C239" s="1" t="s">
        <v>10</v>
      </c>
      <c r="D239" s="4">
        <v>10</v>
      </c>
      <c r="E239" s="4">
        <v>1666</v>
      </c>
      <c r="F239" s="4">
        <v>-8.1233110899999996</v>
      </c>
      <c r="G239" s="2" t="s">
        <v>102</v>
      </c>
      <c r="H239" s="5">
        <v>1813.3</v>
      </c>
      <c r="I239" s="1" t="s">
        <v>8</v>
      </c>
      <c r="J239" s="43" t="s">
        <v>55</v>
      </c>
      <c r="K239" s="17"/>
      <c r="L239" s="17"/>
      <c r="M239" s="17"/>
      <c r="N239" t="str">
        <f t="shared" si="8"/>
        <v>Unique</v>
      </c>
    </row>
    <row r="240" spans="1:14" ht="15" thickBot="1" x14ac:dyDescent="0.4">
      <c r="A240" s="6" t="s">
        <v>62</v>
      </c>
      <c r="B240" s="1" t="s">
        <v>23</v>
      </c>
      <c r="C240" s="1" t="s">
        <v>10</v>
      </c>
      <c r="D240" s="4">
        <v>50</v>
      </c>
      <c r="E240" s="4">
        <v>196</v>
      </c>
      <c r="F240" s="4">
        <v>-8.3683964470000003</v>
      </c>
      <c r="G240" s="2" t="s">
        <v>70</v>
      </c>
      <c r="H240" s="5">
        <v>213.9</v>
      </c>
      <c r="I240" s="1" t="s">
        <v>8</v>
      </c>
      <c r="J240" s="43" t="s">
        <v>41</v>
      </c>
      <c r="K240" s="17"/>
      <c r="L240" s="17"/>
      <c r="M240" s="17"/>
      <c r="N240" t="str">
        <f t="shared" si="8"/>
        <v>Unique</v>
      </c>
    </row>
    <row r="241" spans="1:14" ht="15" thickBot="1" x14ac:dyDescent="0.4">
      <c r="A241" s="6" t="s">
        <v>62</v>
      </c>
      <c r="B241" s="1" t="s">
        <v>78</v>
      </c>
      <c r="C241" s="1" t="s">
        <v>10</v>
      </c>
      <c r="D241" s="4">
        <v>69</v>
      </c>
      <c r="E241" s="4">
        <v>1277</v>
      </c>
      <c r="F241" s="4">
        <v>-8.3996843840000004</v>
      </c>
      <c r="G241" s="2" t="s">
        <v>79</v>
      </c>
      <c r="H241" s="5">
        <v>1394.1</v>
      </c>
      <c r="I241" s="1" t="s">
        <v>8</v>
      </c>
      <c r="J241" s="43"/>
      <c r="K241" s="17"/>
      <c r="L241" s="17"/>
      <c r="M241" s="17"/>
      <c r="N241" t="str">
        <f t="shared" si="8"/>
        <v>Unique</v>
      </c>
    </row>
    <row r="242" spans="1:14" ht="15" thickBot="1" x14ac:dyDescent="0.4">
      <c r="A242" s="6" t="s">
        <v>62</v>
      </c>
      <c r="B242" s="1" t="s">
        <v>20</v>
      </c>
      <c r="C242" s="1" t="s">
        <v>10</v>
      </c>
      <c r="D242" s="4">
        <v>200</v>
      </c>
      <c r="E242" s="4">
        <v>115.25</v>
      </c>
      <c r="F242" s="4">
        <v>-8.6405073330000004</v>
      </c>
      <c r="G242" s="2" t="s">
        <v>86</v>
      </c>
      <c r="H242" s="5">
        <v>126.15</v>
      </c>
      <c r="I242" s="1" t="s">
        <v>8</v>
      </c>
      <c r="J242" s="43"/>
      <c r="K242" s="17"/>
      <c r="L242" s="17"/>
      <c r="M242" s="17"/>
      <c r="N242" t="str">
        <f t="shared" si="8"/>
        <v>Unique</v>
      </c>
    </row>
    <row r="243" spans="1:14" ht="15" thickBot="1" x14ac:dyDescent="0.4">
      <c r="A243" s="29">
        <v>46255</v>
      </c>
      <c r="B243" s="30" t="s">
        <v>34</v>
      </c>
      <c r="C243" s="30" t="s">
        <v>10</v>
      </c>
      <c r="D243" s="31">
        <v>1</v>
      </c>
      <c r="E243" s="31">
        <v>19550</v>
      </c>
      <c r="F243" s="4">
        <v>-8.7940284579999997</v>
      </c>
      <c r="G243" s="2" t="s">
        <v>71</v>
      </c>
      <c r="H243" s="5">
        <v>21435</v>
      </c>
      <c r="I243" s="1" t="s">
        <v>8</v>
      </c>
      <c r="J243" s="27" t="s">
        <v>41</v>
      </c>
      <c r="K243" s="27" t="s">
        <v>149</v>
      </c>
      <c r="L243" s="27">
        <v>19992</v>
      </c>
      <c r="M243" s="27">
        <f>ABS((D243*E243)-L243)</f>
        <v>442</v>
      </c>
      <c r="N243" s="28" t="str">
        <f t="shared" si="8"/>
        <v>Unique</v>
      </c>
    </row>
    <row r="244" spans="1:14" ht="15" thickBot="1" x14ac:dyDescent="0.4">
      <c r="A244" s="6" t="s">
        <v>62</v>
      </c>
      <c r="B244" s="1" t="s">
        <v>105</v>
      </c>
      <c r="C244" s="1" t="s">
        <v>10</v>
      </c>
      <c r="D244" s="4">
        <v>4</v>
      </c>
      <c r="E244" s="4">
        <v>1751</v>
      </c>
      <c r="F244" s="4">
        <v>-9.1333679290000003</v>
      </c>
      <c r="G244" s="2" t="s">
        <v>106</v>
      </c>
      <c r="H244" s="5">
        <v>1927</v>
      </c>
      <c r="I244" s="1" t="s">
        <v>8</v>
      </c>
      <c r="J244" s="43"/>
      <c r="K244" s="17"/>
      <c r="L244" s="17"/>
      <c r="M244" s="17"/>
      <c r="N244" t="str">
        <f t="shared" si="8"/>
        <v>Unique</v>
      </c>
    </row>
    <row r="245" spans="1:14" ht="15" thickBot="1" x14ac:dyDescent="0.4">
      <c r="A245" s="3">
        <v>46252.635416666664</v>
      </c>
      <c r="B245" s="1" t="s">
        <v>92</v>
      </c>
      <c r="C245" s="1" t="s">
        <v>10</v>
      </c>
      <c r="D245" s="4">
        <v>2</v>
      </c>
      <c r="E245" s="4">
        <v>2892</v>
      </c>
      <c r="F245" s="4">
        <v>-9.2819724580000003</v>
      </c>
      <c r="G245" s="2" t="s">
        <v>93</v>
      </c>
      <c r="H245" s="5">
        <v>3187.9</v>
      </c>
      <c r="I245" s="1" t="s">
        <v>8</v>
      </c>
      <c r="J245" s="43"/>
      <c r="K245" s="17"/>
      <c r="L245" s="17"/>
      <c r="M245" s="17"/>
      <c r="N245" t="str">
        <f t="shared" si="8"/>
        <v>Unique</v>
      </c>
    </row>
    <row r="246" spans="1:14" ht="15" thickBot="1" x14ac:dyDescent="0.4">
      <c r="A246" s="3">
        <v>46254.375</v>
      </c>
      <c r="B246" s="1" t="s">
        <v>33</v>
      </c>
      <c r="C246" s="1" t="s">
        <v>10</v>
      </c>
      <c r="D246" s="4">
        <v>7</v>
      </c>
      <c r="E246" s="4">
        <v>2230</v>
      </c>
      <c r="F246" s="4">
        <v>-9.3127287519999999</v>
      </c>
      <c r="G246" s="2" t="s">
        <v>84</v>
      </c>
      <c r="H246" s="5">
        <v>2459</v>
      </c>
      <c r="I246" s="1" t="s">
        <v>8</v>
      </c>
      <c r="J246" s="17" t="s">
        <v>55</v>
      </c>
      <c r="K246" s="17" t="s">
        <v>148</v>
      </c>
      <c r="L246" s="17"/>
      <c r="M246" s="17"/>
      <c r="N246" s="10" t="str">
        <f t="shared" si="8"/>
        <v>Unique</v>
      </c>
    </row>
    <row r="247" spans="1:14" ht="15" thickBot="1" x14ac:dyDescent="0.4">
      <c r="A247" s="6" t="s">
        <v>62</v>
      </c>
      <c r="B247" s="1" t="s">
        <v>25</v>
      </c>
      <c r="C247" s="1" t="s">
        <v>10</v>
      </c>
      <c r="D247" s="4">
        <v>200</v>
      </c>
      <c r="E247" s="4">
        <v>31.01</v>
      </c>
      <c r="F247" s="4">
        <v>-9.5918367349999993</v>
      </c>
      <c r="G247" s="2" t="s">
        <v>46</v>
      </c>
      <c r="H247" s="5">
        <v>34.299999999999997</v>
      </c>
      <c r="I247" s="1" t="s">
        <v>8</v>
      </c>
      <c r="J247" s="43"/>
      <c r="K247" s="17"/>
      <c r="L247" s="17"/>
      <c r="M247" s="17"/>
      <c r="N247" t="str">
        <f t="shared" si="8"/>
        <v>Unique</v>
      </c>
    </row>
    <row r="248" spans="1:14" ht="15" thickBot="1" x14ac:dyDescent="0.4">
      <c r="A248" s="6" t="s">
        <v>62</v>
      </c>
      <c r="B248" s="1" t="s">
        <v>89</v>
      </c>
      <c r="C248" s="1" t="s">
        <v>10</v>
      </c>
      <c r="D248" s="4">
        <v>1</v>
      </c>
      <c r="E248" s="4">
        <v>13052</v>
      </c>
      <c r="F248" s="4">
        <v>-9.6121883659999998</v>
      </c>
      <c r="G248" s="2" t="s">
        <v>90</v>
      </c>
      <c r="H248" s="5">
        <v>14440</v>
      </c>
      <c r="I248" s="1" t="s">
        <v>8</v>
      </c>
      <c r="J248" s="43"/>
      <c r="K248" s="17"/>
      <c r="L248" s="17"/>
      <c r="M248" s="17"/>
      <c r="N248" t="str">
        <f t="shared" si="8"/>
        <v>Unique</v>
      </c>
    </row>
    <row r="249" spans="1:14" ht="15" thickBot="1" x14ac:dyDescent="0.4">
      <c r="A249" s="6" t="s">
        <v>62</v>
      </c>
      <c r="B249" s="1" t="s">
        <v>111</v>
      </c>
      <c r="C249" s="1" t="s">
        <v>10</v>
      </c>
      <c r="D249" s="4">
        <v>7</v>
      </c>
      <c r="E249" s="4">
        <v>411</v>
      </c>
      <c r="F249" s="4">
        <v>-10.75887526</v>
      </c>
      <c r="G249" s="2" t="s">
        <v>112</v>
      </c>
      <c r="H249" s="5">
        <v>460.55</v>
      </c>
      <c r="I249" s="1" t="s">
        <v>8</v>
      </c>
      <c r="J249" s="43"/>
      <c r="K249" s="17"/>
      <c r="L249" s="17"/>
      <c r="M249" s="17"/>
      <c r="N249" t="str">
        <f t="shared" si="8"/>
        <v>Unique</v>
      </c>
    </row>
    <row r="250" spans="1:14" ht="15" thickBot="1" x14ac:dyDescent="0.4">
      <c r="A250" s="6" t="s">
        <v>62</v>
      </c>
      <c r="B250" s="1" t="s">
        <v>12</v>
      </c>
      <c r="C250" s="1" t="s">
        <v>10</v>
      </c>
      <c r="D250" s="4">
        <v>3</v>
      </c>
      <c r="E250" s="4">
        <v>4710</v>
      </c>
      <c r="F250" s="4">
        <v>-10.77855654</v>
      </c>
      <c r="G250" s="2" t="s">
        <v>98</v>
      </c>
      <c r="H250" s="5">
        <v>5279</v>
      </c>
      <c r="I250" s="1" t="s">
        <v>8</v>
      </c>
      <c r="J250" s="43"/>
      <c r="K250" s="17"/>
      <c r="L250" s="17"/>
      <c r="M250" s="17"/>
      <c r="N250" t="str">
        <f t="shared" si="8"/>
        <v>Unique</v>
      </c>
    </row>
    <row r="251" spans="1:14" ht="15" thickBot="1" x14ac:dyDescent="0.4">
      <c r="A251" s="6" t="s">
        <v>62</v>
      </c>
      <c r="B251" s="1" t="s">
        <v>18</v>
      </c>
      <c r="C251" s="1" t="s">
        <v>10</v>
      </c>
      <c r="D251" s="4">
        <v>5</v>
      </c>
      <c r="E251" s="4">
        <v>1614</v>
      </c>
      <c r="F251" s="4">
        <v>-10.991010859999999</v>
      </c>
      <c r="G251" s="2" t="s">
        <v>102</v>
      </c>
      <c r="H251" s="5">
        <v>1813.3</v>
      </c>
      <c r="I251" s="1" t="s">
        <v>8</v>
      </c>
      <c r="J251" s="44" t="s">
        <v>41</v>
      </c>
      <c r="K251" s="17"/>
      <c r="L251" s="17"/>
      <c r="M251" s="17"/>
      <c r="N251" t="str">
        <f t="shared" si="8"/>
        <v>Unique</v>
      </c>
    </row>
    <row r="252" spans="1:14" ht="15" thickBot="1" x14ac:dyDescent="0.4">
      <c r="A252" s="6" t="s">
        <v>62</v>
      </c>
      <c r="B252" s="1" t="s">
        <v>34</v>
      </c>
      <c r="C252" s="1" t="s">
        <v>10</v>
      </c>
      <c r="D252" s="4">
        <v>1</v>
      </c>
      <c r="E252" s="4">
        <v>19052</v>
      </c>
      <c r="F252" s="4">
        <v>-11.11733147</v>
      </c>
      <c r="G252" s="2" t="s">
        <v>71</v>
      </c>
      <c r="H252" s="5">
        <v>21435</v>
      </c>
      <c r="I252" s="1" t="s">
        <v>8</v>
      </c>
      <c r="J252" s="43"/>
      <c r="K252" s="17"/>
      <c r="L252" s="17"/>
      <c r="M252" s="17"/>
      <c r="N252" t="str">
        <f t="shared" si="8"/>
        <v>Unique</v>
      </c>
    </row>
    <row r="253" spans="1:14" s="35" customFormat="1" ht="15" thickBot="1" x14ac:dyDescent="0.4">
      <c r="A253" s="6" t="s">
        <v>62</v>
      </c>
      <c r="B253" s="1" t="s">
        <v>20</v>
      </c>
      <c r="C253" s="1" t="s">
        <v>10</v>
      </c>
      <c r="D253" s="4">
        <v>100</v>
      </c>
      <c r="E253" s="4">
        <v>111</v>
      </c>
      <c r="F253" s="4">
        <v>-12.009512490000001</v>
      </c>
      <c r="G253" s="2" t="s">
        <v>86</v>
      </c>
      <c r="H253" s="5">
        <v>126.15</v>
      </c>
      <c r="I253" s="1" t="s">
        <v>8</v>
      </c>
      <c r="J253" s="43"/>
      <c r="K253" s="17"/>
      <c r="L253" s="17"/>
      <c r="M253" s="17"/>
      <c r="N253" t="str">
        <f t="shared" si="8"/>
        <v>Unique</v>
      </c>
    </row>
    <row r="254" spans="1:14" ht="15" thickBot="1" x14ac:dyDescent="0.4">
      <c r="A254" s="6" t="s">
        <v>62</v>
      </c>
      <c r="B254" s="1" t="s">
        <v>113</v>
      </c>
      <c r="C254" s="1" t="s">
        <v>10</v>
      </c>
      <c r="D254" s="4">
        <v>4</v>
      </c>
      <c r="E254" s="4">
        <v>701</v>
      </c>
      <c r="F254" s="4">
        <v>-12.73496826</v>
      </c>
      <c r="G254" s="2" t="s">
        <v>114</v>
      </c>
      <c r="H254" s="5">
        <v>803.3</v>
      </c>
      <c r="I254" s="1" t="s">
        <v>8</v>
      </c>
      <c r="J254" s="43" t="s">
        <v>41</v>
      </c>
      <c r="K254" s="17"/>
      <c r="L254" s="17"/>
      <c r="M254" s="17"/>
      <c r="N254" t="str">
        <f t="shared" si="8"/>
        <v>Unique</v>
      </c>
    </row>
    <row r="255" spans="1:14" ht="15" thickBot="1" x14ac:dyDescent="0.4">
      <c r="A255" s="6" t="s">
        <v>62</v>
      </c>
      <c r="B255" s="1" t="s">
        <v>11</v>
      </c>
      <c r="C255" s="1" t="s">
        <v>10</v>
      </c>
      <c r="D255" s="4">
        <v>10</v>
      </c>
      <c r="E255" s="4">
        <v>251</v>
      </c>
      <c r="F255" s="4">
        <v>-13.448275860000001</v>
      </c>
      <c r="G255" s="2" t="s">
        <v>99</v>
      </c>
      <c r="H255" s="5">
        <v>290</v>
      </c>
      <c r="I255" s="1" t="s">
        <v>8</v>
      </c>
      <c r="J255" s="43"/>
      <c r="K255" s="17"/>
      <c r="L255" s="17"/>
      <c r="M255" s="17"/>
      <c r="N255" t="str">
        <f t="shared" si="8"/>
        <v>Unique</v>
      </c>
    </row>
    <row r="256" spans="1:14" ht="15" thickBot="1" x14ac:dyDescent="0.4">
      <c r="A256" s="6" t="s">
        <v>62</v>
      </c>
      <c r="B256" s="1" t="s">
        <v>34</v>
      </c>
      <c r="C256" s="1" t="s">
        <v>10</v>
      </c>
      <c r="D256" s="4">
        <v>1</v>
      </c>
      <c r="E256" s="4">
        <v>18552</v>
      </c>
      <c r="F256" s="4">
        <v>-13.44996501</v>
      </c>
      <c r="G256" s="2" t="s">
        <v>71</v>
      </c>
      <c r="H256" s="5">
        <v>21435</v>
      </c>
      <c r="I256" s="1" t="s">
        <v>8</v>
      </c>
      <c r="J256" s="43"/>
      <c r="K256" s="17"/>
      <c r="L256" s="17"/>
      <c r="M256" s="17"/>
      <c r="N256" t="str">
        <f t="shared" si="8"/>
        <v>Unique</v>
      </c>
    </row>
    <row r="257" spans="1:14" ht="15" thickBot="1" x14ac:dyDescent="0.4">
      <c r="A257" s="6" t="s">
        <v>62</v>
      </c>
      <c r="B257" s="1" t="s">
        <v>92</v>
      </c>
      <c r="C257" s="1" t="s">
        <v>10</v>
      </c>
      <c r="D257" s="4">
        <v>1</v>
      </c>
      <c r="E257" s="4">
        <v>2752</v>
      </c>
      <c r="F257" s="4">
        <v>-13.67357822</v>
      </c>
      <c r="G257" s="2" t="s">
        <v>93</v>
      </c>
      <c r="H257" s="5">
        <v>3187.9</v>
      </c>
      <c r="I257" s="1" t="s">
        <v>8</v>
      </c>
      <c r="J257" s="43"/>
      <c r="K257" s="17"/>
      <c r="L257" s="17"/>
      <c r="M257" s="17"/>
      <c r="N257" t="str">
        <f t="shared" si="8"/>
        <v>Unique</v>
      </c>
    </row>
    <row r="258" spans="1:14" s="35" customFormat="1" ht="15" thickBot="1" x14ac:dyDescent="0.4">
      <c r="A258" s="6" t="s">
        <v>62</v>
      </c>
      <c r="B258" s="1" t="s">
        <v>34</v>
      </c>
      <c r="C258" s="1" t="s">
        <v>10</v>
      </c>
      <c r="D258" s="4">
        <v>1</v>
      </c>
      <c r="E258" s="4">
        <v>18052</v>
      </c>
      <c r="F258" s="4">
        <v>-15.782598549999999</v>
      </c>
      <c r="G258" s="2" t="s">
        <v>71</v>
      </c>
      <c r="H258" s="5">
        <v>21435</v>
      </c>
      <c r="I258" s="1" t="s">
        <v>8</v>
      </c>
      <c r="J258" s="43"/>
      <c r="K258" s="17"/>
      <c r="L258" s="17"/>
      <c r="M258" s="17"/>
      <c r="N258" t="str">
        <f t="shared" ref="N258:N278" si="9">IF(COUNTIFS( $B$2:$B$797, B258, $C$2:$C$797, C258, $D$2:$D$797, D258, $E$2:$E$797, E258) &gt; 1, "Duplicate", "Unique")</f>
        <v>Unique</v>
      </c>
    </row>
    <row r="259" spans="1:14" ht="15" thickBot="1" x14ac:dyDescent="0.4">
      <c r="A259" s="6" t="s">
        <v>62</v>
      </c>
      <c r="B259" s="1" t="s">
        <v>12</v>
      </c>
      <c r="C259" s="1" t="s">
        <v>10</v>
      </c>
      <c r="D259" s="4">
        <v>2</v>
      </c>
      <c r="E259" s="4">
        <v>4410</v>
      </c>
      <c r="F259" s="4">
        <v>-16.461451029999999</v>
      </c>
      <c r="G259" s="2" t="s">
        <v>98</v>
      </c>
      <c r="H259" s="5">
        <v>5279</v>
      </c>
      <c r="I259" s="1" t="s">
        <v>8</v>
      </c>
      <c r="J259" s="43"/>
      <c r="K259" s="17"/>
      <c r="L259" s="17"/>
      <c r="M259" s="17"/>
      <c r="N259" t="str">
        <f t="shared" si="9"/>
        <v>Unique</v>
      </c>
    </row>
    <row r="260" spans="1:14" ht="15" thickBot="1" x14ac:dyDescent="0.4">
      <c r="A260" s="6" t="s">
        <v>62</v>
      </c>
      <c r="B260" s="1" t="s">
        <v>92</v>
      </c>
      <c r="C260" s="1" t="s">
        <v>10</v>
      </c>
      <c r="D260" s="4">
        <v>2</v>
      </c>
      <c r="E260" s="4">
        <v>2660</v>
      </c>
      <c r="F260" s="4">
        <v>-16.559490570000001</v>
      </c>
      <c r="G260" s="2" t="s">
        <v>93</v>
      </c>
      <c r="H260" s="5">
        <v>3187.9</v>
      </c>
      <c r="I260" s="1" t="s">
        <v>8</v>
      </c>
      <c r="J260" s="43"/>
      <c r="K260" s="17"/>
      <c r="L260" s="17"/>
      <c r="M260" s="17"/>
      <c r="N260" t="str">
        <f t="shared" si="9"/>
        <v>Unique</v>
      </c>
    </row>
    <row r="261" spans="1:14" ht="15" thickBot="1" x14ac:dyDescent="0.4">
      <c r="A261" s="6" t="s">
        <v>62</v>
      </c>
      <c r="B261" s="1" t="s">
        <v>12</v>
      </c>
      <c r="C261" s="1" t="s">
        <v>10</v>
      </c>
      <c r="D261" s="4">
        <v>1</v>
      </c>
      <c r="E261" s="4">
        <v>4364</v>
      </c>
      <c r="F261" s="4">
        <v>-17.332828190000001</v>
      </c>
      <c r="G261" s="2" t="s">
        <v>98</v>
      </c>
      <c r="H261" s="5">
        <v>5279</v>
      </c>
      <c r="I261" s="1" t="s">
        <v>8</v>
      </c>
      <c r="J261" s="42" t="s">
        <v>41</v>
      </c>
      <c r="K261" s="17"/>
      <c r="L261" s="17"/>
      <c r="M261" s="17"/>
      <c r="N261" t="str">
        <f t="shared" si="9"/>
        <v>Unique</v>
      </c>
    </row>
    <row r="262" spans="1:14" ht="15" thickBot="1" x14ac:dyDescent="0.4">
      <c r="A262" s="6" t="s">
        <v>62</v>
      </c>
      <c r="B262" s="1" t="s">
        <v>92</v>
      </c>
      <c r="C262" s="1" t="s">
        <v>10</v>
      </c>
      <c r="D262" s="4">
        <v>2</v>
      </c>
      <c r="E262" s="4">
        <v>2560</v>
      </c>
      <c r="F262" s="4">
        <v>-19.696351830000001</v>
      </c>
      <c r="G262" s="2" t="s">
        <v>93</v>
      </c>
      <c r="H262" s="5">
        <v>3187.9</v>
      </c>
      <c r="I262" s="1" t="s">
        <v>8</v>
      </c>
      <c r="J262" s="43"/>
      <c r="K262" s="17"/>
      <c r="L262" s="17"/>
      <c r="M262" s="17"/>
      <c r="N262" t="str">
        <f t="shared" si="9"/>
        <v>Unique</v>
      </c>
    </row>
    <row r="263" spans="1:14" ht="15" thickBot="1" x14ac:dyDescent="0.4">
      <c r="A263" s="6" t="s">
        <v>62</v>
      </c>
      <c r="B263" s="1" t="s">
        <v>12</v>
      </c>
      <c r="C263" s="1" t="s">
        <v>10</v>
      </c>
      <c r="D263" s="4">
        <v>1</v>
      </c>
      <c r="E263" s="4">
        <v>4164</v>
      </c>
      <c r="F263" s="4">
        <v>-21.121424510000001</v>
      </c>
      <c r="G263" s="2" t="s">
        <v>98</v>
      </c>
      <c r="H263" s="5">
        <v>5279</v>
      </c>
      <c r="I263" s="1" t="s">
        <v>8</v>
      </c>
      <c r="J263" s="43"/>
      <c r="K263" s="17"/>
      <c r="L263" s="17"/>
      <c r="M263" s="17"/>
      <c r="N263" t="str">
        <f t="shared" si="9"/>
        <v>Unique</v>
      </c>
    </row>
    <row r="264" spans="1:14" ht="15" thickBot="1" x14ac:dyDescent="0.4">
      <c r="A264" s="3">
        <v>46252.688194444447</v>
      </c>
      <c r="B264" s="1" t="s">
        <v>96</v>
      </c>
      <c r="C264" s="1" t="s">
        <v>10</v>
      </c>
      <c r="D264" s="4">
        <v>45</v>
      </c>
      <c r="E264" s="4">
        <v>136.15</v>
      </c>
      <c r="F264" s="4">
        <v>-23.338963960000001</v>
      </c>
      <c r="G264" s="2" t="s">
        <v>97</v>
      </c>
      <c r="H264" s="5">
        <v>177.6</v>
      </c>
      <c r="I264" s="1" t="s">
        <v>8</v>
      </c>
      <c r="J264" s="43"/>
      <c r="K264" s="17"/>
      <c r="L264" s="17"/>
      <c r="M264" s="17"/>
      <c r="N264" t="str">
        <f t="shared" si="9"/>
        <v>Unique</v>
      </c>
    </row>
    <row r="265" spans="1:14" ht="15" thickBot="1" x14ac:dyDescent="0.4">
      <c r="A265" s="6" t="s">
        <v>62</v>
      </c>
      <c r="B265" s="1" t="s">
        <v>115</v>
      </c>
      <c r="C265" s="1" t="s">
        <v>10</v>
      </c>
      <c r="D265" s="4">
        <v>2</v>
      </c>
      <c r="E265" s="4">
        <v>660</v>
      </c>
      <c r="F265" s="4">
        <v>-23.566878979999998</v>
      </c>
      <c r="G265" s="2" t="s">
        <v>116</v>
      </c>
      <c r="H265" s="5">
        <v>863.5</v>
      </c>
      <c r="I265" s="1" t="s">
        <v>8</v>
      </c>
      <c r="J265" s="43"/>
      <c r="K265" s="17"/>
      <c r="L265" s="17"/>
      <c r="M265" s="17"/>
      <c r="N265" t="str">
        <f t="shared" si="9"/>
        <v>Unique</v>
      </c>
    </row>
    <row r="266" spans="1:14" ht="15" thickBot="1" x14ac:dyDescent="0.4">
      <c r="A266" s="6" t="s">
        <v>62</v>
      </c>
      <c r="B266" s="1" t="s">
        <v>12</v>
      </c>
      <c r="C266" s="1" t="s">
        <v>10</v>
      </c>
      <c r="D266" s="4">
        <v>1</v>
      </c>
      <c r="E266" s="4">
        <v>4014</v>
      </c>
      <c r="F266" s="4">
        <v>-23.962871759999999</v>
      </c>
      <c r="G266" s="2" t="s">
        <v>98</v>
      </c>
      <c r="H266" s="5">
        <v>5279</v>
      </c>
      <c r="I266" s="1" t="s">
        <v>8</v>
      </c>
      <c r="J266" s="43"/>
      <c r="K266" s="17"/>
      <c r="L266" s="17"/>
      <c r="M266" s="17"/>
      <c r="N266" t="str">
        <f t="shared" si="9"/>
        <v>Unique</v>
      </c>
    </row>
    <row r="267" spans="1:14" ht="15" thickBot="1" x14ac:dyDescent="0.4">
      <c r="A267" s="6" t="s">
        <v>62</v>
      </c>
      <c r="B267" s="1" t="s">
        <v>12</v>
      </c>
      <c r="C267" s="1" t="s">
        <v>10</v>
      </c>
      <c r="D267" s="4">
        <v>1</v>
      </c>
      <c r="E267" s="4">
        <v>3914</v>
      </c>
      <c r="F267" s="4">
        <v>-25.85716992</v>
      </c>
      <c r="G267" s="2" t="s">
        <v>98</v>
      </c>
      <c r="H267" s="5">
        <v>5279</v>
      </c>
      <c r="I267" s="1" t="s">
        <v>8</v>
      </c>
      <c r="J267" s="42" t="s">
        <v>41</v>
      </c>
      <c r="K267" s="17"/>
      <c r="L267" s="17"/>
      <c r="M267" s="17"/>
      <c r="N267" t="str">
        <f t="shared" si="9"/>
        <v>Unique</v>
      </c>
    </row>
    <row r="268" spans="1:14" x14ac:dyDescent="0.35">
      <c r="A268" t="s">
        <v>252</v>
      </c>
      <c r="B268" t="s">
        <v>14</v>
      </c>
      <c r="C268" t="s">
        <v>7</v>
      </c>
      <c r="D268">
        <v>50</v>
      </c>
      <c r="E268">
        <v>330.4</v>
      </c>
      <c r="F268"/>
      <c r="J268" s="18" t="s">
        <v>118</v>
      </c>
      <c r="K268" s="18" t="s">
        <v>261</v>
      </c>
      <c r="L268" s="18">
        <v>16219.999999999998</v>
      </c>
      <c r="M268" s="27">
        <f>ABS((D268*E268)-L268)</f>
        <v>300.00000000000182</v>
      </c>
      <c r="N268" t="str">
        <f t="shared" si="9"/>
        <v>Unique</v>
      </c>
    </row>
    <row r="269" spans="1:14" x14ac:dyDescent="0.35">
      <c r="A269" t="s">
        <v>253</v>
      </c>
      <c r="B269" t="s">
        <v>12</v>
      </c>
      <c r="C269" t="s">
        <v>7</v>
      </c>
      <c r="D269">
        <v>1</v>
      </c>
      <c r="E269">
        <v>5448</v>
      </c>
      <c r="F269"/>
      <c r="J269" s="18" t="s">
        <v>118</v>
      </c>
      <c r="K269" s="18" t="s">
        <v>262</v>
      </c>
      <c r="L269" s="18">
        <v>5180</v>
      </c>
      <c r="M269" s="27">
        <f t="shared" ref="M269:M278" si="10">ABS((D269*E269)-L269)</f>
        <v>268</v>
      </c>
      <c r="N269" t="str">
        <f t="shared" si="9"/>
        <v>Unique</v>
      </c>
    </row>
    <row r="270" spans="1:14" x14ac:dyDescent="0.35">
      <c r="A270" t="s">
        <v>254</v>
      </c>
      <c r="B270" t="s">
        <v>13</v>
      </c>
      <c r="C270" t="s">
        <v>7</v>
      </c>
      <c r="D270">
        <v>10</v>
      </c>
      <c r="E270">
        <v>1879</v>
      </c>
      <c r="F270"/>
      <c r="J270" s="18" t="s">
        <v>118</v>
      </c>
      <c r="K270" s="18" t="s">
        <v>263</v>
      </c>
      <c r="L270" s="18">
        <v>18140</v>
      </c>
      <c r="M270" s="27">
        <f t="shared" si="10"/>
        <v>650</v>
      </c>
      <c r="N270" t="str">
        <f t="shared" si="9"/>
        <v>Unique</v>
      </c>
    </row>
    <row r="271" spans="1:14" x14ac:dyDescent="0.35">
      <c r="A271" t="s">
        <v>255</v>
      </c>
      <c r="B271" t="s">
        <v>13</v>
      </c>
      <c r="C271" t="s">
        <v>10</v>
      </c>
      <c r="D271">
        <v>5</v>
      </c>
      <c r="E271">
        <v>1764</v>
      </c>
      <c r="F271"/>
      <c r="J271" s="18" t="s">
        <v>41</v>
      </c>
      <c r="K271" s="18" t="s">
        <v>272</v>
      </c>
      <c r="L271" s="18">
        <f>5*1869</f>
        <v>9345</v>
      </c>
      <c r="M271" s="27">
        <f t="shared" si="10"/>
        <v>525</v>
      </c>
      <c r="N271" t="str">
        <f t="shared" si="9"/>
        <v>Unique</v>
      </c>
    </row>
    <row r="272" spans="1:14" x14ac:dyDescent="0.35">
      <c r="A272" t="s">
        <v>256</v>
      </c>
      <c r="B272" t="s">
        <v>23</v>
      </c>
      <c r="C272" t="s">
        <v>7</v>
      </c>
      <c r="D272">
        <v>40</v>
      </c>
      <c r="E272">
        <v>219</v>
      </c>
      <c r="F272"/>
      <c r="J272" s="18" t="s">
        <v>117</v>
      </c>
      <c r="K272" s="18" t="s">
        <v>264</v>
      </c>
      <c r="L272" s="18">
        <v>8480</v>
      </c>
      <c r="M272" s="27">
        <f t="shared" si="10"/>
        <v>280</v>
      </c>
      <c r="N272" t="str">
        <f t="shared" si="9"/>
        <v>Unique</v>
      </c>
    </row>
    <row r="273" spans="1:14" x14ac:dyDescent="0.35">
      <c r="A273" t="s">
        <v>257</v>
      </c>
      <c r="B273" t="s">
        <v>22</v>
      </c>
      <c r="C273" t="s">
        <v>7</v>
      </c>
      <c r="D273">
        <v>5</v>
      </c>
      <c r="E273">
        <v>471</v>
      </c>
      <c r="F273"/>
      <c r="J273" s="18" t="s">
        <v>118</v>
      </c>
      <c r="K273" s="18" t="s">
        <v>265</v>
      </c>
      <c r="L273" s="18">
        <v>2105</v>
      </c>
      <c r="M273" s="27">
        <f t="shared" si="10"/>
        <v>250</v>
      </c>
      <c r="N273" t="str">
        <f t="shared" si="9"/>
        <v>Unique</v>
      </c>
    </row>
    <row r="274" spans="1:14" x14ac:dyDescent="0.35">
      <c r="A274" t="s">
        <v>258</v>
      </c>
      <c r="B274" t="s">
        <v>13</v>
      </c>
      <c r="C274" t="s">
        <v>10</v>
      </c>
      <c r="D274">
        <v>5</v>
      </c>
      <c r="E274">
        <v>1714</v>
      </c>
      <c r="F274"/>
      <c r="J274" s="18" t="s">
        <v>41</v>
      </c>
      <c r="K274" s="18" t="s">
        <v>266</v>
      </c>
      <c r="L274" s="18">
        <v>9220</v>
      </c>
      <c r="M274" s="27">
        <f t="shared" si="10"/>
        <v>650</v>
      </c>
      <c r="N274" t="str">
        <f t="shared" si="9"/>
        <v>Unique</v>
      </c>
    </row>
    <row r="275" spans="1:14" x14ac:dyDescent="0.35">
      <c r="A275" t="s">
        <v>259</v>
      </c>
      <c r="B275" t="s">
        <v>74</v>
      </c>
      <c r="C275" t="s">
        <v>10</v>
      </c>
      <c r="D275">
        <v>2</v>
      </c>
      <c r="E275">
        <v>3210</v>
      </c>
      <c r="F275"/>
      <c r="J275" s="18" t="s">
        <v>41</v>
      </c>
      <c r="K275" s="18" t="s">
        <v>267</v>
      </c>
      <c r="L275" s="18">
        <v>6880</v>
      </c>
      <c r="M275" s="27">
        <f t="shared" si="10"/>
        <v>460</v>
      </c>
      <c r="N275" t="str">
        <f t="shared" si="9"/>
        <v>Unique</v>
      </c>
    </row>
    <row r="276" spans="1:14" x14ac:dyDescent="0.35">
      <c r="A276" t="s">
        <v>260</v>
      </c>
      <c r="B276" t="s">
        <v>17</v>
      </c>
      <c r="C276" t="s">
        <v>10</v>
      </c>
      <c r="D276">
        <v>25</v>
      </c>
      <c r="E276">
        <v>348</v>
      </c>
      <c r="F276"/>
      <c r="J276" s="18" t="s">
        <v>55</v>
      </c>
      <c r="K276" s="18" t="s">
        <v>268</v>
      </c>
      <c r="L276" s="18">
        <v>9000</v>
      </c>
      <c r="M276" s="27">
        <f t="shared" si="10"/>
        <v>300</v>
      </c>
      <c r="N276" t="str">
        <f t="shared" si="9"/>
        <v>Unique</v>
      </c>
    </row>
    <row r="277" spans="1:14" s="35" customFormat="1" x14ac:dyDescent="0.35">
      <c r="A277" s="34" t="s">
        <v>260</v>
      </c>
      <c r="B277" s="34" t="s">
        <v>51</v>
      </c>
      <c r="C277" s="34" t="s">
        <v>10</v>
      </c>
      <c r="D277" s="34">
        <v>10</v>
      </c>
      <c r="E277" s="34">
        <v>917</v>
      </c>
      <c r="F277" s="34"/>
      <c r="J277" s="33" t="s">
        <v>55</v>
      </c>
      <c r="K277" s="33" t="s">
        <v>269</v>
      </c>
      <c r="L277" s="33">
        <v>9470</v>
      </c>
      <c r="M277" s="33">
        <f t="shared" si="10"/>
        <v>300</v>
      </c>
      <c r="N277" s="34" t="str">
        <f t="shared" si="9"/>
        <v>Duplicate</v>
      </c>
    </row>
    <row r="278" spans="1:14" x14ac:dyDescent="0.35">
      <c r="A278" t="s">
        <v>260</v>
      </c>
      <c r="B278" t="s">
        <v>87</v>
      </c>
      <c r="C278" t="s">
        <v>10</v>
      </c>
      <c r="D278">
        <v>10</v>
      </c>
      <c r="E278">
        <v>1251</v>
      </c>
      <c r="F278"/>
      <c r="K278" s="18" t="s">
        <v>273</v>
      </c>
      <c r="L278" s="18">
        <f>10*1280</f>
        <v>12800</v>
      </c>
      <c r="M278" s="27">
        <f t="shared" si="10"/>
        <v>290</v>
      </c>
      <c r="N278" t="str">
        <f t="shared" si="9"/>
        <v>Unique</v>
      </c>
    </row>
    <row r="279" spans="1:14" x14ac:dyDescent="0.35">
      <c r="J279" s="10"/>
      <c r="N279" s="18"/>
    </row>
    <row r="280" spans="1:14" x14ac:dyDescent="0.35">
      <c r="J280" s="10"/>
      <c r="N280" s="18"/>
    </row>
    <row r="281" spans="1:14" x14ac:dyDescent="0.35">
      <c r="J281" s="10"/>
      <c r="N281" s="18"/>
    </row>
    <row r="282" spans="1:14" x14ac:dyDescent="0.35">
      <c r="E282" s="35"/>
      <c r="J282" s="10"/>
      <c r="N282" s="18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2026-09-07T08:45:33Z</dcterms:modified>
</cp:coreProperties>
</file>