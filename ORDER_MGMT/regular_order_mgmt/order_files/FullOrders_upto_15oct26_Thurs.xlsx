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9F09E2D9-88B4-4A25-92DD-7529FAE8A3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10" r:id="rId3"/>
  </sheets>
  <definedNames>
    <definedName name="_xlnm._FilterDatabase" localSheetId="0" hidden="1">Sheet1!$A$1:$P$315</definedName>
    <definedName name="_xlnm._FilterDatabase" localSheetId="2" hidden="1">'Sheet1 (2)'!$A$1:$P$315</definedName>
    <definedName name="_xlnm._FilterDatabase" localSheetId="1" hidden="1">Sheet2!$A$1:$N$10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5" i="10" l="1"/>
  <c r="M315" i="10"/>
  <c r="N314" i="10"/>
  <c r="M314" i="10"/>
  <c r="N313" i="10"/>
  <c r="M313" i="10"/>
  <c r="N312" i="10"/>
  <c r="M312" i="10"/>
  <c r="N311" i="10"/>
  <c r="M311" i="10"/>
  <c r="N310" i="10"/>
  <c r="N309" i="10"/>
  <c r="N308" i="10"/>
  <c r="N307" i="10"/>
  <c r="N306" i="10"/>
  <c r="N305" i="10"/>
  <c r="N304" i="10"/>
  <c r="M304" i="10"/>
  <c r="N303" i="10"/>
  <c r="N302" i="10"/>
  <c r="M302" i="10"/>
  <c r="N301" i="10"/>
  <c r="N300" i="10"/>
  <c r="N299" i="10"/>
  <c r="M299" i="10"/>
  <c r="N298" i="10"/>
  <c r="M298" i="10"/>
  <c r="N297" i="10"/>
  <c r="M297" i="10"/>
  <c r="N296" i="10"/>
  <c r="N295" i="10"/>
  <c r="M295" i="10"/>
  <c r="N294" i="10"/>
  <c r="M294" i="10"/>
  <c r="N293" i="10"/>
  <c r="N292" i="10"/>
  <c r="N291" i="10"/>
  <c r="N290" i="10"/>
  <c r="N289" i="10"/>
  <c r="N288" i="10"/>
  <c r="M288" i="10"/>
  <c r="N287" i="10"/>
  <c r="N286" i="10"/>
  <c r="N285" i="10"/>
  <c r="N284" i="10"/>
  <c r="N283" i="10"/>
  <c r="N282" i="10"/>
  <c r="N281" i="10"/>
  <c r="M281" i="10"/>
  <c r="N280" i="10"/>
  <c r="M280" i="10"/>
  <c r="N279" i="10"/>
  <c r="M279" i="10"/>
  <c r="N278" i="10"/>
  <c r="N277" i="10"/>
  <c r="N276" i="10"/>
  <c r="N275" i="10"/>
  <c r="M275" i="10"/>
  <c r="N274" i="10"/>
  <c r="M274" i="10"/>
  <c r="N273" i="10"/>
  <c r="M273" i="10"/>
  <c r="N272" i="10"/>
  <c r="M272" i="10"/>
  <c r="N271" i="10"/>
  <c r="M271" i="10"/>
  <c r="N270" i="10"/>
  <c r="M270" i="10"/>
  <c r="N269" i="10"/>
  <c r="N268" i="10"/>
  <c r="M268" i="10"/>
  <c r="N267" i="10"/>
  <c r="M267" i="10"/>
  <c r="N266" i="10"/>
  <c r="M266" i="10"/>
  <c r="N265" i="10"/>
  <c r="N264" i="10"/>
  <c r="N263" i="10"/>
  <c r="N262" i="10"/>
  <c r="M262" i="10"/>
  <c r="N261" i="10"/>
  <c r="N260" i="10"/>
  <c r="N259" i="10"/>
  <c r="M259" i="10"/>
  <c r="N258" i="10"/>
  <c r="N257" i="10"/>
  <c r="N256" i="10"/>
  <c r="M256" i="10"/>
  <c r="N255" i="10"/>
  <c r="M255" i="10"/>
  <c r="N254" i="10"/>
  <c r="N253" i="10"/>
  <c r="N252" i="10"/>
  <c r="M252" i="10"/>
  <c r="N251" i="10"/>
  <c r="N250" i="10"/>
  <c r="N249" i="10"/>
  <c r="M249" i="10"/>
  <c r="N248" i="10"/>
  <c r="M248" i="10"/>
  <c r="N247" i="10"/>
  <c r="N246" i="10"/>
  <c r="N245" i="10"/>
  <c r="N244" i="10"/>
  <c r="M244" i="10"/>
  <c r="N243" i="10"/>
  <c r="M243" i="10"/>
  <c r="N242" i="10"/>
  <c r="M242" i="10"/>
  <c r="N241" i="10"/>
  <c r="M241" i="10"/>
  <c r="N240" i="10"/>
  <c r="N239" i="10"/>
  <c r="M239" i="10"/>
  <c r="N238" i="10"/>
  <c r="N237" i="10"/>
  <c r="M237" i="10"/>
  <c r="N236" i="10"/>
  <c r="M236" i="10"/>
  <c r="N235" i="10"/>
  <c r="M235" i="10"/>
  <c r="N234" i="10"/>
  <c r="M234" i="10"/>
  <c r="N233" i="10"/>
  <c r="M233" i="10"/>
  <c r="N232" i="10"/>
  <c r="N231" i="10"/>
  <c r="N230" i="10"/>
  <c r="M230" i="10"/>
  <c r="N229" i="10"/>
  <c r="M229" i="10"/>
  <c r="N228" i="10"/>
  <c r="N227" i="10"/>
  <c r="M227" i="10"/>
  <c r="N226" i="10"/>
  <c r="N225" i="10"/>
  <c r="N224" i="10"/>
  <c r="M224" i="10"/>
  <c r="N223" i="10"/>
  <c r="N222" i="10"/>
  <c r="M222" i="10"/>
  <c r="N221" i="10"/>
  <c r="M221" i="10"/>
  <c r="N220" i="10"/>
  <c r="N219" i="10"/>
  <c r="M219" i="10"/>
  <c r="N218" i="10"/>
  <c r="M218" i="10"/>
  <c r="N217" i="10"/>
  <c r="N216" i="10"/>
  <c r="M216" i="10"/>
  <c r="N215" i="10"/>
  <c r="M215" i="10"/>
  <c r="N214" i="10"/>
  <c r="M214" i="10"/>
  <c r="N213" i="10"/>
  <c r="M213" i="10"/>
  <c r="N212" i="10"/>
  <c r="M212" i="10"/>
  <c r="N211" i="10"/>
  <c r="M211" i="10"/>
  <c r="N210" i="10"/>
  <c r="N209" i="10"/>
  <c r="M209" i="10"/>
  <c r="N208" i="10"/>
  <c r="N207" i="10"/>
  <c r="M207" i="10"/>
  <c r="N206" i="10"/>
  <c r="M206" i="10"/>
  <c r="N205" i="10"/>
  <c r="M205" i="10"/>
  <c r="N204" i="10"/>
  <c r="N203" i="10"/>
  <c r="N202" i="10"/>
  <c r="M202" i="10"/>
  <c r="N201" i="10"/>
  <c r="M201" i="10"/>
  <c r="N200" i="10"/>
  <c r="N199" i="10"/>
  <c r="N198" i="10"/>
  <c r="N197" i="10"/>
  <c r="M197" i="10"/>
  <c r="N196" i="10"/>
  <c r="M196" i="10"/>
  <c r="N195" i="10"/>
  <c r="M195" i="10"/>
  <c r="N194" i="10"/>
  <c r="N193" i="10"/>
  <c r="N192" i="10"/>
  <c r="N191" i="10"/>
  <c r="N190" i="10"/>
  <c r="M190" i="10"/>
  <c r="N189" i="10"/>
  <c r="M189" i="10"/>
  <c r="N188" i="10"/>
  <c r="M188" i="10"/>
  <c r="N187" i="10"/>
  <c r="M187" i="10"/>
  <c r="N186" i="10"/>
  <c r="N185" i="10"/>
  <c r="M185" i="10"/>
  <c r="N184" i="10"/>
  <c r="M184" i="10"/>
  <c r="N183" i="10"/>
  <c r="M183" i="10"/>
  <c r="N182" i="10"/>
  <c r="M182" i="10"/>
  <c r="N181" i="10"/>
  <c r="N180" i="10"/>
  <c r="M180" i="10"/>
  <c r="N179" i="10"/>
  <c r="M179" i="10"/>
  <c r="N178" i="10"/>
  <c r="M178" i="10"/>
  <c r="N177" i="10"/>
  <c r="M177" i="10"/>
  <c r="N176" i="10"/>
  <c r="N175" i="10"/>
  <c r="N174" i="10"/>
  <c r="N173" i="10"/>
  <c r="M173" i="10"/>
  <c r="N172" i="10"/>
  <c r="M172" i="10"/>
  <c r="N171" i="10"/>
  <c r="M171" i="10"/>
  <c r="N170" i="10"/>
  <c r="N169" i="10"/>
  <c r="N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N159" i="10"/>
  <c r="M159" i="10"/>
  <c r="N158" i="10"/>
  <c r="M158" i="10"/>
  <c r="N157" i="10"/>
  <c r="M157" i="10"/>
  <c r="N156" i="10"/>
  <c r="N155" i="10"/>
  <c r="M155" i="10"/>
  <c r="N154" i="10"/>
  <c r="N153" i="10"/>
  <c r="N152" i="10"/>
  <c r="N151" i="10"/>
  <c r="M151" i="10"/>
  <c r="N150" i="10"/>
  <c r="M150" i="10"/>
  <c r="N149" i="10"/>
  <c r="M149" i="10"/>
  <c r="N148" i="10"/>
  <c r="M148" i="10"/>
  <c r="N147" i="10"/>
  <c r="N146" i="10"/>
  <c r="M146" i="10"/>
  <c r="N145" i="10"/>
  <c r="M145" i="10"/>
  <c r="N144" i="10"/>
  <c r="M144" i="10"/>
  <c r="N143" i="10"/>
  <c r="M143" i="10"/>
  <c r="N142" i="10"/>
  <c r="N141" i="10"/>
  <c r="M141" i="10"/>
  <c r="N140" i="10"/>
  <c r="N139" i="10"/>
  <c r="M139" i="10"/>
  <c r="N138" i="10"/>
  <c r="M138" i="10"/>
  <c r="N137" i="10"/>
  <c r="M137" i="10"/>
  <c r="N136" i="10"/>
  <c r="N135" i="10"/>
  <c r="M135" i="10"/>
  <c r="N134" i="10"/>
  <c r="N133" i="10"/>
  <c r="M133" i="10"/>
  <c r="N132" i="10"/>
  <c r="M132" i="10"/>
  <c r="N131" i="10"/>
  <c r="M131" i="10"/>
  <c r="N130" i="10"/>
  <c r="M130" i="10"/>
  <c r="N129" i="10"/>
  <c r="N128" i="10"/>
  <c r="M128" i="10"/>
  <c r="N127" i="10"/>
  <c r="N126" i="10"/>
  <c r="M126" i="10"/>
  <c r="N125" i="10"/>
  <c r="L125" i="10"/>
  <c r="M125" i="10" s="1"/>
  <c r="N124" i="10"/>
  <c r="N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N107" i="10"/>
  <c r="N106" i="10"/>
  <c r="M106" i="10"/>
  <c r="N105" i="10"/>
  <c r="N104" i="10"/>
  <c r="M104" i="10"/>
  <c r="N103" i="10"/>
  <c r="M103" i="10"/>
  <c r="N102" i="10"/>
  <c r="N101" i="10"/>
  <c r="M101" i="10"/>
  <c r="N100" i="10"/>
  <c r="M100" i="10"/>
  <c r="N99" i="10"/>
  <c r="M99" i="10"/>
  <c r="N98" i="10"/>
  <c r="N97" i="10"/>
  <c r="M97" i="10"/>
  <c r="L97" i="10"/>
  <c r="N96" i="10"/>
  <c r="N95" i="10"/>
  <c r="M95" i="10"/>
  <c r="N94" i="10"/>
  <c r="M94" i="10"/>
  <c r="N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N82" i="10"/>
  <c r="M82" i="10"/>
  <c r="N81" i="10"/>
  <c r="N80" i="10"/>
  <c r="L80" i="10"/>
  <c r="M80" i="10" s="1"/>
  <c r="N79" i="10"/>
  <c r="M79" i="10"/>
  <c r="N78" i="10"/>
  <c r="M78" i="10"/>
  <c r="N77" i="10"/>
  <c r="M77" i="10"/>
  <c r="N76" i="10"/>
  <c r="M76" i="10"/>
  <c r="N75" i="10"/>
  <c r="M75" i="10"/>
  <c r="N74" i="10"/>
  <c r="N73" i="10"/>
  <c r="L73" i="10"/>
  <c r="M73" i="10" s="1"/>
  <c r="N72" i="10"/>
  <c r="M72" i="10"/>
  <c r="N71" i="10"/>
  <c r="M71" i="10"/>
  <c r="N70" i="10"/>
  <c r="N69" i="10"/>
  <c r="M69" i="10"/>
  <c r="N68" i="10"/>
  <c r="N67" i="10"/>
  <c r="M67" i="10"/>
  <c r="N66" i="10"/>
  <c r="M66" i="10"/>
  <c r="N65" i="10"/>
  <c r="N64" i="10"/>
  <c r="M64" i="10"/>
  <c r="N63" i="10"/>
  <c r="N62" i="10"/>
  <c r="N61" i="10"/>
  <c r="M61" i="10"/>
  <c r="N60" i="10"/>
  <c r="N59" i="10"/>
  <c r="N58" i="10"/>
  <c r="L58" i="10"/>
  <c r="M58" i="10" s="1"/>
  <c r="N57" i="10"/>
  <c r="N56" i="10"/>
  <c r="M56" i="10"/>
  <c r="N55" i="10"/>
  <c r="N54" i="10"/>
  <c r="M54" i="10"/>
  <c r="N53" i="10"/>
  <c r="M53" i="10"/>
  <c r="N52" i="10"/>
  <c r="M52" i="10"/>
  <c r="N51" i="10"/>
  <c r="N50" i="10"/>
  <c r="L50" i="10"/>
  <c r="M50" i="10" s="1"/>
  <c r="N49" i="10"/>
  <c r="N48" i="10"/>
  <c r="N47" i="10"/>
  <c r="M47" i="10"/>
  <c r="N46" i="10"/>
  <c r="L46" i="10"/>
  <c r="M46" i="10" s="1"/>
  <c r="N45" i="10"/>
  <c r="M45" i="10"/>
  <c r="N44" i="10"/>
  <c r="M44" i="10"/>
  <c r="N43" i="10"/>
  <c r="M43" i="10"/>
  <c r="N42" i="10"/>
  <c r="N41" i="10"/>
  <c r="M41" i="10"/>
  <c r="N40" i="10"/>
  <c r="L40" i="10"/>
  <c r="M40" i="10" s="1"/>
  <c r="N39" i="10"/>
  <c r="N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N30" i="10"/>
  <c r="N29" i="10"/>
  <c r="M29" i="10"/>
  <c r="N28" i="10"/>
  <c r="N27" i="10"/>
  <c r="N26" i="10"/>
  <c r="M26" i="10"/>
  <c r="N25" i="10"/>
  <c r="M25" i="10"/>
  <c r="N24" i="10"/>
  <c r="M24" i="10"/>
  <c r="N23" i="10"/>
  <c r="N22" i="10"/>
  <c r="N21" i="10"/>
  <c r="N20" i="10"/>
  <c r="M20" i="10"/>
  <c r="N19" i="10"/>
  <c r="M19" i="10"/>
  <c r="N18" i="10"/>
  <c r="N17" i="10"/>
  <c r="N16" i="10"/>
  <c r="N15" i="10"/>
  <c r="N14" i="10"/>
  <c r="N13" i="10"/>
  <c r="N12" i="10"/>
  <c r="N11" i="10"/>
  <c r="N10" i="10"/>
  <c r="N9" i="10"/>
  <c r="M9" i="10"/>
  <c r="N8" i="10"/>
  <c r="N7" i="10"/>
  <c r="N6" i="10"/>
  <c r="N5" i="10"/>
  <c r="M5" i="10"/>
  <c r="N4" i="10"/>
  <c r="M4" i="10"/>
  <c r="N3" i="10"/>
  <c r="N2" i="10"/>
  <c r="M102" i="1"/>
  <c r="N102" i="1"/>
  <c r="M86" i="1"/>
  <c r="N86" i="1"/>
  <c r="M53" i="1"/>
  <c r="N53" i="1"/>
  <c r="M49" i="1"/>
  <c r="N49" i="1"/>
  <c r="N33" i="1"/>
  <c r="M33" i="1"/>
  <c r="M60" i="1"/>
  <c r="N60" i="1"/>
  <c r="M95" i="1"/>
  <c r="N95" i="1"/>
  <c r="N35" i="1"/>
  <c r="M35" i="1"/>
  <c r="N66" i="1"/>
  <c r="L66" i="1"/>
  <c r="M66" i="1" s="1"/>
  <c r="N56" i="1"/>
  <c r="M56" i="1"/>
  <c r="N42" i="1"/>
  <c r="M42" i="1"/>
  <c r="N41" i="1"/>
  <c r="M41" i="1"/>
  <c r="N51" i="1"/>
  <c r="M51" i="1"/>
  <c r="N26" i="1"/>
  <c r="M26" i="1"/>
  <c r="N27" i="1"/>
  <c r="M27" i="1"/>
  <c r="N17" i="1"/>
  <c r="M17" i="1"/>
  <c r="N52" i="1"/>
  <c r="M52" i="1"/>
  <c r="N47" i="1"/>
  <c r="M47" i="1"/>
  <c r="K7" i="5"/>
  <c r="L7" i="5"/>
  <c r="N7" i="5"/>
  <c r="K8" i="5"/>
  <c r="L8" i="5"/>
  <c r="N8" i="5"/>
  <c r="K9" i="5"/>
  <c r="L9" i="5"/>
  <c r="N9" i="5"/>
  <c r="K10" i="5"/>
  <c r="L10" i="5"/>
  <c r="N10" i="5"/>
  <c r="M40" i="1"/>
  <c r="N40" i="1"/>
  <c r="M43" i="1"/>
  <c r="N43" i="1"/>
  <c r="M25" i="1"/>
  <c r="N25" i="1"/>
  <c r="M55" i="1"/>
  <c r="N55" i="1"/>
  <c r="N91" i="1"/>
  <c r="M91" i="1"/>
  <c r="K6" i="5"/>
  <c r="L6" i="5"/>
  <c r="N6" i="5"/>
  <c r="M130" i="1"/>
  <c r="N130" i="1"/>
  <c r="M117" i="1"/>
  <c r="N117" i="1"/>
  <c r="M250" i="1"/>
  <c r="N250" i="1"/>
  <c r="M19" i="1"/>
  <c r="N19" i="1"/>
  <c r="M61" i="1"/>
  <c r="N61" i="1"/>
  <c r="M39" i="1"/>
  <c r="N39" i="1"/>
  <c r="N18" i="1"/>
  <c r="M18" i="1"/>
  <c r="K3" i="5"/>
  <c r="L3" i="5"/>
  <c r="N3" i="5"/>
  <c r="K4" i="5"/>
  <c r="L4" i="5"/>
  <c r="N4" i="5"/>
  <c r="K5" i="5"/>
  <c r="L5" i="5"/>
  <c r="N5" i="5"/>
  <c r="N81" i="1"/>
  <c r="M81" i="1"/>
  <c r="M64" i="1"/>
  <c r="N64" i="1"/>
  <c r="M7" i="1"/>
  <c r="N7" i="1"/>
  <c r="N101" i="1"/>
  <c r="M101" i="1"/>
  <c r="N2" i="5"/>
  <c r="K2" i="5"/>
  <c r="L2" i="5"/>
  <c r="N169" i="1"/>
  <c r="L22" i="1"/>
  <c r="L50" i="1" l="1"/>
  <c r="M50" i="1" s="1"/>
  <c r="L128" i="1"/>
  <c r="M115" i="1" l="1"/>
  <c r="N115" i="1"/>
  <c r="M84" i="1"/>
  <c r="N84" i="1"/>
  <c r="N83" i="1"/>
  <c r="M83" i="1"/>
  <c r="N13" i="1"/>
  <c r="M13" i="1"/>
  <c r="M89" i="1"/>
  <c r="N89" i="1"/>
  <c r="M134" i="1"/>
  <c r="N134" i="1"/>
  <c r="N208" i="1"/>
  <c r="M208" i="1"/>
  <c r="L69" i="1"/>
  <c r="M69" i="1" s="1"/>
  <c r="M44" i="1"/>
  <c r="N44" i="1"/>
  <c r="M71" i="1"/>
  <c r="N71" i="1"/>
  <c r="M138" i="1"/>
  <c r="N138" i="1"/>
  <c r="N50" i="1"/>
  <c r="M72" i="1"/>
  <c r="N72" i="1"/>
  <c r="N69" i="1"/>
  <c r="N54" i="1"/>
  <c r="M54" i="1"/>
  <c r="M243" i="1"/>
  <c r="N243" i="1"/>
  <c r="M260" i="1"/>
  <c r="N260" i="1"/>
  <c r="N235" i="1"/>
  <c r="M235" i="1"/>
  <c r="M191" i="1" l="1"/>
  <c r="N191" i="1"/>
  <c r="M10" i="1"/>
  <c r="N10" i="1"/>
  <c r="N132" i="1"/>
  <c r="M132" i="1"/>
  <c r="N121" i="1"/>
  <c r="M121" i="1"/>
  <c r="N77" i="1" l="1"/>
  <c r="L77" i="1"/>
  <c r="M77" i="1" s="1"/>
  <c r="N36" i="1"/>
  <c r="L36" i="1"/>
  <c r="M36" i="1" s="1"/>
  <c r="N22" i="1"/>
  <c r="M22" i="1"/>
  <c r="N11" i="1"/>
  <c r="N16" i="1"/>
  <c r="N105" i="1"/>
  <c r="M105" i="1"/>
  <c r="N3" i="1"/>
  <c r="M3" i="1"/>
  <c r="N139" i="1"/>
  <c r="N2" i="1"/>
  <c r="N140" i="1"/>
  <c r="N90" i="1"/>
  <c r="M2" i="1"/>
  <c r="M140" i="1"/>
  <c r="M90" i="1"/>
  <c r="M139" i="1"/>
  <c r="N116" i="1"/>
  <c r="M116" i="1"/>
  <c r="N163" i="1"/>
  <c r="N196" i="1"/>
  <c r="N143" i="1"/>
  <c r="N74" i="1"/>
  <c r="M196" i="1"/>
  <c r="M143" i="1"/>
  <c r="M74" i="1"/>
  <c r="M163" i="1"/>
  <c r="N73" i="1"/>
  <c r="N221" i="1"/>
  <c r="N245" i="1"/>
  <c r="N226" i="1"/>
  <c r="N239" i="1"/>
  <c r="N247" i="1"/>
  <c r="N272" i="1"/>
  <c r="N156" i="1"/>
  <c r="N229" i="1"/>
  <c r="M221" i="1"/>
  <c r="M245" i="1"/>
  <c r="M226" i="1"/>
  <c r="M239" i="1"/>
  <c r="M247" i="1"/>
  <c r="M272" i="1"/>
  <c r="M156" i="1"/>
  <c r="M229" i="1"/>
  <c r="M73" i="1"/>
  <c r="N311" i="1"/>
  <c r="N310" i="1"/>
  <c r="N266" i="1"/>
  <c r="M266" i="1"/>
  <c r="N249" i="1"/>
  <c r="M249" i="1"/>
  <c r="M167" i="1"/>
  <c r="N167" i="1"/>
  <c r="N82" i="1"/>
  <c r="N215" i="1"/>
  <c r="N280" i="1"/>
  <c r="M215" i="1"/>
  <c r="M280" i="1"/>
  <c r="M82" i="1"/>
  <c r="N168" i="1"/>
  <c r="N173" i="1"/>
  <c r="N110" i="1"/>
  <c r="N158" i="1"/>
  <c r="N99" i="1"/>
  <c r="M173" i="1"/>
  <c r="M110" i="1"/>
  <c r="M158" i="1"/>
  <c r="M99" i="1"/>
  <c r="M168" i="1"/>
  <c r="N87" i="1"/>
  <c r="M87" i="1"/>
  <c r="M96" i="1"/>
  <c r="N96" i="1"/>
  <c r="M108" i="1" l="1"/>
  <c r="M114" i="1"/>
  <c r="M97" i="1"/>
  <c r="M157" i="1"/>
  <c r="M195" i="1"/>
  <c r="N195" i="1"/>
  <c r="N108" i="1"/>
  <c r="N114" i="1"/>
  <c r="N97" i="1"/>
  <c r="N157" i="1"/>
  <c r="M145" i="1"/>
  <c r="M146" i="1"/>
  <c r="M263" i="1"/>
  <c r="M131" i="1"/>
  <c r="M120" i="1"/>
  <c r="M186" i="1"/>
  <c r="N145" i="1"/>
  <c r="N146" i="1"/>
  <c r="N263" i="1"/>
  <c r="N131" i="1"/>
  <c r="N120" i="1"/>
  <c r="N186" i="1"/>
  <c r="L34" i="1"/>
  <c r="M34" i="1" s="1"/>
  <c r="N34" i="1"/>
  <c r="N216" i="1"/>
  <c r="N137" i="1"/>
  <c r="N236" i="1"/>
  <c r="N286" i="1"/>
  <c r="M216" i="1"/>
  <c r="M137" i="1"/>
  <c r="M236" i="1"/>
  <c r="M286" i="1"/>
  <c r="N281" i="1"/>
  <c r="N78" i="1"/>
  <c r="N122" i="1"/>
  <c r="M78" i="1"/>
  <c r="M122" i="1"/>
  <c r="M281" i="1"/>
  <c r="M103" i="1"/>
  <c r="N103" i="1"/>
  <c r="M162" i="1"/>
  <c r="N162" i="1"/>
  <c r="M94" i="1"/>
  <c r="N94" i="1"/>
  <c r="M127" i="1"/>
  <c r="N127" i="1"/>
  <c r="M113" i="1"/>
  <c r="N113" i="1"/>
  <c r="M175" i="1"/>
  <c r="N175" i="1"/>
  <c r="M106" i="1"/>
  <c r="N106" i="1"/>
  <c r="M150" i="1"/>
  <c r="N150" i="1"/>
  <c r="M268" i="1"/>
  <c r="N268" i="1"/>
  <c r="M104" i="1"/>
  <c r="N104" i="1"/>
  <c r="M109" i="1"/>
  <c r="N109" i="1"/>
  <c r="M151" i="1"/>
  <c r="N151" i="1"/>
  <c r="N148" i="1"/>
  <c r="N9" i="1"/>
  <c r="N230" i="1"/>
  <c r="N136" i="1"/>
  <c r="N126" i="1"/>
  <c r="N297" i="1"/>
  <c r="N144" i="1"/>
  <c r="N204" i="1"/>
  <c r="N267" i="1"/>
  <c r="N124" i="1"/>
  <c r="N227" i="1"/>
  <c r="M9" i="1"/>
  <c r="M230" i="1"/>
  <c r="M136" i="1"/>
  <c r="M126" i="1"/>
  <c r="M297" i="1"/>
  <c r="M144" i="1"/>
  <c r="M204" i="1"/>
  <c r="M267" i="1"/>
  <c r="M124" i="1"/>
  <c r="M227" i="1"/>
  <c r="M148" i="1"/>
  <c r="N213" i="1"/>
  <c r="M153" i="1"/>
  <c r="M296" i="1"/>
  <c r="M192" i="1"/>
  <c r="M125" i="1"/>
  <c r="M278" i="1"/>
  <c r="M225" i="1"/>
  <c r="M301" i="1"/>
  <c r="M274" i="1"/>
  <c r="M207" i="1"/>
  <c r="M194" i="1"/>
  <c r="M183" i="1"/>
  <c r="M174" i="1"/>
  <c r="M282" i="1"/>
  <c r="M238" i="1"/>
  <c r="N238" i="1"/>
  <c r="N153" i="1"/>
  <c r="N296" i="1"/>
  <c r="N192" i="1"/>
  <c r="N125" i="1"/>
  <c r="N278" i="1"/>
  <c r="N225" i="1"/>
  <c r="N301" i="1"/>
  <c r="N274" i="1"/>
  <c r="N207" i="1"/>
  <c r="N194" i="1"/>
  <c r="N183" i="1"/>
  <c r="N174" i="1"/>
  <c r="N282" i="1"/>
  <c r="M123" i="1"/>
  <c r="M240" i="1"/>
  <c r="M237" i="1"/>
  <c r="M285" i="1"/>
  <c r="M248" i="1"/>
  <c r="M287" i="1"/>
  <c r="M161" i="1"/>
  <c r="N123" i="1"/>
  <c r="N240" i="1"/>
  <c r="N237" i="1"/>
  <c r="N285" i="1"/>
  <c r="N248" i="1"/>
  <c r="N287" i="1"/>
  <c r="N161" i="1"/>
  <c r="N203" i="1"/>
  <c r="N206" i="1"/>
  <c r="N133" i="1"/>
  <c r="N155" i="1"/>
  <c r="N257" i="1"/>
  <c r="N199" i="1"/>
  <c r="N164" i="1"/>
  <c r="N214" i="1"/>
  <c r="N129" i="1"/>
  <c r="N171" i="1"/>
  <c r="N147" i="1"/>
  <c r="M206" i="1"/>
  <c r="M133" i="1"/>
  <c r="M155" i="1"/>
  <c r="M257" i="1"/>
  <c r="M199" i="1"/>
  <c r="M164" i="1"/>
  <c r="M214" i="1"/>
  <c r="M129" i="1"/>
  <c r="M171" i="1"/>
  <c r="M147" i="1"/>
  <c r="M203" i="1"/>
  <c r="M304" i="1" l="1"/>
  <c r="M292" i="1"/>
  <c r="M165" i="1"/>
  <c r="M178" i="1"/>
  <c r="M180" i="1"/>
  <c r="M217" i="1"/>
  <c r="M271" i="1"/>
  <c r="M128" i="1"/>
  <c r="M198" i="1"/>
  <c r="M233" i="1"/>
  <c r="M303" i="1"/>
  <c r="N303" i="1"/>
  <c r="N198" i="1"/>
  <c r="N233" i="1"/>
  <c r="N304" i="1"/>
  <c r="N292" i="1"/>
  <c r="N165" i="1"/>
  <c r="N178" i="1"/>
  <c r="N180" i="1"/>
  <c r="N217" i="1"/>
  <c r="N271" i="1"/>
  <c r="N128" i="1"/>
  <c r="M312" i="1"/>
  <c r="M190" i="1"/>
  <c r="M184" i="1"/>
  <c r="M223" i="1"/>
  <c r="N312" i="1"/>
  <c r="N190" i="1"/>
  <c r="N184" i="1"/>
  <c r="N223" i="1"/>
  <c r="M259" i="1"/>
  <c r="M211" i="1"/>
  <c r="M222" i="1"/>
  <c r="M305" i="1"/>
  <c r="N305" i="1"/>
  <c r="N222" i="1"/>
  <c r="N211" i="1"/>
  <c r="N259" i="1"/>
  <c r="M256" i="1" l="1"/>
  <c r="M264" i="1"/>
  <c r="N256" i="1"/>
  <c r="N264" i="1"/>
  <c r="N289" i="1" l="1"/>
  <c r="N58" i="1"/>
  <c r="N92" i="1"/>
  <c r="N65" i="1"/>
  <c r="N63" i="1"/>
  <c r="N68" i="1"/>
  <c r="N6" i="1"/>
  <c r="N111" i="1"/>
  <c r="N112" i="1"/>
  <c r="N79" i="1"/>
  <c r="N20" i="1"/>
  <c r="N57" i="1"/>
  <c r="N100" i="1"/>
  <c r="N32" i="1"/>
  <c r="N93" i="1"/>
  <c r="N15" i="1"/>
  <c r="N59" i="1"/>
  <c r="N70" i="1"/>
  <c r="N88" i="1"/>
  <c r="N38" i="1"/>
  <c r="N80" i="1"/>
  <c r="N76" i="1"/>
  <c r="N30" i="1"/>
  <c r="N224" i="1"/>
  <c r="N62" i="1"/>
  <c r="N48" i="1"/>
  <c r="N45" i="1"/>
  <c r="N210" i="1"/>
  <c r="N12" i="1"/>
  <c r="N46" i="1"/>
  <c r="N24" i="1"/>
  <c r="N29" i="1"/>
  <c r="N28" i="1"/>
  <c r="N23" i="1"/>
  <c r="N8" i="1"/>
  <c r="N21" i="1"/>
  <c r="N262" i="1"/>
  <c r="N14" i="1"/>
  <c r="N5" i="1"/>
  <c r="N31" i="1"/>
  <c r="N37" i="1"/>
  <c r="N4" i="1"/>
  <c r="N294" i="1"/>
  <c r="N298" i="1"/>
  <c r="N75" i="1"/>
  <c r="N187" i="1"/>
  <c r="N149" i="1"/>
  <c r="N154" i="1"/>
  <c r="N201" i="1"/>
  <c r="N118" i="1"/>
  <c r="N159" i="1"/>
  <c r="N232" i="1"/>
  <c r="N172" i="1"/>
  <c r="N179" i="1"/>
  <c r="N241" i="1"/>
  <c r="N160" i="1"/>
  <c r="N200" i="1"/>
  <c r="N182" i="1"/>
  <c r="N188" i="1"/>
  <c r="N265" i="1"/>
  <c r="N176" i="1"/>
  <c r="N252" i="1"/>
  <c r="N67" i="1"/>
  <c r="N202" i="1"/>
  <c r="N193" i="1"/>
  <c r="N228" i="1"/>
  <c r="N251" i="1"/>
  <c r="N253" i="1"/>
  <c r="N302" i="1"/>
  <c r="N231" i="1"/>
  <c r="N218" i="1"/>
  <c r="N279" i="1"/>
  <c r="N189" i="1"/>
  <c r="N170" i="1"/>
  <c r="N219" i="1"/>
  <c r="N220" i="1"/>
  <c r="N197" i="1"/>
  <c r="N177" i="1"/>
  <c r="N85" i="1"/>
  <c r="N290" i="1"/>
  <c r="N209" i="1"/>
  <c r="N166" i="1"/>
  <c r="N185" i="1"/>
  <c r="N276" i="1"/>
  <c r="N234" i="1"/>
  <c r="N244" i="1"/>
  <c r="N246" i="1"/>
  <c r="N277" i="1"/>
  <c r="N135" i="1"/>
  <c r="N107" i="1"/>
  <c r="N98" i="1"/>
  <c r="N258" i="1"/>
  <c r="N242" i="1"/>
  <c r="N295" i="1"/>
  <c r="N288" i="1"/>
  <c r="N255" i="1"/>
  <c r="N254" i="1"/>
  <c r="N270" i="1"/>
  <c r="N269" i="1"/>
  <c r="N261" i="1"/>
  <c r="N300" i="1"/>
  <c r="N119" i="1"/>
  <c r="N275" i="1"/>
  <c r="N205" i="1"/>
  <c r="N181" i="1"/>
  <c r="N273" i="1"/>
  <c r="N141" i="1"/>
  <c r="N306" i="1"/>
  <c r="N283" i="1"/>
  <c r="N293" i="1"/>
  <c r="N284" i="1"/>
  <c r="N152" i="1"/>
  <c r="N309" i="1"/>
  <c r="N291" i="1"/>
  <c r="N307" i="1"/>
  <c r="N299" i="1"/>
  <c r="N308" i="1"/>
  <c r="N313" i="1"/>
  <c r="N314" i="1"/>
  <c r="N315" i="1"/>
  <c r="N212" i="1"/>
  <c r="N142" i="1"/>
</calcChain>
</file>

<file path=xl/sharedStrings.xml><?xml version="1.0" encoding="utf-8"?>
<sst xmlns="http://schemas.openxmlformats.org/spreadsheetml/2006/main" count="3712" uniqueCount="346">
  <si>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</si>
  <si>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</si>
  <si>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</si>
  <si>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</si>
  <si>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</si>
  <si>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</si>
  <si>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</si>
  <si>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</si>
  <si>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</si>
  <si>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</si>
  <si>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</si>
  <si>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</si>
  <si>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</si>
  <si>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</si>
  <si>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</si>
  <si>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</si>
  <si>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</si>
  <si>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</si>
  <si>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</si>
  <si>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</si>
  <si>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</si>
  <si>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</si>
  <si>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</si>
  <si>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</si>
  <si>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</si>
  <si>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</si>
  <si>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</si>
  <si>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</si>
  <si>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</si>
  <si>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</si>
  <si>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</si>
  <si>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</si>
  <si>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</si>
  <si>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</si>
  <si>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</si>
  <si>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</si>
  <si>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</si>
  <si>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</si>
  <si>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</si>
  <si>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</si>
  <si>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</si>
  <si>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</si>
  <si>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</si>
  <si>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</si>
  <si>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</si>
  <si>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</si>
  <si>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</si>
  <si>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</si>
  <si>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</si>
  <si>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</si>
  <si>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</si>
  <si>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</si>
  <si>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</si>
  <si>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</si>
  <si>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</si>
  <si>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</si>
  <si>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</si>
  <si>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</si>
  <si>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</si>
  <si>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</si>
  <si>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</si>
  <si>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</si>
  <si>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</si>
  <si>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</si>
  <si>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</si>
  <si>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</si>
  <si>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</si>
  <si>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</si>
  <si>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</si>
  <si>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</si>
  <si>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</si>
  <si>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</si>
  <si>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</si>
  <si>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</si>
  <si>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</si>
  <si>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</si>
  <si>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</si>
  <si>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</si>
  <si>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</si>
  <si>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</si>
  <si>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</si>
  <si>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</si>
  <si>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</si>
  <si>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</si>
  <si>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</si>
  <si>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</si>
  <si>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</si>
  <si>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</si>
  <si>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</si>
  <si>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</si>
  <si>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</si>
  <si>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</si>
  <si>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</si>
  <si>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</si>
  <si>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</si>
  <si>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</si>
  <si>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</si>
  <si>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</si>
  <si>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</si>
  <si>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</si>
  <si>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</si>
  <si>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</si>
  <si>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</si>
  <si>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</si>
  <si>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</si>
  <si>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</si>
  <si>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</si>
  <si>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</si>
  <si>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</si>
  <si>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</si>
  <si>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</si>
  <si>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</si>
  <si>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</si>
  <si>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</si>
  <si>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</si>
  <si>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</si>
  <si>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</si>
  <si>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</si>
  <si>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</si>
  <si>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</si>
  <si>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</si>
  <si>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</si>
  <si>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</si>
  <si>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</si>
  <si>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</si>
  <si>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</si>
  <si>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</si>
  <si>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</si>
  <si>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</si>
  <si>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</si>
  <si>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</si>
  <si>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</si>
  <si>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</si>
  <si>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</si>
  <si>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</si>
  <si>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</si>
  <si>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</si>
  <si>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</si>
  <si>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</si>
  <si>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</si>
  <si>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</si>
  <si>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</si>
  <si>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</si>
  <si>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</si>
  <si>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</si>
  <si>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</si>
  <si>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</si>
  <si>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</si>
  <si>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</si>
  <si>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</si>
  <si>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</si>
  <si>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</si>
  <si>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</si>
  <si>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</si>
  <si>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</si>
  <si>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</si>
  <si>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</si>
  <si>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</si>
  <si>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</si>
  <si>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</si>
  <si>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</si>
  <si>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</si>
  <si>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</si>
  <si>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</si>
  <si>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</si>
  <si>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</si>
  <si>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</si>
  <si>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</si>
  <si>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</si>
  <si>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</si>
  <si>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</si>
  <si>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</si>
  <si>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</si>
  <si>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</si>
  <si>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</si>
  <si>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</si>
  <si>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</si>
  <si>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</si>
  <si>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</si>
  <si>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</si>
  <si>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</si>
  <si>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</si>
  <si>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</si>
  <si>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</si>
  <si>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</si>
  <si>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</si>
  <si>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</si>
  <si>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</si>
  <si>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</si>
  <si>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</si>
  <si>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</si>
  <si>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</si>
  <si>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</si>
  <si>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</si>
  <si>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</si>
  <si>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</si>
  <si>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</si>
  <si>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</si>
  <si>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</si>
  <si>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</si>
  <si>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</si>
  <si>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</si>
  <si>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</si>
  <si>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</si>
  <si>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</si>
  <si>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</si>
  <si>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</si>
  <si>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</si>
  <si>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</si>
  <si>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</si>
  <si>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</si>
  <si>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</si>
  <si>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</si>
  <si>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</si>
  <si>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</si>
  <si>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</si>
  <si>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</si>
  <si>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</si>
  <si>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</si>
  <si>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</si>
  <si>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</si>
  <si>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</si>
  <si>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</si>
  <si>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</si>
  <si>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</si>
  <si>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</si>
  <si>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</si>
  <si>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</si>
  <si>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</si>
  <si>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</si>
  <si>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</si>
  <si>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</si>
  <si>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</si>
  <si>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</si>
  <si>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</si>
  <si>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</si>
  <si>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</si>
  <si>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</si>
  <si>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</si>
  <si>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</si>
  <si>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</si>
  <si>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</si>
  <si>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</si>
  <si>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</si>
  <si>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</si>
  <si>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</si>
  <si>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</si>
  <si>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</si>
  <si>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</si>
  <si>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</si>
  <si>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</si>
  <si>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</si>
  <si>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5*680 :09 SEP 2026 09:00:56 AM</t>
  </si>
  <si>
    <t>B 5*3938 :09 SEP 2026 09:00:56 AM</t>
  </si>
  <si>
    <t>B 2*2426 :09 SEP 2026 09:00:56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</si>
  <si>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</si>
  <si>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</si>
  <si>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</si>
  <si>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</si>
  <si>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</si>
  <si>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</si>
  <si>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</si>
  <si>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</si>
  <si>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</si>
  <si>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</si>
  <si>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</si>
  <si>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</si>
  <si>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</si>
  <si>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</si>
  <si>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</si>
  <si>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100*393 :15 SEP 2026 10:27:31 AM</t>
  </si>
  <si>
    <t>B 10*261 :15 SEP 2026 09:01:20 AM</t>
  </si>
  <si>
    <t>KANOHAREQ</t>
  </si>
  <si>
    <t>B 5*1117 :16 SEP 2026 10:38:49 AM</t>
  </si>
  <si>
    <t>S 23*780 :16 SEP 2026 10:00:11 AM</t>
  </si>
  <si>
    <t>B 5*1146 :16 SEP 2026 09:20:41 AM</t>
  </si>
  <si>
    <t>B 10*1650 :16 SEP 2026 09:00:59 AM</t>
  </si>
  <si>
    <t>NSE:KANOHAR</t>
  </si>
  <si>
    <t>ESDSEQ</t>
  </si>
  <si>
    <t>S 20*896 :18 SEP 2026 09:00:42 AM</t>
  </si>
  <si>
    <t>NSE:ESDS</t>
  </si>
  <si>
    <t>S 5/10*747 :21 SEP 2026 09:00:15 AM</t>
  </si>
  <si>
    <t>B 10/30*897 :21 SEP 2026 09:01:06 AM</t>
  </si>
  <si>
    <t>B 25*336 :22 SEP 2026 09:00:50 AM</t>
  </si>
  <si>
    <t>B 10*988.6 :24 SEP 2026 09:22:16 AM</t>
  </si>
  <si>
    <t>B 50*205 :24 SEP 2026 09:01:00 AM</t>
  </si>
  <si>
    <t>S 5*649 :24 SEP 2026 09:00:51 AM</t>
  </si>
  <si>
    <t>B 2*1760.5 :46290.4663773148</t>
  </si>
  <si>
    <t>B 10*420 :46290.3755671296</t>
  </si>
  <si>
    <t>B 15*1020 :46290.4197569444</t>
  </si>
  <si>
    <t>B 100*324 :28 SEP 2026 09:38:19 AM</t>
  </si>
  <si>
    <t>B 10*1136 :28 SEP 2026 09:00:58 AM</t>
  </si>
  <si>
    <t>B 5*712 :28 SEP 2026 09:01:00 AM</t>
  </si>
  <si>
    <t>B 10/20*887 :28 SEP 2026 09:01:00 AM</t>
  </si>
  <si>
    <t>B 5*773.8 :9/29/2026</t>
  </si>
  <si>
    <t>B 5*1090 :9/29/2026</t>
  </si>
  <si>
    <t>B 2*1590 :9/29/2026</t>
  </si>
  <si>
    <t>S 5*679 :30 SEP 2026 09:00:40 AM</t>
  </si>
  <si>
    <t>B 5*1225.5 :01 OCT 2026 02:04:17 PM</t>
  </si>
  <si>
    <t>B 5*2145.1 :01 OCT 2026 10:38:06 AM</t>
  </si>
  <si>
    <t>B 5*1264 :01 OCT 2026 10:05:12 AM</t>
  </si>
  <si>
    <t>S 1*4763 :5 OCT 2026 09:01:00 AM</t>
  </si>
  <si>
    <t>B 3*2300 : 6 oct 2026 09:00:49 AM</t>
  </si>
  <si>
    <t>S 5*1752 :6 oct 2026 09:01:00 AM</t>
  </si>
  <si>
    <t>S 1*20020 :6 oct 2026 09:26:47 AM</t>
  </si>
  <si>
    <t>S 2*3334 :7 OCT 2026 11:14:00 AM</t>
  </si>
  <si>
    <t>Executed</t>
  </si>
  <si>
    <t>B 1*12800 :08 OCT 2026 09:00:46 AM</t>
  </si>
  <si>
    <t>B 5*640 :08 OCT 2026 09:00:45 AM</t>
  </si>
  <si>
    <t>S 2*1426 :08 OCT 2026 09:00:42 AM</t>
  </si>
  <si>
    <t>B 50/90*290.1 :08 SEP 2026 09:00:52 AM</t>
  </si>
  <si>
    <t>B 40/90*290.1 :08 SEP 2026 09:00:52 AM</t>
  </si>
  <si>
    <t>S 500*31.7 :09 OCT 2026 09:18:30 AM</t>
  </si>
  <si>
    <t>B 50*187.87 :09 OCT 2026 09:00:40 AM</t>
  </si>
  <si>
    <t>B 20*851 :09 OCT 2026 09:00:40 AM</t>
  </si>
  <si>
    <t>B 10*411 :09 OCT 2026 09:00:39 AM</t>
  </si>
  <si>
    <t>S 9*2155 :09 OCT 2026 09:20:08 AM</t>
  </si>
  <si>
    <t>S 10*1748.7 :09 OCT 2026 09:00:36 AM</t>
  </si>
  <si>
    <t>S 10*857 :09 OCT 2026 09:00:36 AM</t>
  </si>
  <si>
    <t>B 1*6868 :12 OCT 2026 02:49:56 PM</t>
  </si>
  <si>
    <t>S 10*867 :12 OCT 2026 09:00:51 AM</t>
  </si>
  <si>
    <t>S 5*3348 :12 OCT 2026 09:00:50 AM</t>
  </si>
  <si>
    <t>S 2*1573 :12 OCT 2026 09:00:50 AM</t>
  </si>
  <si>
    <t>S 3*4848 :12 OCT 2026 09:00:50 AM</t>
  </si>
  <si>
    <t>HCLTECHEQ</t>
  </si>
  <si>
    <t>S 10*3380 :13 OCT 2026 02:53:05 PM</t>
  </si>
  <si>
    <t>S 9*2095 :13 OCT 2026 01:08:36 PM</t>
  </si>
  <si>
    <t>S 13*1309 :13 OCT 2026 01:53:26 PM</t>
  </si>
  <si>
    <t>S 8*2255 :13 OCT 2026 12:56:17 PM</t>
  </si>
  <si>
    <t>S 200*32.9 :13 OCT 2026 12:53:56 PM</t>
  </si>
  <si>
    <t>S 40*889 :13 OCT 2026 09:47:13 AM</t>
  </si>
  <si>
    <t>S 10*887 :13 OCT 2026 09:00:41 AM</t>
  </si>
  <si>
    <t>S 10*877 :13 OCT 2026 09:00:41 AM</t>
  </si>
  <si>
    <t>S 5*2972 :13 OCT 2026 09:00:41 AM</t>
  </si>
  <si>
    <t>NSE:HCLTECH</t>
  </si>
  <si>
    <t>SELL 1*4940 :14-OCT-26</t>
  </si>
  <si>
    <t>SELL 50*289 :14-OCT-26</t>
  </si>
  <si>
    <t>BUY 3*2252 :14-OCT-26</t>
  </si>
  <si>
    <t>15 OCT 2026 09:41:51 AM</t>
  </si>
  <si>
    <t>15 OCT 2026 09:28:39 AM</t>
  </si>
  <si>
    <t>15 OCT 2026 09:00:43 AM</t>
  </si>
  <si>
    <t>S 300*34.21 :15 OCT 2026 09:41:51 AM</t>
  </si>
  <si>
    <t>B 3*4770 :15 OCT 2026 09:28:39 AM</t>
  </si>
  <si>
    <t>B 10*1731 :15 OCT 2026 09:00:43 AM</t>
  </si>
  <si>
    <t>S 100*322 :15 OCT 2026 09:00:43 AM</t>
  </si>
  <si>
    <t>S 10*897 :15 OCT 2026 09:00:43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</si>
</sst>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rgb="FF40404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22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22" fontId="2" fillId="9" borderId="1" xfId="0" applyNumberFormat="1" applyFont="1" applyFill="1" applyBorder="1" applyAlignment="1">
      <alignment horizontal="right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right" wrapText="1"/>
    </xf>
    <xf numFmtId="0" fontId="0" fillId="4" borderId="0" xfId="0" applyFill="1"/>
    <xf numFmtId="0" fontId="8" fillId="4" borderId="0" xfId="0" applyFont="1" applyFill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0" fillId="3" borderId="0" xfId="0" applyFill="1"/>
    <xf numFmtId="22" fontId="1" fillId="3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0" fillId="4" borderId="0" xfId="0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22" fontId="10" fillId="0" borderId="1" xfId="0" applyNumberFormat="1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15" fontId="2" fillId="0" borderId="1" xfId="0" applyNumberFormat="1" applyFont="1" applyBorder="1" applyAlignment="1">
      <alignment horizontal="right" wrapText="1"/>
    </xf>
    <xf numFmtId="0" fontId="0" fillId="8" borderId="1" xfId="0" applyFill="1" applyBorder="1"/>
    <xf numFmtId="0" fontId="2" fillId="4" borderId="0" xfId="0" applyFont="1" applyFill="1" applyAlignment="1">
      <alignment horizontal="left" wrapText="1"/>
    </xf>
    <xf numFmtId="0" fontId="0" fillId="0" borderId="0" xfId="0" applyFill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22" fontId="1" fillId="8" borderId="1" xfId="0" applyNumberFormat="1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9" fillId="0" borderId="0" xfId="0" applyFont="1" applyBorder="1"/>
    <xf numFmtId="22" fontId="1" fillId="0" borderId="1" xfId="0" applyNumberFormat="1" applyFont="1" applyFill="1" applyBorder="1" applyAlignment="1">
      <alignment horizontal="center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2"/>
  <sheetViews>
    <sheetView tabSelected="1" zoomScaleNormal="100" workbookViewId="0">
      <pane ySplit="1" topLeftCell="A2" activePane="bottomLeft" state="frozen"/>
      <selection sqref="A1:XFD1"/>
      <selection pane="bottomLeft" activeCell="E67" sqref="E67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62" t="s">
        <v>149</v>
      </c>
      <c r="L1" s="17" t="s">
        <v>150</v>
      </c>
      <c r="M1" s="17" t="s">
        <v>151</v>
      </c>
      <c r="O1" s="10" t="s">
        <v>236</v>
      </c>
    </row>
    <row r="2" spans="1:16" customFormat="1" ht="40.75" hidden="1" customHeight="1" thickBot="1" x14ac:dyDescent="0.4">
      <c r="A2" s="3">
        <v>46281.416666666664</v>
      </c>
      <c r="B2" s="1" t="s">
        <v>272</v>
      </c>
      <c r="C2" s="1" t="s">
        <v>10</v>
      </c>
      <c r="D2" s="4">
        <v>10</v>
      </c>
      <c r="E2" s="4">
        <v>706</v>
      </c>
      <c r="F2" s="4">
        <v>-28.83064516</v>
      </c>
      <c r="G2" s="2" t="s">
        <v>277</v>
      </c>
      <c r="H2" s="5">
        <v>992</v>
      </c>
      <c r="I2" s="1" t="s">
        <v>8</v>
      </c>
      <c r="J2" s="21" t="s">
        <v>40</v>
      </c>
      <c r="K2" s="17" t="s">
        <v>274</v>
      </c>
      <c r="L2" s="17">
        <v>17940</v>
      </c>
      <c r="M2" s="17">
        <f>ABS((D2*E2)-L2)</f>
        <v>10880</v>
      </c>
      <c r="N2" s="10" t="str">
        <f>IF(COUNTIFS( $B$2:$B$657, B2, $C$2:$C$657, C2, $D$2:$D$657, D2, $E$2:$E$657, E2) &gt; 1, "Duplicate", "Unique")</f>
        <v>Unique</v>
      </c>
      <c r="O2" s="10"/>
      <c r="P2" s="10"/>
    </row>
    <row r="3" spans="1:16" customFormat="1" ht="27.65" hidden="1" customHeight="1" thickBot="1" x14ac:dyDescent="0.4">
      <c r="A3" s="3">
        <v>46281.416666666664</v>
      </c>
      <c r="B3" s="1" t="s">
        <v>272</v>
      </c>
      <c r="C3" s="1" t="s">
        <v>10</v>
      </c>
      <c r="D3" s="4">
        <v>10</v>
      </c>
      <c r="E3" s="4">
        <v>726</v>
      </c>
      <c r="F3" s="4">
        <v>-26.814516130000001</v>
      </c>
      <c r="G3" s="2" t="s">
        <v>277</v>
      </c>
      <c r="H3" s="5">
        <v>992</v>
      </c>
      <c r="I3" s="1" t="s">
        <v>8</v>
      </c>
      <c r="J3" s="21" t="s">
        <v>40</v>
      </c>
      <c r="K3" s="17" t="s">
        <v>274</v>
      </c>
      <c r="L3" s="17">
        <v>17940</v>
      </c>
      <c r="M3" s="17">
        <f>ABS((D3*E3)-L3)</f>
        <v>10680</v>
      </c>
      <c r="N3" s="10" t="str">
        <f>IF(COUNTIFS( $B$2:$B$657, B3, $C$2:$C$657, C3, $D$2:$D$657, D3, $E$2:$E$657, E3) &gt; 1, "Duplicate", "Unique")</f>
        <v>Unique</v>
      </c>
      <c r="O3" s="10"/>
      <c r="P3" s="10"/>
    </row>
    <row r="4" spans="1:16" customFormat="1" ht="15" hidden="1" customHeight="1" thickBot="1" x14ac:dyDescent="0.4">
      <c r="A4" s="6" t="s">
        <v>61</v>
      </c>
      <c r="B4" s="1" t="s">
        <v>114</v>
      </c>
      <c r="C4" s="1" t="s">
        <v>10</v>
      </c>
      <c r="D4" s="4">
        <v>2</v>
      </c>
      <c r="E4" s="4">
        <v>660</v>
      </c>
      <c r="F4" s="4">
        <v>-23.875432530000001</v>
      </c>
      <c r="G4" s="2" t="s">
        <v>115</v>
      </c>
      <c r="H4" s="5">
        <v>867</v>
      </c>
      <c r="I4" s="1" t="s">
        <v>8</v>
      </c>
      <c r="J4" s="33" t="s">
        <v>40</v>
      </c>
      <c r="K4" s="16"/>
      <c r="L4" s="16"/>
      <c r="M4" s="16"/>
      <c r="N4" t="str">
        <f>IF(COUNTIFS( $B$2:$B$657, B4, $C$2:$C$657, C4, $D$2:$D$657, D4, $E$2:$E$657, E4) &gt; 1, "Duplicate", "Unique")</f>
        <v>Unique</v>
      </c>
    </row>
    <row r="5" spans="1:16" customFormat="1" ht="15" hidden="1" customHeight="1" thickBot="1" x14ac:dyDescent="0.4">
      <c r="A5" s="6" t="s">
        <v>61</v>
      </c>
      <c r="B5" s="1" t="s">
        <v>91</v>
      </c>
      <c r="C5" s="1" t="s">
        <v>10</v>
      </c>
      <c r="D5" s="4">
        <v>2</v>
      </c>
      <c r="E5" s="4">
        <v>2560</v>
      </c>
      <c r="F5" s="4">
        <v>-20.407909459999999</v>
      </c>
      <c r="G5" s="2" t="s">
        <v>92</v>
      </c>
      <c r="H5" s="5">
        <v>3216.4</v>
      </c>
      <c r="I5" s="1" t="s">
        <v>8</v>
      </c>
      <c r="J5" s="33" t="s">
        <v>40</v>
      </c>
      <c r="K5" s="16"/>
      <c r="L5" s="16"/>
      <c r="M5" s="16"/>
      <c r="N5" t="str">
        <f>IF(COUNTIFS( $B$2:$B$657, B5, $C$2:$C$657, C5, $D$2:$D$657, D5, $E$2:$E$657, E5) &gt; 1, "Duplicate", "Unique")</f>
        <v>Unique</v>
      </c>
    </row>
    <row r="6" spans="1:16" customFormat="1" ht="40.75" hidden="1" customHeight="1" thickBot="1" x14ac:dyDescent="0.4">
      <c r="A6" s="6" t="s">
        <v>61</v>
      </c>
      <c r="B6" s="1" t="s">
        <v>23</v>
      </c>
      <c r="C6" s="1" t="s">
        <v>10</v>
      </c>
      <c r="D6" s="4">
        <v>50</v>
      </c>
      <c r="E6" s="4">
        <v>201</v>
      </c>
      <c r="F6" s="4">
        <v>8.9135735569999994</v>
      </c>
      <c r="G6" s="2" t="s">
        <v>69</v>
      </c>
      <c r="H6" s="5">
        <v>184.55</v>
      </c>
      <c r="I6" s="1" t="s">
        <v>8</v>
      </c>
      <c r="J6" s="34" t="s">
        <v>40</v>
      </c>
      <c r="K6" s="16"/>
      <c r="L6" s="16"/>
      <c r="M6" s="16"/>
      <c r="N6" t="str">
        <f>IF(COUNTIFS( $B$2:$B$657, B6, $C$2:$C$657, C6, $D$2:$D$657, D6, $E$2:$E$657, E6) &gt; 1, "Duplicate", "Unique")</f>
        <v>Unique</v>
      </c>
      <c r="O6" s="37" t="s">
        <v>237</v>
      </c>
    </row>
    <row r="7" spans="1:16" customFormat="1" ht="27.65" hidden="1" customHeight="1" thickBot="1" x14ac:dyDescent="0.4">
      <c r="A7" s="46">
        <v>46303.375</v>
      </c>
      <c r="B7" s="2" t="s">
        <v>278</v>
      </c>
      <c r="C7" s="2" t="s">
        <v>10</v>
      </c>
      <c r="D7" s="5">
        <v>2</v>
      </c>
      <c r="E7" s="5">
        <v>1294</v>
      </c>
      <c r="F7" s="4">
        <v>-18.698165370000002</v>
      </c>
      <c r="G7" s="2" t="s">
        <v>280</v>
      </c>
      <c r="H7" s="5">
        <v>1591.6</v>
      </c>
      <c r="I7" s="1" t="s">
        <v>8</v>
      </c>
      <c r="J7" s="21" t="s">
        <v>40</v>
      </c>
      <c r="K7" s="17" t="s">
        <v>309</v>
      </c>
      <c r="L7" s="17">
        <v>2852</v>
      </c>
      <c r="M7" s="17">
        <f>ABS((D7*E7)-L7)</f>
        <v>264</v>
      </c>
      <c r="N7" s="10" t="str">
        <f>IF(COUNTIFS( $B$2:$B$657, B7, $C$2:$C$657, C7, $D$2:$D$657, D7, $E$2:$E$657, E7) &gt; 1, "Duplicate", "Unique")</f>
        <v>Unique</v>
      </c>
      <c r="O7" s="10"/>
      <c r="P7" s="10"/>
    </row>
    <row r="8" spans="1:16" customFormat="1" ht="27.65" hidden="1" customHeight="1" thickBot="1" x14ac:dyDescent="0.4">
      <c r="A8" s="6" t="s">
        <v>61</v>
      </c>
      <c r="B8" s="1" t="s">
        <v>91</v>
      </c>
      <c r="C8" s="1" t="s">
        <v>10</v>
      </c>
      <c r="D8" s="4">
        <v>2</v>
      </c>
      <c r="E8" s="4">
        <v>2660</v>
      </c>
      <c r="F8" s="4">
        <v>-17.298843430000002</v>
      </c>
      <c r="G8" s="2" t="s">
        <v>92</v>
      </c>
      <c r="H8" s="5">
        <v>3216.4</v>
      </c>
      <c r="I8" s="1" t="s">
        <v>8</v>
      </c>
      <c r="J8" s="33"/>
      <c r="K8" s="16"/>
      <c r="L8" s="16"/>
      <c r="M8" s="16"/>
      <c r="N8" t="str">
        <f>IF(COUNTIFS( $B$2:$B$657, B8, $C$2:$C$657, C8, $D$2:$D$657, D8, $E$2:$E$657, E8) &gt; 1, "Duplicate", "Unique")</f>
        <v>Unique</v>
      </c>
    </row>
    <row r="9" spans="1:16" customFormat="1" ht="27.65" hidden="1" customHeight="1" thickBot="1" x14ac:dyDescent="0.4">
      <c r="A9" s="3">
        <v>46031.4375</v>
      </c>
      <c r="B9" s="1" t="s">
        <v>205</v>
      </c>
      <c r="C9" s="1" t="s">
        <v>10</v>
      </c>
      <c r="D9" s="4">
        <v>3</v>
      </c>
      <c r="E9" s="4">
        <v>1052</v>
      </c>
      <c r="F9" s="4">
        <v>-15.502008030000001</v>
      </c>
      <c r="G9" s="2" t="s">
        <v>216</v>
      </c>
      <c r="H9" s="5">
        <v>1245</v>
      </c>
      <c r="I9" s="1" t="s">
        <v>8</v>
      </c>
      <c r="J9" s="21" t="s">
        <v>40</v>
      </c>
      <c r="K9" s="17"/>
      <c r="L9" s="17"/>
      <c r="M9" s="17">
        <f>ABS((D9*E9)-L9)</f>
        <v>3156</v>
      </c>
      <c r="N9" s="10" t="str">
        <f>IF(COUNTIFS( $B$2:$B$657, B9, $C$2:$C$657, C9, $D$2:$D$657, D9, $E$2:$E$657, E9) &gt; 1, "Duplicate", "Unique")</f>
        <v>Unique</v>
      </c>
      <c r="O9" s="10"/>
      <c r="P9" s="18"/>
    </row>
    <row r="10" spans="1:16" customFormat="1" ht="27.65" hidden="1" customHeight="1" thickBot="1" x14ac:dyDescent="0.4">
      <c r="A10" s="46">
        <v>46289.375</v>
      </c>
      <c r="B10" s="2" t="s">
        <v>30</v>
      </c>
      <c r="C10" s="2" t="s">
        <v>10</v>
      </c>
      <c r="D10" s="5">
        <v>5</v>
      </c>
      <c r="E10" s="5">
        <v>601</v>
      </c>
      <c r="F10" s="4">
        <v>-15.459276969999999</v>
      </c>
      <c r="G10" s="2" t="s">
        <v>93</v>
      </c>
      <c r="H10" s="5">
        <v>710.9</v>
      </c>
      <c r="I10" s="1" t="s">
        <v>8</v>
      </c>
      <c r="J10" s="21" t="s">
        <v>40</v>
      </c>
      <c r="K10" s="17" t="s">
        <v>286</v>
      </c>
      <c r="L10" s="17">
        <v>3245</v>
      </c>
      <c r="M10" s="17">
        <f>ABS((D10*E10)-L10)</f>
        <v>240</v>
      </c>
      <c r="N10" s="10" t="str">
        <f>IF(COUNTIFS( $B$2:$B$657, B10, $C$2:$C$657, C10, $D$2:$D$657, D10, $E$2:$E$657, E10) &gt; 1, "Duplicate", "Unique")</f>
        <v>Unique</v>
      </c>
      <c r="O10" s="10"/>
      <c r="P10" s="10"/>
    </row>
    <row r="11" spans="1:16" customFormat="1" ht="27.65" hidden="1" customHeight="1" thickBot="1" x14ac:dyDescent="0.4">
      <c r="A11" s="6" t="s">
        <v>61</v>
      </c>
      <c r="B11" s="1" t="s">
        <v>12</v>
      </c>
      <c r="C11" s="1" t="s">
        <v>10</v>
      </c>
      <c r="D11" s="4">
        <v>1</v>
      </c>
      <c r="E11" s="4">
        <v>4014</v>
      </c>
      <c r="F11" s="4">
        <v>-14.522998299999999</v>
      </c>
      <c r="G11" s="2" t="s">
        <v>97</v>
      </c>
      <c r="H11" s="5">
        <v>4696</v>
      </c>
      <c r="I11" s="1" t="s">
        <v>8</v>
      </c>
      <c r="J11" s="33"/>
      <c r="K11" s="16"/>
      <c r="L11" s="16"/>
      <c r="M11" s="16"/>
      <c r="N11" t="str">
        <f>IF(COUNTIFS( $B$2:$B$657, B11, $C$2:$C$657, C11, $D$2:$D$657, D11, $E$2:$E$657, E11) &gt; 1, "Duplicate", "Unique")</f>
        <v>Unique</v>
      </c>
    </row>
    <row r="12" spans="1:16" customFormat="1" ht="27.65" hidden="1" customHeight="1" thickBot="1" x14ac:dyDescent="0.4">
      <c r="A12" s="6" t="s">
        <v>61</v>
      </c>
      <c r="B12" s="1" t="s">
        <v>91</v>
      </c>
      <c r="C12" s="1" t="s">
        <v>10</v>
      </c>
      <c r="D12" s="4">
        <v>1</v>
      </c>
      <c r="E12" s="4">
        <v>2752</v>
      </c>
      <c r="F12" s="4">
        <v>-14.43850267</v>
      </c>
      <c r="G12" s="2" t="s">
        <v>92</v>
      </c>
      <c r="H12" s="5">
        <v>3216.4</v>
      </c>
      <c r="I12" s="1" t="s">
        <v>8</v>
      </c>
      <c r="J12" s="33" t="s">
        <v>40</v>
      </c>
      <c r="K12" s="16"/>
      <c r="L12" s="16"/>
      <c r="M12" s="16"/>
      <c r="N12" t="str">
        <f>IF(COUNTIFS( $B$2:$B$657, B12, $C$2:$C$657, C12, $D$2:$D$657, D12, $E$2:$E$657, E12) &gt; 1, "Duplicate", "Unique")</f>
        <v>Unique</v>
      </c>
    </row>
    <row r="13" spans="1:16" ht="40.75" hidden="1" customHeight="1" thickBot="1" x14ac:dyDescent="0.4">
      <c r="A13" s="46">
        <v>46295.375</v>
      </c>
      <c r="B13" s="2" t="s">
        <v>30</v>
      </c>
      <c r="C13" s="2" t="s">
        <v>10</v>
      </c>
      <c r="D13" s="5">
        <v>5</v>
      </c>
      <c r="E13" s="5">
        <v>620</v>
      </c>
      <c r="F13" s="4">
        <v>-12.78660852</v>
      </c>
      <c r="G13" s="2" t="s">
        <v>93</v>
      </c>
      <c r="H13" s="5">
        <v>710.9</v>
      </c>
      <c r="I13" s="1" t="s">
        <v>8</v>
      </c>
      <c r="J13" s="21" t="s">
        <v>40</v>
      </c>
      <c r="K13" s="17" t="s">
        <v>297</v>
      </c>
      <c r="L13" s="17">
        <v>3395</v>
      </c>
      <c r="M13" s="17">
        <f>ABS((D13*E13)-L13)</f>
        <v>295</v>
      </c>
      <c r="N13" s="10" t="str">
        <f>IF(COUNTIFS( $B$2:$B$657, B13, $C$2:$C$657, C13, $D$2:$D$657, D13, $E$2:$E$657, E13) &gt; 1, "Duplicate", "Unique")</f>
        <v>Unique</v>
      </c>
    </row>
    <row r="14" spans="1:16" ht="40.75" hidden="1" customHeight="1" thickBot="1" x14ac:dyDescent="0.4">
      <c r="A14" s="6" t="s">
        <v>61</v>
      </c>
      <c r="B14" s="1" t="s">
        <v>112</v>
      </c>
      <c r="C14" s="1" t="s">
        <v>10</v>
      </c>
      <c r="D14" s="4">
        <v>4</v>
      </c>
      <c r="E14" s="4">
        <v>701</v>
      </c>
      <c r="F14" s="4">
        <v>-12.48439451</v>
      </c>
      <c r="G14" s="2" t="s">
        <v>113</v>
      </c>
      <c r="H14" s="5">
        <v>801</v>
      </c>
      <c r="I14" s="1" t="s">
        <v>8</v>
      </c>
      <c r="J14" s="33" t="s">
        <v>40</v>
      </c>
      <c r="K14" s="16"/>
      <c r="L14" s="16"/>
      <c r="M14" s="16"/>
      <c r="N14" t="str">
        <f>IF(COUNTIFS( $B$2:$B$657, B14, $C$2:$C$657, C14, $D$2:$D$657, D14, $E$2:$E$657, E14) &gt; 1, "Duplicate", "Unique")</f>
        <v>Unique</v>
      </c>
      <c r="O14"/>
      <c r="P14"/>
    </row>
    <row r="15" spans="1:16" ht="15" hidden="1" customHeight="1" thickBot="1" x14ac:dyDescent="0.4">
      <c r="A15" s="3">
        <v>46252.688194444447</v>
      </c>
      <c r="B15" s="1" t="s">
        <v>95</v>
      </c>
      <c r="C15" s="1" t="s">
        <v>10</v>
      </c>
      <c r="D15" s="4">
        <v>45</v>
      </c>
      <c r="E15" s="4">
        <v>136.15</v>
      </c>
      <c r="F15" s="4">
        <v>-11.42411034</v>
      </c>
      <c r="G15" s="2" t="s">
        <v>96</v>
      </c>
      <c r="H15" s="5">
        <v>153.71</v>
      </c>
      <c r="I15" s="1" t="s">
        <v>8</v>
      </c>
      <c r="J15" s="33" t="s">
        <v>54</v>
      </c>
      <c r="K15" s="16"/>
      <c r="L15" s="16"/>
      <c r="M15" s="16"/>
      <c r="N15" t="str">
        <f>IF(COUNTIFS( $B$2:$B$657, B15, $C$2:$C$657, C15, $D$2:$D$657, D15, $E$2:$E$657, E15) &gt; 1, "Duplicate", "Unique")</f>
        <v>Unique</v>
      </c>
      <c r="O15"/>
      <c r="P15"/>
    </row>
    <row r="16" spans="1:16" ht="27.65" hidden="1" customHeight="1" thickBot="1" x14ac:dyDescent="0.4">
      <c r="A16" s="6" t="s">
        <v>61</v>
      </c>
      <c r="B16" s="1" t="s">
        <v>12</v>
      </c>
      <c r="C16" s="1" t="s">
        <v>10</v>
      </c>
      <c r="D16" s="4">
        <v>1</v>
      </c>
      <c r="E16" s="4">
        <v>4164</v>
      </c>
      <c r="F16" s="4">
        <v>-11.32879046</v>
      </c>
      <c r="G16" s="2" t="s">
        <v>97</v>
      </c>
      <c r="H16" s="5">
        <v>4696</v>
      </c>
      <c r="I16" s="1" t="s">
        <v>8</v>
      </c>
      <c r="J16" s="33"/>
      <c r="K16" s="16"/>
      <c r="L16" s="16"/>
      <c r="M16" s="16"/>
      <c r="N16" t="str">
        <f>IF(COUNTIFS( $B$2:$B$657, B16, $C$2:$C$657, C16, $D$2:$D$657, D16, $E$2:$E$657, E16) &gt; 1, "Duplicate", "Unique")</f>
        <v>Unique</v>
      </c>
      <c r="O16"/>
      <c r="P16"/>
    </row>
    <row r="17" spans="1:16" ht="40.75" hidden="1" customHeight="1" thickBot="1" x14ac:dyDescent="0.4">
      <c r="A17" s="46">
        <v>46308.578472222223</v>
      </c>
      <c r="B17" s="2" t="s">
        <v>324</v>
      </c>
      <c r="C17" s="2" t="s">
        <v>10</v>
      </c>
      <c r="D17" s="5">
        <v>13</v>
      </c>
      <c r="E17" s="5">
        <v>1209</v>
      </c>
      <c r="F17" s="4">
        <v>-11.10294118</v>
      </c>
      <c r="G17" s="2" t="s">
        <v>334</v>
      </c>
      <c r="H17" s="5">
        <v>1360</v>
      </c>
      <c r="I17" s="1" t="s">
        <v>8</v>
      </c>
      <c r="J17" s="21" t="s">
        <v>54</v>
      </c>
      <c r="K17" s="17" t="s">
        <v>327</v>
      </c>
      <c r="L17" s="17">
        <v>17017</v>
      </c>
      <c r="M17" s="17">
        <f>ABS((D17*E17)-L17)</f>
        <v>1300</v>
      </c>
      <c r="N17" t="str">
        <f>IF(COUNTIFS( $B$2:$B$657, B17, $C$2:$C$657, C17, $D$2:$D$657, D17, $E$2:$E$657, E17) &gt; 1, "Duplicate", "Unique")</f>
        <v>Unique</v>
      </c>
    </row>
    <row r="18" spans="1:16" s="22" customFormat="1" ht="27.65" hidden="1" customHeight="1" thickBot="1" x14ac:dyDescent="0.4">
      <c r="A18" s="46">
        <v>46304.387499999997</v>
      </c>
      <c r="B18" s="2" t="s">
        <v>25</v>
      </c>
      <c r="C18" s="2" t="s">
        <v>10</v>
      </c>
      <c r="D18" s="5">
        <v>500</v>
      </c>
      <c r="E18" s="5">
        <v>30.3</v>
      </c>
      <c r="F18" s="4">
        <v>-11.013215860000001</v>
      </c>
      <c r="G18" s="2" t="s">
        <v>45</v>
      </c>
      <c r="H18" s="5">
        <v>34.049999999999997</v>
      </c>
      <c r="I18" s="1" t="s">
        <v>8</v>
      </c>
      <c r="J18" s="21" t="s">
        <v>54</v>
      </c>
      <c r="K18" s="17" t="s">
        <v>312</v>
      </c>
      <c r="L18" s="17">
        <v>15850</v>
      </c>
      <c r="M18" s="17">
        <f>ABS((D18*E18)-L18)</f>
        <v>700</v>
      </c>
      <c r="N18" t="str">
        <f>IF(COUNTIFS( $B$2:$B$657, B18, $C$2:$C$657, C18, $D$2:$D$657, D18, $E$2:$E$657, E18) &gt; 1, "Duplicate", "Unique")</f>
        <v>Unique</v>
      </c>
      <c r="O18" s="10"/>
      <c r="P18" s="10"/>
    </row>
    <row r="19" spans="1:16" ht="27.65" hidden="1" customHeight="1" thickBot="1" x14ac:dyDescent="0.4">
      <c r="A19" s="46">
        <v>46304.388888888891</v>
      </c>
      <c r="B19" s="2" t="s">
        <v>46</v>
      </c>
      <c r="C19" s="2" t="s">
        <v>10</v>
      </c>
      <c r="D19" s="5">
        <v>9</v>
      </c>
      <c r="E19" s="5">
        <v>2105</v>
      </c>
      <c r="F19" s="4">
        <v>-10.42553191</v>
      </c>
      <c r="G19" s="2" t="s">
        <v>47</v>
      </c>
      <c r="H19" s="5">
        <v>2350</v>
      </c>
      <c r="I19" s="1" t="s">
        <v>8</v>
      </c>
      <c r="J19" s="21" t="s">
        <v>54</v>
      </c>
      <c r="K19" s="17" t="s">
        <v>316</v>
      </c>
      <c r="L19" s="17">
        <v>19395</v>
      </c>
      <c r="M19" s="17">
        <f>ABS((D19*E19)-L19)</f>
        <v>450</v>
      </c>
      <c r="N19" t="str">
        <f>IF(COUNTIFS( $B$2:$B$657, B19, $C$2:$C$657, C19, $D$2:$D$657, D19, $E$2:$E$657, E19) &gt; 1, "Duplicate", "Unique")</f>
        <v>Unique</v>
      </c>
    </row>
    <row r="20" spans="1:16" ht="27.65" hidden="1" customHeight="1" thickBot="1" x14ac:dyDescent="0.4">
      <c r="A20" s="3">
        <v>46252.635416666664</v>
      </c>
      <c r="B20" s="1" t="s">
        <v>91</v>
      </c>
      <c r="C20" s="1" t="s">
        <v>10</v>
      </c>
      <c r="D20" s="4">
        <v>2</v>
      </c>
      <c r="E20" s="4">
        <v>2892</v>
      </c>
      <c r="F20" s="4">
        <v>-10.085810220000001</v>
      </c>
      <c r="G20" s="2" t="s">
        <v>92</v>
      </c>
      <c r="H20" s="5">
        <v>3216.4</v>
      </c>
      <c r="I20" s="1" t="s">
        <v>8</v>
      </c>
      <c r="J20" s="33"/>
      <c r="K20" s="16"/>
      <c r="L20" s="16"/>
      <c r="M20" s="16"/>
      <c r="N20" t="str">
        <f>IF(COUNTIFS( $B$2:$B$657, B20, $C$2:$C$657, C20, $D$2:$D$657, D20, $E$2:$E$657, E20) &gt; 1, "Duplicate", "Unique")</f>
        <v>Unique</v>
      </c>
      <c r="O20"/>
      <c r="P20"/>
    </row>
    <row r="21" spans="1:16" ht="27.65" hidden="1" customHeight="1" thickBot="1" x14ac:dyDescent="0.4">
      <c r="A21" s="6" t="s">
        <v>61</v>
      </c>
      <c r="B21" s="1" t="s">
        <v>108</v>
      </c>
      <c r="C21" s="1" t="s">
        <v>10</v>
      </c>
      <c r="D21" s="4">
        <v>15</v>
      </c>
      <c r="E21" s="4">
        <v>4415</v>
      </c>
      <c r="F21" s="4">
        <v>-10.0814664</v>
      </c>
      <c r="G21" s="2" t="s">
        <v>109</v>
      </c>
      <c r="H21" s="5">
        <v>4910</v>
      </c>
      <c r="I21" s="1" t="s">
        <v>8</v>
      </c>
      <c r="J21" s="33"/>
      <c r="K21" s="16"/>
      <c r="L21" s="16"/>
      <c r="M21" s="16"/>
      <c r="N21" t="str">
        <f>IF(COUNTIFS( $B$2:$B$657, B21, $C$2:$C$657, C21, $D$2:$D$657, D21, $E$2:$E$657, E21) &gt; 1, "Duplicate", "Unique")</f>
        <v>Unique</v>
      </c>
      <c r="O21"/>
      <c r="P21"/>
    </row>
    <row r="22" spans="1:16" ht="27.65" hidden="1" customHeight="1" thickBot="1" x14ac:dyDescent="0.4">
      <c r="A22" s="3">
        <v>46302.468055555553</v>
      </c>
      <c r="B22" s="1" t="s">
        <v>73</v>
      </c>
      <c r="C22" s="1" t="s">
        <v>10</v>
      </c>
      <c r="D22" s="4">
        <v>2</v>
      </c>
      <c r="E22" s="4">
        <v>3110</v>
      </c>
      <c r="F22" s="4">
        <v>-9.2765460910000002</v>
      </c>
      <c r="G22" s="2" t="s">
        <v>74</v>
      </c>
      <c r="H22" s="5">
        <v>3428</v>
      </c>
      <c r="I22" s="1" t="s">
        <v>8</v>
      </c>
      <c r="J22" s="21" t="s">
        <v>40</v>
      </c>
      <c r="K22" s="17" t="s">
        <v>305</v>
      </c>
      <c r="L22" s="17">
        <f>2*3334</f>
        <v>6668</v>
      </c>
      <c r="M22" s="17">
        <f>ABS((D22*E22)-L22)</f>
        <v>448</v>
      </c>
      <c r="N22" s="10" t="str">
        <f>IF(COUNTIFS( $B$2:$B$657, B22, $C$2:$C$657, C22, $D$2:$D$657, D22, $E$2:$E$657, E22) &gt; 1, "Duplicate", "Unique")</f>
        <v>Unique</v>
      </c>
    </row>
    <row r="23" spans="1:16" ht="27.65" hidden="1" customHeight="1" thickBot="1" x14ac:dyDescent="0.4">
      <c r="A23" s="6" t="s">
        <v>61</v>
      </c>
      <c r="B23" s="1" t="s">
        <v>108</v>
      </c>
      <c r="C23" s="1" t="s">
        <v>10</v>
      </c>
      <c r="D23" s="4">
        <v>2</v>
      </c>
      <c r="E23" s="4">
        <v>4456</v>
      </c>
      <c r="F23" s="4">
        <v>-9.2464358450000006</v>
      </c>
      <c r="G23" s="2" t="s">
        <v>109</v>
      </c>
      <c r="H23" s="5">
        <v>4910</v>
      </c>
      <c r="I23" s="1" t="s">
        <v>8</v>
      </c>
      <c r="J23" s="33"/>
      <c r="K23" s="16"/>
      <c r="L23" s="16"/>
      <c r="M23" s="16"/>
      <c r="N23" t="str">
        <f>IF(COUNTIFS( $B$2:$B$657, B23, $C$2:$C$657, C23, $D$2:$D$657, D23, $E$2:$E$657, E23) &gt; 1, "Duplicate", "Unique")</f>
        <v>Unique</v>
      </c>
      <c r="O23"/>
      <c r="P23"/>
    </row>
    <row r="24" spans="1:16" ht="27.65" hidden="1" customHeight="1" thickBot="1" x14ac:dyDescent="0.4">
      <c r="A24" s="6" t="s">
        <v>61</v>
      </c>
      <c r="B24" s="1" t="s">
        <v>33</v>
      </c>
      <c r="C24" s="1" t="s">
        <v>10</v>
      </c>
      <c r="D24" s="4">
        <v>1</v>
      </c>
      <c r="E24" s="4">
        <v>18052</v>
      </c>
      <c r="F24" s="4">
        <v>-9.131178899</v>
      </c>
      <c r="G24" s="2" t="s">
        <v>70</v>
      </c>
      <c r="H24" s="5">
        <v>19866</v>
      </c>
      <c r="I24" s="1" t="s">
        <v>8</v>
      </c>
      <c r="J24" s="33"/>
      <c r="K24" s="16"/>
      <c r="L24" s="16"/>
      <c r="M24" s="16"/>
      <c r="N24" t="str">
        <f>IF(COUNTIFS( $B$2:$B$657, B24, $C$2:$C$657, C24, $D$2:$D$657, D24, $E$2:$E$657, E24) &gt; 1, "Duplicate", "Unique")</f>
        <v>Unique</v>
      </c>
      <c r="O24"/>
      <c r="P24"/>
    </row>
    <row r="25" spans="1:16" ht="27.65" hidden="1" customHeight="1" thickBot="1" x14ac:dyDescent="0.4">
      <c r="A25" s="3">
        <v>46307.375</v>
      </c>
      <c r="B25" s="1" t="s">
        <v>278</v>
      </c>
      <c r="C25" s="1" t="s">
        <v>10</v>
      </c>
      <c r="D25" s="4">
        <v>2</v>
      </c>
      <c r="E25" s="4">
        <v>1448</v>
      </c>
      <c r="F25" s="4">
        <v>-9.0223674290000009</v>
      </c>
      <c r="G25" s="2" t="s">
        <v>280</v>
      </c>
      <c r="H25" s="5">
        <v>1591.6</v>
      </c>
      <c r="I25" s="1" t="s">
        <v>8</v>
      </c>
      <c r="J25" s="21" t="s">
        <v>40</v>
      </c>
      <c r="K25" t="s">
        <v>322</v>
      </c>
      <c r="L25">
        <v>3146</v>
      </c>
      <c r="M25" s="17">
        <f>ABS((D25*E25)-L25)</f>
        <v>250</v>
      </c>
      <c r="N25" s="10" t="str">
        <f>IF(COUNTIFS( $B$2:$B$657, B25, $C$2:$C$657, C25, $D$2:$D$657, D25, $E$2:$E$657, E25) &gt; 1, "Duplicate", "Unique")</f>
        <v>Unique</v>
      </c>
    </row>
    <row r="26" spans="1:16" ht="27.65" hidden="1" customHeight="1" thickBot="1" x14ac:dyDescent="0.4">
      <c r="A26" s="46">
        <v>46308.536805555559</v>
      </c>
      <c r="B26" s="2" t="s">
        <v>25</v>
      </c>
      <c r="C26" s="2" t="s">
        <v>10</v>
      </c>
      <c r="D26" s="5">
        <v>200</v>
      </c>
      <c r="E26" s="5">
        <v>31.1</v>
      </c>
      <c r="F26" s="4">
        <v>-8.6637298089999994</v>
      </c>
      <c r="G26" s="2" t="s">
        <v>45</v>
      </c>
      <c r="H26" s="5">
        <v>34.049999999999997</v>
      </c>
      <c r="I26" s="1" t="s">
        <v>8</v>
      </c>
      <c r="J26" s="21" t="s">
        <v>54</v>
      </c>
      <c r="K26" s="17" t="s">
        <v>329</v>
      </c>
      <c r="L26" s="17">
        <v>6580</v>
      </c>
      <c r="M26" s="17">
        <f>ABS((D26*E26)-L26)</f>
        <v>360</v>
      </c>
      <c r="N26" t="str">
        <f>IF(COUNTIFS( $B$2:$B$657, B26, $C$2:$C$657, C26, $D$2:$D$657, D26, $E$2:$E$657, E26) &gt; 1, "Duplicate", "Unique")</f>
        <v>Unique</v>
      </c>
    </row>
    <row r="27" spans="1:16" s="22" customFormat="1" ht="27.65" hidden="1" customHeight="1" thickBot="1" x14ac:dyDescent="0.4">
      <c r="A27" s="46">
        <v>46308.538888888892</v>
      </c>
      <c r="B27" s="2" t="s">
        <v>46</v>
      </c>
      <c r="C27" s="2" t="s">
        <v>10</v>
      </c>
      <c r="D27" s="5">
        <v>8</v>
      </c>
      <c r="E27" s="5">
        <v>2155</v>
      </c>
      <c r="F27" s="4">
        <v>-8.2978723399999996</v>
      </c>
      <c r="G27" s="2" t="s">
        <v>47</v>
      </c>
      <c r="H27" s="5">
        <v>2350</v>
      </c>
      <c r="I27" s="1" t="s">
        <v>8</v>
      </c>
      <c r="J27" s="21" t="s">
        <v>54</v>
      </c>
      <c r="K27" s="17" t="s">
        <v>328</v>
      </c>
      <c r="L27" s="17">
        <v>18040</v>
      </c>
      <c r="M27" s="17">
        <f>ABS((D27*E27)-L27)</f>
        <v>800</v>
      </c>
      <c r="N27" t="str">
        <f>IF(COUNTIFS( $B$2:$B$657, B27, $C$2:$C$657, C27, $D$2:$D$657, D27, $E$2:$E$657, E27) &gt; 1, "Duplicate", "Unique")</f>
        <v>Unique</v>
      </c>
      <c r="O27" s="10"/>
      <c r="P27" s="10"/>
    </row>
    <row r="28" spans="1:16" ht="27.65" hidden="1" customHeight="1" thickBot="1" x14ac:dyDescent="0.4">
      <c r="A28" s="6" t="s">
        <v>61</v>
      </c>
      <c r="B28" s="1" t="s">
        <v>20</v>
      </c>
      <c r="C28" s="1" t="s">
        <v>10</v>
      </c>
      <c r="D28" s="4">
        <v>100</v>
      </c>
      <c r="E28" s="4">
        <v>111</v>
      </c>
      <c r="F28" s="4">
        <v>-7.3610415619999996</v>
      </c>
      <c r="G28" s="2" t="s">
        <v>85</v>
      </c>
      <c r="H28" s="5">
        <v>119.82</v>
      </c>
      <c r="I28" s="1" t="s">
        <v>8</v>
      </c>
      <c r="J28" s="33"/>
      <c r="K28" s="16"/>
      <c r="L28" s="16"/>
      <c r="M28" s="16"/>
      <c r="N28" t="str">
        <f>IF(COUNTIFS( $B$2:$B$657, B28, $C$2:$C$657, C28, $D$2:$D$657, D28, $E$2:$E$657, E28) &gt; 1, "Duplicate", "Unique")</f>
        <v>Unique</v>
      </c>
      <c r="O28"/>
      <c r="P28"/>
    </row>
    <row r="29" spans="1:16" ht="27.65" hidden="1" customHeight="1" thickBot="1" x14ac:dyDescent="0.4">
      <c r="A29" s="6" t="s">
        <v>61</v>
      </c>
      <c r="B29" s="1" t="s">
        <v>108</v>
      </c>
      <c r="C29" s="1" t="s">
        <v>10</v>
      </c>
      <c r="D29" s="4">
        <v>1</v>
      </c>
      <c r="E29" s="4">
        <v>4560</v>
      </c>
      <c r="F29" s="4">
        <v>-7.128309572</v>
      </c>
      <c r="G29" s="2" t="s">
        <v>109</v>
      </c>
      <c r="H29" s="5">
        <v>4910</v>
      </c>
      <c r="I29" s="1" t="s">
        <v>8</v>
      </c>
      <c r="J29" s="33"/>
      <c r="K29" s="16"/>
      <c r="L29" s="16"/>
      <c r="M29" s="16"/>
      <c r="N29" t="str">
        <f>IF(COUNTIFS( $B$2:$B$657, B29, $C$2:$C$657, C29, $D$2:$D$657, D29, $E$2:$E$657, E29) &gt; 1, "Duplicate", "Unique")</f>
        <v>Unique</v>
      </c>
      <c r="O29"/>
      <c r="P29"/>
    </row>
    <row r="30" spans="1:16" ht="27.65" hidden="1" customHeight="1" thickBot="1" x14ac:dyDescent="0.4">
      <c r="A30" s="6" t="s">
        <v>61</v>
      </c>
      <c r="B30" s="1" t="s">
        <v>104</v>
      </c>
      <c r="C30" s="1" t="s">
        <v>10</v>
      </c>
      <c r="D30" s="4">
        <v>4</v>
      </c>
      <c r="E30" s="4">
        <v>1751</v>
      </c>
      <c r="F30" s="4">
        <v>-7.1087533159999996</v>
      </c>
      <c r="G30" s="2" t="s">
        <v>105</v>
      </c>
      <c r="H30" s="5">
        <v>1885</v>
      </c>
      <c r="I30" s="1" t="s">
        <v>8</v>
      </c>
      <c r="J30" s="33"/>
      <c r="K30" s="16"/>
      <c r="L30" s="16"/>
      <c r="M30" s="16"/>
      <c r="N30" t="str">
        <f>IF(COUNTIFS( $B$2:$B$657, B30, $C$2:$C$657, C30, $D$2:$D$657, D30, $E$2:$E$657, E30) &gt; 1, "Duplicate", "Unique")</f>
        <v>Unique</v>
      </c>
      <c r="O30"/>
      <c r="P30"/>
    </row>
    <row r="31" spans="1:16" s="27" customFormat="1" ht="14.4" hidden="1" customHeight="1" thickBot="1" x14ac:dyDescent="0.4">
      <c r="A31" s="6" t="s">
        <v>61</v>
      </c>
      <c r="B31" s="1" t="s">
        <v>12</v>
      </c>
      <c r="C31" s="1" t="s">
        <v>10</v>
      </c>
      <c r="D31" s="4">
        <v>1</v>
      </c>
      <c r="E31" s="4">
        <v>4364</v>
      </c>
      <c r="F31" s="4">
        <v>-7.0698466780000002</v>
      </c>
      <c r="G31" s="2" t="s">
        <v>97</v>
      </c>
      <c r="H31" s="5">
        <v>4696</v>
      </c>
      <c r="I31" s="1" t="s">
        <v>8</v>
      </c>
      <c r="J31" s="34" t="s">
        <v>40</v>
      </c>
      <c r="K31" s="16"/>
      <c r="L31" s="16"/>
      <c r="M31" s="16"/>
      <c r="N31" t="str">
        <f>IF(COUNTIFS( $B$2:$B$657, B31, $C$2:$C$657, C31, $D$2:$D$657, D31, $E$2:$E$657, E31) &gt; 1, "Duplicate", "Unique")</f>
        <v>Unique</v>
      </c>
      <c r="O31"/>
      <c r="P31"/>
    </row>
    <row r="32" spans="1:16" s="27" customFormat="1" ht="14.4" hidden="1" customHeight="1" thickBot="1" x14ac:dyDescent="0.4">
      <c r="A32" s="6" t="s">
        <v>61</v>
      </c>
      <c r="B32" s="1" t="s">
        <v>33</v>
      </c>
      <c r="C32" s="1" t="s">
        <v>10</v>
      </c>
      <c r="D32" s="4">
        <v>1</v>
      </c>
      <c r="E32" s="4">
        <v>18552</v>
      </c>
      <c r="F32" s="4">
        <v>-6.6143159169999999</v>
      </c>
      <c r="G32" s="2" t="s">
        <v>70</v>
      </c>
      <c r="H32" s="5">
        <v>19866</v>
      </c>
      <c r="I32" s="1" t="s">
        <v>8</v>
      </c>
      <c r="J32" s="33"/>
      <c r="K32" s="16"/>
      <c r="L32" s="16"/>
      <c r="M32" s="16"/>
      <c r="N32" t="str">
        <f>IF(COUNTIFS( $B$2:$B$657, B32, $C$2:$C$657, C32, $D$2:$D$657, D32, $E$2:$E$657, E32) &gt; 1, "Duplicate", "Unique")</f>
        <v>Unique</v>
      </c>
      <c r="O32"/>
      <c r="P32"/>
    </row>
    <row r="33" spans="1:16" ht="14.4" hidden="1" customHeight="1" thickBot="1" x14ac:dyDescent="0.4">
      <c r="A33" s="46">
        <v>46310.404062499998</v>
      </c>
      <c r="B33" s="2" t="s">
        <v>25</v>
      </c>
      <c r="C33" s="2" t="s">
        <v>10</v>
      </c>
      <c r="D33" s="5">
        <v>300</v>
      </c>
      <c r="E33" s="5">
        <v>32.01</v>
      </c>
      <c r="F33" s="4">
        <v>-5.9911894270000001</v>
      </c>
      <c r="G33" s="2" t="s">
        <v>45</v>
      </c>
      <c r="H33" s="5">
        <v>34.049999999999997</v>
      </c>
      <c r="I33" s="1" t="s">
        <v>8</v>
      </c>
      <c r="J33" s="21" t="s">
        <v>54</v>
      </c>
      <c r="K33" s="17" t="s">
        <v>341</v>
      </c>
      <c r="L33" s="17">
        <v>10263</v>
      </c>
      <c r="M33" s="17">
        <f>ABS((D33*E33)-L33)</f>
        <v>660</v>
      </c>
      <c r="N33" s="10" t="str">
        <f>IF(COUNTIFS( $B$2:$B$657, B33, $C$2:$C$657, C33, $D$2:$D$657, D33, $E$2:$E$657, E33) &gt; 1, "Duplicate", "Unique")</f>
        <v>Unique</v>
      </c>
    </row>
    <row r="34" spans="1:16" s="22" customFormat="1" ht="14.4" hidden="1" customHeight="1" thickBot="1" x14ac:dyDescent="0.4">
      <c r="A34" s="3">
        <v>46121.375</v>
      </c>
      <c r="B34" s="1" t="s">
        <v>13</v>
      </c>
      <c r="C34" s="1" t="s">
        <v>10</v>
      </c>
      <c r="D34" s="4">
        <v>3</v>
      </c>
      <c r="E34" s="4">
        <v>1614</v>
      </c>
      <c r="F34" s="4">
        <v>-5.8892128279999998</v>
      </c>
      <c r="G34" s="2" t="s">
        <v>90</v>
      </c>
      <c r="H34" s="5">
        <v>1715</v>
      </c>
      <c r="I34" s="1" t="s">
        <v>8</v>
      </c>
      <c r="J34" s="21" t="s">
        <v>40</v>
      </c>
      <c r="K34" s="17" t="s">
        <v>235</v>
      </c>
      <c r="L34" s="17">
        <f>3*1794</f>
        <v>5382</v>
      </c>
      <c r="M34" s="17">
        <f>ABS((D34*E34)-L34)</f>
        <v>540</v>
      </c>
      <c r="N34" s="10" t="str">
        <f>IF(COUNTIFS( $B$2:$B$657, B34, $C$2:$C$657, C34, $D$2:$D$657, D34, $E$2:$E$657, E34) &gt; 1, "Duplicate", "Unique")</f>
        <v>Unique</v>
      </c>
      <c r="O34"/>
      <c r="P34"/>
    </row>
    <row r="35" spans="1:16" s="23" customFormat="1" ht="14.4" hidden="1" customHeight="1" thickBot="1" x14ac:dyDescent="0.4">
      <c r="A35" s="78">
        <v>46309</v>
      </c>
      <c r="B35" s="2" t="s">
        <v>108</v>
      </c>
      <c r="C35" s="2" t="s">
        <v>10</v>
      </c>
      <c r="D35" s="5">
        <v>1</v>
      </c>
      <c r="E35" s="5">
        <v>4640</v>
      </c>
      <c r="F35" s="4">
        <v>-5.49898167</v>
      </c>
      <c r="G35" s="2" t="s">
        <v>109</v>
      </c>
      <c r="H35" s="5">
        <v>4910</v>
      </c>
      <c r="I35" s="1" t="s">
        <v>8</v>
      </c>
      <c r="J35" s="21" t="s">
        <v>40</v>
      </c>
      <c r="K35" s="17" t="s">
        <v>335</v>
      </c>
      <c r="L35" s="17">
        <v>4940</v>
      </c>
      <c r="M35" s="17">
        <f>ABS((D35*E35)-L35)</f>
        <v>300</v>
      </c>
      <c r="N35" s="10" t="str">
        <f>IF(COUNTIFS( $B$2:$B$657, B35, $C$2:$C$657, C35, $D$2:$D$657, D35, $E$2:$E$657, E35) &gt; 1, "Duplicate", "Unique")</f>
        <v>Unique</v>
      </c>
      <c r="O35" s="10"/>
      <c r="P35" s="10"/>
    </row>
    <row r="36" spans="1:16" ht="39" hidden="1" thickBot="1" x14ac:dyDescent="0.4">
      <c r="A36" s="3">
        <v>46286.375</v>
      </c>
      <c r="B36" s="1" t="s">
        <v>42</v>
      </c>
      <c r="C36" s="1" t="s">
        <v>10</v>
      </c>
      <c r="D36" s="4">
        <v>5</v>
      </c>
      <c r="E36" s="4">
        <v>702</v>
      </c>
      <c r="F36" s="4">
        <v>-5.3206554720000003</v>
      </c>
      <c r="G36" s="2" t="s">
        <v>43</v>
      </c>
      <c r="H36" s="5">
        <v>741.45</v>
      </c>
      <c r="I36" s="1" t="s">
        <v>8</v>
      </c>
      <c r="J36" s="21" t="s">
        <v>40</v>
      </c>
      <c r="K36" s="17" t="s">
        <v>281</v>
      </c>
      <c r="L36" s="17">
        <f>7470/2</f>
        <v>3735</v>
      </c>
      <c r="M36" s="17">
        <f>ABS((D36*E36)-L36)</f>
        <v>225</v>
      </c>
      <c r="N36" s="10" t="str">
        <f>IF(COUNTIFS( $B$2:$B$657, B36, $C$2:$C$657, C36, $D$2:$D$657, D36, $E$2:$E$657, E36) &gt; 1, "Duplicate", "Unique")</f>
        <v>Unique</v>
      </c>
    </row>
    <row r="37" spans="1:16" ht="14.4" hidden="1" customHeight="1" thickBot="1" x14ac:dyDescent="0.4">
      <c r="A37" s="6" t="s">
        <v>61</v>
      </c>
      <c r="B37" s="1" t="s">
        <v>18</v>
      </c>
      <c r="C37" s="1" t="s">
        <v>10</v>
      </c>
      <c r="D37" s="4">
        <v>5</v>
      </c>
      <c r="E37" s="4">
        <v>1614</v>
      </c>
      <c r="F37" s="4">
        <v>-5.114638448</v>
      </c>
      <c r="G37" s="2" t="s">
        <v>101</v>
      </c>
      <c r="H37" s="5">
        <v>1701</v>
      </c>
      <c r="I37" s="1" t="s">
        <v>8</v>
      </c>
      <c r="J37" s="57" t="s">
        <v>40</v>
      </c>
      <c r="K37" s="16"/>
      <c r="L37" s="16"/>
      <c r="M37" s="16"/>
      <c r="N37" t="str">
        <f>IF(COUNTIFS( $B$2:$B$657, B37, $C$2:$C$657, C37, $D$2:$D$657, D37, $E$2:$E$657, E37) &gt; 1, "Duplicate", "Unique")</f>
        <v>Unique</v>
      </c>
      <c r="O37"/>
      <c r="P37"/>
    </row>
    <row r="38" spans="1:16" s="27" customFormat="1" ht="14.4" hidden="1" customHeight="1" thickBot="1" x14ac:dyDescent="0.4">
      <c r="A38" s="6" t="s">
        <v>61</v>
      </c>
      <c r="B38" s="1" t="s">
        <v>99</v>
      </c>
      <c r="C38" s="1" t="s">
        <v>10</v>
      </c>
      <c r="D38" s="4">
        <v>25</v>
      </c>
      <c r="E38" s="4">
        <v>251</v>
      </c>
      <c r="F38" s="4">
        <v>-4.8882152330000004</v>
      </c>
      <c r="G38" s="2" t="s">
        <v>100</v>
      </c>
      <c r="H38" s="5">
        <v>263.89999999999998</v>
      </c>
      <c r="I38" s="1" t="s">
        <v>8</v>
      </c>
      <c r="J38" s="33" t="s">
        <v>40</v>
      </c>
      <c r="K38" s="16"/>
      <c r="L38" s="16"/>
      <c r="M38" s="16"/>
      <c r="N38" t="str">
        <f>IF(COUNTIFS( $B$2:$B$657, B38, $C$2:$C$657, C38, $D$2:$D$657, D38, $E$2:$E$657, E38) &gt; 1, "Duplicate", "Unique")</f>
        <v>Unique</v>
      </c>
      <c r="O38"/>
      <c r="P38"/>
    </row>
    <row r="39" spans="1:16" s="26" customFormat="1" ht="39" hidden="1" thickBot="1" x14ac:dyDescent="0.4">
      <c r="A39" s="50">
        <v>46304.375</v>
      </c>
      <c r="B39" s="51" t="s">
        <v>50</v>
      </c>
      <c r="C39" s="51" t="s">
        <v>10</v>
      </c>
      <c r="D39" s="52">
        <v>10</v>
      </c>
      <c r="E39" s="52">
        <v>852</v>
      </c>
      <c r="F39" s="4">
        <v>-4.697986577</v>
      </c>
      <c r="G39" s="2" t="s">
        <v>51</v>
      </c>
      <c r="H39" s="5">
        <v>894</v>
      </c>
      <c r="I39" s="1" t="s">
        <v>8</v>
      </c>
      <c r="J39" s="25" t="s">
        <v>54</v>
      </c>
      <c r="K39" s="25" t="s">
        <v>318</v>
      </c>
      <c r="L39" s="25">
        <v>8570</v>
      </c>
      <c r="M39" s="25">
        <f>ABS((D39*E39)-L39)</f>
        <v>50</v>
      </c>
      <c r="N39" s="26" t="str">
        <f>IF(COUNTIFS( $B$2:$B$657, B39, $C$2:$C$657, C39, $D$2:$D$657, D39, $E$2:$E$657, E39) &gt; 1, "Duplicate", "Unique")</f>
        <v>Duplicate</v>
      </c>
      <c r="O39" s="27"/>
      <c r="P39" s="27"/>
    </row>
    <row r="40" spans="1:16" s="26" customFormat="1" ht="39" hidden="1" thickBot="1" x14ac:dyDescent="0.4">
      <c r="A40" s="28">
        <v>46307.375</v>
      </c>
      <c r="B40" s="29" t="s">
        <v>50</v>
      </c>
      <c r="C40" s="29" t="s">
        <v>10</v>
      </c>
      <c r="D40" s="30">
        <v>10</v>
      </c>
      <c r="E40" s="30">
        <v>852</v>
      </c>
      <c r="F40" s="4">
        <v>-4.697986577</v>
      </c>
      <c r="G40" s="2" t="s">
        <v>51</v>
      </c>
      <c r="H40" s="5">
        <v>894</v>
      </c>
      <c r="I40" s="1" t="s">
        <v>8</v>
      </c>
      <c r="J40" s="26" t="s">
        <v>54</v>
      </c>
      <c r="K40" s="26" t="s">
        <v>320</v>
      </c>
      <c r="L40" s="26">
        <v>8670</v>
      </c>
      <c r="M40" s="25">
        <f>ABS((D40*E40)-L40)</f>
        <v>150</v>
      </c>
      <c r="N40" s="27" t="str">
        <f>IF(COUNTIFS( $B$2:$B$657, B40, $C$2:$C$657, C40, $D$2:$D$657, D40, $E$2:$E$657, E40) &gt; 1, "Duplicate", "Unique")</f>
        <v>Duplicate</v>
      </c>
      <c r="O40" s="27"/>
      <c r="P40" s="27"/>
    </row>
    <row r="41" spans="1:16" s="26" customFormat="1" ht="39" hidden="1" thickBot="1" x14ac:dyDescent="0.4">
      <c r="A41" s="50">
        <v>46308.375</v>
      </c>
      <c r="B41" s="51" t="s">
        <v>50</v>
      </c>
      <c r="C41" s="51" t="s">
        <v>10</v>
      </c>
      <c r="D41" s="52">
        <v>10</v>
      </c>
      <c r="E41" s="52">
        <v>852</v>
      </c>
      <c r="F41" s="4">
        <v>-4.697986577</v>
      </c>
      <c r="G41" s="2" t="s">
        <v>51</v>
      </c>
      <c r="H41" s="5">
        <v>894</v>
      </c>
      <c r="I41" s="1" t="s">
        <v>8</v>
      </c>
      <c r="J41" s="25" t="s">
        <v>54</v>
      </c>
      <c r="K41" s="25" t="s">
        <v>331</v>
      </c>
      <c r="L41" s="25">
        <v>8870</v>
      </c>
      <c r="M41" s="25">
        <f>ABS((D41*E41)-L41)</f>
        <v>350</v>
      </c>
      <c r="N41" s="26" t="str">
        <f>IF(COUNTIFS( $B$2:$B$657, B41, $C$2:$C$657, C41, $D$2:$D$657, D41, $E$2:$E$657, E41) &gt; 1, "Duplicate", "Unique")</f>
        <v>Duplicate</v>
      </c>
      <c r="O41" s="27"/>
      <c r="P41" s="27"/>
    </row>
    <row r="42" spans="1:16" customFormat="1" ht="39" hidden="1" thickBot="1" x14ac:dyDescent="0.4">
      <c r="A42" s="50">
        <v>46308.375</v>
      </c>
      <c r="B42" s="51" t="s">
        <v>50</v>
      </c>
      <c r="C42" s="51" t="s">
        <v>10</v>
      </c>
      <c r="D42" s="52">
        <v>10</v>
      </c>
      <c r="E42" s="52">
        <v>852</v>
      </c>
      <c r="F42" s="4">
        <v>-4.697986577</v>
      </c>
      <c r="G42" s="2" t="s">
        <v>51</v>
      </c>
      <c r="H42" s="5">
        <v>894</v>
      </c>
      <c r="I42" s="1" t="s">
        <v>8</v>
      </c>
      <c r="J42" s="25" t="s">
        <v>54</v>
      </c>
      <c r="K42" s="25" t="s">
        <v>332</v>
      </c>
      <c r="L42" s="25">
        <v>8770</v>
      </c>
      <c r="M42" s="25">
        <f>ABS((D42*E42)-L42)</f>
        <v>250</v>
      </c>
      <c r="N42" s="26" t="str">
        <f>IF(COUNTIFS( $B$2:$B$657, B42, $C$2:$C$657, C42, $D$2:$D$657, D42, $E$2:$E$657, E42) &gt; 1, "Duplicate", "Unique")</f>
        <v>Duplicate</v>
      </c>
      <c r="O42" s="27"/>
      <c r="P42" s="27"/>
    </row>
    <row r="43" spans="1:16" s="27" customFormat="1" ht="26.5" hidden="1" thickBot="1" x14ac:dyDescent="0.4">
      <c r="A43" s="3">
        <v>46307.375</v>
      </c>
      <c r="B43" s="1" t="s">
        <v>73</v>
      </c>
      <c r="C43" s="1" t="s">
        <v>10</v>
      </c>
      <c r="D43" s="4">
        <v>5</v>
      </c>
      <c r="E43" s="4">
        <v>3288</v>
      </c>
      <c r="F43" s="4">
        <v>-4.084014002</v>
      </c>
      <c r="G43" s="2" t="s">
        <v>74</v>
      </c>
      <c r="H43" s="5">
        <v>3428</v>
      </c>
      <c r="I43" s="1" t="s">
        <v>8</v>
      </c>
      <c r="J43" t="s">
        <v>54</v>
      </c>
      <c r="K43" t="s">
        <v>321</v>
      </c>
      <c r="L43">
        <v>16740</v>
      </c>
      <c r="M43" s="17">
        <f>ABS((D43*E43)-L43)</f>
        <v>300</v>
      </c>
      <c r="N43" s="10" t="str">
        <f>IF(COUNTIFS( $B$2:$B$657, B43, $C$2:$C$657, C43, $D$2:$D$657, D43, $E$2:$E$657, E43) &gt; 1, "Duplicate", "Unique")</f>
        <v>Unique</v>
      </c>
      <c r="O43" s="10"/>
      <c r="P43" s="10"/>
    </row>
    <row r="44" spans="1:16" s="61" customFormat="1" ht="39" hidden="1" thickBot="1" x14ac:dyDescent="0.4">
      <c r="A44" s="46">
        <v>46300.375694444447</v>
      </c>
      <c r="B44" s="2" t="s">
        <v>12</v>
      </c>
      <c r="C44" s="2" t="s">
        <v>10</v>
      </c>
      <c r="D44" s="5">
        <v>1</v>
      </c>
      <c r="E44" s="5">
        <v>4510</v>
      </c>
      <c r="F44" s="4">
        <v>-3.9608177169999998</v>
      </c>
      <c r="G44" s="2" t="s">
        <v>97</v>
      </c>
      <c r="H44" s="5">
        <v>4696</v>
      </c>
      <c r="I44" s="1" t="s">
        <v>8</v>
      </c>
      <c r="J44" s="17" t="s">
        <v>117</v>
      </c>
      <c r="K44" s="17" t="s">
        <v>301</v>
      </c>
      <c r="L44" s="17">
        <v>4763</v>
      </c>
      <c r="M44" s="17">
        <f>ABS((D44*E44)-L44)</f>
        <v>253</v>
      </c>
      <c r="N44" s="10" t="str">
        <f>IF(COUNTIFS( $B$2:$B$657, B44, $C$2:$C$657, C44, $D$2:$D$657, D44, $E$2:$E$657, E44) &gt; 1, "Duplicate", "Unique")</f>
        <v>Unique</v>
      </c>
      <c r="O44" s="10"/>
      <c r="P44" s="10"/>
    </row>
    <row r="45" spans="1:16" ht="39" hidden="1" thickBot="1" x14ac:dyDescent="0.4">
      <c r="A45" s="6" t="s">
        <v>61</v>
      </c>
      <c r="B45" s="1" t="s">
        <v>20</v>
      </c>
      <c r="C45" s="1" t="s">
        <v>10</v>
      </c>
      <c r="D45" s="4">
        <v>200</v>
      </c>
      <c r="E45" s="4">
        <v>115.25</v>
      </c>
      <c r="F45" s="4">
        <v>-3.8140544150000002</v>
      </c>
      <c r="G45" s="2" t="s">
        <v>85</v>
      </c>
      <c r="H45" s="5">
        <v>119.82</v>
      </c>
      <c r="I45" s="1" t="s">
        <v>8</v>
      </c>
      <c r="J45" s="48"/>
      <c r="K45" s="16"/>
      <c r="L45" s="16"/>
      <c r="M45" s="16"/>
      <c r="N45" t="str">
        <f>IF(COUNTIFS( $B$2:$B$657, B45, $C$2:$C$657, C45, $D$2:$D$657, D45, $E$2:$E$657, E45) &gt; 1, "Duplicate", "Unique")</f>
        <v>Unique</v>
      </c>
      <c r="O45"/>
      <c r="P45"/>
    </row>
    <row r="46" spans="1:16" ht="39" hidden="1" thickBot="1" x14ac:dyDescent="0.4">
      <c r="A46" s="69" t="s">
        <v>61</v>
      </c>
      <c r="B46" s="58" t="s">
        <v>50</v>
      </c>
      <c r="C46" s="58" t="s">
        <v>10</v>
      </c>
      <c r="D46" s="59">
        <v>40</v>
      </c>
      <c r="E46" s="59">
        <v>862</v>
      </c>
      <c r="F46" s="4">
        <v>-3.5794183450000001</v>
      </c>
      <c r="G46" s="2" t="s">
        <v>51</v>
      </c>
      <c r="H46" s="5">
        <v>894</v>
      </c>
      <c r="I46" s="1" t="s">
        <v>8</v>
      </c>
      <c r="J46" s="80" t="s">
        <v>54</v>
      </c>
      <c r="K46" s="71"/>
      <c r="L46" s="71"/>
      <c r="M46" s="71"/>
      <c r="N46" s="60" t="str">
        <f>IF(COUNTIFS( $B$2:$B$657, B46, $C$2:$C$657, C46, $D$2:$D$657, D46, $E$2:$E$657, E46) &gt; 1, "Duplicate", "Unique")</f>
        <v>Unique</v>
      </c>
      <c r="O46" s="60"/>
      <c r="P46" s="60"/>
    </row>
    <row r="47" spans="1:16" ht="27.65" hidden="1" customHeight="1" thickBot="1" x14ac:dyDescent="0.4">
      <c r="A47" s="46">
        <v>46308.620138888888</v>
      </c>
      <c r="B47" s="2" t="s">
        <v>73</v>
      </c>
      <c r="C47" s="2" t="s">
        <v>10</v>
      </c>
      <c r="D47" s="5">
        <v>10</v>
      </c>
      <c r="E47" s="5">
        <v>3310</v>
      </c>
      <c r="F47" s="4">
        <v>-3.4422403730000002</v>
      </c>
      <c r="G47" s="2" t="s">
        <v>74</v>
      </c>
      <c r="H47" s="5">
        <v>3428</v>
      </c>
      <c r="I47" s="1" t="s">
        <v>8</v>
      </c>
      <c r="J47" s="97" t="s">
        <v>54</v>
      </c>
      <c r="K47" s="17" t="s">
        <v>325</v>
      </c>
      <c r="L47" s="17">
        <v>33800</v>
      </c>
      <c r="M47" s="17">
        <f>ABS((D47*E47)-L47)</f>
        <v>700</v>
      </c>
      <c r="N47" t="str">
        <f>IF(COUNTIFS( $B$2:$B$657, B47, $C$2:$C$657, C47, $D$2:$D$657, D47, $E$2:$E$657, E47) &gt; 1, "Duplicate", "Unique")</f>
        <v>Unique</v>
      </c>
    </row>
    <row r="48" spans="1:16" ht="39" hidden="1" thickBot="1" x14ac:dyDescent="0.4">
      <c r="A48" s="6" t="s">
        <v>61</v>
      </c>
      <c r="B48" s="1" t="s">
        <v>20</v>
      </c>
      <c r="C48" s="1" t="s">
        <v>10</v>
      </c>
      <c r="D48" s="4">
        <v>50</v>
      </c>
      <c r="E48" s="4">
        <v>116</v>
      </c>
      <c r="F48" s="4">
        <v>-3.188115507</v>
      </c>
      <c r="G48" s="2" t="s">
        <v>85</v>
      </c>
      <c r="H48" s="5">
        <v>119.82</v>
      </c>
      <c r="I48" s="1" t="s">
        <v>8</v>
      </c>
      <c r="J48" s="96"/>
      <c r="K48" s="16"/>
      <c r="L48" s="16"/>
      <c r="M48" s="16"/>
      <c r="N48" t="str">
        <f>IF(COUNTIFS( $B$2:$B$657, B48, $C$2:$C$657, C48, $D$2:$D$657, D48, $E$2:$E$657, E48) &gt; 1, "Duplicate", "Unique")</f>
        <v>Unique</v>
      </c>
      <c r="O48"/>
      <c r="P48"/>
    </row>
    <row r="49" spans="1:16" s="27" customFormat="1" ht="39" hidden="1" thickBot="1" x14ac:dyDescent="0.4">
      <c r="A49" s="46">
        <v>46310.375497685185</v>
      </c>
      <c r="B49" s="2" t="s">
        <v>50</v>
      </c>
      <c r="C49" s="2" t="s">
        <v>10</v>
      </c>
      <c r="D49" s="5">
        <v>10</v>
      </c>
      <c r="E49" s="5">
        <v>872</v>
      </c>
      <c r="F49" s="4">
        <v>-3.0201342279999999</v>
      </c>
      <c r="G49" s="2" t="s">
        <v>51</v>
      </c>
      <c r="H49" s="5">
        <v>894</v>
      </c>
      <c r="I49" s="1" t="s">
        <v>8</v>
      </c>
      <c r="J49" s="97" t="s">
        <v>54</v>
      </c>
      <c r="K49" s="17" t="s">
        <v>345</v>
      </c>
      <c r="L49" s="17">
        <v>8970</v>
      </c>
      <c r="M49" s="17">
        <f>ABS((D49*E49)-L49)</f>
        <v>250</v>
      </c>
      <c r="N49" s="10" t="str">
        <f>IF(COUNTIFS( $B$2:$B$657, B49, $C$2:$C$657, C49, $D$2:$D$657, D49, $E$2:$E$657, E49) &gt; 1, "Duplicate", "Unique")</f>
        <v>Unique</v>
      </c>
      <c r="O49" s="10"/>
      <c r="P49" s="10"/>
    </row>
    <row r="50" spans="1:16" s="27" customFormat="1" ht="26.5" hidden="1" thickBot="1" x14ac:dyDescent="0.4">
      <c r="A50" s="46">
        <v>46301.375694444447</v>
      </c>
      <c r="B50" s="2" t="s">
        <v>13</v>
      </c>
      <c r="C50" s="2" t="s">
        <v>10</v>
      </c>
      <c r="D50" s="5">
        <v>5</v>
      </c>
      <c r="E50" s="5">
        <v>1664</v>
      </c>
      <c r="F50" s="4">
        <v>-2.9737609329999999</v>
      </c>
      <c r="G50" s="2" t="s">
        <v>90</v>
      </c>
      <c r="H50" s="5">
        <v>1715</v>
      </c>
      <c r="I50" s="1" t="s">
        <v>8</v>
      </c>
      <c r="J50" s="97" t="s">
        <v>40</v>
      </c>
      <c r="K50" s="17" t="s">
        <v>303</v>
      </c>
      <c r="L50" s="17">
        <f>5*1752</f>
        <v>8760</v>
      </c>
      <c r="M50" s="17">
        <f>ABS((D50*E50)-L50)</f>
        <v>440</v>
      </c>
      <c r="N50" s="10" t="str">
        <f>IF(COUNTIFS( $B$2:$B$657, B50, $C$2:$C$657, C50, $D$2:$D$657, D50, $E$2:$E$657, E50) &gt; 1, "Duplicate", "Unique")</f>
        <v>Unique</v>
      </c>
      <c r="O50" s="10"/>
      <c r="P50" s="10"/>
    </row>
    <row r="51" spans="1:16" ht="27.65" hidden="1" customHeight="1" thickBot="1" x14ac:dyDescent="0.4">
      <c r="A51" s="46">
        <v>46308.407638888886</v>
      </c>
      <c r="B51" s="2" t="s">
        <v>50</v>
      </c>
      <c r="C51" s="2" t="s">
        <v>10</v>
      </c>
      <c r="D51" s="5">
        <v>40</v>
      </c>
      <c r="E51" s="5">
        <v>871</v>
      </c>
      <c r="F51" s="4">
        <v>-2.5727069349999998</v>
      </c>
      <c r="G51" s="2" t="s">
        <v>51</v>
      </c>
      <c r="H51" s="5">
        <v>894</v>
      </c>
      <c r="I51" s="1" t="s">
        <v>8</v>
      </c>
      <c r="J51" s="97" t="s">
        <v>54</v>
      </c>
      <c r="K51" s="17" t="s">
        <v>330</v>
      </c>
      <c r="L51" s="17">
        <v>35560</v>
      </c>
      <c r="M51" s="17">
        <f>ABS((D51*E51)-L51)</f>
        <v>720</v>
      </c>
      <c r="N51" t="str">
        <f>IF(COUNTIFS( $B$2:$B$657, B51, $C$2:$C$657, C51, $D$2:$D$657, D51, $E$2:$E$657, E51) &gt; 1, "Duplicate", "Unique")</f>
        <v>Unique</v>
      </c>
    </row>
    <row r="52" spans="1:16" s="74" customFormat="1" ht="40.75" hidden="1" customHeight="1" thickBot="1" x14ac:dyDescent="0.4">
      <c r="A52" s="46">
        <v>46308.547222222223</v>
      </c>
      <c r="B52" s="2" t="s">
        <v>102</v>
      </c>
      <c r="C52" s="2" t="s">
        <v>10</v>
      </c>
      <c r="D52" s="5">
        <v>9</v>
      </c>
      <c r="E52" s="5">
        <v>2055</v>
      </c>
      <c r="F52" s="4">
        <v>-2.375296912</v>
      </c>
      <c r="G52" s="2" t="s">
        <v>103</v>
      </c>
      <c r="H52" s="5">
        <v>2105</v>
      </c>
      <c r="I52" s="1" t="s">
        <v>8</v>
      </c>
      <c r="J52" s="97" t="s">
        <v>54</v>
      </c>
      <c r="K52" s="17" t="s">
        <v>326</v>
      </c>
      <c r="L52" s="17">
        <v>18855</v>
      </c>
      <c r="M52" s="17">
        <f>ABS((D52*E52)-L52)</f>
        <v>360</v>
      </c>
      <c r="N52" t="str">
        <f>IF(COUNTIFS( $B$2:$B$657, B52, $C$2:$C$657, C52, $D$2:$D$657, D52, $E$2:$E$657, E52) &gt; 1, "Duplicate", "Unique")</f>
        <v>Unique</v>
      </c>
      <c r="O52" s="10"/>
      <c r="P52" s="10"/>
    </row>
    <row r="53" spans="1:16" ht="27.65" hidden="1" customHeight="1" thickBot="1" x14ac:dyDescent="0.4">
      <c r="A53" s="46">
        <v>46310.375497685185</v>
      </c>
      <c r="B53" s="2" t="s">
        <v>14</v>
      </c>
      <c r="C53" s="2" t="s">
        <v>10</v>
      </c>
      <c r="D53" s="5">
        <v>100</v>
      </c>
      <c r="E53" s="5">
        <v>315.10000000000002</v>
      </c>
      <c r="F53" s="4">
        <v>-1.700202776</v>
      </c>
      <c r="G53" s="2" t="s">
        <v>44</v>
      </c>
      <c r="H53" s="5">
        <v>320.55</v>
      </c>
      <c r="I53" s="1" t="s">
        <v>8</v>
      </c>
      <c r="J53" s="97" t="s">
        <v>54</v>
      </c>
      <c r="K53" s="17" t="s">
        <v>344</v>
      </c>
      <c r="L53" s="17">
        <v>32200</v>
      </c>
      <c r="M53" s="17">
        <f>ABS((D53*E53)-L53)</f>
        <v>689.99999999999636</v>
      </c>
      <c r="N53" s="10" t="str">
        <f>IF(COUNTIFS( $B$2:$B$657, B53, $C$2:$C$657, C53, $D$2:$D$657, D53, $E$2:$E$657, E53) &gt; 1, "Duplicate", "Unique")</f>
        <v>Unique</v>
      </c>
    </row>
    <row r="54" spans="1:16" ht="40.75" hidden="1" customHeight="1" thickBot="1" x14ac:dyDescent="0.4">
      <c r="A54" s="46">
        <v>46301.393055555556</v>
      </c>
      <c r="B54" s="2" t="s">
        <v>33</v>
      </c>
      <c r="C54" s="2" t="s">
        <v>10</v>
      </c>
      <c r="D54" s="5">
        <v>1</v>
      </c>
      <c r="E54" s="5">
        <v>19550</v>
      </c>
      <c r="F54" s="4">
        <v>-1.590657405</v>
      </c>
      <c r="G54" s="2" t="s">
        <v>70</v>
      </c>
      <c r="H54" s="5">
        <v>19866</v>
      </c>
      <c r="I54" s="1" t="s">
        <v>8</v>
      </c>
      <c r="J54" s="97" t="s">
        <v>40</v>
      </c>
      <c r="K54" s="17" t="s">
        <v>304</v>
      </c>
      <c r="L54" s="17">
        <v>20020</v>
      </c>
      <c r="M54" s="17">
        <f>ABS((D54*E54)-L54)</f>
        <v>470</v>
      </c>
      <c r="N54" s="10" t="str">
        <f>IF(COUNTIFS( $B$2:$B$657, B54, $C$2:$C$657, C54, $D$2:$D$657, D54, $E$2:$E$657, E54) &gt; 1, "Duplicate", "Unique")</f>
        <v>Unique</v>
      </c>
    </row>
    <row r="55" spans="1:16" ht="27.65" hidden="1" customHeight="1" thickBot="1" x14ac:dyDescent="0.4">
      <c r="A55" s="75">
        <v>46307.375</v>
      </c>
      <c r="B55" s="76" t="s">
        <v>12</v>
      </c>
      <c r="C55" s="76" t="s">
        <v>10</v>
      </c>
      <c r="D55" s="77">
        <v>3</v>
      </c>
      <c r="E55" s="77">
        <v>4628</v>
      </c>
      <c r="F55" s="4">
        <v>-1.448040886</v>
      </c>
      <c r="G55" s="2" t="s">
        <v>97</v>
      </c>
      <c r="H55" s="5">
        <v>4696</v>
      </c>
      <c r="I55" s="1" t="s">
        <v>8</v>
      </c>
      <c r="J55" s="101" t="s">
        <v>54</v>
      </c>
      <c r="K55" s="72" t="s">
        <v>323</v>
      </c>
      <c r="L55" s="72">
        <v>14544</v>
      </c>
      <c r="M55" s="73">
        <f>ABS((D55*E55)-L55)</f>
        <v>660</v>
      </c>
      <c r="N55" s="74" t="str">
        <f>IF(COUNTIFS( $B$2:$B$657, B55, $C$2:$C$657, C55, $D$2:$D$657, D55, $E$2:$E$657, E55) &gt; 1, "Duplicate", "Unique")</f>
        <v>Unique</v>
      </c>
      <c r="O55" s="74"/>
      <c r="P55" s="74"/>
    </row>
    <row r="56" spans="1:16" ht="40.75" hidden="1" customHeight="1" thickBot="1" x14ac:dyDescent="0.4">
      <c r="A56" s="46">
        <v>46308.375</v>
      </c>
      <c r="B56" s="2" t="s">
        <v>56</v>
      </c>
      <c r="C56" s="2" t="s">
        <v>10</v>
      </c>
      <c r="D56" s="5">
        <v>5</v>
      </c>
      <c r="E56" s="5">
        <v>2912</v>
      </c>
      <c r="F56" s="4">
        <v>-1.2780960779999999</v>
      </c>
      <c r="G56" s="2" t="s">
        <v>57</v>
      </c>
      <c r="H56" s="5">
        <v>2949.7</v>
      </c>
      <c r="I56" s="1" t="s">
        <v>8</v>
      </c>
      <c r="J56" s="97" t="s">
        <v>54</v>
      </c>
      <c r="K56" s="17" t="s">
        <v>333</v>
      </c>
      <c r="L56" s="17">
        <v>14860</v>
      </c>
      <c r="M56" s="17">
        <f>ABS((D56*E56)-L56)</f>
        <v>300</v>
      </c>
      <c r="N56" t="str">
        <f>IF(COUNTIFS( $B$2:$B$657, B56, $C$2:$C$657, C56, $D$2:$D$657, D56, $E$2:$E$657, E56) &gt; 1, "Duplicate", "Unique")</f>
        <v>Unique</v>
      </c>
    </row>
    <row r="57" spans="1:16" ht="26.5" hidden="1" thickBot="1" x14ac:dyDescent="0.4">
      <c r="A57" s="6" t="s">
        <v>61</v>
      </c>
      <c r="B57" s="1" t="s">
        <v>77</v>
      </c>
      <c r="C57" s="1" t="s">
        <v>10</v>
      </c>
      <c r="D57" s="4">
        <v>69</v>
      </c>
      <c r="E57" s="4">
        <v>1277</v>
      </c>
      <c r="F57" s="4">
        <v>-1.2374323279999999</v>
      </c>
      <c r="G57" s="2" t="s">
        <v>78</v>
      </c>
      <c r="H57" s="5">
        <v>1293</v>
      </c>
      <c r="I57" s="1" t="s">
        <v>8</v>
      </c>
      <c r="J57" s="96"/>
      <c r="K57" s="16"/>
      <c r="L57" s="16"/>
      <c r="M57" s="16"/>
      <c r="N57" t="str">
        <f>IF(COUNTIFS( $B$2:$B$657, B57, $C$2:$C$657, C57, $D$2:$D$657, D57, $E$2:$E$657, E57) &gt; 1, "Duplicate", "Unique")</f>
        <v>Unique</v>
      </c>
      <c r="O57"/>
      <c r="P57"/>
    </row>
    <row r="58" spans="1:16" ht="39" hidden="1" thickBot="1" x14ac:dyDescent="0.4">
      <c r="A58" s="3">
        <v>46254.375</v>
      </c>
      <c r="B58" s="1" t="s">
        <v>32</v>
      </c>
      <c r="C58" s="1" t="s">
        <v>10</v>
      </c>
      <c r="D58" s="4">
        <v>7</v>
      </c>
      <c r="E58" s="4">
        <v>2230</v>
      </c>
      <c r="F58" s="4">
        <v>-0.91090868700000005</v>
      </c>
      <c r="G58" s="2" t="s">
        <v>83</v>
      </c>
      <c r="H58" s="5">
        <v>2250.5</v>
      </c>
      <c r="I58" s="1" t="s">
        <v>8</v>
      </c>
      <c r="J58" s="100" t="s">
        <v>54</v>
      </c>
      <c r="K58" s="16" t="s">
        <v>146</v>
      </c>
      <c r="L58" s="16"/>
      <c r="M58" s="16"/>
      <c r="N58" s="10" t="str">
        <f>IF(COUNTIFS( $B$2:$B$657, B58, $C$2:$C$657, C58, $D$2:$D$657, D58, $E$2:$E$657, E58) &gt; 1, "Duplicate", "Unique")</f>
        <v>Unique</v>
      </c>
      <c r="O58"/>
      <c r="P58"/>
    </row>
    <row r="59" spans="1:16" ht="27.65" hidden="1" customHeight="1" thickBot="1" x14ac:dyDescent="0.4">
      <c r="A59" s="6" t="s">
        <v>61</v>
      </c>
      <c r="B59" s="1" t="s">
        <v>20</v>
      </c>
      <c r="C59" s="1" t="s">
        <v>10</v>
      </c>
      <c r="D59" s="4">
        <v>50</v>
      </c>
      <c r="E59" s="4">
        <v>119</v>
      </c>
      <c r="F59" s="4">
        <v>-0.68435987310000002</v>
      </c>
      <c r="G59" s="2" t="s">
        <v>85</v>
      </c>
      <c r="H59" s="5">
        <v>119.82</v>
      </c>
      <c r="I59" s="1" t="s">
        <v>8</v>
      </c>
      <c r="J59" s="96"/>
      <c r="K59" s="16"/>
      <c r="L59" s="16"/>
      <c r="M59" s="16"/>
      <c r="N59" t="str">
        <f>IF(COUNTIFS( $B$2:$B$657, B59, $C$2:$C$657, C59, $D$2:$D$657, D59, $E$2:$E$657, E59) &gt; 1, "Duplicate", "Unique")</f>
        <v>Unique</v>
      </c>
      <c r="O59"/>
    </row>
    <row r="60" spans="1:16" s="27" customFormat="1" ht="27.65" hidden="1" customHeight="1" thickBot="1" x14ac:dyDescent="0.4">
      <c r="A60" s="78">
        <v>46309</v>
      </c>
      <c r="B60" s="2" t="s">
        <v>9</v>
      </c>
      <c r="C60" s="2" t="s">
        <v>10</v>
      </c>
      <c r="D60" s="5">
        <v>50</v>
      </c>
      <c r="E60" s="5">
        <v>281</v>
      </c>
      <c r="F60" s="4">
        <v>-0.40758461810000002</v>
      </c>
      <c r="G60" s="2" t="s">
        <v>94</v>
      </c>
      <c r="H60" s="5">
        <v>282.14999999999998</v>
      </c>
      <c r="I60" s="1" t="s">
        <v>8</v>
      </c>
      <c r="J60" s="97" t="s">
        <v>54</v>
      </c>
      <c r="K60" s="17" t="s">
        <v>336</v>
      </c>
      <c r="L60" s="17">
        <v>14450</v>
      </c>
      <c r="M60" s="17">
        <f>ABS((D60*E60)-L60)</f>
        <v>400</v>
      </c>
      <c r="N60" s="10" t="str">
        <f>IF(COUNTIFS( $B$2:$B$657, B60, $C$2:$C$657, C60, $D$2:$D$657, D60, $E$2:$E$657, E60) &gt; 1, "Duplicate", "Unique")</f>
        <v>Unique</v>
      </c>
      <c r="O60" s="10"/>
      <c r="P60" s="10"/>
    </row>
    <row r="61" spans="1:16" s="27" customFormat="1" ht="27.65" hidden="1" customHeight="1" thickBot="1" x14ac:dyDescent="0.4">
      <c r="A61" s="46">
        <v>46304.375</v>
      </c>
      <c r="B61" s="2" t="s">
        <v>13</v>
      </c>
      <c r="C61" s="2" t="s">
        <v>10</v>
      </c>
      <c r="D61" s="5">
        <v>10</v>
      </c>
      <c r="E61" s="5">
        <v>1708.7</v>
      </c>
      <c r="F61" s="4">
        <v>-0.36734693880000002</v>
      </c>
      <c r="G61" s="2" t="s">
        <v>90</v>
      </c>
      <c r="H61" s="5">
        <v>1715</v>
      </c>
      <c r="I61" s="1" t="s">
        <v>8</v>
      </c>
      <c r="J61" s="97" t="s">
        <v>54</v>
      </c>
      <c r="K61" s="17" t="s">
        <v>317</v>
      </c>
      <c r="L61" s="17">
        <v>17487</v>
      </c>
      <c r="M61" s="17">
        <f>ABS((D61*E61)-L61)</f>
        <v>400</v>
      </c>
      <c r="N61" t="str">
        <f>IF(COUNTIFS( $B$2:$B$657, B61, $C$2:$C$657, C61, $D$2:$D$657, D61, $E$2:$E$657, E61) &gt; 1, "Duplicate", "Unique")</f>
        <v>Unique</v>
      </c>
      <c r="O61" s="10"/>
      <c r="P61" s="10"/>
    </row>
    <row r="62" spans="1:16" ht="39" hidden="1" thickBot="1" x14ac:dyDescent="0.4">
      <c r="A62" s="6" t="s">
        <v>61</v>
      </c>
      <c r="B62" s="1" t="s">
        <v>81</v>
      </c>
      <c r="C62" s="1" t="s">
        <v>10</v>
      </c>
      <c r="D62" s="4">
        <v>1</v>
      </c>
      <c r="E62" s="4">
        <v>4010</v>
      </c>
      <c r="F62" s="4">
        <v>-0.24875621889999999</v>
      </c>
      <c r="G62" s="2" t="s">
        <v>82</v>
      </c>
      <c r="H62" s="5">
        <v>4020</v>
      </c>
      <c r="I62" s="1" t="s">
        <v>8</v>
      </c>
      <c r="J62" s="96" t="s">
        <v>40</v>
      </c>
      <c r="K62" s="16"/>
      <c r="L62" s="16"/>
      <c r="M62" s="16"/>
      <c r="N62" t="str">
        <f>IF(COUNTIFS( $B$2:$B$657, B62, $C$2:$C$657, C62, $D$2:$D$657, D62, $E$2:$E$657, E62) &gt; 1, "Duplicate", "Unique")</f>
        <v>Unique</v>
      </c>
    </row>
    <row r="63" spans="1:16" ht="40.75" hidden="1" customHeight="1" thickBot="1" x14ac:dyDescent="0.4">
      <c r="A63" s="3">
        <v>46252.635416666664</v>
      </c>
      <c r="B63" s="1" t="s">
        <v>77</v>
      </c>
      <c r="C63" s="1" t="s">
        <v>10</v>
      </c>
      <c r="D63" s="4">
        <v>3</v>
      </c>
      <c r="E63" s="4">
        <v>1302</v>
      </c>
      <c r="F63" s="4">
        <v>0.69605568449999999</v>
      </c>
      <c r="G63" s="2" t="s">
        <v>78</v>
      </c>
      <c r="H63" s="5">
        <v>1293</v>
      </c>
      <c r="I63" s="1" t="s">
        <v>8</v>
      </c>
      <c r="J63" s="96" t="s">
        <v>40</v>
      </c>
      <c r="K63" s="16"/>
      <c r="L63" s="16"/>
      <c r="M63" s="16"/>
      <c r="N63" t="str">
        <f>IF(COUNTIFS( $B$2:$B$657, B63, $C$2:$C$657, C63, $D$2:$D$657, D63, $E$2:$E$657, E63) &gt; 1, "Duplicate", "Unique")</f>
        <v>Unique</v>
      </c>
      <c r="O63"/>
      <c r="P63"/>
    </row>
    <row r="64" spans="1:16" ht="27.65" customHeight="1" thickBot="1" x14ac:dyDescent="0.4">
      <c r="A64" s="46">
        <v>46303.375</v>
      </c>
      <c r="B64" s="2" t="s">
        <v>21</v>
      </c>
      <c r="C64" s="2" t="s">
        <v>7</v>
      </c>
      <c r="D64" s="5">
        <v>5</v>
      </c>
      <c r="E64" s="5">
        <v>690</v>
      </c>
      <c r="F64" s="4">
        <v>1.291837933</v>
      </c>
      <c r="G64" s="2" t="s">
        <v>75</v>
      </c>
      <c r="H64" s="5">
        <v>681.2</v>
      </c>
      <c r="I64" s="1" t="s">
        <v>8</v>
      </c>
      <c r="J64" s="17" t="s">
        <v>117</v>
      </c>
      <c r="K64" s="17" t="s">
        <v>308</v>
      </c>
      <c r="L64" s="17">
        <v>3200</v>
      </c>
      <c r="M64" s="17">
        <f>ABS((D64*E64)-L64)</f>
        <v>250</v>
      </c>
      <c r="N64" s="10" t="str">
        <f>IF(COUNTIFS( $B$2:$B$657, B64, $C$2:$C$657, C64, $D$2:$D$657, D64, $E$2:$E$657, E64) &gt; 1, "Duplicate", "Unique")</f>
        <v>Unique</v>
      </c>
    </row>
    <row r="65" spans="1:16" ht="27.65" hidden="1" customHeight="1" thickBot="1" x14ac:dyDescent="0.4">
      <c r="A65" s="3">
        <v>46252.6875</v>
      </c>
      <c r="B65" s="1" t="s">
        <v>17</v>
      </c>
      <c r="C65" s="1" t="s">
        <v>10</v>
      </c>
      <c r="D65" s="4">
        <v>25</v>
      </c>
      <c r="E65" s="4">
        <v>326</v>
      </c>
      <c r="F65" s="4">
        <v>1.4312383319999999</v>
      </c>
      <c r="G65" s="2" t="s">
        <v>76</v>
      </c>
      <c r="H65" s="5">
        <v>321.39999999999998</v>
      </c>
      <c r="I65" s="1" t="s">
        <v>8</v>
      </c>
      <c r="J65" s="96" t="s">
        <v>40</v>
      </c>
      <c r="K65" s="16"/>
      <c r="L65" s="16"/>
      <c r="M65" s="16"/>
      <c r="N65" t="str">
        <f>IF(COUNTIFS( $B$2:$B$657, B65, $C$2:$C$657, C65, $D$2:$D$657, D65, $E$2:$E$657, E65) &gt; 1, "Duplicate", "Unique")</f>
        <v>Unique</v>
      </c>
      <c r="O65"/>
      <c r="P65"/>
    </row>
    <row r="66" spans="1:16" ht="40.75" customHeight="1" thickBot="1" x14ac:dyDescent="0.4">
      <c r="A66" s="46">
        <v>46293.375694444447</v>
      </c>
      <c r="B66" s="2" t="s">
        <v>50</v>
      </c>
      <c r="C66" s="2" t="s">
        <v>7</v>
      </c>
      <c r="D66" s="5">
        <v>10</v>
      </c>
      <c r="E66" s="5">
        <v>907</v>
      </c>
      <c r="F66" s="4">
        <v>1.4541387020000001</v>
      </c>
      <c r="G66" s="2" t="s">
        <v>51</v>
      </c>
      <c r="H66" s="5">
        <v>894</v>
      </c>
      <c r="I66" s="1" t="s">
        <v>8</v>
      </c>
      <c r="J66" s="17" t="s">
        <v>116</v>
      </c>
      <c r="K66" s="17" t="s">
        <v>293</v>
      </c>
      <c r="L66" s="17">
        <f>17740/2</f>
        <v>8870</v>
      </c>
      <c r="M66" s="17">
        <f>ABS((D66*E66)-L66)</f>
        <v>200</v>
      </c>
      <c r="N66" s="10" t="str">
        <f>IF(COUNTIFS( $B$2:$B$657, B66, $C$2:$C$657, C66, $D$2:$D$657, D66, $E$2:$E$657, E66) &gt; 1, "Duplicate", "Unique")</f>
        <v>Unique</v>
      </c>
    </row>
    <row r="67" spans="1:16" s="81" customFormat="1" ht="40.75" customHeight="1" thickBot="1" x14ac:dyDescent="0.4">
      <c r="A67" s="102">
        <v>46252.635416666664</v>
      </c>
      <c r="B67" s="82" t="s">
        <v>73</v>
      </c>
      <c r="C67" s="82" t="s">
        <v>7</v>
      </c>
      <c r="D67" s="82">
        <v>5</v>
      </c>
      <c r="E67" s="82">
        <v>3482</v>
      </c>
      <c r="F67" s="85">
        <v>1.5752625440000001</v>
      </c>
      <c r="G67" s="86" t="s">
        <v>74</v>
      </c>
      <c r="H67" s="87">
        <v>3428</v>
      </c>
      <c r="I67" s="88" t="s">
        <v>8</v>
      </c>
      <c r="J67" s="89" t="s">
        <v>117</v>
      </c>
      <c r="K67" s="90"/>
      <c r="L67" s="90"/>
      <c r="M67" s="90"/>
      <c r="N67" s="81" t="str">
        <f>IF(COUNTIFS( $B$2:$B$657, B67, $C$2:$C$657, C67, $D$2:$D$657, D67, $E$2:$E$657, E67) &gt; 1, "Duplicate", "Unique")</f>
        <v>Unique</v>
      </c>
      <c r="P67" s="103"/>
    </row>
    <row r="68" spans="1:16" ht="40.75" hidden="1" customHeight="1" thickBot="1" x14ac:dyDescent="0.4">
      <c r="A68" s="3">
        <v>46252.6875</v>
      </c>
      <c r="B68" s="1" t="s">
        <v>20</v>
      </c>
      <c r="C68" s="1" t="s">
        <v>10</v>
      </c>
      <c r="D68" s="4">
        <v>20</v>
      </c>
      <c r="E68" s="4">
        <v>122</v>
      </c>
      <c r="F68" s="4">
        <v>1.8193957599999999</v>
      </c>
      <c r="G68" s="2" t="s">
        <v>85</v>
      </c>
      <c r="H68" s="5">
        <v>119.82</v>
      </c>
      <c r="I68" s="1" t="s">
        <v>8</v>
      </c>
      <c r="J68" s="99" t="s">
        <v>40</v>
      </c>
      <c r="K68" s="16"/>
      <c r="L68" s="16"/>
      <c r="M68" s="16"/>
      <c r="N68" t="str">
        <f>IF(COUNTIFS( $B$2:$B$657, B68, $C$2:$C$657, C68, $D$2:$D$657, D68, $E$2:$E$657, E68) &gt; 1, "Duplicate", "Unique")</f>
        <v>Unique</v>
      </c>
    </row>
    <row r="69" spans="1:16" ht="40.75" hidden="1" customHeight="1" thickBot="1" x14ac:dyDescent="0.4">
      <c r="A69" s="46">
        <v>46293.375694444447</v>
      </c>
      <c r="B69" s="2" t="s">
        <v>50</v>
      </c>
      <c r="C69" s="2" t="s">
        <v>7</v>
      </c>
      <c r="D69" s="5">
        <v>10</v>
      </c>
      <c r="E69" s="5">
        <v>917</v>
      </c>
      <c r="F69" s="4">
        <v>2.5727069349999998</v>
      </c>
      <c r="G69" s="2" t="s">
        <v>51</v>
      </c>
      <c r="H69" s="5">
        <v>894</v>
      </c>
      <c r="I69" s="1" t="s">
        <v>8</v>
      </c>
      <c r="J69" s="17" t="s">
        <v>116</v>
      </c>
      <c r="K69" s="17" t="s">
        <v>293</v>
      </c>
      <c r="L69" s="17">
        <f>17740/2</f>
        <v>8870</v>
      </c>
      <c r="M69" s="17">
        <f>ABS((D69*E69)-L69)</f>
        <v>300</v>
      </c>
      <c r="N69" s="10" t="str">
        <f>IF(COUNTIFS( $B$2:$B$657, B69, $C$2:$C$657, C69, $D$2:$D$657, D69, $E$2:$E$657, E69) &gt; 1, "Duplicate", "Unique")</f>
        <v>Unique</v>
      </c>
      <c r="O69" s="36" t="s">
        <v>237</v>
      </c>
    </row>
    <row r="70" spans="1:16" ht="40.75" hidden="1" customHeight="1" thickBot="1" x14ac:dyDescent="0.4">
      <c r="A70" s="6" t="s">
        <v>61</v>
      </c>
      <c r="B70" s="1" t="s">
        <v>31</v>
      </c>
      <c r="C70" s="1" t="s">
        <v>10</v>
      </c>
      <c r="D70" s="4">
        <v>25</v>
      </c>
      <c r="E70" s="4">
        <v>836</v>
      </c>
      <c r="F70" s="4">
        <v>2.200488998</v>
      </c>
      <c r="G70" s="2" t="s">
        <v>84</v>
      </c>
      <c r="H70" s="5">
        <v>818</v>
      </c>
      <c r="I70" s="1" t="s">
        <v>8</v>
      </c>
      <c r="J70" s="96" t="s">
        <v>40</v>
      </c>
      <c r="K70" s="16"/>
      <c r="L70" s="16"/>
      <c r="M70" s="16"/>
      <c r="N70" t="str">
        <f>IF(COUNTIFS( $B$2:$B$657, B70, $C$2:$C$657, C70, $D$2:$D$657, D70, $E$2:$E$657, E70) &gt; 1, "Duplicate", "Unique")</f>
        <v>Unique</v>
      </c>
      <c r="O70"/>
      <c r="P70"/>
    </row>
    <row r="71" spans="1:16" ht="27.65" customHeight="1" thickBot="1" x14ac:dyDescent="0.4">
      <c r="A71" s="46">
        <v>46293.401388888888</v>
      </c>
      <c r="B71" s="2" t="s">
        <v>14</v>
      </c>
      <c r="C71" s="2" t="s">
        <v>7</v>
      </c>
      <c r="D71" s="5">
        <v>100</v>
      </c>
      <c r="E71" s="5">
        <v>329</v>
      </c>
      <c r="F71" s="4">
        <v>2.6360942129999998</v>
      </c>
      <c r="G71" s="2" t="s">
        <v>44</v>
      </c>
      <c r="H71" s="5">
        <v>320.55</v>
      </c>
      <c r="I71" s="1" t="s">
        <v>8</v>
      </c>
      <c r="J71" s="17" t="s">
        <v>116</v>
      </c>
      <c r="K71" s="17" t="s">
        <v>290</v>
      </c>
      <c r="L71" s="17">
        <v>32400</v>
      </c>
      <c r="M71" s="17">
        <f>ABS((D71*E71)-L71)</f>
        <v>500</v>
      </c>
      <c r="N71" s="10" t="str">
        <f>IF(COUNTIFS( $B$2:$B$657, B71, $C$2:$C$657, C71, $D$2:$D$657, D71, $E$2:$E$657, E71) &gt; 1, "Duplicate", "Unique")</f>
        <v>Unique</v>
      </c>
    </row>
    <row r="72" spans="1:16" s="22" customFormat="1" ht="40.75" customHeight="1" thickBot="1" x14ac:dyDescent="0.4">
      <c r="A72" s="46">
        <v>46293.375694444447</v>
      </c>
      <c r="B72" s="2" t="s">
        <v>42</v>
      </c>
      <c r="C72" s="2" t="s">
        <v>7</v>
      </c>
      <c r="D72" s="5">
        <v>5</v>
      </c>
      <c r="E72" s="5">
        <v>762</v>
      </c>
      <c r="F72" s="4">
        <v>2.771596197</v>
      </c>
      <c r="G72" s="2" t="s">
        <v>43</v>
      </c>
      <c r="H72" s="5">
        <v>741.45</v>
      </c>
      <c r="I72" s="1" t="s">
        <v>8</v>
      </c>
      <c r="J72" s="17" t="s">
        <v>117</v>
      </c>
      <c r="K72" s="17" t="s">
        <v>292</v>
      </c>
      <c r="L72" s="17">
        <v>3560</v>
      </c>
      <c r="M72" s="17">
        <f>ABS((D72*E72)-L72)</f>
        <v>250</v>
      </c>
      <c r="N72" s="10" t="str">
        <f>IF(COUNTIFS( $B$2:$B$657, B72, $C$2:$C$657, C72, $D$2:$D$657, D72, $E$2:$E$657, E72) &gt; 1, "Duplicate", "Unique")</f>
        <v>Unique</v>
      </c>
      <c r="O72" s="10"/>
      <c r="P72" s="10"/>
    </row>
    <row r="73" spans="1:16" ht="27.65" customHeight="1" thickBot="1" x14ac:dyDescent="0.4">
      <c r="A73" s="28">
        <v>46335.62777777778</v>
      </c>
      <c r="B73" s="29" t="s">
        <v>11</v>
      </c>
      <c r="C73" s="29" t="s">
        <v>7</v>
      </c>
      <c r="D73" s="30">
        <v>20</v>
      </c>
      <c r="E73" s="30">
        <v>283</v>
      </c>
      <c r="F73" s="4">
        <v>2.8561099059999999</v>
      </c>
      <c r="G73" s="2" t="s">
        <v>98</v>
      </c>
      <c r="H73" s="5">
        <v>276.60000000000002</v>
      </c>
      <c r="I73" s="1" t="s">
        <v>8</v>
      </c>
      <c r="J73" s="25" t="s">
        <v>117</v>
      </c>
      <c r="K73" s="25" t="s">
        <v>259</v>
      </c>
      <c r="L73" s="25">
        <v>5370</v>
      </c>
      <c r="M73" s="25">
        <f>ABS((D73*E73)-L73)</f>
        <v>290</v>
      </c>
      <c r="N73" s="27" t="str">
        <f>IF(COUNTIFS( $B$2:$B$657, B73, $C$2:$C$657, C73, $D$2:$D$657, D73, $E$2:$E$657, E73) &gt; 1, "Duplicate", "Unique")</f>
        <v>Unique</v>
      </c>
      <c r="O73" s="27"/>
      <c r="P73" s="27"/>
    </row>
    <row r="74" spans="1:16" ht="27.65" customHeight="1" thickBot="1" x14ac:dyDescent="0.4">
      <c r="A74" s="28">
        <v>46280.375694444447</v>
      </c>
      <c r="B74" s="29" t="s">
        <v>11</v>
      </c>
      <c r="C74" s="29" t="s">
        <v>7</v>
      </c>
      <c r="D74" s="30">
        <v>10</v>
      </c>
      <c r="E74" s="30">
        <v>283</v>
      </c>
      <c r="F74" s="4">
        <v>2.8561099059999999</v>
      </c>
      <c r="G74" s="2" t="s">
        <v>98</v>
      </c>
      <c r="H74" s="5">
        <v>276.60000000000002</v>
      </c>
      <c r="I74" s="1" t="s">
        <v>8</v>
      </c>
      <c r="J74" s="25" t="s">
        <v>117</v>
      </c>
      <c r="K74" s="25" t="s">
        <v>271</v>
      </c>
      <c r="L74" s="25">
        <v>2610</v>
      </c>
      <c r="M74" s="25">
        <f>ABS((D74*E74)-L74)</f>
        <v>220</v>
      </c>
      <c r="N74" s="27" t="str">
        <f>IF(COUNTIFS( $B$2:$B$657, B74, $C$2:$C$657, C74, $D$2:$D$657, D74, $E$2:$E$657, E74) &gt; 1, "Duplicate", "Unique")</f>
        <v>Unique</v>
      </c>
      <c r="O74" s="27"/>
      <c r="P74" s="27"/>
    </row>
    <row r="75" spans="1:16" ht="27.65" customHeight="1" thickBot="1" x14ac:dyDescent="0.4">
      <c r="A75" s="11">
        <v>46252.645138888889</v>
      </c>
      <c r="B75" s="8" t="s">
        <v>56</v>
      </c>
      <c r="C75" s="8" t="s">
        <v>7</v>
      </c>
      <c r="D75" s="8">
        <v>5</v>
      </c>
      <c r="E75" s="8">
        <v>3040</v>
      </c>
      <c r="F75" s="4">
        <v>3.0613282709999998</v>
      </c>
      <c r="G75" s="2" t="s">
        <v>57</v>
      </c>
      <c r="H75" s="5">
        <v>2949.7</v>
      </c>
      <c r="I75" s="1" t="s">
        <v>8</v>
      </c>
      <c r="J75" s="16" t="s">
        <v>116</v>
      </c>
      <c r="N75" s="10" t="str">
        <f>IF(COUNTIFS( $B$2:$B$657, B75, $C$2:$C$657, C75, $D$2:$D$657, D75, $E$2:$E$657, E75) &gt; 1, "Duplicate", "Unique")</f>
        <v>Unique</v>
      </c>
    </row>
    <row r="76" spans="1:16" ht="40.75" hidden="1" customHeight="1" thickBot="1" x14ac:dyDescent="0.4">
      <c r="A76" s="6" t="s">
        <v>61</v>
      </c>
      <c r="B76" s="1" t="s">
        <v>48</v>
      </c>
      <c r="C76" s="1" t="s">
        <v>10</v>
      </c>
      <c r="D76" s="4">
        <v>2</v>
      </c>
      <c r="E76" s="4">
        <v>3760</v>
      </c>
      <c r="F76" s="4">
        <v>3.524229075</v>
      </c>
      <c r="G76" s="2" t="s">
        <v>49</v>
      </c>
      <c r="H76" s="5">
        <v>3632</v>
      </c>
      <c r="I76" s="1" t="s">
        <v>8</v>
      </c>
      <c r="J76" s="96"/>
      <c r="K76" s="16"/>
      <c r="L76" s="16"/>
      <c r="M76" s="16"/>
      <c r="N76" t="str">
        <f>IF(COUNTIFS( $B$2:$B$657, B76, $C$2:$C$657, C76, $D$2:$D$657, D76, $E$2:$E$657, E76) &gt; 1, "Duplicate", "Unique")</f>
        <v>Unique</v>
      </c>
      <c r="O76"/>
    </row>
    <row r="77" spans="1:16" ht="27.65" customHeight="1" thickBot="1" x14ac:dyDescent="0.4">
      <c r="A77" s="3">
        <v>46286.375694444447</v>
      </c>
      <c r="B77" s="1" t="s">
        <v>50</v>
      </c>
      <c r="C77" s="1" t="s">
        <v>7</v>
      </c>
      <c r="D77" s="4">
        <v>10</v>
      </c>
      <c r="E77" s="4">
        <v>927</v>
      </c>
      <c r="F77" s="4">
        <v>3.6912751680000002</v>
      </c>
      <c r="G77" s="2" t="s">
        <v>51</v>
      </c>
      <c r="H77" s="5">
        <v>894</v>
      </c>
      <c r="I77" s="1" t="s">
        <v>8</v>
      </c>
      <c r="J77" s="17" t="s">
        <v>116</v>
      </c>
      <c r="K77" s="17" t="s">
        <v>282</v>
      </c>
      <c r="L77" s="17">
        <f>26910/3</f>
        <v>8970</v>
      </c>
      <c r="M77" s="17">
        <f>ABS((D77*E77)-L77)</f>
        <v>300</v>
      </c>
      <c r="N77" s="10" t="str">
        <f>IF(COUNTIFS( $B$2:$B$657, B77, $C$2:$C$657, C77, $D$2:$D$657, D77, $E$2:$E$657, E77) &gt; 1, "Duplicate", "Unique")</f>
        <v>Unique</v>
      </c>
    </row>
    <row r="78" spans="1:16" ht="27.65" hidden="1" customHeight="1" thickBot="1" x14ac:dyDescent="0.4">
      <c r="A78" s="3">
        <v>46268.375</v>
      </c>
      <c r="B78" s="1" t="s">
        <v>14</v>
      </c>
      <c r="C78" s="1" t="s">
        <v>7</v>
      </c>
      <c r="D78" s="4">
        <v>100</v>
      </c>
      <c r="E78" s="4">
        <v>334</v>
      </c>
      <c r="F78" s="4">
        <v>4.1959132739999996</v>
      </c>
      <c r="G78" s="2" t="s">
        <v>44</v>
      </c>
      <c r="H78" s="5">
        <v>320.55</v>
      </c>
      <c r="I78" s="1" t="s">
        <v>8</v>
      </c>
      <c r="J78" s="17" t="s">
        <v>116</v>
      </c>
      <c r="K78" s="17" t="s">
        <v>229</v>
      </c>
      <c r="L78" s="17">
        <v>32200</v>
      </c>
      <c r="M78" s="17">
        <f>ABS((D78*E78)-L78)</f>
        <v>1200</v>
      </c>
      <c r="N78" s="10" t="str">
        <f>IF(COUNTIFS( $B$2:$B$657, B78, $C$2:$C$657, C78, $D$2:$D$657, D78, $E$2:$E$657, E78) &gt; 1, "Duplicate", "Unique")</f>
        <v>Unique</v>
      </c>
      <c r="O78" s="36" t="s">
        <v>237</v>
      </c>
    </row>
    <row r="79" spans="1:16" ht="40.75" hidden="1" customHeight="1" thickBot="1" x14ac:dyDescent="0.4">
      <c r="A79" s="3">
        <v>46252.635416666664</v>
      </c>
      <c r="B79" s="1" t="s">
        <v>31</v>
      </c>
      <c r="C79" s="1" t="s">
        <v>10</v>
      </c>
      <c r="D79" s="4">
        <v>50</v>
      </c>
      <c r="E79" s="4">
        <v>850</v>
      </c>
      <c r="F79" s="4">
        <v>3.9119804399999998</v>
      </c>
      <c r="G79" s="2" t="s">
        <v>84</v>
      </c>
      <c r="H79" s="5">
        <v>818</v>
      </c>
      <c r="I79" s="1" t="s">
        <v>8</v>
      </c>
      <c r="J79" s="99" t="s">
        <v>54</v>
      </c>
      <c r="K79" s="16"/>
      <c r="L79" s="16"/>
      <c r="M79" s="16"/>
      <c r="N79" t="str">
        <f>IF(COUNTIFS( $B$2:$B$657, B79, $C$2:$C$657, C79, $D$2:$D$657, D79, $E$2:$E$657, E79) &gt; 1, "Duplicate", "Unique")</f>
        <v>Unique</v>
      </c>
      <c r="P79"/>
    </row>
    <row r="80" spans="1:16" ht="40.75" hidden="1" customHeight="1" thickBot="1" x14ac:dyDescent="0.4">
      <c r="A80" s="6" t="s">
        <v>61</v>
      </c>
      <c r="B80" s="1" t="s">
        <v>19</v>
      </c>
      <c r="C80" s="1" t="s">
        <v>10</v>
      </c>
      <c r="D80" s="4">
        <v>50</v>
      </c>
      <c r="E80" s="4">
        <v>206</v>
      </c>
      <c r="F80" s="4">
        <v>4.1982802230000003</v>
      </c>
      <c r="G80" s="2" t="s">
        <v>39</v>
      </c>
      <c r="H80" s="5">
        <v>197.7</v>
      </c>
      <c r="I80" s="1" t="s">
        <v>8</v>
      </c>
      <c r="J80" s="96" t="s">
        <v>40</v>
      </c>
      <c r="K80" s="16"/>
      <c r="L80" s="16"/>
      <c r="M80" s="16"/>
      <c r="N80" t="str">
        <f>IF(COUNTIFS( $B$2:$B$657, B80, $C$2:$C$657, C80, $D$2:$D$657, D80, $E$2:$E$657, E80) &gt; 1, "Duplicate", "Unique")</f>
        <v>Unique</v>
      </c>
      <c r="O80"/>
      <c r="P80"/>
    </row>
    <row r="81" spans="1:16" ht="40.75" customHeight="1" thickBot="1" x14ac:dyDescent="0.4">
      <c r="A81" s="11">
        <v>46243.375</v>
      </c>
      <c r="B81" s="8" t="s">
        <v>9</v>
      </c>
      <c r="C81" s="8" t="s">
        <v>7</v>
      </c>
      <c r="D81" s="8">
        <v>50</v>
      </c>
      <c r="E81" s="8">
        <v>294</v>
      </c>
      <c r="F81" s="4">
        <v>4.1998936740000001</v>
      </c>
      <c r="G81" s="2" t="s">
        <v>94</v>
      </c>
      <c r="H81" s="5">
        <v>282.14999999999998</v>
      </c>
      <c r="I81" s="1" t="s">
        <v>8</v>
      </c>
      <c r="J81" s="17" t="s">
        <v>116</v>
      </c>
      <c r="K81" s="17" t="s">
        <v>310</v>
      </c>
      <c r="L81" s="17">
        <v>26109.000000000004</v>
      </c>
      <c r="M81" s="17">
        <f>ABS((D81*E81)-L81)</f>
        <v>11409.000000000004</v>
      </c>
      <c r="N81" s="10" t="str">
        <f>IF(COUNTIFS( $B$2:$B$657, B81, $C$2:$C$657, C81, $D$2:$D$657, D81, $E$2:$E$657, E81) &gt; 1, "Duplicate", "Unique")</f>
        <v>Unique</v>
      </c>
      <c r="P81"/>
    </row>
    <row r="82" spans="1:16" ht="27.65" customHeight="1" thickBot="1" x14ac:dyDescent="0.4">
      <c r="A82" s="3">
        <v>46275.375</v>
      </c>
      <c r="B82" s="1" t="s">
        <v>21</v>
      </c>
      <c r="C82" s="1" t="s">
        <v>7</v>
      </c>
      <c r="D82" s="4">
        <v>5</v>
      </c>
      <c r="E82" s="4">
        <v>710</v>
      </c>
      <c r="F82" s="4">
        <v>4.2278332350000003</v>
      </c>
      <c r="G82" s="2" t="s">
        <v>75</v>
      </c>
      <c r="H82" s="5">
        <v>681.2</v>
      </c>
      <c r="I82" s="1" t="s">
        <v>8</v>
      </c>
      <c r="J82" s="17" t="s">
        <v>117</v>
      </c>
      <c r="K82" s="17" t="s">
        <v>255</v>
      </c>
      <c r="L82" s="17">
        <v>3300</v>
      </c>
      <c r="M82" s="17">
        <f>ABS((D82*E82)-L82)</f>
        <v>250</v>
      </c>
      <c r="N82" s="10" t="str">
        <f>IF(COUNTIFS( $B$2:$B$657, B82, $C$2:$C$657, C82, $D$2:$D$657, D82, $E$2:$E$657, E82) &gt; 1, "Duplicate", "Unique")</f>
        <v>Unique</v>
      </c>
    </row>
    <row r="83" spans="1:16" ht="40.75" customHeight="1" thickBot="1" x14ac:dyDescent="0.4">
      <c r="A83" s="50">
        <v>46296.586111111108</v>
      </c>
      <c r="B83" s="51" t="s">
        <v>77</v>
      </c>
      <c r="C83" s="51" t="s">
        <v>7</v>
      </c>
      <c r="D83" s="52">
        <v>5</v>
      </c>
      <c r="E83" s="52">
        <v>1348</v>
      </c>
      <c r="F83" s="4">
        <v>4.2536736270000004</v>
      </c>
      <c r="G83" s="2" t="s">
        <v>78</v>
      </c>
      <c r="H83" s="5">
        <v>1293</v>
      </c>
      <c r="I83" s="1" t="s">
        <v>8</v>
      </c>
      <c r="J83" s="25" t="s">
        <v>117</v>
      </c>
      <c r="K83" s="25" t="s">
        <v>298</v>
      </c>
      <c r="L83" s="25">
        <v>6127.5</v>
      </c>
      <c r="M83" s="25">
        <f>ABS((D83*E83)-L83)</f>
        <v>612.5</v>
      </c>
      <c r="N83" s="27" t="str">
        <f>IF(COUNTIFS( $B$2:$B$657, B83, $C$2:$C$657, C83, $D$2:$D$657, D83, $E$2:$E$657, E83) &gt; 1, "Duplicate", "Unique")</f>
        <v>Duplicate</v>
      </c>
      <c r="O83" s="27"/>
      <c r="P83" s="27"/>
    </row>
    <row r="84" spans="1:16" ht="27.65" customHeight="1" thickBot="1" x14ac:dyDescent="0.4">
      <c r="A84" s="50">
        <v>46296.420138888891</v>
      </c>
      <c r="B84" s="51" t="s">
        <v>77</v>
      </c>
      <c r="C84" s="51" t="s">
        <v>7</v>
      </c>
      <c r="D84" s="52">
        <v>5</v>
      </c>
      <c r="E84" s="52">
        <v>1348</v>
      </c>
      <c r="F84" s="4">
        <v>4.2536736270000004</v>
      </c>
      <c r="G84" s="2" t="s">
        <v>78</v>
      </c>
      <c r="H84" s="5">
        <v>1293</v>
      </c>
      <c r="I84" s="1" t="s">
        <v>8</v>
      </c>
      <c r="J84" s="25" t="s">
        <v>117</v>
      </c>
      <c r="K84" s="25" t="s">
        <v>300</v>
      </c>
      <c r="L84" s="25">
        <v>6320</v>
      </c>
      <c r="M84" s="25">
        <f>ABS((D84*E84)-L84)</f>
        <v>420</v>
      </c>
      <c r="N84" s="27" t="str">
        <f>IF(COUNTIFS( $B$2:$B$657, B84, $C$2:$C$657, C84, $D$2:$D$657, D84, $E$2:$E$657, E84) &gt; 1, "Duplicate", "Unique")</f>
        <v>Duplicate</v>
      </c>
      <c r="O84" s="27"/>
      <c r="P84" s="27"/>
    </row>
    <row r="85" spans="1:16" s="27" customFormat="1" ht="40.75" customHeight="1" thickBot="1" x14ac:dyDescent="0.4">
      <c r="A85" s="8" t="s">
        <v>61</v>
      </c>
      <c r="B85" s="8" t="s">
        <v>42</v>
      </c>
      <c r="C85" s="8" t="s">
        <v>7</v>
      </c>
      <c r="D85" s="8">
        <v>10</v>
      </c>
      <c r="E85" s="8">
        <v>773</v>
      </c>
      <c r="F85" s="4">
        <v>4.2551756689999998</v>
      </c>
      <c r="G85" s="2" t="s">
        <v>43</v>
      </c>
      <c r="H85" s="5">
        <v>741.45</v>
      </c>
      <c r="I85" s="1" t="s">
        <v>8</v>
      </c>
      <c r="J85" s="32" t="s">
        <v>117</v>
      </c>
      <c r="K85" s="17"/>
      <c r="L85" s="17"/>
      <c r="M85" s="17"/>
      <c r="N85" s="10" t="str">
        <f>IF(COUNTIFS( $B$2:$B$657, B85, $C$2:$C$657, C85, $D$2:$D$657, D85, $E$2:$E$657, E85) &gt; 1, "Duplicate", "Unique")</f>
        <v>Unique</v>
      </c>
      <c r="O85" s="10"/>
      <c r="P85" s="10"/>
    </row>
    <row r="86" spans="1:16" s="27" customFormat="1" ht="40.75" customHeight="1" thickBot="1" x14ac:dyDescent="0.4">
      <c r="A86" s="46">
        <v>46310.375497685185</v>
      </c>
      <c r="B86" s="2" t="s">
        <v>13</v>
      </c>
      <c r="C86" s="2" t="s">
        <v>7</v>
      </c>
      <c r="D86" s="5">
        <v>10</v>
      </c>
      <c r="E86" s="5">
        <v>1796</v>
      </c>
      <c r="F86" s="4">
        <v>4.7230320700000004</v>
      </c>
      <c r="G86" s="2" t="s">
        <v>90</v>
      </c>
      <c r="H86" s="5">
        <v>1715</v>
      </c>
      <c r="I86" s="1" t="s">
        <v>8</v>
      </c>
      <c r="J86" s="17" t="s">
        <v>116</v>
      </c>
      <c r="K86" s="17" t="s">
        <v>343</v>
      </c>
      <c r="L86" s="17">
        <v>17310</v>
      </c>
      <c r="M86" s="17">
        <f>ABS((D86*E86)-L86)</f>
        <v>650</v>
      </c>
      <c r="N86" s="10" t="str">
        <f>IF(COUNTIFS( $B$2:$B$657, B86, $C$2:$C$657, C86, $D$2:$D$657, D86, $E$2:$E$657, E86) &gt; 1, "Duplicate", "Unique")</f>
        <v>Unique</v>
      </c>
      <c r="O86" s="10"/>
      <c r="P86" s="10"/>
    </row>
    <row r="87" spans="1:16" ht="27.65" customHeight="1" thickBot="1" x14ac:dyDescent="0.4">
      <c r="A87" s="11">
        <v>46273.375</v>
      </c>
      <c r="B87" s="8" t="s">
        <v>50</v>
      </c>
      <c r="C87" s="8" t="s">
        <v>7</v>
      </c>
      <c r="D87" s="8">
        <v>10</v>
      </c>
      <c r="E87" s="8">
        <v>937</v>
      </c>
      <c r="F87" s="4">
        <v>4.8098434000000001</v>
      </c>
      <c r="G87" s="2" t="s">
        <v>51</v>
      </c>
      <c r="H87" s="5">
        <v>894</v>
      </c>
      <c r="I87" s="1" t="s">
        <v>8</v>
      </c>
      <c r="J87" s="17" t="s">
        <v>152</v>
      </c>
      <c r="K87" s="17" t="s">
        <v>247</v>
      </c>
      <c r="L87" s="17">
        <v>9170</v>
      </c>
      <c r="M87" s="25">
        <f>ABS((D87*E87)-L87)</f>
        <v>200</v>
      </c>
      <c r="N87" s="10" t="str">
        <f>IF(COUNTIFS( $B$2:$B$657, B87, $C$2:$C$657, C87, $D$2:$D$657, D87, $E$2:$E$657, E87) &gt; 1, "Duplicate", "Unique")</f>
        <v>Unique</v>
      </c>
      <c r="O87" s="81"/>
    </row>
    <row r="88" spans="1:16" ht="27.65" hidden="1" customHeight="1" thickBot="1" x14ac:dyDescent="0.4">
      <c r="A88" s="6" t="s">
        <v>61</v>
      </c>
      <c r="B88" s="1" t="s">
        <v>48</v>
      </c>
      <c r="C88" s="1" t="s">
        <v>10</v>
      </c>
      <c r="D88" s="4">
        <v>3</v>
      </c>
      <c r="E88" s="4">
        <v>3810</v>
      </c>
      <c r="F88" s="4">
        <v>4.9008810570000003</v>
      </c>
      <c r="G88" s="2" t="s">
        <v>49</v>
      </c>
      <c r="H88" s="5">
        <v>3632</v>
      </c>
      <c r="I88" s="1" t="s">
        <v>8</v>
      </c>
      <c r="J88" s="96"/>
      <c r="K88" s="16"/>
      <c r="L88" s="16"/>
      <c r="M88" s="16"/>
      <c r="N88" t="str">
        <f>IF(COUNTIFS( $B$2:$B$657, B88, $C$2:$C$657, C88, $D$2:$D$657, D88, $E$2:$E$657, E88) &gt; 1, "Duplicate", "Unique")</f>
        <v>Unique</v>
      </c>
    </row>
    <row r="89" spans="1:16" ht="40.75" customHeight="1" thickBot="1" x14ac:dyDescent="0.4">
      <c r="A89" s="3">
        <v>46294.375</v>
      </c>
      <c r="B89" s="2" t="s">
        <v>35</v>
      </c>
      <c r="C89" s="2" t="s">
        <v>7</v>
      </c>
      <c r="D89" s="5">
        <v>5</v>
      </c>
      <c r="E89" s="5">
        <v>1143</v>
      </c>
      <c r="F89" s="4">
        <v>4.9779573839999998</v>
      </c>
      <c r="G89" s="2" t="s">
        <v>64</v>
      </c>
      <c r="H89" s="5">
        <v>1088.8</v>
      </c>
      <c r="I89" s="1" t="s">
        <v>8</v>
      </c>
      <c r="J89" s="17" t="s">
        <v>117</v>
      </c>
      <c r="K89" s="17" t="s">
        <v>295</v>
      </c>
      <c r="L89" s="17">
        <v>5450</v>
      </c>
      <c r="M89" s="17">
        <f>ABS((D89*E89)-L89)</f>
        <v>265</v>
      </c>
      <c r="N89" s="10" t="str">
        <f>IF(COUNTIFS( $B$2:$B$657, B89, $C$2:$C$657, C89, $D$2:$D$657, D89, $E$2:$E$657, E89) &gt; 1, "Duplicate", "Unique")</f>
        <v>Unique</v>
      </c>
    </row>
    <row r="90" spans="1:16" ht="40.75" hidden="1" customHeight="1" thickBot="1" x14ac:dyDescent="0.4">
      <c r="A90" s="3">
        <v>46281.375</v>
      </c>
      <c r="B90" s="1" t="s">
        <v>18</v>
      </c>
      <c r="C90" s="1" t="s">
        <v>7</v>
      </c>
      <c r="D90" s="4">
        <v>10</v>
      </c>
      <c r="E90" s="4">
        <v>1790</v>
      </c>
      <c r="F90" s="4">
        <v>5.2322163430000002</v>
      </c>
      <c r="G90" s="2" t="s">
        <v>101</v>
      </c>
      <c r="H90" s="5">
        <v>1701</v>
      </c>
      <c r="I90" s="1" t="s">
        <v>8</v>
      </c>
      <c r="J90" s="17" t="s">
        <v>116</v>
      </c>
      <c r="K90" s="17" t="s">
        <v>276</v>
      </c>
      <c r="L90" s="17">
        <v>16500</v>
      </c>
      <c r="M90" s="17">
        <f>ABS((D90*E90)-L90)</f>
        <v>1400</v>
      </c>
      <c r="N90" s="10" t="str">
        <f>IF(COUNTIFS( $B$2:$B$657, B90, $C$2:$C$657, C90, $D$2:$D$657, D90, $E$2:$E$657, E90) &gt; 1, "Duplicate", "Unique")</f>
        <v>Unique</v>
      </c>
      <c r="O90" s="36" t="s">
        <v>237</v>
      </c>
    </row>
    <row r="91" spans="1:16" ht="27.65" customHeight="1" thickBot="1" x14ac:dyDescent="0.4">
      <c r="A91" s="3">
        <v>46307.617361111108</v>
      </c>
      <c r="B91" s="1" t="s">
        <v>106</v>
      </c>
      <c r="C91" s="1" t="s">
        <v>7</v>
      </c>
      <c r="D91" s="4">
        <v>1</v>
      </c>
      <c r="E91" s="4">
        <v>7168</v>
      </c>
      <c r="F91" s="4">
        <v>5.1643192490000001</v>
      </c>
      <c r="G91" s="2" t="s">
        <v>107</v>
      </c>
      <c r="H91" s="5">
        <v>6816</v>
      </c>
      <c r="I91" s="1" t="s">
        <v>8</v>
      </c>
      <c r="J91" t="s">
        <v>116</v>
      </c>
      <c r="K91" t="s">
        <v>319</v>
      </c>
      <c r="L91">
        <v>6868</v>
      </c>
      <c r="M91" s="17">
        <f>ABS((D91*E91)-L91)</f>
        <v>300</v>
      </c>
      <c r="N91" s="10" t="str">
        <f>IF(COUNTIFS( $B$2:$B$657, B91, $C$2:$C$657, C91, $D$2:$D$657, D91, $E$2:$E$657, E91) &gt; 1, "Duplicate", "Unique")</f>
        <v>Unique</v>
      </c>
    </row>
    <row r="92" spans="1:16" ht="27.65" hidden="1" customHeight="1" thickBot="1" x14ac:dyDescent="0.4">
      <c r="A92" s="3">
        <v>46252.645138888889</v>
      </c>
      <c r="B92" s="1" t="s">
        <v>67</v>
      </c>
      <c r="C92" s="1" t="s">
        <v>10</v>
      </c>
      <c r="D92" s="4">
        <v>10</v>
      </c>
      <c r="E92" s="4">
        <v>401</v>
      </c>
      <c r="F92" s="4">
        <v>5.4153522609999998</v>
      </c>
      <c r="G92" s="2" t="s">
        <v>68</v>
      </c>
      <c r="H92" s="5">
        <v>380.4</v>
      </c>
      <c r="I92" s="1" t="s">
        <v>8</v>
      </c>
      <c r="J92" s="98" t="s">
        <v>40</v>
      </c>
      <c r="K92" s="16"/>
      <c r="L92" s="16"/>
      <c r="M92" s="16"/>
      <c r="N92" t="str">
        <f>IF(COUNTIFS( $B$2:$B$657, B92, $C$2:$C$657, C92, $D$2:$D$657, D92, $E$2:$E$657, E92) &gt; 1, "Duplicate", "Unique")</f>
        <v>Unique</v>
      </c>
    </row>
    <row r="93" spans="1:16" ht="40.75" hidden="1" customHeight="1" thickBot="1" x14ac:dyDescent="0.4">
      <c r="A93" s="6" t="s">
        <v>61</v>
      </c>
      <c r="B93" s="1" t="s">
        <v>48</v>
      </c>
      <c r="C93" s="1" t="s">
        <v>10</v>
      </c>
      <c r="D93" s="4">
        <v>2</v>
      </c>
      <c r="E93" s="4">
        <v>3830</v>
      </c>
      <c r="F93" s="4">
        <v>5.4515418499999999</v>
      </c>
      <c r="G93" s="2" t="s">
        <v>49</v>
      </c>
      <c r="H93" s="5">
        <v>3632</v>
      </c>
      <c r="I93" s="1" t="s">
        <v>8</v>
      </c>
      <c r="J93" s="96"/>
      <c r="K93" s="16"/>
      <c r="L93" s="16"/>
      <c r="M93" s="16"/>
      <c r="N93" t="str">
        <f>IF(COUNTIFS( $B$2:$B$657, B93, $C$2:$C$657, C93, $D$2:$D$657, D93, $E$2:$E$657, E93) &gt; 1, "Duplicate", "Unique")</f>
        <v>Unique</v>
      </c>
    </row>
    <row r="94" spans="1:16" ht="40.75" customHeight="1" thickBot="1" x14ac:dyDescent="0.4">
      <c r="A94" s="3">
        <v>46267.461111111108</v>
      </c>
      <c r="B94" s="1" t="s">
        <v>14</v>
      </c>
      <c r="C94" s="1" t="s">
        <v>7</v>
      </c>
      <c r="D94" s="4">
        <v>100</v>
      </c>
      <c r="E94" s="4">
        <v>339</v>
      </c>
      <c r="F94" s="4">
        <v>5.7557323350000003</v>
      </c>
      <c r="G94" s="2" t="s">
        <v>44</v>
      </c>
      <c r="H94" s="5">
        <v>320.55</v>
      </c>
      <c r="I94" s="1" t="s">
        <v>8</v>
      </c>
      <c r="J94" s="17" t="s">
        <v>116</v>
      </c>
      <c r="K94" s="17" t="s">
        <v>218</v>
      </c>
      <c r="L94" s="17">
        <v>32900</v>
      </c>
      <c r="M94" s="17">
        <f>ABS((D94*E94)-L94)</f>
        <v>1000</v>
      </c>
      <c r="N94" s="10" t="str">
        <f>IF(COUNTIFS( $B$2:$B$657, B94, $C$2:$C$657, C94, $D$2:$D$657, D94, $E$2:$E$657, E94) &gt; 1, "Duplicate", "Unique")</f>
        <v>Unique</v>
      </c>
    </row>
    <row r="95" spans="1:16" ht="40.75" customHeight="1" thickBot="1" x14ac:dyDescent="0.4">
      <c r="A95" s="78">
        <v>46309</v>
      </c>
      <c r="B95" s="2" t="s">
        <v>32</v>
      </c>
      <c r="C95" s="2" t="s">
        <v>7</v>
      </c>
      <c r="D95" s="5">
        <v>3</v>
      </c>
      <c r="E95" s="5">
        <v>2382</v>
      </c>
      <c r="F95" s="4">
        <v>5.843145968</v>
      </c>
      <c r="G95" s="2" t="s">
        <v>83</v>
      </c>
      <c r="H95" s="5">
        <v>2250.5</v>
      </c>
      <c r="I95" s="1" t="s">
        <v>8</v>
      </c>
      <c r="J95" s="17" t="s">
        <v>116</v>
      </c>
      <c r="K95" s="17" t="s">
        <v>337</v>
      </c>
      <c r="L95" s="17">
        <v>6756</v>
      </c>
      <c r="M95" s="17">
        <f>ABS((D95*E95)-L95)</f>
        <v>390</v>
      </c>
      <c r="N95" s="10" t="str">
        <f>IF(COUNTIFS( $B$2:$B$657, B95, $C$2:$C$657, C95, $D$2:$D$657, D95, $E$2:$E$657, E95) &gt; 1, "Duplicate", "Unique")</f>
        <v>Unique</v>
      </c>
    </row>
    <row r="96" spans="1:16" ht="27.65" customHeight="1" thickBot="1" x14ac:dyDescent="0.4">
      <c r="A96" s="11">
        <v>46273.375</v>
      </c>
      <c r="B96" s="8" t="s">
        <v>50</v>
      </c>
      <c r="C96" s="8" t="s">
        <v>7</v>
      </c>
      <c r="D96" s="8">
        <v>10</v>
      </c>
      <c r="E96" s="8">
        <v>947</v>
      </c>
      <c r="F96" s="4">
        <v>5.9284116329999996</v>
      </c>
      <c r="G96" s="2" t="s">
        <v>51</v>
      </c>
      <c r="H96" s="5">
        <v>894</v>
      </c>
      <c r="I96" s="1" t="s">
        <v>8</v>
      </c>
      <c r="J96" s="17" t="s">
        <v>152</v>
      </c>
      <c r="K96" s="17" t="s">
        <v>247</v>
      </c>
      <c r="L96" s="17">
        <v>9170</v>
      </c>
      <c r="M96" s="25">
        <f>ABS((D96*E96)-L96)</f>
        <v>300</v>
      </c>
      <c r="N96" s="10" t="str">
        <f>IF(COUNTIFS( $B$2:$B$657, B96, $C$2:$C$657, C96, $D$2:$D$657, D96, $E$2:$E$657, E96) &gt; 1, "Duplicate", "Unique")</f>
        <v>Unique</v>
      </c>
    </row>
    <row r="97" spans="1:16" s="27" customFormat="1" ht="27.65" customHeight="1" thickBot="1" x14ac:dyDescent="0.4">
      <c r="A97" s="11">
        <v>46243.375</v>
      </c>
      <c r="B97" s="8" t="s">
        <v>9</v>
      </c>
      <c r="C97" s="8" t="s">
        <v>7</v>
      </c>
      <c r="D97" s="8">
        <v>40</v>
      </c>
      <c r="E97" s="8">
        <v>299</v>
      </c>
      <c r="F97" s="4">
        <v>5.9720007089999996</v>
      </c>
      <c r="G97" s="2" t="s">
        <v>94</v>
      </c>
      <c r="H97" s="5">
        <v>282.14999999999998</v>
      </c>
      <c r="I97" s="1" t="s">
        <v>8</v>
      </c>
      <c r="J97" s="17" t="s">
        <v>116</v>
      </c>
      <c r="K97" s="17" t="s">
        <v>311</v>
      </c>
      <c r="L97" s="17">
        <v>26109.000000000004</v>
      </c>
      <c r="M97" s="17">
        <f>ABS((D97*E97)-L97)</f>
        <v>14149.000000000004</v>
      </c>
      <c r="N97" s="10" t="str">
        <f>IF(COUNTIFS( $B$2:$B$657, B97, $C$2:$C$657, C97, $D$2:$D$657, D97, $E$2:$E$657, E97) &gt; 1, "Duplicate", "Unique")</f>
        <v>Unique</v>
      </c>
      <c r="O97" s="10"/>
      <c r="P97"/>
    </row>
    <row r="98" spans="1:16" ht="40.75" customHeight="1" thickBot="1" x14ac:dyDescent="0.4">
      <c r="A98" s="8" t="s">
        <v>61</v>
      </c>
      <c r="B98" s="8" t="s">
        <v>73</v>
      </c>
      <c r="C98" s="8" t="s">
        <v>7</v>
      </c>
      <c r="D98" s="8">
        <v>5</v>
      </c>
      <c r="E98" s="8">
        <v>3633</v>
      </c>
      <c r="F98" s="4">
        <v>5.9801633609999998</v>
      </c>
      <c r="G98" s="2" t="s">
        <v>74</v>
      </c>
      <c r="H98" s="5">
        <v>3428</v>
      </c>
      <c r="I98" s="1" t="s">
        <v>8</v>
      </c>
      <c r="J98" s="32"/>
      <c r="N98" s="10" t="str">
        <f>IF(COUNTIFS( $B$2:$B$657, B98, $C$2:$C$657, C98, $D$2:$D$657, D98, $E$2:$E$657, E98) &gt; 1, "Duplicate", "Unique")</f>
        <v>Unique</v>
      </c>
    </row>
    <row r="99" spans="1:16" ht="40.75" customHeight="1" thickBot="1" x14ac:dyDescent="0.4">
      <c r="A99" s="3">
        <v>46274.375</v>
      </c>
      <c r="B99" s="1" t="s">
        <v>52</v>
      </c>
      <c r="C99" s="1" t="s">
        <v>7</v>
      </c>
      <c r="D99" s="4">
        <v>2</v>
      </c>
      <c r="E99" s="4">
        <v>2563</v>
      </c>
      <c r="F99" s="4">
        <v>6.1283643889999997</v>
      </c>
      <c r="G99" s="2" t="s">
        <v>53</v>
      </c>
      <c r="H99" s="5">
        <v>2415</v>
      </c>
      <c r="I99" s="1" t="s">
        <v>8</v>
      </c>
      <c r="J99" s="17" t="s">
        <v>117</v>
      </c>
      <c r="K99" s="17" t="s">
        <v>254</v>
      </c>
      <c r="L99" s="17">
        <v>4852</v>
      </c>
      <c r="M99" s="17">
        <f>ABS((D99*E99)-L99)</f>
        <v>274</v>
      </c>
      <c r="N99" s="10" t="str">
        <f>IF(COUNTIFS( $B$2:$B$657, B99, $C$2:$C$657, C99, $D$2:$D$657, D99, $E$2:$E$657, E99) &gt; 1, "Duplicate", "Unique")</f>
        <v>Unique</v>
      </c>
    </row>
    <row r="100" spans="1:16" ht="27.65" hidden="1" customHeight="1" thickBot="1" x14ac:dyDescent="0.4">
      <c r="A100" s="6" t="s">
        <v>61</v>
      </c>
      <c r="B100" s="1" t="s">
        <v>48</v>
      </c>
      <c r="C100" s="1" t="s">
        <v>10</v>
      </c>
      <c r="D100" s="4">
        <v>2</v>
      </c>
      <c r="E100" s="4">
        <v>3856</v>
      </c>
      <c r="F100" s="4">
        <v>6.1674008809999998</v>
      </c>
      <c r="G100" s="2" t="s">
        <v>49</v>
      </c>
      <c r="H100" s="5">
        <v>3632</v>
      </c>
      <c r="I100" s="1" t="s">
        <v>8</v>
      </c>
      <c r="J100" s="33"/>
      <c r="K100" s="16"/>
      <c r="L100" s="16"/>
      <c r="M100" s="16"/>
      <c r="N100" t="str">
        <f>IF(COUNTIFS( $B$2:$B$657, B100, $C$2:$C$657, C100, $D$2:$D$657, D100, $E$2:$E$657, E100) &gt; 1, "Duplicate", "Unique")</f>
        <v>Unique</v>
      </c>
      <c r="O100" s="18"/>
    </row>
    <row r="101" spans="1:16" ht="27.65" customHeight="1" thickBot="1" x14ac:dyDescent="0.4">
      <c r="A101" s="46">
        <v>46303.375</v>
      </c>
      <c r="B101" s="2" t="s">
        <v>88</v>
      </c>
      <c r="C101" s="2" t="s">
        <v>7</v>
      </c>
      <c r="D101" s="5">
        <v>1</v>
      </c>
      <c r="E101" s="5">
        <v>13450</v>
      </c>
      <c r="F101" s="4">
        <v>6.1897994629999999</v>
      </c>
      <c r="G101" s="2" t="s">
        <v>89</v>
      </c>
      <c r="H101" s="5">
        <v>12666</v>
      </c>
      <c r="I101" s="1" t="s">
        <v>8</v>
      </c>
      <c r="J101" s="97" t="s">
        <v>117</v>
      </c>
      <c r="K101" s="17" t="s">
        <v>307</v>
      </c>
      <c r="L101" s="17">
        <v>12800</v>
      </c>
      <c r="M101" s="17">
        <f>ABS((D101*E101)-L101)</f>
        <v>650</v>
      </c>
      <c r="N101" s="10" t="str">
        <f>IF(COUNTIFS( $B$2:$B$657, B101, $C$2:$C$657, C101, $D$2:$D$657, D101, $E$2:$E$657, E101) &gt; 1, "Duplicate", "Unique")</f>
        <v>Unique</v>
      </c>
    </row>
    <row r="102" spans="1:16" s="27" customFormat="1" ht="27.65" customHeight="1" thickBot="1" x14ac:dyDescent="0.4">
      <c r="A102" s="46">
        <v>46310.394895833335</v>
      </c>
      <c r="B102" s="2" t="s">
        <v>12</v>
      </c>
      <c r="C102" s="2" t="s">
        <v>7</v>
      </c>
      <c r="D102" s="5">
        <v>3</v>
      </c>
      <c r="E102" s="5">
        <v>4990</v>
      </c>
      <c r="F102" s="4">
        <v>6.260647359</v>
      </c>
      <c r="G102" s="2" t="s">
        <v>97</v>
      </c>
      <c r="H102" s="5">
        <v>4696</v>
      </c>
      <c r="I102" s="1" t="s">
        <v>8</v>
      </c>
      <c r="J102" s="17" t="s">
        <v>116</v>
      </c>
      <c r="K102" s="17" t="s">
        <v>342</v>
      </c>
      <c r="L102" s="17">
        <v>14310</v>
      </c>
      <c r="M102" s="17">
        <f>ABS((D102*E102)-L102)</f>
        <v>660</v>
      </c>
      <c r="N102" s="10" t="str">
        <f>IF(COUNTIFS( $B$2:$B$657, B102, $C$2:$C$657, C102, $D$2:$D$657, D102, $E$2:$E$657, E102) &gt; 1, "Duplicate", "Unique")</f>
        <v>Unique</v>
      </c>
      <c r="O102" s="10"/>
      <c r="P102" s="10"/>
    </row>
    <row r="103" spans="1:16" ht="27.65" hidden="1" customHeight="1" thickBot="1" x14ac:dyDescent="0.4">
      <c r="A103" s="3">
        <v>46261.375</v>
      </c>
      <c r="B103" s="1" t="s">
        <v>31</v>
      </c>
      <c r="C103" s="1" t="s">
        <v>10</v>
      </c>
      <c r="D103" s="4">
        <v>20</v>
      </c>
      <c r="E103" s="4">
        <v>870</v>
      </c>
      <c r="F103" s="4">
        <v>6.3569682150000002</v>
      </c>
      <c r="G103" s="2" t="s">
        <v>84</v>
      </c>
      <c r="H103" s="5">
        <v>818</v>
      </c>
      <c r="I103" s="1" t="s">
        <v>8</v>
      </c>
      <c r="J103" s="97" t="s">
        <v>40</v>
      </c>
      <c r="K103" s="17" t="s">
        <v>181</v>
      </c>
      <c r="L103" s="17">
        <v>17700</v>
      </c>
      <c r="M103" s="17">
        <f>ABS((D103*E103)-L103)</f>
        <v>300</v>
      </c>
      <c r="N103" s="10" t="str">
        <f>IF(COUNTIFS( $B$2:$B$657, B103, $C$2:$C$657, C103, $D$2:$D$657, D103, $E$2:$E$657, E103) &gt; 1, "Duplicate", "Unique")</f>
        <v>Unique</v>
      </c>
      <c r="P103" s="22"/>
    </row>
    <row r="104" spans="1:16" ht="27.65" customHeight="1" thickBot="1" x14ac:dyDescent="0.4">
      <c r="A104" s="3">
        <v>46267.375</v>
      </c>
      <c r="B104" s="1" t="s">
        <v>14</v>
      </c>
      <c r="C104" s="1" t="s">
        <v>7</v>
      </c>
      <c r="D104" s="4">
        <v>50</v>
      </c>
      <c r="E104" s="4">
        <v>341</v>
      </c>
      <c r="F104" s="4">
        <v>6.3796599589999996</v>
      </c>
      <c r="G104" s="2" t="s">
        <v>44</v>
      </c>
      <c r="H104" s="5">
        <v>320.55</v>
      </c>
      <c r="I104" s="1" t="s">
        <v>8</v>
      </c>
      <c r="J104" s="17" t="s">
        <v>116</v>
      </c>
      <c r="K104" s="17" t="s">
        <v>225</v>
      </c>
      <c r="L104" s="17">
        <v>16755</v>
      </c>
      <c r="M104" s="17">
        <f>ABS((D104*E104)-L104)</f>
        <v>295</v>
      </c>
      <c r="N104" s="10" t="str">
        <f>IF(COUNTIFS( $B$2:$B$657, B104, $C$2:$C$657, C104, $D$2:$D$657, D104, $E$2:$E$657, E104) &gt; 1, "Duplicate", "Unique")</f>
        <v>Unique</v>
      </c>
    </row>
    <row r="105" spans="1:16" ht="27.65" hidden="1" customHeight="1" thickBot="1" x14ac:dyDescent="0.4">
      <c r="A105" s="3">
        <v>46283.375</v>
      </c>
      <c r="B105" s="1" t="s">
        <v>31</v>
      </c>
      <c r="C105" s="1" t="s">
        <v>10</v>
      </c>
      <c r="D105" s="4">
        <v>20</v>
      </c>
      <c r="E105" s="4">
        <v>870.2</v>
      </c>
      <c r="F105" s="4">
        <v>6.3814180929999997</v>
      </c>
      <c r="G105" s="2" t="s">
        <v>84</v>
      </c>
      <c r="H105" s="5">
        <v>818</v>
      </c>
      <c r="I105" s="1" t="s">
        <v>8</v>
      </c>
      <c r="J105" s="97" t="s">
        <v>54</v>
      </c>
      <c r="K105" s="17" t="s">
        <v>279</v>
      </c>
      <c r="L105" s="17">
        <v>17920</v>
      </c>
      <c r="M105" s="17">
        <f>ABS((D105*E105)-L105)</f>
        <v>516</v>
      </c>
      <c r="N105" s="10" t="str">
        <f>IF(COUNTIFS( $B$2:$B$657, B105, $C$2:$C$657, C105, $D$2:$D$657, D105, $E$2:$E$657, E105) &gt; 1, "Duplicate", "Unique")</f>
        <v>Unique</v>
      </c>
    </row>
    <row r="106" spans="1:16" s="23" customFormat="1" ht="40.75" hidden="1" customHeight="1" thickBot="1" x14ac:dyDescent="0.4">
      <c r="A106" s="3">
        <v>46267.375</v>
      </c>
      <c r="B106" s="1" t="s">
        <v>81</v>
      </c>
      <c r="C106" s="1" t="s">
        <v>7</v>
      </c>
      <c r="D106" s="4">
        <v>2</v>
      </c>
      <c r="E106" s="4">
        <v>4290</v>
      </c>
      <c r="F106" s="4">
        <v>6.7164179099999997</v>
      </c>
      <c r="G106" s="2" t="s">
        <v>82</v>
      </c>
      <c r="H106" s="5">
        <v>4020</v>
      </c>
      <c r="I106" s="1" t="s">
        <v>8</v>
      </c>
      <c r="J106" s="17" t="s">
        <v>117</v>
      </c>
      <c r="K106" s="17" t="s">
        <v>222</v>
      </c>
      <c r="L106" s="17">
        <v>8220</v>
      </c>
      <c r="M106" s="17">
        <f>ABS((D106*E106)-L106)</f>
        <v>360</v>
      </c>
      <c r="N106" s="10" t="str">
        <f>IF(COUNTIFS( $B$2:$B$657, B106, $C$2:$C$657, C106, $D$2:$D$657, D106, $E$2:$E$657, E106) &gt; 1, "Duplicate", "Unique")</f>
        <v>Unique</v>
      </c>
      <c r="O106" s="36" t="s">
        <v>237</v>
      </c>
      <c r="P106" s="10"/>
    </row>
    <row r="107" spans="1:16" ht="40.75" customHeight="1" thickBot="1" x14ac:dyDescent="0.4">
      <c r="A107" s="8" t="s">
        <v>61</v>
      </c>
      <c r="B107" s="8" t="s">
        <v>42</v>
      </c>
      <c r="C107" s="8" t="s">
        <v>7</v>
      </c>
      <c r="D107" s="8">
        <v>5</v>
      </c>
      <c r="E107" s="12">
        <v>790</v>
      </c>
      <c r="F107" s="4">
        <v>6.5479803089999997</v>
      </c>
      <c r="G107" s="2" t="s">
        <v>43</v>
      </c>
      <c r="H107" s="5">
        <v>741.45</v>
      </c>
      <c r="I107" s="1" t="s">
        <v>8</v>
      </c>
      <c r="J107" s="32" t="s">
        <v>117</v>
      </c>
      <c r="N107" s="10" t="str">
        <f>IF(COUNTIFS( $B$2:$B$657, B107, $C$2:$C$657, C107, $D$2:$D$657, D107, $E$2:$E$657, E107) &gt; 1, "Duplicate", "Unique")</f>
        <v>Unique</v>
      </c>
    </row>
    <row r="108" spans="1:16" ht="40.75" customHeight="1" thickBot="1" x14ac:dyDescent="0.4">
      <c r="A108" s="11">
        <v>46243.375</v>
      </c>
      <c r="B108" s="8" t="s">
        <v>11</v>
      </c>
      <c r="C108" s="8" t="s">
        <v>7</v>
      </c>
      <c r="D108" s="8">
        <v>20</v>
      </c>
      <c r="E108" s="8">
        <v>296</v>
      </c>
      <c r="F108" s="4">
        <v>7.0137382500000003</v>
      </c>
      <c r="G108" s="2" t="s">
        <v>98</v>
      </c>
      <c r="H108" s="5">
        <v>276.60000000000002</v>
      </c>
      <c r="I108" s="1" t="s">
        <v>8</v>
      </c>
      <c r="J108" s="17" t="s">
        <v>117</v>
      </c>
      <c r="K108" s="17" t="s">
        <v>245</v>
      </c>
      <c r="L108" s="17">
        <v>5620</v>
      </c>
      <c r="M108" s="25">
        <f>ABS((D108*E108)-L108)</f>
        <v>300</v>
      </c>
      <c r="N108" s="10" t="str">
        <f>IF(COUNTIFS( $B$2:$B$657, B108, $C$2:$C$657, C108, $D$2:$D$657, D108, $E$2:$E$657, E108) &gt; 1, "Duplicate", "Unique")</f>
        <v>Unique</v>
      </c>
      <c r="P108" s="23"/>
    </row>
    <row r="109" spans="1:16" s="27" customFormat="1" ht="27.65" customHeight="1" thickBot="1" x14ac:dyDescent="0.4">
      <c r="A109" s="3">
        <v>46267.375</v>
      </c>
      <c r="B109" s="1" t="s">
        <v>50</v>
      </c>
      <c r="C109" s="1" t="s">
        <v>7</v>
      </c>
      <c r="D109" s="4">
        <v>10</v>
      </c>
      <c r="E109" s="4">
        <v>957</v>
      </c>
      <c r="F109" s="4">
        <v>7.046979866</v>
      </c>
      <c r="G109" s="2" t="s">
        <v>51</v>
      </c>
      <c r="H109" s="5">
        <v>894</v>
      </c>
      <c r="I109" s="1" t="s">
        <v>8</v>
      </c>
      <c r="J109" s="17" t="s">
        <v>116</v>
      </c>
      <c r="K109" s="17" t="s">
        <v>226</v>
      </c>
      <c r="L109" s="17">
        <v>9270</v>
      </c>
      <c r="M109" s="17">
        <f>ABS((D109*E109)-L109)</f>
        <v>300</v>
      </c>
      <c r="N109" s="10" t="str">
        <f>IF(COUNTIFS( $B$2:$B$657, B109, $C$2:$C$657, C109, $D$2:$D$657, D109, $E$2:$E$657, E109) &gt; 1, "Duplicate", "Unique")</f>
        <v>Unique</v>
      </c>
      <c r="O109" s="10"/>
      <c r="P109" s="18"/>
    </row>
    <row r="110" spans="1:16" ht="27.65" hidden="1" customHeight="1" thickBot="1" x14ac:dyDescent="0.4">
      <c r="A110" s="3">
        <v>46274.375</v>
      </c>
      <c r="B110" s="1" t="s">
        <v>21</v>
      </c>
      <c r="C110" s="1" t="s">
        <v>7</v>
      </c>
      <c r="D110" s="4">
        <v>5</v>
      </c>
      <c r="E110" s="4">
        <v>730</v>
      </c>
      <c r="F110" s="4">
        <v>7.1638285379999997</v>
      </c>
      <c r="G110" s="2" t="s">
        <v>75</v>
      </c>
      <c r="H110" s="5">
        <v>681.2</v>
      </c>
      <c r="I110" s="1" t="s">
        <v>8</v>
      </c>
      <c r="J110" s="17" t="s">
        <v>117</v>
      </c>
      <c r="K110" s="17" t="s">
        <v>252</v>
      </c>
      <c r="L110" s="17">
        <v>3400</v>
      </c>
      <c r="M110" s="17">
        <f>ABS((D110*E110)-L110)</f>
        <v>250</v>
      </c>
      <c r="N110" s="10" t="str">
        <f>IF(COUNTIFS( $B$2:$B$657, B110, $C$2:$C$657, C110, $D$2:$D$657, D110, $E$2:$E$657, E110) &gt; 1, "Duplicate", "Unique")</f>
        <v>Unique</v>
      </c>
      <c r="O110" s="36" t="s">
        <v>237</v>
      </c>
    </row>
    <row r="111" spans="1:16" ht="40.75" hidden="1" customHeight="1" thickBot="1" x14ac:dyDescent="0.4">
      <c r="A111" s="6" t="s">
        <v>61</v>
      </c>
      <c r="B111" s="1" t="s">
        <v>48</v>
      </c>
      <c r="C111" s="1" t="s">
        <v>10</v>
      </c>
      <c r="D111" s="4">
        <v>5</v>
      </c>
      <c r="E111" s="4">
        <v>3888</v>
      </c>
      <c r="F111" s="4">
        <v>7.0484581500000001</v>
      </c>
      <c r="G111" s="2" t="s">
        <v>49</v>
      </c>
      <c r="H111" s="5">
        <v>3632</v>
      </c>
      <c r="I111" s="1" t="s">
        <v>8</v>
      </c>
      <c r="J111" s="96"/>
      <c r="K111" s="16"/>
      <c r="L111" s="16"/>
      <c r="M111" s="16"/>
      <c r="N111" t="str">
        <f>IF(COUNTIFS( $B$2:$B$657, B111, $C$2:$C$657, C111, $D$2:$D$657, D111, $E$2:$E$657, E111) &gt; 1, "Duplicate", "Unique")</f>
        <v>Unique</v>
      </c>
      <c r="O111" s="23"/>
    </row>
    <row r="112" spans="1:16" ht="27.65" hidden="1" customHeight="1" thickBot="1" x14ac:dyDescent="0.4">
      <c r="A112" s="6" t="s">
        <v>61</v>
      </c>
      <c r="B112" s="1" t="s">
        <v>19</v>
      </c>
      <c r="C112" s="1" t="s">
        <v>10</v>
      </c>
      <c r="D112" s="4">
        <v>50</v>
      </c>
      <c r="E112" s="4">
        <v>212</v>
      </c>
      <c r="F112" s="4">
        <v>7.2331815879999999</v>
      </c>
      <c r="G112" s="2" t="s">
        <v>39</v>
      </c>
      <c r="H112" s="5">
        <v>197.7</v>
      </c>
      <c r="I112" s="1" t="s">
        <v>8</v>
      </c>
      <c r="J112" s="96" t="s">
        <v>40</v>
      </c>
      <c r="K112" s="16"/>
      <c r="L112" s="16"/>
      <c r="M112" s="16"/>
      <c r="N112" t="str">
        <f>IF(COUNTIFS( $B$2:$B$657, B112, $C$2:$C$657, C112, $D$2:$D$657, D112, $E$2:$E$657, E112) &gt; 1, "Duplicate", "Unique")</f>
        <v>Unique</v>
      </c>
    </row>
    <row r="113" spans="1:16" s="22" customFormat="1" ht="40.75" customHeight="1" thickBot="1" x14ac:dyDescent="0.4">
      <c r="A113" s="3">
        <v>46267.38958333333</v>
      </c>
      <c r="B113" s="1" t="s">
        <v>14</v>
      </c>
      <c r="C113" s="1" t="s">
        <v>7</v>
      </c>
      <c r="D113" s="4">
        <v>100</v>
      </c>
      <c r="E113" s="4">
        <v>344</v>
      </c>
      <c r="F113" s="4">
        <v>7.315551396</v>
      </c>
      <c r="G113" s="2" t="s">
        <v>44</v>
      </c>
      <c r="H113" s="5">
        <v>320.55</v>
      </c>
      <c r="I113" s="1" t="s">
        <v>8</v>
      </c>
      <c r="J113" s="17" t="s">
        <v>116</v>
      </c>
      <c r="K113" s="17" t="s">
        <v>220</v>
      </c>
      <c r="L113" s="17">
        <v>33200</v>
      </c>
      <c r="M113" s="17">
        <f>ABS((D113*E113)-L113)</f>
        <v>1200</v>
      </c>
      <c r="N113" s="10" t="str">
        <f>IF(COUNTIFS( $B$2:$B$657, B113, $C$2:$C$657, C113, $D$2:$D$657, D113, $E$2:$E$657, E113) &gt; 1, "Duplicate", "Unique")</f>
        <v>Unique</v>
      </c>
      <c r="O113" s="10"/>
      <c r="P113" s="10"/>
    </row>
    <row r="114" spans="1:16" s="27" customFormat="1" ht="27.65" hidden="1" customHeight="1" thickBot="1" x14ac:dyDescent="0.4">
      <c r="A114" s="11">
        <v>46243.375</v>
      </c>
      <c r="B114" s="8" t="s">
        <v>13</v>
      </c>
      <c r="C114" s="8" t="s">
        <v>7</v>
      </c>
      <c r="D114" s="8">
        <v>5</v>
      </c>
      <c r="E114" s="8">
        <v>1844</v>
      </c>
      <c r="F114" s="4">
        <v>7.5218658889999999</v>
      </c>
      <c r="G114" s="2" t="s">
        <v>90</v>
      </c>
      <c r="H114" s="5">
        <v>1715</v>
      </c>
      <c r="I114" s="1" t="s">
        <v>8</v>
      </c>
      <c r="J114" s="17" t="s">
        <v>117</v>
      </c>
      <c r="K114" s="17" t="s">
        <v>246</v>
      </c>
      <c r="L114" s="17">
        <v>8570</v>
      </c>
      <c r="M114" s="25">
        <f>ABS((D114*E114)-L114)</f>
        <v>650</v>
      </c>
      <c r="N114" s="10" t="str">
        <f>IF(COUNTIFS( $B$2:$B$657, B114, $C$2:$C$657, C114, $D$2:$D$657, D114, $E$2:$E$657, E114) &gt; 1, "Duplicate", "Unique")</f>
        <v>Unique</v>
      </c>
      <c r="O114" s="36" t="s">
        <v>237</v>
      </c>
      <c r="P114" s="10"/>
    </row>
    <row r="115" spans="1:16" s="27" customFormat="1" ht="40.75" hidden="1" customHeight="1" thickBot="1" x14ac:dyDescent="0.4">
      <c r="A115" s="46">
        <v>46296.443055555559</v>
      </c>
      <c r="B115" s="2" t="s">
        <v>15</v>
      </c>
      <c r="C115" s="2" t="s">
        <v>7</v>
      </c>
      <c r="D115" s="5">
        <v>5</v>
      </c>
      <c r="E115" s="5">
        <v>2276</v>
      </c>
      <c r="F115" s="4">
        <v>7.9184447609999999</v>
      </c>
      <c r="G115" s="2" t="s">
        <v>71</v>
      </c>
      <c r="H115" s="5">
        <v>2109</v>
      </c>
      <c r="I115" s="1" t="s">
        <v>8</v>
      </c>
      <c r="J115" s="17" t="s">
        <v>117</v>
      </c>
      <c r="K115" s="17" t="s">
        <v>299</v>
      </c>
      <c r="L115" s="17">
        <v>10725.5</v>
      </c>
      <c r="M115" s="17">
        <f>ABS((D115*E115)-L115)</f>
        <v>654.5</v>
      </c>
      <c r="N115" s="10" t="str">
        <f>IF(COUNTIFS( $B$2:$B$657, B115, $C$2:$C$657, C115, $D$2:$D$657, D115, $E$2:$E$657, E115) &gt; 1, "Duplicate", "Unique")</f>
        <v>Unique</v>
      </c>
      <c r="O115" s="36" t="s">
        <v>237</v>
      </c>
      <c r="P115" s="10"/>
    </row>
    <row r="116" spans="1:16" ht="27.65" customHeight="1" thickBot="1" x14ac:dyDescent="0.4">
      <c r="A116" s="3">
        <v>46280.435416666667</v>
      </c>
      <c r="B116" s="1" t="s">
        <v>67</v>
      </c>
      <c r="C116" s="1" t="s">
        <v>7</v>
      </c>
      <c r="D116" s="4">
        <v>50</v>
      </c>
      <c r="E116" s="4">
        <v>409</v>
      </c>
      <c r="F116" s="4">
        <v>7.5184016820000004</v>
      </c>
      <c r="G116" s="2" t="s">
        <v>68</v>
      </c>
      <c r="H116" s="5">
        <v>380.4</v>
      </c>
      <c r="I116" s="1" t="s">
        <v>8</v>
      </c>
      <c r="J116" s="17" t="s">
        <v>116</v>
      </c>
      <c r="K116" s="17" t="s">
        <v>270</v>
      </c>
      <c r="L116" s="17">
        <v>39300</v>
      </c>
      <c r="M116" s="17">
        <f>ABS((D116*E116)-L116)</f>
        <v>18850</v>
      </c>
      <c r="N116" s="10" t="str">
        <f>IF(COUNTIFS( $B$2:$B$657, B116, $C$2:$C$657, C116, $D$2:$D$657, D116, $E$2:$E$657, E116) &gt; 1, "Duplicate", "Unique")</f>
        <v>Unique</v>
      </c>
    </row>
    <row r="117" spans="1:16" ht="27.65" customHeight="1" thickBot="1" x14ac:dyDescent="0.4">
      <c r="A117" s="46">
        <v>46304.375</v>
      </c>
      <c r="B117" s="2" t="s">
        <v>31</v>
      </c>
      <c r="C117" s="2" t="s">
        <v>7</v>
      </c>
      <c r="D117" s="5">
        <v>20</v>
      </c>
      <c r="E117" s="5">
        <v>883.5</v>
      </c>
      <c r="F117" s="4">
        <v>8.0073349629999999</v>
      </c>
      <c r="G117" s="2" t="s">
        <v>84</v>
      </c>
      <c r="H117" s="5">
        <v>818</v>
      </c>
      <c r="I117" s="1" t="s">
        <v>8</v>
      </c>
      <c r="J117" s="17" t="s">
        <v>117</v>
      </c>
      <c r="K117" s="17" t="s">
        <v>314</v>
      </c>
      <c r="L117" s="17">
        <v>17020</v>
      </c>
      <c r="M117" s="17">
        <f>ABS((D117*E117)-L117)</f>
        <v>650</v>
      </c>
      <c r="N117" t="str">
        <f>IF(COUNTIFS( $B$2:$B$657, B117, $C$2:$C$657, C117, $D$2:$D$657, D117, $E$2:$E$657, E117) &gt; 1, "Duplicate", "Unique")</f>
        <v>Unique</v>
      </c>
    </row>
    <row r="118" spans="1:16" ht="27.65" customHeight="1" thickBot="1" x14ac:dyDescent="0.4">
      <c r="A118" s="11">
        <v>46252.6875</v>
      </c>
      <c r="B118" s="8" t="s">
        <v>9</v>
      </c>
      <c r="C118" s="8" t="s">
        <v>7</v>
      </c>
      <c r="D118" s="8">
        <v>50</v>
      </c>
      <c r="E118" s="8">
        <v>305</v>
      </c>
      <c r="F118" s="4">
        <v>8.0985291509999993</v>
      </c>
      <c r="G118" s="2" t="s">
        <v>94</v>
      </c>
      <c r="H118" s="5">
        <v>282.14999999999998</v>
      </c>
      <c r="I118" s="1" t="s">
        <v>8</v>
      </c>
      <c r="J118" s="32" t="s">
        <v>117</v>
      </c>
      <c r="N118" s="10" t="str">
        <f>IF(COUNTIFS( $B$2:$B$657, B118, $C$2:$C$657, C118, $D$2:$D$657, D118, $E$2:$E$657, E118) &gt; 1, "Duplicate", "Unique")</f>
        <v>Unique</v>
      </c>
    </row>
    <row r="119" spans="1:16" ht="40.75" customHeight="1" thickBot="1" x14ac:dyDescent="0.4">
      <c r="A119" s="8" t="s">
        <v>61</v>
      </c>
      <c r="B119" s="8" t="s">
        <v>73</v>
      </c>
      <c r="C119" s="8" t="s">
        <v>7</v>
      </c>
      <c r="D119" s="8">
        <v>1</v>
      </c>
      <c r="E119" s="8">
        <v>3710</v>
      </c>
      <c r="F119" s="4">
        <v>8.2263710620000001</v>
      </c>
      <c r="G119" s="2" t="s">
        <v>74</v>
      </c>
      <c r="H119" s="5">
        <v>3428</v>
      </c>
      <c r="I119" s="1" t="s">
        <v>8</v>
      </c>
      <c r="J119" s="32" t="s">
        <v>117</v>
      </c>
      <c r="N119" s="10" t="str">
        <f>IF(COUNTIFS( $B$2:$B$657, B119, $C$2:$C$657, C119, $D$2:$D$657, D119, $E$2:$E$657, E119) &gt; 1, "Duplicate", "Unique")</f>
        <v>Unique</v>
      </c>
    </row>
    <row r="120" spans="1:16" ht="27.65" hidden="1" customHeight="1" thickBot="1" x14ac:dyDescent="0.4">
      <c r="A120" s="3">
        <v>46272.375694444447</v>
      </c>
      <c r="B120" s="1" t="s">
        <v>24</v>
      </c>
      <c r="C120" s="1" t="s">
        <v>7</v>
      </c>
      <c r="D120" s="4">
        <v>40</v>
      </c>
      <c r="E120" s="4">
        <v>448</v>
      </c>
      <c r="F120" s="4">
        <v>8.2648622520000004</v>
      </c>
      <c r="G120" s="2" t="s">
        <v>55</v>
      </c>
      <c r="H120" s="5">
        <v>413.8</v>
      </c>
      <c r="I120" s="1" t="s">
        <v>8</v>
      </c>
      <c r="J120" s="17" t="s">
        <v>116</v>
      </c>
      <c r="K120" s="17" t="s">
        <v>242</v>
      </c>
      <c r="L120" s="17">
        <v>17040</v>
      </c>
      <c r="M120" s="17">
        <f>ABS((D120*E120)-L120)</f>
        <v>880</v>
      </c>
      <c r="N120" s="10" t="str">
        <f>IF(COUNTIFS( $B$2:$B$657, B120, $C$2:$C$657, C120, $D$2:$D$657, D120, $E$2:$E$657, E120) &gt; 1, "Duplicate", "Unique")</f>
        <v>Unique</v>
      </c>
      <c r="O120" s="36" t="s">
        <v>237</v>
      </c>
    </row>
    <row r="121" spans="1:16" ht="27.65" hidden="1" customHeight="1" thickBot="1" x14ac:dyDescent="0.4">
      <c r="A121" s="3">
        <v>46287.375</v>
      </c>
      <c r="B121" s="1" t="s">
        <v>17</v>
      </c>
      <c r="C121" s="1" t="s">
        <v>7</v>
      </c>
      <c r="D121" s="4">
        <v>25</v>
      </c>
      <c r="E121" s="4">
        <v>348</v>
      </c>
      <c r="F121" s="4">
        <v>8.2762912259999997</v>
      </c>
      <c r="G121" s="2" t="s">
        <v>76</v>
      </c>
      <c r="H121" s="5">
        <v>321.39999999999998</v>
      </c>
      <c r="I121" s="1" t="s">
        <v>8</v>
      </c>
      <c r="J121" s="17" t="s">
        <v>116</v>
      </c>
      <c r="K121" s="17" t="s">
        <v>283</v>
      </c>
      <c r="L121" s="17">
        <v>8400</v>
      </c>
      <c r="M121" s="17">
        <f>ABS((D121*E121)-L121)</f>
        <v>300</v>
      </c>
      <c r="N121" s="10" t="str">
        <f>IF(COUNTIFS( $B$2:$B$657, B121, $C$2:$C$657, C121, $D$2:$D$657, D121, $E$2:$E$657, E121) &gt; 1, "Duplicate", "Unique")</f>
        <v>Unique</v>
      </c>
      <c r="O121" s="36" t="s">
        <v>237</v>
      </c>
    </row>
    <row r="122" spans="1:16" ht="27.65" hidden="1" customHeight="1" thickBot="1" x14ac:dyDescent="0.4">
      <c r="A122" s="3">
        <v>46268.385416666664</v>
      </c>
      <c r="B122" s="1" t="s">
        <v>19</v>
      </c>
      <c r="C122" s="1" t="s">
        <v>10</v>
      </c>
      <c r="D122" s="4">
        <v>100</v>
      </c>
      <c r="E122" s="4">
        <v>214</v>
      </c>
      <c r="F122" s="4">
        <v>8.2448153770000001</v>
      </c>
      <c r="G122" s="2" t="s">
        <v>39</v>
      </c>
      <c r="H122" s="5">
        <v>197.7</v>
      </c>
      <c r="I122" s="1" t="s">
        <v>8</v>
      </c>
      <c r="J122" s="97" t="s">
        <v>54</v>
      </c>
      <c r="K122" s="17" t="s">
        <v>230</v>
      </c>
      <c r="L122" s="17">
        <v>21900</v>
      </c>
      <c r="M122" s="17">
        <f>ABS((D122*E122)-L122)</f>
        <v>500</v>
      </c>
      <c r="N122" s="10" t="str">
        <f>IF(COUNTIFS( $B$2:$B$657, B122, $C$2:$C$657, C122, $D$2:$D$657, D122, $E$2:$E$657, E122) &gt; 1, "Duplicate", "Unique")</f>
        <v>Unique</v>
      </c>
    </row>
    <row r="123" spans="1:16" ht="27.65" customHeight="1" thickBot="1" x14ac:dyDescent="0.4">
      <c r="A123" s="3">
        <v>46262.375</v>
      </c>
      <c r="B123" s="1" t="s">
        <v>81</v>
      </c>
      <c r="C123" s="1" t="s">
        <v>7</v>
      </c>
      <c r="D123" s="4">
        <v>2</v>
      </c>
      <c r="E123" s="4">
        <v>4360</v>
      </c>
      <c r="F123" s="4">
        <v>8.4577114430000009</v>
      </c>
      <c r="G123" s="2" t="s">
        <v>82</v>
      </c>
      <c r="H123" s="5">
        <v>4020</v>
      </c>
      <c r="I123" s="1" t="s">
        <v>8</v>
      </c>
      <c r="J123" s="17" t="s">
        <v>117</v>
      </c>
      <c r="K123" s="17" t="s">
        <v>183</v>
      </c>
      <c r="L123" s="17">
        <v>8420</v>
      </c>
      <c r="M123" s="17">
        <f>ABS((D123*E123)-L123)</f>
        <v>300</v>
      </c>
      <c r="N123" s="10" t="str">
        <f>IF(COUNTIFS( $B$2:$B$657, B123, $C$2:$C$657, C123, $D$2:$D$657, D123, $E$2:$E$657, E123) &gt; 1, "Duplicate", "Unique")</f>
        <v>Unique</v>
      </c>
    </row>
    <row r="124" spans="1:16" ht="40.75" customHeight="1" thickBot="1" x14ac:dyDescent="0.4">
      <c r="A124" s="3">
        <v>46266.642361111109</v>
      </c>
      <c r="B124" s="1" t="s">
        <v>14</v>
      </c>
      <c r="C124" s="1" t="s">
        <v>7</v>
      </c>
      <c r="D124" s="4">
        <v>100</v>
      </c>
      <c r="E124" s="4">
        <v>348</v>
      </c>
      <c r="F124" s="4">
        <v>8.5634066450000006</v>
      </c>
      <c r="G124" s="2" t="s">
        <v>44</v>
      </c>
      <c r="H124" s="5">
        <v>320.55</v>
      </c>
      <c r="I124" s="1" t="s">
        <v>8</v>
      </c>
      <c r="J124" s="17" t="s">
        <v>116</v>
      </c>
      <c r="K124" s="17" t="s">
        <v>214</v>
      </c>
      <c r="L124" s="17">
        <v>33950</v>
      </c>
      <c r="M124" s="17">
        <f>ABS((D124*E124)-L124)</f>
        <v>850</v>
      </c>
      <c r="N124" s="10" t="str">
        <f>IF(COUNTIFS( $B$2:$B$657, B124, $C$2:$C$657, C124, $D$2:$D$657, D124, $E$2:$E$657, E124) &gt; 1, "Duplicate", "Unique")</f>
        <v>Unique</v>
      </c>
    </row>
    <row r="125" spans="1:16" s="27" customFormat="1" ht="27.65" customHeight="1" thickBot="1" x14ac:dyDescent="0.4">
      <c r="A125" s="28">
        <v>46265.375694444447</v>
      </c>
      <c r="B125" s="29" t="s">
        <v>52</v>
      </c>
      <c r="C125" s="29" t="s">
        <v>7</v>
      </c>
      <c r="D125" s="30">
        <v>3</v>
      </c>
      <c r="E125" s="30">
        <v>2624</v>
      </c>
      <c r="F125" s="4">
        <v>8.6542443060000007</v>
      </c>
      <c r="G125" s="2" t="s">
        <v>53</v>
      </c>
      <c r="H125" s="5">
        <v>2415</v>
      </c>
      <c r="I125" s="1" t="s">
        <v>8</v>
      </c>
      <c r="J125" s="25" t="s">
        <v>117</v>
      </c>
      <c r="K125" s="25" t="s">
        <v>195</v>
      </c>
      <c r="L125" s="25">
        <v>7578</v>
      </c>
      <c r="M125" s="25">
        <f>ABS((D125*E125)-L125)</f>
        <v>294</v>
      </c>
      <c r="N125" s="26" t="str">
        <f>IF(COUNTIFS( $B$2:$B$657, B125, $C$2:$C$657, C125, $D$2:$D$657, D125, $E$2:$E$657, E125) &gt; 1, "Duplicate", "Unique")</f>
        <v>Duplicate</v>
      </c>
      <c r="O125" s="10"/>
      <c r="P125" s="10"/>
    </row>
    <row r="126" spans="1:16" s="27" customFormat="1" ht="40.75" customHeight="1" thickBot="1" x14ac:dyDescent="0.4">
      <c r="A126" s="28">
        <v>46266.375694444447</v>
      </c>
      <c r="B126" s="29" t="s">
        <v>52</v>
      </c>
      <c r="C126" s="29" t="s">
        <v>7</v>
      </c>
      <c r="D126" s="30">
        <v>3</v>
      </c>
      <c r="E126" s="30">
        <v>2624</v>
      </c>
      <c r="F126" s="4">
        <v>8.6542443060000007</v>
      </c>
      <c r="G126" s="2" t="s">
        <v>53</v>
      </c>
      <c r="H126" s="5">
        <v>2415</v>
      </c>
      <c r="I126" s="1" t="s">
        <v>8</v>
      </c>
      <c r="J126" s="25" t="s">
        <v>117</v>
      </c>
      <c r="K126" s="25" t="s">
        <v>209</v>
      </c>
      <c r="L126" s="25">
        <v>7578</v>
      </c>
      <c r="M126" s="25">
        <f>ABS((D126*E126)-L126)</f>
        <v>294</v>
      </c>
      <c r="N126" s="27" t="str">
        <f>IF(COUNTIFS( $B$2:$B$657, B126, $C$2:$C$657, C126, $D$2:$D$657, D126, $E$2:$E$657, E126) &gt; 1, "Duplicate", "Unique")</f>
        <v>Duplicate</v>
      </c>
      <c r="O126" s="10"/>
      <c r="P126" s="10"/>
    </row>
    <row r="127" spans="1:16" ht="40.75" customHeight="1" thickBot="1" x14ac:dyDescent="0.4">
      <c r="A127" s="28">
        <v>46267.424305555556</v>
      </c>
      <c r="B127" s="29" t="s">
        <v>52</v>
      </c>
      <c r="C127" s="29" t="s">
        <v>7</v>
      </c>
      <c r="D127" s="30">
        <v>2</v>
      </c>
      <c r="E127" s="30">
        <v>2624</v>
      </c>
      <c r="F127" s="4">
        <v>8.6542443060000007</v>
      </c>
      <c r="G127" s="2" t="s">
        <v>53</v>
      </c>
      <c r="H127" s="5">
        <v>2415</v>
      </c>
      <c r="I127" s="1" t="s">
        <v>8</v>
      </c>
      <c r="J127" s="25" t="s">
        <v>117</v>
      </c>
      <c r="K127" s="25" t="s">
        <v>219</v>
      </c>
      <c r="L127" s="25">
        <v>4968</v>
      </c>
      <c r="M127" s="25">
        <f>ABS((D127*E127)-L127)</f>
        <v>280</v>
      </c>
      <c r="N127" s="27" t="str">
        <f>IF(COUNTIFS( $B$2:$B$657, B127, $C$2:$C$657, C127, $D$2:$D$657, D127, $E$2:$E$657, E127) &gt; 1, "Duplicate", "Unique")</f>
        <v>Unique</v>
      </c>
      <c r="O127" s="27"/>
      <c r="P127" s="27"/>
    </row>
    <row r="128" spans="1:16" ht="27.65" customHeight="1" thickBot="1" x14ac:dyDescent="0.4">
      <c r="A128" s="3">
        <v>46301.375</v>
      </c>
      <c r="B128" s="1" t="s">
        <v>32</v>
      </c>
      <c r="C128" s="1" t="s">
        <v>7</v>
      </c>
      <c r="D128" s="4">
        <v>3</v>
      </c>
      <c r="E128" s="4">
        <v>2448</v>
      </c>
      <c r="F128" s="4">
        <v>8.7758275940000008</v>
      </c>
      <c r="G128" s="2" t="s">
        <v>83</v>
      </c>
      <c r="H128" s="5">
        <v>2250.5</v>
      </c>
      <c r="I128" s="1" t="s">
        <v>8</v>
      </c>
      <c r="J128" s="17" t="s">
        <v>117</v>
      </c>
      <c r="K128" s="17" t="s">
        <v>302</v>
      </c>
      <c r="L128" s="17">
        <f>3*2300</f>
        <v>6900</v>
      </c>
      <c r="M128" s="17">
        <f>ABS((D128*E128)-L128)</f>
        <v>444</v>
      </c>
      <c r="N128" t="str">
        <f>IF(COUNTIFS( $B$2:$B$657, B128, $C$2:$C$657, C128, $D$2:$D$657, D128, $E$2:$E$657, E128) &gt; 1, "Duplicate", "Unique")</f>
        <v>Unique</v>
      </c>
    </row>
    <row r="129" spans="1:16" ht="27.65" customHeight="1" thickBot="1" x14ac:dyDescent="0.4">
      <c r="A129" s="3">
        <v>46261.375</v>
      </c>
      <c r="B129" s="1" t="s">
        <v>14</v>
      </c>
      <c r="C129" s="1" t="s">
        <v>7</v>
      </c>
      <c r="D129" s="4">
        <v>50</v>
      </c>
      <c r="E129" s="4">
        <v>349</v>
      </c>
      <c r="F129" s="4">
        <v>8.8753704570000007</v>
      </c>
      <c r="G129" s="2" t="s">
        <v>44</v>
      </c>
      <c r="H129" s="5">
        <v>320.55</v>
      </c>
      <c r="I129" s="1" t="s">
        <v>8</v>
      </c>
      <c r="J129" s="17" t="s">
        <v>116</v>
      </c>
      <c r="K129" s="17" t="s">
        <v>178</v>
      </c>
      <c r="L129" s="17">
        <v>17150</v>
      </c>
      <c r="M129" s="17">
        <f>ABS((D129*E129)-L129)</f>
        <v>300</v>
      </c>
      <c r="N129" s="10" t="str">
        <f>IF(COUNTIFS( $B$2:$B$657, B129, $C$2:$C$657, C129, $D$2:$D$657, D129, $E$2:$E$657, E129) &gt; 1, "Duplicate", "Unique")</f>
        <v>Unique</v>
      </c>
    </row>
    <row r="130" spans="1:16" ht="27.65" customHeight="1" thickBot="1" x14ac:dyDescent="0.4">
      <c r="A130" s="46">
        <v>46304.375</v>
      </c>
      <c r="B130" s="2" t="s">
        <v>23</v>
      </c>
      <c r="C130" s="2" t="s">
        <v>7</v>
      </c>
      <c r="D130" s="5">
        <v>50</v>
      </c>
      <c r="E130" s="5">
        <v>201</v>
      </c>
      <c r="F130" s="4">
        <v>8.9135735569999994</v>
      </c>
      <c r="G130" s="2" t="s">
        <v>69</v>
      </c>
      <c r="H130" s="5">
        <v>184.55</v>
      </c>
      <c r="I130" s="1" t="s">
        <v>8</v>
      </c>
      <c r="J130" s="17" t="s">
        <v>117</v>
      </c>
      <c r="K130" s="17" t="s">
        <v>313</v>
      </c>
      <c r="L130" s="17">
        <v>9393.5</v>
      </c>
      <c r="M130" s="17">
        <f>ABS((D130*E130)-L130)</f>
        <v>656.5</v>
      </c>
      <c r="N130" t="str">
        <f>IF(COUNTIFS( $B$2:$B$657, B130, $C$2:$C$657, C130, $D$2:$D$657, D130, $E$2:$E$657, E130) &gt; 1, "Duplicate", "Unique")</f>
        <v>Unique</v>
      </c>
    </row>
    <row r="131" spans="1:16" ht="27.65" hidden="1" customHeight="1" thickBot="1" x14ac:dyDescent="0.4">
      <c r="A131" s="3">
        <v>46272.375694444447</v>
      </c>
      <c r="B131" s="1" t="s">
        <v>62</v>
      </c>
      <c r="C131" s="1" t="s">
        <v>7</v>
      </c>
      <c r="D131" s="4">
        <v>15</v>
      </c>
      <c r="E131" s="4">
        <v>1048</v>
      </c>
      <c r="F131" s="4">
        <v>9.1666666669999994</v>
      </c>
      <c r="G131" s="2" t="s">
        <v>63</v>
      </c>
      <c r="H131" s="5">
        <v>960</v>
      </c>
      <c r="I131" s="1" t="s">
        <v>8</v>
      </c>
      <c r="J131" s="17" t="s">
        <v>116</v>
      </c>
      <c r="K131" s="17" t="s">
        <v>241</v>
      </c>
      <c r="L131" s="17">
        <v>15075</v>
      </c>
      <c r="M131" s="17">
        <f>ABS((D131*E131)-L131)</f>
        <v>645</v>
      </c>
      <c r="N131" s="10" t="str">
        <f>IF(COUNTIFS( $B$2:$B$657, B131, $C$2:$C$657, C131, $D$2:$D$657, D131, $E$2:$E$657, E131) &gt; 1, "Duplicate", "Unique")</f>
        <v>Unique</v>
      </c>
      <c r="O131" s="36" t="s">
        <v>237</v>
      </c>
    </row>
    <row r="132" spans="1:16" ht="40.75" hidden="1" customHeight="1" thickBot="1" x14ac:dyDescent="0.4">
      <c r="A132" s="46">
        <v>46289.390277777777</v>
      </c>
      <c r="B132" s="2" t="s">
        <v>58</v>
      </c>
      <c r="C132" s="2" t="s">
        <v>7</v>
      </c>
      <c r="D132" s="5">
        <v>10</v>
      </c>
      <c r="E132" s="5">
        <v>1054</v>
      </c>
      <c r="F132" s="4">
        <v>9.1945091950000002</v>
      </c>
      <c r="G132" s="2" t="s">
        <v>59</v>
      </c>
      <c r="H132" s="5">
        <v>965.25</v>
      </c>
      <c r="I132" s="1" t="s">
        <v>8</v>
      </c>
      <c r="J132" s="17" t="s">
        <v>117</v>
      </c>
      <c r="K132" s="17" t="s">
        <v>284</v>
      </c>
      <c r="L132" s="17">
        <v>9886</v>
      </c>
      <c r="M132" s="17">
        <f>ABS((D132*E132)-L132)</f>
        <v>654</v>
      </c>
      <c r="N132" s="10" t="str">
        <f>IF(COUNTIFS( $B$2:$B$657, B132, $C$2:$C$657, C132, $D$2:$D$657, D132, $E$2:$E$657, E132) &gt; 1, "Duplicate", "Unique")</f>
        <v>Unique</v>
      </c>
      <c r="O132" s="36" t="s">
        <v>237</v>
      </c>
    </row>
    <row r="133" spans="1:16" ht="27.65" customHeight="1" thickBot="1" x14ac:dyDescent="0.4">
      <c r="A133" s="3">
        <v>46261.375694444447</v>
      </c>
      <c r="B133" s="1" t="s">
        <v>50</v>
      </c>
      <c r="C133" s="1" t="s">
        <v>7</v>
      </c>
      <c r="D133" s="4">
        <v>10</v>
      </c>
      <c r="E133" s="4">
        <v>977</v>
      </c>
      <c r="F133" s="4">
        <v>9.2841163309999999</v>
      </c>
      <c r="G133" s="2" t="s">
        <v>51</v>
      </c>
      <c r="H133" s="5">
        <v>894</v>
      </c>
      <c r="I133" s="1" t="s">
        <v>8</v>
      </c>
      <c r="J133" s="17" t="s">
        <v>116</v>
      </c>
      <c r="K133" s="17" t="s">
        <v>172</v>
      </c>
      <c r="L133" s="17">
        <v>9470</v>
      </c>
      <c r="M133" s="17">
        <f>ABS((D133*E133)-L133)</f>
        <v>300</v>
      </c>
      <c r="N133" s="10" t="str">
        <f>IF(COUNTIFS( $B$2:$B$657, B133, $C$2:$C$657, C133, $D$2:$D$657, D133, $E$2:$E$657, E133) &gt; 1, "Duplicate", "Unique")</f>
        <v>Unique</v>
      </c>
    </row>
    <row r="134" spans="1:16" ht="27.65" customHeight="1" thickBot="1" x14ac:dyDescent="0.4">
      <c r="A134" s="3">
        <v>46294.375</v>
      </c>
      <c r="B134" s="2" t="s">
        <v>278</v>
      </c>
      <c r="C134" s="2" t="s">
        <v>7</v>
      </c>
      <c r="D134" s="5">
        <v>2</v>
      </c>
      <c r="E134" s="5">
        <v>1740</v>
      </c>
      <c r="F134" s="4">
        <v>9.3239507410000009</v>
      </c>
      <c r="G134" s="2" t="s">
        <v>280</v>
      </c>
      <c r="H134" s="5">
        <v>1591.6</v>
      </c>
      <c r="I134" s="1" t="s">
        <v>8</v>
      </c>
      <c r="J134" s="17" t="s">
        <v>117</v>
      </c>
      <c r="K134" s="17" t="s">
        <v>296</v>
      </c>
      <c r="L134" s="17">
        <v>3180</v>
      </c>
      <c r="M134" s="17">
        <f>ABS((D134*E134)-L134)</f>
        <v>300</v>
      </c>
      <c r="N134" s="10" t="str">
        <f>IF(COUNTIFS( $B$2:$B$657, B134, $C$2:$C$657, C134, $D$2:$D$657, D134, $E$2:$E$657, E134) &gt; 1, "Duplicate", "Unique")</f>
        <v>Unique</v>
      </c>
    </row>
    <row r="135" spans="1:16" ht="40.75" customHeight="1" thickBot="1" x14ac:dyDescent="0.4">
      <c r="A135" s="8" t="s">
        <v>61</v>
      </c>
      <c r="B135" s="8" t="s">
        <v>137</v>
      </c>
      <c r="C135" s="8" t="s">
        <v>7</v>
      </c>
      <c r="D135" s="8">
        <v>50</v>
      </c>
      <c r="E135" s="12">
        <v>470</v>
      </c>
      <c r="F135" s="4">
        <v>9.4933022709999992</v>
      </c>
      <c r="G135" s="2" t="s">
        <v>138</v>
      </c>
      <c r="H135" s="5">
        <v>429.25</v>
      </c>
      <c r="I135" s="1" t="s">
        <v>8</v>
      </c>
      <c r="J135" s="32" t="s">
        <v>116</v>
      </c>
      <c r="N135" s="10" t="str">
        <f>IF(COUNTIFS( $B$2:$B$657, B135, $C$2:$C$657, C135, $D$2:$D$657, D135, $E$2:$E$657, E135) &gt; 1, "Duplicate", "Unique")</f>
        <v>Unique</v>
      </c>
    </row>
    <row r="136" spans="1:16" ht="40.75" hidden="1" customHeight="1" thickBot="1" x14ac:dyDescent="0.4">
      <c r="A136" s="3">
        <v>46266.375694444447</v>
      </c>
      <c r="B136" s="1" t="s">
        <v>120</v>
      </c>
      <c r="C136" s="1" t="s">
        <v>7</v>
      </c>
      <c r="D136" s="4">
        <v>25</v>
      </c>
      <c r="E136" s="4">
        <v>772</v>
      </c>
      <c r="F136" s="4">
        <v>9.5268496840000001</v>
      </c>
      <c r="G136" s="2" t="s">
        <v>121</v>
      </c>
      <c r="H136" s="5">
        <v>704.85</v>
      </c>
      <c r="I136" s="1" t="s">
        <v>8</v>
      </c>
      <c r="J136" s="17" t="s">
        <v>116</v>
      </c>
      <c r="K136" s="17" t="s">
        <v>208</v>
      </c>
      <c r="L136" s="17">
        <v>18800</v>
      </c>
      <c r="M136" s="17">
        <f>ABS((D136*E136)-L136)</f>
        <v>500</v>
      </c>
      <c r="N136" s="10" t="str">
        <f>IF(COUNTIFS( $B$2:$B$657, B136, $C$2:$C$657, C136, $D$2:$D$657, D136, $E$2:$E$657, E136) &gt; 1, "Duplicate", "Unique")</f>
        <v>Unique</v>
      </c>
      <c r="O136" s="37" t="s">
        <v>237</v>
      </c>
    </row>
    <row r="137" spans="1:16" s="27" customFormat="1" ht="40.75" customHeight="1" thickBot="1" x14ac:dyDescent="0.4">
      <c r="A137" s="3">
        <v>46269.411111111112</v>
      </c>
      <c r="B137" s="1" t="s">
        <v>13</v>
      </c>
      <c r="C137" s="1" t="s">
        <v>7</v>
      </c>
      <c r="D137" s="4">
        <v>10</v>
      </c>
      <c r="E137" s="4">
        <v>1879</v>
      </c>
      <c r="F137" s="4">
        <v>9.5626822160000007</v>
      </c>
      <c r="G137" s="2" t="s">
        <v>90</v>
      </c>
      <c r="H137" s="5">
        <v>1715</v>
      </c>
      <c r="I137" s="1" t="s">
        <v>8</v>
      </c>
      <c r="J137" s="17" t="s">
        <v>117</v>
      </c>
      <c r="K137" s="17" t="s">
        <v>232</v>
      </c>
      <c r="L137" s="17">
        <v>18140</v>
      </c>
      <c r="M137" s="24">
        <f>ABS((D137*E137)-L137)</f>
        <v>650</v>
      </c>
      <c r="N137" t="str">
        <f>IF(COUNTIFS( $B$2:$B$657, B137, $C$2:$C$657, C137, $D$2:$D$657, D137, $E$2:$E$657, E137) &gt; 1, "Duplicate", "Unique")</f>
        <v>Unique</v>
      </c>
      <c r="O137" s="10"/>
      <c r="P137" s="10"/>
    </row>
    <row r="138" spans="1:16" ht="40.75" customHeight="1" thickBot="1" x14ac:dyDescent="0.4">
      <c r="A138" s="46">
        <v>46293.375</v>
      </c>
      <c r="B138" s="2" t="s">
        <v>65</v>
      </c>
      <c r="C138" s="2" t="s">
        <v>7</v>
      </c>
      <c r="D138" s="5">
        <v>10</v>
      </c>
      <c r="E138" s="5">
        <v>1166</v>
      </c>
      <c r="F138" s="4">
        <v>9.8135242040000001</v>
      </c>
      <c r="G138" s="2" t="s">
        <v>66</v>
      </c>
      <c r="H138" s="5">
        <v>1061.8</v>
      </c>
      <c r="I138" s="1" t="s">
        <v>8</v>
      </c>
      <c r="J138" s="17" t="s">
        <v>116</v>
      </c>
      <c r="K138" s="17" t="s">
        <v>291</v>
      </c>
      <c r="L138" s="17">
        <v>11360</v>
      </c>
      <c r="M138" s="17">
        <f>ABS((D138*E138)-L138)</f>
        <v>300</v>
      </c>
      <c r="N138" s="10" t="str">
        <f>IF(COUNTIFS( $B$2:$B$657, B138, $C$2:$C$657, C138, $D$2:$D$657, D138, $E$2:$E$657, E138) &gt; 1, "Duplicate", "Unique")</f>
        <v>Unique</v>
      </c>
    </row>
    <row r="139" spans="1:16" ht="40.75" hidden="1" customHeight="1" thickBot="1" x14ac:dyDescent="0.4">
      <c r="A139" s="28">
        <v>46281.443055555559</v>
      </c>
      <c r="B139" s="29" t="s">
        <v>35</v>
      </c>
      <c r="C139" s="29" t="s">
        <v>7</v>
      </c>
      <c r="D139" s="30">
        <v>5</v>
      </c>
      <c r="E139" s="30">
        <v>1196</v>
      </c>
      <c r="F139" s="4">
        <v>9.8457016900000003</v>
      </c>
      <c r="G139" s="2" t="s">
        <v>64</v>
      </c>
      <c r="H139" s="5">
        <v>1088.8</v>
      </c>
      <c r="I139" s="1" t="s">
        <v>8</v>
      </c>
      <c r="J139" s="25" t="s">
        <v>117</v>
      </c>
      <c r="K139" s="25" t="s">
        <v>273</v>
      </c>
      <c r="L139" s="25">
        <v>5585</v>
      </c>
      <c r="M139" s="25">
        <f>ABS((D139*E139)-L139)</f>
        <v>395</v>
      </c>
      <c r="N139" s="27" t="str">
        <f>IF(COUNTIFS( $B$2:$B$657, B139, $C$2:$C$657, C139, $D$2:$D$657, D139, $E$2:$E$657, E139) &gt; 1, "Duplicate", "Unique")</f>
        <v>Duplicate</v>
      </c>
      <c r="O139" s="36" t="s">
        <v>237</v>
      </c>
      <c r="P139" s="27"/>
    </row>
    <row r="140" spans="1:16" ht="27.65" hidden="1" customHeight="1" thickBot="1" x14ac:dyDescent="0.4">
      <c r="A140" s="28">
        <v>46281.388888888891</v>
      </c>
      <c r="B140" s="29" t="s">
        <v>35</v>
      </c>
      <c r="C140" s="29" t="s">
        <v>7</v>
      </c>
      <c r="D140" s="30">
        <v>5</v>
      </c>
      <c r="E140" s="30">
        <v>1196</v>
      </c>
      <c r="F140" s="4">
        <v>9.8457016900000003</v>
      </c>
      <c r="G140" s="2" t="s">
        <v>64</v>
      </c>
      <c r="H140" s="5">
        <v>1088.8</v>
      </c>
      <c r="I140" s="1" t="s">
        <v>8</v>
      </c>
      <c r="J140" s="25" t="s">
        <v>117</v>
      </c>
      <c r="K140" s="25" t="s">
        <v>275</v>
      </c>
      <c r="L140" s="25">
        <v>5730</v>
      </c>
      <c r="M140" s="25">
        <f>ABS((D140*E140)-L140)</f>
        <v>250</v>
      </c>
      <c r="N140" s="27" t="str">
        <f>IF(COUNTIFS( $B$2:$B$657, B140, $C$2:$C$657, C140, $D$2:$D$657, D140, $E$2:$E$657, E140) &gt; 1, "Duplicate", "Unique")</f>
        <v>Duplicate</v>
      </c>
      <c r="O140" s="36" t="s">
        <v>237</v>
      </c>
      <c r="P140" s="27"/>
    </row>
    <row r="141" spans="1:16" ht="40.75" customHeight="1" thickBot="1" x14ac:dyDescent="0.4">
      <c r="A141" s="8" t="s">
        <v>61</v>
      </c>
      <c r="B141" s="8" t="s">
        <v>21</v>
      </c>
      <c r="C141" s="8" t="s">
        <v>7</v>
      </c>
      <c r="D141" s="8">
        <v>11</v>
      </c>
      <c r="E141" s="12">
        <v>749</v>
      </c>
      <c r="F141" s="4">
        <v>9.9530240750000001</v>
      </c>
      <c r="G141" s="2" t="s">
        <v>75</v>
      </c>
      <c r="H141" s="5">
        <v>681.2</v>
      </c>
      <c r="I141" s="1" t="s">
        <v>8</v>
      </c>
      <c r="J141" s="32" t="s">
        <v>190</v>
      </c>
      <c r="N141" s="10" t="str">
        <f>IF(COUNTIFS( $B$2:$B$657, B141, $C$2:$C$657, C141, $D$2:$D$657, D141, $E$2:$E$657, E141) &gt; 1, "Duplicate", "Unique")</f>
        <v>Unique</v>
      </c>
    </row>
    <row r="142" spans="1:16" s="27" customFormat="1" ht="40.75" customHeight="1" thickBot="1" x14ac:dyDescent="0.4">
      <c r="A142" s="11">
        <v>46253.375</v>
      </c>
      <c r="B142" s="8" t="s">
        <v>14</v>
      </c>
      <c r="C142" s="8" t="s">
        <v>7</v>
      </c>
      <c r="D142" s="8">
        <v>50</v>
      </c>
      <c r="E142" s="8">
        <v>353</v>
      </c>
      <c r="F142" s="4">
        <v>10.12322571</v>
      </c>
      <c r="G142" s="2" t="s">
        <v>44</v>
      </c>
      <c r="H142" s="5">
        <v>320.55</v>
      </c>
      <c r="I142" s="1" t="s">
        <v>8</v>
      </c>
      <c r="J142" s="32" t="s">
        <v>117</v>
      </c>
      <c r="K142" s="17" t="s">
        <v>143</v>
      </c>
      <c r="L142" s="17"/>
      <c r="M142" s="17"/>
      <c r="N142" s="10" t="str">
        <f>IF(COUNTIFS( $B$2:$B$657, B142, $C$2:$C$657, C142, $D$2:$D$657, D142, $E$2:$E$657, E142) &gt; 1, "Duplicate", "Unique")</f>
        <v>Unique</v>
      </c>
      <c r="O142" s="10"/>
      <c r="P142" s="10"/>
    </row>
    <row r="143" spans="1:16" ht="40.75" customHeight="1" thickBot="1" x14ac:dyDescent="0.4">
      <c r="A143" s="3">
        <v>46280.435416666667</v>
      </c>
      <c r="B143" s="1" t="s">
        <v>67</v>
      </c>
      <c r="C143" s="1" t="s">
        <v>7</v>
      </c>
      <c r="D143" s="4">
        <v>50</v>
      </c>
      <c r="E143" s="4">
        <v>419</v>
      </c>
      <c r="F143" s="4">
        <v>10.14721346</v>
      </c>
      <c r="G143" s="2" t="s">
        <v>68</v>
      </c>
      <c r="H143" s="5">
        <v>380.4</v>
      </c>
      <c r="I143" s="1" t="s">
        <v>8</v>
      </c>
      <c r="J143" s="17" t="s">
        <v>116</v>
      </c>
      <c r="K143" s="17" t="s">
        <v>270</v>
      </c>
      <c r="L143" s="17">
        <v>39300</v>
      </c>
      <c r="M143" s="17">
        <f>ABS((D143*E143)-L143)</f>
        <v>18350</v>
      </c>
      <c r="N143" s="10" t="str">
        <f>IF(COUNTIFS( $B$2:$B$657, B143, $C$2:$C$657, C143, $D$2:$D$657, D143, $E$2:$E$657, E143) &gt; 1, "Duplicate", "Unique")</f>
        <v>Unique</v>
      </c>
    </row>
    <row r="144" spans="1:16" ht="40.75" customHeight="1" thickBot="1" x14ac:dyDescent="0.4">
      <c r="A144" s="3">
        <v>46266.375</v>
      </c>
      <c r="B144" s="1" t="s">
        <v>62</v>
      </c>
      <c r="C144" s="1" t="s">
        <v>7</v>
      </c>
      <c r="D144" s="4">
        <v>10</v>
      </c>
      <c r="E144" s="4">
        <v>1060</v>
      </c>
      <c r="F144" s="4">
        <v>10.41666667</v>
      </c>
      <c r="G144" s="2" t="s">
        <v>63</v>
      </c>
      <c r="H144" s="5">
        <v>960</v>
      </c>
      <c r="I144" s="1" t="s">
        <v>8</v>
      </c>
      <c r="J144" s="17" t="s">
        <v>116</v>
      </c>
      <c r="K144" s="17" t="s">
        <v>211</v>
      </c>
      <c r="L144" s="17">
        <v>10300</v>
      </c>
      <c r="M144" s="17">
        <f>ABS((D144*E144)-L144)</f>
        <v>300</v>
      </c>
      <c r="N144" s="10" t="str">
        <f>IF(COUNTIFS( $B$2:$B$657, B144, $C$2:$C$657, C144, $D$2:$D$657, D144, $E$2:$E$657, E144) &gt; 1, "Duplicate", "Unique")</f>
        <v>Unique</v>
      </c>
      <c r="P144" s="27"/>
    </row>
    <row r="145" spans="1:16" ht="40.75" customHeight="1" thickBot="1" x14ac:dyDescent="0.4">
      <c r="A145" s="28">
        <v>46272.451388888891</v>
      </c>
      <c r="B145" s="29" t="s">
        <v>13</v>
      </c>
      <c r="C145" s="29" t="s">
        <v>7</v>
      </c>
      <c r="D145" s="30">
        <v>5</v>
      </c>
      <c r="E145" s="30">
        <v>1894</v>
      </c>
      <c r="F145" s="4">
        <v>10.437317780000001</v>
      </c>
      <c r="G145" s="2" t="s">
        <v>90</v>
      </c>
      <c r="H145" s="5">
        <v>1715</v>
      </c>
      <c r="I145" s="1" t="s">
        <v>8</v>
      </c>
      <c r="J145" s="27" t="s">
        <v>117</v>
      </c>
      <c r="K145" s="25" t="s">
        <v>238</v>
      </c>
      <c r="L145" s="25">
        <v>8820</v>
      </c>
      <c r="M145" s="25">
        <f>ABS((D145*E145)-L145)</f>
        <v>650</v>
      </c>
      <c r="N145" s="27" t="str">
        <f>IF(COUNTIFS( $B$2:$B$657, B145, $C$2:$C$657, C145, $D$2:$D$657, D145, $E$2:$E$657, E145) &gt; 1, "Duplicate", "Unique")</f>
        <v>Unique</v>
      </c>
      <c r="O145" s="27"/>
      <c r="P145" s="27"/>
    </row>
    <row r="146" spans="1:16" ht="40.75" customHeight="1" thickBot="1" x14ac:dyDescent="0.4">
      <c r="A146" s="28">
        <v>46272.390972222223</v>
      </c>
      <c r="B146" s="29" t="s">
        <v>13</v>
      </c>
      <c r="C146" s="29" t="s">
        <v>7</v>
      </c>
      <c r="D146" s="30">
        <v>20</v>
      </c>
      <c r="E146" s="30">
        <v>1894</v>
      </c>
      <c r="F146" s="4">
        <v>10.437317780000001</v>
      </c>
      <c r="G146" s="2" t="s">
        <v>90</v>
      </c>
      <c r="H146" s="5">
        <v>1715</v>
      </c>
      <c r="I146" s="1" t="s">
        <v>8</v>
      </c>
      <c r="J146" s="27" t="s">
        <v>117</v>
      </c>
      <c r="K146" s="25" t="s">
        <v>239</v>
      </c>
      <c r="L146" s="25">
        <v>36946</v>
      </c>
      <c r="M146" s="25">
        <f>ABS((D146*E146)-L146)</f>
        <v>934</v>
      </c>
      <c r="N146" s="27" t="str">
        <f>IF(COUNTIFS( $B$2:$B$657, B146, $C$2:$C$657, C146, $D$2:$D$657, D146, $E$2:$E$657, E146) &gt; 1, "Duplicate", "Unique")</f>
        <v>Unique</v>
      </c>
      <c r="O146" s="27"/>
      <c r="P146" s="27"/>
    </row>
    <row r="147" spans="1:16" ht="40.75" hidden="1" customHeight="1" thickBot="1" x14ac:dyDescent="0.4">
      <c r="A147" s="3">
        <v>46261.375</v>
      </c>
      <c r="B147" s="1" t="s">
        <v>23</v>
      </c>
      <c r="C147" s="1" t="s">
        <v>10</v>
      </c>
      <c r="D147" s="4">
        <v>50</v>
      </c>
      <c r="E147" s="4">
        <v>204</v>
      </c>
      <c r="F147" s="4">
        <v>10.53914928</v>
      </c>
      <c r="G147" s="2" t="s">
        <v>69</v>
      </c>
      <c r="H147" s="5">
        <v>184.55</v>
      </c>
      <c r="I147" s="1" t="s">
        <v>8</v>
      </c>
      <c r="J147" s="97" t="s">
        <v>40</v>
      </c>
      <c r="K147" s="17" t="s">
        <v>180</v>
      </c>
      <c r="L147" s="17">
        <v>10550</v>
      </c>
      <c r="M147" s="17">
        <f>ABS((D147*E147)-L147)</f>
        <v>350</v>
      </c>
      <c r="N147" s="10" t="str">
        <f>IF(COUNTIFS( $B$2:$B$657, B147, $C$2:$C$657, C147, $D$2:$D$657, D147, $E$2:$E$657, E147) &gt; 1, "Duplicate", "Unique")</f>
        <v>Unique</v>
      </c>
    </row>
    <row r="148" spans="1:16" ht="40.75" customHeight="1" thickBot="1" x14ac:dyDescent="0.4">
      <c r="A148" s="3">
        <v>46266.509722222225</v>
      </c>
      <c r="B148" s="1" t="s">
        <v>11</v>
      </c>
      <c r="C148" s="1" t="s">
        <v>7</v>
      </c>
      <c r="D148" s="4">
        <v>20</v>
      </c>
      <c r="E148" s="4">
        <v>306</v>
      </c>
      <c r="F148" s="4">
        <v>10.62906725</v>
      </c>
      <c r="G148" s="2" t="s">
        <v>98</v>
      </c>
      <c r="H148" s="5">
        <v>276.60000000000002</v>
      </c>
      <c r="I148" s="1" t="s">
        <v>8</v>
      </c>
      <c r="J148" s="17" t="s">
        <v>117</v>
      </c>
      <c r="K148" s="17" t="s">
        <v>206</v>
      </c>
      <c r="L148" s="17">
        <v>5820</v>
      </c>
      <c r="M148" s="17">
        <f>ABS((D148*E148)-L148)</f>
        <v>300</v>
      </c>
      <c r="N148" s="10" t="str">
        <f>IF(COUNTIFS( $B$2:$B$657, B148, $C$2:$C$657, C148, $D$2:$D$657, D148, $E$2:$E$657, E148) &gt; 1, "Duplicate", "Unique")</f>
        <v>Unique</v>
      </c>
    </row>
    <row r="149" spans="1:16" ht="27.65" customHeight="1" thickBot="1" x14ac:dyDescent="0.4">
      <c r="A149" s="11">
        <v>46252.6875</v>
      </c>
      <c r="B149" s="8" t="s">
        <v>24</v>
      </c>
      <c r="C149" s="8" t="s">
        <v>7</v>
      </c>
      <c r="D149" s="8">
        <v>40</v>
      </c>
      <c r="E149" s="8">
        <v>458</v>
      </c>
      <c r="F149" s="4">
        <v>10.68148864</v>
      </c>
      <c r="G149" s="2" t="s">
        <v>55</v>
      </c>
      <c r="H149" s="5">
        <v>413.8</v>
      </c>
      <c r="I149" s="1" t="s">
        <v>8</v>
      </c>
      <c r="J149" s="32" t="s">
        <v>116</v>
      </c>
      <c r="N149" s="10" t="str">
        <f>IF(COUNTIFS( $B$2:$B$657, B149, $C$2:$C$657, C149, $D$2:$D$657, D149, $E$2:$E$657, E149) &gt; 1, "Duplicate", "Unique")</f>
        <v>Unique</v>
      </c>
    </row>
    <row r="150" spans="1:16" ht="27.65" customHeight="1" thickBot="1" x14ac:dyDescent="0.4">
      <c r="A150" s="28">
        <v>46267.375</v>
      </c>
      <c r="B150" s="29" t="s">
        <v>35</v>
      </c>
      <c r="C150" s="29" t="s">
        <v>7</v>
      </c>
      <c r="D150" s="30">
        <v>5</v>
      </c>
      <c r="E150" s="30">
        <v>1206</v>
      </c>
      <c r="F150" s="4">
        <v>10.764144010000001</v>
      </c>
      <c r="G150" s="2" t="s">
        <v>64</v>
      </c>
      <c r="H150" s="5">
        <v>1088.8</v>
      </c>
      <c r="I150" s="1" t="s">
        <v>8</v>
      </c>
      <c r="J150" s="25" t="s">
        <v>117</v>
      </c>
      <c r="K150" s="25" t="s">
        <v>223</v>
      </c>
      <c r="L150" s="25">
        <v>5755</v>
      </c>
      <c r="M150" s="25">
        <f>ABS((D150*E150)-L150)</f>
        <v>275</v>
      </c>
      <c r="N150" s="27" t="str">
        <f>IF(COUNTIFS( $B$2:$B$657, B150, $C$2:$C$657, C150, $D$2:$D$657, D150, $E$2:$E$657, E150) &gt; 1, "Duplicate", "Unique")</f>
        <v>Duplicate</v>
      </c>
    </row>
    <row r="151" spans="1:16" ht="40.75" customHeight="1" thickBot="1" x14ac:dyDescent="0.4">
      <c r="A151" s="28">
        <v>46267.375</v>
      </c>
      <c r="B151" s="29" t="s">
        <v>35</v>
      </c>
      <c r="C151" s="29" t="s">
        <v>7</v>
      </c>
      <c r="D151" s="30">
        <v>5</v>
      </c>
      <c r="E151" s="30">
        <v>1206</v>
      </c>
      <c r="F151" s="4">
        <v>10.764144010000001</v>
      </c>
      <c r="G151" s="2" t="s">
        <v>64</v>
      </c>
      <c r="H151" s="5">
        <v>1088.8</v>
      </c>
      <c r="I151" s="1" t="s">
        <v>8</v>
      </c>
      <c r="J151" s="25" t="s">
        <v>117</v>
      </c>
      <c r="K151" s="25" t="s">
        <v>227</v>
      </c>
      <c r="L151" s="25">
        <v>5805</v>
      </c>
      <c r="M151" s="25">
        <f>ABS((D151*E151)-L151)</f>
        <v>225</v>
      </c>
      <c r="N151" s="27" t="str">
        <f>IF(COUNTIFS( $B$2:$B$657, B151, $C$2:$C$657, C151, $D$2:$D$657, D151, $E$2:$E$657, E151) &gt; 1, "Duplicate", "Unique")</f>
        <v>Duplicate</v>
      </c>
    </row>
    <row r="152" spans="1:16" ht="40.75" customHeight="1" thickBot="1" x14ac:dyDescent="0.4">
      <c r="A152" s="8" t="s">
        <v>61</v>
      </c>
      <c r="B152" s="8" t="s">
        <v>73</v>
      </c>
      <c r="C152" s="8" t="s">
        <v>7</v>
      </c>
      <c r="D152" s="8">
        <v>1</v>
      </c>
      <c r="E152" s="12">
        <v>3810</v>
      </c>
      <c r="F152" s="4">
        <v>11.14352392</v>
      </c>
      <c r="G152" s="2" t="s">
        <v>74</v>
      </c>
      <c r="H152" s="5">
        <v>3428</v>
      </c>
      <c r="I152" s="1" t="s">
        <v>8</v>
      </c>
      <c r="J152" s="32" t="s">
        <v>117</v>
      </c>
      <c r="N152" s="10" t="str">
        <f>IF(COUNTIFS( $B$2:$B$657, B152, $C$2:$C$657, C152, $D$2:$D$657, D152, $E$2:$E$657, E152) &gt; 1, "Duplicate", "Unique")</f>
        <v>Unique</v>
      </c>
    </row>
    <row r="153" spans="1:16" ht="40.75" customHeight="1" thickBot="1" x14ac:dyDescent="0.4">
      <c r="A153" s="3">
        <v>46265.460416666669</v>
      </c>
      <c r="B153" s="1" t="s">
        <v>18</v>
      </c>
      <c r="C153" s="1" t="s">
        <v>7</v>
      </c>
      <c r="D153" s="4">
        <v>5</v>
      </c>
      <c r="E153" s="4">
        <v>1892</v>
      </c>
      <c r="F153" s="4">
        <v>11.22868901</v>
      </c>
      <c r="G153" s="2" t="s">
        <v>101</v>
      </c>
      <c r="H153" s="5">
        <v>1701</v>
      </c>
      <c r="I153" s="1" t="s">
        <v>8</v>
      </c>
      <c r="J153" s="17" t="s">
        <v>117</v>
      </c>
      <c r="K153" s="17" t="s">
        <v>192</v>
      </c>
      <c r="L153" s="17">
        <v>8810</v>
      </c>
      <c r="M153" s="17">
        <f>ABS((D153*E153)-L153)</f>
        <v>650</v>
      </c>
      <c r="N153" t="str">
        <f>IF(COUNTIFS( $B$2:$B$657, B153, $C$2:$C$657, C153, $D$2:$D$657, D153, $E$2:$E$657, E153) &gt; 1, "Duplicate", "Unique")</f>
        <v>Unique</v>
      </c>
      <c r="P153" s="27"/>
    </row>
    <row r="154" spans="1:16" ht="27.65" customHeight="1" thickBot="1" x14ac:dyDescent="0.4">
      <c r="A154" s="11">
        <v>46252.688194444447</v>
      </c>
      <c r="B154" s="8" t="s">
        <v>14</v>
      </c>
      <c r="C154" s="8" t="s">
        <v>7</v>
      </c>
      <c r="D154" s="8">
        <v>50</v>
      </c>
      <c r="E154" s="8">
        <v>357</v>
      </c>
      <c r="F154" s="4">
        <v>11.37108095</v>
      </c>
      <c r="G154" s="2" t="s">
        <v>44</v>
      </c>
      <c r="H154" s="5">
        <v>320.55</v>
      </c>
      <c r="I154" s="1" t="s">
        <v>8</v>
      </c>
      <c r="J154" s="32"/>
      <c r="N154" s="10" t="str">
        <f>IF(COUNTIFS( $B$2:$B$657, B154, $C$2:$C$657, C154, $D$2:$D$657, D154, $E$2:$E$657, E154) &gt; 1, "Duplicate", "Unique")</f>
        <v>Unique</v>
      </c>
      <c r="O154" s="27"/>
    </row>
    <row r="155" spans="1:16" ht="27.65" customHeight="1" thickBot="1" x14ac:dyDescent="0.4">
      <c r="A155" s="3">
        <v>46261.375694444447</v>
      </c>
      <c r="B155" s="1" t="s">
        <v>52</v>
      </c>
      <c r="C155" s="1" t="s">
        <v>7</v>
      </c>
      <c r="D155" s="4">
        <v>2</v>
      </c>
      <c r="E155" s="4">
        <v>2690</v>
      </c>
      <c r="F155" s="4">
        <v>11.387163559999999</v>
      </c>
      <c r="G155" s="2" t="s">
        <v>53</v>
      </c>
      <c r="H155" s="5">
        <v>2415</v>
      </c>
      <c r="I155" s="1" t="s">
        <v>8</v>
      </c>
      <c r="J155" s="17" t="s">
        <v>117</v>
      </c>
      <c r="K155" s="17" t="s">
        <v>173</v>
      </c>
      <c r="L155" s="17">
        <v>5120</v>
      </c>
      <c r="M155" s="17">
        <f>ABS((D155*E155)-L155)</f>
        <v>260</v>
      </c>
      <c r="N155" s="10" t="str">
        <f>IF(COUNTIFS( $B$2:$B$657, B155, $C$2:$C$657, C155, $D$2:$D$657, D155, $E$2:$E$657, E155) &gt; 1, "Duplicate", "Unique")</f>
        <v>Unique</v>
      </c>
    </row>
    <row r="156" spans="1:16" ht="27.65" customHeight="1" thickBot="1" x14ac:dyDescent="0.4">
      <c r="A156" s="3">
        <v>46276.375</v>
      </c>
      <c r="B156" s="1" t="s">
        <v>17</v>
      </c>
      <c r="C156" s="1" t="s">
        <v>7</v>
      </c>
      <c r="D156" s="4">
        <v>25</v>
      </c>
      <c r="E156" s="4">
        <v>358</v>
      </c>
      <c r="F156" s="4">
        <v>11.387678899999999</v>
      </c>
      <c r="G156" s="2" t="s">
        <v>76</v>
      </c>
      <c r="H156" s="5">
        <v>321.39999999999998</v>
      </c>
      <c r="I156" s="1" t="s">
        <v>8</v>
      </c>
      <c r="J156" s="17" t="s">
        <v>116</v>
      </c>
      <c r="K156" s="17" t="s">
        <v>266</v>
      </c>
      <c r="L156" s="17">
        <v>8700</v>
      </c>
      <c r="M156" s="17">
        <f>ABS((D156*E156)-L156)</f>
        <v>250</v>
      </c>
      <c r="N156" s="10" t="str">
        <f>IF(COUNTIFS( $B$2:$B$657, B156, $C$2:$C$657, C156, $D$2:$D$657, D156, $E$2:$E$657, E156) &gt; 1, "Duplicate", "Unique")</f>
        <v>Unique</v>
      </c>
    </row>
    <row r="157" spans="1:16" ht="40.75" hidden="1" customHeight="1" thickBot="1" x14ac:dyDescent="0.4">
      <c r="A157" s="38">
        <v>46273.375</v>
      </c>
      <c r="B157" s="39" t="s">
        <v>48</v>
      </c>
      <c r="C157" s="39" t="s">
        <v>7</v>
      </c>
      <c r="D157" s="39">
        <v>5</v>
      </c>
      <c r="E157" s="39">
        <v>4047</v>
      </c>
      <c r="F157" s="4">
        <v>11.42621145</v>
      </c>
      <c r="G157" s="2" t="s">
        <v>49</v>
      </c>
      <c r="H157" s="5">
        <v>3632</v>
      </c>
      <c r="I157" s="1" t="s">
        <v>8</v>
      </c>
      <c r="J157" s="25" t="s">
        <v>116</v>
      </c>
      <c r="K157" s="25" t="s">
        <v>248</v>
      </c>
      <c r="L157" s="25">
        <v>19730.5</v>
      </c>
      <c r="M157" s="25">
        <f>ABS((D157*E157)-L157)</f>
        <v>504.5</v>
      </c>
      <c r="N157" s="27" t="str">
        <f>IF(COUNTIFS( $B$2:$B$657, B157, $C$2:$C$657, C157, $D$2:$D$657, D157, $E$2:$E$657, E157) &gt; 1, "Duplicate", "Unique")</f>
        <v>Duplicate</v>
      </c>
      <c r="O157" s="36" t="s">
        <v>237</v>
      </c>
      <c r="P157" s="27"/>
    </row>
    <row r="158" spans="1:16" ht="40.75" hidden="1" customHeight="1" thickBot="1" x14ac:dyDescent="0.4">
      <c r="A158" s="28">
        <v>46274.375</v>
      </c>
      <c r="B158" s="29" t="s">
        <v>48</v>
      </c>
      <c r="C158" s="29" t="s">
        <v>7</v>
      </c>
      <c r="D158" s="30">
        <v>5</v>
      </c>
      <c r="E158" s="30">
        <v>4047</v>
      </c>
      <c r="F158" s="4">
        <v>11.42621145</v>
      </c>
      <c r="G158" s="2" t="s">
        <v>49</v>
      </c>
      <c r="H158" s="5">
        <v>3632</v>
      </c>
      <c r="I158" s="1" t="s">
        <v>8</v>
      </c>
      <c r="J158" s="25" t="s">
        <v>116</v>
      </c>
      <c r="K158" s="25" t="s">
        <v>253</v>
      </c>
      <c r="L158" s="25">
        <v>19690</v>
      </c>
      <c r="M158" s="25">
        <f>ABS((D158*E158)-L158)</f>
        <v>545</v>
      </c>
      <c r="N158" s="27" t="str">
        <f>IF(COUNTIFS( $B$2:$B$657, B158, $C$2:$C$657, C158, $D$2:$D$657, D158, $E$2:$E$657, E158) &gt; 1, "Duplicate", "Unique")</f>
        <v>Duplicate</v>
      </c>
      <c r="O158" s="36" t="s">
        <v>237</v>
      </c>
      <c r="P158" s="27"/>
    </row>
    <row r="159" spans="1:16" ht="27.65" hidden="1" customHeight="1" thickBot="1" x14ac:dyDescent="0.4">
      <c r="A159" s="11">
        <v>46252.645138888889</v>
      </c>
      <c r="B159" s="8" t="s">
        <v>67</v>
      </c>
      <c r="C159" s="8" t="s">
        <v>7</v>
      </c>
      <c r="D159" s="8">
        <v>20</v>
      </c>
      <c r="E159" s="8">
        <v>424</v>
      </c>
      <c r="F159" s="4">
        <v>11.461619349999999</v>
      </c>
      <c r="G159" s="2" t="s">
        <v>68</v>
      </c>
      <c r="H159" s="5">
        <v>380.4</v>
      </c>
      <c r="I159" s="1" t="s">
        <v>8</v>
      </c>
      <c r="J159" s="32"/>
      <c r="N159" s="10" t="str">
        <f>IF(COUNTIFS( $B$2:$B$657, B159, $C$2:$C$657, C159, $D$2:$D$657, D159, $E$2:$E$657, E159) &gt; 1, "Duplicate", "Unique")</f>
        <v>Unique</v>
      </c>
      <c r="O159" s="36" t="s">
        <v>237</v>
      </c>
      <c r="P159"/>
    </row>
    <row r="160" spans="1:16" ht="40.75" customHeight="1" thickBot="1" x14ac:dyDescent="0.4">
      <c r="A160" s="11">
        <v>46252.635416666664</v>
      </c>
      <c r="B160" s="8" t="s">
        <v>50</v>
      </c>
      <c r="C160" s="8" t="s">
        <v>7</v>
      </c>
      <c r="D160" s="8">
        <v>10</v>
      </c>
      <c r="E160" s="8">
        <v>997</v>
      </c>
      <c r="F160" s="4">
        <v>11.521252799999999</v>
      </c>
      <c r="G160" s="2" t="s">
        <v>51</v>
      </c>
      <c r="H160" s="5">
        <v>894</v>
      </c>
      <c r="I160" s="1" t="s">
        <v>8</v>
      </c>
      <c r="J160" s="32" t="s">
        <v>116</v>
      </c>
      <c r="N160" s="10" t="str">
        <f>IF(COUNTIFS( $B$2:$B$657, B160, $C$2:$C$657, C160, $D$2:$D$657, D160, $E$2:$E$657, E160) &gt; 1, "Duplicate", "Unique")</f>
        <v>Unique</v>
      </c>
    </row>
    <row r="161" spans="1:16" s="27" customFormat="1" ht="40.75" customHeight="1" thickBot="1" x14ac:dyDescent="0.4">
      <c r="A161" s="3">
        <v>46262.375</v>
      </c>
      <c r="B161" s="1" t="s">
        <v>62</v>
      </c>
      <c r="C161" s="1" t="s">
        <v>7</v>
      </c>
      <c r="D161" s="4">
        <v>10</v>
      </c>
      <c r="E161" s="4">
        <v>1071</v>
      </c>
      <c r="F161" s="4">
        <v>11.5625</v>
      </c>
      <c r="G161" s="2" t="s">
        <v>63</v>
      </c>
      <c r="H161" s="5">
        <v>960</v>
      </c>
      <c r="I161" s="1" t="s">
        <v>8</v>
      </c>
      <c r="J161" s="17" t="s">
        <v>117</v>
      </c>
      <c r="K161" s="17" t="s">
        <v>189</v>
      </c>
      <c r="L161" s="17">
        <v>10410</v>
      </c>
      <c r="M161" s="17">
        <f>ABS((D161*E161)-L161)</f>
        <v>300</v>
      </c>
      <c r="N161" s="10" t="str">
        <f>IF(COUNTIFS( $B$2:$B$657, B161, $C$2:$C$657, C161, $D$2:$D$657, D161, $E$2:$E$657, E161) &gt; 1, "Duplicate", "Unique")</f>
        <v>Unique</v>
      </c>
      <c r="P161" s="10"/>
    </row>
    <row r="162" spans="1:16" ht="40.75" hidden="1" customHeight="1" thickBot="1" x14ac:dyDescent="0.4">
      <c r="A162" s="28">
        <v>46267.425694444442</v>
      </c>
      <c r="B162" s="29" t="s">
        <v>34</v>
      </c>
      <c r="C162" s="29" t="s">
        <v>7</v>
      </c>
      <c r="D162" s="30">
        <v>20</v>
      </c>
      <c r="E162" s="30">
        <v>219.5</v>
      </c>
      <c r="F162" s="4">
        <v>11.56856765</v>
      </c>
      <c r="G162" s="2" t="s">
        <v>41</v>
      </c>
      <c r="H162" s="5">
        <v>196.74</v>
      </c>
      <c r="I162" s="1" t="s">
        <v>8</v>
      </c>
      <c r="J162" s="25" t="s">
        <v>117</v>
      </c>
      <c r="K162" s="25" t="s">
        <v>217</v>
      </c>
      <c r="L162" s="25">
        <v>4120</v>
      </c>
      <c r="M162" s="25">
        <f>ABS((D162*E162)-L162)</f>
        <v>270</v>
      </c>
      <c r="N162" s="27" t="str">
        <f>IF(COUNTIFS( $B$2:$B$657, B162, $C$2:$C$657, C162, $D$2:$D$657, D162, $E$2:$E$657, E162) &gt; 1, "Duplicate", "Unique")</f>
        <v>Unique</v>
      </c>
      <c r="O162" s="37" t="s">
        <v>237</v>
      </c>
      <c r="P162" s="27"/>
    </row>
    <row r="163" spans="1:16" ht="40.75" hidden="1" customHeight="1" thickBot="1" x14ac:dyDescent="0.4">
      <c r="A163" s="28">
        <v>46280.593055555553</v>
      </c>
      <c r="B163" s="29" t="s">
        <v>34</v>
      </c>
      <c r="C163" s="29" t="s">
        <v>7</v>
      </c>
      <c r="D163" s="30">
        <v>10</v>
      </c>
      <c r="E163" s="30">
        <v>219.5</v>
      </c>
      <c r="F163" s="4">
        <v>11.56856765</v>
      </c>
      <c r="G163" s="2" t="s">
        <v>41</v>
      </c>
      <c r="H163" s="5">
        <v>196.74</v>
      </c>
      <c r="I163" s="1" t="s">
        <v>8</v>
      </c>
      <c r="J163" s="25" t="s">
        <v>117</v>
      </c>
      <c r="K163" s="25" t="s">
        <v>268</v>
      </c>
      <c r="L163" s="25">
        <v>2006.3999999999999</v>
      </c>
      <c r="M163" s="25">
        <f>ABS((D163*E163)-L163)</f>
        <v>188.60000000000014</v>
      </c>
      <c r="N163" s="27" t="str">
        <f>IF(COUNTIFS( $B$2:$B$657, B163, $C$2:$C$657, C163, $D$2:$D$657, D163, $E$2:$E$657, E163) &gt; 1, "Duplicate", "Unique")</f>
        <v>Unique</v>
      </c>
      <c r="O163" s="37" t="s">
        <v>237</v>
      </c>
      <c r="P163" s="27"/>
    </row>
    <row r="164" spans="1:16" ht="40.75" customHeight="1" thickBot="1" x14ac:dyDescent="0.4">
      <c r="A164" s="3">
        <v>46261.375</v>
      </c>
      <c r="B164" s="1" t="s">
        <v>14</v>
      </c>
      <c r="C164" s="1" t="s">
        <v>7</v>
      </c>
      <c r="D164" s="4">
        <v>100</v>
      </c>
      <c r="E164" s="4">
        <v>358</v>
      </c>
      <c r="F164" s="4">
        <v>11.68304477</v>
      </c>
      <c r="G164" s="2" t="s">
        <v>44</v>
      </c>
      <c r="H164" s="5">
        <v>320.55</v>
      </c>
      <c r="I164" s="1" t="s">
        <v>8</v>
      </c>
      <c r="J164" s="17" t="s">
        <v>116</v>
      </c>
      <c r="K164" s="17" t="s">
        <v>176</v>
      </c>
      <c r="L164" s="17">
        <v>34100</v>
      </c>
      <c r="M164" s="17">
        <f>ABS((D164*E164)-L164)</f>
        <v>1700</v>
      </c>
      <c r="N164" s="10" t="str">
        <f>IF(COUNTIFS( $B$2:$B$657, B164, $C$2:$C$657, C164, $D$2:$D$657, D164, $E$2:$E$657, E164) &gt; 1, "Duplicate", "Unique")</f>
        <v>Unique</v>
      </c>
      <c r="O164" s="27"/>
    </row>
    <row r="165" spans="1:16" ht="40.75" customHeight="1" thickBot="1" x14ac:dyDescent="0.4">
      <c r="A165" s="3">
        <v>46260.425694444442</v>
      </c>
      <c r="B165" s="1" t="s">
        <v>13</v>
      </c>
      <c r="C165" s="1" t="s">
        <v>7</v>
      </c>
      <c r="D165" s="4">
        <v>20</v>
      </c>
      <c r="E165" s="4">
        <v>1924</v>
      </c>
      <c r="F165" s="4">
        <v>12.18658892</v>
      </c>
      <c r="G165" s="2" t="s">
        <v>90</v>
      </c>
      <c r="H165" s="5">
        <v>1715</v>
      </c>
      <c r="I165" s="1" t="s">
        <v>8</v>
      </c>
      <c r="J165" s="17" t="s">
        <v>117</v>
      </c>
      <c r="K165" s="17" t="s">
        <v>166</v>
      </c>
      <c r="L165" s="17">
        <v>37480</v>
      </c>
      <c r="M165" s="17">
        <f>ABS((D165*E165)-L165)</f>
        <v>1000</v>
      </c>
      <c r="N165" t="str">
        <f>IF(COUNTIFS( $B$2:$B$657, B165, $C$2:$C$657, C165, $D$2:$D$657, D165, $E$2:$E$657, E165) &gt; 1, "Duplicate", "Unique")</f>
        <v>Unique</v>
      </c>
      <c r="P165" s="27"/>
    </row>
    <row r="166" spans="1:16" ht="40.75" customHeight="1" thickBot="1" x14ac:dyDescent="0.4">
      <c r="A166" s="8" t="s">
        <v>61</v>
      </c>
      <c r="B166" s="8" t="s">
        <v>52</v>
      </c>
      <c r="C166" s="8" t="s">
        <v>7</v>
      </c>
      <c r="D166" s="8">
        <v>3</v>
      </c>
      <c r="E166" s="12">
        <v>2710</v>
      </c>
      <c r="F166" s="4">
        <v>12.215320910000001</v>
      </c>
      <c r="G166" s="2" t="s">
        <v>53</v>
      </c>
      <c r="H166" s="5">
        <v>2415</v>
      </c>
      <c r="I166" s="1" t="s">
        <v>8</v>
      </c>
      <c r="J166" s="32" t="s">
        <v>117</v>
      </c>
      <c r="N166" s="10" t="str">
        <f>IF(COUNTIFS( $B$2:$B$657, B166, $C$2:$C$657, C166, $D$2:$D$657, D166, $E$2:$E$657, E166) &gt; 1, "Duplicate", "Unique")</f>
        <v>Unique</v>
      </c>
    </row>
    <row r="167" spans="1:16" ht="27.65" hidden="1" customHeight="1" thickBot="1" x14ac:dyDescent="0.4">
      <c r="A167" s="3">
        <v>46275.457638888889</v>
      </c>
      <c r="B167" s="1" t="s">
        <v>19</v>
      </c>
      <c r="C167" s="1" t="s">
        <v>10</v>
      </c>
      <c r="D167" s="4">
        <v>100</v>
      </c>
      <c r="E167" s="4">
        <v>222</v>
      </c>
      <c r="F167" s="4">
        <v>12.291350530000001</v>
      </c>
      <c r="G167" s="2" t="s">
        <v>39</v>
      </c>
      <c r="H167" s="5">
        <v>197.7</v>
      </c>
      <c r="I167" s="1" t="s">
        <v>8</v>
      </c>
      <c r="J167" s="97" t="s">
        <v>40</v>
      </c>
      <c r="K167" s="17" t="s">
        <v>258</v>
      </c>
      <c r="L167" s="17">
        <v>56375</v>
      </c>
      <c r="M167" s="17">
        <f>ABS((D167*E167)-L167)</f>
        <v>34175</v>
      </c>
      <c r="N167" s="10" t="str">
        <f>IF(COUNTIFS( $B$2:$B$657, B167, $C$2:$C$657, C167, $D$2:$D$657, D167, $E$2:$E$657, E167) &gt; 1, "Duplicate", "Unique")</f>
        <v>Unique</v>
      </c>
    </row>
    <row r="168" spans="1:16" ht="39" hidden="1" thickBot="1" x14ac:dyDescent="0.4">
      <c r="A168" s="3">
        <v>46274.414583333331</v>
      </c>
      <c r="B168" s="1" t="s">
        <v>12</v>
      </c>
      <c r="C168" s="1" t="s">
        <v>7</v>
      </c>
      <c r="D168" s="4">
        <v>2</v>
      </c>
      <c r="E168" s="4">
        <v>5274</v>
      </c>
      <c r="F168" s="4">
        <v>12.308347530000001</v>
      </c>
      <c r="G168" s="2" t="s">
        <v>97</v>
      </c>
      <c r="H168" s="5">
        <v>4696</v>
      </c>
      <c r="I168" s="1" t="s">
        <v>8</v>
      </c>
      <c r="J168" s="17" t="s">
        <v>117</v>
      </c>
      <c r="K168" s="17" t="s">
        <v>250</v>
      </c>
      <c r="L168" s="17">
        <v>9902</v>
      </c>
      <c r="M168" s="17">
        <f>ABS((D168*E168)-L168)</f>
        <v>646</v>
      </c>
      <c r="N168" s="10" t="str">
        <f>IF(COUNTIFS( $B$2:$B$657, B168, $C$2:$C$657, C168, $D$2:$D$657, D168, $E$2:$E$657, E168) &gt; 1, "Duplicate", "Unique")</f>
        <v>Unique</v>
      </c>
      <c r="O168" s="36" t="s">
        <v>237</v>
      </c>
    </row>
    <row r="169" spans="1:16" s="27" customFormat="1" ht="40.75" customHeight="1" thickBot="1" x14ac:dyDescent="0.4">
      <c r="A169" s="53">
        <v>46302</v>
      </c>
      <c r="B169" s="1" t="s">
        <v>22</v>
      </c>
      <c r="C169" s="1" t="s">
        <v>7</v>
      </c>
      <c r="D169" s="4">
        <v>15</v>
      </c>
      <c r="E169" s="4">
        <v>421</v>
      </c>
      <c r="F169" s="4">
        <v>12.3115913</v>
      </c>
      <c r="G169" s="2" t="s">
        <v>72</v>
      </c>
      <c r="H169" s="5">
        <v>374.85</v>
      </c>
      <c r="I169" s="1" t="s">
        <v>8</v>
      </c>
      <c r="J169" s="49" t="s">
        <v>116</v>
      </c>
      <c r="K169" s="16"/>
      <c r="L169" s="16"/>
      <c r="M169" s="16"/>
      <c r="N169" t="str">
        <f>IF(COUNTIFS( $B$2:$B$657, B169, $C$2:$C$657, C169, $D$2:$D$657, D169, $E$2:$E$657, E169) &gt; 1, "Duplicate", "Unique")</f>
        <v>Unique</v>
      </c>
      <c r="O169"/>
      <c r="P169" s="10"/>
    </row>
    <row r="170" spans="1:16" ht="27.65" customHeight="1" thickBot="1" x14ac:dyDescent="0.4">
      <c r="A170" s="8" t="s">
        <v>61</v>
      </c>
      <c r="B170" s="8" t="s">
        <v>9</v>
      </c>
      <c r="C170" s="8" t="s">
        <v>7</v>
      </c>
      <c r="D170" s="8">
        <v>50</v>
      </c>
      <c r="E170" s="8">
        <v>317</v>
      </c>
      <c r="F170" s="4">
        <v>12.351586040000001</v>
      </c>
      <c r="G170" s="2" t="s">
        <v>94</v>
      </c>
      <c r="H170" s="5">
        <v>282.14999999999998</v>
      </c>
      <c r="I170" s="1" t="s">
        <v>8</v>
      </c>
      <c r="J170" s="32"/>
      <c r="N170" s="10" t="str">
        <f>IF(COUNTIFS( $B$2:$B$657, B170, $C$2:$C$657, C170, $D$2:$D$657, D170, $E$2:$E$657, E170) &gt; 1, "Duplicate", "Unique")</f>
        <v>Unique</v>
      </c>
    </row>
    <row r="171" spans="1:16" ht="40.75" customHeight="1" thickBot="1" x14ac:dyDescent="0.4">
      <c r="A171" s="3">
        <v>46261.375</v>
      </c>
      <c r="B171" s="1" t="s">
        <v>62</v>
      </c>
      <c r="C171" s="1" t="s">
        <v>7</v>
      </c>
      <c r="D171" s="4">
        <v>10</v>
      </c>
      <c r="E171" s="4">
        <v>1081</v>
      </c>
      <c r="F171" s="4">
        <v>12.60416667</v>
      </c>
      <c r="G171" s="2" t="s">
        <v>63</v>
      </c>
      <c r="H171" s="5">
        <v>960</v>
      </c>
      <c r="I171" s="1" t="s">
        <v>8</v>
      </c>
      <c r="J171" s="17" t="s">
        <v>117</v>
      </c>
      <c r="K171" s="17" t="s">
        <v>179</v>
      </c>
      <c r="L171" s="17">
        <v>10510</v>
      </c>
      <c r="M171" s="17">
        <f>ABS((D171*E171)-L171)</f>
        <v>300</v>
      </c>
      <c r="N171" s="10" t="str">
        <f>IF(COUNTIFS( $B$2:$B$657, B171, $C$2:$C$657, C171, $D$2:$D$657, D171, $E$2:$E$657, E171) &gt; 1, "Duplicate", "Unique")</f>
        <v>Unique</v>
      </c>
    </row>
    <row r="172" spans="1:16" ht="40.75" customHeight="1" thickBot="1" x14ac:dyDescent="0.4">
      <c r="A172" s="11">
        <v>46252.688194444447</v>
      </c>
      <c r="B172" s="8" t="s">
        <v>14</v>
      </c>
      <c r="C172" s="8" t="s">
        <v>7</v>
      </c>
      <c r="D172" s="8">
        <v>50</v>
      </c>
      <c r="E172" s="8">
        <v>361</v>
      </c>
      <c r="F172" s="4">
        <v>12.6189362</v>
      </c>
      <c r="G172" s="2" t="s">
        <v>44</v>
      </c>
      <c r="H172" s="5">
        <v>320.55</v>
      </c>
      <c r="I172" s="1" t="s">
        <v>8</v>
      </c>
      <c r="J172" s="32"/>
      <c r="N172" s="10" t="str">
        <f>IF(COUNTIFS( $B$2:$B$657, B172, $C$2:$C$657, C172, $D$2:$D$657, D172, $E$2:$E$657, E172) &gt; 1, "Duplicate", "Unique")</f>
        <v>Unique</v>
      </c>
    </row>
    <row r="173" spans="1:16" ht="40.75" hidden="1" customHeight="1" thickBot="1" x14ac:dyDescent="0.4">
      <c r="A173" s="3">
        <v>46274.375</v>
      </c>
      <c r="B173" s="1" t="s">
        <v>65</v>
      </c>
      <c r="C173" s="1" t="s">
        <v>7</v>
      </c>
      <c r="D173" s="4">
        <v>10</v>
      </c>
      <c r="E173" s="4">
        <v>1196</v>
      </c>
      <c r="F173" s="4">
        <v>12.63891505</v>
      </c>
      <c r="G173" s="2" t="s">
        <v>66</v>
      </c>
      <c r="H173" s="5">
        <v>1061.8</v>
      </c>
      <c r="I173" s="1" t="s">
        <v>8</v>
      </c>
      <c r="J173" s="17" t="s">
        <v>116</v>
      </c>
      <c r="K173" s="17" t="s">
        <v>251</v>
      </c>
      <c r="L173" s="17">
        <v>11660</v>
      </c>
      <c r="M173" s="17">
        <f>ABS((D173*E173)-L173)</f>
        <v>300</v>
      </c>
      <c r="N173" s="10" t="str">
        <f>IF(COUNTIFS( $B$2:$B$657, B173, $C$2:$C$657, C173, $D$2:$D$657, D173, $E$2:$E$657, E173) &gt; 1, "Duplicate", "Unique")</f>
        <v>Unique</v>
      </c>
      <c r="O173" s="36" t="s">
        <v>237</v>
      </c>
    </row>
    <row r="174" spans="1:16" ht="40.75" customHeight="1" thickBot="1" x14ac:dyDescent="0.4">
      <c r="A174" s="3">
        <v>46265.375694444447</v>
      </c>
      <c r="B174" s="1" t="s">
        <v>48</v>
      </c>
      <c r="C174" s="1" t="s">
        <v>7</v>
      </c>
      <c r="D174" s="4">
        <v>5</v>
      </c>
      <c r="E174" s="4">
        <v>4092</v>
      </c>
      <c r="F174" s="4">
        <v>12.66519824</v>
      </c>
      <c r="G174" s="2" t="s">
        <v>49</v>
      </c>
      <c r="H174" s="5">
        <v>3632</v>
      </c>
      <c r="I174" s="1" t="s">
        <v>8</v>
      </c>
      <c r="J174" s="17" t="s">
        <v>117</v>
      </c>
      <c r="K174" s="17" t="s">
        <v>203</v>
      </c>
      <c r="L174" s="17">
        <v>20010</v>
      </c>
      <c r="M174" s="17">
        <f>ABS((D174*E174)-L174)</f>
        <v>450</v>
      </c>
      <c r="N174" t="str">
        <f>IF(COUNTIFS( $B$2:$B$657, B174, $C$2:$C$657, C174, $D$2:$D$657, D174, $E$2:$E$657, E174) &gt; 1, "Duplicate", "Unique")</f>
        <v>Unique</v>
      </c>
      <c r="P174"/>
    </row>
    <row r="175" spans="1:16" ht="27.65" customHeight="1" thickBot="1" x14ac:dyDescent="0.4">
      <c r="A175" s="3">
        <v>46267.375</v>
      </c>
      <c r="B175" s="1" t="s">
        <v>77</v>
      </c>
      <c r="C175" s="1" t="s">
        <v>7</v>
      </c>
      <c r="D175" s="4">
        <v>3</v>
      </c>
      <c r="E175" s="4">
        <v>1460</v>
      </c>
      <c r="F175" s="4">
        <v>12.91569992</v>
      </c>
      <c r="G175" s="2" t="s">
        <v>78</v>
      </c>
      <c r="H175" s="5">
        <v>1293</v>
      </c>
      <c r="I175" s="1" t="s">
        <v>8</v>
      </c>
      <c r="J175" s="17" t="s">
        <v>117</v>
      </c>
      <c r="K175" s="17" t="s">
        <v>221</v>
      </c>
      <c r="L175" s="17">
        <v>4080</v>
      </c>
      <c r="M175" s="17">
        <f>ABS((D175*E175)-L175)</f>
        <v>300</v>
      </c>
      <c r="N175" s="10" t="str">
        <f>IF(COUNTIFS( $B$2:$B$657, B175, $C$2:$C$657, C175, $D$2:$D$657, D175, $E$2:$E$657, E175) &gt; 1, "Duplicate", "Unique")</f>
        <v>Unique</v>
      </c>
    </row>
    <row r="176" spans="1:16" ht="40.75" customHeight="1" thickBot="1" x14ac:dyDescent="0.4">
      <c r="A176" s="8" t="s">
        <v>61</v>
      </c>
      <c r="B176" s="8" t="s">
        <v>120</v>
      </c>
      <c r="C176" s="8" t="s">
        <v>7</v>
      </c>
      <c r="D176" s="8">
        <v>10</v>
      </c>
      <c r="E176" s="8">
        <v>796</v>
      </c>
      <c r="F176" s="4">
        <v>12.93182947</v>
      </c>
      <c r="G176" s="2" t="s">
        <v>121</v>
      </c>
      <c r="H176" s="5">
        <v>704.85</v>
      </c>
      <c r="I176" s="1" t="s">
        <v>8</v>
      </c>
      <c r="J176" s="32" t="s">
        <v>116</v>
      </c>
      <c r="N176" s="10" t="str">
        <f>IF(COUNTIFS( $B$2:$B$657, B176, $C$2:$C$657, C176, $D$2:$D$657, D176, $E$2:$E$657, E176) &gt; 1, "Duplicate", "Unique")</f>
        <v>Unique</v>
      </c>
    </row>
    <row r="177" spans="1:16" ht="27.65" customHeight="1" thickBot="1" x14ac:dyDescent="0.4">
      <c r="A177" s="8" t="s">
        <v>61</v>
      </c>
      <c r="B177" s="8" t="s">
        <v>24</v>
      </c>
      <c r="C177" s="8" t="s">
        <v>7</v>
      </c>
      <c r="D177" s="8">
        <v>5</v>
      </c>
      <c r="E177" s="8">
        <v>468</v>
      </c>
      <c r="F177" s="4">
        <v>13.098115030000001</v>
      </c>
      <c r="G177" s="2" t="s">
        <v>55</v>
      </c>
      <c r="H177" s="5">
        <v>413.8</v>
      </c>
      <c r="I177" s="1" t="s">
        <v>8</v>
      </c>
      <c r="J177" s="32" t="s">
        <v>117</v>
      </c>
      <c r="N177" s="10" t="str">
        <f>IF(COUNTIFS( $B$2:$B$657, B177, $C$2:$C$657, C177, $D$2:$D$657, D177, $E$2:$E$657, E177) &gt; 1, "Duplicate", "Unique")</f>
        <v>Unique</v>
      </c>
    </row>
    <row r="178" spans="1:16" ht="27.65" customHeight="1" thickBot="1" x14ac:dyDescent="0.4">
      <c r="A178" s="3">
        <v>46260.375</v>
      </c>
      <c r="B178" s="1" t="s">
        <v>24</v>
      </c>
      <c r="C178" s="1" t="s">
        <v>7</v>
      </c>
      <c r="D178" s="4">
        <v>40</v>
      </c>
      <c r="E178" s="4">
        <v>468</v>
      </c>
      <c r="F178" s="4">
        <v>13.098115030000001</v>
      </c>
      <c r="G178" s="2" t="s">
        <v>55</v>
      </c>
      <c r="H178" s="5">
        <v>413.8</v>
      </c>
      <c r="I178" s="1" t="s">
        <v>8</v>
      </c>
      <c r="J178" s="17" t="s">
        <v>117</v>
      </c>
      <c r="K178" s="17" t="s">
        <v>167</v>
      </c>
      <c r="L178" s="17">
        <v>17920</v>
      </c>
      <c r="M178" s="17">
        <f>ABS((D178*E178)-L178)</f>
        <v>800</v>
      </c>
      <c r="N178" t="str">
        <f>IF(COUNTIFS( $B$2:$B$657, B178, $C$2:$C$657, C178, $D$2:$D$657, D178, $E$2:$E$657, E178) &gt; 1, "Duplicate", "Unique")</f>
        <v>Unique</v>
      </c>
    </row>
    <row r="179" spans="1:16" ht="40.75" hidden="1" customHeight="1" thickBot="1" x14ac:dyDescent="0.4">
      <c r="A179" s="11">
        <v>46252.635416666664</v>
      </c>
      <c r="B179" s="8" t="s">
        <v>122</v>
      </c>
      <c r="C179" s="8" t="s">
        <v>7</v>
      </c>
      <c r="D179" s="8">
        <v>200</v>
      </c>
      <c r="E179" s="8">
        <v>89.3</v>
      </c>
      <c r="F179" s="4">
        <v>13.181242080000001</v>
      </c>
      <c r="G179" s="2" t="s">
        <v>123</v>
      </c>
      <c r="H179" s="5">
        <v>78.900000000000006</v>
      </c>
      <c r="I179" s="1" t="s">
        <v>8</v>
      </c>
      <c r="J179" s="17" t="s">
        <v>117</v>
      </c>
      <c r="N179" s="10" t="str">
        <f>IF(COUNTIFS( $B$2:$B$657, B179, $C$2:$C$657, C179, $D$2:$D$657, D179, $E$2:$E$657, E179) &gt; 1, "Duplicate", "Unique")</f>
        <v>Unique</v>
      </c>
      <c r="O179" s="36" t="s">
        <v>237</v>
      </c>
    </row>
    <row r="180" spans="1:16" ht="27.65" customHeight="1" thickBot="1" x14ac:dyDescent="0.4">
      <c r="A180" s="3">
        <v>46260.375694444447</v>
      </c>
      <c r="B180" s="1" t="s">
        <v>48</v>
      </c>
      <c r="C180" s="1" t="s">
        <v>7</v>
      </c>
      <c r="D180" s="4">
        <v>5</v>
      </c>
      <c r="E180" s="4">
        <v>4112</v>
      </c>
      <c r="F180" s="4">
        <v>13.215859030000001</v>
      </c>
      <c r="G180" s="2" t="s">
        <v>49</v>
      </c>
      <c r="H180" s="5">
        <v>3632</v>
      </c>
      <c r="I180" s="1" t="s">
        <v>8</v>
      </c>
      <c r="J180" s="17" t="s">
        <v>117</v>
      </c>
      <c r="K180" s="17" t="s">
        <v>168</v>
      </c>
      <c r="L180" s="17">
        <v>20260</v>
      </c>
      <c r="M180" s="17">
        <f>ABS((D180*E180)-L180)</f>
        <v>300</v>
      </c>
      <c r="N180" t="str">
        <f>IF(COUNTIFS( $B$2:$B$657, B180, $C$2:$C$657, C180, $D$2:$D$657, D180, $E$2:$E$657, E180) &gt; 1, "Duplicate", "Unique")</f>
        <v>Unique</v>
      </c>
      <c r="O180"/>
      <c r="P180" s="27"/>
    </row>
    <row r="181" spans="1:16" ht="40.75" customHeight="1" thickBot="1" x14ac:dyDescent="0.4">
      <c r="A181" s="8" t="s">
        <v>61</v>
      </c>
      <c r="B181" s="8" t="s">
        <v>56</v>
      </c>
      <c r="C181" s="8" t="s">
        <v>7</v>
      </c>
      <c r="D181" s="8">
        <v>3</v>
      </c>
      <c r="E181" s="12">
        <v>3341</v>
      </c>
      <c r="F181" s="4">
        <v>13.265755840000001</v>
      </c>
      <c r="G181" s="2" t="s">
        <v>57</v>
      </c>
      <c r="H181" s="5">
        <v>2949.7</v>
      </c>
      <c r="I181" s="1" t="s">
        <v>8</v>
      </c>
      <c r="J181" s="32"/>
      <c r="N181" s="10" t="str">
        <f>IF(COUNTIFS( $B$2:$B$657, B181, $C$2:$C$657, C181, $D$2:$D$657, D181, $E$2:$E$657, E181) &gt; 1, "Duplicate", "Unique")</f>
        <v>Unique</v>
      </c>
      <c r="P181" s="27"/>
    </row>
    <row r="182" spans="1:16" ht="40.75" customHeight="1" thickBot="1" x14ac:dyDescent="0.4">
      <c r="A182" s="11">
        <v>46252.635416666664</v>
      </c>
      <c r="B182" s="8" t="s">
        <v>81</v>
      </c>
      <c r="C182" s="8" t="s">
        <v>7</v>
      </c>
      <c r="D182" s="8">
        <v>1</v>
      </c>
      <c r="E182" s="8">
        <v>4556</v>
      </c>
      <c r="F182" s="4">
        <v>13.33333333</v>
      </c>
      <c r="G182" s="2" t="s">
        <v>82</v>
      </c>
      <c r="H182" s="5">
        <v>4020</v>
      </c>
      <c r="I182" s="1" t="s">
        <v>8</v>
      </c>
      <c r="J182" s="32"/>
      <c r="N182" s="10" t="str">
        <f>IF(COUNTIFS( $B$2:$B$657, B182, $C$2:$C$657, C182, $D$2:$D$657, D182, $E$2:$E$657, E182) &gt; 1, "Duplicate", "Unique")</f>
        <v>Unique</v>
      </c>
    </row>
    <row r="183" spans="1:16" ht="40.75" customHeight="1" thickBot="1" x14ac:dyDescent="0.4">
      <c r="A183" s="3">
        <v>46265.375694444447</v>
      </c>
      <c r="B183" s="1" t="s">
        <v>35</v>
      </c>
      <c r="C183" s="1" t="s">
        <v>7</v>
      </c>
      <c r="D183" s="4">
        <v>5</v>
      </c>
      <c r="E183" s="4">
        <v>1236</v>
      </c>
      <c r="F183" s="4">
        <v>13.519470979999999</v>
      </c>
      <c r="G183" s="2" t="s">
        <v>64</v>
      </c>
      <c r="H183" s="5">
        <v>1088.8</v>
      </c>
      <c r="I183" s="1" t="s">
        <v>8</v>
      </c>
      <c r="J183" s="17" t="s">
        <v>117</v>
      </c>
      <c r="K183" s="17" t="s">
        <v>202</v>
      </c>
      <c r="L183" s="17">
        <v>5905</v>
      </c>
      <c r="M183" s="17">
        <f>ABS((D183*E183)-L183)</f>
        <v>275</v>
      </c>
      <c r="N183" t="str">
        <f>IF(COUNTIFS( $B$2:$B$657, B183, $C$2:$C$657, C183, $D$2:$D$657, D183, $E$2:$E$657, E183) &gt; 1, "Duplicate", "Unique")</f>
        <v>Unique</v>
      </c>
    </row>
    <row r="184" spans="1:16" ht="27.65" customHeight="1" thickBot="1" x14ac:dyDescent="0.4">
      <c r="A184" s="3">
        <v>46259.388194444444</v>
      </c>
      <c r="B184" s="1" t="s">
        <v>13</v>
      </c>
      <c r="C184" s="1" t="s">
        <v>7</v>
      </c>
      <c r="D184" s="4">
        <v>20</v>
      </c>
      <c r="E184" s="4">
        <v>1948</v>
      </c>
      <c r="F184" s="4">
        <v>13.58600583</v>
      </c>
      <c r="G184" s="2" t="s">
        <v>90</v>
      </c>
      <c r="H184" s="5">
        <v>1715</v>
      </c>
      <c r="I184" s="1" t="s">
        <v>8</v>
      </c>
      <c r="J184" s="17" t="s">
        <v>116</v>
      </c>
      <c r="K184" s="17" t="s">
        <v>159</v>
      </c>
      <c r="L184" s="17">
        <v>38020</v>
      </c>
      <c r="M184" s="17">
        <f>ABS((D184*E184)-L184)</f>
        <v>940</v>
      </c>
      <c r="N184" s="10" t="str">
        <f>IF(COUNTIFS( $B$2:$B$657, B184, $C$2:$C$657, C184, $D$2:$D$657, D184, $E$2:$E$657, E184) &gt; 1, "Duplicate", "Unique")</f>
        <v>Unique</v>
      </c>
    </row>
    <row r="185" spans="1:16" ht="27.65" customHeight="1" thickBot="1" x14ac:dyDescent="0.4">
      <c r="A185" s="8" t="s">
        <v>61</v>
      </c>
      <c r="B185" s="8" t="s">
        <v>9</v>
      </c>
      <c r="C185" s="8" t="s">
        <v>7</v>
      </c>
      <c r="D185" s="8">
        <v>40</v>
      </c>
      <c r="E185" s="8">
        <v>320.5</v>
      </c>
      <c r="F185" s="4">
        <v>13.59206096</v>
      </c>
      <c r="G185" s="2" t="s">
        <v>94</v>
      </c>
      <c r="H185" s="5">
        <v>282.14999999999998</v>
      </c>
      <c r="I185" s="1" t="s">
        <v>8</v>
      </c>
      <c r="J185" s="32"/>
      <c r="N185" s="10" t="str">
        <f>IF(COUNTIFS( $B$2:$B$657, B185, $C$2:$C$657, C185, $D$2:$D$657, D185, $E$2:$E$657, E185) &gt; 1, "Duplicate", "Unique")</f>
        <v>Unique</v>
      </c>
    </row>
    <row r="186" spans="1:16" ht="27.65" customHeight="1" thickBot="1" x14ac:dyDescent="0.4">
      <c r="A186" s="3">
        <v>46272.375694444447</v>
      </c>
      <c r="B186" s="1" t="s">
        <v>86</v>
      </c>
      <c r="C186" s="1" t="s">
        <v>7</v>
      </c>
      <c r="D186" s="4">
        <v>10</v>
      </c>
      <c r="E186" s="4">
        <v>1280</v>
      </c>
      <c r="F186" s="4">
        <v>13.64645299</v>
      </c>
      <c r="G186" s="2" t="s">
        <v>87</v>
      </c>
      <c r="H186" s="5">
        <v>1126.3</v>
      </c>
      <c r="I186" s="1" t="s">
        <v>8</v>
      </c>
      <c r="J186" s="17" t="s">
        <v>116</v>
      </c>
      <c r="K186" s="17" t="s">
        <v>243</v>
      </c>
      <c r="L186" s="17">
        <v>12510</v>
      </c>
      <c r="M186" s="17">
        <f>ABS((D186*E186)-L186)</f>
        <v>290</v>
      </c>
      <c r="N186" s="10" t="str">
        <f>IF(COUNTIFS( $B$2:$B$657, B186, $C$2:$C$657, C186, $D$2:$D$657, D186, $E$2:$E$657, E186) &gt; 1, "Duplicate", "Unique")</f>
        <v>Unique</v>
      </c>
    </row>
    <row r="187" spans="1:16" ht="27.65" customHeight="1" thickBot="1" x14ac:dyDescent="0.4">
      <c r="A187" s="11">
        <v>46252.645138888889</v>
      </c>
      <c r="B187" s="8" t="s">
        <v>48</v>
      </c>
      <c r="C187" s="8" t="s">
        <v>7</v>
      </c>
      <c r="D187" s="8">
        <v>5</v>
      </c>
      <c r="E187" s="8">
        <v>4129</v>
      </c>
      <c r="F187" s="4">
        <v>13.6839207</v>
      </c>
      <c r="G187" s="2" t="s">
        <v>49</v>
      </c>
      <c r="H187" s="5">
        <v>3632</v>
      </c>
      <c r="I187" s="1" t="s">
        <v>8</v>
      </c>
      <c r="J187" s="32"/>
      <c r="N187" s="10" t="str">
        <f>IF(COUNTIFS( $B$2:$B$657, B187, $C$2:$C$657, C187, $D$2:$D$657, D187, $E$2:$E$657, E187) &gt; 1, "Duplicate", "Unique")</f>
        <v>Unique</v>
      </c>
    </row>
    <row r="188" spans="1:16" ht="27.65" customHeight="1" thickBot="1" x14ac:dyDescent="0.4">
      <c r="A188" s="11">
        <v>46252.688194444447</v>
      </c>
      <c r="B188" s="8" t="s">
        <v>14</v>
      </c>
      <c r="C188" s="8" t="s">
        <v>7</v>
      </c>
      <c r="D188" s="8">
        <v>50</v>
      </c>
      <c r="E188" s="8">
        <v>365</v>
      </c>
      <c r="F188" s="4">
        <v>13.866791449999999</v>
      </c>
      <c r="G188" s="2" t="s">
        <v>44</v>
      </c>
      <c r="H188" s="5">
        <v>320.55</v>
      </c>
      <c r="I188" s="1" t="s">
        <v>8</v>
      </c>
      <c r="J188" s="32" t="s">
        <v>117</v>
      </c>
      <c r="N188" s="10" t="str">
        <f>IF(COUNTIFS( $B$2:$B$657, B188, $C$2:$C$657, C188, $D$2:$D$657, D188, $E$2:$E$657, E188) &gt; 1, "Duplicate", "Unique")</f>
        <v>Unique</v>
      </c>
    </row>
    <row r="189" spans="1:16" ht="40.75" customHeight="1" thickBot="1" x14ac:dyDescent="0.4">
      <c r="A189" s="8" t="s">
        <v>61</v>
      </c>
      <c r="B189" s="8" t="s">
        <v>132</v>
      </c>
      <c r="C189" s="8" t="s">
        <v>7</v>
      </c>
      <c r="D189" s="8">
        <v>150</v>
      </c>
      <c r="E189" s="8">
        <v>123.4</v>
      </c>
      <c r="F189" s="4">
        <v>13.984851280000001</v>
      </c>
      <c r="G189" s="2" t="s">
        <v>133</v>
      </c>
      <c r="H189" s="5">
        <v>108.26</v>
      </c>
      <c r="I189" s="1" t="s">
        <v>8</v>
      </c>
      <c r="J189" s="32" t="s">
        <v>116</v>
      </c>
      <c r="N189" s="10" t="str">
        <f>IF(COUNTIFS( $B$2:$B$657, B189, $C$2:$C$657, C189, $D$2:$D$657, D189, $E$2:$E$657, E189) &gt; 1, "Duplicate", "Unique")</f>
        <v>Unique</v>
      </c>
    </row>
    <row r="190" spans="1:16" ht="40.75" customHeight="1" thickBot="1" x14ac:dyDescent="0.4">
      <c r="A190" s="3">
        <v>46259.375</v>
      </c>
      <c r="B190" s="1" t="s">
        <v>24</v>
      </c>
      <c r="C190" s="1" t="s">
        <v>7</v>
      </c>
      <c r="D190" s="4">
        <v>20</v>
      </c>
      <c r="E190" s="4">
        <v>472.5</v>
      </c>
      <c r="F190" s="4">
        <v>14.185596909999999</v>
      </c>
      <c r="G190" s="2" t="s">
        <v>55</v>
      </c>
      <c r="H190" s="5">
        <v>413.8</v>
      </c>
      <c r="I190" s="1" t="s">
        <v>8</v>
      </c>
      <c r="J190" s="32" t="s">
        <v>117</v>
      </c>
      <c r="K190" s="17" t="s">
        <v>158</v>
      </c>
      <c r="L190" s="17">
        <v>8800</v>
      </c>
      <c r="M190" s="17">
        <f>ABS((D190*E190)-L190)</f>
        <v>650</v>
      </c>
      <c r="N190" s="10" t="str">
        <f>IF(COUNTIFS( $B$2:$B$657, B190, $C$2:$C$657, C190, $D$2:$D$657, D190, $E$2:$E$657, E190) &gt; 1, "Duplicate", "Unique")</f>
        <v>Unique</v>
      </c>
      <c r="O190" s="27"/>
    </row>
    <row r="191" spans="1:16" ht="27.65" customHeight="1" thickBot="1" x14ac:dyDescent="0.4">
      <c r="A191" s="46">
        <v>46289.375694444447</v>
      </c>
      <c r="B191" s="2" t="s">
        <v>23</v>
      </c>
      <c r="C191" s="2" t="s">
        <v>7</v>
      </c>
      <c r="D191" s="5">
        <v>50</v>
      </c>
      <c r="E191" s="5">
        <v>211</v>
      </c>
      <c r="F191" s="4">
        <v>14.33215931</v>
      </c>
      <c r="G191" s="2" t="s">
        <v>69</v>
      </c>
      <c r="H191" s="5">
        <v>184.55</v>
      </c>
      <c r="I191" s="1" t="s">
        <v>8</v>
      </c>
      <c r="J191" s="17" t="s">
        <v>116</v>
      </c>
      <c r="K191" s="17" t="s">
        <v>285</v>
      </c>
      <c r="L191" s="17">
        <v>10250</v>
      </c>
      <c r="M191" s="17">
        <f>ABS((D191*E191)-L191)</f>
        <v>300</v>
      </c>
      <c r="N191" s="10" t="str">
        <f>IF(COUNTIFS( $B$2:$B$657, B191, $C$2:$C$657, C191, $D$2:$D$657, D191, $E$2:$E$657, E191) &gt; 1, "Duplicate", "Unique")</f>
        <v>Unique</v>
      </c>
    </row>
    <row r="192" spans="1:16" ht="39" thickBot="1" x14ac:dyDescent="0.4">
      <c r="A192" s="3">
        <v>46265.474999999999</v>
      </c>
      <c r="B192" s="1" t="s">
        <v>20</v>
      </c>
      <c r="C192" s="1" t="s">
        <v>7</v>
      </c>
      <c r="D192" s="4">
        <v>30</v>
      </c>
      <c r="E192" s="4">
        <v>137</v>
      </c>
      <c r="F192" s="4">
        <v>14.33817393</v>
      </c>
      <c r="G192" s="2" t="s">
        <v>85</v>
      </c>
      <c r="H192" s="5">
        <v>119.82</v>
      </c>
      <c r="I192" s="1" t="s">
        <v>8</v>
      </c>
      <c r="J192" s="17" t="s">
        <v>117</v>
      </c>
      <c r="K192" s="17" t="s">
        <v>194</v>
      </c>
      <c r="L192" s="17">
        <v>3810</v>
      </c>
      <c r="M192" s="17">
        <f>ABS((D192*E192)-L192)</f>
        <v>300</v>
      </c>
      <c r="N192" t="str">
        <f>IF(COUNTIFS( $B$2:$B$657, B192, $C$2:$C$657, C192, $D$2:$D$657, D192, $E$2:$E$657, E192) &gt; 1, "Duplicate", "Unique")</f>
        <v>Unique</v>
      </c>
    </row>
    <row r="193" spans="1:16" ht="40.75" customHeight="1" thickBot="1" x14ac:dyDescent="0.4">
      <c r="A193" s="8" t="s">
        <v>61</v>
      </c>
      <c r="B193" s="8" t="s">
        <v>67</v>
      </c>
      <c r="C193" s="8" t="s">
        <v>7</v>
      </c>
      <c r="D193" s="8">
        <v>10</v>
      </c>
      <c r="E193" s="8">
        <v>435</v>
      </c>
      <c r="F193" s="4">
        <v>14.353312300000001</v>
      </c>
      <c r="G193" s="2" t="s">
        <v>68</v>
      </c>
      <c r="H193" s="5">
        <v>380.4</v>
      </c>
      <c r="I193" s="1" t="s">
        <v>8</v>
      </c>
      <c r="J193" s="32"/>
      <c r="N193" s="10" t="str">
        <f>IF(COUNTIFS( $B$2:$B$657, B193, $C$2:$C$657, C193, $D$2:$D$657, D193, $E$2:$E$657, E193) &gt; 1, "Duplicate", "Unique")</f>
        <v>Unique</v>
      </c>
    </row>
    <row r="194" spans="1:16" ht="40.75" hidden="1" customHeight="1" thickBot="1" x14ac:dyDescent="0.4">
      <c r="A194" s="28">
        <v>46265.375694444447</v>
      </c>
      <c r="B194" s="29" t="s">
        <v>6</v>
      </c>
      <c r="C194" s="29" t="s">
        <v>7</v>
      </c>
      <c r="D194" s="30">
        <v>20</v>
      </c>
      <c r="E194" s="30">
        <v>291</v>
      </c>
      <c r="F194" s="4">
        <v>14.476789930000001</v>
      </c>
      <c r="G194" s="2" t="s">
        <v>129</v>
      </c>
      <c r="H194" s="5">
        <v>254.2</v>
      </c>
      <c r="I194" s="1" t="s">
        <v>8</v>
      </c>
      <c r="J194" s="25" t="s">
        <v>117</v>
      </c>
      <c r="K194" s="25" t="s">
        <v>201</v>
      </c>
      <c r="L194" s="25">
        <v>5520</v>
      </c>
      <c r="M194" s="25">
        <f>ABS((D194*E194)-L194)</f>
        <v>300</v>
      </c>
      <c r="N194" s="26" t="str">
        <f>IF(COUNTIFS( $B$2:$B$657, B194, $C$2:$C$657, C194, $D$2:$D$657, D194, $E$2:$E$657, E194) &gt; 1, "Duplicate", "Unique")</f>
        <v>Unique</v>
      </c>
      <c r="O194" s="36" t="s">
        <v>237</v>
      </c>
    </row>
    <row r="195" spans="1:16" ht="27.65" hidden="1" customHeight="1" thickBot="1" x14ac:dyDescent="0.4">
      <c r="A195" s="38">
        <v>46243.505555555559</v>
      </c>
      <c r="B195" s="39" t="s">
        <v>6</v>
      </c>
      <c r="C195" s="39" t="s">
        <v>7</v>
      </c>
      <c r="D195" s="39">
        <v>10</v>
      </c>
      <c r="E195" s="39">
        <v>291</v>
      </c>
      <c r="F195" s="4">
        <v>14.476789930000001</v>
      </c>
      <c r="G195" s="2" t="s">
        <v>129</v>
      </c>
      <c r="H195" s="5">
        <v>254.2</v>
      </c>
      <c r="I195" s="1" t="s">
        <v>8</v>
      </c>
      <c r="J195" s="25" t="s">
        <v>117</v>
      </c>
      <c r="K195" s="25" t="s">
        <v>244</v>
      </c>
      <c r="L195" s="25">
        <v>2657</v>
      </c>
      <c r="M195" s="25">
        <f>ABS((D195*E195)-L195)</f>
        <v>253</v>
      </c>
      <c r="N195" s="27" t="str">
        <f>IF(COUNTIFS( $B$2:$B$657, B195, $C$2:$C$657, C195, $D$2:$D$657, D195, $E$2:$E$657, E195) &gt; 1, "Duplicate", "Unique")</f>
        <v>Duplicate</v>
      </c>
      <c r="O195" s="36" t="s">
        <v>237</v>
      </c>
    </row>
    <row r="196" spans="1:16" ht="40.75" hidden="1" customHeight="1" thickBot="1" x14ac:dyDescent="0.4">
      <c r="A196" s="28">
        <v>46280.588194444441</v>
      </c>
      <c r="B196" s="29" t="s">
        <v>6</v>
      </c>
      <c r="C196" s="29" t="s">
        <v>7</v>
      </c>
      <c r="D196" s="30">
        <v>10</v>
      </c>
      <c r="E196" s="30">
        <v>291</v>
      </c>
      <c r="F196" s="4">
        <v>14.476789930000001</v>
      </c>
      <c r="G196" s="2" t="s">
        <v>129</v>
      </c>
      <c r="H196" s="5">
        <v>254.2</v>
      </c>
      <c r="I196" s="1" t="s">
        <v>8</v>
      </c>
      <c r="J196" s="45" t="s">
        <v>117</v>
      </c>
      <c r="K196" s="25" t="s">
        <v>269</v>
      </c>
      <c r="L196" s="25">
        <v>2554.5</v>
      </c>
      <c r="M196" s="25">
        <f>ABS((D196*E196)-L196)</f>
        <v>355.5</v>
      </c>
      <c r="N196" s="27" t="str">
        <f>IF(COUNTIFS( $B$2:$B$657, B196, $C$2:$C$657, C196, $D$2:$D$657, D196, $E$2:$E$657, E196) &gt; 1, "Duplicate", "Unique")</f>
        <v>Duplicate</v>
      </c>
      <c r="O196" s="36" t="s">
        <v>237</v>
      </c>
      <c r="P196" s="27"/>
    </row>
    <row r="197" spans="1:16" ht="40.75" customHeight="1" thickBot="1" x14ac:dyDescent="0.4">
      <c r="A197" s="8" t="s">
        <v>61</v>
      </c>
      <c r="B197" s="8" t="s">
        <v>50</v>
      </c>
      <c r="C197" s="8" t="s">
        <v>7</v>
      </c>
      <c r="D197" s="8">
        <v>10</v>
      </c>
      <c r="E197" s="13">
        <v>1024</v>
      </c>
      <c r="F197" s="4">
        <v>14.54138702</v>
      </c>
      <c r="G197" s="2" t="s">
        <v>51</v>
      </c>
      <c r="H197" s="5">
        <v>894</v>
      </c>
      <c r="I197" s="1" t="s">
        <v>8</v>
      </c>
      <c r="J197" s="32" t="s">
        <v>117</v>
      </c>
      <c r="N197" s="10" t="str">
        <f>IF(COUNTIFS( $B$2:$B$657, B197, $C$2:$C$657, C197, $D$2:$D$657, D197, $E$2:$E$657, E197) &gt; 1, "Duplicate", "Unique")</f>
        <v>Unique</v>
      </c>
    </row>
    <row r="198" spans="1:16" ht="40.75" customHeight="1" thickBot="1" x14ac:dyDescent="0.4">
      <c r="A198" s="28">
        <v>46260.556944444441</v>
      </c>
      <c r="B198" s="29" t="s">
        <v>35</v>
      </c>
      <c r="C198" s="29" t="s">
        <v>7</v>
      </c>
      <c r="D198" s="30">
        <v>5</v>
      </c>
      <c r="E198" s="30">
        <v>1251</v>
      </c>
      <c r="F198" s="4">
        <v>14.89713446</v>
      </c>
      <c r="G198" s="2" t="s">
        <v>64</v>
      </c>
      <c r="H198" s="5">
        <v>1088.8</v>
      </c>
      <c r="I198" s="1" t="s">
        <v>8</v>
      </c>
      <c r="J198" s="25" t="s">
        <v>117</v>
      </c>
      <c r="K198" s="25" t="s">
        <v>162</v>
      </c>
      <c r="L198" s="25">
        <v>6105</v>
      </c>
      <c r="M198" s="25">
        <f>ABS((D198*E198)-L198)</f>
        <v>150</v>
      </c>
      <c r="N198" s="26" t="str">
        <f>IF(COUNTIFS( $B$2:$B$657, B198, $C$2:$C$657, C198, $D$2:$D$657, D198, $E$2:$E$657, E198) &gt; 1, "Duplicate", "Unique")</f>
        <v>Duplicate</v>
      </c>
    </row>
    <row r="199" spans="1:16" ht="40.75" customHeight="1" thickBot="1" x14ac:dyDescent="0.4">
      <c r="A199" s="28">
        <v>46261.375</v>
      </c>
      <c r="B199" s="29" t="s">
        <v>35</v>
      </c>
      <c r="C199" s="29" t="s">
        <v>7</v>
      </c>
      <c r="D199" s="30">
        <v>5</v>
      </c>
      <c r="E199" s="30">
        <v>1251</v>
      </c>
      <c r="F199" s="4">
        <v>14.89713446</v>
      </c>
      <c r="G199" s="2" t="s">
        <v>64</v>
      </c>
      <c r="H199" s="5">
        <v>1088.8</v>
      </c>
      <c r="I199" s="1" t="s">
        <v>8</v>
      </c>
      <c r="J199" s="25" t="s">
        <v>117</v>
      </c>
      <c r="K199" s="25" t="s">
        <v>175</v>
      </c>
      <c r="L199" s="25">
        <v>6005</v>
      </c>
      <c r="M199" s="25">
        <f>ABS((D199*E199)-L199)</f>
        <v>250</v>
      </c>
      <c r="N199" s="27" t="str">
        <f>IF(COUNTIFS( $B$2:$B$657, B199, $C$2:$C$657, C199, $D$2:$D$657, D199, $E$2:$E$657, E199) &gt; 1, "Duplicate", "Unique")</f>
        <v>Duplicate</v>
      </c>
    </row>
    <row r="200" spans="1:16" ht="27.65" customHeight="1" thickBot="1" x14ac:dyDescent="0.4">
      <c r="A200" s="11">
        <v>46252.688194444447</v>
      </c>
      <c r="B200" s="8" t="s">
        <v>28</v>
      </c>
      <c r="C200" s="8" t="s">
        <v>7</v>
      </c>
      <c r="D200" s="8">
        <v>30</v>
      </c>
      <c r="E200" s="8">
        <v>930</v>
      </c>
      <c r="F200" s="4">
        <v>14.9709482</v>
      </c>
      <c r="G200" s="2" t="s">
        <v>124</v>
      </c>
      <c r="H200" s="5">
        <v>808.9</v>
      </c>
      <c r="I200" s="1" t="s">
        <v>8</v>
      </c>
      <c r="J200" s="32"/>
      <c r="N200" s="10" t="str">
        <f>IF(COUNTIFS( $B$2:$B$657, B200, $C$2:$C$657, C200, $D$2:$D$657, D200, $E$2:$E$657, E200) &gt; 1, "Duplicate", "Unique")</f>
        <v>Unique</v>
      </c>
      <c r="P200" s="27"/>
    </row>
    <row r="201" spans="1:16" ht="40.75" customHeight="1" thickBot="1" x14ac:dyDescent="0.4">
      <c r="A201" s="11">
        <v>46252.645833333336</v>
      </c>
      <c r="B201" s="8" t="s">
        <v>48</v>
      </c>
      <c r="C201" s="8" t="s">
        <v>7</v>
      </c>
      <c r="D201" s="8">
        <v>5</v>
      </c>
      <c r="E201" s="8">
        <v>4177</v>
      </c>
      <c r="F201" s="4">
        <v>15.005506609999999</v>
      </c>
      <c r="G201" s="2" t="s">
        <v>49</v>
      </c>
      <c r="H201" s="5">
        <v>3632</v>
      </c>
      <c r="I201" s="1" t="s">
        <v>8</v>
      </c>
      <c r="J201" s="32"/>
      <c r="N201" s="10" t="str">
        <f>IF(COUNTIFS( $B$2:$B$657, B201, $C$2:$C$657, C201, $D$2:$D$657, D201, $E$2:$E$657, E201) &gt; 1, "Duplicate", "Unique")</f>
        <v>Unique</v>
      </c>
      <c r="O201" s="22"/>
    </row>
    <row r="202" spans="1:16" ht="40.75" customHeight="1" thickBot="1" x14ac:dyDescent="0.4">
      <c r="A202" s="8" t="s">
        <v>61</v>
      </c>
      <c r="B202" s="8" t="s">
        <v>122</v>
      </c>
      <c r="C202" s="8" t="s">
        <v>7</v>
      </c>
      <c r="D202" s="8">
        <v>200</v>
      </c>
      <c r="E202" s="8">
        <v>90.75</v>
      </c>
      <c r="F202" s="4">
        <v>15.019011409999999</v>
      </c>
      <c r="G202" s="2" t="s">
        <v>123</v>
      </c>
      <c r="H202" s="5">
        <v>78.900000000000006</v>
      </c>
      <c r="I202" s="1" t="s">
        <v>8</v>
      </c>
      <c r="J202" s="32" t="s">
        <v>54</v>
      </c>
      <c r="N202" s="10" t="str">
        <f>IF(COUNTIFS( $B$2:$B$657, B202, $C$2:$C$657, C202, $D$2:$D$657, D202, $E$2:$E$657, E202) &gt; 1, "Duplicate", "Unique")</f>
        <v>Unique</v>
      </c>
    </row>
    <row r="203" spans="1:16" ht="40.75" hidden="1" customHeight="1" thickBot="1" x14ac:dyDescent="0.4">
      <c r="A203" s="3">
        <v>46261.615277777775</v>
      </c>
      <c r="B203" s="1" t="s">
        <v>34</v>
      </c>
      <c r="C203" s="1" t="s">
        <v>7</v>
      </c>
      <c r="D203" s="4">
        <v>50</v>
      </c>
      <c r="E203" s="4">
        <v>226.3</v>
      </c>
      <c r="F203" s="4">
        <v>15.024905970000001</v>
      </c>
      <c r="G203" s="2" t="s">
        <v>41</v>
      </c>
      <c r="H203" s="5">
        <v>196.74</v>
      </c>
      <c r="I203" s="1" t="s">
        <v>8</v>
      </c>
      <c r="J203" s="17" t="s">
        <v>117</v>
      </c>
      <c r="K203" s="17" t="s">
        <v>171</v>
      </c>
      <c r="L203" s="17">
        <v>10814</v>
      </c>
      <c r="M203" s="17">
        <f>ABS((D203*E203)-L203)</f>
        <v>501</v>
      </c>
      <c r="N203" s="10" t="str">
        <f>IF(COUNTIFS( $B$2:$B$657, B203, $C$2:$C$657, C203, $D$2:$D$657, D203, $E$2:$E$657, E203) &gt; 1, "Duplicate", "Unique")</f>
        <v>Unique</v>
      </c>
      <c r="O203" s="36" t="s">
        <v>237</v>
      </c>
    </row>
    <row r="204" spans="1:16" ht="27.65" customHeight="1" thickBot="1" x14ac:dyDescent="0.4">
      <c r="A204" s="3">
        <v>46266.375</v>
      </c>
      <c r="B204" s="1" t="s">
        <v>86</v>
      </c>
      <c r="C204" s="1" t="s">
        <v>7</v>
      </c>
      <c r="D204" s="4">
        <v>10</v>
      </c>
      <c r="E204" s="4">
        <v>1296</v>
      </c>
      <c r="F204" s="4">
        <v>15.067033650000001</v>
      </c>
      <c r="G204" s="2" t="s">
        <v>87</v>
      </c>
      <c r="H204" s="5">
        <v>1126.3</v>
      </c>
      <c r="I204" s="1" t="s">
        <v>8</v>
      </c>
      <c r="J204" s="17" t="s">
        <v>116</v>
      </c>
      <c r="K204" s="17" t="s">
        <v>212</v>
      </c>
      <c r="L204" s="17">
        <v>12600</v>
      </c>
      <c r="M204" s="17">
        <f>ABS((D204*E204)-L204)</f>
        <v>360</v>
      </c>
      <c r="N204" s="10" t="str">
        <f>IF(COUNTIFS( $B$2:$B$657, B204, $C$2:$C$657, C204, $D$2:$D$657, D204, $E$2:$E$657, E204) &gt; 1, "Duplicate", "Unique")</f>
        <v>Unique</v>
      </c>
    </row>
    <row r="205" spans="1:16" ht="40.75" customHeight="1" thickBot="1" x14ac:dyDescent="0.4">
      <c r="A205" s="8" t="s">
        <v>61</v>
      </c>
      <c r="B205" s="8" t="s">
        <v>137</v>
      </c>
      <c r="C205" s="8" t="s">
        <v>7</v>
      </c>
      <c r="D205" s="8">
        <v>35</v>
      </c>
      <c r="E205" s="13">
        <v>494</v>
      </c>
      <c r="F205" s="4">
        <v>15.084449619999999</v>
      </c>
      <c r="G205" s="2" t="s">
        <v>138</v>
      </c>
      <c r="H205" s="5">
        <v>429.25</v>
      </c>
      <c r="I205" s="1" t="s">
        <v>8</v>
      </c>
      <c r="J205" s="32"/>
      <c r="N205" s="10" t="str">
        <f>IF(COUNTIFS( $B$2:$B$657, B205, $C$2:$C$657, C205, $D$2:$D$657, D205, $E$2:$E$657, E205) &gt; 1, "Duplicate", "Unique")</f>
        <v>Unique</v>
      </c>
    </row>
    <row r="206" spans="1:16" ht="27.65" customHeight="1" thickBot="1" x14ac:dyDescent="0.4">
      <c r="A206" s="3">
        <v>46261.375694444447</v>
      </c>
      <c r="B206" s="1" t="s">
        <v>77</v>
      </c>
      <c r="C206" s="1" t="s">
        <v>7</v>
      </c>
      <c r="D206" s="4">
        <v>5</v>
      </c>
      <c r="E206" s="4">
        <v>1490</v>
      </c>
      <c r="F206" s="4">
        <v>15.23588554</v>
      </c>
      <c r="G206" s="2" t="s">
        <v>78</v>
      </c>
      <c r="H206" s="5">
        <v>1293</v>
      </c>
      <c r="I206" s="1" t="s">
        <v>8</v>
      </c>
      <c r="J206" s="17" t="s">
        <v>117</v>
      </c>
      <c r="K206" s="17" t="s">
        <v>182</v>
      </c>
      <c r="L206" s="17">
        <v>7200</v>
      </c>
      <c r="M206" s="17">
        <f>ABS((D206*E206)-L206)</f>
        <v>250</v>
      </c>
      <c r="N206" s="10" t="str">
        <f>IF(COUNTIFS( $B$2:$B$657, B206, $C$2:$C$657, C206, $D$2:$D$657, D206, $E$2:$E$657, E206) &gt; 1, "Duplicate", "Unique")</f>
        <v>Unique</v>
      </c>
    </row>
    <row r="207" spans="1:16" s="27" customFormat="1" ht="40.75" customHeight="1" thickBot="1" x14ac:dyDescent="0.4">
      <c r="A207" s="3">
        <v>46265.375694444447</v>
      </c>
      <c r="B207" s="1" t="s">
        <v>77</v>
      </c>
      <c r="C207" s="1" t="s">
        <v>7</v>
      </c>
      <c r="D207" s="4">
        <v>3</v>
      </c>
      <c r="E207" s="4">
        <v>1490</v>
      </c>
      <c r="F207" s="4">
        <v>15.23588554</v>
      </c>
      <c r="G207" s="2" t="s">
        <v>78</v>
      </c>
      <c r="H207" s="5">
        <v>1293</v>
      </c>
      <c r="I207" s="1" t="s">
        <v>8</v>
      </c>
      <c r="J207" s="17" t="s">
        <v>117</v>
      </c>
      <c r="K207" s="17" t="s">
        <v>200</v>
      </c>
      <c r="L207" s="17">
        <v>4170</v>
      </c>
      <c r="M207" s="17">
        <f>ABS((D207*E207)-L207)</f>
        <v>300</v>
      </c>
      <c r="N207" t="str">
        <f>IF(COUNTIFS( $B$2:$B$657, B207, $C$2:$C$657, C207, $D$2:$D$657, D207, $E$2:$E$657, E207) &gt; 1, "Duplicate", "Unique")</f>
        <v>Unique</v>
      </c>
      <c r="O207" s="10"/>
      <c r="P207" s="10"/>
    </row>
    <row r="208" spans="1:16" s="27" customFormat="1" ht="40.75" customHeight="1" thickBot="1" x14ac:dyDescent="0.4">
      <c r="A208" s="3">
        <v>46294.475694444445</v>
      </c>
      <c r="B208" s="2" t="s">
        <v>16</v>
      </c>
      <c r="C208" s="2" t="s">
        <v>7</v>
      </c>
      <c r="D208" s="5">
        <v>5</v>
      </c>
      <c r="E208" s="5">
        <v>849</v>
      </c>
      <c r="F208" s="4">
        <v>15.30626103</v>
      </c>
      <c r="G208" s="2" t="s">
        <v>60</v>
      </c>
      <c r="H208" s="5">
        <v>736.3</v>
      </c>
      <c r="I208" s="1" t="s">
        <v>8</v>
      </c>
      <c r="J208" s="17" t="s">
        <v>117</v>
      </c>
      <c r="K208" s="17" t="s">
        <v>294</v>
      </c>
      <c r="L208" s="17">
        <v>3869</v>
      </c>
      <c r="M208" s="17">
        <f>ABS((D208*E208)-L208)</f>
        <v>376</v>
      </c>
      <c r="N208" s="10" t="str">
        <f>IF(COUNTIFS( $B$2:$B$657, B208, $C$2:$C$657, C208, $D$2:$D$657, D208, $E$2:$E$657, E208) &gt; 1, "Duplicate", "Unique")</f>
        <v>Unique</v>
      </c>
      <c r="O208" s="10"/>
      <c r="P208" s="10"/>
    </row>
    <row r="209" spans="1:16" ht="40.75" customHeight="1" thickBot="1" x14ac:dyDescent="0.4">
      <c r="A209" s="8" t="s">
        <v>61</v>
      </c>
      <c r="B209" s="8" t="s">
        <v>134</v>
      </c>
      <c r="C209" s="8" t="s">
        <v>7</v>
      </c>
      <c r="D209" s="8">
        <v>5</v>
      </c>
      <c r="E209" s="8">
        <v>2190</v>
      </c>
      <c r="F209" s="4">
        <v>15.4393548</v>
      </c>
      <c r="G209" s="2" t="s">
        <v>135</v>
      </c>
      <c r="H209" s="5">
        <v>1897.1</v>
      </c>
      <c r="I209" s="1" t="s">
        <v>8</v>
      </c>
      <c r="J209" s="32" t="s">
        <v>117</v>
      </c>
      <c r="N209" s="10" t="str">
        <f>IF(COUNTIFS( $B$2:$B$657, B209, $C$2:$C$657, C209, $D$2:$D$657, D209, $E$2:$E$657, E209) &gt; 1, "Duplicate", "Unique")</f>
        <v>Unique</v>
      </c>
      <c r="O209" s="27"/>
    </row>
    <row r="210" spans="1:16" ht="40.75" hidden="1" customHeight="1" thickBot="1" x14ac:dyDescent="0.4">
      <c r="A210" s="6" t="s">
        <v>61</v>
      </c>
      <c r="B210" s="1" t="s">
        <v>15</v>
      </c>
      <c r="C210" s="1" t="s">
        <v>10</v>
      </c>
      <c r="D210" s="4">
        <v>30</v>
      </c>
      <c r="E210" s="4">
        <v>2435</v>
      </c>
      <c r="F210" s="4">
        <v>15.457562830000001</v>
      </c>
      <c r="G210" s="2" t="s">
        <v>71</v>
      </c>
      <c r="H210" s="5">
        <v>2109</v>
      </c>
      <c r="I210" s="1" t="s">
        <v>8</v>
      </c>
      <c r="J210" s="96" t="s">
        <v>54</v>
      </c>
      <c r="K210" s="16"/>
      <c r="L210" s="16"/>
      <c r="M210" s="16"/>
      <c r="N210" t="str">
        <f>IF(COUNTIFS( $B$2:$B$657, B210, $C$2:$C$657, C210, $D$2:$D$657, D210, $E$2:$E$657, E210) &gt; 1, "Duplicate", "Unique")</f>
        <v>Unique</v>
      </c>
    </row>
    <row r="211" spans="1:16" ht="27.65" customHeight="1" thickBot="1" x14ac:dyDescent="0.4">
      <c r="A211" s="28">
        <v>46258.443749999999</v>
      </c>
      <c r="B211" s="29" t="s">
        <v>6</v>
      </c>
      <c r="C211" s="29" t="s">
        <v>7</v>
      </c>
      <c r="D211" s="30">
        <v>50</v>
      </c>
      <c r="E211" s="30">
        <v>294</v>
      </c>
      <c r="F211" s="4">
        <v>15.656963019999999</v>
      </c>
      <c r="G211" s="2" t="s">
        <v>129</v>
      </c>
      <c r="H211" s="5">
        <v>254.2</v>
      </c>
      <c r="I211" s="1" t="s">
        <v>8</v>
      </c>
      <c r="J211" s="25" t="s">
        <v>117</v>
      </c>
      <c r="K211" s="25" t="s">
        <v>154</v>
      </c>
      <c r="L211" s="25">
        <v>14172.5</v>
      </c>
      <c r="M211" s="25">
        <f>ABS((D211*E211)-L211)</f>
        <v>527.5</v>
      </c>
      <c r="N211" s="27" t="str">
        <f>IF(COUNTIFS( $B$2:$B$657, B211, $C$2:$C$657, C211, $D$2:$D$657, D211, $E$2:$E$657, E211) &gt; 1, "Duplicate", "Unique")</f>
        <v>Unique</v>
      </c>
      <c r="O211" s="27"/>
      <c r="P211" s="27"/>
    </row>
    <row r="212" spans="1:16" ht="40.75" customHeight="1" thickBot="1" x14ac:dyDescent="0.4">
      <c r="A212" s="38">
        <v>46253.4</v>
      </c>
      <c r="B212" s="39" t="s">
        <v>6</v>
      </c>
      <c r="C212" s="39" t="s">
        <v>7</v>
      </c>
      <c r="D212" s="39">
        <v>30</v>
      </c>
      <c r="E212" s="39">
        <v>294</v>
      </c>
      <c r="F212" s="4">
        <v>15.656963019999999</v>
      </c>
      <c r="G212" s="2" t="s">
        <v>129</v>
      </c>
      <c r="H212" s="5">
        <v>254.2</v>
      </c>
      <c r="I212" s="1" t="s">
        <v>8</v>
      </c>
      <c r="J212" s="45" t="s">
        <v>117</v>
      </c>
      <c r="K212" s="25" t="s">
        <v>142</v>
      </c>
      <c r="L212" s="25"/>
      <c r="M212" s="25"/>
      <c r="N212" s="27" t="str">
        <f>IF(COUNTIFS( $B$2:$B$657, B212, $C$2:$C$657, C212, $D$2:$D$657, D212, $E$2:$E$657, E212) &gt; 1, "Duplicate", "Unique")</f>
        <v>Unique</v>
      </c>
      <c r="O212" s="27"/>
      <c r="P212" s="27"/>
    </row>
    <row r="213" spans="1:16" ht="27.65" customHeight="1" thickBot="1" x14ac:dyDescent="0.4">
      <c r="A213" s="8" t="s">
        <v>61</v>
      </c>
      <c r="B213" s="8" t="s">
        <v>120</v>
      </c>
      <c r="C213" s="8" t="s">
        <v>7</v>
      </c>
      <c r="D213" s="8">
        <v>10</v>
      </c>
      <c r="E213" s="8">
        <v>816</v>
      </c>
      <c r="F213" s="4">
        <v>15.769312619999999</v>
      </c>
      <c r="G213" s="2" t="s">
        <v>121</v>
      </c>
      <c r="H213" s="5">
        <v>704.85</v>
      </c>
      <c r="I213" s="1" t="s">
        <v>8</v>
      </c>
      <c r="J213" s="32" t="s">
        <v>116</v>
      </c>
      <c r="N213" s="10" t="str">
        <f>IF(COUNTIFS( $B$2:$B$657, B213, $C$2:$C$657, C213, $D$2:$D$657, D213, $E$2:$E$657, E213) &gt; 1, "Duplicate", "Unique")</f>
        <v>Unique</v>
      </c>
      <c r="P213" s="27"/>
    </row>
    <row r="214" spans="1:16" ht="27.65" customHeight="1" thickBot="1" x14ac:dyDescent="0.4">
      <c r="A214" s="3">
        <v>46261.375</v>
      </c>
      <c r="B214" s="1" t="s">
        <v>18</v>
      </c>
      <c r="C214" s="1" t="s">
        <v>7</v>
      </c>
      <c r="D214" s="4">
        <v>2</v>
      </c>
      <c r="E214" s="4">
        <v>1970</v>
      </c>
      <c r="F214" s="4">
        <v>15.81422693</v>
      </c>
      <c r="G214" s="2" t="s">
        <v>101</v>
      </c>
      <c r="H214" s="5">
        <v>1701</v>
      </c>
      <c r="I214" s="1" t="s">
        <v>8</v>
      </c>
      <c r="J214" s="17" t="s">
        <v>116</v>
      </c>
      <c r="K214" s="17" t="s">
        <v>177</v>
      </c>
      <c r="L214" s="17">
        <v>3680</v>
      </c>
      <c r="M214" s="17">
        <f>ABS((D214*E214)-L214)</f>
        <v>260</v>
      </c>
      <c r="N214" s="10" t="str">
        <f>IF(COUNTIFS( $B$2:$B$657, B214, $C$2:$C$657, C214, $D$2:$D$657, D214, $E$2:$E$657, E214) &gt; 1, "Duplicate", "Unique")</f>
        <v>Unique</v>
      </c>
    </row>
    <row r="215" spans="1:16" ht="27.65" customHeight="1" thickBot="1" x14ac:dyDescent="0.4">
      <c r="A215" s="3">
        <v>46275.375</v>
      </c>
      <c r="B215" s="1" t="s">
        <v>23</v>
      </c>
      <c r="C215" s="1" t="s">
        <v>7</v>
      </c>
      <c r="D215" s="4">
        <v>50</v>
      </c>
      <c r="E215" s="4">
        <v>214</v>
      </c>
      <c r="F215" s="4">
        <v>15.95773503</v>
      </c>
      <c r="G215" s="2" t="s">
        <v>69</v>
      </c>
      <c r="H215" s="5">
        <v>184.55</v>
      </c>
      <c r="I215" s="1" t="s">
        <v>8</v>
      </c>
      <c r="J215" s="17" t="s">
        <v>116</v>
      </c>
      <c r="K215" s="17" t="s">
        <v>256</v>
      </c>
      <c r="L215" s="17">
        <v>10400</v>
      </c>
      <c r="M215" s="17">
        <f>ABS((D215*E215)-L215)</f>
        <v>300</v>
      </c>
      <c r="N215" s="10" t="str">
        <f>IF(COUNTIFS( $B$2:$B$657, B215, $C$2:$C$657, C215, $D$2:$D$657, D215, $E$2:$E$657, E215) &gt; 1, "Duplicate", "Unique")</f>
        <v>Unique</v>
      </c>
    </row>
    <row r="216" spans="1:16" ht="40.75" customHeight="1" thickBot="1" x14ac:dyDescent="0.4">
      <c r="A216" s="68">
        <v>46269.643055555556</v>
      </c>
      <c r="B216" s="66" t="s">
        <v>12</v>
      </c>
      <c r="C216" s="66" t="s">
        <v>7</v>
      </c>
      <c r="D216" s="65">
        <v>1</v>
      </c>
      <c r="E216" s="65">
        <v>5448</v>
      </c>
      <c r="F216" s="4">
        <v>16.013628619999999</v>
      </c>
      <c r="G216" s="2" t="s">
        <v>97</v>
      </c>
      <c r="H216" s="5">
        <v>4696</v>
      </c>
      <c r="I216" s="1" t="s">
        <v>8</v>
      </c>
      <c r="J216" s="41" t="s">
        <v>117</v>
      </c>
      <c r="K216" s="41" t="s">
        <v>231</v>
      </c>
      <c r="L216" s="41">
        <v>5180</v>
      </c>
      <c r="M216" s="41">
        <f>ABS((D216*E216)-L216)</f>
        <v>268</v>
      </c>
      <c r="N216" s="67" t="str">
        <f>IF(COUNTIFS( $B$2:$B$657, B216, $C$2:$C$657, C216, $D$2:$D$657, D216, $E$2:$E$657, E216) &gt; 1, "Duplicate", "Unique")</f>
        <v>Unique</v>
      </c>
      <c r="O216" s="22"/>
      <c r="P216" s="22" t="s">
        <v>249</v>
      </c>
    </row>
    <row r="217" spans="1:16" ht="27.65" customHeight="1" thickBot="1" x14ac:dyDescent="0.4">
      <c r="A217" s="3">
        <v>46260.375</v>
      </c>
      <c r="B217" s="1" t="s">
        <v>13</v>
      </c>
      <c r="C217" s="1" t="s">
        <v>7</v>
      </c>
      <c r="D217" s="4">
        <v>5</v>
      </c>
      <c r="E217" s="4">
        <v>1994</v>
      </c>
      <c r="F217" s="4">
        <v>16.268221570000001</v>
      </c>
      <c r="G217" s="2" t="s">
        <v>90</v>
      </c>
      <c r="H217" s="5">
        <v>1715</v>
      </c>
      <c r="I217" s="1" t="s">
        <v>8</v>
      </c>
      <c r="J217" s="17" t="s">
        <v>117</v>
      </c>
      <c r="K217" s="17" t="s">
        <v>169</v>
      </c>
      <c r="L217" s="17">
        <v>9320</v>
      </c>
      <c r="M217" s="17">
        <f>ABS((D217*E217)-L217)</f>
        <v>650</v>
      </c>
      <c r="N217" t="str">
        <f>IF(COUNTIFS( $B$2:$B$657, B217, $C$2:$C$657, C217, $D$2:$D$657, D217, $E$2:$E$657, E217) &gt; 1, "Duplicate", "Unique")</f>
        <v>Unique</v>
      </c>
      <c r="P217" s="27"/>
    </row>
    <row r="218" spans="1:16" s="27" customFormat="1" ht="40.75" customHeight="1" thickBot="1" x14ac:dyDescent="0.4">
      <c r="A218" s="8" t="s">
        <v>61</v>
      </c>
      <c r="B218" s="8" t="s">
        <v>122</v>
      </c>
      <c r="C218" s="8" t="s">
        <v>7</v>
      </c>
      <c r="D218" s="8">
        <v>200</v>
      </c>
      <c r="E218" s="8">
        <v>91.75</v>
      </c>
      <c r="F218" s="4">
        <v>16.286438530000002</v>
      </c>
      <c r="G218" s="2" t="s">
        <v>123</v>
      </c>
      <c r="H218" s="5">
        <v>78.900000000000006</v>
      </c>
      <c r="I218" s="1" t="s">
        <v>8</v>
      </c>
      <c r="J218" s="32"/>
      <c r="K218" s="17"/>
      <c r="L218" s="17"/>
      <c r="M218" s="17"/>
      <c r="N218" s="10" t="str">
        <f>IF(COUNTIFS( $B$2:$B$657, B218, $C$2:$C$657, C218, $D$2:$D$657, D218, $E$2:$E$657, E218) &gt; 1, "Duplicate", "Unique")</f>
        <v>Unique</v>
      </c>
      <c r="O218" s="10"/>
      <c r="P218" s="10"/>
    </row>
    <row r="219" spans="1:16" ht="27.65" customHeight="1" thickBot="1" x14ac:dyDescent="0.4">
      <c r="A219" s="8" t="s">
        <v>61</v>
      </c>
      <c r="B219" s="8" t="s">
        <v>14</v>
      </c>
      <c r="C219" s="8" t="s">
        <v>7</v>
      </c>
      <c r="D219" s="8">
        <v>17</v>
      </c>
      <c r="E219" s="8">
        <v>373</v>
      </c>
      <c r="F219" s="4">
        <v>16.362501949999999</v>
      </c>
      <c r="G219" s="2" t="s">
        <v>44</v>
      </c>
      <c r="H219" s="5">
        <v>320.55</v>
      </c>
      <c r="I219" s="1" t="s">
        <v>8</v>
      </c>
      <c r="J219" s="32"/>
      <c r="N219" s="10" t="str">
        <f>IF(COUNTIFS( $B$2:$B$657, B219, $C$2:$C$657, C219, $D$2:$D$657, D219, $E$2:$E$657, E219) &gt; 1, "Duplicate", "Unique")</f>
        <v>Unique</v>
      </c>
    </row>
    <row r="220" spans="1:16" ht="40.75" customHeight="1" thickBot="1" x14ac:dyDescent="0.4">
      <c r="A220" s="8" t="s">
        <v>61</v>
      </c>
      <c r="B220" s="8" t="s">
        <v>14</v>
      </c>
      <c r="C220" s="8" t="s">
        <v>7</v>
      </c>
      <c r="D220" s="8">
        <v>50</v>
      </c>
      <c r="E220" s="12">
        <v>373</v>
      </c>
      <c r="F220" s="4">
        <v>16.362501949999999</v>
      </c>
      <c r="G220" s="2" t="s">
        <v>44</v>
      </c>
      <c r="H220" s="5">
        <v>320.55</v>
      </c>
      <c r="I220" s="1" t="s">
        <v>8</v>
      </c>
      <c r="J220" s="32" t="s">
        <v>117</v>
      </c>
      <c r="N220" s="10" t="str">
        <f>IF(COUNTIFS( $B$2:$B$657, B220, $C$2:$C$657, C220, $D$2:$D$657, D220, $E$2:$E$657, E220) &gt; 1, "Duplicate", "Unique")</f>
        <v>Unique</v>
      </c>
      <c r="O220" s="27"/>
    </row>
    <row r="221" spans="1:16" ht="27.65" customHeight="1" thickBot="1" x14ac:dyDescent="0.4">
      <c r="A221" s="3">
        <v>46335.442361111112</v>
      </c>
      <c r="B221" s="1" t="s">
        <v>79</v>
      </c>
      <c r="C221" s="1" t="s">
        <v>7</v>
      </c>
      <c r="D221" s="4">
        <v>10</v>
      </c>
      <c r="E221" s="4">
        <v>1460</v>
      </c>
      <c r="F221" s="4">
        <v>16.42743222</v>
      </c>
      <c r="G221" s="2" t="s">
        <v>80</v>
      </c>
      <c r="H221" s="5">
        <v>1254</v>
      </c>
      <c r="I221" s="1" t="s">
        <v>8</v>
      </c>
      <c r="J221" s="17" t="s">
        <v>116</v>
      </c>
      <c r="K221" s="17" t="s">
        <v>260</v>
      </c>
      <c r="L221" s="17">
        <v>14100</v>
      </c>
      <c r="M221" s="17">
        <f>ABS((D221*E221)-L221)</f>
        <v>500</v>
      </c>
      <c r="N221" s="10" t="str">
        <f>IF(COUNTIFS( $B$2:$B$657, B221, $C$2:$C$657, C221, $D$2:$D$657, D221, $E$2:$E$657, E221) &gt; 1, "Duplicate", "Unique")</f>
        <v>Unique</v>
      </c>
    </row>
    <row r="222" spans="1:16" s="27" customFormat="1" ht="40.75" customHeight="1" thickBot="1" x14ac:dyDescent="0.4">
      <c r="A222" s="28">
        <v>46258.443055555559</v>
      </c>
      <c r="B222" s="29" t="s">
        <v>34</v>
      </c>
      <c r="C222" s="29" t="s">
        <v>7</v>
      </c>
      <c r="D222" s="30">
        <v>50</v>
      </c>
      <c r="E222" s="30">
        <v>229.5</v>
      </c>
      <c r="F222" s="4">
        <v>16.651418119999999</v>
      </c>
      <c r="G222" s="2" t="s">
        <v>41</v>
      </c>
      <c r="H222" s="5">
        <v>196.74</v>
      </c>
      <c r="I222" s="1" t="s">
        <v>8</v>
      </c>
      <c r="J222" s="25" t="s">
        <v>117</v>
      </c>
      <c r="K222" s="25" t="s">
        <v>155</v>
      </c>
      <c r="L222" s="25">
        <v>11175</v>
      </c>
      <c r="M222" s="25">
        <f>ABS((D222*E222)-L222)</f>
        <v>300</v>
      </c>
      <c r="N222" s="27" t="str">
        <f>IF(COUNTIFS( $B$2:$B$657, B222, $C$2:$C$657, C222, $D$2:$D$657, D222, $E$2:$E$657, E222) &gt; 1, "Duplicate", "Unique")</f>
        <v>Unique</v>
      </c>
    </row>
    <row r="223" spans="1:16" ht="27.65" customHeight="1" thickBot="1" x14ac:dyDescent="0.4">
      <c r="A223" s="28">
        <v>46259.375</v>
      </c>
      <c r="B223" s="29" t="s">
        <v>34</v>
      </c>
      <c r="C223" s="29" t="s">
        <v>7</v>
      </c>
      <c r="D223" s="30">
        <v>20</v>
      </c>
      <c r="E223" s="30">
        <v>229.5</v>
      </c>
      <c r="F223" s="4">
        <v>16.651418119999999</v>
      </c>
      <c r="G223" s="2" t="s">
        <v>41</v>
      </c>
      <c r="H223" s="5">
        <v>196.74</v>
      </c>
      <c r="I223" s="1" t="s">
        <v>8</v>
      </c>
      <c r="J223" s="25" t="s">
        <v>117</v>
      </c>
      <c r="K223" s="25" t="s">
        <v>160</v>
      </c>
      <c r="L223" s="25">
        <v>4402</v>
      </c>
      <c r="M223" s="25">
        <f>ABS((D223*E223)-L223)</f>
        <v>188</v>
      </c>
      <c r="N223" s="27" t="str">
        <f>IF(COUNTIFS( $B$2:$B$657, B223, $C$2:$C$657, C223, $D$2:$D$657, D223, $E$2:$E$657, E223) &gt; 1, "Duplicate", "Unique")</f>
        <v>Unique</v>
      </c>
      <c r="O223" s="27"/>
      <c r="P223" s="27"/>
    </row>
    <row r="224" spans="1:16" ht="27.65" hidden="1" customHeight="1" thickBot="1" x14ac:dyDescent="0.4">
      <c r="A224" s="6" t="s">
        <v>61</v>
      </c>
      <c r="B224" s="1" t="s">
        <v>15</v>
      </c>
      <c r="C224" s="1" t="s">
        <v>10</v>
      </c>
      <c r="D224" s="4">
        <v>5</v>
      </c>
      <c r="E224" s="4">
        <v>2470</v>
      </c>
      <c r="F224" s="4">
        <v>17.11711712</v>
      </c>
      <c r="G224" s="2" t="s">
        <v>71</v>
      </c>
      <c r="H224" s="5">
        <v>2109</v>
      </c>
      <c r="I224" s="1" t="s">
        <v>8</v>
      </c>
      <c r="J224" s="96" t="s">
        <v>40</v>
      </c>
      <c r="K224" s="16"/>
      <c r="L224" s="16"/>
      <c r="M224" s="16"/>
      <c r="N224" t="str">
        <f>IF(COUNTIFS( $B$2:$B$657, B224, $C$2:$C$657, C224, $D$2:$D$657, D224, $E$2:$E$657, E224) &gt; 1, "Duplicate", "Unique")</f>
        <v>Unique</v>
      </c>
      <c r="P224" s="22"/>
    </row>
    <row r="225" spans="1:16" ht="40.75" customHeight="1" thickBot="1" x14ac:dyDescent="0.4">
      <c r="A225" s="3">
        <v>46265.375694444447</v>
      </c>
      <c r="B225" s="1" t="s">
        <v>86</v>
      </c>
      <c r="C225" s="1" t="s">
        <v>7</v>
      </c>
      <c r="D225" s="4">
        <v>10</v>
      </c>
      <c r="E225" s="4">
        <v>1320</v>
      </c>
      <c r="F225" s="4">
        <v>17.197904640000001</v>
      </c>
      <c r="G225" s="2" t="s">
        <v>87</v>
      </c>
      <c r="H225" s="5">
        <v>1126.3</v>
      </c>
      <c r="I225" s="1" t="s">
        <v>8</v>
      </c>
      <c r="J225" s="17" t="s">
        <v>116</v>
      </c>
      <c r="K225" s="17" t="s">
        <v>197</v>
      </c>
      <c r="L225" s="17">
        <v>12800</v>
      </c>
      <c r="M225" s="17">
        <f>ABS((D225*E225)-L225)</f>
        <v>400</v>
      </c>
      <c r="N225" t="str">
        <f>IF(COUNTIFS( $B$2:$B$657, B225, $C$2:$C$657, C225, $D$2:$D$657, D225, $E$2:$E$657, E225) &gt; 1, "Duplicate", "Unique")</f>
        <v>Unique</v>
      </c>
    </row>
    <row r="226" spans="1:16" ht="27.65" customHeight="1" thickBot="1" x14ac:dyDescent="0.4">
      <c r="A226" s="3">
        <v>46276.4</v>
      </c>
      <c r="B226" s="1" t="s">
        <v>79</v>
      </c>
      <c r="C226" s="1" t="s">
        <v>7</v>
      </c>
      <c r="D226" s="4">
        <v>10</v>
      </c>
      <c r="E226" s="4">
        <v>1470</v>
      </c>
      <c r="F226" s="4">
        <v>17.224880379999998</v>
      </c>
      <c r="G226" s="2" t="s">
        <v>80</v>
      </c>
      <c r="H226" s="5">
        <v>1254</v>
      </c>
      <c r="I226" s="1" t="s">
        <v>8</v>
      </c>
      <c r="J226" s="17" t="s">
        <v>116</v>
      </c>
      <c r="K226" s="17" t="s">
        <v>262</v>
      </c>
      <c r="L226" s="17">
        <v>14200</v>
      </c>
      <c r="M226" s="17">
        <f>ABS((D226*E226)-L226)</f>
        <v>500</v>
      </c>
      <c r="N226" s="10" t="str">
        <f>IF(COUNTIFS( $B$2:$B$657, B226, $C$2:$C$657, C226, $D$2:$D$657, D226, $E$2:$E$657, E226) &gt; 1, "Duplicate", "Unique")</f>
        <v>Unique</v>
      </c>
    </row>
    <row r="227" spans="1:16" s="27" customFormat="1" ht="27.65" hidden="1" customHeight="1" thickBot="1" x14ac:dyDescent="0.4">
      <c r="A227" s="3">
        <v>46266.375</v>
      </c>
      <c r="B227" s="1" t="s">
        <v>88</v>
      </c>
      <c r="C227" s="1" t="s">
        <v>7</v>
      </c>
      <c r="D227" s="4">
        <v>1</v>
      </c>
      <c r="E227" s="4">
        <v>14852</v>
      </c>
      <c r="F227" s="4">
        <v>17.258803090000001</v>
      </c>
      <c r="G227" s="2" t="s">
        <v>89</v>
      </c>
      <c r="H227" s="5">
        <v>12666</v>
      </c>
      <c r="I227" s="1" t="s">
        <v>8</v>
      </c>
      <c r="J227" s="17" t="s">
        <v>117</v>
      </c>
      <c r="K227" s="17" t="s">
        <v>215</v>
      </c>
      <c r="L227" s="17">
        <v>14552</v>
      </c>
      <c r="M227" s="17">
        <f>ABS((D227*E227)-L227)</f>
        <v>300</v>
      </c>
      <c r="N227" s="10" t="str">
        <f>IF(COUNTIFS( $B$2:$B$657, B227, $C$2:$C$657, C227, $D$2:$D$657, D227, $E$2:$E$657, E227) &gt; 1, "Duplicate", "Unique")</f>
        <v>Unique</v>
      </c>
      <c r="O227" s="36" t="s">
        <v>237</v>
      </c>
    </row>
    <row r="228" spans="1:16" s="27" customFormat="1" ht="40.75" customHeight="1" thickBot="1" x14ac:dyDescent="0.4">
      <c r="A228" s="11">
        <v>46252.6875</v>
      </c>
      <c r="B228" s="8" t="s">
        <v>13</v>
      </c>
      <c r="C228" s="8" t="s">
        <v>7</v>
      </c>
      <c r="D228" s="8">
        <v>5</v>
      </c>
      <c r="E228" s="8">
        <v>2014</v>
      </c>
      <c r="F228" s="4">
        <v>17.434402330000001</v>
      </c>
      <c r="G228" s="2" t="s">
        <v>90</v>
      </c>
      <c r="H228" s="5">
        <v>1715</v>
      </c>
      <c r="I228" s="1" t="s">
        <v>8</v>
      </c>
      <c r="J228" s="32" t="s">
        <v>117</v>
      </c>
      <c r="K228" s="17"/>
      <c r="L228" s="17"/>
      <c r="M228" s="17"/>
      <c r="N228" s="10" t="str">
        <f>IF(COUNTIFS( $B$2:$B$657, B228, $C$2:$C$657, C228, $D$2:$D$657, D228, $E$2:$E$657, E228) &gt; 1, "Duplicate", "Unique")</f>
        <v>Unique</v>
      </c>
      <c r="P228" s="10"/>
    </row>
    <row r="229" spans="1:16" ht="40.75" customHeight="1" thickBot="1" x14ac:dyDescent="0.4">
      <c r="A229" s="3">
        <v>46276.375</v>
      </c>
      <c r="B229" s="1" t="s">
        <v>102</v>
      </c>
      <c r="C229" s="1" t="s">
        <v>7</v>
      </c>
      <c r="D229" s="4">
        <v>8</v>
      </c>
      <c r="E229" s="4">
        <v>2472</v>
      </c>
      <c r="F229" s="4">
        <v>17.434679330000002</v>
      </c>
      <c r="G229" s="2" t="s">
        <v>103</v>
      </c>
      <c r="H229" s="5">
        <v>2105</v>
      </c>
      <c r="I229" s="1" t="s">
        <v>8</v>
      </c>
      <c r="J229" s="17" t="s">
        <v>116</v>
      </c>
      <c r="K229" s="17" t="s">
        <v>267</v>
      </c>
      <c r="L229" s="17">
        <v>18960</v>
      </c>
      <c r="M229" s="17">
        <f>ABS((D229*E229)-L229)</f>
        <v>816</v>
      </c>
      <c r="N229" s="10" t="str">
        <f>IF(COUNTIFS( $B$2:$B$657, B229, $C$2:$C$657, C229, $D$2:$D$657, D229, $E$2:$E$657, E229) &gt; 1, "Duplicate", "Unique")</f>
        <v>Unique</v>
      </c>
    </row>
    <row r="230" spans="1:16" s="27" customFormat="1" ht="40.75" customHeight="1" thickBot="1" x14ac:dyDescent="0.4">
      <c r="A230" s="3">
        <v>46266.375694444447</v>
      </c>
      <c r="B230" s="1" t="s">
        <v>65</v>
      </c>
      <c r="C230" s="1" t="s">
        <v>7</v>
      </c>
      <c r="D230" s="4">
        <v>5</v>
      </c>
      <c r="E230" s="4">
        <v>1248</v>
      </c>
      <c r="F230" s="4">
        <v>17.536259179999998</v>
      </c>
      <c r="G230" s="2" t="s">
        <v>66</v>
      </c>
      <c r="H230" s="5">
        <v>1061.8</v>
      </c>
      <c r="I230" s="1" t="s">
        <v>8</v>
      </c>
      <c r="J230" s="17" t="s">
        <v>116</v>
      </c>
      <c r="K230" s="17" t="s">
        <v>207</v>
      </c>
      <c r="L230" s="17">
        <v>5940</v>
      </c>
      <c r="M230" s="17">
        <f>ABS((D230*E230)-L230)</f>
        <v>300</v>
      </c>
      <c r="N230" s="10" t="str">
        <f>IF(COUNTIFS( $B$2:$B$657, B230, $C$2:$C$657, C230, $D$2:$D$657, D230, $E$2:$E$657, E230) &gt; 1, "Duplicate", "Unique")</f>
        <v>Unique</v>
      </c>
      <c r="O230" s="10"/>
      <c r="P230" s="10"/>
    </row>
    <row r="231" spans="1:16" ht="40.75" customHeight="1" thickBot="1" x14ac:dyDescent="0.4">
      <c r="A231" s="11">
        <v>46252.6875</v>
      </c>
      <c r="B231" s="8" t="s">
        <v>27</v>
      </c>
      <c r="C231" s="8" t="s">
        <v>7</v>
      </c>
      <c r="D231" s="8">
        <v>2</v>
      </c>
      <c r="E231" s="8">
        <v>3048</v>
      </c>
      <c r="F231" s="4">
        <v>17.683397679999999</v>
      </c>
      <c r="G231" s="2" t="s">
        <v>130</v>
      </c>
      <c r="H231" s="5">
        <v>2590</v>
      </c>
      <c r="I231" s="1" t="s">
        <v>8</v>
      </c>
      <c r="J231" s="32" t="s">
        <v>116</v>
      </c>
      <c r="N231" s="10" t="str">
        <f>IF(COUNTIFS( $B$2:$B$657, B231, $C$2:$C$657, C231, $D$2:$D$657, D231, $E$2:$E$657, E231) &gt; 1, "Duplicate", "Unique")</f>
        <v>Unique</v>
      </c>
    </row>
    <row r="232" spans="1:16" s="27" customFormat="1" ht="27.65" customHeight="1" thickBot="1" x14ac:dyDescent="0.4">
      <c r="A232" s="11">
        <v>46252.645138888889</v>
      </c>
      <c r="B232" s="8" t="s">
        <v>34</v>
      </c>
      <c r="C232" s="8" t="s">
        <v>7</v>
      </c>
      <c r="D232" s="8">
        <v>200</v>
      </c>
      <c r="E232" s="8">
        <v>232</v>
      </c>
      <c r="F232" s="4">
        <v>17.922130729999999</v>
      </c>
      <c r="G232" s="2" t="s">
        <v>41</v>
      </c>
      <c r="H232" s="5">
        <v>196.74</v>
      </c>
      <c r="I232" s="1" t="s">
        <v>8</v>
      </c>
      <c r="J232" s="16" t="s">
        <v>116</v>
      </c>
      <c r="K232" s="17"/>
      <c r="L232" s="17"/>
      <c r="M232" s="17"/>
      <c r="N232" s="10" t="str">
        <f>IF(COUNTIFS( $B$2:$B$657, B232, $C$2:$C$657, C232, $D$2:$D$657, D232, $E$2:$E$657, E232) &gt; 1, "Duplicate", "Unique")</f>
        <v>Unique</v>
      </c>
      <c r="O232" s="10"/>
      <c r="P232" s="10"/>
    </row>
    <row r="233" spans="1:16" s="27" customFormat="1" ht="27.65" customHeight="1" thickBot="1" x14ac:dyDescent="0.4">
      <c r="A233" s="3">
        <v>46260.554861111108</v>
      </c>
      <c r="B233" s="1" t="s">
        <v>12</v>
      </c>
      <c r="C233" s="1" t="s">
        <v>7</v>
      </c>
      <c r="D233" s="4">
        <v>1</v>
      </c>
      <c r="E233" s="4">
        <v>5540</v>
      </c>
      <c r="F233" s="4">
        <v>17.972742759999999</v>
      </c>
      <c r="G233" s="2" t="s">
        <v>97</v>
      </c>
      <c r="H233" s="5">
        <v>4696</v>
      </c>
      <c r="I233" s="1" t="s">
        <v>8</v>
      </c>
      <c r="J233" s="17" t="s">
        <v>117</v>
      </c>
      <c r="K233" s="17" t="s">
        <v>163</v>
      </c>
      <c r="L233" s="17">
        <v>5290</v>
      </c>
      <c r="M233" s="17">
        <f>ABS((D233*E233)-L233)</f>
        <v>250</v>
      </c>
      <c r="N233" t="str">
        <f>IF(COUNTIFS( $B$2:$B$657, B233, $C$2:$C$657, C233, $D$2:$D$657, D233, $E$2:$E$657, E233) &gt; 1, "Duplicate", "Unique")</f>
        <v>Unique</v>
      </c>
      <c r="O233" s="10"/>
      <c r="P233" s="10"/>
    </row>
    <row r="234" spans="1:16" ht="27.65" customHeight="1" thickBot="1" x14ac:dyDescent="0.4">
      <c r="A234" s="8" t="s">
        <v>61</v>
      </c>
      <c r="B234" s="8" t="s">
        <v>6</v>
      </c>
      <c r="C234" s="8" t="s">
        <v>7</v>
      </c>
      <c r="D234" s="8">
        <v>120</v>
      </c>
      <c r="E234" s="8">
        <v>300.5</v>
      </c>
      <c r="F234" s="4">
        <v>18.214004719999998</v>
      </c>
      <c r="G234" s="2" t="s">
        <v>129</v>
      </c>
      <c r="H234" s="5">
        <v>254.2</v>
      </c>
      <c r="I234" s="1" t="s">
        <v>8</v>
      </c>
      <c r="J234" s="32" t="s">
        <v>117</v>
      </c>
      <c r="N234" s="10" t="str">
        <f>IF(COUNTIFS( $B$2:$B$657, B234, $C$2:$C$657, C234, $D$2:$D$657, D234, $E$2:$E$657, E234) &gt; 1, "Duplicate", "Unique")</f>
        <v>Unique</v>
      </c>
    </row>
    <row r="235" spans="1:16" ht="27.65" customHeight="1" thickBot="1" x14ac:dyDescent="0.4">
      <c r="A235" s="3">
        <v>46290.385416666664</v>
      </c>
      <c r="B235" s="2" t="s">
        <v>278</v>
      </c>
      <c r="C235" s="2" t="s">
        <v>7</v>
      </c>
      <c r="D235" s="5">
        <v>2</v>
      </c>
      <c r="E235" s="5">
        <v>1885.5</v>
      </c>
      <c r="F235" s="4">
        <v>18.465694899999999</v>
      </c>
      <c r="G235" s="2" t="s">
        <v>280</v>
      </c>
      <c r="H235" s="5">
        <v>1591.6</v>
      </c>
      <c r="I235" s="1" t="s">
        <v>8</v>
      </c>
      <c r="J235" s="17" t="s">
        <v>117</v>
      </c>
      <c r="K235" s="17" t="s">
        <v>287</v>
      </c>
      <c r="L235" s="17">
        <v>3521</v>
      </c>
      <c r="M235" s="17">
        <f>ABS((D235*E235)-L235)</f>
        <v>250</v>
      </c>
      <c r="N235" s="10" t="str">
        <f>IF(COUNTIFS( $B$2:$B$657, B235, $C$2:$C$657, C235, $D$2:$D$657, D235, $E$2:$E$657, E235) &gt; 1, "Duplicate", "Unique")</f>
        <v>Unique</v>
      </c>
    </row>
    <row r="236" spans="1:16" ht="27.65" customHeight="1" thickBot="1" x14ac:dyDescent="0.4">
      <c r="A236" s="3">
        <v>46269.614583333336</v>
      </c>
      <c r="B236" s="1" t="s">
        <v>23</v>
      </c>
      <c r="C236" s="1" t="s">
        <v>7</v>
      </c>
      <c r="D236" s="4">
        <v>40</v>
      </c>
      <c r="E236" s="4">
        <v>219</v>
      </c>
      <c r="F236" s="4">
        <v>18.667027910000002</v>
      </c>
      <c r="G236" s="2" t="s">
        <v>69</v>
      </c>
      <c r="H236" s="5">
        <v>184.55</v>
      </c>
      <c r="I236" s="1" t="s">
        <v>8</v>
      </c>
      <c r="J236" s="17" t="s">
        <v>116</v>
      </c>
      <c r="K236" s="17" t="s">
        <v>233</v>
      </c>
      <c r="L236" s="17">
        <v>8480</v>
      </c>
      <c r="M236" s="24">
        <f>ABS((D236*E236)-L236)</f>
        <v>280</v>
      </c>
      <c r="N236" t="str">
        <f>IF(COUNTIFS( $B$2:$B$657, B236, $C$2:$C$657, C236, $D$2:$D$657, D236, $E$2:$E$657, E236) &gt; 1, "Duplicate", "Unique")</f>
        <v>Unique</v>
      </c>
      <c r="O236" s="81"/>
    </row>
    <row r="237" spans="1:16" s="27" customFormat="1" ht="40.75" customHeight="1" thickBot="1" x14ac:dyDescent="0.4">
      <c r="A237" s="91">
        <v>46262.375</v>
      </c>
      <c r="B237" s="92" t="s">
        <v>58</v>
      </c>
      <c r="C237" s="92" t="s">
        <v>7</v>
      </c>
      <c r="D237" s="93">
        <v>4</v>
      </c>
      <c r="E237" s="93">
        <v>1146</v>
      </c>
      <c r="F237" s="93">
        <v>18.725718730000001</v>
      </c>
      <c r="G237" s="94" t="s">
        <v>59</v>
      </c>
      <c r="H237" s="95">
        <v>965.25</v>
      </c>
      <c r="I237" s="92" t="s">
        <v>8</v>
      </c>
      <c r="J237" s="25" t="s">
        <v>116</v>
      </c>
      <c r="K237" s="25" t="s">
        <v>185</v>
      </c>
      <c r="L237" s="25">
        <v>4264</v>
      </c>
      <c r="M237" s="25">
        <f>ABS((D237*E237)-L237)</f>
        <v>320</v>
      </c>
      <c r="N237" s="27" t="str">
        <f>IF(COUNTIFS( $B$2:$B$657, B237, $C$2:$C$657, C237, $D$2:$D$657, D237, $E$2:$E$657, E237) &gt; 1, "Duplicate", "Unique")</f>
        <v>Unique</v>
      </c>
    </row>
    <row r="238" spans="1:16" s="27" customFormat="1" ht="40.75" customHeight="1" thickBot="1" x14ac:dyDescent="0.4">
      <c r="A238" s="91">
        <v>46265.486111111109</v>
      </c>
      <c r="B238" s="92" t="s">
        <v>58</v>
      </c>
      <c r="C238" s="92" t="s">
        <v>7</v>
      </c>
      <c r="D238" s="93">
        <v>5</v>
      </c>
      <c r="E238" s="93">
        <v>1146</v>
      </c>
      <c r="F238" s="93">
        <v>18.725718730000001</v>
      </c>
      <c r="G238" s="94" t="s">
        <v>59</v>
      </c>
      <c r="H238" s="95">
        <v>965.25</v>
      </c>
      <c r="I238" s="92" t="s">
        <v>8</v>
      </c>
      <c r="J238" s="25" t="s">
        <v>117</v>
      </c>
      <c r="K238" s="25" t="s">
        <v>191</v>
      </c>
      <c r="L238" s="25">
        <v>5282</v>
      </c>
      <c r="M238" s="25">
        <f>ABS((D238*E238)-L238)</f>
        <v>448</v>
      </c>
      <c r="N238" s="26" t="str">
        <f>IF(COUNTIFS( $B$2:$B$657, B238, $C$2:$C$657, C238, $D$2:$D$657, D238, $E$2:$E$657, E238) &gt; 1, "Duplicate", "Unique")</f>
        <v>Unique</v>
      </c>
    </row>
    <row r="239" spans="1:16" ht="27.65" customHeight="1" thickBot="1" x14ac:dyDescent="0.4">
      <c r="A239" s="3">
        <v>46276.390277777777</v>
      </c>
      <c r="B239" s="1" t="s">
        <v>79</v>
      </c>
      <c r="C239" s="1" t="s">
        <v>7</v>
      </c>
      <c r="D239" s="4">
        <v>10</v>
      </c>
      <c r="E239" s="4">
        <v>1490</v>
      </c>
      <c r="F239" s="4">
        <v>18.819776709999999</v>
      </c>
      <c r="G239" s="2" t="s">
        <v>80</v>
      </c>
      <c r="H239" s="5">
        <v>1254</v>
      </c>
      <c r="I239" s="1" t="s">
        <v>8</v>
      </c>
      <c r="J239" s="17" t="s">
        <v>116</v>
      </c>
      <c r="K239" s="17" t="s">
        <v>263</v>
      </c>
      <c r="L239" s="17">
        <v>14400</v>
      </c>
      <c r="M239" s="17">
        <f>ABS((D239*E239)-L239)</f>
        <v>500</v>
      </c>
      <c r="N239" s="10" t="str">
        <f>IF(COUNTIFS( $B$2:$B$657, B239, $C$2:$C$657, C239, $D$2:$D$657, D239, $E$2:$E$657, E239) &gt; 1, "Duplicate", "Unique")</f>
        <v>Unique</v>
      </c>
    </row>
    <row r="240" spans="1:16" ht="27.65" customHeight="1" thickBot="1" x14ac:dyDescent="0.4">
      <c r="A240" s="3">
        <v>46262.375</v>
      </c>
      <c r="B240" s="1" t="s">
        <v>86</v>
      </c>
      <c r="C240" s="1" t="s">
        <v>7</v>
      </c>
      <c r="D240" s="4">
        <v>10</v>
      </c>
      <c r="E240" s="4">
        <v>1340</v>
      </c>
      <c r="F240" s="4">
        <v>18.97363047</v>
      </c>
      <c r="G240" s="2" t="s">
        <v>87</v>
      </c>
      <c r="H240" s="5">
        <v>1126.3</v>
      </c>
      <c r="I240" s="1" t="s">
        <v>8</v>
      </c>
      <c r="J240" s="17" t="s">
        <v>116</v>
      </c>
      <c r="K240" s="17" t="s">
        <v>184</v>
      </c>
      <c r="L240" s="17">
        <v>13030</v>
      </c>
      <c r="M240" s="17">
        <f>ABS((D240*E240)-L240)</f>
        <v>370</v>
      </c>
      <c r="N240" s="10" t="str">
        <f>IF(COUNTIFS( $B$2:$B$657, B240, $C$2:$C$657, C240, $D$2:$D$657, D240, $E$2:$E$657, E240) &gt; 1, "Duplicate", "Unique")</f>
        <v>Unique</v>
      </c>
      <c r="P240" s="27"/>
    </row>
    <row r="241" spans="1:16" ht="40.75" customHeight="1" thickBot="1" x14ac:dyDescent="0.4">
      <c r="A241" s="11">
        <v>46252.635416666664</v>
      </c>
      <c r="B241" s="8" t="s">
        <v>34</v>
      </c>
      <c r="C241" s="8" t="s">
        <v>7</v>
      </c>
      <c r="D241" s="8">
        <v>200</v>
      </c>
      <c r="E241" s="8">
        <v>235</v>
      </c>
      <c r="F241" s="4">
        <v>19.446985869999999</v>
      </c>
      <c r="G241" s="2" t="s">
        <v>41</v>
      </c>
      <c r="H241" s="5">
        <v>196.74</v>
      </c>
      <c r="I241" s="1" t="s">
        <v>8</v>
      </c>
      <c r="J241" s="35" t="s">
        <v>54</v>
      </c>
      <c r="N241" s="10" t="str">
        <f>IF(COUNTIFS( $B$2:$B$657, B241, $C$2:$C$657, C241, $D$2:$D$657, D241, $E$2:$E$657, E241) &gt; 1, "Duplicate", "Unique")</f>
        <v>Unique</v>
      </c>
    </row>
    <row r="242" spans="1:16" ht="27.65" customHeight="1" thickBot="1" x14ac:dyDescent="0.4">
      <c r="A242" s="8" t="s">
        <v>61</v>
      </c>
      <c r="B242" s="8" t="s">
        <v>14</v>
      </c>
      <c r="C242" s="8" t="s">
        <v>7</v>
      </c>
      <c r="D242" s="8">
        <v>50</v>
      </c>
      <c r="E242" s="12">
        <v>383</v>
      </c>
      <c r="F242" s="4">
        <v>19.48214007</v>
      </c>
      <c r="G242" s="2" t="s">
        <v>44</v>
      </c>
      <c r="H242" s="5">
        <v>320.55</v>
      </c>
      <c r="I242" s="1" t="s">
        <v>8</v>
      </c>
      <c r="J242" s="32"/>
      <c r="N242" s="10" t="str">
        <f>IF(COUNTIFS( $B$2:$B$657, B242, $C$2:$C$657, C242, $D$2:$D$657, D242, $E$2:$E$657, E242) &gt; 1, "Duplicate", "Unique")</f>
        <v>Unique</v>
      </c>
    </row>
    <row r="243" spans="1:16" ht="40.75" customHeight="1" thickBot="1" x14ac:dyDescent="0.4">
      <c r="A243" s="3">
        <v>46290.385416666664</v>
      </c>
      <c r="B243" s="2" t="s">
        <v>22</v>
      </c>
      <c r="C243" s="2" t="s">
        <v>7</v>
      </c>
      <c r="D243" s="5">
        <v>10</v>
      </c>
      <c r="E243" s="5">
        <v>449</v>
      </c>
      <c r="F243" s="4">
        <v>19.78124583</v>
      </c>
      <c r="G243" s="2" t="s">
        <v>72</v>
      </c>
      <c r="H243" s="5">
        <v>374.85</v>
      </c>
      <c r="I243" s="1" t="s">
        <v>8</v>
      </c>
      <c r="J243" s="17" t="s">
        <v>117</v>
      </c>
      <c r="K243" s="17" t="s">
        <v>288</v>
      </c>
      <c r="L243" s="17">
        <v>4200</v>
      </c>
      <c r="M243" s="17">
        <f>ABS((D243*E243)-L243)</f>
        <v>290</v>
      </c>
      <c r="N243" s="10" t="str">
        <f>IF(COUNTIFS( $B$2:$B$657, B243, $C$2:$C$657, C243, $D$2:$D$657, D243, $E$2:$E$657, E243) &gt; 1, "Duplicate", "Unique")</f>
        <v>Unique</v>
      </c>
    </row>
    <row r="244" spans="1:16" ht="27.65" customHeight="1" thickBot="1" x14ac:dyDescent="0.4">
      <c r="A244" s="8" t="s">
        <v>61</v>
      </c>
      <c r="B244" s="8" t="s">
        <v>132</v>
      </c>
      <c r="C244" s="8" t="s">
        <v>7</v>
      </c>
      <c r="D244" s="8">
        <v>150</v>
      </c>
      <c r="E244" s="12">
        <v>129.9</v>
      </c>
      <c r="F244" s="4">
        <v>19.98891557</v>
      </c>
      <c r="G244" s="2" t="s">
        <v>133</v>
      </c>
      <c r="H244" s="5">
        <v>108.26</v>
      </c>
      <c r="I244" s="1" t="s">
        <v>8</v>
      </c>
      <c r="J244" s="32"/>
      <c r="N244" s="10" t="str">
        <f>IF(COUNTIFS( $B$2:$B$657, B244, $C$2:$C$657, C244, $D$2:$D$657, D244, $E$2:$E$657, E244) &gt; 1, "Duplicate", "Unique")</f>
        <v>Unique</v>
      </c>
    </row>
    <row r="245" spans="1:16" ht="27.65" hidden="1" customHeight="1" thickBot="1" x14ac:dyDescent="0.4">
      <c r="A245" s="3">
        <v>46335.421527777777</v>
      </c>
      <c r="B245" s="1" t="s">
        <v>16</v>
      </c>
      <c r="C245" s="1" t="s">
        <v>7</v>
      </c>
      <c r="D245" s="4">
        <v>10</v>
      </c>
      <c r="E245" s="4">
        <v>884.9</v>
      </c>
      <c r="F245" s="4">
        <v>20.18199104</v>
      </c>
      <c r="G245" s="2" t="s">
        <v>60</v>
      </c>
      <c r="H245" s="5">
        <v>736.3</v>
      </c>
      <c r="I245" s="1" t="s">
        <v>8</v>
      </c>
      <c r="J245" s="17" t="s">
        <v>117</v>
      </c>
      <c r="K245" s="17" t="s">
        <v>261</v>
      </c>
      <c r="L245" s="17">
        <v>8049</v>
      </c>
      <c r="M245" s="17">
        <f>ABS((D245*E245)-L245)</f>
        <v>800</v>
      </c>
      <c r="N245" s="10" t="str">
        <f>IF(COUNTIFS( $B$2:$B$657, B245, $C$2:$C$657, C245, $D$2:$D$657, D245, $E$2:$E$657, E245) &gt; 1, "Duplicate", "Unique")</f>
        <v>Unique</v>
      </c>
      <c r="O245" s="36" t="s">
        <v>237</v>
      </c>
    </row>
    <row r="246" spans="1:16" ht="27.65" customHeight="1" thickBot="1" x14ac:dyDescent="0.4">
      <c r="A246" s="8" t="s">
        <v>61</v>
      </c>
      <c r="B246" s="8" t="s">
        <v>28</v>
      </c>
      <c r="C246" s="8" t="s">
        <v>7</v>
      </c>
      <c r="D246" s="8">
        <v>30</v>
      </c>
      <c r="E246" s="13">
        <v>974</v>
      </c>
      <c r="F246" s="4">
        <v>20.410433919999999</v>
      </c>
      <c r="G246" s="2" t="s">
        <v>124</v>
      </c>
      <c r="H246" s="5">
        <v>808.9</v>
      </c>
      <c r="I246" s="1" t="s">
        <v>8</v>
      </c>
      <c r="J246" s="32"/>
      <c r="N246" s="10" t="str">
        <f>IF(COUNTIFS( $B$2:$B$657, B246, $C$2:$C$657, C246, $D$2:$D$657, D246, $E$2:$E$657, E246) &gt; 1, "Duplicate", "Unique")</f>
        <v>Unique</v>
      </c>
    </row>
    <row r="247" spans="1:16" ht="27.65" customHeight="1" thickBot="1" x14ac:dyDescent="0.4">
      <c r="A247" s="3">
        <v>46276.388194444444</v>
      </c>
      <c r="B247" s="1" t="s">
        <v>79</v>
      </c>
      <c r="C247" s="1" t="s">
        <v>7</v>
      </c>
      <c r="D247" s="4">
        <v>10</v>
      </c>
      <c r="E247" s="4">
        <v>1510</v>
      </c>
      <c r="F247" s="4">
        <v>20.414673050000001</v>
      </c>
      <c r="G247" s="2" t="s">
        <v>80</v>
      </c>
      <c r="H247" s="5">
        <v>1254</v>
      </c>
      <c r="I247" s="1" t="s">
        <v>8</v>
      </c>
      <c r="J247" s="17" t="s">
        <v>116</v>
      </c>
      <c r="K247" s="17" t="s">
        <v>264</v>
      </c>
      <c r="L247" s="17">
        <v>14650</v>
      </c>
      <c r="M247" s="17">
        <f>ABS((D247*E247)-L247)</f>
        <v>450</v>
      </c>
      <c r="N247" s="10" t="str">
        <f>IF(COUNTIFS( $B$2:$B$657, B247, $C$2:$C$657, C247, $D$2:$D$657, D247, $E$2:$E$657, E247) &gt; 1, "Duplicate", "Unique")</f>
        <v>Unique</v>
      </c>
    </row>
    <row r="248" spans="1:16" s="27" customFormat="1" ht="27.65" customHeight="1" thickBot="1" x14ac:dyDescent="0.4">
      <c r="A248" s="3">
        <v>46262.375</v>
      </c>
      <c r="B248" s="1" t="s">
        <v>86</v>
      </c>
      <c r="C248" s="1" t="s">
        <v>7</v>
      </c>
      <c r="D248" s="4">
        <v>10</v>
      </c>
      <c r="E248" s="4">
        <v>1360</v>
      </c>
      <c r="F248" s="4">
        <v>20.749356299999999</v>
      </c>
      <c r="G248" s="2" t="s">
        <v>87</v>
      </c>
      <c r="H248" s="5">
        <v>1126.3</v>
      </c>
      <c r="I248" s="1" t="s">
        <v>8</v>
      </c>
      <c r="J248" s="17" t="s">
        <v>116</v>
      </c>
      <c r="K248" s="17" t="s">
        <v>187</v>
      </c>
      <c r="L248" s="17">
        <v>13300</v>
      </c>
      <c r="M248" s="17">
        <f>ABS((D248*E248)-L248)</f>
        <v>300</v>
      </c>
      <c r="N248" s="10" t="str">
        <f>IF(COUNTIFS( $B$2:$B$657, B248, $C$2:$C$657, C248, $D$2:$D$657, D248, $E$2:$E$657, E248) &gt; 1, "Duplicate", "Unique")</f>
        <v>Unique</v>
      </c>
      <c r="O248" s="10"/>
      <c r="P248" s="10"/>
    </row>
    <row r="249" spans="1:16" s="27" customFormat="1" ht="40.75" hidden="1" customHeight="1" thickBot="1" x14ac:dyDescent="0.4">
      <c r="A249" s="3">
        <v>46275.507638888892</v>
      </c>
      <c r="B249" s="1" t="s">
        <v>15</v>
      </c>
      <c r="C249" s="1" t="s">
        <v>7</v>
      </c>
      <c r="D249" s="4">
        <v>10</v>
      </c>
      <c r="E249" s="4">
        <v>2548</v>
      </c>
      <c r="F249" s="4">
        <v>20.815552390000001</v>
      </c>
      <c r="G249" s="2" t="s">
        <v>71</v>
      </c>
      <c r="H249" s="5">
        <v>2109</v>
      </c>
      <c r="I249" s="1" t="s">
        <v>8</v>
      </c>
      <c r="J249" s="17" t="s">
        <v>116</v>
      </c>
      <c r="K249" s="17" t="s">
        <v>257</v>
      </c>
      <c r="L249" s="17">
        <v>73800</v>
      </c>
      <c r="M249" s="17">
        <f>ABS((D249*E249)-L249)</f>
        <v>48320</v>
      </c>
      <c r="N249" s="10" t="str">
        <f>IF(COUNTIFS( $B$2:$B$657, B249, $C$2:$C$657, C249, $D$2:$D$657, D249, $E$2:$E$657, E249) &gt; 1, "Duplicate", "Unique")</f>
        <v>Unique</v>
      </c>
      <c r="O249" s="36" t="s">
        <v>237</v>
      </c>
      <c r="P249" s="10"/>
    </row>
    <row r="250" spans="1:16" ht="27.65" customHeight="1" thickBot="1" x14ac:dyDescent="0.4">
      <c r="A250" s="46">
        <v>46304.375</v>
      </c>
      <c r="B250" s="2" t="s">
        <v>110</v>
      </c>
      <c r="C250" s="2" t="s">
        <v>7</v>
      </c>
      <c r="D250" s="5">
        <v>10</v>
      </c>
      <c r="E250" s="5">
        <v>511</v>
      </c>
      <c r="F250" s="4">
        <v>20.918125889999999</v>
      </c>
      <c r="G250" s="2" t="s">
        <v>111</v>
      </c>
      <c r="H250" s="5">
        <v>422.6</v>
      </c>
      <c r="I250" s="1" t="s">
        <v>8</v>
      </c>
      <c r="J250" s="17" t="s">
        <v>117</v>
      </c>
      <c r="K250" s="17" t="s">
        <v>315</v>
      </c>
      <c r="L250" s="17">
        <v>4110</v>
      </c>
      <c r="M250" s="17">
        <f>ABS((D250*E250)-L250)</f>
        <v>1000</v>
      </c>
      <c r="N250" t="str">
        <f>IF(COUNTIFS( $B$2:$B$657, B250, $C$2:$C$657, C250, $D$2:$D$657, D250, $E$2:$E$657, E250) &gt; 1, "Duplicate", "Unique")</f>
        <v>Unique</v>
      </c>
    </row>
    <row r="251" spans="1:16" ht="27.65" customHeight="1" thickBot="1" x14ac:dyDescent="0.4">
      <c r="A251" s="11">
        <v>46252.635416666664</v>
      </c>
      <c r="B251" s="8" t="s">
        <v>34</v>
      </c>
      <c r="C251" s="8" t="s">
        <v>7</v>
      </c>
      <c r="D251" s="8">
        <v>120</v>
      </c>
      <c r="E251" s="8">
        <v>238.2</v>
      </c>
      <c r="F251" s="4">
        <v>21.073498019999999</v>
      </c>
      <c r="G251" s="2" t="s">
        <v>41</v>
      </c>
      <c r="H251" s="5">
        <v>196.74</v>
      </c>
      <c r="I251" s="1" t="s">
        <v>8</v>
      </c>
      <c r="J251" s="32" t="s">
        <v>117</v>
      </c>
      <c r="K251" s="17" t="s">
        <v>144</v>
      </c>
      <c r="N251" s="10" t="str">
        <f>IF(COUNTIFS( $B$2:$B$657, B251, $C$2:$C$657, C251, $D$2:$D$657, D251, $E$2:$E$657, E251) &gt; 1, "Duplicate", "Unique")</f>
        <v>Unique</v>
      </c>
    </row>
    <row r="252" spans="1:16" ht="27.65" customHeight="1" thickBot="1" x14ac:dyDescent="0.4">
      <c r="A252" s="8" t="s">
        <v>61</v>
      </c>
      <c r="B252" s="8" t="s">
        <v>127</v>
      </c>
      <c r="C252" s="8" t="s">
        <v>7</v>
      </c>
      <c r="D252" s="8">
        <v>150</v>
      </c>
      <c r="E252" s="8">
        <v>129</v>
      </c>
      <c r="F252" s="4">
        <v>21.468926549999999</v>
      </c>
      <c r="G252" s="2" t="s">
        <v>128</v>
      </c>
      <c r="H252" s="5">
        <v>106.2</v>
      </c>
      <c r="I252" s="1" t="s">
        <v>8</v>
      </c>
      <c r="J252" s="32"/>
      <c r="N252" s="10" t="str">
        <f>IF(COUNTIFS( $B$2:$B$657, B252, $C$2:$C$657, C252, $D$2:$D$657, D252, $E$2:$E$657, E252) &gt; 1, "Duplicate", "Unique")</f>
        <v>Unique</v>
      </c>
    </row>
    <row r="253" spans="1:16" ht="27.65" customHeight="1" thickBot="1" x14ac:dyDescent="0.4">
      <c r="A253" s="8" t="s">
        <v>61</v>
      </c>
      <c r="B253" s="8" t="s">
        <v>34</v>
      </c>
      <c r="C253" s="8" t="s">
        <v>7</v>
      </c>
      <c r="D253" s="8">
        <v>200</v>
      </c>
      <c r="E253" s="8">
        <v>239</v>
      </c>
      <c r="F253" s="4">
        <v>21.480126049999999</v>
      </c>
      <c r="G253" s="2" t="s">
        <v>41</v>
      </c>
      <c r="H253" s="5">
        <v>196.74</v>
      </c>
      <c r="I253" s="1" t="s">
        <v>8</v>
      </c>
      <c r="J253" s="32" t="s">
        <v>116</v>
      </c>
      <c r="N253" s="10" t="str">
        <f>IF(COUNTIFS( $B$2:$B$657, B253, $C$2:$C$657, C253, $D$2:$D$657, D253, $E$2:$E$657, E253) &gt; 1, "Duplicate", "Unique")</f>
        <v>Unique</v>
      </c>
    </row>
    <row r="254" spans="1:16" ht="27.65" customHeight="1" thickBot="1" x14ac:dyDescent="0.4">
      <c r="A254" s="8" t="s">
        <v>61</v>
      </c>
      <c r="B254" s="8" t="s">
        <v>62</v>
      </c>
      <c r="C254" s="8" t="s">
        <v>7</v>
      </c>
      <c r="D254" s="8">
        <v>11</v>
      </c>
      <c r="E254" s="12">
        <v>1170</v>
      </c>
      <c r="F254" s="4">
        <v>21.875</v>
      </c>
      <c r="G254" s="2" t="s">
        <v>63</v>
      </c>
      <c r="H254" s="5">
        <v>960</v>
      </c>
      <c r="I254" s="1" t="s">
        <v>8</v>
      </c>
      <c r="J254" s="32"/>
      <c r="N254" s="10" t="str">
        <f>IF(COUNTIFS( $B$2:$B$657, B254, $C$2:$C$657, C254, $D$2:$D$657, D254, $E$2:$E$657, E254) &gt; 1, "Duplicate", "Unique")</f>
        <v>Unique</v>
      </c>
    </row>
    <row r="255" spans="1:16" ht="27.65" customHeight="1" thickBot="1" x14ac:dyDescent="0.4">
      <c r="A255" s="8" t="s">
        <v>61</v>
      </c>
      <c r="B255" s="8" t="s">
        <v>28</v>
      </c>
      <c r="C255" s="8" t="s">
        <v>7</v>
      </c>
      <c r="D255" s="8">
        <v>5</v>
      </c>
      <c r="E255" s="12">
        <v>986</v>
      </c>
      <c r="F255" s="4">
        <v>21.89393003</v>
      </c>
      <c r="G255" s="2" t="s">
        <v>124</v>
      </c>
      <c r="H255" s="5">
        <v>808.9</v>
      </c>
      <c r="I255" s="1" t="s">
        <v>8</v>
      </c>
      <c r="J255" s="32"/>
      <c r="N255" s="10" t="str">
        <f>IF(COUNTIFS( $B$2:$B$657, B255, $C$2:$C$657, C255, $D$2:$D$657, D255, $E$2:$E$657, E255) &gt; 1, "Duplicate", "Unique")</f>
        <v>Unique</v>
      </c>
    </row>
    <row r="256" spans="1:16" ht="27.65" customHeight="1" thickBot="1" x14ac:dyDescent="0.4">
      <c r="A256" s="31">
        <v>46255</v>
      </c>
      <c r="B256" s="29" t="s">
        <v>19</v>
      </c>
      <c r="C256" s="29" t="s">
        <v>7</v>
      </c>
      <c r="D256" s="30">
        <v>20</v>
      </c>
      <c r="E256" s="30">
        <v>241</v>
      </c>
      <c r="F256" s="4">
        <v>21.90187152</v>
      </c>
      <c r="G256" s="2" t="s">
        <v>39</v>
      </c>
      <c r="H256" s="5">
        <v>197.7</v>
      </c>
      <c r="I256" s="1" t="s">
        <v>8</v>
      </c>
      <c r="J256" s="25" t="s">
        <v>117</v>
      </c>
      <c r="K256" s="25" t="s">
        <v>148</v>
      </c>
      <c r="L256" s="25">
        <v>4680</v>
      </c>
      <c r="M256" s="25">
        <f>ABS((D256*E256)-L256)</f>
        <v>140</v>
      </c>
      <c r="N256" s="27" t="str">
        <f>IF(COUNTIFS( $B$2:$B$657, B256, $C$2:$C$657, C256, $D$2:$D$657, D256, $E$2:$E$657, E256) &gt; 1, "Duplicate", "Unique")</f>
        <v>Duplicate</v>
      </c>
      <c r="P256" s="27"/>
    </row>
    <row r="257" spans="1:16" ht="40.75" customHeight="1" thickBot="1" x14ac:dyDescent="0.4">
      <c r="A257" s="28">
        <v>46261.385416666664</v>
      </c>
      <c r="B257" s="29" t="s">
        <v>19</v>
      </c>
      <c r="C257" s="29" t="s">
        <v>7</v>
      </c>
      <c r="D257" s="30">
        <v>20</v>
      </c>
      <c r="E257" s="30">
        <v>241</v>
      </c>
      <c r="F257" s="4">
        <v>21.90187152</v>
      </c>
      <c r="G257" s="2" t="s">
        <v>39</v>
      </c>
      <c r="H257" s="5">
        <v>197.7</v>
      </c>
      <c r="I257" s="1" t="s">
        <v>8</v>
      </c>
      <c r="J257" s="25" t="s">
        <v>117</v>
      </c>
      <c r="K257" s="25" t="s">
        <v>174</v>
      </c>
      <c r="L257" s="25">
        <v>4520</v>
      </c>
      <c r="M257" s="25">
        <f>ABS((D257*E257)-L257)</f>
        <v>300</v>
      </c>
      <c r="N257" s="27" t="str">
        <f>IF(COUNTIFS( $B$2:$B$657, B257, $C$2:$C$657, C257, $D$2:$D$657, D257, $E$2:$E$657, E257) &gt; 1, "Duplicate", "Unique")</f>
        <v>Duplicate</v>
      </c>
    </row>
    <row r="258" spans="1:16" ht="27.65" customHeight="1" thickBot="1" x14ac:dyDescent="0.4">
      <c r="A258" s="11">
        <v>46252.6875</v>
      </c>
      <c r="B258" s="8" t="s">
        <v>13</v>
      </c>
      <c r="C258" s="8" t="s">
        <v>7</v>
      </c>
      <c r="D258" s="8">
        <v>5</v>
      </c>
      <c r="E258" s="8">
        <v>2094</v>
      </c>
      <c r="F258" s="4">
        <v>22.099125359999999</v>
      </c>
      <c r="G258" s="2" t="s">
        <v>90</v>
      </c>
      <c r="H258" s="5">
        <v>1715</v>
      </c>
      <c r="I258" s="1" t="s">
        <v>8</v>
      </c>
      <c r="J258" s="32" t="s">
        <v>117</v>
      </c>
      <c r="N258" s="10" t="str">
        <f>IF(COUNTIFS( $B$2:$B$657, B258, $C$2:$C$657, C258, $D$2:$D$657, D258, $E$2:$E$657, E258) &gt; 1, "Duplicate", "Unique")</f>
        <v>Unique</v>
      </c>
    </row>
    <row r="259" spans="1:16" ht="27.65" customHeight="1" thickBot="1" x14ac:dyDescent="0.4">
      <c r="A259" s="3">
        <v>46258.629861111112</v>
      </c>
      <c r="B259" s="1" t="s">
        <v>17</v>
      </c>
      <c r="C259" s="1" t="s">
        <v>7</v>
      </c>
      <c r="D259" s="4">
        <v>25</v>
      </c>
      <c r="E259" s="4">
        <v>392.5</v>
      </c>
      <c r="F259" s="4">
        <v>22.121966400000002</v>
      </c>
      <c r="G259" s="2" t="s">
        <v>76</v>
      </c>
      <c r="H259" s="5">
        <v>321.39999999999998</v>
      </c>
      <c r="I259" s="1" t="s">
        <v>8</v>
      </c>
      <c r="J259" s="17" t="s">
        <v>117</v>
      </c>
      <c r="K259" s="17" t="s">
        <v>153</v>
      </c>
      <c r="L259" s="17">
        <v>9312.5</v>
      </c>
      <c r="M259" s="17">
        <f>ABS((D259*E259)-L259)</f>
        <v>500</v>
      </c>
      <c r="N259" s="10" t="str">
        <f>IF(COUNTIFS( $B$2:$B$657, B259, $C$2:$C$657, C259, $D$2:$D$657, D259, $E$2:$E$657, E259) &gt; 1, "Duplicate", "Unique")</f>
        <v>Unique</v>
      </c>
    </row>
    <row r="260" spans="1:16" ht="27.65" customHeight="1" thickBot="1" x14ac:dyDescent="0.4">
      <c r="A260" s="3">
        <v>46290.385416666664</v>
      </c>
      <c r="B260" s="2" t="s">
        <v>118</v>
      </c>
      <c r="C260" s="2" t="s">
        <v>7</v>
      </c>
      <c r="D260" s="5">
        <v>15</v>
      </c>
      <c r="E260" s="5">
        <v>1048</v>
      </c>
      <c r="F260" s="4">
        <v>22.144522139999999</v>
      </c>
      <c r="G260" s="2" t="s">
        <v>119</v>
      </c>
      <c r="H260" s="5">
        <v>858</v>
      </c>
      <c r="I260" s="1" t="s">
        <v>8</v>
      </c>
      <c r="J260" s="17" t="s">
        <v>54</v>
      </c>
      <c r="K260" s="17" t="s">
        <v>289</v>
      </c>
      <c r="L260" s="17">
        <v>15300</v>
      </c>
      <c r="M260" s="17">
        <f>ABS((D260*E260)-L260)</f>
        <v>420</v>
      </c>
      <c r="N260" s="10" t="str">
        <f>IF(COUNTIFS( $B$2:$B$657, B260, $C$2:$C$657, C260, $D$2:$D$657, D260, $E$2:$E$657, E260) &gt; 1, "Duplicate", "Unique")</f>
        <v>Unique</v>
      </c>
    </row>
    <row r="261" spans="1:16" ht="27.65" customHeight="1" thickBot="1" x14ac:dyDescent="0.4">
      <c r="A261" s="8" t="s">
        <v>61</v>
      </c>
      <c r="B261" s="8" t="s">
        <v>6</v>
      </c>
      <c r="C261" s="8" t="s">
        <v>7</v>
      </c>
      <c r="D261" s="8">
        <v>100</v>
      </c>
      <c r="E261" s="8">
        <v>310.5</v>
      </c>
      <c r="F261" s="4">
        <v>22.14791503</v>
      </c>
      <c r="G261" s="2" t="s">
        <v>129</v>
      </c>
      <c r="H261" s="5">
        <v>254.2</v>
      </c>
      <c r="I261" s="1" t="s">
        <v>8</v>
      </c>
      <c r="J261" s="32" t="s">
        <v>117</v>
      </c>
      <c r="N261" s="10" t="str">
        <f>IF(COUNTIFS( $B$2:$B$657, B261, $C$2:$C$657, C261, $D$2:$D$657, D261, $E$2:$E$657, E261) &gt; 1, "Duplicate", "Unique")</f>
        <v>Unique</v>
      </c>
    </row>
    <row r="262" spans="1:16" ht="40.75" customHeight="1" thickBot="1" x14ac:dyDescent="0.4">
      <c r="A262" s="53">
        <v>46302</v>
      </c>
      <c r="B262" s="1" t="s">
        <v>22</v>
      </c>
      <c r="C262" s="1" t="s">
        <v>7</v>
      </c>
      <c r="D262" s="4">
        <v>14</v>
      </c>
      <c r="E262" s="4">
        <v>459</v>
      </c>
      <c r="F262" s="4">
        <v>22.44897959</v>
      </c>
      <c r="G262" s="2" t="s">
        <v>72</v>
      </c>
      <c r="H262" s="5">
        <v>374.85</v>
      </c>
      <c r="I262" s="1" t="s">
        <v>8</v>
      </c>
      <c r="J262" s="49" t="s">
        <v>116</v>
      </c>
      <c r="K262" s="16"/>
      <c r="L262" s="16"/>
      <c r="M262" s="16"/>
      <c r="N262" t="str">
        <f>IF(COUNTIFS( $B$2:$B$657, B262, $C$2:$C$657, C262, $D$2:$D$657, D262, $E$2:$E$657, E262) &gt; 1, "Duplicate", "Unique")</f>
        <v>Unique</v>
      </c>
      <c r="O262"/>
    </row>
    <row r="263" spans="1:16" ht="40.75" customHeight="1" thickBot="1" x14ac:dyDescent="0.4">
      <c r="A263" s="3">
        <v>46272.375694444447</v>
      </c>
      <c r="B263" s="1" t="s">
        <v>16</v>
      </c>
      <c r="C263" s="1" t="s">
        <v>7</v>
      </c>
      <c r="D263" s="4">
        <v>5</v>
      </c>
      <c r="E263" s="4">
        <v>902</v>
      </c>
      <c r="F263" s="4">
        <v>22.504413960000001</v>
      </c>
      <c r="G263" s="2" t="s">
        <v>60</v>
      </c>
      <c r="H263" s="5">
        <v>736.3</v>
      </c>
      <c r="I263" s="1" t="s">
        <v>8</v>
      </c>
      <c r="J263" s="17" t="s">
        <v>117</v>
      </c>
      <c r="K263" s="17" t="s">
        <v>240</v>
      </c>
      <c r="L263" s="17">
        <v>4260</v>
      </c>
      <c r="M263" s="17">
        <f>ABS((D263*E263)-L263)</f>
        <v>250</v>
      </c>
      <c r="N263" s="10" t="str">
        <f>IF(COUNTIFS( $B$2:$B$657, B263, $C$2:$C$657, C263, $D$2:$D$657, D263, $E$2:$E$657, E263) &gt; 1, "Duplicate", "Unique")</f>
        <v>Unique</v>
      </c>
      <c r="P263" s="27"/>
    </row>
    <row r="264" spans="1:16" ht="27.65" customHeight="1" thickBot="1" x14ac:dyDescent="0.4">
      <c r="A264" s="19">
        <v>46255</v>
      </c>
      <c r="B264" s="1" t="s">
        <v>20</v>
      </c>
      <c r="C264" s="1" t="s">
        <v>7</v>
      </c>
      <c r="D264" s="4">
        <v>20</v>
      </c>
      <c r="E264" s="4">
        <v>147</v>
      </c>
      <c r="F264" s="4">
        <v>22.684026039999999</v>
      </c>
      <c r="G264" s="2" t="s">
        <v>85</v>
      </c>
      <c r="H264" s="5">
        <v>119.82</v>
      </c>
      <c r="I264" s="1" t="s">
        <v>8</v>
      </c>
      <c r="J264" s="17" t="s">
        <v>54</v>
      </c>
      <c r="K264" s="17" t="s">
        <v>147</v>
      </c>
      <c r="L264" s="17">
        <v>2640</v>
      </c>
      <c r="M264" s="17">
        <f>ABS((D264*E264)-L264)</f>
        <v>300</v>
      </c>
      <c r="N264" s="10" t="str">
        <f>IF(COUNTIFS( $B$2:$B$657, B264, $C$2:$C$657, C264, $D$2:$D$657, D264, $E$2:$E$657, E264) &gt; 1, "Duplicate", "Unique")</f>
        <v>Unique</v>
      </c>
    </row>
    <row r="265" spans="1:16" ht="27.65" customHeight="1" thickBot="1" x14ac:dyDescent="0.4">
      <c r="A265" s="11">
        <v>46252.635416666664</v>
      </c>
      <c r="B265" s="8" t="s">
        <v>125</v>
      </c>
      <c r="C265" s="39" t="s">
        <v>7</v>
      </c>
      <c r="D265" s="8">
        <v>6</v>
      </c>
      <c r="E265" s="8">
        <v>548</v>
      </c>
      <c r="F265" s="4">
        <v>22.732362819999999</v>
      </c>
      <c r="G265" s="2" t="s">
        <v>126</v>
      </c>
      <c r="H265" s="5">
        <v>446.5</v>
      </c>
      <c r="I265" s="1" t="s">
        <v>8</v>
      </c>
      <c r="J265" s="32"/>
      <c r="N265" s="10" t="str">
        <f>IF(COUNTIFS( $B$2:$B$657, B265, $C$2:$C$657, C265, $D$2:$D$657, D265, $E$2:$E$657, E265) &gt; 1, "Duplicate", "Unique")</f>
        <v>Unique</v>
      </c>
      <c r="O265" s="27"/>
    </row>
    <row r="266" spans="1:16" ht="27.65" hidden="1" customHeight="1" thickBot="1" x14ac:dyDescent="0.4">
      <c r="A266" s="3">
        <v>46275.507638888892</v>
      </c>
      <c r="B266" s="1" t="s">
        <v>15</v>
      </c>
      <c r="C266" s="1" t="s">
        <v>7</v>
      </c>
      <c r="D266" s="4">
        <v>10</v>
      </c>
      <c r="E266" s="4">
        <v>2590</v>
      </c>
      <c r="F266" s="4">
        <v>22.80701754</v>
      </c>
      <c r="G266" s="2" t="s">
        <v>71</v>
      </c>
      <c r="H266" s="5">
        <v>2109</v>
      </c>
      <c r="I266" s="1" t="s">
        <v>8</v>
      </c>
      <c r="J266" s="17" t="s">
        <v>116</v>
      </c>
      <c r="K266" s="17" t="s">
        <v>257</v>
      </c>
      <c r="L266" s="17">
        <v>73800</v>
      </c>
      <c r="M266" s="17">
        <f>ABS((D266*E266)-L266)</f>
        <v>47900</v>
      </c>
      <c r="N266" s="10" t="str">
        <f>IF(COUNTIFS( $B$2:$B$657, B266, $C$2:$C$657, C266, $D$2:$D$657, D266, $E$2:$E$657, E266) &gt; 1, "Duplicate", "Unique")</f>
        <v>Unique</v>
      </c>
      <c r="O266" s="36" t="s">
        <v>237</v>
      </c>
    </row>
    <row r="267" spans="1:16" ht="40.75" hidden="1" customHeight="1" thickBot="1" x14ac:dyDescent="0.4">
      <c r="A267" s="3">
        <v>46266.375</v>
      </c>
      <c r="B267" s="1" t="s">
        <v>15</v>
      </c>
      <c r="C267" s="1" t="s">
        <v>7</v>
      </c>
      <c r="D267" s="4">
        <v>10</v>
      </c>
      <c r="E267" s="4">
        <v>2595</v>
      </c>
      <c r="F267" s="4">
        <v>23.04409673</v>
      </c>
      <c r="G267" s="2" t="s">
        <v>71</v>
      </c>
      <c r="H267" s="5">
        <v>2109</v>
      </c>
      <c r="I267" s="1" t="s">
        <v>8</v>
      </c>
      <c r="J267" s="17" t="s">
        <v>117</v>
      </c>
      <c r="K267" s="17" t="s">
        <v>213</v>
      </c>
      <c r="L267" s="17">
        <v>25300</v>
      </c>
      <c r="M267" s="17">
        <f>ABS((D267*E267)-L267)</f>
        <v>650</v>
      </c>
      <c r="N267" s="10" t="str">
        <f>IF(COUNTIFS( $B$2:$B$657, B267, $C$2:$C$657, C267, $D$2:$D$657, D267, $E$2:$E$657, E267) &gt; 1, "Duplicate", "Unique")</f>
        <v>Unique</v>
      </c>
      <c r="O267" s="36" t="s">
        <v>237</v>
      </c>
    </row>
    <row r="268" spans="1:16" ht="40.75" hidden="1" customHeight="1" thickBot="1" x14ac:dyDescent="0.4">
      <c r="A268" s="3">
        <v>46267.513888888891</v>
      </c>
      <c r="B268" s="1" t="s">
        <v>15</v>
      </c>
      <c r="C268" s="1" t="s">
        <v>7</v>
      </c>
      <c r="D268" s="4">
        <v>5</v>
      </c>
      <c r="E268" s="4">
        <v>2595</v>
      </c>
      <c r="F268" s="4">
        <v>23.04409673</v>
      </c>
      <c r="G268" s="2" t="s">
        <v>71</v>
      </c>
      <c r="H268" s="5">
        <v>2109</v>
      </c>
      <c r="I268" s="1" t="s">
        <v>8</v>
      </c>
      <c r="J268" s="17" t="s">
        <v>117</v>
      </c>
      <c r="K268" s="17" t="s">
        <v>224</v>
      </c>
      <c r="L268" s="17">
        <v>12480</v>
      </c>
      <c r="M268" s="17">
        <f>ABS((D268*E268)-L268)</f>
        <v>495</v>
      </c>
      <c r="N268" s="10" t="str">
        <f>IF(COUNTIFS( $B$2:$B$657, B268, $C$2:$C$657, C268, $D$2:$D$657, D268, $E$2:$E$657, E268) &gt; 1, "Duplicate", "Unique")</f>
        <v>Unique</v>
      </c>
      <c r="O268" s="36" t="s">
        <v>237</v>
      </c>
    </row>
    <row r="269" spans="1:16" ht="27.65" customHeight="1" thickBot="1" x14ac:dyDescent="0.4">
      <c r="A269" s="8" t="s">
        <v>61</v>
      </c>
      <c r="B269" s="14" t="s">
        <v>28</v>
      </c>
      <c r="C269" s="8" t="s">
        <v>7</v>
      </c>
      <c r="D269" s="8">
        <v>40</v>
      </c>
      <c r="E269" s="15">
        <v>996</v>
      </c>
      <c r="F269" s="4">
        <v>23.130176779999999</v>
      </c>
      <c r="G269" s="2" t="s">
        <v>124</v>
      </c>
      <c r="H269" s="5">
        <v>808.9</v>
      </c>
      <c r="I269" s="1" t="s">
        <v>8</v>
      </c>
      <c r="J269" s="32" t="s">
        <v>117</v>
      </c>
      <c r="N269" s="10" t="str">
        <f>IF(COUNTIFS( $B$2:$B$657, B269, $C$2:$C$657, C269, $D$2:$D$657, D269, $E$2:$E$657, E269) &gt; 1, "Duplicate", "Unique")</f>
        <v>Unique</v>
      </c>
    </row>
    <row r="270" spans="1:16" ht="27.65" customHeight="1" thickBot="1" x14ac:dyDescent="0.4">
      <c r="A270" s="8" t="s">
        <v>61</v>
      </c>
      <c r="B270" s="8" t="s">
        <v>13</v>
      </c>
      <c r="C270" s="8" t="s">
        <v>7</v>
      </c>
      <c r="D270" s="8">
        <v>10</v>
      </c>
      <c r="E270" s="8">
        <v>2114</v>
      </c>
      <c r="F270" s="4">
        <v>23.265306120000002</v>
      </c>
      <c r="G270" s="2" t="s">
        <v>90</v>
      </c>
      <c r="H270" s="5">
        <v>1715</v>
      </c>
      <c r="I270" s="1" t="s">
        <v>8</v>
      </c>
      <c r="J270" s="32"/>
      <c r="N270" s="10" t="str">
        <f>IF(COUNTIFS( $B$2:$B$657, B270, $C$2:$C$657, C270, $D$2:$D$657, D270, $E$2:$E$657, E270) &gt; 1, "Duplicate", "Unique")</f>
        <v>Unique</v>
      </c>
      <c r="P270" s="27"/>
    </row>
    <row r="271" spans="1:16" s="27" customFormat="1" ht="27.65" customHeight="1" thickBot="1" x14ac:dyDescent="0.4">
      <c r="A271" s="3">
        <v>46260.375</v>
      </c>
      <c r="B271" s="1" t="s">
        <v>86</v>
      </c>
      <c r="C271" s="1" t="s">
        <v>7</v>
      </c>
      <c r="D271" s="4">
        <v>10</v>
      </c>
      <c r="E271" s="4">
        <v>1390</v>
      </c>
      <c r="F271" s="4">
        <v>23.41294504</v>
      </c>
      <c r="G271" s="2" t="s">
        <v>87</v>
      </c>
      <c r="H271" s="5">
        <v>1126.3</v>
      </c>
      <c r="I271" s="1" t="s">
        <v>8</v>
      </c>
      <c r="J271" s="17" t="s">
        <v>116</v>
      </c>
      <c r="K271" s="17" t="s">
        <v>170</v>
      </c>
      <c r="L271" s="17">
        <v>13600</v>
      </c>
      <c r="M271" s="17">
        <f>ABS((D271*E271)-L271)</f>
        <v>300</v>
      </c>
      <c r="N271" t="str">
        <f>IF(COUNTIFS( $B$2:$B$657, B271, $C$2:$C$657, C271, $D$2:$D$657, D271, $E$2:$E$657, E271) &gt; 1, "Duplicate", "Unique")</f>
        <v>Unique</v>
      </c>
      <c r="O271" s="10"/>
      <c r="P271" s="10"/>
    </row>
    <row r="272" spans="1:16" ht="27.65" customHeight="1" thickBot="1" x14ac:dyDescent="0.4">
      <c r="A272" s="3">
        <v>46276.375</v>
      </c>
      <c r="B272" s="1" t="s">
        <v>79</v>
      </c>
      <c r="C272" s="1" t="s">
        <v>7</v>
      </c>
      <c r="D272" s="4">
        <v>10</v>
      </c>
      <c r="E272" s="4">
        <v>1548</v>
      </c>
      <c r="F272" s="4">
        <v>23.44497608</v>
      </c>
      <c r="G272" s="2" t="s">
        <v>80</v>
      </c>
      <c r="H272" s="5">
        <v>1254</v>
      </c>
      <c r="I272" s="1" t="s">
        <v>8</v>
      </c>
      <c r="J272" s="17" t="s">
        <v>116</v>
      </c>
      <c r="K272" s="17" t="s">
        <v>265</v>
      </c>
      <c r="L272" s="17">
        <v>15030</v>
      </c>
      <c r="M272" s="17">
        <f>ABS((D272*E272)-L272)</f>
        <v>450</v>
      </c>
      <c r="N272" s="10" t="str">
        <f>IF(COUNTIFS( $B$2:$B$657, B272, $C$2:$C$657, C272, $D$2:$D$657, D272, $E$2:$E$657, E272) &gt; 1, "Duplicate", "Unique")</f>
        <v>Unique</v>
      </c>
    </row>
    <row r="273" spans="1:16" s="27" customFormat="1" ht="27.65" customHeight="1" thickBot="1" x14ac:dyDescent="0.4">
      <c r="A273" s="8" t="s">
        <v>61</v>
      </c>
      <c r="B273" s="8" t="s">
        <v>6</v>
      </c>
      <c r="C273" s="8" t="s">
        <v>7</v>
      </c>
      <c r="D273" s="8">
        <v>100</v>
      </c>
      <c r="E273" s="13">
        <v>314</v>
      </c>
      <c r="F273" s="4">
        <v>23.524783630000002</v>
      </c>
      <c r="G273" s="2" t="s">
        <v>129</v>
      </c>
      <c r="H273" s="5">
        <v>254.2</v>
      </c>
      <c r="I273" s="1" t="s">
        <v>8</v>
      </c>
      <c r="J273" s="32" t="s">
        <v>116</v>
      </c>
      <c r="K273" s="17"/>
      <c r="L273" s="17"/>
      <c r="M273" s="17"/>
      <c r="N273" s="10" t="str">
        <f>IF(COUNTIFS( $B$2:$B$657, B273, $C$2:$C$657, C273, $D$2:$D$657, D273, $E$2:$E$657, E273) &gt; 1, "Duplicate", "Unique")</f>
        <v>Unique</v>
      </c>
      <c r="O273" s="10"/>
      <c r="P273" s="10"/>
    </row>
    <row r="274" spans="1:16" ht="40.75" hidden="1" customHeight="1" thickBot="1" x14ac:dyDescent="0.4">
      <c r="A274" s="3">
        <v>46265.375694444447</v>
      </c>
      <c r="B274" s="1" t="s">
        <v>15</v>
      </c>
      <c r="C274" s="1" t="s">
        <v>7</v>
      </c>
      <c r="D274" s="4">
        <v>10</v>
      </c>
      <c r="E274" s="4">
        <v>2608</v>
      </c>
      <c r="F274" s="4">
        <v>23.660502610000002</v>
      </c>
      <c r="G274" s="2" t="s">
        <v>71</v>
      </c>
      <c r="H274" s="5">
        <v>2109</v>
      </c>
      <c r="I274" s="1" t="s">
        <v>8</v>
      </c>
      <c r="J274" s="17" t="s">
        <v>117</v>
      </c>
      <c r="K274" s="17" t="s">
        <v>199</v>
      </c>
      <c r="L274" s="17">
        <v>25780</v>
      </c>
      <c r="M274" s="17">
        <f>ABS((D274*E274)-L274)</f>
        <v>300</v>
      </c>
      <c r="N274" t="str">
        <f>IF(COUNTIFS( $B$2:$B$657, B274, $C$2:$C$657, C274, $D$2:$D$657, D274, $E$2:$E$657, E274) &gt; 1, "Duplicate", "Unique")</f>
        <v>Unique</v>
      </c>
      <c r="O274" s="36" t="s">
        <v>237</v>
      </c>
      <c r="P274"/>
    </row>
    <row r="275" spans="1:16" ht="40.75" customHeight="1" thickBot="1" x14ac:dyDescent="0.4">
      <c r="A275" s="8" t="s">
        <v>61</v>
      </c>
      <c r="B275" s="8" t="s">
        <v>28</v>
      </c>
      <c r="C275" s="8" t="s">
        <v>7</v>
      </c>
      <c r="D275" s="8">
        <v>5</v>
      </c>
      <c r="E275" s="12">
        <v>1002</v>
      </c>
      <c r="F275" s="4">
        <v>23.871924839999998</v>
      </c>
      <c r="G275" s="2" t="s">
        <v>124</v>
      </c>
      <c r="H275" s="5">
        <v>808.9</v>
      </c>
      <c r="I275" s="1" t="s">
        <v>8</v>
      </c>
      <c r="J275" s="32"/>
      <c r="N275" s="10" t="str">
        <f>IF(COUNTIFS( $B$2:$B$657, B275, $C$2:$C$657, C275, $D$2:$D$657, D275, $E$2:$E$657, E275) &gt; 1, "Duplicate", "Unique")</f>
        <v>Unique</v>
      </c>
      <c r="O275" s="27"/>
    </row>
    <row r="276" spans="1:16" ht="27.65" customHeight="1" thickBot="1" x14ac:dyDescent="0.4">
      <c r="A276" s="8" t="s">
        <v>61</v>
      </c>
      <c r="B276" s="8" t="s">
        <v>34</v>
      </c>
      <c r="C276" s="8" t="s">
        <v>7</v>
      </c>
      <c r="D276" s="8">
        <v>200</v>
      </c>
      <c r="E276" s="12">
        <v>244</v>
      </c>
      <c r="F276" s="4">
        <v>24.021551290000001</v>
      </c>
      <c r="G276" s="2" t="s">
        <v>41</v>
      </c>
      <c r="H276" s="5">
        <v>196.74</v>
      </c>
      <c r="I276" s="1" t="s">
        <v>8</v>
      </c>
      <c r="J276" s="32" t="s">
        <v>116</v>
      </c>
      <c r="N276" s="10" t="str">
        <f>IF(COUNTIFS( $B$2:$B$657, B276, $C$2:$C$657, C276, $D$2:$D$657, D276, $E$2:$E$657, E276) &gt; 1, "Duplicate", "Unique")</f>
        <v>Unique</v>
      </c>
    </row>
    <row r="277" spans="1:16" s="81" customFormat="1" ht="39" thickBot="1" x14ac:dyDescent="0.4">
      <c r="A277" s="82" t="s">
        <v>61</v>
      </c>
      <c r="B277" s="83" t="s">
        <v>23</v>
      </c>
      <c r="C277" s="82" t="s">
        <v>7</v>
      </c>
      <c r="D277" s="82">
        <v>40</v>
      </c>
      <c r="E277" s="84">
        <v>229</v>
      </c>
      <c r="F277" s="85">
        <v>24.085613649999999</v>
      </c>
      <c r="G277" s="86" t="s">
        <v>69</v>
      </c>
      <c r="H277" s="87">
        <v>184.55</v>
      </c>
      <c r="I277" s="88" t="s">
        <v>8</v>
      </c>
      <c r="J277" s="89" t="s">
        <v>116</v>
      </c>
      <c r="K277" s="90"/>
      <c r="L277" s="90"/>
      <c r="M277" s="90"/>
      <c r="N277" s="81" t="str">
        <f>IF(COUNTIFS( $B$2:$B$657, B277, $C$2:$C$657, C277, $D$2:$D$657, D277, $E$2:$E$657, E277) &gt; 1, "Duplicate", "Unique")</f>
        <v>Unique</v>
      </c>
    </row>
    <row r="278" spans="1:16" ht="26.5" thickBot="1" x14ac:dyDescent="0.4">
      <c r="A278" s="3">
        <v>46265.390277777777</v>
      </c>
      <c r="B278" s="1" t="s">
        <v>15</v>
      </c>
      <c r="C278" s="1" t="s">
        <v>7</v>
      </c>
      <c r="D278" s="4">
        <v>10</v>
      </c>
      <c r="E278" s="4">
        <v>2618</v>
      </c>
      <c r="F278" s="4">
        <v>24.13466098</v>
      </c>
      <c r="G278" s="2" t="s">
        <v>71</v>
      </c>
      <c r="H278" s="5">
        <v>2109</v>
      </c>
      <c r="I278" s="1" t="s">
        <v>8</v>
      </c>
      <c r="J278" s="17" t="s">
        <v>116</v>
      </c>
      <c r="K278" s="17" t="s">
        <v>196</v>
      </c>
      <c r="L278" s="17">
        <v>25530</v>
      </c>
      <c r="M278" s="17">
        <f>ABS((D278*E278)-L278)</f>
        <v>650</v>
      </c>
      <c r="N278" t="str">
        <f>IF(COUNTIFS( $B$2:$B$657, B278, $C$2:$C$657, C278, $D$2:$D$657, D278, $E$2:$E$657, E278) &gt; 1, "Duplicate", "Unique")</f>
        <v>Unique</v>
      </c>
      <c r="O278"/>
      <c r="P278"/>
    </row>
    <row r="279" spans="1:16" ht="26.5" thickBot="1" x14ac:dyDescent="0.4">
      <c r="A279" s="8" t="s">
        <v>61</v>
      </c>
      <c r="B279" s="8" t="s">
        <v>26</v>
      </c>
      <c r="C279" s="8" t="s">
        <v>7</v>
      </c>
      <c r="D279" s="8">
        <v>25</v>
      </c>
      <c r="E279" s="8">
        <v>199.9</v>
      </c>
      <c r="F279" s="4">
        <v>24.200062129999999</v>
      </c>
      <c r="G279" s="2" t="s">
        <v>131</v>
      </c>
      <c r="H279" s="5">
        <v>160.94999999999999</v>
      </c>
      <c r="I279" s="1" t="s">
        <v>8</v>
      </c>
      <c r="J279" s="32" t="s">
        <v>116</v>
      </c>
      <c r="N279" s="10" t="str">
        <f>IF(COUNTIFS( $B$2:$B$657, B279, $C$2:$C$657, C279, $D$2:$D$657, D279, $E$2:$E$657, E279) &gt; 1, "Duplicate", "Unique")</f>
        <v>Unique</v>
      </c>
    </row>
    <row r="280" spans="1:16" ht="26.5" thickBot="1" x14ac:dyDescent="0.4">
      <c r="A280" s="3">
        <v>46275.507638888892</v>
      </c>
      <c r="B280" s="1" t="s">
        <v>15</v>
      </c>
      <c r="C280" s="1" t="s">
        <v>7</v>
      </c>
      <c r="D280" s="4">
        <v>10</v>
      </c>
      <c r="E280" s="4">
        <v>2632</v>
      </c>
      <c r="F280" s="4">
        <v>24.79848269</v>
      </c>
      <c r="G280" s="2" t="s">
        <v>71</v>
      </c>
      <c r="H280" s="5">
        <v>2109</v>
      </c>
      <c r="I280" s="1" t="s">
        <v>8</v>
      </c>
      <c r="J280" s="17" t="s">
        <v>116</v>
      </c>
      <c r="K280" s="17" t="s">
        <v>257</v>
      </c>
      <c r="L280" s="17">
        <v>73800</v>
      </c>
      <c r="M280" s="17">
        <f>ABS((D280*E280)-L280)</f>
        <v>47480</v>
      </c>
      <c r="N280" s="10" t="str">
        <f>IF(COUNTIFS( $B$2:$B$657, B280, $C$2:$C$657, C280, $D$2:$D$657, D280, $E$2:$E$657, E280) &gt; 1, "Duplicate", "Unique")</f>
        <v>Unique</v>
      </c>
    </row>
    <row r="281" spans="1:16" ht="26.5" thickBot="1" x14ac:dyDescent="0.4">
      <c r="A281" s="3">
        <v>46268.375</v>
      </c>
      <c r="B281" s="1" t="s">
        <v>16</v>
      </c>
      <c r="C281" s="1" t="s">
        <v>7</v>
      </c>
      <c r="D281" s="4">
        <v>30</v>
      </c>
      <c r="E281" s="4">
        <v>920</v>
      </c>
      <c r="F281" s="4">
        <v>24.94906967</v>
      </c>
      <c r="G281" s="2" t="s">
        <v>60</v>
      </c>
      <c r="H281" s="5">
        <v>736.3</v>
      </c>
      <c r="I281" s="1" t="s">
        <v>8</v>
      </c>
      <c r="J281" s="17" t="s">
        <v>116</v>
      </c>
      <c r="K281" s="17" t="s">
        <v>228</v>
      </c>
      <c r="L281" s="17">
        <v>25800</v>
      </c>
      <c r="M281" s="17">
        <f>ABS((D281*E281)-L281)</f>
        <v>1800</v>
      </c>
      <c r="N281" s="10" t="str">
        <f>IF(COUNTIFS( $B$2:$B$657, B281, $C$2:$C$657, C281, $D$2:$D$657, D281, $E$2:$E$657, E281) &gt; 1, "Duplicate", "Unique")</f>
        <v>Unique</v>
      </c>
    </row>
    <row r="282" spans="1:16" ht="26.5" thickBot="1" x14ac:dyDescent="0.4">
      <c r="A282" s="3">
        <v>46265.375694444447</v>
      </c>
      <c r="B282" s="1" t="s">
        <v>15</v>
      </c>
      <c r="C282" s="1" t="s">
        <v>7</v>
      </c>
      <c r="D282" s="4">
        <v>10</v>
      </c>
      <c r="E282" s="4">
        <v>2636</v>
      </c>
      <c r="F282" s="4">
        <v>24.98814604</v>
      </c>
      <c r="G282" s="2" t="s">
        <v>71</v>
      </c>
      <c r="H282" s="5">
        <v>2109</v>
      </c>
      <c r="I282" s="1" t="s">
        <v>8</v>
      </c>
      <c r="J282" s="17" t="s">
        <v>116</v>
      </c>
      <c r="K282" s="17" t="s">
        <v>204</v>
      </c>
      <c r="L282" s="17">
        <v>26020</v>
      </c>
      <c r="M282" s="17">
        <f>ABS((D282*E282)-L282)</f>
        <v>340</v>
      </c>
      <c r="N282" t="str">
        <f>IF(COUNTIFS( $B$2:$B$657, B282, $C$2:$C$657, C282, $D$2:$D$657, D282, $E$2:$E$657, E282) &gt; 1, "Duplicate", "Unique")</f>
        <v>Unique</v>
      </c>
    </row>
    <row r="283" spans="1:16" ht="26.5" thickBot="1" x14ac:dyDescent="0.4">
      <c r="A283" s="8" t="s">
        <v>61</v>
      </c>
      <c r="B283" s="8" t="s">
        <v>6</v>
      </c>
      <c r="C283" s="8" t="s">
        <v>7</v>
      </c>
      <c r="D283" s="8">
        <v>100</v>
      </c>
      <c r="E283" s="12">
        <v>318</v>
      </c>
      <c r="F283" s="4">
        <v>25.098347759999999</v>
      </c>
      <c r="G283" s="2" t="s">
        <v>129</v>
      </c>
      <c r="H283" s="5">
        <v>254.2</v>
      </c>
      <c r="I283" s="1" t="s">
        <v>8</v>
      </c>
      <c r="J283" s="32" t="s">
        <v>116</v>
      </c>
      <c r="N283" s="10" t="str">
        <f>IF(COUNTIFS( $B$2:$B$657, B283, $C$2:$C$657, C283, $D$2:$D$657, D283, $E$2:$E$657, E283) &gt; 1, "Duplicate", "Unique")</f>
        <v>Unique</v>
      </c>
    </row>
    <row r="284" spans="1:16" ht="26.5" thickBot="1" x14ac:dyDescent="0.4">
      <c r="A284" s="8" t="s">
        <v>61</v>
      </c>
      <c r="B284" s="8" t="s">
        <v>6</v>
      </c>
      <c r="C284" s="8" t="s">
        <v>7</v>
      </c>
      <c r="D284" s="8">
        <v>100</v>
      </c>
      <c r="E284" s="13">
        <v>319</v>
      </c>
      <c r="F284" s="4">
        <v>25.491738789999999</v>
      </c>
      <c r="G284" s="2" t="s">
        <v>129</v>
      </c>
      <c r="H284" s="5">
        <v>254.2</v>
      </c>
      <c r="I284" s="1" t="s">
        <v>8</v>
      </c>
      <c r="J284" s="32" t="s">
        <v>116</v>
      </c>
      <c r="N284" s="10" t="str">
        <f>IF(COUNTIFS( $B$2:$B$657, B284, $C$2:$C$657, C284, $D$2:$D$657, D284, $E$2:$E$657, E284) &gt; 1, "Duplicate", "Unique")</f>
        <v>Unique</v>
      </c>
    </row>
    <row r="285" spans="1:16" ht="26.5" thickBot="1" x14ac:dyDescent="0.4">
      <c r="A285" s="3">
        <v>46262.463194444441</v>
      </c>
      <c r="B285" s="1" t="s">
        <v>15</v>
      </c>
      <c r="C285" s="1" t="s">
        <v>7</v>
      </c>
      <c r="D285" s="4">
        <v>10</v>
      </c>
      <c r="E285" s="4">
        <v>2648</v>
      </c>
      <c r="F285" s="4">
        <v>25.557136079999999</v>
      </c>
      <c r="G285" s="2" t="s">
        <v>71</v>
      </c>
      <c r="H285" s="5">
        <v>2109</v>
      </c>
      <c r="I285" s="1" t="s">
        <v>8</v>
      </c>
      <c r="J285" s="17" t="s">
        <v>116</v>
      </c>
      <c r="K285" s="17" t="s">
        <v>186</v>
      </c>
      <c r="L285" s="17">
        <v>26180</v>
      </c>
      <c r="M285" s="17">
        <f>ABS((D285*E285)-L285)</f>
        <v>300</v>
      </c>
      <c r="N285" s="10" t="str">
        <f>IF(COUNTIFS( $B$2:$B$657, B285, $C$2:$C$657, C285, $D$2:$D$657, D285, $E$2:$E$657, E285) &gt; 1, "Duplicate", "Unique")</f>
        <v>Unique</v>
      </c>
    </row>
    <row r="286" spans="1:16" ht="39" thickBot="1" x14ac:dyDescent="0.4">
      <c r="A286" s="3">
        <v>46269.375</v>
      </c>
      <c r="B286" s="1" t="s">
        <v>22</v>
      </c>
      <c r="C286" s="1" t="s">
        <v>7</v>
      </c>
      <c r="D286" s="4">
        <v>5</v>
      </c>
      <c r="E286" s="4">
        <v>471</v>
      </c>
      <c r="F286" s="4">
        <v>25.650260100000001</v>
      </c>
      <c r="G286" s="2" t="s">
        <v>72</v>
      </c>
      <c r="H286" s="5">
        <v>374.85</v>
      </c>
      <c r="I286" s="1" t="s">
        <v>8</v>
      </c>
      <c r="J286" s="17" t="s">
        <v>117</v>
      </c>
      <c r="K286" s="17" t="s">
        <v>234</v>
      </c>
      <c r="L286" s="17">
        <v>2105</v>
      </c>
      <c r="M286" s="24">
        <f>ABS((D286*E286)-L286)</f>
        <v>250</v>
      </c>
      <c r="N286" t="str">
        <f>IF(COUNTIFS( $B$2:$B$657, B286, $C$2:$C$657, C286, $D$2:$D$657, D286, $E$2:$E$657, E286) &gt; 1, "Duplicate", "Unique")</f>
        <v>Unique</v>
      </c>
    </row>
    <row r="287" spans="1:16" ht="26.5" thickBot="1" x14ac:dyDescent="0.4">
      <c r="A287" s="3">
        <v>46262.375</v>
      </c>
      <c r="B287" s="1" t="s">
        <v>15</v>
      </c>
      <c r="C287" s="1" t="s">
        <v>7</v>
      </c>
      <c r="D287" s="4">
        <v>10</v>
      </c>
      <c r="E287" s="4">
        <v>2660</v>
      </c>
      <c r="F287" s="4">
        <v>26.126126129999999</v>
      </c>
      <c r="G287" s="2" t="s">
        <v>71</v>
      </c>
      <c r="H287" s="5">
        <v>2109</v>
      </c>
      <c r="I287" s="1" t="s">
        <v>8</v>
      </c>
      <c r="J287" s="17" t="s">
        <v>116</v>
      </c>
      <c r="K287" s="17" t="s">
        <v>188</v>
      </c>
      <c r="L287" s="17">
        <v>26300</v>
      </c>
      <c r="M287" s="17">
        <f>ABS((D287*E287)-L287)</f>
        <v>300</v>
      </c>
      <c r="N287" s="10" t="str">
        <f>IF(COUNTIFS( $B$2:$B$657, B287, $C$2:$C$657, C287, $D$2:$D$657, D287, $E$2:$E$657, E287) &gt; 1, "Duplicate", "Unique")</f>
        <v>Unique</v>
      </c>
    </row>
    <row r="288" spans="1:16" ht="26.5" thickBot="1" x14ac:dyDescent="0.4">
      <c r="A288" s="8" t="s">
        <v>61</v>
      </c>
      <c r="B288" s="8" t="s">
        <v>34</v>
      </c>
      <c r="C288" s="8" t="s">
        <v>7</v>
      </c>
      <c r="D288" s="8">
        <v>200</v>
      </c>
      <c r="E288" s="12">
        <v>249</v>
      </c>
      <c r="F288" s="4">
        <v>26.562976519999999</v>
      </c>
      <c r="G288" s="2" t="s">
        <v>41</v>
      </c>
      <c r="H288" s="5">
        <v>196.74</v>
      </c>
      <c r="I288" s="1" t="s">
        <v>8</v>
      </c>
      <c r="J288" s="32" t="s">
        <v>116</v>
      </c>
      <c r="N288" s="10" t="str">
        <f>IF(COUNTIFS( $B$2:$B$657, B288, $C$2:$C$657, C288, $D$2:$D$657, D288, $E$2:$E$657, E288) &gt; 1, "Duplicate", "Unique")</f>
        <v>Unique</v>
      </c>
    </row>
    <row r="289" spans="1:16" ht="26.5" thickBot="1" x14ac:dyDescent="0.4">
      <c r="A289" s="3">
        <v>46254.642361111109</v>
      </c>
      <c r="B289" s="1" t="s">
        <v>15</v>
      </c>
      <c r="C289" s="1" t="s">
        <v>7</v>
      </c>
      <c r="D289" s="4">
        <v>10</v>
      </c>
      <c r="E289" s="4">
        <v>2672</v>
      </c>
      <c r="F289" s="4">
        <v>26.695116169999999</v>
      </c>
      <c r="G289" s="2" t="s">
        <v>71</v>
      </c>
      <c r="H289" s="5">
        <v>2109</v>
      </c>
      <c r="I289" s="1" t="s">
        <v>8</v>
      </c>
      <c r="J289" s="16" t="s">
        <v>116</v>
      </c>
      <c r="K289" s="16" t="s">
        <v>145</v>
      </c>
      <c r="L289" s="16"/>
      <c r="M289" s="16"/>
      <c r="N289" s="10" t="str">
        <f>IF(COUNTIFS( $B$2:$B$657, B289, $C$2:$C$657, C289, $D$2:$D$657, D289, $E$2:$E$657, E289) &gt; 1, "Duplicate", "Unique")</f>
        <v>Unique</v>
      </c>
    </row>
    <row r="290" spans="1:16" ht="39" thickBot="1" x14ac:dyDescent="0.4">
      <c r="A290" s="8" t="s">
        <v>61</v>
      </c>
      <c r="B290" s="8" t="s">
        <v>118</v>
      </c>
      <c r="C290" s="8" t="s">
        <v>7</v>
      </c>
      <c r="D290" s="8">
        <v>15</v>
      </c>
      <c r="E290" s="8">
        <v>1090</v>
      </c>
      <c r="F290" s="4">
        <v>27.039627039999999</v>
      </c>
      <c r="G290" s="2" t="s">
        <v>119</v>
      </c>
      <c r="H290" s="5">
        <v>858</v>
      </c>
      <c r="I290" s="1" t="s">
        <v>8</v>
      </c>
      <c r="J290" s="32"/>
      <c r="N290" s="10" t="str">
        <f>IF(COUNTIFS( $B$2:$B$657, B290, $C$2:$C$657, C290, $D$2:$D$657, D290, $E$2:$E$657, E290) &gt; 1, "Duplicate", "Unique")</f>
        <v>Unique</v>
      </c>
    </row>
    <row r="291" spans="1:16" ht="26.5" thickBot="1" x14ac:dyDescent="0.4">
      <c r="A291" s="8" t="s">
        <v>61</v>
      </c>
      <c r="B291" s="8" t="s">
        <v>6</v>
      </c>
      <c r="C291" s="8" t="s">
        <v>7</v>
      </c>
      <c r="D291" s="8">
        <v>150</v>
      </c>
      <c r="E291" s="12">
        <v>323</v>
      </c>
      <c r="F291" s="4">
        <v>27.06530291</v>
      </c>
      <c r="G291" s="2" t="s">
        <v>129</v>
      </c>
      <c r="H291" s="5">
        <v>254.2</v>
      </c>
      <c r="I291" s="1" t="s">
        <v>8</v>
      </c>
      <c r="J291" s="32" t="s">
        <v>117</v>
      </c>
      <c r="N291" s="10" t="str">
        <f>IF(COUNTIFS( $B$2:$B$657, B291, $C$2:$C$657, C291, $D$2:$D$657, D291, $E$2:$E$657, E291) &gt; 1, "Duplicate", "Unique")</f>
        <v>Unique</v>
      </c>
    </row>
    <row r="292" spans="1:16" ht="26.5" thickBot="1" x14ac:dyDescent="0.4">
      <c r="A292" s="3">
        <v>46260.634027777778</v>
      </c>
      <c r="B292" s="1" t="s">
        <v>29</v>
      </c>
      <c r="C292" s="1" t="s">
        <v>7</v>
      </c>
      <c r="D292" s="4">
        <v>5</v>
      </c>
      <c r="E292" s="4">
        <v>4148</v>
      </c>
      <c r="F292" s="4">
        <v>27.2392638</v>
      </c>
      <c r="G292" s="2" t="s">
        <v>136</v>
      </c>
      <c r="H292" s="5">
        <v>3260</v>
      </c>
      <c r="I292" s="1" t="s">
        <v>8</v>
      </c>
      <c r="J292" s="17" t="s">
        <v>117</v>
      </c>
      <c r="K292" s="17" t="s">
        <v>165</v>
      </c>
      <c r="L292" s="17">
        <v>20260</v>
      </c>
      <c r="M292" s="17">
        <f>ABS((D292*E292)-L292)</f>
        <v>480</v>
      </c>
      <c r="N292" t="str">
        <f>IF(COUNTIFS( $B$2:$B$657, B292, $C$2:$C$657, C292, $D$2:$D$657, D292, $E$2:$E$657, E292) &gt; 1, "Duplicate", "Unique")</f>
        <v>Unique</v>
      </c>
    </row>
    <row r="293" spans="1:16" ht="26.5" thickBot="1" x14ac:dyDescent="0.4">
      <c r="A293" s="8" t="s">
        <v>61</v>
      </c>
      <c r="B293" s="8" t="s">
        <v>13</v>
      </c>
      <c r="C293" s="8" t="s">
        <v>7</v>
      </c>
      <c r="D293" s="8">
        <v>10</v>
      </c>
      <c r="E293" s="8">
        <v>2189</v>
      </c>
      <c r="F293" s="4">
        <v>27.638483969999999</v>
      </c>
      <c r="G293" s="2" t="s">
        <v>90</v>
      </c>
      <c r="H293" s="5">
        <v>1715</v>
      </c>
      <c r="I293" s="1" t="s">
        <v>8</v>
      </c>
      <c r="J293" s="32"/>
      <c r="N293" s="10" t="str">
        <f>IF(COUNTIFS( $B$2:$B$657, B293, $C$2:$C$657, C293, $D$2:$D$657, D293, $E$2:$E$657, E293) &gt; 1, "Duplicate", "Unique")</f>
        <v>Unique</v>
      </c>
    </row>
    <row r="294" spans="1:16" ht="26.5" thickBot="1" x14ac:dyDescent="0.4">
      <c r="A294" s="11">
        <v>46252.6875</v>
      </c>
      <c r="B294" s="8" t="s">
        <v>15</v>
      </c>
      <c r="C294" s="8" t="s">
        <v>7</v>
      </c>
      <c r="D294" s="8">
        <v>10</v>
      </c>
      <c r="E294" s="8">
        <v>2696</v>
      </c>
      <c r="F294" s="4">
        <v>27.833096250000001</v>
      </c>
      <c r="G294" s="2" t="s">
        <v>71</v>
      </c>
      <c r="H294" s="5">
        <v>2109</v>
      </c>
      <c r="I294" s="1" t="s">
        <v>8</v>
      </c>
      <c r="J294" s="32" t="s">
        <v>152</v>
      </c>
      <c r="N294" s="10" t="str">
        <f>IF(COUNTIFS( $B$2:$B$657, B294, $C$2:$C$657, C294, $D$2:$D$657, D294, $E$2:$E$657, E294) &gt; 1, "Duplicate", "Unique")</f>
        <v>Unique</v>
      </c>
    </row>
    <row r="295" spans="1:16" ht="26.5" thickBot="1" x14ac:dyDescent="0.4">
      <c r="A295" s="8" t="s">
        <v>61</v>
      </c>
      <c r="B295" s="8" t="s">
        <v>127</v>
      </c>
      <c r="C295" s="8" t="s">
        <v>7</v>
      </c>
      <c r="D295" s="8">
        <v>150</v>
      </c>
      <c r="E295" s="12">
        <v>136</v>
      </c>
      <c r="F295" s="4">
        <v>28.06026365</v>
      </c>
      <c r="G295" s="2" t="s">
        <v>128</v>
      </c>
      <c r="H295" s="5">
        <v>106.2</v>
      </c>
      <c r="I295" s="1" t="s">
        <v>8</v>
      </c>
      <c r="J295" s="32"/>
      <c r="N295" s="10" t="str">
        <f>IF(COUNTIFS( $B$2:$B$657, B295, $C$2:$C$657, C295, $D$2:$D$657, D295, $E$2:$E$657, E295) &gt; 1, "Duplicate", "Unique")</f>
        <v>Unique</v>
      </c>
    </row>
    <row r="296" spans="1:16" ht="26.5" thickBot="1" x14ac:dyDescent="0.4">
      <c r="A296" s="3">
        <v>46265.415277777778</v>
      </c>
      <c r="B296" s="1" t="s">
        <v>16</v>
      </c>
      <c r="C296" s="1" t="s">
        <v>7</v>
      </c>
      <c r="D296" s="4">
        <v>5</v>
      </c>
      <c r="E296" s="4">
        <v>948</v>
      </c>
      <c r="F296" s="4">
        <v>28.751867449999999</v>
      </c>
      <c r="G296" s="2" t="s">
        <v>60</v>
      </c>
      <c r="H296" s="5">
        <v>736.3</v>
      </c>
      <c r="I296" s="1" t="s">
        <v>8</v>
      </c>
      <c r="J296" s="17" t="s">
        <v>117</v>
      </c>
      <c r="K296" s="17" t="s">
        <v>193</v>
      </c>
      <c r="L296" s="17">
        <v>4455</v>
      </c>
      <c r="M296" s="17">
        <f>ABS((D296*E296)-L296)</f>
        <v>285</v>
      </c>
      <c r="N296" t="str">
        <f>IF(COUNTIFS( $B$2:$B$657, B296, $C$2:$C$657, C296, $D$2:$D$657, D296, $E$2:$E$657, E296) &gt; 1, "Duplicate", "Unique")</f>
        <v>Unique</v>
      </c>
    </row>
    <row r="297" spans="1:16" ht="26.5" thickBot="1" x14ac:dyDescent="0.4">
      <c r="A297" s="3">
        <v>46266.375</v>
      </c>
      <c r="B297" s="1" t="s">
        <v>16</v>
      </c>
      <c r="C297" s="1" t="s">
        <v>7</v>
      </c>
      <c r="D297" s="4">
        <v>11</v>
      </c>
      <c r="E297" s="4">
        <v>948</v>
      </c>
      <c r="F297" s="4">
        <v>28.751867449999999</v>
      </c>
      <c r="G297" s="2" t="s">
        <v>60</v>
      </c>
      <c r="H297" s="5">
        <v>736.3</v>
      </c>
      <c r="I297" s="1" t="s">
        <v>8</v>
      </c>
      <c r="J297" s="17" t="s">
        <v>116</v>
      </c>
      <c r="K297" s="17" t="s">
        <v>210</v>
      </c>
      <c r="L297" s="17">
        <v>9702</v>
      </c>
      <c r="M297" s="17">
        <f>ABS((D297*E297)-L297)</f>
        <v>726</v>
      </c>
      <c r="N297" s="10" t="str">
        <f>IF(COUNTIFS( $B$2:$B$657, B297, $C$2:$C$657, C297, $D$2:$D$657, D297, $E$2:$E$657, E297) &gt; 1, "Duplicate", "Unique")</f>
        <v>Unique</v>
      </c>
    </row>
    <row r="298" spans="1:16" ht="26.5" thickBot="1" x14ac:dyDescent="0.4">
      <c r="A298" s="11">
        <v>46252.6875</v>
      </c>
      <c r="B298" s="8" t="s">
        <v>15</v>
      </c>
      <c r="C298" s="8" t="s">
        <v>7</v>
      </c>
      <c r="D298" s="8">
        <v>10</v>
      </c>
      <c r="E298" s="8">
        <v>2720</v>
      </c>
      <c r="F298" s="4">
        <v>28.97107634</v>
      </c>
      <c r="G298" s="2" t="s">
        <v>71</v>
      </c>
      <c r="H298" s="5">
        <v>2109</v>
      </c>
      <c r="I298" s="1" t="s">
        <v>8</v>
      </c>
      <c r="J298" s="32" t="s">
        <v>116</v>
      </c>
      <c r="N298" s="10" t="str">
        <f>IF(COUNTIFS( $B$2:$B$657, B298, $C$2:$C$657, C298, $D$2:$D$657, D298, $E$2:$E$657, E298) &gt; 1, "Duplicate", "Unique")</f>
        <v>Unique</v>
      </c>
    </row>
    <row r="299" spans="1:16" ht="26.5" thickBot="1" x14ac:dyDescent="0.4">
      <c r="A299" s="8" t="s">
        <v>61</v>
      </c>
      <c r="B299" s="8" t="s">
        <v>17</v>
      </c>
      <c r="C299" s="8" t="s">
        <v>7</v>
      </c>
      <c r="D299" s="8">
        <v>5</v>
      </c>
      <c r="E299" s="12">
        <v>416</v>
      </c>
      <c r="F299" s="4">
        <v>29.433727439999998</v>
      </c>
      <c r="G299" s="2" t="s">
        <v>76</v>
      </c>
      <c r="H299" s="5">
        <v>321.39999999999998</v>
      </c>
      <c r="I299" s="1" t="s">
        <v>8</v>
      </c>
      <c r="J299" s="32"/>
      <c r="N299" s="10" t="str">
        <f>IF(COUNTIFS( $B$2:$B$657, B299, $C$2:$C$657, C299, $D$2:$D$657, D299, $E$2:$E$657, E299) &gt; 1, "Duplicate", "Unique")</f>
        <v>Unique</v>
      </c>
    </row>
    <row r="300" spans="1:16" ht="26.5" thickBot="1" x14ac:dyDescent="0.4">
      <c r="A300" s="8" t="s">
        <v>61</v>
      </c>
      <c r="B300" s="8" t="s">
        <v>26</v>
      </c>
      <c r="C300" s="8" t="s">
        <v>7</v>
      </c>
      <c r="D300" s="8">
        <v>25</v>
      </c>
      <c r="E300" s="8">
        <v>210</v>
      </c>
      <c r="F300" s="4">
        <v>30.475302889999998</v>
      </c>
      <c r="G300" s="2" t="s">
        <v>131</v>
      </c>
      <c r="H300" s="5">
        <v>160.94999999999999</v>
      </c>
      <c r="I300" s="1" t="s">
        <v>8</v>
      </c>
      <c r="J300" s="32"/>
      <c r="N300" s="10" t="str">
        <f>IF(COUNTIFS( $B$2:$B$657, B300, $C$2:$C$657, C300, $D$2:$D$657, D300, $E$2:$E$657, E300) &gt; 1, "Duplicate", "Unique")</f>
        <v>Unique</v>
      </c>
    </row>
    <row r="301" spans="1:16" ht="26.5" thickBot="1" x14ac:dyDescent="0.4">
      <c r="A301" s="3">
        <v>46265.375694444447</v>
      </c>
      <c r="B301" s="1" t="s">
        <v>16</v>
      </c>
      <c r="C301" s="1" t="s">
        <v>7</v>
      </c>
      <c r="D301" s="4">
        <v>5</v>
      </c>
      <c r="E301" s="4">
        <v>961</v>
      </c>
      <c r="F301" s="4">
        <v>30.517452129999999</v>
      </c>
      <c r="G301" s="2" t="s">
        <v>60</v>
      </c>
      <c r="H301" s="5">
        <v>736.3</v>
      </c>
      <c r="I301" s="1" t="s">
        <v>8</v>
      </c>
      <c r="J301" s="17" t="s">
        <v>117</v>
      </c>
      <c r="K301" s="17" t="s">
        <v>198</v>
      </c>
      <c r="L301" s="17">
        <v>4530</v>
      </c>
      <c r="M301" s="17">
        <f>ABS((D301*E301)-L301)</f>
        <v>275</v>
      </c>
      <c r="N301" t="str">
        <f>IF(COUNTIFS( $B$2:$B$657, B301, $C$2:$C$657, C301, $D$2:$D$657, D301, $E$2:$E$657, E301) &gt; 1, "Duplicate", "Unique")</f>
        <v>Unique</v>
      </c>
    </row>
    <row r="302" spans="1:16" ht="26.5" thickBot="1" x14ac:dyDescent="0.4">
      <c r="A302" s="11">
        <v>46252.635416666664</v>
      </c>
      <c r="B302" s="8" t="s">
        <v>86</v>
      </c>
      <c r="C302" s="8" t="s">
        <v>7</v>
      </c>
      <c r="D302" s="8">
        <v>10</v>
      </c>
      <c r="E302" s="8">
        <v>1479</v>
      </c>
      <c r="F302" s="4">
        <v>31.314924980000001</v>
      </c>
      <c r="G302" s="2" t="s">
        <v>87</v>
      </c>
      <c r="H302" s="5">
        <v>1126.3</v>
      </c>
      <c r="I302" s="1" t="s">
        <v>8</v>
      </c>
      <c r="J302" s="32" t="s">
        <v>54</v>
      </c>
      <c r="N302" s="10" t="str">
        <f>IF(COUNTIFS( $B$2:$B$657, B302, $C$2:$C$657, C302, $D$2:$D$657, D302, $E$2:$E$657, E302) &gt; 1, "Duplicate", "Unique")</f>
        <v>Unique</v>
      </c>
    </row>
    <row r="303" spans="1:16" ht="26.5" thickBot="1" x14ac:dyDescent="0.4">
      <c r="A303" s="3">
        <v>46260.557638888888</v>
      </c>
      <c r="B303" s="1" t="s">
        <v>16</v>
      </c>
      <c r="C303" s="1" t="s">
        <v>7</v>
      </c>
      <c r="D303" s="4">
        <v>5</v>
      </c>
      <c r="E303" s="4">
        <v>971</v>
      </c>
      <c r="F303" s="4">
        <v>31.875594190000001</v>
      </c>
      <c r="G303" s="2" t="s">
        <v>60</v>
      </c>
      <c r="H303" s="5">
        <v>736.3</v>
      </c>
      <c r="I303" s="1" t="s">
        <v>8</v>
      </c>
      <c r="J303" s="17" t="s">
        <v>117</v>
      </c>
      <c r="K303" s="17" t="s">
        <v>161</v>
      </c>
      <c r="L303" s="17">
        <v>4605</v>
      </c>
      <c r="M303" s="17">
        <f>ABS((D303*E303)-L303)</f>
        <v>250</v>
      </c>
      <c r="N303" t="str">
        <f>IF(COUNTIFS( $B$2:$B$657, B303, $C$2:$C$657, C303, $D$2:$D$657, D303, $E$2:$E$657, E303) &gt; 1, "Duplicate", "Unique")</f>
        <v>Unique</v>
      </c>
      <c r="P303" s="27"/>
    </row>
    <row r="304" spans="1:16" ht="39" thickBot="1" x14ac:dyDescent="0.4">
      <c r="A304" s="3">
        <v>46260.550694444442</v>
      </c>
      <c r="B304" s="1" t="s">
        <v>102</v>
      </c>
      <c r="C304" s="1" t="s">
        <v>7</v>
      </c>
      <c r="D304" s="4">
        <v>2</v>
      </c>
      <c r="E304" s="4">
        <v>2787.9</v>
      </c>
      <c r="F304" s="4">
        <v>32.44180523</v>
      </c>
      <c r="G304" s="2" t="s">
        <v>103</v>
      </c>
      <c r="H304" s="5">
        <v>2105</v>
      </c>
      <c r="I304" s="1" t="s">
        <v>8</v>
      </c>
      <c r="J304" s="17" t="s">
        <v>117</v>
      </c>
      <c r="K304" s="17" t="s">
        <v>164</v>
      </c>
      <c r="L304" s="17">
        <v>5275.8</v>
      </c>
      <c r="M304" s="17">
        <f>ABS((D304*E304)-L304)</f>
        <v>300</v>
      </c>
      <c r="N304" t="str">
        <f>IF(COUNTIFS( $B$2:$B$657, B304, $C$2:$C$657, C304, $D$2:$D$657, D304, $E$2:$E$657, E304) &gt; 1, "Duplicate", "Unique")</f>
        <v>Unique</v>
      </c>
    </row>
    <row r="305" spans="1:16" ht="39" thickBot="1" x14ac:dyDescent="0.4">
      <c r="A305" s="3">
        <v>46258.375694444447</v>
      </c>
      <c r="B305" s="1" t="s">
        <v>22</v>
      </c>
      <c r="C305" s="1" t="s">
        <v>7</v>
      </c>
      <c r="D305" s="4">
        <v>5</v>
      </c>
      <c r="E305" s="4">
        <v>499</v>
      </c>
      <c r="F305" s="4">
        <v>33.119914629999997</v>
      </c>
      <c r="G305" s="2" t="s">
        <v>72</v>
      </c>
      <c r="H305" s="5">
        <v>374.85</v>
      </c>
      <c r="I305" s="1" t="s">
        <v>8</v>
      </c>
      <c r="J305" s="17" t="s">
        <v>117</v>
      </c>
      <c r="K305" s="17" t="s">
        <v>156</v>
      </c>
      <c r="L305" s="17">
        <v>2260</v>
      </c>
      <c r="M305" s="17">
        <f>ABS((D305*E305)-L305)</f>
        <v>235</v>
      </c>
      <c r="N305" s="10" t="str">
        <f>IF(COUNTIFS( $B$2:$B$657, B305, $C$2:$C$657, C305, $D$2:$D$657, D305, $E$2:$E$657, E305) &gt; 1, "Duplicate", "Unique")</f>
        <v>Unique</v>
      </c>
    </row>
    <row r="306" spans="1:16" ht="39" thickBot="1" x14ac:dyDescent="0.4">
      <c r="A306" s="8" t="s">
        <v>61</v>
      </c>
      <c r="B306" s="8" t="s">
        <v>125</v>
      </c>
      <c r="C306" s="8" t="s">
        <v>7</v>
      </c>
      <c r="D306" s="8">
        <v>5</v>
      </c>
      <c r="E306" s="8">
        <v>596</v>
      </c>
      <c r="F306" s="4">
        <v>33.482642779999999</v>
      </c>
      <c r="G306" s="2" t="s">
        <v>126</v>
      </c>
      <c r="H306" s="5">
        <v>446.5</v>
      </c>
      <c r="I306" s="1" t="s">
        <v>8</v>
      </c>
      <c r="J306" s="32"/>
      <c r="N306" s="10" t="str">
        <f>IF(COUNTIFS( $B$2:$B$657, B306, $C$2:$C$657, C306, $D$2:$D$657, D306, $E$2:$E$657, E306) &gt; 1, "Duplicate", "Unique")</f>
        <v>Unique</v>
      </c>
    </row>
    <row r="307" spans="1:16" ht="26.5" thickBot="1" x14ac:dyDescent="0.4">
      <c r="A307" s="8" t="s">
        <v>61</v>
      </c>
      <c r="B307" s="8" t="s">
        <v>13</v>
      </c>
      <c r="C307" s="8" t="s">
        <v>7</v>
      </c>
      <c r="D307" s="8">
        <v>20</v>
      </c>
      <c r="E307" s="8">
        <v>2310</v>
      </c>
      <c r="F307" s="4">
        <v>34.693877550000003</v>
      </c>
      <c r="G307" s="2" t="s">
        <v>90</v>
      </c>
      <c r="H307" s="5">
        <v>1715</v>
      </c>
      <c r="I307" s="1" t="s">
        <v>8</v>
      </c>
      <c r="J307" s="32"/>
      <c r="N307" s="10" t="str">
        <f>IF(COUNTIFS( $B$2:$B$657, B307, $C$2:$C$657, C307, $D$2:$D$657, D307, $E$2:$E$657, E307) &gt; 1, "Duplicate", "Unique")</f>
        <v>Unique</v>
      </c>
    </row>
    <row r="308" spans="1:16" ht="26.5" thickBot="1" x14ac:dyDescent="0.4">
      <c r="A308" s="8" t="s">
        <v>61</v>
      </c>
      <c r="B308" s="8" t="s">
        <v>17</v>
      </c>
      <c r="C308" s="8" t="s">
        <v>7</v>
      </c>
      <c r="D308" s="8">
        <v>5</v>
      </c>
      <c r="E308" s="12">
        <v>435</v>
      </c>
      <c r="F308" s="4">
        <v>35.345364029999999</v>
      </c>
      <c r="G308" s="2" t="s">
        <v>76</v>
      </c>
      <c r="H308" s="5">
        <v>321.39999999999998</v>
      </c>
      <c r="I308" s="1" t="s">
        <v>8</v>
      </c>
      <c r="J308" s="32" t="s">
        <v>117</v>
      </c>
      <c r="N308" s="10" t="str">
        <f>IF(COUNTIFS( $B$2:$B$657, B308, $C$2:$C$657, C308, $D$2:$D$657, D308, $E$2:$E$657, E308) &gt; 1, "Duplicate", "Unique")</f>
        <v>Unique</v>
      </c>
    </row>
    <row r="309" spans="1:16" ht="39" thickBot="1" x14ac:dyDescent="0.4">
      <c r="A309" s="9" t="s">
        <v>61</v>
      </c>
      <c r="B309" s="9" t="s">
        <v>118</v>
      </c>
      <c r="C309" s="9" t="s">
        <v>7</v>
      </c>
      <c r="D309" s="9">
        <v>7</v>
      </c>
      <c r="E309" s="12">
        <v>1170</v>
      </c>
      <c r="F309" s="4">
        <v>36.363636360000001</v>
      </c>
      <c r="G309" s="2" t="s">
        <v>119</v>
      </c>
      <c r="H309" s="5">
        <v>858</v>
      </c>
      <c r="I309" s="1" t="s">
        <v>8</v>
      </c>
      <c r="J309" s="32"/>
      <c r="N309" s="10" t="str">
        <f>IF(COUNTIFS( $B$2:$B$657, B309, $C$2:$C$657, C309, $D$2:$D$657, D309, $E$2:$E$657, E309) &gt; 1, "Duplicate", "Unique")</f>
        <v>Unique</v>
      </c>
    </row>
    <row r="310" spans="1:16" ht="26.5" thickBot="1" x14ac:dyDescent="0.4">
      <c r="A310" s="11">
        <v>46252.6875</v>
      </c>
      <c r="B310" s="8" t="s">
        <v>15</v>
      </c>
      <c r="C310" s="8" t="s">
        <v>7</v>
      </c>
      <c r="D310" s="8">
        <v>10</v>
      </c>
      <c r="E310" s="8">
        <v>2896</v>
      </c>
      <c r="F310" s="4">
        <v>37.316263630000002</v>
      </c>
      <c r="G310" s="2" t="s">
        <v>71</v>
      </c>
      <c r="H310" s="5">
        <v>2109</v>
      </c>
      <c r="I310" s="1" t="s">
        <v>8</v>
      </c>
      <c r="J310" s="32" t="s">
        <v>117</v>
      </c>
      <c r="N310" s="10" t="str">
        <f>IF(COUNTIFS( $B$2:$B$657, B310, $C$2:$C$657, C310, $D$2:$D$657, D310, $E$2:$E$657, E310) &gt; 1, "Duplicate", "Unique")</f>
        <v>Unique</v>
      </c>
    </row>
    <row r="311" spans="1:16" ht="26.5" thickBot="1" x14ac:dyDescent="0.4">
      <c r="A311" s="11">
        <v>46252.6875</v>
      </c>
      <c r="B311" s="8" t="s">
        <v>15</v>
      </c>
      <c r="C311" s="8" t="s">
        <v>7</v>
      </c>
      <c r="D311" s="8">
        <v>10</v>
      </c>
      <c r="E311" s="8">
        <v>2908</v>
      </c>
      <c r="F311" s="4">
        <v>37.885253669999997</v>
      </c>
      <c r="G311" s="2" t="s">
        <v>71</v>
      </c>
      <c r="H311" s="5">
        <v>2109</v>
      </c>
      <c r="I311" s="1" t="s">
        <v>8</v>
      </c>
      <c r="J311" s="32" t="s">
        <v>117</v>
      </c>
      <c r="N311" s="10" t="str">
        <f>IF(COUNTIFS( $B$2:$B$657, B311, $C$2:$C$657, C311, $D$2:$D$657, D311, $E$2:$E$657, E311) &gt; 1, "Duplicate", "Unique")</f>
        <v>Unique</v>
      </c>
    </row>
    <row r="312" spans="1:16" ht="39" thickBot="1" x14ac:dyDescent="0.4">
      <c r="A312" s="3">
        <v>46259.532638888886</v>
      </c>
      <c r="B312" s="1" t="s">
        <v>95</v>
      </c>
      <c r="C312" s="1" t="s">
        <v>7</v>
      </c>
      <c r="D312" s="4">
        <v>5</v>
      </c>
      <c r="E312" s="4">
        <v>218</v>
      </c>
      <c r="F312" s="4">
        <v>41.825515580000001</v>
      </c>
      <c r="G312" s="2" t="s">
        <v>96</v>
      </c>
      <c r="H312" s="5">
        <v>153.71</v>
      </c>
      <c r="I312" s="1" t="s">
        <v>8</v>
      </c>
      <c r="J312" s="32" t="s">
        <v>117</v>
      </c>
      <c r="K312" s="17" t="s">
        <v>157</v>
      </c>
      <c r="L312" s="17">
        <v>840</v>
      </c>
      <c r="M312" s="17">
        <f>ABS((D312*E312)-L312)</f>
        <v>250</v>
      </c>
      <c r="N312" s="10" t="str">
        <f>IF(COUNTIFS( $B$2:$B$657, B312, $C$2:$C$657, C312, $D$2:$D$657, D312, $E$2:$E$657, E312) &gt; 1, "Duplicate", "Unique")</f>
        <v>Unique</v>
      </c>
    </row>
    <row r="313" spans="1:16" ht="26.5" thickBot="1" x14ac:dyDescent="0.4">
      <c r="A313" s="39" t="s">
        <v>61</v>
      </c>
      <c r="B313" s="39" t="s">
        <v>13</v>
      </c>
      <c r="C313" s="39" t="s">
        <v>7</v>
      </c>
      <c r="D313" s="39">
        <v>1</v>
      </c>
      <c r="E313" s="39">
        <v>2494</v>
      </c>
      <c r="F313" s="4">
        <v>45.422740519999998</v>
      </c>
      <c r="G313" s="2" t="s">
        <v>90</v>
      </c>
      <c r="H313" s="5">
        <v>1715</v>
      </c>
      <c r="I313" s="1" t="s">
        <v>8</v>
      </c>
      <c r="J313" s="45" t="s">
        <v>117</v>
      </c>
      <c r="K313" s="25"/>
      <c r="L313" s="25"/>
      <c r="M313" s="25"/>
      <c r="N313" s="27" t="str">
        <f>IF(COUNTIFS( $B$2:$B$657, B313, $C$2:$C$657, C313, $D$2:$D$657, D313, $E$2:$E$657, E313) &gt; 1, "Duplicate", "Unique")</f>
        <v>Unique</v>
      </c>
      <c r="O313" s="27"/>
      <c r="P313" s="27"/>
    </row>
    <row r="314" spans="1:16" ht="26.5" thickBot="1" x14ac:dyDescent="0.4">
      <c r="A314" s="38">
        <v>46251.506249999999</v>
      </c>
      <c r="B314" s="39" t="s">
        <v>13</v>
      </c>
      <c r="C314" s="39" t="s">
        <v>7</v>
      </c>
      <c r="D314" s="39">
        <v>3</v>
      </c>
      <c r="E314" s="39">
        <v>2494</v>
      </c>
      <c r="F314" s="4">
        <v>45.422740519999998</v>
      </c>
      <c r="G314" s="2" t="s">
        <v>90</v>
      </c>
      <c r="H314" s="5">
        <v>1715</v>
      </c>
      <c r="I314" s="1" t="s">
        <v>8</v>
      </c>
      <c r="J314" s="45" t="s">
        <v>117</v>
      </c>
      <c r="K314" s="25"/>
      <c r="L314" s="25"/>
      <c r="M314" s="25"/>
      <c r="N314" s="27" t="str">
        <f>IF(COUNTIFS( $B$2:$B$657, B314, $C$2:$C$657, C314, $D$2:$D$657, D314, $E$2:$E$657, E314) &gt; 1, "Duplicate", "Unique")</f>
        <v>Unique</v>
      </c>
      <c r="O314" s="27"/>
      <c r="P314" s="27"/>
    </row>
    <row r="315" spans="1:16" ht="26.5" thickBot="1" x14ac:dyDescent="0.4">
      <c r="A315" s="8" t="s">
        <v>61</v>
      </c>
      <c r="B315" s="8" t="s">
        <v>140</v>
      </c>
      <c r="C315" s="8" t="s">
        <v>7</v>
      </c>
      <c r="D315" s="8">
        <v>23</v>
      </c>
      <c r="E315" s="12">
        <v>890</v>
      </c>
      <c r="F315" s="6" t="e">
        <v>#N/A</v>
      </c>
      <c r="G315" s="2" t="s">
        <v>141</v>
      </c>
      <c r="H315" s="7" t="e">
        <v>#N/A</v>
      </c>
      <c r="I315" s="1" t="s">
        <v>8</v>
      </c>
      <c r="J315" s="32" t="s">
        <v>116</v>
      </c>
      <c r="N315" s="10" t="str">
        <f>IF(COUNTIFS( $B$2:$B$657, B315, $C$2:$C$657, C315, $D$2:$D$657, D315, $E$2:$E$657, E315) &gt; 1, "Duplicate", "Unique")</f>
        <v>Unique</v>
      </c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</sheetData>
  <autoFilter ref="A1:P315" xr:uid="{00000000-0001-0000-0000-000000000000}">
    <filterColumn colId="2">
      <filters>
        <filter val="S"/>
      </filters>
    </filterColumn>
    <filterColumn colId="14">
      <filters blank="1"/>
    </filterColumn>
    <sortState xmlns:xlrd2="http://schemas.microsoft.com/office/spreadsheetml/2017/richdata2" ref="A2:P315">
      <sortCondition ref="F1:F315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sqref="A1:L6"/>
    </sheetView>
  </sheetViews>
  <sheetFormatPr defaultRowHeight="14.5" x14ac:dyDescent="0.35"/>
  <cols>
    <col min="1" max="1" width="19.54296875" customWidth="1"/>
    <col min="2" max="2" width="14.6328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4" x14ac:dyDescent="0.35">
      <c r="A2" t="s">
        <v>338</v>
      </c>
      <c r="B2" t="s">
        <v>25</v>
      </c>
      <c r="C2" t="s">
        <v>7</v>
      </c>
      <c r="D2">
        <v>300</v>
      </c>
      <c r="E2">
        <v>34.21</v>
      </c>
      <c r="F2" t="s">
        <v>306</v>
      </c>
      <c r="K2" t="str">
        <f t="shared" ref="K2" si="0">C2 &amp; " " &amp; D2 &amp; "*" &amp; E2 &amp; " :" &amp; A2</f>
        <v>S 300*34.21 :15 OCT 2026 09:41:51 AM</v>
      </c>
      <c r="L2">
        <f t="shared" ref="L2" si="1">D2*E2</f>
        <v>10263</v>
      </c>
      <c r="N2" t="str">
        <f t="shared" ref="N2:N10" si="2">IF(COUNTIFS( $B$2:$B$879, B2) &gt; 1, "Duplicate", "Unique")</f>
        <v>Unique</v>
      </c>
    </row>
    <row r="3" spans="1:14" x14ac:dyDescent="0.35">
      <c r="A3" t="s">
        <v>339</v>
      </c>
      <c r="B3" t="s">
        <v>12</v>
      </c>
      <c r="C3" t="s">
        <v>10</v>
      </c>
      <c r="D3">
        <v>3</v>
      </c>
      <c r="E3">
        <v>4770</v>
      </c>
      <c r="F3" t="s">
        <v>306</v>
      </c>
      <c r="K3" t="str">
        <f t="shared" ref="K3:K5" si="3">C3 &amp; " " &amp; D3 &amp; "*" &amp; E3 &amp; " :" &amp; A3</f>
        <v>B 3*4770 :15 OCT 2026 09:28:39 AM</v>
      </c>
      <c r="L3">
        <f t="shared" ref="L3:L5" si="4">D3*E3</f>
        <v>14310</v>
      </c>
      <c r="N3" t="str">
        <f t="shared" si="2"/>
        <v>Unique</v>
      </c>
    </row>
    <row r="4" spans="1:14" x14ac:dyDescent="0.35">
      <c r="A4" t="s">
        <v>340</v>
      </c>
      <c r="B4" t="s">
        <v>13</v>
      </c>
      <c r="C4" t="s">
        <v>10</v>
      </c>
      <c r="D4">
        <v>10</v>
      </c>
      <c r="E4">
        <v>1731</v>
      </c>
      <c r="F4" t="s">
        <v>306</v>
      </c>
      <c r="K4" t="str">
        <f t="shared" si="3"/>
        <v>B 10*1731 :15 OCT 2026 09:00:43 AM</v>
      </c>
      <c r="L4">
        <f t="shared" si="4"/>
        <v>17310</v>
      </c>
      <c r="N4" t="str">
        <f t="shared" si="2"/>
        <v>Unique</v>
      </c>
    </row>
    <row r="5" spans="1:14" x14ac:dyDescent="0.35">
      <c r="A5" t="s">
        <v>340</v>
      </c>
      <c r="B5" t="s">
        <v>14</v>
      </c>
      <c r="C5" t="s">
        <v>7</v>
      </c>
      <c r="D5">
        <v>100</v>
      </c>
      <c r="E5">
        <v>322</v>
      </c>
      <c r="F5" t="s">
        <v>306</v>
      </c>
      <c r="K5" t="str">
        <f t="shared" si="3"/>
        <v>S 100*322 :15 OCT 2026 09:00:43 AM</v>
      </c>
      <c r="L5">
        <f t="shared" si="4"/>
        <v>32200</v>
      </c>
      <c r="N5" t="str">
        <f t="shared" si="2"/>
        <v>Unique</v>
      </c>
    </row>
    <row r="6" spans="1:14" x14ac:dyDescent="0.35">
      <c r="A6" t="s">
        <v>340</v>
      </c>
      <c r="B6" t="s">
        <v>50</v>
      </c>
      <c r="C6" t="s">
        <v>7</v>
      </c>
      <c r="D6">
        <v>10</v>
      </c>
      <c r="E6">
        <v>897</v>
      </c>
      <c r="F6" t="s">
        <v>306</v>
      </c>
      <c r="K6" t="str">
        <f t="shared" ref="K6" si="5">C6 &amp; " " &amp; D6 &amp; "*" &amp; E6 &amp; " :" &amp; A6</f>
        <v>S 10*897 :15 OCT 2026 09:00:43 AM</v>
      </c>
      <c r="L6">
        <f t="shared" ref="L6" si="6">D6*E6</f>
        <v>8970</v>
      </c>
      <c r="N6" t="str">
        <f t="shared" si="2"/>
        <v>Unique</v>
      </c>
    </row>
    <row r="7" spans="1:14" x14ac:dyDescent="0.35">
      <c r="K7" t="str">
        <f t="shared" ref="K7:K10" si="7">C7 &amp; " " &amp; D7 &amp; "*" &amp; E7 &amp; " :" &amp; A7</f>
        <v xml:space="preserve"> * :</v>
      </c>
      <c r="L7">
        <f t="shared" ref="L7:L10" si="8">D7*E7</f>
        <v>0</v>
      </c>
      <c r="N7" t="str">
        <f t="shared" si="2"/>
        <v>Unique</v>
      </c>
    </row>
    <row r="8" spans="1:14" x14ac:dyDescent="0.35">
      <c r="K8" t="str">
        <f t="shared" si="7"/>
        <v xml:space="preserve"> * :</v>
      </c>
      <c r="L8">
        <f t="shared" si="8"/>
        <v>0</v>
      </c>
      <c r="N8" t="str">
        <f t="shared" si="2"/>
        <v>Unique</v>
      </c>
    </row>
    <row r="9" spans="1:14" x14ac:dyDescent="0.35">
      <c r="K9" t="str">
        <f t="shared" si="7"/>
        <v xml:space="preserve"> * :</v>
      </c>
      <c r="L9">
        <f t="shared" si="8"/>
        <v>0</v>
      </c>
      <c r="N9" t="str">
        <f t="shared" si="2"/>
        <v>Unique</v>
      </c>
    </row>
    <row r="10" spans="1:14" x14ac:dyDescent="0.35">
      <c r="K10" t="str">
        <f t="shared" si="7"/>
        <v xml:space="preserve"> * :</v>
      </c>
      <c r="L10">
        <f t="shared" si="8"/>
        <v>0</v>
      </c>
      <c r="N10" t="str">
        <f t="shared" si="2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0859-BCE2-441E-8EDF-E2C38C626068}">
  <dimension ref="A1:P973"/>
  <sheetViews>
    <sheetView zoomScaleNormal="100" workbookViewId="0">
      <pane ySplit="1" topLeftCell="A2" activePane="bottomLeft" state="frozen"/>
      <selection sqref="A1:XFD1"/>
      <selection pane="bottomLeft" activeCell="H6" sqref="H6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7" customWidth="1"/>
    <col min="11" max="11" width="19" style="17" customWidth="1"/>
    <col min="12" max="13" width="8.90625" style="17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36</v>
      </c>
      <c r="G1" s="2" t="s">
        <v>37</v>
      </c>
      <c r="H1" s="2" t="s">
        <v>38</v>
      </c>
      <c r="I1" s="1" t="s">
        <v>5</v>
      </c>
      <c r="J1" s="20" t="s">
        <v>139</v>
      </c>
      <c r="K1" s="62" t="s">
        <v>149</v>
      </c>
      <c r="L1" s="17" t="s">
        <v>150</v>
      </c>
      <c r="M1" s="17" t="s">
        <v>151</v>
      </c>
      <c r="O1" s="10" t="s">
        <v>236</v>
      </c>
    </row>
    <row r="2" spans="1:16" customFormat="1" ht="40.75" customHeight="1" thickBot="1" x14ac:dyDescent="0.4">
      <c r="A2" s="6" t="s">
        <v>61</v>
      </c>
      <c r="B2" s="1" t="s">
        <v>15</v>
      </c>
      <c r="C2" s="1" t="s">
        <v>10</v>
      </c>
      <c r="D2" s="4">
        <v>5</v>
      </c>
      <c r="E2" s="4">
        <v>2470</v>
      </c>
      <c r="F2" s="4">
        <v>15.636704119999999</v>
      </c>
      <c r="G2" s="2" t="s">
        <v>71</v>
      </c>
      <c r="H2" s="5">
        <v>2136</v>
      </c>
      <c r="I2" s="1" t="s">
        <v>8</v>
      </c>
      <c r="J2" s="33" t="s">
        <v>40</v>
      </c>
      <c r="K2" s="16"/>
      <c r="L2" s="16"/>
      <c r="M2" s="16"/>
      <c r="N2" t="str">
        <f t="shared" ref="N2:N65" si="0">IF(COUNTIFS( $B$2:$B$657, B2, $C$2:$C$657, C2, $D$2:$D$657, D2, $E$2:$E$657, E2) &gt; 1, "Duplicate", "Unique")</f>
        <v>Unique</v>
      </c>
      <c r="O2" s="10"/>
      <c r="P2" s="22"/>
    </row>
    <row r="3" spans="1:16" customFormat="1" ht="27.65" customHeight="1" thickBot="1" x14ac:dyDescent="0.4">
      <c r="A3" s="6" t="s">
        <v>61</v>
      </c>
      <c r="B3" s="1" t="s">
        <v>15</v>
      </c>
      <c r="C3" s="1" t="s">
        <v>10</v>
      </c>
      <c r="D3" s="4">
        <v>30</v>
      </c>
      <c r="E3" s="4">
        <v>2435</v>
      </c>
      <c r="F3" s="4">
        <v>13.99812734</v>
      </c>
      <c r="G3" s="2" t="s">
        <v>71</v>
      </c>
      <c r="H3" s="5">
        <v>2136</v>
      </c>
      <c r="I3" s="1" t="s">
        <v>8</v>
      </c>
      <c r="J3" s="33" t="s">
        <v>54</v>
      </c>
      <c r="K3" s="16"/>
      <c r="L3" s="16"/>
      <c r="M3" s="16"/>
      <c r="N3" t="str">
        <f t="shared" si="0"/>
        <v>Unique</v>
      </c>
      <c r="O3" s="10"/>
      <c r="P3" s="10"/>
    </row>
    <row r="4" spans="1:16" customFormat="1" ht="15" customHeight="1" thickBot="1" x14ac:dyDescent="0.4">
      <c r="A4" s="3">
        <v>46275.457638888889</v>
      </c>
      <c r="B4" s="1" t="s">
        <v>19</v>
      </c>
      <c r="C4" s="1" t="s">
        <v>10</v>
      </c>
      <c r="D4" s="4">
        <v>100</v>
      </c>
      <c r="E4" s="4">
        <v>222</v>
      </c>
      <c r="F4" s="4">
        <v>9.3596059109999992</v>
      </c>
      <c r="G4" s="2" t="s">
        <v>39</v>
      </c>
      <c r="H4" s="5">
        <v>203</v>
      </c>
      <c r="I4" s="1" t="s">
        <v>8</v>
      </c>
      <c r="J4" s="21" t="s">
        <v>40</v>
      </c>
      <c r="K4" s="17" t="s">
        <v>258</v>
      </c>
      <c r="L4" s="17">
        <v>56375</v>
      </c>
      <c r="M4" s="17">
        <f>ABS((D4*E4)-L4)</f>
        <v>34175</v>
      </c>
      <c r="N4" s="10" t="str">
        <f t="shared" si="0"/>
        <v>Unique</v>
      </c>
      <c r="O4" s="10"/>
      <c r="P4" s="10"/>
    </row>
    <row r="5" spans="1:16" customFormat="1" ht="15" customHeight="1" thickBot="1" x14ac:dyDescent="0.4">
      <c r="A5" s="3">
        <v>46261.375</v>
      </c>
      <c r="B5" s="1" t="s">
        <v>23</v>
      </c>
      <c r="C5" s="1" t="s">
        <v>10</v>
      </c>
      <c r="D5" s="4">
        <v>50</v>
      </c>
      <c r="E5" s="4">
        <v>204</v>
      </c>
      <c r="F5" s="4">
        <v>8.5106382979999999</v>
      </c>
      <c r="G5" s="2" t="s">
        <v>69</v>
      </c>
      <c r="H5" s="5">
        <v>188</v>
      </c>
      <c r="I5" s="1" t="s">
        <v>8</v>
      </c>
      <c r="J5" s="21" t="s">
        <v>40</v>
      </c>
      <c r="K5" s="17" t="s">
        <v>180</v>
      </c>
      <c r="L5" s="17">
        <v>10550</v>
      </c>
      <c r="M5" s="17">
        <f>ABS((D5*E5)-L5)</f>
        <v>350</v>
      </c>
      <c r="N5" s="10" t="str">
        <f t="shared" si="0"/>
        <v>Unique</v>
      </c>
      <c r="O5" s="10"/>
      <c r="P5" s="10"/>
    </row>
    <row r="6" spans="1:16" customFormat="1" ht="40.75" customHeight="1" thickBot="1" x14ac:dyDescent="0.4">
      <c r="A6" s="6" t="s">
        <v>61</v>
      </c>
      <c r="B6" s="1" t="s">
        <v>23</v>
      </c>
      <c r="C6" s="1" t="s">
        <v>10</v>
      </c>
      <c r="D6" s="4">
        <v>50</v>
      </c>
      <c r="E6" s="4">
        <v>201</v>
      </c>
      <c r="F6" s="4">
        <v>6.9148936169999997</v>
      </c>
      <c r="G6" s="2" t="s">
        <v>69</v>
      </c>
      <c r="H6" s="5">
        <v>188</v>
      </c>
      <c r="I6" s="1" t="s">
        <v>8</v>
      </c>
      <c r="J6" s="34" t="s">
        <v>40</v>
      </c>
      <c r="K6" s="16"/>
      <c r="L6" s="16"/>
      <c r="M6" s="16"/>
      <c r="N6" t="str">
        <f t="shared" si="0"/>
        <v>Unique</v>
      </c>
    </row>
    <row r="7" spans="1:16" customFormat="1" ht="27.65" customHeight="1" thickBot="1" x14ac:dyDescent="0.4">
      <c r="A7" s="6" t="s">
        <v>61</v>
      </c>
      <c r="B7" s="1" t="s">
        <v>48</v>
      </c>
      <c r="C7" s="1" t="s">
        <v>10</v>
      </c>
      <c r="D7" s="4">
        <v>5</v>
      </c>
      <c r="E7" s="4">
        <v>3888</v>
      </c>
      <c r="F7" s="4">
        <v>6.7545304780000004</v>
      </c>
      <c r="G7" s="2" t="s">
        <v>49</v>
      </c>
      <c r="H7" s="5">
        <v>3642</v>
      </c>
      <c r="I7" s="1" t="s">
        <v>8</v>
      </c>
      <c r="J7" s="33"/>
      <c r="K7" s="16"/>
      <c r="L7" s="16"/>
      <c r="M7" s="16"/>
      <c r="N7" t="str">
        <f t="shared" si="0"/>
        <v>Unique</v>
      </c>
      <c r="O7" s="23"/>
      <c r="P7" s="10"/>
    </row>
    <row r="8" spans="1:16" customFormat="1" ht="27.65" customHeight="1" thickBot="1" x14ac:dyDescent="0.4">
      <c r="A8" s="6" t="s">
        <v>61</v>
      </c>
      <c r="B8" s="1" t="s">
        <v>48</v>
      </c>
      <c r="C8" s="1" t="s">
        <v>10</v>
      </c>
      <c r="D8" s="4">
        <v>2</v>
      </c>
      <c r="E8" s="4">
        <v>3856</v>
      </c>
      <c r="F8" s="4">
        <v>5.8758923669999996</v>
      </c>
      <c r="G8" s="2" t="s">
        <v>49</v>
      </c>
      <c r="H8" s="5">
        <v>3642</v>
      </c>
      <c r="I8" s="1" t="s">
        <v>8</v>
      </c>
      <c r="J8" s="33"/>
      <c r="K8" s="16"/>
      <c r="L8" s="16"/>
      <c r="M8" s="16"/>
      <c r="N8" t="str">
        <f t="shared" si="0"/>
        <v>Unique</v>
      </c>
      <c r="O8" s="18"/>
      <c r="P8" s="10"/>
    </row>
    <row r="9" spans="1:16" customFormat="1" ht="27.65" customHeight="1" thickBot="1" x14ac:dyDescent="0.4">
      <c r="A9" s="3">
        <v>46268.385416666664</v>
      </c>
      <c r="B9" s="1" t="s">
        <v>19</v>
      </c>
      <c r="C9" s="1" t="s">
        <v>10</v>
      </c>
      <c r="D9" s="4">
        <v>100</v>
      </c>
      <c r="E9" s="4">
        <v>214</v>
      </c>
      <c r="F9" s="4">
        <v>5.4187192120000001</v>
      </c>
      <c r="G9" s="2" t="s">
        <v>39</v>
      </c>
      <c r="H9" s="5">
        <v>203</v>
      </c>
      <c r="I9" s="1" t="s">
        <v>8</v>
      </c>
      <c r="J9" s="21" t="s">
        <v>54</v>
      </c>
      <c r="K9" s="17" t="s">
        <v>230</v>
      </c>
      <c r="L9" s="17">
        <v>21900</v>
      </c>
      <c r="M9" s="17">
        <f>ABS((D9*E9)-L9)</f>
        <v>500</v>
      </c>
      <c r="N9" s="10" t="str">
        <f t="shared" si="0"/>
        <v>Unique</v>
      </c>
      <c r="O9" s="10"/>
      <c r="P9" s="10"/>
    </row>
    <row r="10" spans="1:16" customFormat="1" ht="27.65" customHeight="1" thickBot="1" x14ac:dyDescent="0.4">
      <c r="A10" s="6" t="s">
        <v>61</v>
      </c>
      <c r="B10" s="1" t="s">
        <v>48</v>
      </c>
      <c r="C10" s="1" t="s">
        <v>10</v>
      </c>
      <c r="D10" s="4">
        <v>2</v>
      </c>
      <c r="E10" s="4">
        <v>3830</v>
      </c>
      <c r="F10" s="4">
        <v>5.1619989019999997</v>
      </c>
      <c r="G10" s="2" t="s">
        <v>49</v>
      </c>
      <c r="H10" s="5">
        <v>3642</v>
      </c>
      <c r="I10" s="1" t="s">
        <v>8</v>
      </c>
      <c r="J10" s="33"/>
      <c r="K10" s="16"/>
      <c r="L10" s="16"/>
      <c r="M10" s="16"/>
      <c r="N10" t="str">
        <f t="shared" si="0"/>
        <v>Unique</v>
      </c>
      <c r="O10" s="10"/>
      <c r="P10" s="10"/>
    </row>
    <row r="11" spans="1:16" customFormat="1" ht="27.65" customHeight="1" thickBot="1" x14ac:dyDescent="0.4">
      <c r="A11" s="3">
        <v>46252.645138888889</v>
      </c>
      <c r="B11" s="1" t="s">
        <v>67</v>
      </c>
      <c r="C11" s="1" t="s">
        <v>10</v>
      </c>
      <c r="D11" s="4">
        <v>10</v>
      </c>
      <c r="E11" s="4">
        <v>401</v>
      </c>
      <c r="F11" s="4">
        <v>4.8777298289999997</v>
      </c>
      <c r="G11" s="2" t="s">
        <v>68</v>
      </c>
      <c r="H11" s="5">
        <v>382.35</v>
      </c>
      <c r="I11" s="1" t="s">
        <v>8</v>
      </c>
      <c r="J11" s="56" t="s">
        <v>40</v>
      </c>
      <c r="K11" s="16"/>
      <c r="L11" s="16"/>
      <c r="M11" s="16"/>
      <c r="N11" t="str">
        <f t="shared" si="0"/>
        <v>Unique</v>
      </c>
      <c r="O11" s="10"/>
      <c r="P11" s="10"/>
    </row>
    <row r="12" spans="1:16" customFormat="1" ht="27.65" customHeight="1" thickBot="1" x14ac:dyDescent="0.4">
      <c r="A12" s="6" t="s">
        <v>61</v>
      </c>
      <c r="B12" s="1" t="s">
        <v>48</v>
      </c>
      <c r="C12" s="1" t="s">
        <v>10</v>
      </c>
      <c r="D12" s="4">
        <v>3</v>
      </c>
      <c r="E12" s="4">
        <v>3810</v>
      </c>
      <c r="F12" s="4">
        <v>4.6128500819999996</v>
      </c>
      <c r="G12" s="2" t="s">
        <v>49</v>
      </c>
      <c r="H12" s="5">
        <v>3642</v>
      </c>
      <c r="I12" s="1" t="s">
        <v>8</v>
      </c>
      <c r="J12" s="33"/>
      <c r="K12" s="16"/>
      <c r="L12" s="16"/>
      <c r="M12" s="16"/>
      <c r="N12" t="str">
        <f t="shared" si="0"/>
        <v>Unique</v>
      </c>
      <c r="O12" s="10"/>
      <c r="P12" s="10"/>
    </row>
    <row r="13" spans="1:16" ht="40.75" customHeight="1" thickBot="1" x14ac:dyDescent="0.4">
      <c r="A13" s="6" t="s">
        <v>61</v>
      </c>
      <c r="B13" s="1" t="s">
        <v>19</v>
      </c>
      <c r="C13" s="1" t="s">
        <v>10</v>
      </c>
      <c r="D13" s="4">
        <v>50</v>
      </c>
      <c r="E13" s="4">
        <v>212</v>
      </c>
      <c r="F13" s="4">
        <v>4.433497537</v>
      </c>
      <c r="G13" s="2" t="s">
        <v>39</v>
      </c>
      <c r="H13" s="5">
        <v>203</v>
      </c>
      <c r="I13" s="1" t="s">
        <v>8</v>
      </c>
      <c r="J13" s="33" t="s">
        <v>40</v>
      </c>
      <c r="K13" s="16"/>
      <c r="L13" s="16"/>
      <c r="M13" s="16"/>
      <c r="N13" t="str">
        <f t="shared" si="0"/>
        <v>Unique</v>
      </c>
    </row>
    <row r="14" spans="1:16" ht="40.75" customHeight="1" thickBot="1" x14ac:dyDescent="0.4">
      <c r="A14" s="6" t="s">
        <v>61</v>
      </c>
      <c r="B14" s="1" t="s">
        <v>48</v>
      </c>
      <c r="C14" s="1" t="s">
        <v>10</v>
      </c>
      <c r="D14" s="4">
        <v>2</v>
      </c>
      <c r="E14" s="4">
        <v>3760</v>
      </c>
      <c r="F14" s="4">
        <v>3.239978034</v>
      </c>
      <c r="G14" s="2" t="s">
        <v>49</v>
      </c>
      <c r="H14" s="5">
        <v>3642</v>
      </c>
      <c r="I14" s="1" t="s">
        <v>8</v>
      </c>
      <c r="J14" s="33"/>
      <c r="K14" s="16"/>
      <c r="L14" s="16"/>
      <c r="M14" s="16"/>
      <c r="N14" t="str">
        <f t="shared" si="0"/>
        <v>Unique</v>
      </c>
      <c r="O14"/>
    </row>
    <row r="15" spans="1:16" ht="15" customHeight="1" thickBot="1" x14ac:dyDescent="0.4">
      <c r="A15" s="3">
        <v>46252.6875</v>
      </c>
      <c r="B15" s="1" t="s">
        <v>20</v>
      </c>
      <c r="C15" s="1" t="s">
        <v>10</v>
      </c>
      <c r="D15" s="4">
        <v>20</v>
      </c>
      <c r="E15" s="4">
        <v>122</v>
      </c>
      <c r="F15" s="4">
        <v>1.7854163190000001</v>
      </c>
      <c r="G15" s="2" t="s">
        <v>85</v>
      </c>
      <c r="H15" s="5">
        <v>119.86</v>
      </c>
      <c r="I15" s="1" t="s">
        <v>8</v>
      </c>
      <c r="J15" s="34" t="s">
        <v>40</v>
      </c>
      <c r="K15" s="16"/>
      <c r="L15" s="16"/>
      <c r="M15" s="16"/>
      <c r="N15" t="str">
        <f t="shared" si="0"/>
        <v>Unique</v>
      </c>
    </row>
    <row r="16" spans="1:16" ht="27.65" customHeight="1" thickBot="1" x14ac:dyDescent="0.4">
      <c r="A16" s="6" t="s">
        <v>61</v>
      </c>
      <c r="B16" s="1" t="s">
        <v>19</v>
      </c>
      <c r="C16" s="1" t="s">
        <v>10</v>
      </c>
      <c r="D16" s="4">
        <v>50</v>
      </c>
      <c r="E16" s="4">
        <v>206</v>
      </c>
      <c r="F16" s="4">
        <v>1.477832512</v>
      </c>
      <c r="G16" s="2" t="s">
        <v>39</v>
      </c>
      <c r="H16" s="5">
        <v>203</v>
      </c>
      <c r="I16" s="1" t="s">
        <v>8</v>
      </c>
      <c r="J16" s="33" t="s">
        <v>40</v>
      </c>
      <c r="K16" s="16"/>
      <c r="L16" s="16"/>
      <c r="M16" s="16"/>
      <c r="N16" t="str">
        <f t="shared" si="0"/>
        <v>Unique</v>
      </c>
      <c r="O16"/>
      <c r="P16"/>
    </row>
    <row r="17" spans="1:16" ht="40.75" customHeight="1" thickBot="1" x14ac:dyDescent="0.4">
      <c r="A17" s="3">
        <v>46252.635416666664</v>
      </c>
      <c r="B17" s="1" t="s">
        <v>77</v>
      </c>
      <c r="C17" s="1" t="s">
        <v>10</v>
      </c>
      <c r="D17" s="4">
        <v>3</v>
      </c>
      <c r="E17" s="4">
        <v>1302</v>
      </c>
      <c r="F17" s="4">
        <v>1.4018691590000001</v>
      </c>
      <c r="G17" s="2" t="s">
        <v>78</v>
      </c>
      <c r="H17" s="5">
        <v>1284</v>
      </c>
      <c r="I17" s="1" t="s">
        <v>8</v>
      </c>
      <c r="J17" s="33" t="s">
        <v>40</v>
      </c>
      <c r="K17" s="16"/>
      <c r="L17" s="16"/>
      <c r="M17" s="16"/>
      <c r="N17" t="str">
        <f t="shared" si="0"/>
        <v>Unique</v>
      </c>
      <c r="O17"/>
      <c r="P17"/>
    </row>
    <row r="18" spans="1:16" s="22" customFormat="1" ht="27.65" customHeight="1" thickBot="1" x14ac:dyDescent="0.4">
      <c r="A18" s="6" t="s">
        <v>61</v>
      </c>
      <c r="B18" s="1" t="s">
        <v>81</v>
      </c>
      <c r="C18" s="1" t="s">
        <v>10</v>
      </c>
      <c r="D18" s="4">
        <v>1</v>
      </c>
      <c r="E18" s="4">
        <v>4010</v>
      </c>
      <c r="F18" s="4">
        <v>1.0151900650000001</v>
      </c>
      <c r="G18" s="2" t="s">
        <v>82</v>
      </c>
      <c r="H18" s="5">
        <v>3969.7</v>
      </c>
      <c r="I18" s="1" t="s">
        <v>8</v>
      </c>
      <c r="J18" s="33" t="s">
        <v>40</v>
      </c>
      <c r="K18" s="16"/>
      <c r="L18" s="16"/>
      <c r="M18" s="16"/>
      <c r="N18" t="str">
        <f t="shared" si="0"/>
        <v>Unique</v>
      </c>
      <c r="O18" s="10"/>
      <c r="P18" s="10"/>
    </row>
    <row r="19" spans="1:16" ht="27.65" customHeight="1" thickBot="1" x14ac:dyDescent="0.4">
      <c r="A19" s="3">
        <v>46283.375</v>
      </c>
      <c r="B19" s="1" t="s">
        <v>31</v>
      </c>
      <c r="C19" s="1" t="s">
        <v>10</v>
      </c>
      <c r="D19" s="4">
        <v>20</v>
      </c>
      <c r="E19" s="4">
        <v>870.2</v>
      </c>
      <c r="F19" s="4">
        <v>0.83429895710000002</v>
      </c>
      <c r="G19" s="2" t="s">
        <v>84</v>
      </c>
      <c r="H19" s="5">
        <v>863</v>
      </c>
      <c r="I19" s="1" t="s">
        <v>8</v>
      </c>
      <c r="J19" s="21" t="s">
        <v>54</v>
      </c>
      <c r="K19" s="17" t="s">
        <v>279</v>
      </c>
      <c r="L19" s="17">
        <v>17920</v>
      </c>
      <c r="M19" s="17">
        <f>ABS((D19*E19)-L19)</f>
        <v>516</v>
      </c>
      <c r="N19" s="10" t="str">
        <f t="shared" si="0"/>
        <v>Unique</v>
      </c>
    </row>
    <row r="20" spans="1:16" ht="27.65" customHeight="1" thickBot="1" x14ac:dyDescent="0.4">
      <c r="A20" s="3">
        <v>46261.375</v>
      </c>
      <c r="B20" s="1" t="s">
        <v>31</v>
      </c>
      <c r="C20" s="1" t="s">
        <v>10</v>
      </c>
      <c r="D20" s="4">
        <v>20</v>
      </c>
      <c r="E20" s="4">
        <v>870</v>
      </c>
      <c r="F20" s="4">
        <v>0.81112398610000003</v>
      </c>
      <c r="G20" s="2" t="s">
        <v>84</v>
      </c>
      <c r="H20" s="5">
        <v>863</v>
      </c>
      <c r="I20" s="1" t="s">
        <v>8</v>
      </c>
      <c r="J20" s="21" t="s">
        <v>40</v>
      </c>
      <c r="K20" s="17" t="s">
        <v>181</v>
      </c>
      <c r="L20" s="17">
        <v>17700</v>
      </c>
      <c r="M20" s="17">
        <f>ABS((D20*E20)-L20)</f>
        <v>300</v>
      </c>
      <c r="N20" s="10" t="str">
        <f t="shared" si="0"/>
        <v>Unique</v>
      </c>
      <c r="P20" s="22"/>
    </row>
    <row r="21" spans="1:16" ht="27.65" customHeight="1" thickBot="1" x14ac:dyDescent="0.4">
      <c r="A21" s="6" t="s">
        <v>61</v>
      </c>
      <c r="B21" s="1" t="s">
        <v>77</v>
      </c>
      <c r="C21" s="1" t="s">
        <v>10</v>
      </c>
      <c r="D21" s="4">
        <v>69</v>
      </c>
      <c r="E21" s="4">
        <v>1277</v>
      </c>
      <c r="F21" s="4">
        <v>-0.54517133959999997</v>
      </c>
      <c r="G21" s="2" t="s">
        <v>78</v>
      </c>
      <c r="H21" s="5">
        <v>1284</v>
      </c>
      <c r="I21" s="1" t="s">
        <v>8</v>
      </c>
      <c r="J21" s="33"/>
      <c r="K21" s="16"/>
      <c r="L21" s="16"/>
      <c r="M21" s="16"/>
      <c r="N21" t="str">
        <f t="shared" si="0"/>
        <v>Unique</v>
      </c>
      <c r="O21"/>
      <c r="P21"/>
    </row>
    <row r="22" spans="1:16" ht="27.65" customHeight="1" thickBot="1" x14ac:dyDescent="0.4">
      <c r="A22" s="3">
        <v>46254.375</v>
      </c>
      <c r="B22" s="1" t="s">
        <v>32</v>
      </c>
      <c r="C22" s="1" t="s">
        <v>10</v>
      </c>
      <c r="D22" s="4">
        <v>7</v>
      </c>
      <c r="E22" s="4">
        <v>2230</v>
      </c>
      <c r="F22" s="4">
        <v>-0.71237756009999997</v>
      </c>
      <c r="G22" s="2" t="s">
        <v>83</v>
      </c>
      <c r="H22" s="5">
        <v>2246</v>
      </c>
      <c r="I22" s="1" t="s">
        <v>8</v>
      </c>
      <c r="J22" s="47" t="s">
        <v>54</v>
      </c>
      <c r="K22" s="16" t="s">
        <v>146</v>
      </c>
      <c r="L22" s="16"/>
      <c r="M22" s="16"/>
      <c r="N22" s="10" t="str">
        <f t="shared" si="0"/>
        <v>Unique</v>
      </c>
      <c r="O22"/>
      <c r="P22"/>
    </row>
    <row r="23" spans="1:16" ht="27.65" customHeight="1" thickBot="1" x14ac:dyDescent="0.4">
      <c r="A23" s="6" t="s">
        <v>61</v>
      </c>
      <c r="B23" s="1" t="s">
        <v>20</v>
      </c>
      <c r="C23" s="1" t="s">
        <v>10</v>
      </c>
      <c r="D23" s="4">
        <v>50</v>
      </c>
      <c r="E23" s="4">
        <v>119</v>
      </c>
      <c r="F23" s="4">
        <v>-0.71750375440000003</v>
      </c>
      <c r="G23" s="2" t="s">
        <v>85</v>
      </c>
      <c r="H23" s="5">
        <v>119.86</v>
      </c>
      <c r="I23" s="1" t="s">
        <v>8</v>
      </c>
      <c r="J23" s="33"/>
      <c r="K23" s="16"/>
      <c r="L23" s="16"/>
      <c r="M23" s="16"/>
      <c r="N23" t="str">
        <f t="shared" si="0"/>
        <v>Unique</v>
      </c>
      <c r="O23"/>
    </row>
    <row r="24" spans="1:16" ht="27.65" customHeight="1" thickBot="1" x14ac:dyDescent="0.4">
      <c r="A24" s="46">
        <v>46308.620138888888</v>
      </c>
      <c r="B24" s="2" t="s">
        <v>73</v>
      </c>
      <c r="C24" s="2" t="s">
        <v>10</v>
      </c>
      <c r="D24" s="5">
        <v>10</v>
      </c>
      <c r="E24" s="5">
        <v>3310</v>
      </c>
      <c r="F24" s="4">
        <v>-0.83882564410000005</v>
      </c>
      <c r="G24" s="2" t="s">
        <v>74</v>
      </c>
      <c r="H24" s="5">
        <v>3338</v>
      </c>
      <c r="I24" s="1" t="s">
        <v>8</v>
      </c>
      <c r="J24" s="21" t="s">
        <v>54</v>
      </c>
      <c r="K24" s="17" t="s">
        <v>325</v>
      </c>
      <c r="L24" s="17">
        <v>33800</v>
      </c>
      <c r="M24" s="17">
        <f>ABS((D24*E24)-L24)</f>
        <v>700</v>
      </c>
      <c r="N24" t="str">
        <f t="shared" si="0"/>
        <v>Unique</v>
      </c>
    </row>
    <row r="25" spans="1:16" ht="27.65" customHeight="1" thickBot="1" x14ac:dyDescent="0.4">
      <c r="A25" s="46">
        <v>46308.407638888886</v>
      </c>
      <c r="B25" s="2" t="s">
        <v>50</v>
      </c>
      <c r="C25" s="2" t="s">
        <v>10</v>
      </c>
      <c r="D25" s="5">
        <v>40</v>
      </c>
      <c r="E25" s="5">
        <v>871</v>
      </c>
      <c r="F25" s="4">
        <v>-0.96645821489999995</v>
      </c>
      <c r="G25" s="2" t="s">
        <v>51</v>
      </c>
      <c r="H25" s="5">
        <v>879.5</v>
      </c>
      <c r="I25" s="1" t="s">
        <v>8</v>
      </c>
      <c r="J25" s="21" t="s">
        <v>54</v>
      </c>
      <c r="K25" s="17" t="s">
        <v>330</v>
      </c>
      <c r="L25" s="17">
        <v>35560</v>
      </c>
      <c r="M25" s="17">
        <f>ABS((D25*E25)-L25)</f>
        <v>720</v>
      </c>
      <c r="N25" t="str">
        <f t="shared" si="0"/>
        <v>Unique</v>
      </c>
    </row>
    <row r="26" spans="1:16" ht="27.65" customHeight="1" thickBot="1" x14ac:dyDescent="0.4">
      <c r="A26" s="3">
        <v>46307.375</v>
      </c>
      <c r="B26" s="1" t="s">
        <v>73</v>
      </c>
      <c r="C26" s="1" t="s">
        <v>10</v>
      </c>
      <c r="D26" s="4">
        <v>5</v>
      </c>
      <c r="E26" s="4">
        <v>3288</v>
      </c>
      <c r="F26" s="4">
        <v>-1.497902936</v>
      </c>
      <c r="G26" s="2" t="s">
        <v>74</v>
      </c>
      <c r="H26" s="5">
        <v>3338</v>
      </c>
      <c r="I26" s="1" t="s">
        <v>8</v>
      </c>
      <c r="J26" s="55" t="s">
        <v>54</v>
      </c>
      <c r="K26" t="s">
        <v>321</v>
      </c>
      <c r="L26">
        <v>16740</v>
      </c>
      <c r="M26" s="17">
        <f>ABS((D26*E26)-L26)</f>
        <v>300</v>
      </c>
      <c r="N26" s="10" t="str">
        <f t="shared" si="0"/>
        <v>Unique</v>
      </c>
    </row>
    <row r="27" spans="1:16" s="22" customFormat="1" ht="27.65" customHeight="1" thickBot="1" x14ac:dyDescent="0.4">
      <c r="A27" s="3">
        <v>46252.635416666664</v>
      </c>
      <c r="B27" s="1" t="s">
        <v>31</v>
      </c>
      <c r="C27" s="1" t="s">
        <v>10</v>
      </c>
      <c r="D27" s="4">
        <v>50</v>
      </c>
      <c r="E27" s="4">
        <v>850</v>
      </c>
      <c r="F27" s="4">
        <v>-1.5063731170000001</v>
      </c>
      <c r="G27" s="2" t="s">
        <v>84</v>
      </c>
      <c r="H27" s="5">
        <v>863</v>
      </c>
      <c r="I27" s="1" t="s">
        <v>8</v>
      </c>
      <c r="J27" s="34" t="s">
        <v>54</v>
      </c>
      <c r="K27" s="16"/>
      <c r="L27" s="16"/>
      <c r="M27" s="16"/>
      <c r="N27" t="str">
        <f t="shared" si="0"/>
        <v>Unique</v>
      </c>
      <c r="O27" s="10"/>
      <c r="P27"/>
    </row>
    <row r="28" spans="1:16" ht="27.65" customHeight="1" thickBot="1" x14ac:dyDescent="0.4">
      <c r="A28" s="3">
        <v>46252.6875</v>
      </c>
      <c r="B28" s="1" t="s">
        <v>17</v>
      </c>
      <c r="C28" s="1" t="s">
        <v>10</v>
      </c>
      <c r="D28" s="4">
        <v>25</v>
      </c>
      <c r="E28" s="4">
        <v>326</v>
      </c>
      <c r="F28" s="4">
        <v>-1.688781665</v>
      </c>
      <c r="G28" s="2" t="s">
        <v>76</v>
      </c>
      <c r="H28" s="5">
        <v>331.6</v>
      </c>
      <c r="I28" s="1" t="s">
        <v>8</v>
      </c>
      <c r="J28" s="33" t="s">
        <v>40</v>
      </c>
      <c r="K28" s="16"/>
      <c r="L28" s="16"/>
      <c r="M28" s="16"/>
      <c r="N28" t="str">
        <f t="shared" si="0"/>
        <v>Unique</v>
      </c>
      <c r="O28"/>
      <c r="P28"/>
    </row>
    <row r="29" spans="1:16" ht="27.65" customHeight="1" thickBot="1" x14ac:dyDescent="0.4">
      <c r="A29" s="46">
        <v>46308.375</v>
      </c>
      <c r="B29" s="2" t="s">
        <v>56</v>
      </c>
      <c r="C29" s="2" t="s">
        <v>10</v>
      </c>
      <c r="D29" s="5">
        <v>5</v>
      </c>
      <c r="E29" s="5">
        <v>2912</v>
      </c>
      <c r="F29" s="4">
        <v>-1.9858633459999999</v>
      </c>
      <c r="G29" s="2" t="s">
        <v>57</v>
      </c>
      <c r="H29" s="5">
        <v>2971</v>
      </c>
      <c r="I29" s="1" t="s">
        <v>8</v>
      </c>
      <c r="J29" s="21" t="s">
        <v>54</v>
      </c>
      <c r="K29" s="17" t="s">
        <v>333</v>
      </c>
      <c r="L29" s="17">
        <v>14860</v>
      </c>
      <c r="M29" s="17">
        <f>ABS((D29*E29)-L29)</f>
        <v>300</v>
      </c>
      <c r="N29" t="str">
        <f t="shared" si="0"/>
        <v>Unique</v>
      </c>
    </row>
    <row r="30" spans="1:16" ht="27.65" customHeight="1" thickBot="1" x14ac:dyDescent="0.4">
      <c r="A30" s="69" t="s">
        <v>61</v>
      </c>
      <c r="B30" s="58" t="s">
        <v>50</v>
      </c>
      <c r="C30" s="58" t="s">
        <v>10</v>
      </c>
      <c r="D30" s="59">
        <v>40</v>
      </c>
      <c r="E30" s="59">
        <v>862</v>
      </c>
      <c r="F30" s="4">
        <v>-1.989766913</v>
      </c>
      <c r="G30" s="2" t="s">
        <v>51</v>
      </c>
      <c r="H30" s="5">
        <v>879.5</v>
      </c>
      <c r="I30" s="1" t="s">
        <v>8</v>
      </c>
      <c r="J30" s="70" t="s">
        <v>54</v>
      </c>
      <c r="K30" s="71"/>
      <c r="L30" s="71"/>
      <c r="M30" s="71"/>
      <c r="N30" s="60" t="str">
        <f t="shared" si="0"/>
        <v>Unique</v>
      </c>
      <c r="O30" s="60"/>
      <c r="P30" s="60"/>
    </row>
    <row r="31" spans="1:16" s="27" customFormat="1" ht="14.4" customHeight="1" thickBot="1" x14ac:dyDescent="0.4">
      <c r="A31" s="6" t="s">
        <v>61</v>
      </c>
      <c r="B31" s="1" t="s">
        <v>18</v>
      </c>
      <c r="C31" s="1" t="s">
        <v>10</v>
      </c>
      <c r="D31" s="4">
        <v>5</v>
      </c>
      <c r="E31" s="4">
        <v>1614</v>
      </c>
      <c r="F31" s="4">
        <v>-2.069049208</v>
      </c>
      <c r="G31" s="2" t="s">
        <v>101</v>
      </c>
      <c r="H31" s="5">
        <v>1648.1</v>
      </c>
      <c r="I31" s="1" t="s">
        <v>8</v>
      </c>
      <c r="J31" s="57" t="s">
        <v>40</v>
      </c>
      <c r="K31" s="16"/>
      <c r="L31" s="16"/>
      <c r="M31" s="16"/>
      <c r="N31" t="str">
        <f t="shared" si="0"/>
        <v>Unique</v>
      </c>
      <c r="O31"/>
      <c r="P31"/>
    </row>
    <row r="32" spans="1:16" s="27" customFormat="1" ht="14.4" customHeight="1" thickBot="1" x14ac:dyDescent="0.4">
      <c r="A32" s="78">
        <v>46309</v>
      </c>
      <c r="B32" s="2" t="s">
        <v>9</v>
      </c>
      <c r="C32" s="2" t="s">
        <v>10</v>
      </c>
      <c r="D32" s="5">
        <v>50</v>
      </c>
      <c r="E32" s="5">
        <v>281</v>
      </c>
      <c r="F32" s="4">
        <v>-2.9528578830000001</v>
      </c>
      <c r="G32" s="2" t="s">
        <v>94</v>
      </c>
      <c r="H32" s="5">
        <v>289.55</v>
      </c>
      <c r="I32" s="1" t="s">
        <v>8</v>
      </c>
      <c r="J32" s="21" t="s">
        <v>54</v>
      </c>
      <c r="K32" s="17" t="s">
        <v>336</v>
      </c>
      <c r="L32" s="17">
        <v>14450</v>
      </c>
      <c r="M32" s="17">
        <f t="shared" ref="M32:M37" si="1">ABS((D32*E32)-L32)</f>
        <v>400</v>
      </c>
      <c r="N32" s="10" t="str">
        <f t="shared" si="0"/>
        <v>Unique</v>
      </c>
      <c r="O32" s="10"/>
      <c r="P32" s="10"/>
    </row>
    <row r="33" spans="1:16" ht="14.4" customHeight="1" thickBot="1" x14ac:dyDescent="0.4">
      <c r="A33" s="46">
        <v>46301.393055555556</v>
      </c>
      <c r="B33" s="2" t="s">
        <v>33</v>
      </c>
      <c r="C33" s="2" t="s">
        <v>10</v>
      </c>
      <c r="D33" s="5">
        <v>1</v>
      </c>
      <c r="E33" s="5">
        <v>19550</v>
      </c>
      <c r="F33" s="4">
        <v>-3.0738720869999998</v>
      </c>
      <c r="G33" s="2" t="s">
        <v>70</v>
      </c>
      <c r="H33" s="5">
        <v>20170</v>
      </c>
      <c r="I33" s="1" t="s">
        <v>8</v>
      </c>
      <c r="J33" s="21" t="s">
        <v>40</v>
      </c>
      <c r="K33" s="17" t="s">
        <v>304</v>
      </c>
      <c r="L33" s="17">
        <v>20020</v>
      </c>
      <c r="M33" s="17">
        <f t="shared" si="1"/>
        <v>470</v>
      </c>
      <c r="N33" s="10" t="str">
        <f t="shared" si="0"/>
        <v>Unique</v>
      </c>
    </row>
    <row r="34" spans="1:16" s="22" customFormat="1" ht="14.4" customHeight="1" thickBot="1" x14ac:dyDescent="0.4">
      <c r="A34" s="50">
        <v>46304.375</v>
      </c>
      <c r="B34" s="51" t="s">
        <v>50</v>
      </c>
      <c r="C34" s="51" t="s">
        <v>10</v>
      </c>
      <c r="D34" s="52">
        <v>10</v>
      </c>
      <c r="E34" s="52">
        <v>852</v>
      </c>
      <c r="F34" s="4">
        <v>-3.1267765779999999</v>
      </c>
      <c r="G34" s="2" t="s">
        <v>51</v>
      </c>
      <c r="H34" s="5">
        <v>879.5</v>
      </c>
      <c r="I34" s="1" t="s">
        <v>8</v>
      </c>
      <c r="J34" s="63" t="s">
        <v>54</v>
      </c>
      <c r="K34" s="25" t="s">
        <v>318</v>
      </c>
      <c r="L34" s="25">
        <v>8570</v>
      </c>
      <c r="M34" s="25">
        <f t="shared" si="1"/>
        <v>50</v>
      </c>
      <c r="N34" s="26" t="str">
        <f t="shared" si="0"/>
        <v>Duplicate</v>
      </c>
      <c r="O34" s="27"/>
      <c r="P34" s="27"/>
    </row>
    <row r="35" spans="1:16" s="23" customFormat="1" ht="14.4" customHeight="1" thickBot="1" x14ac:dyDescent="0.4">
      <c r="A35" s="28">
        <v>46307.375</v>
      </c>
      <c r="B35" s="29" t="s">
        <v>50</v>
      </c>
      <c r="C35" s="29" t="s">
        <v>10</v>
      </c>
      <c r="D35" s="30">
        <v>10</v>
      </c>
      <c r="E35" s="30">
        <v>852</v>
      </c>
      <c r="F35" s="4">
        <v>-3.1267765779999999</v>
      </c>
      <c r="G35" s="2" t="s">
        <v>51</v>
      </c>
      <c r="H35" s="5">
        <v>879.5</v>
      </c>
      <c r="I35" s="1" t="s">
        <v>8</v>
      </c>
      <c r="J35" s="79" t="s">
        <v>54</v>
      </c>
      <c r="K35" s="26" t="s">
        <v>320</v>
      </c>
      <c r="L35" s="26">
        <v>8670</v>
      </c>
      <c r="M35" s="25">
        <f t="shared" si="1"/>
        <v>150</v>
      </c>
      <c r="N35" s="27" t="str">
        <f t="shared" si="0"/>
        <v>Duplicate</v>
      </c>
      <c r="O35" s="27"/>
      <c r="P35" s="27"/>
    </row>
    <row r="36" spans="1:16" ht="39" thickBot="1" x14ac:dyDescent="0.4">
      <c r="A36" s="50">
        <v>46308.375</v>
      </c>
      <c r="B36" s="51" t="s">
        <v>50</v>
      </c>
      <c r="C36" s="51" t="s">
        <v>10</v>
      </c>
      <c r="D36" s="52">
        <v>10</v>
      </c>
      <c r="E36" s="52">
        <v>852</v>
      </c>
      <c r="F36" s="4">
        <v>-3.1267765779999999</v>
      </c>
      <c r="G36" s="2" t="s">
        <v>51</v>
      </c>
      <c r="H36" s="5">
        <v>879.5</v>
      </c>
      <c r="I36" s="1" t="s">
        <v>8</v>
      </c>
      <c r="J36" s="63" t="s">
        <v>54</v>
      </c>
      <c r="K36" s="25" t="s">
        <v>331</v>
      </c>
      <c r="L36" s="25">
        <v>8870</v>
      </c>
      <c r="M36" s="25">
        <f t="shared" si="1"/>
        <v>350</v>
      </c>
      <c r="N36" s="26" t="str">
        <f t="shared" si="0"/>
        <v>Duplicate</v>
      </c>
      <c r="O36" s="27"/>
      <c r="P36" s="27"/>
    </row>
    <row r="37" spans="1:16" ht="14.4" customHeight="1" thickBot="1" x14ac:dyDescent="0.4">
      <c r="A37" s="50">
        <v>46308.375</v>
      </c>
      <c r="B37" s="51" t="s">
        <v>50</v>
      </c>
      <c r="C37" s="51" t="s">
        <v>10</v>
      </c>
      <c r="D37" s="52">
        <v>10</v>
      </c>
      <c r="E37" s="52">
        <v>852</v>
      </c>
      <c r="F37" s="4">
        <v>-3.1267765779999999</v>
      </c>
      <c r="G37" s="2" t="s">
        <v>51</v>
      </c>
      <c r="H37" s="5">
        <v>879.5</v>
      </c>
      <c r="I37" s="1" t="s">
        <v>8</v>
      </c>
      <c r="J37" s="63" t="s">
        <v>54</v>
      </c>
      <c r="K37" s="25" t="s">
        <v>332</v>
      </c>
      <c r="L37" s="25">
        <v>8770</v>
      </c>
      <c r="M37" s="25">
        <f t="shared" si="1"/>
        <v>250</v>
      </c>
      <c r="N37" s="26" t="str">
        <f t="shared" si="0"/>
        <v>Duplicate</v>
      </c>
      <c r="O37" s="27"/>
      <c r="P37" s="27"/>
    </row>
    <row r="38" spans="1:16" s="27" customFormat="1" ht="14.4" customHeight="1" thickBot="1" x14ac:dyDescent="0.4">
      <c r="A38" s="6" t="s">
        <v>61</v>
      </c>
      <c r="B38" s="1" t="s">
        <v>31</v>
      </c>
      <c r="C38" s="1" t="s">
        <v>10</v>
      </c>
      <c r="D38" s="4">
        <v>25</v>
      </c>
      <c r="E38" s="4">
        <v>836</v>
      </c>
      <c r="F38" s="4">
        <v>-3.1286210890000001</v>
      </c>
      <c r="G38" s="2" t="s">
        <v>84</v>
      </c>
      <c r="H38" s="5">
        <v>863</v>
      </c>
      <c r="I38" s="1" t="s">
        <v>8</v>
      </c>
      <c r="J38" s="33" t="s">
        <v>40</v>
      </c>
      <c r="K38" s="16"/>
      <c r="L38" s="16"/>
      <c r="M38" s="16"/>
      <c r="N38" t="str">
        <f t="shared" si="0"/>
        <v>Unique</v>
      </c>
      <c r="O38"/>
      <c r="P38"/>
    </row>
    <row r="39" spans="1:16" s="26" customFormat="1" ht="39" thickBot="1" x14ac:dyDescent="0.4">
      <c r="A39" s="6" t="s">
        <v>61</v>
      </c>
      <c r="B39" s="1" t="s">
        <v>20</v>
      </c>
      <c r="C39" s="1" t="s">
        <v>10</v>
      </c>
      <c r="D39" s="4">
        <v>50</v>
      </c>
      <c r="E39" s="4">
        <v>116</v>
      </c>
      <c r="F39" s="4">
        <v>-3.2204238279999999</v>
      </c>
      <c r="G39" s="2" t="s">
        <v>85</v>
      </c>
      <c r="H39" s="5">
        <v>119.86</v>
      </c>
      <c r="I39" s="1" t="s">
        <v>8</v>
      </c>
      <c r="J39" s="48"/>
      <c r="K39" s="16"/>
      <c r="L39" s="16"/>
      <c r="M39" s="16"/>
      <c r="N39" t="str">
        <f t="shared" si="0"/>
        <v>Unique</v>
      </c>
      <c r="O39"/>
      <c r="P39"/>
    </row>
    <row r="40" spans="1:16" s="26" customFormat="1" ht="39" thickBot="1" x14ac:dyDescent="0.4">
      <c r="A40" s="3">
        <v>46286.375</v>
      </c>
      <c r="B40" s="1" t="s">
        <v>42</v>
      </c>
      <c r="C40" s="1" t="s">
        <v>10</v>
      </c>
      <c r="D40" s="4">
        <v>5</v>
      </c>
      <c r="E40" s="4">
        <v>702</v>
      </c>
      <c r="F40" s="4">
        <v>-3.225806452</v>
      </c>
      <c r="G40" s="2" t="s">
        <v>43</v>
      </c>
      <c r="H40" s="5">
        <v>725.4</v>
      </c>
      <c r="I40" s="1" t="s">
        <v>8</v>
      </c>
      <c r="J40" s="17" t="s">
        <v>40</v>
      </c>
      <c r="K40" s="17" t="s">
        <v>281</v>
      </c>
      <c r="L40" s="17">
        <f>7470/2</f>
        <v>3735</v>
      </c>
      <c r="M40" s="17">
        <f>ABS((D40*E40)-L40)</f>
        <v>225</v>
      </c>
      <c r="N40" s="10" t="str">
        <f t="shared" si="0"/>
        <v>Unique</v>
      </c>
      <c r="O40" s="10"/>
      <c r="P40" s="10"/>
    </row>
    <row r="41" spans="1:16" s="26" customFormat="1" ht="39" thickBot="1" x14ac:dyDescent="0.4">
      <c r="A41" s="46">
        <v>46308.547222222223</v>
      </c>
      <c r="B41" s="2" t="s">
        <v>102</v>
      </c>
      <c r="C41" s="2" t="s">
        <v>10</v>
      </c>
      <c r="D41" s="5">
        <v>9</v>
      </c>
      <c r="E41" s="5">
        <v>2055</v>
      </c>
      <c r="F41" s="4">
        <v>-3.266804745</v>
      </c>
      <c r="G41" s="2" t="s">
        <v>103</v>
      </c>
      <c r="H41" s="5">
        <v>2124.4</v>
      </c>
      <c r="I41" s="1" t="s">
        <v>8</v>
      </c>
      <c r="J41" s="17" t="s">
        <v>54</v>
      </c>
      <c r="K41" s="17" t="s">
        <v>326</v>
      </c>
      <c r="L41" s="17">
        <v>18855</v>
      </c>
      <c r="M41" s="17">
        <f>ABS((D41*E41)-L41)</f>
        <v>360</v>
      </c>
      <c r="N41" t="str">
        <f t="shared" si="0"/>
        <v>Unique</v>
      </c>
      <c r="O41" s="10"/>
      <c r="P41" s="10"/>
    </row>
    <row r="42" spans="1:16" customFormat="1" ht="39" thickBot="1" x14ac:dyDescent="0.4">
      <c r="A42" s="6" t="s">
        <v>61</v>
      </c>
      <c r="B42" s="1" t="s">
        <v>20</v>
      </c>
      <c r="C42" s="1" t="s">
        <v>10</v>
      </c>
      <c r="D42" s="4">
        <v>200</v>
      </c>
      <c r="E42" s="4">
        <v>115.25</v>
      </c>
      <c r="F42" s="4">
        <v>-3.846153846</v>
      </c>
      <c r="G42" s="2" t="s">
        <v>85</v>
      </c>
      <c r="H42" s="5">
        <v>119.86</v>
      </c>
      <c r="I42" s="1" t="s">
        <v>8</v>
      </c>
      <c r="J42" s="48"/>
      <c r="K42" s="16"/>
      <c r="L42" s="16"/>
      <c r="M42" s="16"/>
      <c r="N42" t="str">
        <f t="shared" si="0"/>
        <v>Unique</v>
      </c>
    </row>
    <row r="43" spans="1:16" s="27" customFormat="1" ht="26.5" thickBot="1" x14ac:dyDescent="0.4">
      <c r="A43" s="46">
        <v>46304.375</v>
      </c>
      <c r="B43" s="2" t="s">
        <v>13</v>
      </c>
      <c r="C43" s="2" t="s">
        <v>10</v>
      </c>
      <c r="D43" s="5">
        <v>10</v>
      </c>
      <c r="E43" s="5">
        <v>1708.7</v>
      </c>
      <c r="F43" s="4">
        <v>-5.2301719359999996</v>
      </c>
      <c r="G43" s="2" t="s">
        <v>90</v>
      </c>
      <c r="H43" s="5">
        <v>1803</v>
      </c>
      <c r="I43" s="1" t="s">
        <v>8</v>
      </c>
      <c r="J43" s="17" t="s">
        <v>54</v>
      </c>
      <c r="K43" s="17" t="s">
        <v>317</v>
      </c>
      <c r="L43" s="17">
        <v>17487</v>
      </c>
      <c r="M43" s="17">
        <f t="shared" ref="M43:M47" si="2">ABS((D43*E43)-L43)</f>
        <v>400</v>
      </c>
      <c r="N43" t="str">
        <f t="shared" si="0"/>
        <v>Unique</v>
      </c>
      <c r="O43" s="10"/>
      <c r="P43" s="10"/>
    </row>
    <row r="44" spans="1:16" s="61" customFormat="1" ht="26.5" thickBot="1" x14ac:dyDescent="0.4">
      <c r="A44" s="78">
        <v>46309</v>
      </c>
      <c r="B44" s="2" t="s">
        <v>108</v>
      </c>
      <c r="C44" s="2" t="s">
        <v>10</v>
      </c>
      <c r="D44" s="5">
        <v>1</v>
      </c>
      <c r="E44" s="5">
        <v>4640</v>
      </c>
      <c r="F44" s="4">
        <v>-5.9395905129999997</v>
      </c>
      <c r="G44" s="2" t="s">
        <v>109</v>
      </c>
      <c r="H44" s="5">
        <v>4933</v>
      </c>
      <c r="I44" s="1" t="s">
        <v>8</v>
      </c>
      <c r="J44" s="17" t="s">
        <v>40</v>
      </c>
      <c r="K44" s="17" t="s">
        <v>335</v>
      </c>
      <c r="L44" s="17">
        <v>4940</v>
      </c>
      <c r="M44" s="17">
        <f t="shared" si="2"/>
        <v>300</v>
      </c>
      <c r="N44" s="10" t="str">
        <f t="shared" si="0"/>
        <v>Unique</v>
      </c>
      <c r="O44" s="10"/>
      <c r="P44" s="10"/>
    </row>
    <row r="45" spans="1:16" ht="26.5" thickBot="1" x14ac:dyDescent="0.4">
      <c r="A45" s="46">
        <v>46308.538888888892</v>
      </c>
      <c r="B45" s="2" t="s">
        <v>46</v>
      </c>
      <c r="C45" s="2" t="s">
        <v>10</v>
      </c>
      <c r="D45" s="5">
        <v>8</v>
      </c>
      <c r="E45" s="5">
        <v>2155</v>
      </c>
      <c r="F45" s="4">
        <v>-6.5035359450000003</v>
      </c>
      <c r="G45" s="2" t="s">
        <v>47</v>
      </c>
      <c r="H45" s="5">
        <v>2304.9</v>
      </c>
      <c r="I45" s="1" t="s">
        <v>8</v>
      </c>
      <c r="J45" s="17" t="s">
        <v>54</v>
      </c>
      <c r="K45" s="17" t="s">
        <v>328</v>
      </c>
      <c r="L45" s="17">
        <v>18040</v>
      </c>
      <c r="M45" s="17">
        <f t="shared" si="2"/>
        <v>800</v>
      </c>
      <c r="N45" t="str">
        <f t="shared" si="0"/>
        <v>Unique</v>
      </c>
    </row>
    <row r="46" spans="1:16" ht="26.5" thickBot="1" x14ac:dyDescent="0.4">
      <c r="A46" s="3">
        <v>46302.468055555553</v>
      </c>
      <c r="B46" s="1" t="s">
        <v>73</v>
      </c>
      <c r="C46" s="1" t="s">
        <v>10</v>
      </c>
      <c r="D46" s="4">
        <v>2</v>
      </c>
      <c r="E46" s="4">
        <v>3110</v>
      </c>
      <c r="F46" s="4">
        <v>-6.830437388</v>
      </c>
      <c r="G46" s="2" t="s">
        <v>74</v>
      </c>
      <c r="H46" s="5">
        <v>3338</v>
      </c>
      <c r="I46" s="1" t="s">
        <v>8</v>
      </c>
      <c r="J46" s="17" t="s">
        <v>40</v>
      </c>
      <c r="K46" s="17" t="s">
        <v>305</v>
      </c>
      <c r="L46" s="17">
        <f>2*3334</f>
        <v>6668</v>
      </c>
      <c r="M46" s="17">
        <f t="shared" si="2"/>
        <v>448</v>
      </c>
      <c r="N46" s="10" t="str">
        <f t="shared" si="0"/>
        <v>Unique</v>
      </c>
    </row>
    <row r="47" spans="1:16" ht="27.65" customHeight="1" thickBot="1" x14ac:dyDescent="0.4">
      <c r="A47" s="46">
        <v>46308.536805555559</v>
      </c>
      <c r="B47" s="2" t="s">
        <v>25</v>
      </c>
      <c r="C47" s="2" t="s">
        <v>10</v>
      </c>
      <c r="D47" s="5">
        <v>200</v>
      </c>
      <c r="E47" s="5">
        <v>31.1</v>
      </c>
      <c r="F47" s="4">
        <v>-7.2195704059999999</v>
      </c>
      <c r="G47" s="2" t="s">
        <v>45</v>
      </c>
      <c r="H47" s="5">
        <v>33.520000000000003</v>
      </c>
      <c r="I47" s="1" t="s">
        <v>8</v>
      </c>
      <c r="J47" s="17" t="s">
        <v>54</v>
      </c>
      <c r="K47" s="17" t="s">
        <v>329</v>
      </c>
      <c r="L47" s="17">
        <v>6580</v>
      </c>
      <c r="M47" s="17">
        <f t="shared" si="2"/>
        <v>360</v>
      </c>
      <c r="N47" t="str">
        <f t="shared" si="0"/>
        <v>Unique</v>
      </c>
    </row>
    <row r="48" spans="1:16" ht="39" thickBot="1" x14ac:dyDescent="0.4">
      <c r="A48" s="6" t="s">
        <v>61</v>
      </c>
      <c r="B48" s="1" t="s">
        <v>20</v>
      </c>
      <c r="C48" s="1" t="s">
        <v>10</v>
      </c>
      <c r="D48" s="4">
        <v>100</v>
      </c>
      <c r="E48" s="4">
        <v>111</v>
      </c>
      <c r="F48" s="4">
        <v>-7.391957283</v>
      </c>
      <c r="G48" s="2" t="s">
        <v>85</v>
      </c>
      <c r="H48" s="5">
        <v>119.86</v>
      </c>
      <c r="I48" s="1" t="s">
        <v>8</v>
      </c>
      <c r="J48" s="48"/>
      <c r="K48" s="16"/>
      <c r="L48" s="16"/>
      <c r="M48" s="16"/>
      <c r="N48" t="str">
        <f t="shared" si="0"/>
        <v>Unique</v>
      </c>
      <c r="O48"/>
      <c r="P48"/>
    </row>
    <row r="49" spans="1:16" s="27" customFormat="1" ht="26.5" thickBot="1" x14ac:dyDescent="0.4">
      <c r="A49" s="6" t="s">
        <v>61</v>
      </c>
      <c r="B49" s="1" t="s">
        <v>108</v>
      </c>
      <c r="C49" s="1" t="s">
        <v>10</v>
      </c>
      <c r="D49" s="4">
        <v>1</v>
      </c>
      <c r="E49" s="4">
        <v>4560</v>
      </c>
      <c r="F49" s="4">
        <v>-7.5613217109999997</v>
      </c>
      <c r="G49" s="2" t="s">
        <v>109</v>
      </c>
      <c r="H49" s="5">
        <v>4933</v>
      </c>
      <c r="I49" s="1" t="s">
        <v>8</v>
      </c>
      <c r="J49" s="48"/>
      <c r="K49" s="16"/>
      <c r="L49" s="16"/>
      <c r="M49" s="16"/>
      <c r="N49" t="str">
        <f t="shared" si="0"/>
        <v>Unique</v>
      </c>
      <c r="O49"/>
      <c r="P49"/>
    </row>
    <row r="50" spans="1:16" s="27" customFormat="1" ht="26.5" thickBot="1" x14ac:dyDescent="0.4">
      <c r="A50" s="46">
        <v>46301.375694444447</v>
      </c>
      <c r="B50" s="2" t="s">
        <v>13</v>
      </c>
      <c r="C50" s="2" t="s">
        <v>10</v>
      </c>
      <c r="D50" s="5">
        <v>5</v>
      </c>
      <c r="E50" s="5">
        <v>1664</v>
      </c>
      <c r="F50" s="4">
        <v>-7.7093732670000001</v>
      </c>
      <c r="G50" s="2" t="s">
        <v>90</v>
      </c>
      <c r="H50" s="5">
        <v>1803</v>
      </c>
      <c r="I50" s="1" t="s">
        <v>8</v>
      </c>
      <c r="J50" s="17" t="s">
        <v>40</v>
      </c>
      <c r="K50" s="17" t="s">
        <v>303</v>
      </c>
      <c r="L50" s="17">
        <f>5*1752</f>
        <v>8760</v>
      </c>
      <c r="M50" s="17">
        <f>ABS((D50*E50)-L50)</f>
        <v>440</v>
      </c>
      <c r="N50" s="10" t="str">
        <f t="shared" si="0"/>
        <v>Unique</v>
      </c>
      <c r="O50" s="10"/>
      <c r="P50" s="10"/>
    </row>
    <row r="51" spans="1:16" ht="27.65" customHeight="1" thickBot="1" x14ac:dyDescent="0.4">
      <c r="A51" s="6" t="s">
        <v>61</v>
      </c>
      <c r="B51" s="1" t="s">
        <v>33</v>
      </c>
      <c r="C51" s="1" t="s">
        <v>10</v>
      </c>
      <c r="D51" s="4">
        <v>1</v>
      </c>
      <c r="E51" s="4">
        <v>18552</v>
      </c>
      <c r="F51" s="4">
        <v>-8.0218145760000006</v>
      </c>
      <c r="G51" s="2" t="s">
        <v>70</v>
      </c>
      <c r="H51" s="5">
        <v>20170</v>
      </c>
      <c r="I51" s="1" t="s">
        <v>8</v>
      </c>
      <c r="J51" s="48"/>
      <c r="K51" s="16"/>
      <c r="L51" s="16"/>
      <c r="M51" s="16"/>
      <c r="N51" t="str">
        <f t="shared" si="0"/>
        <v>Unique</v>
      </c>
      <c r="O51"/>
      <c r="P51"/>
    </row>
    <row r="52" spans="1:16" s="74" customFormat="1" ht="40.75" customHeight="1" thickBot="1" x14ac:dyDescent="0.4">
      <c r="A52" s="75">
        <v>46307.375</v>
      </c>
      <c r="B52" s="76" t="s">
        <v>12</v>
      </c>
      <c r="C52" s="76" t="s">
        <v>10</v>
      </c>
      <c r="D52" s="77">
        <v>3</v>
      </c>
      <c r="E52" s="77">
        <v>4628</v>
      </c>
      <c r="F52" s="4">
        <v>-8.5935494059999993</v>
      </c>
      <c r="G52" s="2" t="s">
        <v>97</v>
      </c>
      <c r="H52" s="5">
        <v>5063.1000000000004</v>
      </c>
      <c r="I52" s="1" t="s">
        <v>8</v>
      </c>
      <c r="J52" s="72" t="s">
        <v>54</v>
      </c>
      <c r="K52" s="72" t="s">
        <v>323</v>
      </c>
      <c r="L52" s="72">
        <v>14544</v>
      </c>
      <c r="M52" s="73">
        <f>ABS((D52*E52)-L52)</f>
        <v>660</v>
      </c>
      <c r="N52" s="74" t="str">
        <f t="shared" si="0"/>
        <v>Unique</v>
      </c>
    </row>
    <row r="53" spans="1:16" ht="27.65" customHeight="1" thickBot="1" x14ac:dyDescent="0.4">
      <c r="A53" s="46">
        <v>46304.388888888891</v>
      </c>
      <c r="B53" s="2" t="s">
        <v>46</v>
      </c>
      <c r="C53" s="2" t="s">
        <v>10</v>
      </c>
      <c r="D53" s="5">
        <v>9</v>
      </c>
      <c r="E53" s="5">
        <v>2105</v>
      </c>
      <c r="F53" s="4">
        <v>-8.6728274550000002</v>
      </c>
      <c r="G53" s="2" t="s">
        <v>47</v>
      </c>
      <c r="H53" s="5">
        <v>2304.9</v>
      </c>
      <c r="I53" s="1" t="s">
        <v>8</v>
      </c>
      <c r="J53" s="17" t="s">
        <v>54</v>
      </c>
      <c r="K53" s="17" t="s">
        <v>316</v>
      </c>
      <c r="L53" s="17">
        <v>19395</v>
      </c>
      <c r="M53" s="17">
        <f>ABS((D53*E53)-L53)</f>
        <v>450</v>
      </c>
      <c r="N53" t="str">
        <f t="shared" si="0"/>
        <v>Unique</v>
      </c>
    </row>
    <row r="54" spans="1:16" ht="40.75" customHeight="1" thickBot="1" x14ac:dyDescent="0.4">
      <c r="A54" s="46">
        <v>46308.578472222223</v>
      </c>
      <c r="B54" s="2" t="s">
        <v>324</v>
      </c>
      <c r="C54" s="2" t="s">
        <v>10</v>
      </c>
      <c r="D54" s="5">
        <v>13</v>
      </c>
      <c r="E54" s="5">
        <v>1209</v>
      </c>
      <c r="F54" s="4">
        <v>-8.8922381309999992</v>
      </c>
      <c r="G54" s="2" t="s">
        <v>334</v>
      </c>
      <c r="H54" s="5">
        <v>1327</v>
      </c>
      <c r="I54" s="1" t="s">
        <v>8</v>
      </c>
      <c r="J54" s="17" t="s">
        <v>54</v>
      </c>
      <c r="K54" s="17" t="s">
        <v>327</v>
      </c>
      <c r="L54" s="17">
        <v>17017</v>
      </c>
      <c r="M54" s="17">
        <f>ABS((D54*E54)-L54)</f>
        <v>1300</v>
      </c>
      <c r="N54" t="str">
        <f t="shared" si="0"/>
        <v>Unique</v>
      </c>
    </row>
    <row r="55" spans="1:16" ht="27.65" customHeight="1" thickBot="1" x14ac:dyDescent="0.4">
      <c r="A55" s="6" t="s">
        <v>61</v>
      </c>
      <c r="B55" s="1" t="s">
        <v>104</v>
      </c>
      <c r="C55" s="1" t="s">
        <v>10</v>
      </c>
      <c r="D55" s="4">
        <v>4</v>
      </c>
      <c r="E55" s="4">
        <v>1751</v>
      </c>
      <c r="F55" s="4">
        <v>-9.3685300209999998</v>
      </c>
      <c r="G55" s="2" t="s">
        <v>105</v>
      </c>
      <c r="H55" s="5">
        <v>1932</v>
      </c>
      <c r="I55" s="1" t="s">
        <v>8</v>
      </c>
      <c r="J55" s="48"/>
      <c r="K55" s="16"/>
      <c r="L55" s="16"/>
      <c r="M55" s="16"/>
      <c r="N55" t="str">
        <f t="shared" si="0"/>
        <v>Unique</v>
      </c>
      <c r="O55"/>
      <c r="P55"/>
    </row>
    <row r="56" spans="1:16" ht="40.75" customHeight="1" thickBot="1" x14ac:dyDescent="0.4">
      <c r="A56" s="46">
        <v>46304.387499999997</v>
      </c>
      <c r="B56" s="2" t="s">
        <v>25</v>
      </c>
      <c r="C56" s="2" t="s">
        <v>10</v>
      </c>
      <c r="D56" s="5">
        <v>500</v>
      </c>
      <c r="E56" s="5">
        <v>30.3</v>
      </c>
      <c r="F56" s="4">
        <v>-9.6062052510000004</v>
      </c>
      <c r="G56" s="2" t="s">
        <v>45</v>
      </c>
      <c r="H56" s="5">
        <v>33.520000000000003</v>
      </c>
      <c r="I56" s="1" t="s">
        <v>8</v>
      </c>
      <c r="J56" s="17" t="s">
        <v>54</v>
      </c>
      <c r="K56" s="17" t="s">
        <v>312</v>
      </c>
      <c r="L56" s="17">
        <v>15850</v>
      </c>
      <c r="M56" s="17">
        <f>ABS((D56*E56)-L56)</f>
        <v>700</v>
      </c>
      <c r="N56" t="str">
        <f t="shared" si="0"/>
        <v>Unique</v>
      </c>
    </row>
    <row r="57" spans="1:16" ht="26.5" thickBot="1" x14ac:dyDescent="0.4">
      <c r="A57" s="6" t="s">
        <v>61</v>
      </c>
      <c r="B57" s="1" t="s">
        <v>108</v>
      </c>
      <c r="C57" s="1" t="s">
        <v>10</v>
      </c>
      <c r="D57" s="4">
        <v>2</v>
      </c>
      <c r="E57" s="4">
        <v>4456</v>
      </c>
      <c r="F57" s="4">
        <v>-9.6695722679999996</v>
      </c>
      <c r="G57" s="2" t="s">
        <v>109</v>
      </c>
      <c r="H57" s="5">
        <v>4933</v>
      </c>
      <c r="I57" s="1" t="s">
        <v>8</v>
      </c>
      <c r="J57" s="48"/>
      <c r="K57" s="16"/>
      <c r="L57" s="16"/>
      <c r="M57" s="16"/>
      <c r="N57" t="str">
        <f t="shared" si="0"/>
        <v>Unique</v>
      </c>
      <c r="O57"/>
      <c r="P57"/>
    </row>
    <row r="58" spans="1:16" ht="26.5" thickBot="1" x14ac:dyDescent="0.4">
      <c r="A58" s="3">
        <v>46121.375</v>
      </c>
      <c r="B58" s="1" t="s">
        <v>13</v>
      </c>
      <c r="C58" s="1" t="s">
        <v>10</v>
      </c>
      <c r="D58" s="4">
        <v>3</v>
      </c>
      <c r="E58" s="4">
        <v>1614</v>
      </c>
      <c r="F58" s="4">
        <v>-10.482529120000001</v>
      </c>
      <c r="G58" s="2" t="s">
        <v>90</v>
      </c>
      <c r="H58" s="5">
        <v>1803</v>
      </c>
      <c r="I58" s="1" t="s">
        <v>8</v>
      </c>
      <c r="J58" s="17" t="s">
        <v>40</v>
      </c>
      <c r="K58" s="17" t="s">
        <v>235</v>
      </c>
      <c r="L58" s="17">
        <f>3*1794</f>
        <v>5382</v>
      </c>
      <c r="M58" s="17">
        <f>ABS((D58*E58)-L58)</f>
        <v>540</v>
      </c>
      <c r="N58" s="10" t="str">
        <f t="shared" si="0"/>
        <v>Unique</v>
      </c>
      <c r="O58"/>
      <c r="P58"/>
    </row>
    <row r="59" spans="1:16" ht="27.65" customHeight="1" thickBot="1" x14ac:dyDescent="0.4">
      <c r="A59" s="6" t="s">
        <v>61</v>
      </c>
      <c r="B59" s="1" t="s">
        <v>108</v>
      </c>
      <c r="C59" s="1" t="s">
        <v>10</v>
      </c>
      <c r="D59" s="4">
        <v>15</v>
      </c>
      <c r="E59" s="4">
        <v>4415</v>
      </c>
      <c r="F59" s="4">
        <v>-10.50070951</v>
      </c>
      <c r="G59" s="2" t="s">
        <v>109</v>
      </c>
      <c r="H59" s="5">
        <v>4933</v>
      </c>
      <c r="I59" s="1" t="s">
        <v>8</v>
      </c>
      <c r="J59" s="48"/>
      <c r="K59" s="16"/>
      <c r="L59" s="16"/>
      <c r="M59" s="16"/>
      <c r="N59" t="str">
        <f t="shared" si="0"/>
        <v>Unique</v>
      </c>
      <c r="O59"/>
      <c r="P59"/>
    </row>
    <row r="60" spans="1:16" s="27" customFormat="1" ht="27.65" customHeight="1" thickBot="1" x14ac:dyDescent="0.4">
      <c r="A60" s="6" t="s">
        <v>61</v>
      </c>
      <c r="B60" s="1" t="s">
        <v>33</v>
      </c>
      <c r="C60" s="1" t="s">
        <v>10</v>
      </c>
      <c r="D60" s="4">
        <v>1</v>
      </c>
      <c r="E60" s="4">
        <v>18052</v>
      </c>
      <c r="F60" s="4">
        <v>-10.500743679999999</v>
      </c>
      <c r="G60" s="2" t="s">
        <v>70</v>
      </c>
      <c r="H60" s="5">
        <v>20170</v>
      </c>
      <c r="I60" s="1" t="s">
        <v>8</v>
      </c>
      <c r="J60" s="48"/>
      <c r="K60" s="16"/>
      <c r="L60" s="16"/>
      <c r="M60" s="16"/>
      <c r="N60" t="str">
        <f t="shared" si="0"/>
        <v>Unique</v>
      </c>
      <c r="O60"/>
      <c r="P60"/>
    </row>
    <row r="61" spans="1:16" s="27" customFormat="1" ht="27.65" customHeight="1" thickBot="1" x14ac:dyDescent="0.4">
      <c r="A61" s="46">
        <v>46300.375694444447</v>
      </c>
      <c r="B61" s="2" t="s">
        <v>12</v>
      </c>
      <c r="C61" s="2" t="s">
        <v>10</v>
      </c>
      <c r="D61" s="5">
        <v>1</v>
      </c>
      <c r="E61" s="5">
        <v>4510</v>
      </c>
      <c r="F61" s="4">
        <v>-10.92413739</v>
      </c>
      <c r="G61" s="2" t="s">
        <v>97</v>
      </c>
      <c r="H61" s="5">
        <v>5063.1000000000004</v>
      </c>
      <c r="I61" s="1" t="s">
        <v>8</v>
      </c>
      <c r="J61" s="17" t="s">
        <v>117</v>
      </c>
      <c r="K61" s="17" t="s">
        <v>301</v>
      </c>
      <c r="L61" s="17">
        <v>4763</v>
      </c>
      <c r="M61" s="17">
        <f>ABS((D61*E61)-L61)</f>
        <v>253</v>
      </c>
      <c r="N61" s="10" t="str">
        <f t="shared" si="0"/>
        <v>Unique</v>
      </c>
      <c r="O61" s="10"/>
      <c r="P61" s="10"/>
    </row>
    <row r="62" spans="1:16" ht="26.5" thickBot="1" x14ac:dyDescent="0.4">
      <c r="A62" s="3">
        <v>46252.635416666664</v>
      </c>
      <c r="B62" s="1" t="s">
        <v>91</v>
      </c>
      <c r="C62" s="1" t="s">
        <v>10</v>
      </c>
      <c r="D62" s="4">
        <v>2</v>
      </c>
      <c r="E62" s="4">
        <v>2892</v>
      </c>
      <c r="F62" s="4">
        <v>-11.029072449999999</v>
      </c>
      <c r="G62" s="2" t="s">
        <v>92</v>
      </c>
      <c r="H62" s="5">
        <v>3250.5</v>
      </c>
      <c r="I62" s="1" t="s">
        <v>8</v>
      </c>
      <c r="J62" s="48"/>
      <c r="K62" s="16"/>
      <c r="L62" s="16"/>
      <c r="M62" s="16"/>
      <c r="N62" t="str">
        <f t="shared" si="0"/>
        <v>Unique</v>
      </c>
      <c r="O62"/>
      <c r="P62"/>
    </row>
    <row r="63" spans="1:16" ht="40.75" customHeight="1" thickBot="1" x14ac:dyDescent="0.4">
      <c r="A63" s="6" t="s">
        <v>61</v>
      </c>
      <c r="B63" s="1" t="s">
        <v>99</v>
      </c>
      <c r="C63" s="1" t="s">
        <v>10</v>
      </c>
      <c r="D63" s="4">
        <v>25</v>
      </c>
      <c r="E63" s="4">
        <v>251</v>
      </c>
      <c r="F63" s="4">
        <v>-11.61971831</v>
      </c>
      <c r="G63" s="2" t="s">
        <v>100</v>
      </c>
      <c r="H63" s="5">
        <v>284</v>
      </c>
      <c r="I63" s="1" t="s">
        <v>8</v>
      </c>
      <c r="J63" s="48" t="s">
        <v>40</v>
      </c>
      <c r="K63" s="16"/>
      <c r="L63" s="16"/>
      <c r="M63" s="16"/>
      <c r="N63" t="str">
        <f t="shared" si="0"/>
        <v>Unique</v>
      </c>
      <c r="O63"/>
      <c r="P63"/>
    </row>
    <row r="64" spans="1:16" ht="27.65" customHeight="1" thickBot="1" x14ac:dyDescent="0.4">
      <c r="A64" s="46">
        <v>46303.375</v>
      </c>
      <c r="B64" s="2" t="s">
        <v>21</v>
      </c>
      <c r="C64" s="2" t="s">
        <v>7</v>
      </c>
      <c r="D64" s="5">
        <v>5</v>
      </c>
      <c r="E64" s="5">
        <v>690</v>
      </c>
      <c r="F64" s="4">
        <v>1.3141472729999999</v>
      </c>
      <c r="G64" s="2" t="s">
        <v>75</v>
      </c>
      <c r="H64" s="5">
        <v>681.05</v>
      </c>
      <c r="I64" s="1" t="s">
        <v>8</v>
      </c>
      <c r="J64" s="17" t="s">
        <v>117</v>
      </c>
      <c r="K64" s="17" t="s">
        <v>308</v>
      </c>
      <c r="L64" s="17">
        <v>3200</v>
      </c>
      <c r="M64" s="17">
        <f>ABS((D64*E64)-L64)</f>
        <v>250</v>
      </c>
      <c r="N64" s="10" t="str">
        <f t="shared" si="0"/>
        <v>Unique</v>
      </c>
      <c r="O64" s="36" t="s">
        <v>237</v>
      </c>
    </row>
    <row r="65" spans="1:16" ht="27.65" customHeight="1" thickBot="1" x14ac:dyDescent="0.4">
      <c r="A65" s="6" t="s">
        <v>61</v>
      </c>
      <c r="B65" s="1" t="s">
        <v>112</v>
      </c>
      <c r="C65" s="1" t="s">
        <v>10</v>
      </c>
      <c r="D65" s="4">
        <v>4</v>
      </c>
      <c r="E65" s="4">
        <v>701</v>
      </c>
      <c r="F65" s="4">
        <v>-13.13506815</v>
      </c>
      <c r="G65" s="2" t="s">
        <v>113</v>
      </c>
      <c r="H65" s="5">
        <v>807</v>
      </c>
      <c r="I65" s="1" t="s">
        <v>8</v>
      </c>
      <c r="J65" s="48" t="s">
        <v>40</v>
      </c>
      <c r="K65" s="16"/>
      <c r="L65" s="16"/>
      <c r="M65" s="16"/>
      <c r="N65" t="str">
        <f t="shared" si="0"/>
        <v>Unique</v>
      </c>
      <c r="O65"/>
      <c r="P65"/>
    </row>
    <row r="66" spans="1:16" ht="40.75" customHeight="1" thickBot="1" x14ac:dyDescent="0.4">
      <c r="A66" s="3">
        <v>46307.375</v>
      </c>
      <c r="B66" s="1" t="s">
        <v>278</v>
      </c>
      <c r="C66" s="1" t="s">
        <v>10</v>
      </c>
      <c r="D66" s="4">
        <v>2</v>
      </c>
      <c r="E66" s="4">
        <v>1448</v>
      </c>
      <c r="F66" s="4">
        <v>-13.56771921</v>
      </c>
      <c r="G66" s="2" t="s">
        <v>280</v>
      </c>
      <c r="H66" s="5">
        <v>1675.3</v>
      </c>
      <c r="I66" s="1" t="s">
        <v>8</v>
      </c>
      <c r="J66" s="17" t="s">
        <v>40</v>
      </c>
      <c r="K66" t="s">
        <v>322</v>
      </c>
      <c r="L66">
        <v>3146</v>
      </c>
      <c r="M66" s="17">
        <f>ABS((D66*E66)-L66)</f>
        <v>250</v>
      </c>
      <c r="N66" s="10" t="str">
        <f t="shared" ref="N66:N129" si="3">IF(COUNTIFS( $B$2:$B$657, B66, $C$2:$C$657, C66, $D$2:$D$657, D66, $E$2:$E$657, E66) &gt; 1, "Duplicate", "Unique")</f>
        <v>Unique</v>
      </c>
    </row>
    <row r="67" spans="1:16" ht="40.75" customHeight="1" thickBot="1" x14ac:dyDescent="0.4">
      <c r="A67" s="11">
        <v>46243.375</v>
      </c>
      <c r="B67" s="8" t="s">
        <v>9</v>
      </c>
      <c r="C67" s="8" t="s">
        <v>7</v>
      </c>
      <c r="D67" s="8">
        <v>50</v>
      </c>
      <c r="E67" s="8">
        <v>294</v>
      </c>
      <c r="F67" s="4">
        <v>1.536867553</v>
      </c>
      <c r="G67" s="2" t="s">
        <v>94</v>
      </c>
      <c r="H67" s="5">
        <v>289.55</v>
      </c>
      <c r="I67" s="1" t="s">
        <v>8</v>
      </c>
      <c r="J67" s="17" t="s">
        <v>116</v>
      </c>
      <c r="K67" s="17" t="s">
        <v>310</v>
      </c>
      <c r="L67" s="17">
        <v>26109.000000000004</v>
      </c>
      <c r="M67" s="17">
        <f>ABS((D67*E67)-L67)</f>
        <v>11409.000000000004</v>
      </c>
      <c r="N67" s="10" t="str">
        <f t="shared" si="3"/>
        <v>Unique</v>
      </c>
      <c r="P67"/>
    </row>
    <row r="68" spans="1:16" ht="40.75" customHeight="1" thickBot="1" x14ac:dyDescent="0.4">
      <c r="A68" s="6" t="s">
        <v>61</v>
      </c>
      <c r="B68" s="1" t="s">
        <v>12</v>
      </c>
      <c r="C68" s="1" t="s">
        <v>10</v>
      </c>
      <c r="D68" s="4">
        <v>1</v>
      </c>
      <c r="E68" s="4">
        <v>4364</v>
      </c>
      <c r="F68" s="4">
        <v>-13.80774624</v>
      </c>
      <c r="G68" s="2" t="s">
        <v>97</v>
      </c>
      <c r="H68" s="5">
        <v>5063.1000000000004</v>
      </c>
      <c r="I68" s="1" t="s">
        <v>8</v>
      </c>
      <c r="J68" s="54" t="s">
        <v>40</v>
      </c>
      <c r="K68" s="16"/>
      <c r="L68" s="16"/>
      <c r="M68" s="16"/>
      <c r="N68" t="str">
        <f t="shared" si="3"/>
        <v>Unique</v>
      </c>
      <c r="O68"/>
      <c r="P68"/>
    </row>
    <row r="69" spans="1:16" ht="40.75" customHeight="1" thickBot="1" x14ac:dyDescent="0.4">
      <c r="A69" s="11">
        <v>46243.375</v>
      </c>
      <c r="B69" s="8" t="s">
        <v>13</v>
      </c>
      <c r="C69" s="8" t="s">
        <v>7</v>
      </c>
      <c r="D69" s="8">
        <v>5</v>
      </c>
      <c r="E69" s="8">
        <v>1844</v>
      </c>
      <c r="F69" s="4">
        <v>2.2739877979999998</v>
      </c>
      <c r="G69" s="2" t="s">
        <v>90</v>
      </c>
      <c r="H69" s="5">
        <v>1803</v>
      </c>
      <c r="I69" s="1" t="s">
        <v>8</v>
      </c>
      <c r="J69" s="17" t="s">
        <v>117</v>
      </c>
      <c r="K69" s="17" t="s">
        <v>246</v>
      </c>
      <c r="L69" s="17">
        <v>8570</v>
      </c>
      <c r="M69" s="25">
        <f>ABS((D69*E69)-L69)</f>
        <v>650</v>
      </c>
      <c r="N69" s="10" t="str">
        <f t="shared" si="3"/>
        <v>Unique</v>
      </c>
      <c r="O69" s="36" t="s">
        <v>237</v>
      </c>
    </row>
    <row r="70" spans="1:16" ht="40.75" customHeight="1" thickBot="1" x14ac:dyDescent="0.4">
      <c r="A70" s="11">
        <v>46252.645138888889</v>
      </c>
      <c r="B70" s="8" t="s">
        <v>56</v>
      </c>
      <c r="C70" s="8" t="s">
        <v>7</v>
      </c>
      <c r="D70" s="8">
        <v>5</v>
      </c>
      <c r="E70" s="8">
        <v>3040</v>
      </c>
      <c r="F70" s="4">
        <v>2.3224503529999998</v>
      </c>
      <c r="G70" s="2" t="s">
        <v>57</v>
      </c>
      <c r="H70" s="5">
        <v>2971</v>
      </c>
      <c r="I70" s="1" t="s">
        <v>8</v>
      </c>
      <c r="J70" s="16" t="s">
        <v>116</v>
      </c>
      <c r="N70" s="10" t="str">
        <f t="shared" si="3"/>
        <v>Unique</v>
      </c>
    </row>
    <row r="71" spans="1:16" ht="27.65" customHeight="1" thickBot="1" x14ac:dyDescent="0.4">
      <c r="A71" s="46">
        <v>46304.375</v>
      </c>
      <c r="B71" s="2" t="s">
        <v>31</v>
      </c>
      <c r="C71" s="2" t="s">
        <v>7</v>
      </c>
      <c r="D71" s="5">
        <v>20</v>
      </c>
      <c r="E71" s="5">
        <v>883.5</v>
      </c>
      <c r="F71" s="4">
        <v>2.3754345309999998</v>
      </c>
      <c r="G71" s="2" t="s">
        <v>84</v>
      </c>
      <c r="H71" s="5">
        <v>863</v>
      </c>
      <c r="I71" s="1" t="s">
        <v>8</v>
      </c>
      <c r="J71" s="17" t="s">
        <v>117</v>
      </c>
      <c r="K71" s="17" t="s">
        <v>314</v>
      </c>
      <c r="L71" s="17">
        <v>17020</v>
      </c>
      <c r="M71" s="17">
        <f>ABS((D71*E71)-L71)</f>
        <v>650</v>
      </c>
      <c r="N71" t="str">
        <f t="shared" si="3"/>
        <v>Unique</v>
      </c>
    </row>
    <row r="72" spans="1:16" s="22" customFormat="1" ht="40.75" customHeight="1" thickBot="1" x14ac:dyDescent="0.4">
      <c r="A72" s="3">
        <v>46307.617361111108</v>
      </c>
      <c r="B72" s="1" t="s">
        <v>106</v>
      </c>
      <c r="C72" s="1" t="s">
        <v>7</v>
      </c>
      <c r="D72" s="4">
        <v>1</v>
      </c>
      <c r="E72" s="4">
        <v>7168</v>
      </c>
      <c r="F72" s="4">
        <v>2.414630662</v>
      </c>
      <c r="G72" s="2" t="s">
        <v>107</v>
      </c>
      <c r="H72" s="5">
        <v>6999</v>
      </c>
      <c r="I72" s="1" t="s">
        <v>8</v>
      </c>
      <c r="J72" t="s">
        <v>116</v>
      </c>
      <c r="K72" t="s">
        <v>319</v>
      </c>
      <c r="L72">
        <v>6868</v>
      </c>
      <c r="M72" s="17">
        <f>ABS((D72*E72)-L72)</f>
        <v>300</v>
      </c>
      <c r="N72" s="10" t="str">
        <f t="shared" si="3"/>
        <v>Unique</v>
      </c>
      <c r="O72" s="10"/>
      <c r="P72" s="10"/>
    </row>
    <row r="73" spans="1:16" ht="27.65" customHeight="1" thickBot="1" x14ac:dyDescent="0.4">
      <c r="A73" s="46">
        <v>46293.375694444447</v>
      </c>
      <c r="B73" s="2" t="s">
        <v>50</v>
      </c>
      <c r="C73" s="2" t="s">
        <v>7</v>
      </c>
      <c r="D73" s="5">
        <v>10</v>
      </c>
      <c r="E73" s="5">
        <v>907</v>
      </c>
      <c r="F73" s="4">
        <v>3.1267765779999999</v>
      </c>
      <c r="G73" s="2" t="s">
        <v>51</v>
      </c>
      <c r="H73" s="5">
        <v>879.5</v>
      </c>
      <c r="I73" s="1" t="s">
        <v>8</v>
      </c>
      <c r="J73" s="17" t="s">
        <v>116</v>
      </c>
      <c r="K73" s="17" t="s">
        <v>293</v>
      </c>
      <c r="L73" s="17">
        <f>17740/2</f>
        <v>8870</v>
      </c>
      <c r="M73" s="17">
        <f>ABS((D73*E73)-L73)</f>
        <v>200</v>
      </c>
      <c r="N73" s="10" t="str">
        <f t="shared" si="3"/>
        <v>Unique</v>
      </c>
    </row>
    <row r="74" spans="1:16" ht="27.65" customHeight="1" thickBot="1" x14ac:dyDescent="0.4">
      <c r="A74" s="3">
        <v>46252.688194444447</v>
      </c>
      <c r="B74" s="1" t="s">
        <v>95</v>
      </c>
      <c r="C74" s="1" t="s">
        <v>10</v>
      </c>
      <c r="D74" s="4">
        <v>45</v>
      </c>
      <c r="E74" s="4">
        <v>136.15</v>
      </c>
      <c r="F74" s="4">
        <v>-15.32960199</v>
      </c>
      <c r="G74" s="2" t="s">
        <v>96</v>
      </c>
      <c r="H74" s="5">
        <v>160.80000000000001</v>
      </c>
      <c r="I74" s="1" t="s">
        <v>8</v>
      </c>
      <c r="J74" s="48" t="s">
        <v>54</v>
      </c>
      <c r="K74" s="16"/>
      <c r="L74" s="16"/>
      <c r="M74" s="16"/>
      <c r="N74" t="str">
        <f t="shared" si="3"/>
        <v>Unique</v>
      </c>
      <c r="O74"/>
      <c r="P74"/>
    </row>
    <row r="75" spans="1:16" ht="27.65" customHeight="1" thickBot="1" x14ac:dyDescent="0.4">
      <c r="A75" s="11">
        <v>46243.375</v>
      </c>
      <c r="B75" s="8" t="s">
        <v>9</v>
      </c>
      <c r="C75" s="8" t="s">
        <v>7</v>
      </c>
      <c r="D75" s="8">
        <v>40</v>
      </c>
      <c r="E75" s="8">
        <v>299</v>
      </c>
      <c r="F75" s="4">
        <v>3.2636850279999998</v>
      </c>
      <c r="G75" s="2" t="s">
        <v>94</v>
      </c>
      <c r="H75" s="5">
        <v>289.55</v>
      </c>
      <c r="I75" s="1" t="s">
        <v>8</v>
      </c>
      <c r="J75" s="17" t="s">
        <v>116</v>
      </c>
      <c r="K75" s="17" t="s">
        <v>311</v>
      </c>
      <c r="L75" s="17">
        <v>26109.000000000004</v>
      </c>
      <c r="M75" s="17">
        <f t="shared" ref="M75:M80" si="4">ABS((D75*E75)-L75)</f>
        <v>14149.000000000004</v>
      </c>
      <c r="N75" s="10" t="str">
        <f t="shared" si="3"/>
        <v>Unique</v>
      </c>
      <c r="P75"/>
    </row>
    <row r="76" spans="1:16" ht="40.75" customHeight="1" thickBot="1" x14ac:dyDescent="0.4">
      <c r="A76" s="3">
        <v>46294.375</v>
      </c>
      <c r="B76" s="2" t="s">
        <v>278</v>
      </c>
      <c r="C76" s="2" t="s">
        <v>7</v>
      </c>
      <c r="D76" s="5">
        <v>2</v>
      </c>
      <c r="E76" s="5">
        <v>1740</v>
      </c>
      <c r="F76" s="4">
        <v>3.8619948669999999</v>
      </c>
      <c r="G76" s="2" t="s">
        <v>280</v>
      </c>
      <c r="H76" s="5">
        <v>1675.3</v>
      </c>
      <c r="I76" s="1" t="s">
        <v>8</v>
      </c>
      <c r="J76" s="17" t="s">
        <v>117</v>
      </c>
      <c r="K76" s="17" t="s">
        <v>296</v>
      </c>
      <c r="L76" s="17">
        <v>3180</v>
      </c>
      <c r="M76" s="17">
        <f t="shared" si="4"/>
        <v>300</v>
      </c>
      <c r="N76" s="10" t="str">
        <f t="shared" si="3"/>
        <v>Unique</v>
      </c>
    </row>
    <row r="77" spans="1:16" ht="27.65" customHeight="1" thickBot="1" x14ac:dyDescent="0.4">
      <c r="A77" s="3">
        <v>46274.414583333331</v>
      </c>
      <c r="B77" s="1" t="s">
        <v>12</v>
      </c>
      <c r="C77" s="1" t="s">
        <v>7</v>
      </c>
      <c r="D77" s="4">
        <v>2</v>
      </c>
      <c r="E77" s="4">
        <v>5274</v>
      </c>
      <c r="F77" s="4">
        <v>4.1654322449999999</v>
      </c>
      <c r="G77" s="2" t="s">
        <v>97</v>
      </c>
      <c r="H77" s="5">
        <v>5063.1000000000004</v>
      </c>
      <c r="I77" s="1" t="s">
        <v>8</v>
      </c>
      <c r="J77" s="17" t="s">
        <v>117</v>
      </c>
      <c r="K77" s="17" t="s">
        <v>250</v>
      </c>
      <c r="L77" s="17">
        <v>9902</v>
      </c>
      <c r="M77" s="17">
        <f t="shared" si="4"/>
        <v>646</v>
      </c>
      <c r="N77" s="10" t="str">
        <f t="shared" si="3"/>
        <v>Unique</v>
      </c>
      <c r="O77" s="36" t="s">
        <v>237</v>
      </c>
    </row>
    <row r="78" spans="1:16" ht="27.65" customHeight="1" thickBot="1" x14ac:dyDescent="0.4">
      <c r="A78" s="3">
        <v>46269.411111111112</v>
      </c>
      <c r="B78" s="1" t="s">
        <v>13</v>
      </c>
      <c r="C78" s="1" t="s">
        <v>7</v>
      </c>
      <c r="D78" s="4">
        <v>10</v>
      </c>
      <c r="E78" s="4">
        <v>1879</v>
      </c>
      <c r="F78" s="4">
        <v>4.215196894</v>
      </c>
      <c r="G78" s="2" t="s">
        <v>90</v>
      </c>
      <c r="H78" s="5">
        <v>1803</v>
      </c>
      <c r="I78" s="1" t="s">
        <v>8</v>
      </c>
      <c r="J78" s="17" t="s">
        <v>117</v>
      </c>
      <c r="K78" s="17" t="s">
        <v>232</v>
      </c>
      <c r="L78" s="17">
        <v>18140</v>
      </c>
      <c r="M78" s="24">
        <f t="shared" si="4"/>
        <v>650</v>
      </c>
      <c r="N78" t="str">
        <f t="shared" si="3"/>
        <v>Unique</v>
      </c>
    </row>
    <row r="79" spans="1:16" ht="40.75" customHeight="1" thickBot="1" x14ac:dyDescent="0.4">
      <c r="A79" s="3">
        <v>46275.375</v>
      </c>
      <c r="B79" s="1" t="s">
        <v>21</v>
      </c>
      <c r="C79" s="1" t="s">
        <v>7</v>
      </c>
      <c r="D79" s="4">
        <v>5</v>
      </c>
      <c r="E79" s="4">
        <v>710</v>
      </c>
      <c r="F79" s="4">
        <v>4.250789223</v>
      </c>
      <c r="G79" s="2" t="s">
        <v>75</v>
      </c>
      <c r="H79" s="5">
        <v>681.05</v>
      </c>
      <c r="I79" s="1" t="s">
        <v>8</v>
      </c>
      <c r="J79" s="17" t="s">
        <v>117</v>
      </c>
      <c r="K79" s="17" t="s">
        <v>255</v>
      </c>
      <c r="L79" s="17">
        <v>3300</v>
      </c>
      <c r="M79" s="17">
        <f t="shared" si="4"/>
        <v>250</v>
      </c>
      <c r="N79" s="10" t="str">
        <f t="shared" si="3"/>
        <v>Unique</v>
      </c>
    </row>
    <row r="80" spans="1:16" ht="40.75" customHeight="1" thickBot="1" x14ac:dyDescent="0.4">
      <c r="A80" s="46">
        <v>46293.375694444447</v>
      </c>
      <c r="B80" s="2" t="s">
        <v>50</v>
      </c>
      <c r="C80" s="2" t="s">
        <v>7</v>
      </c>
      <c r="D80" s="5">
        <v>10</v>
      </c>
      <c r="E80" s="5">
        <v>917</v>
      </c>
      <c r="F80" s="4">
        <v>4.2637862420000001</v>
      </c>
      <c r="G80" s="2" t="s">
        <v>51</v>
      </c>
      <c r="H80" s="5">
        <v>879.5</v>
      </c>
      <c r="I80" s="1" t="s">
        <v>8</v>
      </c>
      <c r="J80" s="17" t="s">
        <v>116</v>
      </c>
      <c r="K80" s="17" t="s">
        <v>293</v>
      </c>
      <c r="L80" s="17">
        <f>17740/2</f>
        <v>8870</v>
      </c>
      <c r="M80" s="17">
        <f t="shared" si="4"/>
        <v>300</v>
      </c>
      <c r="N80" s="10" t="str">
        <f t="shared" si="3"/>
        <v>Unique</v>
      </c>
    </row>
    <row r="81" spans="1:16" ht="40.75" customHeight="1" thickBot="1" x14ac:dyDescent="0.4">
      <c r="A81" s="64">
        <v>46252.635416666664</v>
      </c>
      <c r="B81" s="40" t="s">
        <v>73</v>
      </c>
      <c r="C81" s="40" t="s">
        <v>7</v>
      </c>
      <c r="D81" s="40">
        <v>5</v>
      </c>
      <c r="E81" s="40">
        <v>3482</v>
      </c>
      <c r="F81" s="4">
        <v>4.3139604550000001</v>
      </c>
      <c r="G81" s="2" t="s">
        <v>74</v>
      </c>
      <c r="H81" s="5">
        <v>3338</v>
      </c>
      <c r="I81" s="1" t="s">
        <v>8</v>
      </c>
      <c r="J81" s="44" t="s">
        <v>117</v>
      </c>
      <c r="K81" s="41"/>
      <c r="L81" s="41"/>
      <c r="M81" s="41"/>
      <c r="N81" s="22" t="str">
        <f t="shared" si="3"/>
        <v>Unique</v>
      </c>
      <c r="O81" s="22"/>
      <c r="P81" s="67" t="s">
        <v>249</v>
      </c>
    </row>
    <row r="82" spans="1:16" ht="27.65" customHeight="1" thickBot="1" x14ac:dyDescent="0.4">
      <c r="A82" s="46">
        <v>46293.401388888888</v>
      </c>
      <c r="B82" s="2" t="s">
        <v>14</v>
      </c>
      <c r="C82" s="2" t="s">
        <v>7</v>
      </c>
      <c r="D82" s="5">
        <v>100</v>
      </c>
      <c r="E82" s="5">
        <v>329</v>
      </c>
      <c r="F82" s="4">
        <v>4.3947326670000004</v>
      </c>
      <c r="G82" s="2" t="s">
        <v>44</v>
      </c>
      <c r="H82" s="5">
        <v>315.14999999999998</v>
      </c>
      <c r="I82" s="1" t="s">
        <v>8</v>
      </c>
      <c r="J82" s="17" t="s">
        <v>116</v>
      </c>
      <c r="K82" s="17" t="s">
        <v>290</v>
      </c>
      <c r="L82" s="17">
        <v>32400</v>
      </c>
      <c r="M82" s="17">
        <f>ABS((D82*E82)-L82)</f>
        <v>500</v>
      </c>
      <c r="N82" s="10" t="str">
        <f t="shared" si="3"/>
        <v>Unique</v>
      </c>
    </row>
    <row r="83" spans="1:16" ht="40.75" customHeight="1" thickBot="1" x14ac:dyDescent="0.4">
      <c r="A83" s="6" t="s">
        <v>61</v>
      </c>
      <c r="B83" s="1" t="s">
        <v>91</v>
      </c>
      <c r="C83" s="1" t="s">
        <v>10</v>
      </c>
      <c r="D83" s="4">
        <v>1</v>
      </c>
      <c r="E83" s="4">
        <v>2752</v>
      </c>
      <c r="F83" s="4">
        <v>-15.336102139999999</v>
      </c>
      <c r="G83" s="2" t="s">
        <v>92</v>
      </c>
      <c r="H83" s="5">
        <v>3250.5</v>
      </c>
      <c r="I83" s="1" t="s">
        <v>8</v>
      </c>
      <c r="J83" s="48" t="s">
        <v>40</v>
      </c>
      <c r="K83" s="16"/>
      <c r="L83" s="16"/>
      <c r="M83" s="16"/>
      <c r="N83" t="str">
        <f t="shared" si="3"/>
        <v>Unique</v>
      </c>
      <c r="O83"/>
      <c r="P83"/>
    </row>
    <row r="84" spans="1:16" ht="27.65" customHeight="1" thickBot="1" x14ac:dyDescent="0.4">
      <c r="A84" s="3">
        <v>46031.4375</v>
      </c>
      <c r="B84" s="1" t="s">
        <v>205</v>
      </c>
      <c r="C84" s="1" t="s">
        <v>10</v>
      </c>
      <c r="D84" s="4">
        <v>3</v>
      </c>
      <c r="E84" s="4">
        <v>1052</v>
      </c>
      <c r="F84" s="4">
        <v>-15.84</v>
      </c>
      <c r="G84" s="2" t="s">
        <v>216</v>
      </c>
      <c r="H84" s="5">
        <v>1250</v>
      </c>
      <c r="I84" s="1" t="s">
        <v>8</v>
      </c>
      <c r="J84" s="17" t="s">
        <v>40</v>
      </c>
      <c r="M84" s="17">
        <f t="shared" ref="M84:M92" si="5">ABS((D84*E84)-L84)</f>
        <v>3156</v>
      </c>
      <c r="N84" s="10" t="str">
        <f t="shared" si="3"/>
        <v>Unique</v>
      </c>
      <c r="P84" s="18"/>
    </row>
    <row r="85" spans="1:16" s="27" customFormat="1" ht="40.75" customHeight="1" thickBot="1" x14ac:dyDescent="0.4">
      <c r="A85" s="46">
        <v>46295.375</v>
      </c>
      <c r="B85" s="2" t="s">
        <v>30</v>
      </c>
      <c r="C85" s="2" t="s">
        <v>10</v>
      </c>
      <c r="D85" s="5">
        <v>5</v>
      </c>
      <c r="E85" s="5">
        <v>620</v>
      </c>
      <c r="F85" s="4">
        <v>-17.001338690000001</v>
      </c>
      <c r="G85" s="2" t="s">
        <v>93</v>
      </c>
      <c r="H85" s="5">
        <v>747</v>
      </c>
      <c r="I85" s="1" t="s">
        <v>8</v>
      </c>
      <c r="J85" s="17" t="s">
        <v>40</v>
      </c>
      <c r="K85" s="17" t="s">
        <v>297</v>
      </c>
      <c r="L85" s="17">
        <v>3395</v>
      </c>
      <c r="M85" s="17">
        <f t="shared" si="5"/>
        <v>295</v>
      </c>
      <c r="N85" s="10" t="str">
        <f t="shared" si="3"/>
        <v>Unique</v>
      </c>
      <c r="O85" s="10"/>
      <c r="P85" s="10"/>
    </row>
    <row r="86" spans="1:16" s="27" customFormat="1" ht="40.75" customHeight="1" thickBot="1" x14ac:dyDescent="0.4">
      <c r="A86" s="46">
        <v>46303.375</v>
      </c>
      <c r="B86" s="2" t="s">
        <v>88</v>
      </c>
      <c r="C86" s="2" t="s">
        <v>7</v>
      </c>
      <c r="D86" s="5">
        <v>1</v>
      </c>
      <c r="E86" s="5">
        <v>13450</v>
      </c>
      <c r="F86" s="4">
        <v>4.9141965680000004</v>
      </c>
      <c r="G86" s="2" t="s">
        <v>89</v>
      </c>
      <c r="H86" s="5">
        <v>12820</v>
      </c>
      <c r="I86" s="1" t="s">
        <v>8</v>
      </c>
      <c r="J86" s="17" t="s">
        <v>117</v>
      </c>
      <c r="K86" s="17" t="s">
        <v>307</v>
      </c>
      <c r="L86" s="17">
        <v>12800</v>
      </c>
      <c r="M86" s="17">
        <f t="shared" si="5"/>
        <v>650</v>
      </c>
      <c r="N86" s="10" t="str">
        <f t="shared" si="3"/>
        <v>Unique</v>
      </c>
      <c r="O86" s="10"/>
      <c r="P86" s="10"/>
    </row>
    <row r="87" spans="1:16" ht="27.65" customHeight="1" thickBot="1" x14ac:dyDescent="0.4">
      <c r="A87" s="3">
        <v>46287.375</v>
      </c>
      <c r="B87" s="1" t="s">
        <v>17</v>
      </c>
      <c r="C87" s="1" t="s">
        <v>7</v>
      </c>
      <c r="D87" s="4">
        <v>25</v>
      </c>
      <c r="E87" s="4">
        <v>348</v>
      </c>
      <c r="F87" s="4">
        <v>4.9457177320000003</v>
      </c>
      <c r="G87" s="2" t="s">
        <v>76</v>
      </c>
      <c r="H87" s="5">
        <v>331.6</v>
      </c>
      <c r="I87" s="1" t="s">
        <v>8</v>
      </c>
      <c r="J87" s="17" t="s">
        <v>116</v>
      </c>
      <c r="K87" s="17" t="s">
        <v>283</v>
      </c>
      <c r="L87" s="17">
        <v>8400</v>
      </c>
      <c r="M87" s="17">
        <f t="shared" si="5"/>
        <v>300</v>
      </c>
      <c r="N87" s="10" t="str">
        <f t="shared" si="3"/>
        <v>Unique</v>
      </c>
      <c r="O87" s="36" t="s">
        <v>237</v>
      </c>
    </row>
    <row r="88" spans="1:16" ht="27.65" customHeight="1" thickBot="1" x14ac:dyDescent="0.4">
      <c r="A88" s="50">
        <v>46296.586111111108</v>
      </c>
      <c r="B88" s="51" t="s">
        <v>77</v>
      </c>
      <c r="C88" s="51" t="s">
        <v>7</v>
      </c>
      <c r="D88" s="52">
        <v>5</v>
      </c>
      <c r="E88" s="52">
        <v>1348</v>
      </c>
      <c r="F88" s="4">
        <v>4.9844236759999996</v>
      </c>
      <c r="G88" s="2" t="s">
        <v>78</v>
      </c>
      <c r="H88" s="5">
        <v>1284</v>
      </c>
      <c r="I88" s="1" t="s">
        <v>8</v>
      </c>
      <c r="J88" s="25" t="s">
        <v>117</v>
      </c>
      <c r="K88" s="25" t="s">
        <v>298</v>
      </c>
      <c r="L88" s="25">
        <v>6127.5</v>
      </c>
      <c r="M88" s="25">
        <f t="shared" si="5"/>
        <v>612.5</v>
      </c>
      <c r="N88" s="27" t="str">
        <f t="shared" si="3"/>
        <v>Duplicate</v>
      </c>
      <c r="O88" s="27"/>
      <c r="P88" s="27"/>
    </row>
    <row r="89" spans="1:16" ht="40.75" customHeight="1" thickBot="1" x14ac:dyDescent="0.4">
      <c r="A89" s="50">
        <v>46296.420138888891</v>
      </c>
      <c r="B89" s="51" t="s">
        <v>77</v>
      </c>
      <c r="C89" s="51" t="s">
        <v>7</v>
      </c>
      <c r="D89" s="52">
        <v>5</v>
      </c>
      <c r="E89" s="52">
        <v>1348</v>
      </c>
      <c r="F89" s="4">
        <v>4.9844236759999996</v>
      </c>
      <c r="G89" s="2" t="s">
        <v>78</v>
      </c>
      <c r="H89" s="5">
        <v>1284</v>
      </c>
      <c r="I89" s="1" t="s">
        <v>8</v>
      </c>
      <c r="J89" s="25" t="s">
        <v>117</v>
      </c>
      <c r="K89" s="25" t="s">
        <v>300</v>
      </c>
      <c r="L89" s="25">
        <v>6320</v>
      </c>
      <c r="M89" s="25">
        <f t="shared" si="5"/>
        <v>420</v>
      </c>
      <c r="N89" s="27" t="str">
        <f t="shared" si="3"/>
        <v>Duplicate</v>
      </c>
      <c r="O89" s="27"/>
      <c r="P89" s="27"/>
    </row>
    <row r="90" spans="1:16" ht="40.75" customHeight="1" thickBot="1" x14ac:dyDescent="0.4">
      <c r="A90" s="46">
        <v>46293.375694444447</v>
      </c>
      <c r="B90" s="2" t="s">
        <v>42</v>
      </c>
      <c r="C90" s="2" t="s">
        <v>7</v>
      </c>
      <c r="D90" s="5">
        <v>5</v>
      </c>
      <c r="E90" s="5">
        <v>762</v>
      </c>
      <c r="F90" s="4">
        <v>5.0454921419999996</v>
      </c>
      <c r="G90" s="2" t="s">
        <v>43</v>
      </c>
      <c r="H90" s="5">
        <v>725.4</v>
      </c>
      <c r="I90" s="1" t="s">
        <v>8</v>
      </c>
      <c r="J90" s="17" t="s">
        <v>117</v>
      </c>
      <c r="K90" s="17" t="s">
        <v>292</v>
      </c>
      <c r="L90" s="17">
        <v>3560</v>
      </c>
      <c r="M90" s="17">
        <f t="shared" si="5"/>
        <v>250</v>
      </c>
      <c r="N90" s="10" t="str">
        <f t="shared" si="3"/>
        <v>Unique</v>
      </c>
    </row>
    <row r="91" spans="1:16" ht="27.65" customHeight="1" thickBot="1" x14ac:dyDescent="0.4">
      <c r="A91" s="28">
        <v>46272.451388888891</v>
      </c>
      <c r="B91" s="29" t="s">
        <v>13</v>
      </c>
      <c r="C91" s="29" t="s">
        <v>7</v>
      </c>
      <c r="D91" s="30">
        <v>5</v>
      </c>
      <c r="E91" s="30">
        <v>1894</v>
      </c>
      <c r="F91" s="4">
        <v>5.0471436489999997</v>
      </c>
      <c r="G91" s="2" t="s">
        <v>90</v>
      </c>
      <c r="H91" s="5">
        <v>1803</v>
      </c>
      <c r="I91" s="1" t="s">
        <v>8</v>
      </c>
      <c r="J91" s="27" t="s">
        <v>117</v>
      </c>
      <c r="K91" s="25" t="s">
        <v>238</v>
      </c>
      <c r="L91" s="25">
        <v>8820</v>
      </c>
      <c r="M91" s="25">
        <f t="shared" si="5"/>
        <v>650</v>
      </c>
      <c r="N91" s="27" t="str">
        <f t="shared" si="3"/>
        <v>Unique</v>
      </c>
      <c r="O91" s="27"/>
      <c r="P91" s="27"/>
    </row>
    <row r="92" spans="1:16" ht="27.65" customHeight="1" thickBot="1" x14ac:dyDescent="0.4">
      <c r="A92" s="28">
        <v>46272.390972222223</v>
      </c>
      <c r="B92" s="29" t="s">
        <v>13</v>
      </c>
      <c r="C92" s="29" t="s">
        <v>7</v>
      </c>
      <c r="D92" s="30">
        <v>20</v>
      </c>
      <c r="E92" s="30">
        <v>1894</v>
      </c>
      <c r="F92" s="4">
        <v>5.0471436489999997</v>
      </c>
      <c r="G92" s="2" t="s">
        <v>90</v>
      </c>
      <c r="H92" s="5">
        <v>1803</v>
      </c>
      <c r="I92" s="1" t="s">
        <v>8</v>
      </c>
      <c r="J92" s="27" t="s">
        <v>117</v>
      </c>
      <c r="K92" s="25" t="s">
        <v>239</v>
      </c>
      <c r="L92" s="25">
        <v>36946</v>
      </c>
      <c r="M92" s="25">
        <f t="shared" si="5"/>
        <v>934</v>
      </c>
      <c r="N92" s="27" t="str">
        <f t="shared" si="3"/>
        <v>Unique</v>
      </c>
      <c r="O92" s="27"/>
      <c r="P92" s="27"/>
    </row>
    <row r="93" spans="1:16" ht="40.75" customHeight="1" thickBot="1" x14ac:dyDescent="0.4">
      <c r="A93" s="6" t="s">
        <v>61</v>
      </c>
      <c r="B93" s="1" t="s">
        <v>12</v>
      </c>
      <c r="C93" s="1" t="s">
        <v>10</v>
      </c>
      <c r="D93" s="4">
        <v>1</v>
      </c>
      <c r="E93" s="4">
        <v>4164</v>
      </c>
      <c r="F93" s="4">
        <v>-17.757895359999999</v>
      </c>
      <c r="G93" s="2" t="s">
        <v>97</v>
      </c>
      <c r="H93" s="5">
        <v>5063.1000000000004</v>
      </c>
      <c r="I93" s="1" t="s">
        <v>8</v>
      </c>
      <c r="J93" s="48"/>
      <c r="K93" s="16"/>
      <c r="L93" s="16"/>
      <c r="M93" s="16"/>
      <c r="N93" t="str">
        <f t="shared" si="3"/>
        <v>Unique</v>
      </c>
      <c r="O93"/>
      <c r="P93"/>
    </row>
    <row r="94" spans="1:16" ht="40.75" customHeight="1" thickBot="1" x14ac:dyDescent="0.4">
      <c r="A94" s="28">
        <v>46335.62777777778</v>
      </c>
      <c r="B94" s="29" t="s">
        <v>11</v>
      </c>
      <c r="C94" s="29" t="s">
        <v>7</v>
      </c>
      <c r="D94" s="30">
        <v>20</v>
      </c>
      <c r="E94" s="30">
        <v>284.5</v>
      </c>
      <c r="F94" s="4">
        <v>5.2534221240000001</v>
      </c>
      <c r="G94" s="2" t="s">
        <v>98</v>
      </c>
      <c r="H94" s="5">
        <v>270.3</v>
      </c>
      <c r="I94" s="1" t="s">
        <v>8</v>
      </c>
      <c r="J94" s="25" t="s">
        <v>117</v>
      </c>
      <c r="K94" s="25" t="s">
        <v>259</v>
      </c>
      <c r="L94" s="25">
        <v>5370</v>
      </c>
      <c r="M94" s="25">
        <f>ABS((D94*E94)-L94)</f>
        <v>320</v>
      </c>
      <c r="N94" s="27" t="str">
        <f t="shared" si="3"/>
        <v>Unique</v>
      </c>
      <c r="O94" s="27"/>
      <c r="P94" s="27"/>
    </row>
    <row r="95" spans="1:16" ht="40.75" customHeight="1" thickBot="1" x14ac:dyDescent="0.4">
      <c r="A95" s="28">
        <v>46280.375694444447</v>
      </c>
      <c r="B95" s="29" t="s">
        <v>11</v>
      </c>
      <c r="C95" s="29" t="s">
        <v>7</v>
      </c>
      <c r="D95" s="30">
        <v>10</v>
      </c>
      <c r="E95" s="30">
        <v>284.5</v>
      </c>
      <c r="F95" s="4">
        <v>5.2534221240000001</v>
      </c>
      <c r="G95" s="2" t="s">
        <v>98</v>
      </c>
      <c r="H95" s="5">
        <v>270.3</v>
      </c>
      <c r="I95" s="1" t="s">
        <v>8</v>
      </c>
      <c r="J95" s="25" t="s">
        <v>117</v>
      </c>
      <c r="K95" s="25" t="s">
        <v>271</v>
      </c>
      <c r="L95" s="25">
        <v>2610</v>
      </c>
      <c r="M95" s="25">
        <f>ABS((D95*E95)-L95)</f>
        <v>235</v>
      </c>
      <c r="N95" s="27" t="str">
        <f t="shared" si="3"/>
        <v>Unique</v>
      </c>
      <c r="O95" s="27"/>
      <c r="P95" s="27"/>
    </row>
    <row r="96" spans="1:16" ht="27.65" customHeight="1" thickBot="1" x14ac:dyDescent="0.4">
      <c r="A96" s="11">
        <v>46252.6875</v>
      </c>
      <c r="B96" s="8" t="s">
        <v>9</v>
      </c>
      <c r="C96" s="8" t="s">
        <v>7</v>
      </c>
      <c r="D96" s="8">
        <v>50</v>
      </c>
      <c r="E96" s="8">
        <v>305</v>
      </c>
      <c r="F96" s="4">
        <v>5.3358659990000001</v>
      </c>
      <c r="G96" s="2" t="s">
        <v>94</v>
      </c>
      <c r="H96" s="5">
        <v>289.55</v>
      </c>
      <c r="I96" s="1" t="s">
        <v>8</v>
      </c>
      <c r="J96" s="32" t="s">
        <v>117</v>
      </c>
      <c r="N96" s="10" t="str">
        <f t="shared" si="3"/>
        <v>Unique</v>
      </c>
    </row>
    <row r="97" spans="1:16" s="27" customFormat="1" ht="27.65" customHeight="1" thickBot="1" x14ac:dyDescent="0.4">
      <c r="A97" s="3">
        <v>46286.375694444447</v>
      </c>
      <c r="B97" s="1" t="s">
        <v>50</v>
      </c>
      <c r="C97" s="1" t="s">
        <v>7</v>
      </c>
      <c r="D97" s="4">
        <v>10</v>
      </c>
      <c r="E97" s="4">
        <v>927</v>
      </c>
      <c r="F97" s="4">
        <v>5.400795907</v>
      </c>
      <c r="G97" s="2" t="s">
        <v>51</v>
      </c>
      <c r="H97" s="5">
        <v>879.5</v>
      </c>
      <c r="I97" s="1" t="s">
        <v>8</v>
      </c>
      <c r="J97" s="17" t="s">
        <v>116</v>
      </c>
      <c r="K97" s="17" t="s">
        <v>282</v>
      </c>
      <c r="L97" s="17">
        <f>26910/3</f>
        <v>8970</v>
      </c>
      <c r="M97" s="17">
        <f>ABS((D97*E97)-L97)</f>
        <v>300</v>
      </c>
      <c r="N97" s="10" t="str">
        <f t="shared" si="3"/>
        <v>Unique</v>
      </c>
      <c r="O97" s="10"/>
      <c r="P97" s="10"/>
    </row>
    <row r="98" spans="1:16" ht="40.75" customHeight="1" thickBot="1" x14ac:dyDescent="0.4">
      <c r="A98" s="6" t="s">
        <v>61</v>
      </c>
      <c r="B98" s="1" t="s">
        <v>91</v>
      </c>
      <c r="C98" s="1" t="s">
        <v>10</v>
      </c>
      <c r="D98" s="4">
        <v>2</v>
      </c>
      <c r="E98" s="4">
        <v>2660</v>
      </c>
      <c r="F98" s="4">
        <v>-18.166435929999999</v>
      </c>
      <c r="G98" s="2" t="s">
        <v>92</v>
      </c>
      <c r="H98" s="5">
        <v>3250.5</v>
      </c>
      <c r="I98" s="1" t="s">
        <v>8</v>
      </c>
      <c r="J98" s="48"/>
      <c r="K98" s="16"/>
      <c r="L98" s="16"/>
      <c r="M98" s="16"/>
      <c r="N98" t="str">
        <f t="shared" si="3"/>
        <v>Unique</v>
      </c>
      <c r="O98"/>
      <c r="P98"/>
    </row>
    <row r="99" spans="1:16" ht="40.75" customHeight="1" thickBot="1" x14ac:dyDescent="0.4">
      <c r="A99" s="46">
        <v>46289.375</v>
      </c>
      <c r="B99" s="2" t="s">
        <v>30</v>
      </c>
      <c r="C99" s="2" t="s">
        <v>10</v>
      </c>
      <c r="D99" s="5">
        <v>5</v>
      </c>
      <c r="E99" s="5">
        <v>601</v>
      </c>
      <c r="F99" s="4">
        <v>-19.54484605</v>
      </c>
      <c r="G99" s="2" t="s">
        <v>93</v>
      </c>
      <c r="H99" s="5">
        <v>747</v>
      </c>
      <c r="I99" s="1" t="s">
        <v>8</v>
      </c>
      <c r="J99" s="17" t="s">
        <v>40</v>
      </c>
      <c r="K99" s="17" t="s">
        <v>286</v>
      </c>
      <c r="L99" s="17">
        <v>3245</v>
      </c>
      <c r="M99" s="17">
        <f>ABS((D99*E99)-L99)</f>
        <v>240</v>
      </c>
      <c r="N99" s="10" t="str">
        <f t="shared" si="3"/>
        <v>Unique</v>
      </c>
    </row>
    <row r="100" spans="1:16" ht="27.65" customHeight="1" thickBot="1" x14ac:dyDescent="0.4">
      <c r="A100" s="3">
        <v>46268.375</v>
      </c>
      <c r="B100" s="1" t="s">
        <v>14</v>
      </c>
      <c r="C100" s="1" t="s">
        <v>7</v>
      </c>
      <c r="D100" s="4">
        <v>100</v>
      </c>
      <c r="E100" s="4">
        <v>334</v>
      </c>
      <c r="F100" s="4">
        <v>5.981278756</v>
      </c>
      <c r="G100" s="2" t="s">
        <v>44</v>
      </c>
      <c r="H100" s="5">
        <v>315.14999999999998</v>
      </c>
      <c r="I100" s="1" t="s">
        <v>8</v>
      </c>
      <c r="J100" s="21" t="s">
        <v>116</v>
      </c>
      <c r="K100" s="17" t="s">
        <v>229</v>
      </c>
      <c r="L100" s="17">
        <v>32200</v>
      </c>
      <c r="M100" s="17">
        <f>ABS((D100*E100)-L100)</f>
        <v>1200</v>
      </c>
      <c r="N100" s="10" t="str">
        <f t="shared" si="3"/>
        <v>Unique</v>
      </c>
      <c r="O100" s="36" t="s">
        <v>237</v>
      </c>
    </row>
    <row r="101" spans="1:16" ht="27.65" customHeight="1" thickBot="1" x14ac:dyDescent="0.4">
      <c r="A101" s="78">
        <v>46309</v>
      </c>
      <c r="B101" s="2" t="s">
        <v>32</v>
      </c>
      <c r="C101" s="2" t="s">
        <v>7</v>
      </c>
      <c r="D101" s="5">
        <v>3</v>
      </c>
      <c r="E101" s="5">
        <v>2382</v>
      </c>
      <c r="F101" s="4">
        <v>6.0552092609999999</v>
      </c>
      <c r="G101" s="2" t="s">
        <v>83</v>
      </c>
      <c r="H101" s="5">
        <v>2246</v>
      </c>
      <c r="I101" s="1" t="s">
        <v>8</v>
      </c>
      <c r="J101" s="17" t="s">
        <v>116</v>
      </c>
      <c r="K101" s="17" t="s">
        <v>337</v>
      </c>
      <c r="L101" s="17">
        <v>6756</v>
      </c>
      <c r="M101" s="17">
        <f>ABS((D101*E101)-L101)</f>
        <v>390</v>
      </c>
      <c r="N101" s="10" t="str">
        <f t="shared" si="3"/>
        <v>Unique</v>
      </c>
    </row>
    <row r="102" spans="1:16" s="27" customFormat="1" ht="27.65" customHeight="1" thickBot="1" x14ac:dyDescent="0.4">
      <c r="A102" s="8" t="s">
        <v>61</v>
      </c>
      <c r="B102" s="8" t="s">
        <v>137</v>
      </c>
      <c r="C102" s="8" t="s">
        <v>7</v>
      </c>
      <c r="D102" s="8">
        <v>50</v>
      </c>
      <c r="E102" s="12">
        <v>470</v>
      </c>
      <c r="F102" s="4">
        <v>6.1786964869999998</v>
      </c>
      <c r="G102" s="2" t="s">
        <v>138</v>
      </c>
      <c r="H102" s="5">
        <v>442.65</v>
      </c>
      <c r="I102" s="1" t="s">
        <v>8</v>
      </c>
      <c r="J102" s="32" t="s">
        <v>116</v>
      </c>
      <c r="K102" s="17"/>
      <c r="L102" s="17"/>
      <c r="M102" s="17"/>
      <c r="N102" s="10" t="str">
        <f t="shared" si="3"/>
        <v>Unique</v>
      </c>
      <c r="O102" s="10"/>
      <c r="P102" s="10"/>
    </row>
    <row r="103" spans="1:16" ht="27.65" customHeight="1" thickBot="1" x14ac:dyDescent="0.4">
      <c r="A103" s="11">
        <v>46273.375</v>
      </c>
      <c r="B103" s="8" t="s">
        <v>50</v>
      </c>
      <c r="C103" s="8" t="s">
        <v>7</v>
      </c>
      <c r="D103" s="8">
        <v>10</v>
      </c>
      <c r="E103" s="8">
        <v>937</v>
      </c>
      <c r="F103" s="4">
        <v>6.5378055709999998</v>
      </c>
      <c r="G103" s="2" t="s">
        <v>51</v>
      </c>
      <c r="H103" s="5">
        <v>879.5</v>
      </c>
      <c r="I103" s="1" t="s">
        <v>8</v>
      </c>
      <c r="J103" s="17" t="s">
        <v>152</v>
      </c>
      <c r="K103" s="17" t="s">
        <v>247</v>
      </c>
      <c r="L103" s="17">
        <v>9170</v>
      </c>
      <c r="M103" s="25">
        <f>ABS((D103*E103)-L103)</f>
        <v>200</v>
      </c>
      <c r="N103" s="10" t="str">
        <f t="shared" si="3"/>
        <v>Unique</v>
      </c>
      <c r="O103" s="36" t="s">
        <v>237</v>
      </c>
    </row>
    <row r="104" spans="1:16" ht="27.65" customHeight="1" thickBot="1" x14ac:dyDescent="0.4">
      <c r="A104" s="46">
        <v>46296.443055555559</v>
      </c>
      <c r="B104" s="2" t="s">
        <v>15</v>
      </c>
      <c r="C104" s="2" t="s">
        <v>7</v>
      </c>
      <c r="D104" s="5">
        <v>5</v>
      </c>
      <c r="E104" s="5">
        <v>2276</v>
      </c>
      <c r="F104" s="4">
        <v>6.5543071160000004</v>
      </c>
      <c r="G104" s="2" t="s">
        <v>71</v>
      </c>
      <c r="H104" s="5">
        <v>2136</v>
      </c>
      <c r="I104" s="1" t="s">
        <v>8</v>
      </c>
      <c r="J104" s="17" t="s">
        <v>117</v>
      </c>
      <c r="K104" s="17" t="s">
        <v>299</v>
      </c>
      <c r="L104" s="17">
        <v>10725.5</v>
      </c>
      <c r="M104" s="17">
        <f>ABS((D104*E104)-L104)</f>
        <v>654.5</v>
      </c>
      <c r="N104" s="10" t="str">
        <f t="shared" si="3"/>
        <v>Unique</v>
      </c>
      <c r="O104" s="36" t="s">
        <v>237</v>
      </c>
    </row>
    <row r="105" spans="1:16" ht="27.65" customHeight="1" thickBot="1" x14ac:dyDescent="0.4">
      <c r="A105" s="8" t="s">
        <v>61</v>
      </c>
      <c r="B105" s="8" t="s">
        <v>42</v>
      </c>
      <c r="C105" s="8" t="s">
        <v>7</v>
      </c>
      <c r="D105" s="8">
        <v>10</v>
      </c>
      <c r="E105" s="8">
        <v>773</v>
      </c>
      <c r="F105" s="4">
        <v>6.5618968840000003</v>
      </c>
      <c r="G105" s="2" t="s">
        <v>43</v>
      </c>
      <c r="H105" s="5">
        <v>725.4</v>
      </c>
      <c r="I105" s="1" t="s">
        <v>8</v>
      </c>
      <c r="J105" s="32" t="s">
        <v>117</v>
      </c>
      <c r="N105" s="10" t="str">
        <f t="shared" si="3"/>
        <v>Unique</v>
      </c>
    </row>
    <row r="106" spans="1:16" s="23" customFormat="1" ht="40.75" customHeight="1" thickBot="1" x14ac:dyDescent="0.4">
      <c r="A106" s="3">
        <v>46260.425694444442</v>
      </c>
      <c r="B106" s="1" t="s">
        <v>13</v>
      </c>
      <c r="C106" s="1" t="s">
        <v>7</v>
      </c>
      <c r="D106" s="4">
        <v>20</v>
      </c>
      <c r="E106" s="4">
        <v>1924</v>
      </c>
      <c r="F106" s="4">
        <v>6.7110371600000001</v>
      </c>
      <c r="G106" s="2" t="s">
        <v>90</v>
      </c>
      <c r="H106" s="5">
        <v>1803</v>
      </c>
      <c r="I106" s="1" t="s">
        <v>8</v>
      </c>
      <c r="J106" s="17" t="s">
        <v>117</v>
      </c>
      <c r="K106" s="17" t="s">
        <v>166</v>
      </c>
      <c r="L106" s="17">
        <v>37480</v>
      </c>
      <c r="M106" s="17">
        <f>ABS((D106*E106)-L106)</f>
        <v>1000</v>
      </c>
      <c r="N106" t="str">
        <f t="shared" si="3"/>
        <v>Unique</v>
      </c>
      <c r="O106" s="10"/>
      <c r="P106" s="27"/>
    </row>
    <row r="107" spans="1:16" ht="40.75" customHeight="1" thickBot="1" x14ac:dyDescent="0.4">
      <c r="A107" s="6" t="s">
        <v>61</v>
      </c>
      <c r="B107" s="1" t="s">
        <v>12</v>
      </c>
      <c r="C107" s="1" t="s">
        <v>10</v>
      </c>
      <c r="D107" s="4">
        <v>1</v>
      </c>
      <c r="E107" s="4">
        <v>4014</v>
      </c>
      <c r="F107" s="4">
        <v>-20.7205072</v>
      </c>
      <c r="G107" s="2" t="s">
        <v>97</v>
      </c>
      <c r="H107" s="5">
        <v>5063.1000000000004</v>
      </c>
      <c r="I107" s="1" t="s">
        <v>8</v>
      </c>
      <c r="J107" s="48"/>
      <c r="K107" s="16"/>
      <c r="L107" s="16"/>
      <c r="M107" s="16"/>
      <c r="N107" t="str">
        <f t="shared" si="3"/>
        <v>Unique</v>
      </c>
      <c r="O107"/>
      <c r="P107"/>
    </row>
    <row r="108" spans="1:16" ht="40.75" customHeight="1" thickBot="1" x14ac:dyDescent="0.4">
      <c r="A108" s="6" t="s">
        <v>61</v>
      </c>
      <c r="B108" s="1" t="s">
        <v>91</v>
      </c>
      <c r="C108" s="1" t="s">
        <v>10</v>
      </c>
      <c r="D108" s="4">
        <v>2</v>
      </c>
      <c r="E108" s="4">
        <v>2560</v>
      </c>
      <c r="F108" s="4">
        <v>-21.242885709999999</v>
      </c>
      <c r="G108" s="2" t="s">
        <v>92</v>
      </c>
      <c r="H108" s="5">
        <v>3250.5</v>
      </c>
      <c r="I108" s="1" t="s">
        <v>8</v>
      </c>
      <c r="J108" s="48" t="s">
        <v>40</v>
      </c>
      <c r="K108" s="16"/>
      <c r="L108" s="16"/>
      <c r="M108" s="16"/>
      <c r="N108" t="str">
        <f t="shared" si="3"/>
        <v>Unique</v>
      </c>
      <c r="O108"/>
      <c r="P108"/>
    </row>
    <row r="109" spans="1:16" s="27" customFormat="1" ht="27.65" customHeight="1" thickBot="1" x14ac:dyDescent="0.4">
      <c r="A109" s="46">
        <v>46304.375</v>
      </c>
      <c r="B109" s="2" t="s">
        <v>23</v>
      </c>
      <c r="C109" s="2" t="s">
        <v>7</v>
      </c>
      <c r="D109" s="5">
        <v>50</v>
      </c>
      <c r="E109" s="5">
        <v>201</v>
      </c>
      <c r="F109" s="4">
        <v>6.9148936169999997</v>
      </c>
      <c r="G109" s="2" t="s">
        <v>69</v>
      </c>
      <c r="H109" s="5">
        <v>188</v>
      </c>
      <c r="I109" s="1" t="s">
        <v>8</v>
      </c>
      <c r="J109" s="17" t="s">
        <v>117</v>
      </c>
      <c r="K109" s="17" t="s">
        <v>313</v>
      </c>
      <c r="L109" s="17">
        <v>9393.5</v>
      </c>
      <c r="M109" s="17">
        <f t="shared" ref="M109:M122" si="6">ABS((D109*E109)-L109)</f>
        <v>656.5</v>
      </c>
      <c r="N109" t="str">
        <f t="shared" si="3"/>
        <v>Unique</v>
      </c>
      <c r="O109" s="10"/>
      <c r="P109" s="10"/>
    </row>
    <row r="110" spans="1:16" ht="27.65" customHeight="1" thickBot="1" x14ac:dyDescent="0.4">
      <c r="A110" s="3">
        <v>46280.435416666667</v>
      </c>
      <c r="B110" s="1" t="s">
        <v>67</v>
      </c>
      <c r="C110" s="1" t="s">
        <v>7</v>
      </c>
      <c r="D110" s="4">
        <v>50</v>
      </c>
      <c r="E110" s="4">
        <v>409</v>
      </c>
      <c r="F110" s="4">
        <v>6.9700536160000004</v>
      </c>
      <c r="G110" s="2" t="s">
        <v>68</v>
      </c>
      <c r="H110" s="5">
        <v>382.35</v>
      </c>
      <c r="I110" s="1" t="s">
        <v>8</v>
      </c>
      <c r="J110" s="17" t="s">
        <v>116</v>
      </c>
      <c r="K110" s="17" t="s">
        <v>270</v>
      </c>
      <c r="L110" s="17">
        <v>39300</v>
      </c>
      <c r="M110" s="17">
        <f t="shared" si="6"/>
        <v>18850</v>
      </c>
      <c r="N110" s="10" t="str">
        <f t="shared" si="3"/>
        <v>Unique</v>
      </c>
    </row>
    <row r="111" spans="1:16" ht="40.75" customHeight="1" thickBot="1" x14ac:dyDescent="0.4">
      <c r="A111" s="3">
        <v>46274.375</v>
      </c>
      <c r="B111" s="1" t="s">
        <v>21</v>
      </c>
      <c r="C111" s="1" t="s">
        <v>7</v>
      </c>
      <c r="D111" s="4">
        <v>5</v>
      </c>
      <c r="E111" s="4">
        <v>730</v>
      </c>
      <c r="F111" s="4">
        <v>7.1874311720000001</v>
      </c>
      <c r="G111" s="2" t="s">
        <v>75</v>
      </c>
      <c r="H111" s="5">
        <v>681.05</v>
      </c>
      <c r="I111" s="1" t="s">
        <v>8</v>
      </c>
      <c r="J111" s="17" t="s">
        <v>117</v>
      </c>
      <c r="K111" s="17" t="s">
        <v>252</v>
      </c>
      <c r="L111" s="17">
        <v>3400</v>
      </c>
      <c r="M111" s="17">
        <f t="shared" si="6"/>
        <v>250</v>
      </c>
      <c r="N111" s="10" t="str">
        <f t="shared" si="3"/>
        <v>Unique</v>
      </c>
    </row>
    <row r="112" spans="1:16" ht="27.65" customHeight="1" thickBot="1" x14ac:dyDescent="0.4">
      <c r="A112" s="3">
        <v>46267.461111111108</v>
      </c>
      <c r="B112" s="1" t="s">
        <v>14</v>
      </c>
      <c r="C112" s="1" t="s">
        <v>7</v>
      </c>
      <c r="D112" s="4">
        <v>100</v>
      </c>
      <c r="E112" s="4">
        <v>339</v>
      </c>
      <c r="F112" s="4">
        <v>7.5678248449999996</v>
      </c>
      <c r="G112" s="2" t="s">
        <v>44</v>
      </c>
      <c r="H112" s="5">
        <v>315.14999999999998</v>
      </c>
      <c r="I112" s="1" t="s">
        <v>8</v>
      </c>
      <c r="J112" s="17" t="s">
        <v>116</v>
      </c>
      <c r="K112" s="17" t="s">
        <v>218</v>
      </c>
      <c r="L112" s="17">
        <v>32900</v>
      </c>
      <c r="M112" s="17">
        <f t="shared" si="6"/>
        <v>1000</v>
      </c>
      <c r="N112" s="10" t="str">
        <f t="shared" si="3"/>
        <v>Unique</v>
      </c>
    </row>
    <row r="113" spans="1:16" s="22" customFormat="1" ht="40.75" customHeight="1" thickBot="1" x14ac:dyDescent="0.4">
      <c r="A113" s="68">
        <v>46269.643055555556</v>
      </c>
      <c r="B113" s="66" t="s">
        <v>12</v>
      </c>
      <c r="C113" s="66" t="s">
        <v>7</v>
      </c>
      <c r="D113" s="65">
        <v>1</v>
      </c>
      <c r="E113" s="65">
        <v>5448</v>
      </c>
      <c r="F113" s="4">
        <v>7.6020619780000001</v>
      </c>
      <c r="G113" s="2" t="s">
        <v>97</v>
      </c>
      <c r="H113" s="5">
        <v>5063.1000000000004</v>
      </c>
      <c r="I113" s="1" t="s">
        <v>8</v>
      </c>
      <c r="J113" s="41" t="s">
        <v>117</v>
      </c>
      <c r="K113" s="41" t="s">
        <v>231</v>
      </c>
      <c r="L113" s="41">
        <v>5180</v>
      </c>
      <c r="M113" s="41">
        <f t="shared" si="6"/>
        <v>268</v>
      </c>
      <c r="N113" s="67" t="str">
        <f t="shared" si="3"/>
        <v>Unique</v>
      </c>
      <c r="P113" s="22" t="s">
        <v>249</v>
      </c>
    </row>
    <row r="114" spans="1:16" s="27" customFormat="1" ht="27.65" customHeight="1" thickBot="1" x14ac:dyDescent="0.4">
      <c r="A114" s="11">
        <v>46273.375</v>
      </c>
      <c r="B114" s="8" t="s">
        <v>50</v>
      </c>
      <c r="C114" s="8" t="s">
        <v>7</v>
      </c>
      <c r="D114" s="8">
        <v>10</v>
      </c>
      <c r="E114" s="8">
        <v>947</v>
      </c>
      <c r="F114" s="4">
        <v>7.6748152359999997</v>
      </c>
      <c r="G114" s="2" t="s">
        <v>51</v>
      </c>
      <c r="H114" s="5">
        <v>879.5</v>
      </c>
      <c r="I114" s="1" t="s">
        <v>8</v>
      </c>
      <c r="J114" s="17" t="s">
        <v>152</v>
      </c>
      <c r="K114" s="17" t="s">
        <v>247</v>
      </c>
      <c r="L114" s="17">
        <v>9170</v>
      </c>
      <c r="M114" s="25">
        <f t="shared" si="6"/>
        <v>300</v>
      </c>
      <c r="N114" s="10" t="str">
        <f t="shared" si="3"/>
        <v>Unique</v>
      </c>
      <c r="O114" s="10"/>
      <c r="P114" s="10"/>
    </row>
    <row r="115" spans="1:16" s="27" customFormat="1" ht="40.75" customHeight="1" thickBot="1" x14ac:dyDescent="0.4">
      <c r="A115" s="3">
        <v>46276.375</v>
      </c>
      <c r="B115" s="1" t="s">
        <v>17</v>
      </c>
      <c r="C115" s="1" t="s">
        <v>7</v>
      </c>
      <c r="D115" s="4">
        <v>25</v>
      </c>
      <c r="E115" s="4">
        <v>358</v>
      </c>
      <c r="F115" s="4">
        <v>7.9613992759999999</v>
      </c>
      <c r="G115" s="2" t="s">
        <v>76</v>
      </c>
      <c r="H115" s="5">
        <v>331.6</v>
      </c>
      <c r="I115" s="1" t="s">
        <v>8</v>
      </c>
      <c r="J115" s="17" t="s">
        <v>116</v>
      </c>
      <c r="K115" s="17" t="s">
        <v>266</v>
      </c>
      <c r="L115" s="17">
        <v>8700</v>
      </c>
      <c r="M115" s="17">
        <f t="shared" si="6"/>
        <v>250</v>
      </c>
      <c r="N115" s="10" t="str">
        <f t="shared" si="3"/>
        <v>Unique</v>
      </c>
      <c r="O115" s="10"/>
      <c r="P115" s="10"/>
    </row>
    <row r="116" spans="1:16" ht="27.65" customHeight="1" thickBot="1" x14ac:dyDescent="0.4">
      <c r="A116" s="3">
        <v>46259.388194444444</v>
      </c>
      <c r="B116" s="1" t="s">
        <v>13</v>
      </c>
      <c r="C116" s="1" t="s">
        <v>7</v>
      </c>
      <c r="D116" s="4">
        <v>20</v>
      </c>
      <c r="E116" s="4">
        <v>1948</v>
      </c>
      <c r="F116" s="4">
        <v>8.0421519690000007</v>
      </c>
      <c r="G116" s="2" t="s">
        <v>90</v>
      </c>
      <c r="H116" s="5">
        <v>1803</v>
      </c>
      <c r="I116" s="1" t="s">
        <v>8</v>
      </c>
      <c r="J116" s="17" t="s">
        <v>116</v>
      </c>
      <c r="K116" s="17" t="s">
        <v>159</v>
      </c>
      <c r="L116" s="17">
        <v>38020</v>
      </c>
      <c r="M116" s="17">
        <f t="shared" si="6"/>
        <v>940</v>
      </c>
      <c r="N116" s="10" t="str">
        <f t="shared" si="3"/>
        <v>Unique</v>
      </c>
    </row>
    <row r="117" spans="1:16" ht="27.65" customHeight="1" thickBot="1" x14ac:dyDescent="0.4">
      <c r="A117" s="3">
        <v>46267.375</v>
      </c>
      <c r="B117" s="1" t="s">
        <v>81</v>
      </c>
      <c r="C117" s="1" t="s">
        <v>7</v>
      </c>
      <c r="D117" s="4">
        <v>2</v>
      </c>
      <c r="E117" s="4">
        <v>4290</v>
      </c>
      <c r="F117" s="4">
        <v>8.068619795</v>
      </c>
      <c r="G117" s="2" t="s">
        <v>82</v>
      </c>
      <c r="H117" s="5">
        <v>3969.7</v>
      </c>
      <c r="I117" s="1" t="s">
        <v>8</v>
      </c>
      <c r="J117" s="17" t="s">
        <v>117</v>
      </c>
      <c r="K117" s="17" t="s">
        <v>222</v>
      </c>
      <c r="L117" s="17">
        <v>8220</v>
      </c>
      <c r="M117" s="17">
        <f t="shared" si="6"/>
        <v>360</v>
      </c>
      <c r="N117" s="10" t="str">
        <f t="shared" si="3"/>
        <v>Unique</v>
      </c>
      <c r="O117" s="36" t="s">
        <v>237</v>
      </c>
    </row>
    <row r="118" spans="1:16" ht="27.65" customHeight="1" thickBot="1" x14ac:dyDescent="0.4">
      <c r="A118" s="3">
        <v>46294.375</v>
      </c>
      <c r="B118" s="2" t="s">
        <v>35</v>
      </c>
      <c r="C118" s="2" t="s">
        <v>7</v>
      </c>
      <c r="D118" s="5">
        <v>5</v>
      </c>
      <c r="E118" s="5">
        <v>1143</v>
      </c>
      <c r="F118" s="4">
        <v>8.1055518769999999</v>
      </c>
      <c r="G118" s="2" t="s">
        <v>64</v>
      </c>
      <c r="H118" s="5">
        <v>1057.3</v>
      </c>
      <c r="I118" s="1" t="s">
        <v>8</v>
      </c>
      <c r="J118" s="17" t="s">
        <v>117</v>
      </c>
      <c r="K118" s="17" t="s">
        <v>295</v>
      </c>
      <c r="L118" s="17">
        <v>5450</v>
      </c>
      <c r="M118" s="17">
        <f t="shared" si="6"/>
        <v>265</v>
      </c>
      <c r="N118" s="10" t="str">
        <f t="shared" si="3"/>
        <v>Unique</v>
      </c>
    </row>
    <row r="119" spans="1:16" ht="40.75" customHeight="1" thickBot="1" x14ac:dyDescent="0.4">
      <c r="A119" s="3">
        <v>46267.375</v>
      </c>
      <c r="B119" s="1" t="s">
        <v>14</v>
      </c>
      <c r="C119" s="1" t="s">
        <v>7</v>
      </c>
      <c r="D119" s="4">
        <v>50</v>
      </c>
      <c r="E119" s="4">
        <v>341</v>
      </c>
      <c r="F119" s="4">
        <v>8.2024432810000008</v>
      </c>
      <c r="G119" s="2" t="s">
        <v>44</v>
      </c>
      <c r="H119" s="5">
        <v>315.14999999999998</v>
      </c>
      <c r="I119" s="1" t="s">
        <v>8</v>
      </c>
      <c r="J119" s="17" t="s">
        <v>116</v>
      </c>
      <c r="K119" s="17" t="s">
        <v>225</v>
      </c>
      <c r="L119" s="17">
        <v>16755</v>
      </c>
      <c r="M119" s="17">
        <f t="shared" si="6"/>
        <v>295</v>
      </c>
      <c r="N119" s="10" t="str">
        <f t="shared" si="3"/>
        <v>Unique</v>
      </c>
    </row>
    <row r="120" spans="1:16" ht="27.65" customHeight="1" thickBot="1" x14ac:dyDescent="0.4">
      <c r="A120" s="46">
        <v>46303.375</v>
      </c>
      <c r="B120" s="2" t="s">
        <v>278</v>
      </c>
      <c r="C120" s="2" t="s">
        <v>10</v>
      </c>
      <c r="D120" s="5">
        <v>2</v>
      </c>
      <c r="E120" s="5">
        <v>1294</v>
      </c>
      <c r="F120" s="4">
        <v>-22.760102669999998</v>
      </c>
      <c r="G120" s="2" t="s">
        <v>280</v>
      </c>
      <c r="H120" s="5">
        <v>1675.3</v>
      </c>
      <c r="I120" s="1" t="s">
        <v>8</v>
      </c>
      <c r="J120" s="17" t="s">
        <v>40</v>
      </c>
      <c r="K120" s="17" t="s">
        <v>309</v>
      </c>
      <c r="L120" s="17">
        <v>2852</v>
      </c>
      <c r="M120" s="17">
        <f t="shared" si="6"/>
        <v>264</v>
      </c>
      <c r="N120" s="10" t="str">
        <f t="shared" si="3"/>
        <v>Unique</v>
      </c>
    </row>
    <row r="121" spans="1:16" ht="27.65" customHeight="1" thickBot="1" x14ac:dyDescent="0.4">
      <c r="A121" s="3">
        <v>46281.375</v>
      </c>
      <c r="B121" s="1" t="s">
        <v>18</v>
      </c>
      <c r="C121" s="1" t="s">
        <v>7</v>
      </c>
      <c r="D121" s="4">
        <v>10</v>
      </c>
      <c r="E121" s="4">
        <v>1790</v>
      </c>
      <c r="F121" s="4">
        <v>8.6099144469999995</v>
      </c>
      <c r="G121" s="2" t="s">
        <v>101</v>
      </c>
      <c r="H121" s="5">
        <v>1648.1</v>
      </c>
      <c r="I121" s="1" t="s">
        <v>8</v>
      </c>
      <c r="J121" s="17" t="s">
        <v>116</v>
      </c>
      <c r="K121" s="17" t="s">
        <v>276</v>
      </c>
      <c r="L121" s="17">
        <v>16500</v>
      </c>
      <c r="M121" s="17">
        <f t="shared" si="6"/>
        <v>1400</v>
      </c>
      <c r="N121" s="10" t="str">
        <f t="shared" si="3"/>
        <v>Unique</v>
      </c>
      <c r="O121" s="36" t="s">
        <v>237</v>
      </c>
    </row>
    <row r="122" spans="1:16" ht="27.65" customHeight="1" thickBot="1" x14ac:dyDescent="0.4">
      <c r="A122" s="3">
        <v>46267.375</v>
      </c>
      <c r="B122" s="1" t="s">
        <v>50</v>
      </c>
      <c r="C122" s="1" t="s">
        <v>7</v>
      </c>
      <c r="D122" s="4">
        <v>10</v>
      </c>
      <c r="E122" s="4">
        <v>957</v>
      </c>
      <c r="F122" s="4">
        <v>8.8118249009999996</v>
      </c>
      <c r="G122" s="2" t="s">
        <v>51</v>
      </c>
      <c r="H122" s="5">
        <v>879.5</v>
      </c>
      <c r="I122" s="1" t="s">
        <v>8</v>
      </c>
      <c r="J122" s="17" t="s">
        <v>116</v>
      </c>
      <c r="K122" s="17" t="s">
        <v>226</v>
      </c>
      <c r="L122" s="17">
        <v>9270</v>
      </c>
      <c r="M122" s="17">
        <f t="shared" si="6"/>
        <v>300</v>
      </c>
      <c r="N122" s="10" t="str">
        <f t="shared" si="3"/>
        <v>Unique</v>
      </c>
      <c r="P122" s="18"/>
    </row>
    <row r="123" spans="1:16" ht="27.65" customHeight="1" thickBot="1" x14ac:dyDescent="0.4">
      <c r="A123" s="8" t="s">
        <v>61</v>
      </c>
      <c r="B123" s="8" t="s">
        <v>73</v>
      </c>
      <c r="C123" s="8" t="s">
        <v>7</v>
      </c>
      <c r="D123" s="8">
        <v>5</v>
      </c>
      <c r="E123" s="8">
        <v>3633</v>
      </c>
      <c r="F123" s="4">
        <v>8.8376273219999995</v>
      </c>
      <c r="G123" s="2" t="s">
        <v>74</v>
      </c>
      <c r="H123" s="5">
        <v>3338</v>
      </c>
      <c r="I123" s="1" t="s">
        <v>8</v>
      </c>
      <c r="J123" s="32"/>
      <c r="N123" s="10" t="str">
        <f t="shared" si="3"/>
        <v>Unique</v>
      </c>
    </row>
    <row r="124" spans="1:16" ht="40.75" customHeight="1" thickBot="1" x14ac:dyDescent="0.4">
      <c r="A124" s="8" t="s">
        <v>61</v>
      </c>
      <c r="B124" s="8" t="s">
        <v>42</v>
      </c>
      <c r="C124" s="8" t="s">
        <v>7</v>
      </c>
      <c r="D124" s="8">
        <v>5</v>
      </c>
      <c r="E124" s="12">
        <v>790</v>
      </c>
      <c r="F124" s="4">
        <v>8.9054314859999995</v>
      </c>
      <c r="G124" s="2" t="s">
        <v>43</v>
      </c>
      <c r="H124" s="5">
        <v>725.4</v>
      </c>
      <c r="I124" s="1" t="s">
        <v>8</v>
      </c>
      <c r="J124" s="32" t="s">
        <v>117</v>
      </c>
      <c r="N124" s="10" t="str">
        <f t="shared" si="3"/>
        <v>Unique</v>
      </c>
    </row>
    <row r="125" spans="1:16" s="27" customFormat="1" ht="27.65" customHeight="1" thickBot="1" x14ac:dyDescent="0.4">
      <c r="A125" s="3">
        <v>46301.375</v>
      </c>
      <c r="B125" s="1" t="s">
        <v>32</v>
      </c>
      <c r="C125" s="1" t="s">
        <v>7</v>
      </c>
      <c r="D125" s="4">
        <v>3</v>
      </c>
      <c r="E125" s="4">
        <v>2448</v>
      </c>
      <c r="F125" s="4">
        <v>8.9937666959999998</v>
      </c>
      <c r="G125" s="2" t="s">
        <v>83</v>
      </c>
      <c r="H125" s="5">
        <v>2246</v>
      </c>
      <c r="I125" s="1" t="s">
        <v>8</v>
      </c>
      <c r="J125" s="17" t="s">
        <v>117</v>
      </c>
      <c r="K125" s="17" t="s">
        <v>302</v>
      </c>
      <c r="L125" s="17">
        <f>3*2300</f>
        <v>6900</v>
      </c>
      <c r="M125" s="17">
        <f>ABS((D125*E125)-L125)</f>
        <v>444</v>
      </c>
      <c r="N125" t="str">
        <f t="shared" si="3"/>
        <v>Unique</v>
      </c>
      <c r="O125" s="10"/>
      <c r="P125" s="10"/>
    </row>
    <row r="126" spans="1:16" s="27" customFormat="1" ht="40.75" customHeight="1" thickBot="1" x14ac:dyDescent="0.4">
      <c r="A126" s="3">
        <v>46267.38958333333</v>
      </c>
      <c r="B126" s="1" t="s">
        <v>14</v>
      </c>
      <c r="C126" s="1" t="s">
        <v>7</v>
      </c>
      <c r="D126" s="4">
        <v>100</v>
      </c>
      <c r="E126" s="4">
        <v>344</v>
      </c>
      <c r="F126" s="4">
        <v>9.1543709339999992</v>
      </c>
      <c r="G126" s="2" t="s">
        <v>44</v>
      </c>
      <c r="H126" s="5">
        <v>315.14999999999998</v>
      </c>
      <c r="I126" s="1" t="s">
        <v>8</v>
      </c>
      <c r="J126" s="17" t="s">
        <v>116</v>
      </c>
      <c r="K126" s="17" t="s">
        <v>220</v>
      </c>
      <c r="L126" s="17">
        <v>33200</v>
      </c>
      <c r="M126" s="17">
        <f>ABS((D126*E126)-L126)</f>
        <v>1200</v>
      </c>
      <c r="N126" s="10" t="str">
        <f t="shared" si="3"/>
        <v>Unique</v>
      </c>
      <c r="O126" s="10"/>
      <c r="P126" s="10"/>
    </row>
    <row r="127" spans="1:16" ht="40.75" customHeight="1" thickBot="1" x14ac:dyDescent="0.4">
      <c r="A127" s="6" t="s">
        <v>61</v>
      </c>
      <c r="B127" s="1" t="s">
        <v>114</v>
      </c>
      <c r="C127" s="1" t="s">
        <v>10</v>
      </c>
      <c r="D127" s="4">
        <v>2</v>
      </c>
      <c r="E127" s="4">
        <v>660</v>
      </c>
      <c r="F127" s="4">
        <v>-23.980649620000001</v>
      </c>
      <c r="G127" s="2" t="s">
        <v>115</v>
      </c>
      <c r="H127" s="5">
        <v>868.2</v>
      </c>
      <c r="I127" s="1" t="s">
        <v>8</v>
      </c>
      <c r="J127" s="48" t="s">
        <v>40</v>
      </c>
      <c r="K127" s="16"/>
      <c r="L127" s="16"/>
      <c r="M127" s="16"/>
      <c r="N127" t="str">
        <f t="shared" si="3"/>
        <v>Unique</v>
      </c>
      <c r="O127"/>
      <c r="P127"/>
    </row>
    <row r="128" spans="1:16" ht="27.65" customHeight="1" thickBot="1" x14ac:dyDescent="0.4">
      <c r="A128" s="3">
        <v>46260.554861111108</v>
      </c>
      <c r="B128" s="1" t="s">
        <v>12</v>
      </c>
      <c r="C128" s="1" t="s">
        <v>7</v>
      </c>
      <c r="D128" s="4">
        <v>1</v>
      </c>
      <c r="E128" s="4">
        <v>5540</v>
      </c>
      <c r="F128" s="4">
        <v>9.4191305720000003</v>
      </c>
      <c r="G128" s="2" t="s">
        <v>97</v>
      </c>
      <c r="H128" s="5">
        <v>5063.1000000000004</v>
      </c>
      <c r="I128" s="1" t="s">
        <v>8</v>
      </c>
      <c r="J128" s="17" t="s">
        <v>117</v>
      </c>
      <c r="K128" s="17" t="s">
        <v>163</v>
      </c>
      <c r="L128" s="17">
        <v>5290</v>
      </c>
      <c r="M128" s="17">
        <f>ABS((D128*E128)-L128)</f>
        <v>250</v>
      </c>
      <c r="N128" t="str">
        <f t="shared" si="3"/>
        <v>Unique</v>
      </c>
    </row>
    <row r="129" spans="1:16" ht="27.65" customHeight="1" thickBot="1" x14ac:dyDescent="0.4">
      <c r="A129" s="8" t="s">
        <v>61</v>
      </c>
      <c r="B129" s="8" t="s">
        <v>9</v>
      </c>
      <c r="C129" s="8" t="s">
        <v>7</v>
      </c>
      <c r="D129" s="8">
        <v>50</v>
      </c>
      <c r="E129" s="8">
        <v>317</v>
      </c>
      <c r="F129" s="4">
        <v>9.4802279400000007</v>
      </c>
      <c r="G129" s="2" t="s">
        <v>94</v>
      </c>
      <c r="H129" s="5">
        <v>289.55</v>
      </c>
      <c r="I129" s="1" t="s">
        <v>8</v>
      </c>
      <c r="J129" s="32"/>
      <c r="N129" s="10" t="str">
        <f t="shared" si="3"/>
        <v>Unique</v>
      </c>
    </row>
    <row r="130" spans="1:16" ht="27.65" customHeight="1" thickBot="1" x14ac:dyDescent="0.4">
      <c r="A130" s="11">
        <v>46243.375</v>
      </c>
      <c r="B130" s="8" t="s">
        <v>11</v>
      </c>
      <c r="C130" s="8" t="s">
        <v>7</v>
      </c>
      <c r="D130" s="8">
        <v>20</v>
      </c>
      <c r="E130" s="8">
        <v>296</v>
      </c>
      <c r="F130" s="4">
        <v>9.5079541249999995</v>
      </c>
      <c r="G130" s="2" t="s">
        <v>98</v>
      </c>
      <c r="H130" s="5">
        <v>270.3</v>
      </c>
      <c r="I130" s="1" t="s">
        <v>8</v>
      </c>
      <c r="J130" s="17" t="s">
        <v>117</v>
      </c>
      <c r="K130" s="17" t="s">
        <v>245</v>
      </c>
      <c r="L130" s="17">
        <v>5620</v>
      </c>
      <c r="M130" s="25">
        <f>ABS((D130*E130)-L130)</f>
        <v>300</v>
      </c>
      <c r="N130" s="10" t="str">
        <f t="shared" ref="N130:N193" si="7">IF(COUNTIFS( $B$2:$B$657, B130, $C$2:$C$657, C130, $D$2:$D$657, D130, $E$2:$E$657, E130) &gt; 1, "Duplicate", "Unique")</f>
        <v>Unique</v>
      </c>
      <c r="P130" s="23"/>
    </row>
    <row r="131" spans="1:16" ht="27.65" customHeight="1" thickBot="1" x14ac:dyDescent="0.4">
      <c r="A131" s="3">
        <v>46280.435416666667</v>
      </c>
      <c r="B131" s="1" t="s">
        <v>67</v>
      </c>
      <c r="C131" s="1" t="s">
        <v>7</v>
      </c>
      <c r="D131" s="4">
        <v>50</v>
      </c>
      <c r="E131" s="4">
        <v>419</v>
      </c>
      <c r="F131" s="4">
        <v>9.5854583499999997</v>
      </c>
      <c r="G131" s="2" t="s">
        <v>68</v>
      </c>
      <c r="H131" s="5">
        <v>382.35</v>
      </c>
      <c r="I131" s="1" t="s">
        <v>8</v>
      </c>
      <c r="J131" s="17" t="s">
        <v>116</v>
      </c>
      <c r="K131" s="17" t="s">
        <v>270</v>
      </c>
      <c r="L131" s="17">
        <v>39300</v>
      </c>
      <c r="M131" s="17">
        <f>ABS((D131*E131)-L131)</f>
        <v>18350</v>
      </c>
      <c r="N131" s="10" t="str">
        <f t="shared" si="7"/>
        <v>Unique</v>
      </c>
    </row>
    <row r="132" spans="1:16" ht="40.75" customHeight="1" thickBot="1" x14ac:dyDescent="0.4">
      <c r="A132" s="3">
        <v>46272.375694444447</v>
      </c>
      <c r="B132" s="1" t="s">
        <v>62</v>
      </c>
      <c r="C132" s="1" t="s">
        <v>7</v>
      </c>
      <c r="D132" s="4">
        <v>15</v>
      </c>
      <c r="E132" s="4">
        <v>1048</v>
      </c>
      <c r="F132" s="4">
        <v>9.7497120119999998</v>
      </c>
      <c r="G132" s="2" t="s">
        <v>63</v>
      </c>
      <c r="H132" s="5">
        <v>954.9</v>
      </c>
      <c r="I132" s="1" t="s">
        <v>8</v>
      </c>
      <c r="J132" s="17" t="s">
        <v>116</v>
      </c>
      <c r="K132" s="17" t="s">
        <v>241</v>
      </c>
      <c r="L132" s="17">
        <v>15075</v>
      </c>
      <c r="M132" s="17">
        <f>ABS((D132*E132)-L132)</f>
        <v>645</v>
      </c>
      <c r="N132" s="10" t="str">
        <f t="shared" si="7"/>
        <v>Unique</v>
      </c>
      <c r="O132" s="36" t="s">
        <v>237</v>
      </c>
    </row>
    <row r="133" spans="1:16" ht="27.65" customHeight="1" thickBot="1" x14ac:dyDescent="0.4">
      <c r="A133" s="3">
        <v>46262.375</v>
      </c>
      <c r="B133" s="1" t="s">
        <v>81</v>
      </c>
      <c r="C133" s="1" t="s">
        <v>7</v>
      </c>
      <c r="D133" s="4">
        <v>2</v>
      </c>
      <c r="E133" s="4">
        <v>4360</v>
      </c>
      <c r="F133" s="4">
        <v>9.8319772269999994</v>
      </c>
      <c r="G133" s="2" t="s">
        <v>82</v>
      </c>
      <c r="H133" s="5">
        <v>3969.7</v>
      </c>
      <c r="I133" s="1" t="s">
        <v>8</v>
      </c>
      <c r="J133" s="17" t="s">
        <v>117</v>
      </c>
      <c r="K133" s="17" t="s">
        <v>183</v>
      </c>
      <c r="L133" s="17">
        <v>8420</v>
      </c>
      <c r="M133" s="17">
        <f>ABS((D133*E133)-L133)</f>
        <v>300</v>
      </c>
      <c r="N133" s="10" t="str">
        <f t="shared" si="7"/>
        <v>Unique</v>
      </c>
    </row>
    <row r="134" spans="1:16" ht="27.65" customHeight="1" thickBot="1" x14ac:dyDescent="0.4">
      <c r="A134" s="8" t="s">
        <v>61</v>
      </c>
      <c r="B134" s="8" t="s">
        <v>21</v>
      </c>
      <c r="C134" s="8" t="s">
        <v>7</v>
      </c>
      <c r="D134" s="8">
        <v>11</v>
      </c>
      <c r="E134" s="12">
        <v>749</v>
      </c>
      <c r="F134" s="4">
        <v>9.9772410249999997</v>
      </c>
      <c r="G134" s="2" t="s">
        <v>75</v>
      </c>
      <c r="H134" s="5">
        <v>681.05</v>
      </c>
      <c r="I134" s="1" t="s">
        <v>8</v>
      </c>
      <c r="J134" s="32" t="s">
        <v>190</v>
      </c>
      <c r="N134" s="10" t="str">
        <f t="shared" si="7"/>
        <v>Unique</v>
      </c>
    </row>
    <row r="135" spans="1:16" ht="40.75" customHeight="1" thickBot="1" x14ac:dyDescent="0.4">
      <c r="A135" s="46">
        <v>46293.375</v>
      </c>
      <c r="B135" s="2" t="s">
        <v>65</v>
      </c>
      <c r="C135" s="2" t="s">
        <v>7</v>
      </c>
      <c r="D135" s="5">
        <v>10</v>
      </c>
      <c r="E135" s="5">
        <v>1166</v>
      </c>
      <c r="F135" s="4">
        <v>10.041525099999999</v>
      </c>
      <c r="G135" s="2" t="s">
        <v>66</v>
      </c>
      <c r="H135" s="5">
        <v>1059.5999999999999</v>
      </c>
      <c r="I135" s="1" t="s">
        <v>8</v>
      </c>
      <c r="J135" s="17" t="s">
        <v>116</v>
      </c>
      <c r="K135" s="17" t="s">
        <v>291</v>
      </c>
      <c r="L135" s="17">
        <v>11360</v>
      </c>
      <c r="M135" s="17">
        <f>ABS((D135*E135)-L135)</f>
        <v>300</v>
      </c>
      <c r="N135" s="10" t="str">
        <f t="shared" si="7"/>
        <v>Unique</v>
      </c>
    </row>
    <row r="136" spans="1:16" ht="40.75" customHeight="1" thickBot="1" x14ac:dyDescent="0.4">
      <c r="A136" s="53">
        <v>46302</v>
      </c>
      <c r="B136" s="1" t="s">
        <v>22</v>
      </c>
      <c r="C136" s="1" t="s">
        <v>7</v>
      </c>
      <c r="D136" s="4">
        <v>15</v>
      </c>
      <c r="E136" s="4">
        <v>421</v>
      </c>
      <c r="F136" s="4">
        <v>10.06535948</v>
      </c>
      <c r="G136" s="2" t="s">
        <v>72</v>
      </c>
      <c r="H136" s="5">
        <v>382.5</v>
      </c>
      <c r="I136" s="1" t="s">
        <v>8</v>
      </c>
      <c r="J136" s="49" t="s">
        <v>116</v>
      </c>
      <c r="K136" s="16"/>
      <c r="L136" s="16"/>
      <c r="M136" s="16"/>
      <c r="N136" t="str">
        <f t="shared" si="7"/>
        <v>Unique</v>
      </c>
      <c r="O136"/>
    </row>
    <row r="137" spans="1:16" s="27" customFormat="1" ht="40.75" customHeight="1" thickBot="1" x14ac:dyDescent="0.4">
      <c r="A137" s="46">
        <v>46289.390277777777</v>
      </c>
      <c r="B137" s="2" t="s">
        <v>58</v>
      </c>
      <c r="C137" s="2" t="s">
        <v>7</v>
      </c>
      <c r="D137" s="5">
        <v>10</v>
      </c>
      <c r="E137" s="5">
        <v>1054</v>
      </c>
      <c r="F137" s="4">
        <v>10.135841170000001</v>
      </c>
      <c r="G137" s="2" t="s">
        <v>59</v>
      </c>
      <c r="H137" s="5">
        <v>957</v>
      </c>
      <c r="I137" s="1" t="s">
        <v>8</v>
      </c>
      <c r="J137" s="17" t="s">
        <v>117</v>
      </c>
      <c r="K137" s="17" t="s">
        <v>284</v>
      </c>
      <c r="L137" s="17">
        <v>9886</v>
      </c>
      <c r="M137" s="17">
        <f>ABS((D137*E137)-L137)</f>
        <v>654</v>
      </c>
      <c r="N137" s="10" t="str">
        <f t="shared" si="7"/>
        <v>Unique</v>
      </c>
      <c r="O137" s="10"/>
      <c r="P137" s="10"/>
    </row>
    <row r="138" spans="1:16" ht="40.75" customHeight="1" thickBot="1" x14ac:dyDescent="0.4">
      <c r="A138" s="3">
        <v>46266.642361111109</v>
      </c>
      <c r="B138" s="1" t="s">
        <v>14</v>
      </c>
      <c r="C138" s="1" t="s">
        <v>7</v>
      </c>
      <c r="D138" s="4">
        <v>100</v>
      </c>
      <c r="E138" s="4">
        <v>348</v>
      </c>
      <c r="F138" s="4">
        <v>10.42360781</v>
      </c>
      <c r="G138" s="2" t="s">
        <v>44</v>
      </c>
      <c r="H138" s="5">
        <v>315.14999999999998</v>
      </c>
      <c r="I138" s="1" t="s">
        <v>8</v>
      </c>
      <c r="J138" s="17" t="s">
        <v>116</v>
      </c>
      <c r="K138" s="17" t="s">
        <v>214</v>
      </c>
      <c r="L138" s="17">
        <v>33950</v>
      </c>
      <c r="M138" s="17">
        <f>ABS((D138*E138)-L138)</f>
        <v>850</v>
      </c>
      <c r="N138" s="10" t="str">
        <f t="shared" si="7"/>
        <v>Unique</v>
      </c>
    </row>
    <row r="139" spans="1:16" ht="40.75" customHeight="1" thickBot="1" x14ac:dyDescent="0.4">
      <c r="A139" s="3">
        <v>46260.375</v>
      </c>
      <c r="B139" s="1" t="s">
        <v>13</v>
      </c>
      <c r="C139" s="1" t="s">
        <v>7</v>
      </c>
      <c r="D139" s="4">
        <v>5</v>
      </c>
      <c r="E139" s="4">
        <v>1994</v>
      </c>
      <c r="F139" s="4">
        <v>10.593455349999999</v>
      </c>
      <c r="G139" s="2" t="s">
        <v>90</v>
      </c>
      <c r="H139" s="5">
        <v>1803</v>
      </c>
      <c r="I139" s="1" t="s">
        <v>8</v>
      </c>
      <c r="J139" s="17" t="s">
        <v>117</v>
      </c>
      <c r="K139" s="17" t="s">
        <v>169</v>
      </c>
      <c r="L139" s="17">
        <v>9320</v>
      </c>
      <c r="M139" s="17">
        <f>ABS((D139*E139)-L139)</f>
        <v>650</v>
      </c>
      <c r="N139" t="str">
        <f t="shared" si="7"/>
        <v>Unique</v>
      </c>
      <c r="P139" s="27"/>
    </row>
    <row r="140" spans="1:16" ht="27.65" customHeight="1" thickBot="1" x14ac:dyDescent="0.4">
      <c r="A140" s="8" t="s">
        <v>61</v>
      </c>
      <c r="B140" s="8" t="s">
        <v>9</v>
      </c>
      <c r="C140" s="8" t="s">
        <v>7</v>
      </c>
      <c r="D140" s="8">
        <v>40</v>
      </c>
      <c r="E140" s="8">
        <v>320.5</v>
      </c>
      <c r="F140" s="4">
        <v>10.68900017</v>
      </c>
      <c r="G140" s="2" t="s">
        <v>94</v>
      </c>
      <c r="H140" s="5">
        <v>289.55</v>
      </c>
      <c r="I140" s="1" t="s">
        <v>8</v>
      </c>
      <c r="J140" s="32"/>
      <c r="N140" s="10" t="str">
        <f t="shared" si="7"/>
        <v>Unique</v>
      </c>
    </row>
    <row r="141" spans="1:16" ht="40.75" customHeight="1" thickBot="1" x14ac:dyDescent="0.4">
      <c r="A141" s="3">
        <v>46261.375</v>
      </c>
      <c r="B141" s="1" t="s">
        <v>14</v>
      </c>
      <c r="C141" s="1" t="s">
        <v>7</v>
      </c>
      <c r="D141" s="4">
        <v>50</v>
      </c>
      <c r="E141" s="4">
        <v>349</v>
      </c>
      <c r="F141" s="4">
        <v>10.740917019999999</v>
      </c>
      <c r="G141" s="2" t="s">
        <v>44</v>
      </c>
      <c r="H141" s="5">
        <v>315.14999999999998</v>
      </c>
      <c r="I141" s="1" t="s">
        <v>8</v>
      </c>
      <c r="J141" s="17" t="s">
        <v>116</v>
      </c>
      <c r="K141" s="17" t="s">
        <v>178</v>
      </c>
      <c r="L141" s="17">
        <v>17150</v>
      </c>
      <c r="M141" s="17">
        <f>ABS((D141*E141)-L141)</f>
        <v>300</v>
      </c>
      <c r="N141" s="10" t="str">
        <f t="shared" si="7"/>
        <v>Unique</v>
      </c>
    </row>
    <row r="142" spans="1:16" s="27" customFormat="1" ht="40.75" customHeight="1" thickBot="1" x14ac:dyDescent="0.4">
      <c r="A142" s="11">
        <v>46252.645138888889</v>
      </c>
      <c r="B142" s="8" t="s">
        <v>67</v>
      </c>
      <c r="C142" s="8" t="s">
        <v>7</v>
      </c>
      <c r="D142" s="8">
        <v>20</v>
      </c>
      <c r="E142" s="8">
        <v>424</v>
      </c>
      <c r="F142" s="4">
        <v>10.893160719999999</v>
      </c>
      <c r="G142" s="2" t="s">
        <v>68</v>
      </c>
      <c r="H142" s="5">
        <v>382.35</v>
      </c>
      <c r="I142" s="1" t="s">
        <v>8</v>
      </c>
      <c r="J142" s="32"/>
      <c r="K142" s="17"/>
      <c r="L142" s="17"/>
      <c r="M142" s="17"/>
      <c r="N142" s="10" t="str">
        <f t="shared" si="7"/>
        <v>Unique</v>
      </c>
      <c r="O142" s="36" t="s">
        <v>237</v>
      </c>
      <c r="P142"/>
    </row>
    <row r="143" spans="1:16" ht="40.75" customHeight="1" thickBot="1" x14ac:dyDescent="0.4">
      <c r="A143" s="3">
        <v>46266.375</v>
      </c>
      <c r="B143" s="1" t="s">
        <v>62</v>
      </c>
      <c r="C143" s="1" t="s">
        <v>7</v>
      </c>
      <c r="D143" s="4">
        <v>10</v>
      </c>
      <c r="E143" s="4">
        <v>1060</v>
      </c>
      <c r="F143" s="4">
        <v>11.006388100000001</v>
      </c>
      <c r="G143" s="2" t="s">
        <v>63</v>
      </c>
      <c r="H143" s="5">
        <v>954.9</v>
      </c>
      <c r="I143" s="1" t="s">
        <v>8</v>
      </c>
      <c r="J143" s="17" t="s">
        <v>116</v>
      </c>
      <c r="K143" s="17" t="s">
        <v>211</v>
      </c>
      <c r="L143" s="17">
        <v>10300</v>
      </c>
      <c r="M143" s="17">
        <f>ABS((D143*E143)-L143)</f>
        <v>300</v>
      </c>
      <c r="N143" s="10" t="str">
        <f t="shared" si="7"/>
        <v>Unique</v>
      </c>
      <c r="P143" s="27"/>
    </row>
    <row r="144" spans="1:16" ht="40.75" customHeight="1" thickBot="1" x14ac:dyDescent="0.4">
      <c r="A144" s="3">
        <v>46261.375694444447</v>
      </c>
      <c r="B144" s="1" t="s">
        <v>50</v>
      </c>
      <c r="C144" s="1" t="s">
        <v>7</v>
      </c>
      <c r="D144" s="4">
        <v>10</v>
      </c>
      <c r="E144" s="4">
        <v>977</v>
      </c>
      <c r="F144" s="4">
        <v>11.085844229999999</v>
      </c>
      <c r="G144" s="2" t="s">
        <v>51</v>
      </c>
      <c r="H144" s="5">
        <v>879.5</v>
      </c>
      <c r="I144" s="1" t="s">
        <v>8</v>
      </c>
      <c r="J144" s="17" t="s">
        <v>116</v>
      </c>
      <c r="K144" s="17" t="s">
        <v>172</v>
      </c>
      <c r="L144" s="17">
        <v>9470</v>
      </c>
      <c r="M144" s="17">
        <f>ABS((D144*E144)-L144)</f>
        <v>300</v>
      </c>
      <c r="N144" s="10" t="str">
        <f t="shared" si="7"/>
        <v>Unique</v>
      </c>
    </row>
    <row r="145" spans="1:16" ht="40.75" customHeight="1" thickBot="1" x14ac:dyDescent="0.4">
      <c r="A145" s="38">
        <v>46273.375</v>
      </c>
      <c r="B145" s="39" t="s">
        <v>48</v>
      </c>
      <c r="C145" s="39" t="s">
        <v>7</v>
      </c>
      <c r="D145" s="39">
        <v>5</v>
      </c>
      <c r="E145" s="39">
        <v>4047</v>
      </c>
      <c r="F145" s="4">
        <v>11.12026359</v>
      </c>
      <c r="G145" s="2" t="s">
        <v>49</v>
      </c>
      <c r="H145" s="5">
        <v>3642</v>
      </c>
      <c r="I145" s="1" t="s">
        <v>8</v>
      </c>
      <c r="J145" s="25" t="s">
        <v>116</v>
      </c>
      <c r="K145" s="25" t="s">
        <v>248</v>
      </c>
      <c r="L145" s="25">
        <v>19730.5</v>
      </c>
      <c r="M145" s="25">
        <f>ABS((D145*E145)-L145)</f>
        <v>504.5</v>
      </c>
      <c r="N145" s="27" t="str">
        <f t="shared" si="7"/>
        <v>Duplicate</v>
      </c>
      <c r="O145" s="36" t="s">
        <v>237</v>
      </c>
      <c r="P145" s="27"/>
    </row>
    <row r="146" spans="1:16" ht="40.75" customHeight="1" thickBot="1" x14ac:dyDescent="0.4">
      <c r="A146" s="28">
        <v>46274.375</v>
      </c>
      <c r="B146" s="29" t="s">
        <v>48</v>
      </c>
      <c r="C146" s="29" t="s">
        <v>7</v>
      </c>
      <c r="D146" s="30">
        <v>5</v>
      </c>
      <c r="E146" s="30">
        <v>4047</v>
      </c>
      <c r="F146" s="4">
        <v>11.12026359</v>
      </c>
      <c r="G146" s="2" t="s">
        <v>49</v>
      </c>
      <c r="H146" s="5">
        <v>3642</v>
      </c>
      <c r="I146" s="1" t="s">
        <v>8</v>
      </c>
      <c r="J146" s="25" t="s">
        <v>116</v>
      </c>
      <c r="K146" s="25" t="s">
        <v>253</v>
      </c>
      <c r="L146" s="25">
        <v>19690</v>
      </c>
      <c r="M146" s="25">
        <f>ABS((D146*E146)-L146)</f>
        <v>545</v>
      </c>
      <c r="N146" s="27" t="str">
        <f t="shared" si="7"/>
        <v>Duplicate</v>
      </c>
      <c r="O146" s="36" t="s">
        <v>237</v>
      </c>
      <c r="P146" s="27"/>
    </row>
    <row r="147" spans="1:16" ht="40.75" customHeight="1" thickBot="1" x14ac:dyDescent="0.4">
      <c r="A147" s="8" t="s">
        <v>61</v>
      </c>
      <c r="B147" s="8" t="s">
        <v>73</v>
      </c>
      <c r="C147" s="8" t="s">
        <v>7</v>
      </c>
      <c r="D147" s="8">
        <v>1</v>
      </c>
      <c r="E147" s="8">
        <v>3710</v>
      </c>
      <c r="F147" s="4">
        <v>11.14439784</v>
      </c>
      <c r="G147" s="2" t="s">
        <v>74</v>
      </c>
      <c r="H147" s="5">
        <v>3338</v>
      </c>
      <c r="I147" s="1" t="s">
        <v>8</v>
      </c>
      <c r="J147" s="32" t="s">
        <v>117</v>
      </c>
      <c r="N147" s="10" t="str">
        <f t="shared" si="7"/>
        <v>Unique</v>
      </c>
    </row>
    <row r="148" spans="1:16" ht="40.75" customHeight="1" thickBot="1" x14ac:dyDescent="0.4">
      <c r="A148" s="3">
        <v>46266.375694444447</v>
      </c>
      <c r="B148" s="1" t="s">
        <v>120</v>
      </c>
      <c r="C148" s="1" t="s">
        <v>7</v>
      </c>
      <c r="D148" s="4">
        <v>25</v>
      </c>
      <c r="E148" s="4">
        <v>772</v>
      </c>
      <c r="F148" s="4">
        <v>11.23919308</v>
      </c>
      <c r="G148" s="2" t="s">
        <v>121</v>
      </c>
      <c r="H148" s="5">
        <v>694</v>
      </c>
      <c r="I148" s="1" t="s">
        <v>8</v>
      </c>
      <c r="J148" s="17" t="s">
        <v>116</v>
      </c>
      <c r="K148" s="17" t="s">
        <v>208</v>
      </c>
      <c r="L148" s="17">
        <v>18800</v>
      </c>
      <c r="M148" s="17">
        <f>ABS((D148*E148)-L148)</f>
        <v>500</v>
      </c>
      <c r="N148" s="10" t="str">
        <f t="shared" si="7"/>
        <v>Unique</v>
      </c>
      <c r="O148" s="37" t="s">
        <v>237</v>
      </c>
    </row>
    <row r="149" spans="1:16" ht="27.65" customHeight="1" thickBot="1" x14ac:dyDescent="0.4">
      <c r="A149" s="28">
        <v>46267.425694444442</v>
      </c>
      <c r="B149" s="29" t="s">
        <v>34</v>
      </c>
      <c r="C149" s="29" t="s">
        <v>7</v>
      </c>
      <c r="D149" s="30">
        <v>20</v>
      </c>
      <c r="E149" s="30">
        <v>219.5</v>
      </c>
      <c r="F149" s="4">
        <v>11.489232019999999</v>
      </c>
      <c r="G149" s="2" t="s">
        <v>41</v>
      </c>
      <c r="H149" s="5">
        <v>196.88</v>
      </c>
      <c r="I149" s="1" t="s">
        <v>8</v>
      </c>
      <c r="J149" s="25" t="s">
        <v>117</v>
      </c>
      <c r="K149" s="25" t="s">
        <v>217</v>
      </c>
      <c r="L149" s="25">
        <v>4120</v>
      </c>
      <c r="M149" s="25">
        <f>ABS((D149*E149)-L149)</f>
        <v>270</v>
      </c>
      <c r="N149" s="27" t="str">
        <f t="shared" si="7"/>
        <v>Unique</v>
      </c>
      <c r="O149" s="37" t="s">
        <v>237</v>
      </c>
      <c r="P149" s="27"/>
    </row>
    <row r="150" spans="1:16" ht="27.65" customHeight="1" thickBot="1" x14ac:dyDescent="0.4">
      <c r="A150" s="28">
        <v>46280.593055555553</v>
      </c>
      <c r="B150" s="29" t="s">
        <v>34</v>
      </c>
      <c r="C150" s="29" t="s">
        <v>7</v>
      </c>
      <c r="D150" s="30">
        <v>10</v>
      </c>
      <c r="E150" s="30">
        <v>219.5</v>
      </c>
      <c r="F150" s="4">
        <v>11.489232019999999</v>
      </c>
      <c r="G150" s="2" t="s">
        <v>41</v>
      </c>
      <c r="H150" s="5">
        <v>196.88</v>
      </c>
      <c r="I150" s="1" t="s">
        <v>8</v>
      </c>
      <c r="J150" s="25" t="s">
        <v>117</v>
      </c>
      <c r="K150" s="25" t="s">
        <v>268</v>
      </c>
      <c r="L150" s="25">
        <v>2006.3999999999999</v>
      </c>
      <c r="M150" s="25">
        <f>ABS((D150*E150)-L150)</f>
        <v>188.60000000000014</v>
      </c>
      <c r="N150" s="27" t="str">
        <f t="shared" si="7"/>
        <v>Unique</v>
      </c>
      <c r="O150" s="37" t="s">
        <v>237</v>
      </c>
      <c r="P150" s="27"/>
    </row>
    <row r="151" spans="1:16" ht="40.75" customHeight="1" thickBot="1" x14ac:dyDescent="0.4">
      <c r="A151" s="3">
        <v>46274.375</v>
      </c>
      <c r="B151" s="1" t="s">
        <v>52</v>
      </c>
      <c r="C151" s="1" t="s">
        <v>7</v>
      </c>
      <c r="D151" s="4">
        <v>2</v>
      </c>
      <c r="E151" s="4">
        <v>2563</v>
      </c>
      <c r="F151" s="4">
        <v>11.58518003</v>
      </c>
      <c r="G151" s="2" t="s">
        <v>53</v>
      </c>
      <c r="H151" s="5">
        <v>2296.9</v>
      </c>
      <c r="I151" s="1" t="s">
        <v>8</v>
      </c>
      <c r="J151" s="17" t="s">
        <v>117</v>
      </c>
      <c r="K151" s="17" t="s">
        <v>254</v>
      </c>
      <c r="L151" s="17">
        <v>4852</v>
      </c>
      <c r="M151" s="17">
        <f>ABS((D151*E151)-L151)</f>
        <v>274</v>
      </c>
      <c r="N151" s="10" t="str">
        <f t="shared" si="7"/>
        <v>Unique</v>
      </c>
    </row>
    <row r="152" spans="1:16" ht="40.75" customHeight="1" thickBot="1" x14ac:dyDescent="0.4">
      <c r="A152" s="8" t="s">
        <v>61</v>
      </c>
      <c r="B152" s="8" t="s">
        <v>137</v>
      </c>
      <c r="C152" s="8" t="s">
        <v>7</v>
      </c>
      <c r="D152" s="8">
        <v>35</v>
      </c>
      <c r="E152" s="13">
        <v>494</v>
      </c>
      <c r="F152" s="4">
        <v>11.60058737</v>
      </c>
      <c r="G152" s="2" t="s">
        <v>138</v>
      </c>
      <c r="H152" s="5">
        <v>442.65</v>
      </c>
      <c r="I152" s="1" t="s">
        <v>8</v>
      </c>
      <c r="J152" s="32"/>
      <c r="N152" s="10" t="str">
        <f t="shared" si="7"/>
        <v>Unique</v>
      </c>
    </row>
    <row r="153" spans="1:16" ht="40.75" customHeight="1" thickBot="1" x14ac:dyDescent="0.4">
      <c r="A153" s="11">
        <v>46252.6875</v>
      </c>
      <c r="B153" s="8" t="s">
        <v>13</v>
      </c>
      <c r="C153" s="8" t="s">
        <v>7</v>
      </c>
      <c r="D153" s="8">
        <v>5</v>
      </c>
      <c r="E153" s="8">
        <v>2014</v>
      </c>
      <c r="F153" s="4">
        <v>11.70271769</v>
      </c>
      <c r="G153" s="2" t="s">
        <v>90</v>
      </c>
      <c r="H153" s="5">
        <v>1803</v>
      </c>
      <c r="I153" s="1" t="s">
        <v>8</v>
      </c>
      <c r="J153" s="32" t="s">
        <v>117</v>
      </c>
      <c r="N153" s="10" t="str">
        <f t="shared" si="7"/>
        <v>Unique</v>
      </c>
      <c r="O153" s="27"/>
    </row>
    <row r="154" spans="1:16" ht="27.65" customHeight="1" thickBot="1" x14ac:dyDescent="0.4">
      <c r="A154" s="11">
        <v>46252.635416666664</v>
      </c>
      <c r="B154" s="8" t="s">
        <v>122</v>
      </c>
      <c r="C154" s="8" t="s">
        <v>7</v>
      </c>
      <c r="D154" s="8">
        <v>200</v>
      </c>
      <c r="E154" s="8">
        <v>89.3</v>
      </c>
      <c r="F154" s="4">
        <v>11.974921630000001</v>
      </c>
      <c r="G154" s="2" t="s">
        <v>123</v>
      </c>
      <c r="H154" s="5">
        <v>79.75</v>
      </c>
      <c r="I154" s="1" t="s">
        <v>8</v>
      </c>
      <c r="J154" s="17" t="s">
        <v>117</v>
      </c>
      <c r="N154" s="10" t="str">
        <f t="shared" si="7"/>
        <v>Unique</v>
      </c>
      <c r="O154" s="36" t="s">
        <v>237</v>
      </c>
    </row>
    <row r="155" spans="1:16" ht="27.65" customHeight="1" thickBot="1" x14ac:dyDescent="0.4">
      <c r="A155" s="3">
        <v>46272.375694444447</v>
      </c>
      <c r="B155" s="1" t="s">
        <v>24</v>
      </c>
      <c r="C155" s="1" t="s">
        <v>7</v>
      </c>
      <c r="D155" s="4">
        <v>40</v>
      </c>
      <c r="E155" s="4">
        <v>448</v>
      </c>
      <c r="F155" s="4">
        <v>12</v>
      </c>
      <c r="G155" s="2" t="s">
        <v>55</v>
      </c>
      <c r="H155" s="5">
        <v>400</v>
      </c>
      <c r="I155" s="1" t="s">
        <v>8</v>
      </c>
      <c r="J155" s="17" t="s">
        <v>116</v>
      </c>
      <c r="K155" s="17" t="s">
        <v>242</v>
      </c>
      <c r="L155" s="17">
        <v>17040</v>
      </c>
      <c r="M155" s="17">
        <f>ABS((D155*E155)-L155)</f>
        <v>880</v>
      </c>
      <c r="N155" s="10" t="str">
        <f t="shared" si="7"/>
        <v>Unique</v>
      </c>
      <c r="O155" s="36" t="s">
        <v>237</v>
      </c>
    </row>
    <row r="156" spans="1:16" ht="27.65" customHeight="1" thickBot="1" x14ac:dyDescent="0.4">
      <c r="A156" s="11">
        <v>46253.375</v>
      </c>
      <c r="B156" s="8" t="s">
        <v>14</v>
      </c>
      <c r="C156" s="8" t="s">
        <v>7</v>
      </c>
      <c r="D156" s="8">
        <v>50</v>
      </c>
      <c r="E156" s="8">
        <v>353</v>
      </c>
      <c r="F156" s="4">
        <v>12.01015389</v>
      </c>
      <c r="G156" s="2" t="s">
        <v>44</v>
      </c>
      <c r="H156" s="5">
        <v>315.14999999999998</v>
      </c>
      <c r="I156" s="1" t="s">
        <v>8</v>
      </c>
      <c r="J156" s="32" t="s">
        <v>117</v>
      </c>
      <c r="K156" s="17" t="s">
        <v>143</v>
      </c>
      <c r="N156" s="10" t="str">
        <f t="shared" si="7"/>
        <v>Unique</v>
      </c>
    </row>
    <row r="157" spans="1:16" ht="40.75" customHeight="1" thickBot="1" x14ac:dyDescent="0.4">
      <c r="A157" s="3">
        <v>46262.375</v>
      </c>
      <c r="B157" s="1" t="s">
        <v>62</v>
      </c>
      <c r="C157" s="1" t="s">
        <v>7</v>
      </c>
      <c r="D157" s="4">
        <v>10</v>
      </c>
      <c r="E157" s="4">
        <v>1071</v>
      </c>
      <c r="F157" s="4">
        <v>12.15834119</v>
      </c>
      <c r="G157" s="2" t="s">
        <v>63</v>
      </c>
      <c r="H157" s="5">
        <v>954.9</v>
      </c>
      <c r="I157" s="1" t="s">
        <v>8</v>
      </c>
      <c r="J157" s="17" t="s">
        <v>117</v>
      </c>
      <c r="K157" s="17" t="s">
        <v>189</v>
      </c>
      <c r="L157" s="17">
        <v>10410</v>
      </c>
      <c r="M157" s="17">
        <f>ABS((D157*E157)-L157)</f>
        <v>300</v>
      </c>
      <c r="N157" s="10" t="str">
        <f t="shared" si="7"/>
        <v>Unique</v>
      </c>
      <c r="O157" s="27"/>
    </row>
    <row r="158" spans="1:16" ht="40.75" customHeight="1" thickBot="1" x14ac:dyDescent="0.4">
      <c r="A158" s="46">
        <v>46289.375694444447</v>
      </c>
      <c r="B158" s="2" t="s">
        <v>23</v>
      </c>
      <c r="C158" s="2" t="s">
        <v>7</v>
      </c>
      <c r="D158" s="5">
        <v>50</v>
      </c>
      <c r="E158" s="5">
        <v>211</v>
      </c>
      <c r="F158" s="4">
        <v>12.23404255</v>
      </c>
      <c r="G158" s="2" t="s">
        <v>69</v>
      </c>
      <c r="H158" s="5">
        <v>188</v>
      </c>
      <c r="I158" s="1" t="s">
        <v>8</v>
      </c>
      <c r="J158" s="17" t="s">
        <v>116</v>
      </c>
      <c r="K158" s="17" t="s">
        <v>285</v>
      </c>
      <c r="L158" s="17">
        <v>10250</v>
      </c>
      <c r="M158" s="17">
        <f>ABS((D158*E158)-L158)</f>
        <v>300</v>
      </c>
      <c r="N158" s="10" t="str">
        <f t="shared" si="7"/>
        <v>Unique</v>
      </c>
    </row>
    <row r="159" spans="1:16" ht="27.65" customHeight="1" thickBot="1" x14ac:dyDescent="0.4">
      <c r="A159" s="3">
        <v>46265.375694444447</v>
      </c>
      <c r="B159" s="1" t="s">
        <v>48</v>
      </c>
      <c r="C159" s="1" t="s">
        <v>7</v>
      </c>
      <c r="D159" s="4">
        <v>5</v>
      </c>
      <c r="E159" s="4">
        <v>4092</v>
      </c>
      <c r="F159" s="4">
        <v>12.35584843</v>
      </c>
      <c r="G159" s="2" t="s">
        <v>49</v>
      </c>
      <c r="H159" s="5">
        <v>3642</v>
      </c>
      <c r="I159" s="1" t="s">
        <v>8</v>
      </c>
      <c r="J159" s="17" t="s">
        <v>117</v>
      </c>
      <c r="K159" s="17" t="s">
        <v>203</v>
      </c>
      <c r="L159" s="17">
        <v>20010</v>
      </c>
      <c r="M159" s="17">
        <f>ABS((D159*E159)-L159)</f>
        <v>450</v>
      </c>
      <c r="N159" t="str">
        <f t="shared" si="7"/>
        <v>Unique</v>
      </c>
      <c r="P159"/>
    </row>
    <row r="160" spans="1:16" ht="40.75" customHeight="1" thickBot="1" x14ac:dyDescent="0.4">
      <c r="A160" s="8" t="s">
        <v>61</v>
      </c>
      <c r="B160" s="8" t="s">
        <v>56</v>
      </c>
      <c r="C160" s="8" t="s">
        <v>7</v>
      </c>
      <c r="D160" s="8">
        <v>3</v>
      </c>
      <c r="E160" s="12">
        <v>3341</v>
      </c>
      <c r="F160" s="4">
        <v>12.45371929</v>
      </c>
      <c r="G160" s="2" t="s">
        <v>57</v>
      </c>
      <c r="H160" s="5">
        <v>2971</v>
      </c>
      <c r="I160" s="1" t="s">
        <v>8</v>
      </c>
      <c r="J160" s="32"/>
      <c r="N160" s="10" t="str">
        <f t="shared" si="7"/>
        <v>Unique</v>
      </c>
      <c r="P160" s="27"/>
    </row>
    <row r="161" spans="1:16" s="27" customFormat="1" ht="40.75" customHeight="1" thickBot="1" x14ac:dyDescent="0.4">
      <c r="A161" s="3">
        <v>46290.385416666664</v>
      </c>
      <c r="B161" s="2" t="s">
        <v>278</v>
      </c>
      <c r="C161" s="2" t="s">
        <v>7</v>
      </c>
      <c r="D161" s="5">
        <v>2</v>
      </c>
      <c r="E161" s="5">
        <v>1885.5</v>
      </c>
      <c r="F161" s="4">
        <v>12.547006509999999</v>
      </c>
      <c r="G161" s="2" t="s">
        <v>280</v>
      </c>
      <c r="H161" s="5">
        <v>1675.3</v>
      </c>
      <c r="I161" s="1" t="s">
        <v>8</v>
      </c>
      <c r="J161" s="17" t="s">
        <v>117</v>
      </c>
      <c r="K161" s="17" t="s">
        <v>287</v>
      </c>
      <c r="L161" s="17">
        <v>3521</v>
      </c>
      <c r="M161" s="17">
        <f t="shared" ref="M161:M167" si="8">ABS((D161*E161)-L161)</f>
        <v>250</v>
      </c>
      <c r="N161" s="10" t="str">
        <f t="shared" si="7"/>
        <v>Unique</v>
      </c>
      <c r="O161" s="10"/>
      <c r="P161" s="10"/>
    </row>
    <row r="162" spans="1:16" ht="40.75" customHeight="1" thickBot="1" x14ac:dyDescent="0.4">
      <c r="A162" s="3">
        <v>46274.375</v>
      </c>
      <c r="B162" s="1" t="s">
        <v>65</v>
      </c>
      <c r="C162" s="1" t="s">
        <v>7</v>
      </c>
      <c r="D162" s="4">
        <v>10</v>
      </c>
      <c r="E162" s="4">
        <v>1196</v>
      </c>
      <c r="F162" s="4">
        <v>12.87278218</v>
      </c>
      <c r="G162" s="2" t="s">
        <v>66</v>
      </c>
      <c r="H162" s="5">
        <v>1059.5999999999999</v>
      </c>
      <c r="I162" s="1" t="s">
        <v>8</v>
      </c>
      <c r="J162" s="17" t="s">
        <v>116</v>
      </c>
      <c r="K162" s="17" t="s">
        <v>251</v>
      </c>
      <c r="L162" s="17">
        <v>11660</v>
      </c>
      <c r="M162" s="17">
        <f t="shared" si="8"/>
        <v>300</v>
      </c>
      <c r="N162" s="10" t="str">
        <f t="shared" si="7"/>
        <v>Unique</v>
      </c>
      <c r="O162" s="36" t="s">
        <v>237</v>
      </c>
    </row>
    <row r="163" spans="1:16" ht="40.75" customHeight="1" thickBot="1" x14ac:dyDescent="0.4">
      <c r="A163" s="3">
        <v>46260.375694444447</v>
      </c>
      <c r="B163" s="1" t="s">
        <v>48</v>
      </c>
      <c r="C163" s="1" t="s">
        <v>7</v>
      </c>
      <c r="D163" s="4">
        <v>5</v>
      </c>
      <c r="E163" s="4">
        <v>4112</v>
      </c>
      <c r="F163" s="4">
        <v>12.904997249999999</v>
      </c>
      <c r="G163" s="2" t="s">
        <v>49</v>
      </c>
      <c r="H163" s="5">
        <v>3642</v>
      </c>
      <c r="I163" s="1" t="s">
        <v>8</v>
      </c>
      <c r="J163" s="17" t="s">
        <v>117</v>
      </c>
      <c r="K163" s="17" t="s">
        <v>168</v>
      </c>
      <c r="L163" s="17">
        <v>20260</v>
      </c>
      <c r="M163" s="17">
        <f t="shared" si="8"/>
        <v>300</v>
      </c>
      <c r="N163" t="str">
        <f t="shared" si="7"/>
        <v>Unique</v>
      </c>
      <c r="O163"/>
      <c r="P163" s="27"/>
    </row>
    <row r="164" spans="1:16" ht="40.75" customHeight="1" thickBot="1" x14ac:dyDescent="0.4">
      <c r="A164" s="28">
        <v>46281.443055555559</v>
      </c>
      <c r="B164" s="29" t="s">
        <v>35</v>
      </c>
      <c r="C164" s="29" t="s">
        <v>7</v>
      </c>
      <c r="D164" s="30">
        <v>5</v>
      </c>
      <c r="E164" s="30">
        <v>1196</v>
      </c>
      <c r="F164" s="4">
        <v>13.11832025</v>
      </c>
      <c r="G164" s="2" t="s">
        <v>64</v>
      </c>
      <c r="H164" s="5">
        <v>1057.3</v>
      </c>
      <c r="I164" s="1" t="s">
        <v>8</v>
      </c>
      <c r="J164" s="25" t="s">
        <v>117</v>
      </c>
      <c r="K164" s="25" t="s">
        <v>273</v>
      </c>
      <c r="L164" s="25">
        <v>5585</v>
      </c>
      <c r="M164" s="25">
        <f t="shared" si="8"/>
        <v>395</v>
      </c>
      <c r="N164" s="27" t="str">
        <f t="shared" si="7"/>
        <v>Duplicate</v>
      </c>
      <c r="O164" s="36" t="s">
        <v>237</v>
      </c>
      <c r="P164" s="27"/>
    </row>
    <row r="165" spans="1:16" ht="40.75" customHeight="1" thickBot="1" x14ac:dyDescent="0.4">
      <c r="A165" s="28">
        <v>46281.388888888891</v>
      </c>
      <c r="B165" s="29" t="s">
        <v>35</v>
      </c>
      <c r="C165" s="29" t="s">
        <v>7</v>
      </c>
      <c r="D165" s="30">
        <v>5</v>
      </c>
      <c r="E165" s="30">
        <v>1196</v>
      </c>
      <c r="F165" s="4">
        <v>13.11832025</v>
      </c>
      <c r="G165" s="2" t="s">
        <v>64</v>
      </c>
      <c r="H165" s="5">
        <v>1057.3</v>
      </c>
      <c r="I165" s="1" t="s">
        <v>8</v>
      </c>
      <c r="J165" s="25" t="s">
        <v>117</v>
      </c>
      <c r="K165" s="25" t="s">
        <v>275</v>
      </c>
      <c r="L165" s="25">
        <v>5730</v>
      </c>
      <c r="M165" s="25">
        <f t="shared" si="8"/>
        <v>250</v>
      </c>
      <c r="N165" s="27" t="str">
        <f t="shared" si="7"/>
        <v>Duplicate</v>
      </c>
      <c r="O165" s="36" t="s">
        <v>237</v>
      </c>
      <c r="P165" s="27"/>
    </row>
    <row r="166" spans="1:16" ht="40.75" customHeight="1" thickBot="1" x14ac:dyDescent="0.4">
      <c r="A166" s="3">
        <v>46261.375</v>
      </c>
      <c r="B166" s="1" t="s">
        <v>62</v>
      </c>
      <c r="C166" s="1" t="s">
        <v>7</v>
      </c>
      <c r="D166" s="4">
        <v>10</v>
      </c>
      <c r="E166" s="4">
        <v>1081</v>
      </c>
      <c r="F166" s="4">
        <v>13.205571259999999</v>
      </c>
      <c r="G166" s="2" t="s">
        <v>63</v>
      </c>
      <c r="H166" s="5">
        <v>954.9</v>
      </c>
      <c r="I166" s="1" t="s">
        <v>8</v>
      </c>
      <c r="J166" s="17" t="s">
        <v>117</v>
      </c>
      <c r="K166" s="17" t="s">
        <v>179</v>
      </c>
      <c r="L166" s="17">
        <v>10510</v>
      </c>
      <c r="M166" s="17">
        <f t="shared" si="8"/>
        <v>300</v>
      </c>
      <c r="N166" s="10" t="str">
        <f t="shared" si="7"/>
        <v>Unique</v>
      </c>
    </row>
    <row r="167" spans="1:16" ht="27.65" customHeight="1" thickBot="1" x14ac:dyDescent="0.4">
      <c r="A167" s="3">
        <v>46266.509722222225</v>
      </c>
      <c r="B167" s="1" t="s">
        <v>11</v>
      </c>
      <c r="C167" s="1" t="s">
        <v>7</v>
      </c>
      <c r="D167" s="4">
        <v>20</v>
      </c>
      <c r="E167" s="4">
        <v>306</v>
      </c>
      <c r="F167" s="4">
        <v>13.20754717</v>
      </c>
      <c r="G167" s="2" t="s">
        <v>98</v>
      </c>
      <c r="H167" s="5">
        <v>270.3</v>
      </c>
      <c r="I167" s="1" t="s">
        <v>8</v>
      </c>
      <c r="J167" s="17" t="s">
        <v>117</v>
      </c>
      <c r="K167" s="17" t="s">
        <v>206</v>
      </c>
      <c r="L167" s="17">
        <v>5820</v>
      </c>
      <c r="M167" s="17">
        <f t="shared" si="8"/>
        <v>300</v>
      </c>
      <c r="N167" s="10" t="str">
        <f t="shared" si="7"/>
        <v>Unique</v>
      </c>
    </row>
    <row r="168" spans="1:16" ht="26.5" thickBot="1" x14ac:dyDescent="0.4">
      <c r="A168" s="11">
        <v>46252.688194444447</v>
      </c>
      <c r="B168" s="8" t="s">
        <v>14</v>
      </c>
      <c r="C168" s="8" t="s">
        <v>7</v>
      </c>
      <c r="D168" s="8">
        <v>50</v>
      </c>
      <c r="E168" s="8">
        <v>357</v>
      </c>
      <c r="F168" s="4">
        <v>13.279390769999999</v>
      </c>
      <c r="G168" s="2" t="s">
        <v>44</v>
      </c>
      <c r="H168" s="5">
        <v>315.14999999999998</v>
      </c>
      <c r="I168" s="1" t="s">
        <v>8</v>
      </c>
      <c r="J168" s="32"/>
      <c r="N168" s="10" t="str">
        <f t="shared" si="7"/>
        <v>Unique</v>
      </c>
      <c r="O168" s="27"/>
    </row>
    <row r="169" spans="1:16" s="27" customFormat="1" ht="40.75" customHeight="1" thickBot="1" x14ac:dyDescent="0.4">
      <c r="A169" s="11">
        <v>46252.635416666664</v>
      </c>
      <c r="B169" s="8" t="s">
        <v>50</v>
      </c>
      <c r="C169" s="8" t="s">
        <v>7</v>
      </c>
      <c r="D169" s="8">
        <v>10</v>
      </c>
      <c r="E169" s="8">
        <v>997</v>
      </c>
      <c r="F169" s="4">
        <v>13.359863560000001</v>
      </c>
      <c r="G169" s="2" t="s">
        <v>51</v>
      </c>
      <c r="H169" s="5">
        <v>879.5</v>
      </c>
      <c r="I169" s="1" t="s">
        <v>8</v>
      </c>
      <c r="J169" s="32" t="s">
        <v>116</v>
      </c>
      <c r="K169" s="17"/>
      <c r="L169" s="17"/>
      <c r="M169" s="17"/>
      <c r="N169" s="10" t="str">
        <f t="shared" si="7"/>
        <v>Unique</v>
      </c>
      <c r="O169" s="10"/>
      <c r="P169" s="10"/>
    </row>
    <row r="170" spans="1:16" ht="27.65" customHeight="1" thickBot="1" x14ac:dyDescent="0.4">
      <c r="A170" s="11">
        <v>46252.645138888889</v>
      </c>
      <c r="B170" s="8" t="s">
        <v>48</v>
      </c>
      <c r="C170" s="8" t="s">
        <v>7</v>
      </c>
      <c r="D170" s="8">
        <v>5</v>
      </c>
      <c r="E170" s="8">
        <v>4129</v>
      </c>
      <c r="F170" s="4">
        <v>13.371773749999999</v>
      </c>
      <c r="G170" s="2" t="s">
        <v>49</v>
      </c>
      <c r="H170" s="5">
        <v>3642</v>
      </c>
      <c r="I170" s="1" t="s">
        <v>8</v>
      </c>
      <c r="J170" s="32"/>
      <c r="N170" s="10" t="str">
        <f t="shared" si="7"/>
        <v>Unique</v>
      </c>
    </row>
    <row r="171" spans="1:16" ht="40.75" customHeight="1" thickBot="1" x14ac:dyDescent="0.4">
      <c r="A171" s="3">
        <v>46272.375694444447</v>
      </c>
      <c r="B171" s="1" t="s">
        <v>86</v>
      </c>
      <c r="C171" s="1" t="s">
        <v>7</v>
      </c>
      <c r="D171" s="4">
        <v>10</v>
      </c>
      <c r="E171" s="4">
        <v>1280</v>
      </c>
      <c r="F171" s="4">
        <v>13.37466785</v>
      </c>
      <c r="G171" s="2" t="s">
        <v>87</v>
      </c>
      <c r="H171" s="5">
        <v>1129</v>
      </c>
      <c r="I171" s="1" t="s">
        <v>8</v>
      </c>
      <c r="J171" s="17" t="s">
        <v>116</v>
      </c>
      <c r="K171" s="17" t="s">
        <v>243</v>
      </c>
      <c r="L171" s="17">
        <v>12510</v>
      </c>
      <c r="M171" s="17">
        <f>ABS((D171*E171)-L171)</f>
        <v>290</v>
      </c>
      <c r="N171" s="10" t="str">
        <f t="shared" si="7"/>
        <v>Unique</v>
      </c>
    </row>
    <row r="172" spans="1:16" ht="40.75" customHeight="1" thickBot="1" x14ac:dyDescent="0.4">
      <c r="A172" s="3">
        <v>46261.375</v>
      </c>
      <c r="B172" s="1" t="s">
        <v>14</v>
      </c>
      <c r="C172" s="1" t="s">
        <v>7</v>
      </c>
      <c r="D172" s="4">
        <v>100</v>
      </c>
      <c r="E172" s="4">
        <v>358</v>
      </c>
      <c r="F172" s="4">
        <v>13.59669998</v>
      </c>
      <c r="G172" s="2" t="s">
        <v>44</v>
      </c>
      <c r="H172" s="5">
        <v>315.14999999999998</v>
      </c>
      <c r="I172" s="1" t="s">
        <v>8</v>
      </c>
      <c r="J172" s="17" t="s">
        <v>116</v>
      </c>
      <c r="K172" s="17" t="s">
        <v>176</v>
      </c>
      <c r="L172" s="17">
        <v>34100</v>
      </c>
      <c r="M172" s="17">
        <f>ABS((D172*E172)-L172)</f>
        <v>1700</v>
      </c>
      <c r="N172" s="10" t="str">
        <f t="shared" si="7"/>
        <v>Unique</v>
      </c>
      <c r="O172" s="27"/>
    </row>
    <row r="173" spans="1:16" ht="40.75" customHeight="1" thickBot="1" x14ac:dyDescent="0.4">
      <c r="A173" s="3">
        <v>46267.375</v>
      </c>
      <c r="B173" s="1" t="s">
        <v>77</v>
      </c>
      <c r="C173" s="1" t="s">
        <v>7</v>
      </c>
      <c r="D173" s="4">
        <v>3</v>
      </c>
      <c r="E173" s="4">
        <v>1460</v>
      </c>
      <c r="F173" s="4">
        <v>13.70716511</v>
      </c>
      <c r="G173" s="2" t="s">
        <v>78</v>
      </c>
      <c r="H173" s="5">
        <v>1284</v>
      </c>
      <c r="I173" s="1" t="s">
        <v>8</v>
      </c>
      <c r="J173" s="17" t="s">
        <v>117</v>
      </c>
      <c r="K173" s="17" t="s">
        <v>221</v>
      </c>
      <c r="L173" s="17">
        <v>4080</v>
      </c>
      <c r="M173" s="17">
        <f>ABS((D173*E173)-L173)</f>
        <v>300</v>
      </c>
      <c r="N173" s="10" t="str">
        <f t="shared" si="7"/>
        <v>Unique</v>
      </c>
    </row>
    <row r="174" spans="1:16" ht="40.75" customHeight="1" thickBot="1" x14ac:dyDescent="0.4">
      <c r="A174" s="8" t="s">
        <v>61</v>
      </c>
      <c r="B174" s="8" t="s">
        <v>132</v>
      </c>
      <c r="C174" s="8" t="s">
        <v>7</v>
      </c>
      <c r="D174" s="8">
        <v>150</v>
      </c>
      <c r="E174" s="8">
        <v>123.4</v>
      </c>
      <c r="F174" s="4">
        <v>13.764174430000001</v>
      </c>
      <c r="G174" s="2" t="s">
        <v>133</v>
      </c>
      <c r="H174" s="5">
        <v>108.47</v>
      </c>
      <c r="I174" s="1" t="s">
        <v>8</v>
      </c>
      <c r="J174" s="32" t="s">
        <v>116</v>
      </c>
      <c r="N174" s="10" t="str">
        <f t="shared" si="7"/>
        <v>Unique</v>
      </c>
    </row>
    <row r="175" spans="1:16" ht="27.65" customHeight="1" thickBot="1" x14ac:dyDescent="0.4">
      <c r="A175" s="8" t="s">
        <v>61</v>
      </c>
      <c r="B175" s="8" t="s">
        <v>67</v>
      </c>
      <c r="C175" s="8" t="s">
        <v>7</v>
      </c>
      <c r="D175" s="8">
        <v>10</v>
      </c>
      <c r="E175" s="8">
        <v>435</v>
      </c>
      <c r="F175" s="4">
        <v>13.770105920000001</v>
      </c>
      <c r="G175" s="2" t="s">
        <v>68</v>
      </c>
      <c r="H175" s="5">
        <v>382.35</v>
      </c>
      <c r="I175" s="1" t="s">
        <v>8</v>
      </c>
      <c r="J175" s="32"/>
      <c r="N175" s="10" t="str">
        <f t="shared" si="7"/>
        <v>Unique</v>
      </c>
    </row>
    <row r="176" spans="1:16" ht="40.75" customHeight="1" thickBot="1" x14ac:dyDescent="0.4">
      <c r="A176" s="8" t="s">
        <v>61</v>
      </c>
      <c r="B176" s="8" t="s">
        <v>122</v>
      </c>
      <c r="C176" s="8" t="s">
        <v>7</v>
      </c>
      <c r="D176" s="8">
        <v>200</v>
      </c>
      <c r="E176" s="8">
        <v>90.75</v>
      </c>
      <c r="F176" s="4">
        <v>13.79310345</v>
      </c>
      <c r="G176" s="2" t="s">
        <v>123</v>
      </c>
      <c r="H176" s="5">
        <v>79.75</v>
      </c>
      <c r="I176" s="1" t="s">
        <v>8</v>
      </c>
      <c r="J176" s="32" t="s">
        <v>54</v>
      </c>
      <c r="N176" s="10" t="str">
        <f t="shared" si="7"/>
        <v>Unique</v>
      </c>
    </row>
    <row r="177" spans="1:16" ht="27.65" customHeight="1" thickBot="1" x14ac:dyDescent="0.4">
      <c r="A177" s="3">
        <v>46275.375</v>
      </c>
      <c r="B177" s="1" t="s">
        <v>23</v>
      </c>
      <c r="C177" s="1" t="s">
        <v>7</v>
      </c>
      <c r="D177" s="4">
        <v>50</v>
      </c>
      <c r="E177" s="4">
        <v>214</v>
      </c>
      <c r="F177" s="4">
        <v>13.829787230000001</v>
      </c>
      <c r="G177" s="2" t="s">
        <v>69</v>
      </c>
      <c r="H177" s="5">
        <v>188</v>
      </c>
      <c r="I177" s="1" t="s">
        <v>8</v>
      </c>
      <c r="J177" s="17" t="s">
        <v>116</v>
      </c>
      <c r="K177" s="17" t="s">
        <v>256</v>
      </c>
      <c r="L177" s="17">
        <v>10400</v>
      </c>
      <c r="M177" s="17">
        <f>ABS((D177*E177)-L177)</f>
        <v>300</v>
      </c>
      <c r="N177" s="10" t="str">
        <f t="shared" si="7"/>
        <v>Unique</v>
      </c>
    </row>
    <row r="178" spans="1:16" ht="27.65" customHeight="1" thickBot="1" x14ac:dyDescent="0.4">
      <c r="A178" s="3">
        <v>46281.416666666664</v>
      </c>
      <c r="B178" s="1" t="s">
        <v>272</v>
      </c>
      <c r="C178" s="1" t="s">
        <v>10</v>
      </c>
      <c r="D178" s="4">
        <v>10</v>
      </c>
      <c r="E178" s="4">
        <v>726</v>
      </c>
      <c r="F178" s="4">
        <v>-30.326295590000001</v>
      </c>
      <c r="G178" s="2" t="s">
        <v>277</v>
      </c>
      <c r="H178" s="5">
        <v>1042</v>
      </c>
      <c r="I178" s="1" t="s">
        <v>8</v>
      </c>
      <c r="J178" s="17" t="s">
        <v>40</v>
      </c>
      <c r="K178" s="17" t="s">
        <v>274</v>
      </c>
      <c r="L178" s="17">
        <v>17940</v>
      </c>
      <c r="M178" s="17">
        <f>ABS((D178*E178)-L178)</f>
        <v>10680</v>
      </c>
      <c r="N178" s="10" t="str">
        <f t="shared" si="7"/>
        <v>Unique</v>
      </c>
    </row>
    <row r="179" spans="1:16" ht="40.75" customHeight="1" thickBot="1" x14ac:dyDescent="0.4">
      <c r="A179" s="28">
        <v>46267.375</v>
      </c>
      <c r="B179" s="29" t="s">
        <v>35</v>
      </c>
      <c r="C179" s="29" t="s">
        <v>7</v>
      </c>
      <c r="D179" s="30">
        <v>5</v>
      </c>
      <c r="E179" s="30">
        <v>1206</v>
      </c>
      <c r="F179" s="4">
        <v>14.064125600000001</v>
      </c>
      <c r="G179" s="2" t="s">
        <v>64</v>
      </c>
      <c r="H179" s="5">
        <v>1057.3</v>
      </c>
      <c r="I179" s="1" t="s">
        <v>8</v>
      </c>
      <c r="J179" s="25" t="s">
        <v>117</v>
      </c>
      <c r="K179" s="25" t="s">
        <v>223</v>
      </c>
      <c r="L179" s="25">
        <v>5755</v>
      </c>
      <c r="M179" s="25">
        <f>ABS((D179*E179)-L179)</f>
        <v>275</v>
      </c>
      <c r="N179" s="27" t="str">
        <f t="shared" si="7"/>
        <v>Duplicate</v>
      </c>
    </row>
    <row r="180" spans="1:16" ht="27.65" customHeight="1" thickBot="1" x14ac:dyDescent="0.4">
      <c r="A180" s="28">
        <v>46267.375</v>
      </c>
      <c r="B180" s="29" t="s">
        <v>35</v>
      </c>
      <c r="C180" s="29" t="s">
        <v>7</v>
      </c>
      <c r="D180" s="30">
        <v>5</v>
      </c>
      <c r="E180" s="30">
        <v>1206</v>
      </c>
      <c r="F180" s="4">
        <v>14.064125600000001</v>
      </c>
      <c r="G180" s="2" t="s">
        <v>64</v>
      </c>
      <c r="H180" s="5">
        <v>1057.3</v>
      </c>
      <c r="I180" s="1" t="s">
        <v>8</v>
      </c>
      <c r="J180" s="25" t="s">
        <v>117</v>
      </c>
      <c r="K180" s="25" t="s">
        <v>227</v>
      </c>
      <c r="L180" s="25">
        <v>5805</v>
      </c>
      <c r="M180" s="25">
        <f>ABS((D180*E180)-L180)</f>
        <v>225</v>
      </c>
      <c r="N180" s="27" t="str">
        <f t="shared" si="7"/>
        <v>Duplicate</v>
      </c>
    </row>
    <row r="181" spans="1:16" ht="40.75" customHeight="1" thickBot="1" x14ac:dyDescent="0.4">
      <c r="A181" s="8" t="s">
        <v>61</v>
      </c>
      <c r="B181" s="8" t="s">
        <v>73</v>
      </c>
      <c r="C181" s="8" t="s">
        <v>7</v>
      </c>
      <c r="D181" s="8">
        <v>1</v>
      </c>
      <c r="E181" s="12">
        <v>3810</v>
      </c>
      <c r="F181" s="4">
        <v>14.14020371</v>
      </c>
      <c r="G181" s="2" t="s">
        <v>74</v>
      </c>
      <c r="H181" s="5">
        <v>3338</v>
      </c>
      <c r="I181" s="1" t="s">
        <v>8</v>
      </c>
      <c r="J181" s="32" t="s">
        <v>117</v>
      </c>
      <c r="N181" s="10" t="str">
        <f t="shared" si="7"/>
        <v>Unique</v>
      </c>
    </row>
    <row r="182" spans="1:16" ht="40.75" customHeight="1" thickBot="1" x14ac:dyDescent="0.4">
      <c r="A182" s="28">
        <v>46265.375694444447</v>
      </c>
      <c r="B182" s="29" t="s">
        <v>52</v>
      </c>
      <c r="C182" s="29" t="s">
        <v>7</v>
      </c>
      <c r="D182" s="30">
        <v>3</v>
      </c>
      <c r="E182" s="30">
        <v>2624</v>
      </c>
      <c r="F182" s="4">
        <v>14.24093343</v>
      </c>
      <c r="G182" s="2" t="s">
        <v>53</v>
      </c>
      <c r="H182" s="5">
        <v>2296.9</v>
      </c>
      <c r="I182" s="1" t="s">
        <v>8</v>
      </c>
      <c r="J182" s="25" t="s">
        <v>117</v>
      </c>
      <c r="K182" s="25" t="s">
        <v>195</v>
      </c>
      <c r="L182" s="25">
        <v>7578</v>
      </c>
      <c r="M182" s="25">
        <f>ABS((D182*E182)-L182)</f>
        <v>294</v>
      </c>
      <c r="N182" s="26" t="str">
        <f t="shared" si="7"/>
        <v>Duplicate</v>
      </c>
    </row>
    <row r="183" spans="1:16" ht="40.75" customHeight="1" thickBot="1" x14ac:dyDescent="0.4">
      <c r="A183" s="28">
        <v>46266.375694444447</v>
      </c>
      <c r="B183" s="29" t="s">
        <v>52</v>
      </c>
      <c r="C183" s="29" t="s">
        <v>7</v>
      </c>
      <c r="D183" s="30">
        <v>3</v>
      </c>
      <c r="E183" s="30">
        <v>2624</v>
      </c>
      <c r="F183" s="4">
        <v>14.24093343</v>
      </c>
      <c r="G183" s="2" t="s">
        <v>53</v>
      </c>
      <c r="H183" s="5">
        <v>2296.9</v>
      </c>
      <c r="I183" s="1" t="s">
        <v>8</v>
      </c>
      <c r="J183" s="25" t="s">
        <v>117</v>
      </c>
      <c r="K183" s="25" t="s">
        <v>209</v>
      </c>
      <c r="L183" s="25">
        <v>7578</v>
      </c>
      <c r="M183" s="25">
        <f>ABS((D183*E183)-L183)</f>
        <v>294</v>
      </c>
      <c r="N183" s="27" t="str">
        <f t="shared" si="7"/>
        <v>Duplicate</v>
      </c>
    </row>
    <row r="184" spans="1:16" ht="27.65" customHeight="1" thickBot="1" x14ac:dyDescent="0.4">
      <c r="A184" s="28">
        <v>46267.424305555556</v>
      </c>
      <c r="B184" s="29" t="s">
        <v>52</v>
      </c>
      <c r="C184" s="29" t="s">
        <v>7</v>
      </c>
      <c r="D184" s="30">
        <v>2</v>
      </c>
      <c r="E184" s="30">
        <v>2624</v>
      </c>
      <c r="F184" s="4">
        <v>14.24093343</v>
      </c>
      <c r="G184" s="2" t="s">
        <v>53</v>
      </c>
      <c r="H184" s="5">
        <v>2296.9</v>
      </c>
      <c r="I184" s="1" t="s">
        <v>8</v>
      </c>
      <c r="J184" s="25" t="s">
        <v>117</v>
      </c>
      <c r="K184" s="25" t="s">
        <v>219</v>
      </c>
      <c r="L184" s="25">
        <v>4968</v>
      </c>
      <c r="M184" s="25">
        <f>ABS((D184*E184)-L184)</f>
        <v>280</v>
      </c>
      <c r="N184" s="27" t="str">
        <f t="shared" si="7"/>
        <v>Unique</v>
      </c>
      <c r="O184" s="27"/>
      <c r="P184" s="27"/>
    </row>
    <row r="185" spans="1:16" ht="27.65" customHeight="1" thickBot="1" x14ac:dyDescent="0.4">
      <c r="A185" s="3">
        <v>46265.474999999999</v>
      </c>
      <c r="B185" s="1" t="s">
        <v>20</v>
      </c>
      <c r="C185" s="1" t="s">
        <v>7</v>
      </c>
      <c r="D185" s="4">
        <v>30</v>
      </c>
      <c r="E185" s="4">
        <v>137</v>
      </c>
      <c r="F185" s="4">
        <v>14.30001669</v>
      </c>
      <c r="G185" s="2" t="s">
        <v>85</v>
      </c>
      <c r="H185" s="5">
        <v>119.86</v>
      </c>
      <c r="I185" s="1" t="s">
        <v>8</v>
      </c>
      <c r="J185" s="17" t="s">
        <v>117</v>
      </c>
      <c r="K185" s="17" t="s">
        <v>194</v>
      </c>
      <c r="L185" s="17">
        <v>3810</v>
      </c>
      <c r="M185" s="17">
        <f>ABS((D185*E185)-L185)</f>
        <v>300</v>
      </c>
      <c r="N185" t="str">
        <f t="shared" si="7"/>
        <v>Unique</v>
      </c>
    </row>
    <row r="186" spans="1:16" ht="27.65" customHeight="1" thickBot="1" x14ac:dyDescent="0.4">
      <c r="A186" s="11">
        <v>46252.6875</v>
      </c>
      <c r="B186" s="8" t="s">
        <v>24</v>
      </c>
      <c r="C186" s="8" t="s">
        <v>7</v>
      </c>
      <c r="D186" s="8">
        <v>40</v>
      </c>
      <c r="E186" s="8">
        <v>458</v>
      </c>
      <c r="F186" s="4">
        <v>14.5</v>
      </c>
      <c r="G186" s="2" t="s">
        <v>55</v>
      </c>
      <c r="H186" s="5">
        <v>400</v>
      </c>
      <c r="I186" s="1" t="s">
        <v>8</v>
      </c>
      <c r="J186" s="32" t="s">
        <v>116</v>
      </c>
      <c r="N186" s="10" t="str">
        <f t="shared" si="7"/>
        <v>Unique</v>
      </c>
    </row>
    <row r="187" spans="1:16" ht="27.65" customHeight="1" thickBot="1" x14ac:dyDescent="0.4">
      <c r="A187" s="3">
        <v>46294.475694444445</v>
      </c>
      <c r="B187" s="2" t="s">
        <v>16</v>
      </c>
      <c r="C187" s="2" t="s">
        <v>7</v>
      </c>
      <c r="D187" s="5">
        <v>5</v>
      </c>
      <c r="E187" s="5">
        <v>849</v>
      </c>
      <c r="F187" s="4">
        <v>14.528530959999999</v>
      </c>
      <c r="G187" s="2" t="s">
        <v>60</v>
      </c>
      <c r="H187" s="5">
        <v>741.3</v>
      </c>
      <c r="I187" s="1" t="s">
        <v>8</v>
      </c>
      <c r="J187" s="17" t="s">
        <v>117</v>
      </c>
      <c r="K187" s="17" t="s">
        <v>294</v>
      </c>
      <c r="L187" s="17">
        <v>3869</v>
      </c>
      <c r="M187" s="17">
        <f>ABS((D187*E187)-L187)</f>
        <v>376</v>
      </c>
      <c r="N187" s="10" t="str">
        <f t="shared" si="7"/>
        <v>Unique</v>
      </c>
    </row>
    <row r="188" spans="1:16" ht="27.65" customHeight="1" thickBot="1" x14ac:dyDescent="0.4">
      <c r="A188" s="28">
        <v>46265.375694444447</v>
      </c>
      <c r="B188" s="29" t="s">
        <v>6</v>
      </c>
      <c r="C188" s="29" t="s">
        <v>7</v>
      </c>
      <c r="D188" s="30">
        <v>20</v>
      </c>
      <c r="E188" s="30">
        <v>291</v>
      </c>
      <c r="F188" s="4">
        <v>14.54438103</v>
      </c>
      <c r="G188" s="2" t="s">
        <v>129</v>
      </c>
      <c r="H188" s="5">
        <v>254.05</v>
      </c>
      <c r="I188" s="1" t="s">
        <v>8</v>
      </c>
      <c r="J188" s="25" t="s">
        <v>117</v>
      </c>
      <c r="K188" s="25" t="s">
        <v>201</v>
      </c>
      <c r="L188" s="25">
        <v>5520</v>
      </c>
      <c r="M188" s="25">
        <f>ABS((D188*E188)-L188)</f>
        <v>300</v>
      </c>
      <c r="N188" s="26" t="str">
        <f t="shared" si="7"/>
        <v>Unique</v>
      </c>
      <c r="O188" s="36" t="s">
        <v>237</v>
      </c>
    </row>
    <row r="189" spans="1:16" ht="40.75" customHeight="1" thickBot="1" x14ac:dyDescent="0.4">
      <c r="A189" s="38">
        <v>46243.505555555559</v>
      </c>
      <c r="B189" s="39" t="s">
        <v>6</v>
      </c>
      <c r="C189" s="39" t="s">
        <v>7</v>
      </c>
      <c r="D189" s="39">
        <v>10</v>
      </c>
      <c r="E189" s="39">
        <v>291</v>
      </c>
      <c r="F189" s="4">
        <v>14.54438103</v>
      </c>
      <c r="G189" s="2" t="s">
        <v>129</v>
      </c>
      <c r="H189" s="5">
        <v>254.05</v>
      </c>
      <c r="I189" s="1" t="s">
        <v>8</v>
      </c>
      <c r="J189" s="25" t="s">
        <v>117</v>
      </c>
      <c r="K189" s="25" t="s">
        <v>244</v>
      </c>
      <c r="L189" s="25">
        <v>2657</v>
      </c>
      <c r="M189" s="25">
        <f>ABS((D189*E189)-L189)</f>
        <v>253</v>
      </c>
      <c r="N189" s="27" t="str">
        <f t="shared" si="7"/>
        <v>Duplicate</v>
      </c>
      <c r="O189" s="36" t="s">
        <v>237</v>
      </c>
    </row>
    <row r="190" spans="1:16" ht="40.75" customHeight="1" thickBot="1" x14ac:dyDescent="0.4">
      <c r="A190" s="28">
        <v>46280.588194444441</v>
      </c>
      <c r="B190" s="29" t="s">
        <v>6</v>
      </c>
      <c r="C190" s="29" t="s">
        <v>7</v>
      </c>
      <c r="D190" s="30">
        <v>10</v>
      </c>
      <c r="E190" s="30">
        <v>291</v>
      </c>
      <c r="F190" s="4">
        <v>14.54438103</v>
      </c>
      <c r="G190" s="2" t="s">
        <v>129</v>
      </c>
      <c r="H190" s="5">
        <v>254.05</v>
      </c>
      <c r="I190" s="1" t="s">
        <v>8</v>
      </c>
      <c r="J190" s="45" t="s">
        <v>117</v>
      </c>
      <c r="K190" s="25" t="s">
        <v>269</v>
      </c>
      <c r="L190" s="25">
        <v>2554.5</v>
      </c>
      <c r="M190" s="25">
        <f>ABS((D190*E190)-L190)</f>
        <v>355.5</v>
      </c>
      <c r="N190" s="27" t="str">
        <f t="shared" si="7"/>
        <v>Duplicate</v>
      </c>
      <c r="O190" s="36" t="s">
        <v>237</v>
      </c>
      <c r="P190" s="27"/>
    </row>
    <row r="191" spans="1:16" ht="27.65" customHeight="1" thickBot="1" x14ac:dyDescent="0.4">
      <c r="A191" s="11">
        <v>46252.688194444447</v>
      </c>
      <c r="B191" s="8" t="s">
        <v>14</v>
      </c>
      <c r="C191" s="8" t="s">
        <v>7</v>
      </c>
      <c r="D191" s="8">
        <v>50</v>
      </c>
      <c r="E191" s="8">
        <v>361</v>
      </c>
      <c r="F191" s="4">
        <v>14.548627639999999</v>
      </c>
      <c r="G191" s="2" t="s">
        <v>44</v>
      </c>
      <c r="H191" s="5">
        <v>315.14999999999998</v>
      </c>
      <c r="I191" s="1" t="s">
        <v>8</v>
      </c>
      <c r="J191" s="32"/>
      <c r="N191" s="10" t="str">
        <f t="shared" si="7"/>
        <v>Unique</v>
      </c>
    </row>
    <row r="192" spans="1:16" ht="26.5" thickBot="1" x14ac:dyDescent="0.4">
      <c r="A192" s="11">
        <v>46252.645833333336</v>
      </c>
      <c r="B192" s="8" t="s">
        <v>48</v>
      </c>
      <c r="C192" s="8" t="s">
        <v>7</v>
      </c>
      <c r="D192" s="8">
        <v>5</v>
      </c>
      <c r="E192" s="8">
        <v>4177</v>
      </c>
      <c r="F192" s="4">
        <v>14.689730920000001</v>
      </c>
      <c r="G192" s="2" t="s">
        <v>49</v>
      </c>
      <c r="H192" s="5">
        <v>3642</v>
      </c>
      <c r="I192" s="1" t="s">
        <v>8</v>
      </c>
      <c r="J192" s="32"/>
      <c r="N192" s="10" t="str">
        <f t="shared" si="7"/>
        <v>Unique</v>
      </c>
      <c r="O192" s="22"/>
    </row>
    <row r="193" spans="1:16" ht="40.75" customHeight="1" thickBot="1" x14ac:dyDescent="0.4">
      <c r="A193" s="8" t="s">
        <v>61</v>
      </c>
      <c r="B193" s="8" t="s">
        <v>120</v>
      </c>
      <c r="C193" s="8" t="s">
        <v>7</v>
      </c>
      <c r="D193" s="8">
        <v>10</v>
      </c>
      <c r="E193" s="8">
        <v>796</v>
      </c>
      <c r="F193" s="4">
        <v>14.697406340000001</v>
      </c>
      <c r="G193" s="2" t="s">
        <v>121</v>
      </c>
      <c r="H193" s="5">
        <v>694</v>
      </c>
      <c r="I193" s="1" t="s">
        <v>8</v>
      </c>
      <c r="J193" s="32" t="s">
        <v>116</v>
      </c>
      <c r="N193" s="10" t="str">
        <f t="shared" si="7"/>
        <v>Unique</v>
      </c>
    </row>
    <row r="194" spans="1:16" ht="40.75" customHeight="1" thickBot="1" x14ac:dyDescent="0.4">
      <c r="A194" s="11">
        <v>46252.635416666664</v>
      </c>
      <c r="B194" s="8" t="s">
        <v>81</v>
      </c>
      <c r="C194" s="8" t="s">
        <v>7</v>
      </c>
      <c r="D194" s="8">
        <v>1</v>
      </c>
      <c r="E194" s="8">
        <v>4556</v>
      </c>
      <c r="F194" s="4">
        <v>14.769378039999999</v>
      </c>
      <c r="G194" s="2" t="s">
        <v>82</v>
      </c>
      <c r="H194" s="5">
        <v>3969.7</v>
      </c>
      <c r="I194" s="1" t="s">
        <v>8</v>
      </c>
      <c r="J194" s="32"/>
      <c r="N194" s="10" t="str">
        <f t="shared" ref="N194:N257" si="9">IF(COUNTIFS( $B$2:$B$657, B194, $C$2:$C$657, C194, $D$2:$D$657, D194, $E$2:$E$657, E194) &gt; 1, "Duplicate", "Unique")</f>
        <v>Unique</v>
      </c>
    </row>
    <row r="195" spans="1:16" ht="27.65" customHeight="1" thickBot="1" x14ac:dyDescent="0.4">
      <c r="A195" s="3">
        <v>46266.375</v>
      </c>
      <c r="B195" s="1" t="s">
        <v>86</v>
      </c>
      <c r="C195" s="1" t="s">
        <v>7</v>
      </c>
      <c r="D195" s="4">
        <v>10</v>
      </c>
      <c r="E195" s="4">
        <v>1296</v>
      </c>
      <c r="F195" s="4">
        <v>14.7918512</v>
      </c>
      <c r="G195" s="2" t="s">
        <v>87</v>
      </c>
      <c r="H195" s="5">
        <v>1129</v>
      </c>
      <c r="I195" s="1" t="s">
        <v>8</v>
      </c>
      <c r="J195" s="17" t="s">
        <v>116</v>
      </c>
      <c r="K195" s="17" t="s">
        <v>212</v>
      </c>
      <c r="L195" s="17">
        <v>12600</v>
      </c>
      <c r="M195" s="17">
        <f>ABS((D195*E195)-L195)</f>
        <v>360</v>
      </c>
      <c r="N195" s="10" t="str">
        <f t="shared" si="9"/>
        <v>Unique</v>
      </c>
    </row>
    <row r="196" spans="1:16" ht="40.75" customHeight="1" thickBot="1" x14ac:dyDescent="0.4">
      <c r="A196" s="3">
        <v>46265.460416666669</v>
      </c>
      <c r="B196" s="1" t="s">
        <v>18</v>
      </c>
      <c r="C196" s="1" t="s">
        <v>7</v>
      </c>
      <c r="D196" s="4">
        <v>5</v>
      </c>
      <c r="E196" s="4">
        <v>1892</v>
      </c>
      <c r="F196" s="4">
        <v>14.798859289999999</v>
      </c>
      <c r="G196" s="2" t="s">
        <v>101</v>
      </c>
      <c r="H196" s="5">
        <v>1648.1</v>
      </c>
      <c r="I196" s="1" t="s">
        <v>8</v>
      </c>
      <c r="J196" s="17" t="s">
        <v>117</v>
      </c>
      <c r="K196" s="17" t="s">
        <v>192</v>
      </c>
      <c r="L196" s="17">
        <v>8810</v>
      </c>
      <c r="M196" s="17">
        <f>ABS((D196*E196)-L196)</f>
        <v>650</v>
      </c>
      <c r="N196" t="str">
        <f t="shared" si="9"/>
        <v>Unique</v>
      </c>
      <c r="P196" s="27"/>
    </row>
    <row r="197" spans="1:16" ht="40.75" customHeight="1" thickBot="1" x14ac:dyDescent="0.4">
      <c r="A197" s="3">
        <v>46261.615277777775</v>
      </c>
      <c r="B197" s="1" t="s">
        <v>34</v>
      </c>
      <c r="C197" s="1" t="s">
        <v>7</v>
      </c>
      <c r="D197" s="4">
        <v>50</v>
      </c>
      <c r="E197" s="4">
        <v>226.3</v>
      </c>
      <c r="F197" s="4">
        <v>14.943112559999999</v>
      </c>
      <c r="G197" s="2" t="s">
        <v>41</v>
      </c>
      <c r="H197" s="5">
        <v>196.88</v>
      </c>
      <c r="I197" s="1" t="s">
        <v>8</v>
      </c>
      <c r="J197" s="17" t="s">
        <v>117</v>
      </c>
      <c r="K197" s="17" t="s">
        <v>171</v>
      </c>
      <c r="L197" s="17">
        <v>10814</v>
      </c>
      <c r="M197" s="17">
        <f>ABS((D197*E197)-L197)</f>
        <v>501</v>
      </c>
      <c r="N197" s="10" t="str">
        <f t="shared" si="9"/>
        <v>Unique</v>
      </c>
      <c r="O197" s="36" t="s">
        <v>237</v>
      </c>
    </row>
    <row r="198" spans="1:16" ht="40.75" customHeight="1" thickBot="1" x14ac:dyDescent="0.4">
      <c r="A198" s="11">
        <v>46252.688194444447</v>
      </c>
      <c r="B198" s="8" t="s">
        <v>28</v>
      </c>
      <c r="C198" s="8" t="s">
        <v>7</v>
      </c>
      <c r="D198" s="8">
        <v>30</v>
      </c>
      <c r="E198" s="8">
        <v>930</v>
      </c>
      <c r="F198" s="4">
        <v>14.956736709999999</v>
      </c>
      <c r="G198" s="2" t="s">
        <v>124</v>
      </c>
      <c r="H198" s="5">
        <v>809</v>
      </c>
      <c r="I198" s="1" t="s">
        <v>8</v>
      </c>
      <c r="J198" s="32"/>
      <c r="N198" s="10" t="str">
        <f t="shared" si="9"/>
        <v>Unique</v>
      </c>
      <c r="P198" s="27"/>
    </row>
    <row r="199" spans="1:16" ht="40.75" customHeight="1" thickBot="1" x14ac:dyDescent="0.4">
      <c r="A199" s="8" t="s">
        <v>61</v>
      </c>
      <c r="B199" s="8" t="s">
        <v>122</v>
      </c>
      <c r="C199" s="8" t="s">
        <v>7</v>
      </c>
      <c r="D199" s="8">
        <v>200</v>
      </c>
      <c r="E199" s="8">
        <v>91.75</v>
      </c>
      <c r="F199" s="4">
        <v>15.04702194</v>
      </c>
      <c r="G199" s="2" t="s">
        <v>123</v>
      </c>
      <c r="H199" s="5">
        <v>79.75</v>
      </c>
      <c r="I199" s="1" t="s">
        <v>8</v>
      </c>
      <c r="J199" s="32"/>
      <c r="N199" s="10" t="str">
        <f t="shared" si="9"/>
        <v>Unique</v>
      </c>
    </row>
    <row r="200" spans="1:16" ht="27.65" customHeight="1" thickBot="1" x14ac:dyDescent="0.4">
      <c r="A200" s="8" t="s">
        <v>61</v>
      </c>
      <c r="B200" s="8" t="s">
        <v>134</v>
      </c>
      <c r="C200" s="8" t="s">
        <v>7</v>
      </c>
      <c r="D200" s="8">
        <v>5</v>
      </c>
      <c r="E200" s="8">
        <v>2190</v>
      </c>
      <c r="F200" s="4">
        <v>15.536797679999999</v>
      </c>
      <c r="G200" s="2" t="s">
        <v>135</v>
      </c>
      <c r="H200" s="5">
        <v>1895.5</v>
      </c>
      <c r="I200" s="1" t="s">
        <v>8</v>
      </c>
      <c r="J200" s="32" t="s">
        <v>117</v>
      </c>
      <c r="N200" s="10" t="str">
        <f t="shared" si="9"/>
        <v>Unique</v>
      </c>
      <c r="O200" s="27"/>
    </row>
    <row r="201" spans="1:16" ht="40.75" customHeight="1" thickBot="1" x14ac:dyDescent="0.4">
      <c r="A201" s="3">
        <v>46281.416666666664</v>
      </c>
      <c r="B201" s="1" t="s">
        <v>272</v>
      </c>
      <c r="C201" s="1" t="s">
        <v>10</v>
      </c>
      <c r="D201" s="4">
        <v>10</v>
      </c>
      <c r="E201" s="4">
        <v>706</v>
      </c>
      <c r="F201" s="4">
        <v>-32.245681380000001</v>
      </c>
      <c r="G201" s="2" t="s">
        <v>277</v>
      </c>
      <c r="H201" s="5">
        <v>1042</v>
      </c>
      <c r="I201" s="1" t="s">
        <v>8</v>
      </c>
      <c r="J201" s="17" t="s">
        <v>40</v>
      </c>
      <c r="K201" s="17" t="s">
        <v>274</v>
      </c>
      <c r="L201" s="17">
        <v>17940</v>
      </c>
      <c r="M201" s="17">
        <f>ABS((D201*E201)-L201)</f>
        <v>10880</v>
      </c>
      <c r="N201" s="10" t="str">
        <f t="shared" si="9"/>
        <v>Unique</v>
      </c>
    </row>
    <row r="202" spans="1:16" ht="40.75" customHeight="1" thickBot="1" x14ac:dyDescent="0.4">
      <c r="A202" s="28">
        <v>46258.443749999999</v>
      </c>
      <c r="B202" s="29" t="s">
        <v>6</v>
      </c>
      <c r="C202" s="29" t="s">
        <v>7</v>
      </c>
      <c r="D202" s="30">
        <v>50</v>
      </c>
      <c r="E202" s="30">
        <v>294</v>
      </c>
      <c r="F202" s="4">
        <v>15.72525093</v>
      </c>
      <c r="G202" s="2" t="s">
        <v>129</v>
      </c>
      <c r="H202" s="5">
        <v>254.05</v>
      </c>
      <c r="I202" s="1" t="s">
        <v>8</v>
      </c>
      <c r="J202" s="25" t="s">
        <v>117</v>
      </c>
      <c r="K202" s="25" t="s">
        <v>154</v>
      </c>
      <c r="L202" s="25">
        <v>14172.5</v>
      </c>
      <c r="M202" s="25">
        <f>ABS((D202*E202)-L202)</f>
        <v>527.5</v>
      </c>
      <c r="N202" s="27" t="str">
        <f t="shared" si="9"/>
        <v>Unique</v>
      </c>
      <c r="O202" s="27"/>
      <c r="P202" s="27"/>
    </row>
    <row r="203" spans="1:16" ht="40.75" customHeight="1" thickBot="1" x14ac:dyDescent="0.4">
      <c r="A203" s="38">
        <v>46253.4</v>
      </c>
      <c r="B203" s="39" t="s">
        <v>6</v>
      </c>
      <c r="C203" s="39" t="s">
        <v>7</v>
      </c>
      <c r="D203" s="39">
        <v>30</v>
      </c>
      <c r="E203" s="39">
        <v>294</v>
      </c>
      <c r="F203" s="4">
        <v>15.72525093</v>
      </c>
      <c r="G203" s="2" t="s">
        <v>129</v>
      </c>
      <c r="H203" s="5">
        <v>254.05</v>
      </c>
      <c r="I203" s="1" t="s">
        <v>8</v>
      </c>
      <c r="J203" s="45" t="s">
        <v>117</v>
      </c>
      <c r="K203" s="25" t="s">
        <v>142</v>
      </c>
      <c r="L203" s="25"/>
      <c r="M203" s="25"/>
      <c r="N203" s="27" t="str">
        <f t="shared" si="9"/>
        <v>Unique</v>
      </c>
      <c r="O203" s="27"/>
      <c r="P203" s="27"/>
    </row>
    <row r="204" spans="1:16" ht="27.65" customHeight="1" thickBot="1" x14ac:dyDescent="0.4">
      <c r="A204" s="11">
        <v>46252.688194444447</v>
      </c>
      <c r="B204" s="8" t="s">
        <v>14</v>
      </c>
      <c r="C204" s="8" t="s">
        <v>7</v>
      </c>
      <c r="D204" s="8">
        <v>50</v>
      </c>
      <c r="E204" s="8">
        <v>365</v>
      </c>
      <c r="F204" s="4">
        <v>15.81786451</v>
      </c>
      <c r="G204" s="2" t="s">
        <v>44</v>
      </c>
      <c r="H204" s="5">
        <v>315.14999999999998</v>
      </c>
      <c r="I204" s="1" t="s">
        <v>8</v>
      </c>
      <c r="J204" s="32" t="s">
        <v>117</v>
      </c>
      <c r="N204" s="10" t="str">
        <f t="shared" si="9"/>
        <v>Unique</v>
      </c>
    </row>
    <row r="205" spans="1:16" ht="40.75" customHeight="1" thickBot="1" x14ac:dyDescent="0.4">
      <c r="A205" s="3">
        <v>46266.375</v>
      </c>
      <c r="B205" s="1" t="s">
        <v>88</v>
      </c>
      <c r="C205" s="1" t="s">
        <v>7</v>
      </c>
      <c r="D205" s="4">
        <v>1</v>
      </c>
      <c r="E205" s="4">
        <v>14852</v>
      </c>
      <c r="F205" s="4">
        <v>15.850234009999999</v>
      </c>
      <c r="G205" s="2" t="s">
        <v>89</v>
      </c>
      <c r="H205" s="5">
        <v>12820</v>
      </c>
      <c r="I205" s="1" t="s">
        <v>8</v>
      </c>
      <c r="J205" s="17" t="s">
        <v>117</v>
      </c>
      <c r="K205" s="17" t="s">
        <v>215</v>
      </c>
      <c r="L205" s="17">
        <v>14552</v>
      </c>
      <c r="M205" s="17">
        <f>ABS((D205*E205)-L205)</f>
        <v>300</v>
      </c>
      <c r="N205" s="10" t="str">
        <f t="shared" si="9"/>
        <v>Unique</v>
      </c>
      <c r="O205" s="36" t="s">
        <v>237</v>
      </c>
      <c r="P205" s="27"/>
    </row>
    <row r="206" spans="1:16" ht="27.65" customHeight="1" thickBot="1" x14ac:dyDescent="0.4">
      <c r="A206" s="3">
        <v>46261.375694444447</v>
      </c>
      <c r="B206" s="1" t="s">
        <v>77</v>
      </c>
      <c r="C206" s="1" t="s">
        <v>7</v>
      </c>
      <c r="D206" s="4">
        <v>5</v>
      </c>
      <c r="E206" s="4">
        <v>1490</v>
      </c>
      <c r="F206" s="4">
        <v>16.043613709999999</v>
      </c>
      <c r="G206" s="2" t="s">
        <v>78</v>
      </c>
      <c r="H206" s="5">
        <v>1284</v>
      </c>
      <c r="I206" s="1" t="s">
        <v>8</v>
      </c>
      <c r="J206" s="17" t="s">
        <v>117</v>
      </c>
      <c r="K206" s="17" t="s">
        <v>182</v>
      </c>
      <c r="L206" s="17">
        <v>7200</v>
      </c>
      <c r="M206" s="17">
        <f>ABS((D206*E206)-L206)</f>
        <v>250</v>
      </c>
      <c r="N206" s="10" t="str">
        <f t="shared" si="9"/>
        <v>Unique</v>
      </c>
    </row>
    <row r="207" spans="1:16" s="27" customFormat="1" ht="40.75" customHeight="1" thickBot="1" x14ac:dyDescent="0.4">
      <c r="A207" s="3">
        <v>46265.375694444447</v>
      </c>
      <c r="B207" s="1" t="s">
        <v>77</v>
      </c>
      <c r="C207" s="1" t="s">
        <v>7</v>
      </c>
      <c r="D207" s="4">
        <v>3</v>
      </c>
      <c r="E207" s="4">
        <v>1490</v>
      </c>
      <c r="F207" s="4">
        <v>16.043613709999999</v>
      </c>
      <c r="G207" s="2" t="s">
        <v>78</v>
      </c>
      <c r="H207" s="5">
        <v>1284</v>
      </c>
      <c r="I207" s="1" t="s">
        <v>8</v>
      </c>
      <c r="J207" s="17" t="s">
        <v>117</v>
      </c>
      <c r="K207" s="17" t="s">
        <v>200</v>
      </c>
      <c r="L207" s="17">
        <v>4170</v>
      </c>
      <c r="M207" s="17">
        <f>ABS((D207*E207)-L207)</f>
        <v>300</v>
      </c>
      <c r="N207" t="str">
        <f t="shared" si="9"/>
        <v>Unique</v>
      </c>
      <c r="O207" s="10"/>
      <c r="P207" s="10"/>
    </row>
    <row r="208" spans="1:16" s="27" customFormat="1" ht="40.75" customHeight="1" thickBot="1" x14ac:dyDescent="0.4">
      <c r="A208" s="11">
        <v>46252.6875</v>
      </c>
      <c r="B208" s="8" t="s">
        <v>13</v>
      </c>
      <c r="C208" s="8" t="s">
        <v>7</v>
      </c>
      <c r="D208" s="8">
        <v>5</v>
      </c>
      <c r="E208" s="8">
        <v>2094</v>
      </c>
      <c r="F208" s="4">
        <v>16.13976705</v>
      </c>
      <c r="G208" s="2" t="s">
        <v>90</v>
      </c>
      <c r="H208" s="5">
        <v>1803</v>
      </c>
      <c r="I208" s="1" t="s">
        <v>8</v>
      </c>
      <c r="J208" s="32" t="s">
        <v>117</v>
      </c>
      <c r="K208" s="17"/>
      <c r="L208" s="17"/>
      <c r="M208" s="17"/>
      <c r="N208" s="10" t="str">
        <f t="shared" si="9"/>
        <v>Unique</v>
      </c>
      <c r="O208" s="10"/>
      <c r="P208" s="10"/>
    </row>
    <row r="209" spans="1:16" ht="40.75" customHeight="1" thickBot="1" x14ac:dyDescent="0.4">
      <c r="A209" s="3">
        <v>46276.375</v>
      </c>
      <c r="B209" s="1" t="s">
        <v>102</v>
      </c>
      <c r="C209" s="1" t="s">
        <v>7</v>
      </c>
      <c r="D209" s="4">
        <v>8</v>
      </c>
      <c r="E209" s="4">
        <v>2472</v>
      </c>
      <c r="F209" s="4">
        <v>16.362266989999998</v>
      </c>
      <c r="G209" s="2" t="s">
        <v>103</v>
      </c>
      <c r="H209" s="5">
        <v>2124.4</v>
      </c>
      <c r="I209" s="1" t="s">
        <v>8</v>
      </c>
      <c r="J209" s="17" t="s">
        <v>116</v>
      </c>
      <c r="K209" s="17" t="s">
        <v>267</v>
      </c>
      <c r="L209" s="17">
        <v>18960</v>
      </c>
      <c r="M209" s="17">
        <f>ABS((D209*E209)-L209)</f>
        <v>816</v>
      </c>
      <c r="N209" s="10" t="str">
        <f t="shared" si="9"/>
        <v>Unique</v>
      </c>
    </row>
    <row r="210" spans="1:16" ht="40.75" customHeight="1" thickBot="1" x14ac:dyDescent="0.4">
      <c r="A210" s="8" t="s">
        <v>61</v>
      </c>
      <c r="B210" s="8" t="s">
        <v>50</v>
      </c>
      <c r="C210" s="8" t="s">
        <v>7</v>
      </c>
      <c r="D210" s="8">
        <v>10</v>
      </c>
      <c r="E210" s="13">
        <v>1024</v>
      </c>
      <c r="F210" s="4">
        <v>16.42978965</v>
      </c>
      <c r="G210" s="2" t="s">
        <v>51</v>
      </c>
      <c r="H210" s="5">
        <v>879.5</v>
      </c>
      <c r="I210" s="1" t="s">
        <v>8</v>
      </c>
      <c r="J210" s="32" t="s">
        <v>117</v>
      </c>
      <c r="N210" s="10" t="str">
        <f t="shared" si="9"/>
        <v>Unique</v>
      </c>
    </row>
    <row r="211" spans="1:16" ht="27.65" customHeight="1" thickBot="1" x14ac:dyDescent="0.4">
      <c r="A211" s="3">
        <v>46269.614583333336</v>
      </c>
      <c r="B211" s="1" t="s">
        <v>23</v>
      </c>
      <c r="C211" s="1" t="s">
        <v>7</v>
      </c>
      <c r="D211" s="4">
        <v>40</v>
      </c>
      <c r="E211" s="4">
        <v>219</v>
      </c>
      <c r="F211" s="4">
        <v>16.4893617</v>
      </c>
      <c r="G211" s="2" t="s">
        <v>69</v>
      </c>
      <c r="H211" s="5">
        <v>188</v>
      </c>
      <c r="I211" s="1" t="s">
        <v>8</v>
      </c>
      <c r="J211" s="17" t="s">
        <v>116</v>
      </c>
      <c r="K211" s="17" t="s">
        <v>233</v>
      </c>
      <c r="L211" s="17">
        <v>8480</v>
      </c>
      <c r="M211" s="24">
        <f t="shared" ref="M211:M216" si="10">ABS((D211*E211)-L211)</f>
        <v>280</v>
      </c>
      <c r="N211" t="str">
        <f t="shared" si="9"/>
        <v>Unique</v>
      </c>
      <c r="O211" s="36" t="s">
        <v>237</v>
      </c>
    </row>
    <row r="212" spans="1:16" ht="40.75" customHeight="1" thickBot="1" x14ac:dyDescent="0.4">
      <c r="A212" s="3">
        <v>46335.442361111112</v>
      </c>
      <c r="B212" s="1" t="s">
        <v>79</v>
      </c>
      <c r="C212" s="1" t="s">
        <v>7</v>
      </c>
      <c r="D212" s="4">
        <v>10</v>
      </c>
      <c r="E212" s="4">
        <v>1460</v>
      </c>
      <c r="F212" s="4">
        <v>16.520351160000001</v>
      </c>
      <c r="G212" s="2" t="s">
        <v>80</v>
      </c>
      <c r="H212" s="5">
        <v>1253</v>
      </c>
      <c r="I212" s="1" t="s">
        <v>8</v>
      </c>
      <c r="J212" s="17" t="s">
        <v>116</v>
      </c>
      <c r="K212" s="17" t="s">
        <v>260</v>
      </c>
      <c r="L212" s="17">
        <v>14100</v>
      </c>
      <c r="M212" s="17">
        <f t="shared" si="10"/>
        <v>500</v>
      </c>
      <c r="N212" s="10" t="str">
        <f t="shared" si="9"/>
        <v>Unique</v>
      </c>
    </row>
    <row r="213" spans="1:16" ht="27.65" customHeight="1" thickBot="1" x14ac:dyDescent="0.4">
      <c r="A213" s="28">
        <v>46258.443055555559</v>
      </c>
      <c r="B213" s="29" t="s">
        <v>34</v>
      </c>
      <c r="C213" s="29" t="s">
        <v>7</v>
      </c>
      <c r="D213" s="30">
        <v>50</v>
      </c>
      <c r="E213" s="30">
        <v>229.5</v>
      </c>
      <c r="F213" s="4">
        <v>16.5684681</v>
      </c>
      <c r="G213" s="2" t="s">
        <v>41</v>
      </c>
      <c r="H213" s="5">
        <v>196.88</v>
      </c>
      <c r="I213" s="1" t="s">
        <v>8</v>
      </c>
      <c r="J213" s="25" t="s">
        <v>117</v>
      </c>
      <c r="K213" s="25" t="s">
        <v>155</v>
      </c>
      <c r="L213" s="25">
        <v>11175</v>
      </c>
      <c r="M213" s="25">
        <f t="shared" si="10"/>
        <v>300</v>
      </c>
      <c r="N213" s="27" t="str">
        <f t="shared" si="9"/>
        <v>Unique</v>
      </c>
      <c r="O213" s="27"/>
      <c r="P213" s="27"/>
    </row>
    <row r="214" spans="1:16" ht="27.65" customHeight="1" thickBot="1" x14ac:dyDescent="0.4">
      <c r="A214" s="28">
        <v>46259.375</v>
      </c>
      <c r="B214" s="29" t="s">
        <v>34</v>
      </c>
      <c r="C214" s="29" t="s">
        <v>7</v>
      </c>
      <c r="D214" s="30">
        <v>20</v>
      </c>
      <c r="E214" s="30">
        <v>229.5</v>
      </c>
      <c r="F214" s="4">
        <v>16.5684681</v>
      </c>
      <c r="G214" s="2" t="s">
        <v>41</v>
      </c>
      <c r="H214" s="5">
        <v>196.88</v>
      </c>
      <c r="I214" s="1" t="s">
        <v>8</v>
      </c>
      <c r="J214" s="25" t="s">
        <v>117</v>
      </c>
      <c r="K214" s="25" t="s">
        <v>160</v>
      </c>
      <c r="L214" s="25">
        <v>4402</v>
      </c>
      <c r="M214" s="25">
        <f t="shared" si="10"/>
        <v>188</v>
      </c>
      <c r="N214" s="27" t="str">
        <f t="shared" si="9"/>
        <v>Unique</v>
      </c>
      <c r="O214" s="27"/>
      <c r="P214" s="27"/>
    </row>
    <row r="215" spans="1:16" ht="27.65" customHeight="1" thickBot="1" x14ac:dyDescent="0.4">
      <c r="A215" s="3">
        <v>46265.375694444447</v>
      </c>
      <c r="B215" s="1" t="s">
        <v>35</v>
      </c>
      <c r="C215" s="1" t="s">
        <v>7</v>
      </c>
      <c r="D215" s="4">
        <v>5</v>
      </c>
      <c r="E215" s="4">
        <v>1236</v>
      </c>
      <c r="F215" s="4">
        <v>16.901541659999999</v>
      </c>
      <c r="G215" s="2" t="s">
        <v>64</v>
      </c>
      <c r="H215" s="5">
        <v>1057.3</v>
      </c>
      <c r="I215" s="1" t="s">
        <v>8</v>
      </c>
      <c r="J215" s="17" t="s">
        <v>117</v>
      </c>
      <c r="K215" s="17" t="s">
        <v>202</v>
      </c>
      <c r="L215" s="17">
        <v>5905</v>
      </c>
      <c r="M215" s="17">
        <f t="shared" si="10"/>
        <v>275</v>
      </c>
      <c r="N215" t="str">
        <f t="shared" si="9"/>
        <v>Unique</v>
      </c>
    </row>
    <row r="216" spans="1:16" ht="40.75" customHeight="1" thickBot="1" x14ac:dyDescent="0.4">
      <c r="A216" s="3">
        <v>46265.375694444447</v>
      </c>
      <c r="B216" s="1" t="s">
        <v>86</v>
      </c>
      <c r="C216" s="1" t="s">
        <v>7</v>
      </c>
      <c r="D216" s="4">
        <v>10</v>
      </c>
      <c r="E216" s="4">
        <v>1320</v>
      </c>
      <c r="F216" s="4">
        <v>16.917626219999999</v>
      </c>
      <c r="G216" s="2" t="s">
        <v>87</v>
      </c>
      <c r="H216" s="5">
        <v>1129</v>
      </c>
      <c r="I216" s="1" t="s">
        <v>8</v>
      </c>
      <c r="J216" s="17" t="s">
        <v>116</v>
      </c>
      <c r="K216" s="17" t="s">
        <v>197</v>
      </c>
      <c r="L216" s="17">
        <v>12800</v>
      </c>
      <c r="M216" s="17">
        <f t="shared" si="10"/>
        <v>400</v>
      </c>
      <c r="N216" t="str">
        <f t="shared" si="9"/>
        <v>Unique</v>
      </c>
    </row>
    <row r="217" spans="1:16" ht="27.65" customHeight="1" thickBot="1" x14ac:dyDescent="0.4">
      <c r="A217" s="8" t="s">
        <v>61</v>
      </c>
      <c r="B217" s="8" t="s">
        <v>24</v>
      </c>
      <c r="C217" s="8" t="s">
        <v>7</v>
      </c>
      <c r="D217" s="8">
        <v>5</v>
      </c>
      <c r="E217" s="8">
        <v>468</v>
      </c>
      <c r="F217" s="4">
        <v>17</v>
      </c>
      <c r="G217" s="2" t="s">
        <v>55</v>
      </c>
      <c r="H217" s="5">
        <v>400</v>
      </c>
      <c r="I217" s="1" t="s">
        <v>8</v>
      </c>
      <c r="J217" s="32" t="s">
        <v>117</v>
      </c>
      <c r="N217" s="10" t="str">
        <f t="shared" si="9"/>
        <v>Unique</v>
      </c>
    </row>
    <row r="218" spans="1:16" s="27" customFormat="1" ht="40.75" customHeight="1" thickBot="1" x14ac:dyDescent="0.4">
      <c r="A218" s="3">
        <v>46260.375</v>
      </c>
      <c r="B218" s="1" t="s">
        <v>24</v>
      </c>
      <c r="C218" s="1" t="s">
        <v>7</v>
      </c>
      <c r="D218" s="4">
        <v>40</v>
      </c>
      <c r="E218" s="4">
        <v>468</v>
      </c>
      <c r="F218" s="4">
        <v>17</v>
      </c>
      <c r="G218" s="2" t="s">
        <v>55</v>
      </c>
      <c r="H218" s="5">
        <v>400</v>
      </c>
      <c r="I218" s="1" t="s">
        <v>8</v>
      </c>
      <c r="J218" s="17" t="s">
        <v>117</v>
      </c>
      <c r="K218" s="17" t="s">
        <v>167</v>
      </c>
      <c r="L218" s="17">
        <v>17920</v>
      </c>
      <c r="M218" s="17">
        <f>ABS((D218*E218)-L218)</f>
        <v>800</v>
      </c>
      <c r="N218" t="str">
        <f t="shared" si="9"/>
        <v>Unique</v>
      </c>
      <c r="O218" s="10"/>
      <c r="P218" s="10"/>
    </row>
    <row r="219" spans="1:16" ht="27.65" customHeight="1" thickBot="1" x14ac:dyDescent="0.4">
      <c r="A219" s="3">
        <v>46261.375694444447</v>
      </c>
      <c r="B219" s="1" t="s">
        <v>52</v>
      </c>
      <c r="C219" s="1" t="s">
        <v>7</v>
      </c>
      <c r="D219" s="4">
        <v>2</v>
      </c>
      <c r="E219" s="4">
        <v>2690</v>
      </c>
      <c r="F219" s="4">
        <v>17.11437154</v>
      </c>
      <c r="G219" s="2" t="s">
        <v>53</v>
      </c>
      <c r="H219" s="5">
        <v>2296.9</v>
      </c>
      <c r="I219" s="1" t="s">
        <v>8</v>
      </c>
      <c r="J219" s="17" t="s">
        <v>117</v>
      </c>
      <c r="K219" s="17" t="s">
        <v>173</v>
      </c>
      <c r="L219" s="17">
        <v>5120</v>
      </c>
      <c r="M219" s="17">
        <f>ABS((D219*E219)-L219)</f>
        <v>260</v>
      </c>
      <c r="N219" s="10" t="str">
        <f t="shared" si="9"/>
        <v>Unique</v>
      </c>
    </row>
    <row r="220" spans="1:16" ht="40.75" customHeight="1" thickBot="1" x14ac:dyDescent="0.4">
      <c r="A220" s="8" t="s">
        <v>61</v>
      </c>
      <c r="B220" s="8" t="s">
        <v>13</v>
      </c>
      <c r="C220" s="8" t="s">
        <v>7</v>
      </c>
      <c r="D220" s="8">
        <v>10</v>
      </c>
      <c r="E220" s="8">
        <v>2114</v>
      </c>
      <c r="F220" s="4">
        <v>17.249029400000001</v>
      </c>
      <c r="G220" s="2" t="s">
        <v>90</v>
      </c>
      <c r="H220" s="5">
        <v>1803</v>
      </c>
      <c r="I220" s="1" t="s">
        <v>8</v>
      </c>
      <c r="J220" s="32"/>
      <c r="N220" s="10" t="str">
        <f t="shared" si="9"/>
        <v>Unique</v>
      </c>
      <c r="P220" s="27"/>
    </row>
    <row r="221" spans="1:16" ht="27.65" customHeight="1" thickBot="1" x14ac:dyDescent="0.4">
      <c r="A221" s="3">
        <v>46276.4</v>
      </c>
      <c r="B221" s="1" t="s">
        <v>79</v>
      </c>
      <c r="C221" s="1" t="s">
        <v>7</v>
      </c>
      <c r="D221" s="4">
        <v>10</v>
      </c>
      <c r="E221" s="4">
        <v>1470</v>
      </c>
      <c r="F221" s="4">
        <v>17.318435749999999</v>
      </c>
      <c r="G221" s="2" t="s">
        <v>80</v>
      </c>
      <c r="H221" s="5">
        <v>1253</v>
      </c>
      <c r="I221" s="1" t="s">
        <v>8</v>
      </c>
      <c r="J221" s="17" t="s">
        <v>116</v>
      </c>
      <c r="K221" s="17" t="s">
        <v>262</v>
      </c>
      <c r="L221" s="17">
        <v>14200</v>
      </c>
      <c r="M221" s="17">
        <f>ABS((D221*E221)-L221)</f>
        <v>500</v>
      </c>
      <c r="N221" s="10" t="str">
        <f t="shared" si="9"/>
        <v>Unique</v>
      </c>
    </row>
    <row r="222" spans="1:16" s="27" customFormat="1" ht="40.75" customHeight="1" thickBot="1" x14ac:dyDescent="0.4">
      <c r="A222" s="3">
        <v>46290.385416666664</v>
      </c>
      <c r="B222" s="2" t="s">
        <v>22</v>
      </c>
      <c r="C222" s="2" t="s">
        <v>7</v>
      </c>
      <c r="D222" s="5">
        <v>10</v>
      </c>
      <c r="E222" s="5">
        <v>449</v>
      </c>
      <c r="F222" s="4">
        <v>17.385620920000001</v>
      </c>
      <c r="G222" s="2" t="s">
        <v>72</v>
      </c>
      <c r="H222" s="5">
        <v>382.5</v>
      </c>
      <c r="I222" s="1" t="s">
        <v>8</v>
      </c>
      <c r="J222" s="17" t="s">
        <v>117</v>
      </c>
      <c r="K222" s="17" t="s">
        <v>288</v>
      </c>
      <c r="L222" s="17">
        <v>4200</v>
      </c>
      <c r="M222" s="17">
        <f>ABS((D222*E222)-L222)</f>
        <v>290</v>
      </c>
      <c r="N222" s="10" t="str">
        <f t="shared" si="9"/>
        <v>Unique</v>
      </c>
      <c r="O222" s="10"/>
      <c r="P222" s="10"/>
    </row>
    <row r="223" spans="1:16" ht="27.65" customHeight="1" thickBot="1" x14ac:dyDescent="0.4">
      <c r="A223" s="8" t="s">
        <v>61</v>
      </c>
      <c r="B223" s="8" t="s">
        <v>120</v>
      </c>
      <c r="C223" s="8" t="s">
        <v>7</v>
      </c>
      <c r="D223" s="8">
        <v>10</v>
      </c>
      <c r="E223" s="8">
        <v>816</v>
      </c>
      <c r="F223" s="4">
        <v>17.579250720000001</v>
      </c>
      <c r="G223" s="2" t="s">
        <v>121</v>
      </c>
      <c r="H223" s="5">
        <v>694</v>
      </c>
      <c r="I223" s="1" t="s">
        <v>8</v>
      </c>
      <c r="J223" s="32" t="s">
        <v>116</v>
      </c>
      <c r="N223" s="10" t="str">
        <f t="shared" si="9"/>
        <v>Unique</v>
      </c>
      <c r="P223" s="27"/>
    </row>
    <row r="224" spans="1:16" ht="27.65" customHeight="1" thickBot="1" x14ac:dyDescent="0.4">
      <c r="A224" s="3">
        <v>46266.375694444447</v>
      </c>
      <c r="B224" s="1" t="s">
        <v>65</v>
      </c>
      <c r="C224" s="1" t="s">
        <v>7</v>
      </c>
      <c r="D224" s="4">
        <v>5</v>
      </c>
      <c r="E224" s="4">
        <v>1248</v>
      </c>
      <c r="F224" s="4">
        <v>17.78029445</v>
      </c>
      <c r="G224" s="2" t="s">
        <v>66</v>
      </c>
      <c r="H224" s="5">
        <v>1059.5999999999999</v>
      </c>
      <c r="I224" s="1" t="s">
        <v>8</v>
      </c>
      <c r="J224" s="17" t="s">
        <v>116</v>
      </c>
      <c r="K224" s="17" t="s">
        <v>207</v>
      </c>
      <c r="L224" s="17">
        <v>5940</v>
      </c>
      <c r="M224" s="17">
        <f>ABS((D224*E224)-L224)</f>
        <v>300</v>
      </c>
      <c r="N224" s="10" t="str">
        <f t="shared" si="9"/>
        <v>Unique</v>
      </c>
    </row>
    <row r="225" spans="1:16" ht="40.75" customHeight="1" thickBot="1" x14ac:dyDescent="0.4">
      <c r="A225" s="11">
        <v>46252.645138888889</v>
      </c>
      <c r="B225" s="8" t="s">
        <v>34</v>
      </c>
      <c r="C225" s="8" t="s">
        <v>7</v>
      </c>
      <c r="D225" s="8">
        <v>200</v>
      </c>
      <c r="E225" s="8">
        <v>232</v>
      </c>
      <c r="F225" s="4">
        <v>17.838277120000001</v>
      </c>
      <c r="G225" s="2" t="s">
        <v>41</v>
      </c>
      <c r="H225" s="5">
        <v>196.88</v>
      </c>
      <c r="I225" s="1" t="s">
        <v>8</v>
      </c>
      <c r="J225" s="16" t="s">
        <v>116</v>
      </c>
      <c r="N225" s="10" t="str">
        <f t="shared" si="9"/>
        <v>Unique</v>
      </c>
    </row>
    <row r="226" spans="1:16" ht="27.65" customHeight="1" thickBot="1" x14ac:dyDescent="0.4">
      <c r="A226" s="8" t="s">
        <v>61</v>
      </c>
      <c r="B226" s="8" t="s">
        <v>52</v>
      </c>
      <c r="C226" s="8" t="s">
        <v>7</v>
      </c>
      <c r="D226" s="8">
        <v>3</v>
      </c>
      <c r="E226" s="12">
        <v>2710</v>
      </c>
      <c r="F226" s="4">
        <v>17.985110370000001</v>
      </c>
      <c r="G226" s="2" t="s">
        <v>53</v>
      </c>
      <c r="H226" s="5">
        <v>2296.9</v>
      </c>
      <c r="I226" s="1" t="s">
        <v>8</v>
      </c>
      <c r="J226" s="32" t="s">
        <v>117</v>
      </c>
      <c r="N226" s="10" t="str">
        <f t="shared" si="9"/>
        <v>Unique</v>
      </c>
    </row>
    <row r="227" spans="1:16" s="27" customFormat="1" ht="27.65" customHeight="1" thickBot="1" x14ac:dyDescent="0.4">
      <c r="A227" s="3">
        <v>46259.375</v>
      </c>
      <c r="B227" s="1" t="s">
        <v>24</v>
      </c>
      <c r="C227" s="1" t="s">
        <v>7</v>
      </c>
      <c r="D227" s="4">
        <v>20</v>
      </c>
      <c r="E227" s="4">
        <v>472.5</v>
      </c>
      <c r="F227" s="4">
        <v>18.125</v>
      </c>
      <c r="G227" s="2" t="s">
        <v>55</v>
      </c>
      <c r="H227" s="5">
        <v>400</v>
      </c>
      <c r="I227" s="1" t="s">
        <v>8</v>
      </c>
      <c r="J227" s="32" t="s">
        <v>117</v>
      </c>
      <c r="K227" s="17" t="s">
        <v>158</v>
      </c>
      <c r="L227" s="17">
        <v>8800</v>
      </c>
      <c r="M227" s="17">
        <f>ABS((D227*E227)-L227)</f>
        <v>650</v>
      </c>
      <c r="N227" s="10" t="str">
        <f t="shared" si="9"/>
        <v>Unique</v>
      </c>
      <c r="P227" s="10"/>
    </row>
    <row r="228" spans="1:16" s="27" customFormat="1" ht="40.75" customHeight="1" thickBot="1" x14ac:dyDescent="0.4">
      <c r="A228" s="8" t="s">
        <v>61</v>
      </c>
      <c r="B228" s="8" t="s">
        <v>6</v>
      </c>
      <c r="C228" s="8" t="s">
        <v>7</v>
      </c>
      <c r="D228" s="8">
        <v>120</v>
      </c>
      <c r="E228" s="8">
        <v>300.5</v>
      </c>
      <c r="F228" s="4">
        <v>18.283802399999999</v>
      </c>
      <c r="G228" s="2" t="s">
        <v>129</v>
      </c>
      <c r="H228" s="5">
        <v>254.05</v>
      </c>
      <c r="I228" s="1" t="s">
        <v>8</v>
      </c>
      <c r="J228" s="32" t="s">
        <v>117</v>
      </c>
      <c r="K228" s="17"/>
      <c r="L228" s="17"/>
      <c r="M228" s="17"/>
      <c r="N228" s="10" t="str">
        <f t="shared" si="9"/>
        <v>Unique</v>
      </c>
      <c r="O228" s="10"/>
      <c r="P228" s="10"/>
    </row>
    <row r="229" spans="1:16" ht="40.75" customHeight="1" thickBot="1" x14ac:dyDescent="0.4">
      <c r="A229" s="28">
        <v>46260.556944444441</v>
      </c>
      <c r="B229" s="29" t="s">
        <v>35</v>
      </c>
      <c r="C229" s="29" t="s">
        <v>7</v>
      </c>
      <c r="D229" s="30">
        <v>5</v>
      </c>
      <c r="E229" s="30">
        <v>1251</v>
      </c>
      <c r="F229" s="4">
        <v>18.320249690000001</v>
      </c>
      <c r="G229" s="2" t="s">
        <v>64</v>
      </c>
      <c r="H229" s="5">
        <v>1057.3</v>
      </c>
      <c r="I229" s="1" t="s">
        <v>8</v>
      </c>
      <c r="J229" s="25" t="s">
        <v>117</v>
      </c>
      <c r="K229" s="25" t="s">
        <v>162</v>
      </c>
      <c r="L229" s="25">
        <v>6105</v>
      </c>
      <c r="M229" s="25">
        <f>ABS((D229*E229)-L229)</f>
        <v>150</v>
      </c>
      <c r="N229" s="26" t="str">
        <f t="shared" si="9"/>
        <v>Duplicate</v>
      </c>
    </row>
    <row r="230" spans="1:16" s="27" customFormat="1" ht="40.75" customHeight="1" thickBot="1" x14ac:dyDescent="0.4">
      <c r="A230" s="28">
        <v>46261.375</v>
      </c>
      <c r="B230" s="29" t="s">
        <v>35</v>
      </c>
      <c r="C230" s="29" t="s">
        <v>7</v>
      </c>
      <c r="D230" s="30">
        <v>5</v>
      </c>
      <c r="E230" s="30">
        <v>1251</v>
      </c>
      <c r="F230" s="4">
        <v>18.320249690000001</v>
      </c>
      <c r="G230" s="2" t="s">
        <v>64</v>
      </c>
      <c r="H230" s="5">
        <v>1057.3</v>
      </c>
      <c r="I230" s="1" t="s">
        <v>8</v>
      </c>
      <c r="J230" s="25" t="s">
        <v>117</v>
      </c>
      <c r="K230" s="25" t="s">
        <v>175</v>
      </c>
      <c r="L230" s="25">
        <v>6005</v>
      </c>
      <c r="M230" s="25">
        <f>ABS((D230*E230)-L230)</f>
        <v>250</v>
      </c>
      <c r="N230" s="27" t="str">
        <f t="shared" si="9"/>
        <v>Duplicate</v>
      </c>
      <c r="O230" s="10"/>
      <c r="P230" s="10"/>
    </row>
    <row r="231" spans="1:16" ht="40.75" customHeight="1" thickBot="1" x14ac:dyDescent="0.4">
      <c r="A231" s="8" t="s">
        <v>61</v>
      </c>
      <c r="B231" s="8" t="s">
        <v>14</v>
      </c>
      <c r="C231" s="8" t="s">
        <v>7</v>
      </c>
      <c r="D231" s="8">
        <v>17</v>
      </c>
      <c r="E231" s="8">
        <v>373</v>
      </c>
      <c r="F231" s="4">
        <v>18.35633825</v>
      </c>
      <c r="G231" s="2" t="s">
        <v>44</v>
      </c>
      <c r="H231" s="5">
        <v>315.14999999999998</v>
      </c>
      <c r="I231" s="1" t="s">
        <v>8</v>
      </c>
      <c r="J231" s="32"/>
      <c r="N231" s="10" t="str">
        <f t="shared" si="9"/>
        <v>Unique</v>
      </c>
    </row>
    <row r="232" spans="1:16" s="27" customFormat="1" ht="27.65" customHeight="1" thickBot="1" x14ac:dyDescent="0.4">
      <c r="A232" s="8" t="s">
        <v>61</v>
      </c>
      <c r="B232" s="8" t="s">
        <v>14</v>
      </c>
      <c r="C232" s="8" t="s">
        <v>7</v>
      </c>
      <c r="D232" s="8">
        <v>50</v>
      </c>
      <c r="E232" s="12">
        <v>373</v>
      </c>
      <c r="F232" s="4">
        <v>18.35633825</v>
      </c>
      <c r="G232" s="2" t="s">
        <v>44</v>
      </c>
      <c r="H232" s="5">
        <v>315.14999999999998</v>
      </c>
      <c r="I232" s="1" t="s">
        <v>8</v>
      </c>
      <c r="J232" s="32" t="s">
        <v>117</v>
      </c>
      <c r="K232" s="17"/>
      <c r="L232" s="17"/>
      <c r="M232" s="17"/>
      <c r="N232" s="10" t="str">
        <f t="shared" si="9"/>
        <v>Unique</v>
      </c>
      <c r="P232" s="10"/>
    </row>
    <row r="233" spans="1:16" s="27" customFormat="1" ht="27.65" customHeight="1" thickBot="1" x14ac:dyDescent="0.4">
      <c r="A233" s="3">
        <v>46258.629861111112</v>
      </c>
      <c r="B233" s="1" t="s">
        <v>17</v>
      </c>
      <c r="C233" s="1" t="s">
        <v>7</v>
      </c>
      <c r="D233" s="4">
        <v>25</v>
      </c>
      <c r="E233" s="4">
        <v>392.5</v>
      </c>
      <c r="F233" s="4">
        <v>18.365500600000001</v>
      </c>
      <c r="G233" s="2" t="s">
        <v>76</v>
      </c>
      <c r="H233" s="5">
        <v>331.6</v>
      </c>
      <c r="I233" s="1" t="s">
        <v>8</v>
      </c>
      <c r="J233" s="17" t="s">
        <v>117</v>
      </c>
      <c r="K233" s="17" t="s">
        <v>153</v>
      </c>
      <c r="L233" s="17">
        <v>9312.5</v>
      </c>
      <c r="M233" s="17">
        <f>ABS((D233*E233)-L233)</f>
        <v>500</v>
      </c>
      <c r="N233" s="10" t="str">
        <f t="shared" si="9"/>
        <v>Unique</v>
      </c>
      <c r="O233" s="10"/>
      <c r="P233" s="10"/>
    </row>
    <row r="234" spans="1:16" ht="27.65" customHeight="1" thickBot="1" x14ac:dyDescent="0.4">
      <c r="A234" s="3">
        <v>46262.375</v>
      </c>
      <c r="B234" s="1" t="s">
        <v>86</v>
      </c>
      <c r="C234" s="1" t="s">
        <v>7</v>
      </c>
      <c r="D234" s="4">
        <v>10</v>
      </c>
      <c r="E234" s="4">
        <v>1340</v>
      </c>
      <c r="F234" s="4">
        <v>18.689105399999999</v>
      </c>
      <c r="G234" s="2" t="s">
        <v>87</v>
      </c>
      <c r="H234" s="5">
        <v>1129</v>
      </c>
      <c r="I234" s="1" t="s">
        <v>8</v>
      </c>
      <c r="J234" s="17" t="s">
        <v>116</v>
      </c>
      <c r="K234" s="17" t="s">
        <v>184</v>
      </c>
      <c r="L234" s="17">
        <v>13030</v>
      </c>
      <c r="M234" s="17">
        <f>ABS((D234*E234)-L234)</f>
        <v>370</v>
      </c>
      <c r="N234" s="10" t="str">
        <f t="shared" si="9"/>
        <v>Unique</v>
      </c>
      <c r="P234" s="27"/>
    </row>
    <row r="235" spans="1:16" ht="27.65" customHeight="1" thickBot="1" x14ac:dyDescent="0.4">
      <c r="A235" s="31">
        <v>46255</v>
      </c>
      <c r="B235" s="29" t="s">
        <v>19</v>
      </c>
      <c r="C235" s="29" t="s">
        <v>7</v>
      </c>
      <c r="D235" s="30">
        <v>20</v>
      </c>
      <c r="E235" s="30">
        <v>241</v>
      </c>
      <c r="F235" s="4">
        <v>18.719211820000002</v>
      </c>
      <c r="G235" s="2" t="s">
        <v>39</v>
      </c>
      <c r="H235" s="5">
        <v>203</v>
      </c>
      <c r="I235" s="1" t="s">
        <v>8</v>
      </c>
      <c r="J235" s="25" t="s">
        <v>117</v>
      </c>
      <c r="K235" s="25" t="s">
        <v>148</v>
      </c>
      <c r="L235" s="25">
        <v>4680</v>
      </c>
      <c r="M235" s="25">
        <f>ABS((D235*E235)-L235)</f>
        <v>140</v>
      </c>
      <c r="N235" s="27" t="str">
        <f t="shared" si="9"/>
        <v>Duplicate</v>
      </c>
      <c r="P235" s="27"/>
    </row>
    <row r="236" spans="1:16" ht="27.65" customHeight="1" thickBot="1" x14ac:dyDescent="0.4">
      <c r="A236" s="28">
        <v>46261.385416666664</v>
      </c>
      <c r="B236" s="29" t="s">
        <v>19</v>
      </c>
      <c r="C236" s="29" t="s">
        <v>7</v>
      </c>
      <c r="D236" s="30">
        <v>20</v>
      </c>
      <c r="E236" s="30">
        <v>241</v>
      </c>
      <c r="F236" s="4">
        <v>18.719211820000002</v>
      </c>
      <c r="G236" s="2" t="s">
        <v>39</v>
      </c>
      <c r="H236" s="5">
        <v>203</v>
      </c>
      <c r="I236" s="1" t="s">
        <v>8</v>
      </c>
      <c r="J236" s="25" t="s">
        <v>117</v>
      </c>
      <c r="K236" s="25" t="s">
        <v>174</v>
      </c>
      <c r="L236" s="25">
        <v>4520</v>
      </c>
      <c r="M236" s="25">
        <f>ABS((D236*E236)-L236)</f>
        <v>300</v>
      </c>
      <c r="N236" s="27" t="str">
        <f t="shared" si="9"/>
        <v>Duplicate</v>
      </c>
    </row>
    <row r="237" spans="1:16" ht="40.75" customHeight="1" thickBot="1" x14ac:dyDescent="0.4">
      <c r="A237" s="3">
        <v>46276.390277777777</v>
      </c>
      <c r="B237" s="1" t="s">
        <v>79</v>
      </c>
      <c r="C237" s="1" t="s">
        <v>7</v>
      </c>
      <c r="D237" s="4">
        <v>10</v>
      </c>
      <c r="E237" s="4">
        <v>1490</v>
      </c>
      <c r="F237" s="4">
        <v>18.914604950000001</v>
      </c>
      <c r="G237" s="2" t="s">
        <v>80</v>
      </c>
      <c r="H237" s="5">
        <v>1253</v>
      </c>
      <c r="I237" s="1" t="s">
        <v>8</v>
      </c>
      <c r="J237" s="17" t="s">
        <v>116</v>
      </c>
      <c r="K237" s="17" t="s">
        <v>263</v>
      </c>
      <c r="L237" s="17">
        <v>14400</v>
      </c>
      <c r="M237" s="17">
        <f>ABS((D237*E237)-L237)</f>
        <v>500</v>
      </c>
      <c r="N237" s="10" t="str">
        <f t="shared" si="9"/>
        <v>Unique</v>
      </c>
    </row>
    <row r="238" spans="1:16" ht="40.75" customHeight="1" thickBot="1" x14ac:dyDescent="0.4">
      <c r="A238" s="11">
        <v>46252.6875</v>
      </c>
      <c r="B238" s="8" t="s">
        <v>27</v>
      </c>
      <c r="C238" s="8" t="s">
        <v>7</v>
      </c>
      <c r="D238" s="8">
        <v>2</v>
      </c>
      <c r="E238" s="8">
        <v>3048</v>
      </c>
      <c r="F238" s="4">
        <v>19.05319897</v>
      </c>
      <c r="G238" s="2" t="s">
        <v>130</v>
      </c>
      <c r="H238" s="5">
        <v>2560.1999999999998</v>
      </c>
      <c r="I238" s="1" t="s">
        <v>8</v>
      </c>
      <c r="J238" s="32" t="s">
        <v>116</v>
      </c>
      <c r="N238" s="10" t="str">
        <f t="shared" si="9"/>
        <v>Unique</v>
      </c>
    </row>
    <row r="239" spans="1:16" ht="27.65" customHeight="1" thickBot="1" x14ac:dyDescent="0.4">
      <c r="A239" s="3">
        <v>46275.507638888892</v>
      </c>
      <c r="B239" s="1" t="s">
        <v>15</v>
      </c>
      <c r="C239" s="1" t="s">
        <v>7</v>
      </c>
      <c r="D239" s="4">
        <v>10</v>
      </c>
      <c r="E239" s="4">
        <v>2548</v>
      </c>
      <c r="F239" s="4">
        <v>19.288389509999998</v>
      </c>
      <c r="G239" s="2" t="s">
        <v>71</v>
      </c>
      <c r="H239" s="5">
        <v>2136</v>
      </c>
      <c r="I239" s="1" t="s">
        <v>8</v>
      </c>
      <c r="J239" s="17" t="s">
        <v>116</v>
      </c>
      <c r="K239" s="17" t="s">
        <v>257</v>
      </c>
      <c r="L239" s="17">
        <v>73800</v>
      </c>
      <c r="M239" s="17">
        <f>ABS((D239*E239)-L239)</f>
        <v>48320</v>
      </c>
      <c r="N239" s="10" t="str">
        <f t="shared" si="9"/>
        <v>Unique</v>
      </c>
      <c r="O239" s="36" t="s">
        <v>237</v>
      </c>
    </row>
    <row r="240" spans="1:16" ht="27.65" customHeight="1" thickBot="1" x14ac:dyDescent="0.4">
      <c r="A240" s="11">
        <v>46252.635416666664</v>
      </c>
      <c r="B240" s="8" t="s">
        <v>34</v>
      </c>
      <c r="C240" s="8" t="s">
        <v>7</v>
      </c>
      <c r="D240" s="8">
        <v>200</v>
      </c>
      <c r="E240" s="8">
        <v>235</v>
      </c>
      <c r="F240" s="4">
        <v>19.362047950000001</v>
      </c>
      <c r="G240" s="2" t="s">
        <v>41</v>
      </c>
      <c r="H240" s="5">
        <v>196.88</v>
      </c>
      <c r="I240" s="1" t="s">
        <v>8</v>
      </c>
      <c r="J240" s="35" t="s">
        <v>54</v>
      </c>
      <c r="N240" s="10" t="str">
        <f t="shared" si="9"/>
        <v>Unique</v>
      </c>
    </row>
    <row r="241" spans="1:16" ht="40.75" customHeight="1" thickBot="1" x14ac:dyDescent="0.4">
      <c r="A241" s="3">
        <v>46335.421527777777</v>
      </c>
      <c r="B241" s="1" t="s">
        <v>16</v>
      </c>
      <c r="C241" s="1" t="s">
        <v>7</v>
      </c>
      <c r="D241" s="4">
        <v>10</v>
      </c>
      <c r="E241" s="4">
        <v>884.9</v>
      </c>
      <c r="F241" s="4">
        <v>19.37137461</v>
      </c>
      <c r="G241" s="2" t="s">
        <v>60</v>
      </c>
      <c r="H241" s="5">
        <v>741.3</v>
      </c>
      <c r="I241" s="1" t="s">
        <v>8</v>
      </c>
      <c r="J241" s="17" t="s">
        <v>117</v>
      </c>
      <c r="K241" s="17" t="s">
        <v>261</v>
      </c>
      <c r="L241" s="17">
        <v>8049</v>
      </c>
      <c r="M241" s="17">
        <f>ABS((D241*E241)-L241)</f>
        <v>800</v>
      </c>
      <c r="N241" s="10" t="str">
        <f t="shared" si="9"/>
        <v>Unique</v>
      </c>
      <c r="O241" s="36" t="s">
        <v>237</v>
      </c>
    </row>
    <row r="242" spans="1:16" ht="27.65" customHeight="1" thickBot="1" x14ac:dyDescent="0.4">
      <c r="A242" s="3">
        <v>46261.375</v>
      </c>
      <c r="B242" s="1" t="s">
        <v>18</v>
      </c>
      <c r="C242" s="1" t="s">
        <v>7</v>
      </c>
      <c r="D242" s="4">
        <v>2</v>
      </c>
      <c r="E242" s="4">
        <v>1970</v>
      </c>
      <c r="F242" s="4">
        <v>19.53158182</v>
      </c>
      <c r="G242" s="2" t="s">
        <v>101</v>
      </c>
      <c r="H242" s="5">
        <v>1648.1</v>
      </c>
      <c r="I242" s="1" t="s">
        <v>8</v>
      </c>
      <c r="J242" s="17" t="s">
        <v>116</v>
      </c>
      <c r="K242" s="17" t="s">
        <v>177</v>
      </c>
      <c r="L242" s="17">
        <v>3680</v>
      </c>
      <c r="M242" s="17">
        <f>ABS((D242*E242)-L242)</f>
        <v>260</v>
      </c>
      <c r="N242" s="10" t="str">
        <f t="shared" si="9"/>
        <v>Unique</v>
      </c>
    </row>
    <row r="243" spans="1:16" ht="40.75" customHeight="1" thickBot="1" x14ac:dyDescent="0.4">
      <c r="A243" s="3">
        <v>46262.375</v>
      </c>
      <c r="B243" s="1" t="s">
        <v>58</v>
      </c>
      <c r="C243" s="1" t="s">
        <v>7</v>
      </c>
      <c r="D243" s="4">
        <v>4</v>
      </c>
      <c r="E243" s="4">
        <v>1146</v>
      </c>
      <c r="F243" s="4">
        <v>19.749216300000001</v>
      </c>
      <c r="G243" s="2" t="s">
        <v>59</v>
      </c>
      <c r="H243" s="5">
        <v>957</v>
      </c>
      <c r="I243" s="1" t="s">
        <v>8</v>
      </c>
      <c r="J243" s="17" t="s">
        <v>116</v>
      </c>
      <c r="K243" s="17" t="s">
        <v>185</v>
      </c>
      <c r="L243" s="17">
        <v>4264</v>
      </c>
      <c r="M243" s="17">
        <f>ABS((D243*E243)-L243)</f>
        <v>320</v>
      </c>
      <c r="N243" s="10" t="str">
        <f t="shared" si="9"/>
        <v>Unique</v>
      </c>
    </row>
    <row r="244" spans="1:16" ht="27.65" customHeight="1" thickBot="1" x14ac:dyDescent="0.4">
      <c r="A244" s="3">
        <v>46265.486111111109</v>
      </c>
      <c r="B244" s="1" t="s">
        <v>58</v>
      </c>
      <c r="C244" s="1" t="s">
        <v>7</v>
      </c>
      <c r="D244" s="4">
        <v>5</v>
      </c>
      <c r="E244" s="4">
        <v>1146</v>
      </c>
      <c r="F244" s="4">
        <v>19.749216300000001</v>
      </c>
      <c r="G244" s="2" t="s">
        <v>59</v>
      </c>
      <c r="H244" s="5">
        <v>957</v>
      </c>
      <c r="I244" s="1" t="s">
        <v>8</v>
      </c>
      <c r="J244" s="17" t="s">
        <v>117</v>
      </c>
      <c r="K244" s="17" t="s">
        <v>191</v>
      </c>
      <c r="L244" s="17">
        <v>5282</v>
      </c>
      <c r="M244" s="17">
        <f>ABS((D244*E244)-L244)</f>
        <v>448</v>
      </c>
      <c r="N244" t="str">
        <f t="shared" si="9"/>
        <v>Unique</v>
      </c>
    </row>
    <row r="245" spans="1:16" ht="27.65" customHeight="1" thickBot="1" x14ac:dyDescent="0.4">
      <c r="A245" s="8" t="s">
        <v>61</v>
      </c>
      <c r="B245" s="8" t="s">
        <v>132</v>
      </c>
      <c r="C245" s="8" t="s">
        <v>7</v>
      </c>
      <c r="D245" s="8">
        <v>150</v>
      </c>
      <c r="E245" s="12">
        <v>129.9</v>
      </c>
      <c r="F245" s="4">
        <v>19.756614729999999</v>
      </c>
      <c r="G245" s="2" t="s">
        <v>133</v>
      </c>
      <c r="H245" s="5">
        <v>108.47</v>
      </c>
      <c r="I245" s="1" t="s">
        <v>8</v>
      </c>
      <c r="J245" s="32"/>
      <c r="N245" s="10" t="str">
        <f t="shared" si="9"/>
        <v>Unique</v>
      </c>
    </row>
    <row r="246" spans="1:16" ht="27.65" customHeight="1" thickBot="1" x14ac:dyDescent="0.4">
      <c r="A246" s="53">
        <v>46302</v>
      </c>
      <c r="B246" s="1" t="s">
        <v>22</v>
      </c>
      <c r="C246" s="1" t="s">
        <v>7</v>
      </c>
      <c r="D246" s="4">
        <v>14</v>
      </c>
      <c r="E246" s="4">
        <v>459</v>
      </c>
      <c r="F246" s="4">
        <v>20</v>
      </c>
      <c r="G246" s="2" t="s">
        <v>72</v>
      </c>
      <c r="H246" s="5">
        <v>382.5</v>
      </c>
      <c r="I246" s="1" t="s">
        <v>8</v>
      </c>
      <c r="J246" s="49" t="s">
        <v>116</v>
      </c>
      <c r="K246" s="16"/>
      <c r="L246" s="16"/>
      <c r="M246" s="16"/>
      <c r="N246" t="str">
        <f t="shared" si="9"/>
        <v>Unique</v>
      </c>
      <c r="O246"/>
    </row>
    <row r="247" spans="1:16" ht="27.65" customHeight="1" thickBot="1" x14ac:dyDescent="0.4">
      <c r="A247" s="8" t="s">
        <v>61</v>
      </c>
      <c r="B247" s="8" t="s">
        <v>28</v>
      </c>
      <c r="C247" s="8" t="s">
        <v>7</v>
      </c>
      <c r="D247" s="8">
        <v>30</v>
      </c>
      <c r="E247" s="13">
        <v>974</v>
      </c>
      <c r="F247" s="4">
        <v>20.395550060000001</v>
      </c>
      <c r="G247" s="2" t="s">
        <v>124</v>
      </c>
      <c r="H247" s="5">
        <v>809</v>
      </c>
      <c r="I247" s="1" t="s">
        <v>8</v>
      </c>
      <c r="J247" s="32"/>
      <c r="N247" s="10" t="str">
        <f t="shared" si="9"/>
        <v>Unique</v>
      </c>
    </row>
    <row r="248" spans="1:16" s="27" customFormat="1" ht="27.65" customHeight="1" thickBot="1" x14ac:dyDescent="0.4">
      <c r="A248" s="3">
        <v>46262.375</v>
      </c>
      <c r="B248" s="1" t="s">
        <v>86</v>
      </c>
      <c r="C248" s="1" t="s">
        <v>7</v>
      </c>
      <c r="D248" s="4">
        <v>10</v>
      </c>
      <c r="E248" s="4">
        <v>1360</v>
      </c>
      <c r="F248" s="4">
        <v>20.46058459</v>
      </c>
      <c r="G248" s="2" t="s">
        <v>87</v>
      </c>
      <c r="H248" s="5">
        <v>1129</v>
      </c>
      <c r="I248" s="1" t="s">
        <v>8</v>
      </c>
      <c r="J248" s="17" t="s">
        <v>116</v>
      </c>
      <c r="K248" s="17" t="s">
        <v>187</v>
      </c>
      <c r="L248" s="17">
        <v>13300</v>
      </c>
      <c r="M248" s="17">
        <f>ABS((D248*E248)-L248)</f>
        <v>300</v>
      </c>
      <c r="N248" s="10" t="str">
        <f t="shared" si="9"/>
        <v>Unique</v>
      </c>
      <c r="O248" s="10"/>
      <c r="P248" s="10"/>
    </row>
    <row r="249" spans="1:16" s="27" customFormat="1" ht="40.75" customHeight="1" thickBot="1" x14ac:dyDescent="0.4">
      <c r="A249" s="3">
        <v>46276.388194444444</v>
      </c>
      <c r="B249" s="1" t="s">
        <v>79</v>
      </c>
      <c r="C249" s="1" t="s">
        <v>7</v>
      </c>
      <c r="D249" s="4">
        <v>10</v>
      </c>
      <c r="E249" s="4">
        <v>1510</v>
      </c>
      <c r="F249" s="4">
        <v>20.510774139999999</v>
      </c>
      <c r="G249" s="2" t="s">
        <v>80</v>
      </c>
      <c r="H249" s="5">
        <v>1253</v>
      </c>
      <c r="I249" s="1" t="s">
        <v>8</v>
      </c>
      <c r="J249" s="17" t="s">
        <v>116</v>
      </c>
      <c r="K249" s="17" t="s">
        <v>264</v>
      </c>
      <c r="L249" s="17">
        <v>14650</v>
      </c>
      <c r="M249" s="17">
        <f>ABS((D249*E249)-L249)</f>
        <v>450</v>
      </c>
      <c r="N249" s="10" t="str">
        <f t="shared" si="9"/>
        <v>Unique</v>
      </c>
      <c r="O249" s="10"/>
      <c r="P249" s="10"/>
    </row>
    <row r="250" spans="1:16" ht="27.65" customHeight="1" thickBot="1" x14ac:dyDescent="0.4">
      <c r="A250" s="8" t="s">
        <v>61</v>
      </c>
      <c r="B250" s="8" t="s">
        <v>127</v>
      </c>
      <c r="C250" s="8" t="s">
        <v>7</v>
      </c>
      <c r="D250" s="8">
        <v>150</v>
      </c>
      <c r="E250" s="8">
        <v>129</v>
      </c>
      <c r="F250" s="4">
        <v>20.899718839999998</v>
      </c>
      <c r="G250" s="2" t="s">
        <v>128</v>
      </c>
      <c r="H250" s="5">
        <v>106.7</v>
      </c>
      <c r="I250" s="1" t="s">
        <v>8</v>
      </c>
      <c r="J250" s="32"/>
      <c r="N250" s="10" t="str">
        <f t="shared" si="9"/>
        <v>Unique</v>
      </c>
    </row>
    <row r="251" spans="1:16" ht="27.65" customHeight="1" thickBot="1" x14ac:dyDescent="0.4">
      <c r="A251" s="11">
        <v>46252.635416666664</v>
      </c>
      <c r="B251" s="8" t="s">
        <v>34</v>
      </c>
      <c r="C251" s="8" t="s">
        <v>7</v>
      </c>
      <c r="D251" s="8">
        <v>120</v>
      </c>
      <c r="E251" s="8">
        <v>238.2</v>
      </c>
      <c r="F251" s="4">
        <v>20.987403489999998</v>
      </c>
      <c r="G251" s="2" t="s">
        <v>41</v>
      </c>
      <c r="H251" s="5">
        <v>196.88</v>
      </c>
      <c r="I251" s="1" t="s">
        <v>8</v>
      </c>
      <c r="J251" s="32" t="s">
        <v>117</v>
      </c>
      <c r="K251" s="17" t="s">
        <v>144</v>
      </c>
      <c r="N251" s="10" t="str">
        <f t="shared" si="9"/>
        <v>Unique</v>
      </c>
    </row>
    <row r="252" spans="1:16" ht="27.65" customHeight="1" thickBot="1" x14ac:dyDescent="0.4">
      <c r="A252" s="3">
        <v>46275.507638888892</v>
      </c>
      <c r="B252" s="1" t="s">
        <v>15</v>
      </c>
      <c r="C252" s="1" t="s">
        <v>7</v>
      </c>
      <c r="D252" s="4">
        <v>10</v>
      </c>
      <c r="E252" s="4">
        <v>2590</v>
      </c>
      <c r="F252" s="4">
        <v>21.254681649999998</v>
      </c>
      <c r="G252" s="2" t="s">
        <v>71</v>
      </c>
      <c r="H252" s="5">
        <v>2136</v>
      </c>
      <c r="I252" s="1" t="s">
        <v>8</v>
      </c>
      <c r="J252" s="17" t="s">
        <v>116</v>
      </c>
      <c r="K252" s="17" t="s">
        <v>257</v>
      </c>
      <c r="L252" s="17">
        <v>73800</v>
      </c>
      <c r="M252" s="17">
        <f>ABS((D252*E252)-L252)</f>
        <v>47900</v>
      </c>
      <c r="N252" s="10" t="str">
        <f t="shared" si="9"/>
        <v>Unique</v>
      </c>
      <c r="O252" s="36" t="s">
        <v>237</v>
      </c>
    </row>
    <row r="253" spans="1:16" ht="27.65" customHeight="1" thickBot="1" x14ac:dyDescent="0.4">
      <c r="A253" s="8" t="s">
        <v>61</v>
      </c>
      <c r="B253" s="8" t="s">
        <v>34</v>
      </c>
      <c r="C253" s="8" t="s">
        <v>7</v>
      </c>
      <c r="D253" s="8">
        <v>200</v>
      </c>
      <c r="E253" s="8">
        <v>239</v>
      </c>
      <c r="F253" s="4">
        <v>21.393742379999999</v>
      </c>
      <c r="G253" s="2" t="s">
        <v>41</v>
      </c>
      <c r="H253" s="5">
        <v>196.88</v>
      </c>
      <c r="I253" s="1" t="s">
        <v>8</v>
      </c>
      <c r="J253" s="32" t="s">
        <v>116</v>
      </c>
      <c r="N253" s="10" t="str">
        <f t="shared" si="9"/>
        <v>Unique</v>
      </c>
    </row>
    <row r="254" spans="1:16" ht="27.65" customHeight="1" thickBot="1" x14ac:dyDescent="0.4">
      <c r="A254" s="8" t="s">
        <v>61</v>
      </c>
      <c r="B254" s="8" t="s">
        <v>13</v>
      </c>
      <c r="C254" s="8" t="s">
        <v>7</v>
      </c>
      <c r="D254" s="8">
        <v>10</v>
      </c>
      <c r="E254" s="8">
        <v>2189</v>
      </c>
      <c r="F254" s="4">
        <v>21.40876317</v>
      </c>
      <c r="G254" s="2" t="s">
        <v>90</v>
      </c>
      <c r="H254" s="5">
        <v>1803</v>
      </c>
      <c r="I254" s="1" t="s">
        <v>8</v>
      </c>
      <c r="J254" s="32"/>
      <c r="N254" s="10" t="str">
        <f t="shared" si="9"/>
        <v>Unique</v>
      </c>
    </row>
    <row r="255" spans="1:16" ht="27.65" customHeight="1" thickBot="1" x14ac:dyDescent="0.4">
      <c r="A255" s="3">
        <v>46266.375</v>
      </c>
      <c r="B255" s="1" t="s">
        <v>15</v>
      </c>
      <c r="C255" s="1" t="s">
        <v>7</v>
      </c>
      <c r="D255" s="4">
        <v>10</v>
      </c>
      <c r="E255" s="4">
        <v>2595</v>
      </c>
      <c r="F255" s="4">
        <v>21.48876404</v>
      </c>
      <c r="G255" s="2" t="s">
        <v>71</v>
      </c>
      <c r="H255" s="5">
        <v>2136</v>
      </c>
      <c r="I255" s="1" t="s">
        <v>8</v>
      </c>
      <c r="J255" s="17" t="s">
        <v>117</v>
      </c>
      <c r="K255" s="17" t="s">
        <v>213</v>
      </c>
      <c r="L255" s="17">
        <v>25300</v>
      </c>
      <c r="M255" s="17">
        <f>ABS((D255*E255)-L255)</f>
        <v>650</v>
      </c>
      <c r="N255" s="10" t="str">
        <f t="shared" si="9"/>
        <v>Unique</v>
      </c>
      <c r="O255" s="36" t="s">
        <v>237</v>
      </c>
    </row>
    <row r="256" spans="1:16" ht="27.65" customHeight="1" thickBot="1" x14ac:dyDescent="0.4">
      <c r="A256" s="3">
        <v>46267.513888888891</v>
      </c>
      <c r="B256" s="1" t="s">
        <v>15</v>
      </c>
      <c r="C256" s="1" t="s">
        <v>7</v>
      </c>
      <c r="D256" s="4">
        <v>5</v>
      </c>
      <c r="E256" s="4">
        <v>2595</v>
      </c>
      <c r="F256" s="4">
        <v>21.48876404</v>
      </c>
      <c r="G256" s="2" t="s">
        <v>71</v>
      </c>
      <c r="H256" s="5">
        <v>2136</v>
      </c>
      <c r="I256" s="1" t="s">
        <v>8</v>
      </c>
      <c r="J256" s="17" t="s">
        <v>117</v>
      </c>
      <c r="K256" s="17" t="s">
        <v>224</v>
      </c>
      <c r="L256" s="17">
        <v>12480</v>
      </c>
      <c r="M256" s="17">
        <f>ABS((D256*E256)-L256)</f>
        <v>495</v>
      </c>
      <c r="N256" s="10" t="str">
        <f t="shared" si="9"/>
        <v>Unique</v>
      </c>
      <c r="O256" s="36" t="s">
        <v>237</v>
      </c>
    </row>
    <row r="257" spans="1:16" ht="40.75" customHeight="1" thickBot="1" x14ac:dyDescent="0.4">
      <c r="A257" s="8" t="s">
        <v>61</v>
      </c>
      <c r="B257" s="8" t="s">
        <v>14</v>
      </c>
      <c r="C257" s="8" t="s">
        <v>7</v>
      </c>
      <c r="D257" s="8">
        <v>50</v>
      </c>
      <c r="E257" s="12">
        <v>383</v>
      </c>
      <c r="F257" s="4">
        <v>21.529430430000001</v>
      </c>
      <c r="G257" s="2" t="s">
        <v>44</v>
      </c>
      <c r="H257" s="5">
        <v>315.14999999999998</v>
      </c>
      <c r="I257" s="1" t="s">
        <v>8</v>
      </c>
      <c r="J257" s="32"/>
      <c r="N257" s="10" t="str">
        <f t="shared" si="9"/>
        <v>Unique</v>
      </c>
    </row>
    <row r="258" spans="1:16" ht="27.65" customHeight="1" thickBot="1" x14ac:dyDescent="0.4">
      <c r="A258" s="8" t="s">
        <v>61</v>
      </c>
      <c r="B258" s="8" t="s">
        <v>26</v>
      </c>
      <c r="C258" s="8" t="s">
        <v>7</v>
      </c>
      <c r="D258" s="8">
        <v>25</v>
      </c>
      <c r="E258" s="8">
        <v>199.9</v>
      </c>
      <c r="F258" s="4">
        <v>21.630666260000002</v>
      </c>
      <c r="G258" s="2" t="s">
        <v>131</v>
      </c>
      <c r="H258" s="5">
        <v>164.35</v>
      </c>
      <c r="I258" s="1" t="s">
        <v>8</v>
      </c>
      <c r="J258" s="32" t="s">
        <v>116</v>
      </c>
      <c r="N258" s="10" t="str">
        <f t="shared" ref="N258:N315" si="11">IF(COUNTIFS( $B$2:$B$657, B258, $C$2:$C$657, C258, $D$2:$D$657, D258, $E$2:$E$657, E258) &gt; 1, "Duplicate", "Unique")</f>
        <v>Unique</v>
      </c>
    </row>
    <row r="259" spans="1:16" ht="27.65" customHeight="1" thickBot="1" x14ac:dyDescent="0.4">
      <c r="A259" s="3">
        <v>46272.375694444447</v>
      </c>
      <c r="B259" s="1" t="s">
        <v>16</v>
      </c>
      <c r="C259" s="1" t="s">
        <v>7</v>
      </c>
      <c r="D259" s="4">
        <v>5</v>
      </c>
      <c r="E259" s="4">
        <v>902</v>
      </c>
      <c r="F259" s="4">
        <v>21.67813301</v>
      </c>
      <c r="G259" s="2" t="s">
        <v>60</v>
      </c>
      <c r="H259" s="5">
        <v>741.3</v>
      </c>
      <c r="I259" s="1" t="s">
        <v>8</v>
      </c>
      <c r="J259" s="17" t="s">
        <v>117</v>
      </c>
      <c r="K259" s="17" t="s">
        <v>240</v>
      </c>
      <c r="L259" s="17">
        <v>4260</v>
      </c>
      <c r="M259" s="17">
        <f>ABS((D259*E259)-L259)</f>
        <v>250</v>
      </c>
      <c r="N259" s="10" t="str">
        <f t="shared" si="11"/>
        <v>Unique</v>
      </c>
      <c r="P259" s="27"/>
    </row>
    <row r="260" spans="1:16" ht="27.65" customHeight="1" thickBot="1" x14ac:dyDescent="0.4">
      <c r="A260" s="40" t="s">
        <v>61</v>
      </c>
      <c r="B260" s="42" t="s">
        <v>23</v>
      </c>
      <c r="C260" s="40" t="s">
        <v>7</v>
      </c>
      <c r="D260" s="40">
        <v>40</v>
      </c>
      <c r="E260" s="43">
        <v>229</v>
      </c>
      <c r="F260" s="4">
        <v>21.808510640000002</v>
      </c>
      <c r="G260" s="2" t="s">
        <v>69</v>
      </c>
      <c r="H260" s="5">
        <v>188</v>
      </c>
      <c r="I260" s="1" t="s">
        <v>8</v>
      </c>
      <c r="J260" s="44" t="s">
        <v>116</v>
      </c>
      <c r="K260" s="41"/>
      <c r="L260" s="41"/>
      <c r="M260" s="41"/>
      <c r="N260" s="22" t="str">
        <f t="shared" si="11"/>
        <v>Unique</v>
      </c>
      <c r="O260" s="22"/>
      <c r="P260" s="22" t="s">
        <v>249</v>
      </c>
    </row>
    <row r="261" spans="1:16" ht="27.65" customHeight="1" thickBot="1" x14ac:dyDescent="0.4">
      <c r="A261" s="8" t="s">
        <v>61</v>
      </c>
      <c r="B261" s="8" t="s">
        <v>28</v>
      </c>
      <c r="C261" s="8" t="s">
        <v>7</v>
      </c>
      <c r="D261" s="8">
        <v>5</v>
      </c>
      <c r="E261" s="12">
        <v>986</v>
      </c>
      <c r="F261" s="4">
        <v>21.878862789999999</v>
      </c>
      <c r="G261" s="2" t="s">
        <v>124</v>
      </c>
      <c r="H261" s="5">
        <v>809</v>
      </c>
      <c r="I261" s="1" t="s">
        <v>8</v>
      </c>
      <c r="J261" s="32"/>
      <c r="N261" s="10" t="str">
        <f t="shared" si="11"/>
        <v>Unique</v>
      </c>
    </row>
    <row r="262" spans="1:16" ht="40.75" customHeight="1" thickBot="1" x14ac:dyDescent="0.4">
      <c r="A262" s="3">
        <v>46265.375694444447</v>
      </c>
      <c r="B262" s="1" t="s">
        <v>15</v>
      </c>
      <c r="C262" s="1" t="s">
        <v>7</v>
      </c>
      <c r="D262" s="4">
        <v>10</v>
      </c>
      <c r="E262" s="4">
        <v>2608</v>
      </c>
      <c r="F262" s="4">
        <v>22.097378280000001</v>
      </c>
      <c r="G262" s="2" t="s">
        <v>71</v>
      </c>
      <c r="H262" s="5">
        <v>2136</v>
      </c>
      <c r="I262" s="1" t="s">
        <v>8</v>
      </c>
      <c r="J262" s="17" t="s">
        <v>117</v>
      </c>
      <c r="K262" s="17" t="s">
        <v>199</v>
      </c>
      <c r="L262" s="17">
        <v>25780</v>
      </c>
      <c r="M262" s="17">
        <f>ABS((D262*E262)-L262)</f>
        <v>300</v>
      </c>
      <c r="N262" t="str">
        <f t="shared" si="11"/>
        <v>Unique</v>
      </c>
      <c r="O262" s="36" t="s">
        <v>237</v>
      </c>
      <c r="P262"/>
    </row>
    <row r="263" spans="1:16" ht="40.75" customHeight="1" thickBot="1" x14ac:dyDescent="0.4">
      <c r="A263" s="11">
        <v>46252.635416666664</v>
      </c>
      <c r="B263" s="8" t="s">
        <v>125</v>
      </c>
      <c r="C263" s="39" t="s">
        <v>7</v>
      </c>
      <c r="D263" s="8">
        <v>6</v>
      </c>
      <c r="E263" s="8">
        <v>548</v>
      </c>
      <c r="F263" s="4">
        <v>22.144210409999999</v>
      </c>
      <c r="G263" s="2" t="s">
        <v>126</v>
      </c>
      <c r="H263" s="5">
        <v>448.65</v>
      </c>
      <c r="I263" s="1" t="s">
        <v>8</v>
      </c>
      <c r="J263" s="32"/>
      <c r="N263" s="10" t="str">
        <f t="shared" si="11"/>
        <v>Unique</v>
      </c>
      <c r="O263" s="27"/>
    </row>
    <row r="264" spans="1:16" ht="27.65" customHeight="1" thickBot="1" x14ac:dyDescent="0.4">
      <c r="A264" s="8" t="s">
        <v>61</v>
      </c>
      <c r="B264" s="8" t="s">
        <v>6</v>
      </c>
      <c r="C264" s="8" t="s">
        <v>7</v>
      </c>
      <c r="D264" s="8">
        <v>100</v>
      </c>
      <c r="E264" s="8">
        <v>310.5</v>
      </c>
      <c r="F264" s="4">
        <v>22.220035429999999</v>
      </c>
      <c r="G264" s="2" t="s">
        <v>129</v>
      </c>
      <c r="H264" s="5">
        <v>254.05</v>
      </c>
      <c r="I264" s="1" t="s">
        <v>8</v>
      </c>
      <c r="J264" s="32" t="s">
        <v>117</v>
      </c>
      <c r="N264" s="10" t="str">
        <f t="shared" si="11"/>
        <v>Unique</v>
      </c>
    </row>
    <row r="265" spans="1:16" ht="27.65" customHeight="1" thickBot="1" x14ac:dyDescent="0.4">
      <c r="A265" s="8" t="s">
        <v>61</v>
      </c>
      <c r="B265" s="8" t="s">
        <v>62</v>
      </c>
      <c r="C265" s="8" t="s">
        <v>7</v>
      </c>
      <c r="D265" s="8">
        <v>11</v>
      </c>
      <c r="E265" s="12">
        <v>1170</v>
      </c>
      <c r="F265" s="4">
        <v>22.52591894</v>
      </c>
      <c r="G265" s="2" t="s">
        <v>63</v>
      </c>
      <c r="H265" s="5">
        <v>954.9</v>
      </c>
      <c r="I265" s="1" t="s">
        <v>8</v>
      </c>
      <c r="J265" s="32"/>
      <c r="N265" s="10" t="str">
        <f t="shared" si="11"/>
        <v>Unique</v>
      </c>
    </row>
    <row r="266" spans="1:16" ht="27.65" customHeight="1" thickBot="1" x14ac:dyDescent="0.4">
      <c r="A266" s="3">
        <v>46265.390277777777</v>
      </c>
      <c r="B266" s="1" t="s">
        <v>15</v>
      </c>
      <c r="C266" s="1" t="s">
        <v>7</v>
      </c>
      <c r="D266" s="4">
        <v>10</v>
      </c>
      <c r="E266" s="4">
        <v>2618</v>
      </c>
      <c r="F266" s="4">
        <v>22.56554307</v>
      </c>
      <c r="G266" s="2" t="s">
        <v>71</v>
      </c>
      <c r="H266" s="5">
        <v>2136</v>
      </c>
      <c r="I266" s="1" t="s">
        <v>8</v>
      </c>
      <c r="J266" s="17" t="s">
        <v>116</v>
      </c>
      <c r="K266" s="17" t="s">
        <v>196</v>
      </c>
      <c r="L266" s="17">
        <v>25530</v>
      </c>
      <c r="M266" s="17">
        <f>ABS((D266*E266)-L266)</f>
        <v>650</v>
      </c>
      <c r="N266" t="str">
        <f t="shared" si="11"/>
        <v>Unique</v>
      </c>
      <c r="O266"/>
      <c r="P266"/>
    </row>
    <row r="267" spans="1:16" ht="40.75" customHeight="1" thickBot="1" x14ac:dyDescent="0.4">
      <c r="A267" s="19">
        <v>46255</v>
      </c>
      <c r="B267" s="1" t="s">
        <v>20</v>
      </c>
      <c r="C267" s="1" t="s">
        <v>7</v>
      </c>
      <c r="D267" s="4">
        <v>20</v>
      </c>
      <c r="E267" s="4">
        <v>147</v>
      </c>
      <c r="F267" s="4">
        <v>22.643083600000001</v>
      </c>
      <c r="G267" s="2" t="s">
        <v>85</v>
      </c>
      <c r="H267" s="5">
        <v>119.86</v>
      </c>
      <c r="I267" s="1" t="s">
        <v>8</v>
      </c>
      <c r="J267" s="17" t="s">
        <v>54</v>
      </c>
      <c r="K267" s="17" t="s">
        <v>147</v>
      </c>
      <c r="L267" s="17">
        <v>2640</v>
      </c>
      <c r="M267" s="17">
        <f>ABS((D267*E267)-L267)</f>
        <v>300</v>
      </c>
      <c r="N267" s="10" t="str">
        <f t="shared" si="11"/>
        <v>Unique</v>
      </c>
    </row>
    <row r="268" spans="1:16" ht="40.75" customHeight="1" thickBot="1" x14ac:dyDescent="0.4">
      <c r="A268" s="3">
        <v>46290.385416666664</v>
      </c>
      <c r="B268" s="2" t="s">
        <v>118</v>
      </c>
      <c r="C268" s="2" t="s">
        <v>7</v>
      </c>
      <c r="D268" s="5">
        <v>15</v>
      </c>
      <c r="E268" s="5">
        <v>1048</v>
      </c>
      <c r="F268" s="4">
        <v>22.932551320000002</v>
      </c>
      <c r="G268" s="2" t="s">
        <v>119</v>
      </c>
      <c r="H268" s="5">
        <v>852.5</v>
      </c>
      <c r="I268" s="1" t="s">
        <v>8</v>
      </c>
      <c r="J268" s="17" t="s">
        <v>54</v>
      </c>
      <c r="K268" s="17" t="s">
        <v>289</v>
      </c>
      <c r="L268" s="17">
        <v>15300</v>
      </c>
      <c r="M268" s="17">
        <f>ABS((D268*E268)-L268)</f>
        <v>420</v>
      </c>
      <c r="N268" s="10" t="str">
        <f t="shared" si="11"/>
        <v>Unique</v>
      </c>
    </row>
    <row r="269" spans="1:16" ht="27.65" customHeight="1" thickBot="1" x14ac:dyDescent="0.4">
      <c r="A269" s="8" t="s">
        <v>61</v>
      </c>
      <c r="B269" s="14" t="s">
        <v>28</v>
      </c>
      <c r="C269" s="8" t="s">
        <v>7</v>
      </c>
      <c r="D269" s="8">
        <v>40</v>
      </c>
      <c r="E269" s="15">
        <v>996</v>
      </c>
      <c r="F269" s="4">
        <v>23.11495674</v>
      </c>
      <c r="G269" s="2" t="s">
        <v>124</v>
      </c>
      <c r="H269" s="5">
        <v>809</v>
      </c>
      <c r="I269" s="1" t="s">
        <v>8</v>
      </c>
      <c r="J269" s="32" t="s">
        <v>117</v>
      </c>
      <c r="N269" s="10" t="str">
        <f t="shared" si="11"/>
        <v>Unique</v>
      </c>
    </row>
    <row r="270" spans="1:16" ht="27.65" customHeight="1" thickBot="1" x14ac:dyDescent="0.4">
      <c r="A270" s="3">
        <v>46260.375</v>
      </c>
      <c r="B270" s="1" t="s">
        <v>86</v>
      </c>
      <c r="C270" s="1" t="s">
        <v>7</v>
      </c>
      <c r="D270" s="4">
        <v>10</v>
      </c>
      <c r="E270" s="4">
        <v>1390</v>
      </c>
      <c r="F270" s="4">
        <v>23.117803370000001</v>
      </c>
      <c r="G270" s="2" t="s">
        <v>87</v>
      </c>
      <c r="H270" s="5">
        <v>1129</v>
      </c>
      <c r="I270" s="1" t="s">
        <v>8</v>
      </c>
      <c r="J270" s="17" t="s">
        <v>116</v>
      </c>
      <c r="K270" s="17" t="s">
        <v>170</v>
      </c>
      <c r="L270" s="17">
        <v>13600</v>
      </c>
      <c r="M270" s="17">
        <f t="shared" ref="M270:M275" si="12">ABS((D270*E270)-L270)</f>
        <v>300</v>
      </c>
      <c r="N270" t="str">
        <f t="shared" si="11"/>
        <v>Unique</v>
      </c>
    </row>
    <row r="271" spans="1:16" s="27" customFormat="1" ht="27.65" customHeight="1" thickBot="1" x14ac:dyDescent="0.4">
      <c r="A271" s="3">
        <v>46269.375</v>
      </c>
      <c r="B271" s="1" t="s">
        <v>22</v>
      </c>
      <c r="C271" s="1" t="s">
        <v>7</v>
      </c>
      <c r="D271" s="4">
        <v>5</v>
      </c>
      <c r="E271" s="4">
        <v>471</v>
      </c>
      <c r="F271" s="4">
        <v>23.137254899999999</v>
      </c>
      <c r="G271" s="2" t="s">
        <v>72</v>
      </c>
      <c r="H271" s="5">
        <v>382.5</v>
      </c>
      <c r="I271" s="1" t="s">
        <v>8</v>
      </c>
      <c r="J271" s="17" t="s">
        <v>117</v>
      </c>
      <c r="K271" s="17" t="s">
        <v>234</v>
      </c>
      <c r="L271" s="17">
        <v>2105</v>
      </c>
      <c r="M271" s="24">
        <f t="shared" si="12"/>
        <v>250</v>
      </c>
      <c r="N271" t="str">
        <f t="shared" si="11"/>
        <v>Unique</v>
      </c>
      <c r="O271" s="10"/>
      <c r="P271" s="10"/>
    </row>
    <row r="272" spans="1:16" ht="27.65" customHeight="1" thickBot="1" x14ac:dyDescent="0.4">
      <c r="A272" s="3">
        <v>46275.507638888892</v>
      </c>
      <c r="B272" s="1" t="s">
        <v>15</v>
      </c>
      <c r="C272" s="1" t="s">
        <v>7</v>
      </c>
      <c r="D272" s="4">
        <v>10</v>
      </c>
      <c r="E272" s="4">
        <v>2632</v>
      </c>
      <c r="F272" s="4">
        <v>23.220973780000001</v>
      </c>
      <c r="G272" s="2" t="s">
        <v>71</v>
      </c>
      <c r="H272" s="5">
        <v>2136</v>
      </c>
      <c r="I272" s="1" t="s">
        <v>8</v>
      </c>
      <c r="J272" s="17" t="s">
        <v>116</v>
      </c>
      <c r="K272" s="17" t="s">
        <v>257</v>
      </c>
      <c r="L272" s="17">
        <v>73800</v>
      </c>
      <c r="M272" s="17">
        <f t="shared" si="12"/>
        <v>47480</v>
      </c>
      <c r="N272" s="10" t="str">
        <f t="shared" si="11"/>
        <v>Unique</v>
      </c>
    </row>
    <row r="273" spans="1:16" s="27" customFormat="1" ht="27.65" customHeight="1" thickBot="1" x14ac:dyDescent="0.4">
      <c r="A273" s="3">
        <v>46265.375694444447</v>
      </c>
      <c r="B273" s="1" t="s">
        <v>15</v>
      </c>
      <c r="C273" s="1" t="s">
        <v>7</v>
      </c>
      <c r="D273" s="4">
        <v>10</v>
      </c>
      <c r="E273" s="4">
        <v>2636</v>
      </c>
      <c r="F273" s="4">
        <v>23.408239699999999</v>
      </c>
      <c r="G273" s="2" t="s">
        <v>71</v>
      </c>
      <c r="H273" s="5">
        <v>2136</v>
      </c>
      <c r="I273" s="1" t="s">
        <v>8</v>
      </c>
      <c r="J273" s="17" t="s">
        <v>116</v>
      </c>
      <c r="K273" s="17" t="s">
        <v>204</v>
      </c>
      <c r="L273" s="17">
        <v>26020</v>
      </c>
      <c r="M273" s="17">
        <f t="shared" si="12"/>
        <v>340</v>
      </c>
      <c r="N273" t="str">
        <f t="shared" si="11"/>
        <v>Unique</v>
      </c>
      <c r="O273" s="10"/>
      <c r="P273" s="10"/>
    </row>
    <row r="274" spans="1:16" ht="40.75" customHeight="1" thickBot="1" x14ac:dyDescent="0.4">
      <c r="A274" s="46">
        <v>46304.375</v>
      </c>
      <c r="B274" s="2" t="s">
        <v>110</v>
      </c>
      <c r="C274" s="2" t="s">
        <v>7</v>
      </c>
      <c r="D274" s="5">
        <v>10</v>
      </c>
      <c r="E274" s="5">
        <v>511</v>
      </c>
      <c r="F274" s="4">
        <v>23.429951689999999</v>
      </c>
      <c r="G274" s="2" t="s">
        <v>111</v>
      </c>
      <c r="H274" s="5">
        <v>414</v>
      </c>
      <c r="I274" s="1" t="s">
        <v>8</v>
      </c>
      <c r="J274" s="17" t="s">
        <v>117</v>
      </c>
      <c r="K274" s="17" t="s">
        <v>315</v>
      </c>
      <c r="L274" s="17">
        <v>4110</v>
      </c>
      <c r="M274" s="17">
        <f t="shared" si="12"/>
        <v>1000</v>
      </c>
      <c r="N274" t="str">
        <f t="shared" si="11"/>
        <v>Unique</v>
      </c>
    </row>
    <row r="275" spans="1:16" ht="40.75" customHeight="1" thickBot="1" x14ac:dyDescent="0.4">
      <c r="A275" s="3">
        <v>46276.375</v>
      </c>
      <c r="B275" s="1" t="s">
        <v>79</v>
      </c>
      <c r="C275" s="1" t="s">
        <v>7</v>
      </c>
      <c r="D275" s="4">
        <v>10</v>
      </c>
      <c r="E275" s="4">
        <v>1548</v>
      </c>
      <c r="F275" s="4">
        <v>23.543495610000001</v>
      </c>
      <c r="G275" s="2" t="s">
        <v>80</v>
      </c>
      <c r="H275" s="5">
        <v>1253</v>
      </c>
      <c r="I275" s="1" t="s">
        <v>8</v>
      </c>
      <c r="J275" s="17" t="s">
        <v>116</v>
      </c>
      <c r="K275" s="17" t="s">
        <v>265</v>
      </c>
      <c r="L275" s="17">
        <v>15030</v>
      </c>
      <c r="M275" s="17">
        <f t="shared" si="12"/>
        <v>450</v>
      </c>
      <c r="N275" s="10" t="str">
        <f t="shared" si="11"/>
        <v>Unique</v>
      </c>
    </row>
    <row r="276" spans="1:16" ht="27.65" customHeight="1" thickBot="1" x14ac:dyDescent="0.4">
      <c r="A276" s="8" t="s">
        <v>61</v>
      </c>
      <c r="B276" s="8" t="s">
        <v>6</v>
      </c>
      <c r="C276" s="8" t="s">
        <v>7</v>
      </c>
      <c r="D276" s="8">
        <v>100</v>
      </c>
      <c r="E276" s="13">
        <v>314</v>
      </c>
      <c r="F276" s="4">
        <v>23.597716980000001</v>
      </c>
      <c r="G276" s="2" t="s">
        <v>129</v>
      </c>
      <c r="H276" s="5">
        <v>254.05</v>
      </c>
      <c r="I276" s="1" t="s">
        <v>8</v>
      </c>
      <c r="J276" s="32" t="s">
        <v>116</v>
      </c>
      <c r="N276" s="10" t="str">
        <f t="shared" si="11"/>
        <v>Unique</v>
      </c>
    </row>
    <row r="277" spans="1:16" ht="39" thickBot="1" x14ac:dyDescent="0.4">
      <c r="A277" s="8" t="s">
        <v>61</v>
      </c>
      <c r="B277" s="8" t="s">
        <v>28</v>
      </c>
      <c r="C277" s="8" t="s">
        <v>7</v>
      </c>
      <c r="D277" s="8">
        <v>5</v>
      </c>
      <c r="E277" s="12">
        <v>1002</v>
      </c>
      <c r="F277" s="4">
        <v>23.856613100000001</v>
      </c>
      <c r="G277" s="2" t="s">
        <v>124</v>
      </c>
      <c r="H277" s="5">
        <v>809</v>
      </c>
      <c r="I277" s="1" t="s">
        <v>8</v>
      </c>
      <c r="J277" s="32"/>
      <c r="N277" s="10" t="str">
        <f t="shared" si="11"/>
        <v>Unique</v>
      </c>
      <c r="O277" s="27"/>
    </row>
    <row r="278" spans="1:16" ht="26.5" thickBot="1" x14ac:dyDescent="0.4">
      <c r="A278" s="8" t="s">
        <v>61</v>
      </c>
      <c r="B278" s="8" t="s">
        <v>34</v>
      </c>
      <c r="C278" s="8" t="s">
        <v>7</v>
      </c>
      <c r="D278" s="8">
        <v>200</v>
      </c>
      <c r="E278" s="12">
        <v>244</v>
      </c>
      <c r="F278" s="4">
        <v>23.93336042</v>
      </c>
      <c r="G278" s="2" t="s">
        <v>41</v>
      </c>
      <c r="H278" s="5">
        <v>196.88</v>
      </c>
      <c r="I278" s="1" t="s">
        <v>8</v>
      </c>
      <c r="J278" s="32" t="s">
        <v>116</v>
      </c>
      <c r="N278" s="10" t="str">
        <f t="shared" si="11"/>
        <v>Unique</v>
      </c>
    </row>
    <row r="279" spans="1:16" ht="26.5" thickBot="1" x14ac:dyDescent="0.4">
      <c r="A279" s="3">
        <v>46262.463194444441</v>
      </c>
      <c r="B279" s="1" t="s">
        <v>15</v>
      </c>
      <c r="C279" s="1" t="s">
        <v>7</v>
      </c>
      <c r="D279" s="4">
        <v>10</v>
      </c>
      <c r="E279" s="4">
        <v>2648</v>
      </c>
      <c r="F279" s="4">
        <v>23.97003745</v>
      </c>
      <c r="G279" s="2" t="s">
        <v>71</v>
      </c>
      <c r="H279" s="5">
        <v>2136</v>
      </c>
      <c r="I279" s="1" t="s">
        <v>8</v>
      </c>
      <c r="J279" s="17" t="s">
        <v>116</v>
      </c>
      <c r="K279" s="17" t="s">
        <v>186</v>
      </c>
      <c r="L279" s="17">
        <v>26180</v>
      </c>
      <c r="M279" s="17">
        <f>ABS((D279*E279)-L279)</f>
        <v>300</v>
      </c>
      <c r="N279" s="10" t="str">
        <f t="shared" si="11"/>
        <v>Unique</v>
      </c>
    </row>
    <row r="280" spans="1:16" ht="26.5" thickBot="1" x14ac:dyDescent="0.4">
      <c r="A280" s="3">
        <v>46268.375</v>
      </c>
      <c r="B280" s="1" t="s">
        <v>16</v>
      </c>
      <c r="C280" s="1" t="s">
        <v>7</v>
      </c>
      <c r="D280" s="4">
        <v>30</v>
      </c>
      <c r="E280" s="4">
        <v>920</v>
      </c>
      <c r="F280" s="4">
        <v>24.106299740000001</v>
      </c>
      <c r="G280" s="2" t="s">
        <v>60</v>
      </c>
      <c r="H280" s="5">
        <v>741.3</v>
      </c>
      <c r="I280" s="1" t="s">
        <v>8</v>
      </c>
      <c r="J280" s="17" t="s">
        <v>116</v>
      </c>
      <c r="K280" s="17" t="s">
        <v>228</v>
      </c>
      <c r="L280" s="17">
        <v>25800</v>
      </c>
      <c r="M280" s="17">
        <f>ABS((D280*E280)-L280)</f>
        <v>1800</v>
      </c>
      <c r="N280" s="10" t="str">
        <f t="shared" si="11"/>
        <v>Unique</v>
      </c>
    </row>
    <row r="281" spans="1:16" ht="26.5" thickBot="1" x14ac:dyDescent="0.4">
      <c r="A281" s="3">
        <v>46262.375</v>
      </c>
      <c r="B281" s="1" t="s">
        <v>15</v>
      </c>
      <c r="C281" s="1" t="s">
        <v>7</v>
      </c>
      <c r="D281" s="4">
        <v>10</v>
      </c>
      <c r="E281" s="4">
        <v>2660</v>
      </c>
      <c r="F281" s="4">
        <v>24.531835210000001</v>
      </c>
      <c r="G281" s="2" t="s">
        <v>71</v>
      </c>
      <c r="H281" s="5">
        <v>2136</v>
      </c>
      <c r="I281" s="1" t="s">
        <v>8</v>
      </c>
      <c r="J281" s="17" t="s">
        <v>116</v>
      </c>
      <c r="K281" s="17" t="s">
        <v>188</v>
      </c>
      <c r="L281" s="17">
        <v>26300</v>
      </c>
      <c r="M281" s="17">
        <f>ABS((D281*E281)-L281)</f>
        <v>300</v>
      </c>
      <c r="N281" s="10" t="str">
        <f t="shared" si="11"/>
        <v>Unique</v>
      </c>
    </row>
    <row r="282" spans="1:16" ht="26.5" thickBot="1" x14ac:dyDescent="0.4">
      <c r="A282" s="3">
        <v>46254.642361111109</v>
      </c>
      <c r="B282" s="1" t="s">
        <v>15</v>
      </c>
      <c r="C282" s="1" t="s">
        <v>7</v>
      </c>
      <c r="D282" s="4">
        <v>10</v>
      </c>
      <c r="E282" s="4">
        <v>2672</v>
      </c>
      <c r="F282" s="4">
        <v>25.093632960000001</v>
      </c>
      <c r="G282" s="2" t="s">
        <v>71</v>
      </c>
      <c r="H282" s="5">
        <v>2136</v>
      </c>
      <c r="I282" s="1" t="s">
        <v>8</v>
      </c>
      <c r="J282" s="16" t="s">
        <v>116</v>
      </c>
      <c r="K282" s="16" t="s">
        <v>145</v>
      </c>
      <c r="L282" s="16"/>
      <c r="M282" s="16"/>
      <c r="N282" s="10" t="str">
        <f t="shared" si="11"/>
        <v>Unique</v>
      </c>
    </row>
    <row r="283" spans="1:16" ht="26.5" thickBot="1" x14ac:dyDescent="0.4">
      <c r="A283" s="8" t="s">
        <v>61</v>
      </c>
      <c r="B283" s="8" t="s">
        <v>6</v>
      </c>
      <c r="C283" s="8" t="s">
        <v>7</v>
      </c>
      <c r="D283" s="8">
        <v>100</v>
      </c>
      <c r="E283" s="12">
        <v>318</v>
      </c>
      <c r="F283" s="4">
        <v>25.172210190000001</v>
      </c>
      <c r="G283" s="2" t="s">
        <v>129</v>
      </c>
      <c r="H283" s="5">
        <v>254.05</v>
      </c>
      <c r="I283" s="1" t="s">
        <v>8</v>
      </c>
      <c r="J283" s="32" t="s">
        <v>116</v>
      </c>
      <c r="N283" s="10" t="str">
        <f t="shared" si="11"/>
        <v>Unique</v>
      </c>
    </row>
    <row r="284" spans="1:16" ht="26.5" thickBot="1" x14ac:dyDescent="0.4">
      <c r="A284" s="8" t="s">
        <v>61</v>
      </c>
      <c r="B284" s="8" t="s">
        <v>17</v>
      </c>
      <c r="C284" s="8" t="s">
        <v>7</v>
      </c>
      <c r="D284" s="8">
        <v>5</v>
      </c>
      <c r="E284" s="12">
        <v>416</v>
      </c>
      <c r="F284" s="4">
        <v>25.452352229999999</v>
      </c>
      <c r="G284" s="2" t="s">
        <v>76</v>
      </c>
      <c r="H284" s="5">
        <v>331.6</v>
      </c>
      <c r="I284" s="1" t="s">
        <v>8</v>
      </c>
      <c r="J284" s="32"/>
      <c r="N284" s="10" t="str">
        <f t="shared" si="11"/>
        <v>Unique</v>
      </c>
    </row>
    <row r="285" spans="1:16" ht="26.5" thickBot="1" x14ac:dyDescent="0.4">
      <c r="A285" s="8" t="s">
        <v>61</v>
      </c>
      <c r="B285" s="8" t="s">
        <v>6</v>
      </c>
      <c r="C285" s="8" t="s">
        <v>7</v>
      </c>
      <c r="D285" s="8">
        <v>100</v>
      </c>
      <c r="E285" s="13">
        <v>319</v>
      </c>
      <c r="F285" s="4">
        <v>25.5658335</v>
      </c>
      <c r="G285" s="2" t="s">
        <v>129</v>
      </c>
      <c r="H285" s="5">
        <v>254.05</v>
      </c>
      <c r="I285" s="1" t="s">
        <v>8</v>
      </c>
      <c r="J285" s="32" t="s">
        <v>116</v>
      </c>
      <c r="N285" s="10" t="str">
        <f t="shared" si="11"/>
        <v>Unique</v>
      </c>
    </row>
    <row r="286" spans="1:16" ht="26.5" thickBot="1" x14ac:dyDescent="0.4">
      <c r="A286" s="11">
        <v>46252.6875</v>
      </c>
      <c r="B286" s="8" t="s">
        <v>15</v>
      </c>
      <c r="C286" s="8" t="s">
        <v>7</v>
      </c>
      <c r="D286" s="8">
        <v>10</v>
      </c>
      <c r="E286" s="8">
        <v>2696</v>
      </c>
      <c r="F286" s="4">
        <v>26.217228460000001</v>
      </c>
      <c r="G286" s="2" t="s">
        <v>71</v>
      </c>
      <c r="H286" s="5">
        <v>2136</v>
      </c>
      <c r="I286" s="1" t="s">
        <v>8</v>
      </c>
      <c r="J286" s="32" t="s">
        <v>152</v>
      </c>
      <c r="N286" s="10" t="str">
        <f t="shared" si="11"/>
        <v>Unique</v>
      </c>
    </row>
    <row r="287" spans="1:16" ht="26.5" thickBot="1" x14ac:dyDescent="0.4">
      <c r="A287" s="8" t="s">
        <v>61</v>
      </c>
      <c r="B287" s="8" t="s">
        <v>34</v>
      </c>
      <c r="C287" s="8" t="s">
        <v>7</v>
      </c>
      <c r="D287" s="8">
        <v>200</v>
      </c>
      <c r="E287" s="12">
        <v>249</v>
      </c>
      <c r="F287" s="4">
        <v>26.47297846</v>
      </c>
      <c r="G287" s="2" t="s">
        <v>41</v>
      </c>
      <c r="H287" s="5">
        <v>196.88</v>
      </c>
      <c r="I287" s="1" t="s">
        <v>8</v>
      </c>
      <c r="J287" s="32" t="s">
        <v>116</v>
      </c>
      <c r="N287" s="10" t="str">
        <f t="shared" si="11"/>
        <v>Unique</v>
      </c>
    </row>
    <row r="288" spans="1:16" ht="26.5" thickBot="1" x14ac:dyDescent="0.4">
      <c r="A288" s="3">
        <v>46260.634027777778</v>
      </c>
      <c r="B288" s="1" t="s">
        <v>29</v>
      </c>
      <c r="C288" s="1" t="s">
        <v>7</v>
      </c>
      <c r="D288" s="4">
        <v>5</v>
      </c>
      <c r="E288" s="4">
        <v>4148</v>
      </c>
      <c r="F288" s="4">
        <v>26.656488549999999</v>
      </c>
      <c r="G288" s="2" t="s">
        <v>136</v>
      </c>
      <c r="H288" s="5">
        <v>3275</v>
      </c>
      <c r="I288" s="1" t="s">
        <v>8</v>
      </c>
      <c r="J288" s="17" t="s">
        <v>117</v>
      </c>
      <c r="K288" s="17" t="s">
        <v>165</v>
      </c>
      <c r="L288" s="17">
        <v>20260</v>
      </c>
      <c r="M288" s="17">
        <f>ABS((D288*E288)-L288)</f>
        <v>480</v>
      </c>
      <c r="N288" t="str">
        <f t="shared" si="11"/>
        <v>Unique</v>
      </c>
    </row>
    <row r="289" spans="1:16" ht="26.5" thickBot="1" x14ac:dyDescent="0.4">
      <c r="A289" s="8" t="s">
        <v>61</v>
      </c>
      <c r="B289" s="8" t="s">
        <v>6</v>
      </c>
      <c r="C289" s="8" t="s">
        <v>7</v>
      </c>
      <c r="D289" s="8">
        <v>150</v>
      </c>
      <c r="E289" s="12">
        <v>323</v>
      </c>
      <c r="F289" s="4">
        <v>27.14032671</v>
      </c>
      <c r="G289" s="2" t="s">
        <v>129</v>
      </c>
      <c r="H289" s="5">
        <v>254.05</v>
      </c>
      <c r="I289" s="1" t="s">
        <v>8</v>
      </c>
      <c r="J289" s="32" t="s">
        <v>117</v>
      </c>
      <c r="N289" s="10" t="str">
        <f t="shared" si="11"/>
        <v>Unique</v>
      </c>
    </row>
    <row r="290" spans="1:16" ht="26.5" thickBot="1" x14ac:dyDescent="0.4">
      <c r="A290" s="11">
        <v>46252.6875</v>
      </c>
      <c r="B290" s="8" t="s">
        <v>15</v>
      </c>
      <c r="C290" s="8" t="s">
        <v>7</v>
      </c>
      <c r="D290" s="8">
        <v>10</v>
      </c>
      <c r="E290" s="8">
        <v>2720</v>
      </c>
      <c r="F290" s="4">
        <v>27.340823969999999</v>
      </c>
      <c r="G290" s="2" t="s">
        <v>71</v>
      </c>
      <c r="H290" s="5">
        <v>2136</v>
      </c>
      <c r="I290" s="1" t="s">
        <v>8</v>
      </c>
      <c r="J290" s="32" t="s">
        <v>116</v>
      </c>
      <c r="N290" s="10" t="str">
        <f t="shared" si="11"/>
        <v>Unique</v>
      </c>
    </row>
    <row r="291" spans="1:16" ht="26.5" thickBot="1" x14ac:dyDescent="0.4">
      <c r="A291" s="8" t="s">
        <v>61</v>
      </c>
      <c r="B291" s="8" t="s">
        <v>127</v>
      </c>
      <c r="C291" s="8" t="s">
        <v>7</v>
      </c>
      <c r="D291" s="8">
        <v>150</v>
      </c>
      <c r="E291" s="12">
        <v>136</v>
      </c>
      <c r="F291" s="4">
        <v>27.460168700000001</v>
      </c>
      <c r="G291" s="2" t="s">
        <v>128</v>
      </c>
      <c r="H291" s="5">
        <v>106.7</v>
      </c>
      <c r="I291" s="1" t="s">
        <v>8</v>
      </c>
      <c r="J291" s="32"/>
      <c r="N291" s="10" t="str">
        <f t="shared" si="11"/>
        <v>Unique</v>
      </c>
    </row>
    <row r="292" spans="1:16" ht="26.5" thickBot="1" x14ac:dyDescent="0.4">
      <c r="A292" s="8" t="s">
        <v>61</v>
      </c>
      <c r="B292" s="8" t="s">
        <v>26</v>
      </c>
      <c r="C292" s="8" t="s">
        <v>7</v>
      </c>
      <c r="D292" s="8">
        <v>25</v>
      </c>
      <c r="E292" s="8">
        <v>210</v>
      </c>
      <c r="F292" s="4">
        <v>27.776087619999998</v>
      </c>
      <c r="G292" s="2" t="s">
        <v>131</v>
      </c>
      <c r="H292" s="5">
        <v>164.35</v>
      </c>
      <c r="I292" s="1" t="s">
        <v>8</v>
      </c>
      <c r="J292" s="32"/>
      <c r="N292" s="10" t="str">
        <f t="shared" si="11"/>
        <v>Unique</v>
      </c>
    </row>
    <row r="293" spans="1:16" ht="39" thickBot="1" x14ac:dyDescent="0.4">
      <c r="A293" s="8" t="s">
        <v>61</v>
      </c>
      <c r="B293" s="8" t="s">
        <v>118</v>
      </c>
      <c r="C293" s="8" t="s">
        <v>7</v>
      </c>
      <c r="D293" s="8">
        <v>15</v>
      </c>
      <c r="E293" s="8">
        <v>1090</v>
      </c>
      <c r="F293" s="4">
        <v>27.859237539999999</v>
      </c>
      <c r="G293" s="2" t="s">
        <v>119</v>
      </c>
      <c r="H293" s="5">
        <v>852.5</v>
      </c>
      <c r="I293" s="1" t="s">
        <v>8</v>
      </c>
      <c r="J293" s="32"/>
      <c r="N293" s="10" t="str">
        <f t="shared" si="11"/>
        <v>Unique</v>
      </c>
    </row>
    <row r="294" spans="1:16" ht="26.5" thickBot="1" x14ac:dyDescent="0.4">
      <c r="A294" s="3">
        <v>46265.415277777778</v>
      </c>
      <c r="B294" s="1" t="s">
        <v>16</v>
      </c>
      <c r="C294" s="1" t="s">
        <v>7</v>
      </c>
      <c r="D294" s="4">
        <v>5</v>
      </c>
      <c r="E294" s="4">
        <v>948</v>
      </c>
      <c r="F294" s="4">
        <v>27.883448000000001</v>
      </c>
      <c r="G294" s="2" t="s">
        <v>60</v>
      </c>
      <c r="H294" s="5">
        <v>741.3</v>
      </c>
      <c r="I294" s="1" t="s">
        <v>8</v>
      </c>
      <c r="J294" s="17" t="s">
        <v>117</v>
      </c>
      <c r="K294" s="17" t="s">
        <v>193</v>
      </c>
      <c r="L294" s="17">
        <v>4455</v>
      </c>
      <c r="M294" s="17">
        <f>ABS((D294*E294)-L294)</f>
        <v>285</v>
      </c>
      <c r="N294" t="str">
        <f t="shared" si="11"/>
        <v>Unique</v>
      </c>
    </row>
    <row r="295" spans="1:16" ht="26.5" thickBot="1" x14ac:dyDescent="0.4">
      <c r="A295" s="3">
        <v>46266.375</v>
      </c>
      <c r="B295" s="1" t="s">
        <v>16</v>
      </c>
      <c r="C295" s="1" t="s">
        <v>7</v>
      </c>
      <c r="D295" s="4">
        <v>11</v>
      </c>
      <c r="E295" s="4">
        <v>948</v>
      </c>
      <c r="F295" s="4">
        <v>27.883448000000001</v>
      </c>
      <c r="G295" s="2" t="s">
        <v>60</v>
      </c>
      <c r="H295" s="5">
        <v>741.3</v>
      </c>
      <c r="I295" s="1" t="s">
        <v>8</v>
      </c>
      <c r="J295" s="17" t="s">
        <v>116</v>
      </c>
      <c r="K295" s="17" t="s">
        <v>210</v>
      </c>
      <c r="L295" s="17">
        <v>9702</v>
      </c>
      <c r="M295" s="17">
        <f>ABS((D295*E295)-L295)</f>
        <v>726</v>
      </c>
      <c r="N295" s="10" t="str">
        <f t="shared" si="11"/>
        <v>Unique</v>
      </c>
    </row>
    <row r="296" spans="1:16" ht="26.5" thickBot="1" x14ac:dyDescent="0.4">
      <c r="A296" s="8" t="s">
        <v>61</v>
      </c>
      <c r="B296" s="8" t="s">
        <v>13</v>
      </c>
      <c r="C296" s="8" t="s">
        <v>7</v>
      </c>
      <c r="D296" s="8">
        <v>20</v>
      </c>
      <c r="E296" s="8">
        <v>2310</v>
      </c>
      <c r="F296" s="4">
        <v>28.11980033</v>
      </c>
      <c r="G296" s="2" t="s">
        <v>90</v>
      </c>
      <c r="H296" s="5">
        <v>1803</v>
      </c>
      <c r="I296" s="1" t="s">
        <v>8</v>
      </c>
      <c r="J296" s="32"/>
      <c r="N296" s="10" t="str">
        <f t="shared" si="11"/>
        <v>Unique</v>
      </c>
    </row>
    <row r="297" spans="1:16" ht="26.5" thickBot="1" x14ac:dyDescent="0.4">
      <c r="A297" s="3">
        <v>46265.375694444447</v>
      </c>
      <c r="B297" s="1" t="s">
        <v>16</v>
      </c>
      <c r="C297" s="1" t="s">
        <v>7</v>
      </c>
      <c r="D297" s="4">
        <v>5</v>
      </c>
      <c r="E297" s="4">
        <v>961</v>
      </c>
      <c r="F297" s="4">
        <v>29.637123970000001</v>
      </c>
      <c r="G297" s="2" t="s">
        <v>60</v>
      </c>
      <c r="H297" s="5">
        <v>741.3</v>
      </c>
      <c r="I297" s="1" t="s">
        <v>8</v>
      </c>
      <c r="J297" s="17" t="s">
        <v>117</v>
      </c>
      <c r="K297" s="17" t="s">
        <v>198</v>
      </c>
      <c r="L297" s="17">
        <v>4530</v>
      </c>
      <c r="M297" s="17">
        <f>ABS((D297*E297)-L297)</f>
        <v>275</v>
      </c>
      <c r="N297" t="str">
        <f t="shared" si="11"/>
        <v>Unique</v>
      </c>
    </row>
    <row r="298" spans="1:16" ht="39" thickBot="1" x14ac:dyDescent="0.4">
      <c r="A298" s="3">
        <v>46258.375694444447</v>
      </c>
      <c r="B298" s="1" t="s">
        <v>22</v>
      </c>
      <c r="C298" s="1" t="s">
        <v>7</v>
      </c>
      <c r="D298" s="4">
        <v>5</v>
      </c>
      <c r="E298" s="4">
        <v>499</v>
      </c>
      <c r="F298" s="4">
        <v>30.457516340000002</v>
      </c>
      <c r="G298" s="2" t="s">
        <v>72</v>
      </c>
      <c r="H298" s="5">
        <v>382.5</v>
      </c>
      <c r="I298" s="1" t="s">
        <v>8</v>
      </c>
      <c r="J298" s="17" t="s">
        <v>117</v>
      </c>
      <c r="K298" s="17" t="s">
        <v>156</v>
      </c>
      <c r="L298" s="17">
        <v>2260</v>
      </c>
      <c r="M298" s="17">
        <f>ABS((D298*E298)-L298)</f>
        <v>235</v>
      </c>
      <c r="N298" s="10" t="str">
        <f t="shared" si="11"/>
        <v>Unique</v>
      </c>
    </row>
    <row r="299" spans="1:16" ht="26.5" thickBot="1" x14ac:dyDescent="0.4">
      <c r="A299" s="3">
        <v>46260.557638888888</v>
      </c>
      <c r="B299" s="1" t="s">
        <v>16</v>
      </c>
      <c r="C299" s="1" t="s">
        <v>7</v>
      </c>
      <c r="D299" s="4">
        <v>5</v>
      </c>
      <c r="E299" s="4">
        <v>971</v>
      </c>
      <c r="F299" s="4">
        <v>30.98610549</v>
      </c>
      <c r="G299" s="2" t="s">
        <v>60</v>
      </c>
      <c r="H299" s="5">
        <v>741.3</v>
      </c>
      <c r="I299" s="1" t="s">
        <v>8</v>
      </c>
      <c r="J299" s="17" t="s">
        <v>117</v>
      </c>
      <c r="K299" s="17" t="s">
        <v>161</v>
      </c>
      <c r="L299" s="17">
        <v>4605</v>
      </c>
      <c r="M299" s="17">
        <f>ABS((D299*E299)-L299)</f>
        <v>250</v>
      </c>
      <c r="N299" t="str">
        <f t="shared" si="11"/>
        <v>Unique</v>
      </c>
      <c r="P299" s="27"/>
    </row>
    <row r="300" spans="1:16" ht="26.5" thickBot="1" x14ac:dyDescent="0.4">
      <c r="A300" s="11">
        <v>46252.635416666664</v>
      </c>
      <c r="B300" s="8" t="s">
        <v>86</v>
      </c>
      <c r="C300" s="8" t="s">
        <v>7</v>
      </c>
      <c r="D300" s="8">
        <v>10</v>
      </c>
      <c r="E300" s="8">
        <v>1479</v>
      </c>
      <c r="F300" s="4">
        <v>31.000885740000001</v>
      </c>
      <c r="G300" s="2" t="s">
        <v>87</v>
      </c>
      <c r="H300" s="5">
        <v>1129</v>
      </c>
      <c r="I300" s="1" t="s">
        <v>8</v>
      </c>
      <c r="J300" s="32" t="s">
        <v>54</v>
      </c>
      <c r="N300" s="10" t="str">
        <f t="shared" si="11"/>
        <v>Unique</v>
      </c>
    </row>
    <row r="301" spans="1:16" ht="26.5" thickBot="1" x14ac:dyDescent="0.4">
      <c r="A301" s="8" t="s">
        <v>61</v>
      </c>
      <c r="B301" s="8" t="s">
        <v>17</v>
      </c>
      <c r="C301" s="8" t="s">
        <v>7</v>
      </c>
      <c r="D301" s="8">
        <v>5</v>
      </c>
      <c r="E301" s="12">
        <v>435</v>
      </c>
      <c r="F301" s="4">
        <v>31.18214717</v>
      </c>
      <c r="G301" s="2" t="s">
        <v>76</v>
      </c>
      <c r="H301" s="5">
        <v>331.6</v>
      </c>
      <c r="I301" s="1" t="s">
        <v>8</v>
      </c>
      <c r="J301" s="32" t="s">
        <v>117</v>
      </c>
      <c r="N301" s="10" t="str">
        <f t="shared" si="11"/>
        <v>Unique</v>
      </c>
    </row>
    <row r="302" spans="1:16" ht="39" thickBot="1" x14ac:dyDescent="0.4">
      <c r="A302" s="3">
        <v>46260.550694444442</v>
      </c>
      <c r="B302" s="1" t="s">
        <v>102</v>
      </c>
      <c r="C302" s="1" t="s">
        <v>7</v>
      </c>
      <c r="D302" s="4">
        <v>2</v>
      </c>
      <c r="E302" s="4">
        <v>2787.9</v>
      </c>
      <c r="F302" s="4">
        <v>31.232347959999998</v>
      </c>
      <c r="G302" s="2" t="s">
        <v>103</v>
      </c>
      <c r="H302" s="5">
        <v>2124.4</v>
      </c>
      <c r="I302" s="1" t="s">
        <v>8</v>
      </c>
      <c r="J302" s="17" t="s">
        <v>117</v>
      </c>
      <c r="K302" s="17" t="s">
        <v>164</v>
      </c>
      <c r="L302" s="17">
        <v>5275.8</v>
      </c>
      <c r="M302" s="17">
        <f>ABS((D302*E302)-L302)</f>
        <v>300</v>
      </c>
      <c r="N302" t="str">
        <f t="shared" si="11"/>
        <v>Unique</v>
      </c>
    </row>
    <row r="303" spans="1:16" ht="39" thickBot="1" x14ac:dyDescent="0.4">
      <c r="A303" s="8" t="s">
        <v>61</v>
      </c>
      <c r="B303" s="8" t="s">
        <v>125</v>
      </c>
      <c r="C303" s="8" t="s">
        <v>7</v>
      </c>
      <c r="D303" s="8">
        <v>5</v>
      </c>
      <c r="E303" s="8">
        <v>596</v>
      </c>
      <c r="F303" s="4">
        <v>32.842973360000002</v>
      </c>
      <c r="G303" s="2" t="s">
        <v>126</v>
      </c>
      <c r="H303" s="5">
        <v>448.65</v>
      </c>
      <c r="I303" s="1" t="s">
        <v>8</v>
      </c>
      <c r="J303" s="32"/>
      <c r="N303" s="10" t="str">
        <f t="shared" si="11"/>
        <v>Unique</v>
      </c>
    </row>
    <row r="304" spans="1:16" ht="39" thickBot="1" x14ac:dyDescent="0.4">
      <c r="A304" s="3">
        <v>46259.532638888886</v>
      </c>
      <c r="B304" s="1" t="s">
        <v>95</v>
      </c>
      <c r="C304" s="1" t="s">
        <v>7</v>
      </c>
      <c r="D304" s="4">
        <v>5</v>
      </c>
      <c r="E304" s="4">
        <v>218</v>
      </c>
      <c r="F304" s="4">
        <v>35.572139300000003</v>
      </c>
      <c r="G304" s="2" t="s">
        <v>96</v>
      </c>
      <c r="H304" s="5">
        <v>160.80000000000001</v>
      </c>
      <c r="I304" s="1" t="s">
        <v>8</v>
      </c>
      <c r="J304" s="32" t="s">
        <v>117</v>
      </c>
      <c r="K304" s="17" t="s">
        <v>157</v>
      </c>
      <c r="L304" s="17">
        <v>840</v>
      </c>
      <c r="M304" s="17">
        <f>ABS((D304*E304)-L304)</f>
        <v>250</v>
      </c>
      <c r="N304" s="10" t="str">
        <f t="shared" si="11"/>
        <v>Unique</v>
      </c>
    </row>
    <row r="305" spans="1:16" ht="26.5" thickBot="1" x14ac:dyDescent="0.4">
      <c r="A305" s="11">
        <v>46252.6875</v>
      </c>
      <c r="B305" s="8" t="s">
        <v>15</v>
      </c>
      <c r="C305" s="8" t="s">
        <v>7</v>
      </c>
      <c r="D305" s="8">
        <v>10</v>
      </c>
      <c r="E305" s="8">
        <v>2896</v>
      </c>
      <c r="F305" s="4">
        <v>35.580524339999997</v>
      </c>
      <c r="G305" s="2" t="s">
        <v>71</v>
      </c>
      <c r="H305" s="5">
        <v>2136</v>
      </c>
      <c r="I305" s="1" t="s">
        <v>8</v>
      </c>
      <c r="J305" s="32" t="s">
        <v>117</v>
      </c>
      <c r="N305" s="10" t="str">
        <f t="shared" si="11"/>
        <v>Unique</v>
      </c>
    </row>
    <row r="306" spans="1:16" ht="26.5" thickBot="1" x14ac:dyDescent="0.4">
      <c r="A306" s="11">
        <v>46252.6875</v>
      </c>
      <c r="B306" s="8" t="s">
        <v>15</v>
      </c>
      <c r="C306" s="8" t="s">
        <v>7</v>
      </c>
      <c r="D306" s="8">
        <v>10</v>
      </c>
      <c r="E306" s="8">
        <v>2908</v>
      </c>
      <c r="F306" s="4">
        <v>36.142322100000001</v>
      </c>
      <c r="G306" s="2" t="s">
        <v>71</v>
      </c>
      <c r="H306" s="5">
        <v>2136</v>
      </c>
      <c r="I306" s="1" t="s">
        <v>8</v>
      </c>
      <c r="J306" s="32" t="s">
        <v>117</v>
      </c>
      <c r="N306" s="10" t="str">
        <f t="shared" si="11"/>
        <v>Unique</v>
      </c>
    </row>
    <row r="307" spans="1:16" ht="39" thickBot="1" x14ac:dyDescent="0.4">
      <c r="A307" s="9" t="s">
        <v>61</v>
      </c>
      <c r="B307" s="9" t="s">
        <v>118</v>
      </c>
      <c r="C307" s="9" t="s">
        <v>7</v>
      </c>
      <c r="D307" s="9">
        <v>7</v>
      </c>
      <c r="E307" s="12">
        <v>1170</v>
      </c>
      <c r="F307" s="4">
        <v>37.243401759999998</v>
      </c>
      <c r="G307" s="2" t="s">
        <v>119</v>
      </c>
      <c r="H307" s="5">
        <v>852.5</v>
      </c>
      <c r="I307" s="1" t="s">
        <v>8</v>
      </c>
      <c r="J307" s="32"/>
      <c r="N307" s="10" t="str">
        <f t="shared" si="11"/>
        <v>Unique</v>
      </c>
    </row>
    <row r="308" spans="1:16" ht="26.5" thickBot="1" x14ac:dyDescent="0.4">
      <c r="A308" s="39" t="s">
        <v>61</v>
      </c>
      <c r="B308" s="39" t="s">
        <v>13</v>
      </c>
      <c r="C308" s="39" t="s">
        <v>7</v>
      </c>
      <c r="D308" s="39">
        <v>1</v>
      </c>
      <c r="E308" s="39">
        <v>2494</v>
      </c>
      <c r="F308" s="4">
        <v>38.325013869999999</v>
      </c>
      <c r="G308" s="2" t="s">
        <v>90</v>
      </c>
      <c r="H308" s="5">
        <v>1803</v>
      </c>
      <c r="I308" s="1" t="s">
        <v>8</v>
      </c>
      <c r="J308" s="45" t="s">
        <v>117</v>
      </c>
      <c r="K308" s="25"/>
      <c r="L308" s="25"/>
      <c r="M308" s="25"/>
      <c r="N308" s="27" t="str">
        <f t="shared" si="11"/>
        <v>Unique</v>
      </c>
      <c r="O308" s="27"/>
      <c r="P308" s="27"/>
    </row>
    <row r="309" spans="1:16" ht="26.5" thickBot="1" x14ac:dyDescent="0.4">
      <c r="A309" s="38">
        <v>46251.506249999999</v>
      </c>
      <c r="B309" s="39" t="s">
        <v>13</v>
      </c>
      <c r="C309" s="39" t="s">
        <v>7</v>
      </c>
      <c r="D309" s="39">
        <v>3</v>
      </c>
      <c r="E309" s="39">
        <v>2494</v>
      </c>
      <c r="F309" s="4">
        <v>38.325013869999999</v>
      </c>
      <c r="G309" s="2" t="s">
        <v>90</v>
      </c>
      <c r="H309" s="5">
        <v>1803</v>
      </c>
      <c r="I309" s="1" t="s">
        <v>8</v>
      </c>
      <c r="J309" s="45" t="s">
        <v>117</v>
      </c>
      <c r="K309" s="25"/>
      <c r="L309" s="25"/>
      <c r="M309" s="25"/>
      <c r="N309" s="27" t="str">
        <f t="shared" si="11"/>
        <v>Unique</v>
      </c>
      <c r="O309" s="27"/>
      <c r="P309" s="27"/>
    </row>
    <row r="310" spans="1:16" ht="26.5" thickBot="1" x14ac:dyDescent="0.4">
      <c r="A310" s="8" t="s">
        <v>61</v>
      </c>
      <c r="B310" s="8" t="s">
        <v>140</v>
      </c>
      <c r="C310" s="8" t="s">
        <v>7</v>
      </c>
      <c r="D310" s="8">
        <v>23</v>
      </c>
      <c r="E310" s="12">
        <v>890</v>
      </c>
      <c r="F310" s="6" t="e">
        <v>#N/A</v>
      </c>
      <c r="G310" s="2" t="s">
        <v>141</v>
      </c>
      <c r="H310" s="7" t="e">
        <v>#N/A</v>
      </c>
      <c r="I310" s="1" t="s">
        <v>8</v>
      </c>
      <c r="J310" s="32" t="s">
        <v>116</v>
      </c>
      <c r="N310" s="10" t="str">
        <f t="shared" si="11"/>
        <v>Unique</v>
      </c>
    </row>
    <row r="311" spans="1:16" ht="25.5" thickBot="1" x14ac:dyDescent="0.3">
      <c r="A311" s="2" t="s">
        <v>338</v>
      </c>
      <c r="B311" s="2" t="s">
        <v>25</v>
      </c>
      <c r="C311" s="2" t="s">
        <v>10</v>
      </c>
      <c r="D311" s="2">
        <v>300</v>
      </c>
      <c r="E311" s="2">
        <v>32.01</v>
      </c>
      <c r="F311" s="2"/>
      <c r="G311" s="2"/>
      <c r="H311" s="2"/>
      <c r="I311" s="2"/>
      <c r="J311" s="17" t="s">
        <v>54</v>
      </c>
      <c r="K311" s="17" t="s">
        <v>341</v>
      </c>
      <c r="L311" s="17">
        <v>10263</v>
      </c>
      <c r="M311" s="17">
        <f>ABS((D311*E311)-L311)</f>
        <v>660</v>
      </c>
      <c r="N311" s="10" t="str">
        <f t="shared" si="11"/>
        <v>Unique</v>
      </c>
    </row>
    <row r="312" spans="1:16" ht="25.5" thickBot="1" x14ac:dyDescent="0.3">
      <c r="A312" s="2" t="s">
        <v>339</v>
      </c>
      <c r="B312" s="2" t="s">
        <v>12</v>
      </c>
      <c r="C312" s="2" t="s">
        <v>7</v>
      </c>
      <c r="D312" s="2">
        <v>3</v>
      </c>
      <c r="E312" s="2">
        <v>4990</v>
      </c>
      <c r="F312" s="2"/>
      <c r="G312" s="2"/>
      <c r="H312" s="2"/>
      <c r="I312" s="2"/>
      <c r="J312" s="17" t="s">
        <v>116</v>
      </c>
      <c r="K312" s="17" t="s">
        <v>342</v>
      </c>
      <c r="L312" s="17">
        <v>14310</v>
      </c>
      <c r="M312" s="17">
        <f t="shared" ref="M312:M315" si="13">ABS((D312*E312)-L312)</f>
        <v>660</v>
      </c>
      <c r="N312" s="10" t="str">
        <f t="shared" si="11"/>
        <v>Unique</v>
      </c>
    </row>
    <row r="313" spans="1:16" ht="25.5" thickBot="1" x14ac:dyDescent="0.3">
      <c r="A313" s="2" t="s">
        <v>340</v>
      </c>
      <c r="B313" s="2" t="s">
        <v>13</v>
      </c>
      <c r="C313" s="2" t="s">
        <v>7</v>
      </c>
      <c r="D313" s="2">
        <v>10</v>
      </c>
      <c r="E313" s="2">
        <v>1796</v>
      </c>
      <c r="F313" s="2"/>
      <c r="G313" s="2"/>
      <c r="H313" s="2"/>
      <c r="I313" s="2"/>
      <c r="J313" s="17" t="s">
        <v>116</v>
      </c>
      <c r="K313" s="17" t="s">
        <v>343</v>
      </c>
      <c r="L313" s="17">
        <v>17310</v>
      </c>
      <c r="M313" s="17">
        <f t="shared" si="13"/>
        <v>650</v>
      </c>
      <c r="N313" s="10" t="str">
        <f t="shared" si="11"/>
        <v>Unique</v>
      </c>
    </row>
    <row r="314" spans="1:16" ht="25.5" thickBot="1" x14ac:dyDescent="0.3">
      <c r="A314" s="2" t="s">
        <v>340</v>
      </c>
      <c r="B314" s="2" t="s">
        <v>14</v>
      </c>
      <c r="C314" s="2" t="s">
        <v>10</v>
      </c>
      <c r="D314" s="2">
        <v>100</v>
      </c>
      <c r="E314" s="2">
        <v>315.10000000000002</v>
      </c>
      <c r="F314" s="2"/>
      <c r="G314" s="2"/>
      <c r="H314" s="2"/>
      <c r="I314" s="2"/>
      <c r="J314" s="17" t="s">
        <v>54</v>
      </c>
      <c r="K314" s="17" t="s">
        <v>344</v>
      </c>
      <c r="L314" s="17">
        <v>32200</v>
      </c>
      <c r="M314" s="17">
        <f t="shared" si="13"/>
        <v>689.99999999999636</v>
      </c>
      <c r="N314" s="10" t="str">
        <f t="shared" si="11"/>
        <v>Unique</v>
      </c>
    </row>
    <row r="315" spans="1:16" ht="25.5" thickBot="1" x14ac:dyDescent="0.3">
      <c r="A315" s="2" t="s">
        <v>340</v>
      </c>
      <c r="B315" s="2" t="s">
        <v>50</v>
      </c>
      <c r="C315" s="2" t="s">
        <v>10</v>
      </c>
      <c r="D315" s="2">
        <v>10</v>
      </c>
      <c r="E315" s="2">
        <v>867</v>
      </c>
      <c r="F315" s="2"/>
      <c r="G315" s="2"/>
      <c r="H315" s="2"/>
      <c r="I315" s="2"/>
      <c r="J315" s="17" t="s">
        <v>54</v>
      </c>
      <c r="K315" s="17" t="s">
        <v>345</v>
      </c>
      <c r="L315" s="17">
        <v>8970</v>
      </c>
      <c r="M315" s="17">
        <f t="shared" si="13"/>
        <v>300</v>
      </c>
      <c r="N315" s="10" t="str">
        <f t="shared" si="11"/>
        <v>Unique</v>
      </c>
    </row>
    <row r="316" spans="1:16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16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16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16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16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2026-10-16T09:34:53Z</dcterms:modified>
</cp:coreProperties>
</file>