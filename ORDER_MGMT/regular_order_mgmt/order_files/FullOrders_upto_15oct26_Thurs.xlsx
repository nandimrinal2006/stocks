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96CCA836-5A0E-45A6-B61D-5E2B45824211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5" r:id="rId2"/>
    <sheet name="Sheet1 (2)" sheetId="10" r:id="rId3"/>
  </sheets>
  <definedNames>
    <definedName name="_xlnm._FilterDatabase" localSheetId="0" hidden="1">Sheet1!$A$1:$P$315</definedName>
    <definedName name="_xlnm._FilterDatabase" localSheetId="2" hidden="1">'Sheet1 (2)'!$A$1:$P$315</definedName>
    <definedName name="_xlnm._FilterDatabase" localSheetId="1" hidden="1">Sheet2!$A$1:$N$10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315" i="10" l="1"/>
  <c r="M315" i="10"/>
  <c r="N314" i="10"/>
  <c r="M314" i="10"/>
  <c r="N313" i="10"/>
  <c r="M313" i="10"/>
  <c r="N312" i="10"/>
  <c r="M312" i="10"/>
  <c r="N311" i="10"/>
  <c r="M311" i="10"/>
  <c r="N310" i="10"/>
  <c r="N309" i="10"/>
  <c r="N308" i="10"/>
  <c r="N307" i="10"/>
  <c r="N306" i="10"/>
  <c r="N305" i="10"/>
  <c r="N304" i="10"/>
  <c r="M304" i="10"/>
  <c r="N303" i="10"/>
  <c r="N302" i="10"/>
  <c r="M302" i="10"/>
  <c r="N301" i="10"/>
  <c r="N300" i="10"/>
  <c r="N299" i="10"/>
  <c r="M299" i="10"/>
  <c r="N298" i="10"/>
  <c r="M298" i="10"/>
  <c r="N297" i="10"/>
  <c r="M297" i="10"/>
  <c r="N296" i="10"/>
  <c r="N295" i="10"/>
  <c r="M295" i="10"/>
  <c r="N294" i="10"/>
  <c r="M294" i="10"/>
  <c r="N293" i="10"/>
  <c r="N292" i="10"/>
  <c r="N291" i="10"/>
  <c r="N290" i="10"/>
  <c r="N289" i="10"/>
  <c r="N288" i="10"/>
  <c r="M288" i="10"/>
  <c r="N287" i="10"/>
  <c r="N286" i="10"/>
  <c r="N285" i="10"/>
  <c r="N284" i="10"/>
  <c r="N283" i="10"/>
  <c r="N282" i="10"/>
  <c r="N281" i="10"/>
  <c r="M281" i="10"/>
  <c r="N280" i="10"/>
  <c r="M280" i="10"/>
  <c r="N279" i="10"/>
  <c r="M279" i="10"/>
  <c r="N278" i="10"/>
  <c r="N277" i="10"/>
  <c r="N276" i="10"/>
  <c r="N275" i="10"/>
  <c r="M275" i="10"/>
  <c r="N274" i="10"/>
  <c r="M274" i="10"/>
  <c r="N273" i="10"/>
  <c r="M273" i="10"/>
  <c r="N272" i="10"/>
  <c r="M272" i="10"/>
  <c r="N271" i="10"/>
  <c r="M271" i="10"/>
  <c r="N270" i="10"/>
  <c r="M270" i="10"/>
  <c r="N269" i="10"/>
  <c r="N268" i="10"/>
  <c r="M268" i="10"/>
  <c r="N267" i="10"/>
  <c r="M267" i="10"/>
  <c r="N266" i="10"/>
  <c r="M266" i="10"/>
  <c r="N265" i="10"/>
  <c r="N264" i="10"/>
  <c r="N263" i="10"/>
  <c r="N262" i="10"/>
  <c r="M262" i="10"/>
  <c r="N261" i="10"/>
  <c r="N260" i="10"/>
  <c r="N259" i="10"/>
  <c r="M259" i="10"/>
  <c r="N258" i="10"/>
  <c r="N257" i="10"/>
  <c r="N256" i="10"/>
  <c r="M256" i="10"/>
  <c r="N255" i="10"/>
  <c r="M255" i="10"/>
  <c r="N254" i="10"/>
  <c r="N253" i="10"/>
  <c r="N252" i="10"/>
  <c r="M252" i="10"/>
  <c r="N251" i="10"/>
  <c r="N250" i="10"/>
  <c r="N249" i="10"/>
  <c r="M249" i="10"/>
  <c r="N248" i="10"/>
  <c r="M248" i="10"/>
  <c r="N247" i="10"/>
  <c r="N246" i="10"/>
  <c r="N245" i="10"/>
  <c r="N244" i="10"/>
  <c r="M244" i="10"/>
  <c r="N243" i="10"/>
  <c r="M243" i="10"/>
  <c r="N242" i="10"/>
  <c r="M242" i="10"/>
  <c r="N241" i="10"/>
  <c r="M241" i="10"/>
  <c r="N240" i="10"/>
  <c r="N239" i="10"/>
  <c r="M239" i="10"/>
  <c r="N238" i="10"/>
  <c r="N237" i="10"/>
  <c r="M237" i="10"/>
  <c r="N236" i="10"/>
  <c r="M236" i="10"/>
  <c r="N235" i="10"/>
  <c r="M235" i="10"/>
  <c r="N234" i="10"/>
  <c r="M234" i="10"/>
  <c r="N233" i="10"/>
  <c r="M233" i="10"/>
  <c r="N232" i="10"/>
  <c r="N231" i="10"/>
  <c r="N230" i="10"/>
  <c r="M230" i="10"/>
  <c r="N229" i="10"/>
  <c r="M229" i="10"/>
  <c r="N228" i="10"/>
  <c r="N227" i="10"/>
  <c r="M227" i="10"/>
  <c r="N226" i="10"/>
  <c r="N225" i="10"/>
  <c r="N224" i="10"/>
  <c r="M224" i="10"/>
  <c r="N223" i="10"/>
  <c r="N222" i="10"/>
  <c r="M222" i="10"/>
  <c r="N221" i="10"/>
  <c r="M221" i="10"/>
  <c r="N220" i="10"/>
  <c r="N219" i="10"/>
  <c r="M219" i="10"/>
  <c r="N218" i="10"/>
  <c r="M218" i="10"/>
  <c r="N217" i="10"/>
  <c r="N216" i="10"/>
  <c r="M216" i="10"/>
  <c r="N215" i="10"/>
  <c r="M215" i="10"/>
  <c r="N214" i="10"/>
  <c r="M214" i="10"/>
  <c r="N213" i="10"/>
  <c r="M213" i="10"/>
  <c r="N212" i="10"/>
  <c r="M212" i="10"/>
  <c r="N211" i="10"/>
  <c r="M211" i="10"/>
  <c r="N210" i="10"/>
  <c r="N209" i="10"/>
  <c r="M209" i="10"/>
  <c r="N208" i="10"/>
  <c r="N207" i="10"/>
  <c r="M207" i="10"/>
  <c r="N206" i="10"/>
  <c r="M206" i="10"/>
  <c r="N205" i="10"/>
  <c r="M205" i="10"/>
  <c r="N204" i="10"/>
  <c r="N203" i="10"/>
  <c r="N202" i="10"/>
  <c r="M202" i="10"/>
  <c r="N201" i="10"/>
  <c r="M201" i="10"/>
  <c r="N200" i="10"/>
  <c r="N199" i="10"/>
  <c r="N198" i="10"/>
  <c r="N197" i="10"/>
  <c r="M197" i="10"/>
  <c r="N196" i="10"/>
  <c r="M196" i="10"/>
  <c r="N195" i="10"/>
  <c r="M195" i="10"/>
  <c r="N194" i="10"/>
  <c r="N193" i="10"/>
  <c r="N192" i="10"/>
  <c r="N191" i="10"/>
  <c r="N190" i="10"/>
  <c r="M190" i="10"/>
  <c r="N189" i="10"/>
  <c r="M189" i="10"/>
  <c r="N188" i="10"/>
  <c r="M188" i="10"/>
  <c r="N187" i="10"/>
  <c r="M187" i="10"/>
  <c r="N186" i="10"/>
  <c r="N185" i="10"/>
  <c r="M185" i="10"/>
  <c r="N184" i="10"/>
  <c r="M184" i="10"/>
  <c r="N183" i="10"/>
  <c r="M183" i="10"/>
  <c r="N182" i="10"/>
  <c r="M182" i="10"/>
  <c r="N181" i="10"/>
  <c r="N180" i="10"/>
  <c r="M180" i="10"/>
  <c r="N179" i="10"/>
  <c r="M179" i="10"/>
  <c r="N178" i="10"/>
  <c r="M178" i="10"/>
  <c r="N177" i="10"/>
  <c r="M177" i="10"/>
  <c r="N176" i="10"/>
  <c r="N175" i="10"/>
  <c r="N174" i="10"/>
  <c r="N173" i="10"/>
  <c r="M173" i="10"/>
  <c r="N172" i="10"/>
  <c r="M172" i="10"/>
  <c r="N171" i="10"/>
  <c r="M171" i="10"/>
  <c r="N170" i="10"/>
  <c r="N169" i="10"/>
  <c r="N168" i="10"/>
  <c r="N167" i="10"/>
  <c r="M167" i="10"/>
  <c r="N166" i="10"/>
  <c r="M166" i="10"/>
  <c r="N165" i="10"/>
  <c r="M165" i="10"/>
  <c r="N164" i="10"/>
  <c r="M164" i="10"/>
  <c r="N163" i="10"/>
  <c r="M163" i="10"/>
  <c r="N162" i="10"/>
  <c r="M162" i="10"/>
  <c r="N161" i="10"/>
  <c r="M161" i="10"/>
  <c r="N160" i="10"/>
  <c r="N159" i="10"/>
  <c r="M159" i="10"/>
  <c r="N158" i="10"/>
  <c r="M158" i="10"/>
  <c r="N157" i="10"/>
  <c r="M157" i="10"/>
  <c r="N156" i="10"/>
  <c r="N155" i="10"/>
  <c r="M155" i="10"/>
  <c r="N154" i="10"/>
  <c r="N153" i="10"/>
  <c r="N152" i="10"/>
  <c r="N151" i="10"/>
  <c r="M151" i="10"/>
  <c r="N150" i="10"/>
  <c r="M150" i="10"/>
  <c r="N149" i="10"/>
  <c r="M149" i="10"/>
  <c r="N148" i="10"/>
  <c r="M148" i="10"/>
  <c r="N147" i="10"/>
  <c r="N146" i="10"/>
  <c r="M146" i="10"/>
  <c r="N145" i="10"/>
  <c r="M145" i="10"/>
  <c r="N144" i="10"/>
  <c r="M144" i="10"/>
  <c r="N143" i="10"/>
  <c r="M143" i="10"/>
  <c r="N142" i="10"/>
  <c r="N141" i="10"/>
  <c r="M141" i="10"/>
  <c r="N140" i="10"/>
  <c r="N139" i="10"/>
  <c r="M139" i="10"/>
  <c r="N138" i="10"/>
  <c r="M138" i="10"/>
  <c r="N137" i="10"/>
  <c r="M137" i="10"/>
  <c r="N136" i="10"/>
  <c r="N135" i="10"/>
  <c r="M135" i="10"/>
  <c r="N134" i="10"/>
  <c r="N133" i="10"/>
  <c r="M133" i="10"/>
  <c r="N132" i="10"/>
  <c r="M132" i="10"/>
  <c r="N131" i="10"/>
  <c r="M131" i="10"/>
  <c r="N130" i="10"/>
  <c r="M130" i="10"/>
  <c r="N129" i="10"/>
  <c r="N128" i="10"/>
  <c r="M128" i="10"/>
  <c r="N127" i="10"/>
  <c r="N126" i="10"/>
  <c r="M126" i="10"/>
  <c r="N125" i="10"/>
  <c r="L125" i="10"/>
  <c r="M125" i="10" s="1"/>
  <c r="N124" i="10"/>
  <c r="N123" i="10"/>
  <c r="N122" i="10"/>
  <c r="M122" i="10"/>
  <c r="N121" i="10"/>
  <c r="M121" i="10"/>
  <c r="N120" i="10"/>
  <c r="M120" i="10"/>
  <c r="N119" i="10"/>
  <c r="M119" i="10"/>
  <c r="N118" i="10"/>
  <c r="M118" i="10"/>
  <c r="N117" i="10"/>
  <c r="M117" i="10"/>
  <c r="N116" i="10"/>
  <c r="M116" i="10"/>
  <c r="N115" i="10"/>
  <c r="M115" i="10"/>
  <c r="N114" i="10"/>
  <c r="M114" i="10"/>
  <c r="N113" i="10"/>
  <c r="M113" i="10"/>
  <c r="N112" i="10"/>
  <c r="M112" i="10"/>
  <c r="N111" i="10"/>
  <c r="M111" i="10"/>
  <c r="N110" i="10"/>
  <c r="M110" i="10"/>
  <c r="N109" i="10"/>
  <c r="M109" i="10"/>
  <c r="N108" i="10"/>
  <c r="N107" i="10"/>
  <c r="N106" i="10"/>
  <c r="M106" i="10"/>
  <c r="N105" i="10"/>
  <c r="N104" i="10"/>
  <c r="M104" i="10"/>
  <c r="N103" i="10"/>
  <c r="M103" i="10"/>
  <c r="N102" i="10"/>
  <c r="N101" i="10"/>
  <c r="M101" i="10"/>
  <c r="N100" i="10"/>
  <c r="M100" i="10"/>
  <c r="N99" i="10"/>
  <c r="M99" i="10"/>
  <c r="N98" i="10"/>
  <c r="N97" i="10"/>
  <c r="M97" i="10"/>
  <c r="L97" i="10"/>
  <c r="N96" i="10"/>
  <c r="N95" i="10"/>
  <c r="M95" i="10"/>
  <c r="N94" i="10"/>
  <c r="M94" i="10"/>
  <c r="N93" i="10"/>
  <c r="N92" i="10"/>
  <c r="M92" i="10"/>
  <c r="N91" i="10"/>
  <c r="M91" i="10"/>
  <c r="N90" i="10"/>
  <c r="M90" i="10"/>
  <c r="N89" i="10"/>
  <c r="M89" i="10"/>
  <c r="N88" i="10"/>
  <c r="M88" i="10"/>
  <c r="N87" i="10"/>
  <c r="M87" i="10"/>
  <c r="N86" i="10"/>
  <c r="M86" i="10"/>
  <c r="N85" i="10"/>
  <c r="M85" i="10"/>
  <c r="N84" i="10"/>
  <c r="M84" i="10"/>
  <c r="N83" i="10"/>
  <c r="N82" i="10"/>
  <c r="M82" i="10"/>
  <c r="N81" i="10"/>
  <c r="N80" i="10"/>
  <c r="L80" i="10"/>
  <c r="M80" i="10" s="1"/>
  <c r="N79" i="10"/>
  <c r="M79" i="10"/>
  <c r="N78" i="10"/>
  <c r="M78" i="10"/>
  <c r="N77" i="10"/>
  <c r="M77" i="10"/>
  <c r="N76" i="10"/>
  <c r="M76" i="10"/>
  <c r="N75" i="10"/>
  <c r="M75" i="10"/>
  <c r="N74" i="10"/>
  <c r="N73" i="10"/>
  <c r="L73" i="10"/>
  <c r="M73" i="10" s="1"/>
  <c r="N72" i="10"/>
  <c r="M72" i="10"/>
  <c r="N71" i="10"/>
  <c r="M71" i="10"/>
  <c r="N70" i="10"/>
  <c r="N69" i="10"/>
  <c r="M69" i="10"/>
  <c r="N68" i="10"/>
  <c r="N67" i="10"/>
  <c r="M67" i="10"/>
  <c r="N66" i="10"/>
  <c r="M66" i="10"/>
  <c r="N65" i="10"/>
  <c r="N64" i="10"/>
  <c r="M64" i="10"/>
  <c r="N63" i="10"/>
  <c r="N62" i="10"/>
  <c r="N61" i="10"/>
  <c r="M61" i="10"/>
  <c r="N60" i="10"/>
  <c r="N59" i="10"/>
  <c r="N58" i="10"/>
  <c r="L58" i="10"/>
  <c r="M58" i="10" s="1"/>
  <c r="N57" i="10"/>
  <c r="N56" i="10"/>
  <c r="M56" i="10"/>
  <c r="N55" i="10"/>
  <c r="N54" i="10"/>
  <c r="M54" i="10"/>
  <c r="N53" i="10"/>
  <c r="M53" i="10"/>
  <c r="N52" i="10"/>
  <c r="M52" i="10"/>
  <c r="N51" i="10"/>
  <c r="N50" i="10"/>
  <c r="L50" i="10"/>
  <c r="M50" i="10" s="1"/>
  <c r="N49" i="10"/>
  <c r="N48" i="10"/>
  <c r="N47" i="10"/>
  <c r="M47" i="10"/>
  <c r="N46" i="10"/>
  <c r="L46" i="10"/>
  <c r="M46" i="10" s="1"/>
  <c r="N45" i="10"/>
  <c r="M45" i="10"/>
  <c r="N44" i="10"/>
  <c r="M44" i="10"/>
  <c r="N43" i="10"/>
  <c r="M43" i="10"/>
  <c r="N42" i="10"/>
  <c r="N41" i="10"/>
  <c r="M41" i="10"/>
  <c r="N40" i="10"/>
  <c r="L40" i="10"/>
  <c r="M40" i="10" s="1"/>
  <c r="N39" i="10"/>
  <c r="N38" i="10"/>
  <c r="N37" i="10"/>
  <c r="M37" i="10"/>
  <c r="N36" i="10"/>
  <c r="M36" i="10"/>
  <c r="N35" i="10"/>
  <c r="M35" i="10"/>
  <c r="N34" i="10"/>
  <c r="M34" i="10"/>
  <c r="N33" i="10"/>
  <c r="M33" i="10"/>
  <c r="N32" i="10"/>
  <c r="M32" i="10"/>
  <c r="N31" i="10"/>
  <c r="N30" i="10"/>
  <c r="N29" i="10"/>
  <c r="M29" i="10"/>
  <c r="N28" i="10"/>
  <c r="N27" i="10"/>
  <c r="N26" i="10"/>
  <c r="M26" i="10"/>
  <c r="N25" i="10"/>
  <c r="M25" i="10"/>
  <c r="N24" i="10"/>
  <c r="M24" i="10"/>
  <c r="N23" i="10"/>
  <c r="N22" i="10"/>
  <c r="N21" i="10"/>
  <c r="N20" i="10"/>
  <c r="M20" i="10"/>
  <c r="N19" i="10"/>
  <c r="M19" i="10"/>
  <c r="N18" i="10"/>
  <c r="N17" i="10"/>
  <c r="N16" i="10"/>
  <c r="N15" i="10"/>
  <c r="N14" i="10"/>
  <c r="N13" i="10"/>
  <c r="N12" i="10"/>
  <c r="N11" i="10"/>
  <c r="N10" i="10"/>
  <c r="N9" i="10"/>
  <c r="M9" i="10"/>
  <c r="N8" i="10"/>
  <c r="N7" i="10"/>
  <c r="N6" i="10"/>
  <c r="N5" i="10"/>
  <c r="M5" i="10"/>
  <c r="N4" i="10"/>
  <c r="M4" i="10"/>
  <c r="N3" i="10"/>
  <c r="N2" i="10"/>
  <c r="M101" i="1"/>
  <c r="N101" i="1"/>
  <c r="M85" i="1"/>
  <c r="N85" i="1"/>
  <c r="M52" i="1"/>
  <c r="N52" i="1"/>
  <c r="M48" i="1"/>
  <c r="N48" i="1"/>
  <c r="N32" i="1"/>
  <c r="M32" i="1"/>
  <c r="M59" i="1"/>
  <c r="N59" i="1"/>
  <c r="M94" i="1"/>
  <c r="N94" i="1"/>
  <c r="N34" i="1"/>
  <c r="M34" i="1"/>
  <c r="N65" i="1"/>
  <c r="L65" i="1"/>
  <c r="M65" i="1" s="1"/>
  <c r="N55" i="1"/>
  <c r="M55" i="1"/>
  <c r="N41" i="1"/>
  <c r="M41" i="1"/>
  <c r="N40" i="1"/>
  <c r="M40" i="1"/>
  <c r="N50" i="1"/>
  <c r="M50" i="1"/>
  <c r="N25" i="1"/>
  <c r="M25" i="1"/>
  <c r="N26" i="1"/>
  <c r="M26" i="1"/>
  <c r="N16" i="1"/>
  <c r="M16" i="1"/>
  <c r="N51" i="1"/>
  <c r="M51" i="1"/>
  <c r="N46" i="1"/>
  <c r="M46" i="1"/>
  <c r="K7" i="5"/>
  <c r="L7" i="5"/>
  <c r="N7" i="5"/>
  <c r="K8" i="5"/>
  <c r="L8" i="5"/>
  <c r="N8" i="5"/>
  <c r="K9" i="5"/>
  <c r="L9" i="5"/>
  <c r="N9" i="5"/>
  <c r="K10" i="5"/>
  <c r="L10" i="5"/>
  <c r="N10" i="5"/>
  <c r="M39" i="1"/>
  <c r="N39" i="1"/>
  <c r="M42" i="1"/>
  <c r="N42" i="1"/>
  <c r="M24" i="1"/>
  <c r="N24" i="1"/>
  <c r="M54" i="1"/>
  <c r="N54" i="1"/>
  <c r="N89" i="1"/>
  <c r="M89" i="1"/>
  <c r="K6" i="5"/>
  <c r="L6" i="5"/>
  <c r="N6" i="5"/>
  <c r="M130" i="1"/>
  <c r="N130" i="1"/>
  <c r="M116" i="1"/>
  <c r="N116" i="1"/>
  <c r="M250" i="1"/>
  <c r="N250" i="1"/>
  <c r="M18" i="1"/>
  <c r="N18" i="1"/>
  <c r="M60" i="1"/>
  <c r="N60" i="1"/>
  <c r="M38" i="1"/>
  <c r="N38" i="1"/>
  <c r="N17" i="1"/>
  <c r="M17" i="1"/>
  <c r="K3" i="5"/>
  <c r="L3" i="5"/>
  <c r="N3" i="5"/>
  <c r="K4" i="5"/>
  <c r="L4" i="5"/>
  <c r="N4" i="5"/>
  <c r="K5" i="5"/>
  <c r="L5" i="5"/>
  <c r="N5" i="5"/>
  <c r="N80" i="1"/>
  <c r="M80" i="1"/>
  <c r="M63" i="1"/>
  <c r="N63" i="1"/>
  <c r="M6" i="1"/>
  <c r="N6" i="1"/>
  <c r="N100" i="1"/>
  <c r="M100" i="1"/>
  <c r="N2" i="5"/>
  <c r="K2" i="5"/>
  <c r="L2" i="5"/>
  <c r="N169" i="1"/>
  <c r="L21" i="1"/>
  <c r="L49" i="1" l="1"/>
  <c r="M49" i="1" s="1"/>
  <c r="L127" i="1"/>
  <c r="M115" i="1" l="1"/>
  <c r="N115" i="1"/>
  <c r="M83" i="1"/>
  <c r="N83" i="1"/>
  <c r="N82" i="1"/>
  <c r="M82" i="1"/>
  <c r="N12" i="1"/>
  <c r="M12" i="1"/>
  <c r="M88" i="1"/>
  <c r="N88" i="1"/>
  <c r="M134" i="1"/>
  <c r="N134" i="1"/>
  <c r="N208" i="1"/>
  <c r="M208" i="1"/>
  <c r="L69" i="1"/>
  <c r="M69" i="1" s="1"/>
  <c r="M43" i="1"/>
  <c r="N43" i="1"/>
  <c r="M70" i="1"/>
  <c r="N70" i="1"/>
  <c r="M138" i="1"/>
  <c r="N138" i="1"/>
  <c r="N49" i="1"/>
  <c r="M71" i="1"/>
  <c r="N71" i="1"/>
  <c r="N69" i="1"/>
  <c r="N53" i="1"/>
  <c r="M53" i="1"/>
  <c r="M243" i="1"/>
  <c r="N243" i="1"/>
  <c r="M260" i="1"/>
  <c r="N260" i="1"/>
  <c r="N235" i="1"/>
  <c r="M235" i="1"/>
  <c r="M191" i="1" l="1"/>
  <c r="N191" i="1"/>
  <c r="M9" i="1"/>
  <c r="N9" i="1"/>
  <c r="N132" i="1"/>
  <c r="M132" i="1"/>
  <c r="N121" i="1"/>
  <c r="M121" i="1"/>
  <c r="N76" i="1" l="1"/>
  <c r="L76" i="1"/>
  <c r="M76" i="1" s="1"/>
  <c r="N35" i="1"/>
  <c r="L35" i="1"/>
  <c r="M35" i="1" s="1"/>
  <c r="N21" i="1"/>
  <c r="M21" i="1"/>
  <c r="N10" i="1"/>
  <c r="N15" i="1"/>
  <c r="N104" i="1"/>
  <c r="M104" i="1"/>
  <c r="N3" i="1"/>
  <c r="M3" i="1"/>
  <c r="N139" i="1"/>
  <c r="N2" i="1"/>
  <c r="N140" i="1"/>
  <c r="N90" i="1"/>
  <c r="M2" i="1"/>
  <c r="M140" i="1"/>
  <c r="M90" i="1"/>
  <c r="M139" i="1"/>
  <c r="N113" i="1"/>
  <c r="M113" i="1"/>
  <c r="N163" i="1"/>
  <c r="N196" i="1"/>
  <c r="N143" i="1"/>
  <c r="N73" i="1"/>
  <c r="M196" i="1"/>
  <c r="M143" i="1"/>
  <c r="M73" i="1"/>
  <c r="M163" i="1"/>
  <c r="N72" i="1"/>
  <c r="N221" i="1"/>
  <c r="N245" i="1"/>
  <c r="N226" i="1"/>
  <c r="N239" i="1"/>
  <c r="N247" i="1"/>
  <c r="N272" i="1"/>
  <c r="N156" i="1"/>
  <c r="N229" i="1"/>
  <c r="M221" i="1"/>
  <c r="M245" i="1"/>
  <c r="M226" i="1"/>
  <c r="M239" i="1"/>
  <c r="M247" i="1"/>
  <c r="M272" i="1"/>
  <c r="M156" i="1"/>
  <c r="M229" i="1"/>
  <c r="M72" i="1"/>
  <c r="N311" i="1"/>
  <c r="N310" i="1"/>
  <c r="N266" i="1"/>
  <c r="M266" i="1"/>
  <c r="N249" i="1"/>
  <c r="M249" i="1"/>
  <c r="M167" i="1"/>
  <c r="N167" i="1"/>
  <c r="N81" i="1"/>
  <c r="N215" i="1"/>
  <c r="N280" i="1"/>
  <c r="M215" i="1"/>
  <c r="M280" i="1"/>
  <c r="M81" i="1"/>
  <c r="N168" i="1"/>
  <c r="N173" i="1"/>
  <c r="N110" i="1"/>
  <c r="N158" i="1"/>
  <c r="N98" i="1"/>
  <c r="M173" i="1"/>
  <c r="M110" i="1"/>
  <c r="M158" i="1"/>
  <c r="M98" i="1"/>
  <c r="M168" i="1"/>
  <c r="N86" i="1"/>
  <c r="M86" i="1"/>
  <c r="M95" i="1"/>
  <c r="N95" i="1"/>
  <c r="M107" i="1" l="1"/>
  <c r="M114" i="1"/>
  <c r="M96" i="1"/>
  <c r="M157" i="1"/>
  <c r="M195" i="1"/>
  <c r="N195" i="1"/>
  <c r="N107" i="1"/>
  <c r="N114" i="1"/>
  <c r="N96" i="1"/>
  <c r="N157" i="1"/>
  <c r="M145" i="1"/>
  <c r="M146" i="1"/>
  <c r="M263" i="1"/>
  <c r="M131" i="1"/>
  <c r="M120" i="1"/>
  <c r="M186" i="1"/>
  <c r="N145" i="1"/>
  <c r="N146" i="1"/>
  <c r="N263" i="1"/>
  <c r="N131" i="1"/>
  <c r="N120" i="1"/>
  <c r="N186" i="1"/>
  <c r="L33" i="1"/>
  <c r="M33" i="1" s="1"/>
  <c r="N33" i="1"/>
  <c r="N216" i="1"/>
  <c r="N137" i="1"/>
  <c r="N236" i="1"/>
  <c r="N286" i="1"/>
  <c r="M216" i="1"/>
  <c r="M137" i="1"/>
  <c r="M236" i="1"/>
  <c r="M286" i="1"/>
  <c r="N281" i="1"/>
  <c r="N78" i="1"/>
  <c r="N119" i="1"/>
  <c r="M78" i="1"/>
  <c r="M119" i="1"/>
  <c r="M281" i="1"/>
  <c r="M102" i="1"/>
  <c r="N102" i="1"/>
  <c r="M162" i="1"/>
  <c r="N162" i="1"/>
  <c r="M93" i="1"/>
  <c r="N93" i="1"/>
  <c r="M126" i="1"/>
  <c r="N126" i="1"/>
  <c r="M112" i="1"/>
  <c r="N112" i="1"/>
  <c r="M175" i="1"/>
  <c r="N175" i="1"/>
  <c r="M106" i="1"/>
  <c r="N106" i="1"/>
  <c r="M150" i="1"/>
  <c r="N150" i="1"/>
  <c r="M268" i="1"/>
  <c r="N268" i="1"/>
  <c r="M103" i="1"/>
  <c r="N103" i="1"/>
  <c r="M108" i="1"/>
  <c r="N108" i="1"/>
  <c r="M151" i="1"/>
  <c r="N151" i="1"/>
  <c r="N148" i="1"/>
  <c r="N8" i="1"/>
  <c r="N230" i="1"/>
  <c r="N136" i="1"/>
  <c r="N125" i="1"/>
  <c r="N297" i="1"/>
  <c r="N144" i="1"/>
  <c r="N204" i="1"/>
  <c r="N267" i="1"/>
  <c r="N123" i="1"/>
  <c r="N227" i="1"/>
  <c r="M8" i="1"/>
  <c r="M230" i="1"/>
  <c r="M136" i="1"/>
  <c r="M125" i="1"/>
  <c r="M297" i="1"/>
  <c r="M144" i="1"/>
  <c r="M204" i="1"/>
  <c r="M267" i="1"/>
  <c r="M123" i="1"/>
  <c r="M227" i="1"/>
  <c r="M148" i="1"/>
  <c r="N213" i="1"/>
  <c r="M153" i="1"/>
  <c r="M296" i="1"/>
  <c r="M192" i="1"/>
  <c r="M124" i="1"/>
  <c r="M278" i="1"/>
  <c r="M225" i="1"/>
  <c r="M301" i="1"/>
  <c r="M274" i="1"/>
  <c r="M207" i="1"/>
  <c r="M194" i="1"/>
  <c r="M183" i="1"/>
  <c r="M174" i="1"/>
  <c r="M282" i="1"/>
  <c r="M238" i="1"/>
  <c r="N238" i="1"/>
  <c r="N153" i="1"/>
  <c r="N296" i="1"/>
  <c r="N192" i="1"/>
  <c r="N124" i="1"/>
  <c r="N278" i="1"/>
  <c r="N225" i="1"/>
  <c r="N301" i="1"/>
  <c r="N274" i="1"/>
  <c r="N207" i="1"/>
  <c r="N194" i="1"/>
  <c r="N183" i="1"/>
  <c r="N174" i="1"/>
  <c r="N282" i="1"/>
  <c r="M122" i="1"/>
  <c r="M240" i="1"/>
  <c r="M237" i="1"/>
  <c r="M285" i="1"/>
  <c r="M248" i="1"/>
  <c r="M287" i="1"/>
  <c r="M161" i="1"/>
  <c r="N122" i="1"/>
  <c r="N240" i="1"/>
  <c r="N237" i="1"/>
  <c r="N285" i="1"/>
  <c r="N248" i="1"/>
  <c r="N287" i="1"/>
  <c r="N161" i="1"/>
  <c r="N203" i="1"/>
  <c r="N206" i="1"/>
  <c r="N133" i="1"/>
  <c r="N155" i="1"/>
  <c r="N257" i="1"/>
  <c r="N199" i="1"/>
  <c r="N164" i="1"/>
  <c r="N214" i="1"/>
  <c r="N128" i="1"/>
  <c r="N171" i="1"/>
  <c r="N147" i="1"/>
  <c r="M206" i="1"/>
  <c r="M133" i="1"/>
  <c r="M155" i="1"/>
  <c r="M257" i="1"/>
  <c r="M199" i="1"/>
  <c r="M164" i="1"/>
  <c r="M214" i="1"/>
  <c r="M128" i="1"/>
  <c r="M171" i="1"/>
  <c r="M147" i="1"/>
  <c r="M203" i="1"/>
  <c r="M304" i="1" l="1"/>
  <c r="M292" i="1"/>
  <c r="M165" i="1"/>
  <c r="M178" i="1"/>
  <c r="M180" i="1"/>
  <c r="M217" i="1"/>
  <c r="M271" i="1"/>
  <c r="M127" i="1"/>
  <c r="M198" i="1"/>
  <c r="M233" i="1"/>
  <c r="M303" i="1"/>
  <c r="N303" i="1"/>
  <c r="N198" i="1"/>
  <c r="N233" i="1"/>
  <c r="N304" i="1"/>
  <c r="N292" i="1"/>
  <c r="N165" i="1"/>
  <c r="N178" i="1"/>
  <c r="N180" i="1"/>
  <c r="N217" i="1"/>
  <c r="N271" i="1"/>
  <c r="N127" i="1"/>
  <c r="M312" i="1"/>
  <c r="M190" i="1"/>
  <c r="M184" i="1"/>
  <c r="M223" i="1"/>
  <c r="N312" i="1"/>
  <c r="N190" i="1"/>
  <c r="N184" i="1"/>
  <c r="N223" i="1"/>
  <c r="M259" i="1"/>
  <c r="M211" i="1"/>
  <c r="M222" i="1"/>
  <c r="M305" i="1"/>
  <c r="N305" i="1"/>
  <c r="N222" i="1"/>
  <c r="N211" i="1"/>
  <c r="N259" i="1"/>
  <c r="M256" i="1" l="1"/>
  <c r="M264" i="1"/>
  <c r="N256" i="1"/>
  <c r="N264" i="1"/>
  <c r="N289" i="1" l="1"/>
  <c r="N57" i="1"/>
  <c r="N91" i="1"/>
  <c r="N64" i="1"/>
  <c r="N62" i="1"/>
  <c r="N67" i="1"/>
  <c r="N129" i="1"/>
  <c r="N109" i="1"/>
  <c r="N111" i="1"/>
  <c r="N77" i="1"/>
  <c r="N19" i="1"/>
  <c r="N56" i="1"/>
  <c r="N99" i="1"/>
  <c r="N31" i="1"/>
  <c r="N92" i="1"/>
  <c r="N14" i="1"/>
  <c r="N58" i="1"/>
  <c r="N68" i="1"/>
  <c r="N87" i="1"/>
  <c r="N37" i="1"/>
  <c r="N79" i="1"/>
  <c r="N75" i="1"/>
  <c r="N29" i="1"/>
  <c r="N224" i="1"/>
  <c r="N61" i="1"/>
  <c r="N47" i="1"/>
  <c r="N44" i="1"/>
  <c r="N210" i="1"/>
  <c r="N11" i="1"/>
  <c r="N45" i="1"/>
  <c r="N23" i="1"/>
  <c r="N28" i="1"/>
  <c r="N27" i="1"/>
  <c r="N22" i="1"/>
  <c r="N7" i="1"/>
  <c r="N20" i="1"/>
  <c r="N262" i="1"/>
  <c r="N13" i="1"/>
  <c r="N5" i="1"/>
  <c r="N30" i="1"/>
  <c r="N36" i="1"/>
  <c r="N4" i="1"/>
  <c r="N294" i="1"/>
  <c r="N298" i="1"/>
  <c r="N74" i="1"/>
  <c r="N187" i="1"/>
  <c r="N149" i="1"/>
  <c r="N154" i="1"/>
  <c r="N201" i="1"/>
  <c r="N117" i="1"/>
  <c r="N159" i="1"/>
  <c r="N232" i="1"/>
  <c r="N172" i="1"/>
  <c r="N179" i="1"/>
  <c r="N241" i="1"/>
  <c r="N160" i="1"/>
  <c r="N200" i="1"/>
  <c r="N182" i="1"/>
  <c r="N188" i="1"/>
  <c r="N265" i="1"/>
  <c r="N176" i="1"/>
  <c r="N252" i="1"/>
  <c r="N66" i="1"/>
  <c r="N202" i="1"/>
  <c r="N193" i="1"/>
  <c r="N228" i="1"/>
  <c r="N251" i="1"/>
  <c r="N253" i="1"/>
  <c r="N302" i="1"/>
  <c r="N231" i="1"/>
  <c r="N218" i="1"/>
  <c r="N279" i="1"/>
  <c r="N189" i="1"/>
  <c r="N170" i="1"/>
  <c r="N219" i="1"/>
  <c r="N220" i="1"/>
  <c r="N197" i="1"/>
  <c r="N177" i="1"/>
  <c r="N84" i="1"/>
  <c r="N290" i="1"/>
  <c r="N209" i="1"/>
  <c r="N166" i="1"/>
  <c r="N185" i="1"/>
  <c r="N276" i="1"/>
  <c r="N234" i="1"/>
  <c r="N244" i="1"/>
  <c r="N246" i="1"/>
  <c r="N277" i="1"/>
  <c r="N135" i="1"/>
  <c r="N105" i="1"/>
  <c r="N97" i="1"/>
  <c r="N258" i="1"/>
  <c r="N242" i="1"/>
  <c r="N295" i="1"/>
  <c r="N288" i="1"/>
  <c r="N255" i="1"/>
  <c r="N254" i="1"/>
  <c r="N270" i="1"/>
  <c r="N269" i="1"/>
  <c r="N261" i="1"/>
  <c r="N300" i="1"/>
  <c r="N118" i="1"/>
  <c r="N275" i="1"/>
  <c r="N205" i="1"/>
  <c r="N181" i="1"/>
  <c r="N273" i="1"/>
  <c r="N141" i="1"/>
  <c r="N306" i="1"/>
  <c r="N283" i="1"/>
  <c r="N293" i="1"/>
  <c r="N284" i="1"/>
  <c r="N152" i="1"/>
  <c r="N309" i="1"/>
  <c r="N291" i="1"/>
  <c r="N307" i="1"/>
  <c r="N299" i="1"/>
  <c r="N308" i="1"/>
  <c r="N313" i="1"/>
  <c r="N314" i="1"/>
  <c r="N315" i="1"/>
  <c r="N212" i="1"/>
  <c r="N142" i="1"/>
</calcChain>
</file>

<file path=xl/sharedStrings.xml><?xml version="1.0" encoding="utf-8"?>
<sst xmlns="http://schemas.openxmlformats.org/spreadsheetml/2006/main" count="3713" uniqueCount="346">
  <si>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</si>
  <si>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</si>
  <si>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</si>
  <si>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</si>
  <si>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</si>
  <si>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</si>
  <si>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</si>
  <si>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</si>
  <si>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</si>
  <si>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</si>
  <si>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</si>
  <si>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</si>
  <si>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</si>
  <si>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</si>
  <si>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</si>
  <si>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</si>
  <si>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</si>
  <si>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</si>
  <si>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</si>
  <si>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</si>
  <si>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</si>
  <si>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</si>
  <si>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</si>
  <si>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</si>
  <si>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</si>
  <si>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</si>
  <si>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</si>
  <si>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</si>
  <si>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</si>
  <si>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</si>
  <si>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</si>
  <si>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</si>
  <si>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</si>
  <si>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</si>
  <si>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</si>
  <si>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</si>
  <si>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</si>
  <si>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</si>
  <si>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</si>
  <si>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</si>
  <si>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</si>
  <si>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</si>
  <si>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</si>
  <si>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</si>
  <si>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</si>
  <si>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</si>
  <si>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</si>
  <si>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</si>
  <si>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</si>
  <si>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</si>
  <si>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</si>
  <si>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</si>
  <si>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</si>
  <si>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</si>
  <si>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</si>
  <si>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</si>
  <si>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</si>
  <si>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</si>
  <si>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</si>
  <si>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</si>
  <si>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</si>
  <si>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</si>
  <si>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</si>
  <si>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</si>
  <si>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</si>
  <si>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</si>
  <si>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</si>
  <si>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</si>
  <si>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</si>
  <si>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</si>
  <si>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</si>
  <si>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</si>
  <si>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</si>
  <si>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</si>
  <si>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</si>
  <si>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</si>
  <si>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</si>
  <si>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</si>
  <si>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</si>
  <si>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</si>
  <si>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</si>
  <si>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</si>
  <si>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</si>
  <si>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</si>
  <si>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</si>
  <si>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</si>
  <si>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</si>
  <si>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</si>
  <si>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</si>
  <si>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</si>
  <si>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</si>
  <si>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</si>
  <si>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</si>
  <si>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</si>
  <si>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</si>
  <si>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</si>
  <si>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</si>
  <si>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</si>
  <si>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</si>
  <si>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</si>
  <si>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</si>
  <si>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</si>
  <si>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</si>
  <si>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</si>
  <si>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</si>
  <si>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</si>
  <si>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</si>
  <si>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</si>
  <si>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</si>
  <si>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</si>
  <si>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</si>
  <si>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</si>
  <si>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</si>
  <si>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</si>
  <si>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</si>
  <si>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</si>
  <si>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</si>
  <si>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</si>
  <si>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</si>
  <si>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</si>
  <si>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</si>
  <si>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</si>
  <si>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</si>
  <si>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</si>
  <si>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</si>
  <si>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</si>
  <si>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</si>
  <si>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</si>
  <si>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</si>
  <si>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</si>
  <si>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</si>
  <si>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</si>
  <si>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</si>
  <si>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</si>
  <si>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</si>
  <si>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</si>
  <si>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</si>
  <si>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</si>
  <si>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</si>
  <si>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</si>
  <si>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</si>
  <si>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</si>
  <si>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30*284 :19 AUG 2026 09:36:11 AM</t>
  </si>
  <si>
    <t>B 50*344 :19 AUG 2026 09:00:50 AM</t>
  </si>
  <si>
    <t>B 10*223 :19 AUG 2026 09:00:48 AM</t>
  </si>
  <si>
    <t>B 10*2620 :20 AUG 2026 03:25:59 PM</t>
  </si>
  <si>
    <t>S 7*2324 :20 AUG 2026 09:00:50 AM</t>
  </si>
  <si>
    <t>BUY 20*132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</si>
  <si>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</si>
  <si>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</si>
  <si>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</si>
  <si>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</si>
  <si>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</si>
  <si>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</si>
  <si>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B 50*283.45 :24 AUG 2026 10:39:55 AM</t>
  </si>
  <si>
    <t>B 50*223.5 :24 AUG 2026 10:38:22 AM</t>
  </si>
  <si>
    <t>B 5*452 :24 AUG 2026 09:01:09 AM</t>
  </si>
  <si>
    <t>B 5*168 :25 AUG 2026 12:47:02 PM</t>
  </si>
  <si>
    <t>B 20*440 :25 AUG 2026 09:00:12 AM</t>
  </si>
  <si>
    <t>B 20*1901 :25 AUG 2026 09:19:33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</si>
  <si>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</si>
  <si>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</si>
  <si>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</si>
  <si>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</si>
  <si>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</si>
  <si>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</si>
  <si>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</si>
  <si>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</si>
  <si>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</si>
  <si>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</si>
  <si>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</si>
  <si>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B 50*216.28 :27 AUG 2026 02:46:09 PM</t>
  </si>
  <si>
    <t>B 10*947 :27 AUG 2026 09:01:10 AM</t>
  </si>
  <si>
    <t>B 2*2560 :27 AUG 2026 09:01:05 AM</t>
  </si>
  <si>
    <t>B 20*226 :27 AUG 2026 09:15:12 AM</t>
  </si>
  <si>
    <t>B 5*1201 :27 AUG 2026 09:00:53 AM</t>
  </si>
  <si>
    <t>B 100*341 :27 AUG 2026 09:00:50 AM</t>
  </si>
  <si>
    <t>B 2*1840 :27 AUG 2026 09:00:53 AM</t>
  </si>
  <si>
    <t>B 50*343 :27 AUG 2026 09:00:53 AM</t>
  </si>
  <si>
    <t>B 10*1051 :27 AUG 2026 09:00:53 AM</t>
  </si>
  <si>
    <t>S 50*211 :27 AUG 2026 09:00:44 AM</t>
  </si>
  <si>
    <t>S 20*885 :27 AUG 2026 09:00:48 AM</t>
  </si>
  <si>
    <t>B 5*1440 :27 AUG 2026 09:01:10 AM</t>
  </si>
  <si>
    <t>B 2*4210 :28 AUG 2026 09:00:52 AM</t>
  </si>
  <si>
    <t>B 10*1303 :28 AUG 2026 09:00:51 AM</t>
  </si>
  <si>
    <t>B 4*1066 :28 AUG 2026 09:00:51 AM</t>
  </si>
  <si>
    <t>B 10*2618 :28 AUG 2026 11:07:42 AM</t>
  </si>
  <si>
    <t>B 10*1330 :28 AUG 2026 09:00:50 AM</t>
  </si>
  <si>
    <t>B 10*2630 :28 AUG 2026 09:00:51 AM</t>
  </si>
  <si>
    <t>B 10*1041 :28 AUG 2026 09:00:50 AM</t>
  </si>
  <si>
    <t>FBSO:5+SSO:6</t>
  </si>
  <si>
    <t>B 5*1056.4 :31 AUG 2026 11:40:50 AM</t>
  </si>
  <si>
    <t>B 5*1762 :31 AUG 2026 11:03:10 AM</t>
  </si>
  <si>
    <t>B 5*891 :31 AUG 2026 09:58:21 AM</t>
  </si>
  <si>
    <t>B 30*127 :31 AUG 2026 11:24:47 AM</t>
  </si>
  <si>
    <t>B 3*2526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</si>
  <si>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</si>
  <si>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</si>
  <si>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</si>
  <si>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</si>
  <si>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</si>
  <si>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</si>
  <si>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</si>
  <si>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</si>
  <si>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10*2602 :31 AUG 2026 09:01:13 AM</t>
  </si>
  <si>
    <t>SYMBIOTECEQ</t>
  </si>
  <si>
    <t>B 20*291 :01 SEP 2026 12:14:15 PM</t>
  </si>
  <si>
    <t>B 5*1188 :01 SEP 2026 09:01:03 AM</t>
  </si>
  <si>
    <t>B 25*752 :01 SEP 2026 09:01:03 AM</t>
  </si>
  <si>
    <t>B 3*2526 :01 SEP 2026 09:01:01 AM</t>
  </si>
  <si>
    <t>B 11*882 :01 SEP 2026 09:00:57 AM</t>
  </si>
  <si>
    <t>B 10*1030 :01 SEP 2026 09:00:59 AM</t>
  </si>
  <si>
    <t>B 10*1260 :01 SEP 2026 09:00:57 AM</t>
  </si>
  <si>
    <t>B 10*2530 :01 SEP 2026 09:00:58 AM</t>
  </si>
  <si>
    <t>B 100*339.5 :01 SEP 2026 03:25:36 PM</t>
  </si>
  <si>
    <t>B 1*14552 :01 SEP 2026 09:00:56 AM</t>
  </si>
  <si>
    <t>NSE:SYMBIOTEC</t>
  </si>
  <si>
    <t>B 20*206 :02 SEP 2026 10:13:03 AM</t>
  </si>
  <si>
    <t>B 100*329 :02 SEP 2026 11:04:43 AM</t>
  </si>
  <si>
    <t>B 2*2484 :02 SEP 2026 10:11:18 AM</t>
  </si>
  <si>
    <t>B 100*332 :02 SEP 2026 09:21:33 AM</t>
  </si>
  <si>
    <t>B 3*1360 :02 SEP 2026 09:00:50 AM</t>
  </si>
  <si>
    <t>B 2*4110 :02 SEP 2026 09:00:50 AM</t>
  </si>
  <si>
    <t>B 5*1151 :02 SEP 2026 09:00:50 AM</t>
  </si>
  <si>
    <t>B 5*2496 :02 SEP 2026 12:20:03 PM</t>
  </si>
  <si>
    <t>B 50*335.1 :02 SEP 2026 09:00:47 AM</t>
  </si>
  <si>
    <t>B 10*927 :02 SEP 2026 09:00:50 AM</t>
  </si>
  <si>
    <t>B 5*1161 :02 SEP 2026 09:00:47 AM</t>
  </si>
  <si>
    <t>B 30*860 :03 SEP 2026 09:00:49 AM</t>
  </si>
  <si>
    <t>B 100*322 :03 SEP 2026 09:00:47 AM</t>
  </si>
  <si>
    <t>S 100*219 :03 SEP 2026 09:15:08 AM</t>
  </si>
  <si>
    <t>B 1*5180 :04 SEP 2026 03:26:46 PM</t>
  </si>
  <si>
    <t>B 10*1814 :04 SEP 2026 09:52:27 AM</t>
  </si>
  <si>
    <t>B 40*212 :04 SEP 2026 02:45:11 PM</t>
  </si>
  <si>
    <t>B 5*421 :04 SEP 2026 09:00:48 AM</t>
  </si>
  <si>
    <t>S 3*1794 :04 SEP 2026 09:00:46 AM</t>
  </si>
  <si>
    <t>GTD</t>
  </si>
  <si>
    <t>Y</t>
  </si>
  <si>
    <t>B 5*1764 :07 SEP 2026 10:50:42 AM</t>
  </si>
  <si>
    <t>B 20*1847.3 :07 SEP 2026 09:23:58 AM</t>
  </si>
  <si>
    <t>B 5*852 :07 SEP 2026 09:01:15 AM</t>
  </si>
  <si>
    <t>B 15*1005 :07 SEP 2026 09:01:18 AM</t>
  </si>
  <si>
    <t>B 40*426 :07 SEP 2026 09:01:18 AM</t>
  </si>
  <si>
    <t>B 10*1251 :07 SEP 2026 09:01:14 AM</t>
  </si>
  <si>
    <t>B 10*265.7 :08 SEP 2026 12:08:32 PM</t>
  </si>
  <si>
    <t>B 20*281 :08 SEP 2026 09:00:52 AM</t>
  </si>
  <si>
    <t>B 5*1714 :08 SEP 2026 09:00:52 AM</t>
  </si>
  <si>
    <t>B (10/20)*917 :08 SEP 2026 09:00:52 AM</t>
  </si>
  <si>
    <t>B 5*3946.1 :08 SEP 2026 09:00:53 AM</t>
  </si>
  <si>
    <t>NP</t>
  </si>
  <si>
    <t>B 2*4951 :09 SEP 2026 09:57:28 AM</t>
  </si>
  <si>
    <t>B 10*1166 :09 SEP 2026 09:00:57 AM</t>
  </si>
  <si>
    <t>B 5*680 :09 SEP 2026 09:00:56 AM</t>
  </si>
  <si>
    <t>B 5*3938 :09 SEP 2026 09:00:56 AM</t>
  </si>
  <si>
    <t>B 2*2426 :09 SEP 2026 09:00:56 AM</t>
  </si>
  <si>
    <t>B 5*660 :10 SEP 2026 09:00:54 AM</t>
  </si>
  <si>
    <t>B 50*208 :10 SEP 2026 09:00:55 AM</t>
  </si>
  <si>
    <t>B 30*2460 :10 SEP 2026 12:11:32 PM</t>
  </si>
  <si>
    <t>S 250*225.5 :10 SEP 2026 10:59:02 AM</t>
  </si>
  <si>
    <t>B 20*268.5 :11 SEP 2026 03:04:39 PM</t>
  </si>
  <si>
    <t>B 10*1410 :11 SEP 2026 10:37:54 AM</t>
  </si>
  <si>
    <t>B 10*804.9 :11 SEP 2026 10:07:19 AM</t>
  </si>
  <si>
    <t>B 10*1420 :11 SEP 2026 09:36:15 AM</t>
  </si>
  <si>
    <t>B 10*1440 :11 SEP 2026 09:22:16 AM</t>
  </si>
  <si>
    <t>B 10*1465 :11 SEP 2026 09:19:05 AM</t>
  </si>
  <si>
    <t>B 10*1503 :11 SEP 2026 09:00:53 AM</t>
  </si>
  <si>
    <t>B 25*348 :11 SEP 2026 09:00:51 AM</t>
  </si>
  <si>
    <t>B 8*2370 :11 SEP 2026 09:00:53 AM</t>
  </si>
  <si>
    <t>B 10*200.64 :15 SEP 2026 02:14:52 PM</t>
  </si>
  <si>
    <t>B 10*255.45 :15 SEP 2026 02:07:02 PM</t>
  </si>
  <si>
    <t>B 100*393 :15 SEP 2026 10:27:31 AM</t>
  </si>
  <si>
    <t>B 10*261 :15 SEP 2026 09:01:20 AM</t>
  </si>
  <si>
    <t>KANOHAREQ</t>
  </si>
  <si>
    <t>B 5*1117 :16 SEP 2026 10:38:49 AM</t>
  </si>
  <si>
    <t>S 23*780 :16 SEP 2026 10:00:11 AM</t>
  </si>
  <si>
    <t>B 5*1146 :16 SEP 2026 09:20:41 AM</t>
  </si>
  <si>
    <t>B 10*1650 :16 SEP 2026 09:00:59 AM</t>
  </si>
  <si>
    <t>NSE:KANOHAR</t>
  </si>
  <si>
    <t>ESDSEQ</t>
  </si>
  <si>
    <t>S 20*896 :18 SEP 2026 09:00:42 AM</t>
  </si>
  <si>
    <t>NSE:ESDS</t>
  </si>
  <si>
    <t>S 5/10*747 :21 SEP 2026 09:00:15 AM</t>
  </si>
  <si>
    <t>B 10/30*897 :21 SEP 2026 09:01:06 AM</t>
  </si>
  <si>
    <t>B 25*336 :22 SEP 2026 09:00:50 AM</t>
  </si>
  <si>
    <t>B 10*988.6 :24 SEP 2026 09:22:16 AM</t>
  </si>
  <si>
    <t>B 50*205 :24 SEP 2026 09:01:00 AM</t>
  </si>
  <si>
    <t>S 5*649 :24 SEP 2026 09:00:51 AM</t>
  </si>
  <si>
    <t>B 2*1760.5 :46290.4663773148</t>
  </si>
  <si>
    <t>B 10*420 :46290.3755671296</t>
  </si>
  <si>
    <t>B 15*1020 :46290.4197569444</t>
  </si>
  <si>
    <t>B 100*324 :28 SEP 2026 09:38:19 AM</t>
  </si>
  <si>
    <t>B 10*1136 :28 SEP 2026 09:00:58 AM</t>
  </si>
  <si>
    <t>B 5*712 :28 SEP 2026 09:01:00 AM</t>
  </si>
  <si>
    <t>B 10/20*887 :28 SEP 2026 09:01:00 AM</t>
  </si>
  <si>
    <t>B 5*773.8 :9/29/2026</t>
  </si>
  <si>
    <t>B 5*1090 :9/29/2026</t>
  </si>
  <si>
    <t>B 2*1590 :9/29/2026</t>
  </si>
  <si>
    <t>S 5*679 :30 SEP 2026 09:00:40 AM</t>
  </si>
  <si>
    <t>B 5*1225.5 :01 OCT 2026 02:04:17 PM</t>
  </si>
  <si>
    <t>B 5*2145.1 :01 OCT 2026 10:38:06 AM</t>
  </si>
  <si>
    <t>B 5*1264 :01 OCT 2026 10:05:12 AM</t>
  </si>
  <si>
    <t>S 1*4763 :5 OCT 2026 09:01:00 AM</t>
  </si>
  <si>
    <t>B 3*2300 : 6 oct 2026 09:00:49 AM</t>
  </si>
  <si>
    <t>S 5*1752 :6 oct 2026 09:01:00 AM</t>
  </si>
  <si>
    <t>S 1*20020 :6 oct 2026 09:26:47 AM</t>
  </si>
  <si>
    <t>S 2*3334 :7 OCT 2026 11:14:00 AM</t>
  </si>
  <si>
    <t>Executed</t>
  </si>
  <si>
    <t>B 1*12800 :08 OCT 2026 09:00:46 AM</t>
  </si>
  <si>
    <t>B 5*640 :08 OCT 2026 09:00:45 AM</t>
  </si>
  <si>
    <t>S 2*1426 :08 OCT 2026 09:00:42 AM</t>
  </si>
  <si>
    <t>B 50/90*290.1 :08 SEP 2026 09:00:52 AM</t>
  </si>
  <si>
    <t>B 40/90*290.1 :08 SEP 2026 09:00:52 AM</t>
  </si>
  <si>
    <t>S 500*31.7 :09 OCT 2026 09:18:30 AM</t>
  </si>
  <si>
    <t>B 50*187.87 :09 OCT 2026 09:00:40 AM</t>
  </si>
  <si>
    <t>B 20*851 :09 OCT 2026 09:00:40 AM</t>
  </si>
  <si>
    <t>B 10*411 :09 OCT 2026 09:00:39 AM</t>
  </si>
  <si>
    <t>S 9*2155 :09 OCT 2026 09:20:08 AM</t>
  </si>
  <si>
    <t>S 10*1748.7 :09 OCT 2026 09:00:36 AM</t>
  </si>
  <si>
    <t>S 10*857 :09 OCT 2026 09:00:36 AM</t>
  </si>
  <si>
    <t>B 1*6868 :12 OCT 2026 02:49:56 PM</t>
  </si>
  <si>
    <t>S 10*867 :12 OCT 2026 09:00:51 AM</t>
  </si>
  <si>
    <t>S 5*3348 :12 OCT 2026 09:00:50 AM</t>
  </si>
  <si>
    <t>S 2*1573 :12 OCT 2026 09:00:50 AM</t>
  </si>
  <si>
    <t>S 3*4848 :12 OCT 2026 09:00:50 AM</t>
  </si>
  <si>
    <t>HCLTECHEQ</t>
  </si>
  <si>
    <t>S 10*3380 :13 OCT 2026 02:53:05 PM</t>
  </si>
  <si>
    <t>S 9*2095 :13 OCT 2026 01:08:36 PM</t>
  </si>
  <si>
    <t>S 13*1309 :13 OCT 2026 01:53:26 PM</t>
  </si>
  <si>
    <t>S 8*2255 :13 OCT 2026 12:56:17 PM</t>
  </si>
  <si>
    <t>S 200*32.9 :13 OCT 2026 12:53:56 PM</t>
  </si>
  <si>
    <t>S 40*889 :13 OCT 2026 09:47:13 AM</t>
  </si>
  <si>
    <t>S 10*887 :13 OCT 2026 09:00:41 AM</t>
  </si>
  <si>
    <t>S 10*877 :13 OCT 2026 09:00:41 AM</t>
  </si>
  <si>
    <t>S 5*2972 :13 OCT 2026 09:00:41 AM</t>
  </si>
  <si>
    <t>NSE:HCLTECH</t>
  </si>
  <si>
    <t>SELL 1*4940 :14-OCT-26</t>
  </si>
  <si>
    <t>SELL 50*289 :14-OCT-26</t>
  </si>
  <si>
    <t>BUY 3*2252 :14-OCT-26</t>
  </si>
  <si>
    <t>15 OCT 2026 09:41:51 AM</t>
  </si>
  <si>
    <t>15 OCT 2026 09:28:39 AM</t>
  </si>
  <si>
    <t>15 OCT 2026 09:00:43 AM</t>
  </si>
  <si>
    <t>S 300*34.21 :15 OCT 2026 09:41:51 AM</t>
  </si>
  <si>
    <t>B 3*4770 :15 OCT 2026 09:28:39 AM</t>
  </si>
  <si>
    <t>B 10*1731 :15 OCT 2026 09:00:43 AM</t>
  </si>
  <si>
    <t>S 100*322 :15 OCT 2026 09:00:43 AM</t>
  </si>
  <si>
    <t>S 10*897 :15 OCT 2026 09:00:43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</si>
</sst>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rgb="FF40404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89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7" borderId="0" xfId="0" applyFill="1" applyAlignment="1">
      <alignment horizontal="left" vertical="top"/>
    </xf>
    <xf numFmtId="0" fontId="0" fillId="8" borderId="0" xfId="0" applyFill="1" applyAlignment="1">
      <alignment horizontal="left" vertical="top"/>
    </xf>
    <xf numFmtId="0" fontId="0" fillId="8" borderId="0" xfId="0" applyFill="1"/>
    <xf numFmtId="0" fontId="0" fillId="8" borderId="0" xfId="0" applyFill="1" applyAlignment="1">
      <alignment horizontal="center" vertical="top"/>
    </xf>
    <xf numFmtId="22" fontId="1" fillId="9" borderId="1" xfId="0" applyNumberFormat="1" applyFont="1" applyFill="1" applyBorder="1" applyAlignment="1">
      <alignment horizontal="right" wrapText="1"/>
    </xf>
    <xf numFmtId="0" fontId="1" fillId="9" borderId="1" xfId="0" applyFont="1" applyFill="1" applyBorder="1" applyAlignment="1">
      <alignment wrapText="1"/>
    </xf>
    <xf numFmtId="0" fontId="1" fillId="9" borderId="1" xfId="0" applyFont="1" applyFill="1" applyBorder="1" applyAlignment="1">
      <alignment horizontal="right" wrapText="1"/>
    </xf>
    <xf numFmtId="15" fontId="1" fillId="9" borderId="1" xfId="0" applyNumberFormat="1" applyFont="1" applyFill="1" applyBorder="1" applyAlignment="1">
      <alignment horizontal="right" wrapText="1"/>
    </xf>
    <xf numFmtId="0" fontId="0" fillId="0" borderId="0" xfId="0" applyAlignment="1">
      <alignment horizontal="left" vertical="top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0" fillId="2" borderId="0" xfId="0" applyFill="1" applyAlignment="1">
      <alignment horizontal="left" vertical="top" wrapText="1"/>
    </xf>
    <xf numFmtId="0" fontId="0" fillId="10" borderId="0" xfId="0" applyFill="1" applyAlignment="1">
      <alignment horizontal="center" vertical="top"/>
    </xf>
    <xf numFmtId="0" fontId="0" fillId="10" borderId="0" xfId="0" applyFill="1"/>
    <xf numFmtId="22" fontId="1" fillId="9" borderId="1" xfId="0" applyNumberFormat="1" applyFont="1" applyFill="1" applyBorder="1" applyAlignment="1">
      <alignment horizontal="center" vertical="top" wrapText="1"/>
    </xf>
    <xf numFmtId="0" fontId="1" fillId="9" borderId="1" xfId="0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/>
    </xf>
    <xf numFmtId="0" fontId="5" fillId="3" borderId="1" xfId="0" applyFont="1" applyFill="1" applyBorder="1" applyAlignment="1">
      <alignment horizontal="center" vertical="top" wrapText="1"/>
    </xf>
    <xf numFmtId="0" fontId="6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 wrapText="1"/>
    </xf>
    <xf numFmtId="0" fontId="0" fillId="8" borderId="0" xfId="0" applyFill="1" applyAlignment="1">
      <alignment horizontal="left" vertical="top" wrapText="1"/>
    </xf>
    <xf numFmtId="22" fontId="2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/>
    </xf>
    <xf numFmtId="0" fontId="2" fillId="0" borderId="0" xfId="0" applyFont="1" applyAlignment="1">
      <alignment horizontal="left" wrapText="1"/>
    </xf>
    <xf numFmtId="0" fontId="1" fillId="2" borderId="0" xfId="0" applyFont="1" applyFill="1" applyAlignment="1">
      <alignment horizontal="left" wrapText="1"/>
    </xf>
    <xf numFmtId="22" fontId="2" fillId="9" borderId="1" xfId="0" applyNumberFormat="1" applyFont="1" applyFill="1" applyBorder="1" applyAlignment="1">
      <alignment horizontal="right" wrapText="1"/>
    </xf>
    <xf numFmtId="0" fontId="2" fillId="9" borderId="1" xfId="0" applyFont="1" applyFill="1" applyBorder="1" applyAlignment="1">
      <alignment wrapText="1"/>
    </xf>
    <xf numFmtId="0" fontId="2" fillId="9" borderId="1" xfId="0" applyFont="1" applyFill="1" applyBorder="1" applyAlignment="1">
      <alignment horizontal="right" wrapText="1"/>
    </xf>
    <xf numFmtId="14" fontId="1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horizontal="left" wrapText="1"/>
    </xf>
    <xf numFmtId="0" fontId="0" fillId="0" borderId="1" xfId="0" applyBorder="1"/>
    <xf numFmtId="0" fontId="3" fillId="0" borderId="1" xfId="0" applyFont="1" applyBorder="1" applyAlignment="1">
      <alignment horizontal="left" wrapText="1"/>
    </xf>
    <xf numFmtId="0" fontId="1" fillId="2" borderId="1" xfId="0" applyFont="1" applyFill="1" applyBorder="1" applyAlignment="1">
      <alignment horizontal="left" wrapText="1"/>
    </xf>
    <xf numFmtId="0" fontId="1" fillId="4" borderId="1" xfId="0" applyFont="1" applyFill="1" applyBorder="1" applyAlignment="1">
      <alignment wrapText="1"/>
    </xf>
    <xf numFmtId="0" fontId="1" fillId="4" borderId="1" xfId="0" applyFont="1" applyFill="1" applyBorder="1" applyAlignment="1">
      <alignment horizontal="right" wrapText="1"/>
    </xf>
    <xf numFmtId="0" fontId="0" fillId="4" borderId="0" xfId="0" applyFill="1"/>
    <xf numFmtId="0" fontId="8" fillId="4" borderId="0" xfId="0" applyFont="1" applyFill="1" applyAlignment="1">
      <alignment horizontal="center" vertical="top"/>
    </xf>
    <xf numFmtId="0" fontId="0" fillId="0" borderId="2" xfId="0" applyBorder="1" applyAlignment="1">
      <alignment horizontal="left" vertical="top" wrapText="1"/>
    </xf>
    <xf numFmtId="0" fontId="0" fillId="8" borderId="1" xfId="0" applyFill="1" applyBorder="1" applyAlignment="1">
      <alignment horizontal="left" vertical="top"/>
    </xf>
    <xf numFmtId="22" fontId="1" fillId="3" borderId="1" xfId="0" applyNumberFormat="1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right" wrapText="1"/>
    </xf>
    <xf numFmtId="0" fontId="1" fillId="3" borderId="1" xfId="0" applyFont="1" applyFill="1" applyBorder="1" applyAlignment="1">
      <alignment wrapText="1"/>
    </xf>
    <xf numFmtId="0" fontId="0" fillId="3" borderId="0" xfId="0" applyFill="1"/>
    <xf numFmtId="22" fontId="1" fillId="3" borderId="1" xfId="0" applyNumberFormat="1" applyFont="1" applyFill="1" applyBorder="1" applyAlignment="1">
      <alignment horizontal="right" wrapText="1"/>
    </xf>
    <xf numFmtId="0" fontId="1" fillId="4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left" wrapText="1"/>
    </xf>
    <xf numFmtId="0" fontId="0" fillId="4" borderId="0" xfId="0" applyFill="1" applyAlignment="1">
      <alignment horizontal="left"/>
    </xf>
    <xf numFmtId="0" fontId="9" fillId="0" borderId="0" xfId="0" applyFont="1"/>
    <xf numFmtId="0" fontId="9" fillId="0" borderId="0" xfId="0" applyFont="1" applyAlignment="1">
      <alignment horizontal="left" vertical="top"/>
    </xf>
    <xf numFmtId="0" fontId="9" fillId="0" borderId="0" xfId="0" applyFont="1" applyAlignment="1">
      <alignment horizontal="center" vertical="top"/>
    </xf>
    <xf numFmtId="22" fontId="10" fillId="0" borderId="1" xfId="0" applyNumberFormat="1" applyFont="1" applyBorder="1" applyAlignment="1">
      <alignment horizontal="right" wrapText="1"/>
    </xf>
    <xf numFmtId="0" fontId="10" fillId="0" borderId="1" xfId="0" applyFont="1" applyBorder="1" applyAlignment="1">
      <alignment wrapText="1"/>
    </xf>
    <xf numFmtId="0" fontId="10" fillId="0" borderId="1" xfId="0" applyFont="1" applyBorder="1" applyAlignment="1">
      <alignment horizontal="right" wrapText="1"/>
    </xf>
    <xf numFmtId="15" fontId="2" fillId="0" borderId="1" xfId="0" applyNumberFormat="1" applyFont="1" applyBorder="1" applyAlignment="1">
      <alignment horizontal="right" wrapText="1"/>
    </xf>
    <xf numFmtId="0" fontId="0" fillId="8" borderId="1" xfId="0" applyFill="1" applyBorder="1"/>
    <xf numFmtId="0" fontId="2" fillId="0" borderId="0" xfId="0" applyFont="1" applyBorder="1" applyAlignment="1">
      <alignment horizontal="left" wrapText="1"/>
    </xf>
    <xf numFmtId="0" fontId="0" fillId="0" borderId="0" xfId="0" applyBorder="1" applyAlignment="1">
      <alignment horizontal="left" vertical="top"/>
    </xf>
    <xf numFmtId="0" fontId="1" fillId="0" borderId="0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0" fillId="0" borderId="0" xfId="0" applyBorder="1" applyAlignment="1">
      <alignment horizontal="left"/>
    </xf>
    <xf numFmtId="0" fontId="0" fillId="8" borderId="0" xfId="0" applyFill="1" applyBorder="1"/>
    <xf numFmtId="0" fontId="0" fillId="8" borderId="0" xfId="0" applyFill="1" applyBorder="1" applyAlignment="1">
      <alignment horizontal="left" vertical="top"/>
    </xf>
    <xf numFmtId="0" fontId="2" fillId="4" borderId="0" xfId="0" applyFont="1" applyFill="1" applyBorder="1" applyAlignment="1">
      <alignment horizontal="left" wrapText="1"/>
    </xf>
    <xf numFmtId="0" fontId="0" fillId="0" borderId="0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982"/>
  <sheetViews>
    <sheetView tabSelected="1" zoomScaleNormal="100" workbookViewId="0">
      <pane ySplit="1" topLeftCell="A2" activePane="bottomLeft" state="frozen"/>
      <selection sqref="A1:XFD1"/>
      <selection pane="bottomLeft" activeCell="A66" sqref="A66:XFD66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7" customWidth="1"/>
    <col min="11" max="11" width="19" style="17" customWidth="1"/>
    <col min="12" max="13" width="8.90625" style="17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36</v>
      </c>
      <c r="G1" s="2" t="s">
        <v>37</v>
      </c>
      <c r="H1" s="2" t="s">
        <v>38</v>
      </c>
      <c r="I1" s="1" t="s">
        <v>5</v>
      </c>
      <c r="J1" s="20" t="s">
        <v>139</v>
      </c>
      <c r="K1" s="62" t="s">
        <v>149</v>
      </c>
      <c r="L1" s="17" t="s">
        <v>150</v>
      </c>
      <c r="M1" s="17" t="s">
        <v>151</v>
      </c>
      <c r="O1" s="10" t="s">
        <v>236</v>
      </c>
    </row>
    <row r="2" spans="1:16" customFormat="1" ht="40.75" hidden="1" customHeight="1" thickBot="1" x14ac:dyDescent="0.4">
      <c r="A2" s="3">
        <v>46281.416666666664</v>
      </c>
      <c r="B2" s="1" t="s">
        <v>272</v>
      </c>
      <c r="C2" s="1" t="s">
        <v>10</v>
      </c>
      <c r="D2" s="4">
        <v>10</v>
      </c>
      <c r="E2" s="4">
        <v>706</v>
      </c>
      <c r="F2" s="4">
        <v>-28.83064516</v>
      </c>
      <c r="G2" s="2" t="s">
        <v>277</v>
      </c>
      <c r="H2" s="5">
        <v>992</v>
      </c>
      <c r="I2" s="1" t="s">
        <v>8</v>
      </c>
      <c r="J2" s="21" t="s">
        <v>40</v>
      </c>
      <c r="K2" s="17" t="s">
        <v>274</v>
      </c>
      <c r="L2" s="17">
        <v>17940</v>
      </c>
      <c r="M2" s="17">
        <f>ABS((D2*E2)-L2)</f>
        <v>10880</v>
      </c>
      <c r="N2" s="10" t="str">
        <f>IF(COUNTIFS( $B$2:$B$657, B2, $C$2:$C$657, C2, $D$2:$D$657, D2, $E$2:$E$657, E2) &gt; 1, "Duplicate", "Unique")</f>
        <v>Unique</v>
      </c>
      <c r="O2" s="10"/>
      <c r="P2" s="10"/>
    </row>
    <row r="3" spans="1:16" customFormat="1" ht="27.65" hidden="1" customHeight="1" thickBot="1" x14ac:dyDescent="0.4">
      <c r="A3" s="3">
        <v>46281.416666666664</v>
      </c>
      <c r="B3" s="1" t="s">
        <v>272</v>
      </c>
      <c r="C3" s="1" t="s">
        <v>10</v>
      </c>
      <c r="D3" s="4">
        <v>10</v>
      </c>
      <c r="E3" s="4">
        <v>726</v>
      </c>
      <c r="F3" s="4">
        <v>-26.814516130000001</v>
      </c>
      <c r="G3" s="2" t="s">
        <v>277</v>
      </c>
      <c r="H3" s="5">
        <v>992</v>
      </c>
      <c r="I3" s="1" t="s">
        <v>8</v>
      </c>
      <c r="J3" s="21" t="s">
        <v>40</v>
      </c>
      <c r="K3" s="17" t="s">
        <v>274</v>
      </c>
      <c r="L3" s="17">
        <v>17940</v>
      </c>
      <c r="M3" s="17">
        <f>ABS((D3*E3)-L3)</f>
        <v>10680</v>
      </c>
      <c r="N3" s="10" t="str">
        <f>IF(COUNTIFS( $B$2:$B$657, B3, $C$2:$C$657, C3, $D$2:$D$657, D3, $E$2:$E$657, E3) &gt; 1, "Duplicate", "Unique")</f>
        <v>Unique</v>
      </c>
      <c r="O3" s="10"/>
      <c r="P3" s="10"/>
    </row>
    <row r="4" spans="1:16" customFormat="1" ht="15" hidden="1" customHeight="1" thickBot="1" x14ac:dyDescent="0.4">
      <c r="A4" s="6" t="s">
        <v>61</v>
      </c>
      <c r="B4" s="1" t="s">
        <v>114</v>
      </c>
      <c r="C4" s="1" t="s">
        <v>10</v>
      </c>
      <c r="D4" s="4">
        <v>2</v>
      </c>
      <c r="E4" s="4">
        <v>660</v>
      </c>
      <c r="F4" s="4">
        <v>-23.875432530000001</v>
      </c>
      <c r="G4" s="2" t="s">
        <v>115</v>
      </c>
      <c r="H4" s="5">
        <v>867</v>
      </c>
      <c r="I4" s="1" t="s">
        <v>8</v>
      </c>
      <c r="J4" s="33" t="s">
        <v>40</v>
      </c>
      <c r="K4" s="16"/>
      <c r="L4" s="16"/>
      <c r="M4" s="16"/>
      <c r="N4" t="str">
        <f>IF(COUNTIFS( $B$2:$B$657, B4, $C$2:$C$657, C4, $D$2:$D$657, D4, $E$2:$E$657, E4) &gt; 1, "Duplicate", "Unique")</f>
        <v>Unique</v>
      </c>
    </row>
    <row r="5" spans="1:16" customFormat="1" ht="15" hidden="1" customHeight="1" thickBot="1" x14ac:dyDescent="0.4">
      <c r="A5" s="6" t="s">
        <v>61</v>
      </c>
      <c r="B5" s="1" t="s">
        <v>91</v>
      </c>
      <c r="C5" s="1" t="s">
        <v>10</v>
      </c>
      <c r="D5" s="4">
        <v>2</v>
      </c>
      <c r="E5" s="4">
        <v>2560</v>
      </c>
      <c r="F5" s="4">
        <v>-20.407909459999999</v>
      </c>
      <c r="G5" s="2" t="s">
        <v>92</v>
      </c>
      <c r="H5" s="5">
        <v>3216.4</v>
      </c>
      <c r="I5" s="1" t="s">
        <v>8</v>
      </c>
      <c r="J5" s="33" t="s">
        <v>40</v>
      </c>
      <c r="K5" s="16"/>
      <c r="L5" s="16"/>
      <c r="M5" s="16"/>
      <c r="N5" t="str">
        <f>IF(COUNTIFS( $B$2:$B$657, B5, $C$2:$C$657, C5, $D$2:$D$657, D5, $E$2:$E$657, E5) &gt; 1, "Duplicate", "Unique")</f>
        <v>Unique</v>
      </c>
    </row>
    <row r="6" spans="1:16" customFormat="1" ht="40.75" hidden="1" customHeight="1" thickBot="1" x14ac:dyDescent="0.4">
      <c r="A6" s="46">
        <v>46303.375</v>
      </c>
      <c r="B6" s="2" t="s">
        <v>278</v>
      </c>
      <c r="C6" s="2" t="s">
        <v>10</v>
      </c>
      <c r="D6" s="5">
        <v>2</v>
      </c>
      <c r="E6" s="5">
        <v>1294</v>
      </c>
      <c r="F6" s="4">
        <v>-18.698165370000002</v>
      </c>
      <c r="G6" s="2" t="s">
        <v>280</v>
      </c>
      <c r="H6" s="5">
        <v>1591.6</v>
      </c>
      <c r="I6" s="1" t="s">
        <v>8</v>
      </c>
      <c r="J6" s="21" t="s">
        <v>40</v>
      </c>
      <c r="K6" s="17" t="s">
        <v>309</v>
      </c>
      <c r="L6" s="17">
        <v>2852</v>
      </c>
      <c r="M6" s="17">
        <f>ABS((D6*E6)-L6)</f>
        <v>264</v>
      </c>
      <c r="N6" s="10" t="str">
        <f>IF(COUNTIFS( $B$2:$B$657, B6, $C$2:$C$657, C6, $D$2:$D$657, D6, $E$2:$E$657, E6) &gt; 1, "Duplicate", "Unique")</f>
        <v>Unique</v>
      </c>
      <c r="O6" s="10"/>
      <c r="P6" s="10"/>
    </row>
    <row r="7" spans="1:16" customFormat="1" ht="27.65" hidden="1" customHeight="1" thickBot="1" x14ac:dyDescent="0.4">
      <c r="A7" s="6" t="s">
        <v>61</v>
      </c>
      <c r="B7" s="1" t="s">
        <v>91</v>
      </c>
      <c r="C7" s="1" t="s">
        <v>10</v>
      </c>
      <c r="D7" s="4">
        <v>2</v>
      </c>
      <c r="E7" s="4">
        <v>2660</v>
      </c>
      <c r="F7" s="4">
        <v>-17.298843430000002</v>
      </c>
      <c r="G7" s="2" t="s">
        <v>92</v>
      </c>
      <c r="H7" s="5">
        <v>3216.4</v>
      </c>
      <c r="I7" s="1" t="s">
        <v>8</v>
      </c>
      <c r="J7" s="33"/>
      <c r="K7" s="16"/>
      <c r="L7" s="16"/>
      <c r="M7" s="16"/>
      <c r="N7" t="str">
        <f>IF(COUNTIFS( $B$2:$B$657, B7, $C$2:$C$657, C7, $D$2:$D$657, D7, $E$2:$E$657, E7) &gt; 1, "Duplicate", "Unique")</f>
        <v>Unique</v>
      </c>
    </row>
    <row r="8" spans="1:16" customFormat="1" ht="27.65" hidden="1" customHeight="1" thickBot="1" x14ac:dyDescent="0.4">
      <c r="A8" s="3">
        <v>46031.4375</v>
      </c>
      <c r="B8" s="1" t="s">
        <v>205</v>
      </c>
      <c r="C8" s="1" t="s">
        <v>10</v>
      </c>
      <c r="D8" s="4">
        <v>3</v>
      </c>
      <c r="E8" s="4">
        <v>1052</v>
      </c>
      <c r="F8" s="4">
        <v>-15.502008030000001</v>
      </c>
      <c r="G8" s="2" t="s">
        <v>216</v>
      </c>
      <c r="H8" s="5">
        <v>1245</v>
      </c>
      <c r="I8" s="1" t="s">
        <v>8</v>
      </c>
      <c r="J8" s="21" t="s">
        <v>40</v>
      </c>
      <c r="K8" s="17"/>
      <c r="L8" s="17"/>
      <c r="M8" s="17">
        <f>ABS((D8*E8)-L8)</f>
        <v>3156</v>
      </c>
      <c r="N8" s="10" t="str">
        <f>IF(COUNTIFS( $B$2:$B$657, B8, $C$2:$C$657, C8, $D$2:$D$657, D8, $E$2:$E$657, E8) &gt; 1, "Duplicate", "Unique")</f>
        <v>Unique</v>
      </c>
      <c r="O8" s="10"/>
      <c r="P8" s="18"/>
    </row>
    <row r="9" spans="1:16" customFormat="1" ht="27.65" hidden="1" customHeight="1" thickBot="1" x14ac:dyDescent="0.4">
      <c r="A9" s="46">
        <v>46289.375</v>
      </c>
      <c r="B9" s="2" t="s">
        <v>30</v>
      </c>
      <c r="C9" s="2" t="s">
        <v>10</v>
      </c>
      <c r="D9" s="5">
        <v>5</v>
      </c>
      <c r="E9" s="5">
        <v>601</v>
      </c>
      <c r="F9" s="4">
        <v>-15.459276969999999</v>
      </c>
      <c r="G9" s="2" t="s">
        <v>93</v>
      </c>
      <c r="H9" s="5">
        <v>710.9</v>
      </c>
      <c r="I9" s="1" t="s">
        <v>8</v>
      </c>
      <c r="J9" s="21" t="s">
        <v>40</v>
      </c>
      <c r="K9" s="17" t="s">
        <v>286</v>
      </c>
      <c r="L9" s="17">
        <v>3245</v>
      </c>
      <c r="M9" s="17">
        <f>ABS((D9*E9)-L9)</f>
        <v>240</v>
      </c>
      <c r="N9" s="10" t="str">
        <f>IF(COUNTIFS( $B$2:$B$657, B9, $C$2:$C$657, C9, $D$2:$D$657, D9, $E$2:$E$657, E9) &gt; 1, "Duplicate", "Unique")</f>
        <v>Unique</v>
      </c>
      <c r="O9" s="10"/>
      <c r="P9" s="10"/>
    </row>
    <row r="10" spans="1:16" customFormat="1" ht="27.65" hidden="1" customHeight="1" thickBot="1" x14ac:dyDescent="0.4">
      <c r="A10" s="6" t="s">
        <v>61</v>
      </c>
      <c r="B10" s="1" t="s">
        <v>12</v>
      </c>
      <c r="C10" s="1" t="s">
        <v>10</v>
      </c>
      <c r="D10" s="4">
        <v>1</v>
      </c>
      <c r="E10" s="4">
        <v>4014</v>
      </c>
      <c r="F10" s="4">
        <v>-14.522998299999999</v>
      </c>
      <c r="G10" s="2" t="s">
        <v>97</v>
      </c>
      <c r="H10" s="5">
        <v>4696</v>
      </c>
      <c r="I10" s="1" t="s">
        <v>8</v>
      </c>
      <c r="J10" s="33"/>
      <c r="K10" s="16"/>
      <c r="L10" s="16"/>
      <c r="M10" s="16"/>
      <c r="N10" t="str">
        <f>IF(COUNTIFS( $B$2:$B$657, B10, $C$2:$C$657, C10, $D$2:$D$657, D10, $E$2:$E$657, E10) &gt; 1, "Duplicate", "Unique")</f>
        <v>Unique</v>
      </c>
    </row>
    <row r="11" spans="1:16" customFormat="1" ht="27.65" hidden="1" customHeight="1" thickBot="1" x14ac:dyDescent="0.4">
      <c r="A11" s="6" t="s">
        <v>61</v>
      </c>
      <c r="B11" s="1" t="s">
        <v>91</v>
      </c>
      <c r="C11" s="1" t="s">
        <v>10</v>
      </c>
      <c r="D11" s="4">
        <v>1</v>
      </c>
      <c r="E11" s="4">
        <v>2752</v>
      </c>
      <c r="F11" s="4">
        <v>-14.43850267</v>
      </c>
      <c r="G11" s="2" t="s">
        <v>92</v>
      </c>
      <c r="H11" s="5">
        <v>3216.4</v>
      </c>
      <c r="I11" s="1" t="s">
        <v>8</v>
      </c>
      <c r="J11" s="33" t="s">
        <v>40</v>
      </c>
      <c r="K11" s="16"/>
      <c r="L11" s="16"/>
      <c r="M11" s="16"/>
      <c r="N11" t="str">
        <f>IF(COUNTIFS( $B$2:$B$657, B11, $C$2:$C$657, C11, $D$2:$D$657, D11, $E$2:$E$657, E11) &gt; 1, "Duplicate", "Unique")</f>
        <v>Unique</v>
      </c>
    </row>
    <row r="12" spans="1:16" customFormat="1" ht="27.65" hidden="1" customHeight="1" thickBot="1" x14ac:dyDescent="0.4">
      <c r="A12" s="46">
        <v>46295.375</v>
      </c>
      <c r="B12" s="2" t="s">
        <v>30</v>
      </c>
      <c r="C12" s="2" t="s">
        <v>10</v>
      </c>
      <c r="D12" s="5">
        <v>5</v>
      </c>
      <c r="E12" s="5">
        <v>620</v>
      </c>
      <c r="F12" s="4">
        <v>-12.78660852</v>
      </c>
      <c r="G12" s="2" t="s">
        <v>93</v>
      </c>
      <c r="H12" s="5">
        <v>710.9</v>
      </c>
      <c r="I12" s="1" t="s">
        <v>8</v>
      </c>
      <c r="J12" s="21" t="s">
        <v>40</v>
      </c>
      <c r="K12" s="17" t="s">
        <v>297</v>
      </c>
      <c r="L12" s="17">
        <v>3395</v>
      </c>
      <c r="M12" s="17">
        <f>ABS((D12*E12)-L12)</f>
        <v>295</v>
      </c>
      <c r="N12" s="10" t="str">
        <f>IF(COUNTIFS( $B$2:$B$657, B12, $C$2:$C$657, C12, $D$2:$D$657, D12, $E$2:$E$657, E12) &gt; 1, "Duplicate", "Unique")</f>
        <v>Unique</v>
      </c>
      <c r="O12" s="10"/>
      <c r="P12" s="10"/>
    </row>
    <row r="13" spans="1:16" ht="40.75" hidden="1" customHeight="1" thickBot="1" x14ac:dyDescent="0.4">
      <c r="A13" s="6" t="s">
        <v>61</v>
      </c>
      <c r="B13" s="1" t="s">
        <v>112</v>
      </c>
      <c r="C13" s="1" t="s">
        <v>10</v>
      </c>
      <c r="D13" s="4">
        <v>4</v>
      </c>
      <c r="E13" s="4">
        <v>701</v>
      </c>
      <c r="F13" s="4">
        <v>-12.48439451</v>
      </c>
      <c r="G13" s="2" t="s">
        <v>113</v>
      </c>
      <c r="H13" s="5">
        <v>801</v>
      </c>
      <c r="I13" s="1" t="s">
        <v>8</v>
      </c>
      <c r="J13" s="33" t="s">
        <v>40</v>
      </c>
      <c r="K13" s="16"/>
      <c r="L13" s="16"/>
      <c r="M13" s="16"/>
      <c r="N13" t="str">
        <f>IF(COUNTIFS( $B$2:$B$657, B13, $C$2:$C$657, C13, $D$2:$D$657, D13, $E$2:$E$657, E13) &gt; 1, "Duplicate", "Unique")</f>
        <v>Unique</v>
      </c>
      <c r="O13"/>
      <c r="P13"/>
    </row>
    <row r="14" spans="1:16" ht="40.75" hidden="1" customHeight="1" thickBot="1" x14ac:dyDescent="0.4">
      <c r="A14" s="3">
        <v>46252.688194444447</v>
      </c>
      <c r="B14" s="1" t="s">
        <v>95</v>
      </c>
      <c r="C14" s="1" t="s">
        <v>10</v>
      </c>
      <c r="D14" s="4">
        <v>45</v>
      </c>
      <c r="E14" s="4">
        <v>136.15</v>
      </c>
      <c r="F14" s="4">
        <v>-11.42411034</v>
      </c>
      <c r="G14" s="2" t="s">
        <v>96</v>
      </c>
      <c r="H14" s="5">
        <v>153.71</v>
      </c>
      <c r="I14" s="1" t="s">
        <v>8</v>
      </c>
      <c r="J14" s="33" t="s">
        <v>54</v>
      </c>
      <c r="K14" s="16"/>
      <c r="L14" s="16"/>
      <c r="M14" s="16"/>
      <c r="N14" t="str">
        <f>IF(COUNTIFS( $B$2:$B$657, B14, $C$2:$C$657, C14, $D$2:$D$657, D14, $E$2:$E$657, E14) &gt; 1, "Duplicate", "Unique")</f>
        <v>Unique</v>
      </c>
      <c r="O14"/>
      <c r="P14"/>
    </row>
    <row r="15" spans="1:16" ht="15" hidden="1" customHeight="1" thickBot="1" x14ac:dyDescent="0.4">
      <c r="A15" s="6" t="s">
        <v>61</v>
      </c>
      <c r="B15" s="1" t="s">
        <v>12</v>
      </c>
      <c r="C15" s="1" t="s">
        <v>10</v>
      </c>
      <c r="D15" s="4">
        <v>1</v>
      </c>
      <c r="E15" s="4">
        <v>4164</v>
      </c>
      <c r="F15" s="4">
        <v>-11.32879046</v>
      </c>
      <c r="G15" s="2" t="s">
        <v>97</v>
      </c>
      <c r="H15" s="5">
        <v>4696</v>
      </c>
      <c r="I15" s="1" t="s">
        <v>8</v>
      </c>
      <c r="J15" s="33"/>
      <c r="K15" s="16"/>
      <c r="L15" s="16"/>
      <c r="M15" s="16"/>
      <c r="N15" t="str">
        <f>IF(COUNTIFS( $B$2:$B$657, B15, $C$2:$C$657, C15, $D$2:$D$657, D15, $E$2:$E$657, E15) &gt; 1, "Duplicate", "Unique")</f>
        <v>Unique</v>
      </c>
      <c r="O15"/>
      <c r="P15"/>
    </row>
    <row r="16" spans="1:16" ht="27.65" hidden="1" customHeight="1" thickBot="1" x14ac:dyDescent="0.4">
      <c r="A16" s="46">
        <v>46308.578472222223</v>
      </c>
      <c r="B16" s="2" t="s">
        <v>324</v>
      </c>
      <c r="C16" s="2" t="s">
        <v>10</v>
      </c>
      <c r="D16" s="5">
        <v>13</v>
      </c>
      <c r="E16" s="5">
        <v>1209</v>
      </c>
      <c r="F16" s="4">
        <v>-11.10294118</v>
      </c>
      <c r="G16" s="2" t="s">
        <v>334</v>
      </c>
      <c r="H16" s="5">
        <v>1360</v>
      </c>
      <c r="I16" s="1" t="s">
        <v>8</v>
      </c>
      <c r="J16" s="21" t="s">
        <v>54</v>
      </c>
      <c r="K16" s="17" t="s">
        <v>327</v>
      </c>
      <c r="L16" s="17">
        <v>17017</v>
      </c>
      <c r="M16" s="17">
        <f>ABS((D16*E16)-L16)</f>
        <v>1300</v>
      </c>
      <c r="N16" t="str">
        <f>IF(COUNTIFS( $B$2:$B$657, B16, $C$2:$C$657, C16, $D$2:$D$657, D16, $E$2:$E$657, E16) &gt; 1, "Duplicate", "Unique")</f>
        <v>Unique</v>
      </c>
    </row>
    <row r="17" spans="1:16" ht="40.75" hidden="1" customHeight="1" thickBot="1" x14ac:dyDescent="0.4">
      <c r="A17" s="46">
        <v>46304.387499999997</v>
      </c>
      <c r="B17" s="2" t="s">
        <v>25</v>
      </c>
      <c r="C17" s="2" t="s">
        <v>10</v>
      </c>
      <c r="D17" s="5">
        <v>500</v>
      </c>
      <c r="E17" s="5">
        <v>30.3</v>
      </c>
      <c r="F17" s="4">
        <v>-11.013215860000001</v>
      </c>
      <c r="G17" s="2" t="s">
        <v>45</v>
      </c>
      <c r="H17" s="5">
        <v>34.049999999999997</v>
      </c>
      <c r="I17" s="1" t="s">
        <v>8</v>
      </c>
      <c r="J17" s="21" t="s">
        <v>54</v>
      </c>
      <c r="K17" s="17" t="s">
        <v>312</v>
      </c>
      <c r="L17" s="17">
        <v>15850</v>
      </c>
      <c r="M17" s="17">
        <f>ABS((D17*E17)-L17)</f>
        <v>700</v>
      </c>
      <c r="N17" t="str">
        <f>IF(COUNTIFS( $B$2:$B$657, B17, $C$2:$C$657, C17, $D$2:$D$657, D17, $E$2:$E$657, E17) &gt; 1, "Duplicate", "Unique")</f>
        <v>Unique</v>
      </c>
    </row>
    <row r="18" spans="1:16" s="22" customFormat="1" ht="27.65" hidden="1" customHeight="1" thickBot="1" x14ac:dyDescent="0.4">
      <c r="A18" s="46">
        <v>46304.388888888891</v>
      </c>
      <c r="B18" s="2" t="s">
        <v>46</v>
      </c>
      <c r="C18" s="2" t="s">
        <v>10</v>
      </c>
      <c r="D18" s="5">
        <v>9</v>
      </c>
      <c r="E18" s="5">
        <v>2105</v>
      </c>
      <c r="F18" s="4">
        <v>-10.42553191</v>
      </c>
      <c r="G18" s="2" t="s">
        <v>47</v>
      </c>
      <c r="H18" s="5">
        <v>2350</v>
      </c>
      <c r="I18" s="1" t="s">
        <v>8</v>
      </c>
      <c r="J18" s="21" t="s">
        <v>54</v>
      </c>
      <c r="K18" s="17" t="s">
        <v>316</v>
      </c>
      <c r="L18" s="17">
        <v>19395</v>
      </c>
      <c r="M18" s="17">
        <f>ABS((D18*E18)-L18)</f>
        <v>450</v>
      </c>
      <c r="N18" t="str">
        <f>IF(COUNTIFS( $B$2:$B$657, B18, $C$2:$C$657, C18, $D$2:$D$657, D18, $E$2:$E$657, E18) &gt; 1, "Duplicate", "Unique")</f>
        <v>Unique</v>
      </c>
      <c r="O18" s="10"/>
      <c r="P18" s="10"/>
    </row>
    <row r="19" spans="1:16" ht="27.65" hidden="1" customHeight="1" thickBot="1" x14ac:dyDescent="0.4">
      <c r="A19" s="3">
        <v>46252.635416666664</v>
      </c>
      <c r="B19" s="1" t="s">
        <v>91</v>
      </c>
      <c r="C19" s="1" t="s">
        <v>10</v>
      </c>
      <c r="D19" s="4">
        <v>2</v>
      </c>
      <c r="E19" s="4">
        <v>2892</v>
      </c>
      <c r="F19" s="4">
        <v>-10.085810220000001</v>
      </c>
      <c r="G19" s="2" t="s">
        <v>92</v>
      </c>
      <c r="H19" s="5">
        <v>3216.4</v>
      </c>
      <c r="I19" s="1" t="s">
        <v>8</v>
      </c>
      <c r="J19" s="33"/>
      <c r="K19" s="16"/>
      <c r="L19" s="16"/>
      <c r="M19" s="16"/>
      <c r="N19" t="str">
        <f>IF(COUNTIFS( $B$2:$B$657, B19, $C$2:$C$657, C19, $D$2:$D$657, D19, $E$2:$E$657, E19) &gt; 1, "Duplicate", "Unique")</f>
        <v>Unique</v>
      </c>
      <c r="O19"/>
      <c r="P19"/>
    </row>
    <row r="20" spans="1:16" ht="27.65" hidden="1" customHeight="1" thickBot="1" x14ac:dyDescent="0.4">
      <c r="A20" s="6" t="s">
        <v>61</v>
      </c>
      <c r="B20" s="1" t="s">
        <v>108</v>
      </c>
      <c r="C20" s="1" t="s">
        <v>10</v>
      </c>
      <c r="D20" s="4">
        <v>15</v>
      </c>
      <c r="E20" s="4">
        <v>4415</v>
      </c>
      <c r="F20" s="4">
        <v>-10.0814664</v>
      </c>
      <c r="G20" s="2" t="s">
        <v>109</v>
      </c>
      <c r="H20" s="5">
        <v>4910</v>
      </c>
      <c r="I20" s="1" t="s">
        <v>8</v>
      </c>
      <c r="J20" s="33"/>
      <c r="K20" s="16"/>
      <c r="L20" s="16"/>
      <c r="M20" s="16"/>
      <c r="N20" t="str">
        <f>IF(COUNTIFS( $B$2:$B$657, B20, $C$2:$C$657, C20, $D$2:$D$657, D20, $E$2:$E$657, E20) &gt; 1, "Duplicate", "Unique")</f>
        <v>Unique</v>
      </c>
      <c r="O20"/>
      <c r="P20"/>
    </row>
    <row r="21" spans="1:16" ht="27.65" hidden="1" customHeight="1" thickBot="1" x14ac:dyDescent="0.4">
      <c r="A21" s="3">
        <v>46302.468055555553</v>
      </c>
      <c r="B21" s="1" t="s">
        <v>73</v>
      </c>
      <c r="C21" s="1" t="s">
        <v>10</v>
      </c>
      <c r="D21" s="4">
        <v>2</v>
      </c>
      <c r="E21" s="4">
        <v>3110</v>
      </c>
      <c r="F21" s="4">
        <v>-9.2765460910000002</v>
      </c>
      <c r="G21" s="2" t="s">
        <v>74</v>
      </c>
      <c r="H21" s="5">
        <v>3428</v>
      </c>
      <c r="I21" s="1" t="s">
        <v>8</v>
      </c>
      <c r="J21" s="21" t="s">
        <v>40</v>
      </c>
      <c r="K21" s="17" t="s">
        <v>305</v>
      </c>
      <c r="L21" s="17">
        <f>2*3334</f>
        <v>6668</v>
      </c>
      <c r="M21" s="17">
        <f>ABS((D21*E21)-L21)</f>
        <v>448</v>
      </c>
      <c r="N21" s="10" t="str">
        <f>IF(COUNTIFS( $B$2:$B$657, B21, $C$2:$C$657, C21, $D$2:$D$657, D21, $E$2:$E$657, E21) &gt; 1, "Duplicate", "Unique")</f>
        <v>Unique</v>
      </c>
    </row>
    <row r="22" spans="1:16" ht="27.65" hidden="1" customHeight="1" thickBot="1" x14ac:dyDescent="0.4">
      <c r="A22" s="6" t="s">
        <v>61</v>
      </c>
      <c r="B22" s="1" t="s">
        <v>108</v>
      </c>
      <c r="C22" s="1" t="s">
        <v>10</v>
      </c>
      <c r="D22" s="4">
        <v>2</v>
      </c>
      <c r="E22" s="4">
        <v>4456</v>
      </c>
      <c r="F22" s="4">
        <v>-9.2464358450000006</v>
      </c>
      <c r="G22" s="2" t="s">
        <v>109</v>
      </c>
      <c r="H22" s="5">
        <v>4910</v>
      </c>
      <c r="I22" s="1" t="s">
        <v>8</v>
      </c>
      <c r="J22" s="33"/>
      <c r="K22" s="16"/>
      <c r="L22" s="16"/>
      <c r="M22" s="16"/>
      <c r="N22" t="str">
        <f>IF(COUNTIFS( $B$2:$B$657, B22, $C$2:$C$657, C22, $D$2:$D$657, D22, $E$2:$E$657, E22) &gt; 1, "Duplicate", "Unique")</f>
        <v>Unique</v>
      </c>
      <c r="O22"/>
      <c r="P22"/>
    </row>
    <row r="23" spans="1:16" ht="27.65" hidden="1" customHeight="1" thickBot="1" x14ac:dyDescent="0.4">
      <c r="A23" s="6" t="s">
        <v>61</v>
      </c>
      <c r="B23" s="1" t="s">
        <v>33</v>
      </c>
      <c r="C23" s="1" t="s">
        <v>10</v>
      </c>
      <c r="D23" s="4">
        <v>1</v>
      </c>
      <c r="E23" s="4">
        <v>18052</v>
      </c>
      <c r="F23" s="4">
        <v>-9.131178899</v>
      </c>
      <c r="G23" s="2" t="s">
        <v>70</v>
      </c>
      <c r="H23" s="5">
        <v>19866</v>
      </c>
      <c r="I23" s="1" t="s">
        <v>8</v>
      </c>
      <c r="J23" s="33"/>
      <c r="K23" s="16"/>
      <c r="L23" s="16"/>
      <c r="M23" s="16"/>
      <c r="N23" t="str">
        <f>IF(COUNTIFS( $B$2:$B$657, B23, $C$2:$C$657, C23, $D$2:$D$657, D23, $E$2:$E$657, E23) &gt; 1, "Duplicate", "Unique")</f>
        <v>Unique</v>
      </c>
      <c r="O23"/>
      <c r="P23"/>
    </row>
    <row r="24" spans="1:16" ht="27.65" hidden="1" customHeight="1" thickBot="1" x14ac:dyDescent="0.4">
      <c r="A24" s="3">
        <v>46307.375</v>
      </c>
      <c r="B24" s="1" t="s">
        <v>278</v>
      </c>
      <c r="C24" s="1" t="s">
        <v>10</v>
      </c>
      <c r="D24" s="4">
        <v>2</v>
      </c>
      <c r="E24" s="4">
        <v>1448</v>
      </c>
      <c r="F24" s="4">
        <v>-9.0223674290000009</v>
      </c>
      <c r="G24" s="2" t="s">
        <v>280</v>
      </c>
      <c r="H24" s="5">
        <v>1591.6</v>
      </c>
      <c r="I24" s="1" t="s">
        <v>8</v>
      </c>
      <c r="J24" s="21" t="s">
        <v>40</v>
      </c>
      <c r="K24" t="s">
        <v>322</v>
      </c>
      <c r="L24">
        <v>3146</v>
      </c>
      <c r="M24" s="17">
        <f>ABS((D24*E24)-L24)</f>
        <v>250</v>
      </c>
      <c r="N24" s="10" t="str">
        <f>IF(COUNTIFS( $B$2:$B$657, B24, $C$2:$C$657, C24, $D$2:$D$657, D24, $E$2:$E$657, E24) &gt; 1, "Duplicate", "Unique")</f>
        <v>Unique</v>
      </c>
    </row>
    <row r="25" spans="1:16" ht="27.65" hidden="1" customHeight="1" thickBot="1" x14ac:dyDescent="0.4">
      <c r="A25" s="46">
        <v>46308.536805555559</v>
      </c>
      <c r="B25" s="2" t="s">
        <v>25</v>
      </c>
      <c r="C25" s="2" t="s">
        <v>10</v>
      </c>
      <c r="D25" s="5">
        <v>200</v>
      </c>
      <c r="E25" s="5">
        <v>31.1</v>
      </c>
      <c r="F25" s="4">
        <v>-8.6637298089999994</v>
      </c>
      <c r="G25" s="2" t="s">
        <v>45</v>
      </c>
      <c r="H25" s="5">
        <v>34.049999999999997</v>
      </c>
      <c r="I25" s="1" t="s">
        <v>8</v>
      </c>
      <c r="J25" s="21" t="s">
        <v>54</v>
      </c>
      <c r="K25" s="17" t="s">
        <v>329</v>
      </c>
      <c r="L25" s="17">
        <v>6580</v>
      </c>
      <c r="M25" s="17">
        <f>ABS((D25*E25)-L25)</f>
        <v>360</v>
      </c>
      <c r="N25" t="str">
        <f>IF(COUNTIFS( $B$2:$B$657, B25, $C$2:$C$657, C25, $D$2:$D$657, D25, $E$2:$E$657, E25) &gt; 1, "Duplicate", "Unique")</f>
        <v>Unique</v>
      </c>
    </row>
    <row r="26" spans="1:16" ht="27.65" hidden="1" customHeight="1" thickBot="1" x14ac:dyDescent="0.4">
      <c r="A26" s="46">
        <v>46308.538888888892</v>
      </c>
      <c r="B26" s="2" t="s">
        <v>46</v>
      </c>
      <c r="C26" s="2" t="s">
        <v>10</v>
      </c>
      <c r="D26" s="5">
        <v>8</v>
      </c>
      <c r="E26" s="5">
        <v>2155</v>
      </c>
      <c r="F26" s="4">
        <v>-8.2978723399999996</v>
      </c>
      <c r="G26" s="2" t="s">
        <v>47</v>
      </c>
      <c r="H26" s="5">
        <v>2350</v>
      </c>
      <c r="I26" s="1" t="s">
        <v>8</v>
      </c>
      <c r="J26" s="21" t="s">
        <v>54</v>
      </c>
      <c r="K26" s="17" t="s">
        <v>328</v>
      </c>
      <c r="L26" s="17">
        <v>18040</v>
      </c>
      <c r="M26" s="17">
        <f>ABS((D26*E26)-L26)</f>
        <v>800</v>
      </c>
      <c r="N26" t="str">
        <f>IF(COUNTIFS( $B$2:$B$657, B26, $C$2:$C$657, C26, $D$2:$D$657, D26, $E$2:$E$657, E26) &gt; 1, "Duplicate", "Unique")</f>
        <v>Unique</v>
      </c>
    </row>
    <row r="27" spans="1:16" s="22" customFormat="1" ht="27.65" hidden="1" customHeight="1" thickBot="1" x14ac:dyDescent="0.4">
      <c r="A27" s="6" t="s">
        <v>61</v>
      </c>
      <c r="B27" s="1" t="s">
        <v>20</v>
      </c>
      <c r="C27" s="1" t="s">
        <v>10</v>
      </c>
      <c r="D27" s="4">
        <v>100</v>
      </c>
      <c r="E27" s="4">
        <v>111</v>
      </c>
      <c r="F27" s="4">
        <v>-7.3610415619999996</v>
      </c>
      <c r="G27" s="2" t="s">
        <v>85</v>
      </c>
      <c r="H27" s="5">
        <v>119.82</v>
      </c>
      <c r="I27" s="1" t="s">
        <v>8</v>
      </c>
      <c r="J27" s="33"/>
      <c r="K27" s="16"/>
      <c r="L27" s="16"/>
      <c r="M27" s="16"/>
      <c r="N27" t="str">
        <f>IF(COUNTIFS( $B$2:$B$657, B27, $C$2:$C$657, C27, $D$2:$D$657, D27, $E$2:$E$657, E27) &gt; 1, "Duplicate", "Unique")</f>
        <v>Unique</v>
      </c>
      <c r="O27"/>
      <c r="P27"/>
    </row>
    <row r="28" spans="1:16" ht="27.65" hidden="1" customHeight="1" thickBot="1" x14ac:dyDescent="0.4">
      <c r="A28" s="6" t="s">
        <v>61</v>
      </c>
      <c r="B28" s="1" t="s">
        <v>108</v>
      </c>
      <c r="C28" s="1" t="s">
        <v>10</v>
      </c>
      <c r="D28" s="4">
        <v>1</v>
      </c>
      <c r="E28" s="4">
        <v>4560</v>
      </c>
      <c r="F28" s="4">
        <v>-7.128309572</v>
      </c>
      <c r="G28" s="2" t="s">
        <v>109</v>
      </c>
      <c r="H28" s="5">
        <v>4910</v>
      </c>
      <c r="I28" s="1" t="s">
        <v>8</v>
      </c>
      <c r="J28" s="33"/>
      <c r="K28" s="16"/>
      <c r="L28" s="16"/>
      <c r="M28" s="16"/>
      <c r="N28" t="str">
        <f>IF(COUNTIFS( $B$2:$B$657, B28, $C$2:$C$657, C28, $D$2:$D$657, D28, $E$2:$E$657, E28) &gt; 1, "Duplicate", "Unique")</f>
        <v>Unique</v>
      </c>
      <c r="O28"/>
      <c r="P28"/>
    </row>
    <row r="29" spans="1:16" ht="27.65" hidden="1" customHeight="1" thickBot="1" x14ac:dyDescent="0.4">
      <c r="A29" s="6" t="s">
        <v>61</v>
      </c>
      <c r="B29" s="1" t="s">
        <v>104</v>
      </c>
      <c r="C29" s="1" t="s">
        <v>10</v>
      </c>
      <c r="D29" s="4">
        <v>4</v>
      </c>
      <c r="E29" s="4">
        <v>1751</v>
      </c>
      <c r="F29" s="4">
        <v>-7.1087533159999996</v>
      </c>
      <c r="G29" s="2" t="s">
        <v>105</v>
      </c>
      <c r="H29" s="5">
        <v>1885</v>
      </c>
      <c r="I29" s="1" t="s">
        <v>8</v>
      </c>
      <c r="J29" s="33"/>
      <c r="K29" s="16"/>
      <c r="L29" s="16"/>
      <c r="M29" s="16"/>
      <c r="N29" t="str">
        <f>IF(COUNTIFS( $B$2:$B$657, B29, $C$2:$C$657, C29, $D$2:$D$657, D29, $E$2:$E$657, E29) &gt; 1, "Duplicate", "Unique")</f>
        <v>Unique</v>
      </c>
      <c r="O29"/>
      <c r="P29"/>
    </row>
    <row r="30" spans="1:16" ht="27.65" hidden="1" customHeight="1" thickBot="1" x14ac:dyDescent="0.4">
      <c r="A30" s="6" t="s">
        <v>61</v>
      </c>
      <c r="B30" s="1" t="s">
        <v>12</v>
      </c>
      <c r="C30" s="1" t="s">
        <v>10</v>
      </c>
      <c r="D30" s="4">
        <v>1</v>
      </c>
      <c r="E30" s="4">
        <v>4364</v>
      </c>
      <c r="F30" s="4">
        <v>-7.0698466780000002</v>
      </c>
      <c r="G30" s="2" t="s">
        <v>97</v>
      </c>
      <c r="H30" s="5">
        <v>4696</v>
      </c>
      <c r="I30" s="1" t="s">
        <v>8</v>
      </c>
      <c r="J30" s="34" t="s">
        <v>40</v>
      </c>
      <c r="K30" s="16"/>
      <c r="L30" s="16"/>
      <c r="M30" s="16"/>
      <c r="N30" t="str">
        <f>IF(COUNTIFS( $B$2:$B$657, B30, $C$2:$C$657, C30, $D$2:$D$657, D30, $E$2:$E$657, E30) &gt; 1, "Duplicate", "Unique")</f>
        <v>Unique</v>
      </c>
      <c r="O30"/>
      <c r="P30"/>
    </row>
    <row r="31" spans="1:16" s="27" customFormat="1" ht="14.4" hidden="1" customHeight="1" thickBot="1" x14ac:dyDescent="0.4">
      <c r="A31" s="6" t="s">
        <v>61</v>
      </c>
      <c r="B31" s="1" t="s">
        <v>33</v>
      </c>
      <c r="C31" s="1" t="s">
        <v>10</v>
      </c>
      <c r="D31" s="4">
        <v>1</v>
      </c>
      <c r="E31" s="4">
        <v>18552</v>
      </c>
      <c r="F31" s="4">
        <v>-6.6143159169999999</v>
      </c>
      <c r="G31" s="2" t="s">
        <v>70</v>
      </c>
      <c r="H31" s="5">
        <v>19866</v>
      </c>
      <c r="I31" s="1" t="s">
        <v>8</v>
      </c>
      <c r="J31" s="33"/>
      <c r="K31" s="16"/>
      <c r="L31" s="16"/>
      <c r="M31" s="16"/>
      <c r="N31" t="str">
        <f>IF(COUNTIFS( $B$2:$B$657, B31, $C$2:$C$657, C31, $D$2:$D$657, D31, $E$2:$E$657, E31) &gt; 1, "Duplicate", "Unique")</f>
        <v>Unique</v>
      </c>
      <c r="O31"/>
      <c r="P31"/>
    </row>
    <row r="32" spans="1:16" s="27" customFormat="1" ht="14.4" hidden="1" customHeight="1" thickBot="1" x14ac:dyDescent="0.4">
      <c r="A32" s="46">
        <v>46310.404062499998</v>
      </c>
      <c r="B32" s="2" t="s">
        <v>25</v>
      </c>
      <c r="C32" s="2" t="s">
        <v>10</v>
      </c>
      <c r="D32" s="5">
        <v>300</v>
      </c>
      <c r="E32" s="5">
        <v>32.01</v>
      </c>
      <c r="F32" s="4">
        <v>-5.9911894270000001</v>
      </c>
      <c r="G32" s="2" t="s">
        <v>45</v>
      </c>
      <c r="H32" s="5">
        <v>34.049999999999997</v>
      </c>
      <c r="I32" s="1" t="s">
        <v>8</v>
      </c>
      <c r="J32" s="21" t="s">
        <v>54</v>
      </c>
      <c r="K32" s="17" t="s">
        <v>341</v>
      </c>
      <c r="L32" s="17">
        <v>10263</v>
      </c>
      <c r="M32" s="17">
        <f>ABS((D32*E32)-L32)</f>
        <v>660</v>
      </c>
      <c r="N32" s="10" t="str">
        <f>IF(COUNTIFS( $B$2:$B$657, B32, $C$2:$C$657, C32, $D$2:$D$657, D32, $E$2:$E$657, E32) &gt; 1, "Duplicate", "Unique")</f>
        <v>Unique</v>
      </c>
      <c r="O32" s="10"/>
      <c r="P32" s="10"/>
    </row>
    <row r="33" spans="1:16" ht="14.4" hidden="1" customHeight="1" thickBot="1" x14ac:dyDescent="0.4">
      <c r="A33" s="3">
        <v>46121.375</v>
      </c>
      <c r="B33" s="1" t="s">
        <v>13</v>
      </c>
      <c r="C33" s="1" t="s">
        <v>10</v>
      </c>
      <c r="D33" s="4">
        <v>3</v>
      </c>
      <c r="E33" s="4">
        <v>1614</v>
      </c>
      <c r="F33" s="4">
        <v>-5.8892128279999998</v>
      </c>
      <c r="G33" s="2" t="s">
        <v>90</v>
      </c>
      <c r="H33" s="5">
        <v>1715</v>
      </c>
      <c r="I33" s="1" t="s">
        <v>8</v>
      </c>
      <c r="J33" s="21" t="s">
        <v>40</v>
      </c>
      <c r="K33" s="17" t="s">
        <v>235</v>
      </c>
      <c r="L33" s="17">
        <f>3*1794</f>
        <v>5382</v>
      </c>
      <c r="M33" s="17">
        <f>ABS((D33*E33)-L33)</f>
        <v>540</v>
      </c>
      <c r="N33" s="10" t="str">
        <f>IF(COUNTIFS( $B$2:$B$657, B33, $C$2:$C$657, C33, $D$2:$D$657, D33, $E$2:$E$657, E33) &gt; 1, "Duplicate", "Unique")</f>
        <v>Unique</v>
      </c>
      <c r="O33"/>
      <c r="P33"/>
    </row>
    <row r="34" spans="1:16" s="22" customFormat="1" ht="14.4" hidden="1" customHeight="1" thickBot="1" x14ac:dyDescent="0.4">
      <c r="A34" s="78">
        <v>46309</v>
      </c>
      <c r="B34" s="2" t="s">
        <v>108</v>
      </c>
      <c r="C34" s="2" t="s">
        <v>10</v>
      </c>
      <c r="D34" s="5">
        <v>1</v>
      </c>
      <c r="E34" s="5">
        <v>4640</v>
      </c>
      <c r="F34" s="4">
        <v>-5.49898167</v>
      </c>
      <c r="G34" s="2" t="s">
        <v>109</v>
      </c>
      <c r="H34" s="5">
        <v>4910</v>
      </c>
      <c r="I34" s="1" t="s">
        <v>8</v>
      </c>
      <c r="J34" s="21" t="s">
        <v>40</v>
      </c>
      <c r="K34" s="17" t="s">
        <v>335</v>
      </c>
      <c r="L34" s="17">
        <v>4940</v>
      </c>
      <c r="M34" s="17">
        <f>ABS((D34*E34)-L34)</f>
        <v>300</v>
      </c>
      <c r="N34" s="10" t="str">
        <f>IF(COUNTIFS( $B$2:$B$657, B34, $C$2:$C$657, C34, $D$2:$D$657, D34, $E$2:$E$657, E34) &gt; 1, "Duplicate", "Unique")</f>
        <v>Unique</v>
      </c>
      <c r="O34" s="10"/>
      <c r="P34" s="10"/>
    </row>
    <row r="35" spans="1:16" s="23" customFormat="1" ht="14.4" hidden="1" customHeight="1" thickBot="1" x14ac:dyDescent="0.4">
      <c r="A35" s="3">
        <v>46286.375</v>
      </c>
      <c r="B35" s="1" t="s">
        <v>42</v>
      </c>
      <c r="C35" s="1" t="s">
        <v>10</v>
      </c>
      <c r="D35" s="4">
        <v>5</v>
      </c>
      <c r="E35" s="4">
        <v>702</v>
      </c>
      <c r="F35" s="4">
        <v>-5.3206554720000003</v>
      </c>
      <c r="G35" s="2" t="s">
        <v>43</v>
      </c>
      <c r="H35" s="5">
        <v>741.45</v>
      </c>
      <c r="I35" s="1" t="s">
        <v>8</v>
      </c>
      <c r="J35" s="21" t="s">
        <v>40</v>
      </c>
      <c r="K35" s="17" t="s">
        <v>281</v>
      </c>
      <c r="L35" s="17">
        <f>7470/2</f>
        <v>3735</v>
      </c>
      <c r="M35" s="17">
        <f>ABS((D35*E35)-L35)</f>
        <v>225</v>
      </c>
      <c r="N35" s="10" t="str">
        <f>IF(COUNTIFS( $B$2:$B$657, B35, $C$2:$C$657, C35, $D$2:$D$657, D35, $E$2:$E$657, E35) &gt; 1, "Duplicate", "Unique")</f>
        <v>Unique</v>
      </c>
      <c r="O35" s="10"/>
      <c r="P35" s="10"/>
    </row>
    <row r="36" spans="1:16" ht="26.5" hidden="1" thickBot="1" x14ac:dyDescent="0.4">
      <c r="A36" s="6" t="s">
        <v>61</v>
      </c>
      <c r="B36" s="1" t="s">
        <v>18</v>
      </c>
      <c r="C36" s="1" t="s">
        <v>10</v>
      </c>
      <c r="D36" s="4">
        <v>5</v>
      </c>
      <c r="E36" s="4">
        <v>1614</v>
      </c>
      <c r="F36" s="4">
        <v>-5.114638448</v>
      </c>
      <c r="G36" s="2" t="s">
        <v>101</v>
      </c>
      <c r="H36" s="5">
        <v>1701</v>
      </c>
      <c r="I36" s="1" t="s">
        <v>8</v>
      </c>
      <c r="J36" s="57" t="s">
        <v>40</v>
      </c>
      <c r="K36" s="16"/>
      <c r="L36" s="16"/>
      <c r="M36" s="16"/>
      <c r="N36" t="str">
        <f>IF(COUNTIFS( $B$2:$B$657, B36, $C$2:$C$657, C36, $D$2:$D$657, D36, $E$2:$E$657, E36) &gt; 1, "Duplicate", "Unique")</f>
        <v>Unique</v>
      </c>
      <c r="O36"/>
      <c r="P36"/>
    </row>
    <row r="37" spans="1:16" ht="14.4" hidden="1" customHeight="1" thickBot="1" x14ac:dyDescent="0.4">
      <c r="A37" s="6" t="s">
        <v>61</v>
      </c>
      <c r="B37" s="1" t="s">
        <v>99</v>
      </c>
      <c r="C37" s="1" t="s">
        <v>10</v>
      </c>
      <c r="D37" s="4">
        <v>25</v>
      </c>
      <c r="E37" s="4">
        <v>251</v>
      </c>
      <c r="F37" s="4">
        <v>-4.8882152330000004</v>
      </c>
      <c r="G37" s="2" t="s">
        <v>100</v>
      </c>
      <c r="H37" s="5">
        <v>263.89999999999998</v>
      </c>
      <c r="I37" s="1" t="s">
        <v>8</v>
      </c>
      <c r="J37" s="33" t="s">
        <v>40</v>
      </c>
      <c r="K37" s="16"/>
      <c r="L37" s="16"/>
      <c r="M37" s="16"/>
      <c r="N37" t="str">
        <f>IF(COUNTIFS( $B$2:$B$657, B37, $C$2:$C$657, C37, $D$2:$D$657, D37, $E$2:$E$657, E37) &gt; 1, "Duplicate", "Unique")</f>
        <v>Unique</v>
      </c>
      <c r="O37"/>
      <c r="P37"/>
    </row>
    <row r="38" spans="1:16" s="27" customFormat="1" ht="14.4" hidden="1" customHeight="1" thickBot="1" x14ac:dyDescent="0.4">
      <c r="A38" s="50">
        <v>46304.375</v>
      </c>
      <c r="B38" s="51" t="s">
        <v>50</v>
      </c>
      <c r="C38" s="51" t="s">
        <v>10</v>
      </c>
      <c r="D38" s="52">
        <v>10</v>
      </c>
      <c r="E38" s="52">
        <v>852</v>
      </c>
      <c r="F38" s="4">
        <v>-4.697986577</v>
      </c>
      <c r="G38" s="2" t="s">
        <v>51</v>
      </c>
      <c r="H38" s="5">
        <v>894</v>
      </c>
      <c r="I38" s="1" t="s">
        <v>8</v>
      </c>
      <c r="J38" s="63" t="s">
        <v>54</v>
      </c>
      <c r="K38" s="25" t="s">
        <v>318</v>
      </c>
      <c r="L38" s="25">
        <v>8570</v>
      </c>
      <c r="M38" s="25">
        <f>ABS((D38*E38)-L38)</f>
        <v>50</v>
      </c>
      <c r="N38" s="26" t="str">
        <f>IF(COUNTIFS( $B$2:$B$657, B38, $C$2:$C$657, C38, $D$2:$D$657, D38, $E$2:$E$657, E38) &gt; 1, "Duplicate", "Unique")</f>
        <v>Duplicate</v>
      </c>
    </row>
    <row r="39" spans="1:16" s="26" customFormat="1" ht="39" hidden="1" thickBot="1" x14ac:dyDescent="0.4">
      <c r="A39" s="28">
        <v>46307.375</v>
      </c>
      <c r="B39" s="29" t="s">
        <v>50</v>
      </c>
      <c r="C39" s="29" t="s">
        <v>10</v>
      </c>
      <c r="D39" s="30">
        <v>10</v>
      </c>
      <c r="E39" s="30">
        <v>852</v>
      </c>
      <c r="F39" s="4">
        <v>-4.697986577</v>
      </c>
      <c r="G39" s="2" t="s">
        <v>51</v>
      </c>
      <c r="H39" s="5">
        <v>894</v>
      </c>
      <c r="I39" s="1" t="s">
        <v>8</v>
      </c>
      <c r="J39" s="85" t="s">
        <v>54</v>
      </c>
      <c r="K39" s="26" t="s">
        <v>320</v>
      </c>
      <c r="L39" s="26">
        <v>8670</v>
      </c>
      <c r="M39" s="25">
        <f>ABS((D39*E39)-L39)</f>
        <v>150</v>
      </c>
      <c r="N39" s="27" t="str">
        <f>IF(COUNTIFS( $B$2:$B$657, B39, $C$2:$C$657, C39, $D$2:$D$657, D39, $E$2:$E$657, E39) &gt; 1, "Duplicate", "Unique")</f>
        <v>Duplicate</v>
      </c>
      <c r="O39" s="27"/>
      <c r="P39" s="27"/>
    </row>
    <row r="40" spans="1:16" s="26" customFormat="1" ht="39" hidden="1" thickBot="1" x14ac:dyDescent="0.4">
      <c r="A40" s="50">
        <v>46308.375</v>
      </c>
      <c r="B40" s="51" t="s">
        <v>50</v>
      </c>
      <c r="C40" s="51" t="s">
        <v>10</v>
      </c>
      <c r="D40" s="52">
        <v>10</v>
      </c>
      <c r="E40" s="52">
        <v>852</v>
      </c>
      <c r="F40" s="4">
        <v>-4.697986577</v>
      </c>
      <c r="G40" s="2" t="s">
        <v>51</v>
      </c>
      <c r="H40" s="5">
        <v>894</v>
      </c>
      <c r="I40" s="1" t="s">
        <v>8</v>
      </c>
      <c r="J40" s="86" t="s">
        <v>54</v>
      </c>
      <c r="K40" s="25" t="s">
        <v>331</v>
      </c>
      <c r="L40" s="25">
        <v>8870</v>
      </c>
      <c r="M40" s="25">
        <f>ABS((D40*E40)-L40)</f>
        <v>350</v>
      </c>
      <c r="N40" s="26" t="str">
        <f>IF(COUNTIFS( $B$2:$B$657, B40, $C$2:$C$657, C40, $D$2:$D$657, D40, $E$2:$E$657, E40) &gt; 1, "Duplicate", "Unique")</f>
        <v>Duplicate</v>
      </c>
      <c r="O40" s="27"/>
      <c r="P40" s="27"/>
    </row>
    <row r="41" spans="1:16" s="26" customFormat="1" ht="39" hidden="1" thickBot="1" x14ac:dyDescent="0.4">
      <c r="A41" s="50">
        <v>46308.375</v>
      </c>
      <c r="B41" s="51" t="s">
        <v>50</v>
      </c>
      <c r="C41" s="51" t="s">
        <v>10</v>
      </c>
      <c r="D41" s="52">
        <v>10</v>
      </c>
      <c r="E41" s="52">
        <v>852</v>
      </c>
      <c r="F41" s="4">
        <v>-4.697986577</v>
      </c>
      <c r="G41" s="2" t="s">
        <v>51</v>
      </c>
      <c r="H41" s="5">
        <v>894</v>
      </c>
      <c r="I41" s="1" t="s">
        <v>8</v>
      </c>
      <c r="J41" s="86" t="s">
        <v>54</v>
      </c>
      <c r="K41" s="25" t="s">
        <v>332</v>
      </c>
      <c r="L41" s="25">
        <v>8770</v>
      </c>
      <c r="M41" s="25">
        <f>ABS((D41*E41)-L41)</f>
        <v>250</v>
      </c>
      <c r="N41" s="26" t="str">
        <f>IF(COUNTIFS( $B$2:$B$657, B41, $C$2:$C$657, C41, $D$2:$D$657, D41, $E$2:$E$657, E41) &gt; 1, "Duplicate", "Unique")</f>
        <v>Duplicate</v>
      </c>
      <c r="O41" s="27"/>
      <c r="P41" s="27"/>
    </row>
    <row r="42" spans="1:16" customFormat="1" ht="26.5" hidden="1" thickBot="1" x14ac:dyDescent="0.4">
      <c r="A42" s="3">
        <v>46307.375</v>
      </c>
      <c r="B42" s="1" t="s">
        <v>73</v>
      </c>
      <c r="C42" s="1" t="s">
        <v>10</v>
      </c>
      <c r="D42" s="4">
        <v>5</v>
      </c>
      <c r="E42" s="4">
        <v>3288</v>
      </c>
      <c r="F42" s="4">
        <v>-4.084014002</v>
      </c>
      <c r="G42" s="2" t="s">
        <v>74</v>
      </c>
      <c r="H42" s="5">
        <v>3428</v>
      </c>
      <c r="I42" s="1" t="s">
        <v>8</v>
      </c>
      <c r="J42" s="88" t="s">
        <v>54</v>
      </c>
      <c r="K42" t="s">
        <v>321</v>
      </c>
      <c r="L42">
        <v>16740</v>
      </c>
      <c r="M42" s="17">
        <f>ABS((D42*E42)-L42)</f>
        <v>300</v>
      </c>
      <c r="N42" s="10" t="str">
        <f>IF(COUNTIFS( $B$2:$B$657, B42, $C$2:$C$657, C42, $D$2:$D$657, D42, $E$2:$E$657, E42) &gt; 1, "Duplicate", "Unique")</f>
        <v>Unique</v>
      </c>
      <c r="O42" s="10"/>
      <c r="P42" s="10"/>
    </row>
    <row r="43" spans="1:16" s="27" customFormat="1" ht="39" hidden="1" thickBot="1" x14ac:dyDescent="0.4">
      <c r="A43" s="46">
        <v>46300.375694444447</v>
      </c>
      <c r="B43" s="2" t="s">
        <v>12</v>
      </c>
      <c r="C43" s="2" t="s">
        <v>10</v>
      </c>
      <c r="D43" s="5">
        <v>1</v>
      </c>
      <c r="E43" s="5">
        <v>4510</v>
      </c>
      <c r="F43" s="4">
        <v>-3.9608177169999998</v>
      </c>
      <c r="G43" s="2" t="s">
        <v>97</v>
      </c>
      <c r="H43" s="5">
        <v>4696</v>
      </c>
      <c r="I43" s="1" t="s">
        <v>8</v>
      </c>
      <c r="J43" s="17" t="s">
        <v>117</v>
      </c>
      <c r="K43" s="17" t="s">
        <v>301</v>
      </c>
      <c r="L43" s="17">
        <v>4763</v>
      </c>
      <c r="M43" s="17">
        <f>ABS((D43*E43)-L43)</f>
        <v>253</v>
      </c>
      <c r="N43" s="10" t="str">
        <f>IF(COUNTIFS( $B$2:$B$657, B43, $C$2:$C$657, C43, $D$2:$D$657, D43, $E$2:$E$657, E43) &gt; 1, "Duplicate", "Unique")</f>
        <v>Unique</v>
      </c>
      <c r="O43" s="10"/>
      <c r="P43" s="10"/>
    </row>
    <row r="44" spans="1:16" s="61" customFormat="1" ht="39" hidden="1" thickBot="1" x14ac:dyDescent="0.4">
      <c r="A44" s="6" t="s">
        <v>61</v>
      </c>
      <c r="B44" s="1" t="s">
        <v>20</v>
      </c>
      <c r="C44" s="1" t="s">
        <v>10</v>
      </c>
      <c r="D44" s="4">
        <v>200</v>
      </c>
      <c r="E44" s="4">
        <v>115.25</v>
      </c>
      <c r="F44" s="4">
        <v>-3.8140544150000002</v>
      </c>
      <c r="G44" s="2" t="s">
        <v>85</v>
      </c>
      <c r="H44" s="5">
        <v>119.82</v>
      </c>
      <c r="I44" s="1" t="s">
        <v>8</v>
      </c>
      <c r="J44" s="48"/>
      <c r="K44" s="16"/>
      <c r="L44" s="16"/>
      <c r="M44" s="16"/>
      <c r="N44" t="str">
        <f>IF(COUNTIFS( $B$2:$B$657, B44, $C$2:$C$657, C44, $D$2:$D$657, D44, $E$2:$E$657, E44) &gt; 1, "Duplicate", "Unique")</f>
        <v>Unique</v>
      </c>
      <c r="O44"/>
      <c r="P44"/>
    </row>
    <row r="45" spans="1:16" ht="39" hidden="1" thickBot="1" x14ac:dyDescent="0.4">
      <c r="A45" s="69" t="s">
        <v>61</v>
      </c>
      <c r="B45" s="58" t="s">
        <v>50</v>
      </c>
      <c r="C45" s="58" t="s">
        <v>10</v>
      </c>
      <c r="D45" s="59">
        <v>40</v>
      </c>
      <c r="E45" s="59">
        <v>862</v>
      </c>
      <c r="F45" s="4">
        <v>-3.5794183450000001</v>
      </c>
      <c r="G45" s="2" t="s">
        <v>51</v>
      </c>
      <c r="H45" s="5">
        <v>894</v>
      </c>
      <c r="I45" s="1" t="s">
        <v>8</v>
      </c>
      <c r="J45" s="87" t="s">
        <v>54</v>
      </c>
      <c r="K45" s="71"/>
      <c r="L45" s="71"/>
      <c r="M45" s="71"/>
      <c r="N45" s="60" t="str">
        <f>IF(COUNTIFS( $B$2:$B$657, B45, $C$2:$C$657, C45, $D$2:$D$657, D45, $E$2:$E$657, E45) &gt; 1, "Duplicate", "Unique")</f>
        <v>Unique</v>
      </c>
      <c r="O45" s="60"/>
      <c r="P45" s="60"/>
    </row>
    <row r="46" spans="1:16" ht="26.5" hidden="1" thickBot="1" x14ac:dyDescent="0.4">
      <c r="A46" s="46">
        <v>46308.620138888888</v>
      </c>
      <c r="B46" s="2" t="s">
        <v>73</v>
      </c>
      <c r="C46" s="2" t="s">
        <v>10</v>
      </c>
      <c r="D46" s="5">
        <v>10</v>
      </c>
      <c r="E46" s="5">
        <v>3310</v>
      </c>
      <c r="F46" s="4">
        <v>-3.4422403730000002</v>
      </c>
      <c r="G46" s="2" t="s">
        <v>74</v>
      </c>
      <c r="H46" s="5">
        <v>3428</v>
      </c>
      <c r="I46" s="1" t="s">
        <v>8</v>
      </c>
      <c r="J46" s="81" t="s">
        <v>54</v>
      </c>
      <c r="K46" s="17" t="s">
        <v>325</v>
      </c>
      <c r="L46" s="17">
        <v>33800</v>
      </c>
      <c r="M46" s="17">
        <f>ABS((D46*E46)-L46)</f>
        <v>700</v>
      </c>
      <c r="N46" t="str">
        <f>IF(COUNTIFS( $B$2:$B$657, B46, $C$2:$C$657, C46, $D$2:$D$657, D46, $E$2:$E$657, E46) &gt; 1, "Duplicate", "Unique")</f>
        <v>Unique</v>
      </c>
    </row>
    <row r="47" spans="1:16" ht="27.65" hidden="1" customHeight="1" thickBot="1" x14ac:dyDescent="0.4">
      <c r="A47" s="6" t="s">
        <v>61</v>
      </c>
      <c r="B47" s="1" t="s">
        <v>20</v>
      </c>
      <c r="C47" s="1" t="s">
        <v>10</v>
      </c>
      <c r="D47" s="4">
        <v>50</v>
      </c>
      <c r="E47" s="4">
        <v>116</v>
      </c>
      <c r="F47" s="4">
        <v>-3.188115507</v>
      </c>
      <c r="G47" s="2" t="s">
        <v>85</v>
      </c>
      <c r="H47" s="5">
        <v>119.82</v>
      </c>
      <c r="I47" s="1" t="s">
        <v>8</v>
      </c>
      <c r="J47" s="48"/>
      <c r="K47" s="16"/>
      <c r="L47" s="16"/>
      <c r="M47" s="16"/>
      <c r="N47" t="str">
        <f>IF(COUNTIFS( $B$2:$B$657, B47, $C$2:$C$657, C47, $D$2:$D$657, D47, $E$2:$E$657, E47) &gt; 1, "Duplicate", "Unique")</f>
        <v>Unique</v>
      </c>
      <c r="O47"/>
      <c r="P47"/>
    </row>
    <row r="48" spans="1:16" ht="39" hidden="1" thickBot="1" x14ac:dyDescent="0.4">
      <c r="A48" s="46">
        <v>46310.375497685185</v>
      </c>
      <c r="B48" s="2" t="s">
        <v>50</v>
      </c>
      <c r="C48" s="2" t="s">
        <v>10</v>
      </c>
      <c r="D48" s="5">
        <v>10</v>
      </c>
      <c r="E48" s="5">
        <v>867</v>
      </c>
      <c r="F48" s="4">
        <v>-3.0201342279999999</v>
      </c>
      <c r="G48" s="2" t="s">
        <v>51</v>
      </c>
      <c r="H48" s="5">
        <v>894</v>
      </c>
      <c r="I48" s="1" t="s">
        <v>8</v>
      </c>
      <c r="J48" s="17" t="s">
        <v>54</v>
      </c>
      <c r="K48" s="17" t="s">
        <v>345</v>
      </c>
      <c r="L48" s="17">
        <v>8970</v>
      </c>
      <c r="M48" s="17">
        <f>ABS((D48*E48)-L48)</f>
        <v>300</v>
      </c>
      <c r="N48" s="10" t="str">
        <f>IF(COUNTIFS( $B$2:$B$657, B48, $C$2:$C$657, C48, $D$2:$D$657, D48, $E$2:$E$657, E48) &gt; 1, "Duplicate", "Unique")</f>
        <v>Unique</v>
      </c>
    </row>
    <row r="49" spans="1:16" s="27" customFormat="1" ht="26.5" hidden="1" thickBot="1" x14ac:dyDescent="0.4">
      <c r="A49" s="46">
        <v>46301.375694444447</v>
      </c>
      <c r="B49" s="2" t="s">
        <v>13</v>
      </c>
      <c r="C49" s="2" t="s">
        <v>10</v>
      </c>
      <c r="D49" s="5">
        <v>5</v>
      </c>
      <c r="E49" s="5">
        <v>1664</v>
      </c>
      <c r="F49" s="4">
        <v>-2.9737609329999999</v>
      </c>
      <c r="G49" s="2" t="s">
        <v>90</v>
      </c>
      <c r="H49" s="5">
        <v>1715</v>
      </c>
      <c r="I49" s="1" t="s">
        <v>8</v>
      </c>
      <c r="J49" s="17" t="s">
        <v>40</v>
      </c>
      <c r="K49" s="17" t="s">
        <v>303</v>
      </c>
      <c r="L49" s="17">
        <f>5*1752</f>
        <v>8760</v>
      </c>
      <c r="M49" s="17">
        <f>ABS((D49*E49)-L49)</f>
        <v>440</v>
      </c>
      <c r="N49" s="10" t="str">
        <f>IF(COUNTIFS( $B$2:$B$657, B49, $C$2:$C$657, C49, $D$2:$D$657, D49, $E$2:$E$657, E49) &gt; 1, "Duplicate", "Unique")</f>
        <v>Unique</v>
      </c>
      <c r="O49" s="10"/>
      <c r="P49" s="10"/>
    </row>
    <row r="50" spans="1:16" s="27" customFormat="1" ht="39" hidden="1" thickBot="1" x14ac:dyDescent="0.4">
      <c r="A50" s="46">
        <v>46308.407638888886</v>
      </c>
      <c r="B50" s="2" t="s">
        <v>50</v>
      </c>
      <c r="C50" s="2" t="s">
        <v>10</v>
      </c>
      <c r="D50" s="5">
        <v>40</v>
      </c>
      <c r="E50" s="5">
        <v>871</v>
      </c>
      <c r="F50" s="4">
        <v>-2.5727069349999998</v>
      </c>
      <c r="G50" s="2" t="s">
        <v>51</v>
      </c>
      <c r="H50" s="5">
        <v>894</v>
      </c>
      <c r="I50" s="1" t="s">
        <v>8</v>
      </c>
      <c r="J50" s="81" t="s">
        <v>54</v>
      </c>
      <c r="K50" s="17" t="s">
        <v>330</v>
      </c>
      <c r="L50" s="17">
        <v>35560</v>
      </c>
      <c r="M50" s="17">
        <f>ABS((D50*E50)-L50)</f>
        <v>720</v>
      </c>
      <c r="N50" t="str">
        <f>IF(COUNTIFS( $B$2:$B$657, B50, $C$2:$C$657, C50, $D$2:$D$657, D50, $E$2:$E$657, E50) &gt; 1, "Duplicate", "Unique")</f>
        <v>Unique</v>
      </c>
      <c r="O50" s="10"/>
      <c r="P50" s="10"/>
    </row>
    <row r="51" spans="1:16" ht="27.65" hidden="1" customHeight="1" thickBot="1" x14ac:dyDescent="0.4">
      <c r="A51" s="46">
        <v>46308.547222222223</v>
      </c>
      <c r="B51" s="2" t="s">
        <v>102</v>
      </c>
      <c r="C51" s="2" t="s">
        <v>10</v>
      </c>
      <c r="D51" s="5">
        <v>9</v>
      </c>
      <c r="E51" s="5">
        <v>2055</v>
      </c>
      <c r="F51" s="4">
        <v>-2.375296912</v>
      </c>
      <c r="G51" s="2" t="s">
        <v>103</v>
      </c>
      <c r="H51" s="5">
        <v>2105</v>
      </c>
      <c r="I51" s="1" t="s">
        <v>8</v>
      </c>
      <c r="J51" s="17" t="s">
        <v>54</v>
      </c>
      <c r="K51" s="17" t="s">
        <v>326</v>
      </c>
      <c r="L51" s="17">
        <v>18855</v>
      </c>
      <c r="M51" s="17">
        <f>ABS((D51*E51)-L51)</f>
        <v>360</v>
      </c>
      <c r="N51" t="str">
        <f>IF(COUNTIFS( $B$2:$B$657, B51, $C$2:$C$657, C51, $D$2:$D$657, D51, $E$2:$E$657, E51) &gt; 1, "Duplicate", "Unique")</f>
        <v>Unique</v>
      </c>
    </row>
    <row r="52" spans="1:16" s="74" customFormat="1" ht="40.75" hidden="1" customHeight="1" thickBot="1" x14ac:dyDescent="0.4">
      <c r="A52" s="46">
        <v>46310.375497685185</v>
      </c>
      <c r="B52" s="2" t="s">
        <v>14</v>
      </c>
      <c r="C52" s="2" t="s">
        <v>10</v>
      </c>
      <c r="D52" s="5">
        <v>100</v>
      </c>
      <c r="E52" s="5">
        <v>315.10000000000002</v>
      </c>
      <c r="F52" s="4">
        <v>-1.700202776</v>
      </c>
      <c r="G52" s="2" t="s">
        <v>44</v>
      </c>
      <c r="H52" s="5">
        <v>320.55</v>
      </c>
      <c r="I52" s="1" t="s">
        <v>8</v>
      </c>
      <c r="J52" s="17" t="s">
        <v>54</v>
      </c>
      <c r="K52" s="17" t="s">
        <v>344</v>
      </c>
      <c r="L52" s="17">
        <v>32200</v>
      </c>
      <c r="M52" s="17">
        <f>ABS((D52*E52)-L52)</f>
        <v>689.99999999999636</v>
      </c>
      <c r="N52" s="10" t="str">
        <f>IF(COUNTIFS( $B$2:$B$657, B52, $C$2:$C$657, C52, $D$2:$D$657, D52, $E$2:$E$657, E52) &gt; 1, "Duplicate", "Unique")</f>
        <v>Unique</v>
      </c>
      <c r="O52" s="10"/>
      <c r="P52" s="10"/>
    </row>
    <row r="53" spans="1:16" ht="27.65" hidden="1" customHeight="1" thickBot="1" x14ac:dyDescent="0.4">
      <c r="A53" s="46">
        <v>46301.393055555556</v>
      </c>
      <c r="B53" s="2" t="s">
        <v>33</v>
      </c>
      <c r="C53" s="2" t="s">
        <v>10</v>
      </c>
      <c r="D53" s="5">
        <v>1</v>
      </c>
      <c r="E53" s="5">
        <v>19550</v>
      </c>
      <c r="F53" s="4">
        <v>-1.590657405</v>
      </c>
      <c r="G53" s="2" t="s">
        <v>70</v>
      </c>
      <c r="H53" s="5">
        <v>19866</v>
      </c>
      <c r="I53" s="1" t="s">
        <v>8</v>
      </c>
      <c r="J53" s="81" t="s">
        <v>40</v>
      </c>
      <c r="K53" s="17" t="s">
        <v>304</v>
      </c>
      <c r="L53" s="17">
        <v>20020</v>
      </c>
      <c r="M53" s="17">
        <f>ABS((D53*E53)-L53)</f>
        <v>470</v>
      </c>
      <c r="N53" s="10" t="str">
        <f>IF(COUNTIFS( $B$2:$B$657, B53, $C$2:$C$657, C53, $D$2:$D$657, D53, $E$2:$E$657, E53) &gt; 1, "Duplicate", "Unique")</f>
        <v>Unique</v>
      </c>
    </row>
    <row r="54" spans="1:16" ht="40.75" hidden="1" customHeight="1" thickBot="1" x14ac:dyDescent="0.4">
      <c r="A54" s="75">
        <v>46307.375</v>
      </c>
      <c r="B54" s="76" t="s">
        <v>12</v>
      </c>
      <c r="C54" s="76" t="s">
        <v>10</v>
      </c>
      <c r="D54" s="77">
        <v>3</v>
      </c>
      <c r="E54" s="77">
        <v>4628</v>
      </c>
      <c r="F54" s="4">
        <v>-1.448040886</v>
      </c>
      <c r="G54" s="2" t="s">
        <v>97</v>
      </c>
      <c r="H54" s="5">
        <v>4696</v>
      </c>
      <c r="I54" s="1" t="s">
        <v>8</v>
      </c>
      <c r="J54" s="72" t="s">
        <v>54</v>
      </c>
      <c r="K54" s="72" t="s">
        <v>323</v>
      </c>
      <c r="L54" s="72">
        <v>14544</v>
      </c>
      <c r="M54" s="73">
        <f>ABS((D54*E54)-L54)</f>
        <v>660</v>
      </c>
      <c r="N54" s="74" t="str">
        <f>IF(COUNTIFS( $B$2:$B$657, B54, $C$2:$C$657, C54, $D$2:$D$657, D54, $E$2:$E$657, E54) &gt; 1, "Duplicate", "Unique")</f>
        <v>Unique</v>
      </c>
      <c r="O54" s="74"/>
      <c r="P54" s="74"/>
    </row>
    <row r="55" spans="1:16" ht="27.65" hidden="1" customHeight="1" thickBot="1" x14ac:dyDescent="0.4">
      <c r="A55" s="46">
        <v>46308.375</v>
      </c>
      <c r="B55" s="2" t="s">
        <v>56</v>
      </c>
      <c r="C55" s="2" t="s">
        <v>10</v>
      </c>
      <c r="D55" s="5">
        <v>5</v>
      </c>
      <c r="E55" s="5">
        <v>2912</v>
      </c>
      <c r="F55" s="4">
        <v>-1.2780960779999999</v>
      </c>
      <c r="G55" s="2" t="s">
        <v>57</v>
      </c>
      <c r="H55" s="5">
        <v>2949.7</v>
      </c>
      <c r="I55" s="1" t="s">
        <v>8</v>
      </c>
      <c r="J55" s="81" t="s">
        <v>54</v>
      </c>
      <c r="K55" s="17" t="s">
        <v>333</v>
      </c>
      <c r="L55" s="17">
        <v>14860</v>
      </c>
      <c r="M55" s="17">
        <f>ABS((D55*E55)-L55)</f>
        <v>300</v>
      </c>
      <c r="N55" t="str">
        <f>IF(COUNTIFS( $B$2:$B$657, B55, $C$2:$C$657, C55, $D$2:$D$657, D55, $E$2:$E$657, E55) &gt; 1, "Duplicate", "Unique")</f>
        <v>Unique</v>
      </c>
    </row>
    <row r="56" spans="1:16" ht="40.75" hidden="1" customHeight="1" thickBot="1" x14ac:dyDescent="0.4">
      <c r="A56" s="6" t="s">
        <v>61</v>
      </c>
      <c r="B56" s="1" t="s">
        <v>77</v>
      </c>
      <c r="C56" s="1" t="s">
        <v>10</v>
      </c>
      <c r="D56" s="4">
        <v>69</v>
      </c>
      <c r="E56" s="4">
        <v>1277</v>
      </c>
      <c r="F56" s="4">
        <v>-1.2374323279999999</v>
      </c>
      <c r="G56" s="2" t="s">
        <v>78</v>
      </c>
      <c r="H56" s="5">
        <v>1293</v>
      </c>
      <c r="I56" s="1" t="s">
        <v>8</v>
      </c>
      <c r="J56" s="80"/>
      <c r="K56" s="16"/>
      <c r="L56" s="16"/>
      <c r="M56" s="16"/>
      <c r="N56" t="str">
        <f>IF(COUNTIFS( $B$2:$B$657, B56, $C$2:$C$657, C56, $D$2:$D$657, D56, $E$2:$E$657, E56) &gt; 1, "Duplicate", "Unique")</f>
        <v>Unique</v>
      </c>
      <c r="O56"/>
      <c r="P56"/>
    </row>
    <row r="57" spans="1:16" ht="39" hidden="1" thickBot="1" x14ac:dyDescent="0.4">
      <c r="A57" s="3">
        <v>46254.375</v>
      </c>
      <c r="B57" s="1" t="s">
        <v>32</v>
      </c>
      <c r="C57" s="1" t="s">
        <v>10</v>
      </c>
      <c r="D57" s="4">
        <v>7</v>
      </c>
      <c r="E57" s="4">
        <v>2230</v>
      </c>
      <c r="F57" s="4">
        <v>-0.91090868700000005</v>
      </c>
      <c r="G57" s="2" t="s">
        <v>83</v>
      </c>
      <c r="H57" s="5">
        <v>2250.5</v>
      </c>
      <c r="I57" s="1" t="s">
        <v>8</v>
      </c>
      <c r="J57" s="84" t="s">
        <v>54</v>
      </c>
      <c r="K57" s="16" t="s">
        <v>146</v>
      </c>
      <c r="L57" s="16"/>
      <c r="M57" s="16"/>
      <c r="N57" s="10" t="str">
        <f>IF(COUNTIFS( $B$2:$B$657, B57, $C$2:$C$657, C57, $D$2:$D$657, D57, $E$2:$E$657, E57) &gt; 1, "Duplicate", "Unique")</f>
        <v>Unique</v>
      </c>
      <c r="O57"/>
      <c r="P57"/>
    </row>
    <row r="58" spans="1:16" ht="39" hidden="1" thickBot="1" x14ac:dyDescent="0.4">
      <c r="A58" s="6" t="s">
        <v>61</v>
      </c>
      <c r="B58" s="1" t="s">
        <v>20</v>
      </c>
      <c r="C58" s="1" t="s">
        <v>10</v>
      </c>
      <c r="D58" s="4">
        <v>50</v>
      </c>
      <c r="E58" s="4">
        <v>119</v>
      </c>
      <c r="F58" s="4">
        <v>-0.68435987310000002</v>
      </c>
      <c r="G58" s="2" t="s">
        <v>85</v>
      </c>
      <c r="H58" s="5">
        <v>119.82</v>
      </c>
      <c r="I58" s="1" t="s">
        <v>8</v>
      </c>
      <c r="J58" s="80"/>
      <c r="K58" s="16"/>
      <c r="L58" s="16"/>
      <c r="M58" s="16"/>
      <c r="N58" t="str">
        <f>IF(COUNTIFS( $B$2:$B$657, B58, $C$2:$C$657, C58, $D$2:$D$657, D58, $E$2:$E$657, E58) &gt; 1, "Duplicate", "Unique")</f>
        <v>Unique</v>
      </c>
      <c r="O58"/>
    </row>
    <row r="59" spans="1:16" ht="27.65" hidden="1" customHeight="1" thickBot="1" x14ac:dyDescent="0.4">
      <c r="A59" s="78">
        <v>46309</v>
      </c>
      <c r="B59" s="2" t="s">
        <v>9</v>
      </c>
      <c r="C59" s="2" t="s">
        <v>10</v>
      </c>
      <c r="D59" s="5">
        <v>50</v>
      </c>
      <c r="E59" s="5">
        <v>281</v>
      </c>
      <c r="F59" s="4">
        <v>-0.40758461810000002</v>
      </c>
      <c r="G59" s="2" t="s">
        <v>94</v>
      </c>
      <c r="H59" s="5">
        <v>282.14999999999998</v>
      </c>
      <c r="I59" s="1" t="s">
        <v>8</v>
      </c>
      <c r="J59" s="81" t="s">
        <v>54</v>
      </c>
      <c r="K59" s="17" t="s">
        <v>336</v>
      </c>
      <c r="L59" s="17">
        <v>14450</v>
      </c>
      <c r="M59" s="17">
        <f>ABS((D59*E59)-L59)</f>
        <v>400</v>
      </c>
      <c r="N59" s="10" t="str">
        <f>IF(COUNTIFS( $B$2:$B$657, B59, $C$2:$C$657, C59, $D$2:$D$657, D59, $E$2:$E$657, E59) &gt; 1, "Duplicate", "Unique")</f>
        <v>Unique</v>
      </c>
    </row>
    <row r="60" spans="1:16" s="27" customFormat="1" ht="27.65" hidden="1" customHeight="1" thickBot="1" x14ac:dyDescent="0.4">
      <c r="A60" s="46">
        <v>46304.375</v>
      </c>
      <c r="B60" s="2" t="s">
        <v>13</v>
      </c>
      <c r="C60" s="2" t="s">
        <v>10</v>
      </c>
      <c r="D60" s="5">
        <v>10</v>
      </c>
      <c r="E60" s="5">
        <v>1708.7</v>
      </c>
      <c r="F60" s="4">
        <v>-0.36734693880000002</v>
      </c>
      <c r="G60" s="2" t="s">
        <v>90</v>
      </c>
      <c r="H60" s="5">
        <v>1715</v>
      </c>
      <c r="I60" s="1" t="s">
        <v>8</v>
      </c>
      <c r="J60" s="17" t="s">
        <v>54</v>
      </c>
      <c r="K60" s="17" t="s">
        <v>317</v>
      </c>
      <c r="L60" s="17">
        <v>17487</v>
      </c>
      <c r="M60" s="17">
        <f>ABS((D60*E60)-L60)</f>
        <v>400</v>
      </c>
      <c r="N60" t="str">
        <f>IF(COUNTIFS( $B$2:$B$657, B60, $C$2:$C$657, C60, $D$2:$D$657, D60, $E$2:$E$657, E60) &gt; 1, "Duplicate", "Unique")</f>
        <v>Unique</v>
      </c>
      <c r="O60" s="10"/>
      <c r="P60" s="10"/>
    </row>
    <row r="61" spans="1:16" s="27" customFormat="1" ht="27.65" hidden="1" customHeight="1" thickBot="1" x14ac:dyDescent="0.4">
      <c r="A61" s="6" t="s">
        <v>61</v>
      </c>
      <c r="B61" s="1" t="s">
        <v>81</v>
      </c>
      <c r="C61" s="1" t="s">
        <v>10</v>
      </c>
      <c r="D61" s="4">
        <v>1</v>
      </c>
      <c r="E61" s="4">
        <v>4010</v>
      </c>
      <c r="F61" s="4">
        <v>-0.24875621889999999</v>
      </c>
      <c r="G61" s="2" t="s">
        <v>82</v>
      </c>
      <c r="H61" s="5">
        <v>4020</v>
      </c>
      <c r="I61" s="1" t="s">
        <v>8</v>
      </c>
      <c r="J61" s="80" t="s">
        <v>40</v>
      </c>
      <c r="K61" s="16"/>
      <c r="L61" s="16"/>
      <c r="M61" s="16"/>
      <c r="N61" t="str">
        <f>IF(COUNTIFS( $B$2:$B$657, B61, $C$2:$C$657, C61, $D$2:$D$657, D61, $E$2:$E$657, E61) &gt; 1, "Duplicate", "Unique")</f>
        <v>Unique</v>
      </c>
      <c r="O61" s="10"/>
      <c r="P61" s="10"/>
    </row>
    <row r="62" spans="1:16" ht="26.5" hidden="1" thickBot="1" x14ac:dyDescent="0.4">
      <c r="A62" s="3">
        <v>46252.635416666664</v>
      </c>
      <c r="B62" s="1" t="s">
        <v>77</v>
      </c>
      <c r="C62" s="1" t="s">
        <v>10</v>
      </c>
      <c r="D62" s="4">
        <v>3</v>
      </c>
      <c r="E62" s="4">
        <v>1302</v>
      </c>
      <c r="F62" s="4">
        <v>0.69605568449999999</v>
      </c>
      <c r="G62" s="2" t="s">
        <v>78</v>
      </c>
      <c r="H62" s="5">
        <v>1293</v>
      </c>
      <c r="I62" s="1" t="s">
        <v>8</v>
      </c>
      <c r="J62" s="80" t="s">
        <v>40</v>
      </c>
      <c r="K62" s="16"/>
      <c r="L62" s="16"/>
      <c r="M62" s="16"/>
      <c r="N62" t="str">
        <f>IF(COUNTIFS( $B$2:$B$657, B62, $C$2:$C$657, C62, $D$2:$D$657, D62, $E$2:$E$657, E62) &gt; 1, "Duplicate", "Unique")</f>
        <v>Unique</v>
      </c>
      <c r="O62"/>
      <c r="P62"/>
    </row>
    <row r="63" spans="1:16" ht="40.75" hidden="1" customHeight="1" thickBot="1" x14ac:dyDescent="0.4">
      <c r="A63" s="46">
        <v>46303.375</v>
      </c>
      <c r="B63" s="2" t="s">
        <v>21</v>
      </c>
      <c r="C63" s="2" t="s">
        <v>7</v>
      </c>
      <c r="D63" s="5">
        <v>5</v>
      </c>
      <c r="E63" s="5">
        <v>690</v>
      </c>
      <c r="F63" s="4">
        <v>1.291837933</v>
      </c>
      <c r="G63" s="2" t="s">
        <v>75</v>
      </c>
      <c r="H63" s="5">
        <v>681.2</v>
      </c>
      <c r="I63" s="1" t="s">
        <v>8</v>
      </c>
      <c r="J63" s="17" t="s">
        <v>117</v>
      </c>
      <c r="K63" s="17" t="s">
        <v>308</v>
      </c>
      <c r="L63" s="17">
        <v>3200</v>
      </c>
      <c r="M63" s="17">
        <f>ABS((D63*E63)-L63)</f>
        <v>250</v>
      </c>
      <c r="N63" s="10" t="str">
        <f>IF(COUNTIFS( $B$2:$B$657, B63, $C$2:$C$657, C63, $D$2:$D$657, D63, $E$2:$E$657, E63) &gt; 1, "Duplicate", "Unique")</f>
        <v>Unique</v>
      </c>
      <c r="O63" s="36" t="s">
        <v>237</v>
      </c>
    </row>
    <row r="64" spans="1:16" ht="27.65" hidden="1" customHeight="1" thickBot="1" x14ac:dyDescent="0.4">
      <c r="A64" s="3">
        <v>46252.6875</v>
      </c>
      <c r="B64" s="1" t="s">
        <v>17</v>
      </c>
      <c r="C64" s="1" t="s">
        <v>10</v>
      </c>
      <c r="D64" s="4">
        <v>25</v>
      </c>
      <c r="E64" s="4">
        <v>326</v>
      </c>
      <c r="F64" s="4">
        <v>1.4312383319999999</v>
      </c>
      <c r="G64" s="2" t="s">
        <v>76</v>
      </c>
      <c r="H64" s="5">
        <v>321.39999999999998</v>
      </c>
      <c r="I64" s="1" t="s">
        <v>8</v>
      </c>
      <c r="J64" s="80" t="s">
        <v>40</v>
      </c>
      <c r="K64" s="16"/>
      <c r="L64" s="16"/>
      <c r="M64" s="16"/>
      <c r="N64" t="str">
        <f>IF(COUNTIFS( $B$2:$B$657, B64, $C$2:$C$657, C64, $D$2:$D$657, D64, $E$2:$E$657, E64) &gt; 1, "Duplicate", "Unique")</f>
        <v>Unique</v>
      </c>
      <c r="O64"/>
      <c r="P64"/>
    </row>
    <row r="65" spans="1:16" ht="27.65" customHeight="1" thickBot="1" x14ac:dyDescent="0.4">
      <c r="A65" s="46">
        <v>46293.375694444447</v>
      </c>
      <c r="B65" s="2" t="s">
        <v>50</v>
      </c>
      <c r="C65" s="2" t="s">
        <v>7</v>
      </c>
      <c r="D65" s="5">
        <v>10</v>
      </c>
      <c r="E65" s="5">
        <v>907</v>
      </c>
      <c r="F65" s="4">
        <v>1.4541387020000001</v>
      </c>
      <c r="G65" s="2" t="s">
        <v>51</v>
      </c>
      <c r="H65" s="5">
        <v>894</v>
      </c>
      <c r="I65" s="1" t="s">
        <v>8</v>
      </c>
      <c r="J65" s="17" t="s">
        <v>116</v>
      </c>
      <c r="K65" s="17" t="s">
        <v>293</v>
      </c>
      <c r="L65" s="17">
        <f>17740/2</f>
        <v>8870</v>
      </c>
      <c r="M65" s="17">
        <f>ABS((D65*E65)-L65)</f>
        <v>200</v>
      </c>
      <c r="N65" s="10" t="str">
        <f>IF(COUNTIFS( $B$2:$B$657, B65, $C$2:$C$657, C65, $D$2:$D$657, D65, $E$2:$E$657, E65) &gt; 1, "Duplicate", "Unique")</f>
        <v>Unique</v>
      </c>
    </row>
    <row r="66" spans="1:16" ht="40.75" customHeight="1" thickBot="1" x14ac:dyDescent="0.4">
      <c r="A66" s="64">
        <v>46252.635416666664</v>
      </c>
      <c r="B66" s="40" t="s">
        <v>73</v>
      </c>
      <c r="C66" s="40" t="s">
        <v>7</v>
      </c>
      <c r="D66" s="40">
        <v>5</v>
      </c>
      <c r="E66" s="40">
        <v>3482</v>
      </c>
      <c r="F66" s="4">
        <v>1.5752625440000001</v>
      </c>
      <c r="G66" s="2" t="s">
        <v>74</v>
      </c>
      <c r="H66" s="5">
        <v>3428</v>
      </c>
      <c r="I66" s="1" t="s">
        <v>8</v>
      </c>
      <c r="J66" s="44" t="s">
        <v>117</v>
      </c>
      <c r="K66" s="41"/>
      <c r="L66" s="41"/>
      <c r="M66" s="41"/>
      <c r="N66" s="22" t="str">
        <f>IF(COUNTIFS( $B$2:$B$657, B66, $C$2:$C$657, C66, $D$2:$D$657, D66, $E$2:$E$657, E66) &gt; 1, "Duplicate", "Unique")</f>
        <v>Unique</v>
      </c>
      <c r="O66" s="22"/>
      <c r="P66" s="67" t="s">
        <v>249</v>
      </c>
    </row>
    <row r="67" spans="1:16" ht="40.75" hidden="1" customHeight="1" thickBot="1" x14ac:dyDescent="0.4">
      <c r="A67" s="3">
        <v>46252.6875</v>
      </c>
      <c r="B67" s="1" t="s">
        <v>20</v>
      </c>
      <c r="C67" s="1" t="s">
        <v>10</v>
      </c>
      <c r="D67" s="4">
        <v>20</v>
      </c>
      <c r="E67" s="4">
        <v>122</v>
      </c>
      <c r="F67" s="4">
        <v>1.8193957599999999</v>
      </c>
      <c r="G67" s="2" t="s">
        <v>85</v>
      </c>
      <c r="H67" s="5">
        <v>119.82</v>
      </c>
      <c r="I67" s="1" t="s">
        <v>8</v>
      </c>
      <c r="J67" s="82" t="s">
        <v>40</v>
      </c>
      <c r="K67" s="16"/>
      <c r="L67" s="16"/>
      <c r="M67" s="16"/>
      <c r="N67" t="str">
        <f>IF(COUNTIFS( $B$2:$B$657, B67, $C$2:$C$657, C67, $D$2:$D$657, D67, $E$2:$E$657, E67) &gt; 1, "Duplicate", "Unique")</f>
        <v>Unique</v>
      </c>
    </row>
    <row r="68" spans="1:16" ht="40.75" hidden="1" customHeight="1" thickBot="1" x14ac:dyDescent="0.4">
      <c r="A68" s="6" t="s">
        <v>61</v>
      </c>
      <c r="B68" s="1" t="s">
        <v>31</v>
      </c>
      <c r="C68" s="1" t="s">
        <v>10</v>
      </c>
      <c r="D68" s="4">
        <v>25</v>
      </c>
      <c r="E68" s="4">
        <v>836</v>
      </c>
      <c r="F68" s="4">
        <v>2.200488998</v>
      </c>
      <c r="G68" s="2" t="s">
        <v>84</v>
      </c>
      <c r="H68" s="5">
        <v>818</v>
      </c>
      <c r="I68" s="1" t="s">
        <v>8</v>
      </c>
      <c r="J68" s="80" t="s">
        <v>40</v>
      </c>
      <c r="K68" s="16"/>
      <c r="L68" s="16"/>
      <c r="M68" s="16"/>
      <c r="N68" t="str">
        <f>IF(COUNTIFS( $B$2:$B$657, B68, $C$2:$C$657, C68, $D$2:$D$657, D68, $E$2:$E$657, E68) &gt; 1, "Duplicate", "Unique")</f>
        <v>Unique</v>
      </c>
      <c r="O68"/>
      <c r="P68"/>
    </row>
    <row r="69" spans="1:16" ht="40.75" customHeight="1" thickBot="1" x14ac:dyDescent="0.4">
      <c r="A69" s="46">
        <v>46293.375694444447</v>
      </c>
      <c r="B69" s="2" t="s">
        <v>50</v>
      </c>
      <c r="C69" s="2" t="s">
        <v>7</v>
      </c>
      <c r="D69" s="5">
        <v>10</v>
      </c>
      <c r="E69" s="5">
        <v>917</v>
      </c>
      <c r="F69" s="4">
        <v>2.5727069349999998</v>
      </c>
      <c r="G69" s="2" t="s">
        <v>51</v>
      </c>
      <c r="H69" s="5">
        <v>894</v>
      </c>
      <c r="I69" s="1" t="s">
        <v>8</v>
      </c>
      <c r="J69" s="17" t="s">
        <v>116</v>
      </c>
      <c r="K69" s="17" t="s">
        <v>293</v>
      </c>
      <c r="L69" s="17">
        <f>17740/2</f>
        <v>8870</v>
      </c>
      <c r="M69" s="17">
        <f>ABS((D69*E69)-L69)</f>
        <v>300</v>
      </c>
      <c r="N69" s="10" t="str">
        <f>IF(COUNTIFS( $B$2:$B$657, B69, $C$2:$C$657, C69, $D$2:$D$657, D69, $E$2:$E$657, E69) &gt; 1, "Duplicate", "Unique")</f>
        <v>Unique</v>
      </c>
    </row>
    <row r="70" spans="1:16" ht="40.75" customHeight="1" thickBot="1" x14ac:dyDescent="0.4">
      <c r="A70" s="46">
        <v>46293.401388888888</v>
      </c>
      <c r="B70" s="2" t="s">
        <v>14</v>
      </c>
      <c r="C70" s="2" t="s">
        <v>7</v>
      </c>
      <c r="D70" s="5">
        <v>100</v>
      </c>
      <c r="E70" s="5">
        <v>329</v>
      </c>
      <c r="F70" s="4">
        <v>2.6360942129999998</v>
      </c>
      <c r="G70" s="2" t="s">
        <v>44</v>
      </c>
      <c r="H70" s="5">
        <v>320.55</v>
      </c>
      <c r="I70" s="1" t="s">
        <v>8</v>
      </c>
      <c r="J70" s="17" t="s">
        <v>116</v>
      </c>
      <c r="K70" s="17" t="s">
        <v>290</v>
      </c>
      <c r="L70" s="17">
        <v>32400</v>
      </c>
      <c r="M70" s="17">
        <f>ABS((D70*E70)-L70)</f>
        <v>500</v>
      </c>
      <c r="N70" s="10" t="str">
        <f>IF(COUNTIFS( $B$2:$B$657, B70, $C$2:$C$657, C70, $D$2:$D$657, D70, $E$2:$E$657, E70) &gt; 1, "Duplicate", "Unique")</f>
        <v>Unique</v>
      </c>
    </row>
    <row r="71" spans="1:16" ht="27.65" customHeight="1" thickBot="1" x14ac:dyDescent="0.4">
      <c r="A71" s="46">
        <v>46293.375694444447</v>
      </c>
      <c r="B71" s="2" t="s">
        <v>42</v>
      </c>
      <c r="C71" s="2" t="s">
        <v>7</v>
      </c>
      <c r="D71" s="5">
        <v>5</v>
      </c>
      <c r="E71" s="5">
        <v>762</v>
      </c>
      <c r="F71" s="4">
        <v>2.771596197</v>
      </c>
      <c r="G71" s="2" t="s">
        <v>43</v>
      </c>
      <c r="H71" s="5">
        <v>741.45</v>
      </c>
      <c r="I71" s="1" t="s">
        <v>8</v>
      </c>
      <c r="J71" s="17" t="s">
        <v>117</v>
      </c>
      <c r="K71" s="17" t="s">
        <v>292</v>
      </c>
      <c r="L71" s="17">
        <v>3560</v>
      </c>
      <c r="M71" s="17">
        <f>ABS((D71*E71)-L71)</f>
        <v>250</v>
      </c>
      <c r="N71" s="10" t="str">
        <f>IF(COUNTIFS( $B$2:$B$657, B71, $C$2:$C$657, C71, $D$2:$D$657, D71, $E$2:$E$657, E71) &gt; 1, "Duplicate", "Unique")</f>
        <v>Unique</v>
      </c>
    </row>
    <row r="72" spans="1:16" s="22" customFormat="1" ht="40.75" customHeight="1" thickBot="1" x14ac:dyDescent="0.4">
      <c r="A72" s="28">
        <v>46335.62777777778</v>
      </c>
      <c r="B72" s="29" t="s">
        <v>11</v>
      </c>
      <c r="C72" s="29" t="s">
        <v>7</v>
      </c>
      <c r="D72" s="30">
        <v>20</v>
      </c>
      <c r="E72" s="30">
        <v>284.5</v>
      </c>
      <c r="F72" s="4">
        <v>2.8561099059999999</v>
      </c>
      <c r="G72" s="2" t="s">
        <v>98</v>
      </c>
      <c r="H72" s="5">
        <v>276.60000000000002</v>
      </c>
      <c r="I72" s="1" t="s">
        <v>8</v>
      </c>
      <c r="J72" s="25" t="s">
        <v>117</v>
      </c>
      <c r="K72" s="25" t="s">
        <v>259</v>
      </c>
      <c r="L72" s="25">
        <v>5370</v>
      </c>
      <c r="M72" s="25">
        <f>ABS((D72*E72)-L72)</f>
        <v>320</v>
      </c>
      <c r="N72" s="27" t="str">
        <f>IF(COUNTIFS( $B$2:$B$657, B72, $C$2:$C$657, C72, $D$2:$D$657, D72, $E$2:$E$657, E72) &gt; 1, "Duplicate", "Unique")</f>
        <v>Unique</v>
      </c>
      <c r="O72" s="27"/>
      <c r="P72" s="27"/>
    </row>
    <row r="73" spans="1:16" ht="27.65" customHeight="1" thickBot="1" x14ac:dyDescent="0.4">
      <c r="A73" s="28">
        <v>46280.375694444447</v>
      </c>
      <c r="B73" s="29" t="s">
        <v>11</v>
      </c>
      <c r="C73" s="29" t="s">
        <v>7</v>
      </c>
      <c r="D73" s="30">
        <v>10</v>
      </c>
      <c r="E73" s="30">
        <v>284.5</v>
      </c>
      <c r="F73" s="4">
        <v>2.8561099059999999</v>
      </c>
      <c r="G73" s="2" t="s">
        <v>98</v>
      </c>
      <c r="H73" s="5">
        <v>276.60000000000002</v>
      </c>
      <c r="I73" s="1" t="s">
        <v>8</v>
      </c>
      <c r="J73" s="25" t="s">
        <v>117</v>
      </c>
      <c r="K73" s="25" t="s">
        <v>271</v>
      </c>
      <c r="L73" s="25">
        <v>2610</v>
      </c>
      <c r="M73" s="25">
        <f>ABS((D73*E73)-L73)</f>
        <v>235</v>
      </c>
      <c r="N73" s="27" t="str">
        <f>IF(COUNTIFS( $B$2:$B$657, B73, $C$2:$C$657, C73, $D$2:$D$657, D73, $E$2:$E$657, E73) &gt; 1, "Duplicate", "Unique")</f>
        <v>Unique</v>
      </c>
      <c r="O73" s="27"/>
      <c r="P73" s="27"/>
    </row>
    <row r="74" spans="1:16" ht="27.65" customHeight="1" thickBot="1" x14ac:dyDescent="0.4">
      <c r="A74" s="11">
        <v>46252.645138888889</v>
      </c>
      <c r="B74" s="8" t="s">
        <v>56</v>
      </c>
      <c r="C74" s="8" t="s">
        <v>7</v>
      </c>
      <c r="D74" s="8">
        <v>5</v>
      </c>
      <c r="E74" s="8">
        <v>3040</v>
      </c>
      <c r="F74" s="4">
        <v>3.0613282709999998</v>
      </c>
      <c r="G74" s="2" t="s">
        <v>57</v>
      </c>
      <c r="H74" s="5">
        <v>2949.7</v>
      </c>
      <c r="I74" s="1" t="s">
        <v>8</v>
      </c>
      <c r="J74" s="16" t="s">
        <v>116</v>
      </c>
      <c r="N74" s="10" t="str">
        <f>IF(COUNTIFS( $B$2:$B$657, B74, $C$2:$C$657, C74, $D$2:$D$657, D74, $E$2:$E$657, E74) &gt; 1, "Duplicate", "Unique")</f>
        <v>Unique</v>
      </c>
    </row>
    <row r="75" spans="1:16" ht="27.65" hidden="1" customHeight="1" thickBot="1" x14ac:dyDescent="0.4">
      <c r="A75" s="6" t="s">
        <v>61</v>
      </c>
      <c r="B75" s="1" t="s">
        <v>48</v>
      </c>
      <c r="C75" s="1" t="s">
        <v>10</v>
      </c>
      <c r="D75" s="4">
        <v>2</v>
      </c>
      <c r="E75" s="4">
        <v>3760</v>
      </c>
      <c r="F75" s="4">
        <v>3.524229075</v>
      </c>
      <c r="G75" s="2" t="s">
        <v>49</v>
      </c>
      <c r="H75" s="5">
        <v>3632</v>
      </c>
      <c r="I75" s="1" t="s">
        <v>8</v>
      </c>
      <c r="J75" s="80"/>
      <c r="K75" s="16"/>
      <c r="L75" s="16"/>
      <c r="M75" s="16"/>
      <c r="N75" t="str">
        <f>IF(COUNTIFS( $B$2:$B$657, B75, $C$2:$C$657, C75, $D$2:$D$657, D75, $E$2:$E$657, E75) &gt; 1, "Duplicate", "Unique")</f>
        <v>Unique</v>
      </c>
      <c r="O75"/>
    </row>
    <row r="76" spans="1:16" ht="40.75" customHeight="1" thickBot="1" x14ac:dyDescent="0.4">
      <c r="A76" s="3">
        <v>46286.375694444447</v>
      </c>
      <c r="B76" s="1" t="s">
        <v>50</v>
      </c>
      <c r="C76" s="1" t="s">
        <v>7</v>
      </c>
      <c r="D76" s="4">
        <v>10</v>
      </c>
      <c r="E76" s="4">
        <v>927</v>
      </c>
      <c r="F76" s="4">
        <v>3.6912751680000002</v>
      </c>
      <c r="G76" s="2" t="s">
        <v>51</v>
      </c>
      <c r="H76" s="5">
        <v>894</v>
      </c>
      <c r="I76" s="1" t="s">
        <v>8</v>
      </c>
      <c r="J76" s="17" t="s">
        <v>116</v>
      </c>
      <c r="K76" s="17" t="s">
        <v>282</v>
      </c>
      <c r="L76" s="17">
        <f>26910/3</f>
        <v>8970</v>
      </c>
      <c r="M76" s="17">
        <f>ABS((D76*E76)-L76)</f>
        <v>300</v>
      </c>
      <c r="N76" s="10" t="str">
        <f>IF(COUNTIFS( $B$2:$B$657, B76, $C$2:$C$657, C76, $D$2:$D$657, D76, $E$2:$E$657, E76) &gt; 1, "Duplicate", "Unique")</f>
        <v>Unique</v>
      </c>
    </row>
    <row r="77" spans="1:16" ht="27.65" hidden="1" customHeight="1" thickBot="1" x14ac:dyDescent="0.4">
      <c r="A77" s="3">
        <v>46252.635416666664</v>
      </c>
      <c r="B77" s="1" t="s">
        <v>31</v>
      </c>
      <c r="C77" s="1" t="s">
        <v>10</v>
      </c>
      <c r="D77" s="4">
        <v>50</v>
      </c>
      <c r="E77" s="4">
        <v>850</v>
      </c>
      <c r="F77" s="4">
        <v>3.9119804399999998</v>
      </c>
      <c r="G77" s="2" t="s">
        <v>84</v>
      </c>
      <c r="H77" s="5">
        <v>818</v>
      </c>
      <c r="I77" s="1" t="s">
        <v>8</v>
      </c>
      <c r="J77" s="82" t="s">
        <v>54</v>
      </c>
      <c r="K77" s="16"/>
      <c r="L77" s="16"/>
      <c r="M77" s="16"/>
      <c r="N77" t="str">
        <f>IF(COUNTIFS( $B$2:$B$657, B77, $C$2:$C$657, C77, $D$2:$D$657, D77, $E$2:$E$657, E77) &gt; 1, "Duplicate", "Unique")</f>
        <v>Unique</v>
      </c>
      <c r="P77"/>
    </row>
    <row r="78" spans="1:16" ht="27.65" hidden="1" customHeight="1" thickBot="1" x14ac:dyDescent="0.4">
      <c r="A78" s="3">
        <v>46268.375</v>
      </c>
      <c r="B78" s="1" t="s">
        <v>14</v>
      </c>
      <c r="C78" s="1" t="s">
        <v>7</v>
      </c>
      <c r="D78" s="4">
        <v>100</v>
      </c>
      <c r="E78" s="4">
        <v>334</v>
      </c>
      <c r="F78" s="4">
        <v>4.1959132739999996</v>
      </c>
      <c r="G78" s="2" t="s">
        <v>44</v>
      </c>
      <c r="H78" s="5">
        <v>320.55</v>
      </c>
      <c r="I78" s="1" t="s">
        <v>8</v>
      </c>
      <c r="J78" s="81" t="s">
        <v>116</v>
      </c>
      <c r="K78" s="17" t="s">
        <v>229</v>
      </c>
      <c r="L78" s="17">
        <v>32200</v>
      </c>
      <c r="M78" s="17">
        <f>ABS((D78*E78)-L78)</f>
        <v>1200</v>
      </c>
      <c r="N78" s="10" t="str">
        <f>IF(COUNTIFS( $B$2:$B$657, B78, $C$2:$C$657, C78, $D$2:$D$657, D78, $E$2:$E$657, E78) &gt; 1, "Duplicate", "Unique")</f>
        <v>Unique</v>
      </c>
      <c r="O78" s="36" t="s">
        <v>237</v>
      </c>
    </row>
    <row r="79" spans="1:16" ht="40.75" hidden="1" customHeight="1" thickBot="1" x14ac:dyDescent="0.4">
      <c r="A79" s="6" t="s">
        <v>61</v>
      </c>
      <c r="B79" s="1" t="s">
        <v>19</v>
      </c>
      <c r="C79" s="1" t="s">
        <v>10</v>
      </c>
      <c r="D79" s="4">
        <v>50</v>
      </c>
      <c r="E79" s="4">
        <v>206</v>
      </c>
      <c r="F79" s="4">
        <v>4.1982802230000003</v>
      </c>
      <c r="G79" s="2" t="s">
        <v>39</v>
      </c>
      <c r="H79" s="5">
        <v>197.7</v>
      </c>
      <c r="I79" s="1" t="s">
        <v>8</v>
      </c>
      <c r="J79" s="80" t="s">
        <v>40</v>
      </c>
      <c r="K79" s="16"/>
      <c r="L79" s="16"/>
      <c r="M79" s="16"/>
      <c r="N79" t="str">
        <f>IF(COUNTIFS( $B$2:$B$657, B79, $C$2:$C$657, C79, $D$2:$D$657, D79, $E$2:$E$657, E79) &gt; 1, "Duplicate", "Unique")</f>
        <v>Unique</v>
      </c>
      <c r="O79"/>
      <c r="P79"/>
    </row>
    <row r="80" spans="1:16" ht="40.75" customHeight="1" thickBot="1" x14ac:dyDescent="0.4">
      <c r="A80" s="11">
        <v>46243.375</v>
      </c>
      <c r="B80" s="8" t="s">
        <v>9</v>
      </c>
      <c r="C80" s="8" t="s">
        <v>7</v>
      </c>
      <c r="D80" s="8">
        <v>50</v>
      </c>
      <c r="E80" s="8">
        <v>294</v>
      </c>
      <c r="F80" s="4">
        <v>4.1998936740000001</v>
      </c>
      <c r="G80" s="2" t="s">
        <v>94</v>
      </c>
      <c r="H80" s="5">
        <v>282.14999999999998</v>
      </c>
      <c r="I80" s="1" t="s">
        <v>8</v>
      </c>
      <c r="J80" s="17" t="s">
        <v>116</v>
      </c>
      <c r="K80" s="17" t="s">
        <v>310</v>
      </c>
      <c r="L80" s="17">
        <v>26109.000000000004</v>
      </c>
      <c r="M80" s="17">
        <f>ABS((D80*E80)-L80)</f>
        <v>11409.000000000004</v>
      </c>
      <c r="N80" s="10" t="str">
        <f>IF(COUNTIFS( $B$2:$B$657, B80, $C$2:$C$657, C80, $D$2:$D$657, D80, $E$2:$E$657, E80) &gt; 1, "Duplicate", "Unique")</f>
        <v>Unique</v>
      </c>
      <c r="P80"/>
    </row>
    <row r="81" spans="1:16" ht="40.75" customHeight="1" thickBot="1" x14ac:dyDescent="0.4">
      <c r="A81" s="3">
        <v>46275.375</v>
      </c>
      <c r="B81" s="1" t="s">
        <v>21</v>
      </c>
      <c r="C81" s="1" t="s">
        <v>7</v>
      </c>
      <c r="D81" s="4">
        <v>5</v>
      </c>
      <c r="E81" s="4">
        <v>710</v>
      </c>
      <c r="F81" s="4">
        <v>4.2278332350000003</v>
      </c>
      <c r="G81" s="2" t="s">
        <v>75</v>
      </c>
      <c r="H81" s="5">
        <v>681.2</v>
      </c>
      <c r="I81" s="1" t="s">
        <v>8</v>
      </c>
      <c r="J81" s="17" t="s">
        <v>117</v>
      </c>
      <c r="K81" s="17" t="s">
        <v>255</v>
      </c>
      <c r="L81" s="17">
        <v>3300</v>
      </c>
      <c r="M81" s="17">
        <f>ABS((D81*E81)-L81)</f>
        <v>250</v>
      </c>
      <c r="N81" s="10" t="str">
        <f>IF(COUNTIFS( $B$2:$B$657, B81, $C$2:$C$657, C81, $D$2:$D$657, D81, $E$2:$E$657, E81) &gt; 1, "Duplicate", "Unique")</f>
        <v>Unique</v>
      </c>
    </row>
    <row r="82" spans="1:16" ht="27.65" customHeight="1" thickBot="1" x14ac:dyDescent="0.4">
      <c r="A82" s="50">
        <v>46296.586111111108</v>
      </c>
      <c r="B82" s="51" t="s">
        <v>77</v>
      </c>
      <c r="C82" s="51" t="s">
        <v>7</v>
      </c>
      <c r="D82" s="52">
        <v>5</v>
      </c>
      <c r="E82" s="52">
        <v>1348</v>
      </c>
      <c r="F82" s="4">
        <v>4.2536736270000004</v>
      </c>
      <c r="G82" s="2" t="s">
        <v>78</v>
      </c>
      <c r="H82" s="5">
        <v>1293</v>
      </c>
      <c r="I82" s="1" t="s">
        <v>8</v>
      </c>
      <c r="J82" s="25" t="s">
        <v>117</v>
      </c>
      <c r="K82" s="25" t="s">
        <v>298</v>
      </c>
      <c r="L82" s="25">
        <v>6127.5</v>
      </c>
      <c r="M82" s="25">
        <f>ABS((D82*E82)-L82)</f>
        <v>612.5</v>
      </c>
      <c r="N82" s="27" t="str">
        <f>IF(COUNTIFS( $B$2:$B$657, B82, $C$2:$C$657, C82, $D$2:$D$657, D82, $E$2:$E$657, E82) &gt; 1, "Duplicate", "Unique")</f>
        <v>Duplicate</v>
      </c>
      <c r="O82" s="27"/>
      <c r="P82" s="27"/>
    </row>
    <row r="83" spans="1:16" ht="40.75" customHeight="1" thickBot="1" x14ac:dyDescent="0.4">
      <c r="A83" s="50">
        <v>46296.420138888891</v>
      </c>
      <c r="B83" s="51" t="s">
        <v>77</v>
      </c>
      <c r="C83" s="51" t="s">
        <v>7</v>
      </c>
      <c r="D83" s="52">
        <v>5</v>
      </c>
      <c r="E83" s="52">
        <v>1348</v>
      </c>
      <c r="F83" s="4">
        <v>4.2536736270000004</v>
      </c>
      <c r="G83" s="2" t="s">
        <v>78</v>
      </c>
      <c r="H83" s="5">
        <v>1293</v>
      </c>
      <c r="I83" s="1" t="s">
        <v>8</v>
      </c>
      <c r="J83" s="25" t="s">
        <v>117</v>
      </c>
      <c r="K83" s="25" t="s">
        <v>300</v>
      </c>
      <c r="L83" s="25">
        <v>6320</v>
      </c>
      <c r="M83" s="25">
        <f>ABS((D83*E83)-L83)</f>
        <v>420</v>
      </c>
      <c r="N83" s="27" t="str">
        <f>IF(COUNTIFS( $B$2:$B$657, B83, $C$2:$C$657, C83, $D$2:$D$657, D83, $E$2:$E$657, E83) &gt; 1, "Duplicate", "Unique")</f>
        <v>Duplicate</v>
      </c>
      <c r="O83" s="27"/>
      <c r="P83" s="27"/>
    </row>
    <row r="84" spans="1:16" ht="27.65" customHeight="1" thickBot="1" x14ac:dyDescent="0.4">
      <c r="A84" s="8" t="s">
        <v>61</v>
      </c>
      <c r="B84" s="8" t="s">
        <v>42</v>
      </c>
      <c r="C84" s="8" t="s">
        <v>7</v>
      </c>
      <c r="D84" s="8">
        <v>10</v>
      </c>
      <c r="E84" s="8">
        <v>773</v>
      </c>
      <c r="F84" s="4">
        <v>4.2551756689999998</v>
      </c>
      <c r="G84" s="2" t="s">
        <v>43</v>
      </c>
      <c r="H84" s="5">
        <v>741.45</v>
      </c>
      <c r="I84" s="1" t="s">
        <v>8</v>
      </c>
      <c r="J84" s="32" t="s">
        <v>117</v>
      </c>
      <c r="N84" s="10" t="str">
        <f>IF(COUNTIFS( $B$2:$B$657, B84, $C$2:$C$657, C84, $D$2:$D$657, D84, $E$2:$E$657, E84) &gt; 1, "Duplicate", "Unique")</f>
        <v>Unique</v>
      </c>
    </row>
    <row r="85" spans="1:16" s="27" customFormat="1" ht="40.75" customHeight="1" thickBot="1" x14ac:dyDescent="0.4">
      <c r="A85" s="46">
        <v>46310.375497685185</v>
      </c>
      <c r="B85" s="2" t="s">
        <v>13</v>
      </c>
      <c r="C85" s="2" t="s">
        <v>7</v>
      </c>
      <c r="D85" s="5">
        <v>10</v>
      </c>
      <c r="E85" s="5">
        <v>1796</v>
      </c>
      <c r="F85" s="4">
        <v>4.7230320700000004</v>
      </c>
      <c r="G85" s="2" t="s">
        <v>90</v>
      </c>
      <c r="H85" s="5">
        <v>1715</v>
      </c>
      <c r="I85" s="1" t="s">
        <v>8</v>
      </c>
      <c r="J85" s="17" t="s">
        <v>116</v>
      </c>
      <c r="K85" s="17" t="s">
        <v>343</v>
      </c>
      <c r="L85" s="17">
        <v>17310</v>
      </c>
      <c r="M85" s="17">
        <f>ABS((D85*E85)-L85)</f>
        <v>650</v>
      </c>
      <c r="N85" s="10" t="str">
        <f>IF(COUNTIFS( $B$2:$B$657, B85, $C$2:$C$657, C85, $D$2:$D$657, D85, $E$2:$E$657, E85) &gt; 1, "Duplicate", "Unique")</f>
        <v>Unique</v>
      </c>
      <c r="O85" s="10"/>
      <c r="P85" s="10"/>
    </row>
    <row r="86" spans="1:16" s="27" customFormat="1" ht="40.75" hidden="1" customHeight="1" thickBot="1" x14ac:dyDescent="0.4">
      <c r="A86" s="11">
        <v>46273.375</v>
      </c>
      <c r="B86" s="8" t="s">
        <v>50</v>
      </c>
      <c r="C86" s="8" t="s">
        <v>7</v>
      </c>
      <c r="D86" s="8">
        <v>10</v>
      </c>
      <c r="E86" s="8">
        <v>937</v>
      </c>
      <c r="F86" s="4">
        <v>4.8098434000000001</v>
      </c>
      <c r="G86" s="2" t="s">
        <v>51</v>
      </c>
      <c r="H86" s="5">
        <v>894</v>
      </c>
      <c r="I86" s="1" t="s">
        <v>8</v>
      </c>
      <c r="J86" s="17" t="s">
        <v>152</v>
      </c>
      <c r="K86" s="17" t="s">
        <v>247</v>
      </c>
      <c r="L86" s="17">
        <v>9170</v>
      </c>
      <c r="M86" s="25">
        <f>ABS((D86*E86)-L86)</f>
        <v>200</v>
      </c>
      <c r="N86" s="10" t="str">
        <f>IF(COUNTIFS( $B$2:$B$657, B86, $C$2:$C$657, C86, $D$2:$D$657, D86, $E$2:$E$657, E86) &gt; 1, "Duplicate", "Unique")</f>
        <v>Unique</v>
      </c>
      <c r="O86" s="36" t="s">
        <v>237</v>
      </c>
      <c r="P86" s="10"/>
    </row>
    <row r="87" spans="1:16" ht="27.65" hidden="1" customHeight="1" thickBot="1" x14ac:dyDescent="0.4">
      <c r="A87" s="6" t="s">
        <v>61</v>
      </c>
      <c r="B87" s="1" t="s">
        <v>48</v>
      </c>
      <c r="C87" s="1" t="s">
        <v>10</v>
      </c>
      <c r="D87" s="4">
        <v>3</v>
      </c>
      <c r="E87" s="4">
        <v>3810</v>
      </c>
      <c r="F87" s="4">
        <v>4.9008810570000003</v>
      </c>
      <c r="G87" s="2" t="s">
        <v>49</v>
      </c>
      <c r="H87" s="5">
        <v>3632</v>
      </c>
      <c r="I87" s="1" t="s">
        <v>8</v>
      </c>
      <c r="J87" s="80"/>
      <c r="K87" s="16"/>
      <c r="L87" s="16"/>
      <c r="M87" s="16"/>
      <c r="N87" t="str">
        <f>IF(COUNTIFS( $B$2:$B$657, B87, $C$2:$C$657, C87, $D$2:$D$657, D87, $E$2:$E$657, E87) &gt; 1, "Duplicate", "Unique")</f>
        <v>Unique</v>
      </c>
    </row>
    <row r="88" spans="1:16" ht="27.65" customHeight="1" thickBot="1" x14ac:dyDescent="0.4">
      <c r="A88" s="3">
        <v>46294.375</v>
      </c>
      <c r="B88" s="2" t="s">
        <v>35</v>
      </c>
      <c r="C88" s="2" t="s">
        <v>7</v>
      </c>
      <c r="D88" s="5">
        <v>5</v>
      </c>
      <c r="E88" s="5">
        <v>1143</v>
      </c>
      <c r="F88" s="4">
        <v>4.9779573839999998</v>
      </c>
      <c r="G88" s="2" t="s">
        <v>64</v>
      </c>
      <c r="H88" s="5">
        <v>1088.8</v>
      </c>
      <c r="I88" s="1" t="s">
        <v>8</v>
      </c>
      <c r="J88" s="17" t="s">
        <v>117</v>
      </c>
      <c r="K88" s="17" t="s">
        <v>295</v>
      </c>
      <c r="L88" s="17">
        <v>5450</v>
      </c>
      <c r="M88" s="17">
        <f>ABS((D88*E88)-L88)</f>
        <v>265</v>
      </c>
      <c r="N88" s="10" t="str">
        <f>IF(COUNTIFS( $B$2:$B$657, B88, $C$2:$C$657, C88, $D$2:$D$657, D88, $E$2:$E$657, E88) &gt; 1, "Duplicate", "Unique")</f>
        <v>Unique</v>
      </c>
    </row>
    <row r="89" spans="1:16" ht="40.75" customHeight="1" thickBot="1" x14ac:dyDescent="0.4">
      <c r="A89" s="3">
        <v>46307.617361111108</v>
      </c>
      <c r="B89" s="1" t="s">
        <v>106</v>
      </c>
      <c r="C89" s="1" t="s">
        <v>7</v>
      </c>
      <c r="D89" s="4">
        <v>1</v>
      </c>
      <c r="E89" s="4">
        <v>7168</v>
      </c>
      <c r="F89" s="4">
        <v>5.1643192490000001</v>
      </c>
      <c r="G89" s="2" t="s">
        <v>107</v>
      </c>
      <c r="H89" s="5">
        <v>6816</v>
      </c>
      <c r="I89" s="1" t="s">
        <v>8</v>
      </c>
      <c r="J89" t="s">
        <v>116</v>
      </c>
      <c r="K89" t="s">
        <v>319</v>
      </c>
      <c r="L89">
        <v>6868</v>
      </c>
      <c r="M89" s="17">
        <f>ABS((D89*E89)-L89)</f>
        <v>300</v>
      </c>
      <c r="N89" s="10" t="str">
        <f>IF(COUNTIFS( $B$2:$B$657, B89, $C$2:$C$657, C89, $D$2:$D$657, D89, $E$2:$E$657, E89) &gt; 1, "Duplicate", "Unique")</f>
        <v>Unique</v>
      </c>
    </row>
    <row r="90" spans="1:16" ht="40.75" hidden="1" customHeight="1" thickBot="1" x14ac:dyDescent="0.4">
      <c r="A90" s="3">
        <v>46281.375</v>
      </c>
      <c r="B90" s="1" t="s">
        <v>18</v>
      </c>
      <c r="C90" s="1" t="s">
        <v>7</v>
      </c>
      <c r="D90" s="4">
        <v>10</v>
      </c>
      <c r="E90" s="4">
        <v>1790</v>
      </c>
      <c r="F90" s="4">
        <v>5.2322163430000002</v>
      </c>
      <c r="G90" s="2" t="s">
        <v>101</v>
      </c>
      <c r="H90" s="5">
        <v>1701</v>
      </c>
      <c r="I90" s="1" t="s">
        <v>8</v>
      </c>
      <c r="J90" s="17" t="s">
        <v>116</v>
      </c>
      <c r="K90" s="17" t="s">
        <v>276</v>
      </c>
      <c r="L90" s="17">
        <v>16500</v>
      </c>
      <c r="M90" s="17">
        <f>ABS((D90*E90)-L90)</f>
        <v>1400</v>
      </c>
      <c r="N90" s="10" t="str">
        <f>IF(COUNTIFS( $B$2:$B$657, B90, $C$2:$C$657, C90, $D$2:$D$657, D90, $E$2:$E$657, E90) &gt; 1, "Duplicate", "Unique")</f>
        <v>Unique</v>
      </c>
      <c r="O90" s="36" t="s">
        <v>237</v>
      </c>
    </row>
    <row r="91" spans="1:16" ht="27.65" hidden="1" customHeight="1" thickBot="1" x14ac:dyDescent="0.4">
      <c r="A91" s="3">
        <v>46252.645138888889</v>
      </c>
      <c r="B91" s="1" t="s">
        <v>67</v>
      </c>
      <c r="C91" s="1" t="s">
        <v>10</v>
      </c>
      <c r="D91" s="4">
        <v>10</v>
      </c>
      <c r="E91" s="4">
        <v>401</v>
      </c>
      <c r="F91" s="4">
        <v>5.4153522609999998</v>
      </c>
      <c r="G91" s="2" t="s">
        <v>68</v>
      </c>
      <c r="H91" s="5">
        <v>380.4</v>
      </c>
      <c r="I91" s="1" t="s">
        <v>8</v>
      </c>
      <c r="J91" s="83" t="s">
        <v>40</v>
      </c>
      <c r="K91" s="16"/>
      <c r="L91" s="16"/>
      <c r="M91" s="16"/>
      <c r="N91" t="str">
        <f>IF(COUNTIFS( $B$2:$B$657, B91, $C$2:$C$657, C91, $D$2:$D$657, D91, $E$2:$E$657, E91) &gt; 1, "Duplicate", "Unique")</f>
        <v>Unique</v>
      </c>
    </row>
    <row r="92" spans="1:16" ht="27.65" hidden="1" customHeight="1" thickBot="1" x14ac:dyDescent="0.4">
      <c r="A92" s="6" t="s">
        <v>61</v>
      </c>
      <c r="B92" s="1" t="s">
        <v>48</v>
      </c>
      <c r="C92" s="1" t="s">
        <v>10</v>
      </c>
      <c r="D92" s="4">
        <v>2</v>
      </c>
      <c r="E92" s="4">
        <v>3830</v>
      </c>
      <c r="F92" s="4">
        <v>5.4515418499999999</v>
      </c>
      <c r="G92" s="2" t="s">
        <v>49</v>
      </c>
      <c r="H92" s="5">
        <v>3632</v>
      </c>
      <c r="I92" s="1" t="s">
        <v>8</v>
      </c>
      <c r="J92" s="80"/>
      <c r="K92" s="16"/>
      <c r="L92" s="16"/>
      <c r="M92" s="16"/>
      <c r="N92" t="str">
        <f>IF(COUNTIFS( $B$2:$B$657, B92, $C$2:$C$657, C92, $D$2:$D$657, D92, $E$2:$E$657, E92) &gt; 1, "Duplicate", "Unique")</f>
        <v>Unique</v>
      </c>
    </row>
    <row r="93" spans="1:16" ht="40.75" customHeight="1" thickBot="1" x14ac:dyDescent="0.4">
      <c r="A93" s="3">
        <v>46267.461111111108</v>
      </c>
      <c r="B93" s="1" t="s">
        <v>14</v>
      </c>
      <c r="C93" s="1" t="s">
        <v>7</v>
      </c>
      <c r="D93" s="4">
        <v>100</v>
      </c>
      <c r="E93" s="4">
        <v>339</v>
      </c>
      <c r="F93" s="4">
        <v>5.7557323350000003</v>
      </c>
      <c r="G93" s="2" t="s">
        <v>44</v>
      </c>
      <c r="H93" s="5">
        <v>320.55</v>
      </c>
      <c r="I93" s="1" t="s">
        <v>8</v>
      </c>
      <c r="J93" s="17" t="s">
        <v>116</v>
      </c>
      <c r="K93" s="17" t="s">
        <v>218</v>
      </c>
      <c r="L93" s="17">
        <v>32900</v>
      </c>
      <c r="M93" s="17">
        <f>ABS((D93*E93)-L93)</f>
        <v>1000</v>
      </c>
      <c r="N93" s="10" t="str">
        <f>IF(COUNTIFS( $B$2:$B$657, B93, $C$2:$C$657, C93, $D$2:$D$657, D93, $E$2:$E$657, E93) &gt; 1, "Duplicate", "Unique")</f>
        <v>Unique</v>
      </c>
    </row>
    <row r="94" spans="1:16" ht="40.75" customHeight="1" thickBot="1" x14ac:dyDescent="0.4">
      <c r="A94" s="78">
        <v>46309</v>
      </c>
      <c r="B94" s="2" t="s">
        <v>32</v>
      </c>
      <c r="C94" s="2" t="s">
        <v>7</v>
      </c>
      <c r="D94" s="5">
        <v>3</v>
      </c>
      <c r="E94" s="5">
        <v>2382</v>
      </c>
      <c r="F94" s="4">
        <v>5.843145968</v>
      </c>
      <c r="G94" s="2" t="s">
        <v>83</v>
      </c>
      <c r="H94" s="5">
        <v>2250.5</v>
      </c>
      <c r="I94" s="1" t="s">
        <v>8</v>
      </c>
      <c r="J94" s="17" t="s">
        <v>116</v>
      </c>
      <c r="K94" s="17" t="s">
        <v>337</v>
      </c>
      <c r="L94" s="17">
        <v>6756</v>
      </c>
      <c r="M94" s="17">
        <f>ABS((D94*E94)-L94)</f>
        <v>390</v>
      </c>
      <c r="N94" s="10" t="str">
        <f>IF(COUNTIFS( $B$2:$B$657, B94, $C$2:$C$657, C94, $D$2:$D$657, D94, $E$2:$E$657, E94) &gt; 1, "Duplicate", "Unique")</f>
        <v>Unique</v>
      </c>
    </row>
    <row r="95" spans="1:16" ht="40.75" customHeight="1" thickBot="1" x14ac:dyDescent="0.4">
      <c r="A95" s="11">
        <v>46273.375</v>
      </c>
      <c r="B95" s="8" t="s">
        <v>50</v>
      </c>
      <c r="C95" s="8" t="s">
        <v>7</v>
      </c>
      <c r="D95" s="8">
        <v>10</v>
      </c>
      <c r="E95" s="8">
        <v>947</v>
      </c>
      <c r="F95" s="4">
        <v>5.9284116329999996</v>
      </c>
      <c r="G95" s="2" t="s">
        <v>51</v>
      </c>
      <c r="H95" s="5">
        <v>894</v>
      </c>
      <c r="I95" s="1" t="s">
        <v>8</v>
      </c>
      <c r="J95" s="17" t="s">
        <v>152</v>
      </c>
      <c r="K95" s="17" t="s">
        <v>247</v>
      </c>
      <c r="L95" s="17">
        <v>9170</v>
      </c>
      <c r="M95" s="25">
        <f>ABS((D95*E95)-L95)</f>
        <v>300</v>
      </c>
      <c r="N95" s="10" t="str">
        <f>IF(COUNTIFS( $B$2:$B$657, B95, $C$2:$C$657, C95, $D$2:$D$657, D95, $E$2:$E$657, E95) &gt; 1, "Duplicate", "Unique")</f>
        <v>Unique</v>
      </c>
    </row>
    <row r="96" spans="1:16" ht="27.65" customHeight="1" thickBot="1" x14ac:dyDescent="0.4">
      <c r="A96" s="11">
        <v>46243.375</v>
      </c>
      <c r="B96" s="8" t="s">
        <v>9</v>
      </c>
      <c r="C96" s="8" t="s">
        <v>7</v>
      </c>
      <c r="D96" s="8">
        <v>40</v>
      </c>
      <c r="E96" s="8">
        <v>299</v>
      </c>
      <c r="F96" s="4">
        <v>5.9720007089999996</v>
      </c>
      <c r="G96" s="2" t="s">
        <v>94</v>
      </c>
      <c r="H96" s="5">
        <v>282.14999999999998</v>
      </c>
      <c r="I96" s="1" t="s">
        <v>8</v>
      </c>
      <c r="J96" s="17" t="s">
        <v>116</v>
      </c>
      <c r="K96" s="17" t="s">
        <v>311</v>
      </c>
      <c r="L96" s="17">
        <v>26109.000000000004</v>
      </c>
      <c r="M96" s="17">
        <f>ABS((D96*E96)-L96)</f>
        <v>14149.000000000004</v>
      </c>
      <c r="N96" s="10" t="str">
        <f>IF(COUNTIFS( $B$2:$B$657, B96, $C$2:$C$657, C96, $D$2:$D$657, D96, $E$2:$E$657, E96) &gt; 1, "Duplicate", "Unique")</f>
        <v>Unique</v>
      </c>
      <c r="P96"/>
    </row>
    <row r="97" spans="1:16" s="27" customFormat="1" ht="27.65" customHeight="1" thickBot="1" x14ac:dyDescent="0.4">
      <c r="A97" s="8" t="s">
        <v>61</v>
      </c>
      <c r="B97" s="8" t="s">
        <v>73</v>
      </c>
      <c r="C97" s="8" t="s">
        <v>7</v>
      </c>
      <c r="D97" s="8">
        <v>5</v>
      </c>
      <c r="E97" s="8">
        <v>3633</v>
      </c>
      <c r="F97" s="4">
        <v>5.9801633609999998</v>
      </c>
      <c r="G97" s="2" t="s">
        <v>74</v>
      </c>
      <c r="H97" s="5">
        <v>3428</v>
      </c>
      <c r="I97" s="1" t="s">
        <v>8</v>
      </c>
      <c r="J97" s="32"/>
      <c r="K97" s="17"/>
      <c r="L97" s="17"/>
      <c r="M97" s="17"/>
      <c r="N97" s="10" t="str">
        <f>IF(COUNTIFS( $B$2:$B$657, B97, $C$2:$C$657, C97, $D$2:$D$657, D97, $E$2:$E$657, E97) &gt; 1, "Duplicate", "Unique")</f>
        <v>Unique</v>
      </c>
      <c r="O97" s="10"/>
      <c r="P97" s="10"/>
    </row>
    <row r="98" spans="1:16" ht="40.75" customHeight="1" thickBot="1" x14ac:dyDescent="0.4">
      <c r="A98" s="3">
        <v>46274.375</v>
      </c>
      <c r="B98" s="1" t="s">
        <v>52</v>
      </c>
      <c r="C98" s="1" t="s">
        <v>7</v>
      </c>
      <c r="D98" s="4">
        <v>2</v>
      </c>
      <c r="E98" s="4">
        <v>2563</v>
      </c>
      <c r="F98" s="4">
        <v>6.1283643889999997</v>
      </c>
      <c r="G98" s="2" t="s">
        <v>53</v>
      </c>
      <c r="H98" s="5">
        <v>2415</v>
      </c>
      <c r="I98" s="1" t="s">
        <v>8</v>
      </c>
      <c r="J98" s="17" t="s">
        <v>117</v>
      </c>
      <c r="K98" s="17" t="s">
        <v>254</v>
      </c>
      <c r="L98" s="17">
        <v>4852</v>
      </c>
      <c r="M98" s="17">
        <f>ABS((D98*E98)-L98)</f>
        <v>274</v>
      </c>
      <c r="N98" s="10" t="str">
        <f>IF(COUNTIFS( $B$2:$B$657, B98, $C$2:$C$657, C98, $D$2:$D$657, D98, $E$2:$E$657, E98) &gt; 1, "Duplicate", "Unique")</f>
        <v>Unique</v>
      </c>
    </row>
    <row r="99" spans="1:16" ht="40.75" hidden="1" customHeight="1" thickBot="1" x14ac:dyDescent="0.4">
      <c r="A99" s="6" t="s">
        <v>61</v>
      </c>
      <c r="B99" s="1" t="s">
        <v>48</v>
      </c>
      <c r="C99" s="1" t="s">
        <v>10</v>
      </c>
      <c r="D99" s="4">
        <v>2</v>
      </c>
      <c r="E99" s="4">
        <v>3856</v>
      </c>
      <c r="F99" s="4">
        <v>6.1674008809999998</v>
      </c>
      <c r="G99" s="2" t="s">
        <v>49</v>
      </c>
      <c r="H99" s="5">
        <v>3632</v>
      </c>
      <c r="I99" s="1" t="s">
        <v>8</v>
      </c>
      <c r="J99" s="80"/>
      <c r="K99" s="16"/>
      <c r="L99" s="16"/>
      <c r="M99" s="16"/>
      <c r="N99" t="str">
        <f>IF(COUNTIFS( $B$2:$B$657, B99, $C$2:$C$657, C99, $D$2:$D$657, D99, $E$2:$E$657, E99) &gt; 1, "Duplicate", "Unique")</f>
        <v>Unique</v>
      </c>
      <c r="O99" s="18"/>
    </row>
    <row r="100" spans="1:16" ht="27.65" customHeight="1" thickBot="1" x14ac:dyDescent="0.4">
      <c r="A100" s="46">
        <v>46303.375</v>
      </c>
      <c r="B100" s="2" t="s">
        <v>88</v>
      </c>
      <c r="C100" s="2" t="s">
        <v>7</v>
      </c>
      <c r="D100" s="5">
        <v>1</v>
      </c>
      <c r="E100" s="5">
        <v>13450</v>
      </c>
      <c r="F100" s="4">
        <v>6.1897994629999999</v>
      </c>
      <c r="G100" s="2" t="s">
        <v>89</v>
      </c>
      <c r="H100" s="5">
        <v>12666</v>
      </c>
      <c r="I100" s="1" t="s">
        <v>8</v>
      </c>
      <c r="J100" s="21" t="s">
        <v>117</v>
      </c>
      <c r="K100" s="17" t="s">
        <v>307</v>
      </c>
      <c r="L100" s="17">
        <v>12800</v>
      </c>
      <c r="M100" s="17">
        <f>ABS((D100*E100)-L100)</f>
        <v>650</v>
      </c>
      <c r="N100" s="10" t="str">
        <f>IF(COUNTIFS( $B$2:$B$657, B100, $C$2:$C$657, C100, $D$2:$D$657, D100, $E$2:$E$657, E100) &gt; 1, "Duplicate", "Unique")</f>
        <v>Unique</v>
      </c>
    </row>
    <row r="101" spans="1:16" ht="27.65" customHeight="1" thickBot="1" x14ac:dyDescent="0.4">
      <c r="A101" s="46">
        <v>46310.394895833335</v>
      </c>
      <c r="B101" s="2" t="s">
        <v>12</v>
      </c>
      <c r="C101" s="2" t="s">
        <v>7</v>
      </c>
      <c r="D101" s="5">
        <v>3</v>
      </c>
      <c r="E101" s="5">
        <v>4990</v>
      </c>
      <c r="F101" s="4">
        <v>6.260647359</v>
      </c>
      <c r="G101" s="2" t="s">
        <v>97</v>
      </c>
      <c r="H101" s="5">
        <v>4696</v>
      </c>
      <c r="I101" s="1" t="s">
        <v>8</v>
      </c>
      <c r="J101" s="17" t="s">
        <v>116</v>
      </c>
      <c r="K101" s="17" t="s">
        <v>342</v>
      </c>
      <c r="L101" s="17">
        <v>14310</v>
      </c>
      <c r="M101" s="17">
        <f>ABS((D101*E101)-L101)</f>
        <v>660</v>
      </c>
      <c r="N101" s="10" t="str">
        <f>IF(COUNTIFS( $B$2:$B$657, B101, $C$2:$C$657, C101, $D$2:$D$657, D101, $E$2:$E$657, E101) &gt; 1, "Duplicate", "Unique")</f>
        <v>Unique</v>
      </c>
    </row>
    <row r="102" spans="1:16" s="27" customFormat="1" ht="27.65" hidden="1" customHeight="1" thickBot="1" x14ac:dyDescent="0.4">
      <c r="A102" s="3">
        <v>46261.375</v>
      </c>
      <c r="B102" s="1" t="s">
        <v>31</v>
      </c>
      <c r="C102" s="1" t="s">
        <v>10</v>
      </c>
      <c r="D102" s="4">
        <v>20</v>
      </c>
      <c r="E102" s="4">
        <v>870</v>
      </c>
      <c r="F102" s="4">
        <v>6.3569682150000002</v>
      </c>
      <c r="G102" s="2" t="s">
        <v>84</v>
      </c>
      <c r="H102" s="5">
        <v>818</v>
      </c>
      <c r="I102" s="1" t="s">
        <v>8</v>
      </c>
      <c r="J102" s="81" t="s">
        <v>40</v>
      </c>
      <c r="K102" s="17" t="s">
        <v>181</v>
      </c>
      <c r="L102" s="17">
        <v>17700</v>
      </c>
      <c r="M102" s="17">
        <f>ABS((D102*E102)-L102)</f>
        <v>300</v>
      </c>
      <c r="N102" s="10" t="str">
        <f>IF(COUNTIFS( $B$2:$B$657, B102, $C$2:$C$657, C102, $D$2:$D$657, D102, $E$2:$E$657, E102) &gt; 1, "Duplicate", "Unique")</f>
        <v>Unique</v>
      </c>
      <c r="O102" s="10"/>
      <c r="P102" s="22"/>
    </row>
    <row r="103" spans="1:16" ht="27.65" customHeight="1" thickBot="1" x14ac:dyDescent="0.4">
      <c r="A103" s="3">
        <v>46267.375</v>
      </c>
      <c r="B103" s="1" t="s">
        <v>14</v>
      </c>
      <c r="C103" s="1" t="s">
        <v>7</v>
      </c>
      <c r="D103" s="4">
        <v>50</v>
      </c>
      <c r="E103" s="4">
        <v>341</v>
      </c>
      <c r="F103" s="4">
        <v>6.3796599589999996</v>
      </c>
      <c r="G103" s="2" t="s">
        <v>44</v>
      </c>
      <c r="H103" s="5">
        <v>320.55</v>
      </c>
      <c r="I103" s="1" t="s">
        <v>8</v>
      </c>
      <c r="J103" s="17" t="s">
        <v>116</v>
      </c>
      <c r="K103" s="17" t="s">
        <v>225</v>
      </c>
      <c r="L103" s="17">
        <v>16755</v>
      </c>
      <c r="M103" s="17">
        <f>ABS((D103*E103)-L103)</f>
        <v>295</v>
      </c>
      <c r="N103" s="10" t="str">
        <f>IF(COUNTIFS( $B$2:$B$657, B103, $C$2:$C$657, C103, $D$2:$D$657, D103, $E$2:$E$657, E103) &gt; 1, "Duplicate", "Unique")</f>
        <v>Unique</v>
      </c>
    </row>
    <row r="104" spans="1:16" ht="27.65" hidden="1" customHeight="1" thickBot="1" x14ac:dyDescent="0.4">
      <c r="A104" s="3">
        <v>46283.375</v>
      </c>
      <c r="B104" s="1" t="s">
        <v>31</v>
      </c>
      <c r="C104" s="1" t="s">
        <v>10</v>
      </c>
      <c r="D104" s="4">
        <v>20</v>
      </c>
      <c r="E104" s="4">
        <v>870.2</v>
      </c>
      <c r="F104" s="4">
        <v>6.3814180929999997</v>
      </c>
      <c r="G104" s="2" t="s">
        <v>84</v>
      </c>
      <c r="H104" s="5">
        <v>818</v>
      </c>
      <c r="I104" s="1" t="s">
        <v>8</v>
      </c>
      <c r="J104" s="81" t="s">
        <v>54</v>
      </c>
      <c r="K104" s="17" t="s">
        <v>279</v>
      </c>
      <c r="L104" s="17">
        <v>17920</v>
      </c>
      <c r="M104" s="17">
        <f>ABS((D104*E104)-L104)</f>
        <v>516</v>
      </c>
      <c r="N104" s="10" t="str">
        <f>IF(COUNTIFS( $B$2:$B$657, B104, $C$2:$C$657, C104, $D$2:$D$657, D104, $E$2:$E$657, E104) &gt; 1, "Duplicate", "Unique")</f>
        <v>Unique</v>
      </c>
    </row>
    <row r="105" spans="1:16" ht="27.65" customHeight="1" thickBot="1" x14ac:dyDescent="0.4">
      <c r="A105" s="8" t="s">
        <v>61</v>
      </c>
      <c r="B105" s="8" t="s">
        <v>42</v>
      </c>
      <c r="C105" s="8" t="s">
        <v>7</v>
      </c>
      <c r="D105" s="8">
        <v>5</v>
      </c>
      <c r="E105" s="12">
        <v>790</v>
      </c>
      <c r="F105" s="4">
        <v>6.5479803089999997</v>
      </c>
      <c r="G105" s="2" t="s">
        <v>43</v>
      </c>
      <c r="H105" s="5">
        <v>741.45</v>
      </c>
      <c r="I105" s="1" t="s">
        <v>8</v>
      </c>
      <c r="J105" s="32" t="s">
        <v>117</v>
      </c>
      <c r="N105" s="10" t="str">
        <f>IF(COUNTIFS( $B$2:$B$657, B105, $C$2:$C$657, C105, $D$2:$D$657, D105, $E$2:$E$657, E105) &gt; 1, "Duplicate", "Unique")</f>
        <v>Unique</v>
      </c>
    </row>
    <row r="106" spans="1:16" s="23" customFormat="1" ht="40.75" hidden="1" customHeight="1" thickBot="1" x14ac:dyDescent="0.4">
      <c r="A106" s="3">
        <v>46267.375</v>
      </c>
      <c r="B106" s="1" t="s">
        <v>81</v>
      </c>
      <c r="C106" s="1" t="s">
        <v>7</v>
      </c>
      <c r="D106" s="4">
        <v>2</v>
      </c>
      <c r="E106" s="4">
        <v>4290</v>
      </c>
      <c r="F106" s="4">
        <v>6.7164179099999997</v>
      </c>
      <c r="G106" s="2" t="s">
        <v>82</v>
      </c>
      <c r="H106" s="5">
        <v>4020</v>
      </c>
      <c r="I106" s="1" t="s">
        <v>8</v>
      </c>
      <c r="J106" s="17" t="s">
        <v>117</v>
      </c>
      <c r="K106" s="17" t="s">
        <v>222</v>
      </c>
      <c r="L106" s="17">
        <v>8220</v>
      </c>
      <c r="M106" s="17">
        <f>ABS((D106*E106)-L106)</f>
        <v>360</v>
      </c>
      <c r="N106" s="10" t="str">
        <f>IF(COUNTIFS( $B$2:$B$657, B106, $C$2:$C$657, C106, $D$2:$D$657, D106, $E$2:$E$657, E106) &gt; 1, "Duplicate", "Unique")</f>
        <v>Unique</v>
      </c>
      <c r="O106" s="36" t="s">
        <v>237</v>
      </c>
      <c r="P106" s="10"/>
    </row>
    <row r="107" spans="1:16" ht="40.75" customHeight="1" thickBot="1" x14ac:dyDescent="0.4">
      <c r="A107" s="11">
        <v>46243.375</v>
      </c>
      <c r="B107" s="8" t="s">
        <v>11</v>
      </c>
      <c r="C107" s="8" t="s">
        <v>7</v>
      </c>
      <c r="D107" s="8">
        <v>20</v>
      </c>
      <c r="E107" s="8">
        <v>296</v>
      </c>
      <c r="F107" s="4">
        <v>7.0137382500000003</v>
      </c>
      <c r="G107" s="2" t="s">
        <v>98</v>
      </c>
      <c r="H107" s="5">
        <v>276.60000000000002</v>
      </c>
      <c r="I107" s="1" t="s">
        <v>8</v>
      </c>
      <c r="J107" s="17" t="s">
        <v>117</v>
      </c>
      <c r="K107" s="17" t="s">
        <v>245</v>
      </c>
      <c r="L107" s="17">
        <v>5620</v>
      </c>
      <c r="M107" s="25">
        <f>ABS((D107*E107)-L107)</f>
        <v>300</v>
      </c>
      <c r="N107" s="10" t="str">
        <f>IF(COUNTIFS( $B$2:$B$657, B107, $C$2:$C$657, C107, $D$2:$D$657, D107, $E$2:$E$657, E107) &gt; 1, "Duplicate", "Unique")</f>
        <v>Unique</v>
      </c>
      <c r="P107" s="23"/>
    </row>
    <row r="108" spans="1:16" ht="40.75" customHeight="1" thickBot="1" x14ac:dyDescent="0.4">
      <c r="A108" s="3">
        <v>46267.375</v>
      </c>
      <c r="B108" s="1" t="s">
        <v>50</v>
      </c>
      <c r="C108" s="1" t="s">
        <v>7</v>
      </c>
      <c r="D108" s="4">
        <v>10</v>
      </c>
      <c r="E108" s="4">
        <v>957</v>
      </c>
      <c r="F108" s="4">
        <v>7.046979866</v>
      </c>
      <c r="G108" s="2" t="s">
        <v>51</v>
      </c>
      <c r="H108" s="5">
        <v>894</v>
      </c>
      <c r="I108" s="1" t="s">
        <v>8</v>
      </c>
      <c r="J108" s="17" t="s">
        <v>116</v>
      </c>
      <c r="K108" s="17" t="s">
        <v>226</v>
      </c>
      <c r="L108" s="17">
        <v>9270</v>
      </c>
      <c r="M108" s="17">
        <f>ABS((D108*E108)-L108)</f>
        <v>300</v>
      </c>
      <c r="N108" s="10" t="str">
        <f>IF(COUNTIFS( $B$2:$B$657, B108, $C$2:$C$657, C108, $D$2:$D$657, D108, $E$2:$E$657, E108) &gt; 1, "Duplicate", "Unique")</f>
        <v>Unique</v>
      </c>
      <c r="P108" s="18"/>
    </row>
    <row r="109" spans="1:16" s="27" customFormat="1" ht="27.65" hidden="1" customHeight="1" thickBot="1" x14ac:dyDescent="0.4">
      <c r="A109" s="6" t="s">
        <v>61</v>
      </c>
      <c r="B109" s="1" t="s">
        <v>48</v>
      </c>
      <c r="C109" s="1" t="s">
        <v>10</v>
      </c>
      <c r="D109" s="4">
        <v>5</v>
      </c>
      <c r="E109" s="4">
        <v>3888</v>
      </c>
      <c r="F109" s="4">
        <v>7.0484581500000001</v>
      </c>
      <c r="G109" s="2" t="s">
        <v>49</v>
      </c>
      <c r="H109" s="5">
        <v>3632</v>
      </c>
      <c r="I109" s="1" t="s">
        <v>8</v>
      </c>
      <c r="J109" s="80"/>
      <c r="K109" s="16"/>
      <c r="L109" s="16"/>
      <c r="M109" s="16"/>
      <c r="N109" t="str">
        <f>IF(COUNTIFS( $B$2:$B$657, B109, $C$2:$C$657, C109, $D$2:$D$657, D109, $E$2:$E$657, E109) &gt; 1, "Duplicate", "Unique")</f>
        <v>Unique</v>
      </c>
      <c r="O109" s="23"/>
      <c r="P109" s="10"/>
    </row>
    <row r="110" spans="1:16" ht="27.65" customHeight="1" thickBot="1" x14ac:dyDescent="0.4">
      <c r="A110" s="3">
        <v>46274.375</v>
      </c>
      <c r="B110" s="1" t="s">
        <v>21</v>
      </c>
      <c r="C110" s="1" t="s">
        <v>7</v>
      </c>
      <c r="D110" s="4">
        <v>5</v>
      </c>
      <c r="E110" s="4">
        <v>730</v>
      </c>
      <c r="F110" s="4">
        <v>7.1638285379999997</v>
      </c>
      <c r="G110" s="2" t="s">
        <v>75</v>
      </c>
      <c r="H110" s="5">
        <v>681.2</v>
      </c>
      <c r="I110" s="1" t="s">
        <v>8</v>
      </c>
      <c r="J110" s="17" t="s">
        <v>117</v>
      </c>
      <c r="K110" s="17" t="s">
        <v>252</v>
      </c>
      <c r="L110" s="17">
        <v>3400</v>
      </c>
      <c r="M110" s="17">
        <f>ABS((D110*E110)-L110)</f>
        <v>250</v>
      </c>
      <c r="N110" s="10" t="str">
        <f>IF(COUNTIFS( $B$2:$B$657, B110, $C$2:$C$657, C110, $D$2:$D$657, D110, $E$2:$E$657, E110) &gt; 1, "Duplicate", "Unique")</f>
        <v>Unique</v>
      </c>
    </row>
    <row r="111" spans="1:16" ht="40.75" hidden="1" customHeight="1" thickBot="1" x14ac:dyDescent="0.4">
      <c r="A111" s="6" t="s">
        <v>61</v>
      </c>
      <c r="B111" s="1" t="s">
        <v>19</v>
      </c>
      <c r="C111" s="1" t="s">
        <v>10</v>
      </c>
      <c r="D111" s="4">
        <v>50</v>
      </c>
      <c r="E111" s="4">
        <v>212</v>
      </c>
      <c r="F111" s="4">
        <v>7.2331815879999999</v>
      </c>
      <c r="G111" s="2" t="s">
        <v>39</v>
      </c>
      <c r="H111" s="5">
        <v>197.7</v>
      </c>
      <c r="I111" s="1" t="s">
        <v>8</v>
      </c>
      <c r="J111" s="80" t="s">
        <v>40</v>
      </c>
      <c r="K111" s="16"/>
      <c r="L111" s="16"/>
      <c r="M111" s="16"/>
      <c r="N111" t="str">
        <f>IF(COUNTIFS( $B$2:$B$657, B111, $C$2:$C$657, C111, $D$2:$D$657, D111, $E$2:$E$657, E111) &gt; 1, "Duplicate", "Unique")</f>
        <v>Unique</v>
      </c>
    </row>
    <row r="112" spans="1:16" ht="27.65" customHeight="1" thickBot="1" x14ac:dyDescent="0.4">
      <c r="A112" s="3">
        <v>46267.38958333333</v>
      </c>
      <c r="B112" s="1" t="s">
        <v>14</v>
      </c>
      <c r="C112" s="1" t="s">
        <v>7</v>
      </c>
      <c r="D112" s="4">
        <v>100</v>
      </c>
      <c r="E112" s="4">
        <v>344</v>
      </c>
      <c r="F112" s="4">
        <v>7.315551396</v>
      </c>
      <c r="G112" s="2" t="s">
        <v>44</v>
      </c>
      <c r="H112" s="5">
        <v>320.55</v>
      </c>
      <c r="I112" s="1" t="s">
        <v>8</v>
      </c>
      <c r="J112" s="17" t="s">
        <v>116</v>
      </c>
      <c r="K112" s="17" t="s">
        <v>220</v>
      </c>
      <c r="L112" s="17">
        <v>33200</v>
      </c>
      <c r="M112" s="17">
        <f>ABS((D112*E112)-L112)</f>
        <v>1200</v>
      </c>
      <c r="N112" s="10" t="str">
        <f>IF(COUNTIFS( $B$2:$B$657, B112, $C$2:$C$657, C112, $D$2:$D$657, D112, $E$2:$E$657, E112) &gt; 1, "Duplicate", "Unique")</f>
        <v>Unique</v>
      </c>
    </row>
    <row r="113" spans="1:16" s="22" customFormat="1" ht="40.75" customHeight="1" thickBot="1" x14ac:dyDescent="0.4">
      <c r="A113" s="3">
        <v>46280.435416666667</v>
      </c>
      <c r="B113" s="1" t="s">
        <v>67</v>
      </c>
      <c r="C113" s="1" t="s">
        <v>7</v>
      </c>
      <c r="D113" s="4">
        <v>50</v>
      </c>
      <c r="E113" s="4">
        <v>409</v>
      </c>
      <c r="F113" s="4">
        <v>7.5184016820000004</v>
      </c>
      <c r="G113" s="2" t="s">
        <v>68</v>
      </c>
      <c r="H113" s="5">
        <v>380.4</v>
      </c>
      <c r="I113" s="1" t="s">
        <v>8</v>
      </c>
      <c r="J113" s="17" t="s">
        <v>116</v>
      </c>
      <c r="K113" s="17" t="s">
        <v>270</v>
      </c>
      <c r="L113" s="17">
        <v>39300</v>
      </c>
      <c r="M113" s="17">
        <f>ABS((D113*E113)-L113)</f>
        <v>18850</v>
      </c>
      <c r="N113" s="10" t="str">
        <f>IF(COUNTIFS( $B$2:$B$657, B113, $C$2:$C$657, C113, $D$2:$D$657, D113, $E$2:$E$657, E113) &gt; 1, "Duplicate", "Unique")</f>
        <v>Unique</v>
      </c>
      <c r="O113" s="10"/>
      <c r="P113" s="10"/>
    </row>
    <row r="114" spans="1:16" s="27" customFormat="1" ht="27.65" hidden="1" customHeight="1" thickBot="1" x14ac:dyDescent="0.4">
      <c r="A114" s="11">
        <v>46243.375</v>
      </c>
      <c r="B114" s="8" t="s">
        <v>13</v>
      </c>
      <c r="C114" s="8" t="s">
        <v>7</v>
      </c>
      <c r="D114" s="8">
        <v>5</v>
      </c>
      <c r="E114" s="8">
        <v>1844</v>
      </c>
      <c r="F114" s="4">
        <v>7.5218658889999999</v>
      </c>
      <c r="G114" s="2" t="s">
        <v>90</v>
      </c>
      <c r="H114" s="5">
        <v>1715</v>
      </c>
      <c r="I114" s="1" t="s">
        <v>8</v>
      </c>
      <c r="J114" s="17" t="s">
        <v>117</v>
      </c>
      <c r="K114" s="17" t="s">
        <v>246</v>
      </c>
      <c r="L114" s="17">
        <v>8570</v>
      </c>
      <c r="M114" s="25">
        <f>ABS((D114*E114)-L114)</f>
        <v>650</v>
      </c>
      <c r="N114" s="10" t="str">
        <f>IF(COUNTIFS( $B$2:$B$657, B114, $C$2:$C$657, C114, $D$2:$D$657, D114, $E$2:$E$657, E114) &gt; 1, "Duplicate", "Unique")</f>
        <v>Unique</v>
      </c>
      <c r="O114" s="36" t="s">
        <v>237</v>
      </c>
      <c r="P114" s="10"/>
    </row>
    <row r="115" spans="1:16" s="27" customFormat="1" ht="40.75" hidden="1" customHeight="1" thickBot="1" x14ac:dyDescent="0.4">
      <c r="A115" s="46">
        <v>46296.443055555559</v>
      </c>
      <c r="B115" s="2" t="s">
        <v>15</v>
      </c>
      <c r="C115" s="2" t="s">
        <v>7</v>
      </c>
      <c r="D115" s="5">
        <v>5</v>
      </c>
      <c r="E115" s="5">
        <v>2276</v>
      </c>
      <c r="F115" s="4">
        <v>7.9184447609999999</v>
      </c>
      <c r="G115" s="2" t="s">
        <v>71</v>
      </c>
      <c r="H115" s="5">
        <v>2109</v>
      </c>
      <c r="I115" s="1" t="s">
        <v>8</v>
      </c>
      <c r="J115" s="17" t="s">
        <v>117</v>
      </c>
      <c r="K115" s="17" t="s">
        <v>299</v>
      </c>
      <c r="L115" s="17">
        <v>10725.5</v>
      </c>
      <c r="M115" s="17">
        <f>ABS((D115*E115)-L115)</f>
        <v>654.5</v>
      </c>
      <c r="N115" s="10" t="str">
        <f>IF(COUNTIFS( $B$2:$B$657, B115, $C$2:$C$657, C115, $D$2:$D$657, D115, $E$2:$E$657, E115) &gt; 1, "Duplicate", "Unique")</f>
        <v>Unique</v>
      </c>
      <c r="O115" s="36" t="s">
        <v>237</v>
      </c>
      <c r="P115" s="10"/>
    </row>
    <row r="116" spans="1:16" ht="27.65" customHeight="1" thickBot="1" x14ac:dyDescent="0.4">
      <c r="A116" s="46">
        <v>46304.375</v>
      </c>
      <c r="B116" s="2" t="s">
        <v>31</v>
      </c>
      <c r="C116" s="2" t="s">
        <v>7</v>
      </c>
      <c r="D116" s="5">
        <v>20</v>
      </c>
      <c r="E116" s="5">
        <v>883.5</v>
      </c>
      <c r="F116" s="4">
        <v>8.0073349629999999</v>
      </c>
      <c r="G116" s="2" t="s">
        <v>84</v>
      </c>
      <c r="H116" s="5">
        <v>818</v>
      </c>
      <c r="I116" s="1" t="s">
        <v>8</v>
      </c>
      <c r="J116" s="17" t="s">
        <v>117</v>
      </c>
      <c r="K116" s="17" t="s">
        <v>314</v>
      </c>
      <c r="L116" s="17">
        <v>17020</v>
      </c>
      <c r="M116" s="17">
        <f>ABS((D116*E116)-L116)</f>
        <v>650</v>
      </c>
      <c r="N116" t="str">
        <f>IF(COUNTIFS( $B$2:$B$657, B116, $C$2:$C$657, C116, $D$2:$D$657, D116, $E$2:$E$657, E116) &gt; 1, "Duplicate", "Unique")</f>
        <v>Unique</v>
      </c>
    </row>
    <row r="117" spans="1:16" ht="27.65" customHeight="1" thickBot="1" x14ac:dyDescent="0.4">
      <c r="A117" s="11">
        <v>46252.6875</v>
      </c>
      <c r="B117" s="8" t="s">
        <v>9</v>
      </c>
      <c r="C117" s="8" t="s">
        <v>7</v>
      </c>
      <c r="D117" s="8">
        <v>50</v>
      </c>
      <c r="E117" s="8">
        <v>305</v>
      </c>
      <c r="F117" s="4">
        <v>8.0985291509999993</v>
      </c>
      <c r="G117" s="2" t="s">
        <v>94</v>
      </c>
      <c r="H117" s="5">
        <v>282.14999999999998</v>
      </c>
      <c r="I117" s="1" t="s">
        <v>8</v>
      </c>
      <c r="J117" s="32" t="s">
        <v>117</v>
      </c>
      <c r="N117" s="10" t="str">
        <f>IF(COUNTIFS( $B$2:$B$657, B117, $C$2:$C$657, C117, $D$2:$D$657, D117, $E$2:$E$657, E117) &gt; 1, "Duplicate", "Unique")</f>
        <v>Unique</v>
      </c>
    </row>
    <row r="118" spans="1:16" ht="27.65" customHeight="1" thickBot="1" x14ac:dyDescent="0.4">
      <c r="A118" s="8" t="s">
        <v>61</v>
      </c>
      <c r="B118" s="8" t="s">
        <v>73</v>
      </c>
      <c r="C118" s="8" t="s">
        <v>7</v>
      </c>
      <c r="D118" s="8">
        <v>1</v>
      </c>
      <c r="E118" s="8">
        <v>3710</v>
      </c>
      <c r="F118" s="4">
        <v>8.2263710620000001</v>
      </c>
      <c r="G118" s="2" t="s">
        <v>74</v>
      </c>
      <c r="H118" s="5">
        <v>3428</v>
      </c>
      <c r="I118" s="1" t="s">
        <v>8</v>
      </c>
      <c r="J118" s="32" t="s">
        <v>117</v>
      </c>
      <c r="N118" s="10" t="str">
        <f>IF(COUNTIFS( $B$2:$B$657, B118, $C$2:$C$657, C118, $D$2:$D$657, D118, $E$2:$E$657, E118) &gt; 1, "Duplicate", "Unique")</f>
        <v>Unique</v>
      </c>
    </row>
    <row r="119" spans="1:16" ht="40.75" hidden="1" customHeight="1" thickBot="1" x14ac:dyDescent="0.4">
      <c r="A119" s="3">
        <v>46268.385416666664</v>
      </c>
      <c r="B119" s="1" t="s">
        <v>19</v>
      </c>
      <c r="C119" s="1" t="s">
        <v>10</v>
      </c>
      <c r="D119" s="4">
        <v>100</v>
      </c>
      <c r="E119" s="4">
        <v>214</v>
      </c>
      <c r="F119" s="4">
        <v>8.2448153770000001</v>
      </c>
      <c r="G119" s="2" t="s">
        <v>39</v>
      </c>
      <c r="H119" s="5">
        <v>197.7</v>
      </c>
      <c r="I119" s="1" t="s">
        <v>8</v>
      </c>
      <c r="J119" s="81" t="s">
        <v>54</v>
      </c>
      <c r="K119" s="17" t="s">
        <v>230</v>
      </c>
      <c r="L119" s="17">
        <v>21900</v>
      </c>
      <c r="M119" s="17">
        <f>ABS((D119*E119)-L119)</f>
        <v>500</v>
      </c>
      <c r="N119" s="10" t="str">
        <f>IF(COUNTIFS( $B$2:$B$657, B119, $C$2:$C$657, C119, $D$2:$D$657, D119, $E$2:$E$657, E119) &gt; 1, "Duplicate", "Unique")</f>
        <v>Unique</v>
      </c>
    </row>
    <row r="120" spans="1:16" ht="27.65" hidden="1" customHeight="1" thickBot="1" x14ac:dyDescent="0.4">
      <c r="A120" s="3">
        <v>46272.375694444447</v>
      </c>
      <c r="B120" s="1" t="s">
        <v>24</v>
      </c>
      <c r="C120" s="1" t="s">
        <v>7</v>
      </c>
      <c r="D120" s="4">
        <v>40</v>
      </c>
      <c r="E120" s="4">
        <v>448</v>
      </c>
      <c r="F120" s="4">
        <v>8.2648622520000004</v>
      </c>
      <c r="G120" s="2" t="s">
        <v>55</v>
      </c>
      <c r="H120" s="5">
        <v>413.8</v>
      </c>
      <c r="I120" s="1" t="s">
        <v>8</v>
      </c>
      <c r="J120" s="17" t="s">
        <v>116</v>
      </c>
      <c r="K120" s="17" t="s">
        <v>242</v>
      </c>
      <c r="L120" s="17">
        <v>17040</v>
      </c>
      <c r="M120" s="17">
        <f>ABS((D120*E120)-L120)</f>
        <v>880</v>
      </c>
      <c r="N120" s="10" t="str">
        <f>IF(COUNTIFS( $B$2:$B$657, B120, $C$2:$C$657, C120, $D$2:$D$657, D120, $E$2:$E$657, E120) &gt; 1, "Duplicate", "Unique")</f>
        <v>Unique</v>
      </c>
      <c r="O120" s="36" t="s">
        <v>237</v>
      </c>
    </row>
    <row r="121" spans="1:16" ht="27.65" hidden="1" customHeight="1" thickBot="1" x14ac:dyDescent="0.4">
      <c r="A121" s="3">
        <v>46287.375</v>
      </c>
      <c r="B121" s="1" t="s">
        <v>17</v>
      </c>
      <c r="C121" s="1" t="s">
        <v>7</v>
      </c>
      <c r="D121" s="4">
        <v>25</v>
      </c>
      <c r="E121" s="4">
        <v>348</v>
      </c>
      <c r="F121" s="4">
        <v>8.2762912259999997</v>
      </c>
      <c r="G121" s="2" t="s">
        <v>76</v>
      </c>
      <c r="H121" s="5">
        <v>321.39999999999998</v>
      </c>
      <c r="I121" s="1" t="s">
        <v>8</v>
      </c>
      <c r="J121" s="17" t="s">
        <v>116</v>
      </c>
      <c r="K121" s="17" t="s">
        <v>283</v>
      </c>
      <c r="L121" s="17">
        <v>8400</v>
      </c>
      <c r="M121" s="17">
        <f>ABS((D121*E121)-L121)</f>
        <v>300</v>
      </c>
      <c r="N121" s="10" t="str">
        <f>IF(COUNTIFS( $B$2:$B$657, B121, $C$2:$C$657, C121, $D$2:$D$657, D121, $E$2:$E$657, E121) &gt; 1, "Duplicate", "Unique")</f>
        <v>Unique</v>
      </c>
      <c r="O121" s="36" t="s">
        <v>237</v>
      </c>
    </row>
    <row r="122" spans="1:16" ht="27.65" customHeight="1" thickBot="1" x14ac:dyDescent="0.4">
      <c r="A122" s="3">
        <v>46262.375</v>
      </c>
      <c r="B122" s="1" t="s">
        <v>81</v>
      </c>
      <c r="C122" s="1" t="s">
        <v>7</v>
      </c>
      <c r="D122" s="4">
        <v>2</v>
      </c>
      <c r="E122" s="4">
        <v>4360</v>
      </c>
      <c r="F122" s="4">
        <v>8.4577114430000009</v>
      </c>
      <c r="G122" s="2" t="s">
        <v>82</v>
      </c>
      <c r="H122" s="5">
        <v>4020</v>
      </c>
      <c r="I122" s="1" t="s">
        <v>8</v>
      </c>
      <c r="J122" s="17" t="s">
        <v>117</v>
      </c>
      <c r="K122" s="17" t="s">
        <v>183</v>
      </c>
      <c r="L122" s="17">
        <v>8420</v>
      </c>
      <c r="M122" s="17">
        <f>ABS((D122*E122)-L122)</f>
        <v>300</v>
      </c>
      <c r="N122" s="10" t="str">
        <f>IF(COUNTIFS( $B$2:$B$657, B122, $C$2:$C$657, C122, $D$2:$D$657, D122, $E$2:$E$657, E122) &gt; 1, "Duplicate", "Unique")</f>
        <v>Unique</v>
      </c>
    </row>
    <row r="123" spans="1:16" ht="27.65" customHeight="1" thickBot="1" x14ac:dyDescent="0.4">
      <c r="A123" s="3">
        <v>46266.642361111109</v>
      </c>
      <c r="B123" s="1" t="s">
        <v>14</v>
      </c>
      <c r="C123" s="1" t="s">
        <v>7</v>
      </c>
      <c r="D123" s="4">
        <v>100</v>
      </c>
      <c r="E123" s="4">
        <v>348</v>
      </c>
      <c r="F123" s="4">
        <v>8.5634066450000006</v>
      </c>
      <c r="G123" s="2" t="s">
        <v>44</v>
      </c>
      <c r="H123" s="5">
        <v>320.55</v>
      </c>
      <c r="I123" s="1" t="s">
        <v>8</v>
      </c>
      <c r="J123" s="17" t="s">
        <v>116</v>
      </c>
      <c r="K123" s="17" t="s">
        <v>214</v>
      </c>
      <c r="L123" s="17">
        <v>33950</v>
      </c>
      <c r="M123" s="17">
        <f>ABS((D123*E123)-L123)</f>
        <v>850</v>
      </c>
      <c r="N123" s="10" t="str">
        <f>IF(COUNTIFS( $B$2:$B$657, B123, $C$2:$C$657, C123, $D$2:$D$657, D123, $E$2:$E$657, E123) &gt; 1, "Duplicate", "Unique")</f>
        <v>Unique</v>
      </c>
    </row>
    <row r="124" spans="1:16" ht="40.75" customHeight="1" thickBot="1" x14ac:dyDescent="0.4">
      <c r="A124" s="28">
        <v>46265.375694444447</v>
      </c>
      <c r="B124" s="29" t="s">
        <v>52</v>
      </c>
      <c r="C124" s="29" t="s">
        <v>7</v>
      </c>
      <c r="D124" s="30">
        <v>3</v>
      </c>
      <c r="E124" s="30">
        <v>2624</v>
      </c>
      <c r="F124" s="4">
        <v>8.6542443060000007</v>
      </c>
      <c r="G124" s="2" t="s">
        <v>53</v>
      </c>
      <c r="H124" s="5">
        <v>2415</v>
      </c>
      <c r="I124" s="1" t="s">
        <v>8</v>
      </c>
      <c r="J124" s="25" t="s">
        <v>117</v>
      </c>
      <c r="K124" s="25" t="s">
        <v>195</v>
      </c>
      <c r="L124" s="25">
        <v>7578</v>
      </c>
      <c r="M124" s="25">
        <f>ABS((D124*E124)-L124)</f>
        <v>294</v>
      </c>
      <c r="N124" s="26" t="str">
        <f>IF(COUNTIFS( $B$2:$B$657, B124, $C$2:$C$657, C124, $D$2:$D$657, D124, $E$2:$E$657, E124) &gt; 1, "Duplicate", "Unique")</f>
        <v>Duplicate</v>
      </c>
    </row>
    <row r="125" spans="1:16" s="27" customFormat="1" ht="27.65" customHeight="1" thickBot="1" x14ac:dyDescent="0.4">
      <c r="A125" s="28">
        <v>46266.375694444447</v>
      </c>
      <c r="B125" s="29" t="s">
        <v>52</v>
      </c>
      <c r="C125" s="29" t="s">
        <v>7</v>
      </c>
      <c r="D125" s="30">
        <v>3</v>
      </c>
      <c r="E125" s="30">
        <v>2624</v>
      </c>
      <c r="F125" s="4">
        <v>8.6542443060000007</v>
      </c>
      <c r="G125" s="2" t="s">
        <v>53</v>
      </c>
      <c r="H125" s="5">
        <v>2415</v>
      </c>
      <c r="I125" s="1" t="s">
        <v>8</v>
      </c>
      <c r="J125" s="25" t="s">
        <v>117</v>
      </c>
      <c r="K125" s="25" t="s">
        <v>209</v>
      </c>
      <c r="L125" s="25">
        <v>7578</v>
      </c>
      <c r="M125" s="25">
        <f>ABS((D125*E125)-L125)</f>
        <v>294</v>
      </c>
      <c r="N125" s="27" t="str">
        <f>IF(COUNTIFS( $B$2:$B$657, B125, $C$2:$C$657, C125, $D$2:$D$657, D125, $E$2:$E$657, E125) &gt; 1, "Duplicate", "Unique")</f>
        <v>Duplicate</v>
      </c>
      <c r="O125" s="10"/>
      <c r="P125" s="10"/>
    </row>
    <row r="126" spans="1:16" s="27" customFormat="1" ht="40.75" customHeight="1" thickBot="1" x14ac:dyDescent="0.4">
      <c r="A126" s="28">
        <v>46267.424305555556</v>
      </c>
      <c r="B126" s="29" t="s">
        <v>52</v>
      </c>
      <c r="C126" s="29" t="s">
        <v>7</v>
      </c>
      <c r="D126" s="30">
        <v>2</v>
      </c>
      <c r="E126" s="30">
        <v>2624</v>
      </c>
      <c r="F126" s="4">
        <v>8.6542443060000007</v>
      </c>
      <c r="G126" s="2" t="s">
        <v>53</v>
      </c>
      <c r="H126" s="5">
        <v>2415</v>
      </c>
      <c r="I126" s="1" t="s">
        <v>8</v>
      </c>
      <c r="J126" s="25" t="s">
        <v>117</v>
      </c>
      <c r="K126" s="25" t="s">
        <v>219</v>
      </c>
      <c r="L126" s="25">
        <v>4968</v>
      </c>
      <c r="M126" s="25">
        <f>ABS((D126*E126)-L126)</f>
        <v>280</v>
      </c>
      <c r="N126" s="27" t="str">
        <f>IF(COUNTIFS( $B$2:$B$657, B126, $C$2:$C$657, C126, $D$2:$D$657, D126, $E$2:$E$657, E126) &gt; 1, "Duplicate", "Unique")</f>
        <v>Unique</v>
      </c>
    </row>
    <row r="127" spans="1:16" ht="40.75" customHeight="1" thickBot="1" x14ac:dyDescent="0.4">
      <c r="A127" s="3">
        <v>46301.375</v>
      </c>
      <c r="B127" s="1" t="s">
        <v>32</v>
      </c>
      <c r="C127" s="1" t="s">
        <v>7</v>
      </c>
      <c r="D127" s="4">
        <v>3</v>
      </c>
      <c r="E127" s="4">
        <v>2448</v>
      </c>
      <c r="F127" s="4">
        <v>8.7758275940000008</v>
      </c>
      <c r="G127" s="2" t="s">
        <v>83</v>
      </c>
      <c r="H127" s="5">
        <v>2250.5</v>
      </c>
      <c r="I127" s="1" t="s">
        <v>8</v>
      </c>
      <c r="J127" s="17" t="s">
        <v>117</v>
      </c>
      <c r="K127" s="17" t="s">
        <v>302</v>
      </c>
      <c r="L127" s="17">
        <f>3*2300</f>
        <v>6900</v>
      </c>
      <c r="M127" s="17">
        <f>ABS((D127*E127)-L127)</f>
        <v>444</v>
      </c>
      <c r="N127" t="str">
        <f>IF(COUNTIFS( $B$2:$B$657, B127, $C$2:$C$657, C127, $D$2:$D$657, D127, $E$2:$E$657, E127) &gt; 1, "Duplicate", "Unique")</f>
        <v>Unique</v>
      </c>
    </row>
    <row r="128" spans="1:16" ht="27.65" customHeight="1" thickBot="1" x14ac:dyDescent="0.4">
      <c r="A128" s="3">
        <v>46261.375</v>
      </c>
      <c r="B128" s="1" t="s">
        <v>14</v>
      </c>
      <c r="C128" s="1" t="s">
        <v>7</v>
      </c>
      <c r="D128" s="4">
        <v>50</v>
      </c>
      <c r="E128" s="4">
        <v>349</v>
      </c>
      <c r="F128" s="4">
        <v>8.8753704570000007</v>
      </c>
      <c r="G128" s="2" t="s">
        <v>44</v>
      </c>
      <c r="H128" s="5">
        <v>320.55</v>
      </c>
      <c r="I128" s="1" t="s">
        <v>8</v>
      </c>
      <c r="J128" s="17" t="s">
        <v>116</v>
      </c>
      <c r="K128" s="17" t="s">
        <v>178</v>
      </c>
      <c r="L128" s="17">
        <v>17150</v>
      </c>
      <c r="M128" s="17">
        <f>ABS((D128*E128)-L128)</f>
        <v>300</v>
      </c>
      <c r="N128" s="10" t="str">
        <f>IF(COUNTIFS( $B$2:$B$657, B128, $C$2:$C$657, C128, $D$2:$D$657, D128, $E$2:$E$657, E128) &gt; 1, "Duplicate", "Unique")</f>
        <v>Unique</v>
      </c>
    </row>
    <row r="129" spans="1:16" ht="27.65" hidden="1" customHeight="1" thickBot="1" x14ac:dyDescent="0.4">
      <c r="A129" s="6" t="s">
        <v>61</v>
      </c>
      <c r="B129" s="1" t="s">
        <v>23</v>
      </c>
      <c r="C129" s="1" t="s">
        <v>10</v>
      </c>
      <c r="D129" s="4">
        <v>50</v>
      </c>
      <c r="E129" s="4">
        <v>201</v>
      </c>
      <c r="F129" s="4">
        <v>8.9135735569999994</v>
      </c>
      <c r="G129" s="2" t="s">
        <v>69</v>
      </c>
      <c r="H129" s="5">
        <v>184.55</v>
      </c>
      <c r="I129" s="1" t="s">
        <v>8</v>
      </c>
      <c r="J129" s="82" t="s">
        <v>40</v>
      </c>
      <c r="K129" s="16"/>
      <c r="L129" s="16"/>
      <c r="M129" s="16"/>
      <c r="N129" t="str">
        <f>IF(COUNTIFS( $B$2:$B$657, B129, $C$2:$C$657, C129, $D$2:$D$657, D129, $E$2:$E$657, E129) &gt; 1, "Duplicate", "Unique")</f>
        <v>Unique</v>
      </c>
      <c r="O129"/>
      <c r="P129"/>
    </row>
    <row r="130" spans="1:16" ht="27.65" customHeight="1" thickBot="1" x14ac:dyDescent="0.4">
      <c r="A130" s="46">
        <v>46304.375</v>
      </c>
      <c r="B130" s="2" t="s">
        <v>23</v>
      </c>
      <c r="C130" s="2" t="s">
        <v>7</v>
      </c>
      <c r="D130" s="5">
        <v>50</v>
      </c>
      <c r="E130" s="5">
        <v>201</v>
      </c>
      <c r="F130" s="4">
        <v>8.9135735569999994</v>
      </c>
      <c r="G130" s="2" t="s">
        <v>69</v>
      </c>
      <c r="H130" s="5">
        <v>184.55</v>
      </c>
      <c r="I130" s="1" t="s">
        <v>8</v>
      </c>
      <c r="J130" s="17" t="s">
        <v>117</v>
      </c>
      <c r="K130" s="17" t="s">
        <v>313</v>
      </c>
      <c r="L130" s="17">
        <v>9393.5</v>
      </c>
      <c r="M130" s="17">
        <f>ABS((D130*E130)-L130)</f>
        <v>656.5</v>
      </c>
      <c r="N130" t="str">
        <f>IF(COUNTIFS( $B$2:$B$657, B130, $C$2:$C$657, C130, $D$2:$D$657, D130, $E$2:$E$657, E130) &gt; 1, "Duplicate", "Unique")</f>
        <v>Unique</v>
      </c>
    </row>
    <row r="131" spans="1:16" ht="27.65" hidden="1" customHeight="1" thickBot="1" x14ac:dyDescent="0.4">
      <c r="A131" s="3">
        <v>46272.375694444447</v>
      </c>
      <c r="B131" s="1" t="s">
        <v>62</v>
      </c>
      <c r="C131" s="1" t="s">
        <v>7</v>
      </c>
      <c r="D131" s="4">
        <v>15</v>
      </c>
      <c r="E131" s="4">
        <v>1048</v>
      </c>
      <c r="F131" s="4">
        <v>9.1666666669999994</v>
      </c>
      <c r="G131" s="2" t="s">
        <v>63</v>
      </c>
      <c r="H131" s="5">
        <v>960</v>
      </c>
      <c r="I131" s="1" t="s">
        <v>8</v>
      </c>
      <c r="J131" s="17" t="s">
        <v>116</v>
      </c>
      <c r="K131" s="17" t="s">
        <v>241</v>
      </c>
      <c r="L131" s="17">
        <v>15075</v>
      </c>
      <c r="M131" s="17">
        <f>ABS((D131*E131)-L131)</f>
        <v>645</v>
      </c>
      <c r="N131" s="10" t="str">
        <f>IF(COUNTIFS( $B$2:$B$657, B131, $C$2:$C$657, C131, $D$2:$D$657, D131, $E$2:$E$657, E131) &gt; 1, "Duplicate", "Unique")</f>
        <v>Unique</v>
      </c>
      <c r="O131" s="36" t="s">
        <v>237</v>
      </c>
    </row>
    <row r="132" spans="1:16" ht="40.75" customHeight="1" thickBot="1" x14ac:dyDescent="0.4">
      <c r="A132" s="46">
        <v>46289.390277777777</v>
      </c>
      <c r="B132" s="2" t="s">
        <v>58</v>
      </c>
      <c r="C132" s="2" t="s">
        <v>7</v>
      </c>
      <c r="D132" s="5">
        <v>10</v>
      </c>
      <c r="E132" s="5">
        <v>1054</v>
      </c>
      <c r="F132" s="4">
        <v>9.1945091950000002</v>
      </c>
      <c r="G132" s="2" t="s">
        <v>59</v>
      </c>
      <c r="H132" s="5">
        <v>965.25</v>
      </c>
      <c r="I132" s="1" t="s">
        <v>8</v>
      </c>
      <c r="J132" s="17" t="s">
        <v>117</v>
      </c>
      <c r="K132" s="17" t="s">
        <v>284</v>
      </c>
      <c r="L132" s="17">
        <v>9886</v>
      </c>
      <c r="M132" s="17">
        <f>ABS((D132*E132)-L132)</f>
        <v>654</v>
      </c>
      <c r="N132" s="10" t="str">
        <f>IF(COUNTIFS( $B$2:$B$657, B132, $C$2:$C$657, C132, $D$2:$D$657, D132, $E$2:$E$657, E132) &gt; 1, "Duplicate", "Unique")</f>
        <v>Unique</v>
      </c>
    </row>
    <row r="133" spans="1:16" ht="27.65" customHeight="1" thickBot="1" x14ac:dyDescent="0.4">
      <c r="A133" s="3">
        <v>46261.375694444447</v>
      </c>
      <c r="B133" s="1" t="s">
        <v>50</v>
      </c>
      <c r="C133" s="1" t="s">
        <v>7</v>
      </c>
      <c r="D133" s="4">
        <v>10</v>
      </c>
      <c r="E133" s="4">
        <v>977</v>
      </c>
      <c r="F133" s="4">
        <v>9.2841163309999999</v>
      </c>
      <c r="G133" s="2" t="s">
        <v>51</v>
      </c>
      <c r="H133" s="5">
        <v>894</v>
      </c>
      <c r="I133" s="1" t="s">
        <v>8</v>
      </c>
      <c r="J133" s="17" t="s">
        <v>116</v>
      </c>
      <c r="K133" s="17" t="s">
        <v>172</v>
      </c>
      <c r="L133" s="17">
        <v>9470</v>
      </c>
      <c r="M133" s="17">
        <f>ABS((D133*E133)-L133)</f>
        <v>300</v>
      </c>
      <c r="N133" s="10" t="str">
        <f>IF(COUNTIFS( $B$2:$B$657, B133, $C$2:$C$657, C133, $D$2:$D$657, D133, $E$2:$E$657, E133) &gt; 1, "Duplicate", "Unique")</f>
        <v>Unique</v>
      </c>
    </row>
    <row r="134" spans="1:16" ht="27.65" customHeight="1" thickBot="1" x14ac:dyDescent="0.4">
      <c r="A134" s="3">
        <v>46294.375</v>
      </c>
      <c r="B134" s="2" t="s">
        <v>278</v>
      </c>
      <c r="C134" s="2" t="s">
        <v>7</v>
      </c>
      <c r="D134" s="5">
        <v>2</v>
      </c>
      <c r="E134" s="5">
        <v>1740</v>
      </c>
      <c r="F134" s="4">
        <v>9.3239507410000009</v>
      </c>
      <c r="G134" s="2" t="s">
        <v>280</v>
      </c>
      <c r="H134" s="5">
        <v>1591.6</v>
      </c>
      <c r="I134" s="1" t="s">
        <v>8</v>
      </c>
      <c r="J134" s="17" t="s">
        <v>117</v>
      </c>
      <c r="K134" s="17" t="s">
        <v>296</v>
      </c>
      <c r="L134" s="17">
        <v>3180</v>
      </c>
      <c r="M134" s="17">
        <f>ABS((D134*E134)-L134)</f>
        <v>300</v>
      </c>
      <c r="N134" s="10" t="str">
        <f>IF(COUNTIFS( $B$2:$B$657, B134, $C$2:$C$657, C134, $D$2:$D$657, D134, $E$2:$E$657, E134) &gt; 1, "Duplicate", "Unique")</f>
        <v>Unique</v>
      </c>
    </row>
    <row r="135" spans="1:16" ht="40.75" customHeight="1" thickBot="1" x14ac:dyDescent="0.4">
      <c r="A135" s="8" t="s">
        <v>61</v>
      </c>
      <c r="B135" s="8" t="s">
        <v>137</v>
      </c>
      <c r="C135" s="8" t="s">
        <v>7</v>
      </c>
      <c r="D135" s="8">
        <v>50</v>
      </c>
      <c r="E135" s="12">
        <v>470</v>
      </c>
      <c r="F135" s="4">
        <v>9.4933022709999992</v>
      </c>
      <c r="G135" s="2" t="s">
        <v>138</v>
      </c>
      <c r="H135" s="5">
        <v>429.25</v>
      </c>
      <c r="I135" s="1" t="s">
        <v>8</v>
      </c>
      <c r="J135" s="32" t="s">
        <v>116</v>
      </c>
      <c r="N135" s="10" t="str">
        <f>IF(COUNTIFS( $B$2:$B$657, B135, $C$2:$C$657, C135, $D$2:$D$657, D135, $E$2:$E$657, E135) &gt; 1, "Duplicate", "Unique")</f>
        <v>Unique</v>
      </c>
    </row>
    <row r="136" spans="1:16" ht="40.75" hidden="1" customHeight="1" thickBot="1" x14ac:dyDescent="0.4">
      <c r="A136" s="3">
        <v>46266.375694444447</v>
      </c>
      <c r="B136" s="1" t="s">
        <v>120</v>
      </c>
      <c r="C136" s="1" t="s">
        <v>7</v>
      </c>
      <c r="D136" s="4">
        <v>25</v>
      </c>
      <c r="E136" s="4">
        <v>772</v>
      </c>
      <c r="F136" s="4">
        <v>9.5268496840000001</v>
      </c>
      <c r="G136" s="2" t="s">
        <v>121</v>
      </c>
      <c r="H136" s="5">
        <v>704.85</v>
      </c>
      <c r="I136" s="1" t="s">
        <v>8</v>
      </c>
      <c r="J136" s="17" t="s">
        <v>116</v>
      </c>
      <c r="K136" s="17" t="s">
        <v>208</v>
      </c>
      <c r="L136" s="17">
        <v>18800</v>
      </c>
      <c r="M136" s="17">
        <f>ABS((D136*E136)-L136)</f>
        <v>500</v>
      </c>
      <c r="N136" s="10" t="str">
        <f>IF(COUNTIFS( $B$2:$B$657, B136, $C$2:$C$657, C136, $D$2:$D$657, D136, $E$2:$E$657, E136) &gt; 1, "Duplicate", "Unique")</f>
        <v>Unique</v>
      </c>
      <c r="O136" s="37" t="s">
        <v>237</v>
      </c>
    </row>
    <row r="137" spans="1:16" s="27" customFormat="1" ht="40.75" customHeight="1" thickBot="1" x14ac:dyDescent="0.4">
      <c r="A137" s="3">
        <v>46269.411111111112</v>
      </c>
      <c r="B137" s="1" t="s">
        <v>13</v>
      </c>
      <c r="C137" s="1" t="s">
        <v>7</v>
      </c>
      <c r="D137" s="4">
        <v>10</v>
      </c>
      <c r="E137" s="4">
        <v>1879</v>
      </c>
      <c r="F137" s="4">
        <v>9.5626822160000007</v>
      </c>
      <c r="G137" s="2" t="s">
        <v>90</v>
      </c>
      <c r="H137" s="5">
        <v>1715</v>
      </c>
      <c r="I137" s="1" t="s">
        <v>8</v>
      </c>
      <c r="J137" s="17" t="s">
        <v>117</v>
      </c>
      <c r="K137" s="17" t="s">
        <v>232</v>
      </c>
      <c r="L137" s="17">
        <v>18140</v>
      </c>
      <c r="M137" s="24">
        <f>ABS((D137*E137)-L137)</f>
        <v>650</v>
      </c>
      <c r="N137" t="str">
        <f>IF(COUNTIFS( $B$2:$B$657, B137, $C$2:$C$657, C137, $D$2:$D$657, D137, $E$2:$E$657, E137) &gt; 1, "Duplicate", "Unique")</f>
        <v>Unique</v>
      </c>
      <c r="O137" s="10"/>
      <c r="P137" s="10"/>
    </row>
    <row r="138" spans="1:16" ht="40.75" customHeight="1" thickBot="1" x14ac:dyDescent="0.4">
      <c r="A138" s="46">
        <v>46293.375</v>
      </c>
      <c r="B138" s="2" t="s">
        <v>65</v>
      </c>
      <c r="C138" s="2" t="s">
        <v>7</v>
      </c>
      <c r="D138" s="5">
        <v>10</v>
      </c>
      <c r="E138" s="5">
        <v>1166</v>
      </c>
      <c r="F138" s="4">
        <v>9.8135242040000001</v>
      </c>
      <c r="G138" s="2" t="s">
        <v>66</v>
      </c>
      <c r="H138" s="5">
        <v>1061.8</v>
      </c>
      <c r="I138" s="1" t="s">
        <v>8</v>
      </c>
      <c r="J138" s="17" t="s">
        <v>116</v>
      </c>
      <c r="K138" s="17" t="s">
        <v>291</v>
      </c>
      <c r="L138" s="17">
        <v>11360</v>
      </c>
      <c r="M138" s="17">
        <f>ABS((D138*E138)-L138)</f>
        <v>300</v>
      </c>
      <c r="N138" s="10" t="str">
        <f>IF(COUNTIFS( $B$2:$B$657, B138, $C$2:$C$657, C138, $D$2:$D$657, D138, $E$2:$E$657, E138) &gt; 1, "Duplicate", "Unique")</f>
        <v>Unique</v>
      </c>
    </row>
    <row r="139" spans="1:16" ht="40.75" hidden="1" customHeight="1" thickBot="1" x14ac:dyDescent="0.4">
      <c r="A139" s="28">
        <v>46281.443055555559</v>
      </c>
      <c r="B139" s="29" t="s">
        <v>35</v>
      </c>
      <c r="C139" s="29" t="s">
        <v>7</v>
      </c>
      <c r="D139" s="30">
        <v>5</v>
      </c>
      <c r="E139" s="30">
        <v>1196</v>
      </c>
      <c r="F139" s="4">
        <v>9.8457016900000003</v>
      </c>
      <c r="G139" s="2" t="s">
        <v>64</v>
      </c>
      <c r="H139" s="5">
        <v>1088.8</v>
      </c>
      <c r="I139" s="1" t="s">
        <v>8</v>
      </c>
      <c r="J139" s="25" t="s">
        <v>117</v>
      </c>
      <c r="K139" s="25" t="s">
        <v>273</v>
      </c>
      <c r="L139" s="25">
        <v>5585</v>
      </c>
      <c r="M139" s="25">
        <f>ABS((D139*E139)-L139)</f>
        <v>395</v>
      </c>
      <c r="N139" s="27" t="str">
        <f>IF(COUNTIFS( $B$2:$B$657, B139, $C$2:$C$657, C139, $D$2:$D$657, D139, $E$2:$E$657, E139) &gt; 1, "Duplicate", "Unique")</f>
        <v>Duplicate</v>
      </c>
      <c r="O139" s="36" t="s">
        <v>237</v>
      </c>
      <c r="P139" s="27"/>
    </row>
    <row r="140" spans="1:16" ht="27.65" hidden="1" customHeight="1" thickBot="1" x14ac:dyDescent="0.4">
      <c r="A140" s="28">
        <v>46281.388888888891</v>
      </c>
      <c r="B140" s="29" t="s">
        <v>35</v>
      </c>
      <c r="C140" s="29" t="s">
        <v>7</v>
      </c>
      <c r="D140" s="30">
        <v>5</v>
      </c>
      <c r="E140" s="30">
        <v>1196</v>
      </c>
      <c r="F140" s="4">
        <v>9.8457016900000003</v>
      </c>
      <c r="G140" s="2" t="s">
        <v>64</v>
      </c>
      <c r="H140" s="5">
        <v>1088.8</v>
      </c>
      <c r="I140" s="1" t="s">
        <v>8</v>
      </c>
      <c r="J140" s="25" t="s">
        <v>117</v>
      </c>
      <c r="K140" s="25" t="s">
        <v>275</v>
      </c>
      <c r="L140" s="25">
        <v>5730</v>
      </c>
      <c r="M140" s="25">
        <f>ABS((D140*E140)-L140)</f>
        <v>250</v>
      </c>
      <c r="N140" s="27" t="str">
        <f>IF(COUNTIFS( $B$2:$B$657, B140, $C$2:$C$657, C140, $D$2:$D$657, D140, $E$2:$E$657, E140) &gt; 1, "Duplicate", "Unique")</f>
        <v>Duplicate</v>
      </c>
      <c r="O140" s="36" t="s">
        <v>237</v>
      </c>
      <c r="P140" s="27"/>
    </row>
    <row r="141" spans="1:16" ht="40.75" customHeight="1" thickBot="1" x14ac:dyDescent="0.4">
      <c r="A141" s="8" t="s">
        <v>61</v>
      </c>
      <c r="B141" s="8" t="s">
        <v>21</v>
      </c>
      <c r="C141" s="8" t="s">
        <v>7</v>
      </c>
      <c r="D141" s="8">
        <v>11</v>
      </c>
      <c r="E141" s="12">
        <v>749</v>
      </c>
      <c r="F141" s="4">
        <v>9.9530240750000001</v>
      </c>
      <c r="G141" s="2" t="s">
        <v>75</v>
      </c>
      <c r="H141" s="5">
        <v>681.2</v>
      </c>
      <c r="I141" s="1" t="s">
        <v>8</v>
      </c>
      <c r="J141" s="32" t="s">
        <v>190</v>
      </c>
      <c r="N141" s="10" t="str">
        <f>IF(COUNTIFS( $B$2:$B$657, B141, $C$2:$C$657, C141, $D$2:$D$657, D141, $E$2:$E$657, E141) &gt; 1, "Duplicate", "Unique")</f>
        <v>Unique</v>
      </c>
    </row>
    <row r="142" spans="1:16" s="27" customFormat="1" ht="40.75" customHeight="1" thickBot="1" x14ac:dyDescent="0.4">
      <c r="A142" s="11">
        <v>46253.375</v>
      </c>
      <c r="B142" s="8" t="s">
        <v>14</v>
      </c>
      <c r="C142" s="8" t="s">
        <v>7</v>
      </c>
      <c r="D142" s="8">
        <v>50</v>
      </c>
      <c r="E142" s="8">
        <v>353</v>
      </c>
      <c r="F142" s="4">
        <v>10.12322571</v>
      </c>
      <c r="G142" s="2" t="s">
        <v>44</v>
      </c>
      <c r="H142" s="5">
        <v>320.55</v>
      </c>
      <c r="I142" s="1" t="s">
        <v>8</v>
      </c>
      <c r="J142" s="32" t="s">
        <v>117</v>
      </c>
      <c r="K142" s="17" t="s">
        <v>143</v>
      </c>
      <c r="L142" s="17"/>
      <c r="M142" s="17"/>
      <c r="N142" s="10" t="str">
        <f>IF(COUNTIFS( $B$2:$B$657, B142, $C$2:$C$657, C142, $D$2:$D$657, D142, $E$2:$E$657, E142) &gt; 1, "Duplicate", "Unique")</f>
        <v>Unique</v>
      </c>
      <c r="O142" s="10"/>
      <c r="P142" s="10"/>
    </row>
    <row r="143" spans="1:16" ht="40.75" customHeight="1" thickBot="1" x14ac:dyDescent="0.4">
      <c r="A143" s="3">
        <v>46280.435416666667</v>
      </c>
      <c r="B143" s="1" t="s">
        <v>67</v>
      </c>
      <c r="C143" s="1" t="s">
        <v>7</v>
      </c>
      <c r="D143" s="4">
        <v>50</v>
      </c>
      <c r="E143" s="4">
        <v>419</v>
      </c>
      <c r="F143" s="4">
        <v>10.14721346</v>
      </c>
      <c r="G143" s="2" t="s">
        <v>68</v>
      </c>
      <c r="H143" s="5">
        <v>380.4</v>
      </c>
      <c r="I143" s="1" t="s">
        <v>8</v>
      </c>
      <c r="J143" s="17" t="s">
        <v>116</v>
      </c>
      <c r="K143" s="17" t="s">
        <v>270</v>
      </c>
      <c r="L143" s="17">
        <v>39300</v>
      </c>
      <c r="M143" s="17">
        <f>ABS((D143*E143)-L143)</f>
        <v>18350</v>
      </c>
      <c r="N143" s="10" t="str">
        <f>IF(COUNTIFS( $B$2:$B$657, B143, $C$2:$C$657, C143, $D$2:$D$657, D143, $E$2:$E$657, E143) &gt; 1, "Duplicate", "Unique")</f>
        <v>Unique</v>
      </c>
    </row>
    <row r="144" spans="1:16" ht="40.75" customHeight="1" thickBot="1" x14ac:dyDescent="0.4">
      <c r="A144" s="3">
        <v>46266.375</v>
      </c>
      <c r="B144" s="1" t="s">
        <v>62</v>
      </c>
      <c r="C144" s="1" t="s">
        <v>7</v>
      </c>
      <c r="D144" s="4">
        <v>10</v>
      </c>
      <c r="E144" s="4">
        <v>1060</v>
      </c>
      <c r="F144" s="4">
        <v>10.41666667</v>
      </c>
      <c r="G144" s="2" t="s">
        <v>63</v>
      </c>
      <c r="H144" s="5">
        <v>960</v>
      </c>
      <c r="I144" s="1" t="s">
        <v>8</v>
      </c>
      <c r="J144" s="17" t="s">
        <v>116</v>
      </c>
      <c r="K144" s="17" t="s">
        <v>211</v>
      </c>
      <c r="L144" s="17">
        <v>10300</v>
      </c>
      <c r="M144" s="17">
        <f>ABS((D144*E144)-L144)</f>
        <v>300</v>
      </c>
      <c r="N144" s="10" t="str">
        <f>IF(COUNTIFS( $B$2:$B$657, B144, $C$2:$C$657, C144, $D$2:$D$657, D144, $E$2:$E$657, E144) &gt; 1, "Duplicate", "Unique")</f>
        <v>Unique</v>
      </c>
      <c r="P144" s="27"/>
    </row>
    <row r="145" spans="1:16" ht="40.75" customHeight="1" thickBot="1" x14ac:dyDescent="0.4">
      <c r="A145" s="28">
        <v>46272.451388888891</v>
      </c>
      <c r="B145" s="29" t="s">
        <v>13</v>
      </c>
      <c r="C145" s="29" t="s">
        <v>7</v>
      </c>
      <c r="D145" s="30">
        <v>5</v>
      </c>
      <c r="E145" s="30">
        <v>1894</v>
      </c>
      <c r="F145" s="4">
        <v>10.437317780000001</v>
      </c>
      <c r="G145" s="2" t="s">
        <v>90</v>
      </c>
      <c r="H145" s="5">
        <v>1715</v>
      </c>
      <c r="I145" s="1" t="s">
        <v>8</v>
      </c>
      <c r="J145" s="27" t="s">
        <v>117</v>
      </c>
      <c r="K145" s="25" t="s">
        <v>238</v>
      </c>
      <c r="L145" s="25">
        <v>8820</v>
      </c>
      <c r="M145" s="25">
        <f>ABS((D145*E145)-L145)</f>
        <v>650</v>
      </c>
      <c r="N145" s="27" t="str">
        <f>IF(COUNTIFS( $B$2:$B$657, B145, $C$2:$C$657, C145, $D$2:$D$657, D145, $E$2:$E$657, E145) &gt; 1, "Duplicate", "Unique")</f>
        <v>Unique</v>
      </c>
      <c r="O145" s="27"/>
      <c r="P145" s="27"/>
    </row>
    <row r="146" spans="1:16" ht="40.75" customHeight="1" thickBot="1" x14ac:dyDescent="0.4">
      <c r="A146" s="28">
        <v>46272.390972222223</v>
      </c>
      <c r="B146" s="29" t="s">
        <v>13</v>
      </c>
      <c r="C146" s="29" t="s">
        <v>7</v>
      </c>
      <c r="D146" s="30">
        <v>20</v>
      </c>
      <c r="E146" s="30">
        <v>1894</v>
      </c>
      <c r="F146" s="4">
        <v>10.437317780000001</v>
      </c>
      <c r="G146" s="2" t="s">
        <v>90</v>
      </c>
      <c r="H146" s="5">
        <v>1715</v>
      </c>
      <c r="I146" s="1" t="s">
        <v>8</v>
      </c>
      <c r="J146" s="27" t="s">
        <v>117</v>
      </c>
      <c r="K146" s="25" t="s">
        <v>239</v>
      </c>
      <c r="L146" s="25">
        <v>36946</v>
      </c>
      <c r="M146" s="25">
        <f>ABS((D146*E146)-L146)</f>
        <v>934</v>
      </c>
      <c r="N146" s="27" t="str">
        <f>IF(COUNTIFS( $B$2:$B$657, B146, $C$2:$C$657, C146, $D$2:$D$657, D146, $E$2:$E$657, E146) &gt; 1, "Duplicate", "Unique")</f>
        <v>Unique</v>
      </c>
      <c r="O146" s="27"/>
      <c r="P146" s="27"/>
    </row>
    <row r="147" spans="1:16" ht="40.75" hidden="1" customHeight="1" thickBot="1" x14ac:dyDescent="0.4">
      <c r="A147" s="3">
        <v>46261.375</v>
      </c>
      <c r="B147" s="1" t="s">
        <v>23</v>
      </c>
      <c r="C147" s="1" t="s">
        <v>10</v>
      </c>
      <c r="D147" s="4">
        <v>50</v>
      </c>
      <c r="E147" s="4">
        <v>204</v>
      </c>
      <c r="F147" s="4">
        <v>10.53914928</v>
      </c>
      <c r="G147" s="2" t="s">
        <v>69</v>
      </c>
      <c r="H147" s="5">
        <v>184.55</v>
      </c>
      <c r="I147" s="1" t="s">
        <v>8</v>
      </c>
      <c r="J147" s="81" t="s">
        <v>40</v>
      </c>
      <c r="K147" s="17" t="s">
        <v>180</v>
      </c>
      <c r="L147" s="17">
        <v>10550</v>
      </c>
      <c r="M147" s="17">
        <f>ABS((D147*E147)-L147)</f>
        <v>350</v>
      </c>
      <c r="N147" s="10" t="str">
        <f>IF(COUNTIFS( $B$2:$B$657, B147, $C$2:$C$657, C147, $D$2:$D$657, D147, $E$2:$E$657, E147) &gt; 1, "Duplicate", "Unique")</f>
        <v>Unique</v>
      </c>
    </row>
    <row r="148" spans="1:16" ht="40.75" customHeight="1" thickBot="1" x14ac:dyDescent="0.4">
      <c r="A148" s="3">
        <v>46266.509722222225</v>
      </c>
      <c r="B148" s="1" t="s">
        <v>11</v>
      </c>
      <c r="C148" s="1" t="s">
        <v>7</v>
      </c>
      <c r="D148" s="4">
        <v>20</v>
      </c>
      <c r="E148" s="4">
        <v>306</v>
      </c>
      <c r="F148" s="4">
        <v>10.62906725</v>
      </c>
      <c r="G148" s="2" t="s">
        <v>98</v>
      </c>
      <c r="H148" s="5">
        <v>276.60000000000002</v>
      </c>
      <c r="I148" s="1" t="s">
        <v>8</v>
      </c>
      <c r="J148" s="17" t="s">
        <v>117</v>
      </c>
      <c r="K148" s="17" t="s">
        <v>206</v>
      </c>
      <c r="L148" s="17">
        <v>5820</v>
      </c>
      <c r="M148" s="17">
        <f>ABS((D148*E148)-L148)</f>
        <v>300</v>
      </c>
      <c r="N148" s="10" t="str">
        <f>IF(COUNTIFS( $B$2:$B$657, B148, $C$2:$C$657, C148, $D$2:$D$657, D148, $E$2:$E$657, E148) &gt; 1, "Duplicate", "Unique")</f>
        <v>Unique</v>
      </c>
    </row>
    <row r="149" spans="1:16" ht="27.65" customHeight="1" thickBot="1" x14ac:dyDescent="0.4">
      <c r="A149" s="11">
        <v>46252.6875</v>
      </c>
      <c r="B149" s="8" t="s">
        <v>24</v>
      </c>
      <c r="C149" s="8" t="s">
        <v>7</v>
      </c>
      <c r="D149" s="8">
        <v>40</v>
      </c>
      <c r="E149" s="8">
        <v>458</v>
      </c>
      <c r="F149" s="4">
        <v>10.68148864</v>
      </c>
      <c r="G149" s="2" t="s">
        <v>55</v>
      </c>
      <c r="H149" s="5">
        <v>413.8</v>
      </c>
      <c r="I149" s="1" t="s">
        <v>8</v>
      </c>
      <c r="J149" s="32" t="s">
        <v>116</v>
      </c>
      <c r="N149" s="10" t="str">
        <f>IF(COUNTIFS( $B$2:$B$657, B149, $C$2:$C$657, C149, $D$2:$D$657, D149, $E$2:$E$657, E149) &gt; 1, "Duplicate", "Unique")</f>
        <v>Unique</v>
      </c>
    </row>
    <row r="150" spans="1:16" ht="27.65" customHeight="1" thickBot="1" x14ac:dyDescent="0.4">
      <c r="A150" s="28">
        <v>46267.375</v>
      </c>
      <c r="B150" s="29" t="s">
        <v>35</v>
      </c>
      <c r="C150" s="29" t="s">
        <v>7</v>
      </c>
      <c r="D150" s="30">
        <v>5</v>
      </c>
      <c r="E150" s="30">
        <v>1206</v>
      </c>
      <c r="F150" s="4">
        <v>10.764144010000001</v>
      </c>
      <c r="G150" s="2" t="s">
        <v>64</v>
      </c>
      <c r="H150" s="5">
        <v>1088.8</v>
      </c>
      <c r="I150" s="1" t="s">
        <v>8</v>
      </c>
      <c r="J150" s="25" t="s">
        <v>117</v>
      </c>
      <c r="K150" s="25" t="s">
        <v>223</v>
      </c>
      <c r="L150" s="25">
        <v>5755</v>
      </c>
      <c r="M150" s="25">
        <f>ABS((D150*E150)-L150)</f>
        <v>275</v>
      </c>
      <c r="N150" s="27" t="str">
        <f>IF(COUNTIFS( $B$2:$B$657, B150, $C$2:$C$657, C150, $D$2:$D$657, D150, $E$2:$E$657, E150) &gt; 1, "Duplicate", "Unique")</f>
        <v>Duplicate</v>
      </c>
    </row>
    <row r="151" spans="1:16" ht="40.75" customHeight="1" thickBot="1" x14ac:dyDescent="0.4">
      <c r="A151" s="28">
        <v>46267.375</v>
      </c>
      <c r="B151" s="29" t="s">
        <v>35</v>
      </c>
      <c r="C151" s="29" t="s">
        <v>7</v>
      </c>
      <c r="D151" s="30">
        <v>5</v>
      </c>
      <c r="E151" s="30">
        <v>1206</v>
      </c>
      <c r="F151" s="4">
        <v>10.764144010000001</v>
      </c>
      <c r="G151" s="2" t="s">
        <v>64</v>
      </c>
      <c r="H151" s="5">
        <v>1088.8</v>
      </c>
      <c r="I151" s="1" t="s">
        <v>8</v>
      </c>
      <c r="J151" s="25" t="s">
        <v>117</v>
      </c>
      <c r="K151" s="25" t="s">
        <v>227</v>
      </c>
      <c r="L151" s="25">
        <v>5805</v>
      </c>
      <c r="M151" s="25">
        <f>ABS((D151*E151)-L151)</f>
        <v>225</v>
      </c>
      <c r="N151" s="27" t="str">
        <f>IF(COUNTIFS( $B$2:$B$657, B151, $C$2:$C$657, C151, $D$2:$D$657, D151, $E$2:$E$657, E151) &gt; 1, "Duplicate", "Unique")</f>
        <v>Duplicate</v>
      </c>
    </row>
    <row r="152" spans="1:16" ht="40.75" customHeight="1" thickBot="1" x14ac:dyDescent="0.4">
      <c r="A152" s="8" t="s">
        <v>61</v>
      </c>
      <c r="B152" s="8" t="s">
        <v>73</v>
      </c>
      <c r="C152" s="8" t="s">
        <v>7</v>
      </c>
      <c r="D152" s="8">
        <v>1</v>
      </c>
      <c r="E152" s="12">
        <v>3810</v>
      </c>
      <c r="F152" s="4">
        <v>11.14352392</v>
      </c>
      <c r="G152" s="2" t="s">
        <v>74</v>
      </c>
      <c r="H152" s="5">
        <v>3428</v>
      </c>
      <c r="I152" s="1" t="s">
        <v>8</v>
      </c>
      <c r="J152" s="32" t="s">
        <v>117</v>
      </c>
      <c r="N152" s="10" t="str">
        <f>IF(COUNTIFS( $B$2:$B$657, B152, $C$2:$C$657, C152, $D$2:$D$657, D152, $E$2:$E$657, E152) &gt; 1, "Duplicate", "Unique")</f>
        <v>Unique</v>
      </c>
    </row>
    <row r="153" spans="1:16" ht="40.75" customHeight="1" thickBot="1" x14ac:dyDescent="0.4">
      <c r="A153" s="3">
        <v>46265.460416666669</v>
      </c>
      <c r="B153" s="1" t="s">
        <v>18</v>
      </c>
      <c r="C153" s="1" t="s">
        <v>7</v>
      </c>
      <c r="D153" s="4">
        <v>5</v>
      </c>
      <c r="E153" s="4">
        <v>1892</v>
      </c>
      <c r="F153" s="4">
        <v>11.22868901</v>
      </c>
      <c r="G153" s="2" t="s">
        <v>101</v>
      </c>
      <c r="H153" s="5">
        <v>1701</v>
      </c>
      <c r="I153" s="1" t="s">
        <v>8</v>
      </c>
      <c r="J153" s="17" t="s">
        <v>117</v>
      </c>
      <c r="K153" s="17" t="s">
        <v>192</v>
      </c>
      <c r="L153" s="17">
        <v>8810</v>
      </c>
      <c r="M153" s="17">
        <f>ABS((D153*E153)-L153)</f>
        <v>650</v>
      </c>
      <c r="N153" t="str">
        <f>IF(COUNTIFS( $B$2:$B$657, B153, $C$2:$C$657, C153, $D$2:$D$657, D153, $E$2:$E$657, E153) &gt; 1, "Duplicate", "Unique")</f>
        <v>Unique</v>
      </c>
      <c r="P153" s="27"/>
    </row>
    <row r="154" spans="1:16" ht="27.65" customHeight="1" thickBot="1" x14ac:dyDescent="0.4">
      <c r="A154" s="11">
        <v>46252.688194444447</v>
      </c>
      <c r="B154" s="8" t="s">
        <v>14</v>
      </c>
      <c r="C154" s="8" t="s">
        <v>7</v>
      </c>
      <c r="D154" s="8">
        <v>50</v>
      </c>
      <c r="E154" s="8">
        <v>357</v>
      </c>
      <c r="F154" s="4">
        <v>11.37108095</v>
      </c>
      <c r="G154" s="2" t="s">
        <v>44</v>
      </c>
      <c r="H154" s="5">
        <v>320.55</v>
      </c>
      <c r="I154" s="1" t="s">
        <v>8</v>
      </c>
      <c r="J154" s="32"/>
      <c r="N154" s="10" t="str">
        <f>IF(COUNTIFS( $B$2:$B$657, B154, $C$2:$C$657, C154, $D$2:$D$657, D154, $E$2:$E$657, E154) &gt; 1, "Duplicate", "Unique")</f>
        <v>Unique</v>
      </c>
      <c r="O154" s="27"/>
    </row>
    <row r="155" spans="1:16" ht="27.65" customHeight="1" thickBot="1" x14ac:dyDescent="0.4">
      <c r="A155" s="3">
        <v>46261.375694444447</v>
      </c>
      <c r="B155" s="1" t="s">
        <v>52</v>
      </c>
      <c r="C155" s="1" t="s">
        <v>7</v>
      </c>
      <c r="D155" s="4">
        <v>2</v>
      </c>
      <c r="E155" s="4">
        <v>2690</v>
      </c>
      <c r="F155" s="4">
        <v>11.387163559999999</v>
      </c>
      <c r="G155" s="2" t="s">
        <v>53</v>
      </c>
      <c r="H155" s="5">
        <v>2415</v>
      </c>
      <c r="I155" s="1" t="s">
        <v>8</v>
      </c>
      <c r="J155" s="17" t="s">
        <v>117</v>
      </c>
      <c r="K155" s="17" t="s">
        <v>173</v>
      </c>
      <c r="L155" s="17">
        <v>5120</v>
      </c>
      <c r="M155" s="17">
        <f>ABS((D155*E155)-L155)</f>
        <v>260</v>
      </c>
      <c r="N155" s="10" t="str">
        <f>IF(COUNTIFS( $B$2:$B$657, B155, $C$2:$C$657, C155, $D$2:$D$657, D155, $E$2:$E$657, E155) &gt; 1, "Duplicate", "Unique")</f>
        <v>Unique</v>
      </c>
    </row>
    <row r="156" spans="1:16" ht="27.65" customHeight="1" thickBot="1" x14ac:dyDescent="0.4">
      <c r="A156" s="3">
        <v>46276.375</v>
      </c>
      <c r="B156" s="1" t="s">
        <v>17</v>
      </c>
      <c r="C156" s="1" t="s">
        <v>7</v>
      </c>
      <c r="D156" s="4">
        <v>25</v>
      </c>
      <c r="E156" s="4">
        <v>358</v>
      </c>
      <c r="F156" s="4">
        <v>11.387678899999999</v>
      </c>
      <c r="G156" s="2" t="s">
        <v>76</v>
      </c>
      <c r="H156" s="5">
        <v>321.39999999999998</v>
      </c>
      <c r="I156" s="1" t="s">
        <v>8</v>
      </c>
      <c r="J156" s="17" t="s">
        <v>116</v>
      </c>
      <c r="K156" s="17" t="s">
        <v>266</v>
      </c>
      <c r="L156" s="17">
        <v>8700</v>
      </c>
      <c r="M156" s="17">
        <f>ABS((D156*E156)-L156)</f>
        <v>250</v>
      </c>
      <c r="N156" s="10" t="str">
        <f>IF(COUNTIFS( $B$2:$B$657, B156, $C$2:$C$657, C156, $D$2:$D$657, D156, $E$2:$E$657, E156) &gt; 1, "Duplicate", "Unique")</f>
        <v>Unique</v>
      </c>
    </row>
    <row r="157" spans="1:16" ht="40.75" hidden="1" customHeight="1" thickBot="1" x14ac:dyDescent="0.4">
      <c r="A157" s="38">
        <v>46273.375</v>
      </c>
      <c r="B157" s="39" t="s">
        <v>48</v>
      </c>
      <c r="C157" s="39" t="s">
        <v>7</v>
      </c>
      <c r="D157" s="39">
        <v>5</v>
      </c>
      <c r="E157" s="39">
        <v>4047</v>
      </c>
      <c r="F157" s="4">
        <v>11.42621145</v>
      </c>
      <c r="G157" s="2" t="s">
        <v>49</v>
      </c>
      <c r="H157" s="5">
        <v>3632</v>
      </c>
      <c r="I157" s="1" t="s">
        <v>8</v>
      </c>
      <c r="J157" s="25" t="s">
        <v>116</v>
      </c>
      <c r="K157" s="25" t="s">
        <v>248</v>
      </c>
      <c r="L157" s="25">
        <v>19730.5</v>
      </c>
      <c r="M157" s="25">
        <f>ABS((D157*E157)-L157)</f>
        <v>504.5</v>
      </c>
      <c r="N157" s="27" t="str">
        <f>IF(COUNTIFS( $B$2:$B$657, B157, $C$2:$C$657, C157, $D$2:$D$657, D157, $E$2:$E$657, E157) &gt; 1, "Duplicate", "Unique")</f>
        <v>Duplicate</v>
      </c>
      <c r="O157" s="36" t="s">
        <v>237</v>
      </c>
      <c r="P157" s="27"/>
    </row>
    <row r="158" spans="1:16" ht="40.75" hidden="1" customHeight="1" thickBot="1" x14ac:dyDescent="0.4">
      <c r="A158" s="28">
        <v>46274.375</v>
      </c>
      <c r="B158" s="29" t="s">
        <v>48</v>
      </c>
      <c r="C158" s="29" t="s">
        <v>7</v>
      </c>
      <c r="D158" s="30">
        <v>5</v>
      </c>
      <c r="E158" s="30">
        <v>4047</v>
      </c>
      <c r="F158" s="4">
        <v>11.42621145</v>
      </c>
      <c r="G158" s="2" t="s">
        <v>49</v>
      </c>
      <c r="H158" s="5">
        <v>3632</v>
      </c>
      <c r="I158" s="1" t="s">
        <v>8</v>
      </c>
      <c r="J158" s="25" t="s">
        <v>116</v>
      </c>
      <c r="K158" s="25" t="s">
        <v>253</v>
      </c>
      <c r="L158" s="25">
        <v>19690</v>
      </c>
      <c r="M158" s="25">
        <f>ABS((D158*E158)-L158)</f>
        <v>545</v>
      </c>
      <c r="N158" s="27" t="str">
        <f>IF(COUNTIFS( $B$2:$B$657, B158, $C$2:$C$657, C158, $D$2:$D$657, D158, $E$2:$E$657, E158) &gt; 1, "Duplicate", "Unique")</f>
        <v>Duplicate</v>
      </c>
      <c r="O158" s="36" t="s">
        <v>237</v>
      </c>
      <c r="P158" s="27"/>
    </row>
    <row r="159" spans="1:16" ht="27.65" hidden="1" customHeight="1" thickBot="1" x14ac:dyDescent="0.4">
      <c r="A159" s="11">
        <v>46252.645138888889</v>
      </c>
      <c r="B159" s="8" t="s">
        <v>67</v>
      </c>
      <c r="C159" s="8" t="s">
        <v>7</v>
      </c>
      <c r="D159" s="8">
        <v>20</v>
      </c>
      <c r="E159" s="8">
        <v>424</v>
      </c>
      <c r="F159" s="4">
        <v>11.461619349999999</v>
      </c>
      <c r="G159" s="2" t="s">
        <v>68</v>
      </c>
      <c r="H159" s="5">
        <v>380.4</v>
      </c>
      <c r="I159" s="1" t="s">
        <v>8</v>
      </c>
      <c r="J159" s="32"/>
      <c r="N159" s="10" t="str">
        <f>IF(COUNTIFS( $B$2:$B$657, B159, $C$2:$C$657, C159, $D$2:$D$657, D159, $E$2:$E$657, E159) &gt; 1, "Duplicate", "Unique")</f>
        <v>Unique</v>
      </c>
      <c r="O159" s="36" t="s">
        <v>237</v>
      </c>
      <c r="P159"/>
    </row>
    <row r="160" spans="1:16" ht="40.75" customHeight="1" thickBot="1" x14ac:dyDescent="0.4">
      <c r="A160" s="11">
        <v>46252.635416666664</v>
      </c>
      <c r="B160" s="8" t="s">
        <v>50</v>
      </c>
      <c r="C160" s="8" t="s">
        <v>7</v>
      </c>
      <c r="D160" s="8">
        <v>10</v>
      </c>
      <c r="E160" s="8">
        <v>997</v>
      </c>
      <c r="F160" s="4">
        <v>11.521252799999999</v>
      </c>
      <c r="G160" s="2" t="s">
        <v>51</v>
      </c>
      <c r="H160" s="5">
        <v>894</v>
      </c>
      <c r="I160" s="1" t="s">
        <v>8</v>
      </c>
      <c r="J160" s="32" t="s">
        <v>116</v>
      </c>
      <c r="N160" s="10" t="str">
        <f>IF(COUNTIFS( $B$2:$B$657, B160, $C$2:$C$657, C160, $D$2:$D$657, D160, $E$2:$E$657, E160) &gt; 1, "Duplicate", "Unique")</f>
        <v>Unique</v>
      </c>
    </row>
    <row r="161" spans="1:16" s="27" customFormat="1" ht="40.75" customHeight="1" thickBot="1" x14ac:dyDescent="0.4">
      <c r="A161" s="3">
        <v>46262.375</v>
      </c>
      <c r="B161" s="1" t="s">
        <v>62</v>
      </c>
      <c r="C161" s="1" t="s">
        <v>7</v>
      </c>
      <c r="D161" s="4">
        <v>10</v>
      </c>
      <c r="E161" s="4">
        <v>1071</v>
      </c>
      <c r="F161" s="4">
        <v>11.5625</v>
      </c>
      <c r="G161" s="2" t="s">
        <v>63</v>
      </c>
      <c r="H161" s="5">
        <v>960</v>
      </c>
      <c r="I161" s="1" t="s">
        <v>8</v>
      </c>
      <c r="J161" s="17" t="s">
        <v>117</v>
      </c>
      <c r="K161" s="17" t="s">
        <v>189</v>
      </c>
      <c r="L161" s="17">
        <v>10410</v>
      </c>
      <c r="M161" s="17">
        <f>ABS((D161*E161)-L161)</f>
        <v>300</v>
      </c>
      <c r="N161" s="10" t="str">
        <f>IF(COUNTIFS( $B$2:$B$657, B161, $C$2:$C$657, C161, $D$2:$D$657, D161, $E$2:$E$657, E161) &gt; 1, "Duplicate", "Unique")</f>
        <v>Unique</v>
      </c>
      <c r="P161" s="10"/>
    </row>
    <row r="162" spans="1:16" ht="40.75" hidden="1" customHeight="1" thickBot="1" x14ac:dyDescent="0.4">
      <c r="A162" s="28">
        <v>46267.425694444442</v>
      </c>
      <c r="B162" s="29" t="s">
        <v>34</v>
      </c>
      <c r="C162" s="29" t="s">
        <v>7</v>
      </c>
      <c r="D162" s="30">
        <v>20</v>
      </c>
      <c r="E162" s="30">
        <v>219.5</v>
      </c>
      <c r="F162" s="4">
        <v>11.56856765</v>
      </c>
      <c r="G162" s="2" t="s">
        <v>41</v>
      </c>
      <c r="H162" s="5">
        <v>196.74</v>
      </c>
      <c r="I162" s="1" t="s">
        <v>8</v>
      </c>
      <c r="J162" s="25" t="s">
        <v>117</v>
      </c>
      <c r="K162" s="25" t="s">
        <v>217</v>
      </c>
      <c r="L162" s="25">
        <v>4120</v>
      </c>
      <c r="M162" s="25">
        <f>ABS((D162*E162)-L162)</f>
        <v>270</v>
      </c>
      <c r="N162" s="27" t="str">
        <f>IF(COUNTIFS( $B$2:$B$657, B162, $C$2:$C$657, C162, $D$2:$D$657, D162, $E$2:$E$657, E162) &gt; 1, "Duplicate", "Unique")</f>
        <v>Unique</v>
      </c>
      <c r="O162" s="37" t="s">
        <v>237</v>
      </c>
      <c r="P162" s="27"/>
    </row>
    <row r="163" spans="1:16" ht="40.75" hidden="1" customHeight="1" thickBot="1" x14ac:dyDescent="0.4">
      <c r="A163" s="28">
        <v>46280.593055555553</v>
      </c>
      <c r="B163" s="29" t="s">
        <v>34</v>
      </c>
      <c r="C163" s="29" t="s">
        <v>7</v>
      </c>
      <c r="D163" s="30">
        <v>10</v>
      </c>
      <c r="E163" s="30">
        <v>219.5</v>
      </c>
      <c r="F163" s="4">
        <v>11.56856765</v>
      </c>
      <c r="G163" s="2" t="s">
        <v>41</v>
      </c>
      <c r="H163" s="5">
        <v>196.74</v>
      </c>
      <c r="I163" s="1" t="s">
        <v>8</v>
      </c>
      <c r="J163" s="25" t="s">
        <v>117</v>
      </c>
      <c r="K163" s="25" t="s">
        <v>268</v>
      </c>
      <c r="L163" s="25">
        <v>2006.3999999999999</v>
      </c>
      <c r="M163" s="25">
        <f>ABS((D163*E163)-L163)</f>
        <v>188.60000000000014</v>
      </c>
      <c r="N163" s="27" t="str">
        <f>IF(COUNTIFS( $B$2:$B$657, B163, $C$2:$C$657, C163, $D$2:$D$657, D163, $E$2:$E$657, E163) &gt; 1, "Duplicate", "Unique")</f>
        <v>Unique</v>
      </c>
      <c r="O163" s="37" t="s">
        <v>237</v>
      </c>
      <c r="P163" s="27"/>
    </row>
    <row r="164" spans="1:16" ht="40.75" customHeight="1" thickBot="1" x14ac:dyDescent="0.4">
      <c r="A164" s="3">
        <v>46261.375</v>
      </c>
      <c r="B164" s="1" t="s">
        <v>14</v>
      </c>
      <c r="C164" s="1" t="s">
        <v>7</v>
      </c>
      <c r="D164" s="4">
        <v>100</v>
      </c>
      <c r="E164" s="4">
        <v>358</v>
      </c>
      <c r="F164" s="4">
        <v>11.68304477</v>
      </c>
      <c r="G164" s="2" t="s">
        <v>44</v>
      </c>
      <c r="H164" s="5">
        <v>320.55</v>
      </c>
      <c r="I164" s="1" t="s">
        <v>8</v>
      </c>
      <c r="J164" s="17" t="s">
        <v>116</v>
      </c>
      <c r="K164" s="17" t="s">
        <v>176</v>
      </c>
      <c r="L164" s="17">
        <v>34100</v>
      </c>
      <c r="M164" s="17">
        <f>ABS((D164*E164)-L164)</f>
        <v>1700</v>
      </c>
      <c r="N164" s="10" t="str">
        <f>IF(COUNTIFS( $B$2:$B$657, B164, $C$2:$C$657, C164, $D$2:$D$657, D164, $E$2:$E$657, E164) &gt; 1, "Duplicate", "Unique")</f>
        <v>Unique</v>
      </c>
      <c r="O164" s="27"/>
    </row>
    <row r="165" spans="1:16" ht="40.75" customHeight="1" thickBot="1" x14ac:dyDescent="0.4">
      <c r="A165" s="3">
        <v>46260.425694444442</v>
      </c>
      <c r="B165" s="1" t="s">
        <v>13</v>
      </c>
      <c r="C165" s="1" t="s">
        <v>7</v>
      </c>
      <c r="D165" s="4">
        <v>20</v>
      </c>
      <c r="E165" s="4">
        <v>1924</v>
      </c>
      <c r="F165" s="4">
        <v>12.18658892</v>
      </c>
      <c r="G165" s="2" t="s">
        <v>90</v>
      </c>
      <c r="H165" s="5">
        <v>1715</v>
      </c>
      <c r="I165" s="1" t="s">
        <v>8</v>
      </c>
      <c r="J165" s="17" t="s">
        <v>117</v>
      </c>
      <c r="K165" s="17" t="s">
        <v>166</v>
      </c>
      <c r="L165" s="17">
        <v>37480</v>
      </c>
      <c r="M165" s="17">
        <f>ABS((D165*E165)-L165)</f>
        <v>1000</v>
      </c>
      <c r="N165" t="str">
        <f>IF(COUNTIFS( $B$2:$B$657, B165, $C$2:$C$657, C165, $D$2:$D$657, D165, $E$2:$E$657, E165) &gt; 1, "Duplicate", "Unique")</f>
        <v>Unique</v>
      </c>
      <c r="P165" s="27"/>
    </row>
    <row r="166" spans="1:16" ht="40.75" customHeight="1" thickBot="1" x14ac:dyDescent="0.4">
      <c r="A166" s="8" t="s">
        <v>61</v>
      </c>
      <c r="B166" s="8" t="s">
        <v>52</v>
      </c>
      <c r="C166" s="8" t="s">
        <v>7</v>
      </c>
      <c r="D166" s="8">
        <v>3</v>
      </c>
      <c r="E166" s="12">
        <v>2710</v>
      </c>
      <c r="F166" s="4">
        <v>12.215320910000001</v>
      </c>
      <c r="G166" s="2" t="s">
        <v>53</v>
      </c>
      <c r="H166" s="5">
        <v>2415</v>
      </c>
      <c r="I166" s="1" t="s">
        <v>8</v>
      </c>
      <c r="J166" s="32" t="s">
        <v>117</v>
      </c>
      <c r="N166" s="10" t="str">
        <f>IF(COUNTIFS( $B$2:$B$657, B166, $C$2:$C$657, C166, $D$2:$D$657, D166, $E$2:$E$657, E166) &gt; 1, "Duplicate", "Unique")</f>
        <v>Unique</v>
      </c>
    </row>
    <row r="167" spans="1:16" ht="27.65" hidden="1" customHeight="1" thickBot="1" x14ac:dyDescent="0.4">
      <c r="A167" s="3">
        <v>46275.457638888889</v>
      </c>
      <c r="B167" s="1" t="s">
        <v>19</v>
      </c>
      <c r="C167" s="1" t="s">
        <v>10</v>
      </c>
      <c r="D167" s="4">
        <v>100</v>
      </c>
      <c r="E167" s="4">
        <v>222</v>
      </c>
      <c r="F167" s="4">
        <v>12.291350530000001</v>
      </c>
      <c r="G167" s="2" t="s">
        <v>39</v>
      </c>
      <c r="H167" s="5">
        <v>197.7</v>
      </c>
      <c r="I167" s="1" t="s">
        <v>8</v>
      </c>
      <c r="J167" s="81" t="s">
        <v>40</v>
      </c>
      <c r="K167" s="17" t="s">
        <v>258</v>
      </c>
      <c r="L167" s="17">
        <v>56375</v>
      </c>
      <c r="M167" s="17">
        <f>ABS((D167*E167)-L167)</f>
        <v>34175</v>
      </c>
      <c r="N167" s="10" t="str">
        <f>IF(COUNTIFS( $B$2:$B$657, B167, $C$2:$C$657, C167, $D$2:$D$657, D167, $E$2:$E$657, E167) &gt; 1, "Duplicate", "Unique")</f>
        <v>Unique</v>
      </c>
    </row>
    <row r="168" spans="1:16" ht="39" hidden="1" thickBot="1" x14ac:dyDescent="0.4">
      <c r="A168" s="3">
        <v>46274.414583333331</v>
      </c>
      <c r="B168" s="1" t="s">
        <v>12</v>
      </c>
      <c r="C168" s="1" t="s">
        <v>7</v>
      </c>
      <c r="D168" s="4">
        <v>2</v>
      </c>
      <c r="E168" s="4">
        <v>5274</v>
      </c>
      <c r="F168" s="4">
        <v>12.308347530000001</v>
      </c>
      <c r="G168" s="2" t="s">
        <v>97</v>
      </c>
      <c r="H168" s="5">
        <v>4696</v>
      </c>
      <c r="I168" s="1" t="s">
        <v>8</v>
      </c>
      <c r="J168" s="17" t="s">
        <v>117</v>
      </c>
      <c r="K168" s="17" t="s">
        <v>250</v>
      </c>
      <c r="L168" s="17">
        <v>9902</v>
      </c>
      <c r="M168" s="17">
        <f>ABS((D168*E168)-L168)</f>
        <v>646</v>
      </c>
      <c r="N168" s="10" t="str">
        <f>IF(COUNTIFS( $B$2:$B$657, B168, $C$2:$C$657, C168, $D$2:$D$657, D168, $E$2:$E$657, E168) &gt; 1, "Duplicate", "Unique")</f>
        <v>Unique</v>
      </c>
      <c r="O168" s="36" t="s">
        <v>237</v>
      </c>
    </row>
    <row r="169" spans="1:16" s="27" customFormat="1" ht="40.75" customHeight="1" thickBot="1" x14ac:dyDescent="0.4">
      <c r="A169" s="53">
        <v>46302</v>
      </c>
      <c r="B169" s="1" t="s">
        <v>22</v>
      </c>
      <c r="C169" s="1" t="s">
        <v>7</v>
      </c>
      <c r="D169" s="4">
        <v>15</v>
      </c>
      <c r="E169" s="4">
        <v>421</v>
      </c>
      <c r="F169" s="4">
        <v>12.3115913</v>
      </c>
      <c r="G169" s="2" t="s">
        <v>72</v>
      </c>
      <c r="H169" s="5">
        <v>374.85</v>
      </c>
      <c r="I169" s="1" t="s">
        <v>8</v>
      </c>
      <c r="J169" s="49" t="s">
        <v>116</v>
      </c>
      <c r="K169" s="16"/>
      <c r="L169" s="16"/>
      <c r="M169" s="16"/>
      <c r="N169" t="str">
        <f>IF(COUNTIFS( $B$2:$B$657, B169, $C$2:$C$657, C169, $D$2:$D$657, D169, $E$2:$E$657, E169) &gt; 1, "Duplicate", "Unique")</f>
        <v>Unique</v>
      </c>
      <c r="O169"/>
      <c r="P169" s="10"/>
    </row>
    <row r="170" spans="1:16" ht="27.65" customHeight="1" thickBot="1" x14ac:dyDescent="0.4">
      <c r="A170" s="8" t="s">
        <v>61</v>
      </c>
      <c r="B170" s="8" t="s">
        <v>9</v>
      </c>
      <c r="C170" s="8" t="s">
        <v>7</v>
      </c>
      <c r="D170" s="8">
        <v>50</v>
      </c>
      <c r="E170" s="8">
        <v>317</v>
      </c>
      <c r="F170" s="4">
        <v>12.351586040000001</v>
      </c>
      <c r="G170" s="2" t="s">
        <v>94</v>
      </c>
      <c r="H170" s="5">
        <v>282.14999999999998</v>
      </c>
      <c r="I170" s="1" t="s">
        <v>8</v>
      </c>
      <c r="J170" s="32"/>
      <c r="N170" s="10" t="str">
        <f>IF(COUNTIFS( $B$2:$B$657, B170, $C$2:$C$657, C170, $D$2:$D$657, D170, $E$2:$E$657, E170) &gt; 1, "Duplicate", "Unique")</f>
        <v>Unique</v>
      </c>
    </row>
    <row r="171" spans="1:16" ht="40.75" customHeight="1" thickBot="1" x14ac:dyDescent="0.4">
      <c r="A171" s="3">
        <v>46261.375</v>
      </c>
      <c r="B171" s="1" t="s">
        <v>62</v>
      </c>
      <c r="C171" s="1" t="s">
        <v>7</v>
      </c>
      <c r="D171" s="4">
        <v>10</v>
      </c>
      <c r="E171" s="4">
        <v>1081</v>
      </c>
      <c r="F171" s="4">
        <v>12.60416667</v>
      </c>
      <c r="G171" s="2" t="s">
        <v>63</v>
      </c>
      <c r="H171" s="5">
        <v>960</v>
      </c>
      <c r="I171" s="1" t="s">
        <v>8</v>
      </c>
      <c r="J171" s="17" t="s">
        <v>117</v>
      </c>
      <c r="K171" s="17" t="s">
        <v>179</v>
      </c>
      <c r="L171" s="17">
        <v>10510</v>
      </c>
      <c r="M171" s="17">
        <f>ABS((D171*E171)-L171)</f>
        <v>300</v>
      </c>
      <c r="N171" s="10" t="str">
        <f>IF(COUNTIFS( $B$2:$B$657, B171, $C$2:$C$657, C171, $D$2:$D$657, D171, $E$2:$E$657, E171) &gt; 1, "Duplicate", "Unique")</f>
        <v>Unique</v>
      </c>
    </row>
    <row r="172" spans="1:16" ht="40.75" customHeight="1" thickBot="1" x14ac:dyDescent="0.4">
      <c r="A172" s="11">
        <v>46252.688194444447</v>
      </c>
      <c r="B172" s="8" t="s">
        <v>14</v>
      </c>
      <c r="C172" s="8" t="s">
        <v>7</v>
      </c>
      <c r="D172" s="8">
        <v>50</v>
      </c>
      <c r="E172" s="8">
        <v>361</v>
      </c>
      <c r="F172" s="4">
        <v>12.6189362</v>
      </c>
      <c r="G172" s="2" t="s">
        <v>44</v>
      </c>
      <c r="H172" s="5">
        <v>320.55</v>
      </c>
      <c r="I172" s="1" t="s">
        <v>8</v>
      </c>
      <c r="J172" s="32"/>
      <c r="N172" s="10" t="str">
        <f>IF(COUNTIFS( $B$2:$B$657, B172, $C$2:$C$657, C172, $D$2:$D$657, D172, $E$2:$E$657, E172) &gt; 1, "Duplicate", "Unique")</f>
        <v>Unique</v>
      </c>
    </row>
    <row r="173" spans="1:16" ht="40.75" hidden="1" customHeight="1" thickBot="1" x14ac:dyDescent="0.4">
      <c r="A173" s="3">
        <v>46274.375</v>
      </c>
      <c r="B173" s="1" t="s">
        <v>65</v>
      </c>
      <c r="C173" s="1" t="s">
        <v>7</v>
      </c>
      <c r="D173" s="4">
        <v>10</v>
      </c>
      <c r="E173" s="4">
        <v>1196</v>
      </c>
      <c r="F173" s="4">
        <v>12.63891505</v>
      </c>
      <c r="G173" s="2" t="s">
        <v>66</v>
      </c>
      <c r="H173" s="5">
        <v>1061.8</v>
      </c>
      <c r="I173" s="1" t="s">
        <v>8</v>
      </c>
      <c r="J173" s="17" t="s">
        <v>116</v>
      </c>
      <c r="K173" s="17" t="s">
        <v>251</v>
      </c>
      <c r="L173" s="17">
        <v>11660</v>
      </c>
      <c r="M173" s="17">
        <f>ABS((D173*E173)-L173)</f>
        <v>300</v>
      </c>
      <c r="N173" s="10" t="str">
        <f>IF(COUNTIFS( $B$2:$B$657, B173, $C$2:$C$657, C173, $D$2:$D$657, D173, $E$2:$E$657, E173) &gt; 1, "Duplicate", "Unique")</f>
        <v>Unique</v>
      </c>
      <c r="O173" s="36" t="s">
        <v>237</v>
      </c>
    </row>
    <row r="174" spans="1:16" ht="40.75" customHeight="1" thickBot="1" x14ac:dyDescent="0.4">
      <c r="A174" s="3">
        <v>46265.375694444447</v>
      </c>
      <c r="B174" s="1" t="s">
        <v>48</v>
      </c>
      <c r="C174" s="1" t="s">
        <v>7</v>
      </c>
      <c r="D174" s="4">
        <v>5</v>
      </c>
      <c r="E174" s="4">
        <v>4092</v>
      </c>
      <c r="F174" s="4">
        <v>12.66519824</v>
      </c>
      <c r="G174" s="2" t="s">
        <v>49</v>
      </c>
      <c r="H174" s="5">
        <v>3632</v>
      </c>
      <c r="I174" s="1" t="s">
        <v>8</v>
      </c>
      <c r="J174" s="17" t="s">
        <v>117</v>
      </c>
      <c r="K174" s="17" t="s">
        <v>203</v>
      </c>
      <c r="L174" s="17">
        <v>20010</v>
      </c>
      <c r="M174" s="17">
        <f>ABS((D174*E174)-L174)</f>
        <v>450</v>
      </c>
      <c r="N174" t="str">
        <f>IF(COUNTIFS( $B$2:$B$657, B174, $C$2:$C$657, C174, $D$2:$D$657, D174, $E$2:$E$657, E174) &gt; 1, "Duplicate", "Unique")</f>
        <v>Unique</v>
      </c>
      <c r="P174"/>
    </row>
    <row r="175" spans="1:16" ht="27.65" customHeight="1" thickBot="1" x14ac:dyDescent="0.4">
      <c r="A175" s="3">
        <v>46267.375</v>
      </c>
      <c r="B175" s="1" t="s">
        <v>77</v>
      </c>
      <c r="C175" s="1" t="s">
        <v>7</v>
      </c>
      <c r="D175" s="4">
        <v>3</v>
      </c>
      <c r="E175" s="4">
        <v>1460</v>
      </c>
      <c r="F175" s="4">
        <v>12.91569992</v>
      </c>
      <c r="G175" s="2" t="s">
        <v>78</v>
      </c>
      <c r="H175" s="5">
        <v>1293</v>
      </c>
      <c r="I175" s="1" t="s">
        <v>8</v>
      </c>
      <c r="J175" s="17" t="s">
        <v>117</v>
      </c>
      <c r="K175" s="17" t="s">
        <v>221</v>
      </c>
      <c r="L175" s="17">
        <v>4080</v>
      </c>
      <c r="M175" s="17">
        <f>ABS((D175*E175)-L175)</f>
        <v>300</v>
      </c>
      <c r="N175" s="10" t="str">
        <f>IF(COUNTIFS( $B$2:$B$657, B175, $C$2:$C$657, C175, $D$2:$D$657, D175, $E$2:$E$657, E175) &gt; 1, "Duplicate", "Unique")</f>
        <v>Unique</v>
      </c>
    </row>
    <row r="176" spans="1:16" ht="40.75" customHeight="1" thickBot="1" x14ac:dyDescent="0.4">
      <c r="A176" s="8" t="s">
        <v>61</v>
      </c>
      <c r="B176" s="8" t="s">
        <v>120</v>
      </c>
      <c r="C176" s="8" t="s">
        <v>7</v>
      </c>
      <c r="D176" s="8">
        <v>10</v>
      </c>
      <c r="E176" s="8">
        <v>796</v>
      </c>
      <c r="F176" s="4">
        <v>12.93182947</v>
      </c>
      <c r="G176" s="2" t="s">
        <v>121</v>
      </c>
      <c r="H176" s="5">
        <v>704.85</v>
      </c>
      <c r="I176" s="1" t="s">
        <v>8</v>
      </c>
      <c r="J176" s="32" t="s">
        <v>116</v>
      </c>
      <c r="N176" s="10" t="str">
        <f>IF(COUNTIFS( $B$2:$B$657, B176, $C$2:$C$657, C176, $D$2:$D$657, D176, $E$2:$E$657, E176) &gt; 1, "Duplicate", "Unique")</f>
        <v>Unique</v>
      </c>
    </row>
    <row r="177" spans="1:16" ht="27.65" customHeight="1" thickBot="1" x14ac:dyDescent="0.4">
      <c r="A177" s="8" t="s">
        <v>61</v>
      </c>
      <c r="B177" s="8" t="s">
        <v>24</v>
      </c>
      <c r="C177" s="8" t="s">
        <v>7</v>
      </c>
      <c r="D177" s="8">
        <v>5</v>
      </c>
      <c r="E177" s="8">
        <v>468</v>
      </c>
      <c r="F177" s="4">
        <v>13.098115030000001</v>
      </c>
      <c r="G177" s="2" t="s">
        <v>55</v>
      </c>
      <c r="H177" s="5">
        <v>413.8</v>
      </c>
      <c r="I177" s="1" t="s">
        <v>8</v>
      </c>
      <c r="J177" s="32" t="s">
        <v>117</v>
      </c>
      <c r="N177" s="10" t="str">
        <f>IF(COUNTIFS( $B$2:$B$657, B177, $C$2:$C$657, C177, $D$2:$D$657, D177, $E$2:$E$657, E177) &gt; 1, "Duplicate", "Unique")</f>
        <v>Unique</v>
      </c>
    </row>
    <row r="178" spans="1:16" ht="27.65" customHeight="1" thickBot="1" x14ac:dyDescent="0.4">
      <c r="A178" s="3">
        <v>46260.375</v>
      </c>
      <c r="B178" s="1" t="s">
        <v>24</v>
      </c>
      <c r="C178" s="1" t="s">
        <v>7</v>
      </c>
      <c r="D178" s="4">
        <v>40</v>
      </c>
      <c r="E178" s="4">
        <v>468</v>
      </c>
      <c r="F178" s="4">
        <v>13.098115030000001</v>
      </c>
      <c r="G178" s="2" t="s">
        <v>55</v>
      </c>
      <c r="H178" s="5">
        <v>413.8</v>
      </c>
      <c r="I178" s="1" t="s">
        <v>8</v>
      </c>
      <c r="J178" s="17" t="s">
        <v>117</v>
      </c>
      <c r="K178" s="17" t="s">
        <v>167</v>
      </c>
      <c r="L178" s="17">
        <v>17920</v>
      </c>
      <c r="M178" s="17">
        <f>ABS((D178*E178)-L178)</f>
        <v>800</v>
      </c>
      <c r="N178" t="str">
        <f>IF(COUNTIFS( $B$2:$B$657, B178, $C$2:$C$657, C178, $D$2:$D$657, D178, $E$2:$E$657, E178) &gt; 1, "Duplicate", "Unique")</f>
        <v>Unique</v>
      </c>
    </row>
    <row r="179" spans="1:16" ht="40.75" hidden="1" customHeight="1" thickBot="1" x14ac:dyDescent="0.4">
      <c r="A179" s="11">
        <v>46252.635416666664</v>
      </c>
      <c r="B179" s="8" t="s">
        <v>122</v>
      </c>
      <c r="C179" s="8" t="s">
        <v>7</v>
      </c>
      <c r="D179" s="8">
        <v>200</v>
      </c>
      <c r="E179" s="8">
        <v>89.3</v>
      </c>
      <c r="F179" s="4">
        <v>13.181242080000001</v>
      </c>
      <c r="G179" s="2" t="s">
        <v>123</v>
      </c>
      <c r="H179" s="5">
        <v>78.900000000000006</v>
      </c>
      <c r="I179" s="1" t="s">
        <v>8</v>
      </c>
      <c r="J179" s="17" t="s">
        <v>117</v>
      </c>
      <c r="N179" s="10" t="str">
        <f>IF(COUNTIFS( $B$2:$B$657, B179, $C$2:$C$657, C179, $D$2:$D$657, D179, $E$2:$E$657, E179) &gt; 1, "Duplicate", "Unique")</f>
        <v>Unique</v>
      </c>
      <c r="O179" s="36" t="s">
        <v>237</v>
      </c>
    </row>
    <row r="180" spans="1:16" ht="27.65" customHeight="1" thickBot="1" x14ac:dyDescent="0.4">
      <c r="A180" s="3">
        <v>46260.375694444447</v>
      </c>
      <c r="B180" s="1" t="s">
        <v>48</v>
      </c>
      <c r="C180" s="1" t="s">
        <v>7</v>
      </c>
      <c r="D180" s="4">
        <v>5</v>
      </c>
      <c r="E180" s="4">
        <v>4112</v>
      </c>
      <c r="F180" s="4">
        <v>13.215859030000001</v>
      </c>
      <c r="G180" s="2" t="s">
        <v>49</v>
      </c>
      <c r="H180" s="5">
        <v>3632</v>
      </c>
      <c r="I180" s="1" t="s">
        <v>8</v>
      </c>
      <c r="J180" s="17" t="s">
        <v>117</v>
      </c>
      <c r="K180" s="17" t="s">
        <v>168</v>
      </c>
      <c r="L180" s="17">
        <v>20260</v>
      </c>
      <c r="M180" s="17">
        <f>ABS((D180*E180)-L180)</f>
        <v>300</v>
      </c>
      <c r="N180" t="str">
        <f>IF(COUNTIFS( $B$2:$B$657, B180, $C$2:$C$657, C180, $D$2:$D$657, D180, $E$2:$E$657, E180) &gt; 1, "Duplicate", "Unique")</f>
        <v>Unique</v>
      </c>
      <c r="O180"/>
      <c r="P180" s="27"/>
    </row>
    <row r="181" spans="1:16" ht="40.75" customHeight="1" thickBot="1" x14ac:dyDescent="0.4">
      <c r="A181" s="8" t="s">
        <v>61</v>
      </c>
      <c r="B181" s="8" t="s">
        <v>56</v>
      </c>
      <c r="C181" s="8" t="s">
        <v>7</v>
      </c>
      <c r="D181" s="8">
        <v>3</v>
      </c>
      <c r="E181" s="12">
        <v>3341</v>
      </c>
      <c r="F181" s="4">
        <v>13.265755840000001</v>
      </c>
      <c r="G181" s="2" t="s">
        <v>57</v>
      </c>
      <c r="H181" s="5">
        <v>2949.7</v>
      </c>
      <c r="I181" s="1" t="s">
        <v>8</v>
      </c>
      <c r="J181" s="32"/>
      <c r="N181" s="10" t="str">
        <f>IF(COUNTIFS( $B$2:$B$657, B181, $C$2:$C$657, C181, $D$2:$D$657, D181, $E$2:$E$657, E181) &gt; 1, "Duplicate", "Unique")</f>
        <v>Unique</v>
      </c>
      <c r="P181" s="27"/>
    </row>
    <row r="182" spans="1:16" ht="40.75" customHeight="1" thickBot="1" x14ac:dyDescent="0.4">
      <c r="A182" s="11">
        <v>46252.635416666664</v>
      </c>
      <c r="B182" s="8" t="s">
        <v>81</v>
      </c>
      <c r="C182" s="8" t="s">
        <v>7</v>
      </c>
      <c r="D182" s="8">
        <v>1</v>
      </c>
      <c r="E182" s="8">
        <v>4556</v>
      </c>
      <c r="F182" s="4">
        <v>13.33333333</v>
      </c>
      <c r="G182" s="2" t="s">
        <v>82</v>
      </c>
      <c r="H182" s="5">
        <v>4020</v>
      </c>
      <c r="I182" s="1" t="s">
        <v>8</v>
      </c>
      <c r="J182" s="32"/>
      <c r="N182" s="10" t="str">
        <f>IF(COUNTIFS( $B$2:$B$657, B182, $C$2:$C$657, C182, $D$2:$D$657, D182, $E$2:$E$657, E182) &gt; 1, "Duplicate", "Unique")</f>
        <v>Unique</v>
      </c>
    </row>
    <row r="183" spans="1:16" ht="40.75" customHeight="1" thickBot="1" x14ac:dyDescent="0.4">
      <c r="A183" s="3">
        <v>46265.375694444447</v>
      </c>
      <c r="B183" s="1" t="s">
        <v>35</v>
      </c>
      <c r="C183" s="1" t="s">
        <v>7</v>
      </c>
      <c r="D183" s="4">
        <v>5</v>
      </c>
      <c r="E183" s="4">
        <v>1236</v>
      </c>
      <c r="F183" s="4">
        <v>13.519470979999999</v>
      </c>
      <c r="G183" s="2" t="s">
        <v>64</v>
      </c>
      <c r="H183" s="5">
        <v>1088.8</v>
      </c>
      <c r="I183" s="1" t="s">
        <v>8</v>
      </c>
      <c r="J183" s="17" t="s">
        <v>117</v>
      </c>
      <c r="K183" s="17" t="s">
        <v>202</v>
      </c>
      <c r="L183" s="17">
        <v>5905</v>
      </c>
      <c r="M183" s="17">
        <f>ABS((D183*E183)-L183)</f>
        <v>275</v>
      </c>
      <c r="N183" t="str">
        <f>IF(COUNTIFS( $B$2:$B$657, B183, $C$2:$C$657, C183, $D$2:$D$657, D183, $E$2:$E$657, E183) &gt; 1, "Duplicate", "Unique")</f>
        <v>Unique</v>
      </c>
    </row>
    <row r="184" spans="1:16" ht="27.65" customHeight="1" thickBot="1" x14ac:dyDescent="0.4">
      <c r="A184" s="3">
        <v>46259.388194444444</v>
      </c>
      <c r="B184" s="1" t="s">
        <v>13</v>
      </c>
      <c r="C184" s="1" t="s">
        <v>7</v>
      </c>
      <c r="D184" s="4">
        <v>20</v>
      </c>
      <c r="E184" s="4">
        <v>1948</v>
      </c>
      <c r="F184" s="4">
        <v>13.58600583</v>
      </c>
      <c r="G184" s="2" t="s">
        <v>90</v>
      </c>
      <c r="H184" s="5">
        <v>1715</v>
      </c>
      <c r="I184" s="1" t="s">
        <v>8</v>
      </c>
      <c r="J184" s="17" t="s">
        <v>116</v>
      </c>
      <c r="K184" s="17" t="s">
        <v>159</v>
      </c>
      <c r="L184" s="17">
        <v>38020</v>
      </c>
      <c r="M184" s="17">
        <f>ABS((D184*E184)-L184)</f>
        <v>940</v>
      </c>
      <c r="N184" s="10" t="str">
        <f>IF(COUNTIFS( $B$2:$B$657, B184, $C$2:$C$657, C184, $D$2:$D$657, D184, $E$2:$E$657, E184) &gt; 1, "Duplicate", "Unique")</f>
        <v>Unique</v>
      </c>
    </row>
    <row r="185" spans="1:16" ht="27.65" customHeight="1" thickBot="1" x14ac:dyDescent="0.4">
      <c r="A185" s="8" t="s">
        <v>61</v>
      </c>
      <c r="B185" s="8" t="s">
        <v>9</v>
      </c>
      <c r="C185" s="8" t="s">
        <v>7</v>
      </c>
      <c r="D185" s="8">
        <v>40</v>
      </c>
      <c r="E185" s="8">
        <v>320.5</v>
      </c>
      <c r="F185" s="4">
        <v>13.59206096</v>
      </c>
      <c r="G185" s="2" t="s">
        <v>94</v>
      </c>
      <c r="H185" s="5">
        <v>282.14999999999998</v>
      </c>
      <c r="I185" s="1" t="s">
        <v>8</v>
      </c>
      <c r="J185" s="32"/>
      <c r="N185" s="10" t="str">
        <f>IF(COUNTIFS( $B$2:$B$657, B185, $C$2:$C$657, C185, $D$2:$D$657, D185, $E$2:$E$657, E185) &gt; 1, "Duplicate", "Unique")</f>
        <v>Unique</v>
      </c>
    </row>
    <row r="186" spans="1:16" ht="27.65" customHeight="1" thickBot="1" x14ac:dyDescent="0.4">
      <c r="A186" s="3">
        <v>46272.375694444447</v>
      </c>
      <c r="B186" s="1" t="s">
        <v>86</v>
      </c>
      <c r="C186" s="1" t="s">
        <v>7</v>
      </c>
      <c r="D186" s="4">
        <v>10</v>
      </c>
      <c r="E186" s="4">
        <v>1280</v>
      </c>
      <c r="F186" s="4">
        <v>13.64645299</v>
      </c>
      <c r="G186" s="2" t="s">
        <v>87</v>
      </c>
      <c r="H186" s="5">
        <v>1126.3</v>
      </c>
      <c r="I186" s="1" t="s">
        <v>8</v>
      </c>
      <c r="J186" s="17" t="s">
        <v>116</v>
      </c>
      <c r="K186" s="17" t="s">
        <v>243</v>
      </c>
      <c r="L186" s="17">
        <v>12510</v>
      </c>
      <c r="M186" s="17">
        <f>ABS((D186*E186)-L186)</f>
        <v>290</v>
      </c>
      <c r="N186" s="10" t="str">
        <f>IF(COUNTIFS( $B$2:$B$657, B186, $C$2:$C$657, C186, $D$2:$D$657, D186, $E$2:$E$657, E186) &gt; 1, "Duplicate", "Unique")</f>
        <v>Unique</v>
      </c>
    </row>
    <row r="187" spans="1:16" ht="27.65" customHeight="1" thickBot="1" x14ac:dyDescent="0.4">
      <c r="A187" s="11">
        <v>46252.645138888889</v>
      </c>
      <c r="B187" s="8" t="s">
        <v>48</v>
      </c>
      <c r="C187" s="8" t="s">
        <v>7</v>
      </c>
      <c r="D187" s="8">
        <v>5</v>
      </c>
      <c r="E187" s="8">
        <v>4129</v>
      </c>
      <c r="F187" s="4">
        <v>13.6839207</v>
      </c>
      <c r="G187" s="2" t="s">
        <v>49</v>
      </c>
      <c r="H187" s="5">
        <v>3632</v>
      </c>
      <c r="I187" s="1" t="s">
        <v>8</v>
      </c>
      <c r="J187" s="32"/>
      <c r="N187" s="10" t="str">
        <f>IF(COUNTIFS( $B$2:$B$657, B187, $C$2:$C$657, C187, $D$2:$D$657, D187, $E$2:$E$657, E187) &gt; 1, "Duplicate", "Unique")</f>
        <v>Unique</v>
      </c>
    </row>
    <row r="188" spans="1:16" ht="27.65" customHeight="1" thickBot="1" x14ac:dyDescent="0.4">
      <c r="A188" s="11">
        <v>46252.688194444447</v>
      </c>
      <c r="B188" s="8" t="s">
        <v>14</v>
      </c>
      <c r="C188" s="8" t="s">
        <v>7</v>
      </c>
      <c r="D188" s="8">
        <v>50</v>
      </c>
      <c r="E188" s="8">
        <v>365</v>
      </c>
      <c r="F188" s="4">
        <v>13.866791449999999</v>
      </c>
      <c r="G188" s="2" t="s">
        <v>44</v>
      </c>
      <c r="H188" s="5">
        <v>320.55</v>
      </c>
      <c r="I188" s="1" t="s">
        <v>8</v>
      </c>
      <c r="J188" s="32" t="s">
        <v>117</v>
      </c>
      <c r="N188" s="10" t="str">
        <f>IF(COUNTIFS( $B$2:$B$657, B188, $C$2:$C$657, C188, $D$2:$D$657, D188, $E$2:$E$657, E188) &gt; 1, "Duplicate", "Unique")</f>
        <v>Unique</v>
      </c>
    </row>
    <row r="189" spans="1:16" ht="40.75" customHeight="1" thickBot="1" x14ac:dyDescent="0.4">
      <c r="A189" s="8" t="s">
        <v>61</v>
      </c>
      <c r="B189" s="8" t="s">
        <v>132</v>
      </c>
      <c r="C189" s="8" t="s">
        <v>7</v>
      </c>
      <c r="D189" s="8">
        <v>150</v>
      </c>
      <c r="E189" s="8">
        <v>123.4</v>
      </c>
      <c r="F189" s="4">
        <v>13.984851280000001</v>
      </c>
      <c r="G189" s="2" t="s">
        <v>133</v>
      </c>
      <c r="H189" s="5">
        <v>108.26</v>
      </c>
      <c r="I189" s="1" t="s">
        <v>8</v>
      </c>
      <c r="J189" s="32" t="s">
        <v>116</v>
      </c>
      <c r="N189" s="10" t="str">
        <f>IF(COUNTIFS( $B$2:$B$657, B189, $C$2:$C$657, C189, $D$2:$D$657, D189, $E$2:$E$657, E189) &gt; 1, "Duplicate", "Unique")</f>
        <v>Unique</v>
      </c>
    </row>
    <row r="190" spans="1:16" ht="40.75" customHeight="1" thickBot="1" x14ac:dyDescent="0.4">
      <c r="A190" s="3">
        <v>46259.375</v>
      </c>
      <c r="B190" s="1" t="s">
        <v>24</v>
      </c>
      <c r="C190" s="1" t="s">
        <v>7</v>
      </c>
      <c r="D190" s="4">
        <v>20</v>
      </c>
      <c r="E190" s="4">
        <v>472.5</v>
      </c>
      <c r="F190" s="4">
        <v>14.185596909999999</v>
      </c>
      <c r="G190" s="2" t="s">
        <v>55</v>
      </c>
      <c r="H190" s="5">
        <v>413.8</v>
      </c>
      <c r="I190" s="1" t="s">
        <v>8</v>
      </c>
      <c r="J190" s="32" t="s">
        <v>117</v>
      </c>
      <c r="K190" s="17" t="s">
        <v>158</v>
      </c>
      <c r="L190" s="17">
        <v>8800</v>
      </c>
      <c r="M190" s="17">
        <f>ABS((D190*E190)-L190)</f>
        <v>650</v>
      </c>
      <c r="N190" s="10" t="str">
        <f>IF(COUNTIFS( $B$2:$B$657, B190, $C$2:$C$657, C190, $D$2:$D$657, D190, $E$2:$E$657, E190) &gt; 1, "Duplicate", "Unique")</f>
        <v>Unique</v>
      </c>
      <c r="O190" s="27"/>
    </row>
    <row r="191" spans="1:16" ht="27.65" customHeight="1" thickBot="1" x14ac:dyDescent="0.4">
      <c r="A191" s="46">
        <v>46289.375694444447</v>
      </c>
      <c r="B191" s="2" t="s">
        <v>23</v>
      </c>
      <c r="C191" s="2" t="s">
        <v>7</v>
      </c>
      <c r="D191" s="5">
        <v>50</v>
      </c>
      <c r="E191" s="5">
        <v>211</v>
      </c>
      <c r="F191" s="4">
        <v>14.33215931</v>
      </c>
      <c r="G191" s="2" t="s">
        <v>69</v>
      </c>
      <c r="H191" s="5">
        <v>184.55</v>
      </c>
      <c r="I191" s="1" t="s">
        <v>8</v>
      </c>
      <c r="J191" s="17" t="s">
        <v>116</v>
      </c>
      <c r="K191" s="17" t="s">
        <v>285</v>
      </c>
      <c r="L191" s="17">
        <v>10250</v>
      </c>
      <c r="M191" s="17">
        <f>ABS((D191*E191)-L191)</f>
        <v>300</v>
      </c>
      <c r="N191" s="10" t="str">
        <f>IF(COUNTIFS( $B$2:$B$657, B191, $C$2:$C$657, C191, $D$2:$D$657, D191, $E$2:$E$657, E191) &gt; 1, "Duplicate", "Unique")</f>
        <v>Unique</v>
      </c>
    </row>
    <row r="192" spans="1:16" ht="39" thickBot="1" x14ac:dyDescent="0.4">
      <c r="A192" s="3">
        <v>46265.474999999999</v>
      </c>
      <c r="B192" s="1" t="s">
        <v>20</v>
      </c>
      <c r="C192" s="1" t="s">
        <v>7</v>
      </c>
      <c r="D192" s="4">
        <v>30</v>
      </c>
      <c r="E192" s="4">
        <v>137</v>
      </c>
      <c r="F192" s="4">
        <v>14.33817393</v>
      </c>
      <c r="G192" s="2" t="s">
        <v>85</v>
      </c>
      <c r="H192" s="5">
        <v>119.82</v>
      </c>
      <c r="I192" s="1" t="s">
        <v>8</v>
      </c>
      <c r="J192" s="17" t="s">
        <v>117</v>
      </c>
      <c r="K192" s="17" t="s">
        <v>194</v>
      </c>
      <c r="L192" s="17">
        <v>3810</v>
      </c>
      <c r="M192" s="17">
        <f>ABS((D192*E192)-L192)</f>
        <v>300</v>
      </c>
      <c r="N192" t="str">
        <f>IF(COUNTIFS( $B$2:$B$657, B192, $C$2:$C$657, C192, $D$2:$D$657, D192, $E$2:$E$657, E192) &gt; 1, "Duplicate", "Unique")</f>
        <v>Unique</v>
      </c>
    </row>
    <row r="193" spans="1:16" ht="40.75" customHeight="1" thickBot="1" x14ac:dyDescent="0.4">
      <c r="A193" s="8" t="s">
        <v>61</v>
      </c>
      <c r="B193" s="8" t="s">
        <v>67</v>
      </c>
      <c r="C193" s="8" t="s">
        <v>7</v>
      </c>
      <c r="D193" s="8">
        <v>10</v>
      </c>
      <c r="E193" s="8">
        <v>435</v>
      </c>
      <c r="F193" s="4">
        <v>14.353312300000001</v>
      </c>
      <c r="G193" s="2" t="s">
        <v>68</v>
      </c>
      <c r="H193" s="5">
        <v>380.4</v>
      </c>
      <c r="I193" s="1" t="s">
        <v>8</v>
      </c>
      <c r="J193" s="32"/>
      <c r="N193" s="10" t="str">
        <f>IF(COUNTIFS( $B$2:$B$657, B193, $C$2:$C$657, C193, $D$2:$D$657, D193, $E$2:$E$657, E193) &gt; 1, "Duplicate", "Unique")</f>
        <v>Unique</v>
      </c>
    </row>
    <row r="194" spans="1:16" ht="40.75" hidden="1" customHeight="1" thickBot="1" x14ac:dyDescent="0.4">
      <c r="A194" s="28">
        <v>46265.375694444447</v>
      </c>
      <c r="B194" s="29" t="s">
        <v>6</v>
      </c>
      <c r="C194" s="29" t="s">
        <v>7</v>
      </c>
      <c r="D194" s="30">
        <v>20</v>
      </c>
      <c r="E194" s="30">
        <v>291</v>
      </c>
      <c r="F194" s="4">
        <v>14.476789930000001</v>
      </c>
      <c r="G194" s="2" t="s">
        <v>129</v>
      </c>
      <c r="H194" s="5">
        <v>254.2</v>
      </c>
      <c r="I194" s="1" t="s">
        <v>8</v>
      </c>
      <c r="J194" s="25" t="s">
        <v>117</v>
      </c>
      <c r="K194" s="25" t="s">
        <v>201</v>
      </c>
      <c r="L194" s="25">
        <v>5520</v>
      </c>
      <c r="M194" s="25">
        <f>ABS((D194*E194)-L194)</f>
        <v>300</v>
      </c>
      <c r="N194" s="26" t="str">
        <f>IF(COUNTIFS( $B$2:$B$657, B194, $C$2:$C$657, C194, $D$2:$D$657, D194, $E$2:$E$657, E194) &gt; 1, "Duplicate", "Unique")</f>
        <v>Unique</v>
      </c>
      <c r="O194" s="36" t="s">
        <v>237</v>
      </c>
    </row>
    <row r="195" spans="1:16" ht="27.65" hidden="1" customHeight="1" thickBot="1" x14ac:dyDescent="0.4">
      <c r="A195" s="38">
        <v>46243.505555555559</v>
      </c>
      <c r="B195" s="39" t="s">
        <v>6</v>
      </c>
      <c r="C195" s="39" t="s">
        <v>7</v>
      </c>
      <c r="D195" s="39">
        <v>10</v>
      </c>
      <c r="E195" s="39">
        <v>291</v>
      </c>
      <c r="F195" s="4">
        <v>14.476789930000001</v>
      </c>
      <c r="G195" s="2" t="s">
        <v>129</v>
      </c>
      <c r="H195" s="5">
        <v>254.2</v>
      </c>
      <c r="I195" s="1" t="s">
        <v>8</v>
      </c>
      <c r="J195" s="25" t="s">
        <v>117</v>
      </c>
      <c r="K195" s="25" t="s">
        <v>244</v>
      </c>
      <c r="L195" s="25">
        <v>2657</v>
      </c>
      <c r="M195" s="25">
        <f>ABS((D195*E195)-L195)</f>
        <v>253</v>
      </c>
      <c r="N195" s="27" t="str">
        <f>IF(COUNTIFS( $B$2:$B$657, B195, $C$2:$C$657, C195, $D$2:$D$657, D195, $E$2:$E$657, E195) &gt; 1, "Duplicate", "Unique")</f>
        <v>Duplicate</v>
      </c>
      <c r="O195" s="36" t="s">
        <v>237</v>
      </c>
    </row>
    <row r="196" spans="1:16" ht="40.75" hidden="1" customHeight="1" thickBot="1" x14ac:dyDescent="0.4">
      <c r="A196" s="28">
        <v>46280.588194444441</v>
      </c>
      <c r="B196" s="29" t="s">
        <v>6</v>
      </c>
      <c r="C196" s="29" t="s">
        <v>7</v>
      </c>
      <c r="D196" s="30">
        <v>10</v>
      </c>
      <c r="E196" s="30">
        <v>291</v>
      </c>
      <c r="F196" s="4">
        <v>14.476789930000001</v>
      </c>
      <c r="G196" s="2" t="s">
        <v>129</v>
      </c>
      <c r="H196" s="5">
        <v>254.2</v>
      </c>
      <c r="I196" s="1" t="s">
        <v>8</v>
      </c>
      <c r="J196" s="45" t="s">
        <v>117</v>
      </c>
      <c r="K196" s="25" t="s">
        <v>269</v>
      </c>
      <c r="L196" s="25">
        <v>2554.5</v>
      </c>
      <c r="M196" s="25">
        <f>ABS((D196*E196)-L196)</f>
        <v>355.5</v>
      </c>
      <c r="N196" s="27" t="str">
        <f>IF(COUNTIFS( $B$2:$B$657, B196, $C$2:$C$657, C196, $D$2:$D$657, D196, $E$2:$E$657, E196) &gt; 1, "Duplicate", "Unique")</f>
        <v>Duplicate</v>
      </c>
      <c r="O196" s="36" t="s">
        <v>237</v>
      </c>
      <c r="P196" s="27"/>
    </row>
    <row r="197" spans="1:16" ht="40.75" customHeight="1" thickBot="1" x14ac:dyDescent="0.4">
      <c r="A197" s="8" t="s">
        <v>61</v>
      </c>
      <c r="B197" s="8" t="s">
        <v>50</v>
      </c>
      <c r="C197" s="8" t="s">
        <v>7</v>
      </c>
      <c r="D197" s="8">
        <v>10</v>
      </c>
      <c r="E197" s="13">
        <v>1024</v>
      </c>
      <c r="F197" s="4">
        <v>14.54138702</v>
      </c>
      <c r="G197" s="2" t="s">
        <v>51</v>
      </c>
      <c r="H197" s="5">
        <v>894</v>
      </c>
      <c r="I197" s="1" t="s">
        <v>8</v>
      </c>
      <c r="J197" s="32" t="s">
        <v>117</v>
      </c>
      <c r="N197" s="10" t="str">
        <f>IF(COUNTIFS( $B$2:$B$657, B197, $C$2:$C$657, C197, $D$2:$D$657, D197, $E$2:$E$657, E197) &gt; 1, "Duplicate", "Unique")</f>
        <v>Unique</v>
      </c>
    </row>
    <row r="198" spans="1:16" ht="40.75" customHeight="1" thickBot="1" x14ac:dyDescent="0.4">
      <c r="A198" s="28">
        <v>46260.556944444441</v>
      </c>
      <c r="B198" s="29" t="s">
        <v>35</v>
      </c>
      <c r="C198" s="29" t="s">
        <v>7</v>
      </c>
      <c r="D198" s="30">
        <v>5</v>
      </c>
      <c r="E198" s="30">
        <v>1251</v>
      </c>
      <c r="F198" s="4">
        <v>14.89713446</v>
      </c>
      <c r="G198" s="2" t="s">
        <v>64</v>
      </c>
      <c r="H198" s="5">
        <v>1088.8</v>
      </c>
      <c r="I198" s="1" t="s">
        <v>8</v>
      </c>
      <c r="J198" s="25" t="s">
        <v>117</v>
      </c>
      <c r="K198" s="25" t="s">
        <v>162</v>
      </c>
      <c r="L198" s="25">
        <v>6105</v>
      </c>
      <c r="M198" s="25">
        <f>ABS((D198*E198)-L198)</f>
        <v>150</v>
      </c>
      <c r="N198" s="26" t="str">
        <f>IF(COUNTIFS( $B$2:$B$657, B198, $C$2:$C$657, C198, $D$2:$D$657, D198, $E$2:$E$657, E198) &gt; 1, "Duplicate", "Unique")</f>
        <v>Duplicate</v>
      </c>
    </row>
    <row r="199" spans="1:16" ht="40.75" customHeight="1" thickBot="1" x14ac:dyDescent="0.4">
      <c r="A199" s="28">
        <v>46261.375</v>
      </c>
      <c r="B199" s="29" t="s">
        <v>35</v>
      </c>
      <c r="C199" s="29" t="s">
        <v>7</v>
      </c>
      <c r="D199" s="30">
        <v>5</v>
      </c>
      <c r="E199" s="30">
        <v>1251</v>
      </c>
      <c r="F199" s="4">
        <v>14.89713446</v>
      </c>
      <c r="G199" s="2" t="s">
        <v>64</v>
      </c>
      <c r="H199" s="5">
        <v>1088.8</v>
      </c>
      <c r="I199" s="1" t="s">
        <v>8</v>
      </c>
      <c r="J199" s="25" t="s">
        <v>117</v>
      </c>
      <c r="K199" s="25" t="s">
        <v>175</v>
      </c>
      <c r="L199" s="25">
        <v>6005</v>
      </c>
      <c r="M199" s="25">
        <f>ABS((D199*E199)-L199)</f>
        <v>250</v>
      </c>
      <c r="N199" s="27" t="str">
        <f>IF(COUNTIFS( $B$2:$B$657, B199, $C$2:$C$657, C199, $D$2:$D$657, D199, $E$2:$E$657, E199) &gt; 1, "Duplicate", "Unique")</f>
        <v>Duplicate</v>
      </c>
    </row>
    <row r="200" spans="1:16" ht="27.65" customHeight="1" thickBot="1" x14ac:dyDescent="0.4">
      <c r="A200" s="11">
        <v>46252.688194444447</v>
      </c>
      <c r="B200" s="8" t="s">
        <v>28</v>
      </c>
      <c r="C200" s="8" t="s">
        <v>7</v>
      </c>
      <c r="D200" s="8">
        <v>30</v>
      </c>
      <c r="E200" s="8">
        <v>930</v>
      </c>
      <c r="F200" s="4">
        <v>14.9709482</v>
      </c>
      <c r="G200" s="2" t="s">
        <v>124</v>
      </c>
      <c r="H200" s="5">
        <v>808.9</v>
      </c>
      <c r="I200" s="1" t="s">
        <v>8</v>
      </c>
      <c r="J200" s="32"/>
      <c r="N200" s="10" t="str">
        <f>IF(COUNTIFS( $B$2:$B$657, B200, $C$2:$C$657, C200, $D$2:$D$657, D200, $E$2:$E$657, E200) &gt; 1, "Duplicate", "Unique")</f>
        <v>Unique</v>
      </c>
      <c r="P200" s="27"/>
    </row>
    <row r="201" spans="1:16" ht="40.75" customHeight="1" thickBot="1" x14ac:dyDescent="0.4">
      <c r="A201" s="11">
        <v>46252.645833333336</v>
      </c>
      <c r="B201" s="8" t="s">
        <v>48</v>
      </c>
      <c r="C201" s="8" t="s">
        <v>7</v>
      </c>
      <c r="D201" s="8">
        <v>5</v>
      </c>
      <c r="E201" s="8">
        <v>4177</v>
      </c>
      <c r="F201" s="4">
        <v>15.005506609999999</v>
      </c>
      <c r="G201" s="2" t="s">
        <v>49</v>
      </c>
      <c r="H201" s="5">
        <v>3632</v>
      </c>
      <c r="I201" s="1" t="s">
        <v>8</v>
      </c>
      <c r="J201" s="32"/>
      <c r="N201" s="10" t="str">
        <f>IF(COUNTIFS( $B$2:$B$657, B201, $C$2:$C$657, C201, $D$2:$D$657, D201, $E$2:$E$657, E201) &gt; 1, "Duplicate", "Unique")</f>
        <v>Unique</v>
      </c>
      <c r="O201" s="22"/>
    </row>
    <row r="202" spans="1:16" ht="40.75" customHeight="1" thickBot="1" x14ac:dyDescent="0.4">
      <c r="A202" s="8" t="s">
        <v>61</v>
      </c>
      <c r="B202" s="8" t="s">
        <v>122</v>
      </c>
      <c r="C202" s="8" t="s">
        <v>7</v>
      </c>
      <c r="D202" s="8">
        <v>200</v>
      </c>
      <c r="E202" s="8">
        <v>90.75</v>
      </c>
      <c r="F202" s="4">
        <v>15.019011409999999</v>
      </c>
      <c r="G202" s="2" t="s">
        <v>123</v>
      </c>
      <c r="H202" s="5">
        <v>78.900000000000006</v>
      </c>
      <c r="I202" s="1" t="s">
        <v>8</v>
      </c>
      <c r="J202" s="32" t="s">
        <v>54</v>
      </c>
      <c r="N202" s="10" t="str">
        <f>IF(COUNTIFS( $B$2:$B$657, B202, $C$2:$C$657, C202, $D$2:$D$657, D202, $E$2:$E$657, E202) &gt; 1, "Duplicate", "Unique")</f>
        <v>Unique</v>
      </c>
    </row>
    <row r="203" spans="1:16" ht="40.75" hidden="1" customHeight="1" thickBot="1" x14ac:dyDescent="0.4">
      <c r="A203" s="3">
        <v>46261.615277777775</v>
      </c>
      <c r="B203" s="1" t="s">
        <v>34</v>
      </c>
      <c r="C203" s="1" t="s">
        <v>7</v>
      </c>
      <c r="D203" s="4">
        <v>50</v>
      </c>
      <c r="E203" s="4">
        <v>226.3</v>
      </c>
      <c r="F203" s="4">
        <v>15.024905970000001</v>
      </c>
      <c r="G203" s="2" t="s">
        <v>41</v>
      </c>
      <c r="H203" s="5">
        <v>196.74</v>
      </c>
      <c r="I203" s="1" t="s">
        <v>8</v>
      </c>
      <c r="J203" s="17" t="s">
        <v>117</v>
      </c>
      <c r="K203" s="17" t="s">
        <v>171</v>
      </c>
      <c r="L203" s="17">
        <v>10814</v>
      </c>
      <c r="M203" s="17">
        <f>ABS((D203*E203)-L203)</f>
        <v>501</v>
      </c>
      <c r="N203" s="10" t="str">
        <f>IF(COUNTIFS( $B$2:$B$657, B203, $C$2:$C$657, C203, $D$2:$D$657, D203, $E$2:$E$657, E203) &gt; 1, "Duplicate", "Unique")</f>
        <v>Unique</v>
      </c>
      <c r="O203" s="36" t="s">
        <v>237</v>
      </c>
    </row>
    <row r="204" spans="1:16" ht="27.65" customHeight="1" thickBot="1" x14ac:dyDescent="0.4">
      <c r="A204" s="3">
        <v>46266.375</v>
      </c>
      <c r="B204" s="1" t="s">
        <v>86</v>
      </c>
      <c r="C204" s="1" t="s">
        <v>7</v>
      </c>
      <c r="D204" s="4">
        <v>10</v>
      </c>
      <c r="E204" s="4">
        <v>1296</v>
      </c>
      <c r="F204" s="4">
        <v>15.067033650000001</v>
      </c>
      <c r="G204" s="2" t="s">
        <v>87</v>
      </c>
      <c r="H204" s="5">
        <v>1126.3</v>
      </c>
      <c r="I204" s="1" t="s">
        <v>8</v>
      </c>
      <c r="J204" s="17" t="s">
        <v>116</v>
      </c>
      <c r="K204" s="17" t="s">
        <v>212</v>
      </c>
      <c r="L204" s="17">
        <v>12600</v>
      </c>
      <c r="M204" s="17">
        <f>ABS((D204*E204)-L204)</f>
        <v>360</v>
      </c>
      <c r="N204" s="10" t="str">
        <f>IF(COUNTIFS( $B$2:$B$657, B204, $C$2:$C$657, C204, $D$2:$D$657, D204, $E$2:$E$657, E204) &gt; 1, "Duplicate", "Unique")</f>
        <v>Unique</v>
      </c>
    </row>
    <row r="205" spans="1:16" ht="40.75" customHeight="1" thickBot="1" x14ac:dyDescent="0.4">
      <c r="A205" s="8" t="s">
        <v>61</v>
      </c>
      <c r="B205" s="8" t="s">
        <v>137</v>
      </c>
      <c r="C205" s="8" t="s">
        <v>7</v>
      </c>
      <c r="D205" s="8">
        <v>35</v>
      </c>
      <c r="E205" s="13">
        <v>494</v>
      </c>
      <c r="F205" s="4">
        <v>15.084449619999999</v>
      </c>
      <c r="G205" s="2" t="s">
        <v>138</v>
      </c>
      <c r="H205" s="5">
        <v>429.25</v>
      </c>
      <c r="I205" s="1" t="s">
        <v>8</v>
      </c>
      <c r="J205" s="32"/>
      <c r="N205" s="10" t="str">
        <f>IF(COUNTIFS( $B$2:$B$657, B205, $C$2:$C$657, C205, $D$2:$D$657, D205, $E$2:$E$657, E205) &gt; 1, "Duplicate", "Unique")</f>
        <v>Unique</v>
      </c>
    </row>
    <row r="206" spans="1:16" ht="27.65" customHeight="1" thickBot="1" x14ac:dyDescent="0.4">
      <c r="A206" s="3">
        <v>46261.375694444447</v>
      </c>
      <c r="B206" s="1" t="s">
        <v>77</v>
      </c>
      <c r="C206" s="1" t="s">
        <v>7</v>
      </c>
      <c r="D206" s="4">
        <v>5</v>
      </c>
      <c r="E206" s="4">
        <v>1490</v>
      </c>
      <c r="F206" s="4">
        <v>15.23588554</v>
      </c>
      <c r="G206" s="2" t="s">
        <v>78</v>
      </c>
      <c r="H206" s="5">
        <v>1293</v>
      </c>
      <c r="I206" s="1" t="s">
        <v>8</v>
      </c>
      <c r="J206" s="17" t="s">
        <v>117</v>
      </c>
      <c r="K206" s="17" t="s">
        <v>182</v>
      </c>
      <c r="L206" s="17">
        <v>7200</v>
      </c>
      <c r="M206" s="17">
        <f>ABS((D206*E206)-L206)</f>
        <v>250</v>
      </c>
      <c r="N206" s="10" t="str">
        <f>IF(COUNTIFS( $B$2:$B$657, B206, $C$2:$C$657, C206, $D$2:$D$657, D206, $E$2:$E$657, E206) &gt; 1, "Duplicate", "Unique")</f>
        <v>Unique</v>
      </c>
    </row>
    <row r="207" spans="1:16" s="27" customFormat="1" ht="40.75" customHeight="1" thickBot="1" x14ac:dyDescent="0.4">
      <c r="A207" s="3">
        <v>46265.375694444447</v>
      </c>
      <c r="B207" s="1" t="s">
        <v>77</v>
      </c>
      <c r="C207" s="1" t="s">
        <v>7</v>
      </c>
      <c r="D207" s="4">
        <v>3</v>
      </c>
      <c r="E207" s="4">
        <v>1490</v>
      </c>
      <c r="F207" s="4">
        <v>15.23588554</v>
      </c>
      <c r="G207" s="2" t="s">
        <v>78</v>
      </c>
      <c r="H207" s="5">
        <v>1293</v>
      </c>
      <c r="I207" s="1" t="s">
        <v>8</v>
      </c>
      <c r="J207" s="17" t="s">
        <v>117</v>
      </c>
      <c r="K207" s="17" t="s">
        <v>200</v>
      </c>
      <c r="L207" s="17">
        <v>4170</v>
      </c>
      <c r="M207" s="17">
        <f>ABS((D207*E207)-L207)</f>
        <v>300</v>
      </c>
      <c r="N207" t="str">
        <f>IF(COUNTIFS( $B$2:$B$657, B207, $C$2:$C$657, C207, $D$2:$D$657, D207, $E$2:$E$657, E207) &gt; 1, "Duplicate", "Unique")</f>
        <v>Unique</v>
      </c>
      <c r="O207" s="10"/>
      <c r="P207" s="10"/>
    </row>
    <row r="208" spans="1:16" s="27" customFormat="1" ht="40.75" customHeight="1" thickBot="1" x14ac:dyDescent="0.4">
      <c r="A208" s="3">
        <v>46294.475694444445</v>
      </c>
      <c r="B208" s="2" t="s">
        <v>16</v>
      </c>
      <c r="C208" s="2" t="s">
        <v>7</v>
      </c>
      <c r="D208" s="5">
        <v>5</v>
      </c>
      <c r="E208" s="5">
        <v>849</v>
      </c>
      <c r="F208" s="4">
        <v>15.30626103</v>
      </c>
      <c r="G208" s="2" t="s">
        <v>60</v>
      </c>
      <c r="H208" s="5">
        <v>736.3</v>
      </c>
      <c r="I208" s="1" t="s">
        <v>8</v>
      </c>
      <c r="J208" s="17" t="s">
        <v>117</v>
      </c>
      <c r="K208" s="17" t="s">
        <v>294</v>
      </c>
      <c r="L208" s="17">
        <v>3869</v>
      </c>
      <c r="M208" s="17">
        <f>ABS((D208*E208)-L208)</f>
        <v>376</v>
      </c>
      <c r="N208" s="10" t="str">
        <f>IF(COUNTIFS( $B$2:$B$657, B208, $C$2:$C$657, C208, $D$2:$D$657, D208, $E$2:$E$657, E208) &gt; 1, "Duplicate", "Unique")</f>
        <v>Unique</v>
      </c>
      <c r="O208" s="10"/>
      <c r="P208" s="10"/>
    </row>
    <row r="209" spans="1:16" ht="40.75" customHeight="1" thickBot="1" x14ac:dyDescent="0.4">
      <c r="A209" s="8" t="s">
        <v>61</v>
      </c>
      <c r="B209" s="8" t="s">
        <v>134</v>
      </c>
      <c r="C209" s="8" t="s">
        <v>7</v>
      </c>
      <c r="D209" s="8">
        <v>5</v>
      </c>
      <c r="E209" s="8">
        <v>2190</v>
      </c>
      <c r="F209" s="4">
        <v>15.4393548</v>
      </c>
      <c r="G209" s="2" t="s">
        <v>135</v>
      </c>
      <c r="H209" s="5">
        <v>1897.1</v>
      </c>
      <c r="I209" s="1" t="s">
        <v>8</v>
      </c>
      <c r="J209" s="32" t="s">
        <v>117</v>
      </c>
      <c r="N209" s="10" t="str">
        <f>IF(COUNTIFS( $B$2:$B$657, B209, $C$2:$C$657, C209, $D$2:$D$657, D209, $E$2:$E$657, E209) &gt; 1, "Duplicate", "Unique")</f>
        <v>Unique</v>
      </c>
      <c r="O209" s="27"/>
    </row>
    <row r="210" spans="1:16" ht="40.75" hidden="1" customHeight="1" thickBot="1" x14ac:dyDescent="0.4">
      <c r="A210" s="6" t="s">
        <v>61</v>
      </c>
      <c r="B210" s="1" t="s">
        <v>15</v>
      </c>
      <c r="C210" s="1" t="s">
        <v>10</v>
      </c>
      <c r="D210" s="4">
        <v>30</v>
      </c>
      <c r="E210" s="4">
        <v>2435</v>
      </c>
      <c r="F210" s="4">
        <v>15.457562830000001</v>
      </c>
      <c r="G210" s="2" t="s">
        <v>71</v>
      </c>
      <c r="H210" s="5">
        <v>2109</v>
      </c>
      <c r="I210" s="1" t="s">
        <v>8</v>
      </c>
      <c r="J210" s="80" t="s">
        <v>54</v>
      </c>
      <c r="K210" s="16"/>
      <c r="L210" s="16"/>
      <c r="M210" s="16"/>
      <c r="N210" t="str">
        <f>IF(COUNTIFS( $B$2:$B$657, B210, $C$2:$C$657, C210, $D$2:$D$657, D210, $E$2:$E$657, E210) &gt; 1, "Duplicate", "Unique")</f>
        <v>Unique</v>
      </c>
    </row>
    <row r="211" spans="1:16" ht="27.65" customHeight="1" thickBot="1" x14ac:dyDescent="0.4">
      <c r="A211" s="28">
        <v>46258.443749999999</v>
      </c>
      <c r="B211" s="29" t="s">
        <v>6</v>
      </c>
      <c r="C211" s="29" t="s">
        <v>7</v>
      </c>
      <c r="D211" s="30">
        <v>50</v>
      </c>
      <c r="E211" s="30">
        <v>294</v>
      </c>
      <c r="F211" s="4">
        <v>15.656963019999999</v>
      </c>
      <c r="G211" s="2" t="s">
        <v>129</v>
      </c>
      <c r="H211" s="5">
        <v>254.2</v>
      </c>
      <c r="I211" s="1" t="s">
        <v>8</v>
      </c>
      <c r="J211" s="25" t="s">
        <v>117</v>
      </c>
      <c r="K211" s="25" t="s">
        <v>154</v>
      </c>
      <c r="L211" s="25">
        <v>14172.5</v>
      </c>
      <c r="M211" s="25">
        <f>ABS((D211*E211)-L211)</f>
        <v>527.5</v>
      </c>
      <c r="N211" s="27" t="str">
        <f>IF(COUNTIFS( $B$2:$B$657, B211, $C$2:$C$657, C211, $D$2:$D$657, D211, $E$2:$E$657, E211) &gt; 1, "Duplicate", "Unique")</f>
        <v>Unique</v>
      </c>
      <c r="O211" s="27"/>
      <c r="P211" s="27"/>
    </row>
    <row r="212" spans="1:16" ht="40.75" customHeight="1" thickBot="1" x14ac:dyDescent="0.4">
      <c r="A212" s="38">
        <v>46253.4</v>
      </c>
      <c r="B212" s="39" t="s">
        <v>6</v>
      </c>
      <c r="C212" s="39" t="s">
        <v>7</v>
      </c>
      <c r="D212" s="39">
        <v>30</v>
      </c>
      <c r="E212" s="39">
        <v>294</v>
      </c>
      <c r="F212" s="4">
        <v>15.656963019999999</v>
      </c>
      <c r="G212" s="2" t="s">
        <v>129</v>
      </c>
      <c r="H212" s="5">
        <v>254.2</v>
      </c>
      <c r="I212" s="1" t="s">
        <v>8</v>
      </c>
      <c r="J212" s="45" t="s">
        <v>117</v>
      </c>
      <c r="K212" s="25" t="s">
        <v>142</v>
      </c>
      <c r="L212" s="25"/>
      <c r="M212" s="25"/>
      <c r="N212" s="27" t="str">
        <f>IF(COUNTIFS( $B$2:$B$657, B212, $C$2:$C$657, C212, $D$2:$D$657, D212, $E$2:$E$657, E212) &gt; 1, "Duplicate", "Unique")</f>
        <v>Unique</v>
      </c>
      <c r="O212" s="27"/>
      <c r="P212" s="27"/>
    </row>
    <row r="213" spans="1:16" ht="27.65" customHeight="1" thickBot="1" x14ac:dyDescent="0.4">
      <c r="A213" s="8" t="s">
        <v>61</v>
      </c>
      <c r="B213" s="8" t="s">
        <v>120</v>
      </c>
      <c r="C213" s="8" t="s">
        <v>7</v>
      </c>
      <c r="D213" s="8">
        <v>10</v>
      </c>
      <c r="E213" s="8">
        <v>816</v>
      </c>
      <c r="F213" s="4">
        <v>15.769312619999999</v>
      </c>
      <c r="G213" s="2" t="s">
        <v>121</v>
      </c>
      <c r="H213" s="5">
        <v>704.85</v>
      </c>
      <c r="I213" s="1" t="s">
        <v>8</v>
      </c>
      <c r="J213" s="32" t="s">
        <v>116</v>
      </c>
      <c r="N213" s="10" t="str">
        <f>IF(COUNTIFS( $B$2:$B$657, B213, $C$2:$C$657, C213, $D$2:$D$657, D213, $E$2:$E$657, E213) &gt; 1, "Duplicate", "Unique")</f>
        <v>Unique</v>
      </c>
      <c r="P213" s="27"/>
    </row>
    <row r="214" spans="1:16" ht="27.65" customHeight="1" thickBot="1" x14ac:dyDescent="0.4">
      <c r="A214" s="3">
        <v>46261.375</v>
      </c>
      <c r="B214" s="1" t="s">
        <v>18</v>
      </c>
      <c r="C214" s="1" t="s">
        <v>7</v>
      </c>
      <c r="D214" s="4">
        <v>2</v>
      </c>
      <c r="E214" s="4">
        <v>1970</v>
      </c>
      <c r="F214" s="4">
        <v>15.81422693</v>
      </c>
      <c r="G214" s="2" t="s">
        <v>101</v>
      </c>
      <c r="H214" s="5">
        <v>1701</v>
      </c>
      <c r="I214" s="1" t="s">
        <v>8</v>
      </c>
      <c r="J214" s="17" t="s">
        <v>116</v>
      </c>
      <c r="K214" s="17" t="s">
        <v>177</v>
      </c>
      <c r="L214" s="17">
        <v>3680</v>
      </c>
      <c r="M214" s="17">
        <f>ABS((D214*E214)-L214)</f>
        <v>260</v>
      </c>
      <c r="N214" s="10" t="str">
        <f>IF(COUNTIFS( $B$2:$B$657, B214, $C$2:$C$657, C214, $D$2:$D$657, D214, $E$2:$E$657, E214) &gt; 1, "Duplicate", "Unique")</f>
        <v>Unique</v>
      </c>
    </row>
    <row r="215" spans="1:16" ht="27.65" customHeight="1" thickBot="1" x14ac:dyDescent="0.4">
      <c r="A215" s="3">
        <v>46275.375</v>
      </c>
      <c r="B215" s="1" t="s">
        <v>23</v>
      </c>
      <c r="C215" s="1" t="s">
        <v>7</v>
      </c>
      <c r="D215" s="4">
        <v>50</v>
      </c>
      <c r="E215" s="4">
        <v>214</v>
      </c>
      <c r="F215" s="4">
        <v>15.95773503</v>
      </c>
      <c r="G215" s="2" t="s">
        <v>69</v>
      </c>
      <c r="H215" s="5">
        <v>184.55</v>
      </c>
      <c r="I215" s="1" t="s">
        <v>8</v>
      </c>
      <c r="J215" s="17" t="s">
        <v>116</v>
      </c>
      <c r="K215" s="17" t="s">
        <v>256</v>
      </c>
      <c r="L215" s="17">
        <v>10400</v>
      </c>
      <c r="M215" s="17">
        <f>ABS((D215*E215)-L215)</f>
        <v>300</v>
      </c>
      <c r="N215" s="10" t="str">
        <f>IF(COUNTIFS( $B$2:$B$657, B215, $C$2:$C$657, C215, $D$2:$D$657, D215, $E$2:$E$657, E215) &gt; 1, "Duplicate", "Unique")</f>
        <v>Unique</v>
      </c>
    </row>
    <row r="216" spans="1:16" ht="40.75" customHeight="1" thickBot="1" x14ac:dyDescent="0.4">
      <c r="A216" s="68">
        <v>46269.643055555556</v>
      </c>
      <c r="B216" s="66" t="s">
        <v>12</v>
      </c>
      <c r="C216" s="66" t="s">
        <v>7</v>
      </c>
      <c r="D216" s="65">
        <v>1</v>
      </c>
      <c r="E216" s="65">
        <v>5448</v>
      </c>
      <c r="F216" s="4">
        <v>16.013628619999999</v>
      </c>
      <c r="G216" s="2" t="s">
        <v>97</v>
      </c>
      <c r="H216" s="5">
        <v>4696</v>
      </c>
      <c r="I216" s="1" t="s">
        <v>8</v>
      </c>
      <c r="J216" s="41" t="s">
        <v>117</v>
      </c>
      <c r="K216" s="41" t="s">
        <v>231</v>
      </c>
      <c r="L216" s="41">
        <v>5180</v>
      </c>
      <c r="M216" s="41">
        <f>ABS((D216*E216)-L216)</f>
        <v>268</v>
      </c>
      <c r="N216" s="67" t="str">
        <f>IF(COUNTIFS( $B$2:$B$657, B216, $C$2:$C$657, C216, $D$2:$D$657, D216, $E$2:$E$657, E216) &gt; 1, "Duplicate", "Unique")</f>
        <v>Unique</v>
      </c>
      <c r="O216" s="22"/>
      <c r="P216" s="22" t="s">
        <v>249</v>
      </c>
    </row>
    <row r="217" spans="1:16" ht="27.65" customHeight="1" thickBot="1" x14ac:dyDescent="0.4">
      <c r="A217" s="3">
        <v>46260.375</v>
      </c>
      <c r="B217" s="1" t="s">
        <v>13</v>
      </c>
      <c r="C217" s="1" t="s">
        <v>7</v>
      </c>
      <c r="D217" s="4">
        <v>5</v>
      </c>
      <c r="E217" s="4">
        <v>1994</v>
      </c>
      <c r="F217" s="4">
        <v>16.268221570000001</v>
      </c>
      <c r="G217" s="2" t="s">
        <v>90</v>
      </c>
      <c r="H217" s="5">
        <v>1715</v>
      </c>
      <c r="I217" s="1" t="s">
        <v>8</v>
      </c>
      <c r="J217" s="17" t="s">
        <v>117</v>
      </c>
      <c r="K217" s="17" t="s">
        <v>169</v>
      </c>
      <c r="L217" s="17">
        <v>9320</v>
      </c>
      <c r="M217" s="17">
        <f>ABS((D217*E217)-L217)</f>
        <v>650</v>
      </c>
      <c r="N217" t="str">
        <f>IF(COUNTIFS( $B$2:$B$657, B217, $C$2:$C$657, C217, $D$2:$D$657, D217, $E$2:$E$657, E217) &gt; 1, "Duplicate", "Unique")</f>
        <v>Unique</v>
      </c>
      <c r="P217" s="27"/>
    </row>
    <row r="218" spans="1:16" s="27" customFormat="1" ht="40.75" customHeight="1" thickBot="1" x14ac:dyDescent="0.4">
      <c r="A218" s="8" t="s">
        <v>61</v>
      </c>
      <c r="B218" s="8" t="s">
        <v>122</v>
      </c>
      <c r="C218" s="8" t="s">
        <v>7</v>
      </c>
      <c r="D218" s="8">
        <v>200</v>
      </c>
      <c r="E218" s="8">
        <v>91.75</v>
      </c>
      <c r="F218" s="4">
        <v>16.286438530000002</v>
      </c>
      <c r="G218" s="2" t="s">
        <v>123</v>
      </c>
      <c r="H218" s="5">
        <v>78.900000000000006</v>
      </c>
      <c r="I218" s="1" t="s">
        <v>8</v>
      </c>
      <c r="J218" s="32"/>
      <c r="K218" s="17"/>
      <c r="L218" s="17"/>
      <c r="M218" s="17"/>
      <c r="N218" s="10" t="str">
        <f>IF(COUNTIFS( $B$2:$B$657, B218, $C$2:$C$657, C218, $D$2:$D$657, D218, $E$2:$E$657, E218) &gt; 1, "Duplicate", "Unique")</f>
        <v>Unique</v>
      </c>
      <c r="O218" s="10"/>
      <c r="P218" s="10"/>
    </row>
    <row r="219" spans="1:16" ht="27.65" customHeight="1" thickBot="1" x14ac:dyDescent="0.4">
      <c r="A219" s="8" t="s">
        <v>61</v>
      </c>
      <c r="B219" s="8" t="s">
        <v>14</v>
      </c>
      <c r="C219" s="8" t="s">
        <v>7</v>
      </c>
      <c r="D219" s="8">
        <v>17</v>
      </c>
      <c r="E219" s="8">
        <v>373</v>
      </c>
      <c r="F219" s="4">
        <v>16.362501949999999</v>
      </c>
      <c r="G219" s="2" t="s">
        <v>44</v>
      </c>
      <c r="H219" s="5">
        <v>320.55</v>
      </c>
      <c r="I219" s="1" t="s">
        <v>8</v>
      </c>
      <c r="J219" s="32"/>
      <c r="N219" s="10" t="str">
        <f>IF(COUNTIFS( $B$2:$B$657, B219, $C$2:$C$657, C219, $D$2:$D$657, D219, $E$2:$E$657, E219) &gt; 1, "Duplicate", "Unique")</f>
        <v>Unique</v>
      </c>
    </row>
    <row r="220" spans="1:16" ht="40.75" customHeight="1" thickBot="1" x14ac:dyDescent="0.4">
      <c r="A220" s="8" t="s">
        <v>61</v>
      </c>
      <c r="B220" s="8" t="s">
        <v>14</v>
      </c>
      <c r="C220" s="8" t="s">
        <v>7</v>
      </c>
      <c r="D220" s="8">
        <v>50</v>
      </c>
      <c r="E220" s="12">
        <v>373</v>
      </c>
      <c r="F220" s="4">
        <v>16.362501949999999</v>
      </c>
      <c r="G220" s="2" t="s">
        <v>44</v>
      </c>
      <c r="H220" s="5">
        <v>320.55</v>
      </c>
      <c r="I220" s="1" t="s">
        <v>8</v>
      </c>
      <c r="J220" s="32" t="s">
        <v>117</v>
      </c>
      <c r="N220" s="10" t="str">
        <f>IF(COUNTIFS( $B$2:$B$657, B220, $C$2:$C$657, C220, $D$2:$D$657, D220, $E$2:$E$657, E220) &gt; 1, "Duplicate", "Unique")</f>
        <v>Unique</v>
      </c>
      <c r="O220" s="27"/>
    </row>
    <row r="221" spans="1:16" ht="27.65" customHeight="1" thickBot="1" x14ac:dyDescent="0.4">
      <c r="A221" s="3">
        <v>46335.442361111112</v>
      </c>
      <c r="B221" s="1" t="s">
        <v>79</v>
      </c>
      <c r="C221" s="1" t="s">
        <v>7</v>
      </c>
      <c r="D221" s="4">
        <v>10</v>
      </c>
      <c r="E221" s="4">
        <v>1460</v>
      </c>
      <c r="F221" s="4">
        <v>16.42743222</v>
      </c>
      <c r="G221" s="2" t="s">
        <v>80</v>
      </c>
      <c r="H221" s="5">
        <v>1254</v>
      </c>
      <c r="I221" s="1" t="s">
        <v>8</v>
      </c>
      <c r="J221" s="17" t="s">
        <v>116</v>
      </c>
      <c r="K221" s="17" t="s">
        <v>260</v>
      </c>
      <c r="L221" s="17">
        <v>14100</v>
      </c>
      <c r="M221" s="17">
        <f>ABS((D221*E221)-L221)</f>
        <v>500</v>
      </c>
      <c r="N221" s="10" t="str">
        <f>IF(COUNTIFS( $B$2:$B$657, B221, $C$2:$C$657, C221, $D$2:$D$657, D221, $E$2:$E$657, E221) &gt; 1, "Duplicate", "Unique")</f>
        <v>Unique</v>
      </c>
    </row>
    <row r="222" spans="1:16" s="27" customFormat="1" ht="40.75" customHeight="1" thickBot="1" x14ac:dyDescent="0.4">
      <c r="A222" s="28">
        <v>46258.443055555559</v>
      </c>
      <c r="B222" s="29" t="s">
        <v>34</v>
      </c>
      <c r="C222" s="29" t="s">
        <v>7</v>
      </c>
      <c r="D222" s="30">
        <v>50</v>
      </c>
      <c r="E222" s="30">
        <v>229.5</v>
      </c>
      <c r="F222" s="4">
        <v>16.651418119999999</v>
      </c>
      <c r="G222" s="2" t="s">
        <v>41</v>
      </c>
      <c r="H222" s="5">
        <v>196.74</v>
      </c>
      <c r="I222" s="1" t="s">
        <v>8</v>
      </c>
      <c r="J222" s="25" t="s">
        <v>117</v>
      </c>
      <c r="K222" s="25" t="s">
        <v>155</v>
      </c>
      <c r="L222" s="25">
        <v>11175</v>
      </c>
      <c r="M222" s="25">
        <f>ABS((D222*E222)-L222)</f>
        <v>300</v>
      </c>
      <c r="N222" s="27" t="str">
        <f>IF(COUNTIFS( $B$2:$B$657, B222, $C$2:$C$657, C222, $D$2:$D$657, D222, $E$2:$E$657, E222) &gt; 1, "Duplicate", "Unique")</f>
        <v>Unique</v>
      </c>
    </row>
    <row r="223" spans="1:16" ht="27.65" customHeight="1" thickBot="1" x14ac:dyDescent="0.4">
      <c r="A223" s="28">
        <v>46259.375</v>
      </c>
      <c r="B223" s="29" t="s">
        <v>34</v>
      </c>
      <c r="C223" s="29" t="s">
        <v>7</v>
      </c>
      <c r="D223" s="30">
        <v>20</v>
      </c>
      <c r="E223" s="30">
        <v>229.5</v>
      </c>
      <c r="F223" s="4">
        <v>16.651418119999999</v>
      </c>
      <c r="G223" s="2" t="s">
        <v>41</v>
      </c>
      <c r="H223" s="5">
        <v>196.74</v>
      </c>
      <c r="I223" s="1" t="s">
        <v>8</v>
      </c>
      <c r="J223" s="25" t="s">
        <v>117</v>
      </c>
      <c r="K223" s="25" t="s">
        <v>160</v>
      </c>
      <c r="L223" s="25">
        <v>4402</v>
      </c>
      <c r="M223" s="25">
        <f>ABS((D223*E223)-L223)</f>
        <v>188</v>
      </c>
      <c r="N223" s="27" t="str">
        <f>IF(COUNTIFS( $B$2:$B$657, B223, $C$2:$C$657, C223, $D$2:$D$657, D223, $E$2:$E$657, E223) &gt; 1, "Duplicate", "Unique")</f>
        <v>Unique</v>
      </c>
      <c r="O223" s="27"/>
      <c r="P223" s="27"/>
    </row>
    <row r="224" spans="1:16" ht="27.65" hidden="1" customHeight="1" thickBot="1" x14ac:dyDescent="0.4">
      <c r="A224" s="6" t="s">
        <v>61</v>
      </c>
      <c r="B224" s="1" t="s">
        <v>15</v>
      </c>
      <c r="C224" s="1" t="s">
        <v>10</v>
      </c>
      <c r="D224" s="4">
        <v>5</v>
      </c>
      <c r="E224" s="4">
        <v>2470</v>
      </c>
      <c r="F224" s="4">
        <v>17.11711712</v>
      </c>
      <c r="G224" s="2" t="s">
        <v>71</v>
      </c>
      <c r="H224" s="5">
        <v>2109</v>
      </c>
      <c r="I224" s="1" t="s">
        <v>8</v>
      </c>
      <c r="J224" s="80" t="s">
        <v>40</v>
      </c>
      <c r="K224" s="16"/>
      <c r="L224" s="16"/>
      <c r="M224" s="16"/>
      <c r="N224" t="str">
        <f>IF(COUNTIFS( $B$2:$B$657, B224, $C$2:$C$657, C224, $D$2:$D$657, D224, $E$2:$E$657, E224) &gt; 1, "Duplicate", "Unique")</f>
        <v>Unique</v>
      </c>
      <c r="P224" s="22"/>
    </row>
    <row r="225" spans="1:16" ht="40.75" customHeight="1" thickBot="1" x14ac:dyDescent="0.4">
      <c r="A225" s="3">
        <v>46265.375694444447</v>
      </c>
      <c r="B225" s="1" t="s">
        <v>86</v>
      </c>
      <c r="C225" s="1" t="s">
        <v>7</v>
      </c>
      <c r="D225" s="4">
        <v>10</v>
      </c>
      <c r="E225" s="4">
        <v>1320</v>
      </c>
      <c r="F225" s="4">
        <v>17.197904640000001</v>
      </c>
      <c r="G225" s="2" t="s">
        <v>87</v>
      </c>
      <c r="H225" s="5">
        <v>1126.3</v>
      </c>
      <c r="I225" s="1" t="s">
        <v>8</v>
      </c>
      <c r="J225" s="17" t="s">
        <v>116</v>
      </c>
      <c r="K225" s="17" t="s">
        <v>197</v>
      </c>
      <c r="L225" s="17">
        <v>12800</v>
      </c>
      <c r="M225" s="17">
        <f>ABS((D225*E225)-L225)</f>
        <v>400</v>
      </c>
      <c r="N225" t="str">
        <f>IF(COUNTIFS( $B$2:$B$657, B225, $C$2:$C$657, C225, $D$2:$D$657, D225, $E$2:$E$657, E225) &gt; 1, "Duplicate", "Unique")</f>
        <v>Unique</v>
      </c>
    </row>
    <row r="226" spans="1:16" ht="27.65" customHeight="1" thickBot="1" x14ac:dyDescent="0.4">
      <c r="A226" s="3">
        <v>46276.4</v>
      </c>
      <c r="B226" s="1" t="s">
        <v>79</v>
      </c>
      <c r="C226" s="1" t="s">
        <v>7</v>
      </c>
      <c r="D226" s="4">
        <v>10</v>
      </c>
      <c r="E226" s="4">
        <v>1470</v>
      </c>
      <c r="F226" s="4">
        <v>17.224880379999998</v>
      </c>
      <c r="G226" s="2" t="s">
        <v>80</v>
      </c>
      <c r="H226" s="5">
        <v>1254</v>
      </c>
      <c r="I226" s="1" t="s">
        <v>8</v>
      </c>
      <c r="J226" s="17" t="s">
        <v>116</v>
      </c>
      <c r="K226" s="17" t="s">
        <v>262</v>
      </c>
      <c r="L226" s="17">
        <v>14200</v>
      </c>
      <c r="M226" s="17">
        <f>ABS((D226*E226)-L226)</f>
        <v>500</v>
      </c>
      <c r="N226" s="10" t="str">
        <f>IF(COUNTIFS( $B$2:$B$657, B226, $C$2:$C$657, C226, $D$2:$D$657, D226, $E$2:$E$657, E226) &gt; 1, "Duplicate", "Unique")</f>
        <v>Unique</v>
      </c>
    </row>
    <row r="227" spans="1:16" s="27" customFormat="1" ht="27.65" hidden="1" customHeight="1" thickBot="1" x14ac:dyDescent="0.4">
      <c r="A227" s="3">
        <v>46266.375</v>
      </c>
      <c r="B227" s="1" t="s">
        <v>88</v>
      </c>
      <c r="C227" s="1" t="s">
        <v>7</v>
      </c>
      <c r="D227" s="4">
        <v>1</v>
      </c>
      <c r="E227" s="4">
        <v>14852</v>
      </c>
      <c r="F227" s="4">
        <v>17.258803090000001</v>
      </c>
      <c r="G227" s="2" t="s">
        <v>89</v>
      </c>
      <c r="H227" s="5">
        <v>12666</v>
      </c>
      <c r="I227" s="1" t="s">
        <v>8</v>
      </c>
      <c r="J227" s="17" t="s">
        <v>117</v>
      </c>
      <c r="K227" s="17" t="s">
        <v>215</v>
      </c>
      <c r="L227" s="17">
        <v>14552</v>
      </c>
      <c r="M227" s="17">
        <f>ABS((D227*E227)-L227)</f>
        <v>300</v>
      </c>
      <c r="N227" s="10" t="str">
        <f>IF(COUNTIFS( $B$2:$B$657, B227, $C$2:$C$657, C227, $D$2:$D$657, D227, $E$2:$E$657, E227) &gt; 1, "Duplicate", "Unique")</f>
        <v>Unique</v>
      </c>
      <c r="O227" s="36" t="s">
        <v>237</v>
      </c>
    </row>
    <row r="228" spans="1:16" s="27" customFormat="1" ht="40.75" customHeight="1" thickBot="1" x14ac:dyDescent="0.4">
      <c r="A228" s="11">
        <v>46252.6875</v>
      </c>
      <c r="B228" s="8" t="s">
        <v>13</v>
      </c>
      <c r="C228" s="8" t="s">
        <v>7</v>
      </c>
      <c r="D228" s="8">
        <v>5</v>
      </c>
      <c r="E228" s="8">
        <v>2014</v>
      </c>
      <c r="F228" s="4">
        <v>17.434402330000001</v>
      </c>
      <c r="G228" s="2" t="s">
        <v>90</v>
      </c>
      <c r="H228" s="5">
        <v>1715</v>
      </c>
      <c r="I228" s="1" t="s">
        <v>8</v>
      </c>
      <c r="J228" s="32" t="s">
        <v>117</v>
      </c>
      <c r="K228" s="17"/>
      <c r="L228" s="17"/>
      <c r="M228" s="17"/>
      <c r="N228" s="10" t="str">
        <f>IF(COUNTIFS( $B$2:$B$657, B228, $C$2:$C$657, C228, $D$2:$D$657, D228, $E$2:$E$657, E228) &gt; 1, "Duplicate", "Unique")</f>
        <v>Unique</v>
      </c>
      <c r="P228" s="10"/>
    </row>
    <row r="229" spans="1:16" ht="40.75" customHeight="1" thickBot="1" x14ac:dyDescent="0.4">
      <c r="A229" s="3">
        <v>46276.375</v>
      </c>
      <c r="B229" s="1" t="s">
        <v>102</v>
      </c>
      <c r="C229" s="1" t="s">
        <v>7</v>
      </c>
      <c r="D229" s="4">
        <v>8</v>
      </c>
      <c r="E229" s="4">
        <v>2472</v>
      </c>
      <c r="F229" s="4">
        <v>17.434679330000002</v>
      </c>
      <c r="G229" s="2" t="s">
        <v>103</v>
      </c>
      <c r="H229" s="5">
        <v>2105</v>
      </c>
      <c r="I229" s="1" t="s">
        <v>8</v>
      </c>
      <c r="J229" s="17" t="s">
        <v>116</v>
      </c>
      <c r="K229" s="17" t="s">
        <v>267</v>
      </c>
      <c r="L229" s="17">
        <v>18960</v>
      </c>
      <c r="M229" s="17">
        <f>ABS((D229*E229)-L229)</f>
        <v>816</v>
      </c>
      <c r="N229" s="10" t="str">
        <f>IF(COUNTIFS( $B$2:$B$657, B229, $C$2:$C$657, C229, $D$2:$D$657, D229, $E$2:$E$657, E229) &gt; 1, "Duplicate", "Unique")</f>
        <v>Unique</v>
      </c>
    </row>
    <row r="230" spans="1:16" s="27" customFormat="1" ht="40.75" customHeight="1" thickBot="1" x14ac:dyDescent="0.4">
      <c r="A230" s="3">
        <v>46266.375694444447</v>
      </c>
      <c r="B230" s="1" t="s">
        <v>65</v>
      </c>
      <c r="C230" s="1" t="s">
        <v>7</v>
      </c>
      <c r="D230" s="4">
        <v>5</v>
      </c>
      <c r="E230" s="4">
        <v>1248</v>
      </c>
      <c r="F230" s="4">
        <v>17.536259179999998</v>
      </c>
      <c r="G230" s="2" t="s">
        <v>66</v>
      </c>
      <c r="H230" s="5">
        <v>1061.8</v>
      </c>
      <c r="I230" s="1" t="s">
        <v>8</v>
      </c>
      <c r="J230" s="17" t="s">
        <v>116</v>
      </c>
      <c r="K230" s="17" t="s">
        <v>207</v>
      </c>
      <c r="L230" s="17">
        <v>5940</v>
      </c>
      <c r="M230" s="17">
        <f>ABS((D230*E230)-L230)</f>
        <v>300</v>
      </c>
      <c r="N230" s="10" t="str">
        <f>IF(COUNTIFS( $B$2:$B$657, B230, $C$2:$C$657, C230, $D$2:$D$657, D230, $E$2:$E$657, E230) &gt; 1, "Duplicate", "Unique")</f>
        <v>Unique</v>
      </c>
      <c r="O230" s="10"/>
      <c r="P230" s="10"/>
    </row>
    <row r="231" spans="1:16" ht="40.75" customHeight="1" thickBot="1" x14ac:dyDescent="0.4">
      <c r="A231" s="11">
        <v>46252.6875</v>
      </c>
      <c r="B231" s="8" t="s">
        <v>27</v>
      </c>
      <c r="C231" s="8" t="s">
        <v>7</v>
      </c>
      <c r="D231" s="8">
        <v>2</v>
      </c>
      <c r="E231" s="8">
        <v>3048</v>
      </c>
      <c r="F231" s="4">
        <v>17.683397679999999</v>
      </c>
      <c r="G231" s="2" t="s">
        <v>130</v>
      </c>
      <c r="H231" s="5">
        <v>2590</v>
      </c>
      <c r="I231" s="1" t="s">
        <v>8</v>
      </c>
      <c r="J231" s="32" t="s">
        <v>116</v>
      </c>
      <c r="N231" s="10" t="str">
        <f>IF(COUNTIFS( $B$2:$B$657, B231, $C$2:$C$657, C231, $D$2:$D$657, D231, $E$2:$E$657, E231) &gt; 1, "Duplicate", "Unique")</f>
        <v>Unique</v>
      </c>
    </row>
    <row r="232" spans="1:16" s="27" customFormat="1" ht="27.65" customHeight="1" thickBot="1" x14ac:dyDescent="0.4">
      <c r="A232" s="11">
        <v>46252.645138888889</v>
      </c>
      <c r="B232" s="8" t="s">
        <v>34</v>
      </c>
      <c r="C232" s="8" t="s">
        <v>7</v>
      </c>
      <c r="D232" s="8">
        <v>200</v>
      </c>
      <c r="E232" s="8">
        <v>232</v>
      </c>
      <c r="F232" s="4">
        <v>17.922130729999999</v>
      </c>
      <c r="G232" s="2" t="s">
        <v>41</v>
      </c>
      <c r="H232" s="5">
        <v>196.74</v>
      </c>
      <c r="I232" s="1" t="s">
        <v>8</v>
      </c>
      <c r="J232" s="16" t="s">
        <v>116</v>
      </c>
      <c r="K232" s="17"/>
      <c r="L232" s="17"/>
      <c r="M232" s="17"/>
      <c r="N232" s="10" t="str">
        <f>IF(COUNTIFS( $B$2:$B$657, B232, $C$2:$C$657, C232, $D$2:$D$657, D232, $E$2:$E$657, E232) &gt; 1, "Duplicate", "Unique")</f>
        <v>Unique</v>
      </c>
      <c r="O232" s="10"/>
      <c r="P232" s="10"/>
    </row>
    <row r="233" spans="1:16" s="27" customFormat="1" ht="27.65" customHeight="1" thickBot="1" x14ac:dyDescent="0.4">
      <c r="A233" s="3">
        <v>46260.554861111108</v>
      </c>
      <c r="B233" s="1" t="s">
        <v>12</v>
      </c>
      <c r="C233" s="1" t="s">
        <v>7</v>
      </c>
      <c r="D233" s="4">
        <v>1</v>
      </c>
      <c r="E233" s="4">
        <v>5540</v>
      </c>
      <c r="F233" s="4">
        <v>17.972742759999999</v>
      </c>
      <c r="G233" s="2" t="s">
        <v>97</v>
      </c>
      <c r="H233" s="5">
        <v>4696</v>
      </c>
      <c r="I233" s="1" t="s">
        <v>8</v>
      </c>
      <c r="J233" s="17" t="s">
        <v>117</v>
      </c>
      <c r="K233" s="17" t="s">
        <v>163</v>
      </c>
      <c r="L233" s="17">
        <v>5290</v>
      </c>
      <c r="M233" s="17">
        <f>ABS((D233*E233)-L233)</f>
        <v>250</v>
      </c>
      <c r="N233" t="str">
        <f>IF(COUNTIFS( $B$2:$B$657, B233, $C$2:$C$657, C233, $D$2:$D$657, D233, $E$2:$E$657, E233) &gt; 1, "Duplicate", "Unique")</f>
        <v>Unique</v>
      </c>
      <c r="O233" s="10"/>
      <c r="P233" s="10"/>
    </row>
    <row r="234" spans="1:16" ht="27.65" customHeight="1" thickBot="1" x14ac:dyDescent="0.4">
      <c r="A234" s="8" t="s">
        <v>61</v>
      </c>
      <c r="B234" s="8" t="s">
        <v>6</v>
      </c>
      <c r="C234" s="8" t="s">
        <v>7</v>
      </c>
      <c r="D234" s="8">
        <v>120</v>
      </c>
      <c r="E234" s="8">
        <v>300.5</v>
      </c>
      <c r="F234" s="4">
        <v>18.214004719999998</v>
      </c>
      <c r="G234" s="2" t="s">
        <v>129</v>
      </c>
      <c r="H234" s="5">
        <v>254.2</v>
      </c>
      <c r="I234" s="1" t="s">
        <v>8</v>
      </c>
      <c r="J234" s="32" t="s">
        <v>117</v>
      </c>
      <c r="N234" s="10" t="str">
        <f>IF(COUNTIFS( $B$2:$B$657, B234, $C$2:$C$657, C234, $D$2:$D$657, D234, $E$2:$E$657, E234) &gt; 1, "Duplicate", "Unique")</f>
        <v>Unique</v>
      </c>
    </row>
    <row r="235" spans="1:16" ht="27.65" customHeight="1" thickBot="1" x14ac:dyDescent="0.4">
      <c r="A235" s="3">
        <v>46290.385416666664</v>
      </c>
      <c r="B235" s="2" t="s">
        <v>278</v>
      </c>
      <c r="C235" s="2" t="s">
        <v>7</v>
      </c>
      <c r="D235" s="5">
        <v>2</v>
      </c>
      <c r="E235" s="5">
        <v>1885.5</v>
      </c>
      <c r="F235" s="4">
        <v>18.465694899999999</v>
      </c>
      <c r="G235" s="2" t="s">
        <v>280</v>
      </c>
      <c r="H235" s="5">
        <v>1591.6</v>
      </c>
      <c r="I235" s="1" t="s">
        <v>8</v>
      </c>
      <c r="J235" s="17" t="s">
        <v>117</v>
      </c>
      <c r="K235" s="17" t="s">
        <v>287</v>
      </c>
      <c r="L235" s="17">
        <v>3521</v>
      </c>
      <c r="M235" s="17">
        <f>ABS((D235*E235)-L235)</f>
        <v>250</v>
      </c>
      <c r="N235" s="10" t="str">
        <f>IF(COUNTIFS( $B$2:$B$657, B235, $C$2:$C$657, C235, $D$2:$D$657, D235, $E$2:$E$657, E235) &gt; 1, "Duplicate", "Unique")</f>
        <v>Unique</v>
      </c>
    </row>
    <row r="236" spans="1:16" ht="27.65" hidden="1" customHeight="1" thickBot="1" x14ac:dyDescent="0.4">
      <c r="A236" s="3">
        <v>46269.614583333336</v>
      </c>
      <c r="B236" s="1" t="s">
        <v>23</v>
      </c>
      <c r="C236" s="1" t="s">
        <v>7</v>
      </c>
      <c r="D236" s="4">
        <v>40</v>
      </c>
      <c r="E236" s="4">
        <v>219</v>
      </c>
      <c r="F236" s="4">
        <v>18.667027910000002</v>
      </c>
      <c r="G236" s="2" t="s">
        <v>69</v>
      </c>
      <c r="H236" s="5">
        <v>184.55</v>
      </c>
      <c r="I236" s="1" t="s">
        <v>8</v>
      </c>
      <c r="J236" s="17" t="s">
        <v>116</v>
      </c>
      <c r="K236" s="17" t="s">
        <v>233</v>
      </c>
      <c r="L236" s="17">
        <v>8480</v>
      </c>
      <c r="M236" s="24">
        <f>ABS((D236*E236)-L236)</f>
        <v>280</v>
      </c>
      <c r="N236" t="str">
        <f>IF(COUNTIFS( $B$2:$B$657, B236, $C$2:$C$657, C236, $D$2:$D$657, D236, $E$2:$E$657, E236) &gt; 1, "Duplicate", "Unique")</f>
        <v>Unique</v>
      </c>
      <c r="O236" s="36" t="s">
        <v>237</v>
      </c>
    </row>
    <row r="237" spans="1:16" ht="40.75" customHeight="1" thickBot="1" x14ac:dyDescent="0.4">
      <c r="A237" s="3">
        <v>46262.375</v>
      </c>
      <c r="B237" s="1" t="s">
        <v>58</v>
      </c>
      <c r="C237" s="1" t="s">
        <v>7</v>
      </c>
      <c r="D237" s="4">
        <v>4</v>
      </c>
      <c r="E237" s="4">
        <v>1146</v>
      </c>
      <c r="F237" s="4">
        <v>18.725718730000001</v>
      </c>
      <c r="G237" s="2" t="s">
        <v>59</v>
      </c>
      <c r="H237" s="5">
        <v>965.25</v>
      </c>
      <c r="I237" s="1" t="s">
        <v>8</v>
      </c>
      <c r="J237" s="17" t="s">
        <v>116</v>
      </c>
      <c r="K237" s="17" t="s">
        <v>185</v>
      </c>
      <c r="L237" s="17">
        <v>4264</v>
      </c>
      <c r="M237" s="17">
        <f>ABS((D237*E237)-L237)</f>
        <v>320</v>
      </c>
      <c r="N237" s="10" t="str">
        <f>IF(COUNTIFS( $B$2:$B$657, B237, $C$2:$C$657, C237, $D$2:$D$657, D237, $E$2:$E$657, E237) &gt; 1, "Duplicate", "Unique")</f>
        <v>Unique</v>
      </c>
    </row>
    <row r="238" spans="1:16" ht="40.75" customHeight="1" thickBot="1" x14ac:dyDescent="0.4">
      <c r="A238" s="3">
        <v>46265.486111111109</v>
      </c>
      <c r="B238" s="1" t="s">
        <v>58</v>
      </c>
      <c r="C238" s="1" t="s">
        <v>7</v>
      </c>
      <c r="D238" s="4">
        <v>5</v>
      </c>
      <c r="E238" s="4">
        <v>1146</v>
      </c>
      <c r="F238" s="4">
        <v>18.725718730000001</v>
      </c>
      <c r="G238" s="2" t="s">
        <v>59</v>
      </c>
      <c r="H238" s="5">
        <v>965.25</v>
      </c>
      <c r="I238" s="1" t="s">
        <v>8</v>
      </c>
      <c r="J238" s="17" t="s">
        <v>117</v>
      </c>
      <c r="K238" s="17" t="s">
        <v>191</v>
      </c>
      <c r="L238" s="17">
        <v>5282</v>
      </c>
      <c r="M238" s="17">
        <f>ABS((D238*E238)-L238)</f>
        <v>448</v>
      </c>
      <c r="N238" t="str">
        <f>IF(COUNTIFS( $B$2:$B$657, B238, $C$2:$C$657, C238, $D$2:$D$657, D238, $E$2:$E$657, E238) &gt; 1, "Duplicate", "Unique")</f>
        <v>Unique</v>
      </c>
    </row>
    <row r="239" spans="1:16" ht="27.65" customHeight="1" thickBot="1" x14ac:dyDescent="0.4">
      <c r="A239" s="3">
        <v>46276.390277777777</v>
      </c>
      <c r="B239" s="1" t="s">
        <v>79</v>
      </c>
      <c r="C239" s="1" t="s">
        <v>7</v>
      </c>
      <c r="D239" s="4">
        <v>10</v>
      </c>
      <c r="E239" s="4">
        <v>1490</v>
      </c>
      <c r="F239" s="4">
        <v>18.819776709999999</v>
      </c>
      <c r="G239" s="2" t="s">
        <v>80</v>
      </c>
      <c r="H239" s="5">
        <v>1254</v>
      </c>
      <c r="I239" s="1" t="s">
        <v>8</v>
      </c>
      <c r="J239" s="17" t="s">
        <v>116</v>
      </c>
      <c r="K239" s="17" t="s">
        <v>263</v>
      </c>
      <c r="L239" s="17">
        <v>14400</v>
      </c>
      <c r="M239" s="17">
        <f>ABS((D239*E239)-L239)</f>
        <v>500</v>
      </c>
      <c r="N239" s="10" t="str">
        <f>IF(COUNTIFS( $B$2:$B$657, B239, $C$2:$C$657, C239, $D$2:$D$657, D239, $E$2:$E$657, E239) &gt; 1, "Duplicate", "Unique")</f>
        <v>Unique</v>
      </c>
    </row>
    <row r="240" spans="1:16" ht="27.65" customHeight="1" thickBot="1" x14ac:dyDescent="0.4">
      <c r="A240" s="3">
        <v>46262.375</v>
      </c>
      <c r="B240" s="1" t="s">
        <v>86</v>
      </c>
      <c r="C240" s="1" t="s">
        <v>7</v>
      </c>
      <c r="D240" s="4">
        <v>10</v>
      </c>
      <c r="E240" s="4">
        <v>1340</v>
      </c>
      <c r="F240" s="4">
        <v>18.97363047</v>
      </c>
      <c r="G240" s="2" t="s">
        <v>87</v>
      </c>
      <c r="H240" s="5">
        <v>1126.3</v>
      </c>
      <c r="I240" s="1" t="s">
        <v>8</v>
      </c>
      <c r="J240" s="17" t="s">
        <v>116</v>
      </c>
      <c r="K240" s="17" t="s">
        <v>184</v>
      </c>
      <c r="L240" s="17">
        <v>13030</v>
      </c>
      <c r="M240" s="17">
        <f>ABS((D240*E240)-L240)</f>
        <v>370</v>
      </c>
      <c r="N240" s="10" t="str">
        <f>IF(COUNTIFS( $B$2:$B$657, B240, $C$2:$C$657, C240, $D$2:$D$657, D240, $E$2:$E$657, E240) &gt; 1, "Duplicate", "Unique")</f>
        <v>Unique</v>
      </c>
      <c r="P240" s="27"/>
    </row>
    <row r="241" spans="1:16" ht="40.75" customHeight="1" thickBot="1" x14ac:dyDescent="0.4">
      <c r="A241" s="11">
        <v>46252.635416666664</v>
      </c>
      <c r="B241" s="8" t="s">
        <v>34</v>
      </c>
      <c r="C241" s="8" t="s">
        <v>7</v>
      </c>
      <c r="D241" s="8">
        <v>200</v>
      </c>
      <c r="E241" s="8">
        <v>235</v>
      </c>
      <c r="F241" s="4">
        <v>19.446985869999999</v>
      </c>
      <c r="G241" s="2" t="s">
        <v>41</v>
      </c>
      <c r="H241" s="5">
        <v>196.74</v>
      </c>
      <c r="I241" s="1" t="s">
        <v>8</v>
      </c>
      <c r="J241" s="35" t="s">
        <v>54</v>
      </c>
      <c r="N241" s="10" t="str">
        <f>IF(COUNTIFS( $B$2:$B$657, B241, $C$2:$C$657, C241, $D$2:$D$657, D241, $E$2:$E$657, E241) &gt; 1, "Duplicate", "Unique")</f>
        <v>Unique</v>
      </c>
    </row>
    <row r="242" spans="1:16" ht="27.65" customHeight="1" thickBot="1" x14ac:dyDescent="0.4">
      <c r="A242" s="8" t="s">
        <v>61</v>
      </c>
      <c r="B242" s="8" t="s">
        <v>14</v>
      </c>
      <c r="C242" s="8" t="s">
        <v>7</v>
      </c>
      <c r="D242" s="8">
        <v>50</v>
      </c>
      <c r="E242" s="12">
        <v>383</v>
      </c>
      <c r="F242" s="4">
        <v>19.48214007</v>
      </c>
      <c r="G242" s="2" t="s">
        <v>44</v>
      </c>
      <c r="H242" s="5">
        <v>320.55</v>
      </c>
      <c r="I242" s="1" t="s">
        <v>8</v>
      </c>
      <c r="J242" s="32"/>
      <c r="N242" s="10" t="str">
        <f>IF(COUNTIFS( $B$2:$B$657, B242, $C$2:$C$657, C242, $D$2:$D$657, D242, $E$2:$E$657, E242) &gt; 1, "Duplicate", "Unique")</f>
        <v>Unique</v>
      </c>
    </row>
    <row r="243" spans="1:16" ht="40.75" customHeight="1" thickBot="1" x14ac:dyDescent="0.4">
      <c r="A243" s="3">
        <v>46290.385416666664</v>
      </c>
      <c r="B243" s="2" t="s">
        <v>22</v>
      </c>
      <c r="C243" s="2" t="s">
        <v>7</v>
      </c>
      <c r="D243" s="5">
        <v>10</v>
      </c>
      <c r="E243" s="5">
        <v>449</v>
      </c>
      <c r="F243" s="4">
        <v>19.78124583</v>
      </c>
      <c r="G243" s="2" t="s">
        <v>72</v>
      </c>
      <c r="H243" s="5">
        <v>374.85</v>
      </c>
      <c r="I243" s="1" t="s">
        <v>8</v>
      </c>
      <c r="J243" s="17" t="s">
        <v>117</v>
      </c>
      <c r="K243" s="17" t="s">
        <v>288</v>
      </c>
      <c r="L243" s="17">
        <v>4200</v>
      </c>
      <c r="M243" s="17">
        <f>ABS((D243*E243)-L243)</f>
        <v>290</v>
      </c>
      <c r="N243" s="10" t="str">
        <f>IF(COUNTIFS( $B$2:$B$657, B243, $C$2:$C$657, C243, $D$2:$D$657, D243, $E$2:$E$657, E243) &gt; 1, "Duplicate", "Unique")</f>
        <v>Unique</v>
      </c>
    </row>
    <row r="244" spans="1:16" ht="27.65" customHeight="1" thickBot="1" x14ac:dyDescent="0.4">
      <c r="A244" s="8" t="s">
        <v>61</v>
      </c>
      <c r="B244" s="8" t="s">
        <v>132</v>
      </c>
      <c r="C244" s="8" t="s">
        <v>7</v>
      </c>
      <c r="D244" s="8">
        <v>150</v>
      </c>
      <c r="E244" s="12">
        <v>129.9</v>
      </c>
      <c r="F244" s="4">
        <v>19.98891557</v>
      </c>
      <c r="G244" s="2" t="s">
        <v>133</v>
      </c>
      <c r="H244" s="5">
        <v>108.26</v>
      </c>
      <c r="I244" s="1" t="s">
        <v>8</v>
      </c>
      <c r="J244" s="32"/>
      <c r="N244" s="10" t="str">
        <f>IF(COUNTIFS( $B$2:$B$657, B244, $C$2:$C$657, C244, $D$2:$D$657, D244, $E$2:$E$657, E244) &gt; 1, "Duplicate", "Unique")</f>
        <v>Unique</v>
      </c>
    </row>
    <row r="245" spans="1:16" ht="27.65" hidden="1" customHeight="1" thickBot="1" x14ac:dyDescent="0.4">
      <c r="A245" s="3">
        <v>46335.421527777777</v>
      </c>
      <c r="B245" s="1" t="s">
        <v>16</v>
      </c>
      <c r="C245" s="1" t="s">
        <v>7</v>
      </c>
      <c r="D245" s="4">
        <v>10</v>
      </c>
      <c r="E245" s="4">
        <v>884.9</v>
      </c>
      <c r="F245" s="4">
        <v>20.18199104</v>
      </c>
      <c r="G245" s="2" t="s">
        <v>60</v>
      </c>
      <c r="H245" s="5">
        <v>736.3</v>
      </c>
      <c r="I245" s="1" t="s">
        <v>8</v>
      </c>
      <c r="J245" s="17" t="s">
        <v>117</v>
      </c>
      <c r="K245" s="17" t="s">
        <v>261</v>
      </c>
      <c r="L245" s="17">
        <v>8049</v>
      </c>
      <c r="M245" s="17">
        <f>ABS((D245*E245)-L245)</f>
        <v>800</v>
      </c>
      <c r="N245" s="10" t="str">
        <f>IF(COUNTIFS( $B$2:$B$657, B245, $C$2:$C$657, C245, $D$2:$D$657, D245, $E$2:$E$657, E245) &gt; 1, "Duplicate", "Unique")</f>
        <v>Unique</v>
      </c>
      <c r="O245" s="36" t="s">
        <v>237</v>
      </c>
    </row>
    <row r="246" spans="1:16" ht="27.65" customHeight="1" thickBot="1" x14ac:dyDescent="0.4">
      <c r="A246" s="8" t="s">
        <v>61</v>
      </c>
      <c r="B246" s="8" t="s">
        <v>28</v>
      </c>
      <c r="C246" s="8" t="s">
        <v>7</v>
      </c>
      <c r="D246" s="8">
        <v>30</v>
      </c>
      <c r="E246" s="13">
        <v>974</v>
      </c>
      <c r="F246" s="4">
        <v>20.410433919999999</v>
      </c>
      <c r="G246" s="2" t="s">
        <v>124</v>
      </c>
      <c r="H246" s="5">
        <v>808.9</v>
      </c>
      <c r="I246" s="1" t="s">
        <v>8</v>
      </c>
      <c r="J246" s="32"/>
      <c r="N246" s="10" t="str">
        <f>IF(COUNTIFS( $B$2:$B$657, B246, $C$2:$C$657, C246, $D$2:$D$657, D246, $E$2:$E$657, E246) &gt; 1, "Duplicate", "Unique")</f>
        <v>Unique</v>
      </c>
    </row>
    <row r="247" spans="1:16" ht="27.65" customHeight="1" thickBot="1" x14ac:dyDescent="0.4">
      <c r="A247" s="3">
        <v>46276.388194444444</v>
      </c>
      <c r="B247" s="1" t="s">
        <v>79</v>
      </c>
      <c r="C247" s="1" t="s">
        <v>7</v>
      </c>
      <c r="D247" s="4">
        <v>10</v>
      </c>
      <c r="E247" s="4">
        <v>1510</v>
      </c>
      <c r="F247" s="4">
        <v>20.414673050000001</v>
      </c>
      <c r="G247" s="2" t="s">
        <v>80</v>
      </c>
      <c r="H247" s="5">
        <v>1254</v>
      </c>
      <c r="I247" s="1" t="s">
        <v>8</v>
      </c>
      <c r="J247" s="17" t="s">
        <v>116</v>
      </c>
      <c r="K247" s="17" t="s">
        <v>264</v>
      </c>
      <c r="L247" s="17">
        <v>14650</v>
      </c>
      <c r="M247" s="17">
        <f>ABS((D247*E247)-L247)</f>
        <v>450</v>
      </c>
      <c r="N247" s="10" t="str">
        <f>IF(COUNTIFS( $B$2:$B$657, B247, $C$2:$C$657, C247, $D$2:$D$657, D247, $E$2:$E$657, E247) &gt; 1, "Duplicate", "Unique")</f>
        <v>Unique</v>
      </c>
    </row>
    <row r="248" spans="1:16" s="27" customFormat="1" ht="27.65" customHeight="1" thickBot="1" x14ac:dyDescent="0.4">
      <c r="A248" s="3">
        <v>46262.375</v>
      </c>
      <c r="B248" s="1" t="s">
        <v>86</v>
      </c>
      <c r="C248" s="1" t="s">
        <v>7</v>
      </c>
      <c r="D248" s="4">
        <v>10</v>
      </c>
      <c r="E248" s="4">
        <v>1360</v>
      </c>
      <c r="F248" s="4">
        <v>20.749356299999999</v>
      </c>
      <c r="G248" s="2" t="s">
        <v>87</v>
      </c>
      <c r="H248" s="5">
        <v>1126.3</v>
      </c>
      <c r="I248" s="1" t="s">
        <v>8</v>
      </c>
      <c r="J248" s="17" t="s">
        <v>116</v>
      </c>
      <c r="K248" s="17" t="s">
        <v>187</v>
      </c>
      <c r="L248" s="17">
        <v>13300</v>
      </c>
      <c r="M248" s="17">
        <f>ABS((D248*E248)-L248)</f>
        <v>300</v>
      </c>
      <c r="N248" s="10" t="str">
        <f>IF(COUNTIFS( $B$2:$B$657, B248, $C$2:$C$657, C248, $D$2:$D$657, D248, $E$2:$E$657, E248) &gt; 1, "Duplicate", "Unique")</f>
        <v>Unique</v>
      </c>
      <c r="O248" s="10"/>
      <c r="P248" s="10"/>
    </row>
    <row r="249" spans="1:16" s="27" customFormat="1" ht="40.75" hidden="1" customHeight="1" thickBot="1" x14ac:dyDescent="0.4">
      <c r="A249" s="3">
        <v>46275.507638888892</v>
      </c>
      <c r="B249" s="1" t="s">
        <v>15</v>
      </c>
      <c r="C249" s="1" t="s">
        <v>7</v>
      </c>
      <c r="D249" s="4">
        <v>10</v>
      </c>
      <c r="E249" s="4">
        <v>2548</v>
      </c>
      <c r="F249" s="4">
        <v>20.815552390000001</v>
      </c>
      <c r="G249" s="2" t="s">
        <v>71</v>
      </c>
      <c r="H249" s="5">
        <v>2109</v>
      </c>
      <c r="I249" s="1" t="s">
        <v>8</v>
      </c>
      <c r="J249" s="17" t="s">
        <v>116</v>
      </c>
      <c r="K249" s="17" t="s">
        <v>257</v>
      </c>
      <c r="L249" s="17">
        <v>73800</v>
      </c>
      <c r="M249" s="17">
        <f>ABS((D249*E249)-L249)</f>
        <v>48320</v>
      </c>
      <c r="N249" s="10" t="str">
        <f>IF(COUNTIFS( $B$2:$B$657, B249, $C$2:$C$657, C249, $D$2:$D$657, D249, $E$2:$E$657, E249) &gt; 1, "Duplicate", "Unique")</f>
        <v>Unique</v>
      </c>
      <c r="O249" s="36" t="s">
        <v>237</v>
      </c>
      <c r="P249" s="10"/>
    </row>
    <row r="250" spans="1:16" ht="27.65" customHeight="1" thickBot="1" x14ac:dyDescent="0.4">
      <c r="A250" s="46">
        <v>46304.375</v>
      </c>
      <c r="B250" s="2" t="s">
        <v>110</v>
      </c>
      <c r="C250" s="2" t="s">
        <v>7</v>
      </c>
      <c r="D250" s="5">
        <v>10</v>
      </c>
      <c r="E250" s="5">
        <v>511</v>
      </c>
      <c r="F250" s="4">
        <v>20.918125889999999</v>
      </c>
      <c r="G250" s="2" t="s">
        <v>111</v>
      </c>
      <c r="H250" s="5">
        <v>422.6</v>
      </c>
      <c r="I250" s="1" t="s">
        <v>8</v>
      </c>
      <c r="J250" s="17" t="s">
        <v>117</v>
      </c>
      <c r="K250" s="17" t="s">
        <v>315</v>
      </c>
      <c r="L250" s="17">
        <v>4110</v>
      </c>
      <c r="M250" s="17">
        <f>ABS((D250*E250)-L250)</f>
        <v>1000</v>
      </c>
      <c r="N250" t="str">
        <f>IF(COUNTIFS( $B$2:$B$657, B250, $C$2:$C$657, C250, $D$2:$D$657, D250, $E$2:$E$657, E250) &gt; 1, "Duplicate", "Unique")</f>
        <v>Unique</v>
      </c>
    </row>
    <row r="251" spans="1:16" ht="27.65" customHeight="1" thickBot="1" x14ac:dyDescent="0.4">
      <c r="A251" s="11">
        <v>46252.635416666664</v>
      </c>
      <c r="B251" s="8" t="s">
        <v>34</v>
      </c>
      <c r="C251" s="8" t="s">
        <v>7</v>
      </c>
      <c r="D251" s="8">
        <v>120</v>
      </c>
      <c r="E251" s="8">
        <v>238.2</v>
      </c>
      <c r="F251" s="4">
        <v>21.073498019999999</v>
      </c>
      <c r="G251" s="2" t="s">
        <v>41</v>
      </c>
      <c r="H251" s="5">
        <v>196.74</v>
      </c>
      <c r="I251" s="1" t="s">
        <v>8</v>
      </c>
      <c r="J251" s="32" t="s">
        <v>117</v>
      </c>
      <c r="K251" s="17" t="s">
        <v>144</v>
      </c>
      <c r="N251" s="10" t="str">
        <f>IF(COUNTIFS( $B$2:$B$657, B251, $C$2:$C$657, C251, $D$2:$D$657, D251, $E$2:$E$657, E251) &gt; 1, "Duplicate", "Unique")</f>
        <v>Unique</v>
      </c>
    </row>
    <row r="252" spans="1:16" ht="27.65" customHeight="1" thickBot="1" x14ac:dyDescent="0.4">
      <c r="A252" s="8" t="s">
        <v>61</v>
      </c>
      <c r="B252" s="8" t="s">
        <v>127</v>
      </c>
      <c r="C252" s="8" t="s">
        <v>7</v>
      </c>
      <c r="D252" s="8">
        <v>150</v>
      </c>
      <c r="E252" s="8">
        <v>129</v>
      </c>
      <c r="F252" s="4">
        <v>21.468926549999999</v>
      </c>
      <c r="G252" s="2" t="s">
        <v>128</v>
      </c>
      <c r="H252" s="5">
        <v>106.2</v>
      </c>
      <c r="I252" s="1" t="s">
        <v>8</v>
      </c>
      <c r="J252" s="32"/>
      <c r="N252" s="10" t="str">
        <f>IF(COUNTIFS( $B$2:$B$657, B252, $C$2:$C$657, C252, $D$2:$D$657, D252, $E$2:$E$657, E252) &gt; 1, "Duplicate", "Unique")</f>
        <v>Unique</v>
      </c>
    </row>
    <row r="253" spans="1:16" ht="27.65" customHeight="1" thickBot="1" x14ac:dyDescent="0.4">
      <c r="A253" s="8" t="s">
        <v>61</v>
      </c>
      <c r="B253" s="8" t="s">
        <v>34</v>
      </c>
      <c r="C253" s="8" t="s">
        <v>7</v>
      </c>
      <c r="D253" s="8">
        <v>200</v>
      </c>
      <c r="E253" s="8">
        <v>239</v>
      </c>
      <c r="F253" s="4">
        <v>21.480126049999999</v>
      </c>
      <c r="G253" s="2" t="s">
        <v>41</v>
      </c>
      <c r="H253" s="5">
        <v>196.74</v>
      </c>
      <c r="I253" s="1" t="s">
        <v>8</v>
      </c>
      <c r="J253" s="32" t="s">
        <v>116</v>
      </c>
      <c r="N253" s="10" t="str">
        <f>IF(COUNTIFS( $B$2:$B$657, B253, $C$2:$C$657, C253, $D$2:$D$657, D253, $E$2:$E$657, E253) &gt; 1, "Duplicate", "Unique")</f>
        <v>Unique</v>
      </c>
    </row>
    <row r="254" spans="1:16" ht="27.65" customHeight="1" thickBot="1" x14ac:dyDescent="0.4">
      <c r="A254" s="8" t="s">
        <v>61</v>
      </c>
      <c r="B254" s="8" t="s">
        <v>62</v>
      </c>
      <c r="C254" s="8" t="s">
        <v>7</v>
      </c>
      <c r="D254" s="8">
        <v>11</v>
      </c>
      <c r="E254" s="12">
        <v>1170</v>
      </c>
      <c r="F254" s="4">
        <v>21.875</v>
      </c>
      <c r="G254" s="2" t="s">
        <v>63</v>
      </c>
      <c r="H254" s="5">
        <v>960</v>
      </c>
      <c r="I254" s="1" t="s">
        <v>8</v>
      </c>
      <c r="J254" s="32"/>
      <c r="N254" s="10" t="str">
        <f>IF(COUNTIFS( $B$2:$B$657, B254, $C$2:$C$657, C254, $D$2:$D$657, D254, $E$2:$E$657, E254) &gt; 1, "Duplicate", "Unique")</f>
        <v>Unique</v>
      </c>
    </row>
    <row r="255" spans="1:16" ht="27.65" customHeight="1" thickBot="1" x14ac:dyDescent="0.4">
      <c r="A255" s="8" t="s">
        <v>61</v>
      </c>
      <c r="B255" s="8" t="s">
        <v>28</v>
      </c>
      <c r="C255" s="8" t="s">
        <v>7</v>
      </c>
      <c r="D255" s="8">
        <v>5</v>
      </c>
      <c r="E255" s="12">
        <v>986</v>
      </c>
      <c r="F255" s="4">
        <v>21.89393003</v>
      </c>
      <c r="G255" s="2" t="s">
        <v>124</v>
      </c>
      <c r="H255" s="5">
        <v>808.9</v>
      </c>
      <c r="I255" s="1" t="s">
        <v>8</v>
      </c>
      <c r="J255" s="32"/>
      <c r="N255" s="10" t="str">
        <f>IF(COUNTIFS( $B$2:$B$657, B255, $C$2:$C$657, C255, $D$2:$D$657, D255, $E$2:$E$657, E255) &gt; 1, "Duplicate", "Unique")</f>
        <v>Unique</v>
      </c>
    </row>
    <row r="256" spans="1:16" ht="27.65" customHeight="1" thickBot="1" x14ac:dyDescent="0.4">
      <c r="A256" s="31">
        <v>46255</v>
      </c>
      <c r="B256" s="29" t="s">
        <v>19</v>
      </c>
      <c r="C256" s="29" t="s">
        <v>7</v>
      </c>
      <c r="D256" s="30">
        <v>20</v>
      </c>
      <c r="E256" s="30">
        <v>241</v>
      </c>
      <c r="F256" s="4">
        <v>21.90187152</v>
      </c>
      <c r="G256" s="2" t="s">
        <v>39</v>
      </c>
      <c r="H256" s="5">
        <v>197.7</v>
      </c>
      <c r="I256" s="1" t="s">
        <v>8</v>
      </c>
      <c r="J256" s="25" t="s">
        <v>117</v>
      </c>
      <c r="K256" s="25" t="s">
        <v>148</v>
      </c>
      <c r="L256" s="25">
        <v>4680</v>
      </c>
      <c r="M256" s="25">
        <f>ABS((D256*E256)-L256)</f>
        <v>140</v>
      </c>
      <c r="N256" s="27" t="str">
        <f>IF(COUNTIFS( $B$2:$B$657, B256, $C$2:$C$657, C256, $D$2:$D$657, D256, $E$2:$E$657, E256) &gt; 1, "Duplicate", "Unique")</f>
        <v>Duplicate</v>
      </c>
      <c r="P256" s="27"/>
    </row>
    <row r="257" spans="1:16" ht="40.75" customHeight="1" thickBot="1" x14ac:dyDescent="0.4">
      <c r="A257" s="28">
        <v>46261.385416666664</v>
      </c>
      <c r="B257" s="29" t="s">
        <v>19</v>
      </c>
      <c r="C257" s="29" t="s">
        <v>7</v>
      </c>
      <c r="D257" s="30">
        <v>20</v>
      </c>
      <c r="E257" s="30">
        <v>241</v>
      </c>
      <c r="F257" s="4">
        <v>21.90187152</v>
      </c>
      <c r="G257" s="2" t="s">
        <v>39</v>
      </c>
      <c r="H257" s="5">
        <v>197.7</v>
      </c>
      <c r="I257" s="1" t="s">
        <v>8</v>
      </c>
      <c r="J257" s="25" t="s">
        <v>117</v>
      </c>
      <c r="K257" s="25" t="s">
        <v>174</v>
      </c>
      <c r="L257" s="25">
        <v>4520</v>
      </c>
      <c r="M257" s="25">
        <f>ABS((D257*E257)-L257)</f>
        <v>300</v>
      </c>
      <c r="N257" s="27" t="str">
        <f>IF(COUNTIFS( $B$2:$B$657, B257, $C$2:$C$657, C257, $D$2:$D$657, D257, $E$2:$E$657, E257) &gt; 1, "Duplicate", "Unique")</f>
        <v>Duplicate</v>
      </c>
    </row>
    <row r="258" spans="1:16" ht="27.65" customHeight="1" thickBot="1" x14ac:dyDescent="0.4">
      <c r="A258" s="11">
        <v>46252.6875</v>
      </c>
      <c r="B258" s="8" t="s">
        <v>13</v>
      </c>
      <c r="C258" s="8" t="s">
        <v>7</v>
      </c>
      <c r="D258" s="8">
        <v>5</v>
      </c>
      <c r="E258" s="8">
        <v>2094</v>
      </c>
      <c r="F258" s="4">
        <v>22.099125359999999</v>
      </c>
      <c r="G258" s="2" t="s">
        <v>90</v>
      </c>
      <c r="H258" s="5">
        <v>1715</v>
      </c>
      <c r="I258" s="1" t="s">
        <v>8</v>
      </c>
      <c r="J258" s="32" t="s">
        <v>117</v>
      </c>
      <c r="N258" s="10" t="str">
        <f>IF(COUNTIFS( $B$2:$B$657, B258, $C$2:$C$657, C258, $D$2:$D$657, D258, $E$2:$E$657, E258) &gt; 1, "Duplicate", "Unique")</f>
        <v>Unique</v>
      </c>
    </row>
    <row r="259" spans="1:16" ht="27.65" customHeight="1" thickBot="1" x14ac:dyDescent="0.4">
      <c r="A259" s="3">
        <v>46258.629861111112</v>
      </c>
      <c r="B259" s="1" t="s">
        <v>17</v>
      </c>
      <c r="C259" s="1" t="s">
        <v>7</v>
      </c>
      <c r="D259" s="4">
        <v>25</v>
      </c>
      <c r="E259" s="4">
        <v>392.5</v>
      </c>
      <c r="F259" s="4">
        <v>22.121966400000002</v>
      </c>
      <c r="G259" s="2" t="s">
        <v>76</v>
      </c>
      <c r="H259" s="5">
        <v>321.39999999999998</v>
      </c>
      <c r="I259" s="1" t="s">
        <v>8</v>
      </c>
      <c r="J259" s="17" t="s">
        <v>117</v>
      </c>
      <c r="K259" s="17" t="s">
        <v>153</v>
      </c>
      <c r="L259" s="17">
        <v>9312.5</v>
      </c>
      <c r="M259" s="17">
        <f>ABS((D259*E259)-L259)</f>
        <v>500</v>
      </c>
      <c r="N259" s="10" t="str">
        <f>IF(COUNTIFS( $B$2:$B$657, B259, $C$2:$C$657, C259, $D$2:$D$657, D259, $E$2:$E$657, E259) &gt; 1, "Duplicate", "Unique")</f>
        <v>Unique</v>
      </c>
    </row>
    <row r="260" spans="1:16" ht="27.65" customHeight="1" thickBot="1" x14ac:dyDescent="0.4">
      <c r="A260" s="3">
        <v>46290.385416666664</v>
      </c>
      <c r="B260" s="2" t="s">
        <v>118</v>
      </c>
      <c r="C260" s="2" t="s">
        <v>7</v>
      </c>
      <c r="D260" s="5">
        <v>15</v>
      </c>
      <c r="E260" s="5">
        <v>1048</v>
      </c>
      <c r="F260" s="4">
        <v>22.144522139999999</v>
      </c>
      <c r="G260" s="2" t="s">
        <v>119</v>
      </c>
      <c r="H260" s="5">
        <v>858</v>
      </c>
      <c r="I260" s="1" t="s">
        <v>8</v>
      </c>
      <c r="J260" s="17" t="s">
        <v>54</v>
      </c>
      <c r="K260" s="17" t="s">
        <v>289</v>
      </c>
      <c r="L260" s="17">
        <v>15300</v>
      </c>
      <c r="M260" s="17">
        <f>ABS((D260*E260)-L260)</f>
        <v>420</v>
      </c>
      <c r="N260" s="10" t="str">
        <f>IF(COUNTIFS( $B$2:$B$657, B260, $C$2:$C$657, C260, $D$2:$D$657, D260, $E$2:$E$657, E260) &gt; 1, "Duplicate", "Unique")</f>
        <v>Unique</v>
      </c>
    </row>
    <row r="261" spans="1:16" ht="27.65" customHeight="1" thickBot="1" x14ac:dyDescent="0.4">
      <c r="A261" s="8" t="s">
        <v>61</v>
      </c>
      <c r="B261" s="8" t="s">
        <v>6</v>
      </c>
      <c r="C261" s="8" t="s">
        <v>7</v>
      </c>
      <c r="D261" s="8">
        <v>100</v>
      </c>
      <c r="E261" s="8">
        <v>310.5</v>
      </c>
      <c r="F261" s="4">
        <v>22.14791503</v>
      </c>
      <c r="G261" s="2" t="s">
        <v>129</v>
      </c>
      <c r="H261" s="5">
        <v>254.2</v>
      </c>
      <c r="I261" s="1" t="s">
        <v>8</v>
      </c>
      <c r="J261" s="32" t="s">
        <v>117</v>
      </c>
      <c r="N261" s="10" t="str">
        <f>IF(COUNTIFS( $B$2:$B$657, B261, $C$2:$C$657, C261, $D$2:$D$657, D261, $E$2:$E$657, E261) &gt; 1, "Duplicate", "Unique")</f>
        <v>Unique</v>
      </c>
    </row>
    <row r="262" spans="1:16" ht="40.75" customHeight="1" thickBot="1" x14ac:dyDescent="0.4">
      <c r="A262" s="53">
        <v>46302</v>
      </c>
      <c r="B262" s="1" t="s">
        <v>22</v>
      </c>
      <c r="C262" s="1" t="s">
        <v>7</v>
      </c>
      <c r="D262" s="4">
        <v>14</v>
      </c>
      <c r="E262" s="4">
        <v>459</v>
      </c>
      <c r="F262" s="4">
        <v>22.44897959</v>
      </c>
      <c r="G262" s="2" t="s">
        <v>72</v>
      </c>
      <c r="H262" s="5">
        <v>374.85</v>
      </c>
      <c r="I262" s="1" t="s">
        <v>8</v>
      </c>
      <c r="J262" s="49" t="s">
        <v>116</v>
      </c>
      <c r="K262" s="16"/>
      <c r="L262" s="16"/>
      <c r="M262" s="16"/>
      <c r="N262" t="str">
        <f>IF(COUNTIFS( $B$2:$B$657, B262, $C$2:$C$657, C262, $D$2:$D$657, D262, $E$2:$E$657, E262) &gt; 1, "Duplicate", "Unique")</f>
        <v>Unique</v>
      </c>
      <c r="O262"/>
    </row>
    <row r="263" spans="1:16" ht="40.75" customHeight="1" thickBot="1" x14ac:dyDescent="0.4">
      <c r="A263" s="3">
        <v>46272.375694444447</v>
      </c>
      <c r="B263" s="1" t="s">
        <v>16</v>
      </c>
      <c r="C263" s="1" t="s">
        <v>7</v>
      </c>
      <c r="D263" s="4">
        <v>5</v>
      </c>
      <c r="E263" s="4">
        <v>902</v>
      </c>
      <c r="F263" s="4">
        <v>22.504413960000001</v>
      </c>
      <c r="G263" s="2" t="s">
        <v>60</v>
      </c>
      <c r="H263" s="5">
        <v>736.3</v>
      </c>
      <c r="I263" s="1" t="s">
        <v>8</v>
      </c>
      <c r="J263" s="17" t="s">
        <v>117</v>
      </c>
      <c r="K263" s="17" t="s">
        <v>240</v>
      </c>
      <c r="L263" s="17">
        <v>4260</v>
      </c>
      <c r="M263" s="17">
        <f>ABS((D263*E263)-L263)</f>
        <v>250</v>
      </c>
      <c r="N263" s="10" t="str">
        <f>IF(COUNTIFS( $B$2:$B$657, B263, $C$2:$C$657, C263, $D$2:$D$657, D263, $E$2:$E$657, E263) &gt; 1, "Duplicate", "Unique")</f>
        <v>Unique</v>
      </c>
      <c r="P263" s="27"/>
    </row>
    <row r="264" spans="1:16" ht="27.65" customHeight="1" thickBot="1" x14ac:dyDescent="0.4">
      <c r="A264" s="19">
        <v>46255</v>
      </c>
      <c r="B264" s="1" t="s">
        <v>20</v>
      </c>
      <c r="C264" s="1" t="s">
        <v>7</v>
      </c>
      <c r="D264" s="4">
        <v>20</v>
      </c>
      <c r="E264" s="4">
        <v>147</v>
      </c>
      <c r="F264" s="4">
        <v>22.684026039999999</v>
      </c>
      <c r="G264" s="2" t="s">
        <v>85</v>
      </c>
      <c r="H264" s="5">
        <v>119.82</v>
      </c>
      <c r="I264" s="1" t="s">
        <v>8</v>
      </c>
      <c r="J264" s="17" t="s">
        <v>54</v>
      </c>
      <c r="K264" s="17" t="s">
        <v>147</v>
      </c>
      <c r="L264" s="17">
        <v>2640</v>
      </c>
      <c r="M264" s="17">
        <f>ABS((D264*E264)-L264)</f>
        <v>300</v>
      </c>
      <c r="N264" s="10" t="str">
        <f>IF(COUNTIFS( $B$2:$B$657, B264, $C$2:$C$657, C264, $D$2:$D$657, D264, $E$2:$E$657, E264) &gt; 1, "Duplicate", "Unique")</f>
        <v>Unique</v>
      </c>
    </row>
    <row r="265" spans="1:16" ht="27.65" customHeight="1" thickBot="1" x14ac:dyDescent="0.4">
      <c r="A265" s="11">
        <v>46252.635416666664</v>
      </c>
      <c r="B265" s="8" t="s">
        <v>125</v>
      </c>
      <c r="C265" s="39" t="s">
        <v>7</v>
      </c>
      <c r="D265" s="8">
        <v>6</v>
      </c>
      <c r="E265" s="8">
        <v>548</v>
      </c>
      <c r="F265" s="4">
        <v>22.732362819999999</v>
      </c>
      <c r="G265" s="2" t="s">
        <v>126</v>
      </c>
      <c r="H265" s="5">
        <v>446.5</v>
      </c>
      <c r="I265" s="1" t="s">
        <v>8</v>
      </c>
      <c r="J265" s="32"/>
      <c r="N265" s="10" t="str">
        <f>IF(COUNTIFS( $B$2:$B$657, B265, $C$2:$C$657, C265, $D$2:$D$657, D265, $E$2:$E$657, E265) &gt; 1, "Duplicate", "Unique")</f>
        <v>Unique</v>
      </c>
      <c r="O265" s="27"/>
    </row>
    <row r="266" spans="1:16" ht="27.65" hidden="1" customHeight="1" thickBot="1" x14ac:dyDescent="0.4">
      <c r="A266" s="3">
        <v>46275.507638888892</v>
      </c>
      <c r="B266" s="1" t="s">
        <v>15</v>
      </c>
      <c r="C266" s="1" t="s">
        <v>7</v>
      </c>
      <c r="D266" s="4">
        <v>10</v>
      </c>
      <c r="E266" s="4">
        <v>2590</v>
      </c>
      <c r="F266" s="4">
        <v>22.80701754</v>
      </c>
      <c r="G266" s="2" t="s">
        <v>71</v>
      </c>
      <c r="H266" s="5">
        <v>2109</v>
      </c>
      <c r="I266" s="1" t="s">
        <v>8</v>
      </c>
      <c r="J266" s="17" t="s">
        <v>116</v>
      </c>
      <c r="K266" s="17" t="s">
        <v>257</v>
      </c>
      <c r="L266" s="17">
        <v>73800</v>
      </c>
      <c r="M266" s="17">
        <f>ABS((D266*E266)-L266)</f>
        <v>47900</v>
      </c>
      <c r="N266" s="10" t="str">
        <f>IF(COUNTIFS( $B$2:$B$657, B266, $C$2:$C$657, C266, $D$2:$D$657, D266, $E$2:$E$657, E266) &gt; 1, "Duplicate", "Unique")</f>
        <v>Unique</v>
      </c>
      <c r="O266" s="36" t="s">
        <v>237</v>
      </c>
    </row>
    <row r="267" spans="1:16" ht="40.75" hidden="1" customHeight="1" thickBot="1" x14ac:dyDescent="0.4">
      <c r="A267" s="3">
        <v>46266.375</v>
      </c>
      <c r="B267" s="1" t="s">
        <v>15</v>
      </c>
      <c r="C267" s="1" t="s">
        <v>7</v>
      </c>
      <c r="D267" s="4">
        <v>10</v>
      </c>
      <c r="E267" s="4">
        <v>2595</v>
      </c>
      <c r="F267" s="4">
        <v>23.04409673</v>
      </c>
      <c r="G267" s="2" t="s">
        <v>71</v>
      </c>
      <c r="H267" s="5">
        <v>2109</v>
      </c>
      <c r="I267" s="1" t="s">
        <v>8</v>
      </c>
      <c r="J267" s="17" t="s">
        <v>117</v>
      </c>
      <c r="K267" s="17" t="s">
        <v>213</v>
      </c>
      <c r="L267" s="17">
        <v>25300</v>
      </c>
      <c r="M267" s="17">
        <f>ABS((D267*E267)-L267)</f>
        <v>650</v>
      </c>
      <c r="N267" s="10" t="str">
        <f>IF(COUNTIFS( $B$2:$B$657, B267, $C$2:$C$657, C267, $D$2:$D$657, D267, $E$2:$E$657, E267) &gt; 1, "Duplicate", "Unique")</f>
        <v>Unique</v>
      </c>
      <c r="O267" s="36" t="s">
        <v>237</v>
      </c>
    </row>
    <row r="268" spans="1:16" ht="40.75" hidden="1" customHeight="1" thickBot="1" x14ac:dyDescent="0.4">
      <c r="A268" s="3">
        <v>46267.513888888891</v>
      </c>
      <c r="B268" s="1" t="s">
        <v>15</v>
      </c>
      <c r="C268" s="1" t="s">
        <v>7</v>
      </c>
      <c r="D268" s="4">
        <v>5</v>
      </c>
      <c r="E268" s="4">
        <v>2595</v>
      </c>
      <c r="F268" s="4">
        <v>23.04409673</v>
      </c>
      <c r="G268" s="2" t="s">
        <v>71</v>
      </c>
      <c r="H268" s="5">
        <v>2109</v>
      </c>
      <c r="I268" s="1" t="s">
        <v>8</v>
      </c>
      <c r="J268" s="17" t="s">
        <v>117</v>
      </c>
      <c r="K268" s="17" t="s">
        <v>224</v>
      </c>
      <c r="L268" s="17">
        <v>12480</v>
      </c>
      <c r="M268" s="17">
        <f>ABS((D268*E268)-L268)</f>
        <v>495</v>
      </c>
      <c r="N268" s="10" t="str">
        <f>IF(COUNTIFS( $B$2:$B$657, B268, $C$2:$C$657, C268, $D$2:$D$657, D268, $E$2:$E$657, E268) &gt; 1, "Duplicate", "Unique")</f>
        <v>Unique</v>
      </c>
      <c r="O268" s="36" t="s">
        <v>237</v>
      </c>
    </row>
    <row r="269" spans="1:16" ht="27.65" customHeight="1" thickBot="1" x14ac:dyDescent="0.4">
      <c r="A269" s="8" t="s">
        <v>61</v>
      </c>
      <c r="B269" s="14" t="s">
        <v>28</v>
      </c>
      <c r="C269" s="8" t="s">
        <v>7</v>
      </c>
      <c r="D269" s="8">
        <v>40</v>
      </c>
      <c r="E269" s="15">
        <v>996</v>
      </c>
      <c r="F269" s="4">
        <v>23.130176779999999</v>
      </c>
      <c r="G269" s="2" t="s">
        <v>124</v>
      </c>
      <c r="H269" s="5">
        <v>808.9</v>
      </c>
      <c r="I269" s="1" t="s">
        <v>8</v>
      </c>
      <c r="J269" s="32" t="s">
        <v>117</v>
      </c>
      <c r="N269" s="10" t="str">
        <f>IF(COUNTIFS( $B$2:$B$657, B269, $C$2:$C$657, C269, $D$2:$D$657, D269, $E$2:$E$657, E269) &gt; 1, "Duplicate", "Unique")</f>
        <v>Unique</v>
      </c>
    </row>
    <row r="270" spans="1:16" ht="27.65" customHeight="1" thickBot="1" x14ac:dyDescent="0.4">
      <c r="A270" s="8" t="s">
        <v>61</v>
      </c>
      <c r="B270" s="8" t="s">
        <v>13</v>
      </c>
      <c r="C270" s="8" t="s">
        <v>7</v>
      </c>
      <c r="D270" s="8">
        <v>10</v>
      </c>
      <c r="E270" s="8">
        <v>2114</v>
      </c>
      <c r="F270" s="4">
        <v>23.265306120000002</v>
      </c>
      <c r="G270" s="2" t="s">
        <v>90</v>
      </c>
      <c r="H270" s="5">
        <v>1715</v>
      </c>
      <c r="I270" s="1" t="s">
        <v>8</v>
      </c>
      <c r="J270" s="32"/>
      <c r="N270" s="10" t="str">
        <f>IF(COUNTIFS( $B$2:$B$657, B270, $C$2:$C$657, C270, $D$2:$D$657, D270, $E$2:$E$657, E270) &gt; 1, "Duplicate", "Unique")</f>
        <v>Unique</v>
      </c>
      <c r="P270" s="27"/>
    </row>
    <row r="271" spans="1:16" s="27" customFormat="1" ht="27.65" customHeight="1" thickBot="1" x14ac:dyDescent="0.4">
      <c r="A271" s="3">
        <v>46260.375</v>
      </c>
      <c r="B271" s="1" t="s">
        <v>86</v>
      </c>
      <c r="C271" s="1" t="s">
        <v>7</v>
      </c>
      <c r="D271" s="4">
        <v>10</v>
      </c>
      <c r="E271" s="4">
        <v>1390</v>
      </c>
      <c r="F271" s="4">
        <v>23.41294504</v>
      </c>
      <c r="G271" s="2" t="s">
        <v>87</v>
      </c>
      <c r="H271" s="5">
        <v>1126.3</v>
      </c>
      <c r="I271" s="1" t="s">
        <v>8</v>
      </c>
      <c r="J271" s="17" t="s">
        <v>116</v>
      </c>
      <c r="K271" s="17" t="s">
        <v>170</v>
      </c>
      <c r="L271" s="17">
        <v>13600</v>
      </c>
      <c r="M271" s="17">
        <f>ABS((D271*E271)-L271)</f>
        <v>300</v>
      </c>
      <c r="N271" t="str">
        <f>IF(COUNTIFS( $B$2:$B$657, B271, $C$2:$C$657, C271, $D$2:$D$657, D271, $E$2:$E$657, E271) &gt; 1, "Duplicate", "Unique")</f>
        <v>Unique</v>
      </c>
      <c r="O271" s="10"/>
      <c r="P271" s="10"/>
    </row>
    <row r="272" spans="1:16" ht="27.65" customHeight="1" thickBot="1" x14ac:dyDescent="0.4">
      <c r="A272" s="3">
        <v>46276.375</v>
      </c>
      <c r="B272" s="1" t="s">
        <v>79</v>
      </c>
      <c r="C272" s="1" t="s">
        <v>7</v>
      </c>
      <c r="D272" s="4">
        <v>10</v>
      </c>
      <c r="E272" s="4">
        <v>1548</v>
      </c>
      <c r="F272" s="4">
        <v>23.44497608</v>
      </c>
      <c r="G272" s="2" t="s">
        <v>80</v>
      </c>
      <c r="H272" s="5">
        <v>1254</v>
      </c>
      <c r="I272" s="1" t="s">
        <v>8</v>
      </c>
      <c r="J272" s="17" t="s">
        <v>116</v>
      </c>
      <c r="K272" s="17" t="s">
        <v>265</v>
      </c>
      <c r="L272" s="17">
        <v>15030</v>
      </c>
      <c r="M272" s="17">
        <f>ABS((D272*E272)-L272)</f>
        <v>450</v>
      </c>
      <c r="N272" s="10" t="str">
        <f>IF(COUNTIFS( $B$2:$B$657, B272, $C$2:$C$657, C272, $D$2:$D$657, D272, $E$2:$E$657, E272) &gt; 1, "Duplicate", "Unique")</f>
        <v>Unique</v>
      </c>
    </row>
    <row r="273" spans="1:16" s="27" customFormat="1" ht="27.65" customHeight="1" thickBot="1" x14ac:dyDescent="0.4">
      <c r="A273" s="8" t="s">
        <v>61</v>
      </c>
      <c r="B273" s="8" t="s">
        <v>6</v>
      </c>
      <c r="C273" s="8" t="s">
        <v>7</v>
      </c>
      <c r="D273" s="8">
        <v>100</v>
      </c>
      <c r="E273" s="13">
        <v>314</v>
      </c>
      <c r="F273" s="4">
        <v>23.524783630000002</v>
      </c>
      <c r="G273" s="2" t="s">
        <v>129</v>
      </c>
      <c r="H273" s="5">
        <v>254.2</v>
      </c>
      <c r="I273" s="1" t="s">
        <v>8</v>
      </c>
      <c r="J273" s="32" t="s">
        <v>116</v>
      </c>
      <c r="K273" s="17"/>
      <c r="L273" s="17"/>
      <c r="M273" s="17"/>
      <c r="N273" s="10" t="str">
        <f>IF(COUNTIFS( $B$2:$B$657, B273, $C$2:$C$657, C273, $D$2:$D$657, D273, $E$2:$E$657, E273) &gt; 1, "Duplicate", "Unique")</f>
        <v>Unique</v>
      </c>
      <c r="O273" s="10"/>
      <c r="P273" s="10"/>
    </row>
    <row r="274" spans="1:16" ht="40.75" hidden="1" customHeight="1" thickBot="1" x14ac:dyDescent="0.4">
      <c r="A274" s="3">
        <v>46265.375694444447</v>
      </c>
      <c r="B274" s="1" t="s">
        <v>15</v>
      </c>
      <c r="C274" s="1" t="s">
        <v>7</v>
      </c>
      <c r="D274" s="4">
        <v>10</v>
      </c>
      <c r="E274" s="4">
        <v>2608</v>
      </c>
      <c r="F274" s="4">
        <v>23.660502610000002</v>
      </c>
      <c r="G274" s="2" t="s">
        <v>71</v>
      </c>
      <c r="H274" s="5">
        <v>2109</v>
      </c>
      <c r="I274" s="1" t="s">
        <v>8</v>
      </c>
      <c r="J274" s="17" t="s">
        <v>117</v>
      </c>
      <c r="K274" s="17" t="s">
        <v>199</v>
      </c>
      <c r="L274" s="17">
        <v>25780</v>
      </c>
      <c r="M274" s="17">
        <f>ABS((D274*E274)-L274)</f>
        <v>300</v>
      </c>
      <c r="N274" t="str">
        <f>IF(COUNTIFS( $B$2:$B$657, B274, $C$2:$C$657, C274, $D$2:$D$657, D274, $E$2:$E$657, E274) &gt; 1, "Duplicate", "Unique")</f>
        <v>Unique</v>
      </c>
      <c r="O274" s="36" t="s">
        <v>237</v>
      </c>
      <c r="P274"/>
    </row>
    <row r="275" spans="1:16" ht="40.75" customHeight="1" thickBot="1" x14ac:dyDescent="0.4">
      <c r="A275" s="8" t="s">
        <v>61</v>
      </c>
      <c r="B275" s="8" t="s">
        <v>28</v>
      </c>
      <c r="C275" s="8" t="s">
        <v>7</v>
      </c>
      <c r="D275" s="8">
        <v>5</v>
      </c>
      <c r="E275" s="12">
        <v>1002</v>
      </c>
      <c r="F275" s="4">
        <v>23.871924839999998</v>
      </c>
      <c r="G275" s="2" t="s">
        <v>124</v>
      </c>
      <c r="H275" s="5">
        <v>808.9</v>
      </c>
      <c r="I275" s="1" t="s">
        <v>8</v>
      </c>
      <c r="J275" s="32"/>
      <c r="N275" s="10" t="str">
        <f>IF(COUNTIFS( $B$2:$B$657, B275, $C$2:$C$657, C275, $D$2:$D$657, D275, $E$2:$E$657, E275) &gt; 1, "Duplicate", "Unique")</f>
        <v>Unique</v>
      </c>
      <c r="O275" s="27"/>
    </row>
    <row r="276" spans="1:16" ht="27.65" customHeight="1" thickBot="1" x14ac:dyDescent="0.4">
      <c r="A276" s="8" t="s">
        <v>61</v>
      </c>
      <c r="B276" s="8" t="s">
        <v>34</v>
      </c>
      <c r="C276" s="8" t="s">
        <v>7</v>
      </c>
      <c r="D276" s="8">
        <v>200</v>
      </c>
      <c r="E276" s="12">
        <v>244</v>
      </c>
      <c r="F276" s="4">
        <v>24.021551290000001</v>
      </c>
      <c r="G276" s="2" t="s">
        <v>41</v>
      </c>
      <c r="H276" s="5">
        <v>196.74</v>
      </c>
      <c r="I276" s="1" t="s">
        <v>8</v>
      </c>
      <c r="J276" s="32" t="s">
        <v>116</v>
      </c>
      <c r="N276" s="10" t="str">
        <f>IF(COUNTIFS( $B$2:$B$657, B276, $C$2:$C$657, C276, $D$2:$D$657, D276, $E$2:$E$657, E276) &gt; 1, "Duplicate", "Unique")</f>
        <v>Unique</v>
      </c>
    </row>
    <row r="277" spans="1:16" ht="39" thickBot="1" x14ac:dyDescent="0.4">
      <c r="A277" s="40" t="s">
        <v>61</v>
      </c>
      <c r="B277" s="42" t="s">
        <v>23</v>
      </c>
      <c r="C277" s="40" t="s">
        <v>7</v>
      </c>
      <c r="D277" s="40">
        <v>40</v>
      </c>
      <c r="E277" s="43">
        <v>229</v>
      </c>
      <c r="F277" s="4">
        <v>24.085613649999999</v>
      </c>
      <c r="G277" s="2" t="s">
        <v>69</v>
      </c>
      <c r="H277" s="5">
        <v>184.55</v>
      </c>
      <c r="I277" s="1" t="s">
        <v>8</v>
      </c>
      <c r="J277" s="44" t="s">
        <v>116</v>
      </c>
      <c r="K277" s="41"/>
      <c r="L277" s="41"/>
      <c r="M277" s="41"/>
      <c r="N277" s="22" t="str">
        <f>IF(COUNTIFS( $B$2:$B$657, B277, $C$2:$C$657, C277, $D$2:$D$657, D277, $E$2:$E$657, E277) &gt; 1, "Duplicate", "Unique")</f>
        <v>Unique</v>
      </c>
      <c r="O277" s="22"/>
      <c r="P277" s="22" t="s">
        <v>249</v>
      </c>
    </row>
    <row r="278" spans="1:16" ht="26.5" thickBot="1" x14ac:dyDescent="0.4">
      <c r="A278" s="3">
        <v>46265.390277777777</v>
      </c>
      <c r="B278" s="1" t="s">
        <v>15</v>
      </c>
      <c r="C278" s="1" t="s">
        <v>7</v>
      </c>
      <c r="D278" s="4">
        <v>10</v>
      </c>
      <c r="E278" s="4">
        <v>2618</v>
      </c>
      <c r="F278" s="4">
        <v>24.13466098</v>
      </c>
      <c r="G278" s="2" t="s">
        <v>71</v>
      </c>
      <c r="H278" s="5">
        <v>2109</v>
      </c>
      <c r="I278" s="1" t="s">
        <v>8</v>
      </c>
      <c r="J278" s="17" t="s">
        <v>116</v>
      </c>
      <c r="K278" s="17" t="s">
        <v>196</v>
      </c>
      <c r="L278" s="17">
        <v>25530</v>
      </c>
      <c r="M278" s="17">
        <f>ABS((D278*E278)-L278)</f>
        <v>650</v>
      </c>
      <c r="N278" t="str">
        <f>IF(COUNTIFS( $B$2:$B$657, B278, $C$2:$C$657, C278, $D$2:$D$657, D278, $E$2:$E$657, E278) &gt; 1, "Duplicate", "Unique")</f>
        <v>Unique</v>
      </c>
      <c r="O278"/>
      <c r="P278"/>
    </row>
    <row r="279" spans="1:16" ht="26.5" thickBot="1" x14ac:dyDescent="0.4">
      <c r="A279" s="8" t="s">
        <v>61</v>
      </c>
      <c r="B279" s="8" t="s">
        <v>26</v>
      </c>
      <c r="C279" s="8" t="s">
        <v>7</v>
      </c>
      <c r="D279" s="8">
        <v>25</v>
      </c>
      <c r="E279" s="8">
        <v>199.9</v>
      </c>
      <c r="F279" s="4">
        <v>24.200062129999999</v>
      </c>
      <c r="G279" s="2" t="s">
        <v>131</v>
      </c>
      <c r="H279" s="5">
        <v>160.94999999999999</v>
      </c>
      <c r="I279" s="1" t="s">
        <v>8</v>
      </c>
      <c r="J279" s="32" t="s">
        <v>116</v>
      </c>
      <c r="N279" s="10" t="str">
        <f>IF(COUNTIFS( $B$2:$B$657, B279, $C$2:$C$657, C279, $D$2:$D$657, D279, $E$2:$E$657, E279) &gt; 1, "Duplicate", "Unique")</f>
        <v>Unique</v>
      </c>
    </row>
    <row r="280" spans="1:16" ht="26.5" thickBot="1" x14ac:dyDescent="0.4">
      <c r="A280" s="3">
        <v>46275.507638888892</v>
      </c>
      <c r="B280" s="1" t="s">
        <v>15</v>
      </c>
      <c r="C280" s="1" t="s">
        <v>7</v>
      </c>
      <c r="D280" s="4">
        <v>10</v>
      </c>
      <c r="E280" s="4">
        <v>2632</v>
      </c>
      <c r="F280" s="4">
        <v>24.79848269</v>
      </c>
      <c r="G280" s="2" t="s">
        <v>71</v>
      </c>
      <c r="H280" s="5">
        <v>2109</v>
      </c>
      <c r="I280" s="1" t="s">
        <v>8</v>
      </c>
      <c r="J280" s="17" t="s">
        <v>116</v>
      </c>
      <c r="K280" s="17" t="s">
        <v>257</v>
      </c>
      <c r="L280" s="17">
        <v>73800</v>
      </c>
      <c r="M280" s="17">
        <f>ABS((D280*E280)-L280)</f>
        <v>47480</v>
      </c>
      <c r="N280" s="10" t="str">
        <f>IF(COUNTIFS( $B$2:$B$657, B280, $C$2:$C$657, C280, $D$2:$D$657, D280, $E$2:$E$657, E280) &gt; 1, "Duplicate", "Unique")</f>
        <v>Unique</v>
      </c>
    </row>
    <row r="281" spans="1:16" ht="26.5" thickBot="1" x14ac:dyDescent="0.4">
      <c r="A281" s="3">
        <v>46268.375</v>
      </c>
      <c r="B281" s="1" t="s">
        <v>16</v>
      </c>
      <c r="C281" s="1" t="s">
        <v>7</v>
      </c>
      <c r="D281" s="4">
        <v>30</v>
      </c>
      <c r="E281" s="4">
        <v>920</v>
      </c>
      <c r="F281" s="4">
        <v>24.94906967</v>
      </c>
      <c r="G281" s="2" t="s">
        <v>60</v>
      </c>
      <c r="H281" s="5">
        <v>736.3</v>
      </c>
      <c r="I281" s="1" t="s">
        <v>8</v>
      </c>
      <c r="J281" s="17" t="s">
        <v>116</v>
      </c>
      <c r="K281" s="17" t="s">
        <v>228</v>
      </c>
      <c r="L281" s="17">
        <v>25800</v>
      </c>
      <c r="M281" s="17">
        <f>ABS((D281*E281)-L281)</f>
        <v>1800</v>
      </c>
      <c r="N281" s="10" t="str">
        <f>IF(COUNTIFS( $B$2:$B$657, B281, $C$2:$C$657, C281, $D$2:$D$657, D281, $E$2:$E$657, E281) &gt; 1, "Duplicate", "Unique")</f>
        <v>Unique</v>
      </c>
    </row>
    <row r="282" spans="1:16" ht="26.5" thickBot="1" x14ac:dyDescent="0.4">
      <c r="A282" s="3">
        <v>46265.375694444447</v>
      </c>
      <c r="B282" s="1" t="s">
        <v>15</v>
      </c>
      <c r="C282" s="1" t="s">
        <v>7</v>
      </c>
      <c r="D282" s="4">
        <v>10</v>
      </c>
      <c r="E282" s="4">
        <v>2636</v>
      </c>
      <c r="F282" s="4">
        <v>24.98814604</v>
      </c>
      <c r="G282" s="2" t="s">
        <v>71</v>
      </c>
      <c r="H282" s="5">
        <v>2109</v>
      </c>
      <c r="I282" s="1" t="s">
        <v>8</v>
      </c>
      <c r="J282" s="17" t="s">
        <v>116</v>
      </c>
      <c r="K282" s="17" t="s">
        <v>204</v>
      </c>
      <c r="L282" s="17">
        <v>26020</v>
      </c>
      <c r="M282" s="17">
        <f>ABS((D282*E282)-L282)</f>
        <v>340</v>
      </c>
      <c r="N282" t="str">
        <f>IF(COUNTIFS( $B$2:$B$657, B282, $C$2:$C$657, C282, $D$2:$D$657, D282, $E$2:$E$657, E282) &gt; 1, "Duplicate", "Unique")</f>
        <v>Unique</v>
      </c>
    </row>
    <row r="283" spans="1:16" ht="26.5" thickBot="1" x14ac:dyDescent="0.4">
      <c r="A283" s="8" t="s">
        <v>61</v>
      </c>
      <c r="B283" s="8" t="s">
        <v>6</v>
      </c>
      <c r="C283" s="8" t="s">
        <v>7</v>
      </c>
      <c r="D283" s="8">
        <v>100</v>
      </c>
      <c r="E283" s="12">
        <v>318</v>
      </c>
      <c r="F283" s="4">
        <v>25.098347759999999</v>
      </c>
      <c r="G283" s="2" t="s">
        <v>129</v>
      </c>
      <c r="H283" s="5">
        <v>254.2</v>
      </c>
      <c r="I283" s="1" t="s">
        <v>8</v>
      </c>
      <c r="J283" s="32" t="s">
        <v>116</v>
      </c>
      <c r="N283" s="10" t="str">
        <f>IF(COUNTIFS( $B$2:$B$657, B283, $C$2:$C$657, C283, $D$2:$D$657, D283, $E$2:$E$657, E283) &gt; 1, "Duplicate", "Unique")</f>
        <v>Unique</v>
      </c>
    </row>
    <row r="284" spans="1:16" ht="26.5" thickBot="1" x14ac:dyDescent="0.4">
      <c r="A284" s="8" t="s">
        <v>61</v>
      </c>
      <c r="B284" s="8" t="s">
        <v>6</v>
      </c>
      <c r="C284" s="8" t="s">
        <v>7</v>
      </c>
      <c r="D284" s="8">
        <v>100</v>
      </c>
      <c r="E284" s="13">
        <v>319</v>
      </c>
      <c r="F284" s="4">
        <v>25.491738789999999</v>
      </c>
      <c r="G284" s="2" t="s">
        <v>129</v>
      </c>
      <c r="H284" s="5">
        <v>254.2</v>
      </c>
      <c r="I284" s="1" t="s">
        <v>8</v>
      </c>
      <c r="J284" s="32" t="s">
        <v>116</v>
      </c>
      <c r="N284" s="10" t="str">
        <f>IF(COUNTIFS( $B$2:$B$657, B284, $C$2:$C$657, C284, $D$2:$D$657, D284, $E$2:$E$657, E284) &gt; 1, "Duplicate", "Unique")</f>
        <v>Unique</v>
      </c>
    </row>
    <row r="285" spans="1:16" ht="26.5" thickBot="1" x14ac:dyDescent="0.4">
      <c r="A285" s="3">
        <v>46262.463194444441</v>
      </c>
      <c r="B285" s="1" t="s">
        <v>15</v>
      </c>
      <c r="C285" s="1" t="s">
        <v>7</v>
      </c>
      <c r="D285" s="4">
        <v>10</v>
      </c>
      <c r="E285" s="4">
        <v>2648</v>
      </c>
      <c r="F285" s="4">
        <v>25.557136079999999</v>
      </c>
      <c r="G285" s="2" t="s">
        <v>71</v>
      </c>
      <c r="H285" s="5">
        <v>2109</v>
      </c>
      <c r="I285" s="1" t="s">
        <v>8</v>
      </c>
      <c r="J285" s="17" t="s">
        <v>116</v>
      </c>
      <c r="K285" s="17" t="s">
        <v>186</v>
      </c>
      <c r="L285" s="17">
        <v>26180</v>
      </c>
      <c r="M285" s="17">
        <f>ABS((D285*E285)-L285)</f>
        <v>300</v>
      </c>
      <c r="N285" s="10" t="str">
        <f>IF(COUNTIFS( $B$2:$B$657, B285, $C$2:$C$657, C285, $D$2:$D$657, D285, $E$2:$E$657, E285) &gt; 1, "Duplicate", "Unique")</f>
        <v>Unique</v>
      </c>
    </row>
    <row r="286" spans="1:16" ht="39" thickBot="1" x14ac:dyDescent="0.4">
      <c r="A286" s="3">
        <v>46269.375</v>
      </c>
      <c r="B286" s="1" t="s">
        <v>22</v>
      </c>
      <c r="C286" s="1" t="s">
        <v>7</v>
      </c>
      <c r="D286" s="4">
        <v>5</v>
      </c>
      <c r="E286" s="4">
        <v>471</v>
      </c>
      <c r="F286" s="4">
        <v>25.650260100000001</v>
      </c>
      <c r="G286" s="2" t="s">
        <v>72</v>
      </c>
      <c r="H286" s="5">
        <v>374.85</v>
      </c>
      <c r="I286" s="1" t="s">
        <v>8</v>
      </c>
      <c r="J286" s="17" t="s">
        <v>117</v>
      </c>
      <c r="K286" s="17" t="s">
        <v>234</v>
      </c>
      <c r="L286" s="17">
        <v>2105</v>
      </c>
      <c r="M286" s="24">
        <f>ABS((D286*E286)-L286)</f>
        <v>250</v>
      </c>
      <c r="N286" t="str">
        <f>IF(COUNTIFS( $B$2:$B$657, B286, $C$2:$C$657, C286, $D$2:$D$657, D286, $E$2:$E$657, E286) &gt; 1, "Duplicate", "Unique")</f>
        <v>Unique</v>
      </c>
    </row>
    <row r="287" spans="1:16" ht="26.5" thickBot="1" x14ac:dyDescent="0.4">
      <c r="A287" s="3">
        <v>46262.375</v>
      </c>
      <c r="B287" s="1" t="s">
        <v>15</v>
      </c>
      <c r="C287" s="1" t="s">
        <v>7</v>
      </c>
      <c r="D287" s="4">
        <v>10</v>
      </c>
      <c r="E287" s="4">
        <v>2660</v>
      </c>
      <c r="F287" s="4">
        <v>26.126126129999999</v>
      </c>
      <c r="G287" s="2" t="s">
        <v>71</v>
      </c>
      <c r="H287" s="5">
        <v>2109</v>
      </c>
      <c r="I287" s="1" t="s">
        <v>8</v>
      </c>
      <c r="J287" s="17" t="s">
        <v>116</v>
      </c>
      <c r="K287" s="17" t="s">
        <v>188</v>
      </c>
      <c r="L287" s="17">
        <v>26300</v>
      </c>
      <c r="M287" s="17">
        <f>ABS((D287*E287)-L287)</f>
        <v>300</v>
      </c>
      <c r="N287" s="10" t="str">
        <f>IF(COUNTIFS( $B$2:$B$657, B287, $C$2:$C$657, C287, $D$2:$D$657, D287, $E$2:$E$657, E287) &gt; 1, "Duplicate", "Unique")</f>
        <v>Unique</v>
      </c>
    </row>
    <row r="288" spans="1:16" ht="26.5" thickBot="1" x14ac:dyDescent="0.4">
      <c r="A288" s="8" t="s">
        <v>61</v>
      </c>
      <c r="B288" s="8" t="s">
        <v>34</v>
      </c>
      <c r="C288" s="8" t="s">
        <v>7</v>
      </c>
      <c r="D288" s="8">
        <v>200</v>
      </c>
      <c r="E288" s="12">
        <v>249</v>
      </c>
      <c r="F288" s="4">
        <v>26.562976519999999</v>
      </c>
      <c r="G288" s="2" t="s">
        <v>41</v>
      </c>
      <c r="H288" s="5">
        <v>196.74</v>
      </c>
      <c r="I288" s="1" t="s">
        <v>8</v>
      </c>
      <c r="J288" s="32" t="s">
        <v>116</v>
      </c>
      <c r="N288" s="10" t="str">
        <f>IF(COUNTIFS( $B$2:$B$657, B288, $C$2:$C$657, C288, $D$2:$D$657, D288, $E$2:$E$657, E288) &gt; 1, "Duplicate", "Unique")</f>
        <v>Unique</v>
      </c>
    </row>
    <row r="289" spans="1:16" ht="26.5" thickBot="1" x14ac:dyDescent="0.4">
      <c r="A289" s="3">
        <v>46254.642361111109</v>
      </c>
      <c r="B289" s="1" t="s">
        <v>15</v>
      </c>
      <c r="C289" s="1" t="s">
        <v>7</v>
      </c>
      <c r="D289" s="4">
        <v>10</v>
      </c>
      <c r="E289" s="4">
        <v>2672</v>
      </c>
      <c r="F289" s="4">
        <v>26.695116169999999</v>
      </c>
      <c r="G289" s="2" t="s">
        <v>71</v>
      </c>
      <c r="H289" s="5">
        <v>2109</v>
      </c>
      <c r="I289" s="1" t="s">
        <v>8</v>
      </c>
      <c r="J289" s="16" t="s">
        <v>116</v>
      </c>
      <c r="K289" s="16" t="s">
        <v>145</v>
      </c>
      <c r="L289" s="16"/>
      <c r="M289" s="16"/>
      <c r="N289" s="10" t="str">
        <f>IF(COUNTIFS( $B$2:$B$657, B289, $C$2:$C$657, C289, $D$2:$D$657, D289, $E$2:$E$657, E289) &gt; 1, "Duplicate", "Unique")</f>
        <v>Unique</v>
      </c>
    </row>
    <row r="290" spans="1:16" ht="39" thickBot="1" x14ac:dyDescent="0.4">
      <c r="A290" s="8" t="s">
        <v>61</v>
      </c>
      <c r="B290" s="8" t="s">
        <v>118</v>
      </c>
      <c r="C290" s="8" t="s">
        <v>7</v>
      </c>
      <c r="D290" s="8">
        <v>15</v>
      </c>
      <c r="E290" s="8">
        <v>1090</v>
      </c>
      <c r="F290" s="4">
        <v>27.039627039999999</v>
      </c>
      <c r="G290" s="2" t="s">
        <v>119</v>
      </c>
      <c r="H290" s="5">
        <v>858</v>
      </c>
      <c r="I290" s="1" t="s">
        <v>8</v>
      </c>
      <c r="J290" s="32"/>
      <c r="N290" s="10" t="str">
        <f>IF(COUNTIFS( $B$2:$B$657, B290, $C$2:$C$657, C290, $D$2:$D$657, D290, $E$2:$E$657, E290) &gt; 1, "Duplicate", "Unique")</f>
        <v>Unique</v>
      </c>
    </row>
    <row r="291" spans="1:16" ht="26.5" thickBot="1" x14ac:dyDescent="0.4">
      <c r="A291" s="8" t="s">
        <v>61</v>
      </c>
      <c r="B291" s="8" t="s">
        <v>6</v>
      </c>
      <c r="C291" s="8" t="s">
        <v>7</v>
      </c>
      <c r="D291" s="8">
        <v>150</v>
      </c>
      <c r="E291" s="12">
        <v>323</v>
      </c>
      <c r="F291" s="4">
        <v>27.06530291</v>
      </c>
      <c r="G291" s="2" t="s">
        <v>129</v>
      </c>
      <c r="H291" s="5">
        <v>254.2</v>
      </c>
      <c r="I291" s="1" t="s">
        <v>8</v>
      </c>
      <c r="J291" s="32" t="s">
        <v>117</v>
      </c>
      <c r="N291" s="10" t="str">
        <f>IF(COUNTIFS( $B$2:$B$657, B291, $C$2:$C$657, C291, $D$2:$D$657, D291, $E$2:$E$657, E291) &gt; 1, "Duplicate", "Unique")</f>
        <v>Unique</v>
      </c>
    </row>
    <row r="292" spans="1:16" ht="26.5" thickBot="1" x14ac:dyDescent="0.4">
      <c r="A292" s="3">
        <v>46260.634027777778</v>
      </c>
      <c r="B292" s="1" t="s">
        <v>29</v>
      </c>
      <c r="C292" s="1" t="s">
        <v>7</v>
      </c>
      <c r="D292" s="4">
        <v>5</v>
      </c>
      <c r="E292" s="4">
        <v>4148</v>
      </c>
      <c r="F292" s="4">
        <v>27.2392638</v>
      </c>
      <c r="G292" s="2" t="s">
        <v>136</v>
      </c>
      <c r="H292" s="5">
        <v>3260</v>
      </c>
      <c r="I292" s="1" t="s">
        <v>8</v>
      </c>
      <c r="J292" s="81" t="s">
        <v>117</v>
      </c>
      <c r="K292" s="17" t="s">
        <v>165</v>
      </c>
      <c r="L292" s="17">
        <v>20260</v>
      </c>
      <c r="M292" s="17">
        <f>ABS((D292*E292)-L292)</f>
        <v>480</v>
      </c>
      <c r="N292" t="str">
        <f>IF(COUNTIFS( $B$2:$B$657, B292, $C$2:$C$657, C292, $D$2:$D$657, D292, $E$2:$E$657, E292) &gt; 1, "Duplicate", "Unique")</f>
        <v>Unique</v>
      </c>
    </row>
    <row r="293" spans="1:16" ht="26.5" thickBot="1" x14ac:dyDescent="0.4">
      <c r="A293" s="8" t="s">
        <v>61</v>
      </c>
      <c r="B293" s="8" t="s">
        <v>13</v>
      </c>
      <c r="C293" s="8" t="s">
        <v>7</v>
      </c>
      <c r="D293" s="8">
        <v>10</v>
      </c>
      <c r="E293" s="8">
        <v>2189</v>
      </c>
      <c r="F293" s="4">
        <v>27.638483969999999</v>
      </c>
      <c r="G293" s="2" t="s">
        <v>90</v>
      </c>
      <c r="H293" s="5">
        <v>1715</v>
      </c>
      <c r="I293" s="1" t="s">
        <v>8</v>
      </c>
      <c r="J293" s="32"/>
      <c r="N293" s="10" t="str">
        <f>IF(COUNTIFS( $B$2:$B$657, B293, $C$2:$C$657, C293, $D$2:$D$657, D293, $E$2:$E$657, E293) &gt; 1, "Duplicate", "Unique")</f>
        <v>Unique</v>
      </c>
    </row>
    <row r="294" spans="1:16" ht="26.5" thickBot="1" x14ac:dyDescent="0.4">
      <c r="A294" s="11">
        <v>46252.6875</v>
      </c>
      <c r="B294" s="8" t="s">
        <v>15</v>
      </c>
      <c r="C294" s="8" t="s">
        <v>7</v>
      </c>
      <c r="D294" s="8">
        <v>10</v>
      </c>
      <c r="E294" s="8">
        <v>2696</v>
      </c>
      <c r="F294" s="4">
        <v>27.833096250000001</v>
      </c>
      <c r="G294" s="2" t="s">
        <v>71</v>
      </c>
      <c r="H294" s="5">
        <v>2109</v>
      </c>
      <c r="I294" s="1" t="s">
        <v>8</v>
      </c>
      <c r="J294" s="32" t="s">
        <v>152</v>
      </c>
      <c r="N294" s="10" t="str">
        <f>IF(COUNTIFS( $B$2:$B$657, B294, $C$2:$C$657, C294, $D$2:$D$657, D294, $E$2:$E$657, E294) &gt; 1, "Duplicate", "Unique")</f>
        <v>Unique</v>
      </c>
    </row>
    <row r="295" spans="1:16" ht="26.5" thickBot="1" x14ac:dyDescent="0.4">
      <c r="A295" s="8" t="s">
        <v>61</v>
      </c>
      <c r="B295" s="8" t="s">
        <v>127</v>
      </c>
      <c r="C295" s="8" t="s">
        <v>7</v>
      </c>
      <c r="D295" s="8">
        <v>150</v>
      </c>
      <c r="E295" s="12">
        <v>136</v>
      </c>
      <c r="F295" s="4">
        <v>28.06026365</v>
      </c>
      <c r="G295" s="2" t="s">
        <v>128</v>
      </c>
      <c r="H295" s="5">
        <v>106.2</v>
      </c>
      <c r="I295" s="1" t="s">
        <v>8</v>
      </c>
      <c r="J295" s="32"/>
      <c r="N295" s="10" t="str">
        <f>IF(COUNTIFS( $B$2:$B$657, B295, $C$2:$C$657, C295, $D$2:$D$657, D295, $E$2:$E$657, E295) &gt; 1, "Duplicate", "Unique")</f>
        <v>Unique</v>
      </c>
    </row>
    <row r="296" spans="1:16" ht="26.5" thickBot="1" x14ac:dyDescent="0.4">
      <c r="A296" s="3">
        <v>46265.415277777778</v>
      </c>
      <c r="B296" s="1" t="s">
        <v>16</v>
      </c>
      <c r="C296" s="1" t="s">
        <v>7</v>
      </c>
      <c r="D296" s="4">
        <v>5</v>
      </c>
      <c r="E296" s="4">
        <v>948</v>
      </c>
      <c r="F296" s="4">
        <v>28.751867449999999</v>
      </c>
      <c r="G296" s="2" t="s">
        <v>60</v>
      </c>
      <c r="H296" s="5">
        <v>736.3</v>
      </c>
      <c r="I296" s="1" t="s">
        <v>8</v>
      </c>
      <c r="J296" s="17" t="s">
        <v>117</v>
      </c>
      <c r="K296" s="17" t="s">
        <v>193</v>
      </c>
      <c r="L296" s="17">
        <v>4455</v>
      </c>
      <c r="M296" s="17">
        <f>ABS((D296*E296)-L296)</f>
        <v>285</v>
      </c>
      <c r="N296" t="str">
        <f>IF(COUNTIFS( $B$2:$B$657, B296, $C$2:$C$657, C296, $D$2:$D$657, D296, $E$2:$E$657, E296) &gt; 1, "Duplicate", "Unique")</f>
        <v>Unique</v>
      </c>
    </row>
    <row r="297" spans="1:16" ht="26.5" thickBot="1" x14ac:dyDescent="0.4">
      <c r="A297" s="3">
        <v>46266.375</v>
      </c>
      <c r="B297" s="1" t="s">
        <v>16</v>
      </c>
      <c r="C297" s="1" t="s">
        <v>7</v>
      </c>
      <c r="D297" s="4">
        <v>11</v>
      </c>
      <c r="E297" s="4">
        <v>948</v>
      </c>
      <c r="F297" s="4">
        <v>28.751867449999999</v>
      </c>
      <c r="G297" s="2" t="s">
        <v>60</v>
      </c>
      <c r="H297" s="5">
        <v>736.3</v>
      </c>
      <c r="I297" s="1" t="s">
        <v>8</v>
      </c>
      <c r="J297" s="17" t="s">
        <v>116</v>
      </c>
      <c r="K297" s="17" t="s">
        <v>210</v>
      </c>
      <c r="L297" s="17">
        <v>9702</v>
      </c>
      <c r="M297" s="17">
        <f>ABS((D297*E297)-L297)</f>
        <v>726</v>
      </c>
      <c r="N297" s="10" t="str">
        <f>IF(COUNTIFS( $B$2:$B$657, B297, $C$2:$C$657, C297, $D$2:$D$657, D297, $E$2:$E$657, E297) &gt; 1, "Duplicate", "Unique")</f>
        <v>Unique</v>
      </c>
    </row>
    <row r="298" spans="1:16" ht="26.5" thickBot="1" x14ac:dyDescent="0.4">
      <c r="A298" s="11">
        <v>46252.6875</v>
      </c>
      <c r="B298" s="8" t="s">
        <v>15</v>
      </c>
      <c r="C298" s="8" t="s">
        <v>7</v>
      </c>
      <c r="D298" s="8">
        <v>10</v>
      </c>
      <c r="E298" s="8">
        <v>2720</v>
      </c>
      <c r="F298" s="4">
        <v>28.97107634</v>
      </c>
      <c r="G298" s="2" t="s">
        <v>71</v>
      </c>
      <c r="H298" s="5">
        <v>2109</v>
      </c>
      <c r="I298" s="1" t="s">
        <v>8</v>
      </c>
      <c r="J298" s="32" t="s">
        <v>116</v>
      </c>
      <c r="N298" s="10" t="str">
        <f>IF(COUNTIFS( $B$2:$B$657, B298, $C$2:$C$657, C298, $D$2:$D$657, D298, $E$2:$E$657, E298) &gt; 1, "Duplicate", "Unique")</f>
        <v>Unique</v>
      </c>
    </row>
    <row r="299" spans="1:16" ht="26.5" thickBot="1" x14ac:dyDescent="0.4">
      <c r="A299" s="8" t="s">
        <v>61</v>
      </c>
      <c r="B299" s="8" t="s">
        <v>17</v>
      </c>
      <c r="C299" s="8" t="s">
        <v>7</v>
      </c>
      <c r="D299" s="8">
        <v>5</v>
      </c>
      <c r="E299" s="12">
        <v>416</v>
      </c>
      <c r="F299" s="4">
        <v>29.433727439999998</v>
      </c>
      <c r="G299" s="2" t="s">
        <v>76</v>
      </c>
      <c r="H299" s="5">
        <v>321.39999999999998</v>
      </c>
      <c r="I299" s="1" t="s">
        <v>8</v>
      </c>
      <c r="J299" s="32"/>
      <c r="N299" s="10" t="str">
        <f>IF(COUNTIFS( $B$2:$B$657, B299, $C$2:$C$657, C299, $D$2:$D$657, D299, $E$2:$E$657, E299) &gt; 1, "Duplicate", "Unique")</f>
        <v>Unique</v>
      </c>
    </row>
    <row r="300" spans="1:16" ht="26.5" thickBot="1" x14ac:dyDescent="0.4">
      <c r="A300" s="8" t="s">
        <v>61</v>
      </c>
      <c r="B300" s="8" t="s">
        <v>26</v>
      </c>
      <c r="C300" s="8" t="s">
        <v>7</v>
      </c>
      <c r="D300" s="8">
        <v>25</v>
      </c>
      <c r="E300" s="8">
        <v>210</v>
      </c>
      <c r="F300" s="4">
        <v>30.475302889999998</v>
      </c>
      <c r="G300" s="2" t="s">
        <v>131</v>
      </c>
      <c r="H300" s="5">
        <v>160.94999999999999</v>
      </c>
      <c r="I300" s="1" t="s">
        <v>8</v>
      </c>
      <c r="J300" s="32"/>
      <c r="N300" s="10" t="str">
        <f>IF(COUNTIFS( $B$2:$B$657, B300, $C$2:$C$657, C300, $D$2:$D$657, D300, $E$2:$E$657, E300) &gt; 1, "Duplicate", "Unique")</f>
        <v>Unique</v>
      </c>
    </row>
    <row r="301" spans="1:16" ht="26.5" thickBot="1" x14ac:dyDescent="0.4">
      <c r="A301" s="3">
        <v>46265.375694444447</v>
      </c>
      <c r="B301" s="1" t="s">
        <v>16</v>
      </c>
      <c r="C301" s="1" t="s">
        <v>7</v>
      </c>
      <c r="D301" s="4">
        <v>5</v>
      </c>
      <c r="E301" s="4">
        <v>961</v>
      </c>
      <c r="F301" s="4">
        <v>30.517452129999999</v>
      </c>
      <c r="G301" s="2" t="s">
        <v>60</v>
      </c>
      <c r="H301" s="5">
        <v>736.3</v>
      </c>
      <c r="I301" s="1" t="s">
        <v>8</v>
      </c>
      <c r="J301" s="17" t="s">
        <v>117</v>
      </c>
      <c r="K301" s="17" t="s">
        <v>198</v>
      </c>
      <c r="L301" s="17">
        <v>4530</v>
      </c>
      <c r="M301" s="17">
        <f>ABS((D301*E301)-L301)</f>
        <v>275</v>
      </c>
      <c r="N301" t="str">
        <f>IF(COUNTIFS( $B$2:$B$657, B301, $C$2:$C$657, C301, $D$2:$D$657, D301, $E$2:$E$657, E301) &gt; 1, "Duplicate", "Unique")</f>
        <v>Unique</v>
      </c>
    </row>
    <row r="302" spans="1:16" ht="26.5" thickBot="1" x14ac:dyDescent="0.4">
      <c r="A302" s="11">
        <v>46252.635416666664</v>
      </c>
      <c r="B302" s="8" t="s">
        <v>86</v>
      </c>
      <c r="C302" s="8" t="s">
        <v>7</v>
      </c>
      <c r="D302" s="8">
        <v>10</v>
      </c>
      <c r="E302" s="8">
        <v>1479</v>
      </c>
      <c r="F302" s="4">
        <v>31.314924980000001</v>
      </c>
      <c r="G302" s="2" t="s">
        <v>87</v>
      </c>
      <c r="H302" s="5">
        <v>1126.3</v>
      </c>
      <c r="I302" s="1" t="s">
        <v>8</v>
      </c>
      <c r="J302" s="32" t="s">
        <v>54</v>
      </c>
      <c r="N302" s="10" t="str">
        <f>IF(COUNTIFS( $B$2:$B$657, B302, $C$2:$C$657, C302, $D$2:$D$657, D302, $E$2:$E$657, E302) &gt; 1, "Duplicate", "Unique")</f>
        <v>Unique</v>
      </c>
    </row>
    <row r="303" spans="1:16" ht="26.5" thickBot="1" x14ac:dyDescent="0.4">
      <c r="A303" s="3">
        <v>46260.557638888888</v>
      </c>
      <c r="B303" s="1" t="s">
        <v>16</v>
      </c>
      <c r="C303" s="1" t="s">
        <v>7</v>
      </c>
      <c r="D303" s="4">
        <v>5</v>
      </c>
      <c r="E303" s="4">
        <v>971</v>
      </c>
      <c r="F303" s="4">
        <v>31.875594190000001</v>
      </c>
      <c r="G303" s="2" t="s">
        <v>60</v>
      </c>
      <c r="H303" s="5">
        <v>736.3</v>
      </c>
      <c r="I303" s="1" t="s">
        <v>8</v>
      </c>
      <c r="J303" s="17" t="s">
        <v>117</v>
      </c>
      <c r="K303" s="17" t="s">
        <v>161</v>
      </c>
      <c r="L303" s="17">
        <v>4605</v>
      </c>
      <c r="M303" s="17">
        <f>ABS((D303*E303)-L303)</f>
        <v>250</v>
      </c>
      <c r="N303" t="str">
        <f>IF(COUNTIFS( $B$2:$B$657, B303, $C$2:$C$657, C303, $D$2:$D$657, D303, $E$2:$E$657, E303) &gt; 1, "Duplicate", "Unique")</f>
        <v>Unique</v>
      </c>
      <c r="P303" s="27"/>
    </row>
    <row r="304" spans="1:16" ht="39" thickBot="1" x14ac:dyDescent="0.4">
      <c r="A304" s="3">
        <v>46260.550694444442</v>
      </c>
      <c r="B304" s="1" t="s">
        <v>102</v>
      </c>
      <c r="C304" s="1" t="s">
        <v>7</v>
      </c>
      <c r="D304" s="4">
        <v>2</v>
      </c>
      <c r="E304" s="4">
        <v>2787.9</v>
      </c>
      <c r="F304" s="4">
        <v>32.44180523</v>
      </c>
      <c r="G304" s="2" t="s">
        <v>103</v>
      </c>
      <c r="H304" s="5">
        <v>2105</v>
      </c>
      <c r="I304" s="1" t="s">
        <v>8</v>
      </c>
      <c r="J304" s="17" t="s">
        <v>117</v>
      </c>
      <c r="K304" s="17" t="s">
        <v>164</v>
      </c>
      <c r="L304" s="17">
        <v>5275.8</v>
      </c>
      <c r="M304" s="17">
        <f>ABS((D304*E304)-L304)</f>
        <v>300</v>
      </c>
      <c r="N304" t="str">
        <f>IF(COUNTIFS( $B$2:$B$657, B304, $C$2:$C$657, C304, $D$2:$D$657, D304, $E$2:$E$657, E304) &gt; 1, "Duplicate", "Unique")</f>
        <v>Unique</v>
      </c>
    </row>
    <row r="305" spans="1:16" ht="39" thickBot="1" x14ac:dyDescent="0.4">
      <c r="A305" s="3">
        <v>46258.375694444447</v>
      </c>
      <c r="B305" s="1" t="s">
        <v>22</v>
      </c>
      <c r="C305" s="1" t="s">
        <v>7</v>
      </c>
      <c r="D305" s="4">
        <v>5</v>
      </c>
      <c r="E305" s="4">
        <v>499</v>
      </c>
      <c r="F305" s="4">
        <v>33.119914629999997</v>
      </c>
      <c r="G305" s="2" t="s">
        <v>72</v>
      </c>
      <c r="H305" s="5">
        <v>374.85</v>
      </c>
      <c r="I305" s="1" t="s">
        <v>8</v>
      </c>
      <c r="J305" s="17" t="s">
        <v>117</v>
      </c>
      <c r="K305" s="17" t="s">
        <v>156</v>
      </c>
      <c r="L305" s="17">
        <v>2260</v>
      </c>
      <c r="M305" s="17">
        <f>ABS((D305*E305)-L305)</f>
        <v>235</v>
      </c>
      <c r="N305" s="10" t="str">
        <f>IF(COUNTIFS( $B$2:$B$657, B305, $C$2:$C$657, C305, $D$2:$D$657, D305, $E$2:$E$657, E305) &gt; 1, "Duplicate", "Unique")</f>
        <v>Unique</v>
      </c>
    </row>
    <row r="306" spans="1:16" ht="39" thickBot="1" x14ac:dyDescent="0.4">
      <c r="A306" s="8" t="s">
        <v>61</v>
      </c>
      <c r="B306" s="8" t="s">
        <v>125</v>
      </c>
      <c r="C306" s="8" t="s">
        <v>7</v>
      </c>
      <c r="D306" s="8">
        <v>5</v>
      </c>
      <c r="E306" s="8">
        <v>596</v>
      </c>
      <c r="F306" s="4">
        <v>33.482642779999999</v>
      </c>
      <c r="G306" s="2" t="s">
        <v>126</v>
      </c>
      <c r="H306" s="5">
        <v>446.5</v>
      </c>
      <c r="I306" s="1" t="s">
        <v>8</v>
      </c>
      <c r="J306" s="32"/>
      <c r="N306" s="10" t="str">
        <f>IF(COUNTIFS( $B$2:$B$657, B306, $C$2:$C$657, C306, $D$2:$D$657, D306, $E$2:$E$657, E306) &gt; 1, "Duplicate", "Unique")</f>
        <v>Unique</v>
      </c>
    </row>
    <row r="307" spans="1:16" ht="26.5" thickBot="1" x14ac:dyDescent="0.4">
      <c r="A307" s="8" t="s">
        <v>61</v>
      </c>
      <c r="B307" s="8" t="s">
        <v>13</v>
      </c>
      <c r="C307" s="8" t="s">
        <v>7</v>
      </c>
      <c r="D307" s="8">
        <v>20</v>
      </c>
      <c r="E307" s="8">
        <v>2310</v>
      </c>
      <c r="F307" s="4">
        <v>34.693877550000003</v>
      </c>
      <c r="G307" s="2" t="s">
        <v>90</v>
      </c>
      <c r="H307" s="5">
        <v>1715</v>
      </c>
      <c r="I307" s="1" t="s">
        <v>8</v>
      </c>
      <c r="J307" s="32"/>
      <c r="N307" s="10" t="str">
        <f>IF(COUNTIFS( $B$2:$B$657, B307, $C$2:$C$657, C307, $D$2:$D$657, D307, $E$2:$E$657, E307) &gt; 1, "Duplicate", "Unique")</f>
        <v>Unique</v>
      </c>
    </row>
    <row r="308" spans="1:16" ht="26.5" thickBot="1" x14ac:dyDescent="0.4">
      <c r="A308" s="8" t="s">
        <v>61</v>
      </c>
      <c r="B308" s="8" t="s">
        <v>17</v>
      </c>
      <c r="C308" s="8" t="s">
        <v>7</v>
      </c>
      <c r="D308" s="8">
        <v>5</v>
      </c>
      <c r="E308" s="12">
        <v>435</v>
      </c>
      <c r="F308" s="4">
        <v>35.345364029999999</v>
      </c>
      <c r="G308" s="2" t="s">
        <v>76</v>
      </c>
      <c r="H308" s="5">
        <v>321.39999999999998</v>
      </c>
      <c r="I308" s="1" t="s">
        <v>8</v>
      </c>
      <c r="J308" s="32" t="s">
        <v>117</v>
      </c>
      <c r="N308" s="10" t="str">
        <f>IF(COUNTIFS( $B$2:$B$657, B308, $C$2:$C$657, C308, $D$2:$D$657, D308, $E$2:$E$657, E308) &gt; 1, "Duplicate", "Unique")</f>
        <v>Unique</v>
      </c>
    </row>
    <row r="309" spans="1:16" ht="39" thickBot="1" x14ac:dyDescent="0.4">
      <c r="A309" s="9" t="s">
        <v>61</v>
      </c>
      <c r="B309" s="9" t="s">
        <v>118</v>
      </c>
      <c r="C309" s="9" t="s">
        <v>7</v>
      </c>
      <c r="D309" s="9">
        <v>7</v>
      </c>
      <c r="E309" s="12">
        <v>1170</v>
      </c>
      <c r="F309" s="4">
        <v>36.363636360000001</v>
      </c>
      <c r="G309" s="2" t="s">
        <v>119</v>
      </c>
      <c r="H309" s="5">
        <v>858</v>
      </c>
      <c r="I309" s="1" t="s">
        <v>8</v>
      </c>
      <c r="J309" s="32"/>
      <c r="N309" s="10" t="str">
        <f>IF(COUNTIFS( $B$2:$B$657, B309, $C$2:$C$657, C309, $D$2:$D$657, D309, $E$2:$E$657, E309) &gt; 1, "Duplicate", "Unique")</f>
        <v>Unique</v>
      </c>
    </row>
    <row r="310" spans="1:16" ht="26.5" thickBot="1" x14ac:dyDescent="0.4">
      <c r="A310" s="11">
        <v>46252.6875</v>
      </c>
      <c r="B310" s="8" t="s">
        <v>15</v>
      </c>
      <c r="C310" s="8" t="s">
        <v>7</v>
      </c>
      <c r="D310" s="8">
        <v>10</v>
      </c>
      <c r="E310" s="8">
        <v>2896</v>
      </c>
      <c r="F310" s="4">
        <v>37.316263630000002</v>
      </c>
      <c r="G310" s="2" t="s">
        <v>71</v>
      </c>
      <c r="H310" s="5">
        <v>2109</v>
      </c>
      <c r="I310" s="1" t="s">
        <v>8</v>
      </c>
      <c r="J310" s="32" t="s">
        <v>117</v>
      </c>
      <c r="N310" s="10" t="str">
        <f>IF(COUNTIFS( $B$2:$B$657, B310, $C$2:$C$657, C310, $D$2:$D$657, D310, $E$2:$E$657, E310) &gt; 1, "Duplicate", "Unique")</f>
        <v>Unique</v>
      </c>
    </row>
    <row r="311" spans="1:16" ht="26.5" thickBot="1" x14ac:dyDescent="0.4">
      <c r="A311" s="11">
        <v>46252.6875</v>
      </c>
      <c r="B311" s="8" t="s">
        <v>15</v>
      </c>
      <c r="C311" s="8" t="s">
        <v>7</v>
      </c>
      <c r="D311" s="8">
        <v>10</v>
      </c>
      <c r="E311" s="8">
        <v>2908</v>
      </c>
      <c r="F311" s="4">
        <v>37.885253669999997</v>
      </c>
      <c r="G311" s="2" t="s">
        <v>71</v>
      </c>
      <c r="H311" s="5">
        <v>2109</v>
      </c>
      <c r="I311" s="1" t="s">
        <v>8</v>
      </c>
      <c r="J311" s="32" t="s">
        <v>117</v>
      </c>
      <c r="N311" s="10" t="str">
        <f>IF(COUNTIFS( $B$2:$B$657, B311, $C$2:$C$657, C311, $D$2:$D$657, D311, $E$2:$E$657, E311) &gt; 1, "Duplicate", "Unique")</f>
        <v>Unique</v>
      </c>
    </row>
    <row r="312" spans="1:16" ht="39" thickBot="1" x14ac:dyDescent="0.4">
      <c r="A312" s="3">
        <v>46259.532638888886</v>
      </c>
      <c r="B312" s="1" t="s">
        <v>95</v>
      </c>
      <c r="C312" s="1" t="s">
        <v>7</v>
      </c>
      <c r="D312" s="4">
        <v>5</v>
      </c>
      <c r="E312" s="4">
        <v>218</v>
      </c>
      <c r="F312" s="4">
        <v>41.825515580000001</v>
      </c>
      <c r="G312" s="2" t="s">
        <v>96</v>
      </c>
      <c r="H312" s="5">
        <v>153.71</v>
      </c>
      <c r="I312" s="1" t="s">
        <v>8</v>
      </c>
      <c r="J312" s="32" t="s">
        <v>117</v>
      </c>
      <c r="K312" s="17" t="s">
        <v>157</v>
      </c>
      <c r="L312" s="17">
        <v>840</v>
      </c>
      <c r="M312" s="17">
        <f>ABS((D312*E312)-L312)</f>
        <v>250</v>
      </c>
      <c r="N312" s="10" t="str">
        <f>IF(COUNTIFS( $B$2:$B$657, B312, $C$2:$C$657, C312, $D$2:$D$657, D312, $E$2:$E$657, E312) &gt; 1, "Duplicate", "Unique")</f>
        <v>Unique</v>
      </c>
    </row>
    <row r="313" spans="1:16" ht="26.5" thickBot="1" x14ac:dyDescent="0.4">
      <c r="A313" s="39" t="s">
        <v>61</v>
      </c>
      <c r="B313" s="39" t="s">
        <v>13</v>
      </c>
      <c r="C313" s="39" t="s">
        <v>7</v>
      </c>
      <c r="D313" s="39">
        <v>1</v>
      </c>
      <c r="E313" s="39">
        <v>2494</v>
      </c>
      <c r="F313" s="4">
        <v>45.422740519999998</v>
      </c>
      <c r="G313" s="2" t="s">
        <v>90</v>
      </c>
      <c r="H313" s="5">
        <v>1715</v>
      </c>
      <c r="I313" s="1" t="s">
        <v>8</v>
      </c>
      <c r="J313" s="45" t="s">
        <v>117</v>
      </c>
      <c r="K313" s="25"/>
      <c r="L313" s="25"/>
      <c r="M313" s="25"/>
      <c r="N313" s="27" t="str">
        <f>IF(COUNTIFS( $B$2:$B$657, B313, $C$2:$C$657, C313, $D$2:$D$657, D313, $E$2:$E$657, E313) &gt; 1, "Duplicate", "Unique")</f>
        <v>Unique</v>
      </c>
      <c r="O313" s="27"/>
      <c r="P313" s="27"/>
    </row>
    <row r="314" spans="1:16" ht="26.5" thickBot="1" x14ac:dyDescent="0.4">
      <c r="A314" s="38">
        <v>46251.506249999999</v>
      </c>
      <c r="B314" s="39" t="s">
        <v>13</v>
      </c>
      <c r="C314" s="39" t="s">
        <v>7</v>
      </c>
      <c r="D314" s="39">
        <v>3</v>
      </c>
      <c r="E314" s="39">
        <v>2494</v>
      </c>
      <c r="F314" s="4">
        <v>45.422740519999998</v>
      </c>
      <c r="G314" s="2" t="s">
        <v>90</v>
      </c>
      <c r="H314" s="5">
        <v>1715</v>
      </c>
      <c r="I314" s="1" t="s">
        <v>8</v>
      </c>
      <c r="J314" s="45" t="s">
        <v>117</v>
      </c>
      <c r="K314" s="25"/>
      <c r="L314" s="25"/>
      <c r="M314" s="25"/>
      <c r="N314" s="27" t="str">
        <f>IF(COUNTIFS( $B$2:$B$657, B314, $C$2:$C$657, C314, $D$2:$D$657, D314, $E$2:$E$657, E314) &gt; 1, "Duplicate", "Unique")</f>
        <v>Unique</v>
      </c>
      <c r="O314" s="27"/>
      <c r="P314" s="27"/>
    </row>
    <row r="315" spans="1:16" ht="26.5" thickBot="1" x14ac:dyDescent="0.4">
      <c r="A315" s="8" t="s">
        <v>61</v>
      </c>
      <c r="B315" s="8" t="s">
        <v>140</v>
      </c>
      <c r="C315" s="8" t="s">
        <v>7</v>
      </c>
      <c r="D315" s="8">
        <v>23</v>
      </c>
      <c r="E315" s="12">
        <v>890</v>
      </c>
      <c r="F315" s="6" t="e">
        <v>#N/A</v>
      </c>
      <c r="G315" s="2" t="s">
        <v>141</v>
      </c>
      <c r="H315" s="7" t="e">
        <v>#N/A</v>
      </c>
      <c r="I315" s="1" t="s">
        <v>8</v>
      </c>
      <c r="J315" s="32" t="s">
        <v>116</v>
      </c>
      <c r="N315" s="10" t="str">
        <f>IF(COUNTIFS( $B$2:$B$657, B315, $C$2:$C$657, C315, $D$2:$D$657, D315, $E$2:$E$657, E315) &gt; 1, "Duplicate", "Unique")</f>
        <v>Unique</v>
      </c>
    </row>
    <row r="316" spans="1:16" ht="15" thickBot="1" x14ac:dyDescent="0.3">
      <c r="A316" s="2"/>
      <c r="B316" s="2"/>
      <c r="C316" s="2"/>
      <c r="D316" s="2"/>
      <c r="E316" s="2"/>
      <c r="F316" s="2"/>
      <c r="G316" s="2"/>
      <c r="H316" s="2"/>
      <c r="I316" s="2"/>
    </row>
    <row r="317" spans="1:16" ht="15" thickBot="1" x14ac:dyDescent="0.3">
      <c r="A317" s="2"/>
      <c r="B317" s="2"/>
      <c r="C317" s="2"/>
      <c r="D317" s="2"/>
      <c r="E317" s="2"/>
      <c r="F317" s="2"/>
      <c r="G317" s="2"/>
      <c r="H317" s="2"/>
      <c r="I317" s="2"/>
    </row>
    <row r="318" spans="1:16" ht="15" thickBot="1" x14ac:dyDescent="0.3">
      <c r="A318" s="2"/>
      <c r="B318" s="2"/>
      <c r="C318" s="2"/>
      <c r="D318" s="2"/>
      <c r="E318" s="2"/>
      <c r="F318" s="2"/>
      <c r="G318" s="2"/>
      <c r="H318" s="2"/>
      <c r="I318" s="2"/>
    </row>
    <row r="319" spans="1:16" ht="15" thickBot="1" x14ac:dyDescent="0.3">
      <c r="A319" s="2"/>
      <c r="B319" s="2"/>
      <c r="C319" s="2"/>
      <c r="D319" s="2"/>
      <c r="E319" s="2"/>
      <c r="F319" s="2"/>
      <c r="G319" s="2"/>
      <c r="H319" s="2"/>
      <c r="I319" s="2"/>
    </row>
    <row r="320" spans="1:16" ht="15" thickBot="1" x14ac:dyDescent="0.3">
      <c r="A320" s="2"/>
      <c r="B320" s="2"/>
      <c r="C320" s="2"/>
      <c r="D320" s="2"/>
      <c r="E320" s="2"/>
      <c r="F320" s="2"/>
      <c r="G320" s="2"/>
      <c r="H320" s="2"/>
      <c r="I320" s="2"/>
    </row>
    <row r="321" spans="1:9" ht="15" thickBot="1" x14ac:dyDescent="0.3">
      <c r="A321" s="2"/>
      <c r="B321" s="2"/>
      <c r="C321" s="2"/>
      <c r="D321" s="2"/>
      <c r="E321" s="2"/>
      <c r="F321" s="2"/>
      <c r="G321" s="2"/>
      <c r="H321" s="2"/>
      <c r="I321" s="2"/>
    </row>
    <row r="322" spans="1:9" ht="15" thickBot="1" x14ac:dyDescent="0.3">
      <c r="A322" s="2"/>
      <c r="B322" s="2"/>
      <c r="C322" s="2"/>
      <c r="D322" s="2"/>
      <c r="E322" s="2"/>
      <c r="F322" s="2"/>
      <c r="G322" s="2"/>
      <c r="H322" s="2"/>
      <c r="I322" s="2"/>
    </row>
    <row r="323" spans="1:9" ht="15" thickBot="1" x14ac:dyDescent="0.3">
      <c r="A323" s="2"/>
      <c r="B323" s="2"/>
      <c r="C323" s="2"/>
      <c r="D323" s="2"/>
      <c r="E323" s="2"/>
      <c r="F323" s="2"/>
      <c r="G323" s="2"/>
      <c r="H323" s="2"/>
      <c r="I323" s="2"/>
    </row>
    <row r="324" spans="1:9" ht="15" thickBot="1" x14ac:dyDescent="0.3">
      <c r="A324" s="2"/>
      <c r="B324" s="2"/>
      <c r="C324" s="2"/>
      <c r="D324" s="2"/>
      <c r="E324" s="2"/>
      <c r="F324" s="2"/>
      <c r="G324" s="2"/>
      <c r="H324" s="2"/>
      <c r="I324" s="2"/>
    </row>
    <row r="325" spans="1:9" ht="15" thickBot="1" x14ac:dyDescent="0.3">
      <c r="A325" s="2"/>
      <c r="B325" s="2"/>
      <c r="C325" s="2"/>
      <c r="D325" s="2"/>
      <c r="E325" s="2"/>
      <c r="F325" s="2"/>
      <c r="G325" s="2"/>
      <c r="H325" s="2"/>
      <c r="I325" s="2"/>
    </row>
    <row r="326" spans="1:9" ht="15" thickBot="1" x14ac:dyDescent="0.3">
      <c r="A326" s="2"/>
      <c r="B326" s="2"/>
      <c r="C326" s="2"/>
      <c r="D326" s="2"/>
      <c r="E326" s="2"/>
      <c r="F326" s="2"/>
      <c r="G326" s="2"/>
      <c r="H326" s="2"/>
      <c r="I326" s="2"/>
    </row>
    <row r="327" spans="1:9" ht="15" thickBot="1" x14ac:dyDescent="0.3">
      <c r="A327" s="2"/>
      <c r="B327" s="2"/>
      <c r="C327" s="2"/>
      <c r="D327" s="2"/>
      <c r="E327" s="2"/>
      <c r="F327" s="2"/>
      <c r="G327" s="2"/>
      <c r="H327" s="2"/>
      <c r="I327" s="2"/>
    </row>
    <row r="328" spans="1:9" ht="15" thickBot="1" x14ac:dyDescent="0.3">
      <c r="A328" s="2"/>
      <c r="B328" s="2"/>
      <c r="C328" s="2"/>
      <c r="D328" s="2"/>
      <c r="E328" s="2"/>
      <c r="F328" s="2"/>
      <c r="G328" s="2"/>
      <c r="H328" s="2"/>
      <c r="I328" s="2"/>
    </row>
    <row r="329" spans="1:9" ht="15" thickBot="1" x14ac:dyDescent="0.3">
      <c r="A329" s="2"/>
      <c r="B329" s="2"/>
      <c r="C329" s="2"/>
      <c r="D329" s="2"/>
      <c r="E329" s="2"/>
      <c r="F329" s="2"/>
      <c r="G329" s="2"/>
      <c r="H329" s="2"/>
      <c r="I329" s="2"/>
    </row>
    <row r="330" spans="1:9" ht="15" thickBot="1" x14ac:dyDescent="0.3">
      <c r="A330" s="2"/>
      <c r="B330" s="2"/>
      <c r="C330" s="2"/>
      <c r="D330" s="2"/>
      <c r="E330" s="2"/>
      <c r="F330" s="2"/>
      <c r="G330" s="2"/>
      <c r="H330" s="2"/>
      <c r="I330" s="2"/>
    </row>
    <row r="331" spans="1:9" ht="15" thickBot="1" x14ac:dyDescent="0.3">
      <c r="A331" s="2"/>
      <c r="B331" s="2"/>
      <c r="C331" s="2"/>
      <c r="D331" s="2"/>
      <c r="E331" s="2"/>
      <c r="F331" s="2"/>
      <c r="G331" s="2"/>
      <c r="H331" s="2"/>
      <c r="I331" s="2"/>
    </row>
    <row r="332" spans="1:9" ht="15" thickBot="1" x14ac:dyDescent="0.3">
      <c r="A332" s="2"/>
      <c r="B332" s="2"/>
      <c r="C332" s="2"/>
      <c r="D332" s="2"/>
      <c r="E332" s="2"/>
      <c r="F332" s="2"/>
      <c r="G332" s="2"/>
      <c r="H332" s="2"/>
      <c r="I332" s="2"/>
    </row>
    <row r="333" spans="1:9" ht="15" thickBot="1" x14ac:dyDescent="0.3">
      <c r="A333" s="2"/>
      <c r="B333" s="2"/>
      <c r="C333" s="2"/>
      <c r="D333" s="2"/>
      <c r="E333" s="2"/>
      <c r="F333" s="2"/>
      <c r="G333" s="2"/>
      <c r="H333" s="2"/>
      <c r="I333" s="2"/>
    </row>
    <row r="334" spans="1:9" ht="15" thickBot="1" x14ac:dyDescent="0.3">
      <c r="A334" s="2"/>
      <c r="B334" s="2"/>
      <c r="C334" s="2"/>
      <c r="D334" s="2"/>
      <c r="E334" s="2"/>
      <c r="F334" s="2"/>
      <c r="G334" s="2"/>
      <c r="H334" s="2"/>
      <c r="I334" s="2"/>
    </row>
    <row r="335" spans="1:9" ht="15" thickBot="1" x14ac:dyDescent="0.3">
      <c r="A335" s="2"/>
      <c r="B335" s="2"/>
      <c r="C335" s="2"/>
      <c r="D335" s="2"/>
      <c r="E335" s="2"/>
      <c r="F335" s="2"/>
      <c r="G335" s="2"/>
      <c r="H335" s="2"/>
      <c r="I335" s="2"/>
    </row>
    <row r="336" spans="1:9" ht="15" thickBot="1" x14ac:dyDescent="0.3">
      <c r="A336" s="2"/>
      <c r="B336" s="2"/>
      <c r="C336" s="2"/>
      <c r="D336" s="2"/>
      <c r="E336" s="2"/>
      <c r="F336" s="2"/>
      <c r="G336" s="2"/>
      <c r="H336" s="2"/>
      <c r="I336" s="2"/>
    </row>
    <row r="337" spans="1:9" ht="15" thickBot="1" x14ac:dyDescent="0.3">
      <c r="A337" s="2"/>
      <c r="B337" s="2"/>
      <c r="C337" s="2"/>
      <c r="D337" s="2"/>
      <c r="E337" s="2"/>
      <c r="F337" s="2"/>
      <c r="G337" s="2"/>
      <c r="H337" s="2"/>
      <c r="I337" s="2"/>
    </row>
    <row r="338" spans="1:9" ht="15" thickBot="1" x14ac:dyDescent="0.3">
      <c r="A338" s="2"/>
      <c r="B338" s="2"/>
      <c r="C338" s="2"/>
      <c r="D338" s="2"/>
      <c r="E338" s="2"/>
      <c r="F338" s="2"/>
      <c r="G338" s="2"/>
      <c r="H338" s="2"/>
      <c r="I338" s="2"/>
    </row>
    <row r="339" spans="1:9" ht="15" thickBot="1" x14ac:dyDescent="0.3">
      <c r="A339" s="2"/>
      <c r="B339" s="2"/>
      <c r="C339" s="2"/>
      <c r="D339" s="2"/>
      <c r="E339" s="2"/>
      <c r="F339" s="2"/>
      <c r="G339" s="2"/>
      <c r="H339" s="2"/>
      <c r="I339" s="2"/>
    </row>
    <row r="340" spans="1:9" ht="15" thickBot="1" x14ac:dyDescent="0.3">
      <c r="A340" s="2"/>
      <c r="B340" s="2"/>
      <c r="C340" s="2"/>
      <c r="D340" s="2"/>
      <c r="E340" s="2"/>
      <c r="F340" s="2"/>
      <c r="G340" s="2"/>
      <c r="H340" s="2"/>
      <c r="I340" s="2"/>
    </row>
    <row r="341" spans="1:9" ht="15" thickBot="1" x14ac:dyDescent="0.3">
      <c r="A341" s="2"/>
      <c r="B341" s="2"/>
      <c r="C341" s="2"/>
      <c r="D341" s="2"/>
      <c r="E341" s="2"/>
      <c r="F341" s="2"/>
      <c r="G341" s="2"/>
      <c r="H341" s="2"/>
      <c r="I341" s="2"/>
    </row>
    <row r="342" spans="1:9" ht="15" thickBot="1" x14ac:dyDescent="0.3">
      <c r="A342" s="2"/>
      <c r="B342" s="2"/>
      <c r="C342" s="2"/>
      <c r="D342" s="2"/>
      <c r="E342" s="2"/>
      <c r="F342" s="2"/>
      <c r="G342" s="2"/>
      <c r="H342" s="2"/>
      <c r="I342" s="2"/>
    </row>
    <row r="343" spans="1:9" ht="15" thickBot="1" x14ac:dyDescent="0.3">
      <c r="A343" s="2"/>
      <c r="B343" s="2"/>
      <c r="C343" s="2"/>
      <c r="D343" s="2"/>
      <c r="E343" s="2"/>
      <c r="F343" s="2"/>
      <c r="G343" s="2"/>
      <c r="H343" s="2"/>
      <c r="I343" s="2"/>
    </row>
    <row r="344" spans="1:9" ht="15" thickBot="1" x14ac:dyDescent="0.3">
      <c r="A344" s="2"/>
      <c r="B344" s="2"/>
      <c r="C344" s="2"/>
      <c r="D344" s="2"/>
      <c r="E344" s="2"/>
      <c r="F344" s="2"/>
      <c r="G344" s="2"/>
      <c r="H344" s="2"/>
      <c r="I344" s="2"/>
    </row>
    <row r="345" spans="1:9" ht="15" thickBot="1" x14ac:dyDescent="0.3">
      <c r="A345" s="2"/>
      <c r="B345" s="2"/>
      <c r="C345" s="2"/>
      <c r="D345" s="2"/>
      <c r="E345" s="2"/>
      <c r="F345" s="2"/>
      <c r="G345" s="2"/>
      <c r="H345" s="2"/>
      <c r="I345" s="2"/>
    </row>
    <row r="346" spans="1:9" ht="15" thickBot="1" x14ac:dyDescent="0.3">
      <c r="A346" s="2"/>
      <c r="B346" s="2"/>
      <c r="C346" s="2"/>
      <c r="D346" s="2"/>
      <c r="E346" s="2"/>
      <c r="F346" s="2"/>
      <c r="G346" s="2"/>
      <c r="H346" s="2"/>
      <c r="I346" s="2"/>
    </row>
    <row r="347" spans="1:9" ht="15" thickBot="1" x14ac:dyDescent="0.3">
      <c r="A347" s="2"/>
      <c r="B347" s="2"/>
      <c r="C347" s="2"/>
      <c r="D347" s="2"/>
      <c r="E347" s="2"/>
      <c r="F347" s="2"/>
      <c r="G347" s="2"/>
      <c r="H347" s="2"/>
      <c r="I347" s="2"/>
    </row>
    <row r="348" spans="1:9" ht="15" thickBot="1" x14ac:dyDescent="0.3">
      <c r="A348" s="2"/>
      <c r="B348" s="2"/>
      <c r="C348" s="2"/>
      <c r="D348" s="2"/>
      <c r="E348" s="2"/>
      <c r="F348" s="2"/>
      <c r="G348" s="2"/>
      <c r="H348" s="2"/>
      <c r="I348" s="2"/>
    </row>
    <row r="349" spans="1:9" ht="15" thickBot="1" x14ac:dyDescent="0.3">
      <c r="A349" s="2"/>
      <c r="B349" s="2"/>
      <c r="C349" s="2"/>
      <c r="D349" s="2"/>
      <c r="E349" s="2"/>
      <c r="F349" s="2"/>
      <c r="G349" s="2"/>
      <c r="H349" s="2"/>
      <c r="I349" s="2"/>
    </row>
    <row r="350" spans="1:9" ht="15" thickBot="1" x14ac:dyDescent="0.3">
      <c r="A350" s="2"/>
      <c r="B350" s="2"/>
      <c r="C350" s="2"/>
      <c r="D350" s="2"/>
      <c r="E350" s="2"/>
      <c r="F350" s="2"/>
      <c r="G350" s="2"/>
      <c r="H350" s="2"/>
      <c r="I350" s="2"/>
    </row>
    <row r="351" spans="1:9" ht="15" thickBot="1" x14ac:dyDescent="0.3">
      <c r="A351" s="2"/>
      <c r="B351" s="2"/>
      <c r="C351" s="2"/>
      <c r="D351" s="2"/>
      <c r="E351" s="2"/>
      <c r="F351" s="2"/>
      <c r="G351" s="2"/>
      <c r="H351" s="2"/>
      <c r="I351" s="2"/>
    </row>
    <row r="352" spans="1:9" ht="15" thickBot="1" x14ac:dyDescent="0.3">
      <c r="A352" s="2"/>
      <c r="B352" s="2"/>
      <c r="C352" s="2"/>
      <c r="D352" s="2"/>
      <c r="E352" s="2"/>
      <c r="F352" s="2"/>
      <c r="G352" s="2"/>
      <c r="H352" s="2"/>
      <c r="I352" s="2"/>
    </row>
    <row r="353" spans="1:9" ht="15" thickBot="1" x14ac:dyDescent="0.3">
      <c r="A353" s="2"/>
      <c r="B353" s="2"/>
      <c r="C353" s="2"/>
      <c r="D353" s="2"/>
      <c r="E353" s="2"/>
      <c r="F353" s="2"/>
      <c r="G353" s="2"/>
      <c r="H353" s="2"/>
      <c r="I353" s="2"/>
    </row>
    <row r="354" spans="1:9" ht="15" thickBot="1" x14ac:dyDescent="0.3">
      <c r="A354" s="2"/>
      <c r="B354" s="2"/>
      <c r="C354" s="2"/>
      <c r="D354" s="2"/>
      <c r="E354" s="2"/>
      <c r="F354" s="2"/>
      <c r="G354" s="2"/>
      <c r="H354" s="2"/>
      <c r="I354" s="2"/>
    </row>
    <row r="355" spans="1:9" ht="15" thickBot="1" x14ac:dyDescent="0.3">
      <c r="A355" s="2"/>
      <c r="B355" s="2"/>
      <c r="C355" s="2"/>
      <c r="D355" s="2"/>
      <c r="E355" s="2"/>
      <c r="F355" s="2"/>
      <c r="G355" s="2"/>
      <c r="H355" s="2"/>
      <c r="I355" s="2"/>
    </row>
    <row r="356" spans="1:9" ht="15" thickBot="1" x14ac:dyDescent="0.3">
      <c r="A356" s="2"/>
      <c r="B356" s="2"/>
      <c r="C356" s="2"/>
      <c r="D356" s="2"/>
      <c r="E356" s="2"/>
      <c r="F356" s="2"/>
      <c r="G356" s="2"/>
      <c r="H356" s="2"/>
      <c r="I356" s="2"/>
    </row>
    <row r="357" spans="1:9" ht="15" thickBot="1" x14ac:dyDescent="0.3">
      <c r="A357" s="2"/>
      <c r="B357" s="2"/>
      <c r="C357" s="2"/>
      <c r="D357" s="2"/>
      <c r="E357" s="2"/>
      <c r="F357" s="2"/>
      <c r="G357" s="2"/>
      <c r="H357" s="2"/>
      <c r="I357" s="2"/>
    </row>
    <row r="358" spans="1:9" ht="15" thickBot="1" x14ac:dyDescent="0.3">
      <c r="A358" s="2"/>
      <c r="B358" s="2"/>
      <c r="C358" s="2"/>
      <c r="D358" s="2"/>
      <c r="E358" s="2"/>
      <c r="F358" s="2"/>
      <c r="G358" s="2"/>
      <c r="H358" s="2"/>
      <c r="I358" s="2"/>
    </row>
    <row r="359" spans="1:9" ht="15" thickBot="1" x14ac:dyDescent="0.3">
      <c r="A359" s="2"/>
      <c r="B359" s="2"/>
      <c r="C359" s="2"/>
      <c r="D359" s="2"/>
      <c r="E359" s="2"/>
      <c r="F359" s="2"/>
      <c r="G359" s="2"/>
      <c r="H359" s="2"/>
      <c r="I359" s="2"/>
    </row>
    <row r="360" spans="1:9" ht="15" thickBot="1" x14ac:dyDescent="0.3">
      <c r="A360" s="2"/>
      <c r="B360" s="2"/>
      <c r="C360" s="2"/>
      <c r="D360" s="2"/>
      <c r="E360" s="2"/>
      <c r="F360" s="2"/>
      <c r="G360" s="2"/>
      <c r="H360" s="2"/>
      <c r="I360" s="2"/>
    </row>
    <row r="361" spans="1:9" ht="15" thickBot="1" x14ac:dyDescent="0.3">
      <c r="A361" s="2"/>
      <c r="B361" s="2"/>
      <c r="C361" s="2"/>
      <c r="D361" s="2"/>
      <c r="E361" s="2"/>
      <c r="F361" s="2"/>
      <c r="G361" s="2"/>
      <c r="H361" s="2"/>
      <c r="I361" s="2"/>
    </row>
    <row r="362" spans="1:9" ht="15" thickBot="1" x14ac:dyDescent="0.3">
      <c r="A362" s="2"/>
      <c r="B362" s="2"/>
      <c r="C362" s="2"/>
      <c r="D362" s="2"/>
      <c r="E362" s="2"/>
      <c r="F362" s="2"/>
      <c r="G362" s="2"/>
      <c r="H362" s="2"/>
      <c r="I362" s="2"/>
    </row>
    <row r="363" spans="1:9" ht="15" thickBot="1" x14ac:dyDescent="0.3">
      <c r="A363" s="2"/>
      <c r="B363" s="2"/>
      <c r="C363" s="2"/>
      <c r="D363" s="2"/>
      <c r="E363" s="2"/>
      <c r="F363" s="2"/>
      <c r="G363" s="2"/>
      <c r="H363" s="2"/>
      <c r="I363" s="2"/>
    </row>
    <row r="364" spans="1:9" ht="15" thickBot="1" x14ac:dyDescent="0.3">
      <c r="A364" s="2"/>
      <c r="B364" s="2"/>
      <c r="C364" s="2"/>
      <c r="D364" s="2"/>
      <c r="E364" s="2"/>
      <c r="F364" s="2"/>
      <c r="G364" s="2"/>
      <c r="H364" s="2"/>
      <c r="I364" s="2"/>
    </row>
    <row r="365" spans="1:9" ht="15" thickBot="1" x14ac:dyDescent="0.3">
      <c r="A365" s="2"/>
      <c r="B365" s="2"/>
      <c r="C365" s="2"/>
      <c r="D365" s="2"/>
      <c r="E365" s="2"/>
      <c r="F365" s="2"/>
      <c r="G365" s="2"/>
      <c r="H365" s="2"/>
      <c r="I365" s="2"/>
    </row>
    <row r="366" spans="1:9" ht="15" thickBot="1" x14ac:dyDescent="0.3">
      <c r="A366" s="2"/>
      <c r="B366" s="2"/>
      <c r="C366" s="2"/>
      <c r="D366" s="2"/>
      <c r="E366" s="2"/>
      <c r="F366" s="2"/>
      <c r="G366" s="2"/>
      <c r="H366" s="2"/>
      <c r="I366" s="2"/>
    </row>
    <row r="367" spans="1:9" ht="15" thickBot="1" x14ac:dyDescent="0.3">
      <c r="A367" s="2"/>
      <c r="B367" s="2"/>
      <c r="C367" s="2"/>
      <c r="D367" s="2"/>
      <c r="E367" s="2"/>
      <c r="F367" s="2"/>
      <c r="G367" s="2"/>
      <c r="H367" s="2"/>
      <c r="I367" s="2"/>
    </row>
    <row r="368" spans="1:9" ht="15" thickBot="1" x14ac:dyDescent="0.3">
      <c r="A368" s="2"/>
      <c r="B368" s="2"/>
      <c r="C368" s="2"/>
      <c r="D368" s="2"/>
      <c r="E368" s="2"/>
      <c r="F368" s="2"/>
      <c r="G368" s="2"/>
      <c r="H368" s="2"/>
      <c r="I368" s="2"/>
    </row>
    <row r="369" spans="1:9" ht="15" thickBot="1" x14ac:dyDescent="0.3">
      <c r="A369" s="2"/>
      <c r="B369" s="2"/>
      <c r="C369" s="2"/>
      <c r="D369" s="2"/>
      <c r="E369" s="2"/>
      <c r="F369" s="2"/>
      <c r="G369" s="2"/>
      <c r="H369" s="2"/>
      <c r="I369" s="2"/>
    </row>
    <row r="370" spans="1:9" ht="15" thickBot="1" x14ac:dyDescent="0.3">
      <c r="A370" s="2"/>
      <c r="B370" s="2"/>
      <c r="C370" s="2"/>
      <c r="D370" s="2"/>
      <c r="E370" s="2"/>
      <c r="F370" s="2"/>
      <c r="G370" s="2"/>
      <c r="H370" s="2"/>
      <c r="I370" s="2"/>
    </row>
    <row r="371" spans="1:9" ht="15" thickBot="1" x14ac:dyDescent="0.3">
      <c r="A371" s="2"/>
      <c r="B371" s="2"/>
      <c r="C371" s="2"/>
      <c r="D371" s="2"/>
      <c r="E371" s="2"/>
      <c r="F371" s="2"/>
      <c r="G371" s="2"/>
      <c r="H371" s="2"/>
      <c r="I371" s="2"/>
    </row>
    <row r="372" spans="1:9" ht="15" thickBot="1" x14ac:dyDescent="0.3">
      <c r="A372" s="2"/>
      <c r="B372" s="2"/>
      <c r="C372" s="2"/>
      <c r="D372" s="2"/>
      <c r="E372" s="2"/>
      <c r="F372" s="2"/>
      <c r="G372" s="2"/>
      <c r="H372" s="2"/>
      <c r="I372" s="2"/>
    </row>
    <row r="373" spans="1:9" ht="15" thickBot="1" x14ac:dyDescent="0.3">
      <c r="A373" s="2"/>
      <c r="B373" s="2"/>
      <c r="C373" s="2"/>
      <c r="D373" s="2"/>
      <c r="E373" s="2"/>
      <c r="F373" s="2"/>
      <c r="G373" s="2"/>
      <c r="H373" s="2"/>
      <c r="I373" s="2"/>
    </row>
    <row r="374" spans="1:9" ht="15" thickBot="1" x14ac:dyDescent="0.3">
      <c r="A374" s="2"/>
      <c r="B374" s="2"/>
      <c r="C374" s="2"/>
      <c r="D374" s="2"/>
      <c r="E374" s="2"/>
      <c r="F374" s="2"/>
      <c r="G374" s="2"/>
      <c r="H374" s="2"/>
      <c r="I374" s="2"/>
    </row>
    <row r="375" spans="1:9" ht="15" thickBot="1" x14ac:dyDescent="0.3">
      <c r="A375" s="2"/>
      <c r="B375" s="2"/>
      <c r="C375" s="2"/>
      <c r="D375" s="2"/>
      <c r="E375" s="2"/>
      <c r="F375" s="2"/>
      <c r="G375" s="2"/>
      <c r="H375" s="2"/>
      <c r="I375" s="2"/>
    </row>
    <row r="376" spans="1:9" ht="15" thickBot="1" x14ac:dyDescent="0.3">
      <c r="A376" s="2"/>
      <c r="B376" s="2"/>
      <c r="C376" s="2"/>
      <c r="D376" s="2"/>
      <c r="E376" s="2"/>
      <c r="F376" s="2"/>
      <c r="G376" s="2"/>
      <c r="H376" s="2"/>
      <c r="I376" s="2"/>
    </row>
    <row r="377" spans="1:9" ht="15" thickBot="1" x14ac:dyDescent="0.3">
      <c r="A377" s="2"/>
      <c r="B377" s="2"/>
      <c r="C377" s="2"/>
      <c r="D377" s="2"/>
      <c r="E377" s="2"/>
      <c r="F377" s="2"/>
      <c r="G377" s="2"/>
      <c r="H377" s="2"/>
      <c r="I377" s="2"/>
    </row>
    <row r="378" spans="1:9" ht="15" thickBot="1" x14ac:dyDescent="0.3">
      <c r="A378" s="2"/>
      <c r="B378" s="2"/>
      <c r="C378" s="2"/>
      <c r="D378" s="2"/>
      <c r="E378" s="2"/>
      <c r="F378" s="2"/>
      <c r="G378" s="2"/>
      <c r="H378" s="2"/>
      <c r="I378" s="2"/>
    </row>
    <row r="379" spans="1:9" ht="15" thickBot="1" x14ac:dyDescent="0.3">
      <c r="A379" s="2"/>
      <c r="B379" s="2"/>
      <c r="C379" s="2"/>
      <c r="D379" s="2"/>
      <c r="E379" s="2"/>
      <c r="F379" s="2"/>
      <c r="G379" s="2"/>
      <c r="H379" s="2"/>
      <c r="I379" s="2"/>
    </row>
    <row r="380" spans="1:9" ht="15" thickBot="1" x14ac:dyDescent="0.3">
      <c r="A380" s="2"/>
      <c r="B380" s="2"/>
      <c r="C380" s="2"/>
      <c r="D380" s="2"/>
      <c r="E380" s="2"/>
      <c r="F380" s="2"/>
      <c r="G380" s="2"/>
      <c r="H380" s="2"/>
      <c r="I380" s="2"/>
    </row>
    <row r="381" spans="1:9" ht="15" thickBot="1" x14ac:dyDescent="0.3">
      <c r="A381" s="2"/>
      <c r="B381" s="2"/>
      <c r="C381" s="2"/>
      <c r="D381" s="2"/>
      <c r="E381" s="2"/>
      <c r="F381" s="2"/>
      <c r="G381" s="2"/>
      <c r="H381" s="2"/>
      <c r="I381" s="2"/>
    </row>
    <row r="382" spans="1:9" ht="15" thickBot="1" x14ac:dyDescent="0.3">
      <c r="A382" s="2"/>
      <c r="B382" s="2"/>
      <c r="C382" s="2"/>
      <c r="D382" s="2"/>
      <c r="E382" s="2"/>
      <c r="F382" s="2"/>
      <c r="G382" s="2"/>
      <c r="H382" s="2"/>
      <c r="I382" s="2"/>
    </row>
    <row r="383" spans="1:9" ht="15" thickBot="1" x14ac:dyDescent="0.3">
      <c r="A383" s="2"/>
      <c r="B383" s="2"/>
      <c r="C383" s="2"/>
      <c r="D383" s="2"/>
      <c r="E383" s="2"/>
      <c r="F383" s="2"/>
      <c r="G383" s="2"/>
      <c r="H383" s="2"/>
      <c r="I383" s="2"/>
    </row>
    <row r="384" spans="1:9" ht="15" thickBot="1" x14ac:dyDescent="0.3">
      <c r="A384" s="2"/>
      <c r="B384" s="2"/>
      <c r="C384" s="2"/>
      <c r="D384" s="2"/>
      <c r="E384" s="2"/>
      <c r="F384" s="2"/>
      <c r="G384" s="2"/>
      <c r="H384" s="2"/>
      <c r="I384" s="2"/>
    </row>
    <row r="385" spans="1:9" ht="15" thickBot="1" x14ac:dyDescent="0.3">
      <c r="A385" s="2"/>
      <c r="B385" s="2"/>
      <c r="C385" s="2"/>
      <c r="D385" s="2"/>
      <c r="E385" s="2"/>
      <c r="F385" s="2"/>
      <c r="G385" s="2"/>
      <c r="H385" s="2"/>
      <c r="I385" s="2"/>
    </row>
    <row r="386" spans="1:9" ht="15" thickBot="1" x14ac:dyDescent="0.3">
      <c r="A386" s="2"/>
      <c r="B386" s="2"/>
      <c r="C386" s="2"/>
      <c r="D386" s="2"/>
      <c r="E386" s="2"/>
      <c r="F386" s="2"/>
      <c r="G386" s="2"/>
      <c r="H386" s="2"/>
      <c r="I386" s="2"/>
    </row>
    <row r="387" spans="1:9" ht="15" thickBot="1" x14ac:dyDescent="0.3">
      <c r="A387" s="2"/>
      <c r="B387" s="2"/>
      <c r="C387" s="2"/>
      <c r="D387" s="2"/>
      <c r="E387" s="2"/>
      <c r="F387" s="2"/>
      <c r="G387" s="2"/>
      <c r="H387" s="2"/>
      <c r="I387" s="2"/>
    </row>
    <row r="388" spans="1:9" ht="15" thickBot="1" x14ac:dyDescent="0.3">
      <c r="A388" s="2"/>
      <c r="B388" s="2"/>
      <c r="C388" s="2"/>
      <c r="D388" s="2"/>
      <c r="E388" s="2"/>
      <c r="F388" s="2"/>
      <c r="G388" s="2"/>
      <c r="H388" s="2"/>
      <c r="I388" s="2"/>
    </row>
    <row r="389" spans="1:9" ht="15" thickBot="1" x14ac:dyDescent="0.3">
      <c r="A389" s="2"/>
      <c r="B389" s="2"/>
      <c r="C389" s="2"/>
      <c r="D389" s="2"/>
      <c r="E389" s="2"/>
      <c r="F389" s="2"/>
      <c r="G389" s="2"/>
      <c r="H389" s="2"/>
      <c r="I389" s="2"/>
    </row>
    <row r="390" spans="1:9" ht="15" thickBot="1" x14ac:dyDescent="0.3">
      <c r="A390" s="2"/>
      <c r="B390" s="2"/>
      <c r="C390" s="2"/>
      <c r="D390" s="2"/>
      <c r="E390" s="2"/>
      <c r="F390" s="2"/>
      <c r="G390" s="2"/>
      <c r="H390" s="2"/>
      <c r="I390" s="2"/>
    </row>
    <row r="391" spans="1:9" ht="15" thickBot="1" x14ac:dyDescent="0.3">
      <c r="A391" s="2"/>
      <c r="B391" s="2"/>
      <c r="C391" s="2"/>
      <c r="D391" s="2"/>
      <c r="E391" s="2"/>
      <c r="F391" s="2"/>
      <c r="G391" s="2"/>
      <c r="H391" s="2"/>
      <c r="I391" s="2"/>
    </row>
    <row r="392" spans="1:9" ht="15" thickBot="1" x14ac:dyDescent="0.3">
      <c r="A392" s="2"/>
      <c r="B392" s="2"/>
      <c r="C392" s="2"/>
      <c r="D392" s="2"/>
      <c r="E392" s="2"/>
      <c r="F392" s="2"/>
      <c r="G392" s="2"/>
      <c r="H392" s="2"/>
      <c r="I392" s="2"/>
    </row>
    <row r="393" spans="1:9" ht="15" thickBot="1" x14ac:dyDescent="0.3">
      <c r="A393" s="2"/>
      <c r="B393" s="2"/>
      <c r="C393" s="2"/>
      <c r="D393" s="2"/>
      <c r="E393" s="2"/>
      <c r="F393" s="2"/>
      <c r="G393" s="2"/>
      <c r="H393" s="2"/>
      <c r="I393" s="2"/>
    </row>
    <row r="394" spans="1:9" ht="15" thickBot="1" x14ac:dyDescent="0.3">
      <c r="A394" s="2"/>
      <c r="B394" s="2"/>
      <c r="C394" s="2"/>
      <c r="D394" s="2"/>
      <c r="E394" s="2"/>
      <c r="F394" s="2"/>
      <c r="G394" s="2"/>
      <c r="H394" s="2"/>
      <c r="I394" s="2"/>
    </row>
    <row r="395" spans="1:9" ht="15" thickBot="1" x14ac:dyDescent="0.3">
      <c r="A395" s="2"/>
      <c r="B395" s="2"/>
      <c r="C395" s="2"/>
      <c r="D395" s="2"/>
      <c r="E395" s="2"/>
      <c r="F395" s="2"/>
      <c r="G395" s="2"/>
      <c r="H395" s="2"/>
      <c r="I395" s="2"/>
    </row>
    <row r="396" spans="1:9" ht="15" thickBot="1" x14ac:dyDescent="0.3">
      <c r="A396" s="2"/>
      <c r="B396" s="2"/>
      <c r="C396" s="2"/>
      <c r="D396" s="2"/>
      <c r="E396" s="2"/>
      <c r="F396" s="2"/>
      <c r="G396" s="2"/>
      <c r="H396" s="2"/>
      <c r="I396" s="2"/>
    </row>
    <row r="397" spans="1:9" ht="15" thickBot="1" x14ac:dyDescent="0.3">
      <c r="A397" s="2"/>
      <c r="B397" s="2"/>
      <c r="C397" s="2"/>
      <c r="D397" s="2"/>
      <c r="E397" s="2"/>
      <c r="F397" s="2"/>
      <c r="G397" s="2"/>
      <c r="H397" s="2"/>
      <c r="I397" s="2"/>
    </row>
    <row r="398" spans="1:9" ht="15" thickBot="1" x14ac:dyDescent="0.3">
      <c r="A398" s="2"/>
      <c r="B398" s="2"/>
      <c r="C398" s="2"/>
      <c r="D398" s="2"/>
      <c r="E398" s="2"/>
      <c r="F398" s="2"/>
      <c r="G398" s="2"/>
      <c r="H398" s="2"/>
      <c r="I398" s="2"/>
    </row>
    <row r="399" spans="1:9" ht="15" thickBot="1" x14ac:dyDescent="0.3">
      <c r="A399" s="2"/>
      <c r="B399" s="2"/>
      <c r="C399" s="2"/>
      <c r="D399" s="2"/>
      <c r="E399" s="2"/>
      <c r="F399" s="2"/>
      <c r="G399" s="2"/>
      <c r="H399" s="2"/>
      <c r="I399" s="2"/>
    </row>
    <row r="400" spans="1:9" ht="15" thickBot="1" x14ac:dyDescent="0.3">
      <c r="A400" s="2"/>
      <c r="B400" s="2"/>
      <c r="C400" s="2"/>
      <c r="D400" s="2"/>
      <c r="E400" s="2"/>
      <c r="F400" s="2"/>
      <c r="G400" s="2"/>
      <c r="H400" s="2"/>
      <c r="I400" s="2"/>
    </row>
    <row r="401" spans="1:9" ht="15" thickBot="1" x14ac:dyDescent="0.3">
      <c r="A401" s="2"/>
      <c r="B401" s="2"/>
      <c r="C401" s="2"/>
      <c r="D401" s="2"/>
      <c r="E401" s="2"/>
      <c r="F401" s="2"/>
      <c r="G401" s="2"/>
      <c r="H401" s="2"/>
      <c r="I401" s="2"/>
    </row>
    <row r="402" spans="1:9" ht="15" thickBot="1" x14ac:dyDescent="0.3">
      <c r="A402" s="2"/>
      <c r="B402" s="2"/>
      <c r="C402" s="2"/>
      <c r="D402" s="2"/>
      <c r="E402" s="2"/>
      <c r="F402" s="2"/>
      <c r="G402" s="2"/>
      <c r="H402" s="2"/>
      <c r="I402" s="2"/>
    </row>
    <row r="403" spans="1:9" ht="15" thickBot="1" x14ac:dyDescent="0.3">
      <c r="A403" s="2"/>
      <c r="B403" s="2"/>
      <c r="C403" s="2"/>
      <c r="D403" s="2"/>
      <c r="E403" s="2"/>
      <c r="F403" s="2"/>
      <c r="G403" s="2"/>
      <c r="H403" s="2"/>
      <c r="I403" s="2"/>
    </row>
    <row r="404" spans="1:9" ht="15" thickBot="1" x14ac:dyDescent="0.3">
      <c r="A404" s="2"/>
      <c r="B404" s="2"/>
      <c r="C404" s="2"/>
      <c r="D404" s="2"/>
      <c r="E404" s="2"/>
      <c r="F404" s="2"/>
      <c r="G404" s="2"/>
      <c r="H404" s="2"/>
      <c r="I404" s="2"/>
    </row>
    <row r="405" spans="1:9" ht="15" thickBot="1" x14ac:dyDescent="0.3">
      <c r="A405" s="2"/>
      <c r="B405" s="2"/>
      <c r="C405" s="2"/>
      <c r="D405" s="2"/>
      <c r="E405" s="2"/>
      <c r="F405" s="2"/>
      <c r="G405" s="2"/>
      <c r="H405" s="2"/>
      <c r="I405" s="2"/>
    </row>
    <row r="406" spans="1:9" ht="15" thickBot="1" x14ac:dyDescent="0.3">
      <c r="A406" s="2"/>
      <c r="B406" s="2"/>
      <c r="C406" s="2"/>
      <c r="D406" s="2"/>
      <c r="E406" s="2"/>
      <c r="F406" s="2"/>
      <c r="G406" s="2"/>
      <c r="H406" s="2"/>
      <c r="I406" s="2"/>
    </row>
    <row r="407" spans="1:9" ht="15" thickBot="1" x14ac:dyDescent="0.3">
      <c r="A407" s="2"/>
      <c r="B407" s="2"/>
      <c r="C407" s="2"/>
      <c r="D407" s="2"/>
      <c r="E407" s="2"/>
      <c r="F407" s="2"/>
      <c r="G407" s="2"/>
      <c r="H407" s="2"/>
      <c r="I407" s="2"/>
    </row>
    <row r="408" spans="1:9" ht="15" thickBot="1" x14ac:dyDescent="0.3">
      <c r="A408" s="2"/>
      <c r="B408" s="2"/>
      <c r="C408" s="2"/>
      <c r="D408" s="2"/>
      <c r="E408" s="2"/>
      <c r="F408" s="2"/>
      <c r="G408" s="2"/>
      <c r="H408" s="2"/>
      <c r="I408" s="2"/>
    </row>
    <row r="409" spans="1:9" ht="15" thickBot="1" x14ac:dyDescent="0.3">
      <c r="A409" s="2"/>
      <c r="B409" s="2"/>
      <c r="C409" s="2"/>
      <c r="D409" s="2"/>
      <c r="E409" s="2"/>
      <c r="F409" s="2"/>
      <c r="G409" s="2"/>
      <c r="H409" s="2"/>
      <c r="I409" s="2"/>
    </row>
    <row r="410" spans="1:9" ht="15" thickBot="1" x14ac:dyDescent="0.3">
      <c r="A410" s="2"/>
      <c r="B410" s="2"/>
      <c r="C410" s="2"/>
      <c r="D410" s="2"/>
      <c r="E410" s="2"/>
      <c r="F410" s="2"/>
      <c r="G410" s="2"/>
      <c r="H410" s="2"/>
      <c r="I410" s="2"/>
    </row>
    <row r="411" spans="1:9" ht="15" thickBot="1" x14ac:dyDescent="0.3">
      <c r="A411" s="2"/>
      <c r="B411" s="2"/>
      <c r="C411" s="2"/>
      <c r="D411" s="2"/>
      <c r="E411" s="2"/>
      <c r="F411" s="2"/>
      <c r="G411" s="2"/>
      <c r="H411" s="2"/>
      <c r="I411" s="2"/>
    </row>
    <row r="412" spans="1:9" ht="15" thickBot="1" x14ac:dyDescent="0.3">
      <c r="A412" s="2"/>
      <c r="B412" s="2"/>
      <c r="C412" s="2"/>
      <c r="D412" s="2"/>
      <c r="E412" s="2"/>
      <c r="F412" s="2"/>
      <c r="G412" s="2"/>
      <c r="H412" s="2"/>
      <c r="I412" s="2"/>
    </row>
    <row r="413" spans="1:9" ht="15" thickBot="1" x14ac:dyDescent="0.3">
      <c r="A413" s="2"/>
      <c r="B413" s="2"/>
      <c r="C413" s="2"/>
      <c r="D413" s="2"/>
      <c r="E413" s="2"/>
      <c r="F413" s="2"/>
      <c r="G413" s="2"/>
      <c r="H413" s="2"/>
      <c r="I413" s="2"/>
    </row>
    <row r="414" spans="1:9" ht="15" thickBot="1" x14ac:dyDescent="0.3">
      <c r="A414" s="2"/>
      <c r="B414" s="2"/>
      <c r="C414" s="2"/>
      <c r="D414" s="2"/>
      <c r="E414" s="2"/>
      <c r="F414" s="2"/>
      <c r="G414" s="2"/>
      <c r="H414" s="2"/>
      <c r="I414" s="2"/>
    </row>
    <row r="415" spans="1:9" ht="15" thickBot="1" x14ac:dyDescent="0.3">
      <c r="A415" s="2"/>
      <c r="B415" s="2"/>
      <c r="C415" s="2"/>
      <c r="D415" s="2"/>
      <c r="E415" s="2"/>
      <c r="F415" s="2"/>
      <c r="G415" s="2"/>
      <c r="H415" s="2"/>
      <c r="I415" s="2"/>
    </row>
    <row r="416" spans="1:9" ht="15" thickBot="1" x14ac:dyDescent="0.3">
      <c r="A416" s="2"/>
      <c r="B416" s="2"/>
      <c r="C416" s="2"/>
      <c r="D416" s="2"/>
      <c r="E416" s="2"/>
      <c r="F416" s="2"/>
      <c r="G416" s="2"/>
      <c r="H416" s="2"/>
      <c r="I416" s="2"/>
    </row>
    <row r="417" spans="1:9" ht="15" thickBot="1" x14ac:dyDescent="0.3">
      <c r="A417" s="2"/>
      <c r="B417" s="2"/>
      <c r="C417" s="2"/>
      <c r="D417" s="2"/>
      <c r="E417" s="2"/>
      <c r="F417" s="2"/>
      <c r="G417" s="2"/>
      <c r="H417" s="2"/>
      <c r="I417" s="2"/>
    </row>
    <row r="418" spans="1:9" ht="15" thickBot="1" x14ac:dyDescent="0.3">
      <c r="A418" s="2"/>
      <c r="B418" s="2"/>
      <c r="C418" s="2"/>
      <c r="D418" s="2"/>
      <c r="E418" s="2"/>
      <c r="F418" s="2"/>
      <c r="G418" s="2"/>
      <c r="H418" s="2"/>
      <c r="I418" s="2"/>
    </row>
    <row r="419" spans="1:9" ht="15" thickBot="1" x14ac:dyDescent="0.3">
      <c r="A419" s="2"/>
      <c r="B419" s="2"/>
      <c r="C419" s="2"/>
      <c r="D419" s="2"/>
      <c r="E419" s="2"/>
      <c r="F419" s="2"/>
      <c r="G419" s="2"/>
      <c r="H419" s="2"/>
      <c r="I419" s="2"/>
    </row>
    <row r="420" spans="1:9" ht="15" thickBot="1" x14ac:dyDescent="0.3">
      <c r="A420" s="2"/>
      <c r="B420" s="2"/>
      <c r="C420" s="2"/>
      <c r="D420" s="2"/>
      <c r="E420" s="2"/>
      <c r="F420" s="2"/>
      <c r="G420" s="2"/>
      <c r="H420" s="2"/>
      <c r="I420" s="2"/>
    </row>
    <row r="421" spans="1:9" ht="15" thickBot="1" x14ac:dyDescent="0.3">
      <c r="A421" s="2"/>
      <c r="B421" s="2"/>
      <c r="C421" s="2"/>
      <c r="D421" s="2"/>
      <c r="E421" s="2"/>
      <c r="F421" s="2"/>
      <c r="G421" s="2"/>
      <c r="H421" s="2"/>
      <c r="I421" s="2"/>
    </row>
    <row r="422" spans="1:9" ht="15" thickBot="1" x14ac:dyDescent="0.3">
      <c r="A422" s="2"/>
      <c r="B422" s="2"/>
      <c r="C422" s="2"/>
      <c r="D422" s="2"/>
      <c r="E422" s="2"/>
      <c r="F422" s="2"/>
      <c r="G422" s="2"/>
      <c r="H422" s="2"/>
      <c r="I422" s="2"/>
    </row>
    <row r="423" spans="1:9" ht="15" thickBot="1" x14ac:dyDescent="0.3">
      <c r="A423" s="2"/>
      <c r="B423" s="2"/>
      <c r="C423" s="2"/>
      <c r="D423" s="2"/>
      <c r="E423" s="2"/>
      <c r="F423" s="2"/>
      <c r="G423" s="2"/>
      <c r="H423" s="2"/>
      <c r="I423" s="2"/>
    </row>
    <row r="424" spans="1:9" ht="15" thickBot="1" x14ac:dyDescent="0.3">
      <c r="A424" s="2"/>
      <c r="B424" s="2"/>
      <c r="C424" s="2"/>
      <c r="D424" s="2"/>
      <c r="E424" s="2"/>
      <c r="F424" s="2"/>
      <c r="G424" s="2"/>
      <c r="H424" s="2"/>
      <c r="I424" s="2"/>
    </row>
    <row r="425" spans="1:9" ht="15" thickBot="1" x14ac:dyDescent="0.3">
      <c r="A425" s="2"/>
      <c r="B425" s="2"/>
      <c r="C425" s="2"/>
      <c r="D425" s="2"/>
      <c r="E425" s="2"/>
      <c r="F425" s="2"/>
      <c r="G425" s="2"/>
      <c r="H425" s="2"/>
      <c r="I425" s="2"/>
    </row>
    <row r="426" spans="1:9" ht="15" thickBot="1" x14ac:dyDescent="0.3">
      <c r="A426" s="2"/>
      <c r="B426" s="2"/>
      <c r="C426" s="2"/>
      <c r="D426" s="2"/>
      <c r="E426" s="2"/>
      <c r="F426" s="2"/>
      <c r="G426" s="2"/>
      <c r="H426" s="2"/>
      <c r="I426" s="2"/>
    </row>
    <row r="427" spans="1:9" ht="15" thickBot="1" x14ac:dyDescent="0.3">
      <c r="A427" s="2"/>
      <c r="B427" s="2"/>
      <c r="C427" s="2"/>
      <c r="D427" s="2"/>
      <c r="E427" s="2"/>
      <c r="F427" s="2"/>
      <c r="G427" s="2"/>
      <c r="H427" s="2"/>
      <c r="I427" s="2"/>
    </row>
    <row r="428" spans="1:9" ht="15" thickBot="1" x14ac:dyDescent="0.3">
      <c r="A428" s="2"/>
      <c r="B428" s="2"/>
      <c r="C428" s="2"/>
      <c r="D428" s="2"/>
      <c r="E428" s="2"/>
      <c r="F428" s="2"/>
      <c r="G428" s="2"/>
      <c r="H428" s="2"/>
      <c r="I428" s="2"/>
    </row>
    <row r="429" spans="1:9" ht="15" thickBot="1" x14ac:dyDescent="0.3">
      <c r="A429" s="2"/>
      <c r="B429" s="2"/>
      <c r="C429" s="2"/>
      <c r="D429" s="2"/>
      <c r="E429" s="2"/>
      <c r="F429" s="2"/>
      <c r="G429" s="2"/>
      <c r="H429" s="2"/>
      <c r="I429" s="2"/>
    </row>
    <row r="430" spans="1:9" ht="15" thickBot="1" x14ac:dyDescent="0.3">
      <c r="A430" s="2"/>
      <c r="B430" s="2"/>
      <c r="C430" s="2"/>
      <c r="D430" s="2"/>
      <c r="E430" s="2"/>
      <c r="F430" s="2"/>
      <c r="G430" s="2"/>
      <c r="H430" s="2"/>
      <c r="I430" s="2"/>
    </row>
    <row r="431" spans="1:9" ht="15" thickBot="1" x14ac:dyDescent="0.3">
      <c r="A431" s="2"/>
      <c r="B431" s="2"/>
      <c r="C431" s="2"/>
      <c r="D431" s="2"/>
      <c r="E431" s="2"/>
      <c r="F431" s="2"/>
      <c r="G431" s="2"/>
      <c r="H431" s="2"/>
      <c r="I431" s="2"/>
    </row>
    <row r="432" spans="1:9" ht="15" thickBot="1" x14ac:dyDescent="0.3">
      <c r="A432" s="2"/>
      <c r="B432" s="2"/>
      <c r="C432" s="2"/>
      <c r="D432" s="2"/>
      <c r="E432" s="2"/>
      <c r="F432" s="2"/>
      <c r="G432" s="2"/>
      <c r="H432" s="2"/>
      <c r="I432" s="2"/>
    </row>
    <row r="433" spans="1:9" ht="15" thickBot="1" x14ac:dyDescent="0.3">
      <c r="A433" s="2"/>
      <c r="B433" s="2"/>
      <c r="C433" s="2"/>
      <c r="D433" s="2"/>
      <c r="E433" s="2"/>
      <c r="F433" s="2"/>
      <c r="G433" s="2"/>
      <c r="H433" s="2"/>
      <c r="I433" s="2"/>
    </row>
    <row r="434" spans="1:9" ht="15" thickBot="1" x14ac:dyDescent="0.3">
      <c r="A434" s="2"/>
      <c r="B434" s="2"/>
      <c r="C434" s="2"/>
      <c r="D434" s="2"/>
      <c r="E434" s="2"/>
      <c r="F434" s="2"/>
      <c r="G434" s="2"/>
      <c r="H434" s="2"/>
      <c r="I434" s="2"/>
    </row>
    <row r="435" spans="1:9" ht="15" thickBot="1" x14ac:dyDescent="0.3">
      <c r="A435" s="2"/>
      <c r="B435" s="2"/>
      <c r="C435" s="2"/>
      <c r="D435" s="2"/>
      <c r="E435" s="2"/>
      <c r="F435" s="2"/>
      <c r="G435" s="2"/>
      <c r="H435" s="2"/>
      <c r="I435" s="2"/>
    </row>
    <row r="436" spans="1:9" ht="15" thickBot="1" x14ac:dyDescent="0.3">
      <c r="A436" s="2"/>
      <c r="B436" s="2"/>
      <c r="C436" s="2"/>
      <c r="D436" s="2"/>
      <c r="E436" s="2"/>
      <c r="F436" s="2"/>
      <c r="G436" s="2"/>
      <c r="H436" s="2"/>
      <c r="I436" s="2"/>
    </row>
    <row r="437" spans="1:9" ht="15" thickBot="1" x14ac:dyDescent="0.3">
      <c r="A437" s="2"/>
      <c r="B437" s="2"/>
      <c r="C437" s="2"/>
      <c r="D437" s="2"/>
      <c r="E437" s="2"/>
      <c r="F437" s="2"/>
      <c r="G437" s="2"/>
      <c r="H437" s="2"/>
      <c r="I437" s="2"/>
    </row>
    <row r="438" spans="1:9" ht="15" thickBot="1" x14ac:dyDescent="0.3">
      <c r="A438" s="2"/>
      <c r="B438" s="2"/>
      <c r="C438" s="2"/>
      <c r="D438" s="2"/>
      <c r="E438" s="2"/>
      <c r="F438" s="2"/>
      <c r="G438" s="2"/>
      <c r="H438" s="2"/>
      <c r="I438" s="2"/>
    </row>
    <row r="439" spans="1:9" ht="15" thickBot="1" x14ac:dyDescent="0.3">
      <c r="A439" s="2"/>
      <c r="B439" s="2"/>
      <c r="C439" s="2"/>
      <c r="D439" s="2"/>
      <c r="E439" s="2"/>
      <c r="F439" s="2"/>
      <c r="G439" s="2"/>
      <c r="H439" s="2"/>
      <c r="I439" s="2"/>
    </row>
    <row r="440" spans="1:9" ht="15" thickBot="1" x14ac:dyDescent="0.3">
      <c r="A440" s="2"/>
      <c r="B440" s="2"/>
      <c r="C440" s="2"/>
      <c r="D440" s="2"/>
      <c r="E440" s="2"/>
      <c r="F440" s="2"/>
      <c r="G440" s="2"/>
      <c r="H440" s="2"/>
      <c r="I440" s="2"/>
    </row>
    <row r="441" spans="1:9" ht="15" thickBot="1" x14ac:dyDescent="0.3">
      <c r="A441" s="2"/>
      <c r="B441" s="2"/>
      <c r="C441" s="2"/>
      <c r="D441" s="2"/>
      <c r="E441" s="2"/>
      <c r="F441" s="2"/>
      <c r="G441" s="2"/>
      <c r="H441" s="2"/>
      <c r="I441" s="2"/>
    </row>
    <row r="442" spans="1:9" ht="15" thickBot="1" x14ac:dyDescent="0.3">
      <c r="A442" s="2"/>
      <c r="B442" s="2"/>
      <c r="C442" s="2"/>
      <c r="D442" s="2"/>
      <c r="E442" s="2"/>
      <c r="F442" s="2"/>
      <c r="G442" s="2"/>
      <c r="H442" s="2"/>
      <c r="I442" s="2"/>
    </row>
    <row r="443" spans="1:9" ht="15" thickBot="1" x14ac:dyDescent="0.3">
      <c r="A443" s="2"/>
      <c r="B443" s="2"/>
      <c r="C443" s="2"/>
      <c r="D443" s="2"/>
      <c r="E443" s="2"/>
      <c r="F443" s="2"/>
      <c r="G443" s="2"/>
      <c r="H443" s="2"/>
      <c r="I443" s="2"/>
    </row>
    <row r="444" spans="1:9" ht="15" thickBot="1" x14ac:dyDescent="0.3">
      <c r="A444" s="2"/>
      <c r="B444" s="2"/>
      <c r="C444" s="2"/>
      <c r="D444" s="2"/>
      <c r="E444" s="2"/>
      <c r="F444" s="2"/>
      <c r="G444" s="2"/>
      <c r="H444" s="2"/>
      <c r="I444" s="2"/>
    </row>
    <row r="445" spans="1:9" ht="15" thickBot="1" x14ac:dyDescent="0.3">
      <c r="A445" s="2"/>
      <c r="B445" s="2"/>
      <c r="C445" s="2"/>
      <c r="D445" s="2"/>
      <c r="E445" s="2"/>
      <c r="F445" s="2"/>
      <c r="G445" s="2"/>
      <c r="H445" s="2"/>
      <c r="I445" s="2"/>
    </row>
    <row r="446" spans="1:9" ht="15" thickBot="1" x14ac:dyDescent="0.3">
      <c r="A446" s="2"/>
      <c r="B446" s="2"/>
      <c r="C446" s="2"/>
      <c r="D446" s="2"/>
      <c r="E446" s="2"/>
      <c r="F446" s="2"/>
      <c r="G446" s="2"/>
      <c r="H446" s="2"/>
      <c r="I446" s="2"/>
    </row>
    <row r="447" spans="1:9" ht="15" thickBot="1" x14ac:dyDescent="0.3">
      <c r="A447" s="2"/>
      <c r="B447" s="2"/>
      <c r="C447" s="2"/>
      <c r="D447" s="2"/>
      <c r="E447" s="2"/>
      <c r="F447" s="2"/>
      <c r="G447" s="2"/>
      <c r="H447" s="2"/>
      <c r="I447" s="2"/>
    </row>
    <row r="448" spans="1:9" ht="15" thickBot="1" x14ac:dyDescent="0.3">
      <c r="A448" s="2"/>
      <c r="B448" s="2"/>
      <c r="C448" s="2"/>
      <c r="D448" s="2"/>
      <c r="E448" s="2"/>
      <c r="F448" s="2"/>
      <c r="G448" s="2"/>
      <c r="H448" s="2"/>
      <c r="I448" s="2"/>
    </row>
    <row r="449" spans="1:9" ht="15" thickBot="1" x14ac:dyDescent="0.3">
      <c r="A449" s="2"/>
      <c r="B449" s="2"/>
      <c r="C449" s="2"/>
      <c r="D449" s="2"/>
      <c r="E449" s="2"/>
      <c r="F449" s="2"/>
      <c r="G449" s="2"/>
      <c r="H449" s="2"/>
      <c r="I449" s="2"/>
    </row>
    <row r="450" spans="1:9" ht="15" thickBot="1" x14ac:dyDescent="0.3">
      <c r="A450" s="2"/>
      <c r="B450" s="2"/>
      <c r="C450" s="2"/>
      <c r="D450" s="2"/>
      <c r="E450" s="2"/>
      <c r="F450" s="2"/>
      <c r="G450" s="2"/>
      <c r="H450" s="2"/>
      <c r="I450" s="2"/>
    </row>
    <row r="451" spans="1:9" ht="15" thickBot="1" x14ac:dyDescent="0.3">
      <c r="A451" s="2"/>
      <c r="B451" s="2"/>
      <c r="C451" s="2"/>
      <c r="D451" s="2"/>
      <c r="E451" s="2"/>
      <c r="F451" s="2"/>
      <c r="G451" s="2"/>
      <c r="H451" s="2"/>
      <c r="I451" s="2"/>
    </row>
    <row r="452" spans="1:9" ht="15" thickBot="1" x14ac:dyDescent="0.3">
      <c r="A452" s="2"/>
      <c r="B452" s="2"/>
      <c r="C452" s="2"/>
      <c r="D452" s="2"/>
      <c r="E452" s="2"/>
      <c r="F452" s="2"/>
      <c r="G452" s="2"/>
      <c r="H452" s="2"/>
      <c r="I452" s="2"/>
    </row>
    <row r="453" spans="1:9" ht="15" thickBot="1" x14ac:dyDescent="0.3">
      <c r="A453" s="2"/>
      <c r="B453" s="2"/>
      <c r="C453" s="2"/>
      <c r="D453" s="2"/>
      <c r="E453" s="2"/>
      <c r="F453" s="2"/>
      <c r="G453" s="2"/>
      <c r="H453" s="2"/>
      <c r="I453" s="2"/>
    </row>
    <row r="454" spans="1:9" ht="15" thickBot="1" x14ac:dyDescent="0.3">
      <c r="A454" s="2"/>
      <c r="B454" s="2"/>
      <c r="C454" s="2"/>
      <c r="D454" s="2"/>
      <c r="E454" s="2"/>
      <c r="F454" s="2"/>
      <c r="G454" s="2"/>
      <c r="H454" s="2"/>
      <c r="I454" s="2"/>
    </row>
    <row r="455" spans="1:9" ht="15" thickBot="1" x14ac:dyDescent="0.3">
      <c r="A455" s="2"/>
      <c r="B455" s="2"/>
      <c r="C455" s="2"/>
      <c r="D455" s="2"/>
      <c r="E455" s="2"/>
      <c r="F455" s="2"/>
      <c r="G455" s="2"/>
      <c r="H455" s="2"/>
      <c r="I455" s="2"/>
    </row>
    <row r="456" spans="1:9" ht="15" thickBot="1" x14ac:dyDescent="0.3">
      <c r="A456" s="2"/>
      <c r="B456" s="2"/>
      <c r="C456" s="2"/>
      <c r="D456" s="2"/>
      <c r="E456" s="2"/>
      <c r="F456" s="2"/>
      <c r="G456" s="2"/>
      <c r="H456" s="2"/>
      <c r="I456" s="2"/>
    </row>
    <row r="457" spans="1:9" ht="15" thickBot="1" x14ac:dyDescent="0.3">
      <c r="A457" s="2"/>
      <c r="B457" s="2"/>
      <c r="C457" s="2"/>
      <c r="D457" s="2"/>
      <c r="E457" s="2"/>
      <c r="F457" s="2"/>
      <c r="G457" s="2"/>
      <c r="H457" s="2"/>
      <c r="I457" s="2"/>
    </row>
    <row r="458" spans="1:9" ht="15" thickBot="1" x14ac:dyDescent="0.3">
      <c r="A458" s="2"/>
      <c r="B458" s="2"/>
      <c r="C458" s="2"/>
      <c r="D458" s="2"/>
      <c r="E458" s="2"/>
      <c r="F458" s="2"/>
      <c r="G458" s="2"/>
      <c r="H458" s="2"/>
      <c r="I458" s="2"/>
    </row>
    <row r="459" spans="1:9" ht="15" thickBot="1" x14ac:dyDescent="0.3">
      <c r="A459" s="2"/>
      <c r="B459" s="2"/>
      <c r="C459" s="2"/>
      <c r="D459" s="2"/>
      <c r="E459" s="2"/>
      <c r="F459" s="2"/>
      <c r="G459" s="2"/>
      <c r="H459" s="2"/>
      <c r="I459" s="2"/>
    </row>
    <row r="460" spans="1:9" ht="15" thickBot="1" x14ac:dyDescent="0.3">
      <c r="A460" s="2"/>
      <c r="B460" s="2"/>
      <c r="C460" s="2"/>
      <c r="D460" s="2"/>
      <c r="E460" s="2"/>
      <c r="F460" s="2"/>
      <c r="G460" s="2"/>
      <c r="H460" s="2"/>
      <c r="I460" s="2"/>
    </row>
    <row r="461" spans="1:9" ht="15" thickBot="1" x14ac:dyDescent="0.3">
      <c r="A461" s="2"/>
      <c r="B461" s="2"/>
      <c r="C461" s="2"/>
      <c r="D461" s="2"/>
      <c r="E461" s="2"/>
      <c r="F461" s="2"/>
      <c r="G461" s="2"/>
      <c r="H461" s="2"/>
      <c r="I461" s="2"/>
    </row>
    <row r="462" spans="1:9" ht="15" thickBot="1" x14ac:dyDescent="0.3">
      <c r="A462" s="2"/>
      <c r="B462" s="2"/>
      <c r="C462" s="2"/>
      <c r="D462" s="2"/>
      <c r="E462" s="2"/>
      <c r="F462" s="2"/>
      <c r="G462" s="2"/>
      <c r="H462" s="2"/>
      <c r="I462" s="2"/>
    </row>
    <row r="463" spans="1:9" ht="15" thickBot="1" x14ac:dyDescent="0.3">
      <c r="A463" s="2"/>
      <c r="B463" s="2"/>
      <c r="C463" s="2"/>
      <c r="D463" s="2"/>
      <c r="E463" s="2"/>
      <c r="F463" s="2"/>
      <c r="G463" s="2"/>
      <c r="H463" s="2"/>
      <c r="I463" s="2"/>
    </row>
    <row r="464" spans="1:9" ht="15" thickBot="1" x14ac:dyDescent="0.3">
      <c r="A464" s="2"/>
      <c r="B464" s="2"/>
      <c r="C464" s="2"/>
      <c r="D464" s="2"/>
      <c r="E464" s="2"/>
      <c r="F464" s="2"/>
      <c r="G464" s="2"/>
      <c r="H464" s="2"/>
      <c r="I464" s="2"/>
    </row>
    <row r="465" spans="1:9" ht="15" thickBot="1" x14ac:dyDescent="0.3">
      <c r="A465" s="2"/>
      <c r="B465" s="2"/>
      <c r="C465" s="2"/>
      <c r="D465" s="2"/>
      <c r="E465" s="2"/>
      <c r="F465" s="2"/>
      <c r="G465" s="2"/>
      <c r="H465" s="2"/>
      <c r="I465" s="2"/>
    </row>
    <row r="466" spans="1:9" ht="15" thickBot="1" x14ac:dyDescent="0.3">
      <c r="A466" s="2"/>
      <c r="B466" s="2"/>
      <c r="C466" s="2"/>
      <c r="D466" s="2"/>
      <c r="E466" s="2"/>
      <c r="F466" s="2"/>
      <c r="G466" s="2"/>
      <c r="H466" s="2"/>
      <c r="I466" s="2"/>
    </row>
    <row r="467" spans="1:9" ht="15" thickBot="1" x14ac:dyDescent="0.3">
      <c r="A467" s="2"/>
      <c r="B467" s="2"/>
      <c r="C467" s="2"/>
      <c r="D467" s="2"/>
      <c r="E467" s="2"/>
      <c r="F467" s="2"/>
      <c r="G467" s="2"/>
      <c r="H467" s="2"/>
      <c r="I467" s="2"/>
    </row>
    <row r="468" spans="1:9" ht="15" thickBot="1" x14ac:dyDescent="0.3">
      <c r="A468" s="2"/>
      <c r="B468" s="2"/>
      <c r="C468" s="2"/>
      <c r="D468" s="2"/>
      <c r="E468" s="2"/>
      <c r="F468" s="2"/>
      <c r="G468" s="2"/>
      <c r="H468" s="2"/>
      <c r="I468" s="2"/>
    </row>
    <row r="469" spans="1:9" ht="15" thickBot="1" x14ac:dyDescent="0.3">
      <c r="A469" s="2"/>
      <c r="B469" s="2"/>
      <c r="C469" s="2"/>
      <c r="D469" s="2"/>
      <c r="E469" s="2"/>
      <c r="F469" s="2"/>
      <c r="G469" s="2"/>
      <c r="H469" s="2"/>
      <c r="I469" s="2"/>
    </row>
    <row r="470" spans="1:9" ht="15" thickBot="1" x14ac:dyDescent="0.3">
      <c r="A470" s="2"/>
      <c r="B470" s="2"/>
      <c r="C470" s="2"/>
      <c r="D470" s="2"/>
      <c r="E470" s="2"/>
      <c r="F470" s="2"/>
      <c r="G470" s="2"/>
      <c r="H470" s="2"/>
      <c r="I470" s="2"/>
    </row>
    <row r="471" spans="1:9" ht="15" thickBot="1" x14ac:dyDescent="0.3">
      <c r="A471" s="2"/>
      <c r="B471" s="2"/>
      <c r="C471" s="2"/>
      <c r="D471" s="2"/>
      <c r="E471" s="2"/>
      <c r="F471" s="2"/>
      <c r="G471" s="2"/>
      <c r="H471" s="2"/>
      <c r="I471" s="2"/>
    </row>
    <row r="472" spans="1:9" ht="15" thickBot="1" x14ac:dyDescent="0.3">
      <c r="A472" s="2"/>
      <c r="B472" s="2"/>
      <c r="C472" s="2"/>
      <c r="D472" s="2"/>
      <c r="E472" s="2"/>
      <c r="F472" s="2"/>
      <c r="G472" s="2"/>
      <c r="H472" s="2"/>
      <c r="I472" s="2"/>
    </row>
    <row r="473" spans="1:9" ht="15" thickBot="1" x14ac:dyDescent="0.3">
      <c r="A473" s="2"/>
      <c r="B473" s="2"/>
      <c r="C473" s="2"/>
      <c r="D473" s="2"/>
      <c r="E473" s="2"/>
      <c r="F473" s="2"/>
      <c r="G473" s="2"/>
      <c r="H473" s="2"/>
      <c r="I473" s="2"/>
    </row>
    <row r="474" spans="1:9" ht="15" thickBot="1" x14ac:dyDescent="0.3">
      <c r="A474" s="2"/>
      <c r="B474" s="2"/>
      <c r="C474" s="2"/>
      <c r="D474" s="2"/>
      <c r="E474" s="2"/>
      <c r="F474" s="2"/>
      <c r="G474" s="2"/>
      <c r="H474" s="2"/>
      <c r="I474" s="2"/>
    </row>
    <row r="475" spans="1:9" ht="15" thickBot="1" x14ac:dyDescent="0.3">
      <c r="A475" s="2"/>
      <c r="B475" s="2"/>
      <c r="C475" s="2"/>
      <c r="D475" s="2"/>
      <c r="E475" s="2"/>
      <c r="F475" s="2"/>
      <c r="G475" s="2"/>
      <c r="H475" s="2"/>
      <c r="I475" s="2"/>
    </row>
    <row r="476" spans="1:9" ht="15" thickBot="1" x14ac:dyDescent="0.3">
      <c r="A476" s="2"/>
      <c r="B476" s="2"/>
      <c r="C476" s="2"/>
      <c r="D476" s="2"/>
      <c r="E476" s="2"/>
      <c r="F476" s="2"/>
      <c r="G476" s="2"/>
      <c r="H476" s="2"/>
      <c r="I476" s="2"/>
    </row>
    <row r="477" spans="1:9" ht="15" thickBot="1" x14ac:dyDescent="0.3">
      <c r="A477" s="2"/>
      <c r="B477" s="2"/>
      <c r="C477" s="2"/>
      <c r="D477" s="2"/>
      <c r="E477" s="2"/>
      <c r="F477" s="2"/>
      <c r="G477" s="2"/>
      <c r="H477" s="2"/>
      <c r="I477" s="2"/>
    </row>
    <row r="478" spans="1:9" ht="15" thickBot="1" x14ac:dyDescent="0.3">
      <c r="A478" s="2"/>
      <c r="B478" s="2"/>
      <c r="C478" s="2"/>
      <c r="D478" s="2"/>
      <c r="E478" s="2"/>
      <c r="F478" s="2"/>
      <c r="G478" s="2"/>
      <c r="H478" s="2"/>
      <c r="I478" s="2"/>
    </row>
    <row r="479" spans="1:9" ht="15" thickBot="1" x14ac:dyDescent="0.3">
      <c r="A479" s="2"/>
      <c r="B479" s="2"/>
      <c r="C479" s="2"/>
      <c r="D479" s="2"/>
      <c r="E479" s="2"/>
      <c r="F479" s="2"/>
      <c r="G479" s="2"/>
      <c r="H479" s="2"/>
      <c r="I479" s="2"/>
    </row>
    <row r="480" spans="1:9" ht="15" thickBot="1" x14ac:dyDescent="0.3">
      <c r="A480" s="2"/>
      <c r="B480" s="2"/>
      <c r="C480" s="2"/>
      <c r="D480" s="2"/>
      <c r="E480" s="2"/>
      <c r="F480" s="2"/>
      <c r="G480" s="2"/>
      <c r="H480" s="2"/>
      <c r="I480" s="2"/>
    </row>
    <row r="481" spans="1:9" ht="15" thickBot="1" x14ac:dyDescent="0.3">
      <c r="A481" s="2"/>
      <c r="B481" s="2"/>
      <c r="C481" s="2"/>
      <c r="D481" s="2"/>
      <c r="E481" s="2"/>
      <c r="F481" s="2"/>
      <c r="G481" s="2"/>
      <c r="H481" s="2"/>
      <c r="I481" s="2"/>
    </row>
    <row r="482" spans="1:9" ht="15" thickBot="1" x14ac:dyDescent="0.3">
      <c r="A482" s="2"/>
      <c r="B482" s="2"/>
      <c r="C482" s="2"/>
      <c r="D482" s="2"/>
      <c r="E482" s="2"/>
      <c r="F482" s="2"/>
      <c r="G482" s="2"/>
      <c r="H482" s="2"/>
      <c r="I482" s="2"/>
    </row>
    <row r="483" spans="1:9" ht="15" thickBot="1" x14ac:dyDescent="0.3">
      <c r="A483" s="2"/>
      <c r="B483" s="2"/>
      <c r="C483" s="2"/>
      <c r="D483" s="2"/>
      <c r="E483" s="2"/>
      <c r="F483" s="2"/>
      <c r="G483" s="2"/>
      <c r="H483" s="2"/>
      <c r="I483" s="2"/>
    </row>
    <row r="484" spans="1:9" ht="15" thickBot="1" x14ac:dyDescent="0.3">
      <c r="A484" s="2"/>
      <c r="B484" s="2"/>
      <c r="C484" s="2"/>
      <c r="D484" s="2"/>
      <c r="E484" s="2"/>
      <c r="F484" s="2"/>
      <c r="G484" s="2"/>
      <c r="H484" s="2"/>
      <c r="I484" s="2"/>
    </row>
    <row r="485" spans="1:9" ht="15" thickBot="1" x14ac:dyDescent="0.3">
      <c r="A485" s="2"/>
      <c r="B485" s="2"/>
      <c r="C485" s="2"/>
      <c r="D485" s="2"/>
      <c r="E485" s="2"/>
      <c r="F485" s="2"/>
      <c r="G485" s="2"/>
      <c r="H485" s="2"/>
      <c r="I485" s="2"/>
    </row>
    <row r="486" spans="1:9" ht="15" thickBot="1" x14ac:dyDescent="0.3">
      <c r="A486" s="2"/>
      <c r="B486" s="2"/>
      <c r="C486" s="2"/>
      <c r="D486" s="2"/>
      <c r="E486" s="2"/>
      <c r="F486" s="2"/>
      <c r="G486" s="2"/>
      <c r="H486" s="2"/>
      <c r="I486" s="2"/>
    </row>
    <row r="487" spans="1:9" ht="15" thickBot="1" x14ac:dyDescent="0.3">
      <c r="A487" s="2"/>
      <c r="B487" s="2"/>
      <c r="C487" s="2"/>
      <c r="D487" s="2"/>
      <c r="E487" s="2"/>
      <c r="F487" s="2"/>
      <c r="G487" s="2"/>
      <c r="H487" s="2"/>
      <c r="I487" s="2"/>
    </row>
    <row r="488" spans="1:9" ht="15" thickBot="1" x14ac:dyDescent="0.3">
      <c r="A488" s="2"/>
      <c r="B488" s="2"/>
      <c r="C488" s="2"/>
      <c r="D488" s="2"/>
      <c r="E488" s="2"/>
      <c r="F488" s="2"/>
      <c r="G488" s="2"/>
      <c r="H488" s="2"/>
      <c r="I488" s="2"/>
    </row>
    <row r="489" spans="1:9" ht="15" thickBot="1" x14ac:dyDescent="0.3">
      <c r="A489" s="2"/>
      <c r="B489" s="2"/>
      <c r="C489" s="2"/>
      <c r="D489" s="2"/>
      <c r="E489" s="2"/>
      <c r="F489" s="2"/>
      <c r="G489" s="2"/>
      <c r="H489" s="2"/>
      <c r="I489" s="2"/>
    </row>
    <row r="490" spans="1:9" ht="15" thickBot="1" x14ac:dyDescent="0.3">
      <c r="A490" s="2"/>
      <c r="B490" s="2"/>
      <c r="C490" s="2"/>
      <c r="D490" s="2"/>
      <c r="E490" s="2"/>
      <c r="F490" s="2"/>
      <c r="G490" s="2"/>
      <c r="H490" s="2"/>
      <c r="I490" s="2"/>
    </row>
    <row r="491" spans="1:9" ht="15" thickBot="1" x14ac:dyDescent="0.3">
      <c r="A491" s="2"/>
      <c r="B491" s="2"/>
      <c r="C491" s="2"/>
      <c r="D491" s="2"/>
      <c r="E491" s="2"/>
      <c r="F491" s="2"/>
      <c r="G491" s="2"/>
      <c r="H491" s="2"/>
      <c r="I491" s="2"/>
    </row>
    <row r="492" spans="1:9" ht="15" thickBot="1" x14ac:dyDescent="0.3">
      <c r="A492" s="2"/>
      <c r="B492" s="2"/>
      <c r="C492" s="2"/>
      <c r="D492" s="2"/>
      <c r="E492" s="2"/>
      <c r="F492" s="2"/>
      <c r="G492" s="2"/>
      <c r="H492" s="2"/>
      <c r="I492" s="2"/>
    </row>
    <row r="493" spans="1:9" ht="15" thickBot="1" x14ac:dyDescent="0.3">
      <c r="A493" s="2"/>
      <c r="B493" s="2"/>
      <c r="C493" s="2"/>
      <c r="D493" s="2"/>
      <c r="E493" s="2"/>
      <c r="F493" s="2"/>
      <c r="G493" s="2"/>
      <c r="H493" s="2"/>
      <c r="I493" s="2"/>
    </row>
    <row r="494" spans="1:9" ht="15" thickBot="1" x14ac:dyDescent="0.3">
      <c r="A494" s="2"/>
      <c r="B494" s="2"/>
      <c r="C494" s="2"/>
      <c r="D494" s="2"/>
      <c r="E494" s="2"/>
      <c r="F494" s="2"/>
      <c r="G494" s="2"/>
      <c r="H494" s="2"/>
      <c r="I494" s="2"/>
    </row>
    <row r="495" spans="1:9" ht="15" thickBot="1" x14ac:dyDescent="0.3">
      <c r="A495" s="2"/>
      <c r="B495" s="2"/>
      <c r="C495" s="2"/>
      <c r="D495" s="2"/>
      <c r="E495" s="2"/>
      <c r="F495" s="2"/>
      <c r="G495" s="2"/>
      <c r="H495" s="2"/>
      <c r="I495" s="2"/>
    </row>
    <row r="496" spans="1:9" ht="15" thickBot="1" x14ac:dyDescent="0.3">
      <c r="A496" s="2"/>
      <c r="B496" s="2"/>
      <c r="C496" s="2"/>
      <c r="D496" s="2"/>
      <c r="E496" s="2"/>
      <c r="F496" s="2"/>
      <c r="G496" s="2"/>
      <c r="H496" s="2"/>
      <c r="I496" s="2"/>
    </row>
    <row r="497" spans="1:9" ht="15" thickBot="1" x14ac:dyDescent="0.3">
      <c r="A497" s="2"/>
      <c r="B497" s="2"/>
      <c r="C497" s="2"/>
      <c r="D497" s="2"/>
      <c r="E497" s="2"/>
      <c r="F497" s="2"/>
      <c r="G497" s="2"/>
      <c r="H497" s="2"/>
      <c r="I497" s="2"/>
    </row>
    <row r="498" spans="1:9" ht="15" thickBot="1" x14ac:dyDescent="0.3">
      <c r="A498" s="2"/>
      <c r="B498" s="2"/>
      <c r="C498" s="2"/>
      <c r="D498" s="2"/>
      <c r="E498" s="2"/>
      <c r="F498" s="2"/>
      <c r="G498" s="2"/>
      <c r="H498" s="2"/>
      <c r="I498" s="2"/>
    </row>
    <row r="499" spans="1:9" ht="15" thickBot="1" x14ac:dyDescent="0.3">
      <c r="A499" s="2"/>
      <c r="B499" s="2"/>
      <c r="C499" s="2"/>
      <c r="D499" s="2"/>
      <c r="E499" s="2"/>
      <c r="F499" s="2"/>
      <c r="G499" s="2"/>
      <c r="H499" s="2"/>
      <c r="I499" s="2"/>
    </row>
    <row r="500" spans="1:9" ht="15" thickBot="1" x14ac:dyDescent="0.3">
      <c r="A500" s="2"/>
      <c r="B500" s="2"/>
      <c r="C500" s="2"/>
      <c r="D500" s="2"/>
      <c r="E500" s="2"/>
      <c r="F500" s="2"/>
      <c r="G500" s="2"/>
      <c r="H500" s="2"/>
      <c r="I500" s="2"/>
    </row>
    <row r="501" spans="1:9" ht="15" thickBot="1" x14ac:dyDescent="0.3">
      <c r="A501" s="2"/>
      <c r="B501" s="2"/>
      <c r="C501" s="2"/>
      <c r="D501" s="2"/>
      <c r="E501" s="2"/>
      <c r="F501" s="2"/>
      <c r="G501" s="2"/>
      <c r="H501" s="2"/>
      <c r="I501" s="2"/>
    </row>
    <row r="502" spans="1:9" ht="15" thickBot="1" x14ac:dyDescent="0.3">
      <c r="A502" s="2"/>
      <c r="B502" s="2"/>
      <c r="C502" s="2"/>
      <c r="D502" s="2"/>
      <c r="E502" s="2"/>
      <c r="F502" s="2"/>
      <c r="G502" s="2"/>
      <c r="H502" s="2"/>
      <c r="I502" s="2"/>
    </row>
    <row r="503" spans="1:9" ht="15" thickBot="1" x14ac:dyDescent="0.3">
      <c r="A503" s="2"/>
      <c r="B503" s="2"/>
      <c r="C503" s="2"/>
      <c r="D503" s="2"/>
      <c r="E503" s="2"/>
      <c r="F503" s="2"/>
      <c r="G503" s="2"/>
      <c r="H503" s="2"/>
      <c r="I503" s="2"/>
    </row>
    <row r="504" spans="1:9" ht="15" thickBot="1" x14ac:dyDescent="0.3">
      <c r="A504" s="2"/>
      <c r="B504" s="2"/>
      <c r="C504" s="2"/>
      <c r="D504" s="2"/>
      <c r="E504" s="2"/>
      <c r="F504" s="2"/>
      <c r="G504" s="2"/>
      <c r="H504" s="2"/>
      <c r="I504" s="2"/>
    </row>
    <row r="505" spans="1:9" ht="15" thickBot="1" x14ac:dyDescent="0.3">
      <c r="A505" s="2"/>
      <c r="B505" s="2"/>
      <c r="C505" s="2"/>
      <c r="D505" s="2"/>
      <c r="E505" s="2"/>
      <c r="F505" s="2"/>
      <c r="G505" s="2"/>
      <c r="H505" s="2"/>
      <c r="I505" s="2"/>
    </row>
    <row r="506" spans="1:9" ht="15" thickBot="1" x14ac:dyDescent="0.3">
      <c r="A506" s="2"/>
      <c r="B506" s="2"/>
      <c r="C506" s="2"/>
      <c r="D506" s="2"/>
      <c r="E506" s="2"/>
      <c r="F506" s="2"/>
      <c r="G506" s="2"/>
      <c r="H506" s="2"/>
      <c r="I506" s="2"/>
    </row>
    <row r="507" spans="1:9" ht="15" thickBot="1" x14ac:dyDescent="0.3">
      <c r="A507" s="2"/>
      <c r="B507" s="2"/>
      <c r="C507" s="2"/>
      <c r="D507" s="2"/>
      <c r="E507" s="2"/>
      <c r="F507" s="2"/>
      <c r="G507" s="2"/>
      <c r="H507" s="2"/>
      <c r="I507" s="2"/>
    </row>
    <row r="508" spans="1:9" ht="15" thickBot="1" x14ac:dyDescent="0.3">
      <c r="A508" s="2"/>
      <c r="B508" s="2"/>
      <c r="C508" s="2"/>
      <c r="D508" s="2"/>
      <c r="E508" s="2"/>
      <c r="F508" s="2"/>
      <c r="G508" s="2"/>
      <c r="H508" s="2"/>
      <c r="I508" s="2"/>
    </row>
    <row r="509" spans="1:9" ht="15" thickBot="1" x14ac:dyDescent="0.3">
      <c r="A509" s="2"/>
      <c r="B509" s="2"/>
      <c r="C509" s="2"/>
      <c r="D509" s="2"/>
      <c r="E509" s="2"/>
      <c r="F509" s="2"/>
      <c r="G509" s="2"/>
      <c r="H509" s="2"/>
      <c r="I509" s="2"/>
    </row>
    <row r="510" spans="1:9" ht="15" thickBot="1" x14ac:dyDescent="0.3">
      <c r="A510" s="2"/>
      <c r="B510" s="2"/>
      <c r="C510" s="2"/>
      <c r="D510" s="2"/>
      <c r="E510" s="2"/>
      <c r="F510" s="2"/>
      <c r="G510" s="2"/>
      <c r="H510" s="2"/>
      <c r="I510" s="2"/>
    </row>
    <row r="511" spans="1:9" ht="15" thickBot="1" x14ac:dyDescent="0.3">
      <c r="A511" s="2"/>
      <c r="B511" s="2"/>
      <c r="C511" s="2"/>
      <c r="D511" s="2"/>
      <c r="E511" s="2"/>
      <c r="F511" s="2"/>
      <c r="G511" s="2"/>
      <c r="H511" s="2"/>
      <c r="I511" s="2"/>
    </row>
    <row r="512" spans="1:9" ht="15" thickBot="1" x14ac:dyDescent="0.3">
      <c r="A512" s="2"/>
      <c r="B512" s="2"/>
      <c r="C512" s="2"/>
      <c r="D512" s="2"/>
      <c r="E512" s="2"/>
      <c r="F512" s="2"/>
      <c r="G512" s="2"/>
      <c r="H512" s="2"/>
      <c r="I512" s="2"/>
    </row>
    <row r="513" spans="1:9" ht="15" thickBot="1" x14ac:dyDescent="0.3">
      <c r="A513" s="2"/>
      <c r="B513" s="2"/>
      <c r="C513" s="2"/>
      <c r="D513" s="2"/>
      <c r="E513" s="2"/>
      <c r="F513" s="2"/>
      <c r="G513" s="2"/>
      <c r="H513" s="2"/>
      <c r="I513" s="2"/>
    </row>
    <row r="514" spans="1:9" ht="15" thickBot="1" x14ac:dyDescent="0.3">
      <c r="A514" s="2"/>
      <c r="B514" s="2"/>
      <c r="C514" s="2"/>
      <c r="D514" s="2"/>
      <c r="E514" s="2"/>
      <c r="F514" s="2"/>
      <c r="G514" s="2"/>
      <c r="H514" s="2"/>
      <c r="I514" s="2"/>
    </row>
    <row r="515" spans="1:9" ht="15" thickBot="1" x14ac:dyDescent="0.3">
      <c r="A515" s="2"/>
      <c r="B515" s="2"/>
      <c r="C515" s="2"/>
      <c r="D515" s="2"/>
      <c r="E515" s="2"/>
      <c r="F515" s="2"/>
      <c r="G515" s="2"/>
      <c r="H515" s="2"/>
      <c r="I515" s="2"/>
    </row>
    <row r="516" spans="1:9" ht="15" thickBot="1" x14ac:dyDescent="0.3">
      <c r="A516" s="2"/>
      <c r="B516" s="2"/>
      <c r="C516" s="2"/>
      <c r="D516" s="2"/>
      <c r="E516" s="2"/>
      <c r="F516" s="2"/>
      <c r="G516" s="2"/>
      <c r="H516" s="2"/>
      <c r="I516" s="2"/>
    </row>
    <row r="517" spans="1:9" ht="15" thickBot="1" x14ac:dyDescent="0.3">
      <c r="A517" s="2"/>
      <c r="B517" s="2"/>
      <c r="C517" s="2"/>
      <c r="D517" s="2"/>
      <c r="E517" s="2"/>
      <c r="F517" s="2"/>
      <c r="G517" s="2"/>
      <c r="H517" s="2"/>
      <c r="I517" s="2"/>
    </row>
    <row r="518" spans="1:9" ht="15" thickBot="1" x14ac:dyDescent="0.3">
      <c r="A518" s="2"/>
      <c r="B518" s="2"/>
      <c r="C518" s="2"/>
      <c r="D518" s="2"/>
      <c r="E518" s="2"/>
      <c r="F518" s="2"/>
      <c r="G518" s="2"/>
      <c r="H518" s="2"/>
      <c r="I518" s="2"/>
    </row>
    <row r="519" spans="1:9" ht="15" thickBot="1" x14ac:dyDescent="0.3">
      <c r="A519" s="2"/>
      <c r="B519" s="2"/>
      <c r="C519" s="2"/>
      <c r="D519" s="2"/>
      <c r="E519" s="2"/>
      <c r="F519" s="2"/>
      <c r="G519" s="2"/>
      <c r="H519" s="2"/>
      <c r="I519" s="2"/>
    </row>
    <row r="520" spans="1:9" ht="15" thickBot="1" x14ac:dyDescent="0.3">
      <c r="A520" s="2"/>
      <c r="B520" s="2"/>
      <c r="C520" s="2"/>
      <c r="D520" s="2"/>
      <c r="E520" s="2"/>
      <c r="F520" s="2"/>
      <c r="G520" s="2"/>
      <c r="H520" s="2"/>
      <c r="I520" s="2"/>
    </row>
    <row r="521" spans="1:9" ht="15" thickBot="1" x14ac:dyDescent="0.3">
      <c r="A521" s="2"/>
      <c r="B521" s="2"/>
      <c r="C521" s="2"/>
      <c r="D521" s="2"/>
      <c r="E521" s="2"/>
      <c r="F521" s="2"/>
      <c r="G521" s="2"/>
      <c r="H521" s="2"/>
      <c r="I521" s="2"/>
    </row>
    <row r="522" spans="1:9" ht="15" thickBot="1" x14ac:dyDescent="0.3">
      <c r="A522" s="2"/>
      <c r="B522" s="2"/>
      <c r="C522" s="2"/>
      <c r="D522" s="2"/>
      <c r="E522" s="2"/>
      <c r="F522" s="2"/>
      <c r="G522" s="2"/>
      <c r="H522" s="2"/>
      <c r="I522" s="2"/>
    </row>
    <row r="523" spans="1:9" ht="15" thickBot="1" x14ac:dyDescent="0.3">
      <c r="A523" s="2"/>
      <c r="B523" s="2"/>
      <c r="C523" s="2"/>
      <c r="D523" s="2"/>
      <c r="E523" s="2"/>
      <c r="F523" s="2"/>
      <c r="G523" s="2"/>
      <c r="H523" s="2"/>
      <c r="I523" s="2"/>
    </row>
    <row r="524" spans="1:9" ht="15" thickBot="1" x14ac:dyDescent="0.3">
      <c r="A524" s="2"/>
      <c r="B524" s="2"/>
      <c r="C524" s="2"/>
      <c r="D524" s="2"/>
      <c r="E524" s="2"/>
      <c r="F524" s="2"/>
      <c r="G524" s="2"/>
      <c r="H524" s="2"/>
      <c r="I524" s="2"/>
    </row>
    <row r="525" spans="1:9" ht="15" thickBot="1" x14ac:dyDescent="0.3">
      <c r="A525" s="2"/>
      <c r="B525" s="2"/>
      <c r="C525" s="2"/>
      <c r="D525" s="2"/>
      <c r="E525" s="2"/>
      <c r="F525" s="2"/>
      <c r="G525" s="2"/>
      <c r="H525" s="2"/>
      <c r="I525" s="2"/>
    </row>
    <row r="526" spans="1:9" ht="15" thickBot="1" x14ac:dyDescent="0.3">
      <c r="A526" s="2"/>
      <c r="B526" s="2"/>
      <c r="C526" s="2"/>
      <c r="D526" s="2"/>
      <c r="E526" s="2"/>
      <c r="F526" s="2"/>
      <c r="G526" s="2"/>
      <c r="H526" s="2"/>
      <c r="I526" s="2"/>
    </row>
    <row r="527" spans="1:9" ht="15" thickBot="1" x14ac:dyDescent="0.3">
      <c r="A527" s="2"/>
      <c r="B527" s="2"/>
      <c r="C527" s="2"/>
      <c r="D527" s="2"/>
      <c r="E527" s="2"/>
      <c r="F527" s="2"/>
      <c r="G527" s="2"/>
      <c r="H527" s="2"/>
      <c r="I527" s="2"/>
    </row>
    <row r="528" spans="1:9" ht="15" thickBot="1" x14ac:dyDescent="0.3">
      <c r="A528" s="2"/>
      <c r="B528" s="2"/>
      <c r="C528" s="2"/>
      <c r="D528" s="2"/>
      <c r="E528" s="2"/>
      <c r="F528" s="2"/>
      <c r="G528" s="2"/>
      <c r="H528" s="2"/>
      <c r="I528" s="2"/>
    </row>
    <row r="529" spans="1:9" ht="15" thickBot="1" x14ac:dyDescent="0.3">
      <c r="A529" s="2"/>
      <c r="B529" s="2"/>
      <c r="C529" s="2"/>
      <c r="D529" s="2"/>
      <c r="E529" s="2"/>
      <c r="F529" s="2"/>
      <c r="G529" s="2"/>
      <c r="H529" s="2"/>
      <c r="I529" s="2"/>
    </row>
    <row r="530" spans="1:9" ht="15" thickBot="1" x14ac:dyDescent="0.3">
      <c r="A530" s="2"/>
      <c r="B530" s="2"/>
      <c r="C530" s="2"/>
      <c r="D530" s="2"/>
      <c r="E530" s="2"/>
      <c r="F530" s="2"/>
      <c r="G530" s="2"/>
      <c r="H530" s="2"/>
      <c r="I530" s="2"/>
    </row>
    <row r="531" spans="1:9" ht="15" thickBot="1" x14ac:dyDescent="0.3">
      <c r="A531" s="2"/>
      <c r="B531" s="2"/>
      <c r="C531" s="2"/>
      <c r="D531" s="2"/>
      <c r="E531" s="2"/>
      <c r="F531" s="2"/>
      <c r="G531" s="2"/>
      <c r="H531" s="2"/>
      <c r="I531" s="2"/>
    </row>
    <row r="532" spans="1:9" ht="15" thickBot="1" x14ac:dyDescent="0.3">
      <c r="A532" s="2"/>
      <c r="B532" s="2"/>
      <c r="C532" s="2"/>
      <c r="D532" s="2"/>
      <c r="E532" s="2"/>
      <c r="F532" s="2"/>
      <c r="G532" s="2"/>
      <c r="H532" s="2"/>
      <c r="I532" s="2"/>
    </row>
    <row r="533" spans="1:9" ht="15" thickBot="1" x14ac:dyDescent="0.3">
      <c r="A533" s="2"/>
      <c r="B533" s="2"/>
      <c r="C533" s="2"/>
      <c r="D533" s="2"/>
      <c r="E533" s="2"/>
      <c r="F533" s="2"/>
      <c r="G533" s="2"/>
      <c r="H533" s="2"/>
      <c r="I533" s="2"/>
    </row>
    <row r="534" spans="1:9" ht="15" thickBot="1" x14ac:dyDescent="0.3">
      <c r="A534" s="2"/>
      <c r="B534" s="2"/>
      <c r="C534" s="2"/>
      <c r="D534" s="2"/>
      <c r="E534" s="2"/>
      <c r="F534" s="2"/>
      <c r="G534" s="2"/>
      <c r="H534" s="2"/>
      <c r="I534" s="2"/>
    </row>
    <row r="535" spans="1:9" ht="15" thickBot="1" x14ac:dyDescent="0.3">
      <c r="A535" s="2"/>
      <c r="B535" s="2"/>
      <c r="C535" s="2"/>
      <c r="D535" s="2"/>
      <c r="E535" s="2"/>
      <c r="F535" s="2"/>
      <c r="G535" s="2"/>
      <c r="H535" s="2"/>
      <c r="I535" s="2"/>
    </row>
    <row r="536" spans="1:9" ht="15" thickBot="1" x14ac:dyDescent="0.3">
      <c r="A536" s="2"/>
      <c r="B536" s="2"/>
      <c r="C536" s="2"/>
      <c r="D536" s="2"/>
      <c r="E536" s="2"/>
      <c r="F536" s="2"/>
      <c r="G536" s="2"/>
      <c r="H536" s="2"/>
      <c r="I536" s="2"/>
    </row>
    <row r="537" spans="1:9" ht="15" thickBot="1" x14ac:dyDescent="0.3">
      <c r="A537" s="2"/>
      <c r="B537" s="2"/>
      <c r="C537" s="2"/>
      <c r="D537" s="2"/>
      <c r="E537" s="2"/>
      <c r="F537" s="2"/>
      <c r="G537" s="2"/>
      <c r="H537" s="2"/>
      <c r="I537" s="2"/>
    </row>
    <row r="538" spans="1:9" ht="15" thickBot="1" x14ac:dyDescent="0.3">
      <c r="A538" s="2"/>
      <c r="B538" s="2"/>
      <c r="C538" s="2"/>
      <c r="D538" s="2"/>
      <c r="E538" s="2"/>
      <c r="F538" s="2"/>
      <c r="G538" s="2"/>
      <c r="H538" s="2"/>
      <c r="I538" s="2"/>
    </row>
    <row r="539" spans="1:9" ht="15" thickBot="1" x14ac:dyDescent="0.3">
      <c r="A539" s="2"/>
      <c r="B539" s="2"/>
      <c r="C539" s="2"/>
      <c r="D539" s="2"/>
      <c r="E539" s="2"/>
      <c r="F539" s="2"/>
      <c r="G539" s="2"/>
      <c r="H539" s="2"/>
      <c r="I539" s="2"/>
    </row>
    <row r="540" spans="1:9" ht="15" thickBot="1" x14ac:dyDescent="0.3">
      <c r="A540" s="2"/>
      <c r="B540" s="2"/>
      <c r="C540" s="2"/>
      <c r="D540" s="2"/>
      <c r="E540" s="2"/>
      <c r="F540" s="2"/>
      <c r="G540" s="2"/>
      <c r="H540" s="2"/>
      <c r="I540" s="2"/>
    </row>
    <row r="541" spans="1:9" ht="15" thickBot="1" x14ac:dyDescent="0.3">
      <c r="A541" s="2"/>
      <c r="B541" s="2"/>
      <c r="C541" s="2"/>
      <c r="D541" s="2"/>
      <c r="E541" s="2"/>
      <c r="F541" s="2"/>
      <c r="G541" s="2"/>
      <c r="H541" s="2"/>
      <c r="I541" s="2"/>
    </row>
    <row r="542" spans="1:9" ht="15" thickBot="1" x14ac:dyDescent="0.3">
      <c r="A542" s="2"/>
      <c r="B542" s="2"/>
      <c r="C542" s="2"/>
      <c r="D542" s="2"/>
      <c r="E542" s="2"/>
      <c r="F542" s="2"/>
      <c r="G542" s="2"/>
      <c r="H542" s="2"/>
      <c r="I542" s="2"/>
    </row>
    <row r="543" spans="1:9" ht="15" thickBot="1" x14ac:dyDescent="0.3">
      <c r="A543" s="2"/>
      <c r="B543" s="2"/>
      <c r="C543" s="2"/>
      <c r="D543" s="2"/>
      <c r="E543" s="2"/>
      <c r="F543" s="2"/>
      <c r="G543" s="2"/>
      <c r="H543" s="2"/>
      <c r="I543" s="2"/>
    </row>
    <row r="544" spans="1:9" ht="15" thickBot="1" x14ac:dyDescent="0.3">
      <c r="A544" s="2"/>
      <c r="B544" s="2"/>
      <c r="C544" s="2"/>
      <c r="D544" s="2"/>
      <c r="E544" s="2"/>
      <c r="F544" s="2"/>
      <c r="G544" s="2"/>
      <c r="H544" s="2"/>
      <c r="I544" s="2"/>
    </row>
    <row r="545" spans="1:9" ht="15" thickBot="1" x14ac:dyDescent="0.3">
      <c r="A545" s="2"/>
      <c r="B545" s="2"/>
      <c r="C545" s="2"/>
      <c r="D545" s="2"/>
      <c r="E545" s="2"/>
      <c r="F545" s="2"/>
      <c r="G545" s="2"/>
      <c r="H545" s="2"/>
      <c r="I545" s="2"/>
    </row>
    <row r="546" spans="1:9" ht="15" thickBot="1" x14ac:dyDescent="0.3">
      <c r="A546" s="2"/>
      <c r="B546" s="2"/>
      <c r="C546" s="2"/>
      <c r="D546" s="2"/>
      <c r="E546" s="2"/>
      <c r="F546" s="2"/>
      <c r="G546" s="2"/>
      <c r="H546" s="2"/>
      <c r="I546" s="2"/>
    </row>
    <row r="547" spans="1:9" ht="15" thickBot="1" x14ac:dyDescent="0.3">
      <c r="A547" s="2"/>
      <c r="B547" s="2"/>
      <c r="C547" s="2"/>
      <c r="D547" s="2"/>
      <c r="E547" s="2"/>
      <c r="F547" s="2"/>
      <c r="G547" s="2"/>
      <c r="H547" s="2"/>
      <c r="I547" s="2"/>
    </row>
    <row r="548" spans="1:9" ht="15" thickBot="1" x14ac:dyDescent="0.3">
      <c r="A548" s="2"/>
      <c r="B548" s="2"/>
      <c r="C548" s="2"/>
      <c r="D548" s="2"/>
      <c r="E548" s="2"/>
      <c r="F548" s="2"/>
      <c r="G548" s="2"/>
      <c r="H548" s="2"/>
      <c r="I548" s="2"/>
    </row>
    <row r="549" spans="1:9" ht="15" thickBot="1" x14ac:dyDescent="0.3">
      <c r="A549" s="2"/>
      <c r="B549" s="2"/>
      <c r="C549" s="2"/>
      <c r="D549" s="2"/>
      <c r="E549" s="2"/>
      <c r="F549" s="2"/>
      <c r="G549" s="2"/>
      <c r="H549" s="2"/>
      <c r="I549" s="2"/>
    </row>
    <row r="550" spans="1:9" ht="15" thickBot="1" x14ac:dyDescent="0.3">
      <c r="A550" s="2"/>
      <c r="B550" s="2"/>
      <c r="C550" s="2"/>
      <c r="D550" s="2"/>
      <c r="E550" s="2"/>
      <c r="F550" s="2"/>
      <c r="G550" s="2"/>
      <c r="H550" s="2"/>
      <c r="I550" s="2"/>
    </row>
    <row r="551" spans="1:9" ht="15" thickBot="1" x14ac:dyDescent="0.3">
      <c r="A551" s="2"/>
      <c r="B551" s="2"/>
      <c r="C551" s="2"/>
      <c r="D551" s="2"/>
      <c r="E551" s="2"/>
      <c r="F551" s="2"/>
      <c r="G551" s="2"/>
      <c r="H551" s="2"/>
      <c r="I551" s="2"/>
    </row>
    <row r="552" spans="1:9" ht="15" thickBot="1" x14ac:dyDescent="0.3">
      <c r="A552" s="2"/>
      <c r="B552" s="2"/>
      <c r="C552" s="2"/>
      <c r="D552" s="2"/>
      <c r="E552" s="2"/>
      <c r="F552" s="2"/>
      <c r="G552" s="2"/>
      <c r="H552" s="2"/>
      <c r="I552" s="2"/>
    </row>
    <row r="553" spans="1:9" ht="15" thickBot="1" x14ac:dyDescent="0.3">
      <c r="A553" s="2"/>
      <c r="B553" s="2"/>
      <c r="C553" s="2"/>
      <c r="D553" s="2"/>
      <c r="E553" s="2"/>
      <c r="F553" s="2"/>
      <c r="G553" s="2"/>
      <c r="H553" s="2"/>
      <c r="I553" s="2"/>
    </row>
    <row r="554" spans="1:9" ht="15" thickBot="1" x14ac:dyDescent="0.3">
      <c r="A554" s="2"/>
      <c r="B554" s="2"/>
      <c r="C554" s="2"/>
      <c r="D554" s="2"/>
      <c r="E554" s="2"/>
      <c r="F554" s="2"/>
      <c r="G554" s="2"/>
      <c r="H554" s="2"/>
      <c r="I554" s="2"/>
    </row>
    <row r="555" spans="1:9" ht="15" thickBot="1" x14ac:dyDescent="0.3">
      <c r="A555" s="2"/>
      <c r="B555" s="2"/>
      <c r="C555" s="2"/>
      <c r="D555" s="2"/>
      <c r="E555" s="2"/>
      <c r="F555" s="2"/>
      <c r="G555" s="2"/>
      <c r="H555" s="2"/>
      <c r="I555" s="2"/>
    </row>
    <row r="556" spans="1:9" ht="15" thickBot="1" x14ac:dyDescent="0.3">
      <c r="A556" s="2"/>
      <c r="B556" s="2"/>
      <c r="C556" s="2"/>
      <c r="D556" s="2"/>
      <c r="E556" s="2"/>
      <c r="F556" s="2"/>
      <c r="G556" s="2"/>
      <c r="H556" s="2"/>
      <c r="I556" s="2"/>
    </row>
    <row r="557" spans="1:9" ht="15" thickBot="1" x14ac:dyDescent="0.3">
      <c r="A557" s="2"/>
      <c r="B557" s="2"/>
      <c r="C557" s="2"/>
      <c r="D557" s="2"/>
      <c r="E557" s="2"/>
      <c r="F557" s="2"/>
      <c r="G557" s="2"/>
      <c r="H557" s="2"/>
      <c r="I557" s="2"/>
    </row>
    <row r="558" spans="1:9" ht="15" thickBot="1" x14ac:dyDescent="0.3">
      <c r="A558" s="2"/>
      <c r="B558" s="2"/>
      <c r="C558" s="2"/>
      <c r="D558" s="2"/>
      <c r="E558" s="2"/>
      <c r="F558" s="2"/>
      <c r="G558" s="2"/>
      <c r="H558" s="2"/>
      <c r="I558" s="2"/>
    </row>
    <row r="559" spans="1:9" ht="15" thickBot="1" x14ac:dyDescent="0.3">
      <c r="A559" s="2"/>
      <c r="B559" s="2"/>
      <c r="C559" s="2"/>
      <c r="D559" s="2"/>
      <c r="E559" s="2"/>
      <c r="F559" s="2"/>
      <c r="G559" s="2"/>
      <c r="H559" s="2"/>
      <c r="I559" s="2"/>
    </row>
    <row r="560" spans="1:9" ht="15" thickBot="1" x14ac:dyDescent="0.3">
      <c r="A560" s="2"/>
      <c r="B560" s="2"/>
      <c r="C560" s="2"/>
      <c r="D560" s="2"/>
      <c r="E560" s="2"/>
      <c r="F560" s="2"/>
      <c r="G560" s="2"/>
      <c r="H560" s="2"/>
      <c r="I560" s="2"/>
    </row>
    <row r="561" spans="1:9" ht="15" thickBot="1" x14ac:dyDescent="0.3">
      <c r="A561" s="2"/>
      <c r="B561" s="2"/>
      <c r="C561" s="2"/>
      <c r="D561" s="2"/>
      <c r="E561" s="2"/>
      <c r="F561" s="2"/>
      <c r="G561" s="2"/>
      <c r="H561" s="2"/>
      <c r="I561" s="2"/>
    </row>
    <row r="562" spans="1:9" ht="15" thickBot="1" x14ac:dyDescent="0.3">
      <c r="A562" s="2"/>
      <c r="B562" s="2"/>
      <c r="C562" s="2"/>
      <c r="D562" s="2"/>
      <c r="E562" s="2"/>
      <c r="F562" s="2"/>
      <c r="G562" s="2"/>
      <c r="H562" s="2"/>
      <c r="I562" s="2"/>
    </row>
    <row r="563" spans="1:9" ht="15" thickBot="1" x14ac:dyDescent="0.3">
      <c r="A563" s="2"/>
      <c r="B563" s="2"/>
      <c r="C563" s="2"/>
      <c r="D563" s="2"/>
      <c r="E563" s="2"/>
      <c r="F563" s="2"/>
      <c r="G563" s="2"/>
      <c r="H563" s="2"/>
      <c r="I563" s="2"/>
    </row>
    <row r="564" spans="1:9" ht="15" thickBot="1" x14ac:dyDescent="0.3">
      <c r="A564" s="2"/>
      <c r="B564" s="2"/>
      <c r="C564" s="2"/>
      <c r="D564" s="2"/>
      <c r="E564" s="2"/>
      <c r="F564" s="2"/>
      <c r="G564" s="2"/>
      <c r="H564" s="2"/>
      <c r="I564" s="2"/>
    </row>
    <row r="565" spans="1:9" ht="15" thickBot="1" x14ac:dyDescent="0.3">
      <c r="A565" s="2"/>
      <c r="B565" s="2"/>
      <c r="C565" s="2"/>
      <c r="D565" s="2"/>
      <c r="E565" s="2"/>
      <c r="F565" s="2"/>
      <c r="G565" s="2"/>
      <c r="H565" s="2"/>
      <c r="I565" s="2"/>
    </row>
    <row r="566" spans="1:9" ht="15" thickBot="1" x14ac:dyDescent="0.3">
      <c r="A566" s="2"/>
      <c r="B566" s="2"/>
      <c r="C566" s="2"/>
      <c r="D566" s="2"/>
      <c r="E566" s="2"/>
      <c r="F566" s="2"/>
      <c r="G566" s="2"/>
      <c r="H566" s="2"/>
      <c r="I566" s="2"/>
    </row>
    <row r="567" spans="1:9" ht="15" thickBot="1" x14ac:dyDescent="0.3">
      <c r="A567" s="2"/>
      <c r="B567" s="2"/>
      <c r="C567" s="2"/>
      <c r="D567" s="2"/>
      <c r="E567" s="2"/>
      <c r="F567" s="2"/>
      <c r="G567" s="2"/>
      <c r="H567" s="2"/>
      <c r="I567" s="2"/>
    </row>
    <row r="568" spans="1:9" ht="15" thickBot="1" x14ac:dyDescent="0.3">
      <c r="A568" s="2"/>
      <c r="B568" s="2"/>
      <c r="C568" s="2"/>
      <c r="D568" s="2"/>
      <c r="E568" s="2"/>
      <c r="F568" s="2"/>
      <c r="G568" s="2"/>
      <c r="H568" s="2"/>
      <c r="I568" s="2"/>
    </row>
    <row r="569" spans="1:9" ht="15" thickBot="1" x14ac:dyDescent="0.3">
      <c r="A569" s="2"/>
      <c r="B569" s="2"/>
      <c r="C569" s="2"/>
      <c r="D569" s="2"/>
      <c r="E569" s="2"/>
      <c r="F569" s="2"/>
      <c r="G569" s="2"/>
      <c r="H569" s="2"/>
      <c r="I569" s="2"/>
    </row>
    <row r="570" spans="1:9" ht="15" thickBot="1" x14ac:dyDescent="0.3">
      <c r="A570" s="2"/>
      <c r="B570" s="2"/>
      <c r="C570" s="2"/>
      <c r="D570" s="2"/>
      <c r="E570" s="2"/>
      <c r="F570" s="2"/>
      <c r="G570" s="2"/>
      <c r="H570" s="2"/>
      <c r="I570" s="2"/>
    </row>
    <row r="571" spans="1:9" ht="15" thickBot="1" x14ac:dyDescent="0.3">
      <c r="A571" s="2"/>
      <c r="B571" s="2"/>
      <c r="C571" s="2"/>
      <c r="D571" s="2"/>
      <c r="E571" s="2"/>
      <c r="F571" s="2"/>
      <c r="G571" s="2"/>
      <c r="H571" s="2"/>
      <c r="I571" s="2"/>
    </row>
    <row r="572" spans="1:9" ht="15" thickBot="1" x14ac:dyDescent="0.3">
      <c r="A572" s="2"/>
      <c r="B572" s="2"/>
      <c r="C572" s="2"/>
      <c r="D572" s="2"/>
      <c r="E572" s="2"/>
      <c r="F572" s="2"/>
      <c r="G572" s="2"/>
      <c r="H572" s="2"/>
      <c r="I572" s="2"/>
    </row>
    <row r="573" spans="1:9" ht="15" thickBot="1" x14ac:dyDescent="0.3">
      <c r="A573" s="2"/>
      <c r="B573" s="2"/>
      <c r="C573" s="2"/>
      <c r="D573" s="2"/>
      <c r="E573" s="2"/>
      <c r="F573" s="2"/>
      <c r="G573" s="2"/>
      <c r="H573" s="2"/>
      <c r="I573" s="2"/>
    </row>
    <row r="574" spans="1:9" ht="15" thickBot="1" x14ac:dyDescent="0.3">
      <c r="A574" s="2"/>
      <c r="B574" s="2"/>
      <c r="C574" s="2"/>
      <c r="D574" s="2"/>
      <c r="E574" s="2"/>
      <c r="F574" s="2"/>
      <c r="G574" s="2"/>
      <c r="H574" s="2"/>
      <c r="I574" s="2"/>
    </row>
    <row r="575" spans="1:9" ht="15" thickBot="1" x14ac:dyDescent="0.3">
      <c r="A575" s="2"/>
      <c r="B575" s="2"/>
      <c r="C575" s="2"/>
      <c r="D575" s="2"/>
      <c r="E575" s="2"/>
      <c r="F575" s="2"/>
      <c r="G575" s="2"/>
      <c r="H575" s="2"/>
      <c r="I575" s="2"/>
    </row>
    <row r="576" spans="1:9" ht="15" thickBot="1" x14ac:dyDescent="0.3">
      <c r="A576" s="2"/>
      <c r="B576" s="2"/>
      <c r="C576" s="2"/>
      <c r="D576" s="2"/>
      <c r="E576" s="2"/>
      <c r="F576" s="2"/>
      <c r="G576" s="2"/>
      <c r="H576" s="2"/>
      <c r="I576" s="2"/>
    </row>
    <row r="577" spans="1:9" ht="15" thickBot="1" x14ac:dyDescent="0.3">
      <c r="A577" s="2"/>
      <c r="B577" s="2"/>
      <c r="C577" s="2"/>
      <c r="D577" s="2"/>
      <c r="E577" s="2"/>
      <c r="F577" s="2"/>
      <c r="G577" s="2"/>
      <c r="H577" s="2"/>
      <c r="I577" s="2"/>
    </row>
    <row r="578" spans="1:9" ht="15" thickBot="1" x14ac:dyDescent="0.3">
      <c r="A578" s="2"/>
      <c r="B578" s="2"/>
      <c r="C578" s="2"/>
      <c r="D578" s="2"/>
      <c r="E578" s="2"/>
      <c r="F578" s="2"/>
      <c r="G578" s="2"/>
      <c r="H578" s="2"/>
      <c r="I578" s="2"/>
    </row>
    <row r="579" spans="1:9" ht="15" thickBot="1" x14ac:dyDescent="0.3">
      <c r="A579" s="2"/>
      <c r="B579" s="2"/>
      <c r="C579" s="2"/>
      <c r="D579" s="2"/>
      <c r="E579" s="2"/>
      <c r="F579" s="2"/>
      <c r="G579" s="2"/>
      <c r="H579" s="2"/>
      <c r="I579" s="2"/>
    </row>
    <row r="580" spans="1:9" ht="15" thickBot="1" x14ac:dyDescent="0.3">
      <c r="A580" s="2"/>
      <c r="B580" s="2"/>
      <c r="C580" s="2"/>
      <c r="D580" s="2"/>
      <c r="E580" s="2"/>
      <c r="F580" s="2"/>
      <c r="G580" s="2"/>
      <c r="H580" s="2"/>
      <c r="I580" s="2"/>
    </row>
    <row r="581" spans="1:9" ht="15" thickBot="1" x14ac:dyDescent="0.3">
      <c r="A581" s="2"/>
      <c r="B581" s="2"/>
      <c r="C581" s="2"/>
      <c r="D581" s="2"/>
      <c r="E581" s="2"/>
      <c r="F581" s="2"/>
      <c r="G581" s="2"/>
      <c r="H581" s="2"/>
      <c r="I581" s="2"/>
    </row>
    <row r="582" spans="1:9" ht="15" thickBot="1" x14ac:dyDescent="0.3">
      <c r="A582" s="2"/>
      <c r="B582" s="2"/>
      <c r="C582" s="2"/>
      <c r="D582" s="2"/>
      <c r="E582" s="2"/>
      <c r="F582" s="2"/>
      <c r="G582" s="2"/>
      <c r="H582" s="2"/>
      <c r="I582" s="2"/>
    </row>
    <row r="583" spans="1:9" ht="15" thickBot="1" x14ac:dyDescent="0.3">
      <c r="A583" s="2"/>
      <c r="B583" s="2"/>
      <c r="C583" s="2"/>
      <c r="D583" s="2"/>
      <c r="E583" s="2"/>
      <c r="F583" s="2"/>
      <c r="G583" s="2"/>
      <c r="H583" s="2"/>
      <c r="I583" s="2"/>
    </row>
    <row r="584" spans="1:9" ht="15" thickBot="1" x14ac:dyDescent="0.3">
      <c r="A584" s="2"/>
      <c r="B584" s="2"/>
      <c r="C584" s="2"/>
      <c r="D584" s="2"/>
      <c r="E584" s="2"/>
      <c r="F584" s="2"/>
      <c r="G584" s="2"/>
      <c r="H584" s="2"/>
      <c r="I584" s="2"/>
    </row>
    <row r="585" spans="1:9" ht="15" thickBot="1" x14ac:dyDescent="0.3">
      <c r="A585" s="2"/>
      <c r="B585" s="2"/>
      <c r="C585" s="2"/>
      <c r="D585" s="2"/>
      <c r="E585" s="2"/>
      <c r="F585" s="2"/>
      <c r="G585" s="2"/>
      <c r="H585" s="2"/>
      <c r="I585" s="2"/>
    </row>
    <row r="586" spans="1:9" ht="15" thickBot="1" x14ac:dyDescent="0.3">
      <c r="A586" s="2"/>
      <c r="B586" s="2"/>
      <c r="C586" s="2"/>
      <c r="D586" s="2"/>
      <c r="E586" s="2"/>
      <c r="F586" s="2"/>
      <c r="G586" s="2"/>
      <c r="H586" s="2"/>
      <c r="I586" s="2"/>
    </row>
    <row r="587" spans="1:9" ht="15" thickBot="1" x14ac:dyDescent="0.3">
      <c r="A587" s="2"/>
      <c r="B587" s="2"/>
      <c r="C587" s="2"/>
      <c r="D587" s="2"/>
      <c r="E587" s="2"/>
      <c r="F587" s="2"/>
      <c r="G587" s="2"/>
      <c r="H587" s="2"/>
      <c r="I587" s="2"/>
    </row>
    <row r="588" spans="1:9" ht="15" thickBot="1" x14ac:dyDescent="0.3">
      <c r="A588" s="2"/>
      <c r="B588" s="2"/>
      <c r="C588" s="2"/>
      <c r="D588" s="2"/>
      <c r="E588" s="2"/>
      <c r="F588" s="2"/>
      <c r="G588" s="2"/>
      <c r="H588" s="2"/>
      <c r="I588" s="2"/>
    </row>
    <row r="589" spans="1:9" ht="15" thickBot="1" x14ac:dyDescent="0.3">
      <c r="A589" s="2"/>
      <c r="B589" s="2"/>
      <c r="C589" s="2"/>
      <c r="D589" s="2"/>
      <c r="E589" s="2"/>
      <c r="F589" s="2"/>
      <c r="G589" s="2"/>
      <c r="H589" s="2"/>
      <c r="I589" s="2"/>
    </row>
    <row r="590" spans="1:9" ht="15" thickBot="1" x14ac:dyDescent="0.3">
      <c r="A590" s="2"/>
      <c r="B590" s="2"/>
      <c r="C590" s="2"/>
      <c r="D590" s="2"/>
      <c r="E590" s="2"/>
      <c r="F590" s="2"/>
      <c r="G590" s="2"/>
      <c r="H590" s="2"/>
      <c r="I590" s="2"/>
    </row>
    <row r="591" spans="1:9" ht="15" thickBot="1" x14ac:dyDescent="0.3">
      <c r="A591" s="2"/>
      <c r="B591" s="2"/>
      <c r="C591" s="2"/>
      <c r="D591" s="2"/>
      <c r="E591" s="2"/>
      <c r="F591" s="2"/>
      <c r="G591" s="2"/>
      <c r="H591" s="2"/>
      <c r="I591" s="2"/>
    </row>
    <row r="592" spans="1:9" ht="15" thickBot="1" x14ac:dyDescent="0.3">
      <c r="A592" s="2"/>
      <c r="B592" s="2"/>
      <c r="C592" s="2"/>
      <c r="D592" s="2"/>
      <c r="E592" s="2"/>
      <c r="F592" s="2"/>
      <c r="G592" s="2"/>
      <c r="H592" s="2"/>
      <c r="I592" s="2"/>
    </row>
    <row r="593" spans="1:9" ht="15" thickBot="1" x14ac:dyDescent="0.3">
      <c r="A593" s="2"/>
      <c r="B593" s="2"/>
      <c r="C593" s="2"/>
      <c r="D593" s="2"/>
      <c r="E593" s="2"/>
      <c r="F593" s="2"/>
      <c r="G593" s="2"/>
      <c r="H593" s="2"/>
      <c r="I593" s="2"/>
    </row>
    <row r="594" spans="1:9" ht="15" thickBot="1" x14ac:dyDescent="0.3">
      <c r="A594" s="2"/>
      <c r="B594" s="2"/>
      <c r="C594" s="2"/>
      <c r="D594" s="2"/>
      <c r="E594" s="2"/>
      <c r="F594" s="2"/>
      <c r="G594" s="2"/>
      <c r="H594" s="2"/>
      <c r="I594" s="2"/>
    </row>
    <row r="595" spans="1:9" ht="15" thickBot="1" x14ac:dyDescent="0.3">
      <c r="A595" s="2"/>
      <c r="B595" s="2"/>
      <c r="C595" s="2"/>
      <c r="D595" s="2"/>
      <c r="E595" s="2"/>
      <c r="F595" s="2"/>
      <c r="G595" s="2"/>
      <c r="H595" s="2"/>
      <c r="I595" s="2"/>
    </row>
    <row r="596" spans="1:9" ht="15" thickBot="1" x14ac:dyDescent="0.3">
      <c r="A596" s="2"/>
      <c r="B596" s="2"/>
      <c r="C596" s="2"/>
      <c r="D596" s="2"/>
      <c r="E596" s="2"/>
      <c r="F596" s="2"/>
      <c r="G596" s="2"/>
      <c r="H596" s="2"/>
      <c r="I596" s="2"/>
    </row>
    <row r="597" spans="1:9" ht="15" thickBot="1" x14ac:dyDescent="0.3">
      <c r="A597" s="2"/>
      <c r="B597" s="2"/>
      <c r="C597" s="2"/>
      <c r="D597" s="2"/>
      <c r="E597" s="2"/>
      <c r="F597" s="2"/>
      <c r="G597" s="2"/>
      <c r="H597" s="2"/>
      <c r="I597" s="2"/>
    </row>
    <row r="598" spans="1:9" ht="15" thickBot="1" x14ac:dyDescent="0.3">
      <c r="A598" s="2"/>
      <c r="B598" s="2"/>
      <c r="C598" s="2"/>
      <c r="D598" s="2"/>
      <c r="E598" s="2"/>
      <c r="F598" s="2"/>
      <c r="G598" s="2"/>
      <c r="H598" s="2"/>
      <c r="I598" s="2"/>
    </row>
    <row r="599" spans="1:9" ht="15" thickBot="1" x14ac:dyDescent="0.3">
      <c r="A599" s="2"/>
      <c r="B599" s="2"/>
      <c r="C599" s="2"/>
      <c r="D599" s="2"/>
      <c r="E599" s="2"/>
      <c r="F599" s="2"/>
      <c r="G599" s="2"/>
      <c r="H599" s="2"/>
      <c r="I599" s="2"/>
    </row>
    <row r="600" spans="1:9" ht="15" thickBot="1" x14ac:dyDescent="0.3">
      <c r="A600" s="2"/>
      <c r="B600" s="2"/>
      <c r="C600" s="2"/>
      <c r="D600" s="2"/>
      <c r="E600" s="2"/>
      <c r="F600" s="2"/>
      <c r="G600" s="2"/>
      <c r="H600" s="2"/>
      <c r="I600" s="2"/>
    </row>
    <row r="601" spans="1:9" ht="15" thickBot="1" x14ac:dyDescent="0.3">
      <c r="A601" s="2"/>
      <c r="B601" s="2"/>
      <c r="C601" s="2"/>
      <c r="D601" s="2"/>
      <c r="E601" s="2"/>
      <c r="F601" s="2"/>
      <c r="G601" s="2"/>
      <c r="H601" s="2"/>
      <c r="I601" s="2"/>
    </row>
    <row r="602" spans="1:9" ht="15" thickBot="1" x14ac:dyDescent="0.3">
      <c r="A602" s="2"/>
      <c r="B602" s="2"/>
      <c r="C602" s="2"/>
      <c r="D602" s="2"/>
      <c r="E602" s="2"/>
      <c r="F602" s="2"/>
      <c r="G602" s="2"/>
      <c r="H602" s="2"/>
      <c r="I602" s="2"/>
    </row>
    <row r="603" spans="1:9" ht="15" thickBot="1" x14ac:dyDescent="0.3">
      <c r="A603" s="2"/>
      <c r="B603" s="2"/>
      <c r="C603" s="2"/>
      <c r="D603" s="2"/>
      <c r="E603" s="2"/>
      <c r="F603" s="2"/>
      <c r="G603" s="2"/>
      <c r="H603" s="2"/>
      <c r="I603" s="2"/>
    </row>
    <row r="604" spans="1:9" ht="15" thickBot="1" x14ac:dyDescent="0.3">
      <c r="A604" s="2"/>
      <c r="B604" s="2"/>
      <c r="C604" s="2"/>
      <c r="D604" s="2"/>
      <c r="E604" s="2"/>
      <c r="F604" s="2"/>
      <c r="G604" s="2"/>
      <c r="H604" s="2"/>
      <c r="I604" s="2"/>
    </row>
    <row r="605" spans="1:9" ht="15" thickBot="1" x14ac:dyDescent="0.3">
      <c r="A605" s="2"/>
      <c r="B605" s="2"/>
      <c r="C605" s="2"/>
      <c r="D605" s="2"/>
      <c r="E605" s="2"/>
      <c r="F605" s="2"/>
      <c r="G605" s="2"/>
      <c r="H605" s="2"/>
      <c r="I605" s="2"/>
    </row>
    <row r="606" spans="1:9" ht="15" thickBot="1" x14ac:dyDescent="0.3">
      <c r="A606" s="2"/>
      <c r="B606" s="2"/>
      <c r="C606" s="2"/>
      <c r="D606" s="2"/>
      <c r="E606" s="2"/>
      <c r="F606" s="2"/>
      <c r="G606" s="2"/>
      <c r="H606" s="2"/>
      <c r="I606" s="2"/>
    </row>
    <row r="607" spans="1:9" ht="15" thickBot="1" x14ac:dyDescent="0.3">
      <c r="A607" s="2"/>
      <c r="B607" s="2"/>
      <c r="C607" s="2"/>
      <c r="D607" s="2"/>
      <c r="E607" s="2"/>
      <c r="F607" s="2"/>
      <c r="G607" s="2"/>
      <c r="H607" s="2"/>
      <c r="I607" s="2"/>
    </row>
    <row r="608" spans="1:9" ht="15" thickBot="1" x14ac:dyDescent="0.3">
      <c r="A608" s="2"/>
      <c r="B608" s="2"/>
      <c r="C608" s="2"/>
      <c r="D608" s="2"/>
      <c r="E608" s="2"/>
      <c r="F608" s="2"/>
      <c r="G608" s="2"/>
      <c r="H608" s="2"/>
      <c r="I608" s="2"/>
    </row>
    <row r="609" spans="1:9" ht="15" thickBot="1" x14ac:dyDescent="0.3">
      <c r="A609" s="2"/>
      <c r="B609" s="2"/>
      <c r="C609" s="2"/>
      <c r="D609" s="2"/>
      <c r="E609" s="2"/>
      <c r="F609" s="2"/>
      <c r="G609" s="2"/>
      <c r="H609" s="2"/>
      <c r="I609" s="2"/>
    </row>
    <row r="610" spans="1:9" ht="15" thickBot="1" x14ac:dyDescent="0.3">
      <c r="A610" s="2"/>
      <c r="B610" s="2"/>
      <c r="C610" s="2"/>
      <c r="D610" s="2"/>
      <c r="E610" s="2"/>
      <c r="F610" s="2"/>
      <c r="G610" s="2"/>
      <c r="H610" s="2"/>
      <c r="I610" s="2"/>
    </row>
    <row r="611" spans="1:9" ht="15" thickBot="1" x14ac:dyDescent="0.3">
      <c r="A611" s="2"/>
      <c r="B611" s="2"/>
      <c r="C611" s="2"/>
      <c r="D611" s="2"/>
      <c r="E611" s="2"/>
      <c r="F611" s="2"/>
      <c r="G611" s="2"/>
      <c r="H611" s="2"/>
      <c r="I611" s="2"/>
    </row>
    <row r="612" spans="1:9" ht="15" thickBot="1" x14ac:dyDescent="0.3">
      <c r="A612" s="2"/>
      <c r="B612" s="2"/>
      <c r="C612" s="2"/>
      <c r="D612" s="2"/>
      <c r="E612" s="2"/>
      <c r="F612" s="2"/>
      <c r="G612" s="2"/>
      <c r="H612" s="2"/>
      <c r="I612" s="2"/>
    </row>
    <row r="613" spans="1:9" ht="15" thickBot="1" x14ac:dyDescent="0.3">
      <c r="A613" s="2"/>
      <c r="B613" s="2"/>
      <c r="C613" s="2"/>
      <c r="D613" s="2"/>
      <c r="E613" s="2"/>
      <c r="F613" s="2"/>
      <c r="G613" s="2"/>
      <c r="H613" s="2"/>
      <c r="I613" s="2"/>
    </row>
    <row r="614" spans="1:9" ht="15" thickBot="1" x14ac:dyDescent="0.3">
      <c r="A614" s="2"/>
      <c r="B614" s="2"/>
      <c r="C614" s="2"/>
      <c r="D614" s="2"/>
      <c r="E614" s="2"/>
      <c r="F614" s="2"/>
      <c r="G614" s="2"/>
      <c r="H614" s="2"/>
      <c r="I614" s="2"/>
    </row>
    <row r="615" spans="1:9" ht="15" thickBot="1" x14ac:dyDescent="0.3">
      <c r="A615" s="2"/>
      <c r="B615" s="2"/>
      <c r="C615" s="2"/>
      <c r="D615" s="2"/>
      <c r="E615" s="2"/>
      <c r="F615" s="2"/>
      <c r="G615" s="2"/>
      <c r="H615" s="2"/>
      <c r="I615" s="2"/>
    </row>
    <row r="616" spans="1:9" ht="15" thickBot="1" x14ac:dyDescent="0.3">
      <c r="A616" s="2"/>
      <c r="B616" s="2"/>
      <c r="C616" s="2"/>
      <c r="D616" s="2"/>
      <c r="E616" s="2"/>
      <c r="F616" s="2"/>
      <c r="G616" s="2"/>
      <c r="H616" s="2"/>
      <c r="I616" s="2"/>
    </row>
    <row r="617" spans="1:9" ht="15" thickBot="1" x14ac:dyDescent="0.3">
      <c r="A617" s="2"/>
      <c r="B617" s="2"/>
      <c r="C617" s="2"/>
      <c r="D617" s="2"/>
      <c r="E617" s="2"/>
      <c r="F617" s="2"/>
      <c r="G617" s="2"/>
      <c r="H617" s="2"/>
      <c r="I617" s="2"/>
    </row>
    <row r="618" spans="1:9" ht="15" thickBot="1" x14ac:dyDescent="0.3">
      <c r="A618" s="2"/>
      <c r="B618" s="2"/>
      <c r="C618" s="2"/>
      <c r="D618" s="2"/>
      <c r="E618" s="2"/>
      <c r="F618" s="2"/>
      <c r="G618" s="2"/>
      <c r="H618" s="2"/>
      <c r="I618" s="2"/>
    </row>
    <row r="619" spans="1:9" ht="15" thickBot="1" x14ac:dyDescent="0.3">
      <c r="A619" s="2"/>
      <c r="B619" s="2"/>
      <c r="C619" s="2"/>
      <c r="D619" s="2"/>
      <c r="E619" s="2"/>
      <c r="F619" s="2"/>
      <c r="G619" s="2"/>
      <c r="H619" s="2"/>
      <c r="I619" s="2"/>
    </row>
    <row r="620" spans="1:9" ht="15" thickBot="1" x14ac:dyDescent="0.3">
      <c r="A620" s="2"/>
      <c r="B620" s="2"/>
      <c r="C620" s="2"/>
      <c r="D620" s="2"/>
      <c r="E620" s="2"/>
      <c r="F620" s="2"/>
      <c r="G620" s="2"/>
      <c r="H620" s="2"/>
      <c r="I620" s="2"/>
    </row>
    <row r="621" spans="1:9" ht="15" thickBot="1" x14ac:dyDescent="0.3">
      <c r="A621" s="2"/>
      <c r="B621" s="2"/>
      <c r="C621" s="2"/>
      <c r="D621" s="2"/>
      <c r="E621" s="2"/>
      <c r="F621" s="2"/>
      <c r="G621" s="2"/>
      <c r="H621" s="2"/>
      <c r="I621" s="2"/>
    </row>
    <row r="622" spans="1:9" ht="15" thickBot="1" x14ac:dyDescent="0.3">
      <c r="A622" s="2"/>
      <c r="B622" s="2"/>
      <c r="C622" s="2"/>
      <c r="D622" s="2"/>
      <c r="E622" s="2"/>
      <c r="F622" s="2"/>
      <c r="G622" s="2"/>
      <c r="H622" s="2"/>
      <c r="I622" s="2"/>
    </row>
    <row r="623" spans="1:9" ht="15" thickBot="1" x14ac:dyDescent="0.3">
      <c r="A623" s="2"/>
      <c r="B623" s="2"/>
      <c r="C623" s="2"/>
      <c r="D623" s="2"/>
      <c r="E623" s="2"/>
      <c r="F623" s="2"/>
      <c r="G623" s="2"/>
      <c r="H623" s="2"/>
      <c r="I623" s="2"/>
    </row>
    <row r="624" spans="1:9" ht="15" thickBot="1" x14ac:dyDescent="0.3">
      <c r="A624" s="2"/>
      <c r="B624" s="2"/>
      <c r="C624" s="2"/>
      <c r="D624" s="2"/>
      <c r="E624" s="2"/>
      <c r="F624" s="2"/>
      <c r="G624" s="2"/>
      <c r="H624" s="2"/>
      <c r="I624" s="2"/>
    </row>
    <row r="625" spans="1:9" ht="15" thickBot="1" x14ac:dyDescent="0.3">
      <c r="A625" s="2"/>
      <c r="B625" s="2"/>
      <c r="C625" s="2"/>
      <c r="D625" s="2"/>
      <c r="E625" s="2"/>
      <c r="F625" s="2"/>
      <c r="G625" s="2"/>
      <c r="H625" s="2"/>
      <c r="I625" s="2"/>
    </row>
    <row r="626" spans="1:9" ht="15" thickBot="1" x14ac:dyDescent="0.3">
      <c r="A626" s="2"/>
      <c r="B626" s="2"/>
      <c r="C626" s="2"/>
      <c r="D626" s="2"/>
      <c r="E626" s="2"/>
      <c r="F626" s="2"/>
      <c r="G626" s="2"/>
      <c r="H626" s="2"/>
      <c r="I626" s="2"/>
    </row>
    <row r="627" spans="1:9" ht="15" thickBot="1" x14ac:dyDescent="0.3">
      <c r="A627" s="2"/>
      <c r="B627" s="2"/>
      <c r="C627" s="2"/>
      <c r="D627" s="2"/>
      <c r="E627" s="2"/>
      <c r="F627" s="2"/>
      <c r="G627" s="2"/>
      <c r="H627" s="2"/>
      <c r="I627" s="2"/>
    </row>
    <row r="628" spans="1:9" ht="15" thickBot="1" x14ac:dyDescent="0.3">
      <c r="A628" s="2"/>
      <c r="B628" s="2"/>
      <c r="C628" s="2"/>
      <c r="D628" s="2"/>
      <c r="E628" s="2"/>
      <c r="F628" s="2"/>
      <c r="G628" s="2"/>
      <c r="H628" s="2"/>
      <c r="I628" s="2"/>
    </row>
    <row r="629" spans="1:9" ht="15" thickBot="1" x14ac:dyDescent="0.3">
      <c r="A629" s="2"/>
      <c r="B629" s="2"/>
      <c r="C629" s="2"/>
      <c r="D629" s="2"/>
      <c r="E629" s="2"/>
      <c r="F629" s="2"/>
      <c r="G629" s="2"/>
      <c r="H629" s="2"/>
      <c r="I629" s="2"/>
    </row>
    <row r="630" spans="1:9" ht="15" thickBot="1" x14ac:dyDescent="0.3">
      <c r="A630" s="2"/>
      <c r="B630" s="2"/>
      <c r="C630" s="2"/>
      <c r="D630" s="2"/>
      <c r="E630" s="2"/>
      <c r="F630" s="2"/>
      <c r="G630" s="2"/>
      <c r="H630" s="2"/>
      <c r="I630" s="2"/>
    </row>
    <row r="631" spans="1:9" ht="15" thickBot="1" x14ac:dyDescent="0.3">
      <c r="A631" s="2"/>
      <c r="B631" s="2"/>
      <c r="C631" s="2"/>
      <c r="D631" s="2"/>
      <c r="E631" s="2"/>
      <c r="F631" s="2"/>
      <c r="G631" s="2"/>
      <c r="H631" s="2"/>
      <c r="I631" s="2"/>
    </row>
    <row r="632" spans="1:9" ht="15" thickBot="1" x14ac:dyDescent="0.3">
      <c r="A632" s="2"/>
      <c r="B632" s="2"/>
      <c r="C632" s="2"/>
      <c r="D632" s="2"/>
      <c r="E632" s="2"/>
      <c r="F632" s="2"/>
      <c r="G632" s="2"/>
      <c r="H632" s="2"/>
      <c r="I632" s="2"/>
    </row>
    <row r="633" spans="1:9" ht="15" thickBot="1" x14ac:dyDescent="0.3">
      <c r="A633" s="2"/>
      <c r="B633" s="2"/>
      <c r="C633" s="2"/>
      <c r="D633" s="2"/>
      <c r="E633" s="2"/>
      <c r="F633" s="2"/>
      <c r="G633" s="2"/>
      <c r="H633" s="2"/>
      <c r="I633" s="2"/>
    </row>
    <row r="634" spans="1:9" ht="15" thickBot="1" x14ac:dyDescent="0.3">
      <c r="A634" s="2"/>
      <c r="B634" s="2"/>
      <c r="C634" s="2"/>
      <c r="D634" s="2"/>
      <c r="E634" s="2"/>
      <c r="F634" s="2"/>
      <c r="G634" s="2"/>
      <c r="H634" s="2"/>
      <c r="I634" s="2"/>
    </row>
    <row r="635" spans="1:9" ht="15" thickBot="1" x14ac:dyDescent="0.3">
      <c r="A635" s="2"/>
      <c r="B635" s="2"/>
      <c r="C635" s="2"/>
      <c r="D635" s="2"/>
      <c r="E635" s="2"/>
      <c r="F635" s="2"/>
      <c r="G635" s="2"/>
      <c r="H635" s="2"/>
      <c r="I635" s="2"/>
    </row>
    <row r="636" spans="1:9" ht="15" thickBot="1" x14ac:dyDescent="0.3">
      <c r="A636" s="2"/>
      <c r="B636" s="2"/>
      <c r="C636" s="2"/>
      <c r="D636" s="2"/>
      <c r="E636" s="2"/>
      <c r="F636" s="2"/>
      <c r="G636" s="2"/>
      <c r="H636" s="2"/>
      <c r="I636" s="2"/>
    </row>
    <row r="637" spans="1:9" ht="15" thickBot="1" x14ac:dyDescent="0.3">
      <c r="A637" s="2"/>
      <c r="B637" s="2"/>
      <c r="C637" s="2"/>
      <c r="D637" s="2"/>
      <c r="E637" s="2"/>
      <c r="F637" s="2"/>
      <c r="G637" s="2"/>
      <c r="H637" s="2"/>
      <c r="I637" s="2"/>
    </row>
    <row r="638" spans="1:9" ht="15" thickBot="1" x14ac:dyDescent="0.3">
      <c r="A638" s="2"/>
      <c r="B638" s="2"/>
      <c r="C638" s="2"/>
      <c r="D638" s="2"/>
      <c r="E638" s="2"/>
      <c r="F638" s="2"/>
      <c r="G638" s="2"/>
      <c r="H638" s="2"/>
      <c r="I638" s="2"/>
    </row>
    <row r="639" spans="1:9" ht="15" thickBot="1" x14ac:dyDescent="0.3">
      <c r="A639" s="2"/>
      <c r="B639" s="2"/>
      <c r="C639" s="2"/>
      <c r="D639" s="2"/>
      <c r="E639" s="2"/>
      <c r="F639" s="2"/>
      <c r="G639" s="2"/>
      <c r="H639" s="2"/>
      <c r="I639" s="2"/>
    </row>
    <row r="640" spans="1:9" ht="15" thickBot="1" x14ac:dyDescent="0.3">
      <c r="A640" s="2"/>
      <c r="B640" s="2"/>
      <c r="C640" s="2"/>
      <c r="D640" s="2"/>
      <c r="E640" s="2"/>
      <c r="F640" s="2"/>
      <c r="G640" s="2"/>
      <c r="H640" s="2"/>
      <c r="I640" s="2"/>
    </row>
    <row r="641" spans="1:9" ht="15" thickBot="1" x14ac:dyDescent="0.3">
      <c r="A641" s="2"/>
      <c r="B641" s="2"/>
      <c r="C641" s="2"/>
      <c r="D641" s="2"/>
      <c r="E641" s="2"/>
      <c r="F641" s="2"/>
      <c r="G641" s="2"/>
      <c r="H641" s="2"/>
      <c r="I641" s="2"/>
    </row>
    <row r="642" spans="1:9" ht="15" thickBot="1" x14ac:dyDescent="0.3">
      <c r="A642" s="2"/>
      <c r="B642" s="2"/>
      <c r="C642" s="2"/>
      <c r="D642" s="2"/>
      <c r="E642" s="2"/>
      <c r="F642" s="2"/>
      <c r="G642" s="2"/>
      <c r="H642" s="2"/>
      <c r="I642" s="2"/>
    </row>
    <row r="643" spans="1:9" ht="15" thickBot="1" x14ac:dyDescent="0.3">
      <c r="A643" s="2"/>
      <c r="B643" s="2"/>
      <c r="C643" s="2"/>
      <c r="D643" s="2"/>
      <c r="E643" s="2"/>
      <c r="F643" s="2"/>
      <c r="G643" s="2"/>
      <c r="H643" s="2"/>
      <c r="I643" s="2"/>
    </row>
    <row r="644" spans="1:9" ht="15" thickBot="1" x14ac:dyDescent="0.3">
      <c r="A644" s="2"/>
      <c r="B644" s="2"/>
      <c r="C644" s="2"/>
      <c r="D644" s="2"/>
      <c r="E644" s="2"/>
      <c r="F644" s="2"/>
      <c r="G644" s="2"/>
      <c r="H644" s="2"/>
      <c r="I644" s="2"/>
    </row>
    <row r="645" spans="1:9" ht="15" thickBot="1" x14ac:dyDescent="0.3">
      <c r="A645" s="2"/>
      <c r="B645" s="2"/>
      <c r="C645" s="2"/>
      <c r="D645" s="2"/>
      <c r="E645" s="2"/>
      <c r="F645" s="2"/>
      <c r="G645" s="2"/>
      <c r="H645" s="2"/>
      <c r="I645" s="2"/>
    </row>
    <row r="646" spans="1:9" ht="15" thickBot="1" x14ac:dyDescent="0.3">
      <c r="A646" s="2"/>
      <c r="B646" s="2"/>
      <c r="C646" s="2"/>
      <c r="D646" s="2"/>
      <c r="E646" s="2"/>
      <c r="F646" s="2"/>
      <c r="G646" s="2"/>
      <c r="H646" s="2"/>
      <c r="I646" s="2"/>
    </row>
    <row r="647" spans="1:9" ht="15" thickBot="1" x14ac:dyDescent="0.3">
      <c r="A647" s="2"/>
      <c r="B647" s="2"/>
      <c r="C647" s="2"/>
      <c r="D647" s="2"/>
      <c r="E647" s="2"/>
      <c r="F647" s="2"/>
      <c r="G647" s="2"/>
      <c r="H647" s="2"/>
      <c r="I647" s="2"/>
    </row>
    <row r="648" spans="1:9" ht="15" thickBot="1" x14ac:dyDescent="0.3">
      <c r="A648" s="2"/>
      <c r="B648" s="2"/>
      <c r="C648" s="2"/>
      <c r="D648" s="2"/>
      <c r="E648" s="2"/>
      <c r="F648" s="2"/>
      <c r="G648" s="2"/>
      <c r="H648" s="2"/>
      <c r="I648" s="2"/>
    </row>
    <row r="649" spans="1:9" ht="15" thickBot="1" x14ac:dyDescent="0.3">
      <c r="A649" s="2"/>
      <c r="B649" s="2"/>
      <c r="C649" s="2"/>
      <c r="D649" s="2"/>
      <c r="E649" s="2"/>
      <c r="F649" s="2"/>
      <c r="G649" s="2"/>
      <c r="H649" s="2"/>
      <c r="I649" s="2"/>
    </row>
    <row r="650" spans="1:9" ht="15" thickBot="1" x14ac:dyDescent="0.3">
      <c r="A650" s="2"/>
      <c r="B650" s="2"/>
      <c r="C650" s="2"/>
      <c r="D650" s="2"/>
      <c r="E650" s="2"/>
      <c r="F650" s="2"/>
      <c r="G650" s="2"/>
      <c r="H650" s="2"/>
      <c r="I650" s="2"/>
    </row>
    <row r="651" spans="1:9" ht="15" thickBot="1" x14ac:dyDescent="0.3">
      <c r="A651" s="2"/>
      <c r="B651" s="2"/>
      <c r="C651" s="2"/>
      <c r="D651" s="2"/>
      <c r="E651" s="2"/>
      <c r="F651" s="2"/>
      <c r="G651" s="2"/>
      <c r="H651" s="2"/>
      <c r="I651" s="2"/>
    </row>
    <row r="652" spans="1:9" ht="15" thickBot="1" x14ac:dyDescent="0.3">
      <c r="A652" s="2"/>
      <c r="B652" s="2"/>
      <c r="C652" s="2"/>
      <c r="D652" s="2"/>
      <c r="E652" s="2"/>
      <c r="F652" s="2"/>
      <c r="G652" s="2"/>
      <c r="H652" s="2"/>
      <c r="I652" s="2"/>
    </row>
    <row r="653" spans="1:9" ht="15" thickBot="1" x14ac:dyDescent="0.3">
      <c r="A653" s="2"/>
      <c r="B653" s="2"/>
      <c r="C653" s="2"/>
      <c r="D653" s="2"/>
      <c r="E653" s="2"/>
      <c r="F653" s="2"/>
      <c r="G653" s="2"/>
      <c r="H653" s="2"/>
      <c r="I653" s="2"/>
    </row>
    <row r="654" spans="1:9" ht="15" thickBot="1" x14ac:dyDescent="0.3">
      <c r="A654" s="2"/>
      <c r="B654" s="2"/>
      <c r="C654" s="2"/>
      <c r="D654" s="2"/>
      <c r="E654" s="2"/>
      <c r="F654" s="2"/>
      <c r="G654" s="2"/>
      <c r="H654" s="2"/>
      <c r="I654" s="2"/>
    </row>
    <row r="655" spans="1:9" ht="15" thickBot="1" x14ac:dyDescent="0.3">
      <c r="A655" s="2"/>
      <c r="B655" s="2"/>
      <c r="C655" s="2"/>
      <c r="D655" s="2"/>
      <c r="E655" s="2"/>
      <c r="F655" s="2"/>
      <c r="G655" s="2"/>
      <c r="H655" s="2"/>
      <c r="I655" s="2"/>
    </row>
    <row r="656" spans="1:9" ht="15" thickBot="1" x14ac:dyDescent="0.3">
      <c r="A656" s="2"/>
      <c r="B656" s="2"/>
      <c r="C656" s="2"/>
      <c r="D656" s="2"/>
      <c r="E656" s="2"/>
      <c r="F656" s="2"/>
      <c r="G656" s="2"/>
      <c r="H656" s="2"/>
      <c r="I656" s="2"/>
    </row>
    <row r="657" spans="1:9" ht="15" thickBot="1" x14ac:dyDescent="0.3">
      <c r="A657" s="2"/>
      <c r="B657" s="2"/>
      <c r="C657" s="2"/>
      <c r="D657" s="2"/>
      <c r="E657" s="2"/>
      <c r="F657" s="2"/>
      <c r="G657" s="2"/>
      <c r="H657" s="2"/>
      <c r="I657" s="2"/>
    </row>
    <row r="658" spans="1:9" ht="15" thickBot="1" x14ac:dyDescent="0.3">
      <c r="A658" s="2"/>
      <c r="B658" s="2"/>
      <c r="C658" s="2"/>
      <c r="D658" s="2"/>
      <c r="E658" s="2"/>
      <c r="F658" s="2"/>
      <c r="G658" s="2"/>
      <c r="H658" s="2"/>
      <c r="I658" s="2"/>
    </row>
    <row r="659" spans="1:9" ht="15" thickBot="1" x14ac:dyDescent="0.3">
      <c r="A659" s="2"/>
      <c r="B659" s="2"/>
      <c r="C659" s="2"/>
      <c r="D659" s="2"/>
      <c r="E659" s="2"/>
      <c r="F659" s="2"/>
      <c r="G659" s="2"/>
      <c r="H659" s="2"/>
      <c r="I659" s="2"/>
    </row>
    <row r="660" spans="1:9" ht="15" thickBot="1" x14ac:dyDescent="0.3">
      <c r="A660" s="2"/>
      <c r="B660" s="2"/>
      <c r="C660" s="2"/>
      <c r="D660" s="2"/>
      <c r="E660" s="2"/>
      <c r="F660" s="2"/>
      <c r="G660" s="2"/>
      <c r="H660" s="2"/>
      <c r="I660" s="2"/>
    </row>
    <row r="661" spans="1:9" ht="15" thickBot="1" x14ac:dyDescent="0.3">
      <c r="A661" s="2"/>
      <c r="B661" s="2"/>
      <c r="C661" s="2"/>
      <c r="D661" s="2"/>
      <c r="E661" s="2"/>
      <c r="F661" s="2"/>
      <c r="G661" s="2"/>
      <c r="H661" s="2"/>
      <c r="I661" s="2"/>
    </row>
    <row r="662" spans="1:9" ht="15" thickBot="1" x14ac:dyDescent="0.3">
      <c r="A662" s="2"/>
      <c r="B662" s="2"/>
      <c r="C662" s="2"/>
      <c r="D662" s="2"/>
      <c r="E662" s="2"/>
      <c r="F662" s="2"/>
      <c r="G662" s="2"/>
      <c r="H662" s="2"/>
      <c r="I662" s="2"/>
    </row>
    <row r="663" spans="1:9" ht="15" thickBot="1" x14ac:dyDescent="0.3">
      <c r="A663" s="2"/>
      <c r="B663" s="2"/>
      <c r="C663" s="2"/>
      <c r="D663" s="2"/>
      <c r="E663" s="2"/>
      <c r="F663" s="2"/>
      <c r="G663" s="2"/>
      <c r="H663" s="2"/>
      <c r="I663" s="2"/>
    </row>
    <row r="664" spans="1:9" ht="15" thickBot="1" x14ac:dyDescent="0.3">
      <c r="A664" s="2"/>
      <c r="B664" s="2"/>
      <c r="C664" s="2"/>
      <c r="D664" s="2"/>
      <c r="E664" s="2"/>
      <c r="F664" s="2"/>
      <c r="G664" s="2"/>
      <c r="H664" s="2"/>
      <c r="I664" s="2"/>
    </row>
    <row r="665" spans="1:9" ht="15" thickBot="1" x14ac:dyDescent="0.3">
      <c r="A665" s="2"/>
      <c r="B665" s="2"/>
      <c r="C665" s="2"/>
      <c r="D665" s="2"/>
      <c r="E665" s="2"/>
      <c r="F665" s="2"/>
      <c r="G665" s="2"/>
      <c r="H665" s="2"/>
      <c r="I665" s="2"/>
    </row>
    <row r="666" spans="1:9" ht="15" thickBot="1" x14ac:dyDescent="0.3">
      <c r="A666" s="2"/>
      <c r="B666" s="2"/>
      <c r="C666" s="2"/>
      <c r="D666" s="2"/>
      <c r="E666" s="2"/>
      <c r="F666" s="2"/>
      <c r="G666" s="2"/>
      <c r="H666" s="2"/>
      <c r="I666" s="2"/>
    </row>
    <row r="667" spans="1:9" ht="15" thickBot="1" x14ac:dyDescent="0.3">
      <c r="A667" s="2"/>
      <c r="B667" s="2"/>
      <c r="C667" s="2"/>
      <c r="D667" s="2"/>
      <c r="E667" s="2"/>
      <c r="F667" s="2"/>
      <c r="G667" s="2"/>
      <c r="H667" s="2"/>
      <c r="I667" s="2"/>
    </row>
    <row r="668" spans="1:9" ht="15" thickBot="1" x14ac:dyDescent="0.3">
      <c r="A668" s="2"/>
      <c r="B668" s="2"/>
      <c r="C668" s="2"/>
      <c r="D668" s="2"/>
      <c r="E668" s="2"/>
      <c r="F668" s="2"/>
      <c r="G668" s="2"/>
      <c r="H668" s="2"/>
      <c r="I668" s="2"/>
    </row>
    <row r="669" spans="1:9" ht="15" thickBot="1" x14ac:dyDescent="0.3">
      <c r="A669" s="2"/>
      <c r="B669" s="2"/>
      <c r="C669" s="2"/>
      <c r="D669" s="2"/>
      <c r="E669" s="2"/>
      <c r="F669" s="2"/>
      <c r="G669" s="2"/>
      <c r="H669" s="2"/>
      <c r="I669" s="2"/>
    </row>
    <row r="670" spans="1:9" ht="15" thickBot="1" x14ac:dyDescent="0.3">
      <c r="A670" s="2"/>
      <c r="B670" s="2"/>
      <c r="C670" s="2"/>
      <c r="D670" s="2"/>
      <c r="E670" s="2"/>
      <c r="F670" s="2"/>
      <c r="G670" s="2"/>
      <c r="H670" s="2"/>
      <c r="I670" s="2"/>
    </row>
    <row r="671" spans="1:9" ht="15" thickBot="1" x14ac:dyDescent="0.3">
      <c r="A671" s="2"/>
      <c r="B671" s="2"/>
      <c r="C671" s="2"/>
      <c r="D671" s="2"/>
      <c r="E671" s="2"/>
      <c r="F671" s="2"/>
      <c r="G671" s="2"/>
      <c r="H671" s="2"/>
      <c r="I671" s="2"/>
    </row>
    <row r="672" spans="1:9" ht="15" thickBot="1" x14ac:dyDescent="0.3">
      <c r="A672" s="2"/>
      <c r="B672" s="2"/>
      <c r="C672" s="2"/>
      <c r="D672" s="2"/>
      <c r="E672" s="2"/>
      <c r="F672" s="2"/>
      <c r="G672" s="2"/>
      <c r="H672" s="2"/>
      <c r="I672" s="2"/>
    </row>
    <row r="673" spans="1:9" ht="15" thickBot="1" x14ac:dyDescent="0.3">
      <c r="A673" s="2"/>
      <c r="B673" s="2"/>
      <c r="C673" s="2"/>
      <c r="D673" s="2"/>
      <c r="E673" s="2"/>
      <c r="F673" s="2"/>
      <c r="G673" s="2"/>
      <c r="H673" s="2"/>
      <c r="I673" s="2"/>
    </row>
    <row r="674" spans="1:9" ht="15" thickBot="1" x14ac:dyDescent="0.3">
      <c r="A674" s="2"/>
      <c r="B674" s="2"/>
      <c r="C674" s="2"/>
      <c r="D674" s="2"/>
      <c r="E674" s="2"/>
      <c r="F674" s="2"/>
      <c r="G674" s="2"/>
      <c r="H674" s="2"/>
      <c r="I674" s="2"/>
    </row>
    <row r="675" spans="1:9" ht="15" thickBot="1" x14ac:dyDescent="0.3">
      <c r="A675" s="2"/>
      <c r="B675" s="2"/>
      <c r="C675" s="2"/>
      <c r="D675" s="2"/>
      <c r="E675" s="2"/>
      <c r="F675" s="2"/>
      <c r="G675" s="2"/>
      <c r="H675" s="2"/>
      <c r="I675" s="2"/>
    </row>
    <row r="676" spans="1:9" ht="15" thickBot="1" x14ac:dyDescent="0.3">
      <c r="A676" s="2"/>
      <c r="B676" s="2"/>
      <c r="C676" s="2"/>
      <c r="D676" s="2"/>
      <c r="E676" s="2"/>
      <c r="F676" s="2"/>
      <c r="G676" s="2"/>
      <c r="H676" s="2"/>
      <c r="I676" s="2"/>
    </row>
    <row r="677" spans="1:9" ht="15" thickBot="1" x14ac:dyDescent="0.3">
      <c r="A677" s="2"/>
      <c r="B677" s="2"/>
      <c r="C677" s="2"/>
      <c r="D677" s="2"/>
      <c r="E677" s="2"/>
      <c r="F677" s="2"/>
      <c r="G677" s="2"/>
      <c r="H677" s="2"/>
      <c r="I677" s="2"/>
    </row>
    <row r="678" spans="1:9" ht="15" thickBot="1" x14ac:dyDescent="0.3">
      <c r="A678" s="2"/>
      <c r="B678" s="2"/>
      <c r="C678" s="2"/>
      <c r="D678" s="2"/>
      <c r="E678" s="2"/>
      <c r="F678" s="2"/>
      <c r="G678" s="2"/>
      <c r="H678" s="2"/>
      <c r="I678" s="2"/>
    </row>
    <row r="679" spans="1:9" ht="15" thickBot="1" x14ac:dyDescent="0.3">
      <c r="A679" s="2"/>
      <c r="B679" s="2"/>
      <c r="C679" s="2"/>
      <c r="D679" s="2"/>
      <c r="E679" s="2"/>
      <c r="F679" s="2"/>
      <c r="G679" s="2"/>
      <c r="H679" s="2"/>
      <c r="I679" s="2"/>
    </row>
    <row r="680" spans="1:9" ht="15" thickBot="1" x14ac:dyDescent="0.3">
      <c r="A680" s="2"/>
      <c r="B680" s="2"/>
      <c r="C680" s="2"/>
      <c r="D680" s="2"/>
      <c r="E680" s="2"/>
      <c r="F680" s="2"/>
      <c r="G680" s="2"/>
      <c r="H680" s="2"/>
      <c r="I680" s="2"/>
    </row>
    <row r="681" spans="1:9" ht="15" thickBot="1" x14ac:dyDescent="0.3">
      <c r="A681" s="2"/>
      <c r="B681" s="2"/>
      <c r="C681" s="2"/>
      <c r="D681" s="2"/>
      <c r="E681" s="2"/>
      <c r="F681" s="2"/>
      <c r="G681" s="2"/>
      <c r="H681" s="2"/>
      <c r="I681" s="2"/>
    </row>
    <row r="682" spans="1:9" ht="15" thickBot="1" x14ac:dyDescent="0.3">
      <c r="A682" s="2"/>
      <c r="B682" s="2"/>
      <c r="C682" s="2"/>
      <c r="D682" s="2"/>
      <c r="E682" s="2"/>
      <c r="F682" s="2"/>
      <c r="G682" s="2"/>
      <c r="H682" s="2"/>
      <c r="I682" s="2"/>
    </row>
    <row r="683" spans="1:9" ht="15" thickBot="1" x14ac:dyDescent="0.3">
      <c r="A683" s="2"/>
      <c r="B683" s="2"/>
      <c r="C683" s="2"/>
      <c r="D683" s="2"/>
      <c r="E683" s="2"/>
      <c r="F683" s="2"/>
      <c r="G683" s="2"/>
      <c r="H683" s="2"/>
      <c r="I683" s="2"/>
    </row>
    <row r="684" spans="1:9" ht="15" thickBot="1" x14ac:dyDescent="0.3">
      <c r="A684" s="2"/>
      <c r="B684" s="2"/>
      <c r="C684" s="2"/>
      <c r="D684" s="2"/>
      <c r="E684" s="2"/>
      <c r="F684" s="2"/>
      <c r="G684" s="2"/>
      <c r="H684" s="2"/>
      <c r="I684" s="2"/>
    </row>
    <row r="685" spans="1:9" ht="15" thickBot="1" x14ac:dyDescent="0.3">
      <c r="A685" s="2"/>
      <c r="B685" s="2"/>
      <c r="C685" s="2"/>
      <c r="D685" s="2"/>
      <c r="E685" s="2"/>
      <c r="F685" s="2"/>
      <c r="G685" s="2"/>
      <c r="H685" s="2"/>
      <c r="I685" s="2"/>
    </row>
    <row r="686" spans="1:9" ht="15" thickBot="1" x14ac:dyDescent="0.3">
      <c r="A686" s="2"/>
      <c r="B686" s="2"/>
      <c r="C686" s="2"/>
      <c r="D686" s="2"/>
      <c r="E686" s="2"/>
      <c r="F686" s="2"/>
      <c r="G686" s="2"/>
      <c r="H686" s="2"/>
      <c r="I686" s="2"/>
    </row>
    <row r="687" spans="1:9" ht="15" thickBot="1" x14ac:dyDescent="0.3">
      <c r="A687" s="2"/>
      <c r="B687" s="2"/>
      <c r="C687" s="2"/>
      <c r="D687" s="2"/>
      <c r="E687" s="2"/>
      <c r="F687" s="2"/>
      <c r="G687" s="2"/>
      <c r="H687" s="2"/>
      <c r="I687" s="2"/>
    </row>
    <row r="688" spans="1:9" ht="15" thickBot="1" x14ac:dyDescent="0.3">
      <c r="A688" s="2"/>
      <c r="B688" s="2"/>
      <c r="C688" s="2"/>
      <c r="D688" s="2"/>
      <c r="E688" s="2"/>
      <c r="F688" s="2"/>
      <c r="G688" s="2"/>
      <c r="H688" s="2"/>
      <c r="I688" s="2"/>
    </row>
    <row r="689" spans="1:9" ht="15" thickBot="1" x14ac:dyDescent="0.3">
      <c r="A689" s="2"/>
      <c r="B689" s="2"/>
      <c r="C689" s="2"/>
      <c r="D689" s="2"/>
      <c r="E689" s="2"/>
      <c r="F689" s="2"/>
      <c r="G689" s="2"/>
      <c r="H689" s="2"/>
      <c r="I689" s="2"/>
    </row>
    <row r="690" spans="1:9" ht="15" thickBot="1" x14ac:dyDescent="0.3">
      <c r="A690" s="2"/>
      <c r="B690" s="2"/>
      <c r="C690" s="2"/>
      <c r="D690" s="2"/>
      <c r="E690" s="2"/>
      <c r="F690" s="2"/>
      <c r="G690" s="2"/>
      <c r="H690" s="2"/>
      <c r="I690" s="2"/>
    </row>
    <row r="691" spans="1:9" ht="15" thickBot="1" x14ac:dyDescent="0.3">
      <c r="A691" s="2"/>
      <c r="B691" s="2"/>
      <c r="C691" s="2"/>
      <c r="D691" s="2"/>
      <c r="E691" s="2"/>
      <c r="F691" s="2"/>
      <c r="G691" s="2"/>
      <c r="H691" s="2"/>
      <c r="I691" s="2"/>
    </row>
    <row r="692" spans="1:9" ht="15" thickBot="1" x14ac:dyDescent="0.3">
      <c r="A692" s="2"/>
      <c r="B692" s="2"/>
      <c r="C692" s="2"/>
      <c r="D692" s="2"/>
      <c r="E692" s="2"/>
      <c r="F692" s="2"/>
      <c r="G692" s="2"/>
      <c r="H692" s="2"/>
      <c r="I692" s="2"/>
    </row>
    <row r="693" spans="1:9" ht="15" thickBot="1" x14ac:dyDescent="0.3">
      <c r="A693" s="2"/>
      <c r="B693" s="2"/>
      <c r="C693" s="2"/>
      <c r="D693" s="2"/>
      <c r="E693" s="2"/>
      <c r="F693" s="2"/>
      <c r="G693" s="2"/>
      <c r="H693" s="2"/>
      <c r="I693" s="2"/>
    </row>
    <row r="694" spans="1:9" ht="15" thickBot="1" x14ac:dyDescent="0.3">
      <c r="A694" s="2"/>
      <c r="B694" s="2"/>
      <c r="C694" s="2"/>
      <c r="D694" s="2"/>
      <c r="E694" s="2"/>
      <c r="F694" s="2"/>
      <c r="G694" s="2"/>
      <c r="H694" s="2"/>
      <c r="I694" s="2"/>
    </row>
    <row r="695" spans="1:9" ht="15" thickBot="1" x14ac:dyDescent="0.3">
      <c r="A695" s="2"/>
      <c r="B695" s="2"/>
      <c r="C695" s="2"/>
      <c r="D695" s="2"/>
      <c r="E695" s="2"/>
      <c r="F695" s="2"/>
      <c r="G695" s="2"/>
      <c r="H695" s="2"/>
      <c r="I695" s="2"/>
    </row>
    <row r="696" spans="1:9" ht="15" thickBot="1" x14ac:dyDescent="0.3">
      <c r="A696" s="2"/>
      <c r="B696" s="2"/>
      <c r="C696" s="2"/>
      <c r="D696" s="2"/>
      <c r="E696" s="2"/>
      <c r="F696" s="2"/>
      <c r="G696" s="2"/>
      <c r="H696" s="2"/>
      <c r="I696" s="2"/>
    </row>
    <row r="697" spans="1:9" ht="15" thickBot="1" x14ac:dyDescent="0.3">
      <c r="A697" s="2"/>
      <c r="B697" s="2"/>
      <c r="C697" s="2"/>
      <c r="D697" s="2"/>
      <c r="E697" s="2"/>
      <c r="F697" s="2"/>
      <c r="G697" s="2"/>
      <c r="H697" s="2"/>
      <c r="I697" s="2"/>
    </row>
    <row r="698" spans="1:9" ht="15" thickBot="1" x14ac:dyDescent="0.3">
      <c r="A698" s="2"/>
      <c r="B698" s="2"/>
      <c r="C698" s="2"/>
      <c r="D698" s="2"/>
      <c r="E698" s="2"/>
      <c r="F698" s="2"/>
      <c r="G698" s="2"/>
      <c r="H698" s="2"/>
      <c r="I698" s="2"/>
    </row>
    <row r="699" spans="1:9" ht="15" thickBot="1" x14ac:dyDescent="0.3">
      <c r="A699" s="2"/>
      <c r="B699" s="2"/>
      <c r="C699" s="2"/>
      <c r="D699" s="2"/>
      <c r="E699" s="2"/>
      <c r="F699" s="2"/>
      <c r="G699" s="2"/>
      <c r="H699" s="2"/>
      <c r="I699" s="2"/>
    </row>
    <row r="700" spans="1:9" ht="15" thickBot="1" x14ac:dyDescent="0.3">
      <c r="A700" s="2"/>
      <c r="B700" s="2"/>
      <c r="C700" s="2"/>
      <c r="D700" s="2"/>
      <c r="E700" s="2"/>
      <c r="F700" s="2"/>
      <c r="G700" s="2"/>
      <c r="H700" s="2"/>
      <c r="I700" s="2"/>
    </row>
    <row r="701" spans="1:9" ht="15" thickBot="1" x14ac:dyDescent="0.3">
      <c r="A701" s="2"/>
      <c r="B701" s="2"/>
      <c r="C701" s="2"/>
      <c r="D701" s="2"/>
      <c r="E701" s="2"/>
      <c r="F701" s="2"/>
      <c r="G701" s="2"/>
      <c r="H701" s="2"/>
      <c r="I701" s="2"/>
    </row>
    <row r="702" spans="1:9" ht="15" thickBot="1" x14ac:dyDescent="0.3">
      <c r="A702" s="2"/>
      <c r="B702" s="2"/>
      <c r="C702" s="2"/>
      <c r="D702" s="2"/>
      <c r="E702" s="2"/>
      <c r="F702" s="2"/>
      <c r="G702" s="2"/>
      <c r="H702" s="2"/>
      <c r="I702" s="2"/>
    </row>
    <row r="703" spans="1:9" ht="15" thickBot="1" x14ac:dyDescent="0.3">
      <c r="A703" s="2"/>
      <c r="B703" s="2"/>
      <c r="C703" s="2"/>
      <c r="D703" s="2"/>
      <c r="E703" s="2"/>
      <c r="F703" s="2"/>
      <c r="G703" s="2"/>
      <c r="H703" s="2"/>
      <c r="I703" s="2"/>
    </row>
    <row r="704" spans="1:9" ht="15" thickBot="1" x14ac:dyDescent="0.3">
      <c r="A704" s="2"/>
      <c r="B704" s="2"/>
      <c r="C704" s="2"/>
      <c r="D704" s="2"/>
      <c r="E704" s="2"/>
      <c r="F704" s="2"/>
      <c r="G704" s="2"/>
      <c r="H704" s="2"/>
      <c r="I704" s="2"/>
    </row>
    <row r="705" spans="1:9" ht="15" thickBot="1" x14ac:dyDescent="0.3">
      <c r="A705" s="2"/>
      <c r="B705" s="2"/>
      <c r="C705" s="2"/>
      <c r="D705" s="2"/>
      <c r="E705" s="2"/>
      <c r="F705" s="2"/>
      <c r="G705" s="2"/>
      <c r="H705" s="2"/>
      <c r="I705" s="2"/>
    </row>
    <row r="706" spans="1:9" ht="15" thickBot="1" x14ac:dyDescent="0.3">
      <c r="A706" s="2"/>
      <c r="B706" s="2"/>
      <c r="C706" s="2"/>
      <c r="D706" s="2"/>
      <c r="E706" s="2"/>
      <c r="F706" s="2"/>
      <c r="G706" s="2"/>
      <c r="H706" s="2"/>
      <c r="I706" s="2"/>
    </row>
    <row r="707" spans="1:9" ht="15" thickBot="1" x14ac:dyDescent="0.3">
      <c r="A707" s="2"/>
      <c r="B707" s="2"/>
      <c r="C707" s="2"/>
      <c r="D707" s="2"/>
      <c r="E707" s="2"/>
      <c r="F707" s="2"/>
      <c r="G707" s="2"/>
      <c r="H707" s="2"/>
      <c r="I707" s="2"/>
    </row>
    <row r="708" spans="1:9" ht="15" thickBot="1" x14ac:dyDescent="0.3">
      <c r="A708" s="2"/>
      <c r="B708" s="2"/>
      <c r="C708" s="2"/>
      <c r="D708" s="2"/>
      <c r="E708" s="2"/>
      <c r="F708" s="2"/>
      <c r="G708" s="2"/>
      <c r="H708" s="2"/>
      <c r="I708" s="2"/>
    </row>
    <row r="709" spans="1:9" ht="15" thickBot="1" x14ac:dyDescent="0.3">
      <c r="A709" s="2"/>
      <c r="B709" s="2"/>
      <c r="C709" s="2"/>
      <c r="D709" s="2"/>
      <c r="E709" s="2"/>
      <c r="F709" s="2"/>
      <c r="G709" s="2"/>
      <c r="H709" s="2"/>
      <c r="I709" s="2"/>
    </row>
    <row r="710" spans="1:9" ht="15" thickBot="1" x14ac:dyDescent="0.3">
      <c r="A710" s="2"/>
      <c r="B710" s="2"/>
      <c r="C710" s="2"/>
      <c r="D710" s="2"/>
      <c r="E710" s="2"/>
      <c r="F710" s="2"/>
      <c r="G710" s="2"/>
      <c r="H710" s="2"/>
      <c r="I710" s="2"/>
    </row>
    <row r="711" spans="1:9" ht="15" thickBot="1" x14ac:dyDescent="0.3">
      <c r="A711" s="2"/>
      <c r="B711" s="2"/>
      <c r="C711" s="2"/>
      <c r="D711" s="2"/>
      <c r="E711" s="2"/>
      <c r="F711" s="2"/>
      <c r="G711" s="2"/>
      <c r="H711" s="2"/>
      <c r="I711" s="2"/>
    </row>
    <row r="712" spans="1:9" ht="15" thickBot="1" x14ac:dyDescent="0.3">
      <c r="A712" s="2"/>
      <c r="B712" s="2"/>
      <c r="C712" s="2"/>
      <c r="D712" s="2"/>
      <c r="E712" s="2"/>
      <c r="F712" s="2"/>
      <c r="G712" s="2"/>
      <c r="H712" s="2"/>
      <c r="I712" s="2"/>
    </row>
    <row r="713" spans="1:9" ht="15" thickBot="1" x14ac:dyDescent="0.3">
      <c r="A713" s="2"/>
      <c r="B713" s="2"/>
      <c r="C713" s="2"/>
      <c r="D713" s="2"/>
      <c r="E713" s="2"/>
      <c r="F713" s="2"/>
      <c r="G713" s="2"/>
      <c r="H713" s="2"/>
      <c r="I713" s="2"/>
    </row>
    <row r="714" spans="1:9" ht="15" thickBot="1" x14ac:dyDescent="0.3">
      <c r="A714" s="2"/>
      <c r="B714" s="2"/>
      <c r="C714" s="2"/>
      <c r="D714" s="2"/>
      <c r="E714" s="2"/>
      <c r="F714" s="2"/>
      <c r="G714" s="2"/>
      <c r="H714" s="2"/>
      <c r="I714" s="2"/>
    </row>
    <row r="715" spans="1:9" ht="15" thickBot="1" x14ac:dyDescent="0.3">
      <c r="A715" s="2"/>
      <c r="B715" s="2"/>
      <c r="C715" s="2"/>
      <c r="D715" s="2"/>
      <c r="E715" s="2"/>
      <c r="F715" s="2"/>
      <c r="G715" s="2"/>
      <c r="H715" s="2"/>
      <c r="I715" s="2"/>
    </row>
    <row r="716" spans="1:9" ht="15" thickBot="1" x14ac:dyDescent="0.3">
      <c r="A716" s="2"/>
      <c r="B716" s="2"/>
      <c r="C716" s="2"/>
      <c r="D716" s="2"/>
      <c r="E716" s="2"/>
      <c r="F716" s="2"/>
      <c r="G716" s="2"/>
      <c r="H716" s="2"/>
      <c r="I716" s="2"/>
    </row>
    <row r="717" spans="1:9" ht="15" thickBot="1" x14ac:dyDescent="0.3">
      <c r="A717" s="2"/>
      <c r="B717" s="2"/>
      <c r="C717" s="2"/>
      <c r="D717" s="2"/>
      <c r="E717" s="2"/>
      <c r="F717" s="2"/>
      <c r="G717" s="2"/>
      <c r="H717" s="2"/>
      <c r="I717" s="2"/>
    </row>
    <row r="718" spans="1:9" ht="15" thickBot="1" x14ac:dyDescent="0.3">
      <c r="A718" s="2"/>
      <c r="B718" s="2"/>
      <c r="C718" s="2"/>
      <c r="D718" s="2"/>
      <c r="E718" s="2"/>
      <c r="F718" s="2"/>
      <c r="G718" s="2"/>
      <c r="H718" s="2"/>
      <c r="I718" s="2"/>
    </row>
    <row r="719" spans="1:9" ht="15" thickBot="1" x14ac:dyDescent="0.3">
      <c r="A719" s="2"/>
      <c r="B719" s="2"/>
      <c r="C719" s="2"/>
      <c r="D719" s="2"/>
      <c r="E719" s="2"/>
      <c r="F719" s="2"/>
      <c r="G719" s="2"/>
      <c r="H719" s="2"/>
      <c r="I719" s="2"/>
    </row>
    <row r="720" spans="1:9" ht="15" thickBot="1" x14ac:dyDescent="0.3">
      <c r="A720" s="2"/>
      <c r="B720" s="2"/>
      <c r="C720" s="2"/>
      <c r="D720" s="2"/>
      <c r="E720" s="2"/>
      <c r="F720" s="2"/>
      <c r="G720" s="2"/>
      <c r="H720" s="2"/>
      <c r="I720" s="2"/>
    </row>
    <row r="721" spans="1:9" ht="15" thickBot="1" x14ac:dyDescent="0.3">
      <c r="A721" s="2"/>
      <c r="B721" s="2"/>
      <c r="C721" s="2"/>
      <c r="D721" s="2"/>
      <c r="E721" s="2"/>
      <c r="F721" s="2"/>
      <c r="G721" s="2"/>
      <c r="H721" s="2"/>
      <c r="I721" s="2"/>
    </row>
    <row r="722" spans="1:9" ht="15" thickBot="1" x14ac:dyDescent="0.3">
      <c r="A722" s="2"/>
      <c r="B722" s="2"/>
      <c r="C722" s="2"/>
      <c r="D722" s="2"/>
      <c r="E722" s="2"/>
      <c r="F722" s="2"/>
      <c r="G722" s="2"/>
      <c r="H722" s="2"/>
      <c r="I722" s="2"/>
    </row>
    <row r="723" spans="1:9" ht="15" thickBot="1" x14ac:dyDescent="0.3">
      <c r="A723" s="2"/>
      <c r="B723" s="2"/>
      <c r="C723" s="2"/>
      <c r="D723" s="2"/>
      <c r="E723" s="2"/>
      <c r="F723" s="2"/>
      <c r="G723" s="2"/>
      <c r="H723" s="2"/>
      <c r="I723" s="2"/>
    </row>
    <row r="724" spans="1:9" ht="15" thickBot="1" x14ac:dyDescent="0.3">
      <c r="A724" s="2"/>
      <c r="B724" s="2"/>
      <c r="C724" s="2"/>
      <c r="D724" s="2"/>
      <c r="E724" s="2"/>
      <c r="F724" s="2"/>
      <c r="G724" s="2"/>
      <c r="H724" s="2"/>
      <c r="I724" s="2"/>
    </row>
    <row r="725" spans="1:9" ht="15" thickBot="1" x14ac:dyDescent="0.3">
      <c r="A725" s="2"/>
      <c r="B725" s="2"/>
      <c r="C725" s="2"/>
      <c r="D725" s="2"/>
      <c r="E725" s="2"/>
      <c r="F725" s="2"/>
      <c r="G725" s="2"/>
      <c r="H725" s="2"/>
      <c r="I725" s="2"/>
    </row>
    <row r="726" spans="1:9" ht="15" thickBot="1" x14ac:dyDescent="0.3">
      <c r="A726" s="2"/>
      <c r="B726" s="2"/>
      <c r="C726" s="2"/>
      <c r="D726" s="2"/>
      <c r="E726" s="2"/>
      <c r="F726" s="2"/>
      <c r="G726" s="2"/>
      <c r="H726" s="2"/>
      <c r="I726" s="2"/>
    </row>
    <row r="727" spans="1:9" ht="15" thickBot="1" x14ac:dyDescent="0.3">
      <c r="A727" s="2"/>
      <c r="B727" s="2"/>
      <c r="C727" s="2"/>
      <c r="D727" s="2"/>
      <c r="E727" s="2"/>
      <c r="F727" s="2"/>
      <c r="G727" s="2"/>
      <c r="H727" s="2"/>
      <c r="I727" s="2"/>
    </row>
    <row r="728" spans="1:9" ht="15" thickBot="1" x14ac:dyDescent="0.3">
      <c r="A728" s="2"/>
      <c r="B728" s="2"/>
      <c r="C728" s="2"/>
      <c r="D728" s="2"/>
      <c r="E728" s="2"/>
      <c r="F728" s="2"/>
      <c r="G728" s="2"/>
      <c r="H728" s="2"/>
      <c r="I728" s="2"/>
    </row>
    <row r="729" spans="1:9" ht="15" thickBot="1" x14ac:dyDescent="0.3">
      <c r="A729" s="2"/>
      <c r="B729" s="2"/>
      <c r="C729" s="2"/>
      <c r="D729" s="2"/>
      <c r="E729" s="2"/>
      <c r="F729" s="2"/>
      <c r="G729" s="2"/>
      <c r="H729" s="2"/>
      <c r="I729" s="2"/>
    </row>
    <row r="730" spans="1:9" ht="15" thickBot="1" x14ac:dyDescent="0.3">
      <c r="A730" s="2"/>
      <c r="B730" s="2"/>
      <c r="C730" s="2"/>
      <c r="D730" s="2"/>
      <c r="E730" s="2"/>
      <c r="F730" s="2"/>
      <c r="G730" s="2"/>
      <c r="H730" s="2"/>
      <c r="I730" s="2"/>
    </row>
    <row r="731" spans="1:9" ht="15" thickBot="1" x14ac:dyDescent="0.3">
      <c r="A731" s="2"/>
      <c r="B731" s="2"/>
      <c r="C731" s="2"/>
      <c r="D731" s="2"/>
      <c r="E731" s="2"/>
      <c r="F731" s="2"/>
      <c r="G731" s="2"/>
      <c r="H731" s="2"/>
      <c r="I731" s="2"/>
    </row>
    <row r="732" spans="1:9" ht="15" thickBot="1" x14ac:dyDescent="0.3">
      <c r="A732" s="2"/>
      <c r="B732" s="2"/>
      <c r="C732" s="2"/>
      <c r="D732" s="2"/>
      <c r="E732" s="2"/>
      <c r="F732" s="2"/>
      <c r="G732" s="2"/>
      <c r="H732" s="2"/>
      <c r="I732" s="2"/>
    </row>
    <row r="733" spans="1:9" ht="15" thickBot="1" x14ac:dyDescent="0.3">
      <c r="A733" s="2"/>
      <c r="B733" s="2"/>
      <c r="C733" s="2"/>
      <c r="D733" s="2"/>
      <c r="E733" s="2"/>
      <c r="F733" s="2"/>
      <c r="G733" s="2"/>
      <c r="H733" s="2"/>
      <c r="I733" s="2"/>
    </row>
    <row r="734" spans="1:9" ht="15" thickBot="1" x14ac:dyDescent="0.3">
      <c r="A734" s="2"/>
      <c r="B734" s="2"/>
      <c r="C734" s="2"/>
      <c r="D734" s="2"/>
      <c r="E734" s="2"/>
      <c r="F734" s="2"/>
      <c r="G734" s="2"/>
      <c r="H734" s="2"/>
      <c r="I734" s="2"/>
    </row>
    <row r="735" spans="1:9" ht="15" thickBot="1" x14ac:dyDescent="0.3">
      <c r="A735" s="2"/>
      <c r="B735" s="2"/>
      <c r="C735" s="2"/>
      <c r="D735" s="2"/>
      <c r="E735" s="2"/>
      <c r="F735" s="2"/>
      <c r="G735" s="2"/>
      <c r="H735" s="2"/>
      <c r="I735" s="2"/>
    </row>
    <row r="736" spans="1:9" ht="15" thickBot="1" x14ac:dyDescent="0.3">
      <c r="A736" s="2"/>
      <c r="B736" s="2"/>
      <c r="C736" s="2"/>
      <c r="D736" s="2"/>
      <c r="E736" s="2"/>
      <c r="F736" s="2"/>
      <c r="G736" s="2"/>
      <c r="H736" s="2"/>
      <c r="I736" s="2"/>
    </row>
    <row r="737" spans="1:9" ht="15" thickBot="1" x14ac:dyDescent="0.3">
      <c r="A737" s="2"/>
      <c r="B737" s="2"/>
      <c r="C737" s="2"/>
      <c r="D737" s="2"/>
      <c r="E737" s="2"/>
      <c r="F737" s="2"/>
      <c r="G737" s="2"/>
      <c r="H737" s="2"/>
      <c r="I737" s="2"/>
    </row>
    <row r="738" spans="1:9" ht="15" thickBot="1" x14ac:dyDescent="0.3">
      <c r="A738" s="2"/>
      <c r="B738" s="2"/>
      <c r="C738" s="2"/>
      <c r="D738" s="2"/>
      <c r="E738" s="2"/>
      <c r="F738" s="2"/>
      <c r="G738" s="2"/>
      <c r="H738" s="2"/>
      <c r="I738" s="2"/>
    </row>
    <row r="739" spans="1:9" ht="15" thickBot="1" x14ac:dyDescent="0.3">
      <c r="A739" s="2"/>
      <c r="B739" s="2"/>
      <c r="C739" s="2"/>
      <c r="D739" s="2"/>
      <c r="E739" s="2"/>
      <c r="F739" s="2"/>
      <c r="G739" s="2"/>
      <c r="H739" s="2"/>
      <c r="I739" s="2"/>
    </row>
    <row r="740" spans="1:9" ht="15" thickBot="1" x14ac:dyDescent="0.3">
      <c r="A740" s="2"/>
      <c r="B740" s="2"/>
      <c r="C740" s="2"/>
      <c r="D740" s="2"/>
      <c r="E740" s="2"/>
      <c r="F740" s="2"/>
      <c r="G740" s="2"/>
      <c r="H740" s="2"/>
      <c r="I740" s="2"/>
    </row>
    <row r="741" spans="1:9" ht="15" thickBot="1" x14ac:dyDescent="0.3">
      <c r="A741" s="2"/>
      <c r="B741" s="2"/>
      <c r="C741" s="2"/>
      <c r="D741" s="2"/>
      <c r="E741" s="2"/>
      <c r="F741" s="2"/>
      <c r="G741" s="2"/>
      <c r="H741" s="2"/>
      <c r="I741" s="2"/>
    </row>
    <row r="742" spans="1:9" ht="15" thickBot="1" x14ac:dyDescent="0.3">
      <c r="A742" s="2"/>
      <c r="B742" s="2"/>
      <c r="C742" s="2"/>
      <c r="D742" s="2"/>
      <c r="E742" s="2"/>
      <c r="F742" s="2"/>
      <c r="G742" s="2"/>
      <c r="H742" s="2"/>
      <c r="I742" s="2"/>
    </row>
    <row r="743" spans="1:9" ht="15" thickBot="1" x14ac:dyDescent="0.3">
      <c r="A743" s="2"/>
      <c r="B743" s="2"/>
      <c r="C743" s="2"/>
      <c r="D743" s="2"/>
      <c r="E743" s="2"/>
      <c r="F743" s="2"/>
      <c r="G743" s="2"/>
      <c r="H743" s="2"/>
      <c r="I743" s="2"/>
    </row>
    <row r="744" spans="1:9" ht="15" thickBot="1" x14ac:dyDescent="0.3">
      <c r="A744" s="2"/>
      <c r="B744" s="2"/>
      <c r="C744" s="2"/>
      <c r="D744" s="2"/>
      <c r="E744" s="2"/>
      <c r="F744" s="2"/>
      <c r="G744" s="2"/>
      <c r="H744" s="2"/>
      <c r="I744" s="2"/>
    </row>
    <row r="745" spans="1:9" ht="15" thickBot="1" x14ac:dyDescent="0.3">
      <c r="A745" s="2"/>
      <c r="B745" s="2"/>
      <c r="C745" s="2"/>
      <c r="D745" s="2"/>
      <c r="E745" s="2"/>
      <c r="F745" s="2"/>
      <c r="G745" s="2"/>
      <c r="H745" s="2"/>
      <c r="I745" s="2"/>
    </row>
    <row r="746" spans="1:9" ht="15" thickBot="1" x14ac:dyDescent="0.3">
      <c r="A746" s="2"/>
      <c r="B746" s="2"/>
      <c r="C746" s="2"/>
      <c r="D746" s="2"/>
      <c r="E746" s="2"/>
      <c r="F746" s="2"/>
      <c r="G746" s="2"/>
      <c r="H746" s="2"/>
      <c r="I746" s="2"/>
    </row>
    <row r="747" spans="1:9" ht="15" thickBot="1" x14ac:dyDescent="0.3">
      <c r="A747" s="2"/>
      <c r="B747" s="2"/>
      <c r="C747" s="2"/>
      <c r="D747" s="2"/>
      <c r="E747" s="2"/>
      <c r="F747" s="2"/>
      <c r="G747" s="2"/>
      <c r="H747" s="2"/>
      <c r="I747" s="2"/>
    </row>
    <row r="748" spans="1:9" ht="15" thickBot="1" x14ac:dyDescent="0.3">
      <c r="A748" s="2"/>
      <c r="B748" s="2"/>
      <c r="C748" s="2"/>
      <c r="D748" s="2"/>
      <c r="E748" s="2"/>
      <c r="F748" s="2"/>
      <c r="G748" s="2"/>
      <c r="H748" s="2"/>
      <c r="I748" s="2"/>
    </row>
    <row r="749" spans="1:9" ht="15" thickBot="1" x14ac:dyDescent="0.3">
      <c r="A749" s="2"/>
      <c r="B749" s="2"/>
      <c r="C749" s="2"/>
      <c r="D749" s="2"/>
      <c r="E749" s="2"/>
      <c r="F749" s="2"/>
      <c r="G749" s="2"/>
      <c r="H749" s="2"/>
      <c r="I749" s="2"/>
    </row>
    <row r="750" spans="1:9" ht="15" thickBot="1" x14ac:dyDescent="0.3">
      <c r="A750" s="2"/>
      <c r="B750" s="2"/>
      <c r="C750" s="2"/>
      <c r="D750" s="2"/>
      <c r="E750" s="2"/>
      <c r="F750" s="2"/>
      <c r="G750" s="2"/>
      <c r="H750" s="2"/>
      <c r="I750" s="2"/>
    </row>
    <row r="751" spans="1:9" ht="15" thickBot="1" x14ac:dyDescent="0.3">
      <c r="A751" s="2"/>
      <c r="B751" s="2"/>
      <c r="C751" s="2"/>
      <c r="D751" s="2"/>
      <c r="E751" s="2"/>
      <c r="F751" s="2"/>
      <c r="G751" s="2"/>
      <c r="H751" s="2"/>
      <c r="I751" s="2"/>
    </row>
    <row r="752" spans="1:9" ht="15" thickBot="1" x14ac:dyDescent="0.3">
      <c r="A752" s="2"/>
      <c r="B752" s="2"/>
      <c r="C752" s="2"/>
      <c r="D752" s="2"/>
      <c r="E752" s="2"/>
      <c r="F752" s="2"/>
      <c r="G752" s="2"/>
      <c r="H752" s="2"/>
      <c r="I752" s="2"/>
    </row>
    <row r="753" spans="1:9" ht="15" thickBot="1" x14ac:dyDescent="0.3">
      <c r="A753" s="2"/>
      <c r="B753" s="2"/>
      <c r="C753" s="2"/>
      <c r="D753" s="2"/>
      <c r="E753" s="2"/>
      <c r="F753" s="2"/>
      <c r="G753" s="2"/>
      <c r="H753" s="2"/>
      <c r="I753" s="2"/>
    </row>
    <row r="754" spans="1:9" ht="15" thickBot="1" x14ac:dyDescent="0.3">
      <c r="A754" s="2"/>
      <c r="B754" s="2"/>
      <c r="C754" s="2"/>
      <c r="D754" s="2"/>
      <c r="E754" s="2"/>
      <c r="F754" s="2"/>
      <c r="G754" s="2"/>
      <c r="H754" s="2"/>
      <c r="I754" s="2"/>
    </row>
    <row r="755" spans="1:9" ht="15" thickBot="1" x14ac:dyDescent="0.3">
      <c r="A755" s="2"/>
      <c r="B755" s="2"/>
      <c r="C755" s="2"/>
      <c r="D755" s="2"/>
      <c r="E755" s="2"/>
      <c r="F755" s="2"/>
      <c r="G755" s="2"/>
      <c r="H755" s="2"/>
      <c r="I755" s="2"/>
    </row>
    <row r="756" spans="1:9" ht="15" thickBot="1" x14ac:dyDescent="0.3">
      <c r="A756" s="2"/>
      <c r="B756" s="2"/>
      <c r="C756" s="2"/>
      <c r="D756" s="2"/>
      <c r="E756" s="2"/>
      <c r="F756" s="2"/>
      <c r="G756" s="2"/>
      <c r="H756" s="2"/>
      <c r="I756" s="2"/>
    </row>
    <row r="757" spans="1:9" ht="15" thickBot="1" x14ac:dyDescent="0.3">
      <c r="A757" s="2"/>
      <c r="B757" s="2"/>
      <c r="C757" s="2"/>
      <c r="D757" s="2"/>
      <c r="E757" s="2"/>
      <c r="F757" s="2"/>
      <c r="G757" s="2"/>
      <c r="H757" s="2"/>
      <c r="I757" s="2"/>
    </row>
    <row r="758" spans="1:9" ht="15" thickBot="1" x14ac:dyDescent="0.3">
      <c r="A758" s="2"/>
      <c r="B758" s="2"/>
      <c r="C758" s="2"/>
      <c r="D758" s="2"/>
      <c r="E758" s="2"/>
      <c r="F758" s="2"/>
      <c r="G758" s="2"/>
      <c r="H758" s="2"/>
      <c r="I758" s="2"/>
    </row>
    <row r="759" spans="1:9" ht="15" thickBot="1" x14ac:dyDescent="0.3">
      <c r="A759" s="2"/>
      <c r="B759" s="2"/>
      <c r="C759" s="2"/>
      <c r="D759" s="2"/>
      <c r="E759" s="2"/>
      <c r="F759" s="2"/>
      <c r="G759" s="2"/>
      <c r="H759" s="2"/>
      <c r="I759" s="2"/>
    </row>
    <row r="760" spans="1:9" ht="15" thickBot="1" x14ac:dyDescent="0.3">
      <c r="A760" s="2"/>
      <c r="B760" s="2"/>
      <c r="C760" s="2"/>
      <c r="D760" s="2"/>
      <c r="E760" s="2"/>
      <c r="F760" s="2"/>
      <c r="G760" s="2"/>
      <c r="H760" s="2"/>
      <c r="I760" s="2"/>
    </row>
    <row r="761" spans="1:9" ht="15" thickBot="1" x14ac:dyDescent="0.3">
      <c r="A761" s="2"/>
      <c r="B761" s="2"/>
      <c r="C761" s="2"/>
      <c r="D761" s="2"/>
      <c r="E761" s="2"/>
      <c r="F761" s="2"/>
      <c r="G761" s="2"/>
      <c r="H761" s="2"/>
      <c r="I761" s="2"/>
    </row>
    <row r="762" spans="1:9" ht="15" thickBot="1" x14ac:dyDescent="0.3">
      <c r="A762" s="2"/>
      <c r="B762" s="2"/>
      <c r="C762" s="2"/>
      <c r="D762" s="2"/>
      <c r="E762" s="2"/>
      <c r="F762" s="2"/>
      <c r="G762" s="2"/>
      <c r="H762" s="2"/>
      <c r="I762" s="2"/>
    </row>
    <row r="763" spans="1:9" ht="15" thickBot="1" x14ac:dyDescent="0.3">
      <c r="A763" s="2"/>
      <c r="B763" s="2"/>
      <c r="C763" s="2"/>
      <c r="D763" s="2"/>
      <c r="E763" s="2"/>
      <c r="F763" s="2"/>
      <c r="G763" s="2"/>
      <c r="H763" s="2"/>
      <c r="I763" s="2"/>
    </row>
    <row r="764" spans="1:9" ht="15" thickBot="1" x14ac:dyDescent="0.3">
      <c r="A764" s="2"/>
      <c r="B764" s="2"/>
      <c r="C764" s="2"/>
      <c r="D764" s="2"/>
      <c r="E764" s="2"/>
      <c r="F764" s="2"/>
      <c r="G764" s="2"/>
      <c r="H764" s="2"/>
      <c r="I764" s="2"/>
    </row>
    <row r="765" spans="1:9" ht="15" thickBot="1" x14ac:dyDescent="0.3">
      <c r="A765" s="2"/>
      <c r="B765" s="2"/>
      <c r="C765" s="2"/>
      <c r="D765" s="2"/>
      <c r="E765" s="2"/>
      <c r="F765" s="2"/>
      <c r="G765" s="2"/>
      <c r="H765" s="2"/>
      <c r="I765" s="2"/>
    </row>
    <row r="766" spans="1:9" ht="15" thickBot="1" x14ac:dyDescent="0.3">
      <c r="A766" s="2"/>
      <c r="B766" s="2"/>
      <c r="C766" s="2"/>
      <c r="D766" s="2"/>
      <c r="E766" s="2"/>
      <c r="F766" s="2"/>
      <c r="G766" s="2"/>
      <c r="H766" s="2"/>
      <c r="I766" s="2"/>
    </row>
    <row r="767" spans="1:9" ht="15" thickBot="1" x14ac:dyDescent="0.3">
      <c r="A767" s="2"/>
      <c r="B767" s="2"/>
      <c r="C767" s="2"/>
      <c r="D767" s="2"/>
      <c r="E767" s="2"/>
      <c r="F767" s="2"/>
      <c r="G767" s="2"/>
      <c r="H767" s="2"/>
      <c r="I767" s="2"/>
    </row>
    <row r="768" spans="1:9" ht="15" thickBot="1" x14ac:dyDescent="0.3">
      <c r="A768" s="2"/>
      <c r="B768" s="2"/>
      <c r="C768" s="2"/>
      <c r="D768" s="2"/>
      <c r="E768" s="2"/>
      <c r="F768" s="2"/>
      <c r="G768" s="2"/>
      <c r="H768" s="2"/>
      <c r="I768" s="2"/>
    </row>
    <row r="769" spans="1:9" ht="15" thickBot="1" x14ac:dyDescent="0.3">
      <c r="A769" s="2"/>
      <c r="B769" s="2"/>
      <c r="C769" s="2"/>
      <c r="D769" s="2"/>
      <c r="E769" s="2"/>
      <c r="F769" s="2"/>
      <c r="G769" s="2"/>
      <c r="H769" s="2"/>
      <c r="I769" s="2"/>
    </row>
    <row r="770" spans="1:9" ht="15" thickBot="1" x14ac:dyDescent="0.3">
      <c r="A770" s="2"/>
      <c r="B770" s="2"/>
      <c r="C770" s="2"/>
      <c r="D770" s="2"/>
      <c r="E770" s="2"/>
      <c r="F770" s="2"/>
      <c r="G770" s="2"/>
      <c r="H770" s="2"/>
      <c r="I770" s="2"/>
    </row>
    <row r="771" spans="1:9" ht="15" thickBot="1" x14ac:dyDescent="0.3">
      <c r="A771" s="2"/>
      <c r="B771" s="2"/>
      <c r="C771" s="2"/>
      <c r="D771" s="2"/>
      <c r="E771" s="2"/>
      <c r="F771" s="2"/>
      <c r="G771" s="2"/>
      <c r="H771" s="2"/>
      <c r="I771" s="2"/>
    </row>
    <row r="772" spans="1:9" ht="15" thickBot="1" x14ac:dyDescent="0.3">
      <c r="A772" s="2"/>
      <c r="B772" s="2"/>
      <c r="C772" s="2"/>
      <c r="D772" s="2"/>
      <c r="E772" s="2"/>
      <c r="F772" s="2"/>
      <c r="G772" s="2"/>
      <c r="H772" s="2"/>
      <c r="I772" s="2"/>
    </row>
    <row r="773" spans="1:9" ht="15" thickBot="1" x14ac:dyDescent="0.3">
      <c r="A773" s="2"/>
      <c r="B773" s="2"/>
      <c r="C773" s="2"/>
      <c r="D773" s="2"/>
      <c r="E773" s="2"/>
      <c r="F773" s="2"/>
      <c r="G773" s="2"/>
      <c r="H773" s="2"/>
      <c r="I773" s="2"/>
    </row>
    <row r="774" spans="1:9" ht="15" thickBot="1" x14ac:dyDescent="0.3">
      <c r="A774" s="2"/>
      <c r="B774" s="2"/>
      <c r="C774" s="2"/>
      <c r="D774" s="2"/>
      <c r="E774" s="2"/>
      <c r="F774" s="2"/>
      <c r="G774" s="2"/>
      <c r="H774" s="2"/>
      <c r="I774" s="2"/>
    </row>
    <row r="775" spans="1:9" ht="15" thickBot="1" x14ac:dyDescent="0.3">
      <c r="A775" s="2"/>
      <c r="B775" s="2"/>
      <c r="C775" s="2"/>
      <c r="D775" s="2"/>
      <c r="E775" s="2"/>
      <c r="F775" s="2"/>
      <c r="G775" s="2"/>
      <c r="H775" s="2"/>
      <c r="I775" s="2"/>
    </row>
    <row r="776" spans="1:9" ht="15" thickBot="1" x14ac:dyDescent="0.3">
      <c r="A776" s="2"/>
      <c r="B776" s="2"/>
      <c r="C776" s="2"/>
      <c r="D776" s="2"/>
      <c r="E776" s="2"/>
      <c r="F776" s="2"/>
      <c r="G776" s="2"/>
      <c r="H776" s="2"/>
      <c r="I776" s="2"/>
    </row>
    <row r="777" spans="1:9" ht="15" thickBot="1" x14ac:dyDescent="0.3">
      <c r="A777" s="2"/>
      <c r="B777" s="2"/>
      <c r="C777" s="2"/>
      <c r="D777" s="2"/>
      <c r="E777" s="2"/>
      <c r="F777" s="2"/>
      <c r="G777" s="2"/>
      <c r="H777" s="2"/>
      <c r="I777" s="2"/>
    </row>
    <row r="778" spans="1:9" ht="15" thickBot="1" x14ac:dyDescent="0.3">
      <c r="A778" s="2"/>
      <c r="B778" s="2"/>
      <c r="C778" s="2"/>
      <c r="D778" s="2"/>
      <c r="E778" s="2"/>
      <c r="F778" s="2"/>
      <c r="G778" s="2"/>
      <c r="H778" s="2"/>
      <c r="I778" s="2"/>
    </row>
    <row r="779" spans="1:9" ht="15" thickBot="1" x14ac:dyDescent="0.3">
      <c r="A779" s="2"/>
      <c r="B779" s="2"/>
      <c r="C779" s="2"/>
      <c r="D779" s="2"/>
      <c r="E779" s="2"/>
      <c r="F779" s="2"/>
      <c r="G779" s="2"/>
      <c r="H779" s="2"/>
      <c r="I779" s="2"/>
    </row>
    <row r="780" spans="1:9" ht="15" thickBot="1" x14ac:dyDescent="0.3">
      <c r="A780" s="2"/>
      <c r="B780" s="2"/>
      <c r="C780" s="2"/>
      <c r="D780" s="2"/>
      <c r="E780" s="2"/>
      <c r="F780" s="2"/>
      <c r="G780" s="2"/>
      <c r="H780" s="2"/>
      <c r="I780" s="2"/>
    </row>
    <row r="781" spans="1:9" ht="15" thickBot="1" x14ac:dyDescent="0.3">
      <c r="A781" s="2"/>
      <c r="B781" s="2"/>
      <c r="C781" s="2"/>
      <c r="D781" s="2"/>
      <c r="E781" s="2"/>
      <c r="F781" s="2"/>
      <c r="G781" s="2"/>
      <c r="H781" s="2"/>
      <c r="I781" s="2"/>
    </row>
    <row r="782" spans="1:9" ht="15" thickBot="1" x14ac:dyDescent="0.3">
      <c r="A782" s="2"/>
      <c r="B782" s="2"/>
      <c r="C782" s="2"/>
      <c r="D782" s="2"/>
      <c r="E782" s="2"/>
      <c r="F782" s="2"/>
      <c r="G782" s="2"/>
      <c r="H782" s="2"/>
      <c r="I782" s="2"/>
    </row>
    <row r="783" spans="1:9" ht="15" thickBot="1" x14ac:dyDescent="0.3">
      <c r="A783" s="2"/>
      <c r="B783" s="2"/>
      <c r="C783" s="2"/>
      <c r="D783" s="2"/>
      <c r="E783" s="2"/>
      <c r="F783" s="2"/>
      <c r="G783" s="2"/>
      <c r="H783" s="2"/>
      <c r="I783" s="2"/>
    </row>
    <row r="784" spans="1:9" ht="15" thickBot="1" x14ac:dyDescent="0.3">
      <c r="A784" s="2"/>
      <c r="B784" s="2"/>
      <c r="C784" s="2"/>
      <c r="D784" s="2"/>
      <c r="E784" s="2"/>
      <c r="F784" s="2"/>
      <c r="G784" s="2"/>
      <c r="H784" s="2"/>
      <c r="I784" s="2"/>
    </row>
    <row r="785" spans="1:9" ht="15" thickBot="1" x14ac:dyDescent="0.3">
      <c r="A785" s="2"/>
      <c r="B785" s="2"/>
      <c r="C785" s="2"/>
      <c r="D785" s="2"/>
      <c r="E785" s="2"/>
      <c r="F785" s="2"/>
      <c r="G785" s="2"/>
      <c r="H785" s="2"/>
      <c r="I785" s="2"/>
    </row>
    <row r="786" spans="1:9" ht="15" thickBot="1" x14ac:dyDescent="0.3">
      <c r="A786" s="2"/>
      <c r="B786" s="2"/>
      <c r="C786" s="2"/>
      <c r="D786" s="2"/>
      <c r="E786" s="2"/>
      <c r="F786" s="2"/>
      <c r="G786" s="2"/>
      <c r="H786" s="2"/>
      <c r="I786" s="2"/>
    </row>
    <row r="787" spans="1:9" ht="15" thickBot="1" x14ac:dyDescent="0.3">
      <c r="A787" s="2"/>
      <c r="B787" s="2"/>
      <c r="C787" s="2"/>
      <c r="D787" s="2"/>
      <c r="E787" s="2"/>
      <c r="F787" s="2"/>
      <c r="G787" s="2"/>
      <c r="H787" s="2"/>
      <c r="I787" s="2"/>
    </row>
    <row r="788" spans="1:9" ht="15" thickBot="1" x14ac:dyDescent="0.3">
      <c r="A788" s="2"/>
      <c r="B788" s="2"/>
      <c r="C788" s="2"/>
      <c r="D788" s="2"/>
      <c r="E788" s="2"/>
      <c r="F788" s="2"/>
      <c r="G788" s="2"/>
      <c r="H788" s="2"/>
      <c r="I788" s="2"/>
    </row>
    <row r="789" spans="1:9" ht="15" thickBot="1" x14ac:dyDescent="0.3">
      <c r="A789" s="2"/>
      <c r="B789" s="2"/>
      <c r="C789" s="2"/>
      <c r="D789" s="2"/>
      <c r="E789" s="2"/>
      <c r="F789" s="2"/>
      <c r="G789" s="2"/>
      <c r="H789" s="2"/>
      <c r="I789" s="2"/>
    </row>
    <row r="790" spans="1:9" ht="15" thickBot="1" x14ac:dyDescent="0.3">
      <c r="A790" s="2"/>
      <c r="B790" s="2"/>
      <c r="C790" s="2"/>
      <c r="D790" s="2"/>
      <c r="E790" s="2"/>
      <c r="F790" s="2"/>
      <c r="G790" s="2"/>
      <c r="H790" s="2"/>
      <c r="I790" s="2"/>
    </row>
    <row r="791" spans="1:9" ht="15" thickBot="1" x14ac:dyDescent="0.3">
      <c r="A791" s="2"/>
      <c r="B791" s="2"/>
      <c r="C791" s="2"/>
      <c r="D791" s="2"/>
      <c r="E791" s="2"/>
      <c r="F791" s="2"/>
      <c r="G791" s="2"/>
      <c r="H791" s="2"/>
      <c r="I791" s="2"/>
    </row>
    <row r="792" spans="1:9" ht="15" thickBot="1" x14ac:dyDescent="0.3">
      <c r="A792" s="2"/>
      <c r="B792" s="2"/>
      <c r="C792" s="2"/>
      <c r="D792" s="2"/>
      <c r="E792" s="2"/>
      <c r="F792" s="2"/>
      <c r="G792" s="2"/>
      <c r="H792" s="2"/>
      <c r="I792" s="2"/>
    </row>
    <row r="793" spans="1:9" ht="15" thickBot="1" x14ac:dyDescent="0.3">
      <c r="A793" s="2"/>
      <c r="B793" s="2"/>
      <c r="C793" s="2"/>
      <c r="D793" s="2"/>
      <c r="E793" s="2"/>
      <c r="F793" s="2"/>
      <c r="G793" s="2"/>
      <c r="H793" s="2"/>
      <c r="I793" s="2"/>
    </row>
    <row r="794" spans="1:9" ht="15" thickBot="1" x14ac:dyDescent="0.3">
      <c r="A794" s="2"/>
      <c r="B794" s="2"/>
      <c r="C794" s="2"/>
      <c r="D794" s="2"/>
      <c r="E794" s="2"/>
      <c r="F794" s="2"/>
      <c r="G794" s="2"/>
      <c r="H794" s="2"/>
      <c r="I794" s="2"/>
    </row>
    <row r="795" spans="1:9" ht="15" thickBot="1" x14ac:dyDescent="0.3">
      <c r="A795" s="2"/>
      <c r="B795" s="2"/>
      <c r="C795" s="2"/>
      <c r="D795" s="2"/>
      <c r="E795" s="2"/>
      <c r="F795" s="2"/>
      <c r="G795" s="2"/>
      <c r="H795" s="2"/>
      <c r="I795" s="2"/>
    </row>
    <row r="796" spans="1:9" ht="15" thickBot="1" x14ac:dyDescent="0.3">
      <c r="A796" s="2"/>
      <c r="B796" s="2"/>
      <c r="C796" s="2"/>
      <c r="D796" s="2"/>
      <c r="E796" s="2"/>
      <c r="F796" s="2"/>
      <c r="G796" s="2"/>
      <c r="H796" s="2"/>
      <c r="I796" s="2"/>
    </row>
    <row r="797" spans="1:9" ht="15" thickBot="1" x14ac:dyDescent="0.3">
      <c r="A797" s="2"/>
      <c r="B797" s="2"/>
      <c r="C797" s="2"/>
      <c r="D797" s="2"/>
      <c r="E797" s="2"/>
      <c r="F797" s="2"/>
      <c r="G797" s="2"/>
      <c r="H797" s="2"/>
      <c r="I797" s="2"/>
    </row>
    <row r="798" spans="1:9" ht="15" thickBot="1" x14ac:dyDescent="0.3">
      <c r="A798" s="2"/>
      <c r="B798" s="2"/>
      <c r="C798" s="2"/>
      <c r="D798" s="2"/>
      <c r="E798" s="2"/>
      <c r="F798" s="2"/>
      <c r="G798" s="2"/>
      <c r="H798" s="2"/>
      <c r="I798" s="2"/>
    </row>
    <row r="799" spans="1:9" ht="15" thickBot="1" x14ac:dyDescent="0.3">
      <c r="A799" s="2"/>
      <c r="B799" s="2"/>
      <c r="C799" s="2"/>
      <c r="D799" s="2"/>
      <c r="E799" s="2"/>
      <c r="F799" s="2"/>
      <c r="G799" s="2"/>
      <c r="H799" s="2"/>
      <c r="I799" s="2"/>
    </row>
    <row r="800" spans="1:9" ht="15" thickBot="1" x14ac:dyDescent="0.3">
      <c r="A800" s="2"/>
      <c r="B800" s="2"/>
      <c r="C800" s="2"/>
      <c r="D800" s="2"/>
      <c r="E800" s="2"/>
      <c r="F800" s="2"/>
      <c r="G800" s="2"/>
      <c r="H800" s="2"/>
      <c r="I800" s="2"/>
    </row>
    <row r="801" spans="1:9" ht="15" thickBot="1" x14ac:dyDescent="0.3">
      <c r="A801" s="2"/>
      <c r="B801" s="2"/>
      <c r="C801" s="2"/>
      <c r="D801" s="2"/>
      <c r="E801" s="2"/>
      <c r="F801" s="2"/>
      <c r="G801" s="2"/>
      <c r="H801" s="2"/>
      <c r="I801" s="2"/>
    </row>
    <row r="802" spans="1:9" ht="15" thickBot="1" x14ac:dyDescent="0.3">
      <c r="A802" s="2"/>
      <c r="B802" s="2"/>
      <c r="C802" s="2"/>
      <c r="D802" s="2"/>
      <c r="E802" s="2"/>
      <c r="F802" s="2"/>
      <c r="G802" s="2"/>
      <c r="H802" s="2"/>
      <c r="I802" s="2"/>
    </row>
    <row r="803" spans="1:9" ht="15" thickBot="1" x14ac:dyDescent="0.3">
      <c r="A803" s="2"/>
      <c r="B803" s="2"/>
      <c r="C803" s="2"/>
      <c r="D803" s="2"/>
      <c r="E803" s="2"/>
      <c r="F803" s="2"/>
      <c r="G803" s="2"/>
      <c r="H803" s="2"/>
      <c r="I803" s="2"/>
    </row>
    <row r="804" spans="1:9" ht="15" thickBot="1" x14ac:dyDescent="0.3">
      <c r="A804" s="2"/>
      <c r="B804" s="2"/>
      <c r="C804" s="2"/>
      <c r="D804" s="2"/>
      <c r="E804" s="2"/>
      <c r="F804" s="2"/>
      <c r="G804" s="2"/>
      <c r="H804" s="2"/>
      <c r="I804" s="2"/>
    </row>
    <row r="805" spans="1:9" ht="15" thickBot="1" x14ac:dyDescent="0.3">
      <c r="A805" s="2"/>
      <c r="B805" s="2"/>
      <c r="C805" s="2"/>
      <c r="D805" s="2"/>
      <c r="E805" s="2"/>
      <c r="F805" s="2"/>
      <c r="G805" s="2"/>
      <c r="H805" s="2"/>
      <c r="I805" s="2"/>
    </row>
    <row r="806" spans="1:9" ht="15" thickBot="1" x14ac:dyDescent="0.3">
      <c r="A806" s="2"/>
      <c r="B806" s="2"/>
      <c r="C806" s="2"/>
      <c r="D806" s="2"/>
      <c r="E806" s="2"/>
      <c r="F806" s="2"/>
      <c r="G806" s="2"/>
      <c r="H806" s="2"/>
      <c r="I806" s="2"/>
    </row>
    <row r="807" spans="1:9" ht="15" thickBot="1" x14ac:dyDescent="0.3">
      <c r="A807" s="2"/>
      <c r="B807" s="2"/>
      <c r="C807" s="2"/>
      <c r="D807" s="2"/>
      <c r="E807" s="2"/>
      <c r="F807" s="2"/>
      <c r="G807" s="2"/>
      <c r="H807" s="2"/>
      <c r="I807" s="2"/>
    </row>
    <row r="808" spans="1:9" ht="15" thickBot="1" x14ac:dyDescent="0.3">
      <c r="A808" s="2"/>
      <c r="B808" s="2"/>
      <c r="C808" s="2"/>
      <c r="D808" s="2"/>
      <c r="E808" s="2"/>
      <c r="F808" s="2"/>
      <c r="G808" s="2"/>
      <c r="H808" s="2"/>
      <c r="I808" s="2"/>
    </row>
    <row r="809" spans="1:9" ht="15" thickBot="1" x14ac:dyDescent="0.3">
      <c r="A809" s="2"/>
      <c r="B809" s="2"/>
      <c r="C809" s="2"/>
      <c r="D809" s="2"/>
      <c r="E809" s="2"/>
      <c r="F809" s="2"/>
      <c r="G809" s="2"/>
      <c r="H809" s="2"/>
      <c r="I809" s="2"/>
    </row>
    <row r="810" spans="1:9" ht="15" thickBot="1" x14ac:dyDescent="0.3">
      <c r="A810" s="2"/>
      <c r="B810" s="2"/>
      <c r="C810" s="2"/>
      <c r="D810" s="2"/>
      <c r="E810" s="2"/>
      <c r="F810" s="2"/>
      <c r="G810" s="2"/>
      <c r="H810" s="2"/>
      <c r="I810" s="2"/>
    </row>
    <row r="811" spans="1:9" ht="15" thickBot="1" x14ac:dyDescent="0.3">
      <c r="A811" s="2"/>
      <c r="B811" s="2"/>
      <c r="C811" s="2"/>
      <c r="D811" s="2"/>
      <c r="E811" s="2"/>
      <c r="F811" s="2"/>
      <c r="G811" s="2"/>
      <c r="H811" s="2"/>
      <c r="I811" s="2"/>
    </row>
    <row r="812" spans="1:9" ht="15" thickBot="1" x14ac:dyDescent="0.3">
      <c r="A812" s="2"/>
      <c r="B812" s="2"/>
      <c r="C812" s="2"/>
      <c r="D812" s="2"/>
      <c r="E812" s="2"/>
      <c r="F812" s="2"/>
      <c r="G812" s="2"/>
      <c r="H812" s="2"/>
      <c r="I812" s="2"/>
    </row>
    <row r="813" spans="1:9" ht="15" thickBot="1" x14ac:dyDescent="0.3">
      <c r="A813" s="2"/>
      <c r="B813" s="2"/>
      <c r="C813" s="2"/>
      <c r="D813" s="2"/>
      <c r="E813" s="2"/>
      <c r="F813" s="2"/>
      <c r="G813" s="2"/>
      <c r="H813" s="2"/>
      <c r="I813" s="2"/>
    </row>
    <row r="814" spans="1:9" ht="15" thickBot="1" x14ac:dyDescent="0.3">
      <c r="A814" s="2"/>
      <c r="B814" s="2"/>
      <c r="C814" s="2"/>
      <c r="D814" s="2"/>
      <c r="E814" s="2"/>
      <c r="F814" s="2"/>
      <c r="G814" s="2"/>
      <c r="H814" s="2"/>
      <c r="I814" s="2"/>
    </row>
    <row r="815" spans="1:9" ht="15" thickBot="1" x14ac:dyDescent="0.3">
      <c r="A815" s="2"/>
      <c r="B815" s="2"/>
      <c r="C815" s="2"/>
      <c r="D815" s="2"/>
      <c r="E815" s="2"/>
      <c r="F815" s="2"/>
      <c r="G815" s="2"/>
      <c r="H815" s="2"/>
      <c r="I815" s="2"/>
    </row>
    <row r="816" spans="1:9" ht="15" thickBot="1" x14ac:dyDescent="0.3">
      <c r="A816" s="2"/>
      <c r="B816" s="2"/>
      <c r="C816" s="2"/>
      <c r="D816" s="2"/>
      <c r="E816" s="2"/>
      <c r="F816" s="2"/>
      <c r="G816" s="2"/>
      <c r="H816" s="2"/>
      <c r="I816" s="2"/>
    </row>
    <row r="817" spans="1:9" ht="15" thickBot="1" x14ac:dyDescent="0.3">
      <c r="A817" s="2"/>
      <c r="B817" s="2"/>
      <c r="C817" s="2"/>
      <c r="D817" s="2"/>
      <c r="E817" s="2"/>
      <c r="F817" s="2"/>
      <c r="G817" s="2"/>
      <c r="H817" s="2"/>
      <c r="I817" s="2"/>
    </row>
    <row r="818" spans="1:9" ht="15" thickBot="1" x14ac:dyDescent="0.3">
      <c r="A818" s="2"/>
      <c r="B818" s="2"/>
      <c r="C818" s="2"/>
      <c r="D818" s="2"/>
      <c r="E818" s="2"/>
      <c r="F818" s="2"/>
      <c r="G818" s="2"/>
      <c r="H818" s="2"/>
      <c r="I818" s="2"/>
    </row>
    <row r="819" spans="1:9" ht="15" thickBot="1" x14ac:dyDescent="0.3">
      <c r="A819" s="2"/>
      <c r="B819" s="2"/>
      <c r="C819" s="2"/>
      <c r="D819" s="2"/>
      <c r="E819" s="2"/>
      <c r="F819" s="2"/>
      <c r="G819" s="2"/>
      <c r="H819" s="2"/>
      <c r="I819" s="2"/>
    </row>
    <row r="820" spans="1:9" ht="15" thickBot="1" x14ac:dyDescent="0.3">
      <c r="A820" s="2"/>
      <c r="B820" s="2"/>
      <c r="C820" s="2"/>
      <c r="D820" s="2"/>
      <c r="E820" s="2"/>
      <c r="F820" s="2"/>
      <c r="G820" s="2"/>
      <c r="H820" s="2"/>
      <c r="I820" s="2"/>
    </row>
    <row r="821" spans="1:9" ht="15" thickBot="1" x14ac:dyDescent="0.3">
      <c r="A821" s="2"/>
      <c r="B821" s="2"/>
      <c r="C821" s="2"/>
      <c r="D821" s="2"/>
      <c r="E821" s="2"/>
      <c r="F821" s="2"/>
      <c r="G821" s="2"/>
      <c r="H821" s="2"/>
      <c r="I821" s="2"/>
    </row>
    <row r="822" spans="1:9" ht="15" thickBot="1" x14ac:dyDescent="0.3">
      <c r="A822" s="2"/>
      <c r="B822" s="2"/>
      <c r="C822" s="2"/>
      <c r="D822" s="2"/>
      <c r="E822" s="2"/>
      <c r="F822" s="2"/>
      <c r="G822" s="2"/>
      <c r="H822" s="2"/>
      <c r="I822" s="2"/>
    </row>
    <row r="823" spans="1:9" ht="15" thickBot="1" x14ac:dyDescent="0.3">
      <c r="A823" s="2"/>
      <c r="B823" s="2"/>
      <c r="C823" s="2"/>
      <c r="D823" s="2"/>
      <c r="E823" s="2"/>
      <c r="F823" s="2"/>
      <c r="G823" s="2"/>
      <c r="H823" s="2"/>
      <c r="I823" s="2"/>
    </row>
    <row r="824" spans="1:9" ht="15" thickBot="1" x14ac:dyDescent="0.3">
      <c r="A824" s="2"/>
      <c r="B824" s="2"/>
      <c r="C824" s="2"/>
      <c r="D824" s="2"/>
      <c r="E824" s="2"/>
      <c r="F824" s="2"/>
      <c r="G824" s="2"/>
      <c r="H824" s="2"/>
      <c r="I824" s="2"/>
    </row>
    <row r="825" spans="1:9" ht="15" thickBot="1" x14ac:dyDescent="0.3">
      <c r="A825" s="2"/>
      <c r="B825" s="2"/>
      <c r="C825" s="2"/>
      <c r="D825" s="2"/>
      <c r="E825" s="2"/>
      <c r="F825" s="2"/>
      <c r="G825" s="2"/>
      <c r="H825" s="2"/>
      <c r="I825" s="2"/>
    </row>
    <row r="826" spans="1:9" ht="15" thickBot="1" x14ac:dyDescent="0.3">
      <c r="A826" s="2"/>
      <c r="B826" s="2"/>
      <c r="C826" s="2"/>
      <c r="D826" s="2"/>
      <c r="E826" s="2"/>
      <c r="F826" s="2"/>
      <c r="G826" s="2"/>
      <c r="H826" s="2"/>
      <c r="I826" s="2"/>
    </row>
    <row r="827" spans="1:9" ht="15" thickBot="1" x14ac:dyDescent="0.3">
      <c r="A827" s="2"/>
      <c r="B827" s="2"/>
      <c r="C827" s="2"/>
      <c r="D827" s="2"/>
      <c r="E827" s="2"/>
      <c r="F827" s="2"/>
      <c r="G827" s="2"/>
      <c r="H827" s="2"/>
      <c r="I827" s="2"/>
    </row>
    <row r="828" spans="1:9" ht="15" thickBot="1" x14ac:dyDescent="0.3">
      <c r="A828" s="2"/>
      <c r="B828" s="2"/>
      <c r="C828" s="2"/>
      <c r="D828" s="2"/>
      <c r="E828" s="2"/>
      <c r="F828" s="2"/>
      <c r="G828" s="2"/>
      <c r="H828" s="2"/>
      <c r="I828" s="2"/>
    </row>
    <row r="829" spans="1:9" ht="15" thickBot="1" x14ac:dyDescent="0.3">
      <c r="A829" s="2"/>
      <c r="B829" s="2"/>
      <c r="C829" s="2"/>
      <c r="D829" s="2"/>
      <c r="E829" s="2"/>
      <c r="F829" s="2"/>
      <c r="G829" s="2"/>
      <c r="H829" s="2"/>
      <c r="I829" s="2"/>
    </row>
    <row r="830" spans="1:9" ht="15" thickBot="1" x14ac:dyDescent="0.3">
      <c r="A830" s="2"/>
      <c r="B830" s="2"/>
      <c r="C830" s="2"/>
      <c r="D830" s="2"/>
      <c r="E830" s="2"/>
      <c r="F830" s="2"/>
      <c r="G830" s="2"/>
      <c r="H830" s="2"/>
      <c r="I830" s="2"/>
    </row>
    <row r="831" spans="1:9" ht="15" thickBot="1" x14ac:dyDescent="0.3">
      <c r="A831" s="2"/>
      <c r="B831" s="2"/>
      <c r="C831" s="2"/>
      <c r="D831" s="2"/>
      <c r="E831" s="2"/>
      <c r="F831" s="2"/>
      <c r="G831" s="2"/>
      <c r="H831" s="2"/>
      <c r="I831" s="2"/>
    </row>
    <row r="832" spans="1:9" ht="15" thickBot="1" x14ac:dyDescent="0.3">
      <c r="A832" s="2"/>
      <c r="B832" s="2"/>
      <c r="C832" s="2"/>
      <c r="D832" s="2"/>
      <c r="E832" s="2"/>
      <c r="F832" s="2"/>
      <c r="G832" s="2"/>
      <c r="H832" s="2"/>
      <c r="I832" s="2"/>
    </row>
    <row r="833" spans="1:9" ht="15" thickBot="1" x14ac:dyDescent="0.3">
      <c r="A833" s="2"/>
      <c r="B833" s="2"/>
      <c r="C833" s="2"/>
      <c r="D833" s="2"/>
      <c r="E833" s="2"/>
      <c r="F833" s="2"/>
      <c r="G833" s="2"/>
      <c r="H833" s="2"/>
      <c r="I833" s="2"/>
    </row>
    <row r="834" spans="1:9" ht="15" thickBot="1" x14ac:dyDescent="0.3">
      <c r="A834" s="2"/>
      <c r="B834" s="2"/>
      <c r="C834" s="2"/>
      <c r="D834" s="2"/>
      <c r="E834" s="2"/>
      <c r="F834" s="2"/>
      <c r="G834" s="2"/>
      <c r="H834" s="2"/>
      <c r="I834" s="2"/>
    </row>
    <row r="835" spans="1:9" ht="15" thickBot="1" x14ac:dyDescent="0.3">
      <c r="A835" s="2"/>
      <c r="B835" s="2"/>
      <c r="C835" s="2"/>
      <c r="D835" s="2"/>
      <c r="E835" s="2"/>
      <c r="F835" s="2"/>
      <c r="G835" s="2"/>
      <c r="H835" s="2"/>
      <c r="I835" s="2"/>
    </row>
    <row r="836" spans="1:9" ht="15" thickBot="1" x14ac:dyDescent="0.3">
      <c r="A836" s="2"/>
      <c r="B836" s="2"/>
      <c r="C836" s="2"/>
      <c r="D836" s="2"/>
      <c r="E836" s="2"/>
      <c r="F836" s="2"/>
      <c r="G836" s="2"/>
      <c r="H836" s="2"/>
      <c r="I836" s="2"/>
    </row>
    <row r="837" spans="1:9" ht="15" thickBot="1" x14ac:dyDescent="0.3">
      <c r="A837" s="2"/>
      <c r="B837" s="2"/>
      <c r="C837" s="2"/>
      <c r="D837" s="2"/>
      <c r="E837" s="2"/>
      <c r="F837" s="2"/>
      <c r="G837" s="2"/>
      <c r="H837" s="2"/>
      <c r="I837" s="2"/>
    </row>
    <row r="838" spans="1:9" ht="15" thickBot="1" x14ac:dyDescent="0.3">
      <c r="A838" s="2"/>
      <c r="B838" s="2"/>
      <c r="C838" s="2"/>
      <c r="D838" s="2"/>
      <c r="E838" s="2"/>
      <c r="F838" s="2"/>
      <c r="G838" s="2"/>
      <c r="H838" s="2"/>
      <c r="I838" s="2"/>
    </row>
    <row r="839" spans="1:9" ht="15" thickBot="1" x14ac:dyDescent="0.3">
      <c r="A839" s="2"/>
      <c r="B839" s="2"/>
      <c r="C839" s="2"/>
      <c r="D839" s="2"/>
      <c r="E839" s="2"/>
      <c r="F839" s="2"/>
      <c r="G839" s="2"/>
      <c r="H839" s="2"/>
      <c r="I839" s="2"/>
    </row>
    <row r="840" spans="1:9" ht="15" thickBot="1" x14ac:dyDescent="0.3">
      <c r="A840" s="2"/>
      <c r="B840" s="2"/>
      <c r="C840" s="2"/>
      <c r="D840" s="2"/>
      <c r="E840" s="2"/>
      <c r="F840" s="2"/>
      <c r="G840" s="2"/>
      <c r="H840" s="2"/>
      <c r="I840" s="2"/>
    </row>
    <row r="841" spans="1:9" ht="15" thickBot="1" x14ac:dyDescent="0.3">
      <c r="A841" s="2"/>
      <c r="B841" s="2"/>
      <c r="C841" s="2"/>
      <c r="D841" s="2"/>
      <c r="E841" s="2"/>
      <c r="F841" s="2"/>
      <c r="G841" s="2"/>
      <c r="H841" s="2"/>
      <c r="I841" s="2"/>
    </row>
    <row r="842" spans="1:9" ht="15" thickBot="1" x14ac:dyDescent="0.3">
      <c r="A842" s="2"/>
      <c r="B842" s="2"/>
      <c r="C842" s="2"/>
      <c r="D842" s="2"/>
      <c r="E842" s="2"/>
      <c r="F842" s="2"/>
      <c r="G842" s="2"/>
      <c r="H842" s="2"/>
      <c r="I842" s="2"/>
    </row>
    <row r="843" spans="1:9" ht="15" thickBot="1" x14ac:dyDescent="0.3">
      <c r="A843" s="2"/>
      <c r="B843" s="2"/>
      <c r="C843" s="2"/>
      <c r="D843" s="2"/>
      <c r="E843" s="2"/>
      <c r="F843" s="2"/>
      <c r="G843" s="2"/>
      <c r="H843" s="2"/>
      <c r="I843" s="2"/>
    </row>
    <row r="844" spans="1:9" ht="15" thickBot="1" x14ac:dyDescent="0.3">
      <c r="A844" s="2"/>
      <c r="B844" s="2"/>
      <c r="C844" s="2"/>
      <c r="D844" s="2"/>
      <c r="E844" s="2"/>
      <c r="F844" s="2"/>
      <c r="G844" s="2"/>
      <c r="H844" s="2"/>
      <c r="I844" s="2"/>
    </row>
    <row r="845" spans="1:9" ht="15" thickBot="1" x14ac:dyDescent="0.3">
      <c r="A845" s="2"/>
      <c r="B845" s="2"/>
      <c r="C845" s="2"/>
      <c r="D845" s="2"/>
      <c r="E845" s="2"/>
      <c r="F845" s="2"/>
      <c r="G845" s="2"/>
      <c r="H845" s="2"/>
      <c r="I845" s="2"/>
    </row>
    <row r="846" spans="1:9" ht="15" thickBot="1" x14ac:dyDescent="0.3">
      <c r="A846" s="2"/>
      <c r="B846" s="2"/>
      <c r="C846" s="2"/>
      <c r="D846" s="2"/>
      <c r="E846" s="2"/>
      <c r="F846" s="2"/>
      <c r="G846" s="2"/>
      <c r="H846" s="2"/>
      <c r="I846" s="2"/>
    </row>
    <row r="847" spans="1:9" ht="15" thickBot="1" x14ac:dyDescent="0.3">
      <c r="A847" s="2"/>
      <c r="B847" s="2"/>
      <c r="C847" s="2"/>
      <c r="D847" s="2"/>
      <c r="E847" s="2"/>
      <c r="F847" s="2"/>
      <c r="G847" s="2"/>
      <c r="H847" s="2"/>
      <c r="I847" s="2"/>
    </row>
    <row r="848" spans="1:9" ht="15" thickBot="1" x14ac:dyDescent="0.3">
      <c r="A848" s="2"/>
      <c r="B848" s="2"/>
      <c r="C848" s="2"/>
      <c r="D848" s="2"/>
      <c r="E848" s="2"/>
      <c r="F848" s="2"/>
      <c r="G848" s="2"/>
      <c r="H848" s="2"/>
      <c r="I848" s="2"/>
    </row>
    <row r="849" spans="1:9" ht="15" thickBot="1" x14ac:dyDescent="0.3">
      <c r="A849" s="2"/>
      <c r="B849" s="2"/>
      <c r="C849" s="2"/>
      <c r="D849" s="2"/>
      <c r="E849" s="2"/>
      <c r="F849" s="2"/>
      <c r="G849" s="2"/>
      <c r="H849" s="2"/>
      <c r="I849" s="2"/>
    </row>
    <row r="850" spans="1:9" ht="15" thickBot="1" x14ac:dyDescent="0.3">
      <c r="A850" s="2"/>
      <c r="B850" s="2"/>
      <c r="C850" s="2"/>
      <c r="D850" s="2"/>
      <c r="E850" s="2"/>
      <c r="F850" s="2"/>
      <c r="G850" s="2"/>
      <c r="H850" s="2"/>
      <c r="I850" s="2"/>
    </row>
    <row r="851" spans="1:9" ht="15" thickBot="1" x14ac:dyDescent="0.3">
      <c r="A851" s="2"/>
      <c r="B851" s="2"/>
      <c r="C851" s="2"/>
      <c r="D851" s="2"/>
      <c r="E851" s="2"/>
      <c r="F851" s="2"/>
      <c r="G851" s="2"/>
      <c r="H851" s="2"/>
      <c r="I851" s="2"/>
    </row>
    <row r="852" spans="1:9" ht="15" thickBot="1" x14ac:dyDescent="0.3">
      <c r="A852" s="2"/>
      <c r="B852" s="2"/>
      <c r="C852" s="2"/>
      <c r="D852" s="2"/>
      <c r="E852" s="2"/>
      <c r="F852" s="2"/>
      <c r="G852" s="2"/>
      <c r="H852" s="2"/>
      <c r="I852" s="2"/>
    </row>
    <row r="853" spans="1:9" ht="15" thickBot="1" x14ac:dyDescent="0.3">
      <c r="A853" s="2"/>
      <c r="B853" s="2"/>
      <c r="C853" s="2"/>
      <c r="D853" s="2"/>
      <c r="E853" s="2"/>
      <c r="F853" s="2"/>
      <c r="G853" s="2"/>
      <c r="H853" s="2"/>
      <c r="I853" s="2"/>
    </row>
    <row r="854" spans="1:9" ht="15" thickBot="1" x14ac:dyDescent="0.3">
      <c r="A854" s="2"/>
      <c r="B854" s="2"/>
      <c r="C854" s="2"/>
      <c r="D854" s="2"/>
      <c r="E854" s="2"/>
      <c r="F854" s="2"/>
      <c r="G854" s="2"/>
      <c r="H854" s="2"/>
      <c r="I854" s="2"/>
    </row>
    <row r="855" spans="1:9" ht="15" thickBot="1" x14ac:dyDescent="0.3">
      <c r="A855" s="2"/>
      <c r="B855" s="2"/>
      <c r="C855" s="2"/>
      <c r="D855" s="2"/>
      <c r="E855" s="2"/>
      <c r="F855" s="2"/>
      <c r="G855" s="2"/>
      <c r="H855" s="2"/>
      <c r="I855" s="2"/>
    </row>
    <row r="856" spans="1:9" ht="15" thickBot="1" x14ac:dyDescent="0.3">
      <c r="A856" s="2"/>
      <c r="B856" s="2"/>
      <c r="C856" s="2"/>
      <c r="D856" s="2"/>
      <c r="E856" s="2"/>
      <c r="F856" s="2"/>
      <c r="G856" s="2"/>
      <c r="H856" s="2"/>
      <c r="I856" s="2"/>
    </row>
    <row r="857" spans="1:9" ht="15" thickBot="1" x14ac:dyDescent="0.3">
      <c r="A857" s="2"/>
      <c r="B857" s="2"/>
      <c r="C857" s="2"/>
      <c r="D857" s="2"/>
      <c r="E857" s="2"/>
      <c r="F857" s="2"/>
      <c r="G857" s="2"/>
      <c r="H857" s="2"/>
      <c r="I857" s="2"/>
    </row>
    <row r="858" spans="1:9" ht="15" thickBot="1" x14ac:dyDescent="0.3">
      <c r="A858" s="2"/>
      <c r="B858" s="2"/>
      <c r="C858" s="2"/>
      <c r="D858" s="2"/>
      <c r="E858" s="2"/>
      <c r="F858" s="2"/>
      <c r="G858" s="2"/>
      <c r="H858" s="2"/>
      <c r="I858" s="2"/>
    </row>
    <row r="859" spans="1:9" ht="15" thickBot="1" x14ac:dyDescent="0.3">
      <c r="A859" s="2"/>
      <c r="B859" s="2"/>
      <c r="C859" s="2"/>
      <c r="D859" s="2"/>
      <c r="E859" s="2"/>
      <c r="F859" s="2"/>
      <c r="G859" s="2"/>
      <c r="H859" s="2"/>
      <c r="I859" s="2"/>
    </row>
    <row r="860" spans="1:9" ht="15" thickBot="1" x14ac:dyDescent="0.3">
      <c r="A860" s="2"/>
      <c r="B860" s="2"/>
      <c r="C860" s="2"/>
      <c r="D860" s="2"/>
      <c r="E860" s="2"/>
      <c r="F860" s="2"/>
      <c r="G860" s="2"/>
      <c r="H860" s="2"/>
      <c r="I860" s="2"/>
    </row>
    <row r="861" spans="1:9" ht="15" thickBot="1" x14ac:dyDescent="0.3">
      <c r="A861" s="2"/>
      <c r="B861" s="2"/>
      <c r="C861" s="2"/>
      <c r="D861" s="2"/>
      <c r="E861" s="2"/>
      <c r="F861" s="2"/>
      <c r="G861" s="2"/>
      <c r="H861" s="2"/>
      <c r="I861" s="2"/>
    </row>
    <row r="862" spans="1:9" ht="15" thickBot="1" x14ac:dyDescent="0.3">
      <c r="A862" s="2"/>
      <c r="B862" s="2"/>
      <c r="C862" s="2"/>
      <c r="D862" s="2"/>
      <c r="E862" s="2"/>
      <c r="F862" s="2"/>
      <c r="G862" s="2"/>
      <c r="H862" s="2"/>
      <c r="I862" s="2"/>
    </row>
    <row r="863" spans="1:9" ht="15" thickBot="1" x14ac:dyDescent="0.3">
      <c r="A863" s="2"/>
      <c r="B863" s="2"/>
      <c r="C863" s="2"/>
      <c r="D863" s="2"/>
      <c r="E863" s="2"/>
      <c r="F863" s="2"/>
      <c r="G863" s="2"/>
      <c r="H863" s="2"/>
      <c r="I863" s="2"/>
    </row>
    <row r="864" spans="1:9" ht="15" thickBot="1" x14ac:dyDescent="0.3">
      <c r="A864" s="2"/>
      <c r="B864" s="2"/>
      <c r="C864" s="2"/>
      <c r="D864" s="2"/>
      <c r="E864" s="2"/>
      <c r="F864" s="2"/>
      <c r="G864" s="2"/>
      <c r="H864" s="2"/>
      <c r="I864" s="2"/>
    </row>
    <row r="865" spans="1:9" ht="15" thickBot="1" x14ac:dyDescent="0.3">
      <c r="A865" s="2"/>
      <c r="B865" s="2"/>
      <c r="C865" s="2"/>
      <c r="D865" s="2"/>
      <c r="E865" s="2"/>
      <c r="F865" s="2"/>
      <c r="G865" s="2"/>
      <c r="H865" s="2"/>
      <c r="I865" s="2"/>
    </row>
    <row r="866" spans="1:9" ht="15" thickBot="1" x14ac:dyDescent="0.3">
      <c r="A866" s="2"/>
      <c r="B866" s="2"/>
      <c r="C866" s="2"/>
      <c r="D866" s="2"/>
      <c r="E866" s="2"/>
      <c r="F866" s="2"/>
      <c r="G866" s="2"/>
      <c r="H866" s="2"/>
      <c r="I866" s="2"/>
    </row>
    <row r="867" spans="1:9" ht="15" thickBot="1" x14ac:dyDescent="0.3">
      <c r="A867" s="2"/>
      <c r="B867" s="2"/>
      <c r="C867" s="2"/>
      <c r="D867" s="2"/>
      <c r="E867" s="2"/>
      <c r="F867" s="2"/>
      <c r="G867" s="2"/>
      <c r="H867" s="2"/>
      <c r="I867" s="2"/>
    </row>
    <row r="868" spans="1:9" ht="15" thickBot="1" x14ac:dyDescent="0.3">
      <c r="A868" s="2"/>
      <c r="B868" s="2"/>
      <c r="C868" s="2"/>
      <c r="D868" s="2"/>
      <c r="E868" s="2"/>
      <c r="F868" s="2"/>
      <c r="G868" s="2"/>
      <c r="H868" s="2"/>
      <c r="I868" s="2"/>
    </row>
    <row r="869" spans="1:9" ht="15" thickBot="1" x14ac:dyDescent="0.3">
      <c r="A869" s="2"/>
      <c r="B869" s="2"/>
      <c r="C869" s="2"/>
      <c r="D869" s="2"/>
      <c r="E869" s="2"/>
      <c r="F869" s="2"/>
      <c r="G869" s="2"/>
      <c r="H869" s="2"/>
      <c r="I869" s="2"/>
    </row>
    <row r="870" spans="1:9" ht="15" thickBot="1" x14ac:dyDescent="0.3">
      <c r="A870" s="2"/>
      <c r="B870" s="2"/>
      <c r="C870" s="2"/>
      <c r="D870" s="2"/>
      <c r="E870" s="2"/>
      <c r="F870" s="2"/>
      <c r="G870" s="2"/>
      <c r="H870" s="2"/>
      <c r="I870" s="2"/>
    </row>
    <row r="871" spans="1:9" ht="15" thickBot="1" x14ac:dyDescent="0.3">
      <c r="A871" s="2"/>
      <c r="B871" s="2"/>
      <c r="C871" s="2"/>
      <c r="D871" s="2"/>
      <c r="E871" s="2"/>
      <c r="F871" s="2"/>
      <c r="G871" s="2"/>
      <c r="H871" s="2"/>
      <c r="I871" s="2"/>
    </row>
    <row r="872" spans="1:9" ht="15" thickBot="1" x14ac:dyDescent="0.3">
      <c r="A872" s="2"/>
      <c r="B872" s="2"/>
      <c r="C872" s="2"/>
      <c r="D872" s="2"/>
      <c r="E872" s="2"/>
      <c r="F872" s="2"/>
      <c r="G872" s="2"/>
      <c r="H872" s="2"/>
      <c r="I872" s="2"/>
    </row>
    <row r="873" spans="1:9" ht="15" thickBot="1" x14ac:dyDescent="0.3">
      <c r="A873" s="2"/>
      <c r="B873" s="2"/>
      <c r="C873" s="2"/>
      <c r="D873" s="2"/>
      <c r="E873" s="2"/>
      <c r="F873" s="2"/>
      <c r="G873" s="2"/>
      <c r="H873" s="2"/>
      <c r="I873" s="2"/>
    </row>
    <row r="874" spans="1:9" ht="15" thickBot="1" x14ac:dyDescent="0.3">
      <c r="A874" s="2"/>
      <c r="B874" s="2"/>
      <c r="C874" s="2"/>
      <c r="D874" s="2"/>
      <c r="E874" s="2"/>
      <c r="F874" s="2"/>
      <c r="G874" s="2"/>
      <c r="H874" s="2"/>
      <c r="I874" s="2"/>
    </row>
    <row r="875" spans="1:9" ht="15" thickBot="1" x14ac:dyDescent="0.3">
      <c r="A875" s="2"/>
      <c r="B875" s="2"/>
      <c r="C875" s="2"/>
      <c r="D875" s="2"/>
      <c r="E875" s="2"/>
      <c r="F875" s="2"/>
      <c r="G875" s="2"/>
      <c r="H875" s="2"/>
      <c r="I875" s="2"/>
    </row>
    <row r="876" spans="1:9" ht="15" thickBot="1" x14ac:dyDescent="0.3">
      <c r="A876" s="2"/>
      <c r="B876" s="2"/>
      <c r="C876" s="2"/>
      <c r="D876" s="2"/>
      <c r="E876" s="2"/>
      <c r="F876" s="2"/>
      <c r="G876" s="2"/>
      <c r="H876" s="2"/>
      <c r="I876" s="2"/>
    </row>
    <row r="877" spans="1:9" ht="15" thickBot="1" x14ac:dyDescent="0.3">
      <c r="A877" s="2"/>
      <c r="B877" s="2"/>
      <c r="C877" s="2"/>
      <c r="D877" s="2"/>
      <c r="E877" s="2"/>
      <c r="F877" s="2"/>
      <c r="G877" s="2"/>
      <c r="H877" s="2"/>
      <c r="I877" s="2"/>
    </row>
    <row r="878" spans="1:9" ht="15" thickBot="1" x14ac:dyDescent="0.3">
      <c r="A878" s="2"/>
      <c r="B878" s="2"/>
      <c r="C878" s="2"/>
      <c r="D878" s="2"/>
      <c r="E878" s="2"/>
      <c r="F878" s="2"/>
      <c r="G878" s="2"/>
      <c r="H878" s="2"/>
      <c r="I878" s="2"/>
    </row>
    <row r="879" spans="1:9" ht="15" thickBot="1" x14ac:dyDescent="0.3">
      <c r="A879" s="2"/>
      <c r="B879" s="2"/>
      <c r="C879" s="2"/>
      <c r="D879" s="2"/>
      <c r="E879" s="2"/>
      <c r="F879" s="2"/>
      <c r="G879" s="2"/>
      <c r="H879" s="2"/>
      <c r="I879" s="2"/>
    </row>
    <row r="880" spans="1:9" ht="15" thickBot="1" x14ac:dyDescent="0.3">
      <c r="A880" s="2"/>
      <c r="B880" s="2"/>
      <c r="C880" s="2"/>
      <c r="D880" s="2"/>
      <c r="E880" s="2"/>
      <c r="F880" s="2"/>
      <c r="G880" s="2"/>
      <c r="H880" s="2"/>
      <c r="I880" s="2"/>
    </row>
    <row r="881" spans="1:9" ht="15" thickBot="1" x14ac:dyDescent="0.3">
      <c r="A881" s="2"/>
      <c r="B881" s="2"/>
      <c r="C881" s="2"/>
      <c r="D881" s="2"/>
      <c r="E881" s="2"/>
      <c r="F881" s="2"/>
      <c r="G881" s="2"/>
      <c r="H881" s="2"/>
      <c r="I881" s="2"/>
    </row>
    <row r="882" spans="1:9" ht="15" thickBot="1" x14ac:dyDescent="0.3">
      <c r="A882" s="2"/>
      <c r="B882" s="2"/>
      <c r="C882" s="2"/>
      <c r="D882" s="2"/>
      <c r="E882" s="2"/>
      <c r="F882" s="2"/>
      <c r="G882" s="2"/>
      <c r="H882" s="2"/>
      <c r="I882" s="2"/>
    </row>
    <row r="883" spans="1:9" ht="15" thickBot="1" x14ac:dyDescent="0.3">
      <c r="A883" s="2"/>
      <c r="B883" s="2"/>
      <c r="C883" s="2"/>
      <c r="D883" s="2"/>
      <c r="E883" s="2"/>
      <c r="F883" s="2"/>
      <c r="G883" s="2"/>
      <c r="H883" s="2"/>
      <c r="I883" s="2"/>
    </row>
    <row r="884" spans="1:9" ht="15" thickBot="1" x14ac:dyDescent="0.3">
      <c r="A884" s="2"/>
      <c r="B884" s="2"/>
      <c r="C884" s="2"/>
      <c r="D884" s="2"/>
      <c r="E884" s="2"/>
      <c r="F884" s="2"/>
      <c r="G884" s="2"/>
      <c r="H884" s="2"/>
      <c r="I884" s="2"/>
    </row>
    <row r="885" spans="1:9" ht="15" thickBot="1" x14ac:dyDescent="0.3">
      <c r="A885" s="2"/>
      <c r="B885" s="2"/>
      <c r="C885" s="2"/>
      <c r="D885" s="2"/>
      <c r="E885" s="2"/>
      <c r="F885" s="2"/>
      <c r="G885" s="2"/>
      <c r="H885" s="2"/>
      <c r="I885" s="2"/>
    </row>
    <row r="886" spans="1:9" ht="15" thickBot="1" x14ac:dyDescent="0.3">
      <c r="A886" s="2"/>
      <c r="B886" s="2"/>
      <c r="C886" s="2"/>
      <c r="D886" s="2"/>
      <c r="E886" s="2"/>
      <c r="F886" s="2"/>
      <c r="G886" s="2"/>
      <c r="H886" s="2"/>
      <c r="I886" s="2"/>
    </row>
    <row r="887" spans="1:9" ht="15" thickBot="1" x14ac:dyDescent="0.3">
      <c r="A887" s="2"/>
      <c r="B887" s="2"/>
      <c r="C887" s="2"/>
      <c r="D887" s="2"/>
      <c r="E887" s="2"/>
      <c r="F887" s="2"/>
      <c r="G887" s="2"/>
      <c r="H887" s="2"/>
      <c r="I887" s="2"/>
    </row>
    <row r="888" spans="1:9" ht="15" thickBot="1" x14ac:dyDescent="0.3">
      <c r="A888" s="2"/>
      <c r="B888" s="2"/>
      <c r="C888" s="2"/>
      <c r="D888" s="2"/>
      <c r="E888" s="2"/>
      <c r="F888" s="2"/>
      <c r="G888" s="2"/>
      <c r="H888" s="2"/>
      <c r="I888" s="2"/>
    </row>
    <row r="889" spans="1:9" ht="15" thickBot="1" x14ac:dyDescent="0.3">
      <c r="A889" s="2"/>
      <c r="B889" s="2"/>
      <c r="C889" s="2"/>
      <c r="D889" s="2"/>
      <c r="E889" s="2"/>
      <c r="F889" s="2"/>
      <c r="G889" s="2"/>
      <c r="H889" s="2"/>
      <c r="I889" s="2"/>
    </row>
    <row r="890" spans="1:9" ht="15" thickBot="1" x14ac:dyDescent="0.3">
      <c r="A890" s="2"/>
      <c r="B890" s="2"/>
      <c r="C890" s="2"/>
      <c r="D890" s="2"/>
      <c r="E890" s="2"/>
      <c r="F890" s="2"/>
      <c r="G890" s="2"/>
      <c r="H890" s="2"/>
      <c r="I890" s="2"/>
    </row>
    <row r="891" spans="1:9" ht="15" thickBot="1" x14ac:dyDescent="0.3">
      <c r="A891" s="2"/>
      <c r="B891" s="2"/>
      <c r="C891" s="2"/>
      <c r="D891" s="2"/>
      <c r="E891" s="2"/>
      <c r="F891" s="2"/>
      <c r="G891" s="2"/>
      <c r="H891" s="2"/>
      <c r="I891" s="2"/>
    </row>
    <row r="892" spans="1:9" ht="15" thickBot="1" x14ac:dyDescent="0.3">
      <c r="A892" s="2"/>
      <c r="B892" s="2"/>
      <c r="C892" s="2"/>
      <c r="D892" s="2"/>
      <c r="E892" s="2"/>
      <c r="F892" s="2"/>
      <c r="G892" s="2"/>
      <c r="H892" s="2"/>
      <c r="I892" s="2"/>
    </row>
    <row r="893" spans="1:9" ht="15" thickBot="1" x14ac:dyDescent="0.3">
      <c r="A893" s="2"/>
      <c r="B893" s="2"/>
      <c r="C893" s="2"/>
      <c r="D893" s="2"/>
      <c r="E893" s="2"/>
      <c r="F893" s="2"/>
      <c r="G893" s="2"/>
      <c r="H893" s="2"/>
      <c r="I893" s="2"/>
    </row>
    <row r="894" spans="1:9" ht="15" thickBot="1" x14ac:dyDescent="0.3">
      <c r="A894" s="2"/>
      <c r="B894" s="2"/>
      <c r="C894" s="2"/>
      <c r="D894" s="2"/>
      <c r="E894" s="2"/>
      <c r="F894" s="2"/>
      <c r="G894" s="2"/>
      <c r="H894" s="2"/>
      <c r="I894" s="2"/>
    </row>
    <row r="895" spans="1:9" ht="15" thickBot="1" x14ac:dyDescent="0.3">
      <c r="A895" s="2"/>
      <c r="B895" s="2"/>
      <c r="C895" s="2"/>
      <c r="D895" s="2"/>
      <c r="E895" s="2"/>
      <c r="F895" s="2"/>
      <c r="G895" s="2"/>
      <c r="H895" s="2"/>
      <c r="I895" s="2"/>
    </row>
    <row r="896" spans="1:9" ht="15" thickBot="1" x14ac:dyDescent="0.3">
      <c r="A896" s="2"/>
      <c r="B896" s="2"/>
      <c r="C896" s="2"/>
      <c r="D896" s="2"/>
      <c r="E896" s="2"/>
      <c r="F896" s="2"/>
      <c r="G896" s="2"/>
      <c r="H896" s="2"/>
      <c r="I896" s="2"/>
    </row>
    <row r="897" spans="1:9" ht="15" thickBot="1" x14ac:dyDescent="0.3">
      <c r="A897" s="2"/>
      <c r="B897" s="2"/>
      <c r="C897" s="2"/>
      <c r="D897" s="2"/>
      <c r="E897" s="2"/>
      <c r="F897" s="2"/>
      <c r="G897" s="2"/>
      <c r="H897" s="2"/>
      <c r="I897" s="2"/>
    </row>
    <row r="898" spans="1:9" ht="15" thickBot="1" x14ac:dyDescent="0.3">
      <c r="A898" s="2"/>
      <c r="B898" s="2"/>
      <c r="C898" s="2"/>
      <c r="D898" s="2"/>
      <c r="E898" s="2"/>
      <c r="F898" s="2"/>
      <c r="G898" s="2"/>
      <c r="H898" s="2"/>
      <c r="I898" s="2"/>
    </row>
    <row r="899" spans="1:9" ht="15" thickBot="1" x14ac:dyDescent="0.3">
      <c r="A899" s="2"/>
      <c r="B899" s="2"/>
      <c r="C899" s="2"/>
      <c r="D899" s="2"/>
      <c r="E899" s="2"/>
      <c r="F899" s="2"/>
      <c r="G899" s="2"/>
      <c r="H899" s="2"/>
      <c r="I899" s="2"/>
    </row>
    <row r="900" spans="1:9" ht="15" thickBot="1" x14ac:dyDescent="0.3">
      <c r="A900" s="2"/>
      <c r="B900" s="2"/>
      <c r="C900" s="2"/>
      <c r="D900" s="2"/>
      <c r="E900" s="2"/>
      <c r="F900" s="2"/>
      <c r="G900" s="2"/>
      <c r="H900" s="2"/>
      <c r="I900" s="2"/>
    </row>
    <row r="901" spans="1:9" ht="15" thickBot="1" x14ac:dyDescent="0.3">
      <c r="A901" s="2"/>
      <c r="B901" s="2"/>
      <c r="C901" s="2"/>
      <c r="D901" s="2"/>
      <c r="E901" s="2"/>
      <c r="F901" s="2"/>
      <c r="G901" s="2"/>
      <c r="H901" s="2"/>
      <c r="I901" s="2"/>
    </row>
    <row r="902" spans="1:9" ht="15" thickBot="1" x14ac:dyDescent="0.3">
      <c r="A902" s="2"/>
      <c r="B902" s="2"/>
      <c r="C902" s="2"/>
      <c r="D902" s="2"/>
      <c r="E902" s="2"/>
      <c r="F902" s="2"/>
      <c r="G902" s="2"/>
      <c r="H902" s="2"/>
      <c r="I902" s="2"/>
    </row>
    <row r="903" spans="1:9" ht="15" thickBot="1" x14ac:dyDescent="0.3">
      <c r="A903" s="2"/>
      <c r="B903" s="2"/>
      <c r="C903" s="2"/>
      <c r="D903" s="2"/>
      <c r="E903" s="2"/>
      <c r="F903" s="2"/>
      <c r="G903" s="2"/>
      <c r="H903" s="2"/>
      <c r="I903" s="2"/>
    </row>
    <row r="904" spans="1:9" ht="15" thickBot="1" x14ac:dyDescent="0.3">
      <c r="A904" s="2"/>
      <c r="B904" s="2"/>
      <c r="C904" s="2"/>
      <c r="D904" s="2"/>
      <c r="E904" s="2"/>
      <c r="F904" s="2"/>
      <c r="G904" s="2"/>
      <c r="H904" s="2"/>
      <c r="I904" s="2"/>
    </row>
    <row r="905" spans="1:9" ht="15" thickBot="1" x14ac:dyDescent="0.3">
      <c r="A905" s="2"/>
      <c r="B905" s="2"/>
      <c r="C905" s="2"/>
      <c r="D905" s="2"/>
      <c r="E905" s="2"/>
      <c r="F905" s="2"/>
      <c r="G905" s="2"/>
      <c r="H905" s="2"/>
      <c r="I905" s="2"/>
    </row>
    <row r="906" spans="1:9" ht="15" thickBot="1" x14ac:dyDescent="0.3">
      <c r="A906" s="2"/>
      <c r="B906" s="2"/>
      <c r="C906" s="2"/>
      <c r="D906" s="2"/>
      <c r="E906" s="2"/>
      <c r="F906" s="2"/>
      <c r="G906" s="2"/>
      <c r="H906" s="2"/>
      <c r="I906" s="2"/>
    </row>
    <row r="907" spans="1:9" ht="15" thickBot="1" x14ac:dyDescent="0.3">
      <c r="A907" s="2"/>
      <c r="B907" s="2"/>
      <c r="C907" s="2"/>
      <c r="D907" s="2"/>
      <c r="E907" s="2"/>
      <c r="F907" s="2"/>
      <c r="G907" s="2"/>
      <c r="H907" s="2"/>
      <c r="I907" s="2"/>
    </row>
    <row r="908" spans="1:9" ht="15" thickBot="1" x14ac:dyDescent="0.3">
      <c r="A908" s="2"/>
      <c r="B908" s="2"/>
      <c r="C908" s="2"/>
      <c r="D908" s="2"/>
      <c r="E908" s="2"/>
      <c r="F908" s="2"/>
      <c r="G908" s="2"/>
      <c r="H908" s="2"/>
      <c r="I908" s="2"/>
    </row>
    <row r="909" spans="1:9" ht="15" thickBot="1" x14ac:dyDescent="0.3">
      <c r="A909" s="2"/>
      <c r="B909" s="2"/>
      <c r="C909" s="2"/>
      <c r="D909" s="2"/>
      <c r="E909" s="2"/>
      <c r="F909" s="2"/>
      <c r="G909" s="2"/>
      <c r="H909" s="2"/>
      <c r="I909" s="2"/>
    </row>
    <row r="910" spans="1:9" ht="15" thickBot="1" x14ac:dyDescent="0.3">
      <c r="A910" s="2"/>
      <c r="B910" s="2"/>
      <c r="C910" s="2"/>
      <c r="D910" s="2"/>
      <c r="E910" s="2"/>
      <c r="F910" s="2"/>
      <c r="G910" s="2"/>
      <c r="H910" s="2"/>
      <c r="I910" s="2"/>
    </row>
    <row r="911" spans="1:9" ht="15" thickBot="1" x14ac:dyDescent="0.3">
      <c r="A911" s="2"/>
      <c r="B911" s="2"/>
      <c r="C911" s="2"/>
      <c r="D911" s="2"/>
      <c r="E911" s="2"/>
      <c r="F911" s="2"/>
      <c r="G911" s="2"/>
      <c r="H911" s="2"/>
      <c r="I911" s="2"/>
    </row>
    <row r="912" spans="1:9" ht="15" thickBot="1" x14ac:dyDescent="0.3">
      <c r="A912" s="2"/>
      <c r="B912" s="2"/>
      <c r="C912" s="2"/>
      <c r="D912" s="2"/>
      <c r="E912" s="2"/>
      <c r="F912" s="2"/>
      <c r="G912" s="2"/>
      <c r="H912" s="2"/>
      <c r="I912" s="2"/>
    </row>
    <row r="913" spans="1:9" ht="15" thickBot="1" x14ac:dyDescent="0.3">
      <c r="A913" s="2"/>
      <c r="B913" s="2"/>
      <c r="C913" s="2"/>
      <c r="D913" s="2"/>
      <c r="E913" s="2"/>
      <c r="F913" s="2"/>
      <c r="G913" s="2"/>
      <c r="H913" s="2"/>
      <c r="I913" s="2"/>
    </row>
    <row r="914" spans="1:9" ht="15" thickBot="1" x14ac:dyDescent="0.3">
      <c r="A914" s="2"/>
      <c r="B914" s="2"/>
      <c r="C914" s="2"/>
      <c r="D914" s="2"/>
      <c r="E914" s="2"/>
      <c r="F914" s="2"/>
      <c r="G914" s="2"/>
      <c r="H914" s="2"/>
      <c r="I914" s="2"/>
    </row>
    <row r="915" spans="1:9" ht="15" thickBot="1" x14ac:dyDescent="0.3">
      <c r="A915" s="2"/>
      <c r="B915" s="2"/>
      <c r="C915" s="2"/>
      <c r="D915" s="2"/>
      <c r="E915" s="2"/>
      <c r="F915" s="2"/>
      <c r="G915" s="2"/>
      <c r="H915" s="2"/>
      <c r="I915" s="2"/>
    </row>
    <row r="916" spans="1:9" ht="15" thickBot="1" x14ac:dyDescent="0.3">
      <c r="A916" s="2"/>
      <c r="B916" s="2"/>
      <c r="C916" s="2"/>
      <c r="D916" s="2"/>
      <c r="E916" s="2"/>
      <c r="F916" s="2"/>
      <c r="G916" s="2"/>
      <c r="H916" s="2"/>
      <c r="I916" s="2"/>
    </row>
    <row r="917" spans="1:9" ht="15" thickBot="1" x14ac:dyDescent="0.3">
      <c r="A917" s="2"/>
      <c r="B917" s="2"/>
      <c r="C917" s="2"/>
      <c r="D917" s="2"/>
      <c r="E917" s="2"/>
      <c r="F917" s="2"/>
      <c r="G917" s="2"/>
      <c r="H917" s="2"/>
      <c r="I917" s="2"/>
    </row>
    <row r="918" spans="1:9" ht="15" thickBot="1" x14ac:dyDescent="0.3">
      <c r="A918" s="2"/>
      <c r="B918" s="2"/>
      <c r="C918" s="2"/>
      <c r="D918" s="2"/>
      <c r="E918" s="2"/>
      <c r="F918" s="2"/>
      <c r="G918" s="2"/>
      <c r="H918" s="2"/>
      <c r="I918" s="2"/>
    </row>
    <row r="919" spans="1:9" ht="15" thickBot="1" x14ac:dyDescent="0.3">
      <c r="A919" s="2"/>
      <c r="B919" s="2"/>
      <c r="C919" s="2"/>
      <c r="D919" s="2"/>
      <c r="E919" s="2"/>
      <c r="F919" s="2"/>
      <c r="G919" s="2"/>
      <c r="H919" s="2"/>
      <c r="I919" s="2"/>
    </row>
    <row r="920" spans="1:9" ht="15" thickBot="1" x14ac:dyDescent="0.3">
      <c r="A920" s="2"/>
      <c r="B920" s="2"/>
      <c r="C920" s="2"/>
      <c r="D920" s="2"/>
      <c r="E920" s="2"/>
      <c r="F920" s="2"/>
      <c r="G920" s="2"/>
      <c r="H920" s="2"/>
      <c r="I920" s="2"/>
    </row>
    <row r="921" spans="1:9" ht="15" thickBot="1" x14ac:dyDescent="0.3">
      <c r="A921" s="2"/>
      <c r="B921" s="2"/>
      <c r="C921" s="2"/>
      <c r="D921" s="2"/>
      <c r="E921" s="2"/>
      <c r="F921" s="2"/>
      <c r="G921" s="2"/>
      <c r="H921" s="2"/>
      <c r="I921" s="2"/>
    </row>
    <row r="922" spans="1:9" ht="15" thickBot="1" x14ac:dyDescent="0.3">
      <c r="A922" s="2"/>
      <c r="B922" s="2"/>
      <c r="C922" s="2"/>
      <c r="D922" s="2"/>
      <c r="E922" s="2"/>
      <c r="F922" s="2"/>
      <c r="G922" s="2"/>
      <c r="H922" s="2"/>
      <c r="I922" s="2"/>
    </row>
    <row r="923" spans="1:9" ht="15" thickBot="1" x14ac:dyDescent="0.3">
      <c r="A923" s="2"/>
      <c r="B923" s="2"/>
      <c r="C923" s="2"/>
      <c r="D923" s="2"/>
      <c r="E923" s="2"/>
      <c r="F923" s="2"/>
      <c r="G923" s="2"/>
      <c r="H923" s="2"/>
      <c r="I923" s="2"/>
    </row>
    <row r="924" spans="1:9" ht="15" thickBot="1" x14ac:dyDescent="0.3">
      <c r="A924" s="2"/>
      <c r="B924" s="2"/>
      <c r="C924" s="2"/>
      <c r="D924" s="2"/>
      <c r="E924" s="2"/>
      <c r="F924" s="2"/>
      <c r="G924" s="2"/>
      <c r="H924" s="2"/>
      <c r="I924" s="2"/>
    </row>
    <row r="925" spans="1:9" ht="15" thickBot="1" x14ac:dyDescent="0.3">
      <c r="A925" s="2"/>
      <c r="B925" s="2"/>
      <c r="C925" s="2"/>
      <c r="D925" s="2"/>
      <c r="E925" s="2"/>
      <c r="F925" s="2"/>
      <c r="G925" s="2"/>
      <c r="H925" s="2"/>
      <c r="I925" s="2"/>
    </row>
    <row r="926" spans="1:9" ht="15" thickBot="1" x14ac:dyDescent="0.3">
      <c r="A926" s="2"/>
      <c r="B926" s="2"/>
      <c r="C926" s="2"/>
      <c r="D926" s="2"/>
      <c r="E926" s="2"/>
      <c r="F926" s="2"/>
      <c r="G926" s="2"/>
      <c r="H926" s="2"/>
      <c r="I926" s="2"/>
    </row>
    <row r="927" spans="1:9" ht="15" thickBot="1" x14ac:dyDescent="0.3">
      <c r="A927" s="2"/>
      <c r="B927" s="2"/>
      <c r="C927" s="2"/>
      <c r="D927" s="2"/>
      <c r="E927" s="2"/>
      <c r="F927" s="2"/>
      <c r="G927" s="2"/>
      <c r="H927" s="2"/>
      <c r="I927" s="2"/>
    </row>
    <row r="928" spans="1:9" ht="15" thickBot="1" x14ac:dyDescent="0.3">
      <c r="A928" s="2"/>
      <c r="B928" s="2"/>
      <c r="C928" s="2"/>
      <c r="D928" s="2"/>
      <c r="E928" s="2"/>
      <c r="F928" s="2"/>
      <c r="G928" s="2"/>
      <c r="H928" s="2"/>
      <c r="I928" s="2"/>
    </row>
    <row r="929" spans="1:9" ht="15" thickBot="1" x14ac:dyDescent="0.3">
      <c r="A929" s="2"/>
      <c r="B929" s="2"/>
      <c r="C929" s="2"/>
      <c r="D929" s="2"/>
      <c r="E929" s="2"/>
      <c r="F929" s="2"/>
      <c r="G929" s="2"/>
      <c r="H929" s="2"/>
      <c r="I929" s="2"/>
    </row>
    <row r="930" spans="1:9" ht="15" thickBot="1" x14ac:dyDescent="0.3">
      <c r="A930" s="2"/>
      <c r="B930" s="2"/>
      <c r="C930" s="2"/>
      <c r="D930" s="2"/>
      <c r="E930" s="2"/>
      <c r="F930" s="2"/>
      <c r="G930" s="2"/>
      <c r="H930" s="2"/>
      <c r="I930" s="2"/>
    </row>
    <row r="931" spans="1:9" ht="15" thickBot="1" x14ac:dyDescent="0.3">
      <c r="A931" s="2"/>
      <c r="B931" s="2"/>
      <c r="C931" s="2"/>
      <c r="D931" s="2"/>
      <c r="E931" s="2"/>
      <c r="F931" s="2"/>
      <c r="G931" s="2"/>
      <c r="H931" s="2"/>
      <c r="I931" s="2"/>
    </row>
    <row r="932" spans="1:9" ht="15" thickBot="1" x14ac:dyDescent="0.3">
      <c r="A932" s="2"/>
      <c r="B932" s="2"/>
      <c r="C932" s="2"/>
      <c r="D932" s="2"/>
      <c r="E932" s="2"/>
      <c r="F932" s="2"/>
      <c r="G932" s="2"/>
      <c r="H932" s="2"/>
      <c r="I932" s="2"/>
    </row>
    <row r="933" spans="1:9" ht="15" thickBot="1" x14ac:dyDescent="0.3">
      <c r="A933" s="2"/>
      <c r="B933" s="2"/>
      <c r="C933" s="2"/>
      <c r="D933" s="2"/>
      <c r="E933" s="2"/>
      <c r="F933" s="2"/>
      <c r="G933" s="2"/>
      <c r="H933" s="2"/>
      <c r="I933" s="2"/>
    </row>
    <row r="934" spans="1:9" ht="15" thickBot="1" x14ac:dyDescent="0.3">
      <c r="A934" s="2"/>
      <c r="B934" s="2"/>
      <c r="C934" s="2"/>
      <c r="D934" s="2"/>
      <c r="E934" s="2"/>
      <c r="F934" s="2"/>
      <c r="G934" s="2"/>
      <c r="H934" s="2"/>
      <c r="I934" s="2"/>
    </row>
    <row r="935" spans="1:9" ht="15" thickBot="1" x14ac:dyDescent="0.3">
      <c r="A935" s="2"/>
      <c r="B935" s="2"/>
      <c r="C935" s="2"/>
      <c r="D935" s="2"/>
      <c r="E935" s="2"/>
      <c r="F935" s="2"/>
      <c r="G935" s="2"/>
      <c r="H935" s="2"/>
      <c r="I935" s="2"/>
    </row>
    <row r="936" spans="1:9" ht="15" thickBot="1" x14ac:dyDescent="0.3">
      <c r="A936" s="2"/>
      <c r="B936" s="2"/>
      <c r="C936" s="2"/>
      <c r="D936" s="2"/>
      <c r="E936" s="2"/>
      <c r="F936" s="2"/>
      <c r="G936" s="2"/>
      <c r="H936" s="2"/>
      <c r="I936" s="2"/>
    </row>
    <row r="937" spans="1:9" ht="15" thickBot="1" x14ac:dyDescent="0.3">
      <c r="A937" s="2"/>
      <c r="B937" s="2"/>
      <c r="C937" s="2"/>
      <c r="D937" s="2"/>
      <c r="E937" s="2"/>
      <c r="F937" s="2"/>
      <c r="G937" s="2"/>
      <c r="H937" s="2"/>
      <c r="I937" s="2"/>
    </row>
    <row r="938" spans="1:9" ht="15" thickBot="1" x14ac:dyDescent="0.3">
      <c r="A938" s="2"/>
      <c r="B938" s="2"/>
      <c r="C938" s="2"/>
      <c r="D938" s="2"/>
      <c r="E938" s="2"/>
      <c r="F938" s="2"/>
      <c r="G938" s="2"/>
      <c r="H938" s="2"/>
      <c r="I938" s="2"/>
    </row>
    <row r="939" spans="1:9" ht="15" thickBot="1" x14ac:dyDescent="0.3">
      <c r="A939" s="2"/>
      <c r="B939" s="2"/>
      <c r="C939" s="2"/>
      <c r="D939" s="2"/>
      <c r="E939" s="2"/>
      <c r="F939" s="2"/>
      <c r="G939" s="2"/>
      <c r="H939" s="2"/>
      <c r="I939" s="2"/>
    </row>
    <row r="940" spans="1:9" ht="15" thickBot="1" x14ac:dyDescent="0.3">
      <c r="A940" s="2"/>
      <c r="B940" s="2"/>
      <c r="C940" s="2"/>
      <c r="D940" s="2"/>
      <c r="E940" s="2"/>
      <c r="F940" s="2"/>
      <c r="G940" s="2"/>
      <c r="H940" s="2"/>
      <c r="I940" s="2"/>
    </row>
    <row r="941" spans="1:9" ht="15" thickBot="1" x14ac:dyDescent="0.3">
      <c r="A941" s="2"/>
      <c r="B941" s="2"/>
      <c r="C941" s="2"/>
      <c r="D941" s="2"/>
      <c r="E941" s="2"/>
      <c r="F941" s="2"/>
      <c r="G941" s="2"/>
      <c r="H941" s="2"/>
      <c r="I941" s="2"/>
    </row>
    <row r="942" spans="1:9" ht="15" thickBot="1" x14ac:dyDescent="0.3">
      <c r="A942" s="2"/>
      <c r="B942" s="2"/>
      <c r="C942" s="2"/>
      <c r="D942" s="2"/>
      <c r="E942" s="2"/>
      <c r="F942" s="2"/>
      <c r="G942" s="2"/>
      <c r="H942" s="2"/>
      <c r="I942" s="2"/>
    </row>
    <row r="943" spans="1:9" ht="15" thickBot="1" x14ac:dyDescent="0.3">
      <c r="A943" s="2"/>
      <c r="B943" s="2"/>
      <c r="C943" s="2"/>
      <c r="D943" s="2"/>
      <c r="E943" s="2"/>
      <c r="F943" s="2"/>
      <c r="G943" s="2"/>
      <c r="H943" s="2"/>
      <c r="I943" s="2"/>
    </row>
    <row r="944" spans="1:9" ht="15" thickBot="1" x14ac:dyDescent="0.3">
      <c r="A944" s="2"/>
      <c r="B944" s="2"/>
      <c r="C944" s="2"/>
      <c r="D944" s="2"/>
      <c r="E944" s="2"/>
      <c r="F944" s="2"/>
      <c r="G944" s="2"/>
      <c r="H944" s="2"/>
      <c r="I944" s="2"/>
    </row>
    <row r="945" spans="1:9" ht="15" thickBot="1" x14ac:dyDescent="0.3">
      <c r="A945" s="2"/>
      <c r="B945" s="2"/>
      <c r="C945" s="2"/>
      <c r="D945" s="2"/>
      <c r="E945" s="2"/>
      <c r="F945" s="2"/>
      <c r="G945" s="2"/>
      <c r="H945" s="2"/>
      <c r="I945" s="2"/>
    </row>
    <row r="946" spans="1:9" ht="15" thickBot="1" x14ac:dyDescent="0.3">
      <c r="A946" s="2"/>
      <c r="B946" s="2"/>
      <c r="C946" s="2"/>
      <c r="D946" s="2"/>
      <c r="E946" s="2"/>
      <c r="F946" s="2"/>
      <c r="G946" s="2"/>
      <c r="H946" s="2"/>
      <c r="I946" s="2"/>
    </row>
    <row r="947" spans="1:9" ht="15" thickBot="1" x14ac:dyDescent="0.3">
      <c r="A947" s="2"/>
      <c r="B947" s="2"/>
      <c r="C947" s="2"/>
      <c r="D947" s="2"/>
      <c r="E947" s="2"/>
      <c r="F947" s="2"/>
      <c r="G947" s="2"/>
      <c r="H947" s="2"/>
      <c r="I947" s="2"/>
    </row>
    <row r="948" spans="1:9" ht="15" thickBot="1" x14ac:dyDescent="0.3">
      <c r="A948" s="2"/>
      <c r="B948" s="2"/>
      <c r="C948" s="2"/>
      <c r="D948" s="2"/>
      <c r="E948" s="2"/>
      <c r="F948" s="2"/>
      <c r="G948" s="2"/>
      <c r="H948" s="2"/>
      <c r="I948" s="2"/>
    </row>
    <row r="949" spans="1:9" ht="15" thickBot="1" x14ac:dyDescent="0.3">
      <c r="A949" s="2"/>
      <c r="B949" s="2"/>
      <c r="C949" s="2"/>
      <c r="D949" s="2"/>
      <c r="E949" s="2"/>
      <c r="F949" s="2"/>
      <c r="G949" s="2"/>
      <c r="H949" s="2"/>
      <c r="I949" s="2"/>
    </row>
    <row r="950" spans="1:9" ht="15" thickBot="1" x14ac:dyDescent="0.3">
      <c r="A950" s="2"/>
      <c r="B950" s="2"/>
      <c r="C950" s="2"/>
      <c r="D950" s="2"/>
      <c r="E950" s="2"/>
      <c r="F950" s="2"/>
      <c r="G950" s="2"/>
      <c r="H950" s="2"/>
      <c r="I950" s="2"/>
    </row>
    <row r="951" spans="1:9" ht="15" thickBot="1" x14ac:dyDescent="0.3">
      <c r="A951" s="2"/>
      <c r="B951" s="2"/>
      <c r="C951" s="2"/>
      <c r="D951" s="2"/>
      <c r="E951" s="2"/>
      <c r="F951" s="2"/>
      <c r="G951" s="2"/>
      <c r="H951" s="2"/>
      <c r="I951" s="2"/>
    </row>
    <row r="952" spans="1:9" ht="15" thickBot="1" x14ac:dyDescent="0.3">
      <c r="A952" s="2"/>
      <c r="B952" s="2"/>
      <c r="C952" s="2"/>
      <c r="D952" s="2"/>
      <c r="E952" s="2"/>
      <c r="F952" s="2"/>
      <c r="G952" s="2"/>
      <c r="H952" s="2"/>
      <c r="I952" s="2"/>
    </row>
    <row r="953" spans="1:9" ht="15" thickBot="1" x14ac:dyDescent="0.3">
      <c r="A953" s="2"/>
      <c r="B953" s="2"/>
      <c r="C953" s="2"/>
      <c r="D953" s="2"/>
      <c r="E953" s="2"/>
      <c r="F953" s="2"/>
      <c r="G953" s="2"/>
      <c r="H953" s="2"/>
      <c r="I953" s="2"/>
    </row>
    <row r="954" spans="1:9" ht="15" thickBot="1" x14ac:dyDescent="0.3">
      <c r="A954" s="2"/>
      <c r="B954" s="2"/>
      <c r="C954" s="2"/>
      <c r="D954" s="2"/>
      <c r="E954" s="2"/>
      <c r="F954" s="2"/>
      <c r="G954" s="2"/>
      <c r="H954" s="2"/>
      <c r="I954" s="2"/>
    </row>
    <row r="955" spans="1:9" ht="15" thickBot="1" x14ac:dyDescent="0.3">
      <c r="A955" s="2"/>
      <c r="B955" s="2"/>
      <c r="C955" s="2"/>
      <c r="D955" s="2"/>
      <c r="E955" s="2"/>
      <c r="F955" s="2"/>
      <c r="G955" s="2"/>
      <c r="H955" s="2"/>
      <c r="I955" s="2"/>
    </row>
    <row r="956" spans="1:9" ht="15" thickBot="1" x14ac:dyDescent="0.3">
      <c r="A956" s="2"/>
      <c r="B956" s="2"/>
      <c r="C956" s="2"/>
      <c r="D956" s="2"/>
      <c r="E956" s="2"/>
      <c r="F956" s="2"/>
      <c r="G956" s="2"/>
      <c r="H956" s="2"/>
      <c r="I956" s="2"/>
    </row>
    <row r="957" spans="1:9" ht="15" thickBot="1" x14ac:dyDescent="0.3">
      <c r="A957" s="2"/>
      <c r="B957" s="2"/>
      <c r="C957" s="2"/>
      <c r="D957" s="2"/>
      <c r="E957" s="2"/>
      <c r="F957" s="2"/>
      <c r="G957" s="2"/>
      <c r="H957" s="2"/>
      <c r="I957" s="2"/>
    </row>
    <row r="958" spans="1:9" ht="15" thickBot="1" x14ac:dyDescent="0.3">
      <c r="A958" s="2"/>
      <c r="B958" s="2"/>
      <c r="C958" s="2"/>
      <c r="D958" s="2"/>
      <c r="E958" s="2"/>
      <c r="F958" s="2"/>
      <c r="G958" s="2"/>
      <c r="H958" s="2"/>
      <c r="I958" s="2"/>
    </row>
    <row r="959" spans="1:9" ht="15" thickBot="1" x14ac:dyDescent="0.3">
      <c r="A959" s="2"/>
      <c r="B959" s="2"/>
      <c r="C959" s="2"/>
      <c r="D959" s="2"/>
      <c r="E959" s="2"/>
      <c r="F959" s="2"/>
      <c r="G959" s="2"/>
      <c r="H959" s="2"/>
      <c r="I959" s="2"/>
    </row>
    <row r="960" spans="1:9" ht="15" thickBot="1" x14ac:dyDescent="0.3">
      <c r="A960" s="2"/>
      <c r="B960" s="2"/>
      <c r="C960" s="2"/>
      <c r="D960" s="2"/>
      <c r="E960" s="2"/>
      <c r="F960" s="2"/>
      <c r="G960" s="2"/>
      <c r="H960" s="2"/>
      <c r="I960" s="2"/>
    </row>
    <row r="961" spans="1:9" ht="15" thickBot="1" x14ac:dyDescent="0.3">
      <c r="A961" s="2"/>
      <c r="B961" s="2"/>
      <c r="C961" s="2"/>
      <c r="D961" s="2"/>
      <c r="E961" s="2"/>
      <c r="F961" s="2"/>
      <c r="G961" s="2"/>
      <c r="H961" s="2"/>
      <c r="I961" s="2"/>
    </row>
    <row r="962" spans="1:9" ht="15" thickBot="1" x14ac:dyDescent="0.3">
      <c r="A962" s="2"/>
      <c r="B962" s="2"/>
      <c r="C962" s="2"/>
      <c r="D962" s="2"/>
      <c r="E962" s="2"/>
      <c r="F962" s="2"/>
      <c r="G962" s="2"/>
      <c r="H962" s="2"/>
      <c r="I962" s="2"/>
    </row>
    <row r="963" spans="1:9" ht="15" thickBot="1" x14ac:dyDescent="0.3">
      <c r="A963" s="2"/>
      <c r="B963" s="2"/>
      <c r="C963" s="2"/>
      <c r="D963" s="2"/>
      <c r="E963" s="2"/>
      <c r="F963" s="2"/>
      <c r="G963" s="2"/>
      <c r="H963" s="2"/>
      <c r="I963" s="2"/>
    </row>
    <row r="964" spans="1:9" ht="15" thickBot="1" x14ac:dyDescent="0.3">
      <c r="A964" s="2"/>
      <c r="B964" s="2"/>
      <c r="C964" s="2"/>
      <c r="D964" s="2"/>
      <c r="E964" s="2"/>
      <c r="F964" s="2"/>
      <c r="G964" s="2"/>
      <c r="H964" s="2"/>
      <c r="I964" s="2"/>
    </row>
    <row r="965" spans="1:9" ht="15" thickBot="1" x14ac:dyDescent="0.3">
      <c r="A965" s="2"/>
      <c r="B965" s="2"/>
      <c r="C965" s="2"/>
      <c r="D965" s="2"/>
      <c r="E965" s="2"/>
      <c r="F965" s="2"/>
      <c r="G965" s="2"/>
      <c r="H965" s="2"/>
      <c r="I965" s="2"/>
    </row>
    <row r="966" spans="1:9" ht="15" thickBot="1" x14ac:dyDescent="0.3">
      <c r="A966" s="2"/>
      <c r="B966" s="2"/>
      <c r="C966" s="2"/>
      <c r="D966" s="2"/>
      <c r="E966" s="2"/>
      <c r="F966" s="2"/>
      <c r="G966" s="2"/>
      <c r="H966" s="2"/>
      <c r="I966" s="2"/>
    </row>
    <row r="967" spans="1:9" ht="15" thickBot="1" x14ac:dyDescent="0.3">
      <c r="A967" s="2"/>
      <c r="B967" s="2"/>
      <c r="C967" s="2"/>
      <c r="D967" s="2"/>
      <c r="E967" s="2"/>
      <c r="F967" s="2"/>
      <c r="G967" s="2"/>
      <c r="H967" s="2"/>
      <c r="I967" s="2"/>
    </row>
    <row r="968" spans="1:9" ht="15" thickBot="1" x14ac:dyDescent="0.3">
      <c r="A968" s="2"/>
      <c r="B968" s="2"/>
      <c r="C968" s="2"/>
      <c r="D968" s="2"/>
      <c r="E968" s="2"/>
      <c r="F968" s="2"/>
      <c r="G968" s="2"/>
      <c r="H968" s="2"/>
      <c r="I968" s="2"/>
    </row>
    <row r="969" spans="1:9" ht="15" thickBot="1" x14ac:dyDescent="0.3">
      <c r="A969" s="2"/>
      <c r="B969" s="2"/>
      <c r="C969" s="2"/>
      <c r="D969" s="2"/>
      <c r="E969" s="2"/>
      <c r="F969" s="2"/>
      <c r="G969" s="2"/>
      <c r="H969" s="2"/>
      <c r="I969" s="2"/>
    </row>
    <row r="970" spans="1:9" ht="15" thickBot="1" x14ac:dyDescent="0.3">
      <c r="A970" s="2"/>
      <c r="B970" s="2"/>
      <c r="C970" s="2"/>
      <c r="D970" s="2"/>
      <c r="E970" s="2"/>
      <c r="F970" s="2"/>
      <c r="G970" s="2"/>
      <c r="H970" s="2"/>
      <c r="I970" s="2"/>
    </row>
    <row r="971" spans="1:9" ht="15" thickBot="1" x14ac:dyDescent="0.3">
      <c r="A971" s="2"/>
      <c r="B971" s="2"/>
      <c r="C971" s="2"/>
      <c r="D971" s="2"/>
      <c r="E971" s="2"/>
      <c r="F971" s="2"/>
      <c r="G971" s="2"/>
      <c r="H971" s="2"/>
      <c r="I971" s="2"/>
    </row>
    <row r="972" spans="1:9" ht="15" thickBot="1" x14ac:dyDescent="0.3">
      <c r="A972" s="2"/>
      <c r="B972" s="2"/>
      <c r="C972" s="2"/>
      <c r="D972" s="2"/>
      <c r="E972" s="2"/>
      <c r="F972" s="2"/>
      <c r="G972" s="2"/>
      <c r="H972" s="2"/>
      <c r="I972" s="2"/>
    </row>
    <row r="973" spans="1:9" ht="15" thickBot="1" x14ac:dyDescent="0.3">
      <c r="A973" s="2"/>
      <c r="B973" s="2"/>
      <c r="C973" s="2"/>
      <c r="D973" s="2"/>
      <c r="E973" s="2"/>
      <c r="F973" s="2"/>
      <c r="G973" s="2"/>
      <c r="H973" s="2"/>
      <c r="I973" s="2"/>
    </row>
    <row r="974" spans="1:9" ht="15" thickBot="1" x14ac:dyDescent="0.3">
      <c r="A974" s="2"/>
      <c r="B974" s="2"/>
      <c r="C974" s="2"/>
      <c r="D974" s="2"/>
      <c r="E974" s="2"/>
      <c r="F974" s="2"/>
      <c r="G974" s="2"/>
      <c r="H974" s="2"/>
      <c r="I974" s="2"/>
    </row>
    <row r="975" spans="1:9" ht="15" thickBot="1" x14ac:dyDescent="0.3">
      <c r="A975" s="2"/>
      <c r="B975" s="2"/>
      <c r="C975" s="2"/>
      <c r="D975" s="2"/>
      <c r="E975" s="2"/>
      <c r="F975" s="2"/>
      <c r="G975" s="2"/>
      <c r="H975" s="2"/>
      <c r="I975" s="2"/>
    </row>
    <row r="976" spans="1:9" ht="15" thickBot="1" x14ac:dyDescent="0.3">
      <c r="A976" s="2"/>
      <c r="B976" s="2"/>
      <c r="C976" s="2"/>
      <c r="D976" s="2"/>
      <c r="E976" s="2"/>
      <c r="F976" s="2"/>
      <c r="G976" s="2"/>
      <c r="H976" s="2"/>
      <c r="I976" s="2"/>
    </row>
    <row r="977" spans="1:9" ht="15" thickBot="1" x14ac:dyDescent="0.3">
      <c r="A977" s="2"/>
      <c r="B977" s="2"/>
      <c r="C977" s="2"/>
      <c r="D977" s="2"/>
      <c r="E977" s="2"/>
      <c r="F977" s="2"/>
      <c r="G977" s="2"/>
      <c r="H977" s="2"/>
      <c r="I977" s="2"/>
    </row>
    <row r="978" spans="1:9" ht="15" thickBot="1" x14ac:dyDescent="0.3">
      <c r="A978" s="2"/>
      <c r="B978" s="2"/>
      <c r="C978" s="2"/>
      <c r="D978" s="2"/>
      <c r="E978" s="2"/>
      <c r="F978" s="2"/>
      <c r="G978" s="2"/>
      <c r="H978" s="2"/>
      <c r="I978" s="2"/>
    </row>
    <row r="979" spans="1:9" ht="15" thickBot="1" x14ac:dyDescent="0.3">
      <c r="A979" s="2"/>
      <c r="B979" s="2"/>
      <c r="C979" s="2"/>
      <c r="D979" s="2"/>
      <c r="E979" s="2"/>
      <c r="F979" s="2"/>
      <c r="G979" s="2"/>
      <c r="H979" s="2"/>
      <c r="I979" s="2"/>
    </row>
    <row r="980" spans="1:9" ht="15" thickBot="1" x14ac:dyDescent="0.3">
      <c r="A980" s="2"/>
      <c r="B980" s="2"/>
      <c r="C980" s="2"/>
      <c r="D980" s="2"/>
      <c r="E980" s="2"/>
      <c r="F980" s="2"/>
      <c r="G980" s="2"/>
      <c r="H980" s="2"/>
      <c r="I980" s="2"/>
    </row>
    <row r="981" spans="1:9" ht="15" thickBot="1" x14ac:dyDescent="0.3">
      <c r="A981" s="2"/>
      <c r="B981" s="2"/>
      <c r="C981" s="2"/>
      <c r="D981" s="2"/>
      <c r="E981" s="2"/>
      <c r="F981" s="2"/>
      <c r="G981" s="2"/>
      <c r="H981" s="2"/>
      <c r="I981" s="2"/>
    </row>
    <row r="982" spans="1:9" ht="15" thickBot="1" x14ac:dyDescent="0.3">
      <c r="A982" s="2"/>
      <c r="B982" s="2"/>
      <c r="C982" s="2"/>
      <c r="D982" s="2"/>
      <c r="E982" s="2"/>
      <c r="F982" s="2"/>
      <c r="G982" s="2"/>
      <c r="H982" s="2"/>
      <c r="I982" s="2"/>
    </row>
  </sheetData>
  <autoFilter ref="A1:P315" xr:uid="{00000000-0001-0000-0000-000000000000}">
    <filterColumn colId="2">
      <filters>
        <filter val="S"/>
      </filters>
    </filterColumn>
    <filterColumn colId="14">
      <filters blank="1"/>
    </filterColumn>
    <sortState xmlns:xlrd2="http://schemas.microsoft.com/office/spreadsheetml/2017/richdata2" ref="A65:P315">
      <sortCondition ref="F1:F315"/>
    </sortState>
  </autoFilter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"/>
  <sheetViews>
    <sheetView workbookViewId="0">
      <selection sqref="A1:L6"/>
    </sheetView>
  </sheetViews>
  <sheetFormatPr defaultRowHeight="14.5" x14ac:dyDescent="0.35"/>
  <cols>
    <col min="1" max="1" width="19.54296875" customWidth="1"/>
    <col min="2" max="2" width="14.6328125" customWidth="1"/>
    <col min="11" max="11" width="15.453125" customWidth="1"/>
  </cols>
  <sheetData>
    <row r="1" spans="1:14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4" x14ac:dyDescent="0.35">
      <c r="A2" t="s">
        <v>338</v>
      </c>
      <c r="B2" t="s">
        <v>25</v>
      </c>
      <c r="C2" t="s">
        <v>7</v>
      </c>
      <c r="D2">
        <v>300</v>
      </c>
      <c r="E2">
        <v>34.21</v>
      </c>
      <c r="F2" t="s">
        <v>306</v>
      </c>
      <c r="K2" t="str">
        <f t="shared" ref="K2" si="0">C2 &amp; " " &amp; D2 &amp; "*" &amp; E2 &amp; " :" &amp; A2</f>
        <v>S 300*34.21 :15 OCT 2026 09:41:51 AM</v>
      </c>
      <c r="L2">
        <f t="shared" ref="L2" si="1">D2*E2</f>
        <v>10263</v>
      </c>
      <c r="N2" t="str">
        <f>IF(COUNTIFS( $B$2:$B$879, B2) &gt; 1, "Duplicate", "Unique")</f>
        <v>Unique</v>
      </c>
    </row>
    <row r="3" spans="1:14" x14ac:dyDescent="0.35">
      <c r="A3" t="s">
        <v>339</v>
      </c>
      <c r="B3" t="s">
        <v>12</v>
      </c>
      <c r="C3" t="s">
        <v>10</v>
      </c>
      <c r="D3">
        <v>3</v>
      </c>
      <c r="E3">
        <v>4770</v>
      </c>
      <c r="F3" t="s">
        <v>306</v>
      </c>
      <c r="K3" t="str">
        <f t="shared" ref="K3:K5" si="2">C3 &amp; " " &amp; D3 &amp; "*" &amp; E3 &amp; " :" &amp; A3</f>
        <v>B 3*4770 :15 OCT 2026 09:28:39 AM</v>
      </c>
      <c r="L3">
        <f t="shared" ref="L3:L5" si="3">D3*E3</f>
        <v>14310</v>
      </c>
      <c r="N3" t="str">
        <f>IF(COUNTIFS( $B$2:$B$879, B3) &gt; 1, "Duplicate", "Unique")</f>
        <v>Unique</v>
      </c>
    </row>
    <row r="4" spans="1:14" x14ac:dyDescent="0.35">
      <c r="A4" t="s">
        <v>340</v>
      </c>
      <c r="B4" t="s">
        <v>13</v>
      </c>
      <c r="C4" t="s">
        <v>10</v>
      </c>
      <c r="D4">
        <v>10</v>
      </c>
      <c r="E4">
        <v>1731</v>
      </c>
      <c r="F4" t="s">
        <v>306</v>
      </c>
      <c r="K4" t="str">
        <f t="shared" si="2"/>
        <v>B 10*1731 :15 OCT 2026 09:00:43 AM</v>
      </c>
      <c r="L4">
        <f t="shared" si="3"/>
        <v>17310</v>
      </c>
      <c r="N4" t="str">
        <f>IF(COUNTIFS( $B$2:$B$879, B4) &gt; 1, "Duplicate", "Unique")</f>
        <v>Unique</v>
      </c>
    </row>
    <row r="5" spans="1:14" x14ac:dyDescent="0.35">
      <c r="A5" t="s">
        <v>340</v>
      </c>
      <c r="B5" t="s">
        <v>14</v>
      </c>
      <c r="C5" t="s">
        <v>7</v>
      </c>
      <c r="D5">
        <v>100</v>
      </c>
      <c r="E5">
        <v>322</v>
      </c>
      <c r="F5" t="s">
        <v>306</v>
      </c>
      <c r="K5" t="str">
        <f t="shared" si="2"/>
        <v>S 100*322 :15 OCT 2026 09:00:43 AM</v>
      </c>
      <c r="L5">
        <f t="shared" si="3"/>
        <v>32200</v>
      </c>
      <c r="N5" t="str">
        <f>IF(COUNTIFS( $B$2:$B$879, B5) &gt; 1, "Duplicate", "Unique")</f>
        <v>Unique</v>
      </c>
    </row>
    <row r="6" spans="1:14" x14ac:dyDescent="0.35">
      <c r="A6" t="s">
        <v>340</v>
      </c>
      <c r="B6" t="s">
        <v>50</v>
      </c>
      <c r="C6" t="s">
        <v>7</v>
      </c>
      <c r="D6">
        <v>10</v>
      </c>
      <c r="E6">
        <v>897</v>
      </c>
      <c r="F6" t="s">
        <v>306</v>
      </c>
      <c r="K6" t="str">
        <f t="shared" ref="K6" si="4">C6 &amp; " " &amp; D6 &amp; "*" &amp; E6 &amp; " :" &amp; A6</f>
        <v>S 10*897 :15 OCT 2026 09:00:43 AM</v>
      </c>
      <c r="L6">
        <f t="shared" ref="L6" si="5">D6*E6</f>
        <v>8970</v>
      </c>
      <c r="N6" t="str">
        <f>IF(COUNTIFS( $B$2:$B$879, B6) &gt; 1, "Duplicate", "Unique")</f>
        <v>Unique</v>
      </c>
    </row>
    <row r="7" spans="1:14" x14ac:dyDescent="0.35">
      <c r="K7" t="str">
        <f t="shared" ref="K7:K10" si="6">C7 &amp; " " &amp; D7 &amp; "*" &amp; E7 &amp; " :" &amp; A7</f>
        <v xml:space="preserve"> * :</v>
      </c>
      <c r="L7">
        <f t="shared" ref="L7:L10" si="7">D7*E7</f>
        <v>0</v>
      </c>
      <c r="N7" t="str">
        <f>IF(COUNTIFS( $B$2:$B$879, B7) &gt; 1, "Duplicate", "Unique")</f>
        <v>Unique</v>
      </c>
    </row>
    <row r="8" spans="1:14" x14ac:dyDescent="0.35">
      <c r="K8" t="str">
        <f t="shared" si="6"/>
        <v xml:space="preserve"> * :</v>
      </c>
      <c r="L8">
        <f t="shared" si="7"/>
        <v>0</v>
      </c>
      <c r="N8" t="str">
        <f>IF(COUNTIFS( $B$2:$B$879, B8) &gt; 1, "Duplicate", "Unique")</f>
        <v>Unique</v>
      </c>
    </row>
    <row r="9" spans="1:14" x14ac:dyDescent="0.35">
      <c r="K9" t="str">
        <f t="shared" si="6"/>
        <v xml:space="preserve"> * :</v>
      </c>
      <c r="L9">
        <f t="shared" si="7"/>
        <v>0</v>
      </c>
      <c r="N9" t="str">
        <f>IF(COUNTIFS( $B$2:$B$879, B9) &gt; 1, "Duplicate", "Unique")</f>
        <v>Unique</v>
      </c>
    </row>
    <row r="10" spans="1:14" x14ac:dyDescent="0.35">
      <c r="K10" t="str">
        <f t="shared" si="6"/>
        <v xml:space="preserve"> * :</v>
      </c>
      <c r="L10">
        <f t="shared" si="7"/>
        <v>0</v>
      </c>
      <c r="N10" t="str">
        <f>IF(COUNTIFS( $B$2:$B$879, B10) &gt; 1, "Duplicate", "Unique")</f>
        <v>Unique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B0859-BCE2-441E-8EDF-E2C38C626068}">
  <dimension ref="A1:P973"/>
  <sheetViews>
    <sheetView zoomScaleNormal="100" workbookViewId="0">
      <pane ySplit="1" topLeftCell="A2" activePane="bottomLeft" state="frozen"/>
      <selection sqref="A1:XFD1"/>
      <selection pane="bottomLeft" activeCell="H6" sqref="H6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7" customWidth="1"/>
    <col min="11" max="11" width="19" style="17" customWidth="1"/>
    <col min="12" max="13" width="8.90625" style="17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36</v>
      </c>
      <c r="G1" s="2" t="s">
        <v>37</v>
      </c>
      <c r="H1" s="2" t="s">
        <v>38</v>
      </c>
      <c r="I1" s="1" t="s">
        <v>5</v>
      </c>
      <c r="J1" s="20" t="s">
        <v>139</v>
      </c>
      <c r="K1" s="62" t="s">
        <v>149</v>
      </c>
      <c r="L1" s="17" t="s">
        <v>150</v>
      </c>
      <c r="M1" s="17" t="s">
        <v>151</v>
      </c>
      <c r="O1" s="10" t="s">
        <v>236</v>
      </c>
    </row>
    <row r="2" spans="1:16" customFormat="1" ht="40.75" customHeight="1" thickBot="1" x14ac:dyDescent="0.4">
      <c r="A2" s="6" t="s">
        <v>61</v>
      </c>
      <c r="B2" s="1" t="s">
        <v>15</v>
      </c>
      <c r="C2" s="1" t="s">
        <v>10</v>
      </c>
      <c r="D2" s="4">
        <v>5</v>
      </c>
      <c r="E2" s="4">
        <v>2470</v>
      </c>
      <c r="F2" s="4">
        <v>15.636704119999999</v>
      </c>
      <c r="G2" s="2" t="s">
        <v>71</v>
      </c>
      <c r="H2" s="5">
        <v>2136</v>
      </c>
      <c r="I2" s="1" t="s">
        <v>8</v>
      </c>
      <c r="J2" s="33" t="s">
        <v>40</v>
      </c>
      <c r="K2" s="16"/>
      <c r="L2" s="16"/>
      <c r="M2" s="16"/>
      <c r="N2" t="str">
        <f>IF(COUNTIFS( $B$2:$B$657, B2, $C$2:$C$657, C2, $D$2:$D$657, D2, $E$2:$E$657, E2) &gt; 1, "Duplicate", "Unique")</f>
        <v>Unique</v>
      </c>
      <c r="O2" s="10"/>
      <c r="P2" s="22"/>
    </row>
    <row r="3" spans="1:16" customFormat="1" ht="27.65" customHeight="1" thickBot="1" x14ac:dyDescent="0.4">
      <c r="A3" s="6" t="s">
        <v>61</v>
      </c>
      <c r="B3" s="1" t="s">
        <v>15</v>
      </c>
      <c r="C3" s="1" t="s">
        <v>10</v>
      </c>
      <c r="D3" s="4">
        <v>30</v>
      </c>
      <c r="E3" s="4">
        <v>2435</v>
      </c>
      <c r="F3" s="4">
        <v>13.99812734</v>
      </c>
      <c r="G3" s="2" t="s">
        <v>71</v>
      </c>
      <c r="H3" s="5">
        <v>2136</v>
      </c>
      <c r="I3" s="1" t="s">
        <v>8</v>
      </c>
      <c r="J3" s="33" t="s">
        <v>54</v>
      </c>
      <c r="K3" s="16"/>
      <c r="L3" s="16"/>
      <c r="M3" s="16"/>
      <c r="N3" t="str">
        <f>IF(COUNTIFS( $B$2:$B$657, B3, $C$2:$C$657, C3, $D$2:$D$657, D3, $E$2:$E$657, E3) &gt; 1, "Duplicate", "Unique")</f>
        <v>Unique</v>
      </c>
      <c r="O3" s="10"/>
      <c r="P3" s="10"/>
    </row>
    <row r="4" spans="1:16" customFormat="1" ht="15" customHeight="1" thickBot="1" x14ac:dyDescent="0.4">
      <c r="A4" s="3">
        <v>46275.457638888889</v>
      </c>
      <c r="B4" s="1" t="s">
        <v>19</v>
      </c>
      <c r="C4" s="1" t="s">
        <v>10</v>
      </c>
      <c r="D4" s="4">
        <v>100</v>
      </c>
      <c r="E4" s="4">
        <v>222</v>
      </c>
      <c r="F4" s="4">
        <v>9.3596059109999992</v>
      </c>
      <c r="G4" s="2" t="s">
        <v>39</v>
      </c>
      <c r="H4" s="5">
        <v>203</v>
      </c>
      <c r="I4" s="1" t="s">
        <v>8</v>
      </c>
      <c r="J4" s="21" t="s">
        <v>40</v>
      </c>
      <c r="K4" s="17" t="s">
        <v>258</v>
      </c>
      <c r="L4" s="17">
        <v>56375</v>
      </c>
      <c r="M4" s="17">
        <f>ABS((D4*E4)-L4)</f>
        <v>34175</v>
      </c>
      <c r="N4" s="10" t="str">
        <f>IF(COUNTIFS( $B$2:$B$657, B4, $C$2:$C$657, C4, $D$2:$D$657, D4, $E$2:$E$657, E4) &gt; 1, "Duplicate", "Unique")</f>
        <v>Unique</v>
      </c>
      <c r="O4" s="10"/>
      <c r="P4" s="10"/>
    </row>
    <row r="5" spans="1:16" customFormat="1" ht="15" customHeight="1" thickBot="1" x14ac:dyDescent="0.4">
      <c r="A5" s="3">
        <v>46261.375</v>
      </c>
      <c r="B5" s="1" t="s">
        <v>23</v>
      </c>
      <c r="C5" s="1" t="s">
        <v>10</v>
      </c>
      <c r="D5" s="4">
        <v>50</v>
      </c>
      <c r="E5" s="4">
        <v>204</v>
      </c>
      <c r="F5" s="4">
        <v>8.5106382979999999</v>
      </c>
      <c r="G5" s="2" t="s">
        <v>69</v>
      </c>
      <c r="H5" s="5">
        <v>188</v>
      </c>
      <c r="I5" s="1" t="s">
        <v>8</v>
      </c>
      <c r="J5" s="21" t="s">
        <v>40</v>
      </c>
      <c r="K5" s="17" t="s">
        <v>180</v>
      </c>
      <c r="L5" s="17">
        <v>10550</v>
      </c>
      <c r="M5" s="17">
        <f>ABS((D5*E5)-L5)</f>
        <v>350</v>
      </c>
      <c r="N5" s="10" t="str">
        <f>IF(COUNTIFS( $B$2:$B$657, B5, $C$2:$C$657, C5, $D$2:$D$657, D5, $E$2:$E$657, E5) &gt; 1, "Duplicate", "Unique")</f>
        <v>Unique</v>
      </c>
      <c r="O5" s="10"/>
      <c r="P5" s="10"/>
    </row>
    <row r="6" spans="1:16" customFormat="1" ht="40.75" customHeight="1" thickBot="1" x14ac:dyDescent="0.4">
      <c r="A6" s="6" t="s">
        <v>61</v>
      </c>
      <c r="B6" s="1" t="s">
        <v>23</v>
      </c>
      <c r="C6" s="1" t="s">
        <v>10</v>
      </c>
      <c r="D6" s="4">
        <v>50</v>
      </c>
      <c r="E6" s="4">
        <v>201</v>
      </c>
      <c r="F6" s="4">
        <v>6.9148936169999997</v>
      </c>
      <c r="G6" s="2" t="s">
        <v>69</v>
      </c>
      <c r="H6" s="5">
        <v>188</v>
      </c>
      <c r="I6" s="1" t="s">
        <v>8</v>
      </c>
      <c r="J6" s="34" t="s">
        <v>40</v>
      </c>
      <c r="K6" s="16"/>
      <c r="L6" s="16"/>
      <c r="M6" s="16"/>
      <c r="N6" t="str">
        <f>IF(COUNTIFS( $B$2:$B$657, B6, $C$2:$C$657, C6, $D$2:$D$657, D6, $E$2:$E$657, E6) &gt; 1, "Duplicate", "Unique")</f>
        <v>Unique</v>
      </c>
    </row>
    <row r="7" spans="1:16" customFormat="1" ht="27.65" customHeight="1" thickBot="1" x14ac:dyDescent="0.4">
      <c r="A7" s="6" t="s">
        <v>61</v>
      </c>
      <c r="B7" s="1" t="s">
        <v>48</v>
      </c>
      <c r="C7" s="1" t="s">
        <v>10</v>
      </c>
      <c r="D7" s="4">
        <v>5</v>
      </c>
      <c r="E7" s="4">
        <v>3888</v>
      </c>
      <c r="F7" s="4">
        <v>6.7545304780000004</v>
      </c>
      <c r="G7" s="2" t="s">
        <v>49</v>
      </c>
      <c r="H7" s="5">
        <v>3642</v>
      </c>
      <c r="I7" s="1" t="s">
        <v>8</v>
      </c>
      <c r="J7" s="33"/>
      <c r="K7" s="16"/>
      <c r="L7" s="16"/>
      <c r="M7" s="16"/>
      <c r="N7" t="str">
        <f>IF(COUNTIFS( $B$2:$B$657, B7, $C$2:$C$657, C7, $D$2:$D$657, D7, $E$2:$E$657, E7) &gt; 1, "Duplicate", "Unique")</f>
        <v>Unique</v>
      </c>
      <c r="O7" s="23"/>
      <c r="P7" s="10"/>
    </row>
    <row r="8" spans="1:16" customFormat="1" ht="27.65" customHeight="1" thickBot="1" x14ac:dyDescent="0.4">
      <c r="A8" s="6" t="s">
        <v>61</v>
      </c>
      <c r="B8" s="1" t="s">
        <v>48</v>
      </c>
      <c r="C8" s="1" t="s">
        <v>10</v>
      </c>
      <c r="D8" s="4">
        <v>2</v>
      </c>
      <c r="E8" s="4">
        <v>3856</v>
      </c>
      <c r="F8" s="4">
        <v>5.8758923669999996</v>
      </c>
      <c r="G8" s="2" t="s">
        <v>49</v>
      </c>
      <c r="H8" s="5">
        <v>3642</v>
      </c>
      <c r="I8" s="1" t="s">
        <v>8</v>
      </c>
      <c r="J8" s="33"/>
      <c r="K8" s="16"/>
      <c r="L8" s="16"/>
      <c r="M8" s="16"/>
      <c r="N8" t="str">
        <f>IF(COUNTIFS( $B$2:$B$657, B8, $C$2:$C$657, C8, $D$2:$D$657, D8, $E$2:$E$657, E8) &gt; 1, "Duplicate", "Unique")</f>
        <v>Unique</v>
      </c>
      <c r="O8" s="18"/>
      <c r="P8" s="10"/>
    </row>
    <row r="9" spans="1:16" customFormat="1" ht="27.65" customHeight="1" thickBot="1" x14ac:dyDescent="0.4">
      <c r="A9" s="3">
        <v>46268.385416666664</v>
      </c>
      <c r="B9" s="1" t="s">
        <v>19</v>
      </c>
      <c r="C9" s="1" t="s">
        <v>10</v>
      </c>
      <c r="D9" s="4">
        <v>100</v>
      </c>
      <c r="E9" s="4">
        <v>214</v>
      </c>
      <c r="F9" s="4">
        <v>5.4187192120000001</v>
      </c>
      <c r="G9" s="2" t="s">
        <v>39</v>
      </c>
      <c r="H9" s="5">
        <v>203</v>
      </c>
      <c r="I9" s="1" t="s">
        <v>8</v>
      </c>
      <c r="J9" s="21" t="s">
        <v>54</v>
      </c>
      <c r="K9" s="17" t="s">
        <v>230</v>
      </c>
      <c r="L9" s="17">
        <v>21900</v>
      </c>
      <c r="M9" s="17">
        <f>ABS((D9*E9)-L9)</f>
        <v>500</v>
      </c>
      <c r="N9" s="10" t="str">
        <f>IF(COUNTIFS( $B$2:$B$657, B9, $C$2:$C$657, C9, $D$2:$D$657, D9, $E$2:$E$657, E9) &gt; 1, "Duplicate", "Unique")</f>
        <v>Unique</v>
      </c>
      <c r="O9" s="10"/>
      <c r="P9" s="10"/>
    </row>
    <row r="10" spans="1:16" customFormat="1" ht="27.65" customHeight="1" thickBot="1" x14ac:dyDescent="0.4">
      <c r="A10" s="6" t="s">
        <v>61</v>
      </c>
      <c r="B10" s="1" t="s">
        <v>48</v>
      </c>
      <c r="C10" s="1" t="s">
        <v>10</v>
      </c>
      <c r="D10" s="4">
        <v>2</v>
      </c>
      <c r="E10" s="4">
        <v>3830</v>
      </c>
      <c r="F10" s="4">
        <v>5.1619989019999997</v>
      </c>
      <c r="G10" s="2" t="s">
        <v>49</v>
      </c>
      <c r="H10" s="5">
        <v>3642</v>
      </c>
      <c r="I10" s="1" t="s">
        <v>8</v>
      </c>
      <c r="J10" s="33"/>
      <c r="K10" s="16"/>
      <c r="L10" s="16"/>
      <c r="M10" s="16"/>
      <c r="N10" t="str">
        <f>IF(COUNTIFS( $B$2:$B$657, B10, $C$2:$C$657, C10, $D$2:$D$657, D10, $E$2:$E$657, E10) &gt; 1, "Duplicate", "Unique")</f>
        <v>Unique</v>
      </c>
      <c r="O10" s="10"/>
      <c r="P10" s="10"/>
    </row>
    <row r="11" spans="1:16" customFormat="1" ht="27.65" customHeight="1" thickBot="1" x14ac:dyDescent="0.4">
      <c r="A11" s="3">
        <v>46252.645138888889</v>
      </c>
      <c r="B11" s="1" t="s">
        <v>67</v>
      </c>
      <c r="C11" s="1" t="s">
        <v>10</v>
      </c>
      <c r="D11" s="4">
        <v>10</v>
      </c>
      <c r="E11" s="4">
        <v>401</v>
      </c>
      <c r="F11" s="4">
        <v>4.8777298289999997</v>
      </c>
      <c r="G11" s="2" t="s">
        <v>68</v>
      </c>
      <c r="H11" s="5">
        <v>382.35</v>
      </c>
      <c r="I11" s="1" t="s">
        <v>8</v>
      </c>
      <c r="J11" s="56" t="s">
        <v>40</v>
      </c>
      <c r="K11" s="16"/>
      <c r="L11" s="16"/>
      <c r="M11" s="16"/>
      <c r="N11" t="str">
        <f>IF(COUNTIFS( $B$2:$B$657, B11, $C$2:$C$657, C11, $D$2:$D$657, D11, $E$2:$E$657, E11) &gt; 1, "Duplicate", "Unique")</f>
        <v>Unique</v>
      </c>
      <c r="O11" s="10"/>
      <c r="P11" s="10"/>
    </row>
    <row r="12" spans="1:16" customFormat="1" ht="27.65" customHeight="1" thickBot="1" x14ac:dyDescent="0.4">
      <c r="A12" s="6" t="s">
        <v>61</v>
      </c>
      <c r="B12" s="1" t="s">
        <v>48</v>
      </c>
      <c r="C12" s="1" t="s">
        <v>10</v>
      </c>
      <c r="D12" s="4">
        <v>3</v>
      </c>
      <c r="E12" s="4">
        <v>3810</v>
      </c>
      <c r="F12" s="4">
        <v>4.6128500819999996</v>
      </c>
      <c r="G12" s="2" t="s">
        <v>49</v>
      </c>
      <c r="H12" s="5">
        <v>3642</v>
      </c>
      <c r="I12" s="1" t="s">
        <v>8</v>
      </c>
      <c r="J12" s="33"/>
      <c r="K12" s="16"/>
      <c r="L12" s="16"/>
      <c r="M12" s="16"/>
      <c r="N12" t="str">
        <f>IF(COUNTIFS( $B$2:$B$657, B12, $C$2:$C$657, C12, $D$2:$D$657, D12, $E$2:$E$657, E12) &gt; 1, "Duplicate", "Unique")</f>
        <v>Unique</v>
      </c>
      <c r="O12" s="10"/>
      <c r="P12" s="10"/>
    </row>
    <row r="13" spans="1:16" ht="40.75" customHeight="1" thickBot="1" x14ac:dyDescent="0.4">
      <c r="A13" s="6" t="s">
        <v>61</v>
      </c>
      <c r="B13" s="1" t="s">
        <v>19</v>
      </c>
      <c r="C13" s="1" t="s">
        <v>10</v>
      </c>
      <c r="D13" s="4">
        <v>50</v>
      </c>
      <c r="E13" s="4">
        <v>212</v>
      </c>
      <c r="F13" s="4">
        <v>4.433497537</v>
      </c>
      <c r="G13" s="2" t="s">
        <v>39</v>
      </c>
      <c r="H13" s="5">
        <v>203</v>
      </c>
      <c r="I13" s="1" t="s">
        <v>8</v>
      </c>
      <c r="J13" s="33" t="s">
        <v>40</v>
      </c>
      <c r="K13" s="16"/>
      <c r="L13" s="16"/>
      <c r="M13" s="16"/>
      <c r="N13" t="str">
        <f>IF(COUNTIFS( $B$2:$B$657, B13, $C$2:$C$657, C13, $D$2:$D$657, D13, $E$2:$E$657, E13) &gt; 1, "Duplicate", "Unique")</f>
        <v>Unique</v>
      </c>
    </row>
    <row r="14" spans="1:16" ht="40.75" customHeight="1" thickBot="1" x14ac:dyDescent="0.4">
      <c r="A14" s="6" t="s">
        <v>61</v>
      </c>
      <c r="B14" s="1" t="s">
        <v>48</v>
      </c>
      <c r="C14" s="1" t="s">
        <v>10</v>
      </c>
      <c r="D14" s="4">
        <v>2</v>
      </c>
      <c r="E14" s="4">
        <v>3760</v>
      </c>
      <c r="F14" s="4">
        <v>3.239978034</v>
      </c>
      <c r="G14" s="2" t="s">
        <v>49</v>
      </c>
      <c r="H14" s="5">
        <v>3642</v>
      </c>
      <c r="I14" s="1" t="s">
        <v>8</v>
      </c>
      <c r="J14" s="33"/>
      <c r="K14" s="16"/>
      <c r="L14" s="16"/>
      <c r="M14" s="16"/>
      <c r="N14" t="str">
        <f>IF(COUNTIFS( $B$2:$B$657, B14, $C$2:$C$657, C14, $D$2:$D$657, D14, $E$2:$E$657, E14) &gt; 1, "Duplicate", "Unique")</f>
        <v>Unique</v>
      </c>
      <c r="O14"/>
    </row>
    <row r="15" spans="1:16" ht="15" customHeight="1" thickBot="1" x14ac:dyDescent="0.4">
      <c r="A15" s="3">
        <v>46252.6875</v>
      </c>
      <c r="B15" s="1" t="s">
        <v>20</v>
      </c>
      <c r="C15" s="1" t="s">
        <v>10</v>
      </c>
      <c r="D15" s="4">
        <v>20</v>
      </c>
      <c r="E15" s="4">
        <v>122</v>
      </c>
      <c r="F15" s="4">
        <v>1.7854163190000001</v>
      </c>
      <c r="G15" s="2" t="s">
        <v>85</v>
      </c>
      <c r="H15" s="5">
        <v>119.86</v>
      </c>
      <c r="I15" s="1" t="s">
        <v>8</v>
      </c>
      <c r="J15" s="34" t="s">
        <v>40</v>
      </c>
      <c r="K15" s="16"/>
      <c r="L15" s="16"/>
      <c r="M15" s="16"/>
      <c r="N15" t="str">
        <f>IF(COUNTIFS( $B$2:$B$657, B15, $C$2:$C$657, C15, $D$2:$D$657, D15, $E$2:$E$657, E15) &gt; 1, "Duplicate", "Unique")</f>
        <v>Unique</v>
      </c>
    </row>
    <row r="16" spans="1:16" ht="27.65" customHeight="1" thickBot="1" x14ac:dyDescent="0.4">
      <c r="A16" s="6" t="s">
        <v>61</v>
      </c>
      <c r="B16" s="1" t="s">
        <v>19</v>
      </c>
      <c r="C16" s="1" t="s">
        <v>10</v>
      </c>
      <c r="D16" s="4">
        <v>50</v>
      </c>
      <c r="E16" s="4">
        <v>206</v>
      </c>
      <c r="F16" s="4">
        <v>1.477832512</v>
      </c>
      <c r="G16" s="2" t="s">
        <v>39</v>
      </c>
      <c r="H16" s="5">
        <v>203</v>
      </c>
      <c r="I16" s="1" t="s">
        <v>8</v>
      </c>
      <c r="J16" s="33" t="s">
        <v>40</v>
      </c>
      <c r="K16" s="16"/>
      <c r="L16" s="16"/>
      <c r="M16" s="16"/>
      <c r="N16" t="str">
        <f>IF(COUNTIFS( $B$2:$B$657, B16, $C$2:$C$657, C16, $D$2:$D$657, D16, $E$2:$E$657, E16) &gt; 1, "Duplicate", "Unique")</f>
        <v>Unique</v>
      </c>
      <c r="O16"/>
      <c r="P16"/>
    </row>
    <row r="17" spans="1:16" ht="40.75" customHeight="1" thickBot="1" x14ac:dyDescent="0.4">
      <c r="A17" s="3">
        <v>46252.635416666664</v>
      </c>
      <c r="B17" s="1" t="s">
        <v>77</v>
      </c>
      <c r="C17" s="1" t="s">
        <v>10</v>
      </c>
      <c r="D17" s="4">
        <v>3</v>
      </c>
      <c r="E17" s="4">
        <v>1302</v>
      </c>
      <c r="F17" s="4">
        <v>1.4018691590000001</v>
      </c>
      <c r="G17" s="2" t="s">
        <v>78</v>
      </c>
      <c r="H17" s="5">
        <v>1284</v>
      </c>
      <c r="I17" s="1" t="s">
        <v>8</v>
      </c>
      <c r="J17" s="33" t="s">
        <v>40</v>
      </c>
      <c r="K17" s="16"/>
      <c r="L17" s="16"/>
      <c r="M17" s="16"/>
      <c r="N17" t="str">
        <f>IF(COUNTIFS( $B$2:$B$657, B17, $C$2:$C$657, C17, $D$2:$D$657, D17, $E$2:$E$657, E17) &gt; 1, "Duplicate", "Unique")</f>
        <v>Unique</v>
      </c>
      <c r="O17"/>
      <c r="P17"/>
    </row>
    <row r="18" spans="1:16" s="22" customFormat="1" ht="27.65" customHeight="1" thickBot="1" x14ac:dyDescent="0.4">
      <c r="A18" s="6" t="s">
        <v>61</v>
      </c>
      <c r="B18" s="1" t="s">
        <v>81</v>
      </c>
      <c r="C18" s="1" t="s">
        <v>10</v>
      </c>
      <c r="D18" s="4">
        <v>1</v>
      </c>
      <c r="E18" s="4">
        <v>4010</v>
      </c>
      <c r="F18" s="4">
        <v>1.0151900650000001</v>
      </c>
      <c r="G18" s="2" t="s">
        <v>82</v>
      </c>
      <c r="H18" s="5">
        <v>3969.7</v>
      </c>
      <c r="I18" s="1" t="s">
        <v>8</v>
      </c>
      <c r="J18" s="33" t="s">
        <v>40</v>
      </c>
      <c r="K18" s="16"/>
      <c r="L18" s="16"/>
      <c r="M18" s="16"/>
      <c r="N18" t="str">
        <f>IF(COUNTIFS( $B$2:$B$657, B18, $C$2:$C$657, C18, $D$2:$D$657, D18, $E$2:$E$657, E18) &gt; 1, "Duplicate", "Unique")</f>
        <v>Unique</v>
      </c>
      <c r="O18" s="10"/>
      <c r="P18" s="10"/>
    </row>
    <row r="19" spans="1:16" ht="27.65" customHeight="1" thickBot="1" x14ac:dyDescent="0.4">
      <c r="A19" s="3">
        <v>46283.375</v>
      </c>
      <c r="B19" s="1" t="s">
        <v>31</v>
      </c>
      <c r="C19" s="1" t="s">
        <v>10</v>
      </c>
      <c r="D19" s="4">
        <v>20</v>
      </c>
      <c r="E19" s="4">
        <v>870.2</v>
      </c>
      <c r="F19" s="4">
        <v>0.83429895710000002</v>
      </c>
      <c r="G19" s="2" t="s">
        <v>84</v>
      </c>
      <c r="H19" s="5">
        <v>863</v>
      </c>
      <c r="I19" s="1" t="s">
        <v>8</v>
      </c>
      <c r="J19" s="21" t="s">
        <v>54</v>
      </c>
      <c r="K19" s="17" t="s">
        <v>279</v>
      </c>
      <c r="L19" s="17">
        <v>17920</v>
      </c>
      <c r="M19" s="17">
        <f>ABS((D19*E19)-L19)</f>
        <v>516</v>
      </c>
      <c r="N19" s="10" t="str">
        <f>IF(COUNTIFS( $B$2:$B$657, B19, $C$2:$C$657, C19, $D$2:$D$657, D19, $E$2:$E$657, E19) &gt; 1, "Duplicate", "Unique")</f>
        <v>Unique</v>
      </c>
    </row>
    <row r="20" spans="1:16" ht="27.65" customHeight="1" thickBot="1" x14ac:dyDescent="0.4">
      <c r="A20" s="3">
        <v>46261.375</v>
      </c>
      <c r="B20" s="1" t="s">
        <v>31</v>
      </c>
      <c r="C20" s="1" t="s">
        <v>10</v>
      </c>
      <c r="D20" s="4">
        <v>20</v>
      </c>
      <c r="E20" s="4">
        <v>870</v>
      </c>
      <c r="F20" s="4">
        <v>0.81112398610000003</v>
      </c>
      <c r="G20" s="2" t="s">
        <v>84</v>
      </c>
      <c r="H20" s="5">
        <v>863</v>
      </c>
      <c r="I20" s="1" t="s">
        <v>8</v>
      </c>
      <c r="J20" s="21" t="s">
        <v>40</v>
      </c>
      <c r="K20" s="17" t="s">
        <v>181</v>
      </c>
      <c r="L20" s="17">
        <v>17700</v>
      </c>
      <c r="M20" s="17">
        <f>ABS((D20*E20)-L20)</f>
        <v>300</v>
      </c>
      <c r="N20" s="10" t="str">
        <f>IF(COUNTIFS( $B$2:$B$657, B20, $C$2:$C$657, C20, $D$2:$D$657, D20, $E$2:$E$657, E20) &gt; 1, "Duplicate", "Unique")</f>
        <v>Unique</v>
      </c>
      <c r="P20" s="22"/>
    </row>
    <row r="21" spans="1:16" ht="27.65" customHeight="1" thickBot="1" x14ac:dyDescent="0.4">
      <c r="A21" s="6" t="s">
        <v>61</v>
      </c>
      <c r="B21" s="1" t="s">
        <v>77</v>
      </c>
      <c r="C21" s="1" t="s">
        <v>10</v>
      </c>
      <c r="D21" s="4">
        <v>69</v>
      </c>
      <c r="E21" s="4">
        <v>1277</v>
      </c>
      <c r="F21" s="4">
        <v>-0.54517133959999997</v>
      </c>
      <c r="G21" s="2" t="s">
        <v>78</v>
      </c>
      <c r="H21" s="5">
        <v>1284</v>
      </c>
      <c r="I21" s="1" t="s">
        <v>8</v>
      </c>
      <c r="J21" s="33"/>
      <c r="K21" s="16"/>
      <c r="L21" s="16"/>
      <c r="M21" s="16"/>
      <c r="N21" t="str">
        <f>IF(COUNTIFS( $B$2:$B$657, B21, $C$2:$C$657, C21, $D$2:$D$657, D21, $E$2:$E$657, E21) &gt; 1, "Duplicate", "Unique")</f>
        <v>Unique</v>
      </c>
      <c r="O21"/>
      <c r="P21"/>
    </row>
    <row r="22" spans="1:16" ht="27.65" customHeight="1" thickBot="1" x14ac:dyDescent="0.4">
      <c r="A22" s="3">
        <v>46254.375</v>
      </c>
      <c r="B22" s="1" t="s">
        <v>32</v>
      </c>
      <c r="C22" s="1" t="s">
        <v>10</v>
      </c>
      <c r="D22" s="4">
        <v>7</v>
      </c>
      <c r="E22" s="4">
        <v>2230</v>
      </c>
      <c r="F22" s="4">
        <v>-0.71237756009999997</v>
      </c>
      <c r="G22" s="2" t="s">
        <v>83</v>
      </c>
      <c r="H22" s="5">
        <v>2246</v>
      </c>
      <c r="I22" s="1" t="s">
        <v>8</v>
      </c>
      <c r="J22" s="47" t="s">
        <v>54</v>
      </c>
      <c r="K22" s="16" t="s">
        <v>146</v>
      </c>
      <c r="L22" s="16"/>
      <c r="M22" s="16"/>
      <c r="N22" s="10" t="str">
        <f>IF(COUNTIFS( $B$2:$B$657, B22, $C$2:$C$657, C22, $D$2:$D$657, D22, $E$2:$E$657, E22) &gt; 1, "Duplicate", "Unique")</f>
        <v>Unique</v>
      </c>
      <c r="O22"/>
      <c r="P22"/>
    </row>
    <row r="23" spans="1:16" ht="27.65" customHeight="1" thickBot="1" x14ac:dyDescent="0.4">
      <c r="A23" s="6" t="s">
        <v>61</v>
      </c>
      <c r="B23" s="1" t="s">
        <v>20</v>
      </c>
      <c r="C23" s="1" t="s">
        <v>10</v>
      </c>
      <c r="D23" s="4">
        <v>50</v>
      </c>
      <c r="E23" s="4">
        <v>119</v>
      </c>
      <c r="F23" s="4">
        <v>-0.71750375440000003</v>
      </c>
      <c r="G23" s="2" t="s">
        <v>85</v>
      </c>
      <c r="H23" s="5">
        <v>119.86</v>
      </c>
      <c r="I23" s="1" t="s">
        <v>8</v>
      </c>
      <c r="J23" s="33"/>
      <c r="K23" s="16"/>
      <c r="L23" s="16"/>
      <c r="M23" s="16"/>
      <c r="N23" t="str">
        <f>IF(COUNTIFS( $B$2:$B$657, B23, $C$2:$C$657, C23, $D$2:$D$657, D23, $E$2:$E$657, E23) &gt; 1, "Duplicate", "Unique")</f>
        <v>Unique</v>
      </c>
      <c r="O23"/>
    </row>
    <row r="24" spans="1:16" ht="27.65" customHeight="1" thickBot="1" x14ac:dyDescent="0.4">
      <c r="A24" s="46">
        <v>46308.620138888888</v>
      </c>
      <c r="B24" s="2" t="s">
        <v>73</v>
      </c>
      <c r="C24" s="2" t="s">
        <v>10</v>
      </c>
      <c r="D24" s="5">
        <v>10</v>
      </c>
      <c r="E24" s="5">
        <v>3310</v>
      </c>
      <c r="F24" s="4">
        <v>-0.83882564410000005</v>
      </c>
      <c r="G24" s="2" t="s">
        <v>74</v>
      </c>
      <c r="H24" s="5">
        <v>3338</v>
      </c>
      <c r="I24" s="1" t="s">
        <v>8</v>
      </c>
      <c r="J24" s="21" t="s">
        <v>54</v>
      </c>
      <c r="K24" s="17" t="s">
        <v>325</v>
      </c>
      <c r="L24" s="17">
        <v>33800</v>
      </c>
      <c r="M24" s="17">
        <f>ABS((D24*E24)-L24)</f>
        <v>700</v>
      </c>
      <c r="N24" t="str">
        <f>IF(COUNTIFS( $B$2:$B$657, B24, $C$2:$C$657, C24, $D$2:$D$657, D24, $E$2:$E$657, E24) &gt; 1, "Duplicate", "Unique")</f>
        <v>Unique</v>
      </c>
    </row>
    <row r="25" spans="1:16" ht="27.65" customHeight="1" thickBot="1" x14ac:dyDescent="0.4">
      <c r="A25" s="46">
        <v>46308.407638888886</v>
      </c>
      <c r="B25" s="2" t="s">
        <v>50</v>
      </c>
      <c r="C25" s="2" t="s">
        <v>10</v>
      </c>
      <c r="D25" s="5">
        <v>40</v>
      </c>
      <c r="E25" s="5">
        <v>871</v>
      </c>
      <c r="F25" s="4">
        <v>-0.96645821489999995</v>
      </c>
      <c r="G25" s="2" t="s">
        <v>51</v>
      </c>
      <c r="H25" s="5">
        <v>879.5</v>
      </c>
      <c r="I25" s="1" t="s">
        <v>8</v>
      </c>
      <c r="J25" s="21" t="s">
        <v>54</v>
      </c>
      <c r="K25" s="17" t="s">
        <v>330</v>
      </c>
      <c r="L25" s="17">
        <v>35560</v>
      </c>
      <c r="M25" s="17">
        <f>ABS((D25*E25)-L25)</f>
        <v>720</v>
      </c>
      <c r="N25" t="str">
        <f>IF(COUNTIFS( $B$2:$B$657, B25, $C$2:$C$657, C25, $D$2:$D$657, D25, $E$2:$E$657, E25) &gt; 1, "Duplicate", "Unique")</f>
        <v>Unique</v>
      </c>
    </row>
    <row r="26" spans="1:16" ht="27.65" customHeight="1" thickBot="1" x14ac:dyDescent="0.4">
      <c r="A26" s="3">
        <v>46307.375</v>
      </c>
      <c r="B26" s="1" t="s">
        <v>73</v>
      </c>
      <c r="C26" s="1" t="s">
        <v>10</v>
      </c>
      <c r="D26" s="4">
        <v>5</v>
      </c>
      <c r="E26" s="4">
        <v>3288</v>
      </c>
      <c r="F26" s="4">
        <v>-1.497902936</v>
      </c>
      <c r="G26" s="2" t="s">
        <v>74</v>
      </c>
      <c r="H26" s="5">
        <v>3338</v>
      </c>
      <c r="I26" s="1" t="s">
        <v>8</v>
      </c>
      <c r="J26" s="55" t="s">
        <v>54</v>
      </c>
      <c r="K26" t="s">
        <v>321</v>
      </c>
      <c r="L26">
        <v>16740</v>
      </c>
      <c r="M26" s="17">
        <f>ABS((D26*E26)-L26)</f>
        <v>300</v>
      </c>
      <c r="N26" s="10" t="str">
        <f>IF(COUNTIFS( $B$2:$B$657, B26, $C$2:$C$657, C26, $D$2:$D$657, D26, $E$2:$E$657, E26) &gt; 1, "Duplicate", "Unique")</f>
        <v>Unique</v>
      </c>
    </row>
    <row r="27" spans="1:16" s="22" customFormat="1" ht="27.65" customHeight="1" thickBot="1" x14ac:dyDescent="0.4">
      <c r="A27" s="3">
        <v>46252.635416666664</v>
      </c>
      <c r="B27" s="1" t="s">
        <v>31</v>
      </c>
      <c r="C27" s="1" t="s">
        <v>10</v>
      </c>
      <c r="D27" s="4">
        <v>50</v>
      </c>
      <c r="E27" s="4">
        <v>850</v>
      </c>
      <c r="F27" s="4">
        <v>-1.5063731170000001</v>
      </c>
      <c r="G27" s="2" t="s">
        <v>84</v>
      </c>
      <c r="H27" s="5">
        <v>863</v>
      </c>
      <c r="I27" s="1" t="s">
        <v>8</v>
      </c>
      <c r="J27" s="34" t="s">
        <v>54</v>
      </c>
      <c r="K27" s="16"/>
      <c r="L27" s="16"/>
      <c r="M27" s="16"/>
      <c r="N27" t="str">
        <f>IF(COUNTIFS( $B$2:$B$657, B27, $C$2:$C$657, C27, $D$2:$D$657, D27, $E$2:$E$657, E27) &gt; 1, "Duplicate", "Unique")</f>
        <v>Unique</v>
      </c>
      <c r="O27" s="10"/>
      <c r="P27"/>
    </row>
    <row r="28" spans="1:16" ht="27.65" customHeight="1" thickBot="1" x14ac:dyDescent="0.4">
      <c r="A28" s="3">
        <v>46252.6875</v>
      </c>
      <c r="B28" s="1" t="s">
        <v>17</v>
      </c>
      <c r="C28" s="1" t="s">
        <v>10</v>
      </c>
      <c r="D28" s="4">
        <v>25</v>
      </c>
      <c r="E28" s="4">
        <v>326</v>
      </c>
      <c r="F28" s="4">
        <v>-1.688781665</v>
      </c>
      <c r="G28" s="2" t="s">
        <v>76</v>
      </c>
      <c r="H28" s="5">
        <v>331.6</v>
      </c>
      <c r="I28" s="1" t="s">
        <v>8</v>
      </c>
      <c r="J28" s="33" t="s">
        <v>40</v>
      </c>
      <c r="K28" s="16"/>
      <c r="L28" s="16"/>
      <c r="M28" s="16"/>
      <c r="N28" t="str">
        <f>IF(COUNTIFS( $B$2:$B$657, B28, $C$2:$C$657, C28, $D$2:$D$657, D28, $E$2:$E$657, E28) &gt; 1, "Duplicate", "Unique")</f>
        <v>Unique</v>
      </c>
      <c r="O28"/>
      <c r="P28"/>
    </row>
    <row r="29" spans="1:16" ht="27.65" customHeight="1" thickBot="1" x14ac:dyDescent="0.4">
      <c r="A29" s="46">
        <v>46308.375</v>
      </c>
      <c r="B29" s="2" t="s">
        <v>56</v>
      </c>
      <c r="C29" s="2" t="s">
        <v>10</v>
      </c>
      <c r="D29" s="5">
        <v>5</v>
      </c>
      <c r="E29" s="5">
        <v>2912</v>
      </c>
      <c r="F29" s="4">
        <v>-1.9858633459999999</v>
      </c>
      <c r="G29" s="2" t="s">
        <v>57</v>
      </c>
      <c r="H29" s="5">
        <v>2971</v>
      </c>
      <c r="I29" s="1" t="s">
        <v>8</v>
      </c>
      <c r="J29" s="21" t="s">
        <v>54</v>
      </c>
      <c r="K29" s="17" t="s">
        <v>333</v>
      </c>
      <c r="L29" s="17">
        <v>14860</v>
      </c>
      <c r="M29" s="17">
        <f>ABS((D29*E29)-L29)</f>
        <v>300</v>
      </c>
      <c r="N29" t="str">
        <f>IF(COUNTIFS( $B$2:$B$657, B29, $C$2:$C$657, C29, $D$2:$D$657, D29, $E$2:$E$657, E29) &gt; 1, "Duplicate", "Unique")</f>
        <v>Unique</v>
      </c>
    </row>
    <row r="30" spans="1:16" ht="27.65" customHeight="1" thickBot="1" x14ac:dyDescent="0.4">
      <c r="A30" s="69" t="s">
        <v>61</v>
      </c>
      <c r="B30" s="58" t="s">
        <v>50</v>
      </c>
      <c r="C30" s="58" t="s">
        <v>10</v>
      </c>
      <c r="D30" s="59">
        <v>40</v>
      </c>
      <c r="E30" s="59">
        <v>862</v>
      </c>
      <c r="F30" s="4">
        <v>-1.989766913</v>
      </c>
      <c r="G30" s="2" t="s">
        <v>51</v>
      </c>
      <c r="H30" s="5">
        <v>879.5</v>
      </c>
      <c r="I30" s="1" t="s">
        <v>8</v>
      </c>
      <c r="J30" s="70" t="s">
        <v>54</v>
      </c>
      <c r="K30" s="71"/>
      <c r="L30" s="71"/>
      <c r="M30" s="71"/>
      <c r="N30" s="60" t="str">
        <f>IF(COUNTIFS( $B$2:$B$657, B30, $C$2:$C$657, C30, $D$2:$D$657, D30, $E$2:$E$657, E30) &gt; 1, "Duplicate", "Unique")</f>
        <v>Unique</v>
      </c>
      <c r="O30" s="60"/>
      <c r="P30" s="60"/>
    </row>
    <row r="31" spans="1:16" s="27" customFormat="1" ht="14.4" customHeight="1" thickBot="1" x14ac:dyDescent="0.4">
      <c r="A31" s="6" t="s">
        <v>61</v>
      </c>
      <c r="B31" s="1" t="s">
        <v>18</v>
      </c>
      <c r="C31" s="1" t="s">
        <v>10</v>
      </c>
      <c r="D31" s="4">
        <v>5</v>
      </c>
      <c r="E31" s="4">
        <v>1614</v>
      </c>
      <c r="F31" s="4">
        <v>-2.069049208</v>
      </c>
      <c r="G31" s="2" t="s">
        <v>101</v>
      </c>
      <c r="H31" s="5">
        <v>1648.1</v>
      </c>
      <c r="I31" s="1" t="s">
        <v>8</v>
      </c>
      <c r="J31" s="57" t="s">
        <v>40</v>
      </c>
      <c r="K31" s="16"/>
      <c r="L31" s="16"/>
      <c r="M31" s="16"/>
      <c r="N31" t="str">
        <f>IF(COUNTIFS( $B$2:$B$657, B31, $C$2:$C$657, C31, $D$2:$D$657, D31, $E$2:$E$657, E31) &gt; 1, "Duplicate", "Unique")</f>
        <v>Unique</v>
      </c>
      <c r="O31"/>
      <c r="P31"/>
    </row>
    <row r="32" spans="1:16" s="27" customFormat="1" ht="14.4" customHeight="1" thickBot="1" x14ac:dyDescent="0.4">
      <c r="A32" s="78">
        <v>46309</v>
      </c>
      <c r="B32" s="2" t="s">
        <v>9</v>
      </c>
      <c r="C32" s="2" t="s">
        <v>10</v>
      </c>
      <c r="D32" s="5">
        <v>50</v>
      </c>
      <c r="E32" s="5">
        <v>281</v>
      </c>
      <c r="F32" s="4">
        <v>-2.9528578830000001</v>
      </c>
      <c r="G32" s="2" t="s">
        <v>94</v>
      </c>
      <c r="H32" s="5">
        <v>289.55</v>
      </c>
      <c r="I32" s="1" t="s">
        <v>8</v>
      </c>
      <c r="J32" s="21" t="s">
        <v>54</v>
      </c>
      <c r="K32" s="17" t="s">
        <v>336</v>
      </c>
      <c r="L32" s="17">
        <v>14450</v>
      </c>
      <c r="M32" s="17">
        <f t="shared" ref="M32:M37" si="0">ABS((D32*E32)-L32)</f>
        <v>400</v>
      </c>
      <c r="N32" s="10" t="str">
        <f>IF(COUNTIFS( $B$2:$B$657, B32, $C$2:$C$657, C32, $D$2:$D$657, D32, $E$2:$E$657, E32) &gt; 1, "Duplicate", "Unique")</f>
        <v>Unique</v>
      </c>
      <c r="O32" s="10"/>
      <c r="P32" s="10"/>
    </row>
    <row r="33" spans="1:16" ht="14.4" customHeight="1" thickBot="1" x14ac:dyDescent="0.4">
      <c r="A33" s="46">
        <v>46301.393055555556</v>
      </c>
      <c r="B33" s="2" t="s">
        <v>33</v>
      </c>
      <c r="C33" s="2" t="s">
        <v>10</v>
      </c>
      <c r="D33" s="5">
        <v>1</v>
      </c>
      <c r="E33" s="5">
        <v>19550</v>
      </c>
      <c r="F33" s="4">
        <v>-3.0738720869999998</v>
      </c>
      <c r="G33" s="2" t="s">
        <v>70</v>
      </c>
      <c r="H33" s="5">
        <v>20170</v>
      </c>
      <c r="I33" s="1" t="s">
        <v>8</v>
      </c>
      <c r="J33" s="21" t="s">
        <v>40</v>
      </c>
      <c r="K33" s="17" t="s">
        <v>304</v>
      </c>
      <c r="L33" s="17">
        <v>20020</v>
      </c>
      <c r="M33" s="17">
        <f t="shared" si="0"/>
        <v>470</v>
      </c>
      <c r="N33" s="10" t="str">
        <f>IF(COUNTIFS( $B$2:$B$657, B33, $C$2:$C$657, C33, $D$2:$D$657, D33, $E$2:$E$657, E33) &gt; 1, "Duplicate", "Unique")</f>
        <v>Unique</v>
      </c>
    </row>
    <row r="34" spans="1:16" s="22" customFormat="1" ht="14.4" customHeight="1" thickBot="1" x14ac:dyDescent="0.4">
      <c r="A34" s="50">
        <v>46304.375</v>
      </c>
      <c r="B34" s="51" t="s">
        <v>50</v>
      </c>
      <c r="C34" s="51" t="s">
        <v>10</v>
      </c>
      <c r="D34" s="52">
        <v>10</v>
      </c>
      <c r="E34" s="52">
        <v>852</v>
      </c>
      <c r="F34" s="4">
        <v>-3.1267765779999999</v>
      </c>
      <c r="G34" s="2" t="s">
        <v>51</v>
      </c>
      <c r="H34" s="5">
        <v>879.5</v>
      </c>
      <c r="I34" s="1" t="s">
        <v>8</v>
      </c>
      <c r="J34" s="63" t="s">
        <v>54</v>
      </c>
      <c r="K34" s="25" t="s">
        <v>318</v>
      </c>
      <c r="L34" s="25">
        <v>8570</v>
      </c>
      <c r="M34" s="25">
        <f t="shared" si="0"/>
        <v>50</v>
      </c>
      <c r="N34" s="26" t="str">
        <f>IF(COUNTIFS( $B$2:$B$657, B34, $C$2:$C$657, C34, $D$2:$D$657, D34, $E$2:$E$657, E34) &gt; 1, "Duplicate", "Unique")</f>
        <v>Duplicate</v>
      </c>
      <c r="O34" s="27"/>
      <c r="P34" s="27"/>
    </row>
    <row r="35" spans="1:16" s="23" customFormat="1" ht="14.4" customHeight="1" thickBot="1" x14ac:dyDescent="0.4">
      <c r="A35" s="28">
        <v>46307.375</v>
      </c>
      <c r="B35" s="29" t="s">
        <v>50</v>
      </c>
      <c r="C35" s="29" t="s">
        <v>10</v>
      </c>
      <c r="D35" s="30">
        <v>10</v>
      </c>
      <c r="E35" s="30">
        <v>852</v>
      </c>
      <c r="F35" s="4">
        <v>-3.1267765779999999</v>
      </c>
      <c r="G35" s="2" t="s">
        <v>51</v>
      </c>
      <c r="H35" s="5">
        <v>879.5</v>
      </c>
      <c r="I35" s="1" t="s">
        <v>8</v>
      </c>
      <c r="J35" s="79" t="s">
        <v>54</v>
      </c>
      <c r="K35" s="26" t="s">
        <v>320</v>
      </c>
      <c r="L35" s="26">
        <v>8670</v>
      </c>
      <c r="M35" s="25">
        <f t="shared" si="0"/>
        <v>150</v>
      </c>
      <c r="N35" s="27" t="str">
        <f>IF(COUNTIFS( $B$2:$B$657, B35, $C$2:$C$657, C35, $D$2:$D$657, D35, $E$2:$E$657, E35) &gt; 1, "Duplicate", "Unique")</f>
        <v>Duplicate</v>
      </c>
      <c r="O35" s="27"/>
      <c r="P35" s="27"/>
    </row>
    <row r="36" spans="1:16" ht="39" thickBot="1" x14ac:dyDescent="0.4">
      <c r="A36" s="50">
        <v>46308.375</v>
      </c>
      <c r="B36" s="51" t="s">
        <v>50</v>
      </c>
      <c r="C36" s="51" t="s">
        <v>10</v>
      </c>
      <c r="D36" s="52">
        <v>10</v>
      </c>
      <c r="E36" s="52">
        <v>852</v>
      </c>
      <c r="F36" s="4">
        <v>-3.1267765779999999</v>
      </c>
      <c r="G36" s="2" t="s">
        <v>51</v>
      </c>
      <c r="H36" s="5">
        <v>879.5</v>
      </c>
      <c r="I36" s="1" t="s">
        <v>8</v>
      </c>
      <c r="J36" s="63" t="s">
        <v>54</v>
      </c>
      <c r="K36" s="25" t="s">
        <v>331</v>
      </c>
      <c r="L36" s="25">
        <v>8870</v>
      </c>
      <c r="M36" s="25">
        <f t="shared" si="0"/>
        <v>350</v>
      </c>
      <c r="N36" s="26" t="str">
        <f>IF(COUNTIFS( $B$2:$B$657, B36, $C$2:$C$657, C36, $D$2:$D$657, D36, $E$2:$E$657, E36) &gt; 1, "Duplicate", "Unique")</f>
        <v>Duplicate</v>
      </c>
      <c r="O36" s="27"/>
      <c r="P36" s="27"/>
    </row>
    <row r="37" spans="1:16" ht="14.4" customHeight="1" thickBot="1" x14ac:dyDescent="0.4">
      <c r="A37" s="50">
        <v>46308.375</v>
      </c>
      <c r="B37" s="51" t="s">
        <v>50</v>
      </c>
      <c r="C37" s="51" t="s">
        <v>10</v>
      </c>
      <c r="D37" s="52">
        <v>10</v>
      </c>
      <c r="E37" s="52">
        <v>852</v>
      </c>
      <c r="F37" s="4">
        <v>-3.1267765779999999</v>
      </c>
      <c r="G37" s="2" t="s">
        <v>51</v>
      </c>
      <c r="H37" s="5">
        <v>879.5</v>
      </c>
      <c r="I37" s="1" t="s">
        <v>8</v>
      </c>
      <c r="J37" s="63" t="s">
        <v>54</v>
      </c>
      <c r="K37" s="25" t="s">
        <v>332</v>
      </c>
      <c r="L37" s="25">
        <v>8770</v>
      </c>
      <c r="M37" s="25">
        <f t="shared" si="0"/>
        <v>250</v>
      </c>
      <c r="N37" s="26" t="str">
        <f>IF(COUNTIFS( $B$2:$B$657, B37, $C$2:$C$657, C37, $D$2:$D$657, D37, $E$2:$E$657, E37) &gt; 1, "Duplicate", "Unique")</f>
        <v>Duplicate</v>
      </c>
      <c r="O37" s="27"/>
      <c r="P37" s="27"/>
    </row>
    <row r="38" spans="1:16" s="27" customFormat="1" ht="14.4" customHeight="1" thickBot="1" x14ac:dyDescent="0.4">
      <c r="A38" s="6" t="s">
        <v>61</v>
      </c>
      <c r="B38" s="1" t="s">
        <v>31</v>
      </c>
      <c r="C38" s="1" t="s">
        <v>10</v>
      </c>
      <c r="D38" s="4">
        <v>25</v>
      </c>
      <c r="E38" s="4">
        <v>836</v>
      </c>
      <c r="F38" s="4">
        <v>-3.1286210890000001</v>
      </c>
      <c r="G38" s="2" t="s">
        <v>84</v>
      </c>
      <c r="H38" s="5">
        <v>863</v>
      </c>
      <c r="I38" s="1" t="s">
        <v>8</v>
      </c>
      <c r="J38" s="33" t="s">
        <v>40</v>
      </c>
      <c r="K38" s="16"/>
      <c r="L38" s="16"/>
      <c r="M38" s="16"/>
      <c r="N38" t="str">
        <f>IF(COUNTIFS( $B$2:$B$657, B38, $C$2:$C$657, C38, $D$2:$D$657, D38, $E$2:$E$657, E38) &gt; 1, "Duplicate", "Unique")</f>
        <v>Unique</v>
      </c>
      <c r="O38"/>
      <c r="P38"/>
    </row>
    <row r="39" spans="1:16" s="26" customFormat="1" ht="39" thickBot="1" x14ac:dyDescent="0.4">
      <c r="A39" s="6" t="s">
        <v>61</v>
      </c>
      <c r="B39" s="1" t="s">
        <v>20</v>
      </c>
      <c r="C39" s="1" t="s">
        <v>10</v>
      </c>
      <c r="D39" s="4">
        <v>50</v>
      </c>
      <c r="E39" s="4">
        <v>116</v>
      </c>
      <c r="F39" s="4">
        <v>-3.2204238279999999</v>
      </c>
      <c r="G39" s="2" t="s">
        <v>85</v>
      </c>
      <c r="H39" s="5">
        <v>119.86</v>
      </c>
      <c r="I39" s="1" t="s">
        <v>8</v>
      </c>
      <c r="J39" s="48"/>
      <c r="K39" s="16"/>
      <c r="L39" s="16"/>
      <c r="M39" s="16"/>
      <c r="N39" t="str">
        <f>IF(COUNTIFS( $B$2:$B$657, B39, $C$2:$C$657, C39, $D$2:$D$657, D39, $E$2:$E$657, E39) &gt; 1, "Duplicate", "Unique")</f>
        <v>Unique</v>
      </c>
      <c r="O39"/>
      <c r="P39"/>
    </row>
    <row r="40" spans="1:16" s="26" customFormat="1" ht="39" thickBot="1" x14ac:dyDescent="0.4">
      <c r="A40" s="3">
        <v>46286.375</v>
      </c>
      <c r="B40" s="1" t="s">
        <v>42</v>
      </c>
      <c r="C40" s="1" t="s">
        <v>10</v>
      </c>
      <c r="D40" s="4">
        <v>5</v>
      </c>
      <c r="E40" s="4">
        <v>702</v>
      </c>
      <c r="F40" s="4">
        <v>-3.225806452</v>
      </c>
      <c r="G40" s="2" t="s">
        <v>43</v>
      </c>
      <c r="H40" s="5">
        <v>725.4</v>
      </c>
      <c r="I40" s="1" t="s">
        <v>8</v>
      </c>
      <c r="J40" s="17" t="s">
        <v>40</v>
      </c>
      <c r="K40" s="17" t="s">
        <v>281</v>
      </c>
      <c r="L40" s="17">
        <f>7470/2</f>
        <v>3735</v>
      </c>
      <c r="M40" s="17">
        <f>ABS((D40*E40)-L40)</f>
        <v>225</v>
      </c>
      <c r="N40" s="10" t="str">
        <f>IF(COUNTIFS( $B$2:$B$657, B40, $C$2:$C$657, C40, $D$2:$D$657, D40, $E$2:$E$657, E40) &gt; 1, "Duplicate", "Unique")</f>
        <v>Unique</v>
      </c>
      <c r="O40" s="10"/>
      <c r="P40" s="10"/>
    </row>
    <row r="41" spans="1:16" s="26" customFormat="1" ht="39" thickBot="1" x14ac:dyDescent="0.4">
      <c r="A41" s="46">
        <v>46308.547222222223</v>
      </c>
      <c r="B41" s="2" t="s">
        <v>102</v>
      </c>
      <c r="C41" s="2" t="s">
        <v>10</v>
      </c>
      <c r="D41" s="5">
        <v>9</v>
      </c>
      <c r="E41" s="5">
        <v>2055</v>
      </c>
      <c r="F41" s="4">
        <v>-3.266804745</v>
      </c>
      <c r="G41" s="2" t="s">
        <v>103</v>
      </c>
      <c r="H41" s="5">
        <v>2124.4</v>
      </c>
      <c r="I41" s="1" t="s">
        <v>8</v>
      </c>
      <c r="J41" s="17" t="s">
        <v>54</v>
      </c>
      <c r="K41" s="17" t="s">
        <v>326</v>
      </c>
      <c r="L41" s="17">
        <v>18855</v>
      </c>
      <c r="M41" s="17">
        <f>ABS((D41*E41)-L41)</f>
        <v>360</v>
      </c>
      <c r="N41" t="str">
        <f>IF(COUNTIFS( $B$2:$B$657, B41, $C$2:$C$657, C41, $D$2:$D$657, D41, $E$2:$E$657, E41) &gt; 1, "Duplicate", "Unique")</f>
        <v>Unique</v>
      </c>
      <c r="O41" s="10"/>
      <c r="P41" s="10"/>
    </row>
    <row r="42" spans="1:16" customFormat="1" ht="39" thickBot="1" x14ac:dyDescent="0.4">
      <c r="A42" s="6" t="s">
        <v>61</v>
      </c>
      <c r="B42" s="1" t="s">
        <v>20</v>
      </c>
      <c r="C42" s="1" t="s">
        <v>10</v>
      </c>
      <c r="D42" s="4">
        <v>200</v>
      </c>
      <c r="E42" s="4">
        <v>115.25</v>
      </c>
      <c r="F42" s="4">
        <v>-3.846153846</v>
      </c>
      <c r="G42" s="2" t="s">
        <v>85</v>
      </c>
      <c r="H42" s="5">
        <v>119.86</v>
      </c>
      <c r="I42" s="1" t="s">
        <v>8</v>
      </c>
      <c r="J42" s="48"/>
      <c r="K42" s="16"/>
      <c r="L42" s="16"/>
      <c r="M42" s="16"/>
      <c r="N42" t="str">
        <f>IF(COUNTIFS( $B$2:$B$657, B42, $C$2:$C$657, C42, $D$2:$D$657, D42, $E$2:$E$657, E42) &gt; 1, "Duplicate", "Unique")</f>
        <v>Unique</v>
      </c>
    </row>
    <row r="43" spans="1:16" s="27" customFormat="1" ht="26.5" thickBot="1" x14ac:dyDescent="0.4">
      <c r="A43" s="46">
        <v>46304.375</v>
      </c>
      <c r="B43" s="2" t="s">
        <v>13</v>
      </c>
      <c r="C43" s="2" t="s">
        <v>10</v>
      </c>
      <c r="D43" s="5">
        <v>10</v>
      </c>
      <c r="E43" s="5">
        <v>1708.7</v>
      </c>
      <c r="F43" s="4">
        <v>-5.2301719359999996</v>
      </c>
      <c r="G43" s="2" t="s">
        <v>90</v>
      </c>
      <c r="H43" s="5">
        <v>1803</v>
      </c>
      <c r="I43" s="1" t="s">
        <v>8</v>
      </c>
      <c r="J43" s="17" t="s">
        <v>54</v>
      </c>
      <c r="K43" s="17" t="s">
        <v>317</v>
      </c>
      <c r="L43" s="17">
        <v>17487</v>
      </c>
      <c r="M43" s="17">
        <f t="shared" ref="M43:M47" si="1">ABS((D43*E43)-L43)</f>
        <v>400</v>
      </c>
      <c r="N43" t="str">
        <f>IF(COUNTIFS( $B$2:$B$657, B43, $C$2:$C$657, C43, $D$2:$D$657, D43, $E$2:$E$657, E43) &gt; 1, "Duplicate", "Unique")</f>
        <v>Unique</v>
      </c>
      <c r="O43" s="10"/>
      <c r="P43" s="10"/>
    </row>
    <row r="44" spans="1:16" s="61" customFormat="1" ht="26.5" thickBot="1" x14ac:dyDescent="0.4">
      <c r="A44" s="78">
        <v>46309</v>
      </c>
      <c r="B44" s="2" t="s">
        <v>108</v>
      </c>
      <c r="C44" s="2" t="s">
        <v>10</v>
      </c>
      <c r="D44" s="5">
        <v>1</v>
      </c>
      <c r="E44" s="5">
        <v>4640</v>
      </c>
      <c r="F44" s="4">
        <v>-5.9395905129999997</v>
      </c>
      <c r="G44" s="2" t="s">
        <v>109</v>
      </c>
      <c r="H44" s="5">
        <v>4933</v>
      </c>
      <c r="I44" s="1" t="s">
        <v>8</v>
      </c>
      <c r="J44" s="17" t="s">
        <v>40</v>
      </c>
      <c r="K44" s="17" t="s">
        <v>335</v>
      </c>
      <c r="L44" s="17">
        <v>4940</v>
      </c>
      <c r="M44" s="17">
        <f t="shared" si="1"/>
        <v>300</v>
      </c>
      <c r="N44" s="10" t="str">
        <f>IF(COUNTIFS( $B$2:$B$657, B44, $C$2:$C$657, C44, $D$2:$D$657, D44, $E$2:$E$657, E44) &gt; 1, "Duplicate", "Unique")</f>
        <v>Unique</v>
      </c>
      <c r="O44" s="10"/>
      <c r="P44" s="10"/>
    </row>
    <row r="45" spans="1:16" ht="26.5" thickBot="1" x14ac:dyDescent="0.4">
      <c r="A45" s="46">
        <v>46308.538888888892</v>
      </c>
      <c r="B45" s="2" t="s">
        <v>46</v>
      </c>
      <c r="C45" s="2" t="s">
        <v>10</v>
      </c>
      <c r="D45" s="5">
        <v>8</v>
      </c>
      <c r="E45" s="5">
        <v>2155</v>
      </c>
      <c r="F45" s="4">
        <v>-6.5035359450000003</v>
      </c>
      <c r="G45" s="2" t="s">
        <v>47</v>
      </c>
      <c r="H45" s="5">
        <v>2304.9</v>
      </c>
      <c r="I45" s="1" t="s">
        <v>8</v>
      </c>
      <c r="J45" s="17" t="s">
        <v>54</v>
      </c>
      <c r="K45" s="17" t="s">
        <v>328</v>
      </c>
      <c r="L45" s="17">
        <v>18040</v>
      </c>
      <c r="M45" s="17">
        <f t="shared" si="1"/>
        <v>800</v>
      </c>
      <c r="N45" t="str">
        <f>IF(COUNTIFS( $B$2:$B$657, B45, $C$2:$C$657, C45, $D$2:$D$657, D45, $E$2:$E$657, E45) &gt; 1, "Duplicate", "Unique")</f>
        <v>Unique</v>
      </c>
    </row>
    <row r="46" spans="1:16" ht="26.5" thickBot="1" x14ac:dyDescent="0.4">
      <c r="A46" s="3">
        <v>46302.468055555553</v>
      </c>
      <c r="B46" s="1" t="s">
        <v>73</v>
      </c>
      <c r="C46" s="1" t="s">
        <v>10</v>
      </c>
      <c r="D46" s="4">
        <v>2</v>
      </c>
      <c r="E46" s="4">
        <v>3110</v>
      </c>
      <c r="F46" s="4">
        <v>-6.830437388</v>
      </c>
      <c r="G46" s="2" t="s">
        <v>74</v>
      </c>
      <c r="H46" s="5">
        <v>3338</v>
      </c>
      <c r="I46" s="1" t="s">
        <v>8</v>
      </c>
      <c r="J46" s="17" t="s">
        <v>40</v>
      </c>
      <c r="K46" s="17" t="s">
        <v>305</v>
      </c>
      <c r="L46" s="17">
        <f>2*3334</f>
        <v>6668</v>
      </c>
      <c r="M46" s="17">
        <f t="shared" si="1"/>
        <v>448</v>
      </c>
      <c r="N46" s="10" t="str">
        <f>IF(COUNTIFS( $B$2:$B$657, B46, $C$2:$C$657, C46, $D$2:$D$657, D46, $E$2:$E$657, E46) &gt; 1, "Duplicate", "Unique")</f>
        <v>Unique</v>
      </c>
    </row>
    <row r="47" spans="1:16" ht="27.65" customHeight="1" thickBot="1" x14ac:dyDescent="0.4">
      <c r="A47" s="46">
        <v>46308.536805555559</v>
      </c>
      <c r="B47" s="2" t="s">
        <v>25</v>
      </c>
      <c r="C47" s="2" t="s">
        <v>10</v>
      </c>
      <c r="D47" s="5">
        <v>200</v>
      </c>
      <c r="E47" s="5">
        <v>31.1</v>
      </c>
      <c r="F47" s="4">
        <v>-7.2195704059999999</v>
      </c>
      <c r="G47" s="2" t="s">
        <v>45</v>
      </c>
      <c r="H47" s="5">
        <v>33.520000000000003</v>
      </c>
      <c r="I47" s="1" t="s">
        <v>8</v>
      </c>
      <c r="J47" s="17" t="s">
        <v>54</v>
      </c>
      <c r="K47" s="17" t="s">
        <v>329</v>
      </c>
      <c r="L47" s="17">
        <v>6580</v>
      </c>
      <c r="M47" s="17">
        <f t="shared" si="1"/>
        <v>360</v>
      </c>
      <c r="N47" t="str">
        <f>IF(COUNTIFS( $B$2:$B$657, B47, $C$2:$C$657, C47, $D$2:$D$657, D47, $E$2:$E$657, E47) &gt; 1, "Duplicate", "Unique")</f>
        <v>Unique</v>
      </c>
    </row>
    <row r="48" spans="1:16" ht="39" thickBot="1" x14ac:dyDescent="0.4">
      <c r="A48" s="6" t="s">
        <v>61</v>
      </c>
      <c r="B48" s="1" t="s">
        <v>20</v>
      </c>
      <c r="C48" s="1" t="s">
        <v>10</v>
      </c>
      <c r="D48" s="4">
        <v>100</v>
      </c>
      <c r="E48" s="4">
        <v>111</v>
      </c>
      <c r="F48" s="4">
        <v>-7.391957283</v>
      </c>
      <c r="G48" s="2" t="s">
        <v>85</v>
      </c>
      <c r="H48" s="5">
        <v>119.86</v>
      </c>
      <c r="I48" s="1" t="s">
        <v>8</v>
      </c>
      <c r="J48" s="48"/>
      <c r="K48" s="16"/>
      <c r="L48" s="16"/>
      <c r="M48" s="16"/>
      <c r="N48" t="str">
        <f>IF(COUNTIFS( $B$2:$B$657, B48, $C$2:$C$657, C48, $D$2:$D$657, D48, $E$2:$E$657, E48) &gt; 1, "Duplicate", "Unique")</f>
        <v>Unique</v>
      </c>
      <c r="O48"/>
      <c r="P48"/>
    </row>
    <row r="49" spans="1:16" s="27" customFormat="1" ht="26.5" thickBot="1" x14ac:dyDescent="0.4">
      <c r="A49" s="6" t="s">
        <v>61</v>
      </c>
      <c r="B49" s="1" t="s">
        <v>108</v>
      </c>
      <c r="C49" s="1" t="s">
        <v>10</v>
      </c>
      <c r="D49" s="4">
        <v>1</v>
      </c>
      <c r="E49" s="4">
        <v>4560</v>
      </c>
      <c r="F49" s="4">
        <v>-7.5613217109999997</v>
      </c>
      <c r="G49" s="2" t="s">
        <v>109</v>
      </c>
      <c r="H49" s="5">
        <v>4933</v>
      </c>
      <c r="I49" s="1" t="s">
        <v>8</v>
      </c>
      <c r="J49" s="48"/>
      <c r="K49" s="16"/>
      <c r="L49" s="16"/>
      <c r="M49" s="16"/>
      <c r="N49" t="str">
        <f>IF(COUNTIFS( $B$2:$B$657, B49, $C$2:$C$657, C49, $D$2:$D$657, D49, $E$2:$E$657, E49) &gt; 1, "Duplicate", "Unique")</f>
        <v>Unique</v>
      </c>
      <c r="O49"/>
      <c r="P49"/>
    </row>
    <row r="50" spans="1:16" s="27" customFormat="1" ht="26.5" thickBot="1" x14ac:dyDescent="0.4">
      <c r="A50" s="46">
        <v>46301.375694444447</v>
      </c>
      <c r="B50" s="2" t="s">
        <v>13</v>
      </c>
      <c r="C50" s="2" t="s">
        <v>10</v>
      </c>
      <c r="D50" s="5">
        <v>5</v>
      </c>
      <c r="E50" s="5">
        <v>1664</v>
      </c>
      <c r="F50" s="4">
        <v>-7.7093732670000001</v>
      </c>
      <c r="G50" s="2" t="s">
        <v>90</v>
      </c>
      <c r="H50" s="5">
        <v>1803</v>
      </c>
      <c r="I50" s="1" t="s">
        <v>8</v>
      </c>
      <c r="J50" s="17" t="s">
        <v>40</v>
      </c>
      <c r="K50" s="17" t="s">
        <v>303</v>
      </c>
      <c r="L50" s="17">
        <f>5*1752</f>
        <v>8760</v>
      </c>
      <c r="M50" s="17">
        <f>ABS((D50*E50)-L50)</f>
        <v>440</v>
      </c>
      <c r="N50" s="10" t="str">
        <f>IF(COUNTIFS( $B$2:$B$657, B50, $C$2:$C$657, C50, $D$2:$D$657, D50, $E$2:$E$657, E50) &gt; 1, "Duplicate", "Unique")</f>
        <v>Unique</v>
      </c>
      <c r="O50" s="10"/>
      <c r="P50" s="10"/>
    </row>
    <row r="51" spans="1:16" ht="27.65" customHeight="1" thickBot="1" x14ac:dyDescent="0.4">
      <c r="A51" s="6" t="s">
        <v>61</v>
      </c>
      <c r="B51" s="1" t="s">
        <v>33</v>
      </c>
      <c r="C51" s="1" t="s">
        <v>10</v>
      </c>
      <c r="D51" s="4">
        <v>1</v>
      </c>
      <c r="E51" s="4">
        <v>18552</v>
      </c>
      <c r="F51" s="4">
        <v>-8.0218145760000006</v>
      </c>
      <c r="G51" s="2" t="s">
        <v>70</v>
      </c>
      <c r="H51" s="5">
        <v>20170</v>
      </c>
      <c r="I51" s="1" t="s">
        <v>8</v>
      </c>
      <c r="J51" s="48"/>
      <c r="K51" s="16"/>
      <c r="L51" s="16"/>
      <c r="M51" s="16"/>
      <c r="N51" t="str">
        <f>IF(COUNTIFS( $B$2:$B$657, B51, $C$2:$C$657, C51, $D$2:$D$657, D51, $E$2:$E$657, E51) &gt; 1, "Duplicate", "Unique")</f>
        <v>Unique</v>
      </c>
      <c r="O51"/>
      <c r="P51"/>
    </row>
    <row r="52" spans="1:16" s="74" customFormat="1" ht="40.75" customHeight="1" thickBot="1" x14ac:dyDescent="0.4">
      <c r="A52" s="75">
        <v>46307.375</v>
      </c>
      <c r="B52" s="76" t="s">
        <v>12</v>
      </c>
      <c r="C52" s="76" t="s">
        <v>10</v>
      </c>
      <c r="D52" s="77">
        <v>3</v>
      </c>
      <c r="E52" s="77">
        <v>4628</v>
      </c>
      <c r="F52" s="4">
        <v>-8.5935494059999993</v>
      </c>
      <c r="G52" s="2" t="s">
        <v>97</v>
      </c>
      <c r="H52" s="5">
        <v>5063.1000000000004</v>
      </c>
      <c r="I52" s="1" t="s">
        <v>8</v>
      </c>
      <c r="J52" s="72" t="s">
        <v>54</v>
      </c>
      <c r="K52" s="72" t="s">
        <v>323</v>
      </c>
      <c r="L52" s="72">
        <v>14544</v>
      </c>
      <c r="M52" s="73">
        <f>ABS((D52*E52)-L52)</f>
        <v>660</v>
      </c>
      <c r="N52" s="74" t="str">
        <f>IF(COUNTIFS( $B$2:$B$657, B52, $C$2:$C$657, C52, $D$2:$D$657, D52, $E$2:$E$657, E52) &gt; 1, "Duplicate", "Unique")</f>
        <v>Unique</v>
      </c>
    </row>
    <row r="53" spans="1:16" ht="27.65" customHeight="1" thickBot="1" x14ac:dyDescent="0.4">
      <c r="A53" s="46">
        <v>46304.388888888891</v>
      </c>
      <c r="B53" s="2" t="s">
        <v>46</v>
      </c>
      <c r="C53" s="2" t="s">
        <v>10</v>
      </c>
      <c r="D53" s="5">
        <v>9</v>
      </c>
      <c r="E53" s="5">
        <v>2105</v>
      </c>
      <c r="F53" s="4">
        <v>-8.6728274550000002</v>
      </c>
      <c r="G53" s="2" t="s">
        <v>47</v>
      </c>
      <c r="H53" s="5">
        <v>2304.9</v>
      </c>
      <c r="I53" s="1" t="s">
        <v>8</v>
      </c>
      <c r="J53" s="17" t="s">
        <v>54</v>
      </c>
      <c r="K53" s="17" t="s">
        <v>316</v>
      </c>
      <c r="L53" s="17">
        <v>19395</v>
      </c>
      <c r="M53" s="17">
        <f>ABS((D53*E53)-L53)</f>
        <v>450</v>
      </c>
      <c r="N53" t="str">
        <f>IF(COUNTIFS( $B$2:$B$657, B53, $C$2:$C$657, C53, $D$2:$D$657, D53, $E$2:$E$657, E53) &gt; 1, "Duplicate", "Unique")</f>
        <v>Unique</v>
      </c>
    </row>
    <row r="54" spans="1:16" ht="40.75" customHeight="1" thickBot="1" x14ac:dyDescent="0.4">
      <c r="A54" s="46">
        <v>46308.578472222223</v>
      </c>
      <c r="B54" s="2" t="s">
        <v>324</v>
      </c>
      <c r="C54" s="2" t="s">
        <v>10</v>
      </c>
      <c r="D54" s="5">
        <v>13</v>
      </c>
      <c r="E54" s="5">
        <v>1209</v>
      </c>
      <c r="F54" s="4">
        <v>-8.8922381309999992</v>
      </c>
      <c r="G54" s="2" t="s">
        <v>334</v>
      </c>
      <c r="H54" s="5">
        <v>1327</v>
      </c>
      <c r="I54" s="1" t="s">
        <v>8</v>
      </c>
      <c r="J54" s="17" t="s">
        <v>54</v>
      </c>
      <c r="K54" s="17" t="s">
        <v>327</v>
      </c>
      <c r="L54" s="17">
        <v>17017</v>
      </c>
      <c r="M54" s="17">
        <f>ABS((D54*E54)-L54)</f>
        <v>1300</v>
      </c>
      <c r="N54" t="str">
        <f>IF(COUNTIFS( $B$2:$B$657, B54, $C$2:$C$657, C54, $D$2:$D$657, D54, $E$2:$E$657, E54) &gt; 1, "Duplicate", "Unique")</f>
        <v>Unique</v>
      </c>
    </row>
    <row r="55" spans="1:16" ht="27.65" customHeight="1" thickBot="1" x14ac:dyDescent="0.4">
      <c r="A55" s="6" t="s">
        <v>61</v>
      </c>
      <c r="B55" s="1" t="s">
        <v>104</v>
      </c>
      <c r="C55" s="1" t="s">
        <v>10</v>
      </c>
      <c r="D55" s="4">
        <v>4</v>
      </c>
      <c r="E55" s="4">
        <v>1751</v>
      </c>
      <c r="F55" s="4">
        <v>-9.3685300209999998</v>
      </c>
      <c r="G55" s="2" t="s">
        <v>105</v>
      </c>
      <c r="H55" s="5">
        <v>1932</v>
      </c>
      <c r="I55" s="1" t="s">
        <v>8</v>
      </c>
      <c r="J55" s="48"/>
      <c r="K55" s="16"/>
      <c r="L55" s="16"/>
      <c r="M55" s="16"/>
      <c r="N55" t="str">
        <f>IF(COUNTIFS( $B$2:$B$657, B55, $C$2:$C$657, C55, $D$2:$D$657, D55, $E$2:$E$657, E55) &gt; 1, "Duplicate", "Unique")</f>
        <v>Unique</v>
      </c>
      <c r="O55"/>
      <c r="P55"/>
    </row>
    <row r="56" spans="1:16" ht="40.75" customHeight="1" thickBot="1" x14ac:dyDescent="0.4">
      <c r="A56" s="46">
        <v>46304.387499999997</v>
      </c>
      <c r="B56" s="2" t="s">
        <v>25</v>
      </c>
      <c r="C56" s="2" t="s">
        <v>10</v>
      </c>
      <c r="D56" s="5">
        <v>500</v>
      </c>
      <c r="E56" s="5">
        <v>30.3</v>
      </c>
      <c r="F56" s="4">
        <v>-9.6062052510000004</v>
      </c>
      <c r="G56" s="2" t="s">
        <v>45</v>
      </c>
      <c r="H56" s="5">
        <v>33.520000000000003</v>
      </c>
      <c r="I56" s="1" t="s">
        <v>8</v>
      </c>
      <c r="J56" s="17" t="s">
        <v>54</v>
      </c>
      <c r="K56" s="17" t="s">
        <v>312</v>
      </c>
      <c r="L56" s="17">
        <v>15850</v>
      </c>
      <c r="M56" s="17">
        <f>ABS((D56*E56)-L56)</f>
        <v>700</v>
      </c>
      <c r="N56" t="str">
        <f>IF(COUNTIFS( $B$2:$B$657, B56, $C$2:$C$657, C56, $D$2:$D$657, D56, $E$2:$E$657, E56) &gt; 1, "Duplicate", "Unique")</f>
        <v>Unique</v>
      </c>
    </row>
    <row r="57" spans="1:16" ht="26.5" thickBot="1" x14ac:dyDescent="0.4">
      <c r="A57" s="6" t="s">
        <v>61</v>
      </c>
      <c r="B57" s="1" t="s">
        <v>108</v>
      </c>
      <c r="C57" s="1" t="s">
        <v>10</v>
      </c>
      <c r="D57" s="4">
        <v>2</v>
      </c>
      <c r="E57" s="4">
        <v>4456</v>
      </c>
      <c r="F57" s="4">
        <v>-9.6695722679999996</v>
      </c>
      <c r="G57" s="2" t="s">
        <v>109</v>
      </c>
      <c r="H57" s="5">
        <v>4933</v>
      </c>
      <c r="I57" s="1" t="s">
        <v>8</v>
      </c>
      <c r="J57" s="48"/>
      <c r="K57" s="16"/>
      <c r="L57" s="16"/>
      <c r="M57" s="16"/>
      <c r="N57" t="str">
        <f>IF(COUNTIFS( $B$2:$B$657, B57, $C$2:$C$657, C57, $D$2:$D$657, D57, $E$2:$E$657, E57) &gt; 1, "Duplicate", "Unique")</f>
        <v>Unique</v>
      </c>
      <c r="O57"/>
      <c r="P57"/>
    </row>
    <row r="58" spans="1:16" ht="26.5" thickBot="1" x14ac:dyDescent="0.4">
      <c r="A58" s="3">
        <v>46121.375</v>
      </c>
      <c r="B58" s="1" t="s">
        <v>13</v>
      </c>
      <c r="C58" s="1" t="s">
        <v>10</v>
      </c>
      <c r="D58" s="4">
        <v>3</v>
      </c>
      <c r="E58" s="4">
        <v>1614</v>
      </c>
      <c r="F58" s="4">
        <v>-10.482529120000001</v>
      </c>
      <c r="G58" s="2" t="s">
        <v>90</v>
      </c>
      <c r="H58" s="5">
        <v>1803</v>
      </c>
      <c r="I58" s="1" t="s">
        <v>8</v>
      </c>
      <c r="J58" s="17" t="s">
        <v>40</v>
      </c>
      <c r="K58" s="17" t="s">
        <v>235</v>
      </c>
      <c r="L58" s="17">
        <f>3*1794</f>
        <v>5382</v>
      </c>
      <c r="M58" s="17">
        <f>ABS((D58*E58)-L58)</f>
        <v>540</v>
      </c>
      <c r="N58" s="10" t="str">
        <f>IF(COUNTIFS( $B$2:$B$657, B58, $C$2:$C$657, C58, $D$2:$D$657, D58, $E$2:$E$657, E58) &gt; 1, "Duplicate", "Unique")</f>
        <v>Unique</v>
      </c>
      <c r="O58"/>
      <c r="P58"/>
    </row>
    <row r="59" spans="1:16" ht="27.65" customHeight="1" thickBot="1" x14ac:dyDescent="0.4">
      <c r="A59" s="6" t="s">
        <v>61</v>
      </c>
      <c r="B59" s="1" t="s">
        <v>108</v>
      </c>
      <c r="C59" s="1" t="s">
        <v>10</v>
      </c>
      <c r="D59" s="4">
        <v>15</v>
      </c>
      <c r="E59" s="4">
        <v>4415</v>
      </c>
      <c r="F59" s="4">
        <v>-10.50070951</v>
      </c>
      <c r="G59" s="2" t="s">
        <v>109</v>
      </c>
      <c r="H59" s="5">
        <v>4933</v>
      </c>
      <c r="I59" s="1" t="s">
        <v>8</v>
      </c>
      <c r="J59" s="48"/>
      <c r="K59" s="16"/>
      <c r="L59" s="16"/>
      <c r="M59" s="16"/>
      <c r="N59" t="str">
        <f>IF(COUNTIFS( $B$2:$B$657, B59, $C$2:$C$657, C59, $D$2:$D$657, D59, $E$2:$E$657, E59) &gt; 1, "Duplicate", "Unique")</f>
        <v>Unique</v>
      </c>
      <c r="O59"/>
      <c r="P59"/>
    </row>
    <row r="60" spans="1:16" s="27" customFormat="1" ht="27.65" customHeight="1" thickBot="1" x14ac:dyDescent="0.4">
      <c r="A60" s="6" t="s">
        <v>61</v>
      </c>
      <c r="B60" s="1" t="s">
        <v>33</v>
      </c>
      <c r="C60" s="1" t="s">
        <v>10</v>
      </c>
      <c r="D60" s="4">
        <v>1</v>
      </c>
      <c r="E60" s="4">
        <v>18052</v>
      </c>
      <c r="F60" s="4">
        <v>-10.500743679999999</v>
      </c>
      <c r="G60" s="2" t="s">
        <v>70</v>
      </c>
      <c r="H60" s="5">
        <v>20170</v>
      </c>
      <c r="I60" s="1" t="s">
        <v>8</v>
      </c>
      <c r="J60" s="48"/>
      <c r="K60" s="16"/>
      <c r="L60" s="16"/>
      <c r="M60" s="16"/>
      <c r="N60" t="str">
        <f>IF(COUNTIFS( $B$2:$B$657, B60, $C$2:$C$657, C60, $D$2:$D$657, D60, $E$2:$E$657, E60) &gt; 1, "Duplicate", "Unique")</f>
        <v>Unique</v>
      </c>
      <c r="O60"/>
      <c r="P60"/>
    </row>
    <row r="61" spans="1:16" s="27" customFormat="1" ht="27.65" customHeight="1" thickBot="1" x14ac:dyDescent="0.4">
      <c r="A61" s="46">
        <v>46300.375694444447</v>
      </c>
      <c r="B61" s="2" t="s">
        <v>12</v>
      </c>
      <c r="C61" s="2" t="s">
        <v>10</v>
      </c>
      <c r="D61" s="5">
        <v>1</v>
      </c>
      <c r="E61" s="5">
        <v>4510</v>
      </c>
      <c r="F61" s="4">
        <v>-10.92413739</v>
      </c>
      <c r="G61" s="2" t="s">
        <v>97</v>
      </c>
      <c r="H61" s="5">
        <v>5063.1000000000004</v>
      </c>
      <c r="I61" s="1" t="s">
        <v>8</v>
      </c>
      <c r="J61" s="17" t="s">
        <v>117</v>
      </c>
      <c r="K61" s="17" t="s">
        <v>301</v>
      </c>
      <c r="L61" s="17">
        <v>4763</v>
      </c>
      <c r="M61" s="17">
        <f>ABS((D61*E61)-L61)</f>
        <v>253</v>
      </c>
      <c r="N61" s="10" t="str">
        <f>IF(COUNTIFS( $B$2:$B$657, B61, $C$2:$C$657, C61, $D$2:$D$657, D61, $E$2:$E$657, E61) &gt; 1, "Duplicate", "Unique")</f>
        <v>Unique</v>
      </c>
      <c r="O61" s="10"/>
      <c r="P61" s="10"/>
    </row>
    <row r="62" spans="1:16" ht="26.5" thickBot="1" x14ac:dyDescent="0.4">
      <c r="A62" s="3">
        <v>46252.635416666664</v>
      </c>
      <c r="B62" s="1" t="s">
        <v>91</v>
      </c>
      <c r="C62" s="1" t="s">
        <v>10</v>
      </c>
      <c r="D62" s="4">
        <v>2</v>
      </c>
      <c r="E62" s="4">
        <v>2892</v>
      </c>
      <c r="F62" s="4">
        <v>-11.029072449999999</v>
      </c>
      <c r="G62" s="2" t="s">
        <v>92</v>
      </c>
      <c r="H62" s="5">
        <v>3250.5</v>
      </c>
      <c r="I62" s="1" t="s">
        <v>8</v>
      </c>
      <c r="J62" s="48"/>
      <c r="K62" s="16"/>
      <c r="L62" s="16"/>
      <c r="M62" s="16"/>
      <c r="N62" t="str">
        <f>IF(COUNTIFS( $B$2:$B$657, B62, $C$2:$C$657, C62, $D$2:$D$657, D62, $E$2:$E$657, E62) &gt; 1, "Duplicate", "Unique")</f>
        <v>Unique</v>
      </c>
      <c r="O62"/>
      <c r="P62"/>
    </row>
    <row r="63" spans="1:16" ht="40.75" customHeight="1" thickBot="1" x14ac:dyDescent="0.4">
      <c r="A63" s="6" t="s">
        <v>61</v>
      </c>
      <c r="B63" s="1" t="s">
        <v>99</v>
      </c>
      <c r="C63" s="1" t="s">
        <v>10</v>
      </c>
      <c r="D63" s="4">
        <v>25</v>
      </c>
      <c r="E63" s="4">
        <v>251</v>
      </c>
      <c r="F63" s="4">
        <v>-11.61971831</v>
      </c>
      <c r="G63" s="2" t="s">
        <v>100</v>
      </c>
      <c r="H63" s="5">
        <v>284</v>
      </c>
      <c r="I63" s="1" t="s">
        <v>8</v>
      </c>
      <c r="J63" s="48" t="s">
        <v>40</v>
      </c>
      <c r="K63" s="16"/>
      <c r="L63" s="16"/>
      <c r="M63" s="16"/>
      <c r="N63" t="str">
        <f>IF(COUNTIFS( $B$2:$B$657, B63, $C$2:$C$657, C63, $D$2:$D$657, D63, $E$2:$E$657, E63) &gt; 1, "Duplicate", "Unique")</f>
        <v>Unique</v>
      </c>
      <c r="O63"/>
      <c r="P63"/>
    </row>
    <row r="64" spans="1:16" ht="27.65" customHeight="1" thickBot="1" x14ac:dyDescent="0.4">
      <c r="A64" s="46">
        <v>46303.375</v>
      </c>
      <c r="B64" s="2" t="s">
        <v>21</v>
      </c>
      <c r="C64" s="2" t="s">
        <v>7</v>
      </c>
      <c r="D64" s="5">
        <v>5</v>
      </c>
      <c r="E64" s="5">
        <v>690</v>
      </c>
      <c r="F64" s="4">
        <v>1.3141472729999999</v>
      </c>
      <c r="G64" s="2" t="s">
        <v>75</v>
      </c>
      <c r="H64" s="5">
        <v>681.05</v>
      </c>
      <c r="I64" s="1" t="s">
        <v>8</v>
      </c>
      <c r="J64" s="17" t="s">
        <v>117</v>
      </c>
      <c r="K64" s="17" t="s">
        <v>308</v>
      </c>
      <c r="L64" s="17">
        <v>3200</v>
      </c>
      <c r="M64" s="17">
        <f>ABS((D64*E64)-L64)</f>
        <v>250</v>
      </c>
      <c r="N64" s="10" t="str">
        <f>IF(COUNTIFS( $B$2:$B$657, B64, $C$2:$C$657, C64, $D$2:$D$657, D64, $E$2:$E$657, E64) &gt; 1, "Duplicate", "Unique")</f>
        <v>Unique</v>
      </c>
      <c r="O64" s="36" t="s">
        <v>237</v>
      </c>
    </row>
    <row r="65" spans="1:16" ht="27.65" customHeight="1" thickBot="1" x14ac:dyDescent="0.4">
      <c r="A65" s="6" t="s">
        <v>61</v>
      </c>
      <c r="B65" s="1" t="s">
        <v>112</v>
      </c>
      <c r="C65" s="1" t="s">
        <v>10</v>
      </c>
      <c r="D65" s="4">
        <v>4</v>
      </c>
      <c r="E65" s="4">
        <v>701</v>
      </c>
      <c r="F65" s="4">
        <v>-13.13506815</v>
      </c>
      <c r="G65" s="2" t="s">
        <v>113</v>
      </c>
      <c r="H65" s="5">
        <v>807</v>
      </c>
      <c r="I65" s="1" t="s">
        <v>8</v>
      </c>
      <c r="J65" s="48" t="s">
        <v>40</v>
      </c>
      <c r="K65" s="16"/>
      <c r="L65" s="16"/>
      <c r="M65" s="16"/>
      <c r="N65" t="str">
        <f>IF(COUNTIFS( $B$2:$B$657, B65, $C$2:$C$657, C65, $D$2:$D$657, D65, $E$2:$E$657, E65) &gt; 1, "Duplicate", "Unique")</f>
        <v>Unique</v>
      </c>
      <c r="O65"/>
      <c r="P65"/>
    </row>
    <row r="66" spans="1:16" ht="40.75" customHeight="1" thickBot="1" x14ac:dyDescent="0.4">
      <c r="A66" s="3">
        <v>46307.375</v>
      </c>
      <c r="B66" s="1" t="s">
        <v>278</v>
      </c>
      <c r="C66" s="1" t="s">
        <v>10</v>
      </c>
      <c r="D66" s="4">
        <v>2</v>
      </c>
      <c r="E66" s="4">
        <v>1448</v>
      </c>
      <c r="F66" s="4">
        <v>-13.56771921</v>
      </c>
      <c r="G66" s="2" t="s">
        <v>280</v>
      </c>
      <c r="H66" s="5">
        <v>1675.3</v>
      </c>
      <c r="I66" s="1" t="s">
        <v>8</v>
      </c>
      <c r="J66" s="17" t="s">
        <v>40</v>
      </c>
      <c r="K66" t="s">
        <v>322</v>
      </c>
      <c r="L66">
        <v>3146</v>
      </c>
      <c r="M66" s="17">
        <f>ABS((D66*E66)-L66)</f>
        <v>250</v>
      </c>
      <c r="N66" s="10" t="str">
        <f>IF(COUNTIFS( $B$2:$B$657, B66, $C$2:$C$657, C66, $D$2:$D$657, D66, $E$2:$E$657, E66) &gt; 1, "Duplicate", "Unique")</f>
        <v>Unique</v>
      </c>
    </row>
    <row r="67" spans="1:16" ht="40.75" customHeight="1" thickBot="1" x14ac:dyDescent="0.4">
      <c r="A67" s="11">
        <v>46243.375</v>
      </c>
      <c r="B67" s="8" t="s">
        <v>9</v>
      </c>
      <c r="C67" s="8" t="s">
        <v>7</v>
      </c>
      <c r="D67" s="8">
        <v>50</v>
      </c>
      <c r="E67" s="8">
        <v>294</v>
      </c>
      <c r="F67" s="4">
        <v>1.536867553</v>
      </c>
      <c r="G67" s="2" t="s">
        <v>94</v>
      </c>
      <c r="H67" s="5">
        <v>289.55</v>
      </c>
      <c r="I67" s="1" t="s">
        <v>8</v>
      </c>
      <c r="J67" s="17" t="s">
        <v>116</v>
      </c>
      <c r="K67" s="17" t="s">
        <v>310</v>
      </c>
      <c r="L67" s="17">
        <v>26109.000000000004</v>
      </c>
      <c r="M67" s="17">
        <f>ABS((D67*E67)-L67)</f>
        <v>11409.000000000004</v>
      </c>
      <c r="N67" s="10" t="str">
        <f>IF(COUNTIFS( $B$2:$B$657, B67, $C$2:$C$657, C67, $D$2:$D$657, D67, $E$2:$E$657, E67) &gt; 1, "Duplicate", "Unique")</f>
        <v>Unique</v>
      </c>
      <c r="P67"/>
    </row>
    <row r="68" spans="1:16" ht="40.75" customHeight="1" thickBot="1" x14ac:dyDescent="0.4">
      <c r="A68" s="6" t="s">
        <v>61</v>
      </c>
      <c r="B68" s="1" t="s">
        <v>12</v>
      </c>
      <c r="C68" s="1" t="s">
        <v>10</v>
      </c>
      <c r="D68" s="4">
        <v>1</v>
      </c>
      <c r="E68" s="4">
        <v>4364</v>
      </c>
      <c r="F68" s="4">
        <v>-13.80774624</v>
      </c>
      <c r="G68" s="2" t="s">
        <v>97</v>
      </c>
      <c r="H68" s="5">
        <v>5063.1000000000004</v>
      </c>
      <c r="I68" s="1" t="s">
        <v>8</v>
      </c>
      <c r="J68" s="54" t="s">
        <v>40</v>
      </c>
      <c r="K68" s="16"/>
      <c r="L68" s="16"/>
      <c r="M68" s="16"/>
      <c r="N68" t="str">
        <f>IF(COUNTIFS( $B$2:$B$657, B68, $C$2:$C$657, C68, $D$2:$D$657, D68, $E$2:$E$657, E68) &gt; 1, "Duplicate", "Unique")</f>
        <v>Unique</v>
      </c>
      <c r="O68"/>
      <c r="P68"/>
    </row>
    <row r="69" spans="1:16" ht="40.75" customHeight="1" thickBot="1" x14ac:dyDescent="0.4">
      <c r="A69" s="11">
        <v>46243.375</v>
      </c>
      <c r="B69" s="8" t="s">
        <v>13</v>
      </c>
      <c r="C69" s="8" t="s">
        <v>7</v>
      </c>
      <c r="D69" s="8">
        <v>5</v>
      </c>
      <c r="E69" s="8">
        <v>1844</v>
      </c>
      <c r="F69" s="4">
        <v>2.2739877979999998</v>
      </c>
      <c r="G69" s="2" t="s">
        <v>90</v>
      </c>
      <c r="H69" s="5">
        <v>1803</v>
      </c>
      <c r="I69" s="1" t="s">
        <v>8</v>
      </c>
      <c r="J69" s="17" t="s">
        <v>117</v>
      </c>
      <c r="K69" s="17" t="s">
        <v>246</v>
      </c>
      <c r="L69" s="17">
        <v>8570</v>
      </c>
      <c r="M69" s="25">
        <f>ABS((D69*E69)-L69)</f>
        <v>650</v>
      </c>
      <c r="N69" s="10" t="str">
        <f>IF(COUNTIFS( $B$2:$B$657, B69, $C$2:$C$657, C69, $D$2:$D$657, D69, $E$2:$E$657, E69) &gt; 1, "Duplicate", "Unique")</f>
        <v>Unique</v>
      </c>
      <c r="O69" s="36" t="s">
        <v>237</v>
      </c>
    </row>
    <row r="70" spans="1:16" ht="40.75" customHeight="1" thickBot="1" x14ac:dyDescent="0.4">
      <c r="A70" s="11">
        <v>46252.645138888889</v>
      </c>
      <c r="B70" s="8" t="s">
        <v>56</v>
      </c>
      <c r="C70" s="8" t="s">
        <v>7</v>
      </c>
      <c r="D70" s="8">
        <v>5</v>
      </c>
      <c r="E70" s="8">
        <v>3040</v>
      </c>
      <c r="F70" s="4">
        <v>2.3224503529999998</v>
      </c>
      <c r="G70" s="2" t="s">
        <v>57</v>
      </c>
      <c r="H70" s="5">
        <v>2971</v>
      </c>
      <c r="I70" s="1" t="s">
        <v>8</v>
      </c>
      <c r="J70" s="16" t="s">
        <v>116</v>
      </c>
      <c r="N70" s="10" t="str">
        <f>IF(COUNTIFS( $B$2:$B$657, B70, $C$2:$C$657, C70, $D$2:$D$657, D70, $E$2:$E$657, E70) &gt; 1, "Duplicate", "Unique")</f>
        <v>Unique</v>
      </c>
    </row>
    <row r="71" spans="1:16" ht="27.65" customHeight="1" thickBot="1" x14ac:dyDescent="0.4">
      <c r="A71" s="46">
        <v>46304.375</v>
      </c>
      <c r="B71" s="2" t="s">
        <v>31</v>
      </c>
      <c r="C71" s="2" t="s">
        <v>7</v>
      </c>
      <c r="D71" s="5">
        <v>20</v>
      </c>
      <c r="E71" s="5">
        <v>883.5</v>
      </c>
      <c r="F71" s="4">
        <v>2.3754345309999998</v>
      </c>
      <c r="G71" s="2" t="s">
        <v>84</v>
      </c>
      <c r="H71" s="5">
        <v>863</v>
      </c>
      <c r="I71" s="1" t="s">
        <v>8</v>
      </c>
      <c r="J71" s="17" t="s">
        <v>117</v>
      </c>
      <c r="K71" s="17" t="s">
        <v>314</v>
      </c>
      <c r="L71" s="17">
        <v>17020</v>
      </c>
      <c r="M71" s="17">
        <f>ABS((D71*E71)-L71)</f>
        <v>650</v>
      </c>
      <c r="N71" t="str">
        <f>IF(COUNTIFS( $B$2:$B$657, B71, $C$2:$C$657, C71, $D$2:$D$657, D71, $E$2:$E$657, E71) &gt; 1, "Duplicate", "Unique")</f>
        <v>Unique</v>
      </c>
    </row>
    <row r="72" spans="1:16" s="22" customFormat="1" ht="40.75" customHeight="1" thickBot="1" x14ac:dyDescent="0.4">
      <c r="A72" s="3">
        <v>46307.617361111108</v>
      </c>
      <c r="B72" s="1" t="s">
        <v>106</v>
      </c>
      <c r="C72" s="1" t="s">
        <v>7</v>
      </c>
      <c r="D72" s="4">
        <v>1</v>
      </c>
      <c r="E72" s="4">
        <v>7168</v>
      </c>
      <c r="F72" s="4">
        <v>2.414630662</v>
      </c>
      <c r="G72" s="2" t="s">
        <v>107</v>
      </c>
      <c r="H72" s="5">
        <v>6999</v>
      </c>
      <c r="I72" s="1" t="s">
        <v>8</v>
      </c>
      <c r="J72" t="s">
        <v>116</v>
      </c>
      <c r="K72" t="s">
        <v>319</v>
      </c>
      <c r="L72">
        <v>6868</v>
      </c>
      <c r="M72" s="17">
        <f>ABS((D72*E72)-L72)</f>
        <v>300</v>
      </c>
      <c r="N72" s="10" t="str">
        <f>IF(COUNTIFS( $B$2:$B$657, B72, $C$2:$C$657, C72, $D$2:$D$657, D72, $E$2:$E$657, E72) &gt; 1, "Duplicate", "Unique")</f>
        <v>Unique</v>
      </c>
      <c r="O72" s="10"/>
      <c r="P72" s="10"/>
    </row>
    <row r="73" spans="1:16" ht="27.65" customHeight="1" thickBot="1" x14ac:dyDescent="0.4">
      <c r="A73" s="46">
        <v>46293.375694444447</v>
      </c>
      <c r="B73" s="2" t="s">
        <v>50</v>
      </c>
      <c r="C73" s="2" t="s">
        <v>7</v>
      </c>
      <c r="D73" s="5">
        <v>10</v>
      </c>
      <c r="E73" s="5">
        <v>907</v>
      </c>
      <c r="F73" s="4">
        <v>3.1267765779999999</v>
      </c>
      <c r="G73" s="2" t="s">
        <v>51</v>
      </c>
      <c r="H73" s="5">
        <v>879.5</v>
      </c>
      <c r="I73" s="1" t="s">
        <v>8</v>
      </c>
      <c r="J73" s="17" t="s">
        <v>116</v>
      </c>
      <c r="K73" s="17" t="s">
        <v>293</v>
      </c>
      <c r="L73" s="17">
        <f>17740/2</f>
        <v>8870</v>
      </c>
      <c r="M73" s="17">
        <f>ABS((D73*E73)-L73)</f>
        <v>200</v>
      </c>
      <c r="N73" s="10" t="str">
        <f>IF(COUNTIFS( $B$2:$B$657, B73, $C$2:$C$657, C73, $D$2:$D$657, D73, $E$2:$E$657, E73) &gt; 1, "Duplicate", "Unique")</f>
        <v>Unique</v>
      </c>
    </row>
    <row r="74" spans="1:16" ht="27.65" customHeight="1" thickBot="1" x14ac:dyDescent="0.4">
      <c r="A74" s="3">
        <v>46252.688194444447</v>
      </c>
      <c r="B74" s="1" t="s">
        <v>95</v>
      </c>
      <c r="C74" s="1" t="s">
        <v>10</v>
      </c>
      <c r="D74" s="4">
        <v>45</v>
      </c>
      <c r="E74" s="4">
        <v>136.15</v>
      </c>
      <c r="F74" s="4">
        <v>-15.32960199</v>
      </c>
      <c r="G74" s="2" t="s">
        <v>96</v>
      </c>
      <c r="H74" s="5">
        <v>160.80000000000001</v>
      </c>
      <c r="I74" s="1" t="s">
        <v>8</v>
      </c>
      <c r="J74" s="48" t="s">
        <v>54</v>
      </c>
      <c r="K74" s="16"/>
      <c r="L74" s="16"/>
      <c r="M74" s="16"/>
      <c r="N74" t="str">
        <f>IF(COUNTIFS( $B$2:$B$657, B74, $C$2:$C$657, C74, $D$2:$D$657, D74, $E$2:$E$657, E74) &gt; 1, "Duplicate", "Unique")</f>
        <v>Unique</v>
      </c>
      <c r="O74"/>
      <c r="P74"/>
    </row>
    <row r="75" spans="1:16" ht="27.65" customHeight="1" thickBot="1" x14ac:dyDescent="0.4">
      <c r="A75" s="11">
        <v>46243.375</v>
      </c>
      <c r="B75" s="8" t="s">
        <v>9</v>
      </c>
      <c r="C75" s="8" t="s">
        <v>7</v>
      </c>
      <c r="D75" s="8">
        <v>40</v>
      </c>
      <c r="E75" s="8">
        <v>299</v>
      </c>
      <c r="F75" s="4">
        <v>3.2636850279999998</v>
      </c>
      <c r="G75" s="2" t="s">
        <v>94</v>
      </c>
      <c r="H75" s="5">
        <v>289.55</v>
      </c>
      <c r="I75" s="1" t="s">
        <v>8</v>
      </c>
      <c r="J75" s="17" t="s">
        <v>116</v>
      </c>
      <c r="K75" s="17" t="s">
        <v>311</v>
      </c>
      <c r="L75" s="17">
        <v>26109.000000000004</v>
      </c>
      <c r="M75" s="17">
        <f t="shared" ref="M75:M80" si="2">ABS((D75*E75)-L75)</f>
        <v>14149.000000000004</v>
      </c>
      <c r="N75" s="10" t="str">
        <f>IF(COUNTIFS( $B$2:$B$657, B75, $C$2:$C$657, C75, $D$2:$D$657, D75, $E$2:$E$657, E75) &gt; 1, "Duplicate", "Unique")</f>
        <v>Unique</v>
      </c>
      <c r="P75"/>
    </row>
    <row r="76" spans="1:16" ht="40.75" customHeight="1" thickBot="1" x14ac:dyDescent="0.4">
      <c r="A76" s="3">
        <v>46294.375</v>
      </c>
      <c r="B76" s="2" t="s">
        <v>278</v>
      </c>
      <c r="C76" s="2" t="s">
        <v>7</v>
      </c>
      <c r="D76" s="5">
        <v>2</v>
      </c>
      <c r="E76" s="5">
        <v>1740</v>
      </c>
      <c r="F76" s="4">
        <v>3.8619948669999999</v>
      </c>
      <c r="G76" s="2" t="s">
        <v>280</v>
      </c>
      <c r="H76" s="5">
        <v>1675.3</v>
      </c>
      <c r="I76" s="1" t="s">
        <v>8</v>
      </c>
      <c r="J76" s="17" t="s">
        <v>117</v>
      </c>
      <c r="K76" s="17" t="s">
        <v>296</v>
      </c>
      <c r="L76" s="17">
        <v>3180</v>
      </c>
      <c r="M76" s="17">
        <f t="shared" si="2"/>
        <v>300</v>
      </c>
      <c r="N76" s="10" t="str">
        <f>IF(COUNTIFS( $B$2:$B$657, B76, $C$2:$C$657, C76, $D$2:$D$657, D76, $E$2:$E$657, E76) &gt; 1, "Duplicate", "Unique")</f>
        <v>Unique</v>
      </c>
    </row>
    <row r="77" spans="1:16" ht="27.65" customHeight="1" thickBot="1" x14ac:dyDescent="0.4">
      <c r="A77" s="3">
        <v>46274.414583333331</v>
      </c>
      <c r="B77" s="1" t="s">
        <v>12</v>
      </c>
      <c r="C77" s="1" t="s">
        <v>7</v>
      </c>
      <c r="D77" s="4">
        <v>2</v>
      </c>
      <c r="E77" s="4">
        <v>5274</v>
      </c>
      <c r="F77" s="4">
        <v>4.1654322449999999</v>
      </c>
      <c r="G77" s="2" t="s">
        <v>97</v>
      </c>
      <c r="H77" s="5">
        <v>5063.1000000000004</v>
      </c>
      <c r="I77" s="1" t="s">
        <v>8</v>
      </c>
      <c r="J77" s="17" t="s">
        <v>117</v>
      </c>
      <c r="K77" s="17" t="s">
        <v>250</v>
      </c>
      <c r="L77" s="17">
        <v>9902</v>
      </c>
      <c r="M77" s="17">
        <f t="shared" si="2"/>
        <v>646</v>
      </c>
      <c r="N77" s="10" t="str">
        <f>IF(COUNTIFS( $B$2:$B$657, B77, $C$2:$C$657, C77, $D$2:$D$657, D77, $E$2:$E$657, E77) &gt; 1, "Duplicate", "Unique")</f>
        <v>Unique</v>
      </c>
      <c r="O77" s="36" t="s">
        <v>237</v>
      </c>
    </row>
    <row r="78" spans="1:16" ht="27.65" customHeight="1" thickBot="1" x14ac:dyDescent="0.4">
      <c r="A78" s="3">
        <v>46269.411111111112</v>
      </c>
      <c r="B78" s="1" t="s">
        <v>13</v>
      </c>
      <c r="C78" s="1" t="s">
        <v>7</v>
      </c>
      <c r="D78" s="4">
        <v>10</v>
      </c>
      <c r="E78" s="4">
        <v>1879</v>
      </c>
      <c r="F78" s="4">
        <v>4.215196894</v>
      </c>
      <c r="G78" s="2" t="s">
        <v>90</v>
      </c>
      <c r="H78" s="5">
        <v>1803</v>
      </c>
      <c r="I78" s="1" t="s">
        <v>8</v>
      </c>
      <c r="J78" s="17" t="s">
        <v>117</v>
      </c>
      <c r="K78" s="17" t="s">
        <v>232</v>
      </c>
      <c r="L78" s="17">
        <v>18140</v>
      </c>
      <c r="M78" s="24">
        <f t="shared" si="2"/>
        <v>650</v>
      </c>
      <c r="N78" t="str">
        <f>IF(COUNTIFS( $B$2:$B$657, B78, $C$2:$C$657, C78, $D$2:$D$657, D78, $E$2:$E$657, E78) &gt; 1, "Duplicate", "Unique")</f>
        <v>Unique</v>
      </c>
    </row>
    <row r="79" spans="1:16" ht="40.75" customHeight="1" thickBot="1" x14ac:dyDescent="0.4">
      <c r="A79" s="3">
        <v>46275.375</v>
      </c>
      <c r="B79" s="1" t="s">
        <v>21</v>
      </c>
      <c r="C79" s="1" t="s">
        <v>7</v>
      </c>
      <c r="D79" s="4">
        <v>5</v>
      </c>
      <c r="E79" s="4">
        <v>710</v>
      </c>
      <c r="F79" s="4">
        <v>4.250789223</v>
      </c>
      <c r="G79" s="2" t="s">
        <v>75</v>
      </c>
      <c r="H79" s="5">
        <v>681.05</v>
      </c>
      <c r="I79" s="1" t="s">
        <v>8</v>
      </c>
      <c r="J79" s="17" t="s">
        <v>117</v>
      </c>
      <c r="K79" s="17" t="s">
        <v>255</v>
      </c>
      <c r="L79" s="17">
        <v>3300</v>
      </c>
      <c r="M79" s="17">
        <f t="shared" si="2"/>
        <v>250</v>
      </c>
      <c r="N79" s="10" t="str">
        <f>IF(COUNTIFS( $B$2:$B$657, B79, $C$2:$C$657, C79, $D$2:$D$657, D79, $E$2:$E$657, E79) &gt; 1, "Duplicate", "Unique")</f>
        <v>Unique</v>
      </c>
    </row>
    <row r="80" spans="1:16" ht="40.75" customHeight="1" thickBot="1" x14ac:dyDescent="0.4">
      <c r="A80" s="46">
        <v>46293.375694444447</v>
      </c>
      <c r="B80" s="2" t="s">
        <v>50</v>
      </c>
      <c r="C80" s="2" t="s">
        <v>7</v>
      </c>
      <c r="D80" s="5">
        <v>10</v>
      </c>
      <c r="E80" s="5">
        <v>917</v>
      </c>
      <c r="F80" s="4">
        <v>4.2637862420000001</v>
      </c>
      <c r="G80" s="2" t="s">
        <v>51</v>
      </c>
      <c r="H80" s="5">
        <v>879.5</v>
      </c>
      <c r="I80" s="1" t="s">
        <v>8</v>
      </c>
      <c r="J80" s="17" t="s">
        <v>116</v>
      </c>
      <c r="K80" s="17" t="s">
        <v>293</v>
      </c>
      <c r="L80" s="17">
        <f>17740/2</f>
        <v>8870</v>
      </c>
      <c r="M80" s="17">
        <f t="shared" si="2"/>
        <v>300</v>
      </c>
      <c r="N80" s="10" t="str">
        <f>IF(COUNTIFS( $B$2:$B$657, B80, $C$2:$C$657, C80, $D$2:$D$657, D80, $E$2:$E$657, E80) &gt; 1, "Duplicate", "Unique")</f>
        <v>Unique</v>
      </c>
    </row>
    <row r="81" spans="1:16" ht="40.75" customHeight="1" thickBot="1" x14ac:dyDescent="0.4">
      <c r="A81" s="64">
        <v>46252.635416666664</v>
      </c>
      <c r="B81" s="40" t="s">
        <v>73</v>
      </c>
      <c r="C81" s="40" t="s">
        <v>7</v>
      </c>
      <c r="D81" s="40">
        <v>5</v>
      </c>
      <c r="E81" s="40">
        <v>3482</v>
      </c>
      <c r="F81" s="4">
        <v>4.3139604550000001</v>
      </c>
      <c r="G81" s="2" t="s">
        <v>74</v>
      </c>
      <c r="H81" s="5">
        <v>3338</v>
      </c>
      <c r="I81" s="1" t="s">
        <v>8</v>
      </c>
      <c r="J81" s="44" t="s">
        <v>117</v>
      </c>
      <c r="K81" s="41"/>
      <c r="L81" s="41"/>
      <c r="M81" s="41"/>
      <c r="N81" s="22" t="str">
        <f>IF(COUNTIFS( $B$2:$B$657, B81, $C$2:$C$657, C81, $D$2:$D$657, D81, $E$2:$E$657, E81) &gt; 1, "Duplicate", "Unique")</f>
        <v>Unique</v>
      </c>
      <c r="O81" s="22"/>
      <c r="P81" s="67" t="s">
        <v>249</v>
      </c>
    </row>
    <row r="82" spans="1:16" ht="27.65" customHeight="1" thickBot="1" x14ac:dyDescent="0.4">
      <c r="A82" s="46">
        <v>46293.401388888888</v>
      </c>
      <c r="B82" s="2" t="s">
        <v>14</v>
      </c>
      <c r="C82" s="2" t="s">
        <v>7</v>
      </c>
      <c r="D82" s="5">
        <v>100</v>
      </c>
      <c r="E82" s="5">
        <v>329</v>
      </c>
      <c r="F82" s="4">
        <v>4.3947326670000004</v>
      </c>
      <c r="G82" s="2" t="s">
        <v>44</v>
      </c>
      <c r="H82" s="5">
        <v>315.14999999999998</v>
      </c>
      <c r="I82" s="1" t="s">
        <v>8</v>
      </c>
      <c r="J82" s="17" t="s">
        <v>116</v>
      </c>
      <c r="K82" s="17" t="s">
        <v>290</v>
      </c>
      <c r="L82" s="17">
        <v>32400</v>
      </c>
      <c r="M82" s="17">
        <f>ABS((D82*E82)-L82)</f>
        <v>500</v>
      </c>
      <c r="N82" s="10" t="str">
        <f>IF(COUNTIFS( $B$2:$B$657, B82, $C$2:$C$657, C82, $D$2:$D$657, D82, $E$2:$E$657, E82) &gt; 1, "Duplicate", "Unique")</f>
        <v>Unique</v>
      </c>
    </row>
    <row r="83" spans="1:16" ht="40.75" customHeight="1" thickBot="1" x14ac:dyDescent="0.4">
      <c r="A83" s="6" t="s">
        <v>61</v>
      </c>
      <c r="B83" s="1" t="s">
        <v>91</v>
      </c>
      <c r="C83" s="1" t="s">
        <v>10</v>
      </c>
      <c r="D83" s="4">
        <v>1</v>
      </c>
      <c r="E83" s="4">
        <v>2752</v>
      </c>
      <c r="F83" s="4">
        <v>-15.336102139999999</v>
      </c>
      <c r="G83" s="2" t="s">
        <v>92</v>
      </c>
      <c r="H83" s="5">
        <v>3250.5</v>
      </c>
      <c r="I83" s="1" t="s">
        <v>8</v>
      </c>
      <c r="J83" s="48" t="s">
        <v>40</v>
      </c>
      <c r="K83" s="16"/>
      <c r="L83" s="16"/>
      <c r="M83" s="16"/>
      <c r="N83" t="str">
        <f>IF(COUNTIFS( $B$2:$B$657, B83, $C$2:$C$657, C83, $D$2:$D$657, D83, $E$2:$E$657, E83) &gt; 1, "Duplicate", "Unique")</f>
        <v>Unique</v>
      </c>
      <c r="O83"/>
      <c r="P83"/>
    </row>
    <row r="84" spans="1:16" ht="27.65" customHeight="1" thickBot="1" x14ac:dyDescent="0.4">
      <c r="A84" s="3">
        <v>46031.4375</v>
      </c>
      <c r="B84" s="1" t="s">
        <v>205</v>
      </c>
      <c r="C84" s="1" t="s">
        <v>10</v>
      </c>
      <c r="D84" s="4">
        <v>3</v>
      </c>
      <c r="E84" s="4">
        <v>1052</v>
      </c>
      <c r="F84" s="4">
        <v>-15.84</v>
      </c>
      <c r="G84" s="2" t="s">
        <v>216</v>
      </c>
      <c r="H84" s="5">
        <v>1250</v>
      </c>
      <c r="I84" s="1" t="s">
        <v>8</v>
      </c>
      <c r="J84" s="17" t="s">
        <v>40</v>
      </c>
      <c r="M84" s="17">
        <f t="shared" ref="M84:M92" si="3">ABS((D84*E84)-L84)</f>
        <v>3156</v>
      </c>
      <c r="N84" s="10" t="str">
        <f>IF(COUNTIFS( $B$2:$B$657, B84, $C$2:$C$657, C84, $D$2:$D$657, D84, $E$2:$E$657, E84) &gt; 1, "Duplicate", "Unique")</f>
        <v>Unique</v>
      </c>
      <c r="P84" s="18"/>
    </row>
    <row r="85" spans="1:16" s="27" customFormat="1" ht="40.75" customHeight="1" thickBot="1" x14ac:dyDescent="0.4">
      <c r="A85" s="46">
        <v>46295.375</v>
      </c>
      <c r="B85" s="2" t="s">
        <v>30</v>
      </c>
      <c r="C85" s="2" t="s">
        <v>10</v>
      </c>
      <c r="D85" s="5">
        <v>5</v>
      </c>
      <c r="E85" s="5">
        <v>620</v>
      </c>
      <c r="F85" s="4">
        <v>-17.001338690000001</v>
      </c>
      <c r="G85" s="2" t="s">
        <v>93</v>
      </c>
      <c r="H85" s="5">
        <v>747</v>
      </c>
      <c r="I85" s="1" t="s">
        <v>8</v>
      </c>
      <c r="J85" s="17" t="s">
        <v>40</v>
      </c>
      <c r="K85" s="17" t="s">
        <v>297</v>
      </c>
      <c r="L85" s="17">
        <v>3395</v>
      </c>
      <c r="M85" s="17">
        <f t="shared" si="3"/>
        <v>295</v>
      </c>
      <c r="N85" s="10" t="str">
        <f>IF(COUNTIFS( $B$2:$B$657, B85, $C$2:$C$657, C85, $D$2:$D$657, D85, $E$2:$E$657, E85) &gt; 1, "Duplicate", "Unique")</f>
        <v>Unique</v>
      </c>
      <c r="O85" s="10"/>
      <c r="P85" s="10"/>
    </row>
    <row r="86" spans="1:16" s="27" customFormat="1" ht="40.75" customHeight="1" thickBot="1" x14ac:dyDescent="0.4">
      <c r="A86" s="46">
        <v>46303.375</v>
      </c>
      <c r="B86" s="2" t="s">
        <v>88</v>
      </c>
      <c r="C86" s="2" t="s">
        <v>7</v>
      </c>
      <c r="D86" s="5">
        <v>1</v>
      </c>
      <c r="E86" s="5">
        <v>13450</v>
      </c>
      <c r="F86" s="4">
        <v>4.9141965680000004</v>
      </c>
      <c r="G86" s="2" t="s">
        <v>89</v>
      </c>
      <c r="H86" s="5">
        <v>12820</v>
      </c>
      <c r="I86" s="1" t="s">
        <v>8</v>
      </c>
      <c r="J86" s="17" t="s">
        <v>117</v>
      </c>
      <c r="K86" s="17" t="s">
        <v>307</v>
      </c>
      <c r="L86" s="17">
        <v>12800</v>
      </c>
      <c r="M86" s="17">
        <f t="shared" si="3"/>
        <v>650</v>
      </c>
      <c r="N86" s="10" t="str">
        <f>IF(COUNTIFS( $B$2:$B$657, B86, $C$2:$C$657, C86, $D$2:$D$657, D86, $E$2:$E$657, E86) &gt; 1, "Duplicate", "Unique")</f>
        <v>Unique</v>
      </c>
      <c r="O86" s="10"/>
      <c r="P86" s="10"/>
    </row>
    <row r="87" spans="1:16" ht="27.65" customHeight="1" thickBot="1" x14ac:dyDescent="0.4">
      <c r="A87" s="3">
        <v>46287.375</v>
      </c>
      <c r="B87" s="1" t="s">
        <v>17</v>
      </c>
      <c r="C87" s="1" t="s">
        <v>7</v>
      </c>
      <c r="D87" s="4">
        <v>25</v>
      </c>
      <c r="E87" s="4">
        <v>348</v>
      </c>
      <c r="F87" s="4">
        <v>4.9457177320000003</v>
      </c>
      <c r="G87" s="2" t="s">
        <v>76</v>
      </c>
      <c r="H87" s="5">
        <v>331.6</v>
      </c>
      <c r="I87" s="1" t="s">
        <v>8</v>
      </c>
      <c r="J87" s="17" t="s">
        <v>116</v>
      </c>
      <c r="K87" s="17" t="s">
        <v>283</v>
      </c>
      <c r="L87" s="17">
        <v>8400</v>
      </c>
      <c r="M87" s="17">
        <f t="shared" si="3"/>
        <v>300</v>
      </c>
      <c r="N87" s="10" t="str">
        <f>IF(COUNTIFS( $B$2:$B$657, B87, $C$2:$C$657, C87, $D$2:$D$657, D87, $E$2:$E$657, E87) &gt; 1, "Duplicate", "Unique")</f>
        <v>Unique</v>
      </c>
      <c r="O87" s="36" t="s">
        <v>237</v>
      </c>
    </row>
    <row r="88" spans="1:16" ht="27.65" customHeight="1" thickBot="1" x14ac:dyDescent="0.4">
      <c r="A88" s="50">
        <v>46296.586111111108</v>
      </c>
      <c r="B88" s="51" t="s">
        <v>77</v>
      </c>
      <c r="C88" s="51" t="s">
        <v>7</v>
      </c>
      <c r="D88" s="52">
        <v>5</v>
      </c>
      <c r="E88" s="52">
        <v>1348</v>
      </c>
      <c r="F88" s="4">
        <v>4.9844236759999996</v>
      </c>
      <c r="G88" s="2" t="s">
        <v>78</v>
      </c>
      <c r="H88" s="5">
        <v>1284</v>
      </c>
      <c r="I88" s="1" t="s">
        <v>8</v>
      </c>
      <c r="J88" s="25" t="s">
        <v>117</v>
      </c>
      <c r="K88" s="25" t="s">
        <v>298</v>
      </c>
      <c r="L88" s="25">
        <v>6127.5</v>
      </c>
      <c r="M88" s="25">
        <f t="shared" si="3"/>
        <v>612.5</v>
      </c>
      <c r="N88" s="27" t="str">
        <f>IF(COUNTIFS( $B$2:$B$657, B88, $C$2:$C$657, C88, $D$2:$D$657, D88, $E$2:$E$657, E88) &gt; 1, "Duplicate", "Unique")</f>
        <v>Duplicate</v>
      </c>
      <c r="O88" s="27"/>
      <c r="P88" s="27"/>
    </row>
    <row r="89" spans="1:16" ht="40.75" customHeight="1" thickBot="1" x14ac:dyDescent="0.4">
      <c r="A89" s="50">
        <v>46296.420138888891</v>
      </c>
      <c r="B89" s="51" t="s">
        <v>77</v>
      </c>
      <c r="C89" s="51" t="s">
        <v>7</v>
      </c>
      <c r="D89" s="52">
        <v>5</v>
      </c>
      <c r="E89" s="52">
        <v>1348</v>
      </c>
      <c r="F89" s="4">
        <v>4.9844236759999996</v>
      </c>
      <c r="G89" s="2" t="s">
        <v>78</v>
      </c>
      <c r="H89" s="5">
        <v>1284</v>
      </c>
      <c r="I89" s="1" t="s">
        <v>8</v>
      </c>
      <c r="J89" s="25" t="s">
        <v>117</v>
      </c>
      <c r="K89" s="25" t="s">
        <v>300</v>
      </c>
      <c r="L89" s="25">
        <v>6320</v>
      </c>
      <c r="M89" s="25">
        <f t="shared" si="3"/>
        <v>420</v>
      </c>
      <c r="N89" s="27" t="str">
        <f>IF(COUNTIFS( $B$2:$B$657, B89, $C$2:$C$657, C89, $D$2:$D$657, D89, $E$2:$E$657, E89) &gt; 1, "Duplicate", "Unique")</f>
        <v>Duplicate</v>
      </c>
      <c r="O89" s="27"/>
      <c r="P89" s="27"/>
    </row>
    <row r="90" spans="1:16" ht="40.75" customHeight="1" thickBot="1" x14ac:dyDescent="0.4">
      <c r="A90" s="46">
        <v>46293.375694444447</v>
      </c>
      <c r="B90" s="2" t="s">
        <v>42</v>
      </c>
      <c r="C90" s="2" t="s">
        <v>7</v>
      </c>
      <c r="D90" s="5">
        <v>5</v>
      </c>
      <c r="E90" s="5">
        <v>762</v>
      </c>
      <c r="F90" s="4">
        <v>5.0454921419999996</v>
      </c>
      <c r="G90" s="2" t="s">
        <v>43</v>
      </c>
      <c r="H90" s="5">
        <v>725.4</v>
      </c>
      <c r="I90" s="1" t="s">
        <v>8</v>
      </c>
      <c r="J90" s="17" t="s">
        <v>117</v>
      </c>
      <c r="K90" s="17" t="s">
        <v>292</v>
      </c>
      <c r="L90" s="17">
        <v>3560</v>
      </c>
      <c r="M90" s="17">
        <f t="shared" si="3"/>
        <v>250</v>
      </c>
      <c r="N90" s="10" t="str">
        <f>IF(COUNTIFS( $B$2:$B$657, B90, $C$2:$C$657, C90, $D$2:$D$657, D90, $E$2:$E$657, E90) &gt; 1, "Duplicate", "Unique")</f>
        <v>Unique</v>
      </c>
    </row>
    <row r="91" spans="1:16" ht="27.65" customHeight="1" thickBot="1" x14ac:dyDescent="0.4">
      <c r="A91" s="28">
        <v>46272.451388888891</v>
      </c>
      <c r="B91" s="29" t="s">
        <v>13</v>
      </c>
      <c r="C91" s="29" t="s">
        <v>7</v>
      </c>
      <c r="D91" s="30">
        <v>5</v>
      </c>
      <c r="E91" s="30">
        <v>1894</v>
      </c>
      <c r="F91" s="4">
        <v>5.0471436489999997</v>
      </c>
      <c r="G91" s="2" t="s">
        <v>90</v>
      </c>
      <c r="H91" s="5">
        <v>1803</v>
      </c>
      <c r="I91" s="1" t="s">
        <v>8</v>
      </c>
      <c r="J91" s="27" t="s">
        <v>117</v>
      </c>
      <c r="K91" s="25" t="s">
        <v>238</v>
      </c>
      <c r="L91" s="25">
        <v>8820</v>
      </c>
      <c r="M91" s="25">
        <f t="shared" si="3"/>
        <v>650</v>
      </c>
      <c r="N91" s="27" t="str">
        <f>IF(COUNTIFS( $B$2:$B$657, B91, $C$2:$C$657, C91, $D$2:$D$657, D91, $E$2:$E$657, E91) &gt; 1, "Duplicate", "Unique")</f>
        <v>Unique</v>
      </c>
      <c r="O91" s="27"/>
      <c r="P91" s="27"/>
    </row>
    <row r="92" spans="1:16" ht="27.65" customHeight="1" thickBot="1" x14ac:dyDescent="0.4">
      <c r="A92" s="28">
        <v>46272.390972222223</v>
      </c>
      <c r="B92" s="29" t="s">
        <v>13</v>
      </c>
      <c r="C92" s="29" t="s">
        <v>7</v>
      </c>
      <c r="D92" s="30">
        <v>20</v>
      </c>
      <c r="E92" s="30">
        <v>1894</v>
      </c>
      <c r="F92" s="4">
        <v>5.0471436489999997</v>
      </c>
      <c r="G92" s="2" t="s">
        <v>90</v>
      </c>
      <c r="H92" s="5">
        <v>1803</v>
      </c>
      <c r="I92" s="1" t="s">
        <v>8</v>
      </c>
      <c r="J92" s="27" t="s">
        <v>117</v>
      </c>
      <c r="K92" s="25" t="s">
        <v>239</v>
      </c>
      <c r="L92" s="25">
        <v>36946</v>
      </c>
      <c r="M92" s="25">
        <f t="shared" si="3"/>
        <v>934</v>
      </c>
      <c r="N92" s="27" t="str">
        <f>IF(COUNTIFS( $B$2:$B$657, B92, $C$2:$C$657, C92, $D$2:$D$657, D92, $E$2:$E$657, E92) &gt; 1, "Duplicate", "Unique")</f>
        <v>Unique</v>
      </c>
      <c r="O92" s="27"/>
      <c r="P92" s="27"/>
    </row>
    <row r="93" spans="1:16" ht="40.75" customHeight="1" thickBot="1" x14ac:dyDescent="0.4">
      <c r="A93" s="6" t="s">
        <v>61</v>
      </c>
      <c r="B93" s="1" t="s">
        <v>12</v>
      </c>
      <c r="C93" s="1" t="s">
        <v>10</v>
      </c>
      <c r="D93" s="4">
        <v>1</v>
      </c>
      <c r="E93" s="4">
        <v>4164</v>
      </c>
      <c r="F93" s="4">
        <v>-17.757895359999999</v>
      </c>
      <c r="G93" s="2" t="s">
        <v>97</v>
      </c>
      <c r="H93" s="5">
        <v>5063.1000000000004</v>
      </c>
      <c r="I93" s="1" t="s">
        <v>8</v>
      </c>
      <c r="J93" s="48"/>
      <c r="K93" s="16"/>
      <c r="L93" s="16"/>
      <c r="M93" s="16"/>
      <c r="N93" t="str">
        <f>IF(COUNTIFS( $B$2:$B$657, B93, $C$2:$C$657, C93, $D$2:$D$657, D93, $E$2:$E$657, E93) &gt; 1, "Duplicate", "Unique")</f>
        <v>Unique</v>
      </c>
      <c r="O93"/>
      <c r="P93"/>
    </row>
    <row r="94" spans="1:16" ht="40.75" customHeight="1" thickBot="1" x14ac:dyDescent="0.4">
      <c r="A94" s="28">
        <v>46335.62777777778</v>
      </c>
      <c r="B94" s="29" t="s">
        <v>11</v>
      </c>
      <c r="C94" s="29" t="s">
        <v>7</v>
      </c>
      <c r="D94" s="30">
        <v>20</v>
      </c>
      <c r="E94" s="30">
        <v>284.5</v>
      </c>
      <c r="F94" s="4">
        <v>5.2534221240000001</v>
      </c>
      <c r="G94" s="2" t="s">
        <v>98</v>
      </c>
      <c r="H94" s="5">
        <v>270.3</v>
      </c>
      <c r="I94" s="1" t="s">
        <v>8</v>
      </c>
      <c r="J94" s="25" t="s">
        <v>117</v>
      </c>
      <c r="K94" s="25" t="s">
        <v>259</v>
      </c>
      <c r="L94" s="25">
        <v>5370</v>
      </c>
      <c r="M94" s="25">
        <f>ABS((D94*E94)-L94)</f>
        <v>320</v>
      </c>
      <c r="N94" s="27" t="str">
        <f>IF(COUNTIFS( $B$2:$B$657, B94, $C$2:$C$657, C94, $D$2:$D$657, D94, $E$2:$E$657, E94) &gt; 1, "Duplicate", "Unique")</f>
        <v>Unique</v>
      </c>
      <c r="O94" s="27"/>
      <c r="P94" s="27"/>
    </row>
    <row r="95" spans="1:16" ht="40.75" customHeight="1" thickBot="1" x14ac:dyDescent="0.4">
      <c r="A95" s="28">
        <v>46280.375694444447</v>
      </c>
      <c r="B95" s="29" t="s">
        <v>11</v>
      </c>
      <c r="C95" s="29" t="s">
        <v>7</v>
      </c>
      <c r="D95" s="30">
        <v>10</v>
      </c>
      <c r="E95" s="30">
        <v>284.5</v>
      </c>
      <c r="F95" s="4">
        <v>5.2534221240000001</v>
      </c>
      <c r="G95" s="2" t="s">
        <v>98</v>
      </c>
      <c r="H95" s="5">
        <v>270.3</v>
      </c>
      <c r="I95" s="1" t="s">
        <v>8</v>
      </c>
      <c r="J95" s="25" t="s">
        <v>117</v>
      </c>
      <c r="K95" s="25" t="s">
        <v>271</v>
      </c>
      <c r="L95" s="25">
        <v>2610</v>
      </c>
      <c r="M95" s="25">
        <f>ABS((D95*E95)-L95)</f>
        <v>235</v>
      </c>
      <c r="N95" s="27" t="str">
        <f>IF(COUNTIFS( $B$2:$B$657, B95, $C$2:$C$657, C95, $D$2:$D$657, D95, $E$2:$E$657, E95) &gt; 1, "Duplicate", "Unique")</f>
        <v>Unique</v>
      </c>
      <c r="O95" s="27"/>
      <c r="P95" s="27"/>
    </row>
    <row r="96" spans="1:16" ht="27.65" customHeight="1" thickBot="1" x14ac:dyDescent="0.4">
      <c r="A96" s="11">
        <v>46252.6875</v>
      </c>
      <c r="B96" s="8" t="s">
        <v>9</v>
      </c>
      <c r="C96" s="8" t="s">
        <v>7</v>
      </c>
      <c r="D96" s="8">
        <v>50</v>
      </c>
      <c r="E96" s="8">
        <v>305</v>
      </c>
      <c r="F96" s="4">
        <v>5.3358659990000001</v>
      </c>
      <c r="G96" s="2" t="s">
        <v>94</v>
      </c>
      <c r="H96" s="5">
        <v>289.55</v>
      </c>
      <c r="I96" s="1" t="s">
        <v>8</v>
      </c>
      <c r="J96" s="32" t="s">
        <v>117</v>
      </c>
      <c r="N96" s="10" t="str">
        <f>IF(COUNTIFS( $B$2:$B$657, B96, $C$2:$C$657, C96, $D$2:$D$657, D96, $E$2:$E$657, E96) &gt; 1, "Duplicate", "Unique")</f>
        <v>Unique</v>
      </c>
    </row>
    <row r="97" spans="1:16" s="27" customFormat="1" ht="27.65" customHeight="1" thickBot="1" x14ac:dyDescent="0.4">
      <c r="A97" s="3">
        <v>46286.375694444447</v>
      </c>
      <c r="B97" s="1" t="s">
        <v>50</v>
      </c>
      <c r="C97" s="1" t="s">
        <v>7</v>
      </c>
      <c r="D97" s="4">
        <v>10</v>
      </c>
      <c r="E97" s="4">
        <v>927</v>
      </c>
      <c r="F97" s="4">
        <v>5.400795907</v>
      </c>
      <c r="G97" s="2" t="s">
        <v>51</v>
      </c>
      <c r="H97" s="5">
        <v>879.5</v>
      </c>
      <c r="I97" s="1" t="s">
        <v>8</v>
      </c>
      <c r="J97" s="17" t="s">
        <v>116</v>
      </c>
      <c r="K97" s="17" t="s">
        <v>282</v>
      </c>
      <c r="L97" s="17">
        <f>26910/3</f>
        <v>8970</v>
      </c>
      <c r="M97" s="17">
        <f>ABS((D97*E97)-L97)</f>
        <v>300</v>
      </c>
      <c r="N97" s="10" t="str">
        <f>IF(COUNTIFS( $B$2:$B$657, B97, $C$2:$C$657, C97, $D$2:$D$657, D97, $E$2:$E$657, E97) &gt; 1, "Duplicate", "Unique")</f>
        <v>Unique</v>
      </c>
      <c r="O97" s="10"/>
      <c r="P97" s="10"/>
    </row>
    <row r="98" spans="1:16" ht="40.75" customHeight="1" thickBot="1" x14ac:dyDescent="0.4">
      <c r="A98" s="6" t="s">
        <v>61</v>
      </c>
      <c r="B98" s="1" t="s">
        <v>91</v>
      </c>
      <c r="C98" s="1" t="s">
        <v>10</v>
      </c>
      <c r="D98" s="4">
        <v>2</v>
      </c>
      <c r="E98" s="4">
        <v>2660</v>
      </c>
      <c r="F98" s="4">
        <v>-18.166435929999999</v>
      </c>
      <c r="G98" s="2" t="s">
        <v>92</v>
      </c>
      <c r="H98" s="5">
        <v>3250.5</v>
      </c>
      <c r="I98" s="1" t="s">
        <v>8</v>
      </c>
      <c r="J98" s="48"/>
      <c r="K98" s="16"/>
      <c r="L98" s="16"/>
      <c r="M98" s="16"/>
      <c r="N98" t="str">
        <f>IF(COUNTIFS( $B$2:$B$657, B98, $C$2:$C$657, C98, $D$2:$D$657, D98, $E$2:$E$657, E98) &gt; 1, "Duplicate", "Unique")</f>
        <v>Unique</v>
      </c>
      <c r="O98"/>
      <c r="P98"/>
    </row>
    <row r="99" spans="1:16" ht="40.75" customHeight="1" thickBot="1" x14ac:dyDescent="0.4">
      <c r="A99" s="46">
        <v>46289.375</v>
      </c>
      <c r="B99" s="2" t="s">
        <v>30</v>
      </c>
      <c r="C99" s="2" t="s">
        <v>10</v>
      </c>
      <c r="D99" s="5">
        <v>5</v>
      </c>
      <c r="E99" s="5">
        <v>601</v>
      </c>
      <c r="F99" s="4">
        <v>-19.54484605</v>
      </c>
      <c r="G99" s="2" t="s">
        <v>93</v>
      </c>
      <c r="H99" s="5">
        <v>747</v>
      </c>
      <c r="I99" s="1" t="s">
        <v>8</v>
      </c>
      <c r="J99" s="17" t="s">
        <v>40</v>
      </c>
      <c r="K99" s="17" t="s">
        <v>286</v>
      </c>
      <c r="L99" s="17">
        <v>3245</v>
      </c>
      <c r="M99" s="17">
        <f>ABS((D99*E99)-L99)</f>
        <v>240</v>
      </c>
      <c r="N99" s="10" t="str">
        <f>IF(COUNTIFS( $B$2:$B$657, B99, $C$2:$C$657, C99, $D$2:$D$657, D99, $E$2:$E$657, E99) &gt; 1, "Duplicate", "Unique")</f>
        <v>Unique</v>
      </c>
    </row>
    <row r="100" spans="1:16" ht="27.65" customHeight="1" thickBot="1" x14ac:dyDescent="0.4">
      <c r="A100" s="3">
        <v>46268.375</v>
      </c>
      <c r="B100" s="1" t="s">
        <v>14</v>
      </c>
      <c r="C100" s="1" t="s">
        <v>7</v>
      </c>
      <c r="D100" s="4">
        <v>100</v>
      </c>
      <c r="E100" s="4">
        <v>334</v>
      </c>
      <c r="F100" s="4">
        <v>5.981278756</v>
      </c>
      <c r="G100" s="2" t="s">
        <v>44</v>
      </c>
      <c r="H100" s="5">
        <v>315.14999999999998</v>
      </c>
      <c r="I100" s="1" t="s">
        <v>8</v>
      </c>
      <c r="J100" s="21" t="s">
        <v>116</v>
      </c>
      <c r="K100" s="17" t="s">
        <v>229</v>
      </c>
      <c r="L100" s="17">
        <v>32200</v>
      </c>
      <c r="M100" s="17">
        <f>ABS((D100*E100)-L100)</f>
        <v>1200</v>
      </c>
      <c r="N100" s="10" t="str">
        <f>IF(COUNTIFS( $B$2:$B$657, B100, $C$2:$C$657, C100, $D$2:$D$657, D100, $E$2:$E$657, E100) &gt; 1, "Duplicate", "Unique")</f>
        <v>Unique</v>
      </c>
      <c r="O100" s="36" t="s">
        <v>237</v>
      </c>
    </row>
    <row r="101" spans="1:16" ht="27.65" customHeight="1" thickBot="1" x14ac:dyDescent="0.4">
      <c r="A101" s="78">
        <v>46309</v>
      </c>
      <c r="B101" s="2" t="s">
        <v>32</v>
      </c>
      <c r="C101" s="2" t="s">
        <v>7</v>
      </c>
      <c r="D101" s="5">
        <v>3</v>
      </c>
      <c r="E101" s="5">
        <v>2382</v>
      </c>
      <c r="F101" s="4">
        <v>6.0552092609999999</v>
      </c>
      <c r="G101" s="2" t="s">
        <v>83</v>
      </c>
      <c r="H101" s="5">
        <v>2246</v>
      </c>
      <c r="I101" s="1" t="s">
        <v>8</v>
      </c>
      <c r="J101" s="17" t="s">
        <v>116</v>
      </c>
      <c r="K101" s="17" t="s">
        <v>337</v>
      </c>
      <c r="L101" s="17">
        <v>6756</v>
      </c>
      <c r="M101" s="17">
        <f>ABS((D101*E101)-L101)</f>
        <v>390</v>
      </c>
      <c r="N101" s="10" t="str">
        <f>IF(COUNTIFS( $B$2:$B$657, B101, $C$2:$C$657, C101, $D$2:$D$657, D101, $E$2:$E$657, E101) &gt; 1, "Duplicate", "Unique")</f>
        <v>Unique</v>
      </c>
    </row>
    <row r="102" spans="1:16" s="27" customFormat="1" ht="27.65" customHeight="1" thickBot="1" x14ac:dyDescent="0.4">
      <c r="A102" s="8" t="s">
        <v>61</v>
      </c>
      <c r="B102" s="8" t="s">
        <v>137</v>
      </c>
      <c r="C102" s="8" t="s">
        <v>7</v>
      </c>
      <c r="D102" s="8">
        <v>50</v>
      </c>
      <c r="E102" s="12">
        <v>470</v>
      </c>
      <c r="F102" s="4">
        <v>6.1786964869999998</v>
      </c>
      <c r="G102" s="2" t="s">
        <v>138</v>
      </c>
      <c r="H102" s="5">
        <v>442.65</v>
      </c>
      <c r="I102" s="1" t="s">
        <v>8</v>
      </c>
      <c r="J102" s="32" t="s">
        <v>116</v>
      </c>
      <c r="K102" s="17"/>
      <c r="L102" s="17"/>
      <c r="M102" s="17"/>
      <c r="N102" s="10" t="str">
        <f>IF(COUNTIFS( $B$2:$B$657, B102, $C$2:$C$657, C102, $D$2:$D$657, D102, $E$2:$E$657, E102) &gt; 1, "Duplicate", "Unique")</f>
        <v>Unique</v>
      </c>
      <c r="O102" s="10"/>
      <c r="P102" s="10"/>
    </row>
    <row r="103" spans="1:16" ht="27.65" customHeight="1" thickBot="1" x14ac:dyDescent="0.4">
      <c r="A103" s="11">
        <v>46273.375</v>
      </c>
      <c r="B103" s="8" t="s">
        <v>50</v>
      </c>
      <c r="C103" s="8" t="s">
        <v>7</v>
      </c>
      <c r="D103" s="8">
        <v>10</v>
      </c>
      <c r="E103" s="8">
        <v>937</v>
      </c>
      <c r="F103" s="4">
        <v>6.5378055709999998</v>
      </c>
      <c r="G103" s="2" t="s">
        <v>51</v>
      </c>
      <c r="H103" s="5">
        <v>879.5</v>
      </c>
      <c r="I103" s="1" t="s">
        <v>8</v>
      </c>
      <c r="J103" s="17" t="s">
        <v>152</v>
      </c>
      <c r="K103" s="17" t="s">
        <v>247</v>
      </c>
      <c r="L103" s="17">
        <v>9170</v>
      </c>
      <c r="M103" s="25">
        <f>ABS((D103*E103)-L103)</f>
        <v>200</v>
      </c>
      <c r="N103" s="10" t="str">
        <f>IF(COUNTIFS( $B$2:$B$657, B103, $C$2:$C$657, C103, $D$2:$D$657, D103, $E$2:$E$657, E103) &gt; 1, "Duplicate", "Unique")</f>
        <v>Unique</v>
      </c>
      <c r="O103" s="36" t="s">
        <v>237</v>
      </c>
    </row>
    <row r="104" spans="1:16" ht="27.65" customHeight="1" thickBot="1" x14ac:dyDescent="0.4">
      <c r="A104" s="46">
        <v>46296.443055555559</v>
      </c>
      <c r="B104" s="2" t="s">
        <v>15</v>
      </c>
      <c r="C104" s="2" t="s">
        <v>7</v>
      </c>
      <c r="D104" s="5">
        <v>5</v>
      </c>
      <c r="E104" s="5">
        <v>2276</v>
      </c>
      <c r="F104" s="4">
        <v>6.5543071160000004</v>
      </c>
      <c r="G104" s="2" t="s">
        <v>71</v>
      </c>
      <c r="H104" s="5">
        <v>2136</v>
      </c>
      <c r="I104" s="1" t="s">
        <v>8</v>
      </c>
      <c r="J104" s="17" t="s">
        <v>117</v>
      </c>
      <c r="K104" s="17" t="s">
        <v>299</v>
      </c>
      <c r="L104" s="17">
        <v>10725.5</v>
      </c>
      <c r="M104" s="17">
        <f>ABS((D104*E104)-L104)</f>
        <v>654.5</v>
      </c>
      <c r="N104" s="10" t="str">
        <f>IF(COUNTIFS( $B$2:$B$657, B104, $C$2:$C$657, C104, $D$2:$D$657, D104, $E$2:$E$657, E104) &gt; 1, "Duplicate", "Unique")</f>
        <v>Unique</v>
      </c>
      <c r="O104" s="36" t="s">
        <v>237</v>
      </c>
    </row>
    <row r="105" spans="1:16" ht="27.65" customHeight="1" thickBot="1" x14ac:dyDescent="0.4">
      <c r="A105" s="8" t="s">
        <v>61</v>
      </c>
      <c r="B105" s="8" t="s">
        <v>42</v>
      </c>
      <c r="C105" s="8" t="s">
        <v>7</v>
      </c>
      <c r="D105" s="8">
        <v>10</v>
      </c>
      <c r="E105" s="8">
        <v>773</v>
      </c>
      <c r="F105" s="4">
        <v>6.5618968840000003</v>
      </c>
      <c r="G105" s="2" t="s">
        <v>43</v>
      </c>
      <c r="H105" s="5">
        <v>725.4</v>
      </c>
      <c r="I105" s="1" t="s">
        <v>8</v>
      </c>
      <c r="J105" s="32" t="s">
        <v>117</v>
      </c>
      <c r="N105" s="10" t="str">
        <f>IF(COUNTIFS( $B$2:$B$657, B105, $C$2:$C$657, C105, $D$2:$D$657, D105, $E$2:$E$657, E105) &gt; 1, "Duplicate", "Unique")</f>
        <v>Unique</v>
      </c>
    </row>
    <row r="106" spans="1:16" s="23" customFormat="1" ht="40.75" customHeight="1" thickBot="1" x14ac:dyDescent="0.4">
      <c r="A106" s="3">
        <v>46260.425694444442</v>
      </c>
      <c r="B106" s="1" t="s">
        <v>13</v>
      </c>
      <c r="C106" s="1" t="s">
        <v>7</v>
      </c>
      <c r="D106" s="4">
        <v>20</v>
      </c>
      <c r="E106" s="4">
        <v>1924</v>
      </c>
      <c r="F106" s="4">
        <v>6.7110371600000001</v>
      </c>
      <c r="G106" s="2" t="s">
        <v>90</v>
      </c>
      <c r="H106" s="5">
        <v>1803</v>
      </c>
      <c r="I106" s="1" t="s">
        <v>8</v>
      </c>
      <c r="J106" s="17" t="s">
        <v>117</v>
      </c>
      <c r="K106" s="17" t="s">
        <v>166</v>
      </c>
      <c r="L106" s="17">
        <v>37480</v>
      </c>
      <c r="M106" s="17">
        <f>ABS((D106*E106)-L106)</f>
        <v>1000</v>
      </c>
      <c r="N106" t="str">
        <f>IF(COUNTIFS( $B$2:$B$657, B106, $C$2:$C$657, C106, $D$2:$D$657, D106, $E$2:$E$657, E106) &gt; 1, "Duplicate", "Unique")</f>
        <v>Unique</v>
      </c>
      <c r="O106" s="10"/>
      <c r="P106" s="27"/>
    </row>
    <row r="107" spans="1:16" ht="40.75" customHeight="1" thickBot="1" x14ac:dyDescent="0.4">
      <c r="A107" s="6" t="s">
        <v>61</v>
      </c>
      <c r="B107" s="1" t="s">
        <v>12</v>
      </c>
      <c r="C107" s="1" t="s">
        <v>10</v>
      </c>
      <c r="D107" s="4">
        <v>1</v>
      </c>
      <c r="E107" s="4">
        <v>4014</v>
      </c>
      <c r="F107" s="4">
        <v>-20.7205072</v>
      </c>
      <c r="G107" s="2" t="s">
        <v>97</v>
      </c>
      <c r="H107" s="5">
        <v>5063.1000000000004</v>
      </c>
      <c r="I107" s="1" t="s">
        <v>8</v>
      </c>
      <c r="J107" s="48"/>
      <c r="K107" s="16"/>
      <c r="L107" s="16"/>
      <c r="M107" s="16"/>
      <c r="N107" t="str">
        <f>IF(COUNTIFS( $B$2:$B$657, B107, $C$2:$C$657, C107, $D$2:$D$657, D107, $E$2:$E$657, E107) &gt; 1, "Duplicate", "Unique")</f>
        <v>Unique</v>
      </c>
      <c r="O107"/>
      <c r="P107"/>
    </row>
    <row r="108" spans="1:16" ht="40.75" customHeight="1" thickBot="1" x14ac:dyDescent="0.4">
      <c r="A108" s="6" t="s">
        <v>61</v>
      </c>
      <c r="B108" s="1" t="s">
        <v>91</v>
      </c>
      <c r="C108" s="1" t="s">
        <v>10</v>
      </c>
      <c r="D108" s="4">
        <v>2</v>
      </c>
      <c r="E108" s="4">
        <v>2560</v>
      </c>
      <c r="F108" s="4">
        <v>-21.242885709999999</v>
      </c>
      <c r="G108" s="2" t="s">
        <v>92</v>
      </c>
      <c r="H108" s="5">
        <v>3250.5</v>
      </c>
      <c r="I108" s="1" t="s">
        <v>8</v>
      </c>
      <c r="J108" s="48" t="s">
        <v>40</v>
      </c>
      <c r="K108" s="16"/>
      <c r="L108" s="16"/>
      <c r="M108" s="16"/>
      <c r="N108" t="str">
        <f>IF(COUNTIFS( $B$2:$B$657, B108, $C$2:$C$657, C108, $D$2:$D$657, D108, $E$2:$E$657, E108) &gt; 1, "Duplicate", "Unique")</f>
        <v>Unique</v>
      </c>
      <c r="O108"/>
      <c r="P108"/>
    </row>
    <row r="109" spans="1:16" s="27" customFormat="1" ht="27.65" customHeight="1" thickBot="1" x14ac:dyDescent="0.4">
      <c r="A109" s="46">
        <v>46304.375</v>
      </c>
      <c r="B109" s="2" t="s">
        <v>23</v>
      </c>
      <c r="C109" s="2" t="s">
        <v>7</v>
      </c>
      <c r="D109" s="5">
        <v>50</v>
      </c>
      <c r="E109" s="5">
        <v>201</v>
      </c>
      <c r="F109" s="4">
        <v>6.9148936169999997</v>
      </c>
      <c r="G109" s="2" t="s">
        <v>69</v>
      </c>
      <c r="H109" s="5">
        <v>188</v>
      </c>
      <c r="I109" s="1" t="s">
        <v>8</v>
      </c>
      <c r="J109" s="17" t="s">
        <v>117</v>
      </c>
      <c r="K109" s="17" t="s">
        <v>313</v>
      </c>
      <c r="L109" s="17">
        <v>9393.5</v>
      </c>
      <c r="M109" s="17">
        <f t="shared" ref="M109:M122" si="4">ABS((D109*E109)-L109)</f>
        <v>656.5</v>
      </c>
      <c r="N109" t="str">
        <f>IF(COUNTIFS( $B$2:$B$657, B109, $C$2:$C$657, C109, $D$2:$D$657, D109, $E$2:$E$657, E109) &gt; 1, "Duplicate", "Unique")</f>
        <v>Unique</v>
      </c>
      <c r="O109" s="10"/>
      <c r="P109" s="10"/>
    </row>
    <row r="110" spans="1:16" ht="27.65" customHeight="1" thickBot="1" x14ac:dyDescent="0.4">
      <c r="A110" s="3">
        <v>46280.435416666667</v>
      </c>
      <c r="B110" s="1" t="s">
        <v>67</v>
      </c>
      <c r="C110" s="1" t="s">
        <v>7</v>
      </c>
      <c r="D110" s="4">
        <v>50</v>
      </c>
      <c r="E110" s="4">
        <v>409</v>
      </c>
      <c r="F110" s="4">
        <v>6.9700536160000004</v>
      </c>
      <c r="G110" s="2" t="s">
        <v>68</v>
      </c>
      <c r="H110" s="5">
        <v>382.35</v>
      </c>
      <c r="I110" s="1" t="s">
        <v>8</v>
      </c>
      <c r="J110" s="17" t="s">
        <v>116</v>
      </c>
      <c r="K110" s="17" t="s">
        <v>270</v>
      </c>
      <c r="L110" s="17">
        <v>39300</v>
      </c>
      <c r="M110" s="17">
        <f t="shared" si="4"/>
        <v>18850</v>
      </c>
      <c r="N110" s="10" t="str">
        <f>IF(COUNTIFS( $B$2:$B$657, B110, $C$2:$C$657, C110, $D$2:$D$657, D110, $E$2:$E$657, E110) &gt; 1, "Duplicate", "Unique")</f>
        <v>Unique</v>
      </c>
    </row>
    <row r="111" spans="1:16" ht="40.75" customHeight="1" thickBot="1" x14ac:dyDescent="0.4">
      <c r="A111" s="3">
        <v>46274.375</v>
      </c>
      <c r="B111" s="1" t="s">
        <v>21</v>
      </c>
      <c r="C111" s="1" t="s">
        <v>7</v>
      </c>
      <c r="D111" s="4">
        <v>5</v>
      </c>
      <c r="E111" s="4">
        <v>730</v>
      </c>
      <c r="F111" s="4">
        <v>7.1874311720000001</v>
      </c>
      <c r="G111" s="2" t="s">
        <v>75</v>
      </c>
      <c r="H111" s="5">
        <v>681.05</v>
      </c>
      <c r="I111" s="1" t="s">
        <v>8</v>
      </c>
      <c r="J111" s="17" t="s">
        <v>117</v>
      </c>
      <c r="K111" s="17" t="s">
        <v>252</v>
      </c>
      <c r="L111" s="17">
        <v>3400</v>
      </c>
      <c r="M111" s="17">
        <f t="shared" si="4"/>
        <v>250</v>
      </c>
      <c r="N111" s="10" t="str">
        <f>IF(COUNTIFS( $B$2:$B$657, B111, $C$2:$C$657, C111, $D$2:$D$657, D111, $E$2:$E$657, E111) &gt; 1, "Duplicate", "Unique")</f>
        <v>Unique</v>
      </c>
    </row>
    <row r="112" spans="1:16" ht="27.65" customHeight="1" thickBot="1" x14ac:dyDescent="0.4">
      <c r="A112" s="3">
        <v>46267.461111111108</v>
      </c>
      <c r="B112" s="1" t="s">
        <v>14</v>
      </c>
      <c r="C112" s="1" t="s">
        <v>7</v>
      </c>
      <c r="D112" s="4">
        <v>100</v>
      </c>
      <c r="E112" s="4">
        <v>339</v>
      </c>
      <c r="F112" s="4">
        <v>7.5678248449999996</v>
      </c>
      <c r="G112" s="2" t="s">
        <v>44</v>
      </c>
      <c r="H112" s="5">
        <v>315.14999999999998</v>
      </c>
      <c r="I112" s="1" t="s">
        <v>8</v>
      </c>
      <c r="J112" s="17" t="s">
        <v>116</v>
      </c>
      <c r="K112" s="17" t="s">
        <v>218</v>
      </c>
      <c r="L112" s="17">
        <v>32900</v>
      </c>
      <c r="M112" s="17">
        <f t="shared" si="4"/>
        <v>1000</v>
      </c>
      <c r="N112" s="10" t="str">
        <f>IF(COUNTIFS( $B$2:$B$657, B112, $C$2:$C$657, C112, $D$2:$D$657, D112, $E$2:$E$657, E112) &gt; 1, "Duplicate", "Unique")</f>
        <v>Unique</v>
      </c>
    </row>
    <row r="113" spans="1:16" s="22" customFormat="1" ht="40.75" customHeight="1" thickBot="1" x14ac:dyDescent="0.4">
      <c r="A113" s="68">
        <v>46269.643055555556</v>
      </c>
      <c r="B113" s="66" t="s">
        <v>12</v>
      </c>
      <c r="C113" s="66" t="s">
        <v>7</v>
      </c>
      <c r="D113" s="65">
        <v>1</v>
      </c>
      <c r="E113" s="65">
        <v>5448</v>
      </c>
      <c r="F113" s="4">
        <v>7.6020619780000001</v>
      </c>
      <c r="G113" s="2" t="s">
        <v>97</v>
      </c>
      <c r="H113" s="5">
        <v>5063.1000000000004</v>
      </c>
      <c r="I113" s="1" t="s">
        <v>8</v>
      </c>
      <c r="J113" s="41" t="s">
        <v>117</v>
      </c>
      <c r="K113" s="41" t="s">
        <v>231</v>
      </c>
      <c r="L113" s="41">
        <v>5180</v>
      </c>
      <c r="M113" s="41">
        <f t="shared" si="4"/>
        <v>268</v>
      </c>
      <c r="N113" s="67" t="str">
        <f>IF(COUNTIFS( $B$2:$B$657, B113, $C$2:$C$657, C113, $D$2:$D$657, D113, $E$2:$E$657, E113) &gt; 1, "Duplicate", "Unique")</f>
        <v>Unique</v>
      </c>
      <c r="P113" s="22" t="s">
        <v>249</v>
      </c>
    </row>
    <row r="114" spans="1:16" s="27" customFormat="1" ht="27.65" customHeight="1" thickBot="1" x14ac:dyDescent="0.4">
      <c r="A114" s="11">
        <v>46273.375</v>
      </c>
      <c r="B114" s="8" t="s">
        <v>50</v>
      </c>
      <c r="C114" s="8" t="s">
        <v>7</v>
      </c>
      <c r="D114" s="8">
        <v>10</v>
      </c>
      <c r="E114" s="8">
        <v>947</v>
      </c>
      <c r="F114" s="4">
        <v>7.6748152359999997</v>
      </c>
      <c r="G114" s="2" t="s">
        <v>51</v>
      </c>
      <c r="H114" s="5">
        <v>879.5</v>
      </c>
      <c r="I114" s="1" t="s">
        <v>8</v>
      </c>
      <c r="J114" s="17" t="s">
        <v>152</v>
      </c>
      <c r="K114" s="17" t="s">
        <v>247</v>
      </c>
      <c r="L114" s="17">
        <v>9170</v>
      </c>
      <c r="M114" s="25">
        <f t="shared" si="4"/>
        <v>300</v>
      </c>
      <c r="N114" s="10" t="str">
        <f>IF(COUNTIFS( $B$2:$B$657, B114, $C$2:$C$657, C114, $D$2:$D$657, D114, $E$2:$E$657, E114) &gt; 1, "Duplicate", "Unique")</f>
        <v>Unique</v>
      </c>
      <c r="O114" s="10"/>
      <c r="P114" s="10"/>
    </row>
    <row r="115" spans="1:16" s="27" customFormat="1" ht="40.75" customHeight="1" thickBot="1" x14ac:dyDescent="0.4">
      <c r="A115" s="3">
        <v>46276.375</v>
      </c>
      <c r="B115" s="1" t="s">
        <v>17</v>
      </c>
      <c r="C115" s="1" t="s">
        <v>7</v>
      </c>
      <c r="D115" s="4">
        <v>25</v>
      </c>
      <c r="E115" s="4">
        <v>358</v>
      </c>
      <c r="F115" s="4">
        <v>7.9613992759999999</v>
      </c>
      <c r="G115" s="2" t="s">
        <v>76</v>
      </c>
      <c r="H115" s="5">
        <v>331.6</v>
      </c>
      <c r="I115" s="1" t="s">
        <v>8</v>
      </c>
      <c r="J115" s="17" t="s">
        <v>116</v>
      </c>
      <c r="K115" s="17" t="s">
        <v>266</v>
      </c>
      <c r="L115" s="17">
        <v>8700</v>
      </c>
      <c r="M115" s="17">
        <f t="shared" si="4"/>
        <v>250</v>
      </c>
      <c r="N115" s="10" t="str">
        <f>IF(COUNTIFS( $B$2:$B$657, B115, $C$2:$C$657, C115, $D$2:$D$657, D115, $E$2:$E$657, E115) &gt; 1, "Duplicate", "Unique")</f>
        <v>Unique</v>
      </c>
      <c r="O115" s="10"/>
      <c r="P115" s="10"/>
    </row>
    <row r="116" spans="1:16" ht="27.65" customHeight="1" thickBot="1" x14ac:dyDescent="0.4">
      <c r="A116" s="3">
        <v>46259.388194444444</v>
      </c>
      <c r="B116" s="1" t="s">
        <v>13</v>
      </c>
      <c r="C116" s="1" t="s">
        <v>7</v>
      </c>
      <c r="D116" s="4">
        <v>20</v>
      </c>
      <c r="E116" s="4">
        <v>1948</v>
      </c>
      <c r="F116" s="4">
        <v>8.0421519690000007</v>
      </c>
      <c r="G116" s="2" t="s">
        <v>90</v>
      </c>
      <c r="H116" s="5">
        <v>1803</v>
      </c>
      <c r="I116" s="1" t="s">
        <v>8</v>
      </c>
      <c r="J116" s="17" t="s">
        <v>116</v>
      </c>
      <c r="K116" s="17" t="s">
        <v>159</v>
      </c>
      <c r="L116" s="17">
        <v>38020</v>
      </c>
      <c r="M116" s="17">
        <f t="shared" si="4"/>
        <v>940</v>
      </c>
      <c r="N116" s="10" t="str">
        <f>IF(COUNTIFS( $B$2:$B$657, B116, $C$2:$C$657, C116, $D$2:$D$657, D116, $E$2:$E$657, E116) &gt; 1, "Duplicate", "Unique")</f>
        <v>Unique</v>
      </c>
    </row>
    <row r="117" spans="1:16" ht="27.65" customHeight="1" thickBot="1" x14ac:dyDescent="0.4">
      <c r="A117" s="3">
        <v>46267.375</v>
      </c>
      <c r="B117" s="1" t="s">
        <v>81</v>
      </c>
      <c r="C117" s="1" t="s">
        <v>7</v>
      </c>
      <c r="D117" s="4">
        <v>2</v>
      </c>
      <c r="E117" s="4">
        <v>4290</v>
      </c>
      <c r="F117" s="4">
        <v>8.068619795</v>
      </c>
      <c r="G117" s="2" t="s">
        <v>82</v>
      </c>
      <c r="H117" s="5">
        <v>3969.7</v>
      </c>
      <c r="I117" s="1" t="s">
        <v>8</v>
      </c>
      <c r="J117" s="17" t="s">
        <v>117</v>
      </c>
      <c r="K117" s="17" t="s">
        <v>222</v>
      </c>
      <c r="L117" s="17">
        <v>8220</v>
      </c>
      <c r="M117" s="17">
        <f t="shared" si="4"/>
        <v>360</v>
      </c>
      <c r="N117" s="10" t="str">
        <f>IF(COUNTIFS( $B$2:$B$657, B117, $C$2:$C$657, C117, $D$2:$D$657, D117, $E$2:$E$657, E117) &gt; 1, "Duplicate", "Unique")</f>
        <v>Unique</v>
      </c>
      <c r="O117" s="36" t="s">
        <v>237</v>
      </c>
    </row>
    <row r="118" spans="1:16" ht="27.65" customHeight="1" thickBot="1" x14ac:dyDescent="0.4">
      <c r="A118" s="3">
        <v>46294.375</v>
      </c>
      <c r="B118" s="2" t="s">
        <v>35</v>
      </c>
      <c r="C118" s="2" t="s">
        <v>7</v>
      </c>
      <c r="D118" s="5">
        <v>5</v>
      </c>
      <c r="E118" s="5">
        <v>1143</v>
      </c>
      <c r="F118" s="4">
        <v>8.1055518769999999</v>
      </c>
      <c r="G118" s="2" t="s">
        <v>64</v>
      </c>
      <c r="H118" s="5">
        <v>1057.3</v>
      </c>
      <c r="I118" s="1" t="s">
        <v>8</v>
      </c>
      <c r="J118" s="17" t="s">
        <v>117</v>
      </c>
      <c r="K118" s="17" t="s">
        <v>295</v>
      </c>
      <c r="L118" s="17">
        <v>5450</v>
      </c>
      <c r="M118" s="17">
        <f t="shared" si="4"/>
        <v>265</v>
      </c>
      <c r="N118" s="10" t="str">
        <f>IF(COUNTIFS( $B$2:$B$657, B118, $C$2:$C$657, C118, $D$2:$D$657, D118, $E$2:$E$657, E118) &gt; 1, "Duplicate", "Unique")</f>
        <v>Unique</v>
      </c>
    </row>
    <row r="119" spans="1:16" ht="40.75" customHeight="1" thickBot="1" x14ac:dyDescent="0.4">
      <c r="A119" s="3">
        <v>46267.375</v>
      </c>
      <c r="B119" s="1" t="s">
        <v>14</v>
      </c>
      <c r="C119" s="1" t="s">
        <v>7</v>
      </c>
      <c r="D119" s="4">
        <v>50</v>
      </c>
      <c r="E119" s="4">
        <v>341</v>
      </c>
      <c r="F119" s="4">
        <v>8.2024432810000008</v>
      </c>
      <c r="G119" s="2" t="s">
        <v>44</v>
      </c>
      <c r="H119" s="5">
        <v>315.14999999999998</v>
      </c>
      <c r="I119" s="1" t="s">
        <v>8</v>
      </c>
      <c r="J119" s="17" t="s">
        <v>116</v>
      </c>
      <c r="K119" s="17" t="s">
        <v>225</v>
      </c>
      <c r="L119" s="17">
        <v>16755</v>
      </c>
      <c r="M119" s="17">
        <f t="shared" si="4"/>
        <v>295</v>
      </c>
      <c r="N119" s="10" t="str">
        <f>IF(COUNTIFS( $B$2:$B$657, B119, $C$2:$C$657, C119, $D$2:$D$657, D119, $E$2:$E$657, E119) &gt; 1, "Duplicate", "Unique")</f>
        <v>Unique</v>
      </c>
    </row>
    <row r="120" spans="1:16" ht="27.65" customHeight="1" thickBot="1" x14ac:dyDescent="0.4">
      <c r="A120" s="46">
        <v>46303.375</v>
      </c>
      <c r="B120" s="2" t="s">
        <v>278</v>
      </c>
      <c r="C120" s="2" t="s">
        <v>10</v>
      </c>
      <c r="D120" s="5">
        <v>2</v>
      </c>
      <c r="E120" s="5">
        <v>1294</v>
      </c>
      <c r="F120" s="4">
        <v>-22.760102669999998</v>
      </c>
      <c r="G120" s="2" t="s">
        <v>280</v>
      </c>
      <c r="H120" s="5">
        <v>1675.3</v>
      </c>
      <c r="I120" s="1" t="s">
        <v>8</v>
      </c>
      <c r="J120" s="17" t="s">
        <v>40</v>
      </c>
      <c r="K120" s="17" t="s">
        <v>309</v>
      </c>
      <c r="L120" s="17">
        <v>2852</v>
      </c>
      <c r="M120" s="17">
        <f t="shared" si="4"/>
        <v>264</v>
      </c>
      <c r="N120" s="10" t="str">
        <f>IF(COUNTIFS( $B$2:$B$657, B120, $C$2:$C$657, C120, $D$2:$D$657, D120, $E$2:$E$657, E120) &gt; 1, "Duplicate", "Unique")</f>
        <v>Unique</v>
      </c>
    </row>
    <row r="121" spans="1:16" ht="27.65" customHeight="1" thickBot="1" x14ac:dyDescent="0.4">
      <c r="A121" s="3">
        <v>46281.375</v>
      </c>
      <c r="B121" s="1" t="s">
        <v>18</v>
      </c>
      <c r="C121" s="1" t="s">
        <v>7</v>
      </c>
      <c r="D121" s="4">
        <v>10</v>
      </c>
      <c r="E121" s="4">
        <v>1790</v>
      </c>
      <c r="F121" s="4">
        <v>8.6099144469999995</v>
      </c>
      <c r="G121" s="2" t="s">
        <v>101</v>
      </c>
      <c r="H121" s="5">
        <v>1648.1</v>
      </c>
      <c r="I121" s="1" t="s">
        <v>8</v>
      </c>
      <c r="J121" s="17" t="s">
        <v>116</v>
      </c>
      <c r="K121" s="17" t="s">
        <v>276</v>
      </c>
      <c r="L121" s="17">
        <v>16500</v>
      </c>
      <c r="M121" s="17">
        <f t="shared" si="4"/>
        <v>1400</v>
      </c>
      <c r="N121" s="10" t="str">
        <f>IF(COUNTIFS( $B$2:$B$657, B121, $C$2:$C$657, C121, $D$2:$D$657, D121, $E$2:$E$657, E121) &gt; 1, "Duplicate", "Unique")</f>
        <v>Unique</v>
      </c>
      <c r="O121" s="36" t="s">
        <v>237</v>
      </c>
    </row>
    <row r="122" spans="1:16" ht="27.65" customHeight="1" thickBot="1" x14ac:dyDescent="0.4">
      <c r="A122" s="3">
        <v>46267.375</v>
      </c>
      <c r="B122" s="1" t="s">
        <v>50</v>
      </c>
      <c r="C122" s="1" t="s">
        <v>7</v>
      </c>
      <c r="D122" s="4">
        <v>10</v>
      </c>
      <c r="E122" s="4">
        <v>957</v>
      </c>
      <c r="F122" s="4">
        <v>8.8118249009999996</v>
      </c>
      <c r="G122" s="2" t="s">
        <v>51</v>
      </c>
      <c r="H122" s="5">
        <v>879.5</v>
      </c>
      <c r="I122" s="1" t="s">
        <v>8</v>
      </c>
      <c r="J122" s="17" t="s">
        <v>116</v>
      </c>
      <c r="K122" s="17" t="s">
        <v>226</v>
      </c>
      <c r="L122" s="17">
        <v>9270</v>
      </c>
      <c r="M122" s="17">
        <f t="shared" si="4"/>
        <v>300</v>
      </c>
      <c r="N122" s="10" t="str">
        <f>IF(COUNTIFS( $B$2:$B$657, B122, $C$2:$C$657, C122, $D$2:$D$657, D122, $E$2:$E$657, E122) &gt; 1, "Duplicate", "Unique")</f>
        <v>Unique</v>
      </c>
      <c r="P122" s="18"/>
    </row>
    <row r="123" spans="1:16" ht="27.65" customHeight="1" thickBot="1" x14ac:dyDescent="0.4">
      <c r="A123" s="8" t="s">
        <v>61</v>
      </c>
      <c r="B123" s="8" t="s">
        <v>73</v>
      </c>
      <c r="C123" s="8" t="s">
        <v>7</v>
      </c>
      <c r="D123" s="8">
        <v>5</v>
      </c>
      <c r="E123" s="8">
        <v>3633</v>
      </c>
      <c r="F123" s="4">
        <v>8.8376273219999995</v>
      </c>
      <c r="G123" s="2" t="s">
        <v>74</v>
      </c>
      <c r="H123" s="5">
        <v>3338</v>
      </c>
      <c r="I123" s="1" t="s">
        <v>8</v>
      </c>
      <c r="J123" s="32"/>
      <c r="N123" s="10" t="str">
        <f>IF(COUNTIFS( $B$2:$B$657, B123, $C$2:$C$657, C123, $D$2:$D$657, D123, $E$2:$E$657, E123) &gt; 1, "Duplicate", "Unique")</f>
        <v>Unique</v>
      </c>
    </row>
    <row r="124" spans="1:16" ht="40.75" customHeight="1" thickBot="1" x14ac:dyDescent="0.4">
      <c r="A124" s="8" t="s">
        <v>61</v>
      </c>
      <c r="B124" s="8" t="s">
        <v>42</v>
      </c>
      <c r="C124" s="8" t="s">
        <v>7</v>
      </c>
      <c r="D124" s="8">
        <v>5</v>
      </c>
      <c r="E124" s="12">
        <v>790</v>
      </c>
      <c r="F124" s="4">
        <v>8.9054314859999995</v>
      </c>
      <c r="G124" s="2" t="s">
        <v>43</v>
      </c>
      <c r="H124" s="5">
        <v>725.4</v>
      </c>
      <c r="I124" s="1" t="s">
        <v>8</v>
      </c>
      <c r="J124" s="32" t="s">
        <v>117</v>
      </c>
      <c r="N124" s="10" t="str">
        <f>IF(COUNTIFS( $B$2:$B$657, B124, $C$2:$C$657, C124, $D$2:$D$657, D124, $E$2:$E$657, E124) &gt; 1, "Duplicate", "Unique")</f>
        <v>Unique</v>
      </c>
    </row>
    <row r="125" spans="1:16" s="27" customFormat="1" ht="27.65" customHeight="1" thickBot="1" x14ac:dyDescent="0.4">
      <c r="A125" s="3">
        <v>46301.375</v>
      </c>
      <c r="B125" s="1" t="s">
        <v>32</v>
      </c>
      <c r="C125" s="1" t="s">
        <v>7</v>
      </c>
      <c r="D125" s="4">
        <v>3</v>
      </c>
      <c r="E125" s="4">
        <v>2448</v>
      </c>
      <c r="F125" s="4">
        <v>8.9937666959999998</v>
      </c>
      <c r="G125" s="2" t="s">
        <v>83</v>
      </c>
      <c r="H125" s="5">
        <v>2246</v>
      </c>
      <c r="I125" s="1" t="s">
        <v>8</v>
      </c>
      <c r="J125" s="17" t="s">
        <v>117</v>
      </c>
      <c r="K125" s="17" t="s">
        <v>302</v>
      </c>
      <c r="L125" s="17">
        <f>3*2300</f>
        <v>6900</v>
      </c>
      <c r="M125" s="17">
        <f>ABS((D125*E125)-L125)</f>
        <v>444</v>
      </c>
      <c r="N125" t="str">
        <f>IF(COUNTIFS( $B$2:$B$657, B125, $C$2:$C$657, C125, $D$2:$D$657, D125, $E$2:$E$657, E125) &gt; 1, "Duplicate", "Unique")</f>
        <v>Unique</v>
      </c>
      <c r="O125" s="10"/>
      <c r="P125" s="10"/>
    </row>
    <row r="126" spans="1:16" s="27" customFormat="1" ht="40.75" customHeight="1" thickBot="1" x14ac:dyDescent="0.4">
      <c r="A126" s="3">
        <v>46267.38958333333</v>
      </c>
      <c r="B126" s="1" t="s">
        <v>14</v>
      </c>
      <c r="C126" s="1" t="s">
        <v>7</v>
      </c>
      <c r="D126" s="4">
        <v>100</v>
      </c>
      <c r="E126" s="4">
        <v>344</v>
      </c>
      <c r="F126" s="4">
        <v>9.1543709339999992</v>
      </c>
      <c r="G126" s="2" t="s">
        <v>44</v>
      </c>
      <c r="H126" s="5">
        <v>315.14999999999998</v>
      </c>
      <c r="I126" s="1" t="s">
        <v>8</v>
      </c>
      <c r="J126" s="17" t="s">
        <v>116</v>
      </c>
      <c r="K126" s="17" t="s">
        <v>220</v>
      </c>
      <c r="L126" s="17">
        <v>33200</v>
      </c>
      <c r="M126" s="17">
        <f>ABS((D126*E126)-L126)</f>
        <v>1200</v>
      </c>
      <c r="N126" s="10" t="str">
        <f>IF(COUNTIFS( $B$2:$B$657, B126, $C$2:$C$657, C126, $D$2:$D$657, D126, $E$2:$E$657, E126) &gt; 1, "Duplicate", "Unique")</f>
        <v>Unique</v>
      </c>
      <c r="O126" s="10"/>
      <c r="P126" s="10"/>
    </row>
    <row r="127" spans="1:16" ht="40.75" customHeight="1" thickBot="1" x14ac:dyDescent="0.4">
      <c r="A127" s="6" t="s">
        <v>61</v>
      </c>
      <c r="B127" s="1" t="s">
        <v>114</v>
      </c>
      <c r="C127" s="1" t="s">
        <v>10</v>
      </c>
      <c r="D127" s="4">
        <v>2</v>
      </c>
      <c r="E127" s="4">
        <v>660</v>
      </c>
      <c r="F127" s="4">
        <v>-23.980649620000001</v>
      </c>
      <c r="G127" s="2" t="s">
        <v>115</v>
      </c>
      <c r="H127" s="5">
        <v>868.2</v>
      </c>
      <c r="I127" s="1" t="s">
        <v>8</v>
      </c>
      <c r="J127" s="48" t="s">
        <v>40</v>
      </c>
      <c r="K127" s="16"/>
      <c r="L127" s="16"/>
      <c r="M127" s="16"/>
      <c r="N127" t="str">
        <f>IF(COUNTIFS( $B$2:$B$657, B127, $C$2:$C$657, C127, $D$2:$D$657, D127, $E$2:$E$657, E127) &gt; 1, "Duplicate", "Unique")</f>
        <v>Unique</v>
      </c>
      <c r="O127"/>
      <c r="P127"/>
    </row>
    <row r="128" spans="1:16" ht="27.65" customHeight="1" thickBot="1" x14ac:dyDescent="0.4">
      <c r="A128" s="3">
        <v>46260.554861111108</v>
      </c>
      <c r="B128" s="1" t="s">
        <v>12</v>
      </c>
      <c r="C128" s="1" t="s">
        <v>7</v>
      </c>
      <c r="D128" s="4">
        <v>1</v>
      </c>
      <c r="E128" s="4">
        <v>5540</v>
      </c>
      <c r="F128" s="4">
        <v>9.4191305720000003</v>
      </c>
      <c r="G128" s="2" t="s">
        <v>97</v>
      </c>
      <c r="H128" s="5">
        <v>5063.1000000000004</v>
      </c>
      <c r="I128" s="1" t="s">
        <v>8</v>
      </c>
      <c r="J128" s="17" t="s">
        <v>117</v>
      </c>
      <c r="K128" s="17" t="s">
        <v>163</v>
      </c>
      <c r="L128" s="17">
        <v>5290</v>
      </c>
      <c r="M128" s="17">
        <f>ABS((D128*E128)-L128)</f>
        <v>250</v>
      </c>
      <c r="N128" t="str">
        <f>IF(COUNTIFS( $B$2:$B$657, B128, $C$2:$C$657, C128, $D$2:$D$657, D128, $E$2:$E$657, E128) &gt; 1, "Duplicate", "Unique")</f>
        <v>Unique</v>
      </c>
    </row>
    <row r="129" spans="1:16" ht="27.65" customHeight="1" thickBot="1" x14ac:dyDescent="0.4">
      <c r="A129" s="8" t="s">
        <v>61</v>
      </c>
      <c r="B129" s="8" t="s">
        <v>9</v>
      </c>
      <c r="C129" s="8" t="s">
        <v>7</v>
      </c>
      <c r="D129" s="8">
        <v>50</v>
      </c>
      <c r="E129" s="8">
        <v>317</v>
      </c>
      <c r="F129" s="4">
        <v>9.4802279400000007</v>
      </c>
      <c r="G129" s="2" t="s">
        <v>94</v>
      </c>
      <c r="H129" s="5">
        <v>289.55</v>
      </c>
      <c r="I129" s="1" t="s">
        <v>8</v>
      </c>
      <c r="J129" s="32"/>
      <c r="N129" s="10" t="str">
        <f>IF(COUNTIFS( $B$2:$B$657, B129, $C$2:$C$657, C129, $D$2:$D$657, D129, $E$2:$E$657, E129) &gt; 1, "Duplicate", "Unique")</f>
        <v>Unique</v>
      </c>
    </row>
    <row r="130" spans="1:16" ht="27.65" customHeight="1" thickBot="1" x14ac:dyDescent="0.4">
      <c r="A130" s="11">
        <v>46243.375</v>
      </c>
      <c r="B130" s="8" t="s">
        <v>11</v>
      </c>
      <c r="C130" s="8" t="s">
        <v>7</v>
      </c>
      <c r="D130" s="8">
        <v>20</v>
      </c>
      <c r="E130" s="8">
        <v>296</v>
      </c>
      <c r="F130" s="4">
        <v>9.5079541249999995</v>
      </c>
      <c r="G130" s="2" t="s">
        <v>98</v>
      </c>
      <c r="H130" s="5">
        <v>270.3</v>
      </c>
      <c r="I130" s="1" t="s">
        <v>8</v>
      </c>
      <c r="J130" s="17" t="s">
        <v>117</v>
      </c>
      <c r="K130" s="17" t="s">
        <v>245</v>
      </c>
      <c r="L130" s="17">
        <v>5620</v>
      </c>
      <c r="M130" s="25">
        <f>ABS((D130*E130)-L130)</f>
        <v>300</v>
      </c>
      <c r="N130" s="10" t="str">
        <f>IF(COUNTIFS( $B$2:$B$657, B130, $C$2:$C$657, C130, $D$2:$D$657, D130, $E$2:$E$657, E130) &gt; 1, "Duplicate", "Unique")</f>
        <v>Unique</v>
      </c>
      <c r="P130" s="23"/>
    </row>
    <row r="131" spans="1:16" ht="27.65" customHeight="1" thickBot="1" x14ac:dyDescent="0.4">
      <c r="A131" s="3">
        <v>46280.435416666667</v>
      </c>
      <c r="B131" s="1" t="s">
        <v>67</v>
      </c>
      <c r="C131" s="1" t="s">
        <v>7</v>
      </c>
      <c r="D131" s="4">
        <v>50</v>
      </c>
      <c r="E131" s="4">
        <v>419</v>
      </c>
      <c r="F131" s="4">
        <v>9.5854583499999997</v>
      </c>
      <c r="G131" s="2" t="s">
        <v>68</v>
      </c>
      <c r="H131" s="5">
        <v>382.35</v>
      </c>
      <c r="I131" s="1" t="s">
        <v>8</v>
      </c>
      <c r="J131" s="17" t="s">
        <v>116</v>
      </c>
      <c r="K131" s="17" t="s">
        <v>270</v>
      </c>
      <c r="L131" s="17">
        <v>39300</v>
      </c>
      <c r="M131" s="17">
        <f>ABS((D131*E131)-L131)</f>
        <v>18350</v>
      </c>
      <c r="N131" s="10" t="str">
        <f>IF(COUNTIFS( $B$2:$B$657, B131, $C$2:$C$657, C131, $D$2:$D$657, D131, $E$2:$E$657, E131) &gt; 1, "Duplicate", "Unique")</f>
        <v>Unique</v>
      </c>
    </row>
    <row r="132" spans="1:16" ht="40.75" customHeight="1" thickBot="1" x14ac:dyDescent="0.4">
      <c r="A132" s="3">
        <v>46272.375694444447</v>
      </c>
      <c r="B132" s="1" t="s">
        <v>62</v>
      </c>
      <c r="C132" s="1" t="s">
        <v>7</v>
      </c>
      <c r="D132" s="4">
        <v>15</v>
      </c>
      <c r="E132" s="4">
        <v>1048</v>
      </c>
      <c r="F132" s="4">
        <v>9.7497120119999998</v>
      </c>
      <c r="G132" s="2" t="s">
        <v>63</v>
      </c>
      <c r="H132" s="5">
        <v>954.9</v>
      </c>
      <c r="I132" s="1" t="s">
        <v>8</v>
      </c>
      <c r="J132" s="17" t="s">
        <v>116</v>
      </c>
      <c r="K132" s="17" t="s">
        <v>241</v>
      </c>
      <c r="L132" s="17">
        <v>15075</v>
      </c>
      <c r="M132" s="17">
        <f>ABS((D132*E132)-L132)</f>
        <v>645</v>
      </c>
      <c r="N132" s="10" t="str">
        <f>IF(COUNTIFS( $B$2:$B$657, B132, $C$2:$C$657, C132, $D$2:$D$657, D132, $E$2:$E$657, E132) &gt; 1, "Duplicate", "Unique")</f>
        <v>Unique</v>
      </c>
      <c r="O132" s="36" t="s">
        <v>237</v>
      </c>
    </row>
    <row r="133" spans="1:16" ht="27.65" customHeight="1" thickBot="1" x14ac:dyDescent="0.4">
      <c r="A133" s="3">
        <v>46262.375</v>
      </c>
      <c r="B133" s="1" t="s">
        <v>81</v>
      </c>
      <c r="C133" s="1" t="s">
        <v>7</v>
      </c>
      <c r="D133" s="4">
        <v>2</v>
      </c>
      <c r="E133" s="4">
        <v>4360</v>
      </c>
      <c r="F133" s="4">
        <v>9.8319772269999994</v>
      </c>
      <c r="G133" s="2" t="s">
        <v>82</v>
      </c>
      <c r="H133" s="5">
        <v>3969.7</v>
      </c>
      <c r="I133" s="1" t="s">
        <v>8</v>
      </c>
      <c r="J133" s="17" t="s">
        <v>117</v>
      </c>
      <c r="K133" s="17" t="s">
        <v>183</v>
      </c>
      <c r="L133" s="17">
        <v>8420</v>
      </c>
      <c r="M133" s="17">
        <f>ABS((D133*E133)-L133)</f>
        <v>300</v>
      </c>
      <c r="N133" s="10" t="str">
        <f>IF(COUNTIFS( $B$2:$B$657, B133, $C$2:$C$657, C133, $D$2:$D$657, D133, $E$2:$E$657, E133) &gt; 1, "Duplicate", "Unique")</f>
        <v>Unique</v>
      </c>
    </row>
    <row r="134" spans="1:16" ht="27.65" customHeight="1" thickBot="1" x14ac:dyDescent="0.4">
      <c r="A134" s="8" t="s">
        <v>61</v>
      </c>
      <c r="B134" s="8" t="s">
        <v>21</v>
      </c>
      <c r="C134" s="8" t="s">
        <v>7</v>
      </c>
      <c r="D134" s="8">
        <v>11</v>
      </c>
      <c r="E134" s="12">
        <v>749</v>
      </c>
      <c r="F134" s="4">
        <v>9.9772410249999997</v>
      </c>
      <c r="G134" s="2" t="s">
        <v>75</v>
      </c>
      <c r="H134" s="5">
        <v>681.05</v>
      </c>
      <c r="I134" s="1" t="s">
        <v>8</v>
      </c>
      <c r="J134" s="32" t="s">
        <v>190</v>
      </c>
      <c r="N134" s="10" t="str">
        <f>IF(COUNTIFS( $B$2:$B$657, B134, $C$2:$C$657, C134, $D$2:$D$657, D134, $E$2:$E$657, E134) &gt; 1, "Duplicate", "Unique")</f>
        <v>Unique</v>
      </c>
    </row>
    <row r="135" spans="1:16" ht="40.75" customHeight="1" thickBot="1" x14ac:dyDescent="0.4">
      <c r="A135" s="46">
        <v>46293.375</v>
      </c>
      <c r="B135" s="2" t="s">
        <v>65</v>
      </c>
      <c r="C135" s="2" t="s">
        <v>7</v>
      </c>
      <c r="D135" s="5">
        <v>10</v>
      </c>
      <c r="E135" s="5">
        <v>1166</v>
      </c>
      <c r="F135" s="4">
        <v>10.041525099999999</v>
      </c>
      <c r="G135" s="2" t="s">
        <v>66</v>
      </c>
      <c r="H135" s="5">
        <v>1059.5999999999999</v>
      </c>
      <c r="I135" s="1" t="s">
        <v>8</v>
      </c>
      <c r="J135" s="17" t="s">
        <v>116</v>
      </c>
      <c r="K135" s="17" t="s">
        <v>291</v>
      </c>
      <c r="L135" s="17">
        <v>11360</v>
      </c>
      <c r="M135" s="17">
        <f>ABS((D135*E135)-L135)</f>
        <v>300</v>
      </c>
      <c r="N135" s="10" t="str">
        <f>IF(COUNTIFS( $B$2:$B$657, B135, $C$2:$C$657, C135, $D$2:$D$657, D135, $E$2:$E$657, E135) &gt; 1, "Duplicate", "Unique")</f>
        <v>Unique</v>
      </c>
    </row>
    <row r="136" spans="1:16" ht="40.75" customHeight="1" thickBot="1" x14ac:dyDescent="0.4">
      <c r="A136" s="53">
        <v>46302</v>
      </c>
      <c r="B136" s="1" t="s">
        <v>22</v>
      </c>
      <c r="C136" s="1" t="s">
        <v>7</v>
      </c>
      <c r="D136" s="4">
        <v>15</v>
      </c>
      <c r="E136" s="4">
        <v>421</v>
      </c>
      <c r="F136" s="4">
        <v>10.06535948</v>
      </c>
      <c r="G136" s="2" t="s">
        <v>72</v>
      </c>
      <c r="H136" s="5">
        <v>382.5</v>
      </c>
      <c r="I136" s="1" t="s">
        <v>8</v>
      </c>
      <c r="J136" s="49" t="s">
        <v>116</v>
      </c>
      <c r="K136" s="16"/>
      <c r="L136" s="16"/>
      <c r="M136" s="16"/>
      <c r="N136" t="str">
        <f>IF(COUNTIFS( $B$2:$B$657, B136, $C$2:$C$657, C136, $D$2:$D$657, D136, $E$2:$E$657, E136) &gt; 1, "Duplicate", "Unique")</f>
        <v>Unique</v>
      </c>
      <c r="O136"/>
    </row>
    <row r="137" spans="1:16" s="27" customFormat="1" ht="40.75" customHeight="1" thickBot="1" x14ac:dyDescent="0.4">
      <c r="A137" s="46">
        <v>46289.390277777777</v>
      </c>
      <c r="B137" s="2" t="s">
        <v>58</v>
      </c>
      <c r="C137" s="2" t="s">
        <v>7</v>
      </c>
      <c r="D137" s="5">
        <v>10</v>
      </c>
      <c r="E137" s="5">
        <v>1054</v>
      </c>
      <c r="F137" s="4">
        <v>10.135841170000001</v>
      </c>
      <c r="G137" s="2" t="s">
        <v>59</v>
      </c>
      <c r="H137" s="5">
        <v>957</v>
      </c>
      <c r="I137" s="1" t="s">
        <v>8</v>
      </c>
      <c r="J137" s="17" t="s">
        <v>117</v>
      </c>
      <c r="K137" s="17" t="s">
        <v>284</v>
      </c>
      <c r="L137" s="17">
        <v>9886</v>
      </c>
      <c r="M137" s="17">
        <f>ABS((D137*E137)-L137)</f>
        <v>654</v>
      </c>
      <c r="N137" s="10" t="str">
        <f>IF(COUNTIFS( $B$2:$B$657, B137, $C$2:$C$657, C137, $D$2:$D$657, D137, $E$2:$E$657, E137) &gt; 1, "Duplicate", "Unique")</f>
        <v>Unique</v>
      </c>
      <c r="O137" s="10"/>
      <c r="P137" s="10"/>
    </row>
    <row r="138" spans="1:16" ht="40.75" customHeight="1" thickBot="1" x14ac:dyDescent="0.4">
      <c r="A138" s="3">
        <v>46266.642361111109</v>
      </c>
      <c r="B138" s="1" t="s">
        <v>14</v>
      </c>
      <c r="C138" s="1" t="s">
        <v>7</v>
      </c>
      <c r="D138" s="4">
        <v>100</v>
      </c>
      <c r="E138" s="4">
        <v>348</v>
      </c>
      <c r="F138" s="4">
        <v>10.42360781</v>
      </c>
      <c r="G138" s="2" t="s">
        <v>44</v>
      </c>
      <c r="H138" s="5">
        <v>315.14999999999998</v>
      </c>
      <c r="I138" s="1" t="s">
        <v>8</v>
      </c>
      <c r="J138" s="17" t="s">
        <v>116</v>
      </c>
      <c r="K138" s="17" t="s">
        <v>214</v>
      </c>
      <c r="L138" s="17">
        <v>33950</v>
      </c>
      <c r="M138" s="17">
        <f>ABS((D138*E138)-L138)</f>
        <v>850</v>
      </c>
      <c r="N138" s="10" t="str">
        <f>IF(COUNTIFS( $B$2:$B$657, B138, $C$2:$C$657, C138, $D$2:$D$657, D138, $E$2:$E$657, E138) &gt; 1, "Duplicate", "Unique")</f>
        <v>Unique</v>
      </c>
    </row>
    <row r="139" spans="1:16" ht="40.75" customHeight="1" thickBot="1" x14ac:dyDescent="0.4">
      <c r="A139" s="3">
        <v>46260.375</v>
      </c>
      <c r="B139" s="1" t="s">
        <v>13</v>
      </c>
      <c r="C139" s="1" t="s">
        <v>7</v>
      </c>
      <c r="D139" s="4">
        <v>5</v>
      </c>
      <c r="E139" s="4">
        <v>1994</v>
      </c>
      <c r="F139" s="4">
        <v>10.593455349999999</v>
      </c>
      <c r="G139" s="2" t="s">
        <v>90</v>
      </c>
      <c r="H139" s="5">
        <v>1803</v>
      </c>
      <c r="I139" s="1" t="s">
        <v>8</v>
      </c>
      <c r="J139" s="17" t="s">
        <v>117</v>
      </c>
      <c r="K139" s="17" t="s">
        <v>169</v>
      </c>
      <c r="L139" s="17">
        <v>9320</v>
      </c>
      <c r="M139" s="17">
        <f>ABS((D139*E139)-L139)</f>
        <v>650</v>
      </c>
      <c r="N139" t="str">
        <f>IF(COUNTIFS( $B$2:$B$657, B139, $C$2:$C$657, C139, $D$2:$D$657, D139, $E$2:$E$657, E139) &gt; 1, "Duplicate", "Unique")</f>
        <v>Unique</v>
      </c>
      <c r="P139" s="27"/>
    </row>
    <row r="140" spans="1:16" ht="27.65" customHeight="1" thickBot="1" x14ac:dyDescent="0.4">
      <c r="A140" s="8" t="s">
        <v>61</v>
      </c>
      <c r="B140" s="8" t="s">
        <v>9</v>
      </c>
      <c r="C140" s="8" t="s">
        <v>7</v>
      </c>
      <c r="D140" s="8">
        <v>40</v>
      </c>
      <c r="E140" s="8">
        <v>320.5</v>
      </c>
      <c r="F140" s="4">
        <v>10.68900017</v>
      </c>
      <c r="G140" s="2" t="s">
        <v>94</v>
      </c>
      <c r="H140" s="5">
        <v>289.55</v>
      </c>
      <c r="I140" s="1" t="s">
        <v>8</v>
      </c>
      <c r="J140" s="32"/>
      <c r="N140" s="10" t="str">
        <f>IF(COUNTIFS( $B$2:$B$657, B140, $C$2:$C$657, C140, $D$2:$D$657, D140, $E$2:$E$657, E140) &gt; 1, "Duplicate", "Unique")</f>
        <v>Unique</v>
      </c>
    </row>
    <row r="141" spans="1:16" ht="40.75" customHeight="1" thickBot="1" x14ac:dyDescent="0.4">
      <c r="A141" s="3">
        <v>46261.375</v>
      </c>
      <c r="B141" s="1" t="s">
        <v>14</v>
      </c>
      <c r="C141" s="1" t="s">
        <v>7</v>
      </c>
      <c r="D141" s="4">
        <v>50</v>
      </c>
      <c r="E141" s="4">
        <v>349</v>
      </c>
      <c r="F141" s="4">
        <v>10.740917019999999</v>
      </c>
      <c r="G141" s="2" t="s">
        <v>44</v>
      </c>
      <c r="H141" s="5">
        <v>315.14999999999998</v>
      </c>
      <c r="I141" s="1" t="s">
        <v>8</v>
      </c>
      <c r="J141" s="17" t="s">
        <v>116</v>
      </c>
      <c r="K141" s="17" t="s">
        <v>178</v>
      </c>
      <c r="L141" s="17">
        <v>17150</v>
      </c>
      <c r="M141" s="17">
        <f>ABS((D141*E141)-L141)</f>
        <v>300</v>
      </c>
      <c r="N141" s="10" t="str">
        <f>IF(COUNTIFS( $B$2:$B$657, B141, $C$2:$C$657, C141, $D$2:$D$657, D141, $E$2:$E$657, E141) &gt; 1, "Duplicate", "Unique")</f>
        <v>Unique</v>
      </c>
    </row>
    <row r="142" spans="1:16" s="27" customFormat="1" ht="40.75" customHeight="1" thickBot="1" x14ac:dyDescent="0.4">
      <c r="A142" s="11">
        <v>46252.645138888889</v>
      </c>
      <c r="B142" s="8" t="s">
        <v>67</v>
      </c>
      <c r="C142" s="8" t="s">
        <v>7</v>
      </c>
      <c r="D142" s="8">
        <v>20</v>
      </c>
      <c r="E142" s="8">
        <v>424</v>
      </c>
      <c r="F142" s="4">
        <v>10.893160719999999</v>
      </c>
      <c r="G142" s="2" t="s">
        <v>68</v>
      </c>
      <c r="H142" s="5">
        <v>382.35</v>
      </c>
      <c r="I142" s="1" t="s">
        <v>8</v>
      </c>
      <c r="J142" s="32"/>
      <c r="K142" s="17"/>
      <c r="L142" s="17"/>
      <c r="M142" s="17"/>
      <c r="N142" s="10" t="str">
        <f>IF(COUNTIFS( $B$2:$B$657, B142, $C$2:$C$657, C142, $D$2:$D$657, D142, $E$2:$E$657, E142) &gt; 1, "Duplicate", "Unique")</f>
        <v>Unique</v>
      </c>
      <c r="O142" s="36" t="s">
        <v>237</v>
      </c>
      <c r="P142"/>
    </row>
    <row r="143" spans="1:16" ht="40.75" customHeight="1" thickBot="1" x14ac:dyDescent="0.4">
      <c r="A143" s="3">
        <v>46266.375</v>
      </c>
      <c r="B143" s="1" t="s">
        <v>62</v>
      </c>
      <c r="C143" s="1" t="s">
        <v>7</v>
      </c>
      <c r="D143" s="4">
        <v>10</v>
      </c>
      <c r="E143" s="4">
        <v>1060</v>
      </c>
      <c r="F143" s="4">
        <v>11.006388100000001</v>
      </c>
      <c r="G143" s="2" t="s">
        <v>63</v>
      </c>
      <c r="H143" s="5">
        <v>954.9</v>
      </c>
      <c r="I143" s="1" t="s">
        <v>8</v>
      </c>
      <c r="J143" s="17" t="s">
        <v>116</v>
      </c>
      <c r="K143" s="17" t="s">
        <v>211</v>
      </c>
      <c r="L143" s="17">
        <v>10300</v>
      </c>
      <c r="M143" s="17">
        <f>ABS((D143*E143)-L143)</f>
        <v>300</v>
      </c>
      <c r="N143" s="10" t="str">
        <f>IF(COUNTIFS( $B$2:$B$657, B143, $C$2:$C$657, C143, $D$2:$D$657, D143, $E$2:$E$657, E143) &gt; 1, "Duplicate", "Unique")</f>
        <v>Unique</v>
      </c>
      <c r="P143" s="27"/>
    </row>
    <row r="144" spans="1:16" ht="40.75" customHeight="1" thickBot="1" x14ac:dyDescent="0.4">
      <c r="A144" s="3">
        <v>46261.375694444447</v>
      </c>
      <c r="B144" s="1" t="s">
        <v>50</v>
      </c>
      <c r="C144" s="1" t="s">
        <v>7</v>
      </c>
      <c r="D144" s="4">
        <v>10</v>
      </c>
      <c r="E144" s="4">
        <v>977</v>
      </c>
      <c r="F144" s="4">
        <v>11.085844229999999</v>
      </c>
      <c r="G144" s="2" t="s">
        <v>51</v>
      </c>
      <c r="H144" s="5">
        <v>879.5</v>
      </c>
      <c r="I144" s="1" t="s">
        <v>8</v>
      </c>
      <c r="J144" s="17" t="s">
        <v>116</v>
      </c>
      <c r="K144" s="17" t="s">
        <v>172</v>
      </c>
      <c r="L144" s="17">
        <v>9470</v>
      </c>
      <c r="M144" s="17">
        <f>ABS((D144*E144)-L144)</f>
        <v>300</v>
      </c>
      <c r="N144" s="10" t="str">
        <f>IF(COUNTIFS( $B$2:$B$657, B144, $C$2:$C$657, C144, $D$2:$D$657, D144, $E$2:$E$657, E144) &gt; 1, "Duplicate", "Unique")</f>
        <v>Unique</v>
      </c>
    </row>
    <row r="145" spans="1:16" ht="40.75" customHeight="1" thickBot="1" x14ac:dyDescent="0.4">
      <c r="A145" s="38">
        <v>46273.375</v>
      </c>
      <c r="B145" s="39" t="s">
        <v>48</v>
      </c>
      <c r="C145" s="39" t="s">
        <v>7</v>
      </c>
      <c r="D145" s="39">
        <v>5</v>
      </c>
      <c r="E145" s="39">
        <v>4047</v>
      </c>
      <c r="F145" s="4">
        <v>11.12026359</v>
      </c>
      <c r="G145" s="2" t="s">
        <v>49</v>
      </c>
      <c r="H145" s="5">
        <v>3642</v>
      </c>
      <c r="I145" s="1" t="s">
        <v>8</v>
      </c>
      <c r="J145" s="25" t="s">
        <v>116</v>
      </c>
      <c r="K145" s="25" t="s">
        <v>248</v>
      </c>
      <c r="L145" s="25">
        <v>19730.5</v>
      </c>
      <c r="M145" s="25">
        <f>ABS((D145*E145)-L145)</f>
        <v>504.5</v>
      </c>
      <c r="N145" s="27" t="str">
        <f>IF(COUNTIFS( $B$2:$B$657, B145, $C$2:$C$657, C145, $D$2:$D$657, D145, $E$2:$E$657, E145) &gt; 1, "Duplicate", "Unique")</f>
        <v>Duplicate</v>
      </c>
      <c r="O145" s="36" t="s">
        <v>237</v>
      </c>
      <c r="P145" s="27"/>
    </row>
    <row r="146" spans="1:16" ht="40.75" customHeight="1" thickBot="1" x14ac:dyDescent="0.4">
      <c r="A146" s="28">
        <v>46274.375</v>
      </c>
      <c r="B146" s="29" t="s">
        <v>48</v>
      </c>
      <c r="C146" s="29" t="s">
        <v>7</v>
      </c>
      <c r="D146" s="30">
        <v>5</v>
      </c>
      <c r="E146" s="30">
        <v>4047</v>
      </c>
      <c r="F146" s="4">
        <v>11.12026359</v>
      </c>
      <c r="G146" s="2" t="s">
        <v>49</v>
      </c>
      <c r="H146" s="5">
        <v>3642</v>
      </c>
      <c r="I146" s="1" t="s">
        <v>8</v>
      </c>
      <c r="J146" s="25" t="s">
        <v>116</v>
      </c>
      <c r="K146" s="25" t="s">
        <v>253</v>
      </c>
      <c r="L146" s="25">
        <v>19690</v>
      </c>
      <c r="M146" s="25">
        <f>ABS((D146*E146)-L146)</f>
        <v>545</v>
      </c>
      <c r="N146" s="27" t="str">
        <f>IF(COUNTIFS( $B$2:$B$657, B146, $C$2:$C$657, C146, $D$2:$D$657, D146, $E$2:$E$657, E146) &gt; 1, "Duplicate", "Unique")</f>
        <v>Duplicate</v>
      </c>
      <c r="O146" s="36" t="s">
        <v>237</v>
      </c>
      <c r="P146" s="27"/>
    </row>
    <row r="147" spans="1:16" ht="40.75" customHeight="1" thickBot="1" x14ac:dyDescent="0.4">
      <c r="A147" s="8" t="s">
        <v>61</v>
      </c>
      <c r="B147" s="8" t="s">
        <v>73</v>
      </c>
      <c r="C147" s="8" t="s">
        <v>7</v>
      </c>
      <c r="D147" s="8">
        <v>1</v>
      </c>
      <c r="E147" s="8">
        <v>3710</v>
      </c>
      <c r="F147" s="4">
        <v>11.14439784</v>
      </c>
      <c r="G147" s="2" t="s">
        <v>74</v>
      </c>
      <c r="H147" s="5">
        <v>3338</v>
      </c>
      <c r="I147" s="1" t="s">
        <v>8</v>
      </c>
      <c r="J147" s="32" t="s">
        <v>117</v>
      </c>
      <c r="N147" s="10" t="str">
        <f>IF(COUNTIFS( $B$2:$B$657, B147, $C$2:$C$657, C147, $D$2:$D$657, D147, $E$2:$E$657, E147) &gt; 1, "Duplicate", "Unique")</f>
        <v>Unique</v>
      </c>
    </row>
    <row r="148" spans="1:16" ht="40.75" customHeight="1" thickBot="1" x14ac:dyDescent="0.4">
      <c r="A148" s="3">
        <v>46266.375694444447</v>
      </c>
      <c r="B148" s="1" t="s">
        <v>120</v>
      </c>
      <c r="C148" s="1" t="s">
        <v>7</v>
      </c>
      <c r="D148" s="4">
        <v>25</v>
      </c>
      <c r="E148" s="4">
        <v>772</v>
      </c>
      <c r="F148" s="4">
        <v>11.23919308</v>
      </c>
      <c r="G148" s="2" t="s">
        <v>121</v>
      </c>
      <c r="H148" s="5">
        <v>694</v>
      </c>
      <c r="I148" s="1" t="s">
        <v>8</v>
      </c>
      <c r="J148" s="17" t="s">
        <v>116</v>
      </c>
      <c r="K148" s="17" t="s">
        <v>208</v>
      </c>
      <c r="L148" s="17">
        <v>18800</v>
      </c>
      <c r="M148" s="17">
        <f>ABS((D148*E148)-L148)</f>
        <v>500</v>
      </c>
      <c r="N148" s="10" t="str">
        <f>IF(COUNTIFS( $B$2:$B$657, B148, $C$2:$C$657, C148, $D$2:$D$657, D148, $E$2:$E$657, E148) &gt; 1, "Duplicate", "Unique")</f>
        <v>Unique</v>
      </c>
      <c r="O148" s="37" t="s">
        <v>237</v>
      </c>
    </row>
    <row r="149" spans="1:16" ht="27.65" customHeight="1" thickBot="1" x14ac:dyDescent="0.4">
      <c r="A149" s="28">
        <v>46267.425694444442</v>
      </c>
      <c r="B149" s="29" t="s">
        <v>34</v>
      </c>
      <c r="C149" s="29" t="s">
        <v>7</v>
      </c>
      <c r="D149" s="30">
        <v>20</v>
      </c>
      <c r="E149" s="30">
        <v>219.5</v>
      </c>
      <c r="F149" s="4">
        <v>11.489232019999999</v>
      </c>
      <c r="G149" s="2" t="s">
        <v>41</v>
      </c>
      <c r="H149" s="5">
        <v>196.88</v>
      </c>
      <c r="I149" s="1" t="s">
        <v>8</v>
      </c>
      <c r="J149" s="25" t="s">
        <v>117</v>
      </c>
      <c r="K149" s="25" t="s">
        <v>217</v>
      </c>
      <c r="L149" s="25">
        <v>4120</v>
      </c>
      <c r="M149" s="25">
        <f>ABS((D149*E149)-L149)</f>
        <v>270</v>
      </c>
      <c r="N149" s="27" t="str">
        <f>IF(COUNTIFS( $B$2:$B$657, B149, $C$2:$C$657, C149, $D$2:$D$657, D149, $E$2:$E$657, E149) &gt; 1, "Duplicate", "Unique")</f>
        <v>Unique</v>
      </c>
      <c r="O149" s="37" t="s">
        <v>237</v>
      </c>
      <c r="P149" s="27"/>
    </row>
    <row r="150" spans="1:16" ht="27.65" customHeight="1" thickBot="1" x14ac:dyDescent="0.4">
      <c r="A150" s="28">
        <v>46280.593055555553</v>
      </c>
      <c r="B150" s="29" t="s">
        <v>34</v>
      </c>
      <c r="C150" s="29" t="s">
        <v>7</v>
      </c>
      <c r="D150" s="30">
        <v>10</v>
      </c>
      <c r="E150" s="30">
        <v>219.5</v>
      </c>
      <c r="F150" s="4">
        <v>11.489232019999999</v>
      </c>
      <c r="G150" s="2" t="s">
        <v>41</v>
      </c>
      <c r="H150" s="5">
        <v>196.88</v>
      </c>
      <c r="I150" s="1" t="s">
        <v>8</v>
      </c>
      <c r="J150" s="25" t="s">
        <v>117</v>
      </c>
      <c r="K150" s="25" t="s">
        <v>268</v>
      </c>
      <c r="L150" s="25">
        <v>2006.3999999999999</v>
      </c>
      <c r="M150" s="25">
        <f>ABS((D150*E150)-L150)</f>
        <v>188.60000000000014</v>
      </c>
      <c r="N150" s="27" t="str">
        <f>IF(COUNTIFS( $B$2:$B$657, B150, $C$2:$C$657, C150, $D$2:$D$657, D150, $E$2:$E$657, E150) &gt; 1, "Duplicate", "Unique")</f>
        <v>Unique</v>
      </c>
      <c r="O150" s="37" t="s">
        <v>237</v>
      </c>
      <c r="P150" s="27"/>
    </row>
    <row r="151" spans="1:16" ht="40.75" customHeight="1" thickBot="1" x14ac:dyDescent="0.4">
      <c r="A151" s="3">
        <v>46274.375</v>
      </c>
      <c r="B151" s="1" t="s">
        <v>52</v>
      </c>
      <c r="C151" s="1" t="s">
        <v>7</v>
      </c>
      <c r="D151" s="4">
        <v>2</v>
      </c>
      <c r="E151" s="4">
        <v>2563</v>
      </c>
      <c r="F151" s="4">
        <v>11.58518003</v>
      </c>
      <c r="G151" s="2" t="s">
        <v>53</v>
      </c>
      <c r="H151" s="5">
        <v>2296.9</v>
      </c>
      <c r="I151" s="1" t="s">
        <v>8</v>
      </c>
      <c r="J151" s="17" t="s">
        <v>117</v>
      </c>
      <c r="K151" s="17" t="s">
        <v>254</v>
      </c>
      <c r="L151" s="17">
        <v>4852</v>
      </c>
      <c r="M151" s="17">
        <f>ABS((D151*E151)-L151)</f>
        <v>274</v>
      </c>
      <c r="N151" s="10" t="str">
        <f>IF(COUNTIFS( $B$2:$B$657, B151, $C$2:$C$657, C151, $D$2:$D$657, D151, $E$2:$E$657, E151) &gt; 1, "Duplicate", "Unique")</f>
        <v>Unique</v>
      </c>
    </row>
    <row r="152" spans="1:16" ht="40.75" customHeight="1" thickBot="1" x14ac:dyDescent="0.4">
      <c r="A152" s="8" t="s">
        <v>61</v>
      </c>
      <c r="B152" s="8" t="s">
        <v>137</v>
      </c>
      <c r="C152" s="8" t="s">
        <v>7</v>
      </c>
      <c r="D152" s="8">
        <v>35</v>
      </c>
      <c r="E152" s="13">
        <v>494</v>
      </c>
      <c r="F152" s="4">
        <v>11.60058737</v>
      </c>
      <c r="G152" s="2" t="s">
        <v>138</v>
      </c>
      <c r="H152" s="5">
        <v>442.65</v>
      </c>
      <c r="I152" s="1" t="s">
        <v>8</v>
      </c>
      <c r="J152" s="32"/>
      <c r="N152" s="10" t="str">
        <f>IF(COUNTIFS( $B$2:$B$657, B152, $C$2:$C$657, C152, $D$2:$D$657, D152, $E$2:$E$657, E152) &gt; 1, "Duplicate", "Unique")</f>
        <v>Unique</v>
      </c>
    </row>
    <row r="153" spans="1:16" ht="40.75" customHeight="1" thickBot="1" x14ac:dyDescent="0.4">
      <c r="A153" s="11">
        <v>46252.6875</v>
      </c>
      <c r="B153" s="8" t="s">
        <v>13</v>
      </c>
      <c r="C153" s="8" t="s">
        <v>7</v>
      </c>
      <c r="D153" s="8">
        <v>5</v>
      </c>
      <c r="E153" s="8">
        <v>2014</v>
      </c>
      <c r="F153" s="4">
        <v>11.70271769</v>
      </c>
      <c r="G153" s="2" t="s">
        <v>90</v>
      </c>
      <c r="H153" s="5">
        <v>1803</v>
      </c>
      <c r="I153" s="1" t="s">
        <v>8</v>
      </c>
      <c r="J153" s="32" t="s">
        <v>117</v>
      </c>
      <c r="N153" s="10" t="str">
        <f>IF(COUNTIFS( $B$2:$B$657, B153, $C$2:$C$657, C153, $D$2:$D$657, D153, $E$2:$E$657, E153) &gt; 1, "Duplicate", "Unique")</f>
        <v>Unique</v>
      </c>
      <c r="O153" s="27"/>
    </row>
    <row r="154" spans="1:16" ht="27.65" customHeight="1" thickBot="1" x14ac:dyDescent="0.4">
      <c r="A154" s="11">
        <v>46252.635416666664</v>
      </c>
      <c r="B154" s="8" t="s">
        <v>122</v>
      </c>
      <c r="C154" s="8" t="s">
        <v>7</v>
      </c>
      <c r="D154" s="8">
        <v>200</v>
      </c>
      <c r="E154" s="8">
        <v>89.3</v>
      </c>
      <c r="F154" s="4">
        <v>11.974921630000001</v>
      </c>
      <c r="G154" s="2" t="s">
        <v>123</v>
      </c>
      <c r="H154" s="5">
        <v>79.75</v>
      </c>
      <c r="I154" s="1" t="s">
        <v>8</v>
      </c>
      <c r="J154" s="17" t="s">
        <v>117</v>
      </c>
      <c r="N154" s="10" t="str">
        <f>IF(COUNTIFS( $B$2:$B$657, B154, $C$2:$C$657, C154, $D$2:$D$657, D154, $E$2:$E$657, E154) &gt; 1, "Duplicate", "Unique")</f>
        <v>Unique</v>
      </c>
      <c r="O154" s="36" t="s">
        <v>237</v>
      </c>
    </row>
    <row r="155" spans="1:16" ht="27.65" customHeight="1" thickBot="1" x14ac:dyDescent="0.4">
      <c r="A155" s="3">
        <v>46272.375694444447</v>
      </c>
      <c r="B155" s="1" t="s">
        <v>24</v>
      </c>
      <c r="C155" s="1" t="s">
        <v>7</v>
      </c>
      <c r="D155" s="4">
        <v>40</v>
      </c>
      <c r="E155" s="4">
        <v>448</v>
      </c>
      <c r="F155" s="4">
        <v>12</v>
      </c>
      <c r="G155" s="2" t="s">
        <v>55</v>
      </c>
      <c r="H155" s="5">
        <v>400</v>
      </c>
      <c r="I155" s="1" t="s">
        <v>8</v>
      </c>
      <c r="J155" s="17" t="s">
        <v>116</v>
      </c>
      <c r="K155" s="17" t="s">
        <v>242</v>
      </c>
      <c r="L155" s="17">
        <v>17040</v>
      </c>
      <c r="M155" s="17">
        <f>ABS((D155*E155)-L155)</f>
        <v>880</v>
      </c>
      <c r="N155" s="10" t="str">
        <f>IF(COUNTIFS( $B$2:$B$657, B155, $C$2:$C$657, C155, $D$2:$D$657, D155, $E$2:$E$657, E155) &gt; 1, "Duplicate", "Unique")</f>
        <v>Unique</v>
      </c>
      <c r="O155" s="36" t="s">
        <v>237</v>
      </c>
    </row>
    <row r="156" spans="1:16" ht="27.65" customHeight="1" thickBot="1" x14ac:dyDescent="0.4">
      <c r="A156" s="11">
        <v>46253.375</v>
      </c>
      <c r="B156" s="8" t="s">
        <v>14</v>
      </c>
      <c r="C156" s="8" t="s">
        <v>7</v>
      </c>
      <c r="D156" s="8">
        <v>50</v>
      </c>
      <c r="E156" s="8">
        <v>353</v>
      </c>
      <c r="F156" s="4">
        <v>12.01015389</v>
      </c>
      <c r="G156" s="2" t="s">
        <v>44</v>
      </c>
      <c r="H156" s="5">
        <v>315.14999999999998</v>
      </c>
      <c r="I156" s="1" t="s">
        <v>8</v>
      </c>
      <c r="J156" s="32" t="s">
        <v>117</v>
      </c>
      <c r="K156" s="17" t="s">
        <v>143</v>
      </c>
      <c r="N156" s="10" t="str">
        <f>IF(COUNTIFS( $B$2:$B$657, B156, $C$2:$C$657, C156, $D$2:$D$657, D156, $E$2:$E$657, E156) &gt; 1, "Duplicate", "Unique")</f>
        <v>Unique</v>
      </c>
    </row>
    <row r="157" spans="1:16" ht="40.75" customHeight="1" thickBot="1" x14ac:dyDescent="0.4">
      <c r="A157" s="3">
        <v>46262.375</v>
      </c>
      <c r="B157" s="1" t="s">
        <v>62</v>
      </c>
      <c r="C157" s="1" t="s">
        <v>7</v>
      </c>
      <c r="D157" s="4">
        <v>10</v>
      </c>
      <c r="E157" s="4">
        <v>1071</v>
      </c>
      <c r="F157" s="4">
        <v>12.15834119</v>
      </c>
      <c r="G157" s="2" t="s">
        <v>63</v>
      </c>
      <c r="H157" s="5">
        <v>954.9</v>
      </c>
      <c r="I157" s="1" t="s">
        <v>8</v>
      </c>
      <c r="J157" s="17" t="s">
        <v>117</v>
      </c>
      <c r="K157" s="17" t="s">
        <v>189</v>
      </c>
      <c r="L157" s="17">
        <v>10410</v>
      </c>
      <c r="M157" s="17">
        <f>ABS((D157*E157)-L157)</f>
        <v>300</v>
      </c>
      <c r="N157" s="10" t="str">
        <f>IF(COUNTIFS( $B$2:$B$657, B157, $C$2:$C$657, C157, $D$2:$D$657, D157, $E$2:$E$657, E157) &gt; 1, "Duplicate", "Unique")</f>
        <v>Unique</v>
      </c>
      <c r="O157" s="27"/>
    </row>
    <row r="158" spans="1:16" ht="40.75" customHeight="1" thickBot="1" x14ac:dyDescent="0.4">
      <c r="A158" s="46">
        <v>46289.375694444447</v>
      </c>
      <c r="B158" s="2" t="s">
        <v>23</v>
      </c>
      <c r="C158" s="2" t="s">
        <v>7</v>
      </c>
      <c r="D158" s="5">
        <v>50</v>
      </c>
      <c r="E158" s="5">
        <v>211</v>
      </c>
      <c r="F158" s="4">
        <v>12.23404255</v>
      </c>
      <c r="G158" s="2" t="s">
        <v>69</v>
      </c>
      <c r="H158" s="5">
        <v>188</v>
      </c>
      <c r="I158" s="1" t="s">
        <v>8</v>
      </c>
      <c r="J158" s="17" t="s">
        <v>116</v>
      </c>
      <c r="K158" s="17" t="s">
        <v>285</v>
      </c>
      <c r="L158" s="17">
        <v>10250</v>
      </c>
      <c r="M158" s="17">
        <f>ABS((D158*E158)-L158)</f>
        <v>300</v>
      </c>
      <c r="N158" s="10" t="str">
        <f>IF(COUNTIFS( $B$2:$B$657, B158, $C$2:$C$657, C158, $D$2:$D$657, D158, $E$2:$E$657, E158) &gt; 1, "Duplicate", "Unique")</f>
        <v>Unique</v>
      </c>
    </row>
    <row r="159" spans="1:16" ht="27.65" customHeight="1" thickBot="1" x14ac:dyDescent="0.4">
      <c r="A159" s="3">
        <v>46265.375694444447</v>
      </c>
      <c r="B159" s="1" t="s">
        <v>48</v>
      </c>
      <c r="C159" s="1" t="s">
        <v>7</v>
      </c>
      <c r="D159" s="4">
        <v>5</v>
      </c>
      <c r="E159" s="4">
        <v>4092</v>
      </c>
      <c r="F159" s="4">
        <v>12.35584843</v>
      </c>
      <c r="G159" s="2" t="s">
        <v>49</v>
      </c>
      <c r="H159" s="5">
        <v>3642</v>
      </c>
      <c r="I159" s="1" t="s">
        <v>8</v>
      </c>
      <c r="J159" s="17" t="s">
        <v>117</v>
      </c>
      <c r="K159" s="17" t="s">
        <v>203</v>
      </c>
      <c r="L159" s="17">
        <v>20010</v>
      </c>
      <c r="M159" s="17">
        <f>ABS((D159*E159)-L159)</f>
        <v>450</v>
      </c>
      <c r="N159" t="str">
        <f>IF(COUNTIFS( $B$2:$B$657, B159, $C$2:$C$657, C159, $D$2:$D$657, D159, $E$2:$E$657, E159) &gt; 1, "Duplicate", "Unique")</f>
        <v>Unique</v>
      </c>
      <c r="P159"/>
    </row>
    <row r="160" spans="1:16" ht="40.75" customHeight="1" thickBot="1" x14ac:dyDescent="0.4">
      <c r="A160" s="8" t="s">
        <v>61</v>
      </c>
      <c r="B160" s="8" t="s">
        <v>56</v>
      </c>
      <c r="C160" s="8" t="s">
        <v>7</v>
      </c>
      <c r="D160" s="8">
        <v>3</v>
      </c>
      <c r="E160" s="12">
        <v>3341</v>
      </c>
      <c r="F160" s="4">
        <v>12.45371929</v>
      </c>
      <c r="G160" s="2" t="s">
        <v>57</v>
      </c>
      <c r="H160" s="5">
        <v>2971</v>
      </c>
      <c r="I160" s="1" t="s">
        <v>8</v>
      </c>
      <c r="J160" s="32"/>
      <c r="N160" s="10" t="str">
        <f>IF(COUNTIFS( $B$2:$B$657, B160, $C$2:$C$657, C160, $D$2:$D$657, D160, $E$2:$E$657, E160) &gt; 1, "Duplicate", "Unique")</f>
        <v>Unique</v>
      </c>
      <c r="P160" s="27"/>
    </row>
    <row r="161" spans="1:16" s="27" customFormat="1" ht="40.75" customHeight="1" thickBot="1" x14ac:dyDescent="0.4">
      <c r="A161" s="3">
        <v>46290.385416666664</v>
      </c>
      <c r="B161" s="2" t="s">
        <v>278</v>
      </c>
      <c r="C161" s="2" t="s">
        <v>7</v>
      </c>
      <c r="D161" s="5">
        <v>2</v>
      </c>
      <c r="E161" s="5">
        <v>1885.5</v>
      </c>
      <c r="F161" s="4">
        <v>12.547006509999999</v>
      </c>
      <c r="G161" s="2" t="s">
        <v>280</v>
      </c>
      <c r="H161" s="5">
        <v>1675.3</v>
      </c>
      <c r="I161" s="1" t="s">
        <v>8</v>
      </c>
      <c r="J161" s="17" t="s">
        <v>117</v>
      </c>
      <c r="K161" s="17" t="s">
        <v>287</v>
      </c>
      <c r="L161" s="17">
        <v>3521</v>
      </c>
      <c r="M161" s="17">
        <f t="shared" ref="M161:M167" si="5">ABS((D161*E161)-L161)</f>
        <v>250</v>
      </c>
      <c r="N161" s="10" t="str">
        <f>IF(COUNTIFS( $B$2:$B$657, B161, $C$2:$C$657, C161, $D$2:$D$657, D161, $E$2:$E$657, E161) &gt; 1, "Duplicate", "Unique")</f>
        <v>Unique</v>
      </c>
      <c r="O161" s="10"/>
      <c r="P161" s="10"/>
    </row>
    <row r="162" spans="1:16" ht="40.75" customHeight="1" thickBot="1" x14ac:dyDescent="0.4">
      <c r="A162" s="3">
        <v>46274.375</v>
      </c>
      <c r="B162" s="1" t="s">
        <v>65</v>
      </c>
      <c r="C162" s="1" t="s">
        <v>7</v>
      </c>
      <c r="D162" s="4">
        <v>10</v>
      </c>
      <c r="E162" s="4">
        <v>1196</v>
      </c>
      <c r="F162" s="4">
        <v>12.87278218</v>
      </c>
      <c r="G162" s="2" t="s">
        <v>66</v>
      </c>
      <c r="H162" s="5">
        <v>1059.5999999999999</v>
      </c>
      <c r="I162" s="1" t="s">
        <v>8</v>
      </c>
      <c r="J162" s="17" t="s">
        <v>116</v>
      </c>
      <c r="K162" s="17" t="s">
        <v>251</v>
      </c>
      <c r="L162" s="17">
        <v>11660</v>
      </c>
      <c r="M162" s="17">
        <f t="shared" si="5"/>
        <v>300</v>
      </c>
      <c r="N162" s="10" t="str">
        <f>IF(COUNTIFS( $B$2:$B$657, B162, $C$2:$C$657, C162, $D$2:$D$657, D162, $E$2:$E$657, E162) &gt; 1, "Duplicate", "Unique")</f>
        <v>Unique</v>
      </c>
      <c r="O162" s="36" t="s">
        <v>237</v>
      </c>
    </row>
    <row r="163" spans="1:16" ht="40.75" customHeight="1" thickBot="1" x14ac:dyDescent="0.4">
      <c r="A163" s="3">
        <v>46260.375694444447</v>
      </c>
      <c r="B163" s="1" t="s">
        <v>48</v>
      </c>
      <c r="C163" s="1" t="s">
        <v>7</v>
      </c>
      <c r="D163" s="4">
        <v>5</v>
      </c>
      <c r="E163" s="4">
        <v>4112</v>
      </c>
      <c r="F163" s="4">
        <v>12.904997249999999</v>
      </c>
      <c r="G163" s="2" t="s">
        <v>49</v>
      </c>
      <c r="H163" s="5">
        <v>3642</v>
      </c>
      <c r="I163" s="1" t="s">
        <v>8</v>
      </c>
      <c r="J163" s="17" t="s">
        <v>117</v>
      </c>
      <c r="K163" s="17" t="s">
        <v>168</v>
      </c>
      <c r="L163" s="17">
        <v>20260</v>
      </c>
      <c r="M163" s="17">
        <f t="shared" si="5"/>
        <v>300</v>
      </c>
      <c r="N163" t="str">
        <f>IF(COUNTIFS( $B$2:$B$657, B163, $C$2:$C$657, C163, $D$2:$D$657, D163, $E$2:$E$657, E163) &gt; 1, "Duplicate", "Unique")</f>
        <v>Unique</v>
      </c>
      <c r="O163"/>
      <c r="P163" s="27"/>
    </row>
    <row r="164" spans="1:16" ht="40.75" customHeight="1" thickBot="1" x14ac:dyDescent="0.4">
      <c r="A164" s="28">
        <v>46281.443055555559</v>
      </c>
      <c r="B164" s="29" t="s">
        <v>35</v>
      </c>
      <c r="C164" s="29" t="s">
        <v>7</v>
      </c>
      <c r="D164" s="30">
        <v>5</v>
      </c>
      <c r="E164" s="30">
        <v>1196</v>
      </c>
      <c r="F164" s="4">
        <v>13.11832025</v>
      </c>
      <c r="G164" s="2" t="s">
        <v>64</v>
      </c>
      <c r="H164" s="5">
        <v>1057.3</v>
      </c>
      <c r="I164" s="1" t="s">
        <v>8</v>
      </c>
      <c r="J164" s="25" t="s">
        <v>117</v>
      </c>
      <c r="K164" s="25" t="s">
        <v>273</v>
      </c>
      <c r="L164" s="25">
        <v>5585</v>
      </c>
      <c r="M164" s="25">
        <f t="shared" si="5"/>
        <v>395</v>
      </c>
      <c r="N164" s="27" t="str">
        <f>IF(COUNTIFS( $B$2:$B$657, B164, $C$2:$C$657, C164, $D$2:$D$657, D164, $E$2:$E$657, E164) &gt; 1, "Duplicate", "Unique")</f>
        <v>Duplicate</v>
      </c>
      <c r="O164" s="36" t="s">
        <v>237</v>
      </c>
      <c r="P164" s="27"/>
    </row>
    <row r="165" spans="1:16" ht="40.75" customHeight="1" thickBot="1" x14ac:dyDescent="0.4">
      <c r="A165" s="28">
        <v>46281.388888888891</v>
      </c>
      <c r="B165" s="29" t="s">
        <v>35</v>
      </c>
      <c r="C165" s="29" t="s">
        <v>7</v>
      </c>
      <c r="D165" s="30">
        <v>5</v>
      </c>
      <c r="E165" s="30">
        <v>1196</v>
      </c>
      <c r="F165" s="4">
        <v>13.11832025</v>
      </c>
      <c r="G165" s="2" t="s">
        <v>64</v>
      </c>
      <c r="H165" s="5">
        <v>1057.3</v>
      </c>
      <c r="I165" s="1" t="s">
        <v>8</v>
      </c>
      <c r="J165" s="25" t="s">
        <v>117</v>
      </c>
      <c r="K165" s="25" t="s">
        <v>275</v>
      </c>
      <c r="L165" s="25">
        <v>5730</v>
      </c>
      <c r="M165" s="25">
        <f t="shared" si="5"/>
        <v>250</v>
      </c>
      <c r="N165" s="27" t="str">
        <f>IF(COUNTIFS( $B$2:$B$657, B165, $C$2:$C$657, C165, $D$2:$D$657, D165, $E$2:$E$657, E165) &gt; 1, "Duplicate", "Unique")</f>
        <v>Duplicate</v>
      </c>
      <c r="O165" s="36" t="s">
        <v>237</v>
      </c>
      <c r="P165" s="27"/>
    </row>
    <row r="166" spans="1:16" ht="40.75" customHeight="1" thickBot="1" x14ac:dyDescent="0.4">
      <c r="A166" s="3">
        <v>46261.375</v>
      </c>
      <c r="B166" s="1" t="s">
        <v>62</v>
      </c>
      <c r="C166" s="1" t="s">
        <v>7</v>
      </c>
      <c r="D166" s="4">
        <v>10</v>
      </c>
      <c r="E166" s="4">
        <v>1081</v>
      </c>
      <c r="F166" s="4">
        <v>13.205571259999999</v>
      </c>
      <c r="G166" s="2" t="s">
        <v>63</v>
      </c>
      <c r="H166" s="5">
        <v>954.9</v>
      </c>
      <c r="I166" s="1" t="s">
        <v>8</v>
      </c>
      <c r="J166" s="17" t="s">
        <v>117</v>
      </c>
      <c r="K166" s="17" t="s">
        <v>179</v>
      </c>
      <c r="L166" s="17">
        <v>10510</v>
      </c>
      <c r="M166" s="17">
        <f t="shared" si="5"/>
        <v>300</v>
      </c>
      <c r="N166" s="10" t="str">
        <f>IF(COUNTIFS( $B$2:$B$657, B166, $C$2:$C$657, C166, $D$2:$D$657, D166, $E$2:$E$657, E166) &gt; 1, "Duplicate", "Unique")</f>
        <v>Unique</v>
      </c>
    </row>
    <row r="167" spans="1:16" ht="27.65" customHeight="1" thickBot="1" x14ac:dyDescent="0.4">
      <c r="A167" s="3">
        <v>46266.509722222225</v>
      </c>
      <c r="B167" s="1" t="s">
        <v>11</v>
      </c>
      <c r="C167" s="1" t="s">
        <v>7</v>
      </c>
      <c r="D167" s="4">
        <v>20</v>
      </c>
      <c r="E167" s="4">
        <v>306</v>
      </c>
      <c r="F167" s="4">
        <v>13.20754717</v>
      </c>
      <c r="G167" s="2" t="s">
        <v>98</v>
      </c>
      <c r="H167" s="5">
        <v>270.3</v>
      </c>
      <c r="I167" s="1" t="s">
        <v>8</v>
      </c>
      <c r="J167" s="17" t="s">
        <v>117</v>
      </c>
      <c r="K167" s="17" t="s">
        <v>206</v>
      </c>
      <c r="L167" s="17">
        <v>5820</v>
      </c>
      <c r="M167" s="17">
        <f t="shared" si="5"/>
        <v>300</v>
      </c>
      <c r="N167" s="10" t="str">
        <f>IF(COUNTIFS( $B$2:$B$657, B167, $C$2:$C$657, C167, $D$2:$D$657, D167, $E$2:$E$657, E167) &gt; 1, "Duplicate", "Unique")</f>
        <v>Unique</v>
      </c>
    </row>
    <row r="168" spans="1:16" ht="26.5" thickBot="1" x14ac:dyDescent="0.4">
      <c r="A168" s="11">
        <v>46252.688194444447</v>
      </c>
      <c r="B168" s="8" t="s">
        <v>14</v>
      </c>
      <c r="C168" s="8" t="s">
        <v>7</v>
      </c>
      <c r="D168" s="8">
        <v>50</v>
      </c>
      <c r="E168" s="8">
        <v>357</v>
      </c>
      <c r="F168" s="4">
        <v>13.279390769999999</v>
      </c>
      <c r="G168" s="2" t="s">
        <v>44</v>
      </c>
      <c r="H168" s="5">
        <v>315.14999999999998</v>
      </c>
      <c r="I168" s="1" t="s">
        <v>8</v>
      </c>
      <c r="J168" s="32"/>
      <c r="N168" s="10" t="str">
        <f>IF(COUNTIFS( $B$2:$B$657, B168, $C$2:$C$657, C168, $D$2:$D$657, D168, $E$2:$E$657, E168) &gt; 1, "Duplicate", "Unique")</f>
        <v>Unique</v>
      </c>
      <c r="O168" s="27"/>
    </row>
    <row r="169" spans="1:16" s="27" customFormat="1" ht="40.75" customHeight="1" thickBot="1" x14ac:dyDescent="0.4">
      <c r="A169" s="11">
        <v>46252.635416666664</v>
      </c>
      <c r="B169" s="8" t="s">
        <v>50</v>
      </c>
      <c r="C169" s="8" t="s">
        <v>7</v>
      </c>
      <c r="D169" s="8">
        <v>10</v>
      </c>
      <c r="E169" s="8">
        <v>997</v>
      </c>
      <c r="F169" s="4">
        <v>13.359863560000001</v>
      </c>
      <c r="G169" s="2" t="s">
        <v>51</v>
      </c>
      <c r="H169" s="5">
        <v>879.5</v>
      </c>
      <c r="I169" s="1" t="s">
        <v>8</v>
      </c>
      <c r="J169" s="32" t="s">
        <v>116</v>
      </c>
      <c r="K169" s="17"/>
      <c r="L169" s="17"/>
      <c r="M169" s="17"/>
      <c r="N169" s="10" t="str">
        <f>IF(COUNTIFS( $B$2:$B$657, B169, $C$2:$C$657, C169, $D$2:$D$657, D169, $E$2:$E$657, E169) &gt; 1, "Duplicate", "Unique")</f>
        <v>Unique</v>
      </c>
      <c r="O169" s="10"/>
      <c r="P169" s="10"/>
    </row>
    <row r="170" spans="1:16" ht="27.65" customHeight="1" thickBot="1" x14ac:dyDescent="0.4">
      <c r="A170" s="11">
        <v>46252.645138888889</v>
      </c>
      <c r="B170" s="8" t="s">
        <v>48</v>
      </c>
      <c r="C170" s="8" t="s">
        <v>7</v>
      </c>
      <c r="D170" s="8">
        <v>5</v>
      </c>
      <c r="E170" s="8">
        <v>4129</v>
      </c>
      <c r="F170" s="4">
        <v>13.371773749999999</v>
      </c>
      <c r="G170" s="2" t="s">
        <v>49</v>
      </c>
      <c r="H170" s="5">
        <v>3642</v>
      </c>
      <c r="I170" s="1" t="s">
        <v>8</v>
      </c>
      <c r="J170" s="32"/>
      <c r="N170" s="10" t="str">
        <f>IF(COUNTIFS( $B$2:$B$657, B170, $C$2:$C$657, C170, $D$2:$D$657, D170, $E$2:$E$657, E170) &gt; 1, "Duplicate", "Unique")</f>
        <v>Unique</v>
      </c>
    </row>
    <row r="171" spans="1:16" ht="40.75" customHeight="1" thickBot="1" x14ac:dyDescent="0.4">
      <c r="A171" s="3">
        <v>46272.375694444447</v>
      </c>
      <c r="B171" s="1" t="s">
        <v>86</v>
      </c>
      <c r="C171" s="1" t="s">
        <v>7</v>
      </c>
      <c r="D171" s="4">
        <v>10</v>
      </c>
      <c r="E171" s="4">
        <v>1280</v>
      </c>
      <c r="F171" s="4">
        <v>13.37466785</v>
      </c>
      <c r="G171" s="2" t="s">
        <v>87</v>
      </c>
      <c r="H171" s="5">
        <v>1129</v>
      </c>
      <c r="I171" s="1" t="s">
        <v>8</v>
      </c>
      <c r="J171" s="17" t="s">
        <v>116</v>
      </c>
      <c r="K171" s="17" t="s">
        <v>243</v>
      </c>
      <c r="L171" s="17">
        <v>12510</v>
      </c>
      <c r="M171" s="17">
        <f>ABS((D171*E171)-L171)</f>
        <v>290</v>
      </c>
      <c r="N171" s="10" t="str">
        <f>IF(COUNTIFS( $B$2:$B$657, B171, $C$2:$C$657, C171, $D$2:$D$657, D171, $E$2:$E$657, E171) &gt; 1, "Duplicate", "Unique")</f>
        <v>Unique</v>
      </c>
    </row>
    <row r="172" spans="1:16" ht="40.75" customHeight="1" thickBot="1" x14ac:dyDescent="0.4">
      <c r="A172" s="3">
        <v>46261.375</v>
      </c>
      <c r="B172" s="1" t="s">
        <v>14</v>
      </c>
      <c r="C172" s="1" t="s">
        <v>7</v>
      </c>
      <c r="D172" s="4">
        <v>100</v>
      </c>
      <c r="E172" s="4">
        <v>358</v>
      </c>
      <c r="F172" s="4">
        <v>13.59669998</v>
      </c>
      <c r="G172" s="2" t="s">
        <v>44</v>
      </c>
      <c r="H172" s="5">
        <v>315.14999999999998</v>
      </c>
      <c r="I172" s="1" t="s">
        <v>8</v>
      </c>
      <c r="J172" s="17" t="s">
        <v>116</v>
      </c>
      <c r="K172" s="17" t="s">
        <v>176</v>
      </c>
      <c r="L172" s="17">
        <v>34100</v>
      </c>
      <c r="M172" s="17">
        <f>ABS((D172*E172)-L172)</f>
        <v>1700</v>
      </c>
      <c r="N172" s="10" t="str">
        <f>IF(COUNTIFS( $B$2:$B$657, B172, $C$2:$C$657, C172, $D$2:$D$657, D172, $E$2:$E$657, E172) &gt; 1, "Duplicate", "Unique")</f>
        <v>Unique</v>
      </c>
      <c r="O172" s="27"/>
    </row>
    <row r="173" spans="1:16" ht="40.75" customHeight="1" thickBot="1" x14ac:dyDescent="0.4">
      <c r="A173" s="3">
        <v>46267.375</v>
      </c>
      <c r="B173" s="1" t="s">
        <v>77</v>
      </c>
      <c r="C173" s="1" t="s">
        <v>7</v>
      </c>
      <c r="D173" s="4">
        <v>3</v>
      </c>
      <c r="E173" s="4">
        <v>1460</v>
      </c>
      <c r="F173" s="4">
        <v>13.70716511</v>
      </c>
      <c r="G173" s="2" t="s">
        <v>78</v>
      </c>
      <c r="H173" s="5">
        <v>1284</v>
      </c>
      <c r="I173" s="1" t="s">
        <v>8</v>
      </c>
      <c r="J173" s="17" t="s">
        <v>117</v>
      </c>
      <c r="K173" s="17" t="s">
        <v>221</v>
      </c>
      <c r="L173" s="17">
        <v>4080</v>
      </c>
      <c r="M173" s="17">
        <f>ABS((D173*E173)-L173)</f>
        <v>300</v>
      </c>
      <c r="N173" s="10" t="str">
        <f>IF(COUNTIFS( $B$2:$B$657, B173, $C$2:$C$657, C173, $D$2:$D$657, D173, $E$2:$E$657, E173) &gt; 1, "Duplicate", "Unique")</f>
        <v>Unique</v>
      </c>
    </row>
    <row r="174" spans="1:16" ht="40.75" customHeight="1" thickBot="1" x14ac:dyDescent="0.4">
      <c r="A174" s="8" t="s">
        <v>61</v>
      </c>
      <c r="B174" s="8" t="s">
        <v>132</v>
      </c>
      <c r="C174" s="8" t="s">
        <v>7</v>
      </c>
      <c r="D174" s="8">
        <v>150</v>
      </c>
      <c r="E174" s="8">
        <v>123.4</v>
      </c>
      <c r="F174" s="4">
        <v>13.764174430000001</v>
      </c>
      <c r="G174" s="2" t="s">
        <v>133</v>
      </c>
      <c r="H174" s="5">
        <v>108.47</v>
      </c>
      <c r="I174" s="1" t="s">
        <v>8</v>
      </c>
      <c r="J174" s="32" t="s">
        <v>116</v>
      </c>
      <c r="N174" s="10" t="str">
        <f>IF(COUNTIFS( $B$2:$B$657, B174, $C$2:$C$657, C174, $D$2:$D$657, D174, $E$2:$E$657, E174) &gt; 1, "Duplicate", "Unique")</f>
        <v>Unique</v>
      </c>
    </row>
    <row r="175" spans="1:16" ht="27.65" customHeight="1" thickBot="1" x14ac:dyDescent="0.4">
      <c r="A175" s="8" t="s">
        <v>61</v>
      </c>
      <c r="B175" s="8" t="s">
        <v>67</v>
      </c>
      <c r="C175" s="8" t="s">
        <v>7</v>
      </c>
      <c r="D175" s="8">
        <v>10</v>
      </c>
      <c r="E175" s="8">
        <v>435</v>
      </c>
      <c r="F175" s="4">
        <v>13.770105920000001</v>
      </c>
      <c r="G175" s="2" t="s">
        <v>68</v>
      </c>
      <c r="H175" s="5">
        <v>382.35</v>
      </c>
      <c r="I175" s="1" t="s">
        <v>8</v>
      </c>
      <c r="J175" s="32"/>
      <c r="N175" s="10" t="str">
        <f>IF(COUNTIFS( $B$2:$B$657, B175, $C$2:$C$657, C175, $D$2:$D$657, D175, $E$2:$E$657, E175) &gt; 1, "Duplicate", "Unique")</f>
        <v>Unique</v>
      </c>
    </row>
    <row r="176" spans="1:16" ht="40.75" customHeight="1" thickBot="1" x14ac:dyDescent="0.4">
      <c r="A176" s="8" t="s">
        <v>61</v>
      </c>
      <c r="B176" s="8" t="s">
        <v>122</v>
      </c>
      <c r="C176" s="8" t="s">
        <v>7</v>
      </c>
      <c r="D176" s="8">
        <v>200</v>
      </c>
      <c r="E176" s="8">
        <v>90.75</v>
      </c>
      <c r="F176" s="4">
        <v>13.79310345</v>
      </c>
      <c r="G176" s="2" t="s">
        <v>123</v>
      </c>
      <c r="H176" s="5">
        <v>79.75</v>
      </c>
      <c r="I176" s="1" t="s">
        <v>8</v>
      </c>
      <c r="J176" s="32" t="s">
        <v>54</v>
      </c>
      <c r="N176" s="10" t="str">
        <f>IF(COUNTIFS( $B$2:$B$657, B176, $C$2:$C$657, C176, $D$2:$D$657, D176, $E$2:$E$657, E176) &gt; 1, "Duplicate", "Unique")</f>
        <v>Unique</v>
      </c>
    </row>
    <row r="177" spans="1:16" ht="27.65" customHeight="1" thickBot="1" x14ac:dyDescent="0.4">
      <c r="A177" s="3">
        <v>46275.375</v>
      </c>
      <c r="B177" s="1" t="s">
        <v>23</v>
      </c>
      <c r="C177" s="1" t="s">
        <v>7</v>
      </c>
      <c r="D177" s="4">
        <v>50</v>
      </c>
      <c r="E177" s="4">
        <v>214</v>
      </c>
      <c r="F177" s="4">
        <v>13.829787230000001</v>
      </c>
      <c r="G177" s="2" t="s">
        <v>69</v>
      </c>
      <c r="H177" s="5">
        <v>188</v>
      </c>
      <c r="I177" s="1" t="s">
        <v>8</v>
      </c>
      <c r="J177" s="17" t="s">
        <v>116</v>
      </c>
      <c r="K177" s="17" t="s">
        <v>256</v>
      </c>
      <c r="L177" s="17">
        <v>10400</v>
      </c>
      <c r="M177" s="17">
        <f>ABS((D177*E177)-L177)</f>
        <v>300</v>
      </c>
      <c r="N177" s="10" t="str">
        <f>IF(COUNTIFS( $B$2:$B$657, B177, $C$2:$C$657, C177, $D$2:$D$657, D177, $E$2:$E$657, E177) &gt; 1, "Duplicate", "Unique")</f>
        <v>Unique</v>
      </c>
    </row>
    <row r="178" spans="1:16" ht="27.65" customHeight="1" thickBot="1" x14ac:dyDescent="0.4">
      <c r="A178" s="3">
        <v>46281.416666666664</v>
      </c>
      <c r="B178" s="1" t="s">
        <v>272</v>
      </c>
      <c r="C178" s="1" t="s">
        <v>10</v>
      </c>
      <c r="D178" s="4">
        <v>10</v>
      </c>
      <c r="E178" s="4">
        <v>726</v>
      </c>
      <c r="F178" s="4">
        <v>-30.326295590000001</v>
      </c>
      <c r="G178" s="2" t="s">
        <v>277</v>
      </c>
      <c r="H178" s="5">
        <v>1042</v>
      </c>
      <c r="I178" s="1" t="s">
        <v>8</v>
      </c>
      <c r="J178" s="17" t="s">
        <v>40</v>
      </c>
      <c r="K178" s="17" t="s">
        <v>274</v>
      </c>
      <c r="L178" s="17">
        <v>17940</v>
      </c>
      <c r="M178" s="17">
        <f>ABS((D178*E178)-L178)</f>
        <v>10680</v>
      </c>
      <c r="N178" s="10" t="str">
        <f>IF(COUNTIFS( $B$2:$B$657, B178, $C$2:$C$657, C178, $D$2:$D$657, D178, $E$2:$E$657, E178) &gt; 1, "Duplicate", "Unique")</f>
        <v>Unique</v>
      </c>
    </row>
    <row r="179" spans="1:16" ht="40.75" customHeight="1" thickBot="1" x14ac:dyDescent="0.4">
      <c r="A179" s="28">
        <v>46267.375</v>
      </c>
      <c r="B179" s="29" t="s">
        <v>35</v>
      </c>
      <c r="C179" s="29" t="s">
        <v>7</v>
      </c>
      <c r="D179" s="30">
        <v>5</v>
      </c>
      <c r="E179" s="30">
        <v>1206</v>
      </c>
      <c r="F179" s="4">
        <v>14.064125600000001</v>
      </c>
      <c r="G179" s="2" t="s">
        <v>64</v>
      </c>
      <c r="H179" s="5">
        <v>1057.3</v>
      </c>
      <c r="I179" s="1" t="s">
        <v>8</v>
      </c>
      <c r="J179" s="25" t="s">
        <v>117</v>
      </c>
      <c r="K179" s="25" t="s">
        <v>223</v>
      </c>
      <c r="L179" s="25">
        <v>5755</v>
      </c>
      <c r="M179" s="25">
        <f>ABS((D179*E179)-L179)</f>
        <v>275</v>
      </c>
      <c r="N179" s="27" t="str">
        <f>IF(COUNTIFS( $B$2:$B$657, B179, $C$2:$C$657, C179, $D$2:$D$657, D179, $E$2:$E$657, E179) &gt; 1, "Duplicate", "Unique")</f>
        <v>Duplicate</v>
      </c>
    </row>
    <row r="180" spans="1:16" ht="27.65" customHeight="1" thickBot="1" x14ac:dyDescent="0.4">
      <c r="A180" s="28">
        <v>46267.375</v>
      </c>
      <c r="B180" s="29" t="s">
        <v>35</v>
      </c>
      <c r="C180" s="29" t="s">
        <v>7</v>
      </c>
      <c r="D180" s="30">
        <v>5</v>
      </c>
      <c r="E180" s="30">
        <v>1206</v>
      </c>
      <c r="F180" s="4">
        <v>14.064125600000001</v>
      </c>
      <c r="G180" s="2" t="s">
        <v>64</v>
      </c>
      <c r="H180" s="5">
        <v>1057.3</v>
      </c>
      <c r="I180" s="1" t="s">
        <v>8</v>
      </c>
      <c r="J180" s="25" t="s">
        <v>117</v>
      </c>
      <c r="K180" s="25" t="s">
        <v>227</v>
      </c>
      <c r="L180" s="25">
        <v>5805</v>
      </c>
      <c r="M180" s="25">
        <f>ABS((D180*E180)-L180)</f>
        <v>225</v>
      </c>
      <c r="N180" s="27" t="str">
        <f>IF(COUNTIFS( $B$2:$B$657, B180, $C$2:$C$657, C180, $D$2:$D$657, D180, $E$2:$E$657, E180) &gt; 1, "Duplicate", "Unique")</f>
        <v>Duplicate</v>
      </c>
    </row>
    <row r="181" spans="1:16" ht="40.75" customHeight="1" thickBot="1" x14ac:dyDescent="0.4">
      <c r="A181" s="8" t="s">
        <v>61</v>
      </c>
      <c r="B181" s="8" t="s">
        <v>73</v>
      </c>
      <c r="C181" s="8" t="s">
        <v>7</v>
      </c>
      <c r="D181" s="8">
        <v>1</v>
      </c>
      <c r="E181" s="12">
        <v>3810</v>
      </c>
      <c r="F181" s="4">
        <v>14.14020371</v>
      </c>
      <c r="G181" s="2" t="s">
        <v>74</v>
      </c>
      <c r="H181" s="5">
        <v>3338</v>
      </c>
      <c r="I181" s="1" t="s">
        <v>8</v>
      </c>
      <c r="J181" s="32" t="s">
        <v>117</v>
      </c>
      <c r="N181" s="10" t="str">
        <f>IF(COUNTIFS( $B$2:$B$657, B181, $C$2:$C$657, C181, $D$2:$D$657, D181, $E$2:$E$657, E181) &gt; 1, "Duplicate", "Unique")</f>
        <v>Unique</v>
      </c>
    </row>
    <row r="182" spans="1:16" ht="40.75" customHeight="1" thickBot="1" x14ac:dyDescent="0.4">
      <c r="A182" s="28">
        <v>46265.375694444447</v>
      </c>
      <c r="B182" s="29" t="s">
        <v>52</v>
      </c>
      <c r="C182" s="29" t="s">
        <v>7</v>
      </c>
      <c r="D182" s="30">
        <v>3</v>
      </c>
      <c r="E182" s="30">
        <v>2624</v>
      </c>
      <c r="F182" s="4">
        <v>14.24093343</v>
      </c>
      <c r="G182" s="2" t="s">
        <v>53</v>
      </c>
      <c r="H182" s="5">
        <v>2296.9</v>
      </c>
      <c r="I182" s="1" t="s">
        <v>8</v>
      </c>
      <c r="J182" s="25" t="s">
        <v>117</v>
      </c>
      <c r="K182" s="25" t="s">
        <v>195</v>
      </c>
      <c r="L182" s="25">
        <v>7578</v>
      </c>
      <c r="M182" s="25">
        <f>ABS((D182*E182)-L182)</f>
        <v>294</v>
      </c>
      <c r="N182" s="26" t="str">
        <f>IF(COUNTIFS( $B$2:$B$657, B182, $C$2:$C$657, C182, $D$2:$D$657, D182, $E$2:$E$657, E182) &gt; 1, "Duplicate", "Unique")</f>
        <v>Duplicate</v>
      </c>
    </row>
    <row r="183" spans="1:16" ht="40.75" customHeight="1" thickBot="1" x14ac:dyDescent="0.4">
      <c r="A183" s="28">
        <v>46266.375694444447</v>
      </c>
      <c r="B183" s="29" t="s">
        <v>52</v>
      </c>
      <c r="C183" s="29" t="s">
        <v>7</v>
      </c>
      <c r="D183" s="30">
        <v>3</v>
      </c>
      <c r="E183" s="30">
        <v>2624</v>
      </c>
      <c r="F183" s="4">
        <v>14.24093343</v>
      </c>
      <c r="G183" s="2" t="s">
        <v>53</v>
      </c>
      <c r="H183" s="5">
        <v>2296.9</v>
      </c>
      <c r="I183" s="1" t="s">
        <v>8</v>
      </c>
      <c r="J183" s="25" t="s">
        <v>117</v>
      </c>
      <c r="K183" s="25" t="s">
        <v>209</v>
      </c>
      <c r="L183" s="25">
        <v>7578</v>
      </c>
      <c r="M183" s="25">
        <f>ABS((D183*E183)-L183)</f>
        <v>294</v>
      </c>
      <c r="N183" s="27" t="str">
        <f>IF(COUNTIFS( $B$2:$B$657, B183, $C$2:$C$657, C183, $D$2:$D$657, D183, $E$2:$E$657, E183) &gt; 1, "Duplicate", "Unique")</f>
        <v>Duplicate</v>
      </c>
    </row>
    <row r="184" spans="1:16" ht="27.65" customHeight="1" thickBot="1" x14ac:dyDescent="0.4">
      <c r="A184" s="28">
        <v>46267.424305555556</v>
      </c>
      <c r="B184" s="29" t="s">
        <v>52</v>
      </c>
      <c r="C184" s="29" t="s">
        <v>7</v>
      </c>
      <c r="D184" s="30">
        <v>2</v>
      </c>
      <c r="E184" s="30">
        <v>2624</v>
      </c>
      <c r="F184" s="4">
        <v>14.24093343</v>
      </c>
      <c r="G184" s="2" t="s">
        <v>53</v>
      </c>
      <c r="H184" s="5">
        <v>2296.9</v>
      </c>
      <c r="I184" s="1" t="s">
        <v>8</v>
      </c>
      <c r="J184" s="25" t="s">
        <v>117</v>
      </c>
      <c r="K184" s="25" t="s">
        <v>219</v>
      </c>
      <c r="L184" s="25">
        <v>4968</v>
      </c>
      <c r="M184" s="25">
        <f>ABS((D184*E184)-L184)</f>
        <v>280</v>
      </c>
      <c r="N184" s="27" t="str">
        <f>IF(COUNTIFS( $B$2:$B$657, B184, $C$2:$C$657, C184, $D$2:$D$657, D184, $E$2:$E$657, E184) &gt; 1, "Duplicate", "Unique")</f>
        <v>Unique</v>
      </c>
      <c r="O184" s="27"/>
      <c r="P184" s="27"/>
    </row>
    <row r="185" spans="1:16" ht="27.65" customHeight="1" thickBot="1" x14ac:dyDescent="0.4">
      <c r="A185" s="3">
        <v>46265.474999999999</v>
      </c>
      <c r="B185" s="1" t="s">
        <v>20</v>
      </c>
      <c r="C185" s="1" t="s">
        <v>7</v>
      </c>
      <c r="D185" s="4">
        <v>30</v>
      </c>
      <c r="E185" s="4">
        <v>137</v>
      </c>
      <c r="F185" s="4">
        <v>14.30001669</v>
      </c>
      <c r="G185" s="2" t="s">
        <v>85</v>
      </c>
      <c r="H185" s="5">
        <v>119.86</v>
      </c>
      <c r="I185" s="1" t="s">
        <v>8</v>
      </c>
      <c r="J185" s="17" t="s">
        <v>117</v>
      </c>
      <c r="K185" s="17" t="s">
        <v>194</v>
      </c>
      <c r="L185" s="17">
        <v>3810</v>
      </c>
      <c r="M185" s="17">
        <f>ABS((D185*E185)-L185)</f>
        <v>300</v>
      </c>
      <c r="N185" t="str">
        <f>IF(COUNTIFS( $B$2:$B$657, B185, $C$2:$C$657, C185, $D$2:$D$657, D185, $E$2:$E$657, E185) &gt; 1, "Duplicate", "Unique")</f>
        <v>Unique</v>
      </c>
    </row>
    <row r="186" spans="1:16" ht="27.65" customHeight="1" thickBot="1" x14ac:dyDescent="0.4">
      <c r="A186" s="11">
        <v>46252.6875</v>
      </c>
      <c r="B186" s="8" t="s">
        <v>24</v>
      </c>
      <c r="C186" s="8" t="s">
        <v>7</v>
      </c>
      <c r="D186" s="8">
        <v>40</v>
      </c>
      <c r="E186" s="8">
        <v>458</v>
      </c>
      <c r="F186" s="4">
        <v>14.5</v>
      </c>
      <c r="G186" s="2" t="s">
        <v>55</v>
      </c>
      <c r="H186" s="5">
        <v>400</v>
      </c>
      <c r="I186" s="1" t="s">
        <v>8</v>
      </c>
      <c r="J186" s="32" t="s">
        <v>116</v>
      </c>
      <c r="N186" s="10" t="str">
        <f>IF(COUNTIFS( $B$2:$B$657, B186, $C$2:$C$657, C186, $D$2:$D$657, D186, $E$2:$E$657, E186) &gt; 1, "Duplicate", "Unique")</f>
        <v>Unique</v>
      </c>
    </row>
    <row r="187" spans="1:16" ht="27.65" customHeight="1" thickBot="1" x14ac:dyDescent="0.4">
      <c r="A187" s="3">
        <v>46294.475694444445</v>
      </c>
      <c r="B187" s="2" t="s">
        <v>16</v>
      </c>
      <c r="C187" s="2" t="s">
        <v>7</v>
      </c>
      <c r="D187" s="5">
        <v>5</v>
      </c>
      <c r="E187" s="5">
        <v>849</v>
      </c>
      <c r="F187" s="4">
        <v>14.528530959999999</v>
      </c>
      <c r="G187" s="2" t="s">
        <v>60</v>
      </c>
      <c r="H187" s="5">
        <v>741.3</v>
      </c>
      <c r="I187" s="1" t="s">
        <v>8</v>
      </c>
      <c r="J187" s="17" t="s">
        <v>117</v>
      </c>
      <c r="K187" s="17" t="s">
        <v>294</v>
      </c>
      <c r="L187" s="17">
        <v>3869</v>
      </c>
      <c r="M187" s="17">
        <f>ABS((D187*E187)-L187)</f>
        <v>376</v>
      </c>
      <c r="N187" s="10" t="str">
        <f>IF(COUNTIFS( $B$2:$B$657, B187, $C$2:$C$657, C187, $D$2:$D$657, D187, $E$2:$E$657, E187) &gt; 1, "Duplicate", "Unique")</f>
        <v>Unique</v>
      </c>
    </row>
    <row r="188" spans="1:16" ht="27.65" customHeight="1" thickBot="1" x14ac:dyDescent="0.4">
      <c r="A188" s="28">
        <v>46265.375694444447</v>
      </c>
      <c r="B188" s="29" t="s">
        <v>6</v>
      </c>
      <c r="C188" s="29" t="s">
        <v>7</v>
      </c>
      <c r="D188" s="30">
        <v>20</v>
      </c>
      <c r="E188" s="30">
        <v>291</v>
      </c>
      <c r="F188" s="4">
        <v>14.54438103</v>
      </c>
      <c r="G188" s="2" t="s">
        <v>129</v>
      </c>
      <c r="H188" s="5">
        <v>254.05</v>
      </c>
      <c r="I188" s="1" t="s">
        <v>8</v>
      </c>
      <c r="J188" s="25" t="s">
        <v>117</v>
      </c>
      <c r="K188" s="25" t="s">
        <v>201</v>
      </c>
      <c r="L188" s="25">
        <v>5520</v>
      </c>
      <c r="M188" s="25">
        <f>ABS((D188*E188)-L188)</f>
        <v>300</v>
      </c>
      <c r="N188" s="26" t="str">
        <f>IF(COUNTIFS( $B$2:$B$657, B188, $C$2:$C$657, C188, $D$2:$D$657, D188, $E$2:$E$657, E188) &gt; 1, "Duplicate", "Unique")</f>
        <v>Unique</v>
      </c>
      <c r="O188" s="36" t="s">
        <v>237</v>
      </c>
    </row>
    <row r="189" spans="1:16" ht="40.75" customHeight="1" thickBot="1" x14ac:dyDescent="0.4">
      <c r="A189" s="38">
        <v>46243.505555555559</v>
      </c>
      <c r="B189" s="39" t="s">
        <v>6</v>
      </c>
      <c r="C189" s="39" t="s">
        <v>7</v>
      </c>
      <c r="D189" s="39">
        <v>10</v>
      </c>
      <c r="E189" s="39">
        <v>291</v>
      </c>
      <c r="F189" s="4">
        <v>14.54438103</v>
      </c>
      <c r="G189" s="2" t="s">
        <v>129</v>
      </c>
      <c r="H189" s="5">
        <v>254.05</v>
      </c>
      <c r="I189" s="1" t="s">
        <v>8</v>
      </c>
      <c r="J189" s="25" t="s">
        <v>117</v>
      </c>
      <c r="K189" s="25" t="s">
        <v>244</v>
      </c>
      <c r="L189" s="25">
        <v>2657</v>
      </c>
      <c r="M189" s="25">
        <f>ABS((D189*E189)-L189)</f>
        <v>253</v>
      </c>
      <c r="N189" s="27" t="str">
        <f>IF(COUNTIFS( $B$2:$B$657, B189, $C$2:$C$657, C189, $D$2:$D$657, D189, $E$2:$E$657, E189) &gt; 1, "Duplicate", "Unique")</f>
        <v>Duplicate</v>
      </c>
      <c r="O189" s="36" t="s">
        <v>237</v>
      </c>
    </row>
    <row r="190" spans="1:16" ht="40.75" customHeight="1" thickBot="1" x14ac:dyDescent="0.4">
      <c r="A190" s="28">
        <v>46280.588194444441</v>
      </c>
      <c r="B190" s="29" t="s">
        <v>6</v>
      </c>
      <c r="C190" s="29" t="s">
        <v>7</v>
      </c>
      <c r="D190" s="30">
        <v>10</v>
      </c>
      <c r="E190" s="30">
        <v>291</v>
      </c>
      <c r="F190" s="4">
        <v>14.54438103</v>
      </c>
      <c r="G190" s="2" t="s">
        <v>129</v>
      </c>
      <c r="H190" s="5">
        <v>254.05</v>
      </c>
      <c r="I190" s="1" t="s">
        <v>8</v>
      </c>
      <c r="J190" s="45" t="s">
        <v>117</v>
      </c>
      <c r="K190" s="25" t="s">
        <v>269</v>
      </c>
      <c r="L190" s="25">
        <v>2554.5</v>
      </c>
      <c r="M190" s="25">
        <f>ABS((D190*E190)-L190)</f>
        <v>355.5</v>
      </c>
      <c r="N190" s="27" t="str">
        <f>IF(COUNTIFS( $B$2:$B$657, B190, $C$2:$C$657, C190, $D$2:$D$657, D190, $E$2:$E$657, E190) &gt; 1, "Duplicate", "Unique")</f>
        <v>Duplicate</v>
      </c>
      <c r="O190" s="36" t="s">
        <v>237</v>
      </c>
      <c r="P190" s="27"/>
    </row>
    <row r="191" spans="1:16" ht="27.65" customHeight="1" thickBot="1" x14ac:dyDescent="0.4">
      <c r="A191" s="11">
        <v>46252.688194444447</v>
      </c>
      <c r="B191" s="8" t="s">
        <v>14</v>
      </c>
      <c r="C191" s="8" t="s">
        <v>7</v>
      </c>
      <c r="D191" s="8">
        <v>50</v>
      </c>
      <c r="E191" s="8">
        <v>361</v>
      </c>
      <c r="F191" s="4">
        <v>14.548627639999999</v>
      </c>
      <c r="G191" s="2" t="s">
        <v>44</v>
      </c>
      <c r="H191" s="5">
        <v>315.14999999999998</v>
      </c>
      <c r="I191" s="1" t="s">
        <v>8</v>
      </c>
      <c r="J191" s="32"/>
      <c r="N191" s="10" t="str">
        <f>IF(COUNTIFS( $B$2:$B$657, B191, $C$2:$C$657, C191, $D$2:$D$657, D191, $E$2:$E$657, E191) &gt; 1, "Duplicate", "Unique")</f>
        <v>Unique</v>
      </c>
    </row>
    <row r="192" spans="1:16" ht="26.5" thickBot="1" x14ac:dyDescent="0.4">
      <c r="A192" s="11">
        <v>46252.645833333336</v>
      </c>
      <c r="B192" s="8" t="s">
        <v>48</v>
      </c>
      <c r="C192" s="8" t="s">
        <v>7</v>
      </c>
      <c r="D192" s="8">
        <v>5</v>
      </c>
      <c r="E192" s="8">
        <v>4177</v>
      </c>
      <c r="F192" s="4">
        <v>14.689730920000001</v>
      </c>
      <c r="G192" s="2" t="s">
        <v>49</v>
      </c>
      <c r="H192" s="5">
        <v>3642</v>
      </c>
      <c r="I192" s="1" t="s">
        <v>8</v>
      </c>
      <c r="J192" s="32"/>
      <c r="N192" s="10" t="str">
        <f>IF(COUNTIFS( $B$2:$B$657, B192, $C$2:$C$657, C192, $D$2:$D$657, D192, $E$2:$E$657, E192) &gt; 1, "Duplicate", "Unique")</f>
        <v>Unique</v>
      </c>
      <c r="O192" s="22"/>
    </row>
    <row r="193" spans="1:16" ht="40.75" customHeight="1" thickBot="1" x14ac:dyDescent="0.4">
      <c r="A193" s="8" t="s">
        <v>61</v>
      </c>
      <c r="B193" s="8" t="s">
        <v>120</v>
      </c>
      <c r="C193" s="8" t="s">
        <v>7</v>
      </c>
      <c r="D193" s="8">
        <v>10</v>
      </c>
      <c r="E193" s="8">
        <v>796</v>
      </c>
      <c r="F193" s="4">
        <v>14.697406340000001</v>
      </c>
      <c r="G193" s="2" t="s">
        <v>121</v>
      </c>
      <c r="H193" s="5">
        <v>694</v>
      </c>
      <c r="I193" s="1" t="s">
        <v>8</v>
      </c>
      <c r="J193" s="32" t="s">
        <v>116</v>
      </c>
      <c r="N193" s="10" t="str">
        <f>IF(COUNTIFS( $B$2:$B$657, B193, $C$2:$C$657, C193, $D$2:$D$657, D193, $E$2:$E$657, E193) &gt; 1, "Duplicate", "Unique")</f>
        <v>Unique</v>
      </c>
    </row>
    <row r="194" spans="1:16" ht="40.75" customHeight="1" thickBot="1" x14ac:dyDescent="0.4">
      <c r="A194" s="11">
        <v>46252.635416666664</v>
      </c>
      <c r="B194" s="8" t="s">
        <v>81</v>
      </c>
      <c r="C194" s="8" t="s">
        <v>7</v>
      </c>
      <c r="D194" s="8">
        <v>1</v>
      </c>
      <c r="E194" s="8">
        <v>4556</v>
      </c>
      <c r="F194" s="4">
        <v>14.769378039999999</v>
      </c>
      <c r="G194" s="2" t="s">
        <v>82</v>
      </c>
      <c r="H194" s="5">
        <v>3969.7</v>
      </c>
      <c r="I194" s="1" t="s">
        <v>8</v>
      </c>
      <c r="J194" s="32"/>
      <c r="N194" s="10" t="str">
        <f>IF(COUNTIFS( $B$2:$B$657, B194, $C$2:$C$657, C194, $D$2:$D$657, D194, $E$2:$E$657, E194) &gt; 1, "Duplicate", "Unique")</f>
        <v>Unique</v>
      </c>
    </row>
    <row r="195" spans="1:16" ht="27.65" customHeight="1" thickBot="1" x14ac:dyDescent="0.4">
      <c r="A195" s="3">
        <v>46266.375</v>
      </c>
      <c r="B195" s="1" t="s">
        <v>86</v>
      </c>
      <c r="C195" s="1" t="s">
        <v>7</v>
      </c>
      <c r="D195" s="4">
        <v>10</v>
      </c>
      <c r="E195" s="4">
        <v>1296</v>
      </c>
      <c r="F195" s="4">
        <v>14.7918512</v>
      </c>
      <c r="G195" s="2" t="s">
        <v>87</v>
      </c>
      <c r="H195" s="5">
        <v>1129</v>
      </c>
      <c r="I195" s="1" t="s">
        <v>8</v>
      </c>
      <c r="J195" s="17" t="s">
        <v>116</v>
      </c>
      <c r="K195" s="17" t="s">
        <v>212</v>
      </c>
      <c r="L195" s="17">
        <v>12600</v>
      </c>
      <c r="M195" s="17">
        <f>ABS((D195*E195)-L195)</f>
        <v>360</v>
      </c>
      <c r="N195" s="10" t="str">
        <f>IF(COUNTIFS( $B$2:$B$657, B195, $C$2:$C$657, C195, $D$2:$D$657, D195, $E$2:$E$657, E195) &gt; 1, "Duplicate", "Unique")</f>
        <v>Unique</v>
      </c>
    </row>
    <row r="196" spans="1:16" ht="40.75" customHeight="1" thickBot="1" x14ac:dyDescent="0.4">
      <c r="A196" s="3">
        <v>46265.460416666669</v>
      </c>
      <c r="B196" s="1" t="s">
        <v>18</v>
      </c>
      <c r="C196" s="1" t="s">
        <v>7</v>
      </c>
      <c r="D196" s="4">
        <v>5</v>
      </c>
      <c r="E196" s="4">
        <v>1892</v>
      </c>
      <c r="F196" s="4">
        <v>14.798859289999999</v>
      </c>
      <c r="G196" s="2" t="s">
        <v>101</v>
      </c>
      <c r="H196" s="5">
        <v>1648.1</v>
      </c>
      <c r="I196" s="1" t="s">
        <v>8</v>
      </c>
      <c r="J196" s="17" t="s">
        <v>117</v>
      </c>
      <c r="K196" s="17" t="s">
        <v>192</v>
      </c>
      <c r="L196" s="17">
        <v>8810</v>
      </c>
      <c r="M196" s="17">
        <f>ABS((D196*E196)-L196)</f>
        <v>650</v>
      </c>
      <c r="N196" t="str">
        <f>IF(COUNTIFS( $B$2:$B$657, B196, $C$2:$C$657, C196, $D$2:$D$657, D196, $E$2:$E$657, E196) &gt; 1, "Duplicate", "Unique")</f>
        <v>Unique</v>
      </c>
      <c r="P196" s="27"/>
    </row>
    <row r="197" spans="1:16" ht="40.75" customHeight="1" thickBot="1" x14ac:dyDescent="0.4">
      <c r="A197" s="3">
        <v>46261.615277777775</v>
      </c>
      <c r="B197" s="1" t="s">
        <v>34</v>
      </c>
      <c r="C197" s="1" t="s">
        <v>7</v>
      </c>
      <c r="D197" s="4">
        <v>50</v>
      </c>
      <c r="E197" s="4">
        <v>226.3</v>
      </c>
      <c r="F197" s="4">
        <v>14.943112559999999</v>
      </c>
      <c r="G197" s="2" t="s">
        <v>41</v>
      </c>
      <c r="H197" s="5">
        <v>196.88</v>
      </c>
      <c r="I197" s="1" t="s">
        <v>8</v>
      </c>
      <c r="J197" s="17" t="s">
        <v>117</v>
      </c>
      <c r="K197" s="17" t="s">
        <v>171</v>
      </c>
      <c r="L197" s="17">
        <v>10814</v>
      </c>
      <c r="M197" s="17">
        <f>ABS((D197*E197)-L197)</f>
        <v>501</v>
      </c>
      <c r="N197" s="10" t="str">
        <f>IF(COUNTIFS( $B$2:$B$657, B197, $C$2:$C$657, C197, $D$2:$D$657, D197, $E$2:$E$657, E197) &gt; 1, "Duplicate", "Unique")</f>
        <v>Unique</v>
      </c>
      <c r="O197" s="36" t="s">
        <v>237</v>
      </c>
    </row>
    <row r="198" spans="1:16" ht="40.75" customHeight="1" thickBot="1" x14ac:dyDescent="0.4">
      <c r="A198" s="11">
        <v>46252.688194444447</v>
      </c>
      <c r="B198" s="8" t="s">
        <v>28</v>
      </c>
      <c r="C198" s="8" t="s">
        <v>7</v>
      </c>
      <c r="D198" s="8">
        <v>30</v>
      </c>
      <c r="E198" s="8">
        <v>930</v>
      </c>
      <c r="F198" s="4">
        <v>14.956736709999999</v>
      </c>
      <c r="G198" s="2" t="s">
        <v>124</v>
      </c>
      <c r="H198" s="5">
        <v>809</v>
      </c>
      <c r="I198" s="1" t="s">
        <v>8</v>
      </c>
      <c r="J198" s="32"/>
      <c r="N198" s="10" t="str">
        <f>IF(COUNTIFS( $B$2:$B$657, B198, $C$2:$C$657, C198, $D$2:$D$657, D198, $E$2:$E$657, E198) &gt; 1, "Duplicate", "Unique")</f>
        <v>Unique</v>
      </c>
      <c r="P198" s="27"/>
    </row>
    <row r="199" spans="1:16" ht="40.75" customHeight="1" thickBot="1" x14ac:dyDescent="0.4">
      <c r="A199" s="8" t="s">
        <v>61</v>
      </c>
      <c r="B199" s="8" t="s">
        <v>122</v>
      </c>
      <c r="C199" s="8" t="s">
        <v>7</v>
      </c>
      <c r="D199" s="8">
        <v>200</v>
      </c>
      <c r="E199" s="8">
        <v>91.75</v>
      </c>
      <c r="F199" s="4">
        <v>15.04702194</v>
      </c>
      <c r="G199" s="2" t="s">
        <v>123</v>
      </c>
      <c r="H199" s="5">
        <v>79.75</v>
      </c>
      <c r="I199" s="1" t="s">
        <v>8</v>
      </c>
      <c r="J199" s="32"/>
      <c r="N199" s="10" t="str">
        <f>IF(COUNTIFS( $B$2:$B$657, B199, $C$2:$C$657, C199, $D$2:$D$657, D199, $E$2:$E$657, E199) &gt; 1, "Duplicate", "Unique")</f>
        <v>Unique</v>
      </c>
    </row>
    <row r="200" spans="1:16" ht="27.65" customHeight="1" thickBot="1" x14ac:dyDescent="0.4">
      <c r="A200" s="8" t="s">
        <v>61</v>
      </c>
      <c r="B200" s="8" t="s">
        <v>134</v>
      </c>
      <c r="C200" s="8" t="s">
        <v>7</v>
      </c>
      <c r="D200" s="8">
        <v>5</v>
      </c>
      <c r="E200" s="8">
        <v>2190</v>
      </c>
      <c r="F200" s="4">
        <v>15.536797679999999</v>
      </c>
      <c r="G200" s="2" t="s">
        <v>135</v>
      </c>
      <c r="H200" s="5">
        <v>1895.5</v>
      </c>
      <c r="I200" s="1" t="s">
        <v>8</v>
      </c>
      <c r="J200" s="32" t="s">
        <v>117</v>
      </c>
      <c r="N200" s="10" t="str">
        <f>IF(COUNTIFS( $B$2:$B$657, B200, $C$2:$C$657, C200, $D$2:$D$657, D200, $E$2:$E$657, E200) &gt; 1, "Duplicate", "Unique")</f>
        <v>Unique</v>
      </c>
      <c r="O200" s="27"/>
    </row>
    <row r="201" spans="1:16" ht="40.75" customHeight="1" thickBot="1" x14ac:dyDescent="0.4">
      <c r="A201" s="3">
        <v>46281.416666666664</v>
      </c>
      <c r="B201" s="1" t="s">
        <v>272</v>
      </c>
      <c r="C201" s="1" t="s">
        <v>10</v>
      </c>
      <c r="D201" s="4">
        <v>10</v>
      </c>
      <c r="E201" s="4">
        <v>706</v>
      </c>
      <c r="F201" s="4">
        <v>-32.245681380000001</v>
      </c>
      <c r="G201" s="2" t="s">
        <v>277</v>
      </c>
      <c r="H201" s="5">
        <v>1042</v>
      </c>
      <c r="I201" s="1" t="s">
        <v>8</v>
      </c>
      <c r="J201" s="17" t="s">
        <v>40</v>
      </c>
      <c r="K201" s="17" t="s">
        <v>274</v>
      </c>
      <c r="L201" s="17">
        <v>17940</v>
      </c>
      <c r="M201" s="17">
        <f>ABS((D201*E201)-L201)</f>
        <v>10880</v>
      </c>
      <c r="N201" s="10" t="str">
        <f>IF(COUNTIFS( $B$2:$B$657, B201, $C$2:$C$657, C201, $D$2:$D$657, D201, $E$2:$E$657, E201) &gt; 1, "Duplicate", "Unique")</f>
        <v>Unique</v>
      </c>
    </row>
    <row r="202" spans="1:16" ht="40.75" customHeight="1" thickBot="1" x14ac:dyDescent="0.4">
      <c r="A202" s="28">
        <v>46258.443749999999</v>
      </c>
      <c r="B202" s="29" t="s">
        <v>6</v>
      </c>
      <c r="C202" s="29" t="s">
        <v>7</v>
      </c>
      <c r="D202" s="30">
        <v>50</v>
      </c>
      <c r="E202" s="30">
        <v>294</v>
      </c>
      <c r="F202" s="4">
        <v>15.72525093</v>
      </c>
      <c r="G202" s="2" t="s">
        <v>129</v>
      </c>
      <c r="H202" s="5">
        <v>254.05</v>
      </c>
      <c r="I202" s="1" t="s">
        <v>8</v>
      </c>
      <c r="J202" s="25" t="s">
        <v>117</v>
      </c>
      <c r="K202" s="25" t="s">
        <v>154</v>
      </c>
      <c r="L202" s="25">
        <v>14172.5</v>
      </c>
      <c r="M202" s="25">
        <f>ABS((D202*E202)-L202)</f>
        <v>527.5</v>
      </c>
      <c r="N202" s="27" t="str">
        <f>IF(COUNTIFS( $B$2:$B$657, B202, $C$2:$C$657, C202, $D$2:$D$657, D202, $E$2:$E$657, E202) &gt; 1, "Duplicate", "Unique")</f>
        <v>Unique</v>
      </c>
      <c r="O202" s="27"/>
      <c r="P202" s="27"/>
    </row>
    <row r="203" spans="1:16" ht="40.75" customHeight="1" thickBot="1" x14ac:dyDescent="0.4">
      <c r="A203" s="38">
        <v>46253.4</v>
      </c>
      <c r="B203" s="39" t="s">
        <v>6</v>
      </c>
      <c r="C203" s="39" t="s">
        <v>7</v>
      </c>
      <c r="D203" s="39">
        <v>30</v>
      </c>
      <c r="E203" s="39">
        <v>294</v>
      </c>
      <c r="F203" s="4">
        <v>15.72525093</v>
      </c>
      <c r="G203" s="2" t="s">
        <v>129</v>
      </c>
      <c r="H203" s="5">
        <v>254.05</v>
      </c>
      <c r="I203" s="1" t="s">
        <v>8</v>
      </c>
      <c r="J203" s="45" t="s">
        <v>117</v>
      </c>
      <c r="K203" s="25" t="s">
        <v>142</v>
      </c>
      <c r="L203" s="25"/>
      <c r="M203" s="25"/>
      <c r="N203" s="27" t="str">
        <f>IF(COUNTIFS( $B$2:$B$657, B203, $C$2:$C$657, C203, $D$2:$D$657, D203, $E$2:$E$657, E203) &gt; 1, "Duplicate", "Unique")</f>
        <v>Unique</v>
      </c>
      <c r="O203" s="27"/>
      <c r="P203" s="27"/>
    </row>
    <row r="204" spans="1:16" ht="27.65" customHeight="1" thickBot="1" x14ac:dyDescent="0.4">
      <c r="A204" s="11">
        <v>46252.688194444447</v>
      </c>
      <c r="B204" s="8" t="s">
        <v>14</v>
      </c>
      <c r="C204" s="8" t="s">
        <v>7</v>
      </c>
      <c r="D204" s="8">
        <v>50</v>
      </c>
      <c r="E204" s="8">
        <v>365</v>
      </c>
      <c r="F204" s="4">
        <v>15.81786451</v>
      </c>
      <c r="G204" s="2" t="s">
        <v>44</v>
      </c>
      <c r="H204" s="5">
        <v>315.14999999999998</v>
      </c>
      <c r="I204" s="1" t="s">
        <v>8</v>
      </c>
      <c r="J204" s="32" t="s">
        <v>117</v>
      </c>
      <c r="N204" s="10" t="str">
        <f>IF(COUNTIFS( $B$2:$B$657, B204, $C$2:$C$657, C204, $D$2:$D$657, D204, $E$2:$E$657, E204) &gt; 1, "Duplicate", "Unique")</f>
        <v>Unique</v>
      </c>
    </row>
    <row r="205" spans="1:16" ht="40.75" customHeight="1" thickBot="1" x14ac:dyDescent="0.4">
      <c r="A205" s="3">
        <v>46266.375</v>
      </c>
      <c r="B205" s="1" t="s">
        <v>88</v>
      </c>
      <c r="C205" s="1" t="s">
        <v>7</v>
      </c>
      <c r="D205" s="4">
        <v>1</v>
      </c>
      <c r="E205" s="4">
        <v>14852</v>
      </c>
      <c r="F205" s="4">
        <v>15.850234009999999</v>
      </c>
      <c r="G205" s="2" t="s">
        <v>89</v>
      </c>
      <c r="H205" s="5">
        <v>12820</v>
      </c>
      <c r="I205" s="1" t="s">
        <v>8</v>
      </c>
      <c r="J205" s="17" t="s">
        <v>117</v>
      </c>
      <c r="K205" s="17" t="s">
        <v>215</v>
      </c>
      <c r="L205" s="17">
        <v>14552</v>
      </c>
      <c r="M205" s="17">
        <f>ABS((D205*E205)-L205)</f>
        <v>300</v>
      </c>
      <c r="N205" s="10" t="str">
        <f>IF(COUNTIFS( $B$2:$B$657, B205, $C$2:$C$657, C205, $D$2:$D$657, D205, $E$2:$E$657, E205) &gt; 1, "Duplicate", "Unique")</f>
        <v>Unique</v>
      </c>
      <c r="O205" s="36" t="s">
        <v>237</v>
      </c>
      <c r="P205" s="27"/>
    </row>
    <row r="206" spans="1:16" ht="27.65" customHeight="1" thickBot="1" x14ac:dyDescent="0.4">
      <c r="A206" s="3">
        <v>46261.375694444447</v>
      </c>
      <c r="B206" s="1" t="s">
        <v>77</v>
      </c>
      <c r="C206" s="1" t="s">
        <v>7</v>
      </c>
      <c r="D206" s="4">
        <v>5</v>
      </c>
      <c r="E206" s="4">
        <v>1490</v>
      </c>
      <c r="F206" s="4">
        <v>16.043613709999999</v>
      </c>
      <c r="G206" s="2" t="s">
        <v>78</v>
      </c>
      <c r="H206" s="5">
        <v>1284</v>
      </c>
      <c r="I206" s="1" t="s">
        <v>8</v>
      </c>
      <c r="J206" s="17" t="s">
        <v>117</v>
      </c>
      <c r="K206" s="17" t="s">
        <v>182</v>
      </c>
      <c r="L206" s="17">
        <v>7200</v>
      </c>
      <c r="M206" s="17">
        <f>ABS((D206*E206)-L206)</f>
        <v>250</v>
      </c>
      <c r="N206" s="10" t="str">
        <f>IF(COUNTIFS( $B$2:$B$657, B206, $C$2:$C$657, C206, $D$2:$D$657, D206, $E$2:$E$657, E206) &gt; 1, "Duplicate", "Unique")</f>
        <v>Unique</v>
      </c>
    </row>
    <row r="207" spans="1:16" s="27" customFormat="1" ht="40.75" customHeight="1" thickBot="1" x14ac:dyDescent="0.4">
      <c r="A207" s="3">
        <v>46265.375694444447</v>
      </c>
      <c r="B207" s="1" t="s">
        <v>77</v>
      </c>
      <c r="C207" s="1" t="s">
        <v>7</v>
      </c>
      <c r="D207" s="4">
        <v>3</v>
      </c>
      <c r="E207" s="4">
        <v>1490</v>
      </c>
      <c r="F207" s="4">
        <v>16.043613709999999</v>
      </c>
      <c r="G207" s="2" t="s">
        <v>78</v>
      </c>
      <c r="H207" s="5">
        <v>1284</v>
      </c>
      <c r="I207" s="1" t="s">
        <v>8</v>
      </c>
      <c r="J207" s="17" t="s">
        <v>117</v>
      </c>
      <c r="K207" s="17" t="s">
        <v>200</v>
      </c>
      <c r="L207" s="17">
        <v>4170</v>
      </c>
      <c r="M207" s="17">
        <f>ABS((D207*E207)-L207)</f>
        <v>300</v>
      </c>
      <c r="N207" t="str">
        <f>IF(COUNTIFS( $B$2:$B$657, B207, $C$2:$C$657, C207, $D$2:$D$657, D207, $E$2:$E$657, E207) &gt; 1, "Duplicate", "Unique")</f>
        <v>Unique</v>
      </c>
      <c r="O207" s="10"/>
      <c r="P207" s="10"/>
    </row>
    <row r="208" spans="1:16" s="27" customFormat="1" ht="40.75" customHeight="1" thickBot="1" x14ac:dyDescent="0.4">
      <c r="A208" s="11">
        <v>46252.6875</v>
      </c>
      <c r="B208" s="8" t="s">
        <v>13</v>
      </c>
      <c r="C208" s="8" t="s">
        <v>7</v>
      </c>
      <c r="D208" s="8">
        <v>5</v>
      </c>
      <c r="E208" s="8">
        <v>2094</v>
      </c>
      <c r="F208" s="4">
        <v>16.13976705</v>
      </c>
      <c r="G208" s="2" t="s">
        <v>90</v>
      </c>
      <c r="H208" s="5">
        <v>1803</v>
      </c>
      <c r="I208" s="1" t="s">
        <v>8</v>
      </c>
      <c r="J208" s="32" t="s">
        <v>117</v>
      </c>
      <c r="K208" s="17"/>
      <c r="L208" s="17"/>
      <c r="M208" s="17"/>
      <c r="N208" s="10" t="str">
        <f>IF(COUNTIFS( $B$2:$B$657, B208, $C$2:$C$657, C208, $D$2:$D$657, D208, $E$2:$E$657, E208) &gt; 1, "Duplicate", "Unique")</f>
        <v>Unique</v>
      </c>
      <c r="O208" s="10"/>
      <c r="P208" s="10"/>
    </row>
    <row r="209" spans="1:16" ht="40.75" customHeight="1" thickBot="1" x14ac:dyDescent="0.4">
      <c r="A209" s="3">
        <v>46276.375</v>
      </c>
      <c r="B209" s="1" t="s">
        <v>102</v>
      </c>
      <c r="C209" s="1" t="s">
        <v>7</v>
      </c>
      <c r="D209" s="4">
        <v>8</v>
      </c>
      <c r="E209" s="4">
        <v>2472</v>
      </c>
      <c r="F209" s="4">
        <v>16.362266989999998</v>
      </c>
      <c r="G209" s="2" t="s">
        <v>103</v>
      </c>
      <c r="H209" s="5">
        <v>2124.4</v>
      </c>
      <c r="I209" s="1" t="s">
        <v>8</v>
      </c>
      <c r="J209" s="17" t="s">
        <v>116</v>
      </c>
      <c r="K209" s="17" t="s">
        <v>267</v>
      </c>
      <c r="L209" s="17">
        <v>18960</v>
      </c>
      <c r="M209" s="17">
        <f>ABS((D209*E209)-L209)</f>
        <v>816</v>
      </c>
      <c r="N209" s="10" t="str">
        <f>IF(COUNTIFS( $B$2:$B$657, B209, $C$2:$C$657, C209, $D$2:$D$657, D209, $E$2:$E$657, E209) &gt; 1, "Duplicate", "Unique")</f>
        <v>Unique</v>
      </c>
    </row>
    <row r="210" spans="1:16" ht="40.75" customHeight="1" thickBot="1" x14ac:dyDescent="0.4">
      <c r="A210" s="8" t="s">
        <v>61</v>
      </c>
      <c r="B210" s="8" t="s">
        <v>50</v>
      </c>
      <c r="C210" s="8" t="s">
        <v>7</v>
      </c>
      <c r="D210" s="8">
        <v>10</v>
      </c>
      <c r="E210" s="13">
        <v>1024</v>
      </c>
      <c r="F210" s="4">
        <v>16.42978965</v>
      </c>
      <c r="G210" s="2" t="s">
        <v>51</v>
      </c>
      <c r="H210" s="5">
        <v>879.5</v>
      </c>
      <c r="I210" s="1" t="s">
        <v>8</v>
      </c>
      <c r="J210" s="32" t="s">
        <v>117</v>
      </c>
      <c r="N210" s="10" t="str">
        <f>IF(COUNTIFS( $B$2:$B$657, B210, $C$2:$C$657, C210, $D$2:$D$657, D210, $E$2:$E$657, E210) &gt; 1, "Duplicate", "Unique")</f>
        <v>Unique</v>
      </c>
    </row>
    <row r="211" spans="1:16" ht="27.65" customHeight="1" thickBot="1" x14ac:dyDescent="0.4">
      <c r="A211" s="3">
        <v>46269.614583333336</v>
      </c>
      <c r="B211" s="1" t="s">
        <v>23</v>
      </c>
      <c r="C211" s="1" t="s">
        <v>7</v>
      </c>
      <c r="D211" s="4">
        <v>40</v>
      </c>
      <c r="E211" s="4">
        <v>219</v>
      </c>
      <c r="F211" s="4">
        <v>16.4893617</v>
      </c>
      <c r="G211" s="2" t="s">
        <v>69</v>
      </c>
      <c r="H211" s="5">
        <v>188</v>
      </c>
      <c r="I211" s="1" t="s">
        <v>8</v>
      </c>
      <c r="J211" s="17" t="s">
        <v>116</v>
      </c>
      <c r="K211" s="17" t="s">
        <v>233</v>
      </c>
      <c r="L211" s="17">
        <v>8480</v>
      </c>
      <c r="M211" s="24">
        <f t="shared" ref="M211:M216" si="6">ABS((D211*E211)-L211)</f>
        <v>280</v>
      </c>
      <c r="N211" t="str">
        <f>IF(COUNTIFS( $B$2:$B$657, B211, $C$2:$C$657, C211, $D$2:$D$657, D211, $E$2:$E$657, E211) &gt; 1, "Duplicate", "Unique")</f>
        <v>Unique</v>
      </c>
      <c r="O211" s="36" t="s">
        <v>237</v>
      </c>
    </row>
    <row r="212" spans="1:16" ht="40.75" customHeight="1" thickBot="1" x14ac:dyDescent="0.4">
      <c r="A212" s="3">
        <v>46335.442361111112</v>
      </c>
      <c r="B212" s="1" t="s">
        <v>79</v>
      </c>
      <c r="C212" s="1" t="s">
        <v>7</v>
      </c>
      <c r="D212" s="4">
        <v>10</v>
      </c>
      <c r="E212" s="4">
        <v>1460</v>
      </c>
      <c r="F212" s="4">
        <v>16.520351160000001</v>
      </c>
      <c r="G212" s="2" t="s">
        <v>80</v>
      </c>
      <c r="H212" s="5">
        <v>1253</v>
      </c>
      <c r="I212" s="1" t="s">
        <v>8</v>
      </c>
      <c r="J212" s="17" t="s">
        <v>116</v>
      </c>
      <c r="K212" s="17" t="s">
        <v>260</v>
      </c>
      <c r="L212" s="17">
        <v>14100</v>
      </c>
      <c r="M212" s="17">
        <f t="shared" si="6"/>
        <v>500</v>
      </c>
      <c r="N212" s="10" t="str">
        <f>IF(COUNTIFS( $B$2:$B$657, B212, $C$2:$C$657, C212, $D$2:$D$657, D212, $E$2:$E$657, E212) &gt; 1, "Duplicate", "Unique")</f>
        <v>Unique</v>
      </c>
    </row>
    <row r="213" spans="1:16" ht="27.65" customHeight="1" thickBot="1" x14ac:dyDescent="0.4">
      <c r="A213" s="28">
        <v>46258.443055555559</v>
      </c>
      <c r="B213" s="29" t="s">
        <v>34</v>
      </c>
      <c r="C213" s="29" t="s">
        <v>7</v>
      </c>
      <c r="D213" s="30">
        <v>50</v>
      </c>
      <c r="E213" s="30">
        <v>229.5</v>
      </c>
      <c r="F213" s="4">
        <v>16.5684681</v>
      </c>
      <c r="G213" s="2" t="s">
        <v>41</v>
      </c>
      <c r="H213" s="5">
        <v>196.88</v>
      </c>
      <c r="I213" s="1" t="s">
        <v>8</v>
      </c>
      <c r="J213" s="25" t="s">
        <v>117</v>
      </c>
      <c r="K213" s="25" t="s">
        <v>155</v>
      </c>
      <c r="L213" s="25">
        <v>11175</v>
      </c>
      <c r="M213" s="25">
        <f t="shared" si="6"/>
        <v>300</v>
      </c>
      <c r="N213" s="27" t="str">
        <f>IF(COUNTIFS( $B$2:$B$657, B213, $C$2:$C$657, C213, $D$2:$D$657, D213, $E$2:$E$657, E213) &gt; 1, "Duplicate", "Unique")</f>
        <v>Unique</v>
      </c>
      <c r="O213" s="27"/>
      <c r="P213" s="27"/>
    </row>
    <row r="214" spans="1:16" ht="27.65" customHeight="1" thickBot="1" x14ac:dyDescent="0.4">
      <c r="A214" s="28">
        <v>46259.375</v>
      </c>
      <c r="B214" s="29" t="s">
        <v>34</v>
      </c>
      <c r="C214" s="29" t="s">
        <v>7</v>
      </c>
      <c r="D214" s="30">
        <v>20</v>
      </c>
      <c r="E214" s="30">
        <v>229.5</v>
      </c>
      <c r="F214" s="4">
        <v>16.5684681</v>
      </c>
      <c r="G214" s="2" t="s">
        <v>41</v>
      </c>
      <c r="H214" s="5">
        <v>196.88</v>
      </c>
      <c r="I214" s="1" t="s">
        <v>8</v>
      </c>
      <c r="J214" s="25" t="s">
        <v>117</v>
      </c>
      <c r="K214" s="25" t="s">
        <v>160</v>
      </c>
      <c r="L214" s="25">
        <v>4402</v>
      </c>
      <c r="M214" s="25">
        <f t="shared" si="6"/>
        <v>188</v>
      </c>
      <c r="N214" s="27" t="str">
        <f>IF(COUNTIFS( $B$2:$B$657, B214, $C$2:$C$657, C214, $D$2:$D$657, D214, $E$2:$E$657, E214) &gt; 1, "Duplicate", "Unique")</f>
        <v>Unique</v>
      </c>
      <c r="O214" s="27"/>
      <c r="P214" s="27"/>
    </row>
    <row r="215" spans="1:16" ht="27.65" customHeight="1" thickBot="1" x14ac:dyDescent="0.4">
      <c r="A215" s="3">
        <v>46265.375694444447</v>
      </c>
      <c r="B215" s="1" t="s">
        <v>35</v>
      </c>
      <c r="C215" s="1" t="s">
        <v>7</v>
      </c>
      <c r="D215" s="4">
        <v>5</v>
      </c>
      <c r="E215" s="4">
        <v>1236</v>
      </c>
      <c r="F215" s="4">
        <v>16.901541659999999</v>
      </c>
      <c r="G215" s="2" t="s">
        <v>64</v>
      </c>
      <c r="H215" s="5">
        <v>1057.3</v>
      </c>
      <c r="I215" s="1" t="s">
        <v>8</v>
      </c>
      <c r="J215" s="17" t="s">
        <v>117</v>
      </c>
      <c r="K215" s="17" t="s">
        <v>202</v>
      </c>
      <c r="L215" s="17">
        <v>5905</v>
      </c>
      <c r="M215" s="17">
        <f t="shared" si="6"/>
        <v>275</v>
      </c>
      <c r="N215" t="str">
        <f>IF(COUNTIFS( $B$2:$B$657, B215, $C$2:$C$657, C215, $D$2:$D$657, D215, $E$2:$E$657, E215) &gt; 1, "Duplicate", "Unique")</f>
        <v>Unique</v>
      </c>
    </row>
    <row r="216" spans="1:16" ht="40.75" customHeight="1" thickBot="1" x14ac:dyDescent="0.4">
      <c r="A216" s="3">
        <v>46265.375694444447</v>
      </c>
      <c r="B216" s="1" t="s">
        <v>86</v>
      </c>
      <c r="C216" s="1" t="s">
        <v>7</v>
      </c>
      <c r="D216" s="4">
        <v>10</v>
      </c>
      <c r="E216" s="4">
        <v>1320</v>
      </c>
      <c r="F216" s="4">
        <v>16.917626219999999</v>
      </c>
      <c r="G216" s="2" t="s">
        <v>87</v>
      </c>
      <c r="H216" s="5">
        <v>1129</v>
      </c>
      <c r="I216" s="1" t="s">
        <v>8</v>
      </c>
      <c r="J216" s="17" t="s">
        <v>116</v>
      </c>
      <c r="K216" s="17" t="s">
        <v>197</v>
      </c>
      <c r="L216" s="17">
        <v>12800</v>
      </c>
      <c r="M216" s="17">
        <f t="shared" si="6"/>
        <v>400</v>
      </c>
      <c r="N216" t="str">
        <f>IF(COUNTIFS( $B$2:$B$657, B216, $C$2:$C$657, C216, $D$2:$D$657, D216, $E$2:$E$657, E216) &gt; 1, "Duplicate", "Unique")</f>
        <v>Unique</v>
      </c>
    </row>
    <row r="217" spans="1:16" ht="27.65" customHeight="1" thickBot="1" x14ac:dyDescent="0.4">
      <c r="A217" s="8" t="s">
        <v>61</v>
      </c>
      <c r="B217" s="8" t="s">
        <v>24</v>
      </c>
      <c r="C217" s="8" t="s">
        <v>7</v>
      </c>
      <c r="D217" s="8">
        <v>5</v>
      </c>
      <c r="E217" s="8">
        <v>468</v>
      </c>
      <c r="F217" s="4">
        <v>17</v>
      </c>
      <c r="G217" s="2" t="s">
        <v>55</v>
      </c>
      <c r="H217" s="5">
        <v>400</v>
      </c>
      <c r="I217" s="1" t="s">
        <v>8</v>
      </c>
      <c r="J217" s="32" t="s">
        <v>117</v>
      </c>
      <c r="N217" s="10" t="str">
        <f>IF(COUNTIFS( $B$2:$B$657, B217, $C$2:$C$657, C217, $D$2:$D$657, D217, $E$2:$E$657, E217) &gt; 1, "Duplicate", "Unique")</f>
        <v>Unique</v>
      </c>
    </row>
    <row r="218" spans="1:16" s="27" customFormat="1" ht="40.75" customHeight="1" thickBot="1" x14ac:dyDescent="0.4">
      <c r="A218" s="3">
        <v>46260.375</v>
      </c>
      <c r="B218" s="1" t="s">
        <v>24</v>
      </c>
      <c r="C218" s="1" t="s">
        <v>7</v>
      </c>
      <c r="D218" s="4">
        <v>40</v>
      </c>
      <c r="E218" s="4">
        <v>468</v>
      </c>
      <c r="F218" s="4">
        <v>17</v>
      </c>
      <c r="G218" s="2" t="s">
        <v>55</v>
      </c>
      <c r="H218" s="5">
        <v>400</v>
      </c>
      <c r="I218" s="1" t="s">
        <v>8</v>
      </c>
      <c r="J218" s="17" t="s">
        <v>117</v>
      </c>
      <c r="K218" s="17" t="s">
        <v>167</v>
      </c>
      <c r="L218" s="17">
        <v>17920</v>
      </c>
      <c r="M218" s="17">
        <f>ABS((D218*E218)-L218)</f>
        <v>800</v>
      </c>
      <c r="N218" t="str">
        <f>IF(COUNTIFS( $B$2:$B$657, B218, $C$2:$C$657, C218, $D$2:$D$657, D218, $E$2:$E$657, E218) &gt; 1, "Duplicate", "Unique")</f>
        <v>Unique</v>
      </c>
      <c r="O218" s="10"/>
      <c r="P218" s="10"/>
    </row>
    <row r="219" spans="1:16" ht="27.65" customHeight="1" thickBot="1" x14ac:dyDescent="0.4">
      <c r="A219" s="3">
        <v>46261.375694444447</v>
      </c>
      <c r="B219" s="1" t="s">
        <v>52</v>
      </c>
      <c r="C219" s="1" t="s">
        <v>7</v>
      </c>
      <c r="D219" s="4">
        <v>2</v>
      </c>
      <c r="E219" s="4">
        <v>2690</v>
      </c>
      <c r="F219" s="4">
        <v>17.11437154</v>
      </c>
      <c r="G219" s="2" t="s">
        <v>53</v>
      </c>
      <c r="H219" s="5">
        <v>2296.9</v>
      </c>
      <c r="I219" s="1" t="s">
        <v>8</v>
      </c>
      <c r="J219" s="17" t="s">
        <v>117</v>
      </c>
      <c r="K219" s="17" t="s">
        <v>173</v>
      </c>
      <c r="L219" s="17">
        <v>5120</v>
      </c>
      <c r="M219" s="17">
        <f>ABS((D219*E219)-L219)</f>
        <v>260</v>
      </c>
      <c r="N219" s="10" t="str">
        <f>IF(COUNTIFS( $B$2:$B$657, B219, $C$2:$C$657, C219, $D$2:$D$657, D219, $E$2:$E$657, E219) &gt; 1, "Duplicate", "Unique")</f>
        <v>Unique</v>
      </c>
    </row>
    <row r="220" spans="1:16" ht="40.75" customHeight="1" thickBot="1" x14ac:dyDescent="0.4">
      <c r="A220" s="8" t="s">
        <v>61</v>
      </c>
      <c r="B220" s="8" t="s">
        <v>13</v>
      </c>
      <c r="C220" s="8" t="s">
        <v>7</v>
      </c>
      <c r="D220" s="8">
        <v>10</v>
      </c>
      <c r="E220" s="8">
        <v>2114</v>
      </c>
      <c r="F220" s="4">
        <v>17.249029400000001</v>
      </c>
      <c r="G220" s="2" t="s">
        <v>90</v>
      </c>
      <c r="H220" s="5">
        <v>1803</v>
      </c>
      <c r="I220" s="1" t="s">
        <v>8</v>
      </c>
      <c r="J220" s="32"/>
      <c r="N220" s="10" t="str">
        <f>IF(COUNTIFS( $B$2:$B$657, B220, $C$2:$C$657, C220, $D$2:$D$657, D220, $E$2:$E$657, E220) &gt; 1, "Duplicate", "Unique")</f>
        <v>Unique</v>
      </c>
      <c r="P220" s="27"/>
    </row>
    <row r="221" spans="1:16" ht="27.65" customHeight="1" thickBot="1" x14ac:dyDescent="0.4">
      <c r="A221" s="3">
        <v>46276.4</v>
      </c>
      <c r="B221" s="1" t="s">
        <v>79</v>
      </c>
      <c r="C221" s="1" t="s">
        <v>7</v>
      </c>
      <c r="D221" s="4">
        <v>10</v>
      </c>
      <c r="E221" s="4">
        <v>1470</v>
      </c>
      <c r="F221" s="4">
        <v>17.318435749999999</v>
      </c>
      <c r="G221" s="2" t="s">
        <v>80</v>
      </c>
      <c r="H221" s="5">
        <v>1253</v>
      </c>
      <c r="I221" s="1" t="s">
        <v>8</v>
      </c>
      <c r="J221" s="17" t="s">
        <v>116</v>
      </c>
      <c r="K221" s="17" t="s">
        <v>262</v>
      </c>
      <c r="L221" s="17">
        <v>14200</v>
      </c>
      <c r="M221" s="17">
        <f>ABS((D221*E221)-L221)</f>
        <v>500</v>
      </c>
      <c r="N221" s="10" t="str">
        <f>IF(COUNTIFS( $B$2:$B$657, B221, $C$2:$C$657, C221, $D$2:$D$657, D221, $E$2:$E$657, E221) &gt; 1, "Duplicate", "Unique")</f>
        <v>Unique</v>
      </c>
    </row>
    <row r="222" spans="1:16" s="27" customFormat="1" ht="40.75" customHeight="1" thickBot="1" x14ac:dyDescent="0.4">
      <c r="A222" s="3">
        <v>46290.385416666664</v>
      </c>
      <c r="B222" s="2" t="s">
        <v>22</v>
      </c>
      <c r="C222" s="2" t="s">
        <v>7</v>
      </c>
      <c r="D222" s="5">
        <v>10</v>
      </c>
      <c r="E222" s="5">
        <v>449</v>
      </c>
      <c r="F222" s="4">
        <v>17.385620920000001</v>
      </c>
      <c r="G222" s="2" t="s">
        <v>72</v>
      </c>
      <c r="H222" s="5">
        <v>382.5</v>
      </c>
      <c r="I222" s="1" t="s">
        <v>8</v>
      </c>
      <c r="J222" s="17" t="s">
        <v>117</v>
      </c>
      <c r="K222" s="17" t="s">
        <v>288</v>
      </c>
      <c r="L222" s="17">
        <v>4200</v>
      </c>
      <c r="M222" s="17">
        <f>ABS((D222*E222)-L222)</f>
        <v>290</v>
      </c>
      <c r="N222" s="10" t="str">
        <f>IF(COUNTIFS( $B$2:$B$657, B222, $C$2:$C$657, C222, $D$2:$D$657, D222, $E$2:$E$657, E222) &gt; 1, "Duplicate", "Unique")</f>
        <v>Unique</v>
      </c>
      <c r="O222" s="10"/>
      <c r="P222" s="10"/>
    </row>
    <row r="223" spans="1:16" ht="27.65" customHeight="1" thickBot="1" x14ac:dyDescent="0.4">
      <c r="A223" s="8" t="s">
        <v>61</v>
      </c>
      <c r="B223" s="8" t="s">
        <v>120</v>
      </c>
      <c r="C223" s="8" t="s">
        <v>7</v>
      </c>
      <c r="D223" s="8">
        <v>10</v>
      </c>
      <c r="E223" s="8">
        <v>816</v>
      </c>
      <c r="F223" s="4">
        <v>17.579250720000001</v>
      </c>
      <c r="G223" s="2" t="s">
        <v>121</v>
      </c>
      <c r="H223" s="5">
        <v>694</v>
      </c>
      <c r="I223" s="1" t="s">
        <v>8</v>
      </c>
      <c r="J223" s="32" t="s">
        <v>116</v>
      </c>
      <c r="N223" s="10" t="str">
        <f>IF(COUNTIFS( $B$2:$B$657, B223, $C$2:$C$657, C223, $D$2:$D$657, D223, $E$2:$E$657, E223) &gt; 1, "Duplicate", "Unique")</f>
        <v>Unique</v>
      </c>
      <c r="P223" s="27"/>
    </row>
    <row r="224" spans="1:16" ht="27.65" customHeight="1" thickBot="1" x14ac:dyDescent="0.4">
      <c r="A224" s="3">
        <v>46266.375694444447</v>
      </c>
      <c r="B224" s="1" t="s">
        <v>65</v>
      </c>
      <c r="C224" s="1" t="s">
        <v>7</v>
      </c>
      <c r="D224" s="4">
        <v>5</v>
      </c>
      <c r="E224" s="4">
        <v>1248</v>
      </c>
      <c r="F224" s="4">
        <v>17.78029445</v>
      </c>
      <c r="G224" s="2" t="s">
        <v>66</v>
      </c>
      <c r="H224" s="5">
        <v>1059.5999999999999</v>
      </c>
      <c r="I224" s="1" t="s">
        <v>8</v>
      </c>
      <c r="J224" s="17" t="s">
        <v>116</v>
      </c>
      <c r="K224" s="17" t="s">
        <v>207</v>
      </c>
      <c r="L224" s="17">
        <v>5940</v>
      </c>
      <c r="M224" s="17">
        <f>ABS((D224*E224)-L224)</f>
        <v>300</v>
      </c>
      <c r="N224" s="10" t="str">
        <f>IF(COUNTIFS( $B$2:$B$657, B224, $C$2:$C$657, C224, $D$2:$D$657, D224, $E$2:$E$657, E224) &gt; 1, "Duplicate", "Unique")</f>
        <v>Unique</v>
      </c>
    </row>
    <row r="225" spans="1:16" ht="40.75" customHeight="1" thickBot="1" x14ac:dyDescent="0.4">
      <c r="A225" s="11">
        <v>46252.645138888889</v>
      </c>
      <c r="B225" s="8" t="s">
        <v>34</v>
      </c>
      <c r="C225" s="8" t="s">
        <v>7</v>
      </c>
      <c r="D225" s="8">
        <v>200</v>
      </c>
      <c r="E225" s="8">
        <v>232</v>
      </c>
      <c r="F225" s="4">
        <v>17.838277120000001</v>
      </c>
      <c r="G225" s="2" t="s">
        <v>41</v>
      </c>
      <c r="H225" s="5">
        <v>196.88</v>
      </c>
      <c r="I225" s="1" t="s">
        <v>8</v>
      </c>
      <c r="J225" s="16" t="s">
        <v>116</v>
      </c>
      <c r="N225" s="10" t="str">
        <f>IF(COUNTIFS( $B$2:$B$657, B225, $C$2:$C$657, C225, $D$2:$D$657, D225, $E$2:$E$657, E225) &gt; 1, "Duplicate", "Unique")</f>
        <v>Unique</v>
      </c>
    </row>
    <row r="226" spans="1:16" ht="27.65" customHeight="1" thickBot="1" x14ac:dyDescent="0.4">
      <c r="A226" s="8" t="s">
        <v>61</v>
      </c>
      <c r="B226" s="8" t="s">
        <v>52</v>
      </c>
      <c r="C226" s="8" t="s">
        <v>7</v>
      </c>
      <c r="D226" s="8">
        <v>3</v>
      </c>
      <c r="E226" s="12">
        <v>2710</v>
      </c>
      <c r="F226" s="4">
        <v>17.985110370000001</v>
      </c>
      <c r="G226" s="2" t="s">
        <v>53</v>
      </c>
      <c r="H226" s="5">
        <v>2296.9</v>
      </c>
      <c r="I226" s="1" t="s">
        <v>8</v>
      </c>
      <c r="J226" s="32" t="s">
        <v>117</v>
      </c>
      <c r="N226" s="10" t="str">
        <f>IF(COUNTIFS( $B$2:$B$657, B226, $C$2:$C$657, C226, $D$2:$D$657, D226, $E$2:$E$657, E226) &gt; 1, "Duplicate", "Unique")</f>
        <v>Unique</v>
      </c>
    </row>
    <row r="227" spans="1:16" s="27" customFormat="1" ht="27.65" customHeight="1" thickBot="1" x14ac:dyDescent="0.4">
      <c r="A227" s="3">
        <v>46259.375</v>
      </c>
      <c r="B227" s="1" t="s">
        <v>24</v>
      </c>
      <c r="C227" s="1" t="s">
        <v>7</v>
      </c>
      <c r="D227" s="4">
        <v>20</v>
      </c>
      <c r="E227" s="4">
        <v>472.5</v>
      </c>
      <c r="F227" s="4">
        <v>18.125</v>
      </c>
      <c r="G227" s="2" t="s">
        <v>55</v>
      </c>
      <c r="H227" s="5">
        <v>400</v>
      </c>
      <c r="I227" s="1" t="s">
        <v>8</v>
      </c>
      <c r="J227" s="32" t="s">
        <v>117</v>
      </c>
      <c r="K227" s="17" t="s">
        <v>158</v>
      </c>
      <c r="L227" s="17">
        <v>8800</v>
      </c>
      <c r="M227" s="17">
        <f>ABS((D227*E227)-L227)</f>
        <v>650</v>
      </c>
      <c r="N227" s="10" t="str">
        <f>IF(COUNTIFS( $B$2:$B$657, B227, $C$2:$C$657, C227, $D$2:$D$657, D227, $E$2:$E$657, E227) &gt; 1, "Duplicate", "Unique")</f>
        <v>Unique</v>
      </c>
      <c r="P227" s="10"/>
    </row>
    <row r="228" spans="1:16" s="27" customFormat="1" ht="40.75" customHeight="1" thickBot="1" x14ac:dyDescent="0.4">
      <c r="A228" s="8" t="s">
        <v>61</v>
      </c>
      <c r="B228" s="8" t="s">
        <v>6</v>
      </c>
      <c r="C228" s="8" t="s">
        <v>7</v>
      </c>
      <c r="D228" s="8">
        <v>120</v>
      </c>
      <c r="E228" s="8">
        <v>300.5</v>
      </c>
      <c r="F228" s="4">
        <v>18.283802399999999</v>
      </c>
      <c r="G228" s="2" t="s">
        <v>129</v>
      </c>
      <c r="H228" s="5">
        <v>254.05</v>
      </c>
      <c r="I228" s="1" t="s">
        <v>8</v>
      </c>
      <c r="J228" s="32" t="s">
        <v>117</v>
      </c>
      <c r="K228" s="17"/>
      <c r="L228" s="17"/>
      <c r="M228" s="17"/>
      <c r="N228" s="10" t="str">
        <f>IF(COUNTIFS( $B$2:$B$657, B228, $C$2:$C$657, C228, $D$2:$D$657, D228, $E$2:$E$657, E228) &gt; 1, "Duplicate", "Unique")</f>
        <v>Unique</v>
      </c>
      <c r="O228" s="10"/>
      <c r="P228" s="10"/>
    </row>
    <row r="229" spans="1:16" ht="40.75" customHeight="1" thickBot="1" x14ac:dyDescent="0.4">
      <c r="A229" s="28">
        <v>46260.556944444441</v>
      </c>
      <c r="B229" s="29" t="s">
        <v>35</v>
      </c>
      <c r="C229" s="29" t="s">
        <v>7</v>
      </c>
      <c r="D229" s="30">
        <v>5</v>
      </c>
      <c r="E229" s="30">
        <v>1251</v>
      </c>
      <c r="F229" s="4">
        <v>18.320249690000001</v>
      </c>
      <c r="G229" s="2" t="s">
        <v>64</v>
      </c>
      <c r="H229" s="5">
        <v>1057.3</v>
      </c>
      <c r="I229" s="1" t="s">
        <v>8</v>
      </c>
      <c r="J229" s="25" t="s">
        <v>117</v>
      </c>
      <c r="K229" s="25" t="s">
        <v>162</v>
      </c>
      <c r="L229" s="25">
        <v>6105</v>
      </c>
      <c r="M229" s="25">
        <f>ABS((D229*E229)-L229)</f>
        <v>150</v>
      </c>
      <c r="N229" s="26" t="str">
        <f>IF(COUNTIFS( $B$2:$B$657, B229, $C$2:$C$657, C229, $D$2:$D$657, D229, $E$2:$E$657, E229) &gt; 1, "Duplicate", "Unique")</f>
        <v>Duplicate</v>
      </c>
    </row>
    <row r="230" spans="1:16" s="27" customFormat="1" ht="40.75" customHeight="1" thickBot="1" x14ac:dyDescent="0.4">
      <c r="A230" s="28">
        <v>46261.375</v>
      </c>
      <c r="B230" s="29" t="s">
        <v>35</v>
      </c>
      <c r="C230" s="29" t="s">
        <v>7</v>
      </c>
      <c r="D230" s="30">
        <v>5</v>
      </c>
      <c r="E230" s="30">
        <v>1251</v>
      </c>
      <c r="F230" s="4">
        <v>18.320249690000001</v>
      </c>
      <c r="G230" s="2" t="s">
        <v>64</v>
      </c>
      <c r="H230" s="5">
        <v>1057.3</v>
      </c>
      <c r="I230" s="1" t="s">
        <v>8</v>
      </c>
      <c r="J230" s="25" t="s">
        <v>117</v>
      </c>
      <c r="K230" s="25" t="s">
        <v>175</v>
      </c>
      <c r="L230" s="25">
        <v>6005</v>
      </c>
      <c r="M230" s="25">
        <f>ABS((D230*E230)-L230)</f>
        <v>250</v>
      </c>
      <c r="N230" s="27" t="str">
        <f>IF(COUNTIFS( $B$2:$B$657, B230, $C$2:$C$657, C230, $D$2:$D$657, D230, $E$2:$E$657, E230) &gt; 1, "Duplicate", "Unique")</f>
        <v>Duplicate</v>
      </c>
      <c r="O230" s="10"/>
      <c r="P230" s="10"/>
    </row>
    <row r="231" spans="1:16" ht="40.75" customHeight="1" thickBot="1" x14ac:dyDescent="0.4">
      <c r="A231" s="8" t="s">
        <v>61</v>
      </c>
      <c r="B231" s="8" t="s">
        <v>14</v>
      </c>
      <c r="C231" s="8" t="s">
        <v>7</v>
      </c>
      <c r="D231" s="8">
        <v>17</v>
      </c>
      <c r="E231" s="8">
        <v>373</v>
      </c>
      <c r="F231" s="4">
        <v>18.35633825</v>
      </c>
      <c r="G231" s="2" t="s">
        <v>44</v>
      </c>
      <c r="H231" s="5">
        <v>315.14999999999998</v>
      </c>
      <c r="I231" s="1" t="s">
        <v>8</v>
      </c>
      <c r="J231" s="32"/>
      <c r="N231" s="10" t="str">
        <f>IF(COUNTIFS( $B$2:$B$657, B231, $C$2:$C$657, C231, $D$2:$D$657, D231, $E$2:$E$657, E231) &gt; 1, "Duplicate", "Unique")</f>
        <v>Unique</v>
      </c>
    </row>
    <row r="232" spans="1:16" s="27" customFormat="1" ht="27.65" customHeight="1" thickBot="1" x14ac:dyDescent="0.4">
      <c r="A232" s="8" t="s">
        <v>61</v>
      </c>
      <c r="B232" s="8" t="s">
        <v>14</v>
      </c>
      <c r="C232" s="8" t="s">
        <v>7</v>
      </c>
      <c r="D232" s="8">
        <v>50</v>
      </c>
      <c r="E232" s="12">
        <v>373</v>
      </c>
      <c r="F232" s="4">
        <v>18.35633825</v>
      </c>
      <c r="G232" s="2" t="s">
        <v>44</v>
      </c>
      <c r="H232" s="5">
        <v>315.14999999999998</v>
      </c>
      <c r="I232" s="1" t="s">
        <v>8</v>
      </c>
      <c r="J232" s="32" t="s">
        <v>117</v>
      </c>
      <c r="K232" s="17"/>
      <c r="L232" s="17"/>
      <c r="M232" s="17"/>
      <c r="N232" s="10" t="str">
        <f>IF(COUNTIFS( $B$2:$B$657, B232, $C$2:$C$657, C232, $D$2:$D$657, D232, $E$2:$E$657, E232) &gt; 1, "Duplicate", "Unique")</f>
        <v>Unique</v>
      </c>
      <c r="P232" s="10"/>
    </row>
    <row r="233" spans="1:16" s="27" customFormat="1" ht="27.65" customHeight="1" thickBot="1" x14ac:dyDescent="0.4">
      <c r="A233" s="3">
        <v>46258.629861111112</v>
      </c>
      <c r="B233" s="1" t="s">
        <v>17</v>
      </c>
      <c r="C233" s="1" t="s">
        <v>7</v>
      </c>
      <c r="D233" s="4">
        <v>25</v>
      </c>
      <c r="E233" s="4">
        <v>392.5</v>
      </c>
      <c r="F233" s="4">
        <v>18.365500600000001</v>
      </c>
      <c r="G233" s="2" t="s">
        <v>76</v>
      </c>
      <c r="H233" s="5">
        <v>331.6</v>
      </c>
      <c r="I233" s="1" t="s">
        <v>8</v>
      </c>
      <c r="J233" s="17" t="s">
        <v>117</v>
      </c>
      <c r="K233" s="17" t="s">
        <v>153</v>
      </c>
      <c r="L233" s="17">
        <v>9312.5</v>
      </c>
      <c r="M233" s="17">
        <f>ABS((D233*E233)-L233)</f>
        <v>500</v>
      </c>
      <c r="N233" s="10" t="str">
        <f>IF(COUNTIFS( $B$2:$B$657, B233, $C$2:$C$657, C233, $D$2:$D$657, D233, $E$2:$E$657, E233) &gt; 1, "Duplicate", "Unique")</f>
        <v>Unique</v>
      </c>
      <c r="O233" s="10"/>
      <c r="P233" s="10"/>
    </row>
    <row r="234" spans="1:16" ht="27.65" customHeight="1" thickBot="1" x14ac:dyDescent="0.4">
      <c r="A234" s="3">
        <v>46262.375</v>
      </c>
      <c r="B234" s="1" t="s">
        <v>86</v>
      </c>
      <c r="C234" s="1" t="s">
        <v>7</v>
      </c>
      <c r="D234" s="4">
        <v>10</v>
      </c>
      <c r="E234" s="4">
        <v>1340</v>
      </c>
      <c r="F234" s="4">
        <v>18.689105399999999</v>
      </c>
      <c r="G234" s="2" t="s">
        <v>87</v>
      </c>
      <c r="H234" s="5">
        <v>1129</v>
      </c>
      <c r="I234" s="1" t="s">
        <v>8</v>
      </c>
      <c r="J234" s="17" t="s">
        <v>116</v>
      </c>
      <c r="K234" s="17" t="s">
        <v>184</v>
      </c>
      <c r="L234" s="17">
        <v>13030</v>
      </c>
      <c r="M234" s="17">
        <f>ABS((D234*E234)-L234)</f>
        <v>370</v>
      </c>
      <c r="N234" s="10" t="str">
        <f>IF(COUNTIFS( $B$2:$B$657, B234, $C$2:$C$657, C234, $D$2:$D$657, D234, $E$2:$E$657, E234) &gt; 1, "Duplicate", "Unique")</f>
        <v>Unique</v>
      </c>
      <c r="P234" s="27"/>
    </row>
    <row r="235" spans="1:16" ht="27.65" customHeight="1" thickBot="1" x14ac:dyDescent="0.4">
      <c r="A235" s="31">
        <v>46255</v>
      </c>
      <c r="B235" s="29" t="s">
        <v>19</v>
      </c>
      <c r="C235" s="29" t="s">
        <v>7</v>
      </c>
      <c r="D235" s="30">
        <v>20</v>
      </c>
      <c r="E235" s="30">
        <v>241</v>
      </c>
      <c r="F235" s="4">
        <v>18.719211820000002</v>
      </c>
      <c r="G235" s="2" t="s">
        <v>39</v>
      </c>
      <c r="H235" s="5">
        <v>203</v>
      </c>
      <c r="I235" s="1" t="s">
        <v>8</v>
      </c>
      <c r="J235" s="25" t="s">
        <v>117</v>
      </c>
      <c r="K235" s="25" t="s">
        <v>148</v>
      </c>
      <c r="L235" s="25">
        <v>4680</v>
      </c>
      <c r="M235" s="25">
        <f>ABS((D235*E235)-L235)</f>
        <v>140</v>
      </c>
      <c r="N235" s="27" t="str">
        <f>IF(COUNTIFS( $B$2:$B$657, B235, $C$2:$C$657, C235, $D$2:$D$657, D235, $E$2:$E$657, E235) &gt; 1, "Duplicate", "Unique")</f>
        <v>Duplicate</v>
      </c>
      <c r="P235" s="27"/>
    </row>
    <row r="236" spans="1:16" ht="27.65" customHeight="1" thickBot="1" x14ac:dyDescent="0.4">
      <c r="A236" s="28">
        <v>46261.385416666664</v>
      </c>
      <c r="B236" s="29" t="s">
        <v>19</v>
      </c>
      <c r="C236" s="29" t="s">
        <v>7</v>
      </c>
      <c r="D236" s="30">
        <v>20</v>
      </c>
      <c r="E236" s="30">
        <v>241</v>
      </c>
      <c r="F236" s="4">
        <v>18.719211820000002</v>
      </c>
      <c r="G236" s="2" t="s">
        <v>39</v>
      </c>
      <c r="H236" s="5">
        <v>203</v>
      </c>
      <c r="I236" s="1" t="s">
        <v>8</v>
      </c>
      <c r="J236" s="25" t="s">
        <v>117</v>
      </c>
      <c r="K236" s="25" t="s">
        <v>174</v>
      </c>
      <c r="L236" s="25">
        <v>4520</v>
      </c>
      <c r="M236" s="25">
        <f>ABS((D236*E236)-L236)</f>
        <v>300</v>
      </c>
      <c r="N236" s="27" t="str">
        <f>IF(COUNTIFS( $B$2:$B$657, B236, $C$2:$C$657, C236, $D$2:$D$657, D236, $E$2:$E$657, E236) &gt; 1, "Duplicate", "Unique")</f>
        <v>Duplicate</v>
      </c>
    </row>
    <row r="237" spans="1:16" ht="40.75" customHeight="1" thickBot="1" x14ac:dyDescent="0.4">
      <c r="A237" s="3">
        <v>46276.390277777777</v>
      </c>
      <c r="B237" s="1" t="s">
        <v>79</v>
      </c>
      <c r="C237" s="1" t="s">
        <v>7</v>
      </c>
      <c r="D237" s="4">
        <v>10</v>
      </c>
      <c r="E237" s="4">
        <v>1490</v>
      </c>
      <c r="F237" s="4">
        <v>18.914604950000001</v>
      </c>
      <c r="G237" s="2" t="s">
        <v>80</v>
      </c>
      <c r="H237" s="5">
        <v>1253</v>
      </c>
      <c r="I237" s="1" t="s">
        <v>8</v>
      </c>
      <c r="J237" s="17" t="s">
        <v>116</v>
      </c>
      <c r="K237" s="17" t="s">
        <v>263</v>
      </c>
      <c r="L237" s="17">
        <v>14400</v>
      </c>
      <c r="M237" s="17">
        <f>ABS((D237*E237)-L237)</f>
        <v>500</v>
      </c>
      <c r="N237" s="10" t="str">
        <f>IF(COUNTIFS( $B$2:$B$657, B237, $C$2:$C$657, C237, $D$2:$D$657, D237, $E$2:$E$657, E237) &gt; 1, "Duplicate", "Unique")</f>
        <v>Unique</v>
      </c>
    </row>
    <row r="238" spans="1:16" ht="40.75" customHeight="1" thickBot="1" x14ac:dyDescent="0.4">
      <c r="A238" s="11">
        <v>46252.6875</v>
      </c>
      <c r="B238" s="8" t="s">
        <v>27</v>
      </c>
      <c r="C238" s="8" t="s">
        <v>7</v>
      </c>
      <c r="D238" s="8">
        <v>2</v>
      </c>
      <c r="E238" s="8">
        <v>3048</v>
      </c>
      <c r="F238" s="4">
        <v>19.05319897</v>
      </c>
      <c r="G238" s="2" t="s">
        <v>130</v>
      </c>
      <c r="H238" s="5">
        <v>2560.1999999999998</v>
      </c>
      <c r="I238" s="1" t="s">
        <v>8</v>
      </c>
      <c r="J238" s="32" t="s">
        <v>116</v>
      </c>
      <c r="N238" s="10" t="str">
        <f>IF(COUNTIFS( $B$2:$B$657, B238, $C$2:$C$657, C238, $D$2:$D$657, D238, $E$2:$E$657, E238) &gt; 1, "Duplicate", "Unique")</f>
        <v>Unique</v>
      </c>
    </row>
    <row r="239" spans="1:16" ht="27.65" customHeight="1" thickBot="1" x14ac:dyDescent="0.4">
      <c r="A239" s="3">
        <v>46275.507638888892</v>
      </c>
      <c r="B239" s="1" t="s">
        <v>15</v>
      </c>
      <c r="C239" s="1" t="s">
        <v>7</v>
      </c>
      <c r="D239" s="4">
        <v>10</v>
      </c>
      <c r="E239" s="4">
        <v>2548</v>
      </c>
      <c r="F239" s="4">
        <v>19.288389509999998</v>
      </c>
      <c r="G239" s="2" t="s">
        <v>71</v>
      </c>
      <c r="H239" s="5">
        <v>2136</v>
      </c>
      <c r="I239" s="1" t="s">
        <v>8</v>
      </c>
      <c r="J239" s="17" t="s">
        <v>116</v>
      </c>
      <c r="K239" s="17" t="s">
        <v>257</v>
      </c>
      <c r="L239" s="17">
        <v>73800</v>
      </c>
      <c r="M239" s="17">
        <f>ABS((D239*E239)-L239)</f>
        <v>48320</v>
      </c>
      <c r="N239" s="10" t="str">
        <f>IF(COUNTIFS( $B$2:$B$657, B239, $C$2:$C$657, C239, $D$2:$D$657, D239, $E$2:$E$657, E239) &gt; 1, "Duplicate", "Unique")</f>
        <v>Unique</v>
      </c>
      <c r="O239" s="36" t="s">
        <v>237</v>
      </c>
    </row>
    <row r="240" spans="1:16" ht="27.65" customHeight="1" thickBot="1" x14ac:dyDescent="0.4">
      <c r="A240" s="11">
        <v>46252.635416666664</v>
      </c>
      <c r="B240" s="8" t="s">
        <v>34</v>
      </c>
      <c r="C240" s="8" t="s">
        <v>7</v>
      </c>
      <c r="D240" s="8">
        <v>200</v>
      </c>
      <c r="E240" s="8">
        <v>235</v>
      </c>
      <c r="F240" s="4">
        <v>19.362047950000001</v>
      </c>
      <c r="G240" s="2" t="s">
        <v>41</v>
      </c>
      <c r="H240" s="5">
        <v>196.88</v>
      </c>
      <c r="I240" s="1" t="s">
        <v>8</v>
      </c>
      <c r="J240" s="35" t="s">
        <v>54</v>
      </c>
      <c r="N240" s="10" t="str">
        <f>IF(COUNTIFS( $B$2:$B$657, B240, $C$2:$C$657, C240, $D$2:$D$657, D240, $E$2:$E$657, E240) &gt; 1, "Duplicate", "Unique")</f>
        <v>Unique</v>
      </c>
    </row>
    <row r="241" spans="1:16" ht="40.75" customHeight="1" thickBot="1" x14ac:dyDescent="0.4">
      <c r="A241" s="3">
        <v>46335.421527777777</v>
      </c>
      <c r="B241" s="1" t="s">
        <v>16</v>
      </c>
      <c r="C241" s="1" t="s">
        <v>7</v>
      </c>
      <c r="D241" s="4">
        <v>10</v>
      </c>
      <c r="E241" s="4">
        <v>884.9</v>
      </c>
      <c r="F241" s="4">
        <v>19.37137461</v>
      </c>
      <c r="G241" s="2" t="s">
        <v>60</v>
      </c>
      <c r="H241" s="5">
        <v>741.3</v>
      </c>
      <c r="I241" s="1" t="s">
        <v>8</v>
      </c>
      <c r="J241" s="17" t="s">
        <v>117</v>
      </c>
      <c r="K241" s="17" t="s">
        <v>261</v>
      </c>
      <c r="L241" s="17">
        <v>8049</v>
      </c>
      <c r="M241" s="17">
        <f>ABS((D241*E241)-L241)</f>
        <v>800</v>
      </c>
      <c r="N241" s="10" t="str">
        <f>IF(COUNTIFS( $B$2:$B$657, B241, $C$2:$C$657, C241, $D$2:$D$657, D241, $E$2:$E$657, E241) &gt; 1, "Duplicate", "Unique")</f>
        <v>Unique</v>
      </c>
      <c r="O241" s="36" t="s">
        <v>237</v>
      </c>
    </row>
    <row r="242" spans="1:16" ht="27.65" customHeight="1" thickBot="1" x14ac:dyDescent="0.4">
      <c r="A242" s="3">
        <v>46261.375</v>
      </c>
      <c r="B242" s="1" t="s">
        <v>18</v>
      </c>
      <c r="C242" s="1" t="s">
        <v>7</v>
      </c>
      <c r="D242" s="4">
        <v>2</v>
      </c>
      <c r="E242" s="4">
        <v>1970</v>
      </c>
      <c r="F242" s="4">
        <v>19.53158182</v>
      </c>
      <c r="G242" s="2" t="s">
        <v>101</v>
      </c>
      <c r="H242" s="5">
        <v>1648.1</v>
      </c>
      <c r="I242" s="1" t="s">
        <v>8</v>
      </c>
      <c r="J242" s="17" t="s">
        <v>116</v>
      </c>
      <c r="K242" s="17" t="s">
        <v>177</v>
      </c>
      <c r="L242" s="17">
        <v>3680</v>
      </c>
      <c r="M242" s="17">
        <f>ABS((D242*E242)-L242)</f>
        <v>260</v>
      </c>
      <c r="N242" s="10" t="str">
        <f>IF(COUNTIFS( $B$2:$B$657, B242, $C$2:$C$657, C242, $D$2:$D$657, D242, $E$2:$E$657, E242) &gt; 1, "Duplicate", "Unique")</f>
        <v>Unique</v>
      </c>
    </row>
    <row r="243" spans="1:16" ht="40.75" customHeight="1" thickBot="1" x14ac:dyDescent="0.4">
      <c r="A243" s="3">
        <v>46262.375</v>
      </c>
      <c r="B243" s="1" t="s">
        <v>58</v>
      </c>
      <c r="C243" s="1" t="s">
        <v>7</v>
      </c>
      <c r="D243" s="4">
        <v>4</v>
      </c>
      <c r="E243" s="4">
        <v>1146</v>
      </c>
      <c r="F243" s="4">
        <v>19.749216300000001</v>
      </c>
      <c r="G243" s="2" t="s">
        <v>59</v>
      </c>
      <c r="H243" s="5">
        <v>957</v>
      </c>
      <c r="I243" s="1" t="s">
        <v>8</v>
      </c>
      <c r="J243" s="17" t="s">
        <v>116</v>
      </c>
      <c r="K243" s="17" t="s">
        <v>185</v>
      </c>
      <c r="L243" s="17">
        <v>4264</v>
      </c>
      <c r="M243" s="17">
        <f>ABS((D243*E243)-L243)</f>
        <v>320</v>
      </c>
      <c r="N243" s="10" t="str">
        <f>IF(COUNTIFS( $B$2:$B$657, B243, $C$2:$C$657, C243, $D$2:$D$657, D243, $E$2:$E$657, E243) &gt; 1, "Duplicate", "Unique")</f>
        <v>Unique</v>
      </c>
    </row>
    <row r="244" spans="1:16" ht="27.65" customHeight="1" thickBot="1" x14ac:dyDescent="0.4">
      <c r="A244" s="3">
        <v>46265.486111111109</v>
      </c>
      <c r="B244" s="1" t="s">
        <v>58</v>
      </c>
      <c r="C244" s="1" t="s">
        <v>7</v>
      </c>
      <c r="D244" s="4">
        <v>5</v>
      </c>
      <c r="E244" s="4">
        <v>1146</v>
      </c>
      <c r="F244" s="4">
        <v>19.749216300000001</v>
      </c>
      <c r="G244" s="2" t="s">
        <v>59</v>
      </c>
      <c r="H244" s="5">
        <v>957</v>
      </c>
      <c r="I244" s="1" t="s">
        <v>8</v>
      </c>
      <c r="J244" s="17" t="s">
        <v>117</v>
      </c>
      <c r="K244" s="17" t="s">
        <v>191</v>
      </c>
      <c r="L244" s="17">
        <v>5282</v>
      </c>
      <c r="M244" s="17">
        <f>ABS((D244*E244)-L244)</f>
        <v>448</v>
      </c>
      <c r="N244" t="str">
        <f>IF(COUNTIFS( $B$2:$B$657, B244, $C$2:$C$657, C244, $D$2:$D$657, D244, $E$2:$E$657, E244) &gt; 1, "Duplicate", "Unique")</f>
        <v>Unique</v>
      </c>
    </row>
    <row r="245" spans="1:16" ht="27.65" customHeight="1" thickBot="1" x14ac:dyDescent="0.4">
      <c r="A245" s="8" t="s">
        <v>61</v>
      </c>
      <c r="B245" s="8" t="s">
        <v>132</v>
      </c>
      <c r="C245" s="8" t="s">
        <v>7</v>
      </c>
      <c r="D245" s="8">
        <v>150</v>
      </c>
      <c r="E245" s="12">
        <v>129.9</v>
      </c>
      <c r="F245" s="4">
        <v>19.756614729999999</v>
      </c>
      <c r="G245" s="2" t="s">
        <v>133</v>
      </c>
      <c r="H245" s="5">
        <v>108.47</v>
      </c>
      <c r="I245" s="1" t="s">
        <v>8</v>
      </c>
      <c r="J245" s="32"/>
      <c r="N245" s="10" t="str">
        <f>IF(COUNTIFS( $B$2:$B$657, B245, $C$2:$C$657, C245, $D$2:$D$657, D245, $E$2:$E$657, E245) &gt; 1, "Duplicate", "Unique")</f>
        <v>Unique</v>
      </c>
    </row>
    <row r="246" spans="1:16" ht="27.65" customHeight="1" thickBot="1" x14ac:dyDescent="0.4">
      <c r="A246" s="53">
        <v>46302</v>
      </c>
      <c r="B246" s="1" t="s">
        <v>22</v>
      </c>
      <c r="C246" s="1" t="s">
        <v>7</v>
      </c>
      <c r="D246" s="4">
        <v>14</v>
      </c>
      <c r="E246" s="4">
        <v>459</v>
      </c>
      <c r="F246" s="4">
        <v>20</v>
      </c>
      <c r="G246" s="2" t="s">
        <v>72</v>
      </c>
      <c r="H246" s="5">
        <v>382.5</v>
      </c>
      <c r="I246" s="1" t="s">
        <v>8</v>
      </c>
      <c r="J246" s="49" t="s">
        <v>116</v>
      </c>
      <c r="K246" s="16"/>
      <c r="L246" s="16"/>
      <c r="M246" s="16"/>
      <c r="N246" t="str">
        <f>IF(COUNTIFS( $B$2:$B$657, B246, $C$2:$C$657, C246, $D$2:$D$657, D246, $E$2:$E$657, E246) &gt; 1, "Duplicate", "Unique")</f>
        <v>Unique</v>
      </c>
      <c r="O246"/>
    </row>
    <row r="247" spans="1:16" ht="27.65" customHeight="1" thickBot="1" x14ac:dyDescent="0.4">
      <c r="A247" s="8" t="s">
        <v>61</v>
      </c>
      <c r="B247" s="8" t="s">
        <v>28</v>
      </c>
      <c r="C247" s="8" t="s">
        <v>7</v>
      </c>
      <c r="D247" s="8">
        <v>30</v>
      </c>
      <c r="E247" s="13">
        <v>974</v>
      </c>
      <c r="F247" s="4">
        <v>20.395550060000001</v>
      </c>
      <c r="G247" s="2" t="s">
        <v>124</v>
      </c>
      <c r="H247" s="5">
        <v>809</v>
      </c>
      <c r="I247" s="1" t="s">
        <v>8</v>
      </c>
      <c r="J247" s="32"/>
      <c r="N247" s="10" t="str">
        <f>IF(COUNTIFS( $B$2:$B$657, B247, $C$2:$C$657, C247, $D$2:$D$657, D247, $E$2:$E$657, E247) &gt; 1, "Duplicate", "Unique")</f>
        <v>Unique</v>
      </c>
    </row>
    <row r="248" spans="1:16" s="27" customFormat="1" ht="27.65" customHeight="1" thickBot="1" x14ac:dyDescent="0.4">
      <c r="A248" s="3">
        <v>46262.375</v>
      </c>
      <c r="B248" s="1" t="s">
        <v>86</v>
      </c>
      <c r="C248" s="1" t="s">
        <v>7</v>
      </c>
      <c r="D248" s="4">
        <v>10</v>
      </c>
      <c r="E248" s="4">
        <v>1360</v>
      </c>
      <c r="F248" s="4">
        <v>20.46058459</v>
      </c>
      <c r="G248" s="2" t="s">
        <v>87</v>
      </c>
      <c r="H248" s="5">
        <v>1129</v>
      </c>
      <c r="I248" s="1" t="s">
        <v>8</v>
      </c>
      <c r="J248" s="17" t="s">
        <v>116</v>
      </c>
      <c r="K248" s="17" t="s">
        <v>187</v>
      </c>
      <c r="L248" s="17">
        <v>13300</v>
      </c>
      <c r="M248" s="17">
        <f>ABS((D248*E248)-L248)</f>
        <v>300</v>
      </c>
      <c r="N248" s="10" t="str">
        <f>IF(COUNTIFS( $B$2:$B$657, B248, $C$2:$C$657, C248, $D$2:$D$657, D248, $E$2:$E$657, E248) &gt; 1, "Duplicate", "Unique")</f>
        <v>Unique</v>
      </c>
      <c r="O248" s="10"/>
      <c r="P248" s="10"/>
    </row>
    <row r="249" spans="1:16" s="27" customFormat="1" ht="40.75" customHeight="1" thickBot="1" x14ac:dyDescent="0.4">
      <c r="A249" s="3">
        <v>46276.388194444444</v>
      </c>
      <c r="B249" s="1" t="s">
        <v>79</v>
      </c>
      <c r="C249" s="1" t="s">
        <v>7</v>
      </c>
      <c r="D249" s="4">
        <v>10</v>
      </c>
      <c r="E249" s="4">
        <v>1510</v>
      </c>
      <c r="F249" s="4">
        <v>20.510774139999999</v>
      </c>
      <c r="G249" s="2" t="s">
        <v>80</v>
      </c>
      <c r="H249" s="5">
        <v>1253</v>
      </c>
      <c r="I249" s="1" t="s">
        <v>8</v>
      </c>
      <c r="J249" s="17" t="s">
        <v>116</v>
      </c>
      <c r="K249" s="17" t="s">
        <v>264</v>
      </c>
      <c r="L249" s="17">
        <v>14650</v>
      </c>
      <c r="M249" s="17">
        <f>ABS((D249*E249)-L249)</f>
        <v>450</v>
      </c>
      <c r="N249" s="10" t="str">
        <f>IF(COUNTIFS( $B$2:$B$657, B249, $C$2:$C$657, C249, $D$2:$D$657, D249, $E$2:$E$657, E249) &gt; 1, "Duplicate", "Unique")</f>
        <v>Unique</v>
      </c>
      <c r="O249" s="10"/>
      <c r="P249" s="10"/>
    </row>
    <row r="250" spans="1:16" ht="27.65" customHeight="1" thickBot="1" x14ac:dyDescent="0.4">
      <c r="A250" s="8" t="s">
        <v>61</v>
      </c>
      <c r="B250" s="8" t="s">
        <v>127</v>
      </c>
      <c r="C250" s="8" t="s">
        <v>7</v>
      </c>
      <c r="D250" s="8">
        <v>150</v>
      </c>
      <c r="E250" s="8">
        <v>129</v>
      </c>
      <c r="F250" s="4">
        <v>20.899718839999998</v>
      </c>
      <c r="G250" s="2" t="s">
        <v>128</v>
      </c>
      <c r="H250" s="5">
        <v>106.7</v>
      </c>
      <c r="I250" s="1" t="s">
        <v>8</v>
      </c>
      <c r="J250" s="32"/>
      <c r="N250" s="10" t="str">
        <f>IF(COUNTIFS( $B$2:$B$657, B250, $C$2:$C$657, C250, $D$2:$D$657, D250, $E$2:$E$657, E250) &gt; 1, "Duplicate", "Unique")</f>
        <v>Unique</v>
      </c>
    </row>
    <row r="251" spans="1:16" ht="27.65" customHeight="1" thickBot="1" x14ac:dyDescent="0.4">
      <c r="A251" s="11">
        <v>46252.635416666664</v>
      </c>
      <c r="B251" s="8" t="s">
        <v>34</v>
      </c>
      <c r="C251" s="8" t="s">
        <v>7</v>
      </c>
      <c r="D251" s="8">
        <v>120</v>
      </c>
      <c r="E251" s="8">
        <v>238.2</v>
      </c>
      <c r="F251" s="4">
        <v>20.987403489999998</v>
      </c>
      <c r="G251" s="2" t="s">
        <v>41</v>
      </c>
      <c r="H251" s="5">
        <v>196.88</v>
      </c>
      <c r="I251" s="1" t="s">
        <v>8</v>
      </c>
      <c r="J251" s="32" t="s">
        <v>117</v>
      </c>
      <c r="K251" s="17" t="s">
        <v>144</v>
      </c>
      <c r="N251" s="10" t="str">
        <f>IF(COUNTIFS( $B$2:$B$657, B251, $C$2:$C$657, C251, $D$2:$D$657, D251, $E$2:$E$657, E251) &gt; 1, "Duplicate", "Unique")</f>
        <v>Unique</v>
      </c>
    </row>
    <row r="252" spans="1:16" ht="27.65" customHeight="1" thickBot="1" x14ac:dyDescent="0.4">
      <c r="A252" s="3">
        <v>46275.507638888892</v>
      </c>
      <c r="B252" s="1" t="s">
        <v>15</v>
      </c>
      <c r="C252" s="1" t="s">
        <v>7</v>
      </c>
      <c r="D252" s="4">
        <v>10</v>
      </c>
      <c r="E252" s="4">
        <v>2590</v>
      </c>
      <c r="F252" s="4">
        <v>21.254681649999998</v>
      </c>
      <c r="G252" s="2" t="s">
        <v>71</v>
      </c>
      <c r="H252" s="5">
        <v>2136</v>
      </c>
      <c r="I252" s="1" t="s">
        <v>8</v>
      </c>
      <c r="J252" s="17" t="s">
        <v>116</v>
      </c>
      <c r="K252" s="17" t="s">
        <v>257</v>
      </c>
      <c r="L252" s="17">
        <v>73800</v>
      </c>
      <c r="M252" s="17">
        <f>ABS((D252*E252)-L252)</f>
        <v>47900</v>
      </c>
      <c r="N252" s="10" t="str">
        <f>IF(COUNTIFS( $B$2:$B$657, B252, $C$2:$C$657, C252, $D$2:$D$657, D252, $E$2:$E$657, E252) &gt; 1, "Duplicate", "Unique")</f>
        <v>Unique</v>
      </c>
      <c r="O252" s="36" t="s">
        <v>237</v>
      </c>
    </row>
    <row r="253" spans="1:16" ht="27.65" customHeight="1" thickBot="1" x14ac:dyDescent="0.4">
      <c r="A253" s="8" t="s">
        <v>61</v>
      </c>
      <c r="B253" s="8" t="s">
        <v>34</v>
      </c>
      <c r="C253" s="8" t="s">
        <v>7</v>
      </c>
      <c r="D253" s="8">
        <v>200</v>
      </c>
      <c r="E253" s="8">
        <v>239</v>
      </c>
      <c r="F253" s="4">
        <v>21.393742379999999</v>
      </c>
      <c r="G253" s="2" t="s">
        <v>41</v>
      </c>
      <c r="H253" s="5">
        <v>196.88</v>
      </c>
      <c r="I253" s="1" t="s">
        <v>8</v>
      </c>
      <c r="J253" s="32" t="s">
        <v>116</v>
      </c>
      <c r="N253" s="10" t="str">
        <f>IF(COUNTIFS( $B$2:$B$657, B253, $C$2:$C$657, C253, $D$2:$D$657, D253, $E$2:$E$657, E253) &gt; 1, "Duplicate", "Unique")</f>
        <v>Unique</v>
      </c>
    </row>
    <row r="254" spans="1:16" ht="27.65" customHeight="1" thickBot="1" x14ac:dyDescent="0.4">
      <c r="A254" s="8" t="s">
        <v>61</v>
      </c>
      <c r="B254" s="8" t="s">
        <v>13</v>
      </c>
      <c r="C254" s="8" t="s">
        <v>7</v>
      </c>
      <c r="D254" s="8">
        <v>10</v>
      </c>
      <c r="E254" s="8">
        <v>2189</v>
      </c>
      <c r="F254" s="4">
        <v>21.40876317</v>
      </c>
      <c r="G254" s="2" t="s">
        <v>90</v>
      </c>
      <c r="H254" s="5">
        <v>1803</v>
      </c>
      <c r="I254" s="1" t="s">
        <v>8</v>
      </c>
      <c r="J254" s="32"/>
      <c r="N254" s="10" t="str">
        <f>IF(COUNTIFS( $B$2:$B$657, B254, $C$2:$C$657, C254, $D$2:$D$657, D254, $E$2:$E$657, E254) &gt; 1, "Duplicate", "Unique")</f>
        <v>Unique</v>
      </c>
    </row>
    <row r="255" spans="1:16" ht="27.65" customHeight="1" thickBot="1" x14ac:dyDescent="0.4">
      <c r="A255" s="3">
        <v>46266.375</v>
      </c>
      <c r="B255" s="1" t="s">
        <v>15</v>
      </c>
      <c r="C255" s="1" t="s">
        <v>7</v>
      </c>
      <c r="D255" s="4">
        <v>10</v>
      </c>
      <c r="E255" s="4">
        <v>2595</v>
      </c>
      <c r="F255" s="4">
        <v>21.48876404</v>
      </c>
      <c r="G255" s="2" t="s">
        <v>71</v>
      </c>
      <c r="H255" s="5">
        <v>2136</v>
      </c>
      <c r="I255" s="1" t="s">
        <v>8</v>
      </c>
      <c r="J255" s="17" t="s">
        <v>117</v>
      </c>
      <c r="K255" s="17" t="s">
        <v>213</v>
      </c>
      <c r="L255" s="17">
        <v>25300</v>
      </c>
      <c r="M255" s="17">
        <f>ABS((D255*E255)-L255)</f>
        <v>650</v>
      </c>
      <c r="N255" s="10" t="str">
        <f>IF(COUNTIFS( $B$2:$B$657, B255, $C$2:$C$657, C255, $D$2:$D$657, D255, $E$2:$E$657, E255) &gt; 1, "Duplicate", "Unique")</f>
        <v>Unique</v>
      </c>
      <c r="O255" s="36" t="s">
        <v>237</v>
      </c>
    </row>
    <row r="256" spans="1:16" ht="27.65" customHeight="1" thickBot="1" x14ac:dyDescent="0.4">
      <c r="A256" s="3">
        <v>46267.513888888891</v>
      </c>
      <c r="B256" s="1" t="s">
        <v>15</v>
      </c>
      <c r="C256" s="1" t="s">
        <v>7</v>
      </c>
      <c r="D256" s="4">
        <v>5</v>
      </c>
      <c r="E256" s="4">
        <v>2595</v>
      </c>
      <c r="F256" s="4">
        <v>21.48876404</v>
      </c>
      <c r="G256" s="2" t="s">
        <v>71</v>
      </c>
      <c r="H256" s="5">
        <v>2136</v>
      </c>
      <c r="I256" s="1" t="s">
        <v>8</v>
      </c>
      <c r="J256" s="17" t="s">
        <v>117</v>
      </c>
      <c r="K256" s="17" t="s">
        <v>224</v>
      </c>
      <c r="L256" s="17">
        <v>12480</v>
      </c>
      <c r="M256" s="17">
        <f>ABS((D256*E256)-L256)</f>
        <v>495</v>
      </c>
      <c r="N256" s="10" t="str">
        <f>IF(COUNTIFS( $B$2:$B$657, B256, $C$2:$C$657, C256, $D$2:$D$657, D256, $E$2:$E$657, E256) &gt; 1, "Duplicate", "Unique")</f>
        <v>Unique</v>
      </c>
      <c r="O256" s="36" t="s">
        <v>237</v>
      </c>
    </row>
    <row r="257" spans="1:16" ht="40.75" customHeight="1" thickBot="1" x14ac:dyDescent="0.4">
      <c r="A257" s="8" t="s">
        <v>61</v>
      </c>
      <c r="B257" s="8" t="s">
        <v>14</v>
      </c>
      <c r="C257" s="8" t="s">
        <v>7</v>
      </c>
      <c r="D257" s="8">
        <v>50</v>
      </c>
      <c r="E257" s="12">
        <v>383</v>
      </c>
      <c r="F257" s="4">
        <v>21.529430430000001</v>
      </c>
      <c r="G257" s="2" t="s">
        <v>44</v>
      </c>
      <c r="H257" s="5">
        <v>315.14999999999998</v>
      </c>
      <c r="I257" s="1" t="s">
        <v>8</v>
      </c>
      <c r="J257" s="32"/>
      <c r="N257" s="10" t="str">
        <f>IF(COUNTIFS( $B$2:$B$657, B257, $C$2:$C$657, C257, $D$2:$D$657, D257, $E$2:$E$657, E257) &gt; 1, "Duplicate", "Unique")</f>
        <v>Unique</v>
      </c>
    </row>
    <row r="258" spans="1:16" ht="27.65" customHeight="1" thickBot="1" x14ac:dyDescent="0.4">
      <c r="A258" s="8" t="s">
        <v>61</v>
      </c>
      <c r="B258" s="8" t="s">
        <v>26</v>
      </c>
      <c r="C258" s="8" t="s">
        <v>7</v>
      </c>
      <c r="D258" s="8">
        <v>25</v>
      </c>
      <c r="E258" s="8">
        <v>199.9</v>
      </c>
      <c r="F258" s="4">
        <v>21.630666260000002</v>
      </c>
      <c r="G258" s="2" t="s">
        <v>131</v>
      </c>
      <c r="H258" s="5">
        <v>164.35</v>
      </c>
      <c r="I258" s="1" t="s">
        <v>8</v>
      </c>
      <c r="J258" s="32" t="s">
        <v>116</v>
      </c>
      <c r="N258" s="10" t="str">
        <f>IF(COUNTIFS( $B$2:$B$657, B258, $C$2:$C$657, C258, $D$2:$D$657, D258, $E$2:$E$657, E258) &gt; 1, "Duplicate", "Unique")</f>
        <v>Unique</v>
      </c>
    </row>
    <row r="259" spans="1:16" ht="27.65" customHeight="1" thickBot="1" x14ac:dyDescent="0.4">
      <c r="A259" s="3">
        <v>46272.375694444447</v>
      </c>
      <c r="B259" s="1" t="s">
        <v>16</v>
      </c>
      <c r="C259" s="1" t="s">
        <v>7</v>
      </c>
      <c r="D259" s="4">
        <v>5</v>
      </c>
      <c r="E259" s="4">
        <v>902</v>
      </c>
      <c r="F259" s="4">
        <v>21.67813301</v>
      </c>
      <c r="G259" s="2" t="s">
        <v>60</v>
      </c>
      <c r="H259" s="5">
        <v>741.3</v>
      </c>
      <c r="I259" s="1" t="s">
        <v>8</v>
      </c>
      <c r="J259" s="17" t="s">
        <v>117</v>
      </c>
      <c r="K259" s="17" t="s">
        <v>240</v>
      </c>
      <c r="L259" s="17">
        <v>4260</v>
      </c>
      <c r="M259" s="17">
        <f>ABS((D259*E259)-L259)</f>
        <v>250</v>
      </c>
      <c r="N259" s="10" t="str">
        <f>IF(COUNTIFS( $B$2:$B$657, B259, $C$2:$C$657, C259, $D$2:$D$657, D259, $E$2:$E$657, E259) &gt; 1, "Duplicate", "Unique")</f>
        <v>Unique</v>
      </c>
      <c r="P259" s="27"/>
    </row>
    <row r="260" spans="1:16" ht="27.65" customHeight="1" thickBot="1" x14ac:dyDescent="0.4">
      <c r="A260" s="40" t="s">
        <v>61</v>
      </c>
      <c r="B260" s="42" t="s">
        <v>23</v>
      </c>
      <c r="C260" s="40" t="s">
        <v>7</v>
      </c>
      <c r="D260" s="40">
        <v>40</v>
      </c>
      <c r="E260" s="43">
        <v>229</v>
      </c>
      <c r="F260" s="4">
        <v>21.808510640000002</v>
      </c>
      <c r="G260" s="2" t="s">
        <v>69</v>
      </c>
      <c r="H260" s="5">
        <v>188</v>
      </c>
      <c r="I260" s="1" t="s">
        <v>8</v>
      </c>
      <c r="J260" s="44" t="s">
        <v>116</v>
      </c>
      <c r="K260" s="41"/>
      <c r="L260" s="41"/>
      <c r="M260" s="41"/>
      <c r="N260" s="22" t="str">
        <f>IF(COUNTIFS( $B$2:$B$657, B260, $C$2:$C$657, C260, $D$2:$D$657, D260, $E$2:$E$657, E260) &gt; 1, "Duplicate", "Unique")</f>
        <v>Unique</v>
      </c>
      <c r="O260" s="22"/>
      <c r="P260" s="22" t="s">
        <v>249</v>
      </c>
    </row>
    <row r="261" spans="1:16" ht="27.65" customHeight="1" thickBot="1" x14ac:dyDescent="0.4">
      <c r="A261" s="8" t="s">
        <v>61</v>
      </c>
      <c r="B261" s="8" t="s">
        <v>28</v>
      </c>
      <c r="C261" s="8" t="s">
        <v>7</v>
      </c>
      <c r="D261" s="8">
        <v>5</v>
      </c>
      <c r="E261" s="12">
        <v>986</v>
      </c>
      <c r="F261" s="4">
        <v>21.878862789999999</v>
      </c>
      <c r="G261" s="2" t="s">
        <v>124</v>
      </c>
      <c r="H261" s="5">
        <v>809</v>
      </c>
      <c r="I261" s="1" t="s">
        <v>8</v>
      </c>
      <c r="J261" s="32"/>
      <c r="N261" s="10" t="str">
        <f>IF(COUNTIFS( $B$2:$B$657, B261, $C$2:$C$657, C261, $D$2:$D$657, D261, $E$2:$E$657, E261) &gt; 1, "Duplicate", "Unique")</f>
        <v>Unique</v>
      </c>
    </row>
    <row r="262" spans="1:16" ht="40.75" customHeight="1" thickBot="1" x14ac:dyDescent="0.4">
      <c r="A262" s="3">
        <v>46265.375694444447</v>
      </c>
      <c r="B262" s="1" t="s">
        <v>15</v>
      </c>
      <c r="C262" s="1" t="s">
        <v>7</v>
      </c>
      <c r="D262" s="4">
        <v>10</v>
      </c>
      <c r="E262" s="4">
        <v>2608</v>
      </c>
      <c r="F262" s="4">
        <v>22.097378280000001</v>
      </c>
      <c r="G262" s="2" t="s">
        <v>71</v>
      </c>
      <c r="H262" s="5">
        <v>2136</v>
      </c>
      <c r="I262" s="1" t="s">
        <v>8</v>
      </c>
      <c r="J262" s="17" t="s">
        <v>117</v>
      </c>
      <c r="K262" s="17" t="s">
        <v>199</v>
      </c>
      <c r="L262" s="17">
        <v>25780</v>
      </c>
      <c r="M262" s="17">
        <f>ABS((D262*E262)-L262)</f>
        <v>300</v>
      </c>
      <c r="N262" t="str">
        <f>IF(COUNTIFS( $B$2:$B$657, B262, $C$2:$C$657, C262, $D$2:$D$657, D262, $E$2:$E$657, E262) &gt; 1, "Duplicate", "Unique")</f>
        <v>Unique</v>
      </c>
      <c r="O262" s="36" t="s">
        <v>237</v>
      </c>
      <c r="P262"/>
    </row>
    <row r="263" spans="1:16" ht="40.75" customHeight="1" thickBot="1" x14ac:dyDescent="0.4">
      <c r="A263" s="11">
        <v>46252.635416666664</v>
      </c>
      <c r="B263" s="8" t="s">
        <v>125</v>
      </c>
      <c r="C263" s="39" t="s">
        <v>7</v>
      </c>
      <c r="D263" s="8">
        <v>6</v>
      </c>
      <c r="E263" s="8">
        <v>548</v>
      </c>
      <c r="F263" s="4">
        <v>22.144210409999999</v>
      </c>
      <c r="G263" s="2" t="s">
        <v>126</v>
      </c>
      <c r="H263" s="5">
        <v>448.65</v>
      </c>
      <c r="I263" s="1" t="s">
        <v>8</v>
      </c>
      <c r="J263" s="32"/>
      <c r="N263" s="10" t="str">
        <f>IF(COUNTIFS( $B$2:$B$657, B263, $C$2:$C$657, C263, $D$2:$D$657, D263, $E$2:$E$657, E263) &gt; 1, "Duplicate", "Unique")</f>
        <v>Unique</v>
      </c>
      <c r="O263" s="27"/>
    </row>
    <row r="264" spans="1:16" ht="27.65" customHeight="1" thickBot="1" x14ac:dyDescent="0.4">
      <c r="A264" s="8" t="s">
        <v>61</v>
      </c>
      <c r="B264" s="8" t="s">
        <v>6</v>
      </c>
      <c r="C264" s="8" t="s">
        <v>7</v>
      </c>
      <c r="D264" s="8">
        <v>100</v>
      </c>
      <c r="E264" s="8">
        <v>310.5</v>
      </c>
      <c r="F264" s="4">
        <v>22.220035429999999</v>
      </c>
      <c r="G264" s="2" t="s">
        <v>129</v>
      </c>
      <c r="H264" s="5">
        <v>254.05</v>
      </c>
      <c r="I264" s="1" t="s">
        <v>8</v>
      </c>
      <c r="J264" s="32" t="s">
        <v>117</v>
      </c>
      <c r="N264" s="10" t="str">
        <f>IF(COUNTIFS( $B$2:$B$657, B264, $C$2:$C$657, C264, $D$2:$D$657, D264, $E$2:$E$657, E264) &gt; 1, "Duplicate", "Unique")</f>
        <v>Unique</v>
      </c>
    </row>
    <row r="265" spans="1:16" ht="27.65" customHeight="1" thickBot="1" x14ac:dyDescent="0.4">
      <c r="A265" s="8" t="s">
        <v>61</v>
      </c>
      <c r="B265" s="8" t="s">
        <v>62</v>
      </c>
      <c r="C265" s="8" t="s">
        <v>7</v>
      </c>
      <c r="D265" s="8">
        <v>11</v>
      </c>
      <c r="E265" s="12">
        <v>1170</v>
      </c>
      <c r="F265" s="4">
        <v>22.52591894</v>
      </c>
      <c r="G265" s="2" t="s">
        <v>63</v>
      </c>
      <c r="H265" s="5">
        <v>954.9</v>
      </c>
      <c r="I265" s="1" t="s">
        <v>8</v>
      </c>
      <c r="J265" s="32"/>
      <c r="N265" s="10" t="str">
        <f>IF(COUNTIFS( $B$2:$B$657, B265, $C$2:$C$657, C265, $D$2:$D$657, D265, $E$2:$E$657, E265) &gt; 1, "Duplicate", "Unique")</f>
        <v>Unique</v>
      </c>
    </row>
    <row r="266" spans="1:16" ht="27.65" customHeight="1" thickBot="1" x14ac:dyDescent="0.4">
      <c r="A266" s="3">
        <v>46265.390277777777</v>
      </c>
      <c r="B266" s="1" t="s">
        <v>15</v>
      </c>
      <c r="C266" s="1" t="s">
        <v>7</v>
      </c>
      <c r="D266" s="4">
        <v>10</v>
      </c>
      <c r="E266" s="4">
        <v>2618</v>
      </c>
      <c r="F266" s="4">
        <v>22.56554307</v>
      </c>
      <c r="G266" s="2" t="s">
        <v>71</v>
      </c>
      <c r="H266" s="5">
        <v>2136</v>
      </c>
      <c r="I266" s="1" t="s">
        <v>8</v>
      </c>
      <c r="J266" s="17" t="s">
        <v>116</v>
      </c>
      <c r="K266" s="17" t="s">
        <v>196</v>
      </c>
      <c r="L266" s="17">
        <v>25530</v>
      </c>
      <c r="M266" s="17">
        <f>ABS((D266*E266)-L266)</f>
        <v>650</v>
      </c>
      <c r="N266" t="str">
        <f>IF(COUNTIFS( $B$2:$B$657, B266, $C$2:$C$657, C266, $D$2:$D$657, D266, $E$2:$E$657, E266) &gt; 1, "Duplicate", "Unique")</f>
        <v>Unique</v>
      </c>
      <c r="O266"/>
      <c r="P266"/>
    </row>
    <row r="267" spans="1:16" ht="40.75" customHeight="1" thickBot="1" x14ac:dyDescent="0.4">
      <c r="A267" s="19">
        <v>46255</v>
      </c>
      <c r="B267" s="1" t="s">
        <v>20</v>
      </c>
      <c r="C267" s="1" t="s">
        <v>7</v>
      </c>
      <c r="D267" s="4">
        <v>20</v>
      </c>
      <c r="E267" s="4">
        <v>147</v>
      </c>
      <c r="F267" s="4">
        <v>22.643083600000001</v>
      </c>
      <c r="G267" s="2" t="s">
        <v>85</v>
      </c>
      <c r="H267" s="5">
        <v>119.86</v>
      </c>
      <c r="I267" s="1" t="s">
        <v>8</v>
      </c>
      <c r="J267" s="17" t="s">
        <v>54</v>
      </c>
      <c r="K267" s="17" t="s">
        <v>147</v>
      </c>
      <c r="L267" s="17">
        <v>2640</v>
      </c>
      <c r="M267" s="17">
        <f>ABS((D267*E267)-L267)</f>
        <v>300</v>
      </c>
      <c r="N267" s="10" t="str">
        <f>IF(COUNTIFS( $B$2:$B$657, B267, $C$2:$C$657, C267, $D$2:$D$657, D267, $E$2:$E$657, E267) &gt; 1, "Duplicate", "Unique")</f>
        <v>Unique</v>
      </c>
    </row>
    <row r="268" spans="1:16" ht="40.75" customHeight="1" thickBot="1" x14ac:dyDescent="0.4">
      <c r="A268" s="3">
        <v>46290.385416666664</v>
      </c>
      <c r="B268" s="2" t="s">
        <v>118</v>
      </c>
      <c r="C268" s="2" t="s">
        <v>7</v>
      </c>
      <c r="D268" s="5">
        <v>15</v>
      </c>
      <c r="E268" s="5">
        <v>1048</v>
      </c>
      <c r="F268" s="4">
        <v>22.932551320000002</v>
      </c>
      <c r="G268" s="2" t="s">
        <v>119</v>
      </c>
      <c r="H268" s="5">
        <v>852.5</v>
      </c>
      <c r="I268" s="1" t="s">
        <v>8</v>
      </c>
      <c r="J268" s="17" t="s">
        <v>54</v>
      </c>
      <c r="K268" s="17" t="s">
        <v>289</v>
      </c>
      <c r="L268" s="17">
        <v>15300</v>
      </c>
      <c r="M268" s="17">
        <f>ABS((D268*E268)-L268)</f>
        <v>420</v>
      </c>
      <c r="N268" s="10" t="str">
        <f>IF(COUNTIFS( $B$2:$B$657, B268, $C$2:$C$657, C268, $D$2:$D$657, D268, $E$2:$E$657, E268) &gt; 1, "Duplicate", "Unique")</f>
        <v>Unique</v>
      </c>
    </row>
    <row r="269" spans="1:16" ht="27.65" customHeight="1" thickBot="1" x14ac:dyDescent="0.4">
      <c r="A269" s="8" t="s">
        <v>61</v>
      </c>
      <c r="B269" s="14" t="s">
        <v>28</v>
      </c>
      <c r="C269" s="8" t="s">
        <v>7</v>
      </c>
      <c r="D269" s="8">
        <v>40</v>
      </c>
      <c r="E269" s="15">
        <v>996</v>
      </c>
      <c r="F269" s="4">
        <v>23.11495674</v>
      </c>
      <c r="G269" s="2" t="s">
        <v>124</v>
      </c>
      <c r="H269" s="5">
        <v>809</v>
      </c>
      <c r="I269" s="1" t="s">
        <v>8</v>
      </c>
      <c r="J269" s="32" t="s">
        <v>117</v>
      </c>
      <c r="N269" s="10" t="str">
        <f>IF(COUNTIFS( $B$2:$B$657, B269, $C$2:$C$657, C269, $D$2:$D$657, D269, $E$2:$E$657, E269) &gt; 1, "Duplicate", "Unique")</f>
        <v>Unique</v>
      </c>
    </row>
    <row r="270" spans="1:16" ht="27.65" customHeight="1" thickBot="1" x14ac:dyDescent="0.4">
      <c r="A270" s="3">
        <v>46260.375</v>
      </c>
      <c r="B270" s="1" t="s">
        <v>86</v>
      </c>
      <c r="C270" s="1" t="s">
        <v>7</v>
      </c>
      <c r="D270" s="4">
        <v>10</v>
      </c>
      <c r="E270" s="4">
        <v>1390</v>
      </c>
      <c r="F270" s="4">
        <v>23.117803370000001</v>
      </c>
      <c r="G270" s="2" t="s">
        <v>87</v>
      </c>
      <c r="H270" s="5">
        <v>1129</v>
      </c>
      <c r="I270" s="1" t="s">
        <v>8</v>
      </c>
      <c r="J270" s="17" t="s">
        <v>116</v>
      </c>
      <c r="K270" s="17" t="s">
        <v>170</v>
      </c>
      <c r="L270" s="17">
        <v>13600</v>
      </c>
      <c r="M270" s="17">
        <f t="shared" ref="M270:M275" si="7">ABS((D270*E270)-L270)</f>
        <v>300</v>
      </c>
      <c r="N270" t="str">
        <f>IF(COUNTIFS( $B$2:$B$657, B270, $C$2:$C$657, C270, $D$2:$D$657, D270, $E$2:$E$657, E270) &gt; 1, "Duplicate", "Unique")</f>
        <v>Unique</v>
      </c>
    </row>
    <row r="271" spans="1:16" s="27" customFormat="1" ht="27.65" customHeight="1" thickBot="1" x14ac:dyDescent="0.4">
      <c r="A271" s="3">
        <v>46269.375</v>
      </c>
      <c r="B271" s="1" t="s">
        <v>22</v>
      </c>
      <c r="C271" s="1" t="s">
        <v>7</v>
      </c>
      <c r="D271" s="4">
        <v>5</v>
      </c>
      <c r="E271" s="4">
        <v>471</v>
      </c>
      <c r="F271" s="4">
        <v>23.137254899999999</v>
      </c>
      <c r="G271" s="2" t="s">
        <v>72</v>
      </c>
      <c r="H271" s="5">
        <v>382.5</v>
      </c>
      <c r="I271" s="1" t="s">
        <v>8</v>
      </c>
      <c r="J271" s="17" t="s">
        <v>117</v>
      </c>
      <c r="K271" s="17" t="s">
        <v>234</v>
      </c>
      <c r="L271" s="17">
        <v>2105</v>
      </c>
      <c r="M271" s="24">
        <f t="shared" si="7"/>
        <v>250</v>
      </c>
      <c r="N271" t="str">
        <f>IF(COUNTIFS( $B$2:$B$657, B271, $C$2:$C$657, C271, $D$2:$D$657, D271, $E$2:$E$657, E271) &gt; 1, "Duplicate", "Unique")</f>
        <v>Unique</v>
      </c>
      <c r="O271" s="10"/>
      <c r="P271" s="10"/>
    </row>
    <row r="272" spans="1:16" ht="27.65" customHeight="1" thickBot="1" x14ac:dyDescent="0.4">
      <c r="A272" s="3">
        <v>46275.507638888892</v>
      </c>
      <c r="B272" s="1" t="s">
        <v>15</v>
      </c>
      <c r="C272" s="1" t="s">
        <v>7</v>
      </c>
      <c r="D272" s="4">
        <v>10</v>
      </c>
      <c r="E272" s="4">
        <v>2632</v>
      </c>
      <c r="F272" s="4">
        <v>23.220973780000001</v>
      </c>
      <c r="G272" s="2" t="s">
        <v>71</v>
      </c>
      <c r="H272" s="5">
        <v>2136</v>
      </c>
      <c r="I272" s="1" t="s">
        <v>8</v>
      </c>
      <c r="J272" s="17" t="s">
        <v>116</v>
      </c>
      <c r="K272" s="17" t="s">
        <v>257</v>
      </c>
      <c r="L272" s="17">
        <v>73800</v>
      </c>
      <c r="M272" s="17">
        <f t="shared" si="7"/>
        <v>47480</v>
      </c>
      <c r="N272" s="10" t="str">
        <f>IF(COUNTIFS( $B$2:$B$657, B272, $C$2:$C$657, C272, $D$2:$D$657, D272, $E$2:$E$657, E272) &gt; 1, "Duplicate", "Unique")</f>
        <v>Unique</v>
      </c>
    </row>
    <row r="273" spans="1:16" s="27" customFormat="1" ht="27.65" customHeight="1" thickBot="1" x14ac:dyDescent="0.4">
      <c r="A273" s="3">
        <v>46265.375694444447</v>
      </c>
      <c r="B273" s="1" t="s">
        <v>15</v>
      </c>
      <c r="C273" s="1" t="s">
        <v>7</v>
      </c>
      <c r="D273" s="4">
        <v>10</v>
      </c>
      <c r="E273" s="4">
        <v>2636</v>
      </c>
      <c r="F273" s="4">
        <v>23.408239699999999</v>
      </c>
      <c r="G273" s="2" t="s">
        <v>71</v>
      </c>
      <c r="H273" s="5">
        <v>2136</v>
      </c>
      <c r="I273" s="1" t="s">
        <v>8</v>
      </c>
      <c r="J273" s="17" t="s">
        <v>116</v>
      </c>
      <c r="K273" s="17" t="s">
        <v>204</v>
      </c>
      <c r="L273" s="17">
        <v>26020</v>
      </c>
      <c r="M273" s="17">
        <f t="shared" si="7"/>
        <v>340</v>
      </c>
      <c r="N273" t="str">
        <f>IF(COUNTIFS( $B$2:$B$657, B273, $C$2:$C$657, C273, $D$2:$D$657, D273, $E$2:$E$657, E273) &gt; 1, "Duplicate", "Unique")</f>
        <v>Unique</v>
      </c>
      <c r="O273" s="10"/>
      <c r="P273" s="10"/>
    </row>
    <row r="274" spans="1:16" ht="40.75" customHeight="1" thickBot="1" x14ac:dyDescent="0.4">
      <c r="A274" s="46">
        <v>46304.375</v>
      </c>
      <c r="B274" s="2" t="s">
        <v>110</v>
      </c>
      <c r="C274" s="2" t="s">
        <v>7</v>
      </c>
      <c r="D274" s="5">
        <v>10</v>
      </c>
      <c r="E274" s="5">
        <v>511</v>
      </c>
      <c r="F274" s="4">
        <v>23.429951689999999</v>
      </c>
      <c r="G274" s="2" t="s">
        <v>111</v>
      </c>
      <c r="H274" s="5">
        <v>414</v>
      </c>
      <c r="I274" s="1" t="s">
        <v>8</v>
      </c>
      <c r="J274" s="17" t="s">
        <v>117</v>
      </c>
      <c r="K274" s="17" t="s">
        <v>315</v>
      </c>
      <c r="L274" s="17">
        <v>4110</v>
      </c>
      <c r="M274" s="17">
        <f t="shared" si="7"/>
        <v>1000</v>
      </c>
      <c r="N274" t="str">
        <f>IF(COUNTIFS( $B$2:$B$657, B274, $C$2:$C$657, C274, $D$2:$D$657, D274, $E$2:$E$657, E274) &gt; 1, "Duplicate", "Unique")</f>
        <v>Unique</v>
      </c>
    </row>
    <row r="275" spans="1:16" ht="40.75" customHeight="1" thickBot="1" x14ac:dyDescent="0.4">
      <c r="A275" s="3">
        <v>46276.375</v>
      </c>
      <c r="B275" s="1" t="s">
        <v>79</v>
      </c>
      <c r="C275" s="1" t="s">
        <v>7</v>
      </c>
      <c r="D275" s="4">
        <v>10</v>
      </c>
      <c r="E275" s="4">
        <v>1548</v>
      </c>
      <c r="F275" s="4">
        <v>23.543495610000001</v>
      </c>
      <c r="G275" s="2" t="s">
        <v>80</v>
      </c>
      <c r="H275" s="5">
        <v>1253</v>
      </c>
      <c r="I275" s="1" t="s">
        <v>8</v>
      </c>
      <c r="J275" s="17" t="s">
        <v>116</v>
      </c>
      <c r="K275" s="17" t="s">
        <v>265</v>
      </c>
      <c r="L275" s="17">
        <v>15030</v>
      </c>
      <c r="M275" s="17">
        <f t="shared" si="7"/>
        <v>450</v>
      </c>
      <c r="N275" s="10" t="str">
        <f>IF(COUNTIFS( $B$2:$B$657, B275, $C$2:$C$657, C275, $D$2:$D$657, D275, $E$2:$E$657, E275) &gt; 1, "Duplicate", "Unique")</f>
        <v>Unique</v>
      </c>
    </row>
    <row r="276" spans="1:16" ht="27.65" customHeight="1" thickBot="1" x14ac:dyDescent="0.4">
      <c r="A276" s="8" t="s">
        <v>61</v>
      </c>
      <c r="B276" s="8" t="s">
        <v>6</v>
      </c>
      <c r="C276" s="8" t="s">
        <v>7</v>
      </c>
      <c r="D276" s="8">
        <v>100</v>
      </c>
      <c r="E276" s="13">
        <v>314</v>
      </c>
      <c r="F276" s="4">
        <v>23.597716980000001</v>
      </c>
      <c r="G276" s="2" t="s">
        <v>129</v>
      </c>
      <c r="H276" s="5">
        <v>254.05</v>
      </c>
      <c r="I276" s="1" t="s">
        <v>8</v>
      </c>
      <c r="J276" s="32" t="s">
        <v>116</v>
      </c>
      <c r="N276" s="10" t="str">
        <f>IF(COUNTIFS( $B$2:$B$657, B276, $C$2:$C$657, C276, $D$2:$D$657, D276, $E$2:$E$657, E276) &gt; 1, "Duplicate", "Unique")</f>
        <v>Unique</v>
      </c>
    </row>
    <row r="277" spans="1:16" ht="39" thickBot="1" x14ac:dyDescent="0.4">
      <c r="A277" s="8" t="s">
        <v>61</v>
      </c>
      <c r="B277" s="8" t="s">
        <v>28</v>
      </c>
      <c r="C277" s="8" t="s">
        <v>7</v>
      </c>
      <c r="D277" s="8">
        <v>5</v>
      </c>
      <c r="E277" s="12">
        <v>1002</v>
      </c>
      <c r="F277" s="4">
        <v>23.856613100000001</v>
      </c>
      <c r="G277" s="2" t="s">
        <v>124</v>
      </c>
      <c r="H277" s="5">
        <v>809</v>
      </c>
      <c r="I277" s="1" t="s">
        <v>8</v>
      </c>
      <c r="J277" s="32"/>
      <c r="N277" s="10" t="str">
        <f>IF(COUNTIFS( $B$2:$B$657, B277, $C$2:$C$657, C277, $D$2:$D$657, D277, $E$2:$E$657, E277) &gt; 1, "Duplicate", "Unique")</f>
        <v>Unique</v>
      </c>
      <c r="O277" s="27"/>
    </row>
    <row r="278" spans="1:16" ht="26.5" thickBot="1" x14ac:dyDescent="0.4">
      <c r="A278" s="8" t="s">
        <v>61</v>
      </c>
      <c r="B278" s="8" t="s">
        <v>34</v>
      </c>
      <c r="C278" s="8" t="s">
        <v>7</v>
      </c>
      <c r="D278" s="8">
        <v>200</v>
      </c>
      <c r="E278" s="12">
        <v>244</v>
      </c>
      <c r="F278" s="4">
        <v>23.93336042</v>
      </c>
      <c r="G278" s="2" t="s">
        <v>41</v>
      </c>
      <c r="H278" s="5">
        <v>196.88</v>
      </c>
      <c r="I278" s="1" t="s">
        <v>8</v>
      </c>
      <c r="J278" s="32" t="s">
        <v>116</v>
      </c>
      <c r="N278" s="10" t="str">
        <f>IF(COUNTIFS( $B$2:$B$657, B278, $C$2:$C$657, C278, $D$2:$D$657, D278, $E$2:$E$657, E278) &gt; 1, "Duplicate", "Unique")</f>
        <v>Unique</v>
      </c>
    </row>
    <row r="279" spans="1:16" ht="26.5" thickBot="1" x14ac:dyDescent="0.4">
      <c r="A279" s="3">
        <v>46262.463194444441</v>
      </c>
      <c r="B279" s="1" t="s">
        <v>15</v>
      </c>
      <c r="C279" s="1" t="s">
        <v>7</v>
      </c>
      <c r="D279" s="4">
        <v>10</v>
      </c>
      <c r="E279" s="4">
        <v>2648</v>
      </c>
      <c r="F279" s="4">
        <v>23.97003745</v>
      </c>
      <c r="G279" s="2" t="s">
        <v>71</v>
      </c>
      <c r="H279" s="5">
        <v>2136</v>
      </c>
      <c r="I279" s="1" t="s">
        <v>8</v>
      </c>
      <c r="J279" s="17" t="s">
        <v>116</v>
      </c>
      <c r="K279" s="17" t="s">
        <v>186</v>
      </c>
      <c r="L279" s="17">
        <v>26180</v>
      </c>
      <c r="M279" s="17">
        <f>ABS((D279*E279)-L279)</f>
        <v>300</v>
      </c>
      <c r="N279" s="10" t="str">
        <f>IF(COUNTIFS( $B$2:$B$657, B279, $C$2:$C$657, C279, $D$2:$D$657, D279, $E$2:$E$657, E279) &gt; 1, "Duplicate", "Unique")</f>
        <v>Unique</v>
      </c>
    </row>
    <row r="280" spans="1:16" ht="26.5" thickBot="1" x14ac:dyDescent="0.4">
      <c r="A280" s="3">
        <v>46268.375</v>
      </c>
      <c r="B280" s="1" t="s">
        <v>16</v>
      </c>
      <c r="C280" s="1" t="s">
        <v>7</v>
      </c>
      <c r="D280" s="4">
        <v>30</v>
      </c>
      <c r="E280" s="4">
        <v>920</v>
      </c>
      <c r="F280" s="4">
        <v>24.106299740000001</v>
      </c>
      <c r="G280" s="2" t="s">
        <v>60</v>
      </c>
      <c r="H280" s="5">
        <v>741.3</v>
      </c>
      <c r="I280" s="1" t="s">
        <v>8</v>
      </c>
      <c r="J280" s="17" t="s">
        <v>116</v>
      </c>
      <c r="K280" s="17" t="s">
        <v>228</v>
      </c>
      <c r="L280" s="17">
        <v>25800</v>
      </c>
      <c r="M280" s="17">
        <f>ABS((D280*E280)-L280)</f>
        <v>1800</v>
      </c>
      <c r="N280" s="10" t="str">
        <f>IF(COUNTIFS( $B$2:$B$657, B280, $C$2:$C$657, C280, $D$2:$D$657, D280, $E$2:$E$657, E280) &gt; 1, "Duplicate", "Unique")</f>
        <v>Unique</v>
      </c>
    </row>
    <row r="281" spans="1:16" ht="26.5" thickBot="1" x14ac:dyDescent="0.4">
      <c r="A281" s="3">
        <v>46262.375</v>
      </c>
      <c r="B281" s="1" t="s">
        <v>15</v>
      </c>
      <c r="C281" s="1" t="s">
        <v>7</v>
      </c>
      <c r="D281" s="4">
        <v>10</v>
      </c>
      <c r="E281" s="4">
        <v>2660</v>
      </c>
      <c r="F281" s="4">
        <v>24.531835210000001</v>
      </c>
      <c r="G281" s="2" t="s">
        <v>71</v>
      </c>
      <c r="H281" s="5">
        <v>2136</v>
      </c>
      <c r="I281" s="1" t="s">
        <v>8</v>
      </c>
      <c r="J281" s="17" t="s">
        <v>116</v>
      </c>
      <c r="K281" s="17" t="s">
        <v>188</v>
      </c>
      <c r="L281" s="17">
        <v>26300</v>
      </c>
      <c r="M281" s="17">
        <f>ABS((D281*E281)-L281)</f>
        <v>300</v>
      </c>
      <c r="N281" s="10" t="str">
        <f>IF(COUNTIFS( $B$2:$B$657, B281, $C$2:$C$657, C281, $D$2:$D$657, D281, $E$2:$E$657, E281) &gt; 1, "Duplicate", "Unique")</f>
        <v>Unique</v>
      </c>
    </row>
    <row r="282" spans="1:16" ht="26.5" thickBot="1" x14ac:dyDescent="0.4">
      <c r="A282" s="3">
        <v>46254.642361111109</v>
      </c>
      <c r="B282" s="1" t="s">
        <v>15</v>
      </c>
      <c r="C282" s="1" t="s">
        <v>7</v>
      </c>
      <c r="D282" s="4">
        <v>10</v>
      </c>
      <c r="E282" s="4">
        <v>2672</v>
      </c>
      <c r="F282" s="4">
        <v>25.093632960000001</v>
      </c>
      <c r="G282" s="2" t="s">
        <v>71</v>
      </c>
      <c r="H282" s="5">
        <v>2136</v>
      </c>
      <c r="I282" s="1" t="s">
        <v>8</v>
      </c>
      <c r="J282" s="16" t="s">
        <v>116</v>
      </c>
      <c r="K282" s="16" t="s">
        <v>145</v>
      </c>
      <c r="L282" s="16"/>
      <c r="M282" s="16"/>
      <c r="N282" s="10" t="str">
        <f>IF(COUNTIFS( $B$2:$B$657, B282, $C$2:$C$657, C282, $D$2:$D$657, D282, $E$2:$E$657, E282) &gt; 1, "Duplicate", "Unique")</f>
        <v>Unique</v>
      </c>
    </row>
    <row r="283" spans="1:16" ht="26.5" thickBot="1" x14ac:dyDescent="0.4">
      <c r="A283" s="8" t="s">
        <v>61</v>
      </c>
      <c r="B283" s="8" t="s">
        <v>6</v>
      </c>
      <c r="C283" s="8" t="s">
        <v>7</v>
      </c>
      <c r="D283" s="8">
        <v>100</v>
      </c>
      <c r="E283" s="12">
        <v>318</v>
      </c>
      <c r="F283" s="4">
        <v>25.172210190000001</v>
      </c>
      <c r="G283" s="2" t="s">
        <v>129</v>
      </c>
      <c r="H283" s="5">
        <v>254.05</v>
      </c>
      <c r="I283" s="1" t="s">
        <v>8</v>
      </c>
      <c r="J283" s="32" t="s">
        <v>116</v>
      </c>
      <c r="N283" s="10" t="str">
        <f>IF(COUNTIFS( $B$2:$B$657, B283, $C$2:$C$657, C283, $D$2:$D$657, D283, $E$2:$E$657, E283) &gt; 1, "Duplicate", "Unique")</f>
        <v>Unique</v>
      </c>
    </row>
    <row r="284" spans="1:16" ht="26.5" thickBot="1" x14ac:dyDescent="0.4">
      <c r="A284" s="8" t="s">
        <v>61</v>
      </c>
      <c r="B284" s="8" t="s">
        <v>17</v>
      </c>
      <c r="C284" s="8" t="s">
        <v>7</v>
      </c>
      <c r="D284" s="8">
        <v>5</v>
      </c>
      <c r="E284" s="12">
        <v>416</v>
      </c>
      <c r="F284" s="4">
        <v>25.452352229999999</v>
      </c>
      <c r="G284" s="2" t="s">
        <v>76</v>
      </c>
      <c r="H284" s="5">
        <v>331.6</v>
      </c>
      <c r="I284" s="1" t="s">
        <v>8</v>
      </c>
      <c r="J284" s="32"/>
      <c r="N284" s="10" t="str">
        <f>IF(COUNTIFS( $B$2:$B$657, B284, $C$2:$C$657, C284, $D$2:$D$657, D284, $E$2:$E$657, E284) &gt; 1, "Duplicate", "Unique")</f>
        <v>Unique</v>
      </c>
    </row>
    <row r="285" spans="1:16" ht="26.5" thickBot="1" x14ac:dyDescent="0.4">
      <c r="A285" s="8" t="s">
        <v>61</v>
      </c>
      <c r="B285" s="8" t="s">
        <v>6</v>
      </c>
      <c r="C285" s="8" t="s">
        <v>7</v>
      </c>
      <c r="D285" s="8">
        <v>100</v>
      </c>
      <c r="E285" s="13">
        <v>319</v>
      </c>
      <c r="F285" s="4">
        <v>25.5658335</v>
      </c>
      <c r="G285" s="2" t="s">
        <v>129</v>
      </c>
      <c r="H285" s="5">
        <v>254.05</v>
      </c>
      <c r="I285" s="1" t="s">
        <v>8</v>
      </c>
      <c r="J285" s="32" t="s">
        <v>116</v>
      </c>
      <c r="N285" s="10" t="str">
        <f>IF(COUNTIFS( $B$2:$B$657, B285, $C$2:$C$657, C285, $D$2:$D$657, D285, $E$2:$E$657, E285) &gt; 1, "Duplicate", "Unique")</f>
        <v>Unique</v>
      </c>
    </row>
    <row r="286" spans="1:16" ht="26.5" thickBot="1" x14ac:dyDescent="0.4">
      <c r="A286" s="11">
        <v>46252.6875</v>
      </c>
      <c r="B286" s="8" t="s">
        <v>15</v>
      </c>
      <c r="C286" s="8" t="s">
        <v>7</v>
      </c>
      <c r="D286" s="8">
        <v>10</v>
      </c>
      <c r="E286" s="8">
        <v>2696</v>
      </c>
      <c r="F286" s="4">
        <v>26.217228460000001</v>
      </c>
      <c r="G286" s="2" t="s">
        <v>71</v>
      </c>
      <c r="H286" s="5">
        <v>2136</v>
      </c>
      <c r="I286" s="1" t="s">
        <v>8</v>
      </c>
      <c r="J286" s="32" t="s">
        <v>152</v>
      </c>
      <c r="N286" s="10" t="str">
        <f>IF(COUNTIFS( $B$2:$B$657, B286, $C$2:$C$657, C286, $D$2:$D$657, D286, $E$2:$E$657, E286) &gt; 1, "Duplicate", "Unique")</f>
        <v>Unique</v>
      </c>
    </row>
    <row r="287" spans="1:16" ht="26.5" thickBot="1" x14ac:dyDescent="0.4">
      <c r="A287" s="8" t="s">
        <v>61</v>
      </c>
      <c r="B287" s="8" t="s">
        <v>34</v>
      </c>
      <c r="C287" s="8" t="s">
        <v>7</v>
      </c>
      <c r="D287" s="8">
        <v>200</v>
      </c>
      <c r="E287" s="12">
        <v>249</v>
      </c>
      <c r="F287" s="4">
        <v>26.47297846</v>
      </c>
      <c r="G287" s="2" t="s">
        <v>41</v>
      </c>
      <c r="H287" s="5">
        <v>196.88</v>
      </c>
      <c r="I287" s="1" t="s">
        <v>8</v>
      </c>
      <c r="J287" s="32" t="s">
        <v>116</v>
      </c>
      <c r="N287" s="10" t="str">
        <f>IF(COUNTIFS( $B$2:$B$657, B287, $C$2:$C$657, C287, $D$2:$D$657, D287, $E$2:$E$657, E287) &gt; 1, "Duplicate", "Unique")</f>
        <v>Unique</v>
      </c>
    </row>
    <row r="288" spans="1:16" ht="26.5" thickBot="1" x14ac:dyDescent="0.4">
      <c r="A288" s="3">
        <v>46260.634027777778</v>
      </c>
      <c r="B288" s="1" t="s">
        <v>29</v>
      </c>
      <c r="C288" s="1" t="s">
        <v>7</v>
      </c>
      <c r="D288" s="4">
        <v>5</v>
      </c>
      <c r="E288" s="4">
        <v>4148</v>
      </c>
      <c r="F288" s="4">
        <v>26.656488549999999</v>
      </c>
      <c r="G288" s="2" t="s">
        <v>136</v>
      </c>
      <c r="H288" s="5">
        <v>3275</v>
      </c>
      <c r="I288" s="1" t="s">
        <v>8</v>
      </c>
      <c r="J288" s="17" t="s">
        <v>117</v>
      </c>
      <c r="K288" s="17" t="s">
        <v>165</v>
      </c>
      <c r="L288" s="17">
        <v>20260</v>
      </c>
      <c r="M288" s="17">
        <f>ABS((D288*E288)-L288)</f>
        <v>480</v>
      </c>
      <c r="N288" t="str">
        <f>IF(COUNTIFS( $B$2:$B$657, B288, $C$2:$C$657, C288, $D$2:$D$657, D288, $E$2:$E$657, E288) &gt; 1, "Duplicate", "Unique")</f>
        <v>Unique</v>
      </c>
    </row>
    <row r="289" spans="1:16" ht="26.5" thickBot="1" x14ac:dyDescent="0.4">
      <c r="A289" s="8" t="s">
        <v>61</v>
      </c>
      <c r="B289" s="8" t="s">
        <v>6</v>
      </c>
      <c r="C289" s="8" t="s">
        <v>7</v>
      </c>
      <c r="D289" s="8">
        <v>150</v>
      </c>
      <c r="E289" s="12">
        <v>323</v>
      </c>
      <c r="F289" s="4">
        <v>27.14032671</v>
      </c>
      <c r="G289" s="2" t="s">
        <v>129</v>
      </c>
      <c r="H289" s="5">
        <v>254.05</v>
      </c>
      <c r="I289" s="1" t="s">
        <v>8</v>
      </c>
      <c r="J289" s="32" t="s">
        <v>117</v>
      </c>
      <c r="N289" s="10" t="str">
        <f>IF(COUNTIFS( $B$2:$B$657, B289, $C$2:$C$657, C289, $D$2:$D$657, D289, $E$2:$E$657, E289) &gt; 1, "Duplicate", "Unique")</f>
        <v>Unique</v>
      </c>
    </row>
    <row r="290" spans="1:16" ht="26.5" thickBot="1" x14ac:dyDescent="0.4">
      <c r="A290" s="11">
        <v>46252.6875</v>
      </c>
      <c r="B290" s="8" t="s">
        <v>15</v>
      </c>
      <c r="C290" s="8" t="s">
        <v>7</v>
      </c>
      <c r="D290" s="8">
        <v>10</v>
      </c>
      <c r="E290" s="8">
        <v>2720</v>
      </c>
      <c r="F290" s="4">
        <v>27.340823969999999</v>
      </c>
      <c r="G290" s="2" t="s">
        <v>71</v>
      </c>
      <c r="H290" s="5">
        <v>2136</v>
      </c>
      <c r="I290" s="1" t="s">
        <v>8</v>
      </c>
      <c r="J290" s="32" t="s">
        <v>116</v>
      </c>
      <c r="N290" s="10" t="str">
        <f>IF(COUNTIFS( $B$2:$B$657, B290, $C$2:$C$657, C290, $D$2:$D$657, D290, $E$2:$E$657, E290) &gt; 1, "Duplicate", "Unique")</f>
        <v>Unique</v>
      </c>
    </row>
    <row r="291" spans="1:16" ht="26.5" thickBot="1" x14ac:dyDescent="0.4">
      <c r="A291" s="8" t="s">
        <v>61</v>
      </c>
      <c r="B291" s="8" t="s">
        <v>127</v>
      </c>
      <c r="C291" s="8" t="s">
        <v>7</v>
      </c>
      <c r="D291" s="8">
        <v>150</v>
      </c>
      <c r="E291" s="12">
        <v>136</v>
      </c>
      <c r="F291" s="4">
        <v>27.460168700000001</v>
      </c>
      <c r="G291" s="2" t="s">
        <v>128</v>
      </c>
      <c r="H291" s="5">
        <v>106.7</v>
      </c>
      <c r="I291" s="1" t="s">
        <v>8</v>
      </c>
      <c r="J291" s="32"/>
      <c r="N291" s="10" t="str">
        <f>IF(COUNTIFS( $B$2:$B$657, B291, $C$2:$C$657, C291, $D$2:$D$657, D291, $E$2:$E$657, E291) &gt; 1, "Duplicate", "Unique")</f>
        <v>Unique</v>
      </c>
    </row>
    <row r="292" spans="1:16" ht="26.5" thickBot="1" x14ac:dyDescent="0.4">
      <c r="A292" s="8" t="s">
        <v>61</v>
      </c>
      <c r="B292" s="8" t="s">
        <v>26</v>
      </c>
      <c r="C292" s="8" t="s">
        <v>7</v>
      </c>
      <c r="D292" s="8">
        <v>25</v>
      </c>
      <c r="E292" s="8">
        <v>210</v>
      </c>
      <c r="F292" s="4">
        <v>27.776087619999998</v>
      </c>
      <c r="G292" s="2" t="s">
        <v>131</v>
      </c>
      <c r="H292" s="5">
        <v>164.35</v>
      </c>
      <c r="I292" s="1" t="s">
        <v>8</v>
      </c>
      <c r="J292" s="32"/>
      <c r="N292" s="10" t="str">
        <f>IF(COUNTIFS( $B$2:$B$657, B292, $C$2:$C$657, C292, $D$2:$D$657, D292, $E$2:$E$657, E292) &gt; 1, "Duplicate", "Unique")</f>
        <v>Unique</v>
      </c>
    </row>
    <row r="293" spans="1:16" ht="39" thickBot="1" x14ac:dyDescent="0.4">
      <c r="A293" s="8" t="s">
        <v>61</v>
      </c>
      <c r="B293" s="8" t="s">
        <v>118</v>
      </c>
      <c r="C293" s="8" t="s">
        <v>7</v>
      </c>
      <c r="D293" s="8">
        <v>15</v>
      </c>
      <c r="E293" s="8">
        <v>1090</v>
      </c>
      <c r="F293" s="4">
        <v>27.859237539999999</v>
      </c>
      <c r="G293" s="2" t="s">
        <v>119</v>
      </c>
      <c r="H293" s="5">
        <v>852.5</v>
      </c>
      <c r="I293" s="1" t="s">
        <v>8</v>
      </c>
      <c r="J293" s="32"/>
      <c r="N293" s="10" t="str">
        <f>IF(COUNTIFS( $B$2:$B$657, B293, $C$2:$C$657, C293, $D$2:$D$657, D293, $E$2:$E$657, E293) &gt; 1, "Duplicate", "Unique")</f>
        <v>Unique</v>
      </c>
    </row>
    <row r="294" spans="1:16" ht="26.5" thickBot="1" x14ac:dyDescent="0.4">
      <c r="A294" s="3">
        <v>46265.415277777778</v>
      </c>
      <c r="B294" s="1" t="s">
        <v>16</v>
      </c>
      <c r="C294" s="1" t="s">
        <v>7</v>
      </c>
      <c r="D294" s="4">
        <v>5</v>
      </c>
      <c r="E294" s="4">
        <v>948</v>
      </c>
      <c r="F294" s="4">
        <v>27.883448000000001</v>
      </c>
      <c r="G294" s="2" t="s">
        <v>60</v>
      </c>
      <c r="H294" s="5">
        <v>741.3</v>
      </c>
      <c r="I294" s="1" t="s">
        <v>8</v>
      </c>
      <c r="J294" s="17" t="s">
        <v>117</v>
      </c>
      <c r="K294" s="17" t="s">
        <v>193</v>
      </c>
      <c r="L294" s="17">
        <v>4455</v>
      </c>
      <c r="M294" s="17">
        <f>ABS((D294*E294)-L294)</f>
        <v>285</v>
      </c>
      <c r="N294" t="str">
        <f>IF(COUNTIFS( $B$2:$B$657, B294, $C$2:$C$657, C294, $D$2:$D$657, D294, $E$2:$E$657, E294) &gt; 1, "Duplicate", "Unique")</f>
        <v>Unique</v>
      </c>
    </row>
    <row r="295" spans="1:16" ht="26.5" thickBot="1" x14ac:dyDescent="0.4">
      <c r="A295" s="3">
        <v>46266.375</v>
      </c>
      <c r="B295" s="1" t="s">
        <v>16</v>
      </c>
      <c r="C295" s="1" t="s">
        <v>7</v>
      </c>
      <c r="D295" s="4">
        <v>11</v>
      </c>
      <c r="E295" s="4">
        <v>948</v>
      </c>
      <c r="F295" s="4">
        <v>27.883448000000001</v>
      </c>
      <c r="G295" s="2" t="s">
        <v>60</v>
      </c>
      <c r="H295" s="5">
        <v>741.3</v>
      </c>
      <c r="I295" s="1" t="s">
        <v>8</v>
      </c>
      <c r="J295" s="17" t="s">
        <v>116</v>
      </c>
      <c r="K295" s="17" t="s">
        <v>210</v>
      </c>
      <c r="L295" s="17">
        <v>9702</v>
      </c>
      <c r="M295" s="17">
        <f>ABS((D295*E295)-L295)</f>
        <v>726</v>
      </c>
      <c r="N295" s="10" t="str">
        <f>IF(COUNTIFS( $B$2:$B$657, B295, $C$2:$C$657, C295, $D$2:$D$657, D295, $E$2:$E$657, E295) &gt; 1, "Duplicate", "Unique")</f>
        <v>Unique</v>
      </c>
    </row>
    <row r="296" spans="1:16" ht="26.5" thickBot="1" x14ac:dyDescent="0.4">
      <c r="A296" s="8" t="s">
        <v>61</v>
      </c>
      <c r="B296" s="8" t="s">
        <v>13</v>
      </c>
      <c r="C296" s="8" t="s">
        <v>7</v>
      </c>
      <c r="D296" s="8">
        <v>20</v>
      </c>
      <c r="E296" s="8">
        <v>2310</v>
      </c>
      <c r="F296" s="4">
        <v>28.11980033</v>
      </c>
      <c r="G296" s="2" t="s">
        <v>90</v>
      </c>
      <c r="H296" s="5">
        <v>1803</v>
      </c>
      <c r="I296" s="1" t="s">
        <v>8</v>
      </c>
      <c r="J296" s="32"/>
      <c r="N296" s="10" t="str">
        <f>IF(COUNTIFS( $B$2:$B$657, B296, $C$2:$C$657, C296, $D$2:$D$657, D296, $E$2:$E$657, E296) &gt; 1, "Duplicate", "Unique")</f>
        <v>Unique</v>
      </c>
    </row>
    <row r="297" spans="1:16" ht="26.5" thickBot="1" x14ac:dyDescent="0.4">
      <c r="A297" s="3">
        <v>46265.375694444447</v>
      </c>
      <c r="B297" s="1" t="s">
        <v>16</v>
      </c>
      <c r="C297" s="1" t="s">
        <v>7</v>
      </c>
      <c r="D297" s="4">
        <v>5</v>
      </c>
      <c r="E297" s="4">
        <v>961</v>
      </c>
      <c r="F297" s="4">
        <v>29.637123970000001</v>
      </c>
      <c r="G297" s="2" t="s">
        <v>60</v>
      </c>
      <c r="H297" s="5">
        <v>741.3</v>
      </c>
      <c r="I297" s="1" t="s">
        <v>8</v>
      </c>
      <c r="J297" s="17" t="s">
        <v>117</v>
      </c>
      <c r="K297" s="17" t="s">
        <v>198</v>
      </c>
      <c r="L297" s="17">
        <v>4530</v>
      </c>
      <c r="M297" s="17">
        <f>ABS((D297*E297)-L297)</f>
        <v>275</v>
      </c>
      <c r="N297" t="str">
        <f>IF(COUNTIFS( $B$2:$B$657, B297, $C$2:$C$657, C297, $D$2:$D$657, D297, $E$2:$E$657, E297) &gt; 1, "Duplicate", "Unique")</f>
        <v>Unique</v>
      </c>
    </row>
    <row r="298" spans="1:16" ht="39" thickBot="1" x14ac:dyDescent="0.4">
      <c r="A298" s="3">
        <v>46258.375694444447</v>
      </c>
      <c r="B298" s="1" t="s">
        <v>22</v>
      </c>
      <c r="C298" s="1" t="s">
        <v>7</v>
      </c>
      <c r="D298" s="4">
        <v>5</v>
      </c>
      <c r="E298" s="4">
        <v>499</v>
      </c>
      <c r="F298" s="4">
        <v>30.457516340000002</v>
      </c>
      <c r="G298" s="2" t="s">
        <v>72</v>
      </c>
      <c r="H298" s="5">
        <v>382.5</v>
      </c>
      <c r="I298" s="1" t="s">
        <v>8</v>
      </c>
      <c r="J298" s="17" t="s">
        <v>117</v>
      </c>
      <c r="K298" s="17" t="s">
        <v>156</v>
      </c>
      <c r="L298" s="17">
        <v>2260</v>
      </c>
      <c r="M298" s="17">
        <f>ABS((D298*E298)-L298)</f>
        <v>235</v>
      </c>
      <c r="N298" s="10" t="str">
        <f>IF(COUNTIFS( $B$2:$B$657, B298, $C$2:$C$657, C298, $D$2:$D$657, D298, $E$2:$E$657, E298) &gt; 1, "Duplicate", "Unique")</f>
        <v>Unique</v>
      </c>
    </row>
    <row r="299" spans="1:16" ht="26.5" thickBot="1" x14ac:dyDescent="0.4">
      <c r="A299" s="3">
        <v>46260.557638888888</v>
      </c>
      <c r="B299" s="1" t="s">
        <v>16</v>
      </c>
      <c r="C299" s="1" t="s">
        <v>7</v>
      </c>
      <c r="D299" s="4">
        <v>5</v>
      </c>
      <c r="E299" s="4">
        <v>971</v>
      </c>
      <c r="F299" s="4">
        <v>30.98610549</v>
      </c>
      <c r="G299" s="2" t="s">
        <v>60</v>
      </c>
      <c r="H299" s="5">
        <v>741.3</v>
      </c>
      <c r="I299" s="1" t="s">
        <v>8</v>
      </c>
      <c r="J299" s="17" t="s">
        <v>117</v>
      </c>
      <c r="K299" s="17" t="s">
        <v>161</v>
      </c>
      <c r="L299" s="17">
        <v>4605</v>
      </c>
      <c r="M299" s="17">
        <f>ABS((D299*E299)-L299)</f>
        <v>250</v>
      </c>
      <c r="N299" t="str">
        <f>IF(COUNTIFS( $B$2:$B$657, B299, $C$2:$C$657, C299, $D$2:$D$657, D299, $E$2:$E$657, E299) &gt; 1, "Duplicate", "Unique")</f>
        <v>Unique</v>
      </c>
      <c r="P299" s="27"/>
    </row>
    <row r="300" spans="1:16" ht="26.5" thickBot="1" x14ac:dyDescent="0.4">
      <c r="A300" s="11">
        <v>46252.635416666664</v>
      </c>
      <c r="B300" s="8" t="s">
        <v>86</v>
      </c>
      <c r="C300" s="8" t="s">
        <v>7</v>
      </c>
      <c r="D300" s="8">
        <v>10</v>
      </c>
      <c r="E300" s="8">
        <v>1479</v>
      </c>
      <c r="F300" s="4">
        <v>31.000885740000001</v>
      </c>
      <c r="G300" s="2" t="s">
        <v>87</v>
      </c>
      <c r="H300" s="5">
        <v>1129</v>
      </c>
      <c r="I300" s="1" t="s">
        <v>8</v>
      </c>
      <c r="J300" s="32" t="s">
        <v>54</v>
      </c>
      <c r="N300" s="10" t="str">
        <f>IF(COUNTIFS( $B$2:$B$657, B300, $C$2:$C$657, C300, $D$2:$D$657, D300, $E$2:$E$657, E300) &gt; 1, "Duplicate", "Unique")</f>
        <v>Unique</v>
      </c>
    </row>
    <row r="301" spans="1:16" ht="26.5" thickBot="1" x14ac:dyDescent="0.4">
      <c r="A301" s="8" t="s">
        <v>61</v>
      </c>
      <c r="B301" s="8" t="s">
        <v>17</v>
      </c>
      <c r="C301" s="8" t="s">
        <v>7</v>
      </c>
      <c r="D301" s="8">
        <v>5</v>
      </c>
      <c r="E301" s="12">
        <v>435</v>
      </c>
      <c r="F301" s="4">
        <v>31.18214717</v>
      </c>
      <c r="G301" s="2" t="s">
        <v>76</v>
      </c>
      <c r="H301" s="5">
        <v>331.6</v>
      </c>
      <c r="I301" s="1" t="s">
        <v>8</v>
      </c>
      <c r="J301" s="32" t="s">
        <v>117</v>
      </c>
      <c r="N301" s="10" t="str">
        <f>IF(COUNTIFS( $B$2:$B$657, B301, $C$2:$C$657, C301, $D$2:$D$657, D301, $E$2:$E$657, E301) &gt; 1, "Duplicate", "Unique")</f>
        <v>Unique</v>
      </c>
    </row>
    <row r="302" spans="1:16" ht="39" thickBot="1" x14ac:dyDescent="0.4">
      <c r="A302" s="3">
        <v>46260.550694444442</v>
      </c>
      <c r="B302" s="1" t="s">
        <v>102</v>
      </c>
      <c r="C302" s="1" t="s">
        <v>7</v>
      </c>
      <c r="D302" s="4">
        <v>2</v>
      </c>
      <c r="E302" s="4">
        <v>2787.9</v>
      </c>
      <c r="F302" s="4">
        <v>31.232347959999998</v>
      </c>
      <c r="G302" s="2" t="s">
        <v>103</v>
      </c>
      <c r="H302" s="5">
        <v>2124.4</v>
      </c>
      <c r="I302" s="1" t="s">
        <v>8</v>
      </c>
      <c r="J302" s="17" t="s">
        <v>117</v>
      </c>
      <c r="K302" s="17" t="s">
        <v>164</v>
      </c>
      <c r="L302" s="17">
        <v>5275.8</v>
      </c>
      <c r="M302" s="17">
        <f>ABS((D302*E302)-L302)</f>
        <v>300</v>
      </c>
      <c r="N302" t="str">
        <f>IF(COUNTIFS( $B$2:$B$657, B302, $C$2:$C$657, C302, $D$2:$D$657, D302, $E$2:$E$657, E302) &gt; 1, "Duplicate", "Unique")</f>
        <v>Unique</v>
      </c>
    </row>
    <row r="303" spans="1:16" ht="39" thickBot="1" x14ac:dyDescent="0.4">
      <c r="A303" s="8" t="s">
        <v>61</v>
      </c>
      <c r="B303" s="8" t="s">
        <v>125</v>
      </c>
      <c r="C303" s="8" t="s">
        <v>7</v>
      </c>
      <c r="D303" s="8">
        <v>5</v>
      </c>
      <c r="E303" s="8">
        <v>596</v>
      </c>
      <c r="F303" s="4">
        <v>32.842973360000002</v>
      </c>
      <c r="G303" s="2" t="s">
        <v>126</v>
      </c>
      <c r="H303" s="5">
        <v>448.65</v>
      </c>
      <c r="I303" s="1" t="s">
        <v>8</v>
      </c>
      <c r="J303" s="32"/>
      <c r="N303" s="10" t="str">
        <f>IF(COUNTIFS( $B$2:$B$657, B303, $C$2:$C$657, C303, $D$2:$D$657, D303, $E$2:$E$657, E303) &gt; 1, "Duplicate", "Unique")</f>
        <v>Unique</v>
      </c>
    </row>
    <row r="304" spans="1:16" ht="39" thickBot="1" x14ac:dyDescent="0.4">
      <c r="A304" s="3">
        <v>46259.532638888886</v>
      </c>
      <c r="B304" s="1" t="s">
        <v>95</v>
      </c>
      <c r="C304" s="1" t="s">
        <v>7</v>
      </c>
      <c r="D304" s="4">
        <v>5</v>
      </c>
      <c r="E304" s="4">
        <v>218</v>
      </c>
      <c r="F304" s="4">
        <v>35.572139300000003</v>
      </c>
      <c r="G304" s="2" t="s">
        <v>96</v>
      </c>
      <c r="H304" s="5">
        <v>160.80000000000001</v>
      </c>
      <c r="I304" s="1" t="s">
        <v>8</v>
      </c>
      <c r="J304" s="32" t="s">
        <v>117</v>
      </c>
      <c r="K304" s="17" t="s">
        <v>157</v>
      </c>
      <c r="L304" s="17">
        <v>840</v>
      </c>
      <c r="M304" s="17">
        <f>ABS((D304*E304)-L304)</f>
        <v>250</v>
      </c>
      <c r="N304" s="10" t="str">
        <f>IF(COUNTIFS( $B$2:$B$657, B304, $C$2:$C$657, C304, $D$2:$D$657, D304, $E$2:$E$657, E304) &gt; 1, "Duplicate", "Unique")</f>
        <v>Unique</v>
      </c>
    </row>
    <row r="305" spans="1:16" ht="26.5" thickBot="1" x14ac:dyDescent="0.4">
      <c r="A305" s="11">
        <v>46252.6875</v>
      </c>
      <c r="B305" s="8" t="s">
        <v>15</v>
      </c>
      <c r="C305" s="8" t="s">
        <v>7</v>
      </c>
      <c r="D305" s="8">
        <v>10</v>
      </c>
      <c r="E305" s="8">
        <v>2896</v>
      </c>
      <c r="F305" s="4">
        <v>35.580524339999997</v>
      </c>
      <c r="G305" s="2" t="s">
        <v>71</v>
      </c>
      <c r="H305" s="5">
        <v>2136</v>
      </c>
      <c r="I305" s="1" t="s">
        <v>8</v>
      </c>
      <c r="J305" s="32" t="s">
        <v>117</v>
      </c>
      <c r="N305" s="10" t="str">
        <f>IF(COUNTIFS( $B$2:$B$657, B305, $C$2:$C$657, C305, $D$2:$D$657, D305, $E$2:$E$657, E305) &gt; 1, "Duplicate", "Unique")</f>
        <v>Unique</v>
      </c>
    </row>
    <row r="306" spans="1:16" ht="26.5" thickBot="1" x14ac:dyDescent="0.4">
      <c r="A306" s="11">
        <v>46252.6875</v>
      </c>
      <c r="B306" s="8" t="s">
        <v>15</v>
      </c>
      <c r="C306" s="8" t="s">
        <v>7</v>
      </c>
      <c r="D306" s="8">
        <v>10</v>
      </c>
      <c r="E306" s="8">
        <v>2908</v>
      </c>
      <c r="F306" s="4">
        <v>36.142322100000001</v>
      </c>
      <c r="G306" s="2" t="s">
        <v>71</v>
      </c>
      <c r="H306" s="5">
        <v>2136</v>
      </c>
      <c r="I306" s="1" t="s">
        <v>8</v>
      </c>
      <c r="J306" s="32" t="s">
        <v>117</v>
      </c>
      <c r="N306" s="10" t="str">
        <f>IF(COUNTIFS( $B$2:$B$657, B306, $C$2:$C$657, C306, $D$2:$D$657, D306, $E$2:$E$657, E306) &gt; 1, "Duplicate", "Unique")</f>
        <v>Unique</v>
      </c>
    </row>
    <row r="307" spans="1:16" ht="39" thickBot="1" x14ac:dyDescent="0.4">
      <c r="A307" s="9" t="s">
        <v>61</v>
      </c>
      <c r="B307" s="9" t="s">
        <v>118</v>
      </c>
      <c r="C307" s="9" t="s">
        <v>7</v>
      </c>
      <c r="D307" s="9">
        <v>7</v>
      </c>
      <c r="E307" s="12">
        <v>1170</v>
      </c>
      <c r="F307" s="4">
        <v>37.243401759999998</v>
      </c>
      <c r="G307" s="2" t="s">
        <v>119</v>
      </c>
      <c r="H307" s="5">
        <v>852.5</v>
      </c>
      <c r="I307" s="1" t="s">
        <v>8</v>
      </c>
      <c r="J307" s="32"/>
      <c r="N307" s="10" t="str">
        <f>IF(COUNTIFS( $B$2:$B$657, B307, $C$2:$C$657, C307, $D$2:$D$657, D307, $E$2:$E$657, E307) &gt; 1, "Duplicate", "Unique")</f>
        <v>Unique</v>
      </c>
    </row>
    <row r="308" spans="1:16" ht="26.5" thickBot="1" x14ac:dyDescent="0.4">
      <c r="A308" s="39" t="s">
        <v>61</v>
      </c>
      <c r="B308" s="39" t="s">
        <v>13</v>
      </c>
      <c r="C308" s="39" t="s">
        <v>7</v>
      </c>
      <c r="D308" s="39">
        <v>1</v>
      </c>
      <c r="E308" s="39">
        <v>2494</v>
      </c>
      <c r="F308" s="4">
        <v>38.325013869999999</v>
      </c>
      <c r="G308" s="2" t="s">
        <v>90</v>
      </c>
      <c r="H308" s="5">
        <v>1803</v>
      </c>
      <c r="I308" s="1" t="s">
        <v>8</v>
      </c>
      <c r="J308" s="45" t="s">
        <v>117</v>
      </c>
      <c r="K308" s="25"/>
      <c r="L308" s="25"/>
      <c r="M308" s="25"/>
      <c r="N308" s="27" t="str">
        <f>IF(COUNTIFS( $B$2:$B$657, B308, $C$2:$C$657, C308, $D$2:$D$657, D308, $E$2:$E$657, E308) &gt; 1, "Duplicate", "Unique")</f>
        <v>Unique</v>
      </c>
      <c r="O308" s="27"/>
      <c r="P308" s="27"/>
    </row>
    <row r="309" spans="1:16" ht="26.5" thickBot="1" x14ac:dyDescent="0.4">
      <c r="A309" s="38">
        <v>46251.506249999999</v>
      </c>
      <c r="B309" s="39" t="s">
        <v>13</v>
      </c>
      <c r="C309" s="39" t="s">
        <v>7</v>
      </c>
      <c r="D309" s="39">
        <v>3</v>
      </c>
      <c r="E309" s="39">
        <v>2494</v>
      </c>
      <c r="F309" s="4">
        <v>38.325013869999999</v>
      </c>
      <c r="G309" s="2" t="s">
        <v>90</v>
      </c>
      <c r="H309" s="5">
        <v>1803</v>
      </c>
      <c r="I309" s="1" t="s">
        <v>8</v>
      </c>
      <c r="J309" s="45" t="s">
        <v>117</v>
      </c>
      <c r="K309" s="25"/>
      <c r="L309" s="25"/>
      <c r="M309" s="25"/>
      <c r="N309" s="27" t="str">
        <f>IF(COUNTIFS( $B$2:$B$657, B309, $C$2:$C$657, C309, $D$2:$D$657, D309, $E$2:$E$657, E309) &gt; 1, "Duplicate", "Unique")</f>
        <v>Unique</v>
      </c>
      <c r="O309" s="27"/>
      <c r="P309" s="27"/>
    </row>
    <row r="310" spans="1:16" ht="26.5" thickBot="1" x14ac:dyDescent="0.4">
      <c r="A310" s="8" t="s">
        <v>61</v>
      </c>
      <c r="B310" s="8" t="s">
        <v>140</v>
      </c>
      <c r="C310" s="8" t="s">
        <v>7</v>
      </c>
      <c r="D310" s="8">
        <v>23</v>
      </c>
      <c r="E310" s="12">
        <v>890</v>
      </c>
      <c r="F310" s="6" t="e">
        <v>#N/A</v>
      </c>
      <c r="G310" s="2" t="s">
        <v>141</v>
      </c>
      <c r="H310" s="7" t="e">
        <v>#N/A</v>
      </c>
      <c r="I310" s="1" t="s">
        <v>8</v>
      </c>
      <c r="J310" s="32" t="s">
        <v>116</v>
      </c>
      <c r="N310" s="10" t="str">
        <f>IF(COUNTIFS( $B$2:$B$657, B310, $C$2:$C$657, C310, $D$2:$D$657, D310, $E$2:$E$657, E310) &gt; 1, "Duplicate", "Unique")</f>
        <v>Unique</v>
      </c>
    </row>
    <row r="311" spans="1:16" ht="25.5" thickBot="1" x14ac:dyDescent="0.3">
      <c r="A311" s="2" t="s">
        <v>338</v>
      </c>
      <c r="B311" s="2" t="s">
        <v>25</v>
      </c>
      <c r="C311" s="2" t="s">
        <v>10</v>
      </c>
      <c r="D311" s="2">
        <v>300</v>
      </c>
      <c r="E311" s="2">
        <v>32.01</v>
      </c>
      <c r="F311" s="2"/>
      <c r="G311" s="2"/>
      <c r="H311" s="2"/>
      <c r="I311" s="2"/>
      <c r="J311" s="17" t="s">
        <v>54</v>
      </c>
      <c r="K311" s="17" t="s">
        <v>341</v>
      </c>
      <c r="L311" s="17">
        <v>10263</v>
      </c>
      <c r="M311" s="17">
        <f>ABS((D311*E311)-L311)</f>
        <v>660</v>
      </c>
      <c r="N311" s="10" t="str">
        <f>IF(COUNTIFS( $B$2:$B$657, B311, $C$2:$C$657, C311, $D$2:$D$657, D311, $E$2:$E$657, E311) &gt; 1, "Duplicate", "Unique")</f>
        <v>Unique</v>
      </c>
    </row>
    <row r="312" spans="1:16" ht="25.5" thickBot="1" x14ac:dyDescent="0.3">
      <c r="A312" s="2" t="s">
        <v>339</v>
      </c>
      <c r="B312" s="2" t="s">
        <v>12</v>
      </c>
      <c r="C312" s="2" t="s">
        <v>7</v>
      </c>
      <c r="D312" s="2">
        <v>3</v>
      </c>
      <c r="E312" s="2">
        <v>4990</v>
      </c>
      <c r="F312" s="2"/>
      <c r="G312" s="2"/>
      <c r="H312" s="2"/>
      <c r="I312" s="2"/>
      <c r="J312" s="17" t="s">
        <v>116</v>
      </c>
      <c r="K312" s="17" t="s">
        <v>342</v>
      </c>
      <c r="L312" s="17">
        <v>14310</v>
      </c>
      <c r="M312" s="17">
        <f t="shared" ref="M312:M315" si="8">ABS((D312*E312)-L312)</f>
        <v>660</v>
      </c>
      <c r="N312" s="10" t="str">
        <f>IF(COUNTIFS( $B$2:$B$657, B312, $C$2:$C$657, C312, $D$2:$D$657, D312, $E$2:$E$657, E312) &gt; 1, "Duplicate", "Unique")</f>
        <v>Unique</v>
      </c>
    </row>
    <row r="313" spans="1:16" ht="25.5" thickBot="1" x14ac:dyDescent="0.3">
      <c r="A313" s="2" t="s">
        <v>340</v>
      </c>
      <c r="B313" s="2" t="s">
        <v>13</v>
      </c>
      <c r="C313" s="2" t="s">
        <v>7</v>
      </c>
      <c r="D313" s="2">
        <v>10</v>
      </c>
      <c r="E313" s="2">
        <v>1796</v>
      </c>
      <c r="F313" s="2"/>
      <c r="G313" s="2"/>
      <c r="H313" s="2"/>
      <c r="I313" s="2"/>
      <c r="J313" s="17" t="s">
        <v>116</v>
      </c>
      <c r="K313" s="17" t="s">
        <v>343</v>
      </c>
      <c r="L313" s="17">
        <v>17310</v>
      </c>
      <c r="M313" s="17">
        <f t="shared" si="8"/>
        <v>650</v>
      </c>
      <c r="N313" s="10" t="str">
        <f>IF(COUNTIFS( $B$2:$B$657, B313, $C$2:$C$657, C313, $D$2:$D$657, D313, $E$2:$E$657, E313) &gt; 1, "Duplicate", "Unique")</f>
        <v>Unique</v>
      </c>
    </row>
    <row r="314" spans="1:16" ht="25.5" thickBot="1" x14ac:dyDescent="0.3">
      <c r="A314" s="2" t="s">
        <v>340</v>
      </c>
      <c r="B314" s="2" t="s">
        <v>14</v>
      </c>
      <c r="C314" s="2" t="s">
        <v>10</v>
      </c>
      <c r="D314" s="2">
        <v>100</v>
      </c>
      <c r="E314" s="2">
        <v>315.10000000000002</v>
      </c>
      <c r="F314" s="2"/>
      <c r="G314" s="2"/>
      <c r="H314" s="2"/>
      <c r="I314" s="2"/>
      <c r="J314" s="17" t="s">
        <v>54</v>
      </c>
      <c r="K314" s="17" t="s">
        <v>344</v>
      </c>
      <c r="L314" s="17">
        <v>32200</v>
      </c>
      <c r="M314" s="17">
        <f t="shared" si="8"/>
        <v>689.99999999999636</v>
      </c>
      <c r="N314" s="10" t="str">
        <f>IF(COUNTIFS( $B$2:$B$657, B314, $C$2:$C$657, C314, $D$2:$D$657, D314, $E$2:$E$657, E314) &gt; 1, "Duplicate", "Unique")</f>
        <v>Unique</v>
      </c>
    </row>
    <row r="315" spans="1:16" ht="25.5" thickBot="1" x14ac:dyDescent="0.3">
      <c r="A315" s="2" t="s">
        <v>340</v>
      </c>
      <c r="B315" s="2" t="s">
        <v>50</v>
      </c>
      <c r="C315" s="2" t="s">
        <v>10</v>
      </c>
      <c r="D315" s="2">
        <v>10</v>
      </c>
      <c r="E315" s="2">
        <v>867</v>
      </c>
      <c r="F315" s="2"/>
      <c r="G315" s="2"/>
      <c r="H315" s="2"/>
      <c r="I315" s="2"/>
      <c r="J315" s="17" t="s">
        <v>54</v>
      </c>
      <c r="K315" s="17" t="s">
        <v>345</v>
      </c>
      <c r="L315" s="17">
        <v>8970</v>
      </c>
      <c r="M315" s="17">
        <f t="shared" si="8"/>
        <v>300</v>
      </c>
      <c r="N315" s="10" t="str">
        <f>IF(COUNTIFS( $B$2:$B$657, B315, $C$2:$C$657, C315, $D$2:$D$657, D315, $E$2:$E$657, E315) &gt; 1, "Duplicate", "Unique")</f>
        <v>Unique</v>
      </c>
    </row>
    <row r="316" spans="1:16" ht="15" thickBot="1" x14ac:dyDescent="0.3">
      <c r="A316" s="2"/>
      <c r="B316" s="2"/>
      <c r="C316" s="2"/>
      <c r="D316" s="2"/>
      <c r="E316" s="2"/>
      <c r="F316" s="2"/>
      <c r="G316" s="2"/>
      <c r="H316" s="2"/>
      <c r="I316" s="2"/>
    </row>
    <row r="317" spans="1:16" ht="15" thickBot="1" x14ac:dyDescent="0.3">
      <c r="A317" s="2"/>
      <c r="B317" s="2"/>
      <c r="C317" s="2"/>
      <c r="D317" s="2"/>
      <c r="E317" s="2"/>
      <c r="F317" s="2"/>
      <c r="G317" s="2"/>
      <c r="H317" s="2"/>
      <c r="I317" s="2"/>
    </row>
    <row r="318" spans="1:16" ht="15" thickBot="1" x14ac:dyDescent="0.3">
      <c r="A318" s="2"/>
      <c r="B318" s="2"/>
      <c r="C318" s="2"/>
      <c r="D318" s="2"/>
      <c r="E318" s="2"/>
      <c r="F318" s="2"/>
      <c r="G318" s="2"/>
      <c r="H318" s="2"/>
      <c r="I318" s="2"/>
    </row>
    <row r="319" spans="1:16" ht="15" thickBot="1" x14ac:dyDescent="0.3">
      <c r="A319" s="2"/>
      <c r="B319" s="2"/>
      <c r="C319" s="2"/>
      <c r="D319" s="2"/>
      <c r="E319" s="2"/>
      <c r="F319" s="2"/>
      <c r="G319" s="2"/>
      <c r="H319" s="2"/>
      <c r="I319" s="2"/>
    </row>
    <row r="320" spans="1:16" ht="15" thickBot="1" x14ac:dyDescent="0.3">
      <c r="A320" s="2"/>
      <c r="B320" s="2"/>
      <c r="C320" s="2"/>
      <c r="D320" s="2"/>
      <c r="E320" s="2"/>
      <c r="F320" s="2"/>
      <c r="G320" s="2"/>
      <c r="H320" s="2"/>
      <c r="I320" s="2"/>
    </row>
    <row r="321" spans="1:9" ht="15" thickBot="1" x14ac:dyDescent="0.3">
      <c r="A321" s="2"/>
      <c r="B321" s="2"/>
      <c r="C321" s="2"/>
      <c r="D321" s="2"/>
      <c r="E321" s="2"/>
      <c r="F321" s="2"/>
      <c r="G321" s="2"/>
      <c r="H321" s="2"/>
      <c r="I321" s="2"/>
    </row>
    <row r="322" spans="1:9" ht="15" thickBot="1" x14ac:dyDescent="0.3">
      <c r="A322" s="2"/>
      <c r="B322" s="2"/>
      <c r="C322" s="2"/>
      <c r="D322" s="2"/>
      <c r="E322" s="2"/>
      <c r="F322" s="2"/>
      <c r="G322" s="2"/>
      <c r="H322" s="2"/>
      <c r="I322" s="2"/>
    </row>
    <row r="323" spans="1:9" ht="15" thickBot="1" x14ac:dyDescent="0.3">
      <c r="A323" s="2"/>
      <c r="B323" s="2"/>
      <c r="C323" s="2"/>
      <c r="D323" s="2"/>
      <c r="E323" s="2"/>
      <c r="F323" s="2"/>
      <c r="G323" s="2"/>
      <c r="H323" s="2"/>
      <c r="I323" s="2"/>
    </row>
    <row r="324" spans="1:9" ht="15" thickBot="1" x14ac:dyDescent="0.3">
      <c r="A324" s="2"/>
      <c r="B324" s="2"/>
      <c r="C324" s="2"/>
      <c r="D324" s="2"/>
      <c r="E324" s="2"/>
      <c r="F324" s="2"/>
      <c r="G324" s="2"/>
      <c r="H324" s="2"/>
      <c r="I324" s="2"/>
    </row>
    <row r="325" spans="1:9" ht="15" thickBot="1" x14ac:dyDescent="0.3">
      <c r="A325" s="2"/>
      <c r="B325" s="2"/>
      <c r="C325" s="2"/>
      <c r="D325" s="2"/>
      <c r="E325" s="2"/>
      <c r="F325" s="2"/>
      <c r="G325" s="2"/>
      <c r="H325" s="2"/>
      <c r="I325" s="2"/>
    </row>
    <row r="326" spans="1:9" ht="15" thickBot="1" x14ac:dyDescent="0.3">
      <c r="A326" s="2"/>
      <c r="B326" s="2"/>
      <c r="C326" s="2"/>
      <c r="D326" s="2"/>
      <c r="E326" s="2"/>
      <c r="F326" s="2"/>
      <c r="G326" s="2"/>
      <c r="H326" s="2"/>
      <c r="I326" s="2"/>
    </row>
    <row r="327" spans="1:9" ht="15" thickBot="1" x14ac:dyDescent="0.3">
      <c r="A327" s="2"/>
      <c r="B327" s="2"/>
      <c r="C327" s="2"/>
      <c r="D327" s="2"/>
      <c r="E327" s="2"/>
      <c r="F327" s="2"/>
      <c r="G327" s="2"/>
      <c r="H327" s="2"/>
      <c r="I327" s="2"/>
    </row>
    <row r="328" spans="1:9" ht="15" thickBot="1" x14ac:dyDescent="0.3">
      <c r="A328" s="2"/>
      <c r="B328" s="2"/>
      <c r="C328" s="2"/>
      <c r="D328" s="2"/>
      <c r="E328" s="2"/>
      <c r="F328" s="2"/>
      <c r="G328" s="2"/>
      <c r="H328" s="2"/>
      <c r="I328" s="2"/>
    </row>
    <row r="329" spans="1:9" ht="15" thickBot="1" x14ac:dyDescent="0.3">
      <c r="A329" s="2"/>
      <c r="B329" s="2"/>
      <c r="C329" s="2"/>
      <c r="D329" s="2"/>
      <c r="E329" s="2"/>
      <c r="F329" s="2"/>
      <c r="G329" s="2"/>
      <c r="H329" s="2"/>
      <c r="I329" s="2"/>
    </row>
    <row r="330" spans="1:9" ht="15" thickBot="1" x14ac:dyDescent="0.3">
      <c r="A330" s="2"/>
      <c r="B330" s="2"/>
      <c r="C330" s="2"/>
      <c r="D330" s="2"/>
      <c r="E330" s="2"/>
      <c r="F330" s="2"/>
      <c r="G330" s="2"/>
      <c r="H330" s="2"/>
      <c r="I330" s="2"/>
    </row>
    <row r="331" spans="1:9" ht="15" thickBot="1" x14ac:dyDescent="0.3">
      <c r="A331" s="2"/>
      <c r="B331" s="2"/>
      <c r="C331" s="2"/>
      <c r="D331" s="2"/>
      <c r="E331" s="2"/>
      <c r="F331" s="2"/>
      <c r="G331" s="2"/>
      <c r="H331" s="2"/>
      <c r="I331" s="2"/>
    </row>
    <row r="332" spans="1:9" ht="15" thickBot="1" x14ac:dyDescent="0.3">
      <c r="A332" s="2"/>
      <c r="B332" s="2"/>
      <c r="C332" s="2"/>
      <c r="D332" s="2"/>
      <c r="E332" s="2"/>
      <c r="F332" s="2"/>
      <c r="G332" s="2"/>
      <c r="H332" s="2"/>
      <c r="I332" s="2"/>
    </row>
    <row r="333" spans="1:9" ht="15" thickBot="1" x14ac:dyDescent="0.3">
      <c r="A333" s="2"/>
      <c r="B333" s="2"/>
      <c r="C333" s="2"/>
      <c r="D333" s="2"/>
      <c r="E333" s="2"/>
      <c r="F333" s="2"/>
      <c r="G333" s="2"/>
      <c r="H333" s="2"/>
      <c r="I333" s="2"/>
    </row>
    <row r="334" spans="1:9" ht="15" thickBot="1" x14ac:dyDescent="0.3">
      <c r="A334" s="2"/>
      <c r="B334" s="2"/>
      <c r="C334" s="2"/>
      <c r="D334" s="2"/>
      <c r="E334" s="2"/>
      <c r="F334" s="2"/>
      <c r="G334" s="2"/>
      <c r="H334" s="2"/>
      <c r="I334" s="2"/>
    </row>
    <row r="335" spans="1:9" ht="15" thickBot="1" x14ac:dyDescent="0.3">
      <c r="A335" s="2"/>
      <c r="B335" s="2"/>
      <c r="C335" s="2"/>
      <c r="D335" s="2"/>
      <c r="E335" s="2"/>
      <c r="F335" s="2"/>
      <c r="G335" s="2"/>
      <c r="H335" s="2"/>
      <c r="I335" s="2"/>
    </row>
    <row r="336" spans="1:9" ht="15" thickBot="1" x14ac:dyDescent="0.3">
      <c r="A336" s="2"/>
      <c r="B336" s="2"/>
      <c r="C336" s="2"/>
      <c r="D336" s="2"/>
      <c r="E336" s="2"/>
      <c r="F336" s="2"/>
      <c r="G336" s="2"/>
      <c r="H336" s="2"/>
      <c r="I336" s="2"/>
    </row>
    <row r="337" spans="1:9" ht="15" thickBot="1" x14ac:dyDescent="0.3">
      <c r="A337" s="2"/>
      <c r="B337" s="2"/>
      <c r="C337" s="2"/>
      <c r="D337" s="2"/>
      <c r="E337" s="2"/>
      <c r="F337" s="2"/>
      <c r="G337" s="2"/>
      <c r="H337" s="2"/>
      <c r="I337" s="2"/>
    </row>
    <row r="338" spans="1:9" ht="15" thickBot="1" x14ac:dyDescent="0.3">
      <c r="A338" s="2"/>
      <c r="B338" s="2"/>
      <c r="C338" s="2"/>
      <c r="D338" s="2"/>
      <c r="E338" s="2"/>
      <c r="F338" s="2"/>
      <c r="G338" s="2"/>
      <c r="H338" s="2"/>
      <c r="I338" s="2"/>
    </row>
    <row r="339" spans="1:9" ht="15" thickBot="1" x14ac:dyDescent="0.3">
      <c r="A339" s="2"/>
      <c r="B339" s="2"/>
      <c r="C339" s="2"/>
      <c r="D339" s="2"/>
      <c r="E339" s="2"/>
      <c r="F339" s="2"/>
      <c r="G339" s="2"/>
      <c r="H339" s="2"/>
      <c r="I339" s="2"/>
    </row>
    <row r="340" spans="1:9" ht="15" thickBot="1" x14ac:dyDescent="0.3">
      <c r="A340" s="2"/>
      <c r="B340" s="2"/>
      <c r="C340" s="2"/>
      <c r="D340" s="2"/>
      <c r="E340" s="2"/>
      <c r="F340" s="2"/>
      <c r="G340" s="2"/>
      <c r="H340" s="2"/>
      <c r="I340" s="2"/>
    </row>
    <row r="341" spans="1:9" ht="15" thickBot="1" x14ac:dyDescent="0.3">
      <c r="A341" s="2"/>
      <c r="B341" s="2"/>
      <c r="C341" s="2"/>
      <c r="D341" s="2"/>
      <c r="E341" s="2"/>
      <c r="F341" s="2"/>
      <c r="G341" s="2"/>
      <c r="H341" s="2"/>
      <c r="I341" s="2"/>
    </row>
    <row r="342" spans="1:9" ht="15" thickBot="1" x14ac:dyDescent="0.3">
      <c r="A342" s="2"/>
      <c r="B342" s="2"/>
      <c r="C342" s="2"/>
      <c r="D342" s="2"/>
      <c r="E342" s="2"/>
      <c r="F342" s="2"/>
      <c r="G342" s="2"/>
      <c r="H342" s="2"/>
      <c r="I342" s="2"/>
    </row>
    <row r="343" spans="1:9" ht="15" thickBot="1" x14ac:dyDescent="0.3">
      <c r="A343" s="2"/>
      <c r="B343" s="2"/>
      <c r="C343" s="2"/>
      <c r="D343" s="2"/>
      <c r="E343" s="2"/>
      <c r="F343" s="2"/>
      <c r="G343" s="2"/>
      <c r="H343" s="2"/>
      <c r="I343" s="2"/>
    </row>
    <row r="344" spans="1:9" ht="15" thickBot="1" x14ac:dyDescent="0.3">
      <c r="A344" s="2"/>
      <c r="B344" s="2"/>
      <c r="C344" s="2"/>
      <c r="D344" s="2"/>
      <c r="E344" s="2"/>
      <c r="F344" s="2"/>
      <c r="G344" s="2"/>
      <c r="H344" s="2"/>
      <c r="I344" s="2"/>
    </row>
    <row r="345" spans="1:9" ht="15" thickBot="1" x14ac:dyDescent="0.3">
      <c r="A345" s="2"/>
      <c r="B345" s="2"/>
      <c r="C345" s="2"/>
      <c r="D345" s="2"/>
      <c r="E345" s="2"/>
      <c r="F345" s="2"/>
      <c r="G345" s="2"/>
      <c r="H345" s="2"/>
      <c r="I345" s="2"/>
    </row>
    <row r="346" spans="1:9" ht="15" thickBot="1" x14ac:dyDescent="0.3">
      <c r="A346" s="2"/>
      <c r="B346" s="2"/>
      <c r="C346" s="2"/>
      <c r="D346" s="2"/>
      <c r="E346" s="2"/>
      <c r="F346" s="2"/>
      <c r="G346" s="2"/>
      <c r="H346" s="2"/>
      <c r="I346" s="2"/>
    </row>
    <row r="347" spans="1:9" ht="15" thickBot="1" x14ac:dyDescent="0.3">
      <c r="A347" s="2"/>
      <c r="B347" s="2"/>
      <c r="C347" s="2"/>
      <c r="D347" s="2"/>
      <c r="E347" s="2"/>
      <c r="F347" s="2"/>
      <c r="G347" s="2"/>
      <c r="H347" s="2"/>
      <c r="I347" s="2"/>
    </row>
    <row r="348" spans="1:9" ht="15" thickBot="1" x14ac:dyDescent="0.3">
      <c r="A348" s="2"/>
      <c r="B348" s="2"/>
      <c r="C348" s="2"/>
      <c r="D348" s="2"/>
      <c r="E348" s="2"/>
      <c r="F348" s="2"/>
      <c r="G348" s="2"/>
      <c r="H348" s="2"/>
      <c r="I348" s="2"/>
    </row>
    <row r="349" spans="1:9" ht="15" thickBot="1" x14ac:dyDescent="0.3">
      <c r="A349" s="2"/>
      <c r="B349" s="2"/>
      <c r="C349" s="2"/>
      <c r="D349" s="2"/>
      <c r="E349" s="2"/>
      <c r="F349" s="2"/>
      <c r="G349" s="2"/>
      <c r="H349" s="2"/>
      <c r="I349" s="2"/>
    </row>
    <row r="350" spans="1:9" ht="15" thickBot="1" x14ac:dyDescent="0.3">
      <c r="A350" s="2"/>
      <c r="B350" s="2"/>
      <c r="C350" s="2"/>
      <c r="D350" s="2"/>
      <c r="E350" s="2"/>
      <c r="F350" s="2"/>
      <c r="G350" s="2"/>
      <c r="H350" s="2"/>
      <c r="I350" s="2"/>
    </row>
    <row r="351" spans="1:9" ht="15" thickBot="1" x14ac:dyDescent="0.3">
      <c r="A351" s="2"/>
      <c r="B351" s="2"/>
      <c r="C351" s="2"/>
      <c r="D351" s="2"/>
      <c r="E351" s="2"/>
      <c r="F351" s="2"/>
      <c r="G351" s="2"/>
      <c r="H351" s="2"/>
      <c r="I351" s="2"/>
    </row>
    <row r="352" spans="1:9" ht="15" thickBot="1" x14ac:dyDescent="0.3">
      <c r="A352" s="2"/>
      <c r="B352" s="2"/>
      <c r="C352" s="2"/>
      <c r="D352" s="2"/>
      <c r="E352" s="2"/>
      <c r="F352" s="2"/>
      <c r="G352" s="2"/>
      <c r="H352" s="2"/>
      <c r="I352" s="2"/>
    </row>
    <row r="353" spans="1:9" ht="15" thickBot="1" x14ac:dyDescent="0.3">
      <c r="A353" s="2"/>
      <c r="B353" s="2"/>
      <c r="C353" s="2"/>
      <c r="D353" s="2"/>
      <c r="E353" s="2"/>
      <c r="F353" s="2"/>
      <c r="G353" s="2"/>
      <c r="H353" s="2"/>
      <c r="I353" s="2"/>
    </row>
    <row r="354" spans="1:9" ht="15" thickBot="1" x14ac:dyDescent="0.3">
      <c r="A354" s="2"/>
      <c r="B354" s="2"/>
      <c r="C354" s="2"/>
      <c r="D354" s="2"/>
      <c r="E354" s="2"/>
      <c r="F354" s="2"/>
      <c r="G354" s="2"/>
      <c r="H354" s="2"/>
      <c r="I354" s="2"/>
    </row>
    <row r="355" spans="1:9" ht="15" thickBot="1" x14ac:dyDescent="0.3">
      <c r="A355" s="2"/>
      <c r="B355" s="2"/>
      <c r="C355" s="2"/>
      <c r="D355" s="2"/>
      <c r="E355" s="2"/>
      <c r="F355" s="2"/>
      <c r="G355" s="2"/>
      <c r="H355" s="2"/>
      <c r="I355" s="2"/>
    </row>
    <row r="356" spans="1:9" ht="15" thickBot="1" x14ac:dyDescent="0.3">
      <c r="A356" s="2"/>
      <c r="B356" s="2"/>
      <c r="C356" s="2"/>
      <c r="D356" s="2"/>
      <c r="E356" s="2"/>
      <c r="F356" s="2"/>
      <c r="G356" s="2"/>
      <c r="H356" s="2"/>
      <c r="I356" s="2"/>
    </row>
    <row r="357" spans="1:9" ht="15" thickBot="1" x14ac:dyDescent="0.3">
      <c r="A357" s="2"/>
      <c r="B357" s="2"/>
      <c r="C357" s="2"/>
      <c r="D357" s="2"/>
      <c r="E357" s="2"/>
      <c r="F357" s="2"/>
      <c r="G357" s="2"/>
      <c r="H357" s="2"/>
      <c r="I357" s="2"/>
    </row>
    <row r="358" spans="1:9" ht="15" thickBot="1" x14ac:dyDescent="0.3">
      <c r="A358" s="2"/>
      <c r="B358" s="2"/>
      <c r="C358" s="2"/>
      <c r="D358" s="2"/>
      <c r="E358" s="2"/>
      <c r="F358" s="2"/>
      <c r="G358" s="2"/>
      <c r="H358" s="2"/>
      <c r="I358" s="2"/>
    </row>
    <row r="359" spans="1:9" ht="15" thickBot="1" x14ac:dyDescent="0.3">
      <c r="A359" s="2"/>
      <c r="B359" s="2"/>
      <c r="C359" s="2"/>
      <c r="D359" s="2"/>
      <c r="E359" s="2"/>
      <c r="F359" s="2"/>
      <c r="G359" s="2"/>
      <c r="H359" s="2"/>
      <c r="I359" s="2"/>
    </row>
    <row r="360" spans="1:9" ht="15" thickBot="1" x14ac:dyDescent="0.3">
      <c r="A360" s="2"/>
      <c r="B360" s="2"/>
      <c r="C360" s="2"/>
      <c r="D360" s="2"/>
      <c r="E360" s="2"/>
      <c r="F360" s="2"/>
      <c r="G360" s="2"/>
      <c r="H360" s="2"/>
      <c r="I360" s="2"/>
    </row>
    <row r="361" spans="1:9" ht="15" thickBot="1" x14ac:dyDescent="0.3">
      <c r="A361" s="2"/>
      <c r="B361" s="2"/>
      <c r="C361" s="2"/>
      <c r="D361" s="2"/>
      <c r="E361" s="2"/>
      <c r="F361" s="2"/>
      <c r="G361" s="2"/>
      <c r="H361" s="2"/>
      <c r="I361" s="2"/>
    </row>
    <row r="362" spans="1:9" ht="15" thickBot="1" x14ac:dyDescent="0.3">
      <c r="A362" s="2"/>
      <c r="B362" s="2"/>
      <c r="C362" s="2"/>
      <c r="D362" s="2"/>
      <c r="E362" s="2"/>
      <c r="F362" s="2"/>
      <c r="G362" s="2"/>
      <c r="H362" s="2"/>
      <c r="I362" s="2"/>
    </row>
    <row r="363" spans="1:9" ht="15" thickBot="1" x14ac:dyDescent="0.3">
      <c r="A363" s="2"/>
      <c r="B363" s="2"/>
      <c r="C363" s="2"/>
      <c r="D363" s="2"/>
      <c r="E363" s="2"/>
      <c r="F363" s="2"/>
      <c r="G363" s="2"/>
      <c r="H363" s="2"/>
      <c r="I363" s="2"/>
    </row>
    <row r="364" spans="1:9" ht="15" thickBot="1" x14ac:dyDescent="0.3">
      <c r="A364" s="2"/>
      <c r="B364" s="2"/>
      <c r="C364" s="2"/>
      <c r="D364" s="2"/>
      <c r="E364" s="2"/>
      <c r="F364" s="2"/>
      <c r="G364" s="2"/>
      <c r="H364" s="2"/>
      <c r="I364" s="2"/>
    </row>
    <row r="365" spans="1:9" ht="15" thickBot="1" x14ac:dyDescent="0.3">
      <c r="A365" s="2"/>
      <c r="B365" s="2"/>
      <c r="C365" s="2"/>
      <c r="D365" s="2"/>
      <c r="E365" s="2"/>
      <c r="F365" s="2"/>
      <c r="G365" s="2"/>
      <c r="H365" s="2"/>
      <c r="I365" s="2"/>
    </row>
    <row r="366" spans="1:9" ht="15" thickBot="1" x14ac:dyDescent="0.3">
      <c r="A366" s="2"/>
      <c r="B366" s="2"/>
      <c r="C366" s="2"/>
      <c r="D366" s="2"/>
      <c r="E366" s="2"/>
      <c r="F366" s="2"/>
      <c r="G366" s="2"/>
      <c r="H366" s="2"/>
      <c r="I366" s="2"/>
    </row>
    <row r="367" spans="1:9" ht="15" thickBot="1" x14ac:dyDescent="0.3">
      <c r="A367" s="2"/>
      <c r="B367" s="2"/>
      <c r="C367" s="2"/>
      <c r="D367" s="2"/>
      <c r="E367" s="2"/>
      <c r="F367" s="2"/>
      <c r="G367" s="2"/>
      <c r="H367" s="2"/>
      <c r="I367" s="2"/>
    </row>
    <row r="368" spans="1:9" ht="15" thickBot="1" x14ac:dyDescent="0.3">
      <c r="A368" s="2"/>
      <c r="B368" s="2"/>
      <c r="C368" s="2"/>
      <c r="D368" s="2"/>
      <c r="E368" s="2"/>
      <c r="F368" s="2"/>
      <c r="G368" s="2"/>
      <c r="H368" s="2"/>
      <c r="I368" s="2"/>
    </row>
    <row r="369" spans="1:9" ht="15" thickBot="1" x14ac:dyDescent="0.3">
      <c r="A369" s="2"/>
      <c r="B369" s="2"/>
      <c r="C369" s="2"/>
      <c r="D369" s="2"/>
      <c r="E369" s="2"/>
      <c r="F369" s="2"/>
      <c r="G369" s="2"/>
      <c r="H369" s="2"/>
      <c r="I369" s="2"/>
    </row>
    <row r="370" spans="1:9" ht="15" thickBot="1" x14ac:dyDescent="0.3">
      <c r="A370" s="2"/>
      <c r="B370" s="2"/>
      <c r="C370" s="2"/>
      <c r="D370" s="2"/>
      <c r="E370" s="2"/>
      <c r="F370" s="2"/>
      <c r="G370" s="2"/>
      <c r="H370" s="2"/>
      <c r="I370" s="2"/>
    </row>
    <row r="371" spans="1:9" ht="15" thickBot="1" x14ac:dyDescent="0.3">
      <c r="A371" s="2"/>
      <c r="B371" s="2"/>
      <c r="C371" s="2"/>
      <c r="D371" s="2"/>
      <c r="E371" s="2"/>
      <c r="F371" s="2"/>
      <c r="G371" s="2"/>
      <c r="H371" s="2"/>
      <c r="I371" s="2"/>
    </row>
    <row r="372" spans="1:9" ht="15" thickBot="1" x14ac:dyDescent="0.3">
      <c r="A372" s="2"/>
      <c r="B372" s="2"/>
      <c r="C372" s="2"/>
      <c r="D372" s="2"/>
      <c r="E372" s="2"/>
      <c r="F372" s="2"/>
      <c r="G372" s="2"/>
      <c r="H372" s="2"/>
      <c r="I372" s="2"/>
    </row>
    <row r="373" spans="1:9" ht="15" thickBot="1" x14ac:dyDescent="0.3">
      <c r="A373" s="2"/>
      <c r="B373" s="2"/>
      <c r="C373" s="2"/>
      <c r="D373" s="2"/>
      <c r="E373" s="2"/>
      <c r="F373" s="2"/>
      <c r="G373" s="2"/>
      <c r="H373" s="2"/>
      <c r="I373" s="2"/>
    </row>
    <row r="374" spans="1:9" ht="15" thickBot="1" x14ac:dyDescent="0.3">
      <c r="A374" s="2"/>
      <c r="B374" s="2"/>
      <c r="C374" s="2"/>
      <c r="D374" s="2"/>
      <c r="E374" s="2"/>
      <c r="F374" s="2"/>
      <c r="G374" s="2"/>
      <c r="H374" s="2"/>
      <c r="I374" s="2"/>
    </row>
    <row r="375" spans="1:9" ht="15" thickBot="1" x14ac:dyDescent="0.3">
      <c r="A375" s="2"/>
      <c r="B375" s="2"/>
      <c r="C375" s="2"/>
      <c r="D375" s="2"/>
      <c r="E375" s="2"/>
      <c r="F375" s="2"/>
      <c r="G375" s="2"/>
      <c r="H375" s="2"/>
      <c r="I375" s="2"/>
    </row>
    <row r="376" spans="1:9" ht="15" thickBot="1" x14ac:dyDescent="0.3">
      <c r="A376" s="2"/>
      <c r="B376" s="2"/>
      <c r="C376" s="2"/>
      <c r="D376" s="2"/>
      <c r="E376" s="2"/>
      <c r="F376" s="2"/>
      <c r="G376" s="2"/>
      <c r="H376" s="2"/>
      <c r="I376" s="2"/>
    </row>
    <row r="377" spans="1:9" ht="15" thickBot="1" x14ac:dyDescent="0.3">
      <c r="A377" s="2"/>
      <c r="B377" s="2"/>
      <c r="C377" s="2"/>
      <c r="D377" s="2"/>
      <c r="E377" s="2"/>
      <c r="F377" s="2"/>
      <c r="G377" s="2"/>
      <c r="H377" s="2"/>
      <c r="I377" s="2"/>
    </row>
    <row r="378" spans="1:9" ht="15" thickBot="1" x14ac:dyDescent="0.3">
      <c r="A378" s="2"/>
      <c r="B378" s="2"/>
      <c r="C378" s="2"/>
      <c r="D378" s="2"/>
      <c r="E378" s="2"/>
      <c r="F378" s="2"/>
      <c r="G378" s="2"/>
      <c r="H378" s="2"/>
      <c r="I378" s="2"/>
    </row>
    <row r="379" spans="1:9" ht="15" thickBot="1" x14ac:dyDescent="0.3">
      <c r="A379" s="2"/>
      <c r="B379" s="2"/>
      <c r="C379" s="2"/>
      <c r="D379" s="2"/>
      <c r="E379" s="2"/>
      <c r="F379" s="2"/>
      <c r="G379" s="2"/>
      <c r="H379" s="2"/>
      <c r="I379" s="2"/>
    </row>
    <row r="380" spans="1:9" ht="15" thickBot="1" x14ac:dyDescent="0.3">
      <c r="A380" s="2"/>
      <c r="B380" s="2"/>
      <c r="C380" s="2"/>
      <c r="D380" s="2"/>
      <c r="E380" s="2"/>
      <c r="F380" s="2"/>
      <c r="G380" s="2"/>
      <c r="H380" s="2"/>
      <c r="I380" s="2"/>
    </row>
    <row r="381" spans="1:9" ht="15" thickBot="1" x14ac:dyDescent="0.3">
      <c r="A381" s="2"/>
      <c r="B381" s="2"/>
      <c r="C381" s="2"/>
      <c r="D381" s="2"/>
      <c r="E381" s="2"/>
      <c r="F381" s="2"/>
      <c r="G381" s="2"/>
      <c r="H381" s="2"/>
      <c r="I381" s="2"/>
    </row>
    <row r="382" spans="1:9" ht="15" thickBot="1" x14ac:dyDescent="0.3">
      <c r="A382" s="2"/>
      <c r="B382" s="2"/>
      <c r="C382" s="2"/>
      <c r="D382" s="2"/>
      <c r="E382" s="2"/>
      <c r="F382" s="2"/>
      <c r="G382" s="2"/>
      <c r="H382" s="2"/>
      <c r="I382" s="2"/>
    </row>
    <row r="383" spans="1:9" ht="15" thickBot="1" x14ac:dyDescent="0.3">
      <c r="A383" s="2"/>
      <c r="B383" s="2"/>
      <c r="C383" s="2"/>
      <c r="D383" s="2"/>
      <c r="E383" s="2"/>
      <c r="F383" s="2"/>
      <c r="G383" s="2"/>
      <c r="H383" s="2"/>
      <c r="I383" s="2"/>
    </row>
    <row r="384" spans="1:9" ht="15" thickBot="1" x14ac:dyDescent="0.3">
      <c r="A384" s="2"/>
      <c r="B384" s="2"/>
      <c r="C384" s="2"/>
      <c r="D384" s="2"/>
      <c r="E384" s="2"/>
      <c r="F384" s="2"/>
      <c r="G384" s="2"/>
      <c r="H384" s="2"/>
      <c r="I384" s="2"/>
    </row>
    <row r="385" spans="1:9" ht="15" thickBot="1" x14ac:dyDescent="0.3">
      <c r="A385" s="2"/>
      <c r="B385" s="2"/>
      <c r="C385" s="2"/>
      <c r="D385" s="2"/>
      <c r="E385" s="2"/>
      <c r="F385" s="2"/>
      <c r="G385" s="2"/>
      <c r="H385" s="2"/>
      <c r="I385" s="2"/>
    </row>
    <row r="386" spans="1:9" ht="15" thickBot="1" x14ac:dyDescent="0.3">
      <c r="A386" s="2"/>
      <c r="B386" s="2"/>
      <c r="C386" s="2"/>
      <c r="D386" s="2"/>
      <c r="E386" s="2"/>
      <c r="F386" s="2"/>
      <c r="G386" s="2"/>
      <c r="H386" s="2"/>
      <c r="I386" s="2"/>
    </row>
    <row r="387" spans="1:9" ht="15" thickBot="1" x14ac:dyDescent="0.3">
      <c r="A387" s="2"/>
      <c r="B387" s="2"/>
      <c r="C387" s="2"/>
      <c r="D387" s="2"/>
      <c r="E387" s="2"/>
      <c r="F387" s="2"/>
      <c r="G387" s="2"/>
      <c r="H387" s="2"/>
      <c r="I387" s="2"/>
    </row>
    <row r="388" spans="1:9" ht="15" thickBot="1" x14ac:dyDescent="0.3">
      <c r="A388" s="2"/>
      <c r="B388" s="2"/>
      <c r="C388" s="2"/>
      <c r="D388" s="2"/>
      <c r="E388" s="2"/>
      <c r="F388" s="2"/>
      <c r="G388" s="2"/>
      <c r="H388" s="2"/>
      <c r="I388" s="2"/>
    </row>
    <row r="389" spans="1:9" ht="15" thickBot="1" x14ac:dyDescent="0.3">
      <c r="A389" s="2"/>
      <c r="B389" s="2"/>
      <c r="C389" s="2"/>
      <c r="D389" s="2"/>
      <c r="E389" s="2"/>
      <c r="F389" s="2"/>
      <c r="G389" s="2"/>
      <c r="H389" s="2"/>
      <c r="I389" s="2"/>
    </row>
    <row r="390" spans="1:9" ht="15" thickBot="1" x14ac:dyDescent="0.3">
      <c r="A390" s="2"/>
      <c r="B390" s="2"/>
      <c r="C390" s="2"/>
      <c r="D390" s="2"/>
      <c r="E390" s="2"/>
      <c r="F390" s="2"/>
      <c r="G390" s="2"/>
      <c r="H390" s="2"/>
      <c r="I390" s="2"/>
    </row>
    <row r="391" spans="1:9" ht="15" thickBot="1" x14ac:dyDescent="0.3">
      <c r="A391" s="2"/>
      <c r="B391" s="2"/>
      <c r="C391" s="2"/>
      <c r="D391" s="2"/>
      <c r="E391" s="2"/>
      <c r="F391" s="2"/>
      <c r="G391" s="2"/>
      <c r="H391" s="2"/>
      <c r="I391" s="2"/>
    </row>
    <row r="392" spans="1:9" ht="15" thickBot="1" x14ac:dyDescent="0.3">
      <c r="A392" s="2"/>
      <c r="B392" s="2"/>
      <c r="C392" s="2"/>
      <c r="D392" s="2"/>
      <c r="E392" s="2"/>
      <c r="F392" s="2"/>
      <c r="G392" s="2"/>
      <c r="H392" s="2"/>
      <c r="I392" s="2"/>
    </row>
    <row r="393" spans="1:9" ht="15" thickBot="1" x14ac:dyDescent="0.3">
      <c r="A393" s="2"/>
      <c r="B393" s="2"/>
      <c r="C393" s="2"/>
      <c r="D393" s="2"/>
      <c r="E393" s="2"/>
      <c r="F393" s="2"/>
      <c r="G393" s="2"/>
      <c r="H393" s="2"/>
      <c r="I393" s="2"/>
    </row>
    <row r="394" spans="1:9" ht="15" thickBot="1" x14ac:dyDescent="0.3">
      <c r="A394" s="2"/>
      <c r="B394" s="2"/>
      <c r="C394" s="2"/>
      <c r="D394" s="2"/>
      <c r="E394" s="2"/>
      <c r="F394" s="2"/>
      <c r="G394" s="2"/>
      <c r="H394" s="2"/>
      <c r="I394" s="2"/>
    </row>
    <row r="395" spans="1:9" ht="15" thickBot="1" x14ac:dyDescent="0.3">
      <c r="A395" s="2"/>
      <c r="B395" s="2"/>
      <c r="C395" s="2"/>
      <c r="D395" s="2"/>
      <c r="E395" s="2"/>
      <c r="F395" s="2"/>
      <c r="G395" s="2"/>
      <c r="H395" s="2"/>
      <c r="I395" s="2"/>
    </row>
    <row r="396" spans="1:9" ht="15" thickBot="1" x14ac:dyDescent="0.3">
      <c r="A396" s="2"/>
      <c r="B396" s="2"/>
      <c r="C396" s="2"/>
      <c r="D396" s="2"/>
      <c r="E396" s="2"/>
      <c r="F396" s="2"/>
      <c r="G396" s="2"/>
      <c r="H396" s="2"/>
      <c r="I396" s="2"/>
    </row>
    <row r="397" spans="1:9" ht="15" thickBot="1" x14ac:dyDescent="0.3">
      <c r="A397" s="2"/>
      <c r="B397" s="2"/>
      <c r="C397" s="2"/>
      <c r="D397" s="2"/>
      <c r="E397" s="2"/>
      <c r="F397" s="2"/>
      <c r="G397" s="2"/>
      <c r="H397" s="2"/>
      <c r="I397" s="2"/>
    </row>
    <row r="398" spans="1:9" ht="15" thickBot="1" x14ac:dyDescent="0.3">
      <c r="A398" s="2"/>
      <c r="B398" s="2"/>
      <c r="C398" s="2"/>
      <c r="D398" s="2"/>
      <c r="E398" s="2"/>
      <c r="F398" s="2"/>
      <c r="G398" s="2"/>
      <c r="H398" s="2"/>
      <c r="I398" s="2"/>
    </row>
    <row r="399" spans="1:9" ht="15" thickBot="1" x14ac:dyDescent="0.3">
      <c r="A399" s="2"/>
      <c r="B399" s="2"/>
      <c r="C399" s="2"/>
      <c r="D399" s="2"/>
      <c r="E399" s="2"/>
      <c r="F399" s="2"/>
      <c r="G399" s="2"/>
      <c r="H399" s="2"/>
      <c r="I399" s="2"/>
    </row>
    <row r="400" spans="1:9" ht="15" thickBot="1" x14ac:dyDescent="0.3">
      <c r="A400" s="2"/>
      <c r="B400" s="2"/>
      <c r="C400" s="2"/>
      <c r="D400" s="2"/>
      <c r="E400" s="2"/>
      <c r="F400" s="2"/>
      <c r="G400" s="2"/>
      <c r="H400" s="2"/>
      <c r="I400" s="2"/>
    </row>
    <row r="401" spans="1:9" ht="15" thickBot="1" x14ac:dyDescent="0.3">
      <c r="A401" s="2"/>
      <c r="B401" s="2"/>
      <c r="C401" s="2"/>
      <c r="D401" s="2"/>
      <c r="E401" s="2"/>
      <c r="F401" s="2"/>
      <c r="G401" s="2"/>
      <c r="H401" s="2"/>
      <c r="I401" s="2"/>
    </row>
    <row r="402" spans="1:9" ht="15" thickBot="1" x14ac:dyDescent="0.3">
      <c r="A402" s="2"/>
      <c r="B402" s="2"/>
      <c r="C402" s="2"/>
      <c r="D402" s="2"/>
      <c r="E402" s="2"/>
      <c r="F402" s="2"/>
      <c r="G402" s="2"/>
      <c r="H402" s="2"/>
      <c r="I402" s="2"/>
    </row>
    <row r="403" spans="1:9" ht="15" thickBot="1" x14ac:dyDescent="0.3">
      <c r="A403" s="2"/>
      <c r="B403" s="2"/>
      <c r="C403" s="2"/>
      <c r="D403" s="2"/>
      <c r="E403" s="2"/>
      <c r="F403" s="2"/>
      <c r="G403" s="2"/>
      <c r="H403" s="2"/>
      <c r="I403" s="2"/>
    </row>
    <row r="404" spans="1:9" ht="15" thickBot="1" x14ac:dyDescent="0.3">
      <c r="A404" s="2"/>
      <c r="B404" s="2"/>
      <c r="C404" s="2"/>
      <c r="D404" s="2"/>
      <c r="E404" s="2"/>
      <c r="F404" s="2"/>
      <c r="G404" s="2"/>
      <c r="H404" s="2"/>
      <c r="I404" s="2"/>
    </row>
    <row r="405" spans="1:9" ht="15" thickBot="1" x14ac:dyDescent="0.3">
      <c r="A405" s="2"/>
      <c r="B405" s="2"/>
      <c r="C405" s="2"/>
      <c r="D405" s="2"/>
      <c r="E405" s="2"/>
      <c r="F405" s="2"/>
      <c r="G405" s="2"/>
      <c r="H405" s="2"/>
      <c r="I405" s="2"/>
    </row>
    <row r="406" spans="1:9" ht="15" thickBot="1" x14ac:dyDescent="0.3">
      <c r="A406" s="2"/>
      <c r="B406" s="2"/>
      <c r="C406" s="2"/>
      <c r="D406" s="2"/>
      <c r="E406" s="2"/>
      <c r="F406" s="2"/>
      <c r="G406" s="2"/>
      <c r="H406" s="2"/>
      <c r="I406" s="2"/>
    </row>
    <row r="407" spans="1:9" ht="15" thickBot="1" x14ac:dyDescent="0.3">
      <c r="A407" s="2"/>
      <c r="B407" s="2"/>
      <c r="C407" s="2"/>
      <c r="D407" s="2"/>
      <c r="E407" s="2"/>
      <c r="F407" s="2"/>
      <c r="G407" s="2"/>
      <c r="H407" s="2"/>
      <c r="I407" s="2"/>
    </row>
    <row r="408" spans="1:9" ht="15" thickBot="1" x14ac:dyDescent="0.3">
      <c r="A408" s="2"/>
      <c r="B408" s="2"/>
      <c r="C408" s="2"/>
      <c r="D408" s="2"/>
      <c r="E408" s="2"/>
      <c r="F408" s="2"/>
      <c r="G408" s="2"/>
      <c r="H408" s="2"/>
      <c r="I408" s="2"/>
    </row>
    <row r="409" spans="1:9" ht="15" thickBot="1" x14ac:dyDescent="0.3">
      <c r="A409" s="2"/>
      <c r="B409" s="2"/>
      <c r="C409" s="2"/>
      <c r="D409" s="2"/>
      <c r="E409" s="2"/>
      <c r="F409" s="2"/>
      <c r="G409" s="2"/>
      <c r="H409" s="2"/>
      <c r="I409" s="2"/>
    </row>
    <row r="410" spans="1:9" ht="15" thickBot="1" x14ac:dyDescent="0.3">
      <c r="A410" s="2"/>
      <c r="B410" s="2"/>
      <c r="C410" s="2"/>
      <c r="D410" s="2"/>
      <c r="E410" s="2"/>
      <c r="F410" s="2"/>
      <c r="G410" s="2"/>
      <c r="H410" s="2"/>
      <c r="I410" s="2"/>
    </row>
    <row r="411" spans="1:9" ht="15" thickBot="1" x14ac:dyDescent="0.3">
      <c r="A411" s="2"/>
      <c r="B411" s="2"/>
      <c r="C411" s="2"/>
      <c r="D411" s="2"/>
      <c r="E411" s="2"/>
      <c r="F411" s="2"/>
      <c r="G411" s="2"/>
      <c r="H411" s="2"/>
      <c r="I411" s="2"/>
    </row>
    <row r="412" spans="1:9" ht="15" thickBot="1" x14ac:dyDescent="0.3">
      <c r="A412" s="2"/>
      <c r="B412" s="2"/>
      <c r="C412" s="2"/>
      <c r="D412" s="2"/>
      <c r="E412" s="2"/>
      <c r="F412" s="2"/>
      <c r="G412" s="2"/>
      <c r="H412" s="2"/>
      <c r="I412" s="2"/>
    </row>
    <row r="413" spans="1:9" ht="15" thickBot="1" x14ac:dyDescent="0.3">
      <c r="A413" s="2"/>
      <c r="B413" s="2"/>
      <c r="C413" s="2"/>
      <c r="D413" s="2"/>
      <c r="E413" s="2"/>
      <c r="F413" s="2"/>
      <c r="G413" s="2"/>
      <c r="H413" s="2"/>
      <c r="I413" s="2"/>
    </row>
    <row r="414" spans="1:9" ht="15" thickBot="1" x14ac:dyDescent="0.3">
      <c r="A414" s="2"/>
      <c r="B414" s="2"/>
      <c r="C414" s="2"/>
      <c r="D414" s="2"/>
      <c r="E414" s="2"/>
      <c r="F414" s="2"/>
      <c r="G414" s="2"/>
      <c r="H414" s="2"/>
      <c r="I414" s="2"/>
    </row>
    <row r="415" spans="1:9" ht="15" thickBot="1" x14ac:dyDescent="0.3">
      <c r="A415" s="2"/>
      <c r="B415" s="2"/>
      <c r="C415" s="2"/>
      <c r="D415" s="2"/>
      <c r="E415" s="2"/>
      <c r="F415" s="2"/>
      <c r="G415" s="2"/>
      <c r="H415" s="2"/>
      <c r="I415" s="2"/>
    </row>
    <row r="416" spans="1:9" ht="15" thickBot="1" x14ac:dyDescent="0.3">
      <c r="A416" s="2"/>
      <c r="B416" s="2"/>
      <c r="C416" s="2"/>
      <c r="D416" s="2"/>
      <c r="E416" s="2"/>
      <c r="F416" s="2"/>
      <c r="G416" s="2"/>
      <c r="H416" s="2"/>
      <c r="I416" s="2"/>
    </row>
    <row r="417" spans="1:9" ht="15" thickBot="1" x14ac:dyDescent="0.3">
      <c r="A417" s="2"/>
      <c r="B417" s="2"/>
      <c r="C417" s="2"/>
      <c r="D417" s="2"/>
      <c r="E417" s="2"/>
      <c r="F417" s="2"/>
      <c r="G417" s="2"/>
      <c r="H417" s="2"/>
      <c r="I417" s="2"/>
    </row>
    <row r="418" spans="1:9" ht="15" thickBot="1" x14ac:dyDescent="0.3">
      <c r="A418" s="2"/>
      <c r="B418" s="2"/>
      <c r="C418" s="2"/>
      <c r="D418" s="2"/>
      <c r="E418" s="2"/>
      <c r="F418" s="2"/>
      <c r="G418" s="2"/>
      <c r="H418" s="2"/>
      <c r="I418" s="2"/>
    </row>
    <row r="419" spans="1:9" ht="15" thickBot="1" x14ac:dyDescent="0.3">
      <c r="A419" s="2"/>
      <c r="B419" s="2"/>
      <c r="C419" s="2"/>
      <c r="D419" s="2"/>
      <c r="E419" s="2"/>
      <c r="F419" s="2"/>
      <c r="G419" s="2"/>
      <c r="H419" s="2"/>
      <c r="I419" s="2"/>
    </row>
    <row r="420" spans="1:9" ht="15" thickBot="1" x14ac:dyDescent="0.3">
      <c r="A420" s="2"/>
      <c r="B420" s="2"/>
      <c r="C420" s="2"/>
      <c r="D420" s="2"/>
      <c r="E420" s="2"/>
      <c r="F420" s="2"/>
      <c r="G420" s="2"/>
      <c r="H420" s="2"/>
      <c r="I420" s="2"/>
    </row>
    <row r="421" spans="1:9" ht="15" thickBot="1" x14ac:dyDescent="0.3">
      <c r="A421" s="2"/>
      <c r="B421" s="2"/>
      <c r="C421" s="2"/>
      <c r="D421" s="2"/>
      <c r="E421" s="2"/>
      <c r="F421" s="2"/>
      <c r="G421" s="2"/>
      <c r="H421" s="2"/>
      <c r="I421" s="2"/>
    </row>
    <row r="422" spans="1:9" ht="15" thickBot="1" x14ac:dyDescent="0.3">
      <c r="A422" s="2"/>
      <c r="B422" s="2"/>
      <c r="C422" s="2"/>
      <c r="D422" s="2"/>
      <c r="E422" s="2"/>
      <c r="F422" s="2"/>
      <c r="G422" s="2"/>
      <c r="H422" s="2"/>
      <c r="I422" s="2"/>
    </row>
    <row r="423" spans="1:9" ht="15" thickBot="1" x14ac:dyDescent="0.3">
      <c r="A423" s="2"/>
      <c r="B423" s="2"/>
      <c r="C423" s="2"/>
      <c r="D423" s="2"/>
      <c r="E423" s="2"/>
      <c r="F423" s="2"/>
      <c r="G423" s="2"/>
      <c r="H423" s="2"/>
      <c r="I423" s="2"/>
    </row>
    <row r="424" spans="1:9" ht="15" thickBot="1" x14ac:dyDescent="0.3">
      <c r="A424" s="2"/>
      <c r="B424" s="2"/>
      <c r="C424" s="2"/>
      <c r="D424" s="2"/>
      <c r="E424" s="2"/>
      <c r="F424" s="2"/>
      <c r="G424" s="2"/>
      <c r="H424" s="2"/>
      <c r="I424" s="2"/>
    </row>
    <row r="425" spans="1:9" ht="15" thickBot="1" x14ac:dyDescent="0.3">
      <c r="A425" s="2"/>
      <c r="B425" s="2"/>
      <c r="C425" s="2"/>
      <c r="D425" s="2"/>
      <c r="E425" s="2"/>
      <c r="F425" s="2"/>
      <c r="G425" s="2"/>
      <c r="H425" s="2"/>
      <c r="I425" s="2"/>
    </row>
    <row r="426" spans="1:9" ht="15" thickBot="1" x14ac:dyDescent="0.3">
      <c r="A426" s="2"/>
      <c r="B426" s="2"/>
      <c r="C426" s="2"/>
      <c r="D426" s="2"/>
      <c r="E426" s="2"/>
      <c r="F426" s="2"/>
      <c r="G426" s="2"/>
      <c r="H426" s="2"/>
      <c r="I426" s="2"/>
    </row>
    <row r="427" spans="1:9" ht="15" thickBot="1" x14ac:dyDescent="0.3">
      <c r="A427" s="2"/>
      <c r="B427" s="2"/>
      <c r="C427" s="2"/>
      <c r="D427" s="2"/>
      <c r="E427" s="2"/>
      <c r="F427" s="2"/>
      <c r="G427" s="2"/>
      <c r="H427" s="2"/>
      <c r="I427" s="2"/>
    </row>
    <row r="428" spans="1:9" ht="15" thickBot="1" x14ac:dyDescent="0.3">
      <c r="A428" s="2"/>
      <c r="B428" s="2"/>
      <c r="C428" s="2"/>
      <c r="D428" s="2"/>
      <c r="E428" s="2"/>
      <c r="F428" s="2"/>
      <c r="G428" s="2"/>
      <c r="H428" s="2"/>
      <c r="I428" s="2"/>
    </row>
    <row r="429" spans="1:9" ht="15" thickBot="1" x14ac:dyDescent="0.3">
      <c r="A429" s="2"/>
      <c r="B429" s="2"/>
      <c r="C429" s="2"/>
      <c r="D429" s="2"/>
      <c r="E429" s="2"/>
      <c r="F429" s="2"/>
      <c r="G429" s="2"/>
      <c r="H429" s="2"/>
      <c r="I429" s="2"/>
    </row>
    <row r="430" spans="1:9" ht="15" thickBot="1" x14ac:dyDescent="0.3">
      <c r="A430" s="2"/>
      <c r="B430" s="2"/>
      <c r="C430" s="2"/>
      <c r="D430" s="2"/>
      <c r="E430" s="2"/>
      <c r="F430" s="2"/>
      <c r="G430" s="2"/>
      <c r="H430" s="2"/>
      <c r="I430" s="2"/>
    </row>
    <row r="431" spans="1:9" ht="15" thickBot="1" x14ac:dyDescent="0.3">
      <c r="A431" s="2"/>
      <c r="B431" s="2"/>
      <c r="C431" s="2"/>
      <c r="D431" s="2"/>
      <c r="E431" s="2"/>
      <c r="F431" s="2"/>
      <c r="G431" s="2"/>
      <c r="H431" s="2"/>
      <c r="I431" s="2"/>
    </row>
    <row r="432" spans="1:9" ht="15" thickBot="1" x14ac:dyDescent="0.3">
      <c r="A432" s="2"/>
      <c r="B432" s="2"/>
      <c r="C432" s="2"/>
      <c r="D432" s="2"/>
      <c r="E432" s="2"/>
      <c r="F432" s="2"/>
      <c r="G432" s="2"/>
      <c r="H432" s="2"/>
      <c r="I432" s="2"/>
    </row>
    <row r="433" spans="1:9" ht="15" thickBot="1" x14ac:dyDescent="0.3">
      <c r="A433" s="2"/>
      <c r="B433" s="2"/>
      <c r="C433" s="2"/>
      <c r="D433" s="2"/>
      <c r="E433" s="2"/>
      <c r="F433" s="2"/>
      <c r="G433" s="2"/>
      <c r="H433" s="2"/>
      <c r="I433" s="2"/>
    </row>
    <row r="434" spans="1:9" ht="15" thickBot="1" x14ac:dyDescent="0.3">
      <c r="A434" s="2"/>
      <c r="B434" s="2"/>
      <c r="C434" s="2"/>
      <c r="D434" s="2"/>
      <c r="E434" s="2"/>
      <c r="F434" s="2"/>
      <c r="G434" s="2"/>
      <c r="H434" s="2"/>
      <c r="I434" s="2"/>
    </row>
    <row r="435" spans="1:9" ht="15" thickBot="1" x14ac:dyDescent="0.3">
      <c r="A435" s="2"/>
      <c r="B435" s="2"/>
      <c r="C435" s="2"/>
      <c r="D435" s="2"/>
      <c r="E435" s="2"/>
      <c r="F435" s="2"/>
      <c r="G435" s="2"/>
      <c r="H435" s="2"/>
      <c r="I435" s="2"/>
    </row>
    <row r="436" spans="1:9" ht="15" thickBot="1" x14ac:dyDescent="0.3">
      <c r="A436" s="2"/>
      <c r="B436" s="2"/>
      <c r="C436" s="2"/>
      <c r="D436" s="2"/>
      <c r="E436" s="2"/>
      <c r="F436" s="2"/>
      <c r="G436" s="2"/>
      <c r="H436" s="2"/>
      <c r="I436" s="2"/>
    </row>
    <row r="437" spans="1:9" ht="15" thickBot="1" x14ac:dyDescent="0.3">
      <c r="A437" s="2"/>
      <c r="B437" s="2"/>
      <c r="C437" s="2"/>
      <c r="D437" s="2"/>
      <c r="E437" s="2"/>
      <c r="F437" s="2"/>
      <c r="G437" s="2"/>
      <c r="H437" s="2"/>
      <c r="I437" s="2"/>
    </row>
    <row r="438" spans="1:9" ht="15" thickBot="1" x14ac:dyDescent="0.3">
      <c r="A438" s="2"/>
      <c r="B438" s="2"/>
      <c r="C438" s="2"/>
      <c r="D438" s="2"/>
      <c r="E438" s="2"/>
      <c r="F438" s="2"/>
      <c r="G438" s="2"/>
      <c r="H438" s="2"/>
      <c r="I438" s="2"/>
    </row>
    <row r="439" spans="1:9" ht="15" thickBot="1" x14ac:dyDescent="0.3">
      <c r="A439" s="2"/>
      <c r="B439" s="2"/>
      <c r="C439" s="2"/>
      <c r="D439" s="2"/>
      <c r="E439" s="2"/>
      <c r="F439" s="2"/>
      <c r="G439" s="2"/>
      <c r="H439" s="2"/>
      <c r="I439" s="2"/>
    </row>
    <row r="440" spans="1:9" ht="15" thickBot="1" x14ac:dyDescent="0.3">
      <c r="A440" s="2"/>
      <c r="B440" s="2"/>
      <c r="C440" s="2"/>
      <c r="D440" s="2"/>
      <c r="E440" s="2"/>
      <c r="F440" s="2"/>
      <c r="G440" s="2"/>
      <c r="H440" s="2"/>
      <c r="I440" s="2"/>
    </row>
    <row r="441" spans="1:9" ht="15" thickBot="1" x14ac:dyDescent="0.3">
      <c r="A441" s="2"/>
      <c r="B441" s="2"/>
      <c r="C441" s="2"/>
      <c r="D441" s="2"/>
      <c r="E441" s="2"/>
      <c r="F441" s="2"/>
      <c r="G441" s="2"/>
      <c r="H441" s="2"/>
      <c r="I441" s="2"/>
    </row>
    <row r="442" spans="1:9" ht="15" thickBot="1" x14ac:dyDescent="0.3">
      <c r="A442" s="2"/>
      <c r="B442" s="2"/>
      <c r="C442" s="2"/>
      <c r="D442" s="2"/>
      <c r="E442" s="2"/>
      <c r="F442" s="2"/>
      <c r="G442" s="2"/>
      <c r="H442" s="2"/>
      <c r="I442" s="2"/>
    </row>
    <row r="443" spans="1:9" ht="15" thickBot="1" x14ac:dyDescent="0.3">
      <c r="A443" s="2"/>
      <c r="B443" s="2"/>
      <c r="C443" s="2"/>
      <c r="D443" s="2"/>
      <c r="E443" s="2"/>
      <c r="F443" s="2"/>
      <c r="G443" s="2"/>
      <c r="H443" s="2"/>
      <c r="I443" s="2"/>
    </row>
    <row r="444" spans="1:9" ht="15" thickBot="1" x14ac:dyDescent="0.3">
      <c r="A444" s="2"/>
      <c r="B444" s="2"/>
      <c r="C444" s="2"/>
      <c r="D444" s="2"/>
      <c r="E444" s="2"/>
      <c r="F444" s="2"/>
      <c r="G444" s="2"/>
      <c r="H444" s="2"/>
      <c r="I444" s="2"/>
    </row>
    <row r="445" spans="1:9" ht="15" thickBot="1" x14ac:dyDescent="0.3">
      <c r="A445" s="2"/>
      <c r="B445" s="2"/>
      <c r="C445" s="2"/>
      <c r="D445" s="2"/>
      <c r="E445" s="2"/>
      <c r="F445" s="2"/>
      <c r="G445" s="2"/>
      <c r="H445" s="2"/>
      <c r="I445" s="2"/>
    </row>
    <row r="446" spans="1:9" ht="15" thickBot="1" x14ac:dyDescent="0.3">
      <c r="A446" s="2"/>
      <c r="B446" s="2"/>
      <c r="C446" s="2"/>
      <c r="D446" s="2"/>
      <c r="E446" s="2"/>
      <c r="F446" s="2"/>
      <c r="G446" s="2"/>
      <c r="H446" s="2"/>
      <c r="I446" s="2"/>
    </row>
    <row r="447" spans="1:9" ht="15" thickBot="1" x14ac:dyDescent="0.3">
      <c r="A447" s="2"/>
      <c r="B447" s="2"/>
      <c r="C447" s="2"/>
      <c r="D447" s="2"/>
      <c r="E447" s="2"/>
      <c r="F447" s="2"/>
      <c r="G447" s="2"/>
      <c r="H447" s="2"/>
      <c r="I447" s="2"/>
    </row>
    <row r="448" spans="1:9" ht="15" thickBot="1" x14ac:dyDescent="0.3">
      <c r="A448" s="2"/>
      <c r="B448" s="2"/>
      <c r="C448" s="2"/>
      <c r="D448" s="2"/>
      <c r="E448" s="2"/>
      <c r="F448" s="2"/>
      <c r="G448" s="2"/>
      <c r="H448" s="2"/>
      <c r="I448" s="2"/>
    </row>
    <row r="449" spans="1:9" ht="15" thickBot="1" x14ac:dyDescent="0.3">
      <c r="A449" s="2"/>
      <c r="B449" s="2"/>
      <c r="C449" s="2"/>
      <c r="D449" s="2"/>
      <c r="E449" s="2"/>
      <c r="F449" s="2"/>
      <c r="G449" s="2"/>
      <c r="H449" s="2"/>
      <c r="I449" s="2"/>
    </row>
    <row r="450" spans="1:9" ht="15" thickBot="1" x14ac:dyDescent="0.3">
      <c r="A450" s="2"/>
      <c r="B450" s="2"/>
      <c r="C450" s="2"/>
      <c r="D450" s="2"/>
      <c r="E450" s="2"/>
      <c r="F450" s="2"/>
      <c r="G450" s="2"/>
      <c r="H450" s="2"/>
      <c r="I450" s="2"/>
    </row>
    <row r="451" spans="1:9" ht="15" thickBot="1" x14ac:dyDescent="0.3">
      <c r="A451" s="2"/>
      <c r="B451" s="2"/>
      <c r="C451" s="2"/>
      <c r="D451" s="2"/>
      <c r="E451" s="2"/>
      <c r="F451" s="2"/>
      <c r="G451" s="2"/>
      <c r="H451" s="2"/>
      <c r="I451" s="2"/>
    </row>
    <row r="452" spans="1:9" ht="15" thickBot="1" x14ac:dyDescent="0.3">
      <c r="A452" s="2"/>
      <c r="B452" s="2"/>
      <c r="C452" s="2"/>
      <c r="D452" s="2"/>
      <c r="E452" s="2"/>
      <c r="F452" s="2"/>
      <c r="G452" s="2"/>
      <c r="H452" s="2"/>
      <c r="I452" s="2"/>
    </row>
    <row r="453" spans="1:9" ht="15" thickBot="1" x14ac:dyDescent="0.3">
      <c r="A453" s="2"/>
      <c r="B453" s="2"/>
      <c r="C453" s="2"/>
      <c r="D453" s="2"/>
      <c r="E453" s="2"/>
      <c r="F453" s="2"/>
      <c r="G453" s="2"/>
      <c r="H453" s="2"/>
      <c r="I453" s="2"/>
    </row>
    <row r="454" spans="1:9" ht="15" thickBot="1" x14ac:dyDescent="0.3">
      <c r="A454" s="2"/>
      <c r="B454" s="2"/>
      <c r="C454" s="2"/>
      <c r="D454" s="2"/>
      <c r="E454" s="2"/>
      <c r="F454" s="2"/>
      <c r="G454" s="2"/>
      <c r="H454" s="2"/>
      <c r="I454" s="2"/>
    </row>
    <row r="455" spans="1:9" ht="15" thickBot="1" x14ac:dyDescent="0.3">
      <c r="A455" s="2"/>
      <c r="B455" s="2"/>
      <c r="C455" s="2"/>
      <c r="D455" s="2"/>
      <c r="E455" s="2"/>
      <c r="F455" s="2"/>
      <c r="G455" s="2"/>
      <c r="H455" s="2"/>
      <c r="I455" s="2"/>
    </row>
    <row r="456" spans="1:9" ht="15" thickBot="1" x14ac:dyDescent="0.3">
      <c r="A456" s="2"/>
      <c r="B456" s="2"/>
      <c r="C456" s="2"/>
      <c r="D456" s="2"/>
      <c r="E456" s="2"/>
      <c r="F456" s="2"/>
      <c r="G456" s="2"/>
      <c r="H456" s="2"/>
      <c r="I456" s="2"/>
    </row>
    <row r="457" spans="1:9" ht="15" thickBot="1" x14ac:dyDescent="0.3">
      <c r="A457" s="2"/>
      <c r="B457" s="2"/>
      <c r="C457" s="2"/>
      <c r="D457" s="2"/>
      <c r="E457" s="2"/>
      <c r="F457" s="2"/>
      <c r="G457" s="2"/>
      <c r="H457" s="2"/>
      <c r="I457" s="2"/>
    </row>
    <row r="458" spans="1:9" ht="15" thickBot="1" x14ac:dyDescent="0.3">
      <c r="A458" s="2"/>
      <c r="B458" s="2"/>
      <c r="C458" s="2"/>
      <c r="D458" s="2"/>
      <c r="E458" s="2"/>
      <c r="F458" s="2"/>
      <c r="G458" s="2"/>
      <c r="H458" s="2"/>
      <c r="I458" s="2"/>
    </row>
    <row r="459" spans="1:9" ht="15" thickBot="1" x14ac:dyDescent="0.3">
      <c r="A459" s="2"/>
      <c r="B459" s="2"/>
      <c r="C459" s="2"/>
      <c r="D459" s="2"/>
      <c r="E459" s="2"/>
      <c r="F459" s="2"/>
      <c r="G459" s="2"/>
      <c r="H459" s="2"/>
      <c r="I459" s="2"/>
    </row>
    <row r="460" spans="1:9" ht="15" thickBot="1" x14ac:dyDescent="0.3">
      <c r="A460" s="2"/>
      <c r="B460" s="2"/>
      <c r="C460" s="2"/>
      <c r="D460" s="2"/>
      <c r="E460" s="2"/>
      <c r="F460" s="2"/>
      <c r="G460" s="2"/>
      <c r="H460" s="2"/>
      <c r="I460" s="2"/>
    </row>
    <row r="461" spans="1:9" ht="15" thickBot="1" x14ac:dyDescent="0.3">
      <c r="A461" s="2"/>
      <c r="B461" s="2"/>
      <c r="C461" s="2"/>
      <c r="D461" s="2"/>
      <c r="E461" s="2"/>
      <c r="F461" s="2"/>
      <c r="G461" s="2"/>
      <c r="H461" s="2"/>
      <c r="I461" s="2"/>
    </row>
    <row r="462" spans="1:9" ht="15" thickBot="1" x14ac:dyDescent="0.3">
      <c r="A462" s="2"/>
      <c r="B462" s="2"/>
      <c r="C462" s="2"/>
      <c r="D462" s="2"/>
      <c r="E462" s="2"/>
      <c r="F462" s="2"/>
      <c r="G462" s="2"/>
      <c r="H462" s="2"/>
      <c r="I462" s="2"/>
    </row>
    <row r="463" spans="1:9" ht="15" thickBot="1" x14ac:dyDescent="0.3">
      <c r="A463" s="2"/>
      <c r="B463" s="2"/>
      <c r="C463" s="2"/>
      <c r="D463" s="2"/>
      <c r="E463" s="2"/>
      <c r="F463" s="2"/>
      <c r="G463" s="2"/>
      <c r="H463" s="2"/>
      <c r="I463" s="2"/>
    </row>
    <row r="464" spans="1:9" ht="15" thickBot="1" x14ac:dyDescent="0.3">
      <c r="A464" s="2"/>
      <c r="B464" s="2"/>
      <c r="C464" s="2"/>
      <c r="D464" s="2"/>
      <c r="E464" s="2"/>
      <c r="F464" s="2"/>
      <c r="G464" s="2"/>
      <c r="H464" s="2"/>
      <c r="I464" s="2"/>
    </row>
    <row r="465" spans="1:9" ht="15" thickBot="1" x14ac:dyDescent="0.3">
      <c r="A465" s="2"/>
      <c r="B465" s="2"/>
      <c r="C465" s="2"/>
      <c r="D465" s="2"/>
      <c r="E465" s="2"/>
      <c r="F465" s="2"/>
      <c r="G465" s="2"/>
      <c r="H465" s="2"/>
      <c r="I465" s="2"/>
    </row>
    <row r="466" spans="1:9" ht="15" thickBot="1" x14ac:dyDescent="0.3">
      <c r="A466" s="2"/>
      <c r="B466" s="2"/>
      <c r="C466" s="2"/>
      <c r="D466" s="2"/>
      <c r="E466" s="2"/>
      <c r="F466" s="2"/>
      <c r="G466" s="2"/>
      <c r="H466" s="2"/>
      <c r="I466" s="2"/>
    </row>
    <row r="467" spans="1:9" ht="15" thickBot="1" x14ac:dyDescent="0.3">
      <c r="A467" s="2"/>
      <c r="B467" s="2"/>
      <c r="C467" s="2"/>
      <c r="D467" s="2"/>
      <c r="E467" s="2"/>
      <c r="F467" s="2"/>
      <c r="G467" s="2"/>
      <c r="H467" s="2"/>
      <c r="I467" s="2"/>
    </row>
    <row r="468" spans="1:9" ht="15" thickBot="1" x14ac:dyDescent="0.3">
      <c r="A468" s="2"/>
      <c r="B468" s="2"/>
      <c r="C468" s="2"/>
      <c r="D468" s="2"/>
      <c r="E468" s="2"/>
      <c r="F468" s="2"/>
      <c r="G468" s="2"/>
      <c r="H468" s="2"/>
      <c r="I468" s="2"/>
    </row>
    <row r="469" spans="1:9" ht="15" thickBot="1" x14ac:dyDescent="0.3">
      <c r="A469" s="2"/>
      <c r="B469" s="2"/>
      <c r="C469" s="2"/>
      <c r="D469" s="2"/>
      <c r="E469" s="2"/>
      <c r="F469" s="2"/>
      <c r="G469" s="2"/>
      <c r="H469" s="2"/>
      <c r="I469" s="2"/>
    </row>
    <row r="470" spans="1:9" ht="15" thickBot="1" x14ac:dyDescent="0.3">
      <c r="A470" s="2"/>
      <c r="B470" s="2"/>
      <c r="C470" s="2"/>
      <c r="D470" s="2"/>
      <c r="E470" s="2"/>
      <c r="F470" s="2"/>
      <c r="G470" s="2"/>
      <c r="H470" s="2"/>
      <c r="I470" s="2"/>
    </row>
    <row r="471" spans="1:9" ht="15" thickBot="1" x14ac:dyDescent="0.3">
      <c r="A471" s="2"/>
      <c r="B471" s="2"/>
      <c r="C471" s="2"/>
      <c r="D471" s="2"/>
      <c r="E471" s="2"/>
      <c r="F471" s="2"/>
      <c r="G471" s="2"/>
      <c r="H471" s="2"/>
      <c r="I471" s="2"/>
    </row>
    <row r="472" spans="1:9" ht="15" thickBot="1" x14ac:dyDescent="0.3">
      <c r="A472" s="2"/>
      <c r="B472" s="2"/>
      <c r="C472" s="2"/>
      <c r="D472" s="2"/>
      <c r="E472" s="2"/>
      <c r="F472" s="2"/>
      <c r="G472" s="2"/>
      <c r="H472" s="2"/>
      <c r="I472" s="2"/>
    </row>
    <row r="473" spans="1:9" ht="15" thickBot="1" x14ac:dyDescent="0.3">
      <c r="A473" s="2"/>
      <c r="B473" s="2"/>
      <c r="C473" s="2"/>
      <c r="D473" s="2"/>
      <c r="E473" s="2"/>
      <c r="F473" s="2"/>
      <c r="G473" s="2"/>
      <c r="H473" s="2"/>
      <c r="I473" s="2"/>
    </row>
    <row r="474" spans="1:9" ht="15" thickBot="1" x14ac:dyDescent="0.3">
      <c r="A474" s="2"/>
      <c r="B474" s="2"/>
      <c r="C474" s="2"/>
      <c r="D474" s="2"/>
      <c r="E474" s="2"/>
      <c r="F474" s="2"/>
      <c r="G474" s="2"/>
      <c r="H474" s="2"/>
      <c r="I474" s="2"/>
    </row>
    <row r="475" spans="1:9" ht="15" thickBot="1" x14ac:dyDescent="0.3">
      <c r="A475" s="2"/>
      <c r="B475" s="2"/>
      <c r="C475" s="2"/>
      <c r="D475" s="2"/>
      <c r="E475" s="2"/>
      <c r="F475" s="2"/>
      <c r="G475" s="2"/>
      <c r="H475" s="2"/>
      <c r="I475" s="2"/>
    </row>
    <row r="476" spans="1:9" ht="15" thickBot="1" x14ac:dyDescent="0.3">
      <c r="A476" s="2"/>
      <c r="B476" s="2"/>
      <c r="C476" s="2"/>
      <c r="D476" s="2"/>
      <c r="E476" s="2"/>
      <c r="F476" s="2"/>
      <c r="G476" s="2"/>
      <c r="H476" s="2"/>
      <c r="I476" s="2"/>
    </row>
    <row r="477" spans="1:9" ht="15" thickBot="1" x14ac:dyDescent="0.3">
      <c r="A477" s="2"/>
      <c r="B477" s="2"/>
      <c r="C477" s="2"/>
      <c r="D477" s="2"/>
      <c r="E477" s="2"/>
      <c r="F477" s="2"/>
      <c r="G477" s="2"/>
      <c r="H477" s="2"/>
      <c r="I477" s="2"/>
    </row>
    <row r="478" spans="1:9" ht="15" thickBot="1" x14ac:dyDescent="0.3">
      <c r="A478" s="2"/>
      <c r="B478" s="2"/>
      <c r="C478" s="2"/>
      <c r="D478" s="2"/>
      <c r="E478" s="2"/>
      <c r="F478" s="2"/>
      <c r="G478" s="2"/>
      <c r="H478" s="2"/>
      <c r="I478" s="2"/>
    </row>
    <row r="479" spans="1:9" ht="15" thickBot="1" x14ac:dyDescent="0.3">
      <c r="A479" s="2"/>
      <c r="B479" s="2"/>
      <c r="C479" s="2"/>
      <c r="D479" s="2"/>
      <c r="E479" s="2"/>
      <c r="F479" s="2"/>
      <c r="G479" s="2"/>
      <c r="H479" s="2"/>
      <c r="I479" s="2"/>
    </row>
    <row r="480" spans="1:9" ht="15" thickBot="1" x14ac:dyDescent="0.3">
      <c r="A480" s="2"/>
      <c r="B480" s="2"/>
      <c r="C480" s="2"/>
      <c r="D480" s="2"/>
      <c r="E480" s="2"/>
      <c r="F480" s="2"/>
      <c r="G480" s="2"/>
      <c r="H480" s="2"/>
      <c r="I480" s="2"/>
    </row>
    <row r="481" spans="1:9" ht="15" thickBot="1" x14ac:dyDescent="0.3">
      <c r="A481" s="2"/>
      <c r="B481" s="2"/>
      <c r="C481" s="2"/>
      <c r="D481" s="2"/>
      <c r="E481" s="2"/>
      <c r="F481" s="2"/>
      <c r="G481" s="2"/>
      <c r="H481" s="2"/>
      <c r="I481" s="2"/>
    </row>
    <row r="482" spans="1:9" ht="15" thickBot="1" x14ac:dyDescent="0.3">
      <c r="A482" s="2"/>
      <c r="B482" s="2"/>
      <c r="C482" s="2"/>
      <c r="D482" s="2"/>
      <c r="E482" s="2"/>
      <c r="F482" s="2"/>
      <c r="G482" s="2"/>
      <c r="H482" s="2"/>
      <c r="I482" s="2"/>
    </row>
    <row r="483" spans="1:9" ht="15" thickBot="1" x14ac:dyDescent="0.3">
      <c r="A483" s="2"/>
      <c r="B483" s="2"/>
      <c r="C483" s="2"/>
      <c r="D483" s="2"/>
      <c r="E483" s="2"/>
      <c r="F483" s="2"/>
      <c r="G483" s="2"/>
      <c r="H483" s="2"/>
      <c r="I483" s="2"/>
    </row>
    <row r="484" spans="1:9" ht="15" thickBot="1" x14ac:dyDescent="0.3">
      <c r="A484" s="2"/>
      <c r="B484" s="2"/>
      <c r="C484" s="2"/>
      <c r="D484" s="2"/>
      <c r="E484" s="2"/>
      <c r="F484" s="2"/>
      <c r="G484" s="2"/>
      <c r="H484" s="2"/>
      <c r="I484" s="2"/>
    </row>
    <row r="485" spans="1:9" ht="15" thickBot="1" x14ac:dyDescent="0.3">
      <c r="A485" s="2"/>
      <c r="B485" s="2"/>
      <c r="C485" s="2"/>
      <c r="D485" s="2"/>
      <c r="E485" s="2"/>
      <c r="F485" s="2"/>
      <c r="G485" s="2"/>
      <c r="H485" s="2"/>
      <c r="I485" s="2"/>
    </row>
    <row r="486" spans="1:9" ht="15" thickBot="1" x14ac:dyDescent="0.3">
      <c r="A486" s="2"/>
      <c r="B486" s="2"/>
      <c r="C486" s="2"/>
      <c r="D486" s="2"/>
      <c r="E486" s="2"/>
      <c r="F486" s="2"/>
      <c r="G486" s="2"/>
      <c r="H486" s="2"/>
      <c r="I486" s="2"/>
    </row>
    <row r="487" spans="1:9" ht="15" thickBot="1" x14ac:dyDescent="0.3">
      <c r="A487" s="2"/>
      <c r="B487" s="2"/>
      <c r="C487" s="2"/>
      <c r="D487" s="2"/>
      <c r="E487" s="2"/>
      <c r="F487" s="2"/>
      <c r="G487" s="2"/>
      <c r="H487" s="2"/>
      <c r="I487" s="2"/>
    </row>
    <row r="488" spans="1:9" ht="15" thickBot="1" x14ac:dyDescent="0.3">
      <c r="A488" s="2"/>
      <c r="B488" s="2"/>
      <c r="C488" s="2"/>
      <c r="D488" s="2"/>
      <c r="E488" s="2"/>
      <c r="F488" s="2"/>
      <c r="G488" s="2"/>
      <c r="H488" s="2"/>
      <c r="I488" s="2"/>
    </row>
    <row r="489" spans="1:9" ht="15" thickBot="1" x14ac:dyDescent="0.3">
      <c r="A489" s="2"/>
      <c r="B489" s="2"/>
      <c r="C489" s="2"/>
      <c r="D489" s="2"/>
      <c r="E489" s="2"/>
      <c r="F489" s="2"/>
      <c r="G489" s="2"/>
      <c r="H489" s="2"/>
      <c r="I489" s="2"/>
    </row>
    <row r="490" spans="1:9" ht="15" thickBot="1" x14ac:dyDescent="0.3">
      <c r="A490" s="2"/>
      <c r="B490" s="2"/>
      <c r="C490" s="2"/>
      <c r="D490" s="2"/>
      <c r="E490" s="2"/>
      <c r="F490" s="2"/>
      <c r="G490" s="2"/>
      <c r="H490" s="2"/>
      <c r="I490" s="2"/>
    </row>
    <row r="491" spans="1:9" ht="15" thickBot="1" x14ac:dyDescent="0.3">
      <c r="A491" s="2"/>
      <c r="B491" s="2"/>
      <c r="C491" s="2"/>
      <c r="D491" s="2"/>
      <c r="E491" s="2"/>
      <c r="F491" s="2"/>
      <c r="G491" s="2"/>
      <c r="H491" s="2"/>
      <c r="I491" s="2"/>
    </row>
    <row r="492" spans="1:9" ht="15" thickBot="1" x14ac:dyDescent="0.3">
      <c r="A492" s="2"/>
      <c r="B492" s="2"/>
      <c r="C492" s="2"/>
      <c r="D492" s="2"/>
      <c r="E492" s="2"/>
      <c r="F492" s="2"/>
      <c r="G492" s="2"/>
      <c r="H492" s="2"/>
      <c r="I492" s="2"/>
    </row>
    <row r="493" spans="1:9" ht="15" thickBot="1" x14ac:dyDescent="0.3">
      <c r="A493" s="2"/>
      <c r="B493" s="2"/>
      <c r="C493" s="2"/>
      <c r="D493" s="2"/>
      <c r="E493" s="2"/>
      <c r="F493" s="2"/>
      <c r="G493" s="2"/>
      <c r="H493" s="2"/>
      <c r="I493" s="2"/>
    </row>
    <row r="494" spans="1:9" ht="15" thickBot="1" x14ac:dyDescent="0.3">
      <c r="A494" s="2"/>
      <c r="B494" s="2"/>
      <c r="C494" s="2"/>
      <c r="D494" s="2"/>
      <c r="E494" s="2"/>
      <c r="F494" s="2"/>
      <c r="G494" s="2"/>
      <c r="H494" s="2"/>
      <c r="I494" s="2"/>
    </row>
    <row r="495" spans="1:9" ht="15" thickBot="1" x14ac:dyDescent="0.3">
      <c r="A495" s="2"/>
      <c r="B495" s="2"/>
      <c r="C495" s="2"/>
      <c r="D495" s="2"/>
      <c r="E495" s="2"/>
      <c r="F495" s="2"/>
      <c r="G495" s="2"/>
      <c r="H495" s="2"/>
      <c r="I495" s="2"/>
    </row>
    <row r="496" spans="1:9" ht="15" thickBot="1" x14ac:dyDescent="0.3">
      <c r="A496" s="2"/>
      <c r="B496" s="2"/>
      <c r="C496" s="2"/>
      <c r="D496" s="2"/>
      <c r="E496" s="2"/>
      <c r="F496" s="2"/>
      <c r="G496" s="2"/>
      <c r="H496" s="2"/>
      <c r="I496" s="2"/>
    </row>
    <row r="497" spans="1:9" ht="15" thickBot="1" x14ac:dyDescent="0.3">
      <c r="A497" s="2"/>
      <c r="B497" s="2"/>
      <c r="C497" s="2"/>
      <c r="D497" s="2"/>
      <c r="E497" s="2"/>
      <c r="F497" s="2"/>
      <c r="G497" s="2"/>
      <c r="H497" s="2"/>
      <c r="I497" s="2"/>
    </row>
    <row r="498" spans="1:9" ht="15" thickBot="1" x14ac:dyDescent="0.3">
      <c r="A498" s="2"/>
      <c r="B498" s="2"/>
      <c r="C498" s="2"/>
      <c r="D498" s="2"/>
      <c r="E498" s="2"/>
      <c r="F498" s="2"/>
      <c r="G498" s="2"/>
      <c r="H498" s="2"/>
      <c r="I498" s="2"/>
    </row>
    <row r="499" spans="1:9" ht="15" thickBot="1" x14ac:dyDescent="0.3">
      <c r="A499" s="2"/>
      <c r="B499" s="2"/>
      <c r="C499" s="2"/>
      <c r="D499" s="2"/>
      <c r="E499" s="2"/>
      <c r="F499" s="2"/>
      <c r="G499" s="2"/>
      <c r="H499" s="2"/>
      <c r="I499" s="2"/>
    </row>
    <row r="500" spans="1:9" ht="15" thickBot="1" x14ac:dyDescent="0.3">
      <c r="A500" s="2"/>
      <c r="B500" s="2"/>
      <c r="C500" s="2"/>
      <c r="D500" s="2"/>
      <c r="E500" s="2"/>
      <c r="F500" s="2"/>
      <c r="G500" s="2"/>
      <c r="H500" s="2"/>
      <c r="I500" s="2"/>
    </row>
    <row r="501" spans="1:9" ht="15" thickBot="1" x14ac:dyDescent="0.3">
      <c r="A501" s="2"/>
      <c r="B501" s="2"/>
      <c r="C501" s="2"/>
      <c r="D501" s="2"/>
      <c r="E501" s="2"/>
      <c r="F501" s="2"/>
      <c r="G501" s="2"/>
      <c r="H501" s="2"/>
      <c r="I501" s="2"/>
    </row>
    <row r="502" spans="1:9" ht="15" thickBot="1" x14ac:dyDescent="0.3">
      <c r="A502" s="2"/>
      <c r="B502" s="2"/>
      <c r="C502" s="2"/>
      <c r="D502" s="2"/>
      <c r="E502" s="2"/>
      <c r="F502" s="2"/>
      <c r="G502" s="2"/>
      <c r="H502" s="2"/>
      <c r="I502" s="2"/>
    </row>
    <row r="503" spans="1:9" ht="15" thickBot="1" x14ac:dyDescent="0.3">
      <c r="A503" s="2"/>
      <c r="B503" s="2"/>
      <c r="C503" s="2"/>
      <c r="D503" s="2"/>
      <c r="E503" s="2"/>
      <c r="F503" s="2"/>
      <c r="G503" s="2"/>
      <c r="H503" s="2"/>
      <c r="I503" s="2"/>
    </row>
    <row r="504" spans="1:9" ht="15" thickBot="1" x14ac:dyDescent="0.3">
      <c r="A504" s="2"/>
      <c r="B504" s="2"/>
      <c r="C504" s="2"/>
      <c r="D504" s="2"/>
      <c r="E504" s="2"/>
      <c r="F504" s="2"/>
      <c r="G504" s="2"/>
      <c r="H504" s="2"/>
      <c r="I504" s="2"/>
    </row>
    <row r="505" spans="1:9" ht="15" thickBot="1" x14ac:dyDescent="0.3">
      <c r="A505" s="2"/>
      <c r="B505" s="2"/>
      <c r="C505" s="2"/>
      <c r="D505" s="2"/>
      <c r="E505" s="2"/>
      <c r="F505" s="2"/>
      <c r="G505" s="2"/>
      <c r="H505" s="2"/>
      <c r="I505" s="2"/>
    </row>
    <row r="506" spans="1:9" ht="15" thickBot="1" x14ac:dyDescent="0.3">
      <c r="A506" s="2"/>
      <c r="B506" s="2"/>
      <c r="C506" s="2"/>
      <c r="D506" s="2"/>
      <c r="E506" s="2"/>
      <c r="F506" s="2"/>
      <c r="G506" s="2"/>
      <c r="H506" s="2"/>
      <c r="I506" s="2"/>
    </row>
    <row r="507" spans="1:9" ht="15" thickBot="1" x14ac:dyDescent="0.3">
      <c r="A507" s="2"/>
      <c r="B507" s="2"/>
      <c r="C507" s="2"/>
      <c r="D507" s="2"/>
      <c r="E507" s="2"/>
      <c r="F507" s="2"/>
      <c r="G507" s="2"/>
      <c r="H507" s="2"/>
      <c r="I507" s="2"/>
    </row>
    <row r="508" spans="1:9" ht="15" thickBot="1" x14ac:dyDescent="0.3">
      <c r="A508" s="2"/>
      <c r="B508" s="2"/>
      <c r="C508" s="2"/>
      <c r="D508" s="2"/>
      <c r="E508" s="2"/>
      <c r="F508" s="2"/>
      <c r="G508" s="2"/>
      <c r="H508" s="2"/>
      <c r="I508" s="2"/>
    </row>
    <row r="509" spans="1:9" ht="15" thickBot="1" x14ac:dyDescent="0.3">
      <c r="A509" s="2"/>
      <c r="B509" s="2"/>
      <c r="C509" s="2"/>
      <c r="D509" s="2"/>
      <c r="E509" s="2"/>
      <c r="F509" s="2"/>
      <c r="G509" s="2"/>
      <c r="H509" s="2"/>
      <c r="I509" s="2"/>
    </row>
    <row r="510" spans="1:9" ht="15" thickBot="1" x14ac:dyDescent="0.3">
      <c r="A510" s="2"/>
      <c r="B510" s="2"/>
      <c r="C510" s="2"/>
      <c r="D510" s="2"/>
      <c r="E510" s="2"/>
      <c r="F510" s="2"/>
      <c r="G510" s="2"/>
      <c r="H510" s="2"/>
      <c r="I510" s="2"/>
    </row>
    <row r="511" spans="1:9" ht="15" thickBot="1" x14ac:dyDescent="0.3">
      <c r="A511" s="2"/>
      <c r="B511" s="2"/>
      <c r="C511" s="2"/>
      <c r="D511" s="2"/>
      <c r="E511" s="2"/>
      <c r="F511" s="2"/>
      <c r="G511" s="2"/>
      <c r="H511" s="2"/>
      <c r="I511" s="2"/>
    </row>
    <row r="512" spans="1:9" ht="15" thickBot="1" x14ac:dyDescent="0.3">
      <c r="A512" s="2"/>
      <c r="B512" s="2"/>
      <c r="C512" s="2"/>
      <c r="D512" s="2"/>
      <c r="E512" s="2"/>
      <c r="F512" s="2"/>
      <c r="G512" s="2"/>
      <c r="H512" s="2"/>
      <c r="I512" s="2"/>
    </row>
    <row r="513" spans="1:9" ht="15" thickBot="1" x14ac:dyDescent="0.3">
      <c r="A513" s="2"/>
      <c r="B513" s="2"/>
      <c r="C513" s="2"/>
      <c r="D513" s="2"/>
      <c r="E513" s="2"/>
      <c r="F513" s="2"/>
      <c r="G513" s="2"/>
      <c r="H513" s="2"/>
      <c r="I513" s="2"/>
    </row>
    <row r="514" spans="1:9" ht="15" thickBot="1" x14ac:dyDescent="0.3">
      <c r="A514" s="2"/>
      <c r="B514" s="2"/>
      <c r="C514" s="2"/>
      <c r="D514" s="2"/>
      <c r="E514" s="2"/>
      <c r="F514" s="2"/>
      <c r="G514" s="2"/>
      <c r="H514" s="2"/>
      <c r="I514" s="2"/>
    </row>
    <row r="515" spans="1:9" ht="15" thickBot="1" x14ac:dyDescent="0.3">
      <c r="A515" s="2"/>
      <c r="B515" s="2"/>
      <c r="C515" s="2"/>
      <c r="D515" s="2"/>
      <c r="E515" s="2"/>
      <c r="F515" s="2"/>
      <c r="G515" s="2"/>
      <c r="H515" s="2"/>
      <c r="I515" s="2"/>
    </row>
    <row r="516" spans="1:9" ht="15" thickBot="1" x14ac:dyDescent="0.3">
      <c r="A516" s="2"/>
      <c r="B516" s="2"/>
      <c r="C516" s="2"/>
      <c r="D516" s="2"/>
      <c r="E516" s="2"/>
      <c r="F516" s="2"/>
      <c r="G516" s="2"/>
      <c r="H516" s="2"/>
      <c r="I516" s="2"/>
    </row>
    <row r="517" spans="1:9" ht="15" thickBot="1" x14ac:dyDescent="0.3">
      <c r="A517" s="2"/>
      <c r="B517" s="2"/>
      <c r="C517" s="2"/>
      <c r="D517" s="2"/>
      <c r="E517" s="2"/>
      <c r="F517" s="2"/>
      <c r="G517" s="2"/>
      <c r="H517" s="2"/>
      <c r="I517" s="2"/>
    </row>
    <row r="518" spans="1:9" ht="15" thickBot="1" x14ac:dyDescent="0.3">
      <c r="A518" s="2"/>
      <c r="B518" s="2"/>
      <c r="C518" s="2"/>
      <c r="D518" s="2"/>
      <c r="E518" s="2"/>
      <c r="F518" s="2"/>
      <c r="G518" s="2"/>
      <c r="H518" s="2"/>
      <c r="I518" s="2"/>
    </row>
    <row r="519" spans="1:9" ht="15" thickBot="1" x14ac:dyDescent="0.3">
      <c r="A519" s="2"/>
      <c r="B519" s="2"/>
      <c r="C519" s="2"/>
      <c r="D519" s="2"/>
      <c r="E519" s="2"/>
      <c r="F519" s="2"/>
      <c r="G519" s="2"/>
      <c r="H519" s="2"/>
      <c r="I519" s="2"/>
    </row>
    <row r="520" spans="1:9" ht="15" thickBot="1" x14ac:dyDescent="0.3">
      <c r="A520" s="2"/>
      <c r="B520" s="2"/>
      <c r="C520" s="2"/>
      <c r="D520" s="2"/>
      <c r="E520" s="2"/>
      <c r="F520" s="2"/>
      <c r="G520" s="2"/>
      <c r="H520" s="2"/>
      <c r="I520" s="2"/>
    </row>
    <row r="521" spans="1:9" ht="15" thickBot="1" x14ac:dyDescent="0.3">
      <c r="A521" s="2"/>
      <c r="B521" s="2"/>
      <c r="C521" s="2"/>
      <c r="D521" s="2"/>
      <c r="E521" s="2"/>
      <c r="F521" s="2"/>
      <c r="G521" s="2"/>
      <c r="H521" s="2"/>
      <c r="I521" s="2"/>
    </row>
    <row r="522" spans="1:9" ht="15" thickBot="1" x14ac:dyDescent="0.3">
      <c r="A522" s="2"/>
      <c r="B522" s="2"/>
      <c r="C522" s="2"/>
      <c r="D522" s="2"/>
      <c r="E522" s="2"/>
      <c r="F522" s="2"/>
      <c r="G522" s="2"/>
      <c r="H522" s="2"/>
      <c r="I522" s="2"/>
    </row>
    <row r="523" spans="1:9" ht="15" thickBot="1" x14ac:dyDescent="0.3">
      <c r="A523" s="2"/>
      <c r="B523" s="2"/>
      <c r="C523" s="2"/>
      <c r="D523" s="2"/>
      <c r="E523" s="2"/>
      <c r="F523" s="2"/>
      <c r="G523" s="2"/>
      <c r="H523" s="2"/>
      <c r="I523" s="2"/>
    </row>
    <row r="524" spans="1:9" ht="15" thickBot="1" x14ac:dyDescent="0.3">
      <c r="A524" s="2"/>
      <c r="B524" s="2"/>
      <c r="C524" s="2"/>
      <c r="D524" s="2"/>
      <c r="E524" s="2"/>
      <c r="F524" s="2"/>
      <c r="G524" s="2"/>
      <c r="H524" s="2"/>
      <c r="I524" s="2"/>
    </row>
    <row r="525" spans="1:9" ht="15" thickBot="1" x14ac:dyDescent="0.3">
      <c r="A525" s="2"/>
      <c r="B525" s="2"/>
      <c r="C525" s="2"/>
      <c r="D525" s="2"/>
      <c r="E525" s="2"/>
      <c r="F525" s="2"/>
      <c r="G525" s="2"/>
      <c r="H525" s="2"/>
      <c r="I525" s="2"/>
    </row>
    <row r="526" spans="1:9" ht="15" thickBot="1" x14ac:dyDescent="0.3">
      <c r="A526" s="2"/>
      <c r="B526" s="2"/>
      <c r="C526" s="2"/>
      <c r="D526" s="2"/>
      <c r="E526" s="2"/>
      <c r="F526" s="2"/>
      <c r="G526" s="2"/>
      <c r="H526" s="2"/>
      <c r="I526" s="2"/>
    </row>
    <row r="527" spans="1:9" ht="15" thickBot="1" x14ac:dyDescent="0.3">
      <c r="A527" s="2"/>
      <c r="B527" s="2"/>
      <c r="C527" s="2"/>
      <c r="D527" s="2"/>
      <c r="E527" s="2"/>
      <c r="F527" s="2"/>
      <c r="G527" s="2"/>
      <c r="H527" s="2"/>
      <c r="I527" s="2"/>
    </row>
    <row r="528" spans="1:9" ht="15" thickBot="1" x14ac:dyDescent="0.3">
      <c r="A528" s="2"/>
      <c r="B528" s="2"/>
      <c r="C528" s="2"/>
      <c r="D528" s="2"/>
      <c r="E528" s="2"/>
      <c r="F528" s="2"/>
      <c r="G528" s="2"/>
      <c r="H528" s="2"/>
      <c r="I528" s="2"/>
    </row>
    <row r="529" spans="1:9" ht="15" thickBot="1" x14ac:dyDescent="0.3">
      <c r="A529" s="2"/>
      <c r="B529" s="2"/>
      <c r="C529" s="2"/>
      <c r="D529" s="2"/>
      <c r="E529" s="2"/>
      <c r="F529" s="2"/>
      <c r="G529" s="2"/>
      <c r="H529" s="2"/>
      <c r="I529" s="2"/>
    </row>
    <row r="530" spans="1:9" ht="15" thickBot="1" x14ac:dyDescent="0.3">
      <c r="A530" s="2"/>
      <c r="B530" s="2"/>
      <c r="C530" s="2"/>
      <c r="D530" s="2"/>
      <c r="E530" s="2"/>
      <c r="F530" s="2"/>
      <c r="G530" s="2"/>
      <c r="H530" s="2"/>
      <c r="I530" s="2"/>
    </row>
    <row r="531" spans="1:9" ht="15" thickBot="1" x14ac:dyDescent="0.3">
      <c r="A531" s="2"/>
      <c r="B531" s="2"/>
      <c r="C531" s="2"/>
      <c r="D531" s="2"/>
      <c r="E531" s="2"/>
      <c r="F531" s="2"/>
      <c r="G531" s="2"/>
      <c r="H531" s="2"/>
      <c r="I531" s="2"/>
    </row>
    <row r="532" spans="1:9" ht="15" thickBot="1" x14ac:dyDescent="0.3">
      <c r="A532" s="2"/>
      <c r="B532" s="2"/>
      <c r="C532" s="2"/>
      <c r="D532" s="2"/>
      <c r="E532" s="2"/>
      <c r="F532" s="2"/>
      <c r="G532" s="2"/>
      <c r="H532" s="2"/>
      <c r="I532" s="2"/>
    </row>
    <row r="533" spans="1:9" ht="15" thickBot="1" x14ac:dyDescent="0.3">
      <c r="A533" s="2"/>
      <c r="B533" s="2"/>
      <c r="C533" s="2"/>
      <c r="D533" s="2"/>
      <c r="E533" s="2"/>
      <c r="F533" s="2"/>
      <c r="G533" s="2"/>
      <c r="H533" s="2"/>
      <c r="I533" s="2"/>
    </row>
    <row r="534" spans="1:9" ht="15" thickBot="1" x14ac:dyDescent="0.3">
      <c r="A534" s="2"/>
      <c r="B534" s="2"/>
      <c r="C534" s="2"/>
      <c r="D534" s="2"/>
      <c r="E534" s="2"/>
      <c r="F534" s="2"/>
      <c r="G534" s="2"/>
      <c r="H534" s="2"/>
      <c r="I534" s="2"/>
    </row>
    <row r="535" spans="1:9" ht="15" thickBot="1" x14ac:dyDescent="0.3">
      <c r="A535" s="2"/>
      <c r="B535" s="2"/>
      <c r="C535" s="2"/>
      <c r="D535" s="2"/>
      <c r="E535" s="2"/>
      <c r="F535" s="2"/>
      <c r="G535" s="2"/>
      <c r="H535" s="2"/>
      <c r="I535" s="2"/>
    </row>
    <row r="536" spans="1:9" ht="15" thickBot="1" x14ac:dyDescent="0.3">
      <c r="A536" s="2"/>
      <c r="B536" s="2"/>
      <c r="C536" s="2"/>
      <c r="D536" s="2"/>
      <c r="E536" s="2"/>
      <c r="F536" s="2"/>
      <c r="G536" s="2"/>
      <c r="H536" s="2"/>
      <c r="I536" s="2"/>
    </row>
    <row r="537" spans="1:9" ht="15" thickBot="1" x14ac:dyDescent="0.3">
      <c r="A537" s="2"/>
      <c r="B537" s="2"/>
      <c r="C537" s="2"/>
      <c r="D537" s="2"/>
      <c r="E537" s="2"/>
      <c r="F537" s="2"/>
      <c r="G537" s="2"/>
      <c r="H537" s="2"/>
      <c r="I537" s="2"/>
    </row>
    <row r="538" spans="1:9" ht="15" thickBot="1" x14ac:dyDescent="0.3">
      <c r="A538" s="2"/>
      <c r="B538" s="2"/>
      <c r="C538" s="2"/>
      <c r="D538" s="2"/>
      <c r="E538" s="2"/>
      <c r="F538" s="2"/>
      <c r="G538" s="2"/>
      <c r="H538" s="2"/>
      <c r="I538" s="2"/>
    </row>
    <row r="539" spans="1:9" ht="15" thickBot="1" x14ac:dyDescent="0.3">
      <c r="A539" s="2"/>
      <c r="B539" s="2"/>
      <c r="C539" s="2"/>
      <c r="D539" s="2"/>
      <c r="E539" s="2"/>
      <c r="F539" s="2"/>
      <c r="G539" s="2"/>
      <c r="H539" s="2"/>
      <c r="I539" s="2"/>
    </row>
    <row r="540" spans="1:9" ht="15" thickBot="1" x14ac:dyDescent="0.3">
      <c r="A540" s="2"/>
      <c r="B540" s="2"/>
      <c r="C540" s="2"/>
      <c r="D540" s="2"/>
      <c r="E540" s="2"/>
      <c r="F540" s="2"/>
      <c r="G540" s="2"/>
      <c r="H540" s="2"/>
      <c r="I540" s="2"/>
    </row>
    <row r="541" spans="1:9" ht="15" thickBot="1" x14ac:dyDescent="0.3">
      <c r="A541" s="2"/>
      <c r="B541" s="2"/>
      <c r="C541" s="2"/>
      <c r="D541" s="2"/>
      <c r="E541" s="2"/>
      <c r="F541" s="2"/>
      <c r="G541" s="2"/>
      <c r="H541" s="2"/>
      <c r="I541" s="2"/>
    </row>
    <row r="542" spans="1:9" ht="15" thickBot="1" x14ac:dyDescent="0.3">
      <c r="A542" s="2"/>
      <c r="B542" s="2"/>
      <c r="C542" s="2"/>
      <c r="D542" s="2"/>
      <c r="E542" s="2"/>
      <c r="F542" s="2"/>
      <c r="G542" s="2"/>
      <c r="H542" s="2"/>
      <c r="I542" s="2"/>
    </row>
    <row r="543" spans="1:9" ht="15" thickBot="1" x14ac:dyDescent="0.3">
      <c r="A543" s="2"/>
      <c r="B543" s="2"/>
      <c r="C543" s="2"/>
      <c r="D543" s="2"/>
      <c r="E543" s="2"/>
      <c r="F543" s="2"/>
      <c r="G543" s="2"/>
      <c r="H543" s="2"/>
      <c r="I543" s="2"/>
    </row>
    <row r="544" spans="1:9" ht="15" thickBot="1" x14ac:dyDescent="0.3">
      <c r="A544" s="2"/>
      <c r="B544" s="2"/>
      <c r="C544" s="2"/>
      <c r="D544" s="2"/>
      <c r="E544" s="2"/>
      <c r="F544" s="2"/>
      <c r="G544" s="2"/>
      <c r="H544" s="2"/>
      <c r="I544" s="2"/>
    </row>
    <row r="545" spans="1:9" ht="15" thickBot="1" x14ac:dyDescent="0.3">
      <c r="A545" s="2"/>
      <c r="B545" s="2"/>
      <c r="C545" s="2"/>
      <c r="D545" s="2"/>
      <c r="E545" s="2"/>
      <c r="F545" s="2"/>
      <c r="G545" s="2"/>
      <c r="H545" s="2"/>
      <c r="I545" s="2"/>
    </row>
    <row r="546" spans="1:9" ht="15" thickBot="1" x14ac:dyDescent="0.3">
      <c r="A546" s="2"/>
      <c r="B546" s="2"/>
      <c r="C546" s="2"/>
      <c r="D546" s="2"/>
      <c r="E546" s="2"/>
      <c r="F546" s="2"/>
      <c r="G546" s="2"/>
      <c r="H546" s="2"/>
      <c r="I546" s="2"/>
    </row>
    <row r="547" spans="1:9" ht="15" thickBot="1" x14ac:dyDescent="0.3">
      <c r="A547" s="2"/>
      <c r="B547" s="2"/>
      <c r="C547" s="2"/>
      <c r="D547" s="2"/>
      <c r="E547" s="2"/>
      <c r="F547" s="2"/>
      <c r="G547" s="2"/>
      <c r="H547" s="2"/>
      <c r="I547" s="2"/>
    </row>
    <row r="548" spans="1:9" ht="15" thickBot="1" x14ac:dyDescent="0.3">
      <c r="A548" s="2"/>
      <c r="B548" s="2"/>
      <c r="C548" s="2"/>
      <c r="D548" s="2"/>
      <c r="E548" s="2"/>
      <c r="F548" s="2"/>
      <c r="G548" s="2"/>
      <c r="H548" s="2"/>
      <c r="I548" s="2"/>
    </row>
    <row r="549" spans="1:9" ht="15" thickBot="1" x14ac:dyDescent="0.3">
      <c r="A549" s="2"/>
      <c r="B549" s="2"/>
      <c r="C549" s="2"/>
      <c r="D549" s="2"/>
      <c r="E549" s="2"/>
      <c r="F549" s="2"/>
      <c r="G549" s="2"/>
      <c r="H549" s="2"/>
      <c r="I549" s="2"/>
    </row>
    <row r="550" spans="1:9" ht="15" thickBot="1" x14ac:dyDescent="0.3">
      <c r="A550" s="2"/>
      <c r="B550" s="2"/>
      <c r="C550" s="2"/>
      <c r="D550" s="2"/>
      <c r="E550" s="2"/>
      <c r="F550" s="2"/>
      <c r="G550" s="2"/>
      <c r="H550" s="2"/>
      <c r="I550" s="2"/>
    </row>
    <row r="551" spans="1:9" ht="15" thickBot="1" x14ac:dyDescent="0.3">
      <c r="A551" s="2"/>
      <c r="B551" s="2"/>
      <c r="C551" s="2"/>
      <c r="D551" s="2"/>
      <c r="E551" s="2"/>
      <c r="F551" s="2"/>
      <c r="G551" s="2"/>
      <c r="H551" s="2"/>
      <c r="I551" s="2"/>
    </row>
    <row r="552" spans="1:9" ht="15" thickBot="1" x14ac:dyDescent="0.3">
      <c r="A552" s="2"/>
      <c r="B552" s="2"/>
      <c r="C552" s="2"/>
      <c r="D552" s="2"/>
      <c r="E552" s="2"/>
      <c r="F552" s="2"/>
      <c r="G552" s="2"/>
      <c r="H552" s="2"/>
      <c r="I552" s="2"/>
    </row>
    <row r="553" spans="1:9" ht="15" thickBot="1" x14ac:dyDescent="0.3">
      <c r="A553" s="2"/>
      <c r="B553" s="2"/>
      <c r="C553" s="2"/>
      <c r="D553" s="2"/>
      <c r="E553" s="2"/>
      <c r="F553" s="2"/>
      <c r="G553" s="2"/>
      <c r="H553" s="2"/>
      <c r="I553" s="2"/>
    </row>
    <row r="554" spans="1:9" ht="15" thickBot="1" x14ac:dyDescent="0.3">
      <c r="A554" s="2"/>
      <c r="B554" s="2"/>
      <c r="C554" s="2"/>
      <c r="D554" s="2"/>
      <c r="E554" s="2"/>
      <c r="F554" s="2"/>
      <c r="G554" s="2"/>
      <c r="H554" s="2"/>
      <c r="I554" s="2"/>
    </row>
    <row r="555" spans="1:9" ht="15" thickBot="1" x14ac:dyDescent="0.3">
      <c r="A555" s="2"/>
      <c r="B555" s="2"/>
      <c r="C555" s="2"/>
      <c r="D555" s="2"/>
      <c r="E555" s="2"/>
      <c r="F555" s="2"/>
      <c r="G555" s="2"/>
      <c r="H555" s="2"/>
      <c r="I555" s="2"/>
    </row>
    <row r="556" spans="1:9" ht="15" thickBot="1" x14ac:dyDescent="0.3">
      <c r="A556" s="2"/>
      <c r="B556" s="2"/>
      <c r="C556" s="2"/>
      <c r="D556" s="2"/>
      <c r="E556" s="2"/>
      <c r="F556" s="2"/>
      <c r="G556" s="2"/>
      <c r="H556" s="2"/>
      <c r="I556" s="2"/>
    </row>
    <row r="557" spans="1:9" ht="15" thickBot="1" x14ac:dyDescent="0.3">
      <c r="A557" s="2"/>
      <c r="B557" s="2"/>
      <c r="C557" s="2"/>
      <c r="D557" s="2"/>
      <c r="E557" s="2"/>
      <c r="F557" s="2"/>
      <c r="G557" s="2"/>
      <c r="H557" s="2"/>
      <c r="I557" s="2"/>
    </row>
    <row r="558" spans="1:9" ht="15" thickBot="1" x14ac:dyDescent="0.3">
      <c r="A558" s="2"/>
      <c r="B558" s="2"/>
      <c r="C558" s="2"/>
      <c r="D558" s="2"/>
      <c r="E558" s="2"/>
      <c r="F558" s="2"/>
      <c r="G558" s="2"/>
      <c r="H558" s="2"/>
      <c r="I558" s="2"/>
    </row>
    <row r="559" spans="1:9" ht="15" thickBot="1" x14ac:dyDescent="0.3">
      <c r="A559" s="2"/>
      <c r="B559" s="2"/>
      <c r="C559" s="2"/>
      <c r="D559" s="2"/>
      <c r="E559" s="2"/>
      <c r="F559" s="2"/>
      <c r="G559" s="2"/>
      <c r="H559" s="2"/>
      <c r="I559" s="2"/>
    </row>
    <row r="560" spans="1:9" ht="15" thickBot="1" x14ac:dyDescent="0.3">
      <c r="A560" s="2"/>
      <c r="B560" s="2"/>
      <c r="C560" s="2"/>
      <c r="D560" s="2"/>
      <c r="E560" s="2"/>
      <c r="F560" s="2"/>
      <c r="G560" s="2"/>
      <c r="H560" s="2"/>
      <c r="I560" s="2"/>
    </row>
    <row r="561" spans="1:9" ht="15" thickBot="1" x14ac:dyDescent="0.3">
      <c r="A561" s="2"/>
      <c r="B561" s="2"/>
      <c r="C561" s="2"/>
      <c r="D561" s="2"/>
      <c r="E561" s="2"/>
      <c r="F561" s="2"/>
      <c r="G561" s="2"/>
      <c r="H561" s="2"/>
      <c r="I561" s="2"/>
    </row>
    <row r="562" spans="1:9" ht="15" thickBot="1" x14ac:dyDescent="0.3">
      <c r="A562" s="2"/>
      <c r="B562" s="2"/>
      <c r="C562" s="2"/>
      <c r="D562" s="2"/>
      <c r="E562" s="2"/>
      <c r="F562" s="2"/>
      <c r="G562" s="2"/>
      <c r="H562" s="2"/>
      <c r="I562" s="2"/>
    </row>
    <row r="563" spans="1:9" ht="15" thickBot="1" x14ac:dyDescent="0.3">
      <c r="A563" s="2"/>
      <c r="B563" s="2"/>
      <c r="C563" s="2"/>
      <c r="D563" s="2"/>
      <c r="E563" s="2"/>
      <c r="F563" s="2"/>
      <c r="G563" s="2"/>
      <c r="H563" s="2"/>
      <c r="I563" s="2"/>
    </row>
    <row r="564" spans="1:9" ht="15" thickBot="1" x14ac:dyDescent="0.3">
      <c r="A564" s="2"/>
      <c r="B564" s="2"/>
      <c r="C564" s="2"/>
      <c r="D564" s="2"/>
      <c r="E564" s="2"/>
      <c r="F564" s="2"/>
      <c r="G564" s="2"/>
      <c r="H564" s="2"/>
      <c r="I564" s="2"/>
    </row>
    <row r="565" spans="1:9" ht="15" thickBot="1" x14ac:dyDescent="0.3">
      <c r="A565" s="2"/>
      <c r="B565" s="2"/>
      <c r="C565" s="2"/>
      <c r="D565" s="2"/>
      <c r="E565" s="2"/>
      <c r="F565" s="2"/>
      <c r="G565" s="2"/>
      <c r="H565" s="2"/>
      <c r="I565" s="2"/>
    </row>
    <row r="566" spans="1:9" ht="15" thickBot="1" x14ac:dyDescent="0.3">
      <c r="A566" s="2"/>
      <c r="B566" s="2"/>
      <c r="C566" s="2"/>
      <c r="D566" s="2"/>
      <c r="E566" s="2"/>
      <c r="F566" s="2"/>
      <c r="G566" s="2"/>
      <c r="H566" s="2"/>
      <c r="I566" s="2"/>
    </row>
    <row r="567" spans="1:9" ht="15" thickBot="1" x14ac:dyDescent="0.3">
      <c r="A567" s="2"/>
      <c r="B567" s="2"/>
      <c r="C567" s="2"/>
      <c r="D567" s="2"/>
      <c r="E567" s="2"/>
      <c r="F567" s="2"/>
      <c r="G567" s="2"/>
      <c r="H567" s="2"/>
      <c r="I567" s="2"/>
    </row>
    <row r="568" spans="1:9" ht="15" thickBot="1" x14ac:dyDescent="0.3">
      <c r="A568" s="2"/>
      <c r="B568" s="2"/>
      <c r="C568" s="2"/>
      <c r="D568" s="2"/>
      <c r="E568" s="2"/>
      <c r="F568" s="2"/>
      <c r="G568" s="2"/>
      <c r="H568" s="2"/>
      <c r="I568" s="2"/>
    </row>
    <row r="569" spans="1:9" ht="15" thickBot="1" x14ac:dyDescent="0.3">
      <c r="A569" s="2"/>
      <c r="B569" s="2"/>
      <c r="C569" s="2"/>
      <c r="D569" s="2"/>
      <c r="E569" s="2"/>
      <c r="F569" s="2"/>
      <c r="G569" s="2"/>
      <c r="H569" s="2"/>
      <c r="I569" s="2"/>
    </row>
    <row r="570" spans="1:9" ht="15" thickBot="1" x14ac:dyDescent="0.3">
      <c r="A570" s="2"/>
      <c r="B570" s="2"/>
      <c r="C570" s="2"/>
      <c r="D570" s="2"/>
      <c r="E570" s="2"/>
      <c r="F570" s="2"/>
      <c r="G570" s="2"/>
      <c r="H570" s="2"/>
      <c r="I570" s="2"/>
    </row>
    <row r="571" spans="1:9" ht="15" thickBot="1" x14ac:dyDescent="0.3">
      <c r="A571" s="2"/>
      <c r="B571" s="2"/>
      <c r="C571" s="2"/>
      <c r="D571" s="2"/>
      <c r="E571" s="2"/>
      <c r="F571" s="2"/>
      <c r="G571" s="2"/>
      <c r="H571" s="2"/>
      <c r="I571" s="2"/>
    </row>
    <row r="572" spans="1:9" ht="15" thickBot="1" x14ac:dyDescent="0.3">
      <c r="A572" s="2"/>
      <c r="B572" s="2"/>
      <c r="C572" s="2"/>
      <c r="D572" s="2"/>
      <c r="E572" s="2"/>
      <c r="F572" s="2"/>
      <c r="G572" s="2"/>
      <c r="H572" s="2"/>
      <c r="I572" s="2"/>
    </row>
    <row r="573" spans="1:9" ht="15" thickBot="1" x14ac:dyDescent="0.3">
      <c r="A573" s="2"/>
      <c r="B573" s="2"/>
      <c r="C573" s="2"/>
      <c r="D573" s="2"/>
      <c r="E573" s="2"/>
      <c r="F573" s="2"/>
      <c r="G573" s="2"/>
      <c r="H573" s="2"/>
      <c r="I573" s="2"/>
    </row>
    <row r="574" spans="1:9" ht="15" thickBot="1" x14ac:dyDescent="0.3">
      <c r="A574" s="2"/>
      <c r="B574" s="2"/>
      <c r="C574" s="2"/>
      <c r="D574" s="2"/>
      <c r="E574" s="2"/>
      <c r="F574" s="2"/>
      <c r="G574" s="2"/>
      <c r="H574" s="2"/>
      <c r="I574" s="2"/>
    </row>
    <row r="575" spans="1:9" ht="15" thickBot="1" x14ac:dyDescent="0.3">
      <c r="A575" s="2"/>
      <c r="B575" s="2"/>
      <c r="C575" s="2"/>
      <c r="D575" s="2"/>
      <c r="E575" s="2"/>
      <c r="F575" s="2"/>
      <c r="G575" s="2"/>
      <c r="H575" s="2"/>
      <c r="I575" s="2"/>
    </row>
    <row r="576" spans="1:9" ht="15" thickBot="1" x14ac:dyDescent="0.3">
      <c r="A576" s="2"/>
      <c r="B576" s="2"/>
      <c r="C576" s="2"/>
      <c r="D576" s="2"/>
      <c r="E576" s="2"/>
      <c r="F576" s="2"/>
      <c r="G576" s="2"/>
      <c r="H576" s="2"/>
      <c r="I576" s="2"/>
    </row>
    <row r="577" spans="1:9" ht="15" thickBot="1" x14ac:dyDescent="0.3">
      <c r="A577" s="2"/>
      <c r="B577" s="2"/>
      <c r="C577" s="2"/>
      <c r="D577" s="2"/>
      <c r="E577" s="2"/>
      <c r="F577" s="2"/>
      <c r="G577" s="2"/>
      <c r="H577" s="2"/>
      <c r="I577" s="2"/>
    </row>
    <row r="578" spans="1:9" ht="15" thickBot="1" x14ac:dyDescent="0.3">
      <c r="A578" s="2"/>
      <c r="B578" s="2"/>
      <c r="C578" s="2"/>
      <c r="D578" s="2"/>
      <c r="E578" s="2"/>
      <c r="F578" s="2"/>
      <c r="G578" s="2"/>
      <c r="H578" s="2"/>
      <c r="I578" s="2"/>
    </row>
    <row r="579" spans="1:9" ht="15" thickBot="1" x14ac:dyDescent="0.3">
      <c r="A579" s="2"/>
      <c r="B579" s="2"/>
      <c r="C579" s="2"/>
      <c r="D579" s="2"/>
      <c r="E579" s="2"/>
      <c r="F579" s="2"/>
      <c r="G579" s="2"/>
      <c r="H579" s="2"/>
      <c r="I579" s="2"/>
    </row>
    <row r="580" spans="1:9" ht="15" thickBot="1" x14ac:dyDescent="0.3">
      <c r="A580" s="2"/>
      <c r="B580" s="2"/>
      <c r="C580" s="2"/>
      <c r="D580" s="2"/>
      <c r="E580" s="2"/>
      <c r="F580" s="2"/>
      <c r="G580" s="2"/>
      <c r="H580" s="2"/>
      <c r="I580" s="2"/>
    </row>
    <row r="581" spans="1:9" ht="15" thickBot="1" x14ac:dyDescent="0.3">
      <c r="A581" s="2"/>
      <c r="B581" s="2"/>
      <c r="C581" s="2"/>
      <c r="D581" s="2"/>
      <c r="E581" s="2"/>
      <c r="F581" s="2"/>
      <c r="G581" s="2"/>
      <c r="H581" s="2"/>
      <c r="I581" s="2"/>
    </row>
    <row r="582" spans="1:9" ht="15" thickBot="1" x14ac:dyDescent="0.3">
      <c r="A582" s="2"/>
      <c r="B582" s="2"/>
      <c r="C582" s="2"/>
      <c r="D582" s="2"/>
      <c r="E582" s="2"/>
      <c r="F582" s="2"/>
      <c r="G582" s="2"/>
      <c r="H582" s="2"/>
      <c r="I582" s="2"/>
    </row>
    <row r="583" spans="1:9" ht="15" thickBot="1" x14ac:dyDescent="0.3">
      <c r="A583" s="2"/>
      <c r="B583" s="2"/>
      <c r="C583" s="2"/>
      <c r="D583" s="2"/>
      <c r="E583" s="2"/>
      <c r="F583" s="2"/>
      <c r="G583" s="2"/>
      <c r="H583" s="2"/>
      <c r="I583" s="2"/>
    </row>
    <row r="584" spans="1:9" ht="15" thickBot="1" x14ac:dyDescent="0.3">
      <c r="A584" s="2"/>
      <c r="B584" s="2"/>
      <c r="C584" s="2"/>
      <c r="D584" s="2"/>
      <c r="E584" s="2"/>
      <c r="F584" s="2"/>
      <c r="G584" s="2"/>
      <c r="H584" s="2"/>
      <c r="I584" s="2"/>
    </row>
    <row r="585" spans="1:9" ht="15" thickBot="1" x14ac:dyDescent="0.3">
      <c r="A585" s="2"/>
      <c r="B585" s="2"/>
      <c r="C585" s="2"/>
      <c r="D585" s="2"/>
      <c r="E585" s="2"/>
      <c r="F585" s="2"/>
      <c r="G585" s="2"/>
      <c r="H585" s="2"/>
      <c r="I585" s="2"/>
    </row>
    <row r="586" spans="1:9" ht="15" thickBot="1" x14ac:dyDescent="0.3">
      <c r="A586" s="2"/>
      <c r="B586" s="2"/>
      <c r="C586" s="2"/>
      <c r="D586" s="2"/>
      <c r="E586" s="2"/>
      <c r="F586" s="2"/>
      <c r="G586" s="2"/>
      <c r="H586" s="2"/>
      <c r="I586" s="2"/>
    </row>
    <row r="587" spans="1:9" ht="15" thickBot="1" x14ac:dyDescent="0.3">
      <c r="A587" s="2"/>
      <c r="B587" s="2"/>
      <c r="C587" s="2"/>
      <c r="D587" s="2"/>
      <c r="E587" s="2"/>
      <c r="F587" s="2"/>
      <c r="G587" s="2"/>
      <c r="H587" s="2"/>
      <c r="I587" s="2"/>
    </row>
    <row r="588" spans="1:9" ht="15" thickBot="1" x14ac:dyDescent="0.3">
      <c r="A588" s="2"/>
      <c r="B588" s="2"/>
      <c r="C588" s="2"/>
      <c r="D588" s="2"/>
      <c r="E588" s="2"/>
      <c r="F588" s="2"/>
      <c r="G588" s="2"/>
      <c r="H588" s="2"/>
      <c r="I588" s="2"/>
    </row>
    <row r="589" spans="1:9" ht="15" thickBot="1" x14ac:dyDescent="0.3">
      <c r="A589" s="2"/>
      <c r="B589" s="2"/>
      <c r="C589" s="2"/>
      <c r="D589" s="2"/>
      <c r="E589" s="2"/>
      <c r="F589" s="2"/>
      <c r="G589" s="2"/>
      <c r="H589" s="2"/>
      <c r="I589" s="2"/>
    </row>
    <row r="590" spans="1:9" ht="15" thickBot="1" x14ac:dyDescent="0.3">
      <c r="A590" s="2"/>
      <c r="B590" s="2"/>
      <c r="C590" s="2"/>
      <c r="D590" s="2"/>
      <c r="E590" s="2"/>
      <c r="F590" s="2"/>
      <c r="G590" s="2"/>
      <c r="H590" s="2"/>
      <c r="I590" s="2"/>
    </row>
    <row r="591" spans="1:9" ht="15" thickBot="1" x14ac:dyDescent="0.3">
      <c r="A591" s="2"/>
      <c r="B591" s="2"/>
      <c r="C591" s="2"/>
      <c r="D591" s="2"/>
      <c r="E591" s="2"/>
      <c r="F591" s="2"/>
      <c r="G591" s="2"/>
      <c r="H591" s="2"/>
      <c r="I591" s="2"/>
    </row>
    <row r="592" spans="1:9" ht="15" thickBot="1" x14ac:dyDescent="0.3">
      <c r="A592" s="2"/>
      <c r="B592" s="2"/>
      <c r="C592" s="2"/>
      <c r="D592" s="2"/>
      <c r="E592" s="2"/>
      <c r="F592" s="2"/>
      <c r="G592" s="2"/>
      <c r="H592" s="2"/>
      <c r="I592" s="2"/>
    </row>
    <row r="593" spans="1:9" ht="15" thickBot="1" x14ac:dyDescent="0.3">
      <c r="A593" s="2"/>
      <c r="B593" s="2"/>
      <c r="C593" s="2"/>
      <c r="D593" s="2"/>
      <c r="E593" s="2"/>
      <c r="F593" s="2"/>
      <c r="G593" s="2"/>
      <c r="H593" s="2"/>
      <c r="I593" s="2"/>
    </row>
    <row r="594" spans="1:9" ht="15" thickBot="1" x14ac:dyDescent="0.3">
      <c r="A594" s="2"/>
      <c r="B594" s="2"/>
      <c r="C594" s="2"/>
      <c r="D594" s="2"/>
      <c r="E594" s="2"/>
      <c r="F594" s="2"/>
      <c r="G594" s="2"/>
      <c r="H594" s="2"/>
      <c r="I594" s="2"/>
    </row>
    <row r="595" spans="1:9" ht="15" thickBot="1" x14ac:dyDescent="0.3">
      <c r="A595" s="2"/>
      <c r="B595" s="2"/>
      <c r="C595" s="2"/>
      <c r="D595" s="2"/>
      <c r="E595" s="2"/>
      <c r="F595" s="2"/>
      <c r="G595" s="2"/>
      <c r="H595" s="2"/>
      <c r="I595" s="2"/>
    </row>
    <row r="596" spans="1:9" ht="15" thickBot="1" x14ac:dyDescent="0.3">
      <c r="A596" s="2"/>
      <c r="B596" s="2"/>
      <c r="C596" s="2"/>
      <c r="D596" s="2"/>
      <c r="E596" s="2"/>
      <c r="F596" s="2"/>
      <c r="G596" s="2"/>
      <c r="H596" s="2"/>
      <c r="I596" s="2"/>
    </row>
    <row r="597" spans="1:9" ht="15" thickBot="1" x14ac:dyDescent="0.3">
      <c r="A597" s="2"/>
      <c r="B597" s="2"/>
      <c r="C597" s="2"/>
      <c r="D597" s="2"/>
      <c r="E597" s="2"/>
      <c r="F597" s="2"/>
      <c r="G597" s="2"/>
      <c r="H597" s="2"/>
      <c r="I597" s="2"/>
    </row>
    <row r="598" spans="1:9" ht="15" thickBot="1" x14ac:dyDescent="0.3">
      <c r="A598" s="2"/>
      <c r="B598" s="2"/>
      <c r="C598" s="2"/>
      <c r="D598" s="2"/>
      <c r="E598" s="2"/>
      <c r="F598" s="2"/>
      <c r="G598" s="2"/>
      <c r="H598" s="2"/>
      <c r="I598" s="2"/>
    </row>
    <row r="599" spans="1:9" ht="15" thickBot="1" x14ac:dyDescent="0.3">
      <c r="A599" s="2"/>
      <c r="B599" s="2"/>
      <c r="C599" s="2"/>
      <c r="D599" s="2"/>
      <c r="E599" s="2"/>
      <c r="F599" s="2"/>
      <c r="G599" s="2"/>
      <c r="H599" s="2"/>
      <c r="I599" s="2"/>
    </row>
    <row r="600" spans="1:9" ht="15" thickBot="1" x14ac:dyDescent="0.3">
      <c r="A600" s="2"/>
      <c r="B600" s="2"/>
      <c r="C600" s="2"/>
      <c r="D600" s="2"/>
      <c r="E600" s="2"/>
      <c r="F600" s="2"/>
      <c r="G600" s="2"/>
      <c r="H600" s="2"/>
      <c r="I600" s="2"/>
    </row>
    <row r="601" spans="1:9" ht="15" thickBot="1" x14ac:dyDescent="0.3">
      <c r="A601" s="2"/>
      <c r="B601" s="2"/>
      <c r="C601" s="2"/>
      <c r="D601" s="2"/>
      <c r="E601" s="2"/>
      <c r="F601" s="2"/>
      <c r="G601" s="2"/>
      <c r="H601" s="2"/>
      <c r="I601" s="2"/>
    </row>
    <row r="602" spans="1:9" ht="15" thickBot="1" x14ac:dyDescent="0.3">
      <c r="A602" s="2"/>
      <c r="B602" s="2"/>
      <c r="C602" s="2"/>
      <c r="D602" s="2"/>
      <c r="E602" s="2"/>
      <c r="F602" s="2"/>
      <c r="G602" s="2"/>
      <c r="H602" s="2"/>
      <c r="I602" s="2"/>
    </row>
    <row r="603" spans="1:9" ht="15" thickBot="1" x14ac:dyDescent="0.3">
      <c r="A603" s="2"/>
      <c r="B603" s="2"/>
      <c r="C603" s="2"/>
      <c r="D603" s="2"/>
      <c r="E603" s="2"/>
      <c r="F603" s="2"/>
      <c r="G603" s="2"/>
      <c r="H603" s="2"/>
      <c r="I603" s="2"/>
    </row>
    <row r="604" spans="1:9" ht="15" thickBot="1" x14ac:dyDescent="0.3">
      <c r="A604" s="2"/>
      <c r="B604" s="2"/>
      <c r="C604" s="2"/>
      <c r="D604" s="2"/>
      <c r="E604" s="2"/>
      <c r="F604" s="2"/>
      <c r="G604" s="2"/>
      <c r="H604" s="2"/>
      <c r="I604" s="2"/>
    </row>
    <row r="605" spans="1:9" ht="15" thickBot="1" x14ac:dyDescent="0.3">
      <c r="A605" s="2"/>
      <c r="B605" s="2"/>
      <c r="C605" s="2"/>
      <c r="D605" s="2"/>
      <c r="E605" s="2"/>
      <c r="F605" s="2"/>
      <c r="G605" s="2"/>
      <c r="H605" s="2"/>
      <c r="I605" s="2"/>
    </row>
    <row r="606" spans="1:9" ht="15" thickBot="1" x14ac:dyDescent="0.3">
      <c r="A606" s="2"/>
      <c r="B606" s="2"/>
      <c r="C606" s="2"/>
      <c r="D606" s="2"/>
      <c r="E606" s="2"/>
      <c r="F606" s="2"/>
      <c r="G606" s="2"/>
      <c r="H606" s="2"/>
      <c r="I606" s="2"/>
    </row>
    <row r="607" spans="1:9" ht="15" thickBot="1" x14ac:dyDescent="0.3">
      <c r="A607" s="2"/>
      <c r="B607" s="2"/>
      <c r="C607" s="2"/>
      <c r="D607" s="2"/>
      <c r="E607" s="2"/>
      <c r="F607" s="2"/>
      <c r="G607" s="2"/>
      <c r="H607" s="2"/>
      <c r="I607" s="2"/>
    </row>
    <row r="608" spans="1:9" ht="15" thickBot="1" x14ac:dyDescent="0.3">
      <c r="A608" s="2"/>
      <c r="B608" s="2"/>
      <c r="C608" s="2"/>
      <c r="D608" s="2"/>
      <c r="E608" s="2"/>
      <c r="F608" s="2"/>
      <c r="G608" s="2"/>
      <c r="H608" s="2"/>
      <c r="I608" s="2"/>
    </row>
    <row r="609" spans="1:9" ht="15" thickBot="1" x14ac:dyDescent="0.3">
      <c r="A609" s="2"/>
      <c r="B609" s="2"/>
      <c r="C609" s="2"/>
      <c r="D609" s="2"/>
      <c r="E609" s="2"/>
      <c r="F609" s="2"/>
      <c r="G609" s="2"/>
      <c r="H609" s="2"/>
      <c r="I609" s="2"/>
    </row>
    <row r="610" spans="1:9" ht="15" thickBot="1" x14ac:dyDescent="0.3">
      <c r="A610" s="2"/>
      <c r="B610" s="2"/>
      <c r="C610" s="2"/>
      <c r="D610" s="2"/>
      <c r="E610" s="2"/>
      <c r="F610" s="2"/>
      <c r="G610" s="2"/>
      <c r="H610" s="2"/>
      <c r="I610" s="2"/>
    </row>
    <row r="611" spans="1:9" ht="15" thickBot="1" x14ac:dyDescent="0.3">
      <c r="A611" s="2"/>
      <c r="B611" s="2"/>
      <c r="C611" s="2"/>
      <c r="D611" s="2"/>
      <c r="E611" s="2"/>
      <c r="F611" s="2"/>
      <c r="G611" s="2"/>
      <c r="H611" s="2"/>
      <c r="I611" s="2"/>
    </row>
    <row r="612" spans="1:9" ht="15" thickBot="1" x14ac:dyDescent="0.3">
      <c r="A612" s="2"/>
      <c r="B612" s="2"/>
      <c r="C612" s="2"/>
      <c r="D612" s="2"/>
      <c r="E612" s="2"/>
      <c r="F612" s="2"/>
      <c r="G612" s="2"/>
      <c r="H612" s="2"/>
      <c r="I612" s="2"/>
    </row>
    <row r="613" spans="1:9" ht="15" thickBot="1" x14ac:dyDescent="0.3">
      <c r="A613" s="2"/>
      <c r="B613" s="2"/>
      <c r="C613" s="2"/>
      <c r="D613" s="2"/>
      <c r="E613" s="2"/>
      <c r="F613" s="2"/>
      <c r="G613" s="2"/>
      <c r="H613" s="2"/>
      <c r="I613" s="2"/>
    </row>
    <row r="614" spans="1:9" ht="15" thickBot="1" x14ac:dyDescent="0.3">
      <c r="A614" s="2"/>
      <c r="B614" s="2"/>
      <c r="C614" s="2"/>
      <c r="D614" s="2"/>
      <c r="E614" s="2"/>
      <c r="F614" s="2"/>
      <c r="G614" s="2"/>
      <c r="H614" s="2"/>
      <c r="I614" s="2"/>
    </row>
    <row r="615" spans="1:9" ht="15" thickBot="1" x14ac:dyDescent="0.3">
      <c r="A615" s="2"/>
      <c r="B615" s="2"/>
      <c r="C615" s="2"/>
      <c r="D615" s="2"/>
      <c r="E615" s="2"/>
      <c r="F615" s="2"/>
      <c r="G615" s="2"/>
      <c r="H615" s="2"/>
      <c r="I615" s="2"/>
    </row>
    <row r="616" spans="1:9" ht="15" thickBot="1" x14ac:dyDescent="0.3">
      <c r="A616" s="2"/>
      <c r="B616" s="2"/>
      <c r="C616" s="2"/>
      <c r="D616" s="2"/>
      <c r="E616" s="2"/>
      <c r="F616" s="2"/>
      <c r="G616" s="2"/>
      <c r="H616" s="2"/>
      <c r="I616" s="2"/>
    </row>
    <row r="617" spans="1:9" ht="15" thickBot="1" x14ac:dyDescent="0.3">
      <c r="A617" s="2"/>
      <c r="B617" s="2"/>
      <c r="C617" s="2"/>
      <c r="D617" s="2"/>
      <c r="E617" s="2"/>
      <c r="F617" s="2"/>
      <c r="G617" s="2"/>
      <c r="H617" s="2"/>
      <c r="I617" s="2"/>
    </row>
    <row r="618" spans="1:9" ht="15" thickBot="1" x14ac:dyDescent="0.3">
      <c r="A618" s="2"/>
      <c r="B618" s="2"/>
      <c r="C618" s="2"/>
      <c r="D618" s="2"/>
      <c r="E618" s="2"/>
      <c r="F618" s="2"/>
      <c r="G618" s="2"/>
      <c r="H618" s="2"/>
      <c r="I618" s="2"/>
    </row>
    <row r="619" spans="1:9" ht="15" thickBot="1" x14ac:dyDescent="0.3">
      <c r="A619" s="2"/>
      <c r="B619" s="2"/>
      <c r="C619" s="2"/>
      <c r="D619" s="2"/>
      <c r="E619" s="2"/>
      <c r="F619" s="2"/>
      <c r="G619" s="2"/>
      <c r="H619" s="2"/>
      <c r="I619" s="2"/>
    </row>
    <row r="620" spans="1:9" ht="15" thickBot="1" x14ac:dyDescent="0.3">
      <c r="A620" s="2"/>
      <c r="B620" s="2"/>
      <c r="C620" s="2"/>
      <c r="D620" s="2"/>
      <c r="E620" s="2"/>
      <c r="F620" s="2"/>
      <c r="G620" s="2"/>
      <c r="H620" s="2"/>
      <c r="I620" s="2"/>
    </row>
    <row r="621" spans="1:9" ht="15" thickBot="1" x14ac:dyDescent="0.3">
      <c r="A621" s="2"/>
      <c r="B621" s="2"/>
      <c r="C621" s="2"/>
      <c r="D621" s="2"/>
      <c r="E621" s="2"/>
      <c r="F621" s="2"/>
      <c r="G621" s="2"/>
      <c r="H621" s="2"/>
      <c r="I621" s="2"/>
    </row>
    <row r="622" spans="1:9" ht="15" thickBot="1" x14ac:dyDescent="0.3">
      <c r="A622" s="2"/>
      <c r="B622" s="2"/>
      <c r="C622" s="2"/>
      <c r="D622" s="2"/>
      <c r="E622" s="2"/>
      <c r="F622" s="2"/>
      <c r="G622" s="2"/>
      <c r="H622" s="2"/>
      <c r="I622" s="2"/>
    </row>
    <row r="623" spans="1:9" ht="15" thickBot="1" x14ac:dyDescent="0.3">
      <c r="A623" s="2"/>
      <c r="B623" s="2"/>
      <c r="C623" s="2"/>
      <c r="D623" s="2"/>
      <c r="E623" s="2"/>
      <c r="F623" s="2"/>
      <c r="G623" s="2"/>
      <c r="H623" s="2"/>
      <c r="I623" s="2"/>
    </row>
    <row r="624" spans="1:9" ht="15" thickBot="1" x14ac:dyDescent="0.3">
      <c r="A624" s="2"/>
      <c r="B624" s="2"/>
      <c r="C624" s="2"/>
      <c r="D624" s="2"/>
      <c r="E624" s="2"/>
      <c r="F624" s="2"/>
      <c r="G624" s="2"/>
      <c r="H624" s="2"/>
      <c r="I624" s="2"/>
    </row>
    <row r="625" spans="1:9" ht="15" thickBot="1" x14ac:dyDescent="0.3">
      <c r="A625" s="2"/>
      <c r="B625" s="2"/>
      <c r="C625" s="2"/>
      <c r="D625" s="2"/>
      <c r="E625" s="2"/>
      <c r="F625" s="2"/>
      <c r="G625" s="2"/>
      <c r="H625" s="2"/>
      <c r="I625" s="2"/>
    </row>
    <row r="626" spans="1:9" ht="15" thickBot="1" x14ac:dyDescent="0.3">
      <c r="A626" s="2"/>
      <c r="B626" s="2"/>
      <c r="C626" s="2"/>
      <c r="D626" s="2"/>
      <c r="E626" s="2"/>
      <c r="F626" s="2"/>
      <c r="G626" s="2"/>
      <c r="H626" s="2"/>
      <c r="I626" s="2"/>
    </row>
    <row r="627" spans="1:9" ht="15" thickBot="1" x14ac:dyDescent="0.3">
      <c r="A627" s="2"/>
      <c r="B627" s="2"/>
      <c r="C627" s="2"/>
      <c r="D627" s="2"/>
      <c r="E627" s="2"/>
      <c r="F627" s="2"/>
      <c r="G627" s="2"/>
      <c r="H627" s="2"/>
      <c r="I627" s="2"/>
    </row>
    <row r="628" spans="1:9" ht="15" thickBot="1" x14ac:dyDescent="0.3">
      <c r="A628" s="2"/>
      <c r="B628" s="2"/>
      <c r="C628" s="2"/>
      <c r="D628" s="2"/>
      <c r="E628" s="2"/>
      <c r="F628" s="2"/>
      <c r="G628" s="2"/>
      <c r="H628" s="2"/>
      <c r="I628" s="2"/>
    </row>
    <row r="629" spans="1:9" ht="15" thickBot="1" x14ac:dyDescent="0.3">
      <c r="A629" s="2"/>
      <c r="B629" s="2"/>
      <c r="C629" s="2"/>
      <c r="D629" s="2"/>
      <c r="E629" s="2"/>
      <c r="F629" s="2"/>
      <c r="G629" s="2"/>
      <c r="H629" s="2"/>
      <c r="I629" s="2"/>
    </row>
    <row r="630" spans="1:9" ht="15" thickBot="1" x14ac:dyDescent="0.3">
      <c r="A630" s="2"/>
      <c r="B630" s="2"/>
      <c r="C630" s="2"/>
      <c r="D630" s="2"/>
      <c r="E630" s="2"/>
      <c r="F630" s="2"/>
      <c r="G630" s="2"/>
      <c r="H630" s="2"/>
      <c r="I630" s="2"/>
    </row>
    <row r="631" spans="1:9" ht="15" thickBot="1" x14ac:dyDescent="0.3">
      <c r="A631" s="2"/>
      <c r="B631" s="2"/>
      <c r="C631" s="2"/>
      <c r="D631" s="2"/>
      <c r="E631" s="2"/>
      <c r="F631" s="2"/>
      <c r="G631" s="2"/>
      <c r="H631" s="2"/>
      <c r="I631" s="2"/>
    </row>
    <row r="632" spans="1:9" ht="15" thickBot="1" x14ac:dyDescent="0.3">
      <c r="A632" s="2"/>
      <c r="B632" s="2"/>
      <c r="C632" s="2"/>
      <c r="D632" s="2"/>
      <c r="E632" s="2"/>
      <c r="F632" s="2"/>
      <c r="G632" s="2"/>
      <c r="H632" s="2"/>
      <c r="I632" s="2"/>
    </row>
    <row r="633" spans="1:9" ht="15" thickBot="1" x14ac:dyDescent="0.3">
      <c r="A633" s="2"/>
      <c r="B633" s="2"/>
      <c r="C633" s="2"/>
      <c r="D633" s="2"/>
      <c r="E633" s="2"/>
      <c r="F633" s="2"/>
      <c r="G633" s="2"/>
      <c r="H633" s="2"/>
      <c r="I633" s="2"/>
    </row>
    <row r="634" spans="1:9" ht="15" thickBot="1" x14ac:dyDescent="0.3">
      <c r="A634" s="2"/>
      <c r="B634" s="2"/>
      <c r="C634" s="2"/>
      <c r="D634" s="2"/>
      <c r="E634" s="2"/>
      <c r="F634" s="2"/>
      <c r="G634" s="2"/>
      <c r="H634" s="2"/>
      <c r="I634" s="2"/>
    </row>
    <row r="635" spans="1:9" ht="15" thickBot="1" x14ac:dyDescent="0.3">
      <c r="A635" s="2"/>
      <c r="B635" s="2"/>
      <c r="C635" s="2"/>
      <c r="D635" s="2"/>
      <c r="E635" s="2"/>
      <c r="F635" s="2"/>
      <c r="G635" s="2"/>
      <c r="H635" s="2"/>
      <c r="I635" s="2"/>
    </row>
    <row r="636" spans="1:9" ht="15" thickBot="1" x14ac:dyDescent="0.3">
      <c r="A636" s="2"/>
      <c r="B636" s="2"/>
      <c r="C636" s="2"/>
      <c r="D636" s="2"/>
      <c r="E636" s="2"/>
      <c r="F636" s="2"/>
      <c r="G636" s="2"/>
      <c r="H636" s="2"/>
      <c r="I636" s="2"/>
    </row>
    <row r="637" spans="1:9" ht="15" thickBot="1" x14ac:dyDescent="0.3">
      <c r="A637" s="2"/>
      <c r="B637" s="2"/>
      <c r="C637" s="2"/>
      <c r="D637" s="2"/>
      <c r="E637" s="2"/>
      <c r="F637" s="2"/>
      <c r="G637" s="2"/>
      <c r="H637" s="2"/>
      <c r="I637" s="2"/>
    </row>
    <row r="638" spans="1:9" ht="15" thickBot="1" x14ac:dyDescent="0.3">
      <c r="A638" s="2"/>
      <c r="B638" s="2"/>
      <c r="C638" s="2"/>
      <c r="D638" s="2"/>
      <c r="E638" s="2"/>
      <c r="F638" s="2"/>
      <c r="G638" s="2"/>
      <c r="H638" s="2"/>
      <c r="I638" s="2"/>
    </row>
    <row r="639" spans="1:9" ht="15" thickBot="1" x14ac:dyDescent="0.3">
      <c r="A639" s="2"/>
      <c r="B639" s="2"/>
      <c r="C639" s="2"/>
      <c r="D639" s="2"/>
      <c r="E639" s="2"/>
      <c r="F639" s="2"/>
      <c r="G639" s="2"/>
      <c r="H639" s="2"/>
      <c r="I639" s="2"/>
    </row>
    <row r="640" spans="1:9" ht="15" thickBot="1" x14ac:dyDescent="0.3">
      <c r="A640" s="2"/>
      <c r="B640" s="2"/>
      <c r="C640" s="2"/>
      <c r="D640" s="2"/>
      <c r="E640" s="2"/>
      <c r="F640" s="2"/>
      <c r="G640" s="2"/>
      <c r="H640" s="2"/>
      <c r="I640" s="2"/>
    </row>
    <row r="641" spans="1:9" ht="15" thickBot="1" x14ac:dyDescent="0.3">
      <c r="A641" s="2"/>
      <c r="B641" s="2"/>
      <c r="C641" s="2"/>
      <c r="D641" s="2"/>
      <c r="E641" s="2"/>
      <c r="F641" s="2"/>
      <c r="G641" s="2"/>
      <c r="H641" s="2"/>
      <c r="I641" s="2"/>
    </row>
    <row r="642" spans="1:9" ht="15" thickBot="1" x14ac:dyDescent="0.3">
      <c r="A642" s="2"/>
      <c r="B642" s="2"/>
      <c r="C642" s="2"/>
      <c r="D642" s="2"/>
      <c r="E642" s="2"/>
      <c r="F642" s="2"/>
      <c r="G642" s="2"/>
      <c r="H642" s="2"/>
      <c r="I642" s="2"/>
    </row>
    <row r="643" spans="1:9" ht="15" thickBot="1" x14ac:dyDescent="0.3">
      <c r="A643" s="2"/>
      <c r="B643" s="2"/>
      <c r="C643" s="2"/>
      <c r="D643" s="2"/>
      <c r="E643" s="2"/>
      <c r="F643" s="2"/>
      <c r="G643" s="2"/>
      <c r="H643" s="2"/>
      <c r="I643" s="2"/>
    </row>
    <row r="644" spans="1:9" ht="15" thickBot="1" x14ac:dyDescent="0.3">
      <c r="A644" s="2"/>
      <c r="B644" s="2"/>
      <c r="C644" s="2"/>
      <c r="D644" s="2"/>
      <c r="E644" s="2"/>
      <c r="F644" s="2"/>
      <c r="G644" s="2"/>
      <c r="H644" s="2"/>
      <c r="I644" s="2"/>
    </row>
    <row r="645" spans="1:9" ht="15" thickBot="1" x14ac:dyDescent="0.3">
      <c r="A645" s="2"/>
      <c r="B645" s="2"/>
      <c r="C645" s="2"/>
      <c r="D645" s="2"/>
      <c r="E645" s="2"/>
      <c r="F645" s="2"/>
      <c r="G645" s="2"/>
      <c r="H645" s="2"/>
      <c r="I645" s="2"/>
    </row>
    <row r="646" spans="1:9" ht="15" thickBot="1" x14ac:dyDescent="0.3">
      <c r="A646" s="2"/>
      <c r="B646" s="2"/>
      <c r="C646" s="2"/>
      <c r="D646" s="2"/>
      <c r="E646" s="2"/>
      <c r="F646" s="2"/>
      <c r="G646" s="2"/>
      <c r="H646" s="2"/>
      <c r="I646" s="2"/>
    </row>
    <row r="647" spans="1:9" ht="15" thickBot="1" x14ac:dyDescent="0.3">
      <c r="A647" s="2"/>
      <c r="B647" s="2"/>
      <c r="C647" s="2"/>
      <c r="D647" s="2"/>
      <c r="E647" s="2"/>
      <c r="F647" s="2"/>
      <c r="G647" s="2"/>
      <c r="H647" s="2"/>
      <c r="I647" s="2"/>
    </row>
    <row r="648" spans="1:9" ht="15" thickBot="1" x14ac:dyDescent="0.3">
      <c r="A648" s="2"/>
      <c r="B648" s="2"/>
      <c r="C648" s="2"/>
      <c r="D648" s="2"/>
      <c r="E648" s="2"/>
      <c r="F648" s="2"/>
      <c r="G648" s="2"/>
      <c r="H648" s="2"/>
      <c r="I648" s="2"/>
    </row>
    <row r="649" spans="1:9" ht="15" thickBot="1" x14ac:dyDescent="0.3">
      <c r="A649" s="2"/>
      <c r="B649" s="2"/>
      <c r="C649" s="2"/>
      <c r="D649" s="2"/>
      <c r="E649" s="2"/>
      <c r="F649" s="2"/>
      <c r="G649" s="2"/>
      <c r="H649" s="2"/>
      <c r="I649" s="2"/>
    </row>
    <row r="650" spans="1:9" ht="15" thickBot="1" x14ac:dyDescent="0.3">
      <c r="A650" s="2"/>
      <c r="B650" s="2"/>
      <c r="C650" s="2"/>
      <c r="D650" s="2"/>
      <c r="E650" s="2"/>
      <c r="F650" s="2"/>
      <c r="G650" s="2"/>
      <c r="H650" s="2"/>
      <c r="I650" s="2"/>
    </row>
    <row r="651" spans="1:9" ht="15" thickBot="1" x14ac:dyDescent="0.3">
      <c r="A651" s="2"/>
      <c r="B651" s="2"/>
      <c r="C651" s="2"/>
      <c r="D651" s="2"/>
      <c r="E651" s="2"/>
      <c r="F651" s="2"/>
      <c r="G651" s="2"/>
      <c r="H651" s="2"/>
      <c r="I651" s="2"/>
    </row>
    <row r="652" spans="1:9" ht="15" thickBot="1" x14ac:dyDescent="0.3">
      <c r="A652" s="2"/>
      <c r="B652" s="2"/>
      <c r="C652" s="2"/>
      <c r="D652" s="2"/>
      <c r="E652" s="2"/>
      <c r="F652" s="2"/>
      <c r="G652" s="2"/>
      <c r="H652" s="2"/>
      <c r="I652" s="2"/>
    </row>
    <row r="653" spans="1:9" ht="15" thickBot="1" x14ac:dyDescent="0.3">
      <c r="A653" s="2"/>
      <c r="B653" s="2"/>
      <c r="C653" s="2"/>
      <c r="D653" s="2"/>
      <c r="E653" s="2"/>
      <c r="F653" s="2"/>
      <c r="G653" s="2"/>
      <c r="H653" s="2"/>
      <c r="I653" s="2"/>
    </row>
    <row r="654" spans="1:9" ht="15" thickBot="1" x14ac:dyDescent="0.3">
      <c r="A654" s="2"/>
      <c r="B654" s="2"/>
      <c r="C654" s="2"/>
      <c r="D654" s="2"/>
      <c r="E654" s="2"/>
      <c r="F654" s="2"/>
      <c r="G654" s="2"/>
      <c r="H654" s="2"/>
      <c r="I654" s="2"/>
    </row>
    <row r="655" spans="1:9" ht="15" thickBot="1" x14ac:dyDescent="0.3">
      <c r="A655" s="2"/>
      <c r="B655" s="2"/>
      <c r="C655" s="2"/>
      <c r="D655" s="2"/>
      <c r="E655" s="2"/>
      <c r="F655" s="2"/>
      <c r="G655" s="2"/>
      <c r="H655" s="2"/>
      <c r="I655" s="2"/>
    </row>
    <row r="656" spans="1:9" ht="15" thickBot="1" x14ac:dyDescent="0.3">
      <c r="A656" s="2"/>
      <c r="B656" s="2"/>
      <c r="C656" s="2"/>
      <c r="D656" s="2"/>
      <c r="E656" s="2"/>
      <c r="F656" s="2"/>
      <c r="G656" s="2"/>
      <c r="H656" s="2"/>
      <c r="I656" s="2"/>
    </row>
    <row r="657" spans="1:9" ht="15" thickBot="1" x14ac:dyDescent="0.3">
      <c r="A657" s="2"/>
      <c r="B657" s="2"/>
      <c r="C657" s="2"/>
      <c r="D657" s="2"/>
      <c r="E657" s="2"/>
      <c r="F657" s="2"/>
      <c r="G657" s="2"/>
      <c r="H657" s="2"/>
      <c r="I657" s="2"/>
    </row>
    <row r="658" spans="1:9" ht="15" thickBot="1" x14ac:dyDescent="0.3">
      <c r="A658" s="2"/>
      <c r="B658" s="2"/>
      <c r="C658" s="2"/>
      <c r="D658" s="2"/>
      <c r="E658" s="2"/>
      <c r="F658" s="2"/>
      <c r="G658" s="2"/>
      <c r="H658" s="2"/>
      <c r="I658" s="2"/>
    </row>
    <row r="659" spans="1:9" ht="15" thickBot="1" x14ac:dyDescent="0.3">
      <c r="A659" s="2"/>
      <c r="B659" s="2"/>
      <c r="C659" s="2"/>
      <c r="D659" s="2"/>
      <c r="E659" s="2"/>
      <c r="F659" s="2"/>
      <c r="G659" s="2"/>
      <c r="H659" s="2"/>
      <c r="I659" s="2"/>
    </row>
    <row r="660" spans="1:9" ht="15" thickBot="1" x14ac:dyDescent="0.3">
      <c r="A660" s="2"/>
      <c r="B660" s="2"/>
      <c r="C660" s="2"/>
      <c r="D660" s="2"/>
      <c r="E660" s="2"/>
      <c r="F660" s="2"/>
      <c r="G660" s="2"/>
      <c r="H660" s="2"/>
      <c r="I660" s="2"/>
    </row>
    <row r="661" spans="1:9" ht="15" thickBot="1" x14ac:dyDescent="0.3">
      <c r="A661" s="2"/>
      <c r="B661" s="2"/>
      <c r="C661" s="2"/>
      <c r="D661" s="2"/>
      <c r="E661" s="2"/>
      <c r="F661" s="2"/>
      <c r="G661" s="2"/>
      <c r="H661" s="2"/>
      <c r="I661" s="2"/>
    </row>
    <row r="662" spans="1:9" ht="15" thickBot="1" x14ac:dyDescent="0.3">
      <c r="A662" s="2"/>
      <c r="B662" s="2"/>
      <c r="C662" s="2"/>
      <c r="D662" s="2"/>
      <c r="E662" s="2"/>
      <c r="F662" s="2"/>
      <c r="G662" s="2"/>
      <c r="H662" s="2"/>
      <c r="I662" s="2"/>
    </row>
    <row r="663" spans="1:9" ht="15" thickBot="1" x14ac:dyDescent="0.3">
      <c r="A663" s="2"/>
      <c r="B663" s="2"/>
      <c r="C663" s="2"/>
      <c r="D663" s="2"/>
      <c r="E663" s="2"/>
      <c r="F663" s="2"/>
      <c r="G663" s="2"/>
      <c r="H663" s="2"/>
      <c r="I663" s="2"/>
    </row>
    <row r="664" spans="1:9" ht="15" thickBot="1" x14ac:dyDescent="0.3">
      <c r="A664" s="2"/>
      <c r="B664" s="2"/>
      <c r="C664" s="2"/>
      <c r="D664" s="2"/>
      <c r="E664" s="2"/>
      <c r="F664" s="2"/>
      <c r="G664" s="2"/>
      <c r="H664" s="2"/>
      <c r="I664" s="2"/>
    </row>
    <row r="665" spans="1:9" ht="15" thickBot="1" x14ac:dyDescent="0.3">
      <c r="A665" s="2"/>
      <c r="B665" s="2"/>
      <c r="C665" s="2"/>
      <c r="D665" s="2"/>
      <c r="E665" s="2"/>
      <c r="F665" s="2"/>
      <c r="G665" s="2"/>
      <c r="H665" s="2"/>
      <c r="I665" s="2"/>
    </row>
    <row r="666" spans="1:9" ht="15" thickBot="1" x14ac:dyDescent="0.3">
      <c r="A666" s="2"/>
      <c r="B666" s="2"/>
      <c r="C666" s="2"/>
      <c r="D666" s="2"/>
      <c r="E666" s="2"/>
      <c r="F666" s="2"/>
      <c r="G666" s="2"/>
      <c r="H666" s="2"/>
      <c r="I666" s="2"/>
    </row>
    <row r="667" spans="1:9" ht="15" thickBot="1" x14ac:dyDescent="0.3">
      <c r="A667" s="2"/>
      <c r="B667" s="2"/>
      <c r="C667" s="2"/>
      <c r="D667" s="2"/>
      <c r="E667" s="2"/>
      <c r="F667" s="2"/>
      <c r="G667" s="2"/>
      <c r="H667" s="2"/>
      <c r="I667" s="2"/>
    </row>
    <row r="668" spans="1:9" ht="15" thickBot="1" x14ac:dyDescent="0.3">
      <c r="A668" s="2"/>
      <c r="B668" s="2"/>
      <c r="C668" s="2"/>
      <c r="D668" s="2"/>
      <c r="E668" s="2"/>
      <c r="F668" s="2"/>
      <c r="G668" s="2"/>
      <c r="H668" s="2"/>
      <c r="I668" s="2"/>
    </row>
    <row r="669" spans="1:9" ht="15" thickBot="1" x14ac:dyDescent="0.3">
      <c r="A669" s="2"/>
      <c r="B669" s="2"/>
      <c r="C669" s="2"/>
      <c r="D669" s="2"/>
      <c r="E669" s="2"/>
      <c r="F669" s="2"/>
      <c r="G669" s="2"/>
      <c r="H669" s="2"/>
      <c r="I669" s="2"/>
    </row>
    <row r="670" spans="1:9" ht="15" thickBot="1" x14ac:dyDescent="0.3">
      <c r="A670" s="2"/>
      <c r="B670" s="2"/>
      <c r="C670" s="2"/>
      <c r="D670" s="2"/>
      <c r="E670" s="2"/>
      <c r="F670" s="2"/>
      <c r="G670" s="2"/>
      <c r="H670" s="2"/>
      <c r="I670" s="2"/>
    </row>
    <row r="671" spans="1:9" ht="15" thickBot="1" x14ac:dyDescent="0.3">
      <c r="A671" s="2"/>
      <c r="B671" s="2"/>
      <c r="C671" s="2"/>
      <c r="D671" s="2"/>
      <c r="E671" s="2"/>
      <c r="F671" s="2"/>
      <c r="G671" s="2"/>
      <c r="H671" s="2"/>
      <c r="I671" s="2"/>
    </row>
    <row r="672" spans="1:9" ht="15" thickBot="1" x14ac:dyDescent="0.3">
      <c r="A672" s="2"/>
      <c r="B672" s="2"/>
      <c r="C672" s="2"/>
      <c r="D672" s="2"/>
      <c r="E672" s="2"/>
      <c r="F672" s="2"/>
      <c r="G672" s="2"/>
      <c r="H672" s="2"/>
      <c r="I672" s="2"/>
    </row>
    <row r="673" spans="1:9" ht="15" thickBot="1" x14ac:dyDescent="0.3">
      <c r="A673" s="2"/>
      <c r="B673" s="2"/>
      <c r="C673" s="2"/>
      <c r="D673" s="2"/>
      <c r="E673" s="2"/>
      <c r="F673" s="2"/>
      <c r="G673" s="2"/>
      <c r="H673" s="2"/>
      <c r="I673" s="2"/>
    </row>
    <row r="674" spans="1:9" ht="15" thickBot="1" x14ac:dyDescent="0.3">
      <c r="A674" s="2"/>
      <c r="B674" s="2"/>
      <c r="C674" s="2"/>
      <c r="D674" s="2"/>
      <c r="E674" s="2"/>
      <c r="F674" s="2"/>
      <c r="G674" s="2"/>
      <c r="H674" s="2"/>
      <c r="I674" s="2"/>
    </row>
    <row r="675" spans="1:9" ht="15" thickBot="1" x14ac:dyDescent="0.3">
      <c r="A675" s="2"/>
      <c r="B675" s="2"/>
      <c r="C675" s="2"/>
      <c r="D675" s="2"/>
      <c r="E675" s="2"/>
      <c r="F675" s="2"/>
      <c r="G675" s="2"/>
      <c r="H675" s="2"/>
      <c r="I675" s="2"/>
    </row>
    <row r="676" spans="1:9" ht="15" thickBot="1" x14ac:dyDescent="0.3">
      <c r="A676" s="2"/>
      <c r="B676" s="2"/>
      <c r="C676" s="2"/>
      <c r="D676" s="2"/>
      <c r="E676" s="2"/>
      <c r="F676" s="2"/>
      <c r="G676" s="2"/>
      <c r="H676" s="2"/>
      <c r="I676" s="2"/>
    </row>
    <row r="677" spans="1:9" ht="15" thickBot="1" x14ac:dyDescent="0.3">
      <c r="A677" s="2"/>
      <c r="B677" s="2"/>
      <c r="C677" s="2"/>
      <c r="D677" s="2"/>
      <c r="E677" s="2"/>
      <c r="F677" s="2"/>
      <c r="G677" s="2"/>
      <c r="H677" s="2"/>
      <c r="I677" s="2"/>
    </row>
    <row r="678" spans="1:9" ht="15" thickBot="1" x14ac:dyDescent="0.3">
      <c r="A678" s="2"/>
      <c r="B678" s="2"/>
      <c r="C678" s="2"/>
      <c r="D678" s="2"/>
      <c r="E678" s="2"/>
      <c r="F678" s="2"/>
      <c r="G678" s="2"/>
      <c r="H678" s="2"/>
      <c r="I678" s="2"/>
    </row>
    <row r="679" spans="1:9" ht="15" thickBot="1" x14ac:dyDescent="0.3">
      <c r="A679" s="2"/>
      <c r="B679" s="2"/>
      <c r="C679" s="2"/>
      <c r="D679" s="2"/>
      <c r="E679" s="2"/>
      <c r="F679" s="2"/>
      <c r="G679" s="2"/>
      <c r="H679" s="2"/>
      <c r="I679" s="2"/>
    </row>
    <row r="680" spans="1:9" ht="15" thickBot="1" x14ac:dyDescent="0.3">
      <c r="A680" s="2"/>
      <c r="B680" s="2"/>
      <c r="C680" s="2"/>
      <c r="D680" s="2"/>
      <c r="E680" s="2"/>
      <c r="F680" s="2"/>
      <c r="G680" s="2"/>
      <c r="H680" s="2"/>
      <c r="I680" s="2"/>
    </row>
    <row r="681" spans="1:9" ht="15" thickBot="1" x14ac:dyDescent="0.3">
      <c r="A681" s="2"/>
      <c r="B681" s="2"/>
      <c r="C681" s="2"/>
      <c r="D681" s="2"/>
      <c r="E681" s="2"/>
      <c r="F681" s="2"/>
      <c r="G681" s="2"/>
      <c r="H681" s="2"/>
      <c r="I681" s="2"/>
    </row>
    <row r="682" spans="1:9" ht="15" thickBot="1" x14ac:dyDescent="0.3">
      <c r="A682" s="2"/>
      <c r="B682" s="2"/>
      <c r="C682" s="2"/>
      <c r="D682" s="2"/>
      <c r="E682" s="2"/>
      <c r="F682" s="2"/>
      <c r="G682" s="2"/>
      <c r="H682" s="2"/>
      <c r="I682" s="2"/>
    </row>
    <row r="683" spans="1:9" ht="15" thickBot="1" x14ac:dyDescent="0.3">
      <c r="A683" s="2"/>
      <c r="B683" s="2"/>
      <c r="C683" s="2"/>
      <c r="D683" s="2"/>
      <c r="E683" s="2"/>
      <c r="F683" s="2"/>
      <c r="G683" s="2"/>
      <c r="H683" s="2"/>
      <c r="I683" s="2"/>
    </row>
    <row r="684" spans="1:9" ht="15" thickBot="1" x14ac:dyDescent="0.3">
      <c r="A684" s="2"/>
      <c r="B684" s="2"/>
      <c r="C684" s="2"/>
      <c r="D684" s="2"/>
      <c r="E684" s="2"/>
      <c r="F684" s="2"/>
      <c r="G684" s="2"/>
      <c r="H684" s="2"/>
      <c r="I684" s="2"/>
    </row>
    <row r="685" spans="1:9" ht="15" thickBot="1" x14ac:dyDescent="0.3">
      <c r="A685" s="2"/>
      <c r="B685" s="2"/>
      <c r="C685" s="2"/>
      <c r="D685" s="2"/>
      <c r="E685" s="2"/>
      <c r="F685" s="2"/>
      <c r="G685" s="2"/>
      <c r="H685" s="2"/>
      <c r="I685" s="2"/>
    </row>
    <row r="686" spans="1:9" ht="15" thickBot="1" x14ac:dyDescent="0.3">
      <c r="A686" s="2"/>
      <c r="B686" s="2"/>
      <c r="C686" s="2"/>
      <c r="D686" s="2"/>
      <c r="E686" s="2"/>
      <c r="F686" s="2"/>
      <c r="G686" s="2"/>
      <c r="H686" s="2"/>
      <c r="I686" s="2"/>
    </row>
    <row r="687" spans="1:9" ht="15" thickBot="1" x14ac:dyDescent="0.3">
      <c r="A687" s="2"/>
      <c r="B687" s="2"/>
      <c r="C687" s="2"/>
      <c r="D687" s="2"/>
      <c r="E687" s="2"/>
      <c r="F687" s="2"/>
      <c r="G687" s="2"/>
      <c r="H687" s="2"/>
      <c r="I687" s="2"/>
    </row>
    <row r="688" spans="1:9" ht="15" thickBot="1" x14ac:dyDescent="0.3">
      <c r="A688" s="2"/>
      <c r="B688" s="2"/>
      <c r="C688" s="2"/>
      <c r="D688" s="2"/>
      <c r="E688" s="2"/>
      <c r="F688" s="2"/>
      <c r="G688" s="2"/>
      <c r="H688" s="2"/>
      <c r="I688" s="2"/>
    </row>
    <row r="689" spans="1:9" ht="15" thickBot="1" x14ac:dyDescent="0.3">
      <c r="A689" s="2"/>
      <c r="B689" s="2"/>
      <c r="C689" s="2"/>
      <c r="D689" s="2"/>
      <c r="E689" s="2"/>
      <c r="F689" s="2"/>
      <c r="G689" s="2"/>
      <c r="H689" s="2"/>
      <c r="I689" s="2"/>
    </row>
    <row r="690" spans="1:9" ht="15" thickBot="1" x14ac:dyDescent="0.3">
      <c r="A690" s="2"/>
      <c r="B690" s="2"/>
      <c r="C690" s="2"/>
      <c r="D690" s="2"/>
      <c r="E690" s="2"/>
      <c r="F690" s="2"/>
      <c r="G690" s="2"/>
      <c r="H690" s="2"/>
      <c r="I690" s="2"/>
    </row>
    <row r="691" spans="1:9" ht="15" thickBot="1" x14ac:dyDescent="0.3">
      <c r="A691" s="2"/>
      <c r="B691" s="2"/>
      <c r="C691" s="2"/>
      <c r="D691" s="2"/>
      <c r="E691" s="2"/>
      <c r="F691" s="2"/>
      <c r="G691" s="2"/>
      <c r="H691" s="2"/>
      <c r="I691" s="2"/>
    </row>
    <row r="692" spans="1:9" ht="15" thickBot="1" x14ac:dyDescent="0.3">
      <c r="A692" s="2"/>
      <c r="B692" s="2"/>
      <c r="C692" s="2"/>
      <c r="D692" s="2"/>
      <c r="E692" s="2"/>
      <c r="F692" s="2"/>
      <c r="G692" s="2"/>
      <c r="H692" s="2"/>
      <c r="I692" s="2"/>
    </row>
    <row r="693" spans="1:9" ht="15" thickBot="1" x14ac:dyDescent="0.3">
      <c r="A693" s="2"/>
      <c r="B693" s="2"/>
      <c r="C693" s="2"/>
      <c r="D693" s="2"/>
      <c r="E693" s="2"/>
      <c r="F693" s="2"/>
      <c r="G693" s="2"/>
      <c r="H693" s="2"/>
      <c r="I693" s="2"/>
    </row>
    <row r="694" spans="1:9" ht="15" thickBot="1" x14ac:dyDescent="0.3">
      <c r="A694" s="2"/>
      <c r="B694" s="2"/>
      <c r="C694" s="2"/>
      <c r="D694" s="2"/>
      <c r="E694" s="2"/>
      <c r="F694" s="2"/>
      <c r="G694" s="2"/>
      <c r="H694" s="2"/>
      <c r="I694" s="2"/>
    </row>
    <row r="695" spans="1:9" ht="15" thickBot="1" x14ac:dyDescent="0.3">
      <c r="A695" s="2"/>
      <c r="B695" s="2"/>
      <c r="C695" s="2"/>
      <c r="D695" s="2"/>
      <c r="E695" s="2"/>
      <c r="F695" s="2"/>
      <c r="G695" s="2"/>
      <c r="H695" s="2"/>
      <c r="I695" s="2"/>
    </row>
    <row r="696" spans="1:9" ht="15" thickBot="1" x14ac:dyDescent="0.3">
      <c r="A696" s="2"/>
      <c r="B696" s="2"/>
      <c r="C696" s="2"/>
      <c r="D696" s="2"/>
      <c r="E696" s="2"/>
      <c r="F696" s="2"/>
      <c r="G696" s="2"/>
      <c r="H696" s="2"/>
      <c r="I696" s="2"/>
    </row>
    <row r="697" spans="1:9" ht="15" thickBot="1" x14ac:dyDescent="0.3">
      <c r="A697" s="2"/>
      <c r="B697" s="2"/>
      <c r="C697" s="2"/>
      <c r="D697" s="2"/>
      <c r="E697" s="2"/>
      <c r="F697" s="2"/>
      <c r="G697" s="2"/>
      <c r="H697" s="2"/>
      <c r="I697" s="2"/>
    </row>
    <row r="698" spans="1:9" ht="15" thickBot="1" x14ac:dyDescent="0.3">
      <c r="A698" s="2"/>
      <c r="B698" s="2"/>
      <c r="C698" s="2"/>
      <c r="D698" s="2"/>
      <c r="E698" s="2"/>
      <c r="F698" s="2"/>
      <c r="G698" s="2"/>
      <c r="H698" s="2"/>
      <c r="I698" s="2"/>
    </row>
    <row r="699" spans="1:9" ht="15" thickBot="1" x14ac:dyDescent="0.3">
      <c r="A699" s="2"/>
      <c r="B699" s="2"/>
      <c r="C699" s="2"/>
      <c r="D699" s="2"/>
      <c r="E699" s="2"/>
      <c r="F699" s="2"/>
      <c r="G699" s="2"/>
      <c r="H699" s="2"/>
      <c r="I699" s="2"/>
    </row>
    <row r="700" spans="1:9" ht="15" thickBot="1" x14ac:dyDescent="0.3">
      <c r="A700" s="2"/>
      <c r="B700" s="2"/>
      <c r="C700" s="2"/>
      <c r="D700" s="2"/>
      <c r="E700" s="2"/>
      <c r="F700" s="2"/>
      <c r="G700" s="2"/>
      <c r="H700" s="2"/>
      <c r="I700" s="2"/>
    </row>
    <row r="701" spans="1:9" ht="15" thickBot="1" x14ac:dyDescent="0.3">
      <c r="A701" s="2"/>
      <c r="B701" s="2"/>
      <c r="C701" s="2"/>
      <c r="D701" s="2"/>
      <c r="E701" s="2"/>
      <c r="F701" s="2"/>
      <c r="G701" s="2"/>
      <c r="H701" s="2"/>
      <c r="I701" s="2"/>
    </row>
    <row r="702" spans="1:9" ht="15" thickBot="1" x14ac:dyDescent="0.3">
      <c r="A702" s="2"/>
      <c r="B702" s="2"/>
      <c r="C702" s="2"/>
      <c r="D702" s="2"/>
      <c r="E702" s="2"/>
      <c r="F702" s="2"/>
      <c r="G702" s="2"/>
      <c r="H702" s="2"/>
      <c r="I702" s="2"/>
    </row>
    <row r="703" spans="1:9" ht="15" thickBot="1" x14ac:dyDescent="0.3">
      <c r="A703" s="2"/>
      <c r="B703" s="2"/>
      <c r="C703" s="2"/>
      <c r="D703" s="2"/>
      <c r="E703" s="2"/>
      <c r="F703" s="2"/>
      <c r="G703" s="2"/>
      <c r="H703" s="2"/>
      <c r="I703" s="2"/>
    </row>
    <row r="704" spans="1:9" ht="15" thickBot="1" x14ac:dyDescent="0.3">
      <c r="A704" s="2"/>
      <c r="B704" s="2"/>
      <c r="C704" s="2"/>
      <c r="D704" s="2"/>
      <c r="E704" s="2"/>
      <c r="F704" s="2"/>
      <c r="G704" s="2"/>
      <c r="H704" s="2"/>
      <c r="I704" s="2"/>
    </row>
    <row r="705" spans="1:9" ht="15" thickBot="1" x14ac:dyDescent="0.3">
      <c r="A705" s="2"/>
      <c r="B705" s="2"/>
      <c r="C705" s="2"/>
      <c r="D705" s="2"/>
      <c r="E705" s="2"/>
      <c r="F705" s="2"/>
      <c r="G705" s="2"/>
      <c r="H705" s="2"/>
      <c r="I705" s="2"/>
    </row>
    <row r="706" spans="1:9" ht="15" thickBot="1" x14ac:dyDescent="0.3">
      <c r="A706" s="2"/>
      <c r="B706" s="2"/>
      <c r="C706" s="2"/>
      <c r="D706" s="2"/>
      <c r="E706" s="2"/>
      <c r="F706" s="2"/>
      <c r="G706" s="2"/>
      <c r="H706" s="2"/>
      <c r="I706" s="2"/>
    </row>
    <row r="707" spans="1:9" ht="15" thickBot="1" x14ac:dyDescent="0.3">
      <c r="A707" s="2"/>
      <c r="B707" s="2"/>
      <c r="C707" s="2"/>
      <c r="D707" s="2"/>
      <c r="E707" s="2"/>
      <c r="F707" s="2"/>
      <c r="G707" s="2"/>
      <c r="H707" s="2"/>
      <c r="I707" s="2"/>
    </row>
    <row r="708" spans="1:9" ht="15" thickBot="1" x14ac:dyDescent="0.3">
      <c r="A708" s="2"/>
      <c r="B708" s="2"/>
      <c r="C708" s="2"/>
      <c r="D708" s="2"/>
      <c r="E708" s="2"/>
      <c r="F708" s="2"/>
      <c r="G708" s="2"/>
      <c r="H708" s="2"/>
      <c r="I708" s="2"/>
    </row>
    <row r="709" spans="1:9" ht="15" thickBot="1" x14ac:dyDescent="0.3">
      <c r="A709" s="2"/>
      <c r="B709" s="2"/>
      <c r="C709" s="2"/>
      <c r="D709" s="2"/>
      <c r="E709" s="2"/>
      <c r="F709" s="2"/>
      <c r="G709" s="2"/>
      <c r="H709" s="2"/>
      <c r="I709" s="2"/>
    </row>
    <row r="710" spans="1:9" ht="15" thickBot="1" x14ac:dyDescent="0.3">
      <c r="A710" s="2"/>
      <c r="B710" s="2"/>
      <c r="C710" s="2"/>
      <c r="D710" s="2"/>
      <c r="E710" s="2"/>
      <c r="F710" s="2"/>
      <c r="G710" s="2"/>
      <c r="H710" s="2"/>
      <c r="I710" s="2"/>
    </row>
    <row r="711" spans="1:9" ht="15" thickBot="1" x14ac:dyDescent="0.3">
      <c r="A711" s="2"/>
      <c r="B711" s="2"/>
      <c r="C711" s="2"/>
      <c r="D711" s="2"/>
      <c r="E711" s="2"/>
      <c r="F711" s="2"/>
      <c r="G711" s="2"/>
      <c r="H711" s="2"/>
      <c r="I711" s="2"/>
    </row>
    <row r="712" spans="1:9" ht="15" thickBot="1" x14ac:dyDescent="0.3">
      <c r="A712" s="2"/>
      <c r="B712" s="2"/>
      <c r="C712" s="2"/>
      <c r="D712" s="2"/>
      <c r="E712" s="2"/>
      <c r="F712" s="2"/>
      <c r="G712" s="2"/>
      <c r="H712" s="2"/>
      <c r="I712" s="2"/>
    </row>
    <row r="713" spans="1:9" ht="15" thickBot="1" x14ac:dyDescent="0.3">
      <c r="A713" s="2"/>
      <c r="B713" s="2"/>
      <c r="C713" s="2"/>
      <c r="D713" s="2"/>
      <c r="E713" s="2"/>
      <c r="F713" s="2"/>
      <c r="G713" s="2"/>
      <c r="H713" s="2"/>
      <c r="I713" s="2"/>
    </row>
    <row r="714" spans="1:9" ht="15" thickBot="1" x14ac:dyDescent="0.3">
      <c r="A714" s="2"/>
      <c r="B714" s="2"/>
      <c r="C714" s="2"/>
      <c r="D714" s="2"/>
      <c r="E714" s="2"/>
      <c r="F714" s="2"/>
      <c r="G714" s="2"/>
      <c r="H714" s="2"/>
      <c r="I714" s="2"/>
    </row>
    <row r="715" spans="1:9" ht="15" thickBot="1" x14ac:dyDescent="0.3">
      <c r="A715" s="2"/>
      <c r="B715" s="2"/>
      <c r="C715" s="2"/>
      <c r="D715" s="2"/>
      <c r="E715" s="2"/>
      <c r="F715" s="2"/>
      <c r="G715" s="2"/>
      <c r="H715" s="2"/>
      <c r="I715" s="2"/>
    </row>
    <row r="716" spans="1:9" ht="15" thickBot="1" x14ac:dyDescent="0.3">
      <c r="A716" s="2"/>
      <c r="B716" s="2"/>
      <c r="C716" s="2"/>
      <c r="D716" s="2"/>
      <c r="E716" s="2"/>
      <c r="F716" s="2"/>
      <c r="G716" s="2"/>
      <c r="H716" s="2"/>
      <c r="I716" s="2"/>
    </row>
    <row r="717" spans="1:9" ht="15" thickBot="1" x14ac:dyDescent="0.3">
      <c r="A717" s="2"/>
      <c r="B717" s="2"/>
      <c r="C717" s="2"/>
      <c r="D717" s="2"/>
      <c r="E717" s="2"/>
      <c r="F717" s="2"/>
      <c r="G717" s="2"/>
      <c r="H717" s="2"/>
      <c r="I717" s="2"/>
    </row>
    <row r="718" spans="1:9" ht="15" thickBot="1" x14ac:dyDescent="0.3">
      <c r="A718" s="2"/>
      <c r="B718" s="2"/>
      <c r="C718" s="2"/>
      <c r="D718" s="2"/>
      <c r="E718" s="2"/>
      <c r="F718" s="2"/>
      <c r="G718" s="2"/>
      <c r="H718" s="2"/>
      <c r="I718" s="2"/>
    </row>
    <row r="719" spans="1:9" ht="15" thickBot="1" x14ac:dyDescent="0.3">
      <c r="A719" s="2"/>
      <c r="B719" s="2"/>
      <c r="C719" s="2"/>
      <c r="D719" s="2"/>
      <c r="E719" s="2"/>
      <c r="F719" s="2"/>
      <c r="G719" s="2"/>
      <c r="H719" s="2"/>
      <c r="I719" s="2"/>
    </row>
    <row r="720" spans="1:9" ht="15" thickBot="1" x14ac:dyDescent="0.3">
      <c r="A720" s="2"/>
      <c r="B720" s="2"/>
      <c r="C720" s="2"/>
      <c r="D720" s="2"/>
      <c r="E720" s="2"/>
      <c r="F720" s="2"/>
      <c r="G720" s="2"/>
      <c r="H720" s="2"/>
      <c r="I720" s="2"/>
    </row>
    <row r="721" spans="1:9" ht="15" thickBot="1" x14ac:dyDescent="0.3">
      <c r="A721" s="2"/>
      <c r="B721" s="2"/>
      <c r="C721" s="2"/>
      <c r="D721" s="2"/>
      <c r="E721" s="2"/>
      <c r="F721" s="2"/>
      <c r="G721" s="2"/>
      <c r="H721" s="2"/>
      <c r="I721" s="2"/>
    </row>
    <row r="722" spans="1:9" ht="15" thickBot="1" x14ac:dyDescent="0.3">
      <c r="A722" s="2"/>
      <c r="B722" s="2"/>
      <c r="C722" s="2"/>
      <c r="D722" s="2"/>
      <c r="E722" s="2"/>
      <c r="F722" s="2"/>
      <c r="G722" s="2"/>
      <c r="H722" s="2"/>
      <c r="I722" s="2"/>
    </row>
    <row r="723" spans="1:9" ht="15" thickBot="1" x14ac:dyDescent="0.3">
      <c r="A723" s="2"/>
      <c r="B723" s="2"/>
      <c r="C723" s="2"/>
      <c r="D723" s="2"/>
      <c r="E723" s="2"/>
      <c r="F723" s="2"/>
      <c r="G723" s="2"/>
      <c r="H723" s="2"/>
      <c r="I723" s="2"/>
    </row>
    <row r="724" spans="1:9" ht="15" thickBot="1" x14ac:dyDescent="0.3">
      <c r="A724" s="2"/>
      <c r="B724" s="2"/>
      <c r="C724" s="2"/>
      <c r="D724" s="2"/>
      <c r="E724" s="2"/>
      <c r="F724" s="2"/>
      <c r="G724" s="2"/>
      <c r="H724" s="2"/>
      <c r="I724" s="2"/>
    </row>
    <row r="725" spans="1:9" ht="15" thickBot="1" x14ac:dyDescent="0.3">
      <c r="A725" s="2"/>
      <c r="B725" s="2"/>
      <c r="C725" s="2"/>
      <c r="D725" s="2"/>
      <c r="E725" s="2"/>
      <c r="F725" s="2"/>
      <c r="G725" s="2"/>
      <c r="H725" s="2"/>
      <c r="I725" s="2"/>
    </row>
    <row r="726" spans="1:9" ht="15" thickBot="1" x14ac:dyDescent="0.3">
      <c r="A726" s="2"/>
      <c r="B726" s="2"/>
      <c r="C726" s="2"/>
      <c r="D726" s="2"/>
      <c r="E726" s="2"/>
      <c r="F726" s="2"/>
      <c r="G726" s="2"/>
      <c r="H726" s="2"/>
      <c r="I726" s="2"/>
    </row>
    <row r="727" spans="1:9" ht="15" thickBot="1" x14ac:dyDescent="0.3">
      <c r="A727" s="2"/>
      <c r="B727" s="2"/>
      <c r="C727" s="2"/>
      <c r="D727" s="2"/>
      <c r="E727" s="2"/>
      <c r="F727" s="2"/>
      <c r="G727" s="2"/>
      <c r="H727" s="2"/>
      <c r="I727" s="2"/>
    </row>
    <row r="728" spans="1:9" ht="15" thickBot="1" x14ac:dyDescent="0.3">
      <c r="A728" s="2"/>
      <c r="B728" s="2"/>
      <c r="C728" s="2"/>
      <c r="D728" s="2"/>
      <c r="E728" s="2"/>
      <c r="F728" s="2"/>
      <c r="G728" s="2"/>
      <c r="H728" s="2"/>
      <c r="I728" s="2"/>
    </row>
    <row r="729" spans="1:9" ht="15" thickBot="1" x14ac:dyDescent="0.3">
      <c r="A729" s="2"/>
      <c r="B729" s="2"/>
      <c r="C729" s="2"/>
      <c r="D729" s="2"/>
      <c r="E729" s="2"/>
      <c r="F729" s="2"/>
      <c r="G729" s="2"/>
      <c r="H729" s="2"/>
      <c r="I729" s="2"/>
    </row>
    <row r="730" spans="1:9" ht="15" thickBot="1" x14ac:dyDescent="0.3">
      <c r="A730" s="2"/>
      <c r="B730" s="2"/>
      <c r="C730" s="2"/>
      <c r="D730" s="2"/>
      <c r="E730" s="2"/>
      <c r="F730" s="2"/>
      <c r="G730" s="2"/>
      <c r="H730" s="2"/>
      <c r="I730" s="2"/>
    </row>
    <row r="731" spans="1:9" ht="15" thickBot="1" x14ac:dyDescent="0.3">
      <c r="A731" s="2"/>
      <c r="B731" s="2"/>
      <c r="C731" s="2"/>
      <c r="D731" s="2"/>
      <c r="E731" s="2"/>
      <c r="F731" s="2"/>
      <c r="G731" s="2"/>
      <c r="H731" s="2"/>
      <c r="I731" s="2"/>
    </row>
    <row r="732" spans="1:9" ht="15" thickBot="1" x14ac:dyDescent="0.3">
      <c r="A732" s="2"/>
      <c r="B732" s="2"/>
      <c r="C732" s="2"/>
      <c r="D732" s="2"/>
      <c r="E732" s="2"/>
      <c r="F732" s="2"/>
      <c r="G732" s="2"/>
      <c r="H732" s="2"/>
      <c r="I732" s="2"/>
    </row>
    <row r="733" spans="1:9" ht="15" thickBot="1" x14ac:dyDescent="0.3">
      <c r="A733" s="2"/>
      <c r="B733" s="2"/>
      <c r="C733" s="2"/>
      <c r="D733" s="2"/>
      <c r="E733" s="2"/>
      <c r="F733" s="2"/>
      <c r="G733" s="2"/>
      <c r="H733" s="2"/>
      <c r="I733" s="2"/>
    </row>
    <row r="734" spans="1:9" ht="15" thickBot="1" x14ac:dyDescent="0.3">
      <c r="A734" s="2"/>
      <c r="B734" s="2"/>
      <c r="C734" s="2"/>
      <c r="D734" s="2"/>
      <c r="E734" s="2"/>
      <c r="F734" s="2"/>
      <c r="G734" s="2"/>
      <c r="H734" s="2"/>
      <c r="I734" s="2"/>
    </row>
    <row r="735" spans="1:9" ht="15" thickBot="1" x14ac:dyDescent="0.3">
      <c r="A735" s="2"/>
      <c r="B735" s="2"/>
      <c r="C735" s="2"/>
      <c r="D735" s="2"/>
      <c r="E735" s="2"/>
      <c r="F735" s="2"/>
      <c r="G735" s="2"/>
      <c r="H735" s="2"/>
      <c r="I735" s="2"/>
    </row>
    <row r="736" spans="1:9" ht="15" thickBot="1" x14ac:dyDescent="0.3">
      <c r="A736" s="2"/>
      <c r="B736" s="2"/>
      <c r="C736" s="2"/>
      <c r="D736" s="2"/>
      <c r="E736" s="2"/>
      <c r="F736" s="2"/>
      <c r="G736" s="2"/>
      <c r="H736" s="2"/>
      <c r="I736" s="2"/>
    </row>
    <row r="737" spans="1:9" ht="15" thickBot="1" x14ac:dyDescent="0.3">
      <c r="A737" s="2"/>
      <c r="B737" s="2"/>
      <c r="C737" s="2"/>
      <c r="D737" s="2"/>
      <c r="E737" s="2"/>
      <c r="F737" s="2"/>
      <c r="G737" s="2"/>
      <c r="H737" s="2"/>
      <c r="I737" s="2"/>
    </row>
    <row r="738" spans="1:9" ht="15" thickBot="1" x14ac:dyDescent="0.3">
      <c r="A738" s="2"/>
      <c r="B738" s="2"/>
      <c r="C738" s="2"/>
      <c r="D738" s="2"/>
      <c r="E738" s="2"/>
      <c r="F738" s="2"/>
      <c r="G738" s="2"/>
      <c r="H738" s="2"/>
      <c r="I738" s="2"/>
    </row>
    <row r="739" spans="1:9" ht="15" thickBot="1" x14ac:dyDescent="0.3">
      <c r="A739" s="2"/>
      <c r="B739" s="2"/>
      <c r="C739" s="2"/>
      <c r="D739" s="2"/>
      <c r="E739" s="2"/>
      <c r="F739" s="2"/>
      <c r="G739" s="2"/>
      <c r="H739" s="2"/>
      <c r="I739" s="2"/>
    </row>
    <row r="740" spans="1:9" ht="15" thickBot="1" x14ac:dyDescent="0.3">
      <c r="A740" s="2"/>
      <c r="B740" s="2"/>
      <c r="C740" s="2"/>
      <c r="D740" s="2"/>
      <c r="E740" s="2"/>
      <c r="F740" s="2"/>
      <c r="G740" s="2"/>
      <c r="H740" s="2"/>
      <c r="I740" s="2"/>
    </row>
    <row r="741" spans="1:9" ht="15" thickBot="1" x14ac:dyDescent="0.3">
      <c r="A741" s="2"/>
      <c r="B741" s="2"/>
      <c r="C741" s="2"/>
      <c r="D741" s="2"/>
      <c r="E741" s="2"/>
      <c r="F741" s="2"/>
      <c r="G741" s="2"/>
      <c r="H741" s="2"/>
      <c r="I741" s="2"/>
    </row>
    <row r="742" spans="1:9" ht="15" thickBot="1" x14ac:dyDescent="0.3">
      <c r="A742" s="2"/>
      <c r="B742" s="2"/>
      <c r="C742" s="2"/>
      <c r="D742" s="2"/>
      <c r="E742" s="2"/>
      <c r="F742" s="2"/>
      <c r="G742" s="2"/>
      <c r="H742" s="2"/>
      <c r="I742" s="2"/>
    </row>
    <row r="743" spans="1:9" ht="15" thickBot="1" x14ac:dyDescent="0.3">
      <c r="A743" s="2"/>
      <c r="B743" s="2"/>
      <c r="C743" s="2"/>
      <c r="D743" s="2"/>
      <c r="E743" s="2"/>
      <c r="F743" s="2"/>
      <c r="G743" s="2"/>
      <c r="H743" s="2"/>
      <c r="I743" s="2"/>
    </row>
    <row r="744" spans="1:9" ht="15" thickBot="1" x14ac:dyDescent="0.3">
      <c r="A744" s="2"/>
      <c r="B744" s="2"/>
      <c r="C744" s="2"/>
      <c r="D744" s="2"/>
      <c r="E744" s="2"/>
      <c r="F744" s="2"/>
      <c r="G744" s="2"/>
      <c r="H744" s="2"/>
      <c r="I744" s="2"/>
    </row>
    <row r="745" spans="1:9" ht="15" thickBot="1" x14ac:dyDescent="0.3">
      <c r="A745" s="2"/>
      <c r="B745" s="2"/>
      <c r="C745" s="2"/>
      <c r="D745" s="2"/>
      <c r="E745" s="2"/>
      <c r="F745" s="2"/>
      <c r="G745" s="2"/>
      <c r="H745" s="2"/>
      <c r="I745" s="2"/>
    </row>
    <row r="746" spans="1:9" ht="15" thickBot="1" x14ac:dyDescent="0.3">
      <c r="A746" s="2"/>
      <c r="B746" s="2"/>
      <c r="C746" s="2"/>
      <c r="D746" s="2"/>
      <c r="E746" s="2"/>
      <c r="F746" s="2"/>
      <c r="G746" s="2"/>
      <c r="H746" s="2"/>
      <c r="I746" s="2"/>
    </row>
    <row r="747" spans="1:9" ht="15" thickBot="1" x14ac:dyDescent="0.3">
      <c r="A747" s="2"/>
      <c r="B747" s="2"/>
      <c r="C747" s="2"/>
      <c r="D747" s="2"/>
      <c r="E747" s="2"/>
      <c r="F747" s="2"/>
      <c r="G747" s="2"/>
      <c r="H747" s="2"/>
      <c r="I747" s="2"/>
    </row>
    <row r="748" spans="1:9" ht="15" thickBot="1" x14ac:dyDescent="0.3">
      <c r="A748" s="2"/>
      <c r="B748" s="2"/>
      <c r="C748" s="2"/>
      <c r="D748" s="2"/>
      <c r="E748" s="2"/>
      <c r="F748" s="2"/>
      <c r="G748" s="2"/>
      <c r="H748" s="2"/>
      <c r="I748" s="2"/>
    </row>
    <row r="749" spans="1:9" ht="15" thickBot="1" x14ac:dyDescent="0.3">
      <c r="A749" s="2"/>
      <c r="B749" s="2"/>
      <c r="C749" s="2"/>
      <c r="D749" s="2"/>
      <c r="E749" s="2"/>
      <c r="F749" s="2"/>
      <c r="G749" s="2"/>
      <c r="H749" s="2"/>
      <c r="I749" s="2"/>
    </row>
    <row r="750" spans="1:9" ht="15" thickBot="1" x14ac:dyDescent="0.3">
      <c r="A750" s="2"/>
      <c r="B750" s="2"/>
      <c r="C750" s="2"/>
      <c r="D750" s="2"/>
      <c r="E750" s="2"/>
      <c r="F750" s="2"/>
      <c r="G750" s="2"/>
      <c r="H750" s="2"/>
      <c r="I750" s="2"/>
    </row>
    <row r="751" spans="1:9" ht="15" thickBot="1" x14ac:dyDescent="0.3">
      <c r="A751" s="2"/>
      <c r="B751" s="2"/>
      <c r="C751" s="2"/>
      <c r="D751" s="2"/>
      <c r="E751" s="2"/>
      <c r="F751" s="2"/>
      <c r="G751" s="2"/>
      <c r="H751" s="2"/>
      <c r="I751" s="2"/>
    </row>
    <row r="752" spans="1:9" ht="15" thickBot="1" x14ac:dyDescent="0.3">
      <c r="A752" s="2"/>
      <c r="B752" s="2"/>
      <c r="C752" s="2"/>
      <c r="D752" s="2"/>
      <c r="E752" s="2"/>
      <c r="F752" s="2"/>
      <c r="G752" s="2"/>
      <c r="H752" s="2"/>
      <c r="I752" s="2"/>
    </row>
    <row r="753" spans="1:9" ht="15" thickBot="1" x14ac:dyDescent="0.3">
      <c r="A753" s="2"/>
      <c r="B753" s="2"/>
      <c r="C753" s="2"/>
      <c r="D753" s="2"/>
      <c r="E753" s="2"/>
      <c r="F753" s="2"/>
      <c r="G753" s="2"/>
      <c r="H753" s="2"/>
      <c r="I753" s="2"/>
    </row>
    <row r="754" spans="1:9" ht="15" thickBot="1" x14ac:dyDescent="0.3">
      <c r="A754" s="2"/>
      <c r="B754" s="2"/>
      <c r="C754" s="2"/>
      <c r="D754" s="2"/>
      <c r="E754" s="2"/>
      <c r="F754" s="2"/>
      <c r="G754" s="2"/>
      <c r="H754" s="2"/>
      <c r="I754" s="2"/>
    </row>
    <row r="755" spans="1:9" ht="15" thickBot="1" x14ac:dyDescent="0.3">
      <c r="A755" s="2"/>
      <c r="B755" s="2"/>
      <c r="C755" s="2"/>
      <c r="D755" s="2"/>
      <c r="E755" s="2"/>
      <c r="F755" s="2"/>
      <c r="G755" s="2"/>
      <c r="H755" s="2"/>
      <c r="I755" s="2"/>
    </row>
    <row r="756" spans="1:9" ht="15" thickBot="1" x14ac:dyDescent="0.3">
      <c r="A756" s="2"/>
      <c r="B756" s="2"/>
      <c r="C756" s="2"/>
      <c r="D756" s="2"/>
      <c r="E756" s="2"/>
      <c r="F756" s="2"/>
      <c r="G756" s="2"/>
      <c r="H756" s="2"/>
      <c r="I756" s="2"/>
    </row>
    <row r="757" spans="1:9" ht="15" thickBot="1" x14ac:dyDescent="0.3">
      <c r="A757" s="2"/>
      <c r="B757" s="2"/>
      <c r="C757" s="2"/>
      <c r="D757" s="2"/>
      <c r="E757" s="2"/>
      <c r="F757" s="2"/>
      <c r="G757" s="2"/>
      <c r="H757" s="2"/>
      <c r="I757" s="2"/>
    </row>
    <row r="758" spans="1:9" ht="15" thickBot="1" x14ac:dyDescent="0.3">
      <c r="A758" s="2"/>
      <c r="B758" s="2"/>
      <c r="C758" s="2"/>
      <c r="D758" s="2"/>
      <c r="E758" s="2"/>
      <c r="F758" s="2"/>
      <c r="G758" s="2"/>
      <c r="H758" s="2"/>
      <c r="I758" s="2"/>
    </row>
    <row r="759" spans="1:9" ht="15" thickBot="1" x14ac:dyDescent="0.3">
      <c r="A759" s="2"/>
      <c r="B759" s="2"/>
      <c r="C759" s="2"/>
      <c r="D759" s="2"/>
      <c r="E759" s="2"/>
      <c r="F759" s="2"/>
      <c r="G759" s="2"/>
      <c r="H759" s="2"/>
      <c r="I759" s="2"/>
    </row>
    <row r="760" spans="1:9" ht="15" thickBot="1" x14ac:dyDescent="0.3">
      <c r="A760" s="2"/>
      <c r="B760" s="2"/>
      <c r="C760" s="2"/>
      <c r="D760" s="2"/>
      <c r="E760" s="2"/>
      <c r="F760" s="2"/>
      <c r="G760" s="2"/>
      <c r="H760" s="2"/>
      <c r="I760" s="2"/>
    </row>
    <row r="761" spans="1:9" ht="15" thickBot="1" x14ac:dyDescent="0.3">
      <c r="A761" s="2"/>
      <c r="B761" s="2"/>
      <c r="C761" s="2"/>
      <c r="D761" s="2"/>
      <c r="E761" s="2"/>
      <c r="F761" s="2"/>
      <c r="G761" s="2"/>
      <c r="H761" s="2"/>
      <c r="I761" s="2"/>
    </row>
    <row r="762" spans="1:9" ht="15" thickBot="1" x14ac:dyDescent="0.3">
      <c r="A762" s="2"/>
      <c r="B762" s="2"/>
      <c r="C762" s="2"/>
      <c r="D762" s="2"/>
      <c r="E762" s="2"/>
      <c r="F762" s="2"/>
      <c r="G762" s="2"/>
      <c r="H762" s="2"/>
      <c r="I762" s="2"/>
    </row>
    <row r="763" spans="1:9" ht="15" thickBot="1" x14ac:dyDescent="0.3">
      <c r="A763" s="2"/>
      <c r="B763" s="2"/>
      <c r="C763" s="2"/>
      <c r="D763" s="2"/>
      <c r="E763" s="2"/>
      <c r="F763" s="2"/>
      <c r="G763" s="2"/>
      <c r="H763" s="2"/>
      <c r="I763" s="2"/>
    </row>
    <row r="764" spans="1:9" ht="15" thickBot="1" x14ac:dyDescent="0.3">
      <c r="A764" s="2"/>
      <c r="B764" s="2"/>
      <c r="C764" s="2"/>
      <c r="D764" s="2"/>
      <c r="E764" s="2"/>
      <c r="F764" s="2"/>
      <c r="G764" s="2"/>
      <c r="H764" s="2"/>
      <c r="I764" s="2"/>
    </row>
    <row r="765" spans="1:9" ht="15" thickBot="1" x14ac:dyDescent="0.3">
      <c r="A765" s="2"/>
      <c r="B765" s="2"/>
      <c r="C765" s="2"/>
      <c r="D765" s="2"/>
      <c r="E765" s="2"/>
      <c r="F765" s="2"/>
      <c r="G765" s="2"/>
      <c r="H765" s="2"/>
      <c r="I765" s="2"/>
    </row>
    <row r="766" spans="1:9" ht="15" thickBot="1" x14ac:dyDescent="0.3">
      <c r="A766" s="2"/>
      <c r="B766" s="2"/>
      <c r="C766" s="2"/>
      <c r="D766" s="2"/>
      <c r="E766" s="2"/>
      <c r="F766" s="2"/>
      <c r="G766" s="2"/>
      <c r="H766" s="2"/>
      <c r="I766" s="2"/>
    </row>
    <row r="767" spans="1:9" ht="15" thickBot="1" x14ac:dyDescent="0.3">
      <c r="A767" s="2"/>
      <c r="B767" s="2"/>
      <c r="C767" s="2"/>
      <c r="D767" s="2"/>
      <c r="E767" s="2"/>
      <c r="F767" s="2"/>
      <c r="G767" s="2"/>
      <c r="H767" s="2"/>
      <c r="I767" s="2"/>
    </row>
    <row r="768" spans="1:9" ht="15" thickBot="1" x14ac:dyDescent="0.3">
      <c r="A768" s="2"/>
      <c r="B768" s="2"/>
      <c r="C768" s="2"/>
      <c r="D768" s="2"/>
      <c r="E768" s="2"/>
      <c r="F768" s="2"/>
      <c r="G768" s="2"/>
      <c r="H768" s="2"/>
      <c r="I768" s="2"/>
    </row>
    <row r="769" spans="1:9" ht="15" thickBot="1" x14ac:dyDescent="0.3">
      <c r="A769" s="2"/>
      <c r="B769" s="2"/>
      <c r="C769" s="2"/>
      <c r="D769" s="2"/>
      <c r="E769" s="2"/>
      <c r="F769" s="2"/>
      <c r="G769" s="2"/>
      <c r="H769" s="2"/>
      <c r="I769" s="2"/>
    </row>
    <row r="770" spans="1:9" ht="15" thickBot="1" x14ac:dyDescent="0.3">
      <c r="A770" s="2"/>
      <c r="B770" s="2"/>
      <c r="C770" s="2"/>
      <c r="D770" s="2"/>
      <c r="E770" s="2"/>
      <c r="F770" s="2"/>
      <c r="G770" s="2"/>
      <c r="H770" s="2"/>
      <c r="I770" s="2"/>
    </row>
    <row r="771" spans="1:9" ht="15" thickBot="1" x14ac:dyDescent="0.3">
      <c r="A771" s="2"/>
      <c r="B771" s="2"/>
      <c r="C771" s="2"/>
      <c r="D771" s="2"/>
      <c r="E771" s="2"/>
      <c r="F771" s="2"/>
      <c r="G771" s="2"/>
      <c r="H771" s="2"/>
      <c r="I771" s="2"/>
    </row>
    <row r="772" spans="1:9" ht="15" thickBot="1" x14ac:dyDescent="0.3">
      <c r="A772" s="2"/>
      <c r="B772" s="2"/>
      <c r="C772" s="2"/>
      <c r="D772" s="2"/>
      <c r="E772" s="2"/>
      <c r="F772" s="2"/>
      <c r="G772" s="2"/>
      <c r="H772" s="2"/>
      <c r="I772" s="2"/>
    </row>
    <row r="773" spans="1:9" ht="15" thickBot="1" x14ac:dyDescent="0.3">
      <c r="A773" s="2"/>
      <c r="B773" s="2"/>
      <c r="C773" s="2"/>
      <c r="D773" s="2"/>
      <c r="E773" s="2"/>
      <c r="F773" s="2"/>
      <c r="G773" s="2"/>
      <c r="H773" s="2"/>
      <c r="I773" s="2"/>
    </row>
    <row r="774" spans="1:9" ht="15" thickBot="1" x14ac:dyDescent="0.3">
      <c r="A774" s="2"/>
      <c r="B774" s="2"/>
      <c r="C774" s="2"/>
      <c r="D774" s="2"/>
      <c r="E774" s="2"/>
      <c r="F774" s="2"/>
      <c r="G774" s="2"/>
      <c r="H774" s="2"/>
      <c r="I774" s="2"/>
    </row>
    <row r="775" spans="1:9" ht="15" thickBot="1" x14ac:dyDescent="0.3">
      <c r="A775" s="2"/>
      <c r="B775" s="2"/>
      <c r="C775" s="2"/>
      <c r="D775" s="2"/>
      <c r="E775" s="2"/>
      <c r="F775" s="2"/>
      <c r="G775" s="2"/>
      <c r="H775" s="2"/>
      <c r="I775" s="2"/>
    </row>
    <row r="776" spans="1:9" ht="15" thickBot="1" x14ac:dyDescent="0.3">
      <c r="A776" s="2"/>
      <c r="B776" s="2"/>
      <c r="C776" s="2"/>
      <c r="D776" s="2"/>
      <c r="E776" s="2"/>
      <c r="F776" s="2"/>
      <c r="G776" s="2"/>
      <c r="H776" s="2"/>
      <c r="I776" s="2"/>
    </row>
    <row r="777" spans="1:9" ht="15" thickBot="1" x14ac:dyDescent="0.3">
      <c r="A777" s="2"/>
      <c r="B777" s="2"/>
      <c r="C777" s="2"/>
      <c r="D777" s="2"/>
      <c r="E777" s="2"/>
      <c r="F777" s="2"/>
      <c r="G777" s="2"/>
      <c r="H777" s="2"/>
      <c r="I777" s="2"/>
    </row>
    <row r="778" spans="1:9" ht="15" thickBot="1" x14ac:dyDescent="0.3">
      <c r="A778" s="2"/>
      <c r="B778" s="2"/>
      <c r="C778" s="2"/>
      <c r="D778" s="2"/>
      <c r="E778" s="2"/>
      <c r="F778" s="2"/>
      <c r="G778" s="2"/>
      <c r="H778" s="2"/>
      <c r="I778" s="2"/>
    </row>
    <row r="779" spans="1:9" ht="15" thickBot="1" x14ac:dyDescent="0.3">
      <c r="A779" s="2"/>
      <c r="B779" s="2"/>
      <c r="C779" s="2"/>
      <c r="D779" s="2"/>
      <c r="E779" s="2"/>
      <c r="F779" s="2"/>
      <c r="G779" s="2"/>
      <c r="H779" s="2"/>
      <c r="I779" s="2"/>
    </row>
    <row r="780" spans="1:9" ht="15" thickBot="1" x14ac:dyDescent="0.3">
      <c r="A780" s="2"/>
      <c r="B780" s="2"/>
      <c r="C780" s="2"/>
      <c r="D780" s="2"/>
      <c r="E780" s="2"/>
      <c r="F780" s="2"/>
      <c r="G780" s="2"/>
      <c r="H780" s="2"/>
      <c r="I780" s="2"/>
    </row>
    <row r="781" spans="1:9" ht="15" thickBot="1" x14ac:dyDescent="0.3">
      <c r="A781" s="2"/>
      <c r="B781" s="2"/>
      <c r="C781" s="2"/>
      <c r="D781" s="2"/>
      <c r="E781" s="2"/>
      <c r="F781" s="2"/>
      <c r="G781" s="2"/>
      <c r="H781" s="2"/>
      <c r="I781" s="2"/>
    </row>
    <row r="782" spans="1:9" ht="15" thickBot="1" x14ac:dyDescent="0.3">
      <c r="A782" s="2"/>
      <c r="B782" s="2"/>
      <c r="C782" s="2"/>
      <c r="D782" s="2"/>
      <c r="E782" s="2"/>
      <c r="F782" s="2"/>
      <c r="G782" s="2"/>
      <c r="H782" s="2"/>
      <c r="I782" s="2"/>
    </row>
    <row r="783" spans="1:9" ht="15" thickBot="1" x14ac:dyDescent="0.3">
      <c r="A783" s="2"/>
      <c r="B783" s="2"/>
      <c r="C783" s="2"/>
      <c r="D783" s="2"/>
      <c r="E783" s="2"/>
      <c r="F783" s="2"/>
      <c r="G783" s="2"/>
      <c r="H783" s="2"/>
      <c r="I783" s="2"/>
    </row>
    <row r="784" spans="1:9" ht="15" thickBot="1" x14ac:dyDescent="0.3">
      <c r="A784" s="2"/>
      <c r="B784" s="2"/>
      <c r="C784" s="2"/>
      <c r="D784" s="2"/>
      <c r="E784" s="2"/>
      <c r="F784" s="2"/>
      <c r="G784" s="2"/>
      <c r="H784" s="2"/>
      <c r="I784" s="2"/>
    </row>
    <row r="785" spans="1:9" ht="15" thickBot="1" x14ac:dyDescent="0.3">
      <c r="A785" s="2"/>
      <c r="B785" s="2"/>
      <c r="C785" s="2"/>
      <c r="D785" s="2"/>
      <c r="E785" s="2"/>
      <c r="F785" s="2"/>
      <c r="G785" s="2"/>
      <c r="H785" s="2"/>
      <c r="I785" s="2"/>
    </row>
    <row r="786" spans="1:9" ht="15" thickBot="1" x14ac:dyDescent="0.3">
      <c r="A786" s="2"/>
      <c r="B786" s="2"/>
      <c r="C786" s="2"/>
      <c r="D786" s="2"/>
      <c r="E786" s="2"/>
      <c r="F786" s="2"/>
      <c r="G786" s="2"/>
      <c r="H786" s="2"/>
      <c r="I786" s="2"/>
    </row>
    <row r="787" spans="1:9" ht="15" thickBot="1" x14ac:dyDescent="0.3">
      <c r="A787" s="2"/>
      <c r="B787" s="2"/>
      <c r="C787" s="2"/>
      <c r="D787" s="2"/>
      <c r="E787" s="2"/>
      <c r="F787" s="2"/>
      <c r="G787" s="2"/>
      <c r="H787" s="2"/>
      <c r="I787" s="2"/>
    </row>
    <row r="788" spans="1:9" ht="15" thickBot="1" x14ac:dyDescent="0.3">
      <c r="A788" s="2"/>
      <c r="B788" s="2"/>
      <c r="C788" s="2"/>
      <c r="D788" s="2"/>
      <c r="E788" s="2"/>
      <c r="F788" s="2"/>
      <c r="G788" s="2"/>
      <c r="H788" s="2"/>
      <c r="I788" s="2"/>
    </row>
    <row r="789" spans="1:9" ht="15" thickBot="1" x14ac:dyDescent="0.3">
      <c r="A789" s="2"/>
      <c r="B789" s="2"/>
      <c r="C789" s="2"/>
      <c r="D789" s="2"/>
      <c r="E789" s="2"/>
      <c r="F789" s="2"/>
      <c r="G789" s="2"/>
      <c r="H789" s="2"/>
      <c r="I789" s="2"/>
    </row>
    <row r="790" spans="1:9" ht="15" thickBot="1" x14ac:dyDescent="0.3">
      <c r="A790" s="2"/>
      <c r="B790" s="2"/>
      <c r="C790" s="2"/>
      <c r="D790" s="2"/>
      <c r="E790" s="2"/>
      <c r="F790" s="2"/>
      <c r="G790" s="2"/>
      <c r="H790" s="2"/>
      <c r="I790" s="2"/>
    </row>
    <row r="791" spans="1:9" ht="15" thickBot="1" x14ac:dyDescent="0.3">
      <c r="A791" s="2"/>
      <c r="B791" s="2"/>
      <c r="C791" s="2"/>
      <c r="D791" s="2"/>
      <c r="E791" s="2"/>
      <c r="F791" s="2"/>
      <c r="G791" s="2"/>
      <c r="H791" s="2"/>
      <c r="I791" s="2"/>
    </row>
    <row r="792" spans="1:9" ht="15" thickBot="1" x14ac:dyDescent="0.3">
      <c r="A792" s="2"/>
      <c r="B792" s="2"/>
      <c r="C792" s="2"/>
      <c r="D792" s="2"/>
      <c r="E792" s="2"/>
      <c r="F792" s="2"/>
      <c r="G792" s="2"/>
      <c r="H792" s="2"/>
      <c r="I792" s="2"/>
    </row>
    <row r="793" spans="1:9" ht="15" thickBot="1" x14ac:dyDescent="0.3">
      <c r="A793" s="2"/>
      <c r="B793" s="2"/>
      <c r="C793" s="2"/>
      <c r="D793" s="2"/>
      <c r="E793" s="2"/>
      <c r="F793" s="2"/>
      <c r="G793" s="2"/>
      <c r="H793" s="2"/>
      <c r="I793" s="2"/>
    </row>
    <row r="794" spans="1:9" ht="15" thickBot="1" x14ac:dyDescent="0.3">
      <c r="A794" s="2"/>
      <c r="B794" s="2"/>
      <c r="C794" s="2"/>
      <c r="D794" s="2"/>
      <c r="E794" s="2"/>
      <c r="F794" s="2"/>
      <c r="G794" s="2"/>
      <c r="H794" s="2"/>
      <c r="I794" s="2"/>
    </row>
    <row r="795" spans="1:9" ht="15" thickBot="1" x14ac:dyDescent="0.3">
      <c r="A795" s="2"/>
      <c r="B795" s="2"/>
      <c r="C795" s="2"/>
      <c r="D795" s="2"/>
      <c r="E795" s="2"/>
      <c r="F795" s="2"/>
      <c r="G795" s="2"/>
      <c r="H795" s="2"/>
      <c r="I795" s="2"/>
    </row>
    <row r="796" spans="1:9" ht="15" thickBot="1" x14ac:dyDescent="0.3">
      <c r="A796" s="2"/>
      <c r="B796" s="2"/>
      <c r="C796" s="2"/>
      <c r="D796" s="2"/>
      <c r="E796" s="2"/>
      <c r="F796" s="2"/>
      <c r="G796" s="2"/>
      <c r="H796" s="2"/>
      <c r="I796" s="2"/>
    </row>
    <row r="797" spans="1:9" ht="15" thickBot="1" x14ac:dyDescent="0.3">
      <c r="A797" s="2"/>
      <c r="B797" s="2"/>
      <c r="C797" s="2"/>
      <c r="D797" s="2"/>
      <c r="E797" s="2"/>
      <c r="F797" s="2"/>
      <c r="G797" s="2"/>
      <c r="H797" s="2"/>
      <c r="I797" s="2"/>
    </row>
    <row r="798" spans="1:9" ht="15" thickBot="1" x14ac:dyDescent="0.3">
      <c r="A798" s="2"/>
      <c r="B798" s="2"/>
      <c r="C798" s="2"/>
      <c r="D798" s="2"/>
      <c r="E798" s="2"/>
      <c r="F798" s="2"/>
      <c r="G798" s="2"/>
      <c r="H798" s="2"/>
      <c r="I798" s="2"/>
    </row>
    <row r="799" spans="1:9" ht="15" thickBot="1" x14ac:dyDescent="0.3">
      <c r="A799" s="2"/>
      <c r="B799" s="2"/>
      <c r="C799" s="2"/>
      <c r="D799" s="2"/>
      <c r="E799" s="2"/>
      <c r="F799" s="2"/>
      <c r="G799" s="2"/>
      <c r="H799" s="2"/>
      <c r="I799" s="2"/>
    </row>
    <row r="800" spans="1:9" ht="15" thickBot="1" x14ac:dyDescent="0.3">
      <c r="A800" s="2"/>
      <c r="B800" s="2"/>
      <c r="C800" s="2"/>
      <c r="D800" s="2"/>
      <c r="E800" s="2"/>
      <c r="F800" s="2"/>
      <c r="G800" s="2"/>
      <c r="H800" s="2"/>
      <c r="I800" s="2"/>
    </row>
    <row r="801" spans="1:9" ht="15" thickBot="1" x14ac:dyDescent="0.3">
      <c r="A801" s="2"/>
      <c r="B801" s="2"/>
      <c r="C801" s="2"/>
      <c r="D801" s="2"/>
      <c r="E801" s="2"/>
      <c r="F801" s="2"/>
      <c r="G801" s="2"/>
      <c r="H801" s="2"/>
      <c r="I801" s="2"/>
    </row>
    <row r="802" spans="1:9" ht="15" thickBot="1" x14ac:dyDescent="0.3">
      <c r="A802" s="2"/>
      <c r="B802" s="2"/>
      <c r="C802" s="2"/>
      <c r="D802" s="2"/>
      <c r="E802" s="2"/>
      <c r="F802" s="2"/>
      <c r="G802" s="2"/>
      <c r="H802" s="2"/>
      <c r="I802" s="2"/>
    </row>
    <row r="803" spans="1:9" ht="15" thickBot="1" x14ac:dyDescent="0.3">
      <c r="A803" s="2"/>
      <c r="B803" s="2"/>
      <c r="C803" s="2"/>
      <c r="D803" s="2"/>
      <c r="E803" s="2"/>
      <c r="F803" s="2"/>
      <c r="G803" s="2"/>
      <c r="H803" s="2"/>
      <c r="I803" s="2"/>
    </row>
    <row r="804" spans="1:9" ht="15" thickBot="1" x14ac:dyDescent="0.3">
      <c r="A804" s="2"/>
      <c r="B804" s="2"/>
      <c r="C804" s="2"/>
      <c r="D804" s="2"/>
      <c r="E804" s="2"/>
      <c r="F804" s="2"/>
      <c r="G804" s="2"/>
      <c r="H804" s="2"/>
      <c r="I804" s="2"/>
    </row>
    <row r="805" spans="1:9" ht="15" thickBot="1" x14ac:dyDescent="0.3">
      <c r="A805" s="2"/>
      <c r="B805" s="2"/>
      <c r="C805" s="2"/>
      <c r="D805" s="2"/>
      <c r="E805" s="2"/>
      <c r="F805" s="2"/>
      <c r="G805" s="2"/>
      <c r="H805" s="2"/>
      <c r="I805" s="2"/>
    </row>
    <row r="806" spans="1:9" ht="15" thickBot="1" x14ac:dyDescent="0.3">
      <c r="A806" s="2"/>
      <c r="B806" s="2"/>
      <c r="C806" s="2"/>
      <c r="D806" s="2"/>
      <c r="E806" s="2"/>
      <c r="F806" s="2"/>
      <c r="G806" s="2"/>
      <c r="H806" s="2"/>
      <c r="I806" s="2"/>
    </row>
    <row r="807" spans="1:9" ht="15" thickBot="1" x14ac:dyDescent="0.3">
      <c r="A807" s="2"/>
      <c r="B807" s="2"/>
      <c r="C807" s="2"/>
      <c r="D807" s="2"/>
      <c r="E807" s="2"/>
      <c r="F807" s="2"/>
      <c r="G807" s="2"/>
      <c r="H807" s="2"/>
      <c r="I807" s="2"/>
    </row>
    <row r="808" spans="1:9" ht="15" thickBot="1" x14ac:dyDescent="0.3">
      <c r="A808" s="2"/>
      <c r="B808" s="2"/>
      <c r="C808" s="2"/>
      <c r="D808" s="2"/>
      <c r="E808" s="2"/>
      <c r="F808" s="2"/>
      <c r="G808" s="2"/>
      <c r="H808" s="2"/>
      <c r="I808" s="2"/>
    </row>
    <row r="809" spans="1:9" ht="15" thickBot="1" x14ac:dyDescent="0.3">
      <c r="A809" s="2"/>
      <c r="B809" s="2"/>
      <c r="C809" s="2"/>
      <c r="D809" s="2"/>
      <c r="E809" s="2"/>
      <c r="F809" s="2"/>
      <c r="G809" s="2"/>
      <c r="H809" s="2"/>
      <c r="I809" s="2"/>
    </row>
    <row r="810" spans="1:9" ht="15" thickBot="1" x14ac:dyDescent="0.3">
      <c r="A810" s="2"/>
      <c r="B810" s="2"/>
      <c r="C810" s="2"/>
      <c r="D810" s="2"/>
      <c r="E810" s="2"/>
      <c r="F810" s="2"/>
      <c r="G810" s="2"/>
      <c r="H810" s="2"/>
      <c r="I810" s="2"/>
    </row>
    <row r="811" spans="1:9" ht="15" thickBot="1" x14ac:dyDescent="0.3">
      <c r="A811" s="2"/>
      <c r="B811" s="2"/>
      <c r="C811" s="2"/>
      <c r="D811" s="2"/>
      <c r="E811" s="2"/>
      <c r="F811" s="2"/>
      <c r="G811" s="2"/>
      <c r="H811" s="2"/>
      <c r="I811" s="2"/>
    </row>
    <row r="812" spans="1:9" ht="15" thickBot="1" x14ac:dyDescent="0.3">
      <c r="A812" s="2"/>
      <c r="B812" s="2"/>
      <c r="C812" s="2"/>
      <c r="D812" s="2"/>
      <c r="E812" s="2"/>
      <c r="F812" s="2"/>
      <c r="G812" s="2"/>
      <c r="H812" s="2"/>
      <c r="I812" s="2"/>
    </row>
    <row r="813" spans="1:9" ht="15" thickBot="1" x14ac:dyDescent="0.3">
      <c r="A813" s="2"/>
      <c r="B813" s="2"/>
      <c r="C813" s="2"/>
      <c r="D813" s="2"/>
      <c r="E813" s="2"/>
      <c r="F813" s="2"/>
      <c r="G813" s="2"/>
      <c r="H813" s="2"/>
      <c r="I813" s="2"/>
    </row>
    <row r="814" spans="1:9" ht="15" thickBot="1" x14ac:dyDescent="0.3">
      <c r="A814" s="2"/>
      <c r="B814" s="2"/>
      <c r="C814" s="2"/>
      <c r="D814" s="2"/>
      <c r="E814" s="2"/>
      <c r="F814" s="2"/>
      <c r="G814" s="2"/>
      <c r="H814" s="2"/>
      <c r="I814" s="2"/>
    </row>
    <row r="815" spans="1:9" ht="15" thickBot="1" x14ac:dyDescent="0.3">
      <c r="A815" s="2"/>
      <c r="B815" s="2"/>
      <c r="C815" s="2"/>
      <c r="D815" s="2"/>
      <c r="E815" s="2"/>
      <c r="F815" s="2"/>
      <c r="G815" s="2"/>
      <c r="H815" s="2"/>
      <c r="I815" s="2"/>
    </row>
    <row r="816" spans="1:9" ht="15" thickBot="1" x14ac:dyDescent="0.3">
      <c r="A816" s="2"/>
      <c r="B816" s="2"/>
      <c r="C816" s="2"/>
      <c r="D816" s="2"/>
      <c r="E816" s="2"/>
      <c r="F816" s="2"/>
      <c r="G816" s="2"/>
      <c r="H816" s="2"/>
      <c r="I816" s="2"/>
    </row>
    <row r="817" spans="1:9" ht="15" thickBot="1" x14ac:dyDescent="0.3">
      <c r="A817" s="2"/>
      <c r="B817" s="2"/>
      <c r="C817" s="2"/>
      <c r="D817" s="2"/>
      <c r="E817" s="2"/>
      <c r="F817" s="2"/>
      <c r="G817" s="2"/>
      <c r="H817" s="2"/>
      <c r="I817" s="2"/>
    </row>
    <row r="818" spans="1:9" ht="15" thickBot="1" x14ac:dyDescent="0.3">
      <c r="A818" s="2"/>
      <c r="B818" s="2"/>
      <c r="C818" s="2"/>
      <c r="D818" s="2"/>
      <c r="E818" s="2"/>
      <c r="F818" s="2"/>
      <c r="G818" s="2"/>
      <c r="H818" s="2"/>
      <c r="I818" s="2"/>
    </row>
    <row r="819" spans="1:9" ht="15" thickBot="1" x14ac:dyDescent="0.3">
      <c r="A819" s="2"/>
      <c r="B819" s="2"/>
      <c r="C819" s="2"/>
      <c r="D819" s="2"/>
      <c r="E819" s="2"/>
      <c r="F819" s="2"/>
      <c r="G819" s="2"/>
      <c r="H819" s="2"/>
      <c r="I819" s="2"/>
    </row>
    <row r="820" spans="1:9" ht="15" thickBot="1" x14ac:dyDescent="0.3">
      <c r="A820" s="2"/>
      <c r="B820" s="2"/>
      <c r="C820" s="2"/>
      <c r="D820" s="2"/>
      <c r="E820" s="2"/>
      <c r="F820" s="2"/>
      <c r="G820" s="2"/>
      <c r="H820" s="2"/>
      <c r="I820" s="2"/>
    </row>
    <row r="821" spans="1:9" ht="15" thickBot="1" x14ac:dyDescent="0.3">
      <c r="A821" s="2"/>
      <c r="B821" s="2"/>
      <c r="C821" s="2"/>
      <c r="D821" s="2"/>
      <c r="E821" s="2"/>
      <c r="F821" s="2"/>
      <c r="G821" s="2"/>
      <c r="H821" s="2"/>
      <c r="I821" s="2"/>
    </row>
    <row r="822" spans="1:9" ht="15" thickBot="1" x14ac:dyDescent="0.3">
      <c r="A822" s="2"/>
      <c r="B822" s="2"/>
      <c r="C822" s="2"/>
      <c r="D822" s="2"/>
      <c r="E822" s="2"/>
      <c r="F822" s="2"/>
      <c r="G822" s="2"/>
      <c r="H822" s="2"/>
      <c r="I822" s="2"/>
    </row>
    <row r="823" spans="1:9" ht="15" thickBot="1" x14ac:dyDescent="0.3">
      <c r="A823" s="2"/>
      <c r="B823" s="2"/>
      <c r="C823" s="2"/>
      <c r="D823" s="2"/>
      <c r="E823" s="2"/>
      <c r="F823" s="2"/>
      <c r="G823" s="2"/>
      <c r="H823" s="2"/>
      <c r="I823" s="2"/>
    </row>
    <row r="824" spans="1:9" ht="15" thickBot="1" x14ac:dyDescent="0.3">
      <c r="A824" s="2"/>
      <c r="B824" s="2"/>
      <c r="C824" s="2"/>
      <c r="D824" s="2"/>
      <c r="E824" s="2"/>
      <c r="F824" s="2"/>
      <c r="G824" s="2"/>
      <c r="H824" s="2"/>
      <c r="I824" s="2"/>
    </row>
    <row r="825" spans="1:9" ht="15" thickBot="1" x14ac:dyDescent="0.3">
      <c r="A825" s="2"/>
      <c r="B825" s="2"/>
      <c r="C825" s="2"/>
      <c r="D825" s="2"/>
      <c r="E825" s="2"/>
      <c r="F825" s="2"/>
      <c r="G825" s="2"/>
      <c r="H825" s="2"/>
      <c r="I825" s="2"/>
    </row>
    <row r="826" spans="1:9" ht="15" thickBot="1" x14ac:dyDescent="0.3">
      <c r="A826" s="2"/>
      <c r="B826" s="2"/>
      <c r="C826" s="2"/>
      <c r="D826" s="2"/>
      <c r="E826" s="2"/>
      <c r="F826" s="2"/>
      <c r="G826" s="2"/>
      <c r="H826" s="2"/>
      <c r="I826" s="2"/>
    </row>
    <row r="827" spans="1:9" ht="15" thickBot="1" x14ac:dyDescent="0.3">
      <c r="A827" s="2"/>
      <c r="B827" s="2"/>
      <c r="C827" s="2"/>
      <c r="D827" s="2"/>
      <c r="E827" s="2"/>
      <c r="F827" s="2"/>
      <c r="G827" s="2"/>
      <c r="H827" s="2"/>
      <c r="I827" s="2"/>
    </row>
    <row r="828" spans="1:9" ht="15" thickBot="1" x14ac:dyDescent="0.3">
      <c r="A828" s="2"/>
      <c r="B828" s="2"/>
      <c r="C828" s="2"/>
      <c r="D828" s="2"/>
      <c r="E828" s="2"/>
      <c r="F828" s="2"/>
      <c r="G828" s="2"/>
      <c r="H828" s="2"/>
      <c r="I828" s="2"/>
    </row>
    <row r="829" spans="1:9" ht="15" thickBot="1" x14ac:dyDescent="0.3">
      <c r="A829" s="2"/>
      <c r="B829" s="2"/>
      <c r="C829" s="2"/>
      <c r="D829" s="2"/>
      <c r="E829" s="2"/>
      <c r="F829" s="2"/>
      <c r="G829" s="2"/>
      <c r="H829" s="2"/>
      <c r="I829" s="2"/>
    </row>
    <row r="830" spans="1:9" ht="15" thickBot="1" x14ac:dyDescent="0.3">
      <c r="A830" s="2"/>
      <c r="B830" s="2"/>
      <c r="C830" s="2"/>
      <c r="D830" s="2"/>
      <c r="E830" s="2"/>
      <c r="F830" s="2"/>
      <c r="G830" s="2"/>
      <c r="H830" s="2"/>
      <c r="I830" s="2"/>
    </row>
    <row r="831" spans="1:9" ht="15" thickBot="1" x14ac:dyDescent="0.3">
      <c r="A831" s="2"/>
      <c r="B831" s="2"/>
      <c r="C831" s="2"/>
      <c r="D831" s="2"/>
      <c r="E831" s="2"/>
      <c r="F831" s="2"/>
      <c r="G831" s="2"/>
      <c r="H831" s="2"/>
      <c r="I831" s="2"/>
    </row>
    <row r="832" spans="1:9" ht="15" thickBot="1" x14ac:dyDescent="0.3">
      <c r="A832" s="2"/>
      <c r="B832" s="2"/>
      <c r="C832" s="2"/>
      <c r="D832" s="2"/>
      <c r="E832" s="2"/>
      <c r="F832" s="2"/>
      <c r="G832" s="2"/>
      <c r="H832" s="2"/>
      <c r="I832" s="2"/>
    </row>
    <row r="833" spans="1:9" ht="15" thickBot="1" x14ac:dyDescent="0.3">
      <c r="A833" s="2"/>
      <c r="B833" s="2"/>
      <c r="C833" s="2"/>
      <c r="D833" s="2"/>
      <c r="E833" s="2"/>
      <c r="F833" s="2"/>
      <c r="G833" s="2"/>
      <c r="H833" s="2"/>
      <c r="I833" s="2"/>
    </row>
    <row r="834" spans="1:9" ht="15" thickBot="1" x14ac:dyDescent="0.3">
      <c r="A834" s="2"/>
      <c r="B834" s="2"/>
      <c r="C834" s="2"/>
      <c r="D834" s="2"/>
      <c r="E834" s="2"/>
      <c r="F834" s="2"/>
      <c r="G834" s="2"/>
      <c r="H834" s="2"/>
      <c r="I834" s="2"/>
    </row>
    <row r="835" spans="1:9" ht="15" thickBot="1" x14ac:dyDescent="0.3">
      <c r="A835" s="2"/>
      <c r="B835" s="2"/>
      <c r="C835" s="2"/>
      <c r="D835" s="2"/>
      <c r="E835" s="2"/>
      <c r="F835" s="2"/>
      <c r="G835" s="2"/>
      <c r="H835" s="2"/>
      <c r="I835" s="2"/>
    </row>
    <row r="836" spans="1:9" ht="15" thickBot="1" x14ac:dyDescent="0.3">
      <c r="A836" s="2"/>
      <c r="B836" s="2"/>
      <c r="C836" s="2"/>
      <c r="D836" s="2"/>
      <c r="E836" s="2"/>
      <c r="F836" s="2"/>
      <c r="G836" s="2"/>
      <c r="H836" s="2"/>
      <c r="I836" s="2"/>
    </row>
    <row r="837" spans="1:9" ht="15" thickBot="1" x14ac:dyDescent="0.3">
      <c r="A837" s="2"/>
      <c r="B837" s="2"/>
      <c r="C837" s="2"/>
      <c r="D837" s="2"/>
      <c r="E837" s="2"/>
      <c r="F837" s="2"/>
      <c r="G837" s="2"/>
      <c r="H837" s="2"/>
      <c r="I837" s="2"/>
    </row>
    <row r="838" spans="1:9" ht="15" thickBot="1" x14ac:dyDescent="0.3">
      <c r="A838" s="2"/>
      <c r="B838" s="2"/>
      <c r="C838" s="2"/>
      <c r="D838" s="2"/>
      <c r="E838" s="2"/>
      <c r="F838" s="2"/>
      <c r="G838" s="2"/>
      <c r="H838" s="2"/>
      <c r="I838" s="2"/>
    </row>
    <row r="839" spans="1:9" ht="15" thickBot="1" x14ac:dyDescent="0.3">
      <c r="A839" s="2"/>
      <c r="B839" s="2"/>
      <c r="C839" s="2"/>
      <c r="D839" s="2"/>
      <c r="E839" s="2"/>
      <c r="F839" s="2"/>
      <c r="G839" s="2"/>
      <c r="H839" s="2"/>
      <c r="I839" s="2"/>
    </row>
    <row r="840" spans="1:9" ht="15" thickBot="1" x14ac:dyDescent="0.3">
      <c r="A840" s="2"/>
      <c r="B840" s="2"/>
      <c r="C840" s="2"/>
      <c r="D840" s="2"/>
      <c r="E840" s="2"/>
      <c r="F840" s="2"/>
      <c r="G840" s="2"/>
      <c r="H840" s="2"/>
      <c r="I840" s="2"/>
    </row>
    <row r="841" spans="1:9" ht="15" thickBot="1" x14ac:dyDescent="0.3">
      <c r="A841" s="2"/>
      <c r="B841" s="2"/>
      <c r="C841" s="2"/>
      <c r="D841" s="2"/>
      <c r="E841" s="2"/>
      <c r="F841" s="2"/>
      <c r="G841" s="2"/>
      <c r="H841" s="2"/>
      <c r="I841" s="2"/>
    </row>
    <row r="842" spans="1:9" ht="15" thickBot="1" x14ac:dyDescent="0.3">
      <c r="A842" s="2"/>
      <c r="B842" s="2"/>
      <c r="C842" s="2"/>
      <c r="D842" s="2"/>
      <c r="E842" s="2"/>
      <c r="F842" s="2"/>
      <c r="G842" s="2"/>
      <c r="H842" s="2"/>
      <c r="I842" s="2"/>
    </row>
    <row r="843" spans="1:9" ht="15" thickBot="1" x14ac:dyDescent="0.3">
      <c r="A843" s="2"/>
      <c r="B843" s="2"/>
      <c r="C843" s="2"/>
      <c r="D843" s="2"/>
      <c r="E843" s="2"/>
      <c r="F843" s="2"/>
      <c r="G843" s="2"/>
      <c r="H843" s="2"/>
      <c r="I843" s="2"/>
    </row>
    <row r="844" spans="1:9" ht="15" thickBot="1" x14ac:dyDescent="0.3">
      <c r="A844" s="2"/>
      <c r="B844" s="2"/>
      <c r="C844" s="2"/>
      <c r="D844" s="2"/>
      <c r="E844" s="2"/>
      <c r="F844" s="2"/>
      <c r="G844" s="2"/>
      <c r="H844" s="2"/>
      <c r="I844" s="2"/>
    </row>
    <row r="845" spans="1:9" ht="15" thickBot="1" x14ac:dyDescent="0.3">
      <c r="A845" s="2"/>
      <c r="B845" s="2"/>
      <c r="C845" s="2"/>
      <c r="D845" s="2"/>
      <c r="E845" s="2"/>
      <c r="F845" s="2"/>
      <c r="G845" s="2"/>
      <c r="H845" s="2"/>
      <c r="I845" s="2"/>
    </row>
    <row r="846" spans="1:9" ht="15" thickBot="1" x14ac:dyDescent="0.3">
      <c r="A846" s="2"/>
      <c r="B846" s="2"/>
      <c r="C846" s="2"/>
      <c r="D846" s="2"/>
      <c r="E846" s="2"/>
      <c r="F846" s="2"/>
      <c r="G846" s="2"/>
      <c r="H846" s="2"/>
      <c r="I846" s="2"/>
    </row>
    <row r="847" spans="1:9" ht="15" thickBot="1" x14ac:dyDescent="0.3">
      <c r="A847" s="2"/>
      <c r="B847" s="2"/>
      <c r="C847" s="2"/>
      <c r="D847" s="2"/>
      <c r="E847" s="2"/>
      <c r="F847" s="2"/>
      <c r="G847" s="2"/>
      <c r="H847" s="2"/>
      <c r="I847" s="2"/>
    </row>
    <row r="848" spans="1:9" ht="15" thickBot="1" x14ac:dyDescent="0.3">
      <c r="A848" s="2"/>
      <c r="B848" s="2"/>
      <c r="C848" s="2"/>
      <c r="D848" s="2"/>
      <c r="E848" s="2"/>
      <c r="F848" s="2"/>
      <c r="G848" s="2"/>
      <c r="H848" s="2"/>
      <c r="I848" s="2"/>
    </row>
    <row r="849" spans="1:9" ht="15" thickBot="1" x14ac:dyDescent="0.3">
      <c r="A849" s="2"/>
      <c r="B849" s="2"/>
      <c r="C849" s="2"/>
      <c r="D849" s="2"/>
      <c r="E849" s="2"/>
      <c r="F849" s="2"/>
      <c r="G849" s="2"/>
      <c r="H849" s="2"/>
      <c r="I849" s="2"/>
    </row>
    <row r="850" spans="1:9" ht="15" thickBot="1" x14ac:dyDescent="0.3">
      <c r="A850" s="2"/>
      <c r="B850" s="2"/>
      <c r="C850" s="2"/>
      <c r="D850" s="2"/>
      <c r="E850" s="2"/>
      <c r="F850" s="2"/>
      <c r="G850" s="2"/>
      <c r="H850" s="2"/>
      <c r="I850" s="2"/>
    </row>
    <row r="851" spans="1:9" ht="15" thickBot="1" x14ac:dyDescent="0.3">
      <c r="A851" s="2"/>
      <c r="B851" s="2"/>
      <c r="C851" s="2"/>
      <c r="D851" s="2"/>
      <c r="E851" s="2"/>
      <c r="F851" s="2"/>
      <c r="G851" s="2"/>
      <c r="H851" s="2"/>
      <c r="I851" s="2"/>
    </row>
    <row r="852" spans="1:9" ht="15" thickBot="1" x14ac:dyDescent="0.3">
      <c r="A852" s="2"/>
      <c r="B852" s="2"/>
      <c r="C852" s="2"/>
      <c r="D852" s="2"/>
      <c r="E852" s="2"/>
      <c r="F852" s="2"/>
      <c r="G852" s="2"/>
      <c r="H852" s="2"/>
      <c r="I852" s="2"/>
    </row>
    <row r="853" spans="1:9" ht="15" thickBot="1" x14ac:dyDescent="0.3">
      <c r="A853" s="2"/>
      <c r="B853" s="2"/>
      <c r="C853" s="2"/>
      <c r="D853" s="2"/>
      <c r="E853" s="2"/>
      <c r="F853" s="2"/>
      <c r="G853" s="2"/>
      <c r="H853" s="2"/>
      <c r="I853" s="2"/>
    </row>
    <row r="854" spans="1:9" ht="15" thickBot="1" x14ac:dyDescent="0.3">
      <c r="A854" s="2"/>
      <c r="B854" s="2"/>
      <c r="C854" s="2"/>
      <c r="D854" s="2"/>
      <c r="E854" s="2"/>
      <c r="F854" s="2"/>
      <c r="G854" s="2"/>
      <c r="H854" s="2"/>
      <c r="I854" s="2"/>
    </row>
    <row r="855" spans="1:9" ht="15" thickBot="1" x14ac:dyDescent="0.3">
      <c r="A855" s="2"/>
      <c r="B855" s="2"/>
      <c r="C855" s="2"/>
      <c r="D855" s="2"/>
      <c r="E855" s="2"/>
      <c r="F855" s="2"/>
      <c r="G855" s="2"/>
      <c r="H855" s="2"/>
      <c r="I855" s="2"/>
    </row>
    <row r="856" spans="1:9" ht="15" thickBot="1" x14ac:dyDescent="0.3">
      <c r="A856" s="2"/>
      <c r="B856" s="2"/>
      <c r="C856" s="2"/>
      <c r="D856" s="2"/>
      <c r="E856" s="2"/>
      <c r="F856" s="2"/>
      <c r="G856" s="2"/>
      <c r="H856" s="2"/>
      <c r="I856" s="2"/>
    </row>
    <row r="857" spans="1:9" ht="15" thickBot="1" x14ac:dyDescent="0.3">
      <c r="A857" s="2"/>
      <c r="B857" s="2"/>
      <c r="C857" s="2"/>
      <c r="D857" s="2"/>
      <c r="E857" s="2"/>
      <c r="F857" s="2"/>
      <c r="G857" s="2"/>
      <c r="H857" s="2"/>
      <c r="I857" s="2"/>
    </row>
    <row r="858" spans="1:9" ht="15" thickBot="1" x14ac:dyDescent="0.3">
      <c r="A858" s="2"/>
      <c r="B858" s="2"/>
      <c r="C858" s="2"/>
      <c r="D858" s="2"/>
      <c r="E858" s="2"/>
      <c r="F858" s="2"/>
      <c r="G858" s="2"/>
      <c r="H858" s="2"/>
      <c r="I858" s="2"/>
    </row>
    <row r="859" spans="1:9" ht="15" thickBot="1" x14ac:dyDescent="0.3">
      <c r="A859" s="2"/>
      <c r="B859" s="2"/>
      <c r="C859" s="2"/>
      <c r="D859" s="2"/>
      <c r="E859" s="2"/>
      <c r="F859" s="2"/>
      <c r="G859" s="2"/>
      <c r="H859" s="2"/>
      <c r="I859" s="2"/>
    </row>
    <row r="860" spans="1:9" ht="15" thickBot="1" x14ac:dyDescent="0.3">
      <c r="A860" s="2"/>
      <c r="B860" s="2"/>
      <c r="C860" s="2"/>
      <c r="D860" s="2"/>
      <c r="E860" s="2"/>
      <c r="F860" s="2"/>
      <c r="G860" s="2"/>
      <c r="H860" s="2"/>
      <c r="I860" s="2"/>
    </row>
    <row r="861" spans="1:9" ht="15" thickBot="1" x14ac:dyDescent="0.3">
      <c r="A861" s="2"/>
      <c r="B861" s="2"/>
      <c r="C861" s="2"/>
      <c r="D861" s="2"/>
      <c r="E861" s="2"/>
      <c r="F861" s="2"/>
      <c r="G861" s="2"/>
      <c r="H861" s="2"/>
      <c r="I861" s="2"/>
    </row>
    <row r="862" spans="1:9" ht="15" thickBot="1" x14ac:dyDescent="0.3">
      <c r="A862" s="2"/>
      <c r="B862" s="2"/>
      <c r="C862" s="2"/>
      <c r="D862" s="2"/>
      <c r="E862" s="2"/>
      <c r="F862" s="2"/>
      <c r="G862" s="2"/>
      <c r="H862" s="2"/>
      <c r="I862" s="2"/>
    </row>
    <row r="863" spans="1:9" ht="15" thickBot="1" x14ac:dyDescent="0.3">
      <c r="A863" s="2"/>
      <c r="B863" s="2"/>
      <c r="C863" s="2"/>
      <c r="D863" s="2"/>
      <c r="E863" s="2"/>
      <c r="F863" s="2"/>
      <c r="G863" s="2"/>
      <c r="H863" s="2"/>
      <c r="I863" s="2"/>
    </row>
    <row r="864" spans="1:9" ht="15" thickBot="1" x14ac:dyDescent="0.3">
      <c r="A864" s="2"/>
      <c r="B864" s="2"/>
      <c r="C864" s="2"/>
      <c r="D864" s="2"/>
      <c r="E864" s="2"/>
      <c r="F864" s="2"/>
      <c r="G864" s="2"/>
      <c r="H864" s="2"/>
      <c r="I864" s="2"/>
    </row>
    <row r="865" spans="1:9" ht="15" thickBot="1" x14ac:dyDescent="0.3">
      <c r="A865" s="2"/>
      <c r="B865" s="2"/>
      <c r="C865" s="2"/>
      <c r="D865" s="2"/>
      <c r="E865" s="2"/>
      <c r="F865" s="2"/>
      <c r="G865" s="2"/>
      <c r="H865" s="2"/>
      <c r="I865" s="2"/>
    </row>
    <row r="866" spans="1:9" ht="15" thickBot="1" x14ac:dyDescent="0.3">
      <c r="A866" s="2"/>
      <c r="B866" s="2"/>
      <c r="C866" s="2"/>
      <c r="D866" s="2"/>
      <c r="E866" s="2"/>
      <c r="F866" s="2"/>
      <c r="G866" s="2"/>
      <c r="H866" s="2"/>
      <c r="I866" s="2"/>
    </row>
    <row r="867" spans="1:9" ht="15" thickBot="1" x14ac:dyDescent="0.3">
      <c r="A867" s="2"/>
      <c r="B867" s="2"/>
      <c r="C867" s="2"/>
      <c r="D867" s="2"/>
      <c r="E867" s="2"/>
      <c r="F867" s="2"/>
      <c r="G867" s="2"/>
      <c r="H867" s="2"/>
      <c r="I867" s="2"/>
    </row>
    <row r="868" spans="1:9" ht="15" thickBot="1" x14ac:dyDescent="0.3">
      <c r="A868" s="2"/>
      <c r="B868" s="2"/>
      <c r="C868" s="2"/>
      <c r="D868" s="2"/>
      <c r="E868" s="2"/>
      <c r="F868" s="2"/>
      <c r="G868" s="2"/>
      <c r="H868" s="2"/>
      <c r="I868" s="2"/>
    </row>
    <row r="869" spans="1:9" ht="15" thickBot="1" x14ac:dyDescent="0.3">
      <c r="A869" s="2"/>
      <c r="B869" s="2"/>
      <c r="C869" s="2"/>
      <c r="D869" s="2"/>
      <c r="E869" s="2"/>
      <c r="F869" s="2"/>
      <c r="G869" s="2"/>
      <c r="H869" s="2"/>
      <c r="I869" s="2"/>
    </row>
    <row r="870" spans="1:9" ht="15" thickBot="1" x14ac:dyDescent="0.3">
      <c r="A870" s="2"/>
      <c r="B870" s="2"/>
      <c r="C870" s="2"/>
      <c r="D870" s="2"/>
      <c r="E870" s="2"/>
      <c r="F870" s="2"/>
      <c r="G870" s="2"/>
      <c r="H870" s="2"/>
      <c r="I870" s="2"/>
    </row>
    <row r="871" spans="1:9" ht="15" thickBot="1" x14ac:dyDescent="0.3">
      <c r="A871" s="2"/>
      <c r="B871" s="2"/>
      <c r="C871" s="2"/>
      <c r="D871" s="2"/>
      <c r="E871" s="2"/>
      <c r="F871" s="2"/>
      <c r="G871" s="2"/>
      <c r="H871" s="2"/>
      <c r="I871" s="2"/>
    </row>
    <row r="872" spans="1:9" ht="15" thickBot="1" x14ac:dyDescent="0.3">
      <c r="A872" s="2"/>
      <c r="B872" s="2"/>
      <c r="C872" s="2"/>
      <c r="D872" s="2"/>
      <c r="E872" s="2"/>
      <c r="F872" s="2"/>
      <c r="G872" s="2"/>
      <c r="H872" s="2"/>
      <c r="I872" s="2"/>
    </row>
    <row r="873" spans="1:9" ht="15" thickBot="1" x14ac:dyDescent="0.3">
      <c r="A873" s="2"/>
      <c r="B873" s="2"/>
      <c r="C873" s="2"/>
      <c r="D873" s="2"/>
      <c r="E873" s="2"/>
      <c r="F873" s="2"/>
      <c r="G873" s="2"/>
      <c r="H873" s="2"/>
      <c r="I873" s="2"/>
    </row>
    <row r="874" spans="1:9" ht="15" thickBot="1" x14ac:dyDescent="0.3">
      <c r="A874" s="2"/>
      <c r="B874" s="2"/>
      <c r="C874" s="2"/>
      <c r="D874" s="2"/>
      <c r="E874" s="2"/>
      <c r="F874" s="2"/>
      <c r="G874" s="2"/>
      <c r="H874" s="2"/>
      <c r="I874" s="2"/>
    </row>
    <row r="875" spans="1:9" ht="15" thickBot="1" x14ac:dyDescent="0.3">
      <c r="A875" s="2"/>
      <c r="B875" s="2"/>
      <c r="C875" s="2"/>
      <c r="D875" s="2"/>
      <c r="E875" s="2"/>
      <c r="F875" s="2"/>
      <c r="G875" s="2"/>
      <c r="H875" s="2"/>
      <c r="I875" s="2"/>
    </row>
    <row r="876" spans="1:9" ht="15" thickBot="1" x14ac:dyDescent="0.3">
      <c r="A876" s="2"/>
      <c r="B876" s="2"/>
      <c r="C876" s="2"/>
      <c r="D876" s="2"/>
      <c r="E876" s="2"/>
      <c r="F876" s="2"/>
      <c r="G876" s="2"/>
      <c r="H876" s="2"/>
      <c r="I876" s="2"/>
    </row>
    <row r="877" spans="1:9" ht="15" thickBot="1" x14ac:dyDescent="0.3">
      <c r="A877" s="2"/>
      <c r="B877" s="2"/>
      <c r="C877" s="2"/>
      <c r="D877" s="2"/>
      <c r="E877" s="2"/>
      <c r="F877" s="2"/>
      <c r="G877" s="2"/>
      <c r="H877" s="2"/>
      <c r="I877" s="2"/>
    </row>
    <row r="878" spans="1:9" ht="15" thickBot="1" x14ac:dyDescent="0.3">
      <c r="A878" s="2"/>
      <c r="B878" s="2"/>
      <c r="C878" s="2"/>
      <c r="D878" s="2"/>
      <c r="E878" s="2"/>
      <c r="F878" s="2"/>
      <c r="G878" s="2"/>
      <c r="H878" s="2"/>
      <c r="I878" s="2"/>
    </row>
    <row r="879" spans="1:9" ht="15" thickBot="1" x14ac:dyDescent="0.3">
      <c r="A879" s="2"/>
      <c r="B879" s="2"/>
      <c r="C879" s="2"/>
      <c r="D879" s="2"/>
      <c r="E879" s="2"/>
      <c r="F879" s="2"/>
      <c r="G879" s="2"/>
      <c r="H879" s="2"/>
      <c r="I879" s="2"/>
    </row>
    <row r="880" spans="1:9" ht="15" thickBot="1" x14ac:dyDescent="0.3">
      <c r="A880" s="2"/>
      <c r="B880" s="2"/>
      <c r="C880" s="2"/>
      <c r="D880" s="2"/>
      <c r="E880" s="2"/>
      <c r="F880" s="2"/>
      <c r="G880" s="2"/>
      <c r="H880" s="2"/>
      <c r="I880" s="2"/>
    </row>
    <row r="881" spans="1:9" ht="15" thickBot="1" x14ac:dyDescent="0.3">
      <c r="A881" s="2"/>
      <c r="B881" s="2"/>
      <c r="C881" s="2"/>
      <c r="D881" s="2"/>
      <c r="E881" s="2"/>
      <c r="F881" s="2"/>
      <c r="G881" s="2"/>
      <c r="H881" s="2"/>
      <c r="I881" s="2"/>
    </row>
    <row r="882" spans="1:9" ht="15" thickBot="1" x14ac:dyDescent="0.3">
      <c r="A882" s="2"/>
      <c r="B882" s="2"/>
      <c r="C882" s="2"/>
      <c r="D882" s="2"/>
      <c r="E882" s="2"/>
      <c r="F882" s="2"/>
      <c r="G882" s="2"/>
      <c r="H882" s="2"/>
      <c r="I882" s="2"/>
    </row>
    <row r="883" spans="1:9" ht="15" thickBot="1" x14ac:dyDescent="0.3">
      <c r="A883" s="2"/>
      <c r="B883" s="2"/>
      <c r="C883" s="2"/>
      <c r="D883" s="2"/>
      <c r="E883" s="2"/>
      <c r="F883" s="2"/>
      <c r="G883" s="2"/>
      <c r="H883" s="2"/>
      <c r="I883" s="2"/>
    </row>
    <row r="884" spans="1:9" ht="15" thickBot="1" x14ac:dyDescent="0.3">
      <c r="A884" s="2"/>
      <c r="B884" s="2"/>
      <c r="C884" s="2"/>
      <c r="D884" s="2"/>
      <c r="E884" s="2"/>
      <c r="F884" s="2"/>
      <c r="G884" s="2"/>
      <c r="H884" s="2"/>
      <c r="I884" s="2"/>
    </row>
    <row r="885" spans="1:9" ht="15" thickBot="1" x14ac:dyDescent="0.3">
      <c r="A885" s="2"/>
      <c r="B885" s="2"/>
      <c r="C885" s="2"/>
      <c r="D885" s="2"/>
      <c r="E885" s="2"/>
      <c r="F885" s="2"/>
      <c r="G885" s="2"/>
      <c r="H885" s="2"/>
      <c r="I885" s="2"/>
    </row>
    <row r="886" spans="1:9" ht="15" thickBot="1" x14ac:dyDescent="0.3">
      <c r="A886" s="2"/>
      <c r="B886" s="2"/>
      <c r="C886" s="2"/>
      <c r="D886" s="2"/>
      <c r="E886" s="2"/>
      <c r="F886" s="2"/>
      <c r="G886" s="2"/>
      <c r="H886" s="2"/>
      <c r="I886" s="2"/>
    </row>
    <row r="887" spans="1:9" ht="15" thickBot="1" x14ac:dyDescent="0.3">
      <c r="A887" s="2"/>
      <c r="B887" s="2"/>
      <c r="C887" s="2"/>
      <c r="D887" s="2"/>
      <c r="E887" s="2"/>
      <c r="F887" s="2"/>
      <c r="G887" s="2"/>
      <c r="H887" s="2"/>
      <c r="I887" s="2"/>
    </row>
    <row r="888" spans="1:9" ht="15" thickBot="1" x14ac:dyDescent="0.3">
      <c r="A888" s="2"/>
      <c r="B888" s="2"/>
      <c r="C888" s="2"/>
      <c r="D888" s="2"/>
      <c r="E888" s="2"/>
      <c r="F888" s="2"/>
      <c r="G888" s="2"/>
      <c r="H888" s="2"/>
      <c r="I888" s="2"/>
    </row>
    <row r="889" spans="1:9" ht="15" thickBot="1" x14ac:dyDescent="0.3">
      <c r="A889" s="2"/>
      <c r="B889" s="2"/>
      <c r="C889" s="2"/>
      <c r="D889" s="2"/>
      <c r="E889" s="2"/>
      <c r="F889" s="2"/>
      <c r="G889" s="2"/>
      <c r="H889" s="2"/>
      <c r="I889" s="2"/>
    </row>
    <row r="890" spans="1:9" ht="15" thickBot="1" x14ac:dyDescent="0.3">
      <c r="A890" s="2"/>
      <c r="B890" s="2"/>
      <c r="C890" s="2"/>
      <c r="D890" s="2"/>
      <c r="E890" s="2"/>
      <c r="F890" s="2"/>
      <c r="G890" s="2"/>
      <c r="H890" s="2"/>
      <c r="I890" s="2"/>
    </row>
    <row r="891" spans="1:9" ht="15" thickBot="1" x14ac:dyDescent="0.3">
      <c r="A891" s="2"/>
      <c r="B891" s="2"/>
      <c r="C891" s="2"/>
      <c r="D891" s="2"/>
      <c r="E891" s="2"/>
      <c r="F891" s="2"/>
      <c r="G891" s="2"/>
      <c r="H891" s="2"/>
      <c r="I891" s="2"/>
    </row>
    <row r="892" spans="1:9" ht="15" thickBot="1" x14ac:dyDescent="0.3">
      <c r="A892" s="2"/>
      <c r="B892" s="2"/>
      <c r="C892" s="2"/>
      <c r="D892" s="2"/>
      <c r="E892" s="2"/>
      <c r="F892" s="2"/>
      <c r="G892" s="2"/>
      <c r="H892" s="2"/>
      <c r="I892" s="2"/>
    </row>
    <row r="893" spans="1:9" ht="15" thickBot="1" x14ac:dyDescent="0.3">
      <c r="A893" s="2"/>
      <c r="B893" s="2"/>
      <c r="C893" s="2"/>
      <c r="D893" s="2"/>
      <c r="E893" s="2"/>
      <c r="F893" s="2"/>
      <c r="G893" s="2"/>
      <c r="H893" s="2"/>
      <c r="I893" s="2"/>
    </row>
    <row r="894" spans="1:9" ht="15" thickBot="1" x14ac:dyDescent="0.3">
      <c r="A894" s="2"/>
      <c r="B894" s="2"/>
      <c r="C894" s="2"/>
      <c r="D894" s="2"/>
      <c r="E894" s="2"/>
      <c r="F894" s="2"/>
      <c r="G894" s="2"/>
      <c r="H894" s="2"/>
      <c r="I894" s="2"/>
    </row>
    <row r="895" spans="1:9" ht="15" thickBot="1" x14ac:dyDescent="0.3">
      <c r="A895" s="2"/>
      <c r="B895" s="2"/>
      <c r="C895" s="2"/>
      <c r="D895" s="2"/>
      <c r="E895" s="2"/>
      <c r="F895" s="2"/>
      <c r="G895" s="2"/>
      <c r="H895" s="2"/>
      <c r="I895" s="2"/>
    </row>
    <row r="896" spans="1:9" ht="15" thickBot="1" x14ac:dyDescent="0.3">
      <c r="A896" s="2"/>
      <c r="B896" s="2"/>
      <c r="C896" s="2"/>
      <c r="D896" s="2"/>
      <c r="E896" s="2"/>
      <c r="F896" s="2"/>
      <c r="G896" s="2"/>
      <c r="H896" s="2"/>
      <c r="I896" s="2"/>
    </row>
    <row r="897" spans="1:9" ht="15" thickBot="1" x14ac:dyDescent="0.3">
      <c r="A897" s="2"/>
      <c r="B897" s="2"/>
      <c r="C897" s="2"/>
      <c r="D897" s="2"/>
      <c r="E897" s="2"/>
      <c r="F897" s="2"/>
      <c r="G897" s="2"/>
      <c r="H897" s="2"/>
      <c r="I897" s="2"/>
    </row>
    <row r="898" spans="1:9" ht="15" thickBot="1" x14ac:dyDescent="0.3">
      <c r="A898" s="2"/>
      <c r="B898" s="2"/>
      <c r="C898" s="2"/>
      <c r="D898" s="2"/>
      <c r="E898" s="2"/>
      <c r="F898" s="2"/>
      <c r="G898" s="2"/>
      <c r="H898" s="2"/>
      <c r="I898" s="2"/>
    </row>
    <row r="899" spans="1:9" ht="15" thickBot="1" x14ac:dyDescent="0.3">
      <c r="A899" s="2"/>
      <c r="B899" s="2"/>
      <c r="C899" s="2"/>
      <c r="D899" s="2"/>
      <c r="E899" s="2"/>
      <c r="F899" s="2"/>
      <c r="G899" s="2"/>
      <c r="H899" s="2"/>
      <c r="I899" s="2"/>
    </row>
    <row r="900" spans="1:9" ht="15" thickBot="1" x14ac:dyDescent="0.3">
      <c r="A900" s="2"/>
      <c r="B900" s="2"/>
      <c r="C900" s="2"/>
      <c r="D900" s="2"/>
      <c r="E900" s="2"/>
      <c r="F900" s="2"/>
      <c r="G900" s="2"/>
      <c r="H900" s="2"/>
      <c r="I900" s="2"/>
    </row>
    <row r="901" spans="1:9" ht="15" thickBot="1" x14ac:dyDescent="0.3">
      <c r="A901" s="2"/>
      <c r="B901" s="2"/>
      <c r="C901" s="2"/>
      <c r="D901" s="2"/>
      <c r="E901" s="2"/>
      <c r="F901" s="2"/>
      <c r="G901" s="2"/>
      <c r="H901" s="2"/>
      <c r="I901" s="2"/>
    </row>
    <row r="902" spans="1:9" ht="15" thickBot="1" x14ac:dyDescent="0.3">
      <c r="A902" s="2"/>
      <c r="B902" s="2"/>
      <c r="C902" s="2"/>
      <c r="D902" s="2"/>
      <c r="E902" s="2"/>
      <c r="F902" s="2"/>
      <c r="G902" s="2"/>
      <c r="H902" s="2"/>
      <c r="I902" s="2"/>
    </row>
    <row r="903" spans="1:9" ht="15" thickBot="1" x14ac:dyDescent="0.3">
      <c r="A903" s="2"/>
      <c r="B903" s="2"/>
      <c r="C903" s="2"/>
      <c r="D903" s="2"/>
      <c r="E903" s="2"/>
      <c r="F903" s="2"/>
      <c r="G903" s="2"/>
      <c r="H903" s="2"/>
      <c r="I903" s="2"/>
    </row>
    <row r="904" spans="1:9" ht="15" thickBot="1" x14ac:dyDescent="0.3">
      <c r="A904" s="2"/>
      <c r="B904" s="2"/>
      <c r="C904" s="2"/>
      <c r="D904" s="2"/>
      <c r="E904" s="2"/>
      <c r="F904" s="2"/>
      <c r="G904" s="2"/>
      <c r="H904" s="2"/>
      <c r="I904" s="2"/>
    </row>
    <row r="905" spans="1:9" ht="15" thickBot="1" x14ac:dyDescent="0.3">
      <c r="A905" s="2"/>
      <c r="B905" s="2"/>
      <c r="C905" s="2"/>
      <c r="D905" s="2"/>
      <c r="E905" s="2"/>
      <c r="F905" s="2"/>
      <c r="G905" s="2"/>
      <c r="H905" s="2"/>
      <c r="I905" s="2"/>
    </row>
    <row r="906" spans="1:9" ht="15" thickBot="1" x14ac:dyDescent="0.3">
      <c r="A906" s="2"/>
      <c r="B906" s="2"/>
      <c r="C906" s="2"/>
      <c r="D906" s="2"/>
      <c r="E906" s="2"/>
      <c r="F906" s="2"/>
      <c r="G906" s="2"/>
      <c r="H906" s="2"/>
      <c r="I906" s="2"/>
    </row>
    <row r="907" spans="1:9" ht="15" thickBot="1" x14ac:dyDescent="0.3">
      <c r="A907" s="2"/>
      <c r="B907" s="2"/>
      <c r="C907" s="2"/>
      <c r="D907" s="2"/>
      <c r="E907" s="2"/>
      <c r="F907" s="2"/>
      <c r="G907" s="2"/>
      <c r="H907" s="2"/>
      <c r="I907" s="2"/>
    </row>
    <row r="908" spans="1:9" ht="15" thickBot="1" x14ac:dyDescent="0.3">
      <c r="A908" s="2"/>
      <c r="B908" s="2"/>
      <c r="C908" s="2"/>
      <c r="D908" s="2"/>
      <c r="E908" s="2"/>
      <c r="F908" s="2"/>
      <c r="G908" s="2"/>
      <c r="H908" s="2"/>
      <c r="I908" s="2"/>
    </row>
    <row r="909" spans="1:9" ht="15" thickBot="1" x14ac:dyDescent="0.3">
      <c r="A909" s="2"/>
      <c r="B909" s="2"/>
      <c r="C909" s="2"/>
      <c r="D909" s="2"/>
      <c r="E909" s="2"/>
      <c r="F909" s="2"/>
      <c r="G909" s="2"/>
      <c r="H909" s="2"/>
      <c r="I909" s="2"/>
    </row>
    <row r="910" spans="1:9" ht="15" thickBot="1" x14ac:dyDescent="0.3">
      <c r="A910" s="2"/>
      <c r="B910" s="2"/>
      <c r="C910" s="2"/>
      <c r="D910" s="2"/>
      <c r="E910" s="2"/>
      <c r="F910" s="2"/>
      <c r="G910" s="2"/>
      <c r="H910" s="2"/>
      <c r="I910" s="2"/>
    </row>
    <row r="911" spans="1:9" ht="15" thickBot="1" x14ac:dyDescent="0.3">
      <c r="A911" s="2"/>
      <c r="B911" s="2"/>
      <c r="C911" s="2"/>
      <c r="D911" s="2"/>
      <c r="E911" s="2"/>
      <c r="F911" s="2"/>
      <c r="G911" s="2"/>
      <c r="H911" s="2"/>
      <c r="I911" s="2"/>
    </row>
    <row r="912" spans="1:9" ht="15" thickBot="1" x14ac:dyDescent="0.3">
      <c r="A912" s="2"/>
      <c r="B912" s="2"/>
      <c r="C912" s="2"/>
      <c r="D912" s="2"/>
      <c r="E912" s="2"/>
      <c r="F912" s="2"/>
      <c r="G912" s="2"/>
      <c r="H912" s="2"/>
      <c r="I912" s="2"/>
    </row>
    <row r="913" spans="1:9" ht="15" thickBot="1" x14ac:dyDescent="0.3">
      <c r="A913" s="2"/>
      <c r="B913" s="2"/>
      <c r="C913" s="2"/>
      <c r="D913" s="2"/>
      <c r="E913" s="2"/>
      <c r="F913" s="2"/>
      <c r="G913" s="2"/>
      <c r="H913" s="2"/>
      <c r="I913" s="2"/>
    </row>
    <row r="914" spans="1:9" ht="15" thickBot="1" x14ac:dyDescent="0.3">
      <c r="A914" s="2"/>
      <c r="B914" s="2"/>
      <c r="C914" s="2"/>
      <c r="D914" s="2"/>
      <c r="E914" s="2"/>
      <c r="F914" s="2"/>
      <c r="G914" s="2"/>
      <c r="H914" s="2"/>
      <c r="I914" s="2"/>
    </row>
    <row r="915" spans="1:9" ht="15" thickBot="1" x14ac:dyDescent="0.3">
      <c r="A915" s="2"/>
      <c r="B915" s="2"/>
      <c r="C915" s="2"/>
      <c r="D915" s="2"/>
      <c r="E915" s="2"/>
      <c r="F915" s="2"/>
      <c r="G915" s="2"/>
      <c r="H915" s="2"/>
      <c r="I915" s="2"/>
    </row>
    <row r="916" spans="1:9" ht="15" thickBot="1" x14ac:dyDescent="0.3">
      <c r="A916" s="2"/>
      <c r="B916" s="2"/>
      <c r="C916" s="2"/>
      <c r="D916" s="2"/>
      <c r="E916" s="2"/>
      <c r="F916" s="2"/>
      <c r="G916" s="2"/>
      <c r="H916" s="2"/>
      <c r="I916" s="2"/>
    </row>
    <row r="917" spans="1:9" ht="15" thickBot="1" x14ac:dyDescent="0.3">
      <c r="A917" s="2"/>
      <c r="B917" s="2"/>
      <c r="C917" s="2"/>
      <c r="D917" s="2"/>
      <c r="E917" s="2"/>
      <c r="F917" s="2"/>
      <c r="G917" s="2"/>
      <c r="H917" s="2"/>
      <c r="I917" s="2"/>
    </row>
    <row r="918" spans="1:9" ht="15" thickBot="1" x14ac:dyDescent="0.3">
      <c r="A918" s="2"/>
      <c r="B918" s="2"/>
      <c r="C918" s="2"/>
      <c r="D918" s="2"/>
      <c r="E918" s="2"/>
      <c r="F918" s="2"/>
      <c r="G918" s="2"/>
      <c r="H918" s="2"/>
      <c r="I918" s="2"/>
    </row>
    <row r="919" spans="1:9" ht="15" thickBot="1" x14ac:dyDescent="0.3">
      <c r="A919" s="2"/>
      <c r="B919" s="2"/>
      <c r="C919" s="2"/>
      <c r="D919" s="2"/>
      <c r="E919" s="2"/>
      <c r="F919" s="2"/>
      <c r="G919" s="2"/>
      <c r="H919" s="2"/>
      <c r="I919" s="2"/>
    </row>
    <row r="920" spans="1:9" ht="15" thickBot="1" x14ac:dyDescent="0.3">
      <c r="A920" s="2"/>
      <c r="B920" s="2"/>
      <c r="C920" s="2"/>
      <c r="D920" s="2"/>
      <c r="E920" s="2"/>
      <c r="F920" s="2"/>
      <c r="G920" s="2"/>
      <c r="H920" s="2"/>
      <c r="I920" s="2"/>
    </row>
    <row r="921" spans="1:9" ht="15" thickBot="1" x14ac:dyDescent="0.3">
      <c r="A921" s="2"/>
      <c r="B921" s="2"/>
      <c r="C921" s="2"/>
      <c r="D921" s="2"/>
      <c r="E921" s="2"/>
      <c r="F921" s="2"/>
      <c r="G921" s="2"/>
      <c r="H921" s="2"/>
      <c r="I921" s="2"/>
    </row>
    <row r="922" spans="1:9" ht="15" thickBot="1" x14ac:dyDescent="0.3">
      <c r="A922" s="2"/>
      <c r="B922" s="2"/>
      <c r="C922" s="2"/>
      <c r="D922" s="2"/>
      <c r="E922" s="2"/>
      <c r="F922" s="2"/>
      <c r="G922" s="2"/>
      <c r="H922" s="2"/>
      <c r="I922" s="2"/>
    </row>
    <row r="923" spans="1:9" ht="15" thickBot="1" x14ac:dyDescent="0.3">
      <c r="A923" s="2"/>
      <c r="B923" s="2"/>
      <c r="C923" s="2"/>
      <c r="D923" s="2"/>
      <c r="E923" s="2"/>
      <c r="F923" s="2"/>
      <c r="G923" s="2"/>
      <c r="H923" s="2"/>
      <c r="I923" s="2"/>
    </row>
    <row r="924" spans="1:9" ht="15" thickBot="1" x14ac:dyDescent="0.3">
      <c r="A924" s="2"/>
      <c r="B924" s="2"/>
      <c r="C924" s="2"/>
      <c r="D924" s="2"/>
      <c r="E924" s="2"/>
      <c r="F924" s="2"/>
      <c r="G924" s="2"/>
      <c r="H924" s="2"/>
      <c r="I924" s="2"/>
    </row>
    <row r="925" spans="1:9" ht="15" thickBot="1" x14ac:dyDescent="0.3">
      <c r="A925" s="2"/>
      <c r="B925" s="2"/>
      <c r="C925" s="2"/>
      <c r="D925" s="2"/>
      <c r="E925" s="2"/>
      <c r="F925" s="2"/>
      <c r="G925" s="2"/>
      <c r="H925" s="2"/>
      <c r="I925" s="2"/>
    </row>
    <row r="926" spans="1:9" ht="15" thickBot="1" x14ac:dyDescent="0.3">
      <c r="A926" s="2"/>
      <c r="B926" s="2"/>
      <c r="C926" s="2"/>
      <c r="D926" s="2"/>
      <c r="E926" s="2"/>
      <c r="F926" s="2"/>
      <c r="G926" s="2"/>
      <c r="H926" s="2"/>
      <c r="I926" s="2"/>
    </row>
    <row r="927" spans="1:9" ht="15" thickBot="1" x14ac:dyDescent="0.3">
      <c r="A927" s="2"/>
      <c r="B927" s="2"/>
      <c r="C927" s="2"/>
      <c r="D927" s="2"/>
      <c r="E927" s="2"/>
      <c r="F927" s="2"/>
      <c r="G927" s="2"/>
      <c r="H927" s="2"/>
      <c r="I927" s="2"/>
    </row>
    <row r="928" spans="1:9" ht="15" thickBot="1" x14ac:dyDescent="0.3">
      <c r="A928" s="2"/>
      <c r="B928" s="2"/>
      <c r="C928" s="2"/>
      <c r="D928" s="2"/>
      <c r="E928" s="2"/>
      <c r="F928" s="2"/>
      <c r="G928" s="2"/>
      <c r="H928" s="2"/>
      <c r="I928" s="2"/>
    </row>
    <row r="929" spans="1:9" ht="15" thickBot="1" x14ac:dyDescent="0.3">
      <c r="A929" s="2"/>
      <c r="B929" s="2"/>
      <c r="C929" s="2"/>
      <c r="D929" s="2"/>
      <c r="E929" s="2"/>
      <c r="F929" s="2"/>
      <c r="G929" s="2"/>
      <c r="H929" s="2"/>
      <c r="I929" s="2"/>
    </row>
    <row r="930" spans="1:9" ht="15" thickBot="1" x14ac:dyDescent="0.3">
      <c r="A930" s="2"/>
      <c r="B930" s="2"/>
      <c r="C930" s="2"/>
      <c r="D930" s="2"/>
      <c r="E930" s="2"/>
      <c r="F930" s="2"/>
      <c r="G930" s="2"/>
      <c r="H930" s="2"/>
      <c r="I930" s="2"/>
    </row>
    <row r="931" spans="1:9" ht="15" thickBot="1" x14ac:dyDescent="0.3">
      <c r="A931" s="2"/>
      <c r="B931" s="2"/>
      <c r="C931" s="2"/>
      <c r="D931" s="2"/>
      <c r="E931" s="2"/>
      <c r="F931" s="2"/>
      <c r="G931" s="2"/>
      <c r="H931" s="2"/>
      <c r="I931" s="2"/>
    </row>
    <row r="932" spans="1:9" ht="15" thickBot="1" x14ac:dyDescent="0.3">
      <c r="A932" s="2"/>
      <c r="B932" s="2"/>
      <c r="C932" s="2"/>
      <c r="D932" s="2"/>
      <c r="E932" s="2"/>
      <c r="F932" s="2"/>
      <c r="G932" s="2"/>
      <c r="H932" s="2"/>
      <c r="I932" s="2"/>
    </row>
    <row r="933" spans="1:9" ht="15" thickBot="1" x14ac:dyDescent="0.3">
      <c r="A933" s="2"/>
      <c r="B933" s="2"/>
      <c r="C933" s="2"/>
      <c r="D933" s="2"/>
      <c r="E933" s="2"/>
      <c r="F933" s="2"/>
      <c r="G933" s="2"/>
      <c r="H933" s="2"/>
      <c r="I933" s="2"/>
    </row>
    <row r="934" spans="1:9" ht="15" thickBot="1" x14ac:dyDescent="0.3">
      <c r="A934" s="2"/>
      <c r="B934" s="2"/>
      <c r="C934" s="2"/>
      <c r="D934" s="2"/>
      <c r="E934" s="2"/>
      <c r="F934" s="2"/>
      <c r="G934" s="2"/>
      <c r="H934" s="2"/>
      <c r="I934" s="2"/>
    </row>
    <row r="935" spans="1:9" ht="15" thickBot="1" x14ac:dyDescent="0.3">
      <c r="A935" s="2"/>
      <c r="B935" s="2"/>
      <c r="C935" s="2"/>
      <c r="D935" s="2"/>
      <c r="E935" s="2"/>
      <c r="F935" s="2"/>
      <c r="G935" s="2"/>
      <c r="H935" s="2"/>
      <c r="I935" s="2"/>
    </row>
    <row r="936" spans="1:9" ht="15" thickBot="1" x14ac:dyDescent="0.3">
      <c r="A936" s="2"/>
      <c r="B936" s="2"/>
      <c r="C936" s="2"/>
      <c r="D936" s="2"/>
      <c r="E936" s="2"/>
      <c r="F936" s="2"/>
      <c r="G936" s="2"/>
      <c r="H936" s="2"/>
      <c r="I936" s="2"/>
    </row>
    <row r="937" spans="1:9" ht="15" thickBot="1" x14ac:dyDescent="0.3">
      <c r="A937" s="2"/>
      <c r="B937" s="2"/>
      <c r="C937" s="2"/>
      <c r="D937" s="2"/>
      <c r="E937" s="2"/>
      <c r="F937" s="2"/>
      <c r="G937" s="2"/>
      <c r="H937" s="2"/>
      <c r="I937" s="2"/>
    </row>
    <row r="938" spans="1:9" ht="15" thickBot="1" x14ac:dyDescent="0.3">
      <c r="A938" s="2"/>
      <c r="B938" s="2"/>
      <c r="C938" s="2"/>
      <c r="D938" s="2"/>
      <c r="E938" s="2"/>
      <c r="F938" s="2"/>
      <c r="G938" s="2"/>
      <c r="H938" s="2"/>
      <c r="I938" s="2"/>
    </row>
    <row r="939" spans="1:9" ht="15" thickBot="1" x14ac:dyDescent="0.3">
      <c r="A939" s="2"/>
      <c r="B939" s="2"/>
      <c r="C939" s="2"/>
      <c r="D939" s="2"/>
      <c r="E939" s="2"/>
      <c r="F939" s="2"/>
      <c r="G939" s="2"/>
      <c r="H939" s="2"/>
      <c r="I939" s="2"/>
    </row>
    <row r="940" spans="1:9" ht="15" thickBot="1" x14ac:dyDescent="0.3">
      <c r="A940" s="2"/>
      <c r="B940" s="2"/>
      <c r="C940" s="2"/>
      <c r="D940" s="2"/>
      <c r="E940" s="2"/>
      <c r="F940" s="2"/>
      <c r="G940" s="2"/>
      <c r="H940" s="2"/>
      <c r="I940" s="2"/>
    </row>
    <row r="941" spans="1:9" ht="15" thickBot="1" x14ac:dyDescent="0.3">
      <c r="A941" s="2"/>
      <c r="B941" s="2"/>
      <c r="C941" s="2"/>
      <c r="D941" s="2"/>
      <c r="E941" s="2"/>
      <c r="F941" s="2"/>
      <c r="G941" s="2"/>
      <c r="H941" s="2"/>
      <c r="I941" s="2"/>
    </row>
    <row r="942" spans="1:9" ht="15" thickBot="1" x14ac:dyDescent="0.3">
      <c r="A942" s="2"/>
      <c r="B942" s="2"/>
      <c r="C942" s="2"/>
      <c r="D942" s="2"/>
      <c r="E942" s="2"/>
      <c r="F942" s="2"/>
      <c r="G942" s="2"/>
      <c r="H942" s="2"/>
      <c r="I942" s="2"/>
    </row>
    <row r="943" spans="1:9" ht="15" thickBot="1" x14ac:dyDescent="0.3">
      <c r="A943" s="2"/>
      <c r="B943" s="2"/>
      <c r="C943" s="2"/>
      <c r="D943" s="2"/>
      <c r="E943" s="2"/>
      <c r="F943" s="2"/>
      <c r="G943" s="2"/>
      <c r="H943" s="2"/>
      <c r="I943" s="2"/>
    </row>
    <row r="944" spans="1:9" ht="15" thickBot="1" x14ac:dyDescent="0.3">
      <c r="A944" s="2"/>
      <c r="B944" s="2"/>
      <c r="C944" s="2"/>
      <c r="D944" s="2"/>
      <c r="E944" s="2"/>
      <c r="F944" s="2"/>
      <c r="G944" s="2"/>
      <c r="H944" s="2"/>
      <c r="I944" s="2"/>
    </row>
    <row r="945" spans="1:9" ht="15" thickBot="1" x14ac:dyDescent="0.3">
      <c r="A945" s="2"/>
      <c r="B945" s="2"/>
      <c r="C945" s="2"/>
      <c r="D945" s="2"/>
      <c r="E945" s="2"/>
      <c r="F945" s="2"/>
      <c r="G945" s="2"/>
      <c r="H945" s="2"/>
      <c r="I945" s="2"/>
    </row>
    <row r="946" spans="1:9" ht="15" thickBot="1" x14ac:dyDescent="0.3">
      <c r="A946" s="2"/>
      <c r="B946" s="2"/>
      <c r="C946" s="2"/>
      <c r="D946" s="2"/>
      <c r="E946" s="2"/>
      <c r="F946" s="2"/>
      <c r="G946" s="2"/>
      <c r="H946" s="2"/>
      <c r="I946" s="2"/>
    </row>
    <row r="947" spans="1:9" ht="15" thickBot="1" x14ac:dyDescent="0.3">
      <c r="A947" s="2"/>
      <c r="B947" s="2"/>
      <c r="C947" s="2"/>
      <c r="D947" s="2"/>
      <c r="E947" s="2"/>
      <c r="F947" s="2"/>
      <c r="G947" s="2"/>
      <c r="H947" s="2"/>
      <c r="I947" s="2"/>
    </row>
    <row r="948" spans="1:9" ht="15" thickBot="1" x14ac:dyDescent="0.3">
      <c r="A948" s="2"/>
      <c r="B948" s="2"/>
      <c r="C948" s="2"/>
      <c r="D948" s="2"/>
      <c r="E948" s="2"/>
      <c r="F948" s="2"/>
      <c r="G948" s="2"/>
      <c r="H948" s="2"/>
      <c r="I948" s="2"/>
    </row>
    <row r="949" spans="1:9" ht="15" thickBot="1" x14ac:dyDescent="0.3">
      <c r="A949" s="2"/>
      <c r="B949" s="2"/>
      <c r="C949" s="2"/>
      <c r="D949" s="2"/>
      <c r="E949" s="2"/>
      <c r="F949" s="2"/>
      <c r="G949" s="2"/>
      <c r="H949" s="2"/>
      <c r="I949" s="2"/>
    </row>
    <row r="950" spans="1:9" ht="15" thickBot="1" x14ac:dyDescent="0.3">
      <c r="A950" s="2"/>
      <c r="B950" s="2"/>
      <c r="C950" s="2"/>
      <c r="D950" s="2"/>
      <c r="E950" s="2"/>
      <c r="F950" s="2"/>
      <c r="G950" s="2"/>
      <c r="H950" s="2"/>
      <c r="I950" s="2"/>
    </row>
    <row r="951" spans="1:9" ht="15" thickBot="1" x14ac:dyDescent="0.3">
      <c r="A951" s="2"/>
      <c r="B951" s="2"/>
      <c r="C951" s="2"/>
      <c r="D951" s="2"/>
      <c r="E951" s="2"/>
      <c r="F951" s="2"/>
      <c r="G951" s="2"/>
      <c r="H951" s="2"/>
      <c r="I951" s="2"/>
    </row>
    <row r="952" spans="1:9" ht="15" thickBot="1" x14ac:dyDescent="0.3">
      <c r="A952" s="2"/>
      <c r="B952" s="2"/>
      <c r="C952" s="2"/>
      <c r="D952" s="2"/>
      <c r="E952" s="2"/>
      <c r="F952" s="2"/>
      <c r="G952" s="2"/>
      <c r="H952" s="2"/>
      <c r="I952" s="2"/>
    </row>
    <row r="953" spans="1:9" ht="15" thickBot="1" x14ac:dyDescent="0.3">
      <c r="A953" s="2"/>
      <c r="B953" s="2"/>
      <c r="C953" s="2"/>
      <c r="D953" s="2"/>
      <c r="E953" s="2"/>
      <c r="F953" s="2"/>
      <c r="G953" s="2"/>
      <c r="H953" s="2"/>
      <c r="I953" s="2"/>
    </row>
    <row r="954" spans="1:9" ht="15" thickBot="1" x14ac:dyDescent="0.3">
      <c r="A954" s="2"/>
      <c r="B954" s="2"/>
      <c r="C954" s="2"/>
      <c r="D954" s="2"/>
      <c r="E954" s="2"/>
      <c r="F954" s="2"/>
      <c r="G954" s="2"/>
      <c r="H954" s="2"/>
      <c r="I954" s="2"/>
    </row>
    <row r="955" spans="1:9" ht="15" thickBot="1" x14ac:dyDescent="0.3">
      <c r="A955" s="2"/>
      <c r="B955" s="2"/>
      <c r="C955" s="2"/>
      <c r="D955" s="2"/>
      <c r="E955" s="2"/>
      <c r="F955" s="2"/>
      <c r="G955" s="2"/>
      <c r="H955" s="2"/>
      <c r="I955" s="2"/>
    </row>
    <row r="956" spans="1:9" ht="15" thickBot="1" x14ac:dyDescent="0.3">
      <c r="A956" s="2"/>
      <c r="B956" s="2"/>
      <c r="C956" s="2"/>
      <c r="D956" s="2"/>
      <c r="E956" s="2"/>
      <c r="F956" s="2"/>
      <c r="G956" s="2"/>
      <c r="H956" s="2"/>
      <c r="I956" s="2"/>
    </row>
    <row r="957" spans="1:9" ht="15" thickBot="1" x14ac:dyDescent="0.3">
      <c r="A957" s="2"/>
      <c r="B957" s="2"/>
      <c r="C957" s="2"/>
      <c r="D957" s="2"/>
      <c r="E957" s="2"/>
      <c r="F957" s="2"/>
      <c r="G957" s="2"/>
      <c r="H957" s="2"/>
      <c r="I957" s="2"/>
    </row>
    <row r="958" spans="1:9" ht="15" thickBot="1" x14ac:dyDescent="0.3">
      <c r="A958" s="2"/>
      <c r="B958" s="2"/>
      <c r="C958" s="2"/>
      <c r="D958" s="2"/>
      <c r="E958" s="2"/>
      <c r="F958" s="2"/>
      <c r="G958" s="2"/>
      <c r="H958" s="2"/>
      <c r="I958" s="2"/>
    </row>
    <row r="959" spans="1:9" ht="15" thickBot="1" x14ac:dyDescent="0.3">
      <c r="A959" s="2"/>
      <c r="B959" s="2"/>
      <c r="C959" s="2"/>
      <c r="D959" s="2"/>
      <c r="E959" s="2"/>
      <c r="F959" s="2"/>
      <c r="G959" s="2"/>
      <c r="H959" s="2"/>
      <c r="I959" s="2"/>
    </row>
    <row r="960" spans="1:9" ht="15" thickBot="1" x14ac:dyDescent="0.3">
      <c r="A960" s="2"/>
      <c r="B960" s="2"/>
      <c r="C960" s="2"/>
      <c r="D960" s="2"/>
      <c r="E960" s="2"/>
      <c r="F960" s="2"/>
      <c r="G960" s="2"/>
      <c r="H960" s="2"/>
      <c r="I960" s="2"/>
    </row>
    <row r="961" spans="1:9" ht="15" thickBot="1" x14ac:dyDescent="0.3">
      <c r="A961" s="2"/>
      <c r="B961" s="2"/>
      <c r="C961" s="2"/>
      <c r="D961" s="2"/>
      <c r="E961" s="2"/>
      <c r="F961" s="2"/>
      <c r="G961" s="2"/>
      <c r="H961" s="2"/>
      <c r="I961" s="2"/>
    </row>
    <row r="962" spans="1:9" ht="15" thickBot="1" x14ac:dyDescent="0.3">
      <c r="A962" s="2"/>
      <c r="B962" s="2"/>
      <c r="C962" s="2"/>
      <c r="D962" s="2"/>
      <c r="E962" s="2"/>
      <c r="F962" s="2"/>
      <c r="G962" s="2"/>
      <c r="H962" s="2"/>
      <c r="I962" s="2"/>
    </row>
    <row r="963" spans="1:9" ht="15" thickBot="1" x14ac:dyDescent="0.3">
      <c r="A963" s="2"/>
      <c r="B963" s="2"/>
      <c r="C963" s="2"/>
      <c r="D963" s="2"/>
      <c r="E963" s="2"/>
      <c r="F963" s="2"/>
      <c r="G963" s="2"/>
      <c r="H963" s="2"/>
      <c r="I963" s="2"/>
    </row>
    <row r="964" spans="1:9" ht="15" thickBot="1" x14ac:dyDescent="0.3">
      <c r="A964" s="2"/>
      <c r="B964" s="2"/>
      <c r="C964" s="2"/>
      <c r="D964" s="2"/>
      <c r="E964" s="2"/>
      <c r="F964" s="2"/>
      <c r="G964" s="2"/>
      <c r="H964" s="2"/>
      <c r="I964" s="2"/>
    </row>
    <row r="965" spans="1:9" ht="15" thickBot="1" x14ac:dyDescent="0.3">
      <c r="A965" s="2"/>
      <c r="B965" s="2"/>
      <c r="C965" s="2"/>
      <c r="D965" s="2"/>
      <c r="E965" s="2"/>
      <c r="F965" s="2"/>
      <c r="G965" s="2"/>
      <c r="H965" s="2"/>
      <c r="I965" s="2"/>
    </row>
    <row r="966" spans="1:9" ht="15" thickBot="1" x14ac:dyDescent="0.3">
      <c r="A966" s="2"/>
      <c r="B966" s="2"/>
      <c r="C966" s="2"/>
      <c r="D966" s="2"/>
      <c r="E966" s="2"/>
      <c r="F966" s="2"/>
      <c r="G966" s="2"/>
      <c r="H966" s="2"/>
      <c r="I966" s="2"/>
    </row>
    <row r="967" spans="1:9" ht="15" thickBot="1" x14ac:dyDescent="0.3">
      <c r="A967" s="2"/>
      <c r="B967" s="2"/>
      <c r="C967" s="2"/>
      <c r="D967" s="2"/>
      <c r="E967" s="2"/>
      <c r="F967" s="2"/>
      <c r="G967" s="2"/>
      <c r="H967" s="2"/>
      <c r="I967" s="2"/>
    </row>
    <row r="968" spans="1:9" ht="15" thickBot="1" x14ac:dyDescent="0.3">
      <c r="A968" s="2"/>
      <c r="B968" s="2"/>
      <c r="C968" s="2"/>
      <c r="D968" s="2"/>
      <c r="E968" s="2"/>
      <c r="F968" s="2"/>
      <c r="G968" s="2"/>
      <c r="H968" s="2"/>
      <c r="I968" s="2"/>
    </row>
    <row r="969" spans="1:9" ht="15" thickBot="1" x14ac:dyDescent="0.3">
      <c r="A969" s="2"/>
      <c r="B969" s="2"/>
      <c r="C969" s="2"/>
      <c r="D969" s="2"/>
      <c r="E969" s="2"/>
      <c r="F969" s="2"/>
      <c r="G969" s="2"/>
      <c r="H969" s="2"/>
      <c r="I969" s="2"/>
    </row>
    <row r="970" spans="1:9" ht="15" thickBot="1" x14ac:dyDescent="0.3">
      <c r="A970" s="2"/>
      <c r="B970" s="2"/>
      <c r="C970" s="2"/>
      <c r="D970" s="2"/>
      <c r="E970" s="2"/>
      <c r="F970" s="2"/>
      <c r="G970" s="2"/>
      <c r="H970" s="2"/>
      <c r="I970" s="2"/>
    </row>
    <row r="971" spans="1:9" ht="15" thickBot="1" x14ac:dyDescent="0.3">
      <c r="A971" s="2"/>
      <c r="B971" s="2"/>
      <c r="C971" s="2"/>
      <c r="D971" s="2"/>
      <c r="E971" s="2"/>
      <c r="F971" s="2"/>
      <c r="G971" s="2"/>
      <c r="H971" s="2"/>
      <c r="I971" s="2"/>
    </row>
    <row r="972" spans="1:9" ht="15" thickBot="1" x14ac:dyDescent="0.3">
      <c r="A972" s="2"/>
      <c r="B972" s="2"/>
      <c r="C972" s="2"/>
      <c r="D972" s="2"/>
      <c r="E972" s="2"/>
      <c r="F972" s="2"/>
      <c r="G972" s="2"/>
      <c r="H972" s="2"/>
      <c r="I972" s="2"/>
    </row>
    <row r="973" spans="1:9" ht="15" thickBot="1" x14ac:dyDescent="0.3">
      <c r="A973" s="2"/>
      <c r="B973" s="2"/>
      <c r="C973" s="2"/>
      <c r="D973" s="2"/>
      <c r="E973" s="2"/>
      <c r="F973" s="2"/>
      <c r="G973" s="2"/>
      <c r="H973" s="2"/>
      <c r="I973" s="2"/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2026-08-19T13:32:41Z</dcterms:created>
  <dcterms:modified xsi:type="dcterms:W3CDTF">2026-10-15T13:17:47Z</dcterms:modified>
</cp:coreProperties>
</file>