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D4C629F8-DFD2-45D0-B115-F2B27EBACF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8" r:id="rId3"/>
  </sheets>
  <definedNames>
    <definedName name="_xlnm._FilterDatabase" localSheetId="0" hidden="1">Sheet1!$A$1:$P$313</definedName>
    <definedName name="_xlnm._FilterDatabase" localSheetId="2" hidden="1">'Sheet1 (2)'!$A$1:$P$313</definedName>
    <definedName name="_xlnm._FilterDatabase" localSheetId="1" hidden="1">Sheet2!$A$1:$N$11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3" i="8" l="1"/>
  <c r="M313" i="8"/>
  <c r="N312" i="8"/>
  <c r="M312" i="8"/>
  <c r="N311" i="8"/>
  <c r="M311" i="8"/>
  <c r="N310" i="8"/>
  <c r="M310" i="8"/>
  <c r="N309" i="8"/>
  <c r="M309" i="8"/>
  <c r="N308" i="8"/>
  <c r="M308" i="8"/>
  <c r="N307" i="8"/>
  <c r="M307" i="8"/>
  <c r="N306" i="8"/>
  <c r="M306" i="8"/>
  <c r="N305" i="8"/>
  <c r="M305" i="8"/>
  <c r="N304" i="8"/>
  <c r="M304" i="8"/>
  <c r="N303" i="8"/>
  <c r="N302" i="8"/>
  <c r="N301" i="8"/>
  <c r="N300" i="8"/>
  <c r="N299" i="8"/>
  <c r="N298" i="8"/>
  <c r="M298" i="8"/>
  <c r="N297" i="8"/>
  <c r="N296" i="8"/>
  <c r="N295" i="8"/>
  <c r="N294" i="8"/>
  <c r="M294" i="8"/>
  <c r="N293" i="8"/>
  <c r="M293" i="8"/>
  <c r="N292" i="8"/>
  <c r="M292" i="8"/>
  <c r="N291" i="8"/>
  <c r="N290" i="8"/>
  <c r="N289" i="8"/>
  <c r="N288" i="8"/>
  <c r="N287" i="8"/>
  <c r="N286" i="8"/>
  <c r="N285" i="8"/>
  <c r="N284" i="8"/>
  <c r="M284" i="8"/>
  <c r="N283" i="8"/>
  <c r="M283" i="8"/>
  <c r="N282" i="8"/>
  <c r="M282" i="8"/>
  <c r="N281" i="8"/>
  <c r="N280" i="8"/>
  <c r="N279" i="8"/>
  <c r="N278" i="8"/>
  <c r="N277" i="8"/>
  <c r="M277" i="8"/>
  <c r="N276" i="8"/>
  <c r="M276" i="8"/>
  <c r="N275" i="8"/>
  <c r="M275" i="8"/>
  <c r="N274" i="8"/>
  <c r="M274" i="8"/>
  <c r="N273" i="8"/>
  <c r="M273" i="8"/>
  <c r="N272" i="8"/>
  <c r="N271" i="8"/>
  <c r="N270" i="8"/>
  <c r="M270" i="8"/>
  <c r="N269" i="8"/>
  <c r="M269" i="8"/>
  <c r="N268" i="8"/>
  <c r="N267" i="8"/>
  <c r="M267" i="8"/>
  <c r="N266" i="8"/>
  <c r="M266" i="8"/>
  <c r="N265" i="8"/>
  <c r="M265" i="8"/>
  <c r="N264" i="8"/>
  <c r="N263" i="8"/>
  <c r="M263" i="8"/>
  <c r="N262" i="8"/>
  <c r="M262" i="8"/>
  <c r="N261" i="8"/>
  <c r="N260" i="8"/>
  <c r="N259" i="8"/>
  <c r="N258" i="8"/>
  <c r="N257" i="8"/>
  <c r="N256" i="8"/>
  <c r="M256" i="8"/>
  <c r="N255" i="8"/>
  <c r="M255" i="8"/>
  <c r="N254" i="8"/>
  <c r="N253" i="8"/>
  <c r="M253" i="8"/>
  <c r="N252" i="8"/>
  <c r="N251" i="8"/>
  <c r="N250" i="8"/>
  <c r="N249" i="8"/>
  <c r="N248" i="8"/>
  <c r="M248" i="8"/>
  <c r="N247" i="8"/>
  <c r="N246" i="8"/>
  <c r="M246" i="8"/>
  <c r="N245" i="8"/>
  <c r="M245" i="8"/>
  <c r="N244" i="8"/>
  <c r="N243" i="8"/>
  <c r="M243" i="8"/>
  <c r="N242" i="8"/>
  <c r="N241" i="8"/>
  <c r="M241" i="8"/>
  <c r="N240" i="8"/>
  <c r="M240" i="8"/>
  <c r="N239" i="8"/>
  <c r="N238" i="8"/>
  <c r="N237" i="8"/>
  <c r="M237" i="8"/>
  <c r="N236" i="8"/>
  <c r="M236" i="8"/>
  <c r="N235" i="8"/>
  <c r="N234" i="8"/>
  <c r="N233" i="8"/>
  <c r="M233" i="8"/>
  <c r="N232" i="8"/>
  <c r="N231" i="8"/>
  <c r="M231" i="8"/>
  <c r="N230" i="8"/>
  <c r="N229" i="8"/>
  <c r="M229" i="8"/>
  <c r="N228" i="8"/>
  <c r="N227" i="8"/>
  <c r="N226" i="8"/>
  <c r="N225" i="8"/>
  <c r="M225" i="8"/>
  <c r="N224" i="8"/>
  <c r="M224" i="8"/>
  <c r="N223" i="8"/>
  <c r="M223" i="8"/>
  <c r="N222" i="8"/>
  <c r="M222" i="8"/>
  <c r="N221" i="8"/>
  <c r="M221" i="8"/>
  <c r="N220" i="8"/>
  <c r="M220" i="8"/>
  <c r="N219" i="8"/>
  <c r="M219" i="8"/>
  <c r="N218" i="8"/>
  <c r="M218" i="8"/>
  <c r="N217" i="8"/>
  <c r="N216" i="8"/>
  <c r="N215" i="8"/>
  <c r="N214" i="8"/>
  <c r="M214" i="8"/>
  <c r="N213" i="8"/>
  <c r="N212" i="8"/>
  <c r="N211" i="8"/>
  <c r="M211" i="8"/>
  <c r="N210" i="8"/>
  <c r="N209" i="8"/>
  <c r="M209" i="8"/>
  <c r="N208" i="8"/>
  <c r="M208" i="8"/>
  <c r="N207" i="8"/>
  <c r="M207" i="8"/>
  <c r="N206" i="8"/>
  <c r="N205" i="8"/>
  <c r="N204" i="8"/>
  <c r="M204" i="8"/>
  <c r="N203" i="8"/>
  <c r="N202" i="8"/>
  <c r="M202" i="8"/>
  <c r="N201" i="8"/>
  <c r="M201" i="8"/>
  <c r="N200" i="8"/>
  <c r="M200" i="8"/>
  <c r="N199" i="8"/>
  <c r="M199" i="8"/>
  <c r="N198" i="8"/>
  <c r="M198" i="8"/>
  <c r="N197" i="8"/>
  <c r="M197" i="8"/>
  <c r="N196" i="8"/>
  <c r="M196" i="8"/>
  <c r="N195" i="8"/>
  <c r="N194" i="8"/>
  <c r="N193" i="8"/>
  <c r="M193" i="8"/>
  <c r="N192" i="8"/>
  <c r="M192" i="8"/>
  <c r="N191" i="8"/>
  <c r="M191" i="8"/>
  <c r="N190" i="8"/>
  <c r="M190" i="8"/>
  <c r="N189" i="8"/>
  <c r="N188" i="8"/>
  <c r="N187" i="8"/>
  <c r="M187" i="8"/>
  <c r="N186" i="8"/>
  <c r="M186" i="8"/>
  <c r="N185" i="8"/>
  <c r="N184" i="8"/>
  <c r="M184" i="8"/>
  <c r="N183" i="8"/>
  <c r="M183" i="8"/>
  <c r="N182" i="8"/>
  <c r="M182" i="8"/>
  <c r="N181" i="8"/>
  <c r="N180" i="8"/>
  <c r="M180" i="8"/>
  <c r="N179" i="8"/>
  <c r="N178" i="8"/>
  <c r="N177" i="8"/>
  <c r="M177" i="8"/>
  <c r="N176" i="8"/>
  <c r="M176" i="8"/>
  <c r="N175" i="8"/>
  <c r="M175" i="8"/>
  <c r="N174" i="8"/>
  <c r="N173" i="8"/>
  <c r="M173" i="8"/>
  <c r="N172" i="8"/>
  <c r="N171" i="8"/>
  <c r="N170" i="8"/>
  <c r="N169" i="8"/>
  <c r="M169" i="8"/>
  <c r="N168" i="8"/>
  <c r="M168" i="8"/>
  <c r="N167" i="8"/>
  <c r="N166" i="8"/>
  <c r="N165" i="8"/>
  <c r="M165" i="8"/>
  <c r="N164" i="8"/>
  <c r="M164" i="8"/>
  <c r="N163" i="8"/>
  <c r="M163" i="8"/>
  <c r="N162" i="8"/>
  <c r="M162" i="8"/>
  <c r="N161" i="8"/>
  <c r="N160" i="8"/>
  <c r="N159" i="8"/>
  <c r="N158" i="8"/>
  <c r="M158" i="8"/>
  <c r="N157" i="8"/>
  <c r="M157" i="8"/>
  <c r="N156" i="8"/>
  <c r="N155" i="8"/>
  <c r="M155" i="8"/>
  <c r="N154" i="8"/>
  <c r="M154" i="8"/>
  <c r="N153" i="8"/>
  <c r="M153" i="8"/>
  <c r="N152" i="8"/>
  <c r="N151" i="8"/>
  <c r="M151" i="8"/>
  <c r="N150" i="8"/>
  <c r="N149" i="8"/>
  <c r="M149" i="8"/>
  <c r="N148" i="8"/>
  <c r="N147" i="8"/>
  <c r="M147" i="8"/>
  <c r="N146" i="8"/>
  <c r="M146" i="8"/>
  <c r="N145" i="8"/>
  <c r="N144" i="8"/>
  <c r="M144" i="8"/>
  <c r="N143" i="8"/>
  <c r="M143" i="8"/>
  <c r="N142" i="8"/>
  <c r="M142" i="8"/>
  <c r="N141" i="8"/>
  <c r="M141" i="8"/>
  <c r="N140" i="8"/>
  <c r="M140" i="8"/>
  <c r="N139" i="8"/>
  <c r="M139" i="8"/>
  <c r="N138" i="8"/>
  <c r="M138" i="8"/>
  <c r="N137" i="8"/>
  <c r="M137" i="8"/>
  <c r="N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N126" i="8"/>
  <c r="M126" i="8"/>
  <c r="N125" i="8"/>
  <c r="M125" i="8"/>
  <c r="N124" i="8"/>
  <c r="M124" i="8"/>
  <c r="N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N110" i="8"/>
  <c r="M110" i="8"/>
  <c r="N109" i="8"/>
  <c r="M109" i="8"/>
  <c r="N108" i="8"/>
  <c r="M108" i="8"/>
  <c r="N107" i="8"/>
  <c r="M107" i="8"/>
  <c r="N106" i="8"/>
  <c r="N105" i="8"/>
  <c r="N104" i="8"/>
  <c r="M104" i="8"/>
  <c r="N103" i="8"/>
  <c r="N102" i="8"/>
  <c r="N101" i="8"/>
  <c r="M101" i="8"/>
  <c r="N100" i="8"/>
  <c r="M100" i="8"/>
  <c r="N99" i="8"/>
  <c r="M99" i="8"/>
  <c r="N98" i="8"/>
  <c r="M98" i="8"/>
  <c r="N97" i="8"/>
  <c r="N96" i="8"/>
  <c r="N95" i="8"/>
  <c r="M95" i="8"/>
  <c r="L95" i="8"/>
  <c r="N94" i="8"/>
  <c r="M94" i="8"/>
  <c r="N93" i="8"/>
  <c r="N92" i="8"/>
  <c r="M92" i="8"/>
  <c r="N91" i="8"/>
  <c r="M91" i="8"/>
  <c r="L91" i="8"/>
  <c r="N90" i="8"/>
  <c r="M90" i="8"/>
  <c r="N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N80" i="8"/>
  <c r="M80" i="8"/>
  <c r="N79" i="8"/>
  <c r="M79" i="8"/>
  <c r="N78" i="8"/>
  <c r="M78" i="8"/>
  <c r="N77" i="8"/>
  <c r="L77" i="8"/>
  <c r="M77" i="8" s="1"/>
  <c r="N76" i="8"/>
  <c r="M76" i="8"/>
  <c r="N75" i="8"/>
  <c r="M75" i="8"/>
  <c r="N74" i="8"/>
  <c r="M74" i="8"/>
  <c r="N73" i="8"/>
  <c r="M73" i="8"/>
  <c r="N72" i="8"/>
  <c r="N71" i="8"/>
  <c r="N70" i="8"/>
  <c r="M70" i="8"/>
  <c r="L70" i="8"/>
  <c r="N69" i="8"/>
  <c r="M69" i="8"/>
  <c r="N68" i="8"/>
  <c r="N67" i="8"/>
  <c r="N66" i="8"/>
  <c r="M66" i="8"/>
  <c r="N65" i="8"/>
  <c r="M65" i="8"/>
  <c r="N64" i="8"/>
  <c r="M64" i="8"/>
  <c r="N63" i="8"/>
  <c r="M63" i="8"/>
  <c r="N62" i="8"/>
  <c r="N61" i="8"/>
  <c r="M61" i="8"/>
  <c r="N60" i="8"/>
  <c r="M60" i="8"/>
  <c r="N59" i="8"/>
  <c r="N58" i="8"/>
  <c r="M58" i="8"/>
  <c r="N57" i="8"/>
  <c r="N56" i="8"/>
  <c r="N55" i="8"/>
  <c r="N54" i="8"/>
  <c r="N53" i="8"/>
  <c r="N52" i="8"/>
  <c r="M52" i="8"/>
  <c r="N51" i="8"/>
  <c r="L51" i="8"/>
  <c r="M51" i="8" s="1"/>
  <c r="N50" i="8"/>
  <c r="N49" i="8"/>
  <c r="N48" i="8"/>
  <c r="M48" i="8"/>
  <c r="N47" i="8"/>
  <c r="M47" i="8"/>
  <c r="N46" i="8"/>
  <c r="N45" i="8"/>
  <c r="M45" i="8"/>
  <c r="L45" i="8"/>
  <c r="N44" i="8"/>
  <c r="L44" i="8"/>
  <c r="M44" i="8" s="1"/>
  <c r="N43" i="8"/>
  <c r="N42" i="8"/>
  <c r="N41" i="8"/>
  <c r="M41" i="8"/>
  <c r="N40" i="8"/>
  <c r="N39" i="8"/>
  <c r="N38" i="8"/>
  <c r="M38" i="8"/>
  <c r="N37" i="8"/>
  <c r="M37" i="8"/>
  <c r="N36" i="8"/>
  <c r="M36" i="8"/>
  <c r="N35" i="8"/>
  <c r="N34" i="8"/>
  <c r="M34" i="8"/>
  <c r="N33" i="8"/>
  <c r="M33" i="8"/>
  <c r="N32" i="8"/>
  <c r="M32" i="8"/>
  <c r="N31" i="8"/>
  <c r="N30" i="8"/>
  <c r="N29" i="8"/>
  <c r="N28" i="8"/>
  <c r="N27" i="8"/>
  <c r="L27" i="8"/>
  <c r="M27" i="8" s="1"/>
  <c r="N26" i="8"/>
  <c r="N25" i="8"/>
  <c r="M25" i="8"/>
  <c r="N24" i="8"/>
  <c r="M24" i="8"/>
  <c r="N23" i="8"/>
  <c r="M23" i="8"/>
  <c r="N22" i="8"/>
  <c r="N21" i="8"/>
  <c r="N20" i="8"/>
  <c r="M20" i="8"/>
  <c r="N19" i="8"/>
  <c r="M19" i="8"/>
  <c r="N18" i="8"/>
  <c r="N17" i="8"/>
  <c r="N16" i="8"/>
  <c r="N15" i="8"/>
  <c r="N14" i="8"/>
  <c r="M14" i="8"/>
  <c r="N13" i="8"/>
  <c r="N12" i="8"/>
  <c r="N11" i="8"/>
  <c r="N10" i="8"/>
  <c r="N9" i="8"/>
  <c r="N8" i="8"/>
  <c r="M8" i="8"/>
  <c r="N7" i="8"/>
  <c r="N6" i="8"/>
  <c r="N5" i="8"/>
  <c r="N4" i="8"/>
  <c r="M4" i="8"/>
  <c r="N3" i="8"/>
  <c r="N2" i="8"/>
  <c r="N70" i="1"/>
  <c r="L70" i="1"/>
  <c r="M70" i="1" s="1"/>
  <c r="N50" i="1"/>
  <c r="M50" i="1"/>
  <c r="N42" i="1"/>
  <c r="M42" i="1"/>
  <c r="N41" i="1"/>
  <c r="M41" i="1"/>
  <c r="N52" i="1"/>
  <c r="M52" i="1"/>
  <c r="N76" i="1"/>
  <c r="M76" i="1"/>
  <c r="N34" i="1"/>
  <c r="M34" i="1"/>
  <c r="N36" i="1"/>
  <c r="M36" i="1"/>
  <c r="N22" i="1"/>
  <c r="M22" i="1"/>
  <c r="N46" i="1"/>
  <c r="M46" i="1"/>
  <c r="N55" i="1"/>
  <c r="M55" i="1"/>
  <c r="K8" i="5"/>
  <c r="L8" i="5"/>
  <c r="N8" i="5"/>
  <c r="K9" i="5"/>
  <c r="L9" i="5"/>
  <c r="N9" i="5"/>
  <c r="K10" i="5"/>
  <c r="L10" i="5"/>
  <c r="N10" i="5"/>
  <c r="K11" i="5"/>
  <c r="L11" i="5"/>
  <c r="N11" i="5"/>
  <c r="M40" i="1"/>
  <c r="N40" i="1"/>
  <c r="M49" i="1"/>
  <c r="N49" i="1"/>
  <c r="M32" i="1"/>
  <c r="N32" i="1"/>
  <c r="M35" i="1"/>
  <c r="N35" i="1"/>
  <c r="M26" i="1"/>
  <c r="N26" i="1"/>
  <c r="N75" i="1"/>
  <c r="M75" i="1"/>
  <c r="K7" i="5"/>
  <c r="L7" i="5"/>
  <c r="N7" i="5"/>
  <c r="M100" i="1"/>
  <c r="N100" i="1"/>
  <c r="M81" i="1"/>
  <c r="N81" i="1"/>
  <c r="M273" i="1"/>
  <c r="N273" i="1"/>
  <c r="M31" i="1"/>
  <c r="N31" i="1"/>
  <c r="M54" i="1"/>
  <c r="N54" i="1"/>
  <c r="M39" i="1"/>
  <c r="N39" i="1"/>
  <c r="N25" i="1"/>
  <c r="M25" i="1"/>
  <c r="K3" i="5"/>
  <c r="L3" i="5"/>
  <c r="N3" i="5"/>
  <c r="K4" i="5"/>
  <c r="L4" i="5"/>
  <c r="N4" i="5"/>
  <c r="K5" i="5"/>
  <c r="L5" i="5"/>
  <c r="N5" i="5"/>
  <c r="K6" i="5"/>
  <c r="L6" i="5"/>
  <c r="N6" i="5"/>
  <c r="N86" i="1"/>
  <c r="M86" i="1"/>
  <c r="M74" i="1"/>
  <c r="N74" i="1"/>
  <c r="M73" i="1"/>
  <c r="N73" i="1"/>
  <c r="M12" i="1"/>
  <c r="N12" i="1"/>
  <c r="N95" i="1"/>
  <c r="M95" i="1"/>
  <c r="N2" i="5"/>
  <c r="K2" i="5"/>
  <c r="L2" i="5"/>
  <c r="N103" i="1"/>
  <c r="L28" i="1"/>
  <c r="L38" i="1" l="1"/>
  <c r="M38" i="1" s="1"/>
  <c r="L121" i="1"/>
  <c r="M102" i="1" l="1"/>
  <c r="N102" i="1"/>
  <c r="M88" i="1"/>
  <c r="N88" i="1"/>
  <c r="N87" i="1"/>
  <c r="M87" i="1"/>
  <c r="N13" i="1"/>
  <c r="M13" i="1"/>
  <c r="M113" i="1"/>
  <c r="N113" i="1"/>
  <c r="M159" i="1"/>
  <c r="N159" i="1"/>
  <c r="N190" i="1"/>
  <c r="M190" i="1"/>
  <c r="N64" i="1"/>
  <c r="L77" i="1"/>
  <c r="M77" i="1" s="1"/>
  <c r="M18" i="1"/>
  <c r="N18" i="1"/>
  <c r="M83" i="1"/>
  <c r="N83" i="1"/>
  <c r="M108" i="1"/>
  <c r="N108" i="1"/>
  <c r="N38" i="1"/>
  <c r="M91" i="1"/>
  <c r="N91" i="1"/>
  <c r="N77" i="1"/>
  <c r="N48" i="1"/>
  <c r="M48" i="1"/>
  <c r="M178" i="1"/>
  <c r="N178" i="1"/>
  <c r="M265" i="1"/>
  <c r="N265" i="1"/>
  <c r="N262" i="1"/>
  <c r="M262" i="1"/>
  <c r="M148" i="1" l="1"/>
  <c r="N148" i="1"/>
  <c r="M8" i="1"/>
  <c r="N8" i="1"/>
  <c r="N112" i="1"/>
  <c r="M112" i="1"/>
  <c r="N80" i="1"/>
  <c r="M80" i="1"/>
  <c r="N84" i="1" l="1"/>
  <c r="L84" i="1"/>
  <c r="M84" i="1" s="1"/>
  <c r="N47" i="1"/>
  <c r="L47" i="1"/>
  <c r="M47" i="1" s="1"/>
  <c r="N28" i="1"/>
  <c r="M28" i="1"/>
  <c r="N6" i="1"/>
  <c r="N9" i="1"/>
  <c r="N69" i="1"/>
  <c r="M69" i="1"/>
  <c r="N3" i="1"/>
  <c r="M3" i="1"/>
  <c r="N162" i="1"/>
  <c r="N2" i="1"/>
  <c r="N163" i="1"/>
  <c r="N66" i="1"/>
  <c r="N122" i="1"/>
  <c r="M2" i="1"/>
  <c r="M163" i="1"/>
  <c r="M66" i="1"/>
  <c r="M122" i="1"/>
  <c r="M162" i="1"/>
  <c r="N116" i="1"/>
  <c r="M116" i="1"/>
  <c r="N147" i="1"/>
  <c r="N211" i="1"/>
  <c r="N143" i="1"/>
  <c r="N131" i="1"/>
  <c r="M211" i="1"/>
  <c r="M143" i="1"/>
  <c r="M131" i="1"/>
  <c r="M147" i="1"/>
  <c r="N130" i="1"/>
  <c r="N204" i="1"/>
  <c r="N242" i="1"/>
  <c r="N215" i="1"/>
  <c r="N239" i="1"/>
  <c r="N246" i="1"/>
  <c r="N271" i="1"/>
  <c r="N104" i="1"/>
  <c r="N224" i="1"/>
  <c r="M204" i="1"/>
  <c r="M242" i="1"/>
  <c r="M215" i="1"/>
  <c r="M239" i="1"/>
  <c r="M246" i="1"/>
  <c r="M271" i="1"/>
  <c r="M104" i="1"/>
  <c r="M224" i="1"/>
  <c r="M130" i="1"/>
  <c r="N309" i="1"/>
  <c r="N308" i="1"/>
  <c r="N252" i="1"/>
  <c r="M252" i="1"/>
  <c r="N240" i="1"/>
  <c r="M240" i="1"/>
  <c r="M109" i="1"/>
  <c r="N109" i="1"/>
  <c r="N96" i="1"/>
  <c r="N170" i="1"/>
  <c r="N272" i="1"/>
  <c r="M170" i="1"/>
  <c r="M272" i="1"/>
  <c r="M96" i="1"/>
  <c r="N89" i="1"/>
  <c r="N133" i="1"/>
  <c r="N127" i="1"/>
  <c r="N139" i="1"/>
  <c r="N144" i="1"/>
  <c r="M133" i="1"/>
  <c r="M127" i="1"/>
  <c r="M139" i="1"/>
  <c r="M144" i="1"/>
  <c r="M89" i="1"/>
  <c r="N92" i="1"/>
  <c r="M92" i="1"/>
  <c r="M106" i="1"/>
  <c r="N106" i="1"/>
  <c r="M182" i="1" l="1"/>
  <c r="M97" i="1"/>
  <c r="M101" i="1"/>
  <c r="M138" i="1"/>
  <c r="M210" i="1"/>
  <c r="N210" i="1"/>
  <c r="N182" i="1"/>
  <c r="N97" i="1"/>
  <c r="N101" i="1"/>
  <c r="N138" i="1"/>
  <c r="M124" i="1"/>
  <c r="M125" i="1"/>
  <c r="M261" i="1"/>
  <c r="M132" i="1"/>
  <c r="M150" i="1"/>
  <c r="M184" i="1"/>
  <c r="N124" i="1"/>
  <c r="N125" i="1"/>
  <c r="N261" i="1"/>
  <c r="N132" i="1"/>
  <c r="N150" i="1"/>
  <c r="N184" i="1"/>
  <c r="L30" i="1"/>
  <c r="M30" i="1" s="1"/>
  <c r="N30" i="1"/>
  <c r="N120" i="1"/>
  <c r="N119" i="1"/>
  <c r="N207" i="1"/>
  <c r="N241" i="1"/>
  <c r="M120" i="1"/>
  <c r="M119" i="1"/>
  <c r="M207" i="1"/>
  <c r="M241" i="1"/>
  <c r="N280" i="1"/>
  <c r="N93" i="1"/>
  <c r="N78" i="1"/>
  <c r="M93" i="1"/>
  <c r="M78" i="1"/>
  <c r="M280" i="1"/>
  <c r="M68" i="1"/>
  <c r="N68" i="1"/>
  <c r="M146" i="1"/>
  <c r="N146" i="1"/>
  <c r="M111" i="1"/>
  <c r="N111" i="1"/>
  <c r="M168" i="1"/>
  <c r="N168" i="1"/>
  <c r="M126" i="1"/>
  <c r="N126" i="1"/>
  <c r="M173" i="1"/>
  <c r="N173" i="1"/>
  <c r="M110" i="1"/>
  <c r="N110" i="1"/>
  <c r="M175" i="1"/>
  <c r="N175" i="1"/>
  <c r="M257" i="1"/>
  <c r="N257" i="1"/>
  <c r="M118" i="1"/>
  <c r="N118" i="1"/>
  <c r="M114" i="1"/>
  <c r="N114" i="1"/>
  <c r="M176" i="1"/>
  <c r="N176" i="1"/>
  <c r="N234" i="1"/>
  <c r="N19" i="1"/>
  <c r="N193" i="1"/>
  <c r="N140" i="1"/>
  <c r="N167" i="1"/>
  <c r="N297" i="1"/>
  <c r="N145" i="1"/>
  <c r="N198" i="1"/>
  <c r="N256" i="1"/>
  <c r="N136" i="1"/>
  <c r="N223" i="1"/>
  <c r="M19" i="1"/>
  <c r="M193" i="1"/>
  <c r="M140" i="1"/>
  <c r="M167" i="1"/>
  <c r="M297" i="1"/>
  <c r="M145" i="1"/>
  <c r="M198" i="1"/>
  <c r="M256" i="1"/>
  <c r="M136" i="1"/>
  <c r="M223" i="1"/>
  <c r="M234" i="1"/>
  <c r="N219" i="1"/>
  <c r="M192" i="1"/>
  <c r="M296" i="1"/>
  <c r="M177" i="1"/>
  <c r="M166" i="1"/>
  <c r="M269" i="1"/>
  <c r="M230" i="1"/>
  <c r="M301" i="1"/>
  <c r="M264" i="1"/>
  <c r="M203" i="1"/>
  <c r="M209" i="1"/>
  <c r="M212" i="1"/>
  <c r="M149" i="1"/>
  <c r="M274" i="1"/>
  <c r="M226" i="1"/>
  <c r="N226" i="1"/>
  <c r="N192" i="1"/>
  <c r="N296" i="1"/>
  <c r="N177" i="1"/>
  <c r="N166" i="1"/>
  <c r="N269" i="1"/>
  <c r="N230" i="1"/>
  <c r="N301" i="1"/>
  <c r="N264" i="1"/>
  <c r="N203" i="1"/>
  <c r="N209" i="1"/>
  <c r="N212" i="1"/>
  <c r="N149" i="1"/>
  <c r="N274" i="1"/>
  <c r="M128" i="1"/>
  <c r="M243" i="1"/>
  <c r="M225" i="1"/>
  <c r="M276" i="1"/>
  <c r="M254" i="1"/>
  <c r="M283" i="1"/>
  <c r="M158" i="1"/>
  <c r="N128" i="1"/>
  <c r="N243" i="1"/>
  <c r="N225" i="1"/>
  <c r="N276" i="1"/>
  <c r="N254" i="1"/>
  <c r="N283" i="1"/>
  <c r="N158" i="1"/>
  <c r="N195" i="1"/>
  <c r="N202" i="1"/>
  <c r="N135" i="1"/>
  <c r="N206" i="1"/>
  <c r="N214" i="1"/>
  <c r="N233" i="1"/>
  <c r="N174" i="1"/>
  <c r="N244" i="1"/>
  <c r="N141" i="1"/>
  <c r="N172" i="1"/>
  <c r="N115" i="1"/>
  <c r="M202" i="1"/>
  <c r="M135" i="1"/>
  <c r="M206" i="1"/>
  <c r="M214" i="1"/>
  <c r="M233" i="1"/>
  <c r="M174" i="1"/>
  <c r="M244" i="1"/>
  <c r="M141" i="1"/>
  <c r="M172" i="1"/>
  <c r="M115" i="1"/>
  <c r="M195" i="1"/>
  <c r="M304" i="1" l="1"/>
  <c r="M289" i="1"/>
  <c r="M142" i="1"/>
  <c r="M221" i="1"/>
  <c r="M157" i="1"/>
  <c r="M191" i="1"/>
  <c r="M277" i="1"/>
  <c r="M121" i="1"/>
  <c r="M232" i="1"/>
  <c r="M134" i="1"/>
  <c r="M302" i="1"/>
  <c r="N302" i="1"/>
  <c r="N232" i="1"/>
  <c r="N134" i="1"/>
  <c r="N304" i="1"/>
  <c r="N289" i="1"/>
  <c r="N142" i="1"/>
  <c r="N221" i="1"/>
  <c r="N157" i="1"/>
  <c r="N191" i="1"/>
  <c r="N277" i="1"/>
  <c r="N121" i="1"/>
  <c r="M307" i="1"/>
  <c r="M235" i="1"/>
  <c r="M154" i="1"/>
  <c r="M218" i="1"/>
  <c r="N307" i="1"/>
  <c r="N235" i="1"/>
  <c r="N154" i="1"/>
  <c r="N218" i="1"/>
  <c r="M222" i="1"/>
  <c r="M228" i="1"/>
  <c r="M217" i="1"/>
  <c r="M288" i="1"/>
  <c r="M62" i="1"/>
  <c r="N62" i="1"/>
  <c r="N288" i="1"/>
  <c r="N217" i="1"/>
  <c r="N228" i="1"/>
  <c r="N222" i="1"/>
  <c r="M213" i="1" l="1"/>
  <c r="M263" i="1"/>
  <c r="N213" i="1"/>
  <c r="N263" i="1"/>
  <c r="N284" i="1" l="1"/>
  <c r="N57" i="1"/>
  <c r="N94" i="1"/>
  <c r="N44" i="1"/>
  <c r="N63" i="1"/>
  <c r="N65" i="1"/>
  <c r="N99" i="1"/>
  <c r="N98" i="1"/>
  <c r="N71" i="1"/>
  <c r="N60" i="1"/>
  <c r="N17" i="1"/>
  <c r="N58" i="1"/>
  <c r="N90" i="1"/>
  <c r="N29" i="1"/>
  <c r="N85" i="1"/>
  <c r="N11" i="1"/>
  <c r="N56" i="1"/>
  <c r="N53" i="1"/>
  <c r="N82" i="1"/>
  <c r="N14" i="1"/>
  <c r="N59" i="1"/>
  <c r="N72" i="1"/>
  <c r="N24" i="1"/>
  <c r="N199" i="1"/>
  <c r="N61" i="1"/>
  <c r="N43" i="1"/>
  <c r="N37" i="1"/>
  <c r="N179" i="1"/>
  <c r="N10" i="1"/>
  <c r="N45" i="1"/>
  <c r="N20" i="1"/>
  <c r="N33" i="1"/>
  <c r="N27" i="1"/>
  <c r="N23" i="1"/>
  <c r="N7" i="1"/>
  <c r="N21" i="1"/>
  <c r="N208" i="1"/>
  <c r="N16" i="1"/>
  <c r="N5" i="1"/>
  <c r="N15" i="1"/>
  <c r="N51" i="1"/>
  <c r="N4" i="1"/>
  <c r="N287" i="1"/>
  <c r="N293" i="1"/>
  <c r="N67" i="1"/>
  <c r="N164" i="1"/>
  <c r="N187" i="1"/>
  <c r="N169" i="1"/>
  <c r="N183" i="1"/>
  <c r="N123" i="1"/>
  <c r="N153" i="1"/>
  <c r="N236" i="1"/>
  <c r="N188" i="1"/>
  <c r="N161" i="1"/>
  <c r="N245" i="1"/>
  <c r="N160" i="1"/>
  <c r="N196" i="1"/>
  <c r="N181" i="1"/>
  <c r="N200" i="1"/>
  <c r="N267" i="1"/>
  <c r="N180" i="1"/>
  <c r="N266" i="1"/>
  <c r="N79" i="1"/>
  <c r="N189" i="1"/>
  <c r="N194" i="1"/>
  <c r="N205" i="1"/>
  <c r="N251" i="1"/>
  <c r="N258" i="1"/>
  <c r="N303" i="1"/>
  <c r="N231" i="1"/>
  <c r="N201" i="1"/>
  <c r="N260" i="1"/>
  <c r="N186" i="1"/>
  <c r="N165" i="1"/>
  <c r="N237" i="1"/>
  <c r="N238" i="1"/>
  <c r="N197" i="1"/>
  <c r="N220" i="1"/>
  <c r="N107" i="1"/>
  <c r="N291" i="1"/>
  <c r="N227" i="1"/>
  <c r="N216" i="1"/>
  <c r="N185" i="1"/>
  <c r="N281" i="1"/>
  <c r="N247" i="1"/>
  <c r="N248" i="1"/>
  <c r="N250" i="1"/>
  <c r="N253" i="1"/>
  <c r="N105" i="1"/>
  <c r="N129" i="1"/>
  <c r="N117" i="1"/>
  <c r="N249" i="1"/>
  <c r="N255" i="1"/>
  <c r="N298" i="1"/>
  <c r="N290" i="1"/>
  <c r="N268" i="1"/>
  <c r="N270" i="1"/>
  <c r="N259" i="1"/>
  <c r="N275" i="1"/>
  <c r="N279" i="1"/>
  <c r="N295" i="1"/>
  <c r="N137" i="1"/>
  <c r="N282" i="1"/>
  <c r="N155" i="1"/>
  <c r="N156" i="1"/>
  <c r="N285" i="1"/>
  <c r="N152" i="1"/>
  <c r="N306" i="1"/>
  <c r="N292" i="1"/>
  <c r="N286" i="1"/>
  <c r="N294" i="1"/>
  <c r="N171" i="1"/>
  <c r="N310" i="1"/>
  <c r="N299" i="1"/>
  <c r="N305" i="1"/>
  <c r="N278" i="1"/>
  <c r="N300" i="1"/>
  <c r="N311" i="1"/>
  <c r="N312" i="1"/>
  <c r="N313" i="1"/>
  <c r="N229" i="1"/>
  <c r="N151" i="1"/>
</calcChain>
</file>

<file path=xl/sharedStrings.xml><?xml version="1.0" encoding="utf-8"?>
<sst xmlns="http://schemas.openxmlformats.org/spreadsheetml/2006/main" count="3700" uniqueCount="348">
  <si>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</si>
  <si>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</si>
  <si>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</si>
  <si>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</si>
  <si>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</si>
  <si>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</si>
  <si>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</si>
  <si>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</si>
  <si>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</si>
  <si>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</si>
  <si>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</si>
  <si>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</si>
  <si>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</si>
  <si>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</si>
  <si>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</si>
  <si>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</si>
  <si>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</si>
  <si>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</si>
  <si>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</si>
  <si>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</si>
  <si>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</si>
  <si>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</si>
  <si>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</si>
  <si>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</si>
  <si>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</si>
  <si>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</si>
  <si>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</si>
  <si>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</si>
  <si>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</si>
  <si>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</si>
  <si>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</si>
  <si>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</si>
  <si>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</si>
  <si>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</si>
  <si>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</si>
  <si>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</si>
  <si>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</si>
  <si>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</si>
  <si>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</si>
  <si>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</si>
  <si>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</si>
  <si>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</si>
  <si>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</si>
  <si>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</si>
  <si>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</si>
  <si>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</si>
  <si>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</si>
  <si>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</si>
  <si>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</si>
  <si>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</si>
  <si>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</si>
  <si>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</si>
  <si>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</si>
  <si>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</si>
  <si>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</si>
  <si>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</si>
  <si>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</si>
  <si>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</si>
  <si>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</si>
  <si>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</si>
  <si>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</si>
  <si>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</si>
  <si>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</si>
  <si>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</si>
  <si>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</si>
  <si>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</si>
  <si>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</si>
  <si>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</si>
  <si>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</si>
  <si>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</si>
  <si>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</si>
  <si>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</si>
  <si>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</si>
  <si>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</si>
  <si>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</si>
  <si>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</si>
  <si>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</si>
  <si>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</si>
  <si>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</si>
  <si>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</si>
  <si>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</si>
  <si>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</si>
  <si>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</si>
  <si>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</si>
  <si>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</si>
  <si>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</si>
  <si>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</si>
  <si>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</si>
  <si>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</si>
  <si>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</si>
  <si>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</si>
  <si>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</si>
  <si>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</si>
  <si>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</si>
  <si>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</si>
  <si>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</si>
  <si>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</si>
  <si>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</si>
  <si>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</si>
  <si>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</si>
  <si>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</si>
  <si>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</si>
  <si>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</si>
  <si>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</si>
  <si>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</si>
  <si>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</si>
  <si>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</si>
  <si>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</si>
  <si>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</si>
  <si>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</si>
  <si>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</si>
  <si>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</si>
  <si>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</si>
  <si>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</si>
  <si>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</si>
  <si>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</si>
  <si>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</si>
  <si>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</si>
  <si>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</si>
  <si>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</si>
  <si>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</si>
  <si>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</si>
  <si>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</si>
  <si>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</si>
  <si>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</si>
  <si>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</si>
  <si>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</si>
  <si>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</si>
  <si>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</si>
  <si>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</si>
  <si>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</si>
  <si>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</si>
  <si>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</si>
  <si>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</si>
  <si>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</si>
  <si>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</si>
  <si>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</si>
  <si>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</si>
  <si>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</si>
  <si>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</si>
  <si>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</si>
  <si>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</si>
  <si>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</si>
  <si>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</si>
  <si>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</si>
  <si>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</si>
  <si>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</si>
  <si>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</si>
  <si>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</si>
  <si>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</si>
  <si>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</si>
  <si>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</si>
  <si>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</si>
  <si>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</si>
  <si>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</si>
  <si>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</si>
  <si>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</si>
  <si>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</si>
  <si>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</si>
  <si>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</si>
  <si>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</si>
  <si>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</si>
  <si>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</si>
  <si>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</si>
  <si>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</si>
  <si>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</si>
  <si>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</si>
  <si>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</si>
  <si>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</si>
  <si>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</si>
  <si>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</si>
  <si>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</si>
  <si>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</si>
  <si>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</si>
  <si>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</si>
  <si>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</si>
  <si>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</si>
  <si>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</si>
  <si>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</si>
  <si>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</si>
  <si>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</si>
  <si>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</si>
  <si>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</si>
  <si>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</si>
  <si>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</si>
  <si>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</si>
  <si>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</si>
  <si>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</si>
  <si>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</si>
  <si>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</si>
  <si>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</si>
  <si>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</si>
  <si>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</si>
  <si>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</si>
  <si>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</si>
  <si>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</si>
  <si>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</si>
  <si>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</si>
  <si>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</si>
  <si>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</si>
  <si>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</si>
  <si>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</si>
  <si>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</si>
  <si>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</si>
  <si>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</si>
  <si>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</si>
  <si>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</si>
  <si>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</si>
  <si>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</si>
  <si>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</si>
  <si>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</si>
  <si>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</si>
  <si>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</si>
  <si>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</si>
  <si>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</si>
  <si>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</si>
  <si>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</si>
  <si>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</si>
  <si>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</si>
  <si>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</si>
  <si>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</si>
  <si>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</si>
  <si>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</si>
  <si>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</si>
  <si>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</si>
  <si>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</si>
  <si>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</si>
  <si>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</si>
  <si>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</si>
  <si>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</si>
  <si>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</si>
  <si>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</si>
  <si>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</si>
  <si>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</si>
  <si>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</si>
  <si>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</si>
  <si>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</si>
  <si>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</si>
  <si>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</si>
  <si>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</si>
  <si>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</si>
  <si>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</si>
  <si>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</si>
  <si>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</si>
  <si>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</si>
  <si>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</si>
  <si>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</si>
  <si>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</si>
  <si>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</si>
  <si>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</si>
  <si>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</si>
  <si>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</si>
  <si>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</si>
  <si>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5*680 :09 SEP 2026 09:00:56 AM</t>
  </si>
  <si>
    <t>B 5*3938 :09 SEP 2026 09:00:56 AM</t>
  </si>
  <si>
    <t>B 2*2426 :09 SEP 2026 09:00:56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</si>
  <si>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</si>
  <si>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</si>
  <si>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</si>
  <si>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</si>
  <si>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</si>
  <si>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</si>
  <si>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</si>
  <si>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</si>
  <si>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</si>
  <si>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</si>
  <si>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</si>
  <si>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</si>
  <si>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</si>
  <si>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</si>
  <si>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</si>
  <si>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</si>
  <si>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</si>
  <si>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KANOHAREQ</t>
  </si>
  <si>
    <t>B 5*1117 :16 SEP 2026 10:38:49 AM</t>
  </si>
  <si>
    <t>S 23*780 :16 SEP 2026 10:00:11 AM</t>
  </si>
  <si>
    <t>B 5*1146 :16 SEP 2026 09:20:41 AM</t>
  </si>
  <si>
    <t>B 1*4640 :16 SEP 2026 09:02:25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</si>
  <si>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</si>
  <si>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</si>
  <si>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</si>
  <si>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</si>
  <si>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</si>
  <si>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</si>
  <si>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</si>
  <si>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25*336 :22 SEP 2026 09:00:50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</si>
  <si>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</si>
  <si>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</si>
  <si>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</si>
  <si>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</si>
  <si>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</si>
  <si>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</si>
  <si>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100*324 :28 SEP 2026 09:38:19 AM</t>
  </si>
  <si>
    <t>B 10*1136 :28 SEP 2026 09:00:58 AM</t>
  </si>
  <si>
    <t>B 5*712 :28 SEP 2026 09:01:00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</si>
  <si>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</si>
  <si>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</si>
  <si>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</si>
  <si>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</si>
  <si>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</si>
  <si>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</si>
  <si>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</si>
  <si>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</si>
  <si>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S 1*4763 :5 OCT 2026 09:01:00 AM</t>
  </si>
  <si>
    <t>B 3*2300 : 6 oct 2026 09:00:49 AM</t>
  </si>
  <si>
    <t>S 5*1752 :6 oct 2026 09:01:00 AM</t>
  </si>
  <si>
    <t>S 1*20020 :6 oct 2026 09:26:47 AM</t>
  </si>
  <si>
    <t>S 2*3334 :7 OCT 2026 11:14:00 AM</t>
  </si>
  <si>
    <t>Executed</t>
  </si>
  <si>
    <t>B 1*12800 :08 OCT 2026 09:00:46 AM</t>
  </si>
  <si>
    <t>B 5*640 :08 OCT 2026 09:00:45 AM</t>
  </si>
  <si>
    <t>B 50*278 :08 OCT 2026 09:00:46 AM</t>
  </si>
  <si>
    <t>S 2*1426 :08 OCT 2026 09:00:42 AM</t>
  </si>
  <si>
    <t>B 50/90*290.1 :08 SEP 2026 09:00:52 AM</t>
  </si>
  <si>
    <t>B 40/90*290.1 :08 SEP 2026 09:00:52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</si>
  <si>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</si>
  <si>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</si>
  <si>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</si>
  <si>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</si>
  <si>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</si>
  <si>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S 10*1748.7 :09 OCT 2026 09:00:36 AM</t>
  </si>
  <si>
    <t>S 10*857 :09 OCT 2026 09:00:36 AM</t>
  </si>
  <si>
    <t>B 1*6868 :12 OCT 2026 02:49:56 PM</t>
  </si>
  <si>
    <t>S 10*867 :12 OCT 2026 09:00:51 AM</t>
  </si>
  <si>
    <t>S 5*3348 :12 OCT 2026 09:00:50 AM</t>
  </si>
  <si>
    <t>S 2*1573 :12 OCT 2026 09:00:50 AM</t>
  </si>
  <si>
    <t>S 3*4990 :12 OCT 2026 09:00:50 AM</t>
  </si>
  <si>
    <t>S 3*4848 :12 OCT 2026 09:00:50 AM</t>
  </si>
  <si>
    <t>13 OCT 2026 02:53:05 PM</t>
  </si>
  <si>
    <t>13 OCT 2026 01:08:36 PM</t>
  </si>
  <si>
    <t>13 OCT 2026 01:53:26 PM</t>
  </si>
  <si>
    <t>HCLTECHEQ</t>
  </si>
  <si>
    <t>13 OCT 2026 12:56:17 PM</t>
  </si>
  <si>
    <t>13 OCT 2026 12:53:56 PM</t>
  </si>
  <si>
    <t>13 OCT 2026 09:21:08 AM</t>
  </si>
  <si>
    <t>13 OCT 2026 09:00:41 AM</t>
  </si>
  <si>
    <t>13 OCT 2026 09:47:13 AM</t>
  </si>
  <si>
    <t>S 10*3380 :13 OCT 2026 02:53:05 PM</t>
  </si>
  <si>
    <t>S 9*2095 :13 OCT 2026 01:08:36 PM</t>
  </si>
  <si>
    <t>S 13*1309 :13 OCT 2026 01:53:26 PM</t>
  </si>
  <si>
    <t>S 8*2255 :13 OCT 2026 12:56:17 PM</t>
  </si>
  <si>
    <t>S 200*32.9 :13 OCT 2026 12:53:56 PM</t>
  </si>
  <si>
    <t>B 10*1731 :13 OCT 2026 09:21:08 AM</t>
  </si>
  <si>
    <t>S 40*889 :13 OCT 2026 09:47:13 AM</t>
  </si>
  <si>
    <t>S 10*887 :13 OCT 2026 09:00:41 AM</t>
  </si>
  <si>
    <t>S 10*877 :13 OCT 2026 09:00:41 AM</t>
  </si>
  <si>
    <t>S 5*2972 :13 OCT 2026 09:00:41 AM</t>
  </si>
  <si>
    <t>NSE:HCLTECH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</si>
</sst>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0" fillId="4" borderId="0" xfId="0" applyFill="1"/>
    <xf numFmtId="0" fontId="0" fillId="4" borderId="0" xfId="0" applyFill="1" applyAlignment="1">
      <alignment horizontal="left" vertical="top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 wrapText="1"/>
    </xf>
    <xf numFmtId="0" fontId="10" fillId="0" borderId="1" xfId="0" applyFont="1" applyBorder="1" applyAlignment="1">
      <alignment wrapText="1"/>
    </xf>
    <xf numFmtId="0" fontId="8" fillId="0" borderId="0" xfId="0" applyFont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center" vertical="top"/>
    </xf>
    <xf numFmtId="22" fontId="10" fillId="0" borderId="1" xfId="0" applyNumberFormat="1" applyFont="1" applyBorder="1" applyAlignment="1">
      <alignment horizontal="right" wrapText="1"/>
    </xf>
    <xf numFmtId="0" fontId="8" fillId="4" borderId="0" xfId="0" applyFont="1" applyFill="1" applyAlignment="1">
      <alignment horizontal="center" vertical="top"/>
    </xf>
    <xf numFmtId="0" fontId="0" fillId="0" borderId="1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0" fontId="0" fillId="0" borderId="0" xfId="0" applyFont="1"/>
    <xf numFmtId="22" fontId="2" fillId="8" borderId="1" xfId="0" applyNumberFormat="1" applyFont="1" applyFill="1" applyBorder="1" applyAlignment="1">
      <alignment horizontal="right"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0" fillId="8" borderId="1" xfId="0" applyFont="1" applyFill="1" applyBorder="1" applyAlignment="1">
      <alignment horizontal="left" vertical="top"/>
    </xf>
    <xf numFmtId="0" fontId="0" fillId="8" borderId="0" xfId="0" applyFont="1" applyFill="1" applyAlignment="1">
      <alignment horizontal="left" vertical="top"/>
    </xf>
    <xf numFmtId="0" fontId="0" fillId="8" borderId="0" xfId="0" applyFont="1" applyFill="1"/>
    <xf numFmtId="0" fontId="0" fillId="8" borderId="0" xfId="0" applyFont="1" applyFill="1" applyAlignment="1">
      <alignment horizontal="center" vertical="top"/>
    </xf>
    <xf numFmtId="22" fontId="1" fillId="8" borderId="1" xfId="0" applyNumberFormat="1" applyFont="1" applyFill="1" applyBorder="1" applyAlignment="1">
      <alignment horizontal="right" wrapText="1"/>
    </xf>
    <xf numFmtId="0" fontId="0" fillId="8" borderId="1" xfId="0" applyFont="1" applyFill="1" applyBorder="1"/>
    <xf numFmtId="0" fontId="2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0" fillId="0" borderId="0" xfId="0" applyBorder="1" applyAlignment="1">
      <alignment horizontal="left" vertical="top"/>
    </xf>
    <xf numFmtId="0" fontId="0" fillId="4" borderId="1" xfId="0" applyFill="1" applyBorder="1"/>
    <xf numFmtId="0" fontId="0" fillId="8" borderId="0" xfId="0" applyFont="1" applyFill="1" applyBorder="1"/>
    <xf numFmtId="0" fontId="8" fillId="0" borderId="1" xfId="0" applyFont="1" applyBorder="1"/>
    <xf numFmtId="0" fontId="0" fillId="0" borderId="0" xfId="0" applyBorder="1"/>
    <xf numFmtId="0" fontId="0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82"/>
  <sheetViews>
    <sheetView tabSelected="1" zoomScaleNormal="100" workbookViewId="0">
      <pane ySplit="1" topLeftCell="A2" activePane="bottomLeft" state="frozen"/>
      <selection sqref="A1:XFD1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s="77" customFormat="1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74" t="s">
        <v>139</v>
      </c>
      <c r="K1" s="75" t="s">
        <v>149</v>
      </c>
      <c r="L1" s="76" t="s">
        <v>150</v>
      </c>
      <c r="M1" s="76" t="s">
        <v>151</v>
      </c>
      <c r="O1" s="77" t="s">
        <v>237</v>
      </c>
    </row>
    <row r="2" spans="1:16" customFormat="1" ht="40.75" hidden="1" customHeight="1" thickBot="1" x14ac:dyDescent="0.4">
      <c r="A2" s="3">
        <v>46281.416666666664</v>
      </c>
      <c r="B2" s="1" t="s">
        <v>273</v>
      </c>
      <c r="C2" s="1" t="s">
        <v>10</v>
      </c>
      <c r="D2" s="4">
        <v>10</v>
      </c>
      <c r="E2" s="4">
        <v>706</v>
      </c>
      <c r="F2" s="4">
        <v>-34.386617100000002</v>
      </c>
      <c r="G2" s="2" t="s">
        <v>279</v>
      </c>
      <c r="H2" s="5">
        <v>1076</v>
      </c>
      <c r="I2" s="1" t="s">
        <v>8</v>
      </c>
      <c r="J2" s="21" t="s">
        <v>40</v>
      </c>
      <c r="K2" s="17" t="s">
        <v>275</v>
      </c>
      <c r="L2" s="17">
        <v>17940</v>
      </c>
      <c r="M2" s="17">
        <f>ABS((D2*E2)-L2)</f>
        <v>10880</v>
      </c>
      <c r="N2" s="10" t="str">
        <f>IF(COUNTIFS( $B$2:$B$666, B2, $C$2:$C$666, C2, $D$2:$D$666, D2, $E$2:$E$666, E2) &gt; 1, "Duplicate", "Unique")</f>
        <v>Unique</v>
      </c>
      <c r="O2" s="10"/>
      <c r="P2" s="10"/>
    </row>
    <row r="3" spans="1:16" customFormat="1" ht="27.65" hidden="1" customHeight="1" thickBot="1" x14ac:dyDescent="0.4">
      <c r="A3" s="3">
        <v>46281.416666666664</v>
      </c>
      <c r="B3" s="1" t="s">
        <v>273</v>
      </c>
      <c r="C3" s="1" t="s">
        <v>10</v>
      </c>
      <c r="D3" s="4">
        <v>10</v>
      </c>
      <c r="E3" s="4">
        <v>726</v>
      </c>
      <c r="F3" s="4">
        <v>-32.527881039999997</v>
      </c>
      <c r="G3" s="2" t="s">
        <v>279</v>
      </c>
      <c r="H3" s="5">
        <v>1076</v>
      </c>
      <c r="I3" s="1" t="s">
        <v>8</v>
      </c>
      <c r="J3" s="21" t="s">
        <v>40</v>
      </c>
      <c r="K3" s="17" t="s">
        <v>275</v>
      </c>
      <c r="L3" s="17">
        <v>17940</v>
      </c>
      <c r="M3" s="17">
        <f>ABS((D3*E3)-L3)</f>
        <v>10680</v>
      </c>
      <c r="N3" s="10" t="str">
        <f>IF(COUNTIFS( $B$2:$B$666, B3, $C$2:$C$666, C3, $D$2:$D$666, D3, $E$2:$E$666, E3) &gt; 1, "Duplicate", "Unique")</f>
        <v>Unique</v>
      </c>
      <c r="O3" s="10"/>
      <c r="P3" s="10"/>
    </row>
    <row r="4" spans="1:16" customFormat="1" ht="15" hidden="1" customHeight="1" thickBot="1" x14ac:dyDescent="0.4">
      <c r="A4" s="6" t="s">
        <v>61</v>
      </c>
      <c r="B4" s="1" t="s">
        <v>114</v>
      </c>
      <c r="C4" s="1" t="s">
        <v>10</v>
      </c>
      <c r="D4" s="4">
        <v>2</v>
      </c>
      <c r="E4" s="4">
        <v>660</v>
      </c>
      <c r="F4" s="4">
        <v>-25.191272319999999</v>
      </c>
      <c r="G4" s="2" t="s">
        <v>115</v>
      </c>
      <c r="H4" s="5">
        <v>882.25</v>
      </c>
      <c r="I4" s="1" t="s">
        <v>8</v>
      </c>
      <c r="J4" s="33" t="s">
        <v>40</v>
      </c>
      <c r="K4" s="16"/>
      <c r="L4" s="16"/>
      <c r="M4" s="16"/>
      <c r="N4" t="str">
        <f>IF(COUNTIFS( $B$2:$B$666, B4, $C$2:$C$666, C4, $D$2:$D$666, D4, $E$2:$E$666, E4) &gt; 1, "Duplicate", "Unique")</f>
        <v>Unique</v>
      </c>
    </row>
    <row r="5" spans="1:16" customFormat="1" ht="15" hidden="1" customHeight="1" thickBot="1" x14ac:dyDescent="0.4">
      <c r="A5" s="6" t="s">
        <v>61</v>
      </c>
      <c r="B5" s="1" t="s">
        <v>91</v>
      </c>
      <c r="C5" s="1" t="s">
        <v>10</v>
      </c>
      <c r="D5" s="4">
        <v>2</v>
      </c>
      <c r="E5" s="4">
        <v>2560</v>
      </c>
      <c r="F5" s="4">
        <v>-22.611850059999998</v>
      </c>
      <c r="G5" s="2" t="s">
        <v>92</v>
      </c>
      <c r="H5" s="5">
        <v>3308</v>
      </c>
      <c r="I5" s="1" t="s">
        <v>8</v>
      </c>
      <c r="J5" s="33" t="s">
        <v>40</v>
      </c>
      <c r="K5" s="16"/>
      <c r="L5" s="16"/>
      <c r="M5" s="16"/>
      <c r="N5" t="str">
        <f>IF(COUNTIFS( $B$2:$B$666, B5, $C$2:$C$666, C5, $D$2:$D$666, D5, $E$2:$E$666, E5) &gt; 1, "Duplicate", "Unique")</f>
        <v>Unique</v>
      </c>
    </row>
    <row r="6" spans="1:16" customFormat="1" ht="40.75" hidden="1" customHeight="1" thickBot="1" x14ac:dyDescent="0.4">
      <c r="A6" s="6" t="s">
        <v>61</v>
      </c>
      <c r="B6" s="1" t="s">
        <v>12</v>
      </c>
      <c r="C6" s="1" t="s">
        <v>10</v>
      </c>
      <c r="D6" s="4">
        <v>1</v>
      </c>
      <c r="E6" s="4">
        <v>4014</v>
      </c>
      <c r="F6" s="4">
        <v>-20.483359750000002</v>
      </c>
      <c r="G6" s="2" t="s">
        <v>97</v>
      </c>
      <c r="H6" s="5">
        <v>5048</v>
      </c>
      <c r="I6" s="1" t="s">
        <v>8</v>
      </c>
      <c r="J6" s="33"/>
      <c r="K6" s="16"/>
      <c r="L6" s="16"/>
      <c r="M6" s="16"/>
      <c r="N6" t="str">
        <f>IF(COUNTIFS( $B$2:$B$666, B6, $C$2:$C$666, C6, $D$2:$D$666, D6, $E$2:$E$666, E6) &gt; 1, "Duplicate", "Unique")</f>
        <v>Unique</v>
      </c>
    </row>
    <row r="7" spans="1:16" customFormat="1" ht="27.65" hidden="1" customHeight="1" thickBot="1" x14ac:dyDescent="0.4">
      <c r="A7" s="6" t="s">
        <v>61</v>
      </c>
      <c r="B7" s="1" t="s">
        <v>91</v>
      </c>
      <c r="C7" s="1" t="s">
        <v>10</v>
      </c>
      <c r="D7" s="4">
        <v>2</v>
      </c>
      <c r="E7" s="4">
        <v>2660</v>
      </c>
      <c r="F7" s="4">
        <v>-19.58887545</v>
      </c>
      <c r="G7" s="2" t="s">
        <v>92</v>
      </c>
      <c r="H7" s="5">
        <v>3308</v>
      </c>
      <c r="I7" s="1" t="s">
        <v>8</v>
      </c>
      <c r="J7" s="33"/>
      <c r="K7" s="16"/>
      <c r="L7" s="16"/>
      <c r="M7" s="16"/>
      <c r="N7" t="str">
        <f>IF(COUNTIFS( $B$2:$B$666, B7, $C$2:$C$666, C7, $D$2:$D$666, D7, $E$2:$E$666, E7) &gt; 1, "Duplicate", "Unique")</f>
        <v>Unique</v>
      </c>
    </row>
    <row r="8" spans="1:16" customFormat="1" ht="27.65" hidden="1" customHeight="1" thickBot="1" x14ac:dyDescent="0.4">
      <c r="A8" s="46">
        <v>46289.375</v>
      </c>
      <c r="B8" s="2" t="s">
        <v>30</v>
      </c>
      <c r="C8" s="2" t="s">
        <v>10</v>
      </c>
      <c r="D8" s="5">
        <v>5</v>
      </c>
      <c r="E8" s="5">
        <v>601</v>
      </c>
      <c r="F8" s="4">
        <v>-17.80634573</v>
      </c>
      <c r="G8" s="2" t="s">
        <v>93</v>
      </c>
      <c r="H8" s="5">
        <v>731.2</v>
      </c>
      <c r="I8" s="1" t="s">
        <v>8</v>
      </c>
      <c r="J8" s="21" t="s">
        <v>40</v>
      </c>
      <c r="K8" s="17" t="s">
        <v>288</v>
      </c>
      <c r="L8" s="17">
        <v>3245</v>
      </c>
      <c r="M8" s="17">
        <f>ABS((D8*E8)-L8)</f>
        <v>240</v>
      </c>
      <c r="N8" s="10" t="str">
        <f>IF(COUNTIFS( $B$2:$B$666, B8, $C$2:$C$666, C8, $D$2:$D$666, D8, $E$2:$E$666, E8) &gt; 1, "Duplicate", "Unique")</f>
        <v>Unique</v>
      </c>
      <c r="O8" s="10"/>
      <c r="P8" s="10"/>
    </row>
    <row r="9" spans="1:16" customFormat="1" ht="27.65" hidden="1" customHeight="1" thickBot="1" x14ac:dyDescent="0.4">
      <c r="A9" s="6" t="s">
        <v>61</v>
      </c>
      <c r="B9" s="1" t="s">
        <v>12</v>
      </c>
      <c r="C9" s="1" t="s">
        <v>10</v>
      </c>
      <c r="D9" s="4">
        <v>1</v>
      </c>
      <c r="E9" s="4">
        <v>4164</v>
      </c>
      <c r="F9" s="4">
        <v>-17.511885899999999</v>
      </c>
      <c r="G9" s="2" t="s">
        <v>97</v>
      </c>
      <c r="H9" s="5">
        <v>5048</v>
      </c>
      <c r="I9" s="1" t="s">
        <v>8</v>
      </c>
      <c r="J9" s="33"/>
      <c r="K9" s="16"/>
      <c r="L9" s="16"/>
      <c r="M9" s="16"/>
      <c r="N9" t="str">
        <f>IF(COUNTIFS( $B$2:$B$666, B9, $C$2:$C$666, C9, $D$2:$D$666, D9, $E$2:$E$666, E9) &gt; 1, "Duplicate", "Unique")</f>
        <v>Unique</v>
      </c>
    </row>
    <row r="10" spans="1:16" customFormat="1" ht="27.65" hidden="1" customHeight="1" thickBot="1" x14ac:dyDescent="0.4">
      <c r="A10" s="6" t="s">
        <v>61</v>
      </c>
      <c r="B10" s="1" t="s">
        <v>91</v>
      </c>
      <c r="C10" s="1" t="s">
        <v>10</v>
      </c>
      <c r="D10" s="4">
        <v>1</v>
      </c>
      <c r="E10" s="4">
        <v>2752</v>
      </c>
      <c r="F10" s="4">
        <v>-16.80773881</v>
      </c>
      <c r="G10" s="2" t="s">
        <v>92</v>
      </c>
      <c r="H10" s="5">
        <v>3308</v>
      </c>
      <c r="I10" s="1" t="s">
        <v>8</v>
      </c>
      <c r="J10" s="33" t="s">
        <v>40</v>
      </c>
      <c r="K10" s="16"/>
      <c r="L10" s="16"/>
      <c r="M10" s="16"/>
      <c r="N10" t="str">
        <f>IF(COUNTIFS( $B$2:$B$666, B10, $C$2:$C$666, C10, $D$2:$D$666, D10, $E$2:$E$666, E10) &gt; 1, "Duplicate", "Unique")</f>
        <v>Unique</v>
      </c>
    </row>
    <row r="11" spans="1:16" customFormat="1" ht="27.65" hidden="1" customHeight="1" thickBot="1" x14ac:dyDescent="0.4">
      <c r="A11" s="3">
        <v>46252.688194444447</v>
      </c>
      <c r="B11" s="1" t="s">
        <v>95</v>
      </c>
      <c r="C11" s="1" t="s">
        <v>10</v>
      </c>
      <c r="D11" s="4">
        <v>45</v>
      </c>
      <c r="E11" s="4">
        <v>136.15</v>
      </c>
      <c r="F11" s="4">
        <v>-16.778728610000002</v>
      </c>
      <c r="G11" s="2" t="s">
        <v>96</v>
      </c>
      <c r="H11" s="5">
        <v>163.6</v>
      </c>
      <c r="I11" s="1" t="s">
        <v>8</v>
      </c>
      <c r="J11" s="33" t="s">
        <v>54</v>
      </c>
      <c r="K11" s="16"/>
      <c r="L11" s="16"/>
      <c r="M11" s="16"/>
      <c r="N11" t="str">
        <f>IF(COUNTIFS( $B$2:$B$666, B11, $C$2:$C$666, C11, $D$2:$D$666, D11, $E$2:$E$666, E11) &gt; 1, "Duplicate", "Unique")</f>
        <v>Unique</v>
      </c>
    </row>
    <row r="12" spans="1:16" customFormat="1" ht="27.65" hidden="1" customHeight="1" thickBot="1" x14ac:dyDescent="0.4">
      <c r="A12" s="46">
        <v>46303.375</v>
      </c>
      <c r="B12" s="2" t="s">
        <v>280</v>
      </c>
      <c r="C12" s="2" t="s">
        <v>10</v>
      </c>
      <c r="D12" s="5">
        <v>2</v>
      </c>
      <c r="E12" s="5">
        <v>1294</v>
      </c>
      <c r="F12" s="4">
        <v>-16.73101673</v>
      </c>
      <c r="G12" s="2" t="s">
        <v>282</v>
      </c>
      <c r="H12" s="5">
        <v>1554</v>
      </c>
      <c r="I12" s="1" t="s">
        <v>8</v>
      </c>
      <c r="J12" s="21" t="s">
        <v>40</v>
      </c>
      <c r="K12" s="17" t="s">
        <v>312</v>
      </c>
      <c r="L12" s="17">
        <v>2852</v>
      </c>
      <c r="M12" s="17">
        <f>ABS((D12*E12)-L12)</f>
        <v>264</v>
      </c>
      <c r="N12" s="10" t="str">
        <f>IF(COUNTIFS( $B$2:$B$666, B12, $C$2:$C$666, C12, $D$2:$D$666, D12, $E$2:$E$666, E12) &gt; 1, "Duplicate", "Unique")</f>
        <v>Unique</v>
      </c>
      <c r="O12" s="10"/>
      <c r="P12" s="10"/>
    </row>
    <row r="13" spans="1:16" ht="40.75" hidden="1" customHeight="1" thickBot="1" x14ac:dyDescent="0.4">
      <c r="A13" s="46">
        <v>46295.375</v>
      </c>
      <c r="B13" s="2" t="s">
        <v>30</v>
      </c>
      <c r="C13" s="2" t="s">
        <v>10</v>
      </c>
      <c r="D13" s="5">
        <v>5</v>
      </c>
      <c r="E13" s="5">
        <v>620</v>
      </c>
      <c r="F13" s="4">
        <v>-15.207877460000001</v>
      </c>
      <c r="G13" s="2" t="s">
        <v>93</v>
      </c>
      <c r="H13" s="5">
        <v>731.2</v>
      </c>
      <c r="I13" s="1" t="s">
        <v>8</v>
      </c>
      <c r="J13" s="21" t="s">
        <v>40</v>
      </c>
      <c r="K13" s="17" t="s">
        <v>299</v>
      </c>
      <c r="L13" s="17">
        <v>3395</v>
      </c>
      <c r="M13" s="17">
        <f>ABS((D13*E13)-L13)</f>
        <v>295</v>
      </c>
      <c r="N13" s="10" t="str">
        <f>IF(COUNTIFS( $B$2:$B$666, B13, $C$2:$C$666, C13, $D$2:$D$666, D13, $E$2:$E$666, E13) &gt; 1, "Duplicate", "Unique")</f>
        <v>Unique</v>
      </c>
    </row>
    <row r="14" spans="1:16" ht="40.75" hidden="1" customHeight="1" thickBot="1" x14ac:dyDescent="0.4">
      <c r="A14" s="6" t="s">
        <v>61</v>
      </c>
      <c r="B14" s="1" t="s">
        <v>99</v>
      </c>
      <c r="C14" s="1" t="s">
        <v>10</v>
      </c>
      <c r="D14" s="4">
        <v>25</v>
      </c>
      <c r="E14" s="4">
        <v>251</v>
      </c>
      <c r="F14" s="4">
        <v>-13.74570447</v>
      </c>
      <c r="G14" s="2" t="s">
        <v>100</v>
      </c>
      <c r="H14" s="5">
        <v>291</v>
      </c>
      <c r="I14" s="1" t="s">
        <v>8</v>
      </c>
      <c r="J14" s="33" t="s">
        <v>40</v>
      </c>
      <c r="K14" s="16"/>
      <c r="L14" s="16"/>
      <c r="M14" s="16"/>
      <c r="N14" t="str">
        <f>IF(COUNTIFS( $B$2:$B$666, B14, $C$2:$C$666, C14, $D$2:$D$666, D14, $E$2:$E$666, E14) &gt; 1, "Duplicate", "Unique")</f>
        <v>Unique</v>
      </c>
      <c r="O14"/>
      <c r="P14"/>
    </row>
    <row r="15" spans="1:16" ht="15" hidden="1" customHeight="1" thickBot="1" x14ac:dyDescent="0.4">
      <c r="A15" s="6" t="s">
        <v>61</v>
      </c>
      <c r="B15" s="1" t="s">
        <v>12</v>
      </c>
      <c r="C15" s="1" t="s">
        <v>10</v>
      </c>
      <c r="D15" s="4">
        <v>1</v>
      </c>
      <c r="E15" s="4">
        <v>4364</v>
      </c>
      <c r="F15" s="4">
        <v>-13.549920759999999</v>
      </c>
      <c r="G15" s="2" t="s">
        <v>97</v>
      </c>
      <c r="H15" s="5">
        <v>5048</v>
      </c>
      <c r="I15" s="1" t="s">
        <v>8</v>
      </c>
      <c r="J15" s="34" t="s">
        <v>40</v>
      </c>
      <c r="K15" s="16"/>
      <c r="L15" s="16"/>
      <c r="M15" s="16"/>
      <c r="N15" t="str">
        <f>IF(COUNTIFS( $B$2:$B$666, B15, $C$2:$C$666, C15, $D$2:$D$666, D15, $E$2:$E$666, E15) &gt; 1, "Duplicate", "Unique")</f>
        <v>Unique</v>
      </c>
      <c r="O15"/>
      <c r="P15"/>
    </row>
    <row r="16" spans="1:16" ht="27.65" hidden="1" customHeight="1" thickBot="1" x14ac:dyDescent="0.4">
      <c r="A16" s="6" t="s">
        <v>61</v>
      </c>
      <c r="B16" s="1" t="s">
        <v>112</v>
      </c>
      <c r="C16" s="1" t="s">
        <v>10</v>
      </c>
      <c r="D16" s="4">
        <v>4</v>
      </c>
      <c r="E16" s="4">
        <v>701</v>
      </c>
      <c r="F16" s="4">
        <v>-12.696930070000001</v>
      </c>
      <c r="G16" s="2" t="s">
        <v>113</v>
      </c>
      <c r="H16" s="5">
        <v>802.95</v>
      </c>
      <c r="I16" s="1" t="s">
        <v>8</v>
      </c>
      <c r="J16" s="33" t="s">
        <v>40</v>
      </c>
      <c r="K16" s="16"/>
      <c r="L16" s="16"/>
      <c r="M16" s="16"/>
      <c r="N16" t="str">
        <f>IF(COUNTIFS( $B$2:$B$666, B16, $C$2:$C$666, C16, $D$2:$D$666, D16, $E$2:$E$666, E16) &gt; 1, "Duplicate", "Unique")</f>
        <v>Unique</v>
      </c>
      <c r="O16"/>
      <c r="P16"/>
    </row>
    <row r="17" spans="1:16" ht="40.75" hidden="1" customHeight="1" thickBot="1" x14ac:dyDescent="0.4">
      <c r="A17" s="3">
        <v>46252.635416666664</v>
      </c>
      <c r="B17" s="1" t="s">
        <v>91</v>
      </c>
      <c r="C17" s="1" t="s">
        <v>10</v>
      </c>
      <c r="D17" s="4">
        <v>2</v>
      </c>
      <c r="E17" s="4">
        <v>2892</v>
      </c>
      <c r="F17" s="4">
        <v>-12.57557437</v>
      </c>
      <c r="G17" s="2" t="s">
        <v>92</v>
      </c>
      <c r="H17" s="5">
        <v>3308</v>
      </c>
      <c r="I17" s="1" t="s">
        <v>8</v>
      </c>
      <c r="J17" s="33"/>
      <c r="K17" s="16"/>
      <c r="L17" s="16"/>
      <c r="M17" s="16"/>
      <c r="N17" t="str">
        <f>IF(COUNTIFS( $B$2:$B$666, B17, $C$2:$C$666, C17, $D$2:$D$666, D17, $E$2:$E$666, E17) &gt; 1, "Duplicate", "Unique")</f>
        <v>Unique</v>
      </c>
      <c r="O17"/>
      <c r="P17"/>
    </row>
    <row r="18" spans="1:16" s="22" customFormat="1" ht="27.65" hidden="1" customHeight="1" thickBot="1" x14ac:dyDescent="0.4">
      <c r="A18" s="46">
        <v>46300.375694444447</v>
      </c>
      <c r="B18" s="2" t="s">
        <v>12</v>
      </c>
      <c r="C18" s="2" t="s">
        <v>10</v>
      </c>
      <c r="D18" s="5">
        <v>1</v>
      </c>
      <c r="E18" s="5">
        <v>4510</v>
      </c>
      <c r="F18" s="4">
        <v>-10.65768621</v>
      </c>
      <c r="G18" s="2" t="s">
        <v>97</v>
      </c>
      <c r="H18" s="5">
        <v>5048</v>
      </c>
      <c r="I18" s="1" t="s">
        <v>8</v>
      </c>
      <c r="J18" s="21" t="s">
        <v>117</v>
      </c>
      <c r="K18" s="17" t="s">
        <v>303</v>
      </c>
      <c r="L18" s="17">
        <v>4763</v>
      </c>
      <c r="M18" s="17">
        <f>ABS((D18*E18)-L18)</f>
        <v>253</v>
      </c>
      <c r="N18" s="10" t="str">
        <f>IF(COUNTIFS( $B$2:$B$666, B18, $C$2:$C$666, C18, $D$2:$D$666, D18, $E$2:$E$666, E18) &gt; 1, "Duplicate", "Unique")</f>
        <v>Unique</v>
      </c>
      <c r="O18" s="10"/>
      <c r="P18" s="10"/>
    </row>
    <row r="19" spans="1:16" ht="27.65" hidden="1" customHeight="1" thickBot="1" x14ac:dyDescent="0.4">
      <c r="A19" s="3">
        <v>46031.4375</v>
      </c>
      <c r="B19" s="1" t="s">
        <v>206</v>
      </c>
      <c r="C19" s="1" t="s">
        <v>10</v>
      </c>
      <c r="D19" s="4">
        <v>3</v>
      </c>
      <c r="E19" s="4">
        <v>1052</v>
      </c>
      <c r="F19" s="4">
        <v>-10.25422283</v>
      </c>
      <c r="G19" s="2" t="s">
        <v>217</v>
      </c>
      <c r="H19" s="5">
        <v>1172.2</v>
      </c>
      <c r="I19" s="1" t="s">
        <v>8</v>
      </c>
      <c r="J19" s="21" t="s">
        <v>40</v>
      </c>
      <c r="M19" s="17">
        <f>ABS((D19*E19)-L19)</f>
        <v>3156</v>
      </c>
      <c r="N19" s="10" t="str">
        <f>IF(COUNTIFS( $B$2:$B$666, B19, $C$2:$C$666, C19, $D$2:$D$666, D19, $E$2:$E$666, E19) &gt; 1, "Duplicate", "Unique")</f>
        <v>Unique</v>
      </c>
      <c r="P19" s="18"/>
    </row>
    <row r="20" spans="1:16" ht="27.65" hidden="1" customHeight="1" thickBot="1" x14ac:dyDescent="0.4">
      <c r="A20" s="6" t="s">
        <v>61</v>
      </c>
      <c r="B20" s="1" t="s">
        <v>33</v>
      </c>
      <c r="C20" s="1" t="s">
        <v>10</v>
      </c>
      <c r="D20" s="4">
        <v>1</v>
      </c>
      <c r="E20" s="4">
        <v>18052</v>
      </c>
      <c r="F20" s="4">
        <v>-10.130930449999999</v>
      </c>
      <c r="G20" s="2" t="s">
        <v>70</v>
      </c>
      <c r="H20" s="5">
        <v>20087</v>
      </c>
      <c r="I20" s="1" t="s">
        <v>8</v>
      </c>
      <c r="J20" s="33"/>
      <c r="K20" s="16"/>
      <c r="L20" s="16"/>
      <c r="M20" s="16"/>
      <c r="N20" t="str">
        <f>IF(COUNTIFS( $B$2:$B$666, B20, $C$2:$C$666, C20, $D$2:$D$666, D20, $E$2:$E$666, E20) &gt; 1, "Duplicate", "Unique")</f>
        <v>Unique</v>
      </c>
      <c r="O20"/>
      <c r="P20"/>
    </row>
    <row r="21" spans="1:16" ht="27.65" hidden="1" customHeight="1" thickBot="1" x14ac:dyDescent="0.4">
      <c r="A21" s="6" t="s">
        <v>61</v>
      </c>
      <c r="B21" s="1" t="s">
        <v>108</v>
      </c>
      <c r="C21" s="1" t="s">
        <v>10</v>
      </c>
      <c r="D21" s="4">
        <v>15</v>
      </c>
      <c r="E21" s="4">
        <v>4415</v>
      </c>
      <c r="F21" s="4">
        <v>-9.3242965699999996</v>
      </c>
      <c r="G21" s="2" t="s">
        <v>109</v>
      </c>
      <c r="H21" s="5">
        <v>4869</v>
      </c>
      <c r="I21" s="1" t="s">
        <v>8</v>
      </c>
      <c r="J21" s="33"/>
      <c r="K21" s="16"/>
      <c r="L21" s="16"/>
      <c r="M21" s="16"/>
      <c r="N21" t="str">
        <f>IF(COUNTIFS( $B$2:$B$666, B21, $C$2:$C$666, C21, $D$2:$D$666, D21, $E$2:$E$666, E21) &gt; 1, "Duplicate", "Unique")</f>
        <v>Unique</v>
      </c>
      <c r="O21"/>
      <c r="P21"/>
    </row>
    <row r="22" spans="1:16" ht="27.65" hidden="1" customHeight="1" thickBot="1" x14ac:dyDescent="0.4">
      <c r="A22" s="46">
        <v>46308.578773148147</v>
      </c>
      <c r="B22" s="2" t="s">
        <v>331</v>
      </c>
      <c r="C22" s="2" t="s">
        <v>10</v>
      </c>
      <c r="D22" s="5">
        <v>13</v>
      </c>
      <c r="E22" s="5">
        <v>1209</v>
      </c>
      <c r="F22" s="4">
        <v>-8.8235294119999992</v>
      </c>
      <c r="G22" s="2" t="s">
        <v>347</v>
      </c>
      <c r="H22" s="5">
        <v>1326</v>
      </c>
      <c r="I22" s="1" t="s">
        <v>8</v>
      </c>
      <c r="J22" s="21" t="s">
        <v>54</v>
      </c>
      <c r="K22" s="17" t="s">
        <v>339</v>
      </c>
      <c r="L22" s="17">
        <v>17017</v>
      </c>
      <c r="M22" s="17">
        <f>ABS((D22*E22)-L22)</f>
        <v>1300</v>
      </c>
      <c r="N22" t="str">
        <f>IF(COUNTIFS( $B$2:$B$666, B22, $C$2:$C$666, C22, $D$2:$D$666, D22, $E$2:$E$666, E22) &gt; 1, "Duplicate", "Unique")</f>
        <v>Unique</v>
      </c>
    </row>
    <row r="23" spans="1:16" ht="27.65" hidden="1" customHeight="1" thickBot="1" x14ac:dyDescent="0.4">
      <c r="A23" s="6" t="s">
        <v>61</v>
      </c>
      <c r="B23" s="1" t="s">
        <v>108</v>
      </c>
      <c r="C23" s="1" t="s">
        <v>10</v>
      </c>
      <c r="D23" s="4">
        <v>2</v>
      </c>
      <c r="E23" s="4">
        <v>4456</v>
      </c>
      <c r="F23" s="4">
        <v>-8.4822345450000007</v>
      </c>
      <c r="G23" s="2" t="s">
        <v>109</v>
      </c>
      <c r="H23" s="5">
        <v>4869</v>
      </c>
      <c r="I23" s="1" t="s">
        <v>8</v>
      </c>
      <c r="J23" s="33"/>
      <c r="K23" s="16"/>
      <c r="L23" s="16"/>
      <c r="M23" s="16"/>
      <c r="N23" t="str">
        <f>IF(COUNTIFS( $B$2:$B$666, B23, $C$2:$C$666, C23, $D$2:$D$666, D23, $E$2:$E$666, E23) &gt; 1, "Duplicate", "Unique")</f>
        <v>Unique</v>
      </c>
      <c r="O23"/>
      <c r="P23"/>
    </row>
    <row r="24" spans="1:16" ht="27.65" hidden="1" customHeight="1" thickBot="1" x14ac:dyDescent="0.4">
      <c r="A24" s="6" t="s">
        <v>61</v>
      </c>
      <c r="B24" s="1" t="s">
        <v>104</v>
      </c>
      <c r="C24" s="1" t="s">
        <v>10</v>
      </c>
      <c r="D24" s="4">
        <v>4</v>
      </c>
      <c r="E24" s="4">
        <v>1751</v>
      </c>
      <c r="F24" s="4">
        <v>-8.4683742809999991</v>
      </c>
      <c r="G24" s="2" t="s">
        <v>105</v>
      </c>
      <c r="H24" s="5">
        <v>1913</v>
      </c>
      <c r="I24" s="1" t="s">
        <v>8</v>
      </c>
      <c r="J24" s="33"/>
      <c r="K24" s="16"/>
      <c r="L24" s="16"/>
      <c r="M24" s="16"/>
      <c r="N24" t="str">
        <f>IF(COUNTIFS( $B$2:$B$666, B24, $C$2:$C$666, C24, $D$2:$D$666, D24, $E$2:$E$666, E24) &gt; 1, "Duplicate", "Unique")</f>
        <v>Unique</v>
      </c>
      <c r="O24"/>
      <c r="P24"/>
    </row>
    <row r="25" spans="1:16" ht="27.65" hidden="1" customHeight="1" thickBot="1" x14ac:dyDescent="0.4">
      <c r="A25" s="46">
        <v>46304.387499999997</v>
      </c>
      <c r="B25" s="2" t="s">
        <v>25</v>
      </c>
      <c r="C25" s="2" t="s">
        <v>10</v>
      </c>
      <c r="D25" s="5">
        <v>500</v>
      </c>
      <c r="E25" s="5">
        <v>30.3</v>
      </c>
      <c r="F25" s="4">
        <v>-8.459214502</v>
      </c>
      <c r="G25" s="2" t="s">
        <v>45</v>
      </c>
      <c r="H25" s="5">
        <v>33.1</v>
      </c>
      <c r="I25" s="1" t="s">
        <v>8</v>
      </c>
      <c r="J25" s="78" t="s">
        <v>54</v>
      </c>
      <c r="K25" s="76" t="s">
        <v>315</v>
      </c>
      <c r="L25" s="76">
        <v>15850</v>
      </c>
      <c r="M25" s="76">
        <f>ABS((D25*E25)-L25)</f>
        <v>700</v>
      </c>
      <c r="N25" s="79" t="str">
        <f>IF(COUNTIFS( $B$2:$B$666, B25, $C$2:$C$666, C25, $D$2:$D$666, D25, $E$2:$E$666, E25) &gt; 1, "Duplicate", "Unique")</f>
        <v>Unique</v>
      </c>
      <c r="O25" s="77"/>
      <c r="P25" s="77"/>
    </row>
    <row r="26" spans="1:16" ht="27.65" hidden="1" customHeight="1" thickBot="1" x14ac:dyDescent="0.4">
      <c r="A26" s="72">
        <v>46307.375</v>
      </c>
      <c r="B26" s="68" t="s">
        <v>12</v>
      </c>
      <c r="C26" s="68" t="s">
        <v>10</v>
      </c>
      <c r="D26" s="67">
        <v>3</v>
      </c>
      <c r="E26" s="67">
        <v>4628</v>
      </c>
      <c r="F26" s="4">
        <v>-8.3201267829999992</v>
      </c>
      <c r="G26" s="2" t="s">
        <v>97</v>
      </c>
      <c r="H26" s="5">
        <v>5048</v>
      </c>
      <c r="I26" s="1" t="s">
        <v>8</v>
      </c>
      <c r="J26" s="99" t="s">
        <v>54</v>
      </c>
      <c r="K26" s="70" t="s">
        <v>327</v>
      </c>
      <c r="L26" s="70">
        <v>14544</v>
      </c>
      <c r="M26" s="69">
        <f>ABS((D26*E26)-L26)</f>
        <v>660</v>
      </c>
      <c r="N26" s="71" t="str">
        <f>IF(COUNTIFS( $B$2:$B$666, B26, $C$2:$C$666, C26, $D$2:$D$666, D26, $E$2:$E$666, E26) &gt; 1, "Duplicate", "Unique")</f>
        <v>Unique</v>
      </c>
      <c r="O26" s="71"/>
      <c r="P26" s="71"/>
    </row>
    <row r="27" spans="1:16" ht="27.65" hidden="1" customHeight="1" thickBot="1" x14ac:dyDescent="0.4">
      <c r="A27" s="6" t="s">
        <v>61</v>
      </c>
      <c r="B27" s="1" t="s">
        <v>20</v>
      </c>
      <c r="C27" s="1" t="s">
        <v>10</v>
      </c>
      <c r="D27" s="4">
        <v>100</v>
      </c>
      <c r="E27" s="4">
        <v>111</v>
      </c>
      <c r="F27" s="4">
        <v>-8.2720436329999991</v>
      </c>
      <c r="G27" s="2" t="s">
        <v>85</v>
      </c>
      <c r="H27" s="5">
        <v>121.01</v>
      </c>
      <c r="I27" s="1" t="s">
        <v>8</v>
      </c>
      <c r="J27" s="33"/>
      <c r="K27" s="16"/>
      <c r="L27" s="16"/>
      <c r="M27" s="16"/>
      <c r="N27" t="str">
        <f>IF(COUNTIFS( $B$2:$B$666, B27, $C$2:$C$666, C27, $D$2:$D$666, D27, $E$2:$E$666, E27) &gt; 1, "Duplicate", "Unique")</f>
        <v>Unique</v>
      </c>
      <c r="O27"/>
      <c r="P27"/>
    </row>
    <row r="28" spans="1:16" s="22" customFormat="1" ht="27.65" hidden="1" customHeight="1" thickBot="1" x14ac:dyDescent="0.4">
      <c r="A28" s="3">
        <v>46302.468055555553</v>
      </c>
      <c r="B28" s="1" t="s">
        <v>73</v>
      </c>
      <c r="C28" s="1" t="s">
        <v>10</v>
      </c>
      <c r="D28" s="4">
        <v>2</v>
      </c>
      <c r="E28" s="4">
        <v>3110</v>
      </c>
      <c r="F28" s="4">
        <v>-7.8627718199999999</v>
      </c>
      <c r="G28" s="2" t="s">
        <v>74</v>
      </c>
      <c r="H28" s="5">
        <v>3375.4</v>
      </c>
      <c r="I28" s="1" t="s">
        <v>8</v>
      </c>
      <c r="J28" s="21" t="s">
        <v>40</v>
      </c>
      <c r="K28" s="17" t="s">
        <v>307</v>
      </c>
      <c r="L28" s="17">
        <f>2*3334</f>
        <v>6668</v>
      </c>
      <c r="M28" s="17">
        <f>ABS((D28*E28)-L28)</f>
        <v>448</v>
      </c>
      <c r="N28" s="10" t="str">
        <f>IF(COUNTIFS( $B$2:$B$666, B28, $C$2:$C$666, C28, $D$2:$D$666, D28, $E$2:$E$666, E28) &gt; 1, "Duplicate", "Unique")</f>
        <v>Unique</v>
      </c>
      <c r="O28" s="10"/>
      <c r="P28" s="10"/>
    </row>
    <row r="29" spans="1:16" ht="27.65" hidden="1" customHeight="1" thickBot="1" x14ac:dyDescent="0.4">
      <c r="A29" s="6" t="s">
        <v>61</v>
      </c>
      <c r="B29" s="1" t="s">
        <v>33</v>
      </c>
      <c r="C29" s="1" t="s">
        <v>10</v>
      </c>
      <c r="D29" s="4">
        <v>1</v>
      </c>
      <c r="E29" s="4">
        <v>18552</v>
      </c>
      <c r="F29" s="4">
        <v>-7.641758351</v>
      </c>
      <c r="G29" s="2" t="s">
        <v>70</v>
      </c>
      <c r="H29" s="5">
        <v>20087</v>
      </c>
      <c r="I29" s="1" t="s">
        <v>8</v>
      </c>
      <c r="J29" s="33"/>
      <c r="K29" s="16"/>
      <c r="L29" s="16"/>
      <c r="M29" s="16"/>
      <c r="N29" t="str">
        <f>IF(COUNTIFS( $B$2:$B$666, B29, $C$2:$C$666, C29, $D$2:$D$666, D29, $E$2:$E$666, E29) &gt; 1, "Duplicate", "Unique")</f>
        <v>Unique</v>
      </c>
      <c r="O29"/>
      <c r="P29"/>
    </row>
    <row r="30" spans="1:16" ht="27.65" hidden="1" customHeight="1" thickBot="1" x14ac:dyDescent="0.4">
      <c r="A30" s="3">
        <v>46121.375</v>
      </c>
      <c r="B30" s="1" t="s">
        <v>13</v>
      </c>
      <c r="C30" s="1" t="s">
        <v>10</v>
      </c>
      <c r="D30" s="4">
        <v>3</v>
      </c>
      <c r="E30" s="4">
        <v>1614</v>
      </c>
      <c r="F30" s="4">
        <v>-7.5071633240000004</v>
      </c>
      <c r="G30" s="2" t="s">
        <v>90</v>
      </c>
      <c r="H30" s="5">
        <v>1745</v>
      </c>
      <c r="I30" s="1" t="s">
        <v>8</v>
      </c>
      <c r="J30" s="21" t="s">
        <v>40</v>
      </c>
      <c r="K30" s="17" t="s">
        <v>236</v>
      </c>
      <c r="L30" s="17">
        <f>3*1794</f>
        <v>5382</v>
      </c>
      <c r="M30" s="17">
        <f>ABS((D30*E30)-L30)</f>
        <v>540</v>
      </c>
      <c r="N30" s="10" t="str">
        <f>IF(COUNTIFS( $B$2:$B$666, B30, $C$2:$C$666, C30, $D$2:$D$666, D30, $E$2:$E$666, E30) &gt; 1, "Duplicate", "Unique")</f>
        <v>Unique</v>
      </c>
      <c r="O30"/>
      <c r="P30"/>
    </row>
    <row r="31" spans="1:16" ht="27.65" hidden="1" customHeight="1" thickBot="1" x14ac:dyDescent="0.4">
      <c r="A31" s="46">
        <v>46304.388888888891</v>
      </c>
      <c r="B31" s="2" t="s">
        <v>46</v>
      </c>
      <c r="C31" s="2" t="s">
        <v>10</v>
      </c>
      <c r="D31" s="5">
        <v>9</v>
      </c>
      <c r="E31" s="5">
        <v>2105</v>
      </c>
      <c r="F31" s="4">
        <v>-7.2401180979999999</v>
      </c>
      <c r="G31" s="2" t="s">
        <v>47</v>
      </c>
      <c r="H31" s="5">
        <v>2269.3000000000002</v>
      </c>
      <c r="I31" s="1" t="s">
        <v>8</v>
      </c>
      <c r="J31" s="21" t="s">
        <v>54</v>
      </c>
      <c r="K31" s="17" t="s">
        <v>319</v>
      </c>
      <c r="L31" s="17">
        <v>19395</v>
      </c>
      <c r="M31" s="17">
        <f>ABS((D31*E31)-L31)</f>
        <v>450</v>
      </c>
      <c r="N31" t="str">
        <f>IF(COUNTIFS( $B$2:$B$666, B31, $C$2:$C$666, C31, $D$2:$D$666, D31, $E$2:$E$666, E31) &gt; 1, "Duplicate", "Unique")</f>
        <v>Unique</v>
      </c>
    </row>
    <row r="32" spans="1:16" s="88" customFormat="1" ht="14.4" hidden="1" customHeight="1" thickBot="1" x14ac:dyDescent="0.4">
      <c r="A32" s="3">
        <v>46307.375</v>
      </c>
      <c r="B32" s="1" t="s">
        <v>280</v>
      </c>
      <c r="C32" s="1" t="s">
        <v>10</v>
      </c>
      <c r="D32" s="4">
        <v>2</v>
      </c>
      <c r="E32" s="4">
        <v>1448</v>
      </c>
      <c r="F32" s="4">
        <v>-6.8211068209999999</v>
      </c>
      <c r="G32" s="2" t="s">
        <v>282</v>
      </c>
      <c r="H32" s="5">
        <v>1554</v>
      </c>
      <c r="I32" s="1" t="s">
        <v>8</v>
      </c>
      <c r="J32" s="21" t="s">
        <v>40</v>
      </c>
      <c r="K32" t="s">
        <v>325</v>
      </c>
      <c r="L32">
        <v>3146</v>
      </c>
      <c r="M32" s="17">
        <f>ABS((D32*E32)-L32)</f>
        <v>250</v>
      </c>
      <c r="N32" s="10" t="str">
        <f>IF(COUNTIFS( $B$2:$B$666, B32, $C$2:$C$666, C32, $D$2:$D$666, D32, $E$2:$E$666, E32) &gt; 1, "Duplicate", "Unique")</f>
        <v>Unique</v>
      </c>
      <c r="O32" s="10"/>
      <c r="P32" s="10"/>
    </row>
    <row r="33" spans="1:16" s="88" customFormat="1" ht="14.4" hidden="1" customHeight="1" thickBot="1" x14ac:dyDescent="0.4">
      <c r="A33" s="6" t="s">
        <v>61</v>
      </c>
      <c r="B33" s="1" t="s">
        <v>108</v>
      </c>
      <c r="C33" s="1" t="s">
        <v>10</v>
      </c>
      <c r="D33" s="4">
        <v>1</v>
      </c>
      <c r="E33" s="4">
        <v>4560</v>
      </c>
      <c r="F33" s="4">
        <v>-6.3462723350000001</v>
      </c>
      <c r="G33" s="2" t="s">
        <v>109</v>
      </c>
      <c r="H33" s="5">
        <v>4869</v>
      </c>
      <c r="I33" s="1" t="s">
        <v>8</v>
      </c>
      <c r="J33" s="33"/>
      <c r="K33" s="16"/>
      <c r="L33" s="16"/>
      <c r="M33" s="16"/>
      <c r="N33" t="str">
        <f>IF(COUNTIFS( $B$2:$B$666, B33, $C$2:$C$666, C33, $D$2:$D$666, D33, $E$2:$E$666, E33) &gt; 1, "Duplicate", "Unique")</f>
        <v>Unique</v>
      </c>
      <c r="O33"/>
      <c r="P33"/>
    </row>
    <row r="34" spans="1:16" s="77" customFormat="1" ht="14.4" hidden="1" customHeight="1" thickBot="1" x14ac:dyDescent="0.4">
      <c r="A34" s="46">
        <v>46308.537453703706</v>
      </c>
      <c r="B34" s="2" t="s">
        <v>25</v>
      </c>
      <c r="C34" s="2" t="s">
        <v>10</v>
      </c>
      <c r="D34" s="5">
        <v>200</v>
      </c>
      <c r="E34" s="5">
        <v>31.1</v>
      </c>
      <c r="F34" s="4">
        <v>-6.0422960730000002</v>
      </c>
      <c r="G34" s="2" t="s">
        <v>45</v>
      </c>
      <c r="H34" s="5">
        <v>33.1</v>
      </c>
      <c r="I34" s="1" t="s">
        <v>8</v>
      </c>
      <c r="J34" s="21" t="s">
        <v>54</v>
      </c>
      <c r="K34" s="17" t="s">
        <v>341</v>
      </c>
      <c r="L34" s="17">
        <v>6580</v>
      </c>
      <c r="M34" s="17">
        <f>ABS((D34*E34)-L34)</f>
        <v>360</v>
      </c>
      <c r="N34" t="str">
        <f>IF(COUNTIFS( $B$2:$B$666, B34, $C$2:$C$666, C34, $D$2:$D$666, D34, $E$2:$E$666, E34) &gt; 1, "Duplicate", "Unique")</f>
        <v>Unique</v>
      </c>
      <c r="O34" s="10"/>
      <c r="P34" s="10"/>
    </row>
    <row r="35" spans="1:16" s="22" customFormat="1" ht="14.4" hidden="1" customHeight="1" thickBot="1" x14ac:dyDescent="0.4">
      <c r="A35" s="58">
        <v>46307.375</v>
      </c>
      <c r="B35" s="59" t="s">
        <v>12</v>
      </c>
      <c r="C35" s="59" t="s">
        <v>10</v>
      </c>
      <c r="D35" s="60">
        <v>3</v>
      </c>
      <c r="E35" s="60">
        <v>4770</v>
      </c>
      <c r="F35" s="4">
        <v>-5.5071315370000002</v>
      </c>
      <c r="G35" s="2" t="s">
        <v>97</v>
      </c>
      <c r="H35" s="5">
        <v>5048</v>
      </c>
      <c r="I35" s="1" t="s">
        <v>8</v>
      </c>
      <c r="J35" s="97" t="s">
        <v>54</v>
      </c>
      <c r="K35" s="63" t="s">
        <v>326</v>
      </c>
      <c r="L35" s="63">
        <v>14970</v>
      </c>
      <c r="M35" s="64">
        <f>ABS((D35*E35)-L35)</f>
        <v>660</v>
      </c>
      <c r="N35" s="23" t="str">
        <f>IF(COUNTIFS( $B$2:$B$666, B35, $C$2:$C$666, C35, $D$2:$D$666, D35, $E$2:$E$666, E35) &gt; 1, "Duplicate", "Unique")</f>
        <v>Unique</v>
      </c>
      <c r="O35" s="23"/>
      <c r="P35" s="23"/>
    </row>
    <row r="36" spans="1:16" s="27" customFormat="1" ht="14.4" hidden="1" customHeight="1" thickBot="1" x14ac:dyDescent="0.4">
      <c r="A36" s="46">
        <v>46308.539085648146</v>
      </c>
      <c r="B36" s="2" t="s">
        <v>46</v>
      </c>
      <c r="C36" s="2" t="s">
        <v>10</v>
      </c>
      <c r="D36" s="5">
        <v>8</v>
      </c>
      <c r="E36" s="5">
        <v>2155</v>
      </c>
      <c r="F36" s="4">
        <v>-5.0367954880000001</v>
      </c>
      <c r="G36" s="2" t="s">
        <v>47</v>
      </c>
      <c r="H36" s="5">
        <v>2269.3000000000002</v>
      </c>
      <c r="I36" s="1" t="s">
        <v>8</v>
      </c>
      <c r="J36" s="21" t="s">
        <v>54</v>
      </c>
      <c r="K36" s="17" t="s">
        <v>340</v>
      </c>
      <c r="L36" s="17">
        <v>18040</v>
      </c>
      <c r="M36" s="17">
        <f>ABS((D36*E36)-L36)</f>
        <v>800</v>
      </c>
      <c r="N36" t="str">
        <f>IF(COUNTIFS( $B$2:$B$666, B36, $C$2:$C$666, C36, $D$2:$D$666, D36, $E$2:$E$666, E36) &gt; 1, "Duplicate", "Unique")</f>
        <v>Unique</v>
      </c>
      <c r="O36" s="10"/>
      <c r="P36" s="10"/>
    </row>
    <row r="37" spans="1:16" s="77" customFormat="1" ht="39" hidden="1" thickBot="1" x14ac:dyDescent="0.4">
      <c r="A37" s="6" t="s">
        <v>61</v>
      </c>
      <c r="B37" s="1" t="s">
        <v>20</v>
      </c>
      <c r="C37" s="1" t="s">
        <v>10</v>
      </c>
      <c r="D37" s="4">
        <v>200</v>
      </c>
      <c r="E37" s="4">
        <v>115.25</v>
      </c>
      <c r="F37" s="4">
        <v>-4.759937195</v>
      </c>
      <c r="G37" s="2" t="s">
        <v>85</v>
      </c>
      <c r="H37" s="5">
        <v>121.01</v>
      </c>
      <c r="I37" s="1" t="s">
        <v>8</v>
      </c>
      <c r="J37" s="33"/>
      <c r="K37" s="16"/>
      <c r="L37" s="16"/>
      <c r="M37" s="16"/>
      <c r="N37" t="str">
        <f>IF(COUNTIFS( $B$2:$B$666, B37, $C$2:$C$666, C37, $D$2:$D$666, D37, $E$2:$E$666, E37) &gt; 1, "Duplicate", "Unique")</f>
        <v>Unique</v>
      </c>
      <c r="O37"/>
      <c r="P37"/>
    </row>
    <row r="38" spans="1:16" ht="14.4" hidden="1" customHeight="1" thickBot="1" x14ac:dyDescent="0.4">
      <c r="A38" s="46">
        <v>46301.375694444447</v>
      </c>
      <c r="B38" s="2" t="s">
        <v>13</v>
      </c>
      <c r="C38" s="2" t="s">
        <v>10</v>
      </c>
      <c r="D38" s="5">
        <v>5</v>
      </c>
      <c r="E38" s="5">
        <v>1664</v>
      </c>
      <c r="F38" s="4">
        <v>-4.6418338109999997</v>
      </c>
      <c r="G38" s="2" t="s">
        <v>90</v>
      </c>
      <c r="H38" s="5">
        <v>1745</v>
      </c>
      <c r="I38" s="1" t="s">
        <v>8</v>
      </c>
      <c r="J38" s="21" t="s">
        <v>40</v>
      </c>
      <c r="K38" s="17" t="s">
        <v>305</v>
      </c>
      <c r="L38" s="17">
        <f>5*1752</f>
        <v>8760</v>
      </c>
      <c r="M38" s="17">
        <f>ABS((D38*E38)-L38)</f>
        <v>440</v>
      </c>
      <c r="N38" s="10" t="str">
        <f>IF(COUNTIFS( $B$2:$B$666, B38, $C$2:$C$666, C38, $D$2:$D$666, D38, $E$2:$E$666, E38) &gt; 1, "Duplicate", "Unique")</f>
        <v>Unique</v>
      </c>
    </row>
    <row r="39" spans="1:16" ht="14.4" hidden="1" customHeight="1" thickBot="1" x14ac:dyDescent="0.4">
      <c r="A39" s="50">
        <v>46304.375</v>
      </c>
      <c r="B39" s="51" t="s">
        <v>50</v>
      </c>
      <c r="C39" s="51" t="s">
        <v>10</v>
      </c>
      <c r="D39" s="52">
        <v>10</v>
      </c>
      <c r="E39" s="52">
        <v>852</v>
      </c>
      <c r="F39" s="4">
        <v>-4.2589054949999996</v>
      </c>
      <c r="G39" s="2" t="s">
        <v>51</v>
      </c>
      <c r="H39" s="5">
        <v>889.9</v>
      </c>
      <c r="I39" s="1" t="s">
        <v>8</v>
      </c>
      <c r="J39" s="85" t="s">
        <v>54</v>
      </c>
      <c r="K39" s="86" t="s">
        <v>321</v>
      </c>
      <c r="L39" s="86">
        <v>8570</v>
      </c>
      <c r="M39" s="86">
        <f>ABS((D39*E39)-L39)</f>
        <v>50</v>
      </c>
      <c r="N39" s="87" t="str">
        <f>IF(COUNTIFS( $B$2:$B$666, B39, $C$2:$C$666, C39, $D$2:$D$666, D39, $E$2:$E$666, E39) &gt; 1, "Duplicate", "Unique")</f>
        <v>Duplicate</v>
      </c>
      <c r="O39" s="88"/>
      <c r="P39" s="88"/>
    </row>
    <row r="40" spans="1:16" customFormat="1" ht="39" hidden="1" thickBot="1" x14ac:dyDescent="0.4">
      <c r="A40" s="28">
        <v>46307.375</v>
      </c>
      <c r="B40" s="29" t="s">
        <v>50</v>
      </c>
      <c r="C40" s="29" t="s">
        <v>10</v>
      </c>
      <c r="D40" s="30">
        <v>10</v>
      </c>
      <c r="E40" s="30">
        <v>852</v>
      </c>
      <c r="F40" s="4">
        <v>-4.2589054949999996</v>
      </c>
      <c r="G40" s="2" t="s">
        <v>51</v>
      </c>
      <c r="H40" s="5">
        <v>889.9</v>
      </c>
      <c r="I40" s="1" t="s">
        <v>8</v>
      </c>
      <c r="J40" s="98" t="s">
        <v>54</v>
      </c>
      <c r="K40" s="87" t="s">
        <v>323</v>
      </c>
      <c r="L40" s="87">
        <v>8670</v>
      </c>
      <c r="M40" s="86">
        <f>ABS((D40*E40)-L40)</f>
        <v>150</v>
      </c>
      <c r="N40" s="88" t="str">
        <f>IF(COUNTIFS( $B$2:$B$666, B40, $C$2:$C$666, C40, $D$2:$D$666, D40, $E$2:$E$666, E40) &gt; 1, "Duplicate", "Unique")</f>
        <v>Duplicate</v>
      </c>
      <c r="O40" s="88"/>
      <c r="P40" s="88"/>
    </row>
    <row r="41" spans="1:16" s="63" customFormat="1" ht="39" hidden="1" thickBot="1" x14ac:dyDescent="0.4">
      <c r="A41" s="46">
        <v>46308.375474537039</v>
      </c>
      <c r="B41" s="2" t="s">
        <v>50</v>
      </c>
      <c r="C41" s="2" t="s">
        <v>10</v>
      </c>
      <c r="D41" s="5">
        <v>10</v>
      </c>
      <c r="E41" s="5">
        <v>852</v>
      </c>
      <c r="F41" s="4">
        <v>-4.2589054949999996</v>
      </c>
      <c r="G41" s="2" t="s">
        <v>51</v>
      </c>
      <c r="H41" s="5">
        <v>889.9</v>
      </c>
      <c r="I41" s="1" t="s">
        <v>8</v>
      </c>
      <c r="J41" s="17" t="s">
        <v>54</v>
      </c>
      <c r="K41" s="17" t="s">
        <v>344</v>
      </c>
      <c r="L41" s="17">
        <v>8870</v>
      </c>
      <c r="M41" s="17">
        <f>ABS((D41*E41)-L41)</f>
        <v>350</v>
      </c>
      <c r="N41" t="str">
        <f>IF(COUNTIFS( $B$2:$B$666, B41, $C$2:$C$666, C41, $D$2:$D$666, D41, $E$2:$E$666, E41) &gt; 1, "Duplicate", "Unique")</f>
        <v>Duplicate</v>
      </c>
      <c r="O41" s="10"/>
      <c r="P41" s="10"/>
    </row>
    <row r="42" spans="1:16" customFormat="1" ht="39" hidden="1" thickBot="1" x14ac:dyDescent="0.4">
      <c r="A42" s="46">
        <v>46308.375474537039</v>
      </c>
      <c r="B42" s="2" t="s">
        <v>50</v>
      </c>
      <c r="C42" s="2" t="s">
        <v>10</v>
      </c>
      <c r="D42" s="5">
        <v>10</v>
      </c>
      <c r="E42" s="5">
        <v>852</v>
      </c>
      <c r="F42" s="4">
        <v>-4.2589054949999996</v>
      </c>
      <c r="G42" s="2" t="s">
        <v>51</v>
      </c>
      <c r="H42" s="5">
        <v>889.9</v>
      </c>
      <c r="I42" s="1" t="s">
        <v>8</v>
      </c>
      <c r="J42" s="17" t="s">
        <v>54</v>
      </c>
      <c r="K42" s="17" t="s">
        <v>345</v>
      </c>
      <c r="L42" s="17">
        <v>8770</v>
      </c>
      <c r="M42" s="17">
        <f>ABS((D42*E42)-L42)</f>
        <v>250</v>
      </c>
      <c r="N42" t="str">
        <f>IF(COUNTIFS( $B$2:$B$666, B42, $C$2:$C$666, C42, $D$2:$D$666, D42, $E$2:$E$666, E42) &gt; 1, "Duplicate", "Unique")</f>
        <v>Duplicate</v>
      </c>
      <c r="O42" s="10"/>
      <c r="P42" s="10"/>
    </row>
    <row r="43" spans="1:16" customFormat="1" ht="39" hidden="1" thickBot="1" x14ac:dyDescent="0.4">
      <c r="A43" s="6" t="s">
        <v>61</v>
      </c>
      <c r="B43" s="1" t="s">
        <v>20</v>
      </c>
      <c r="C43" s="1" t="s">
        <v>10</v>
      </c>
      <c r="D43" s="4">
        <v>50</v>
      </c>
      <c r="E43" s="4">
        <v>116</v>
      </c>
      <c r="F43" s="4">
        <v>-4.1401537060000004</v>
      </c>
      <c r="G43" s="2" t="s">
        <v>85</v>
      </c>
      <c r="H43" s="5">
        <v>121.01</v>
      </c>
      <c r="I43" s="1" t="s">
        <v>8</v>
      </c>
      <c r="J43" s="48"/>
      <c r="K43" s="16"/>
      <c r="L43" s="16"/>
      <c r="M43" s="16"/>
      <c r="N43" t="str">
        <f>IF(COUNTIFS( $B$2:$B$666, B43, $C$2:$C$666, C43, $D$2:$D$666, D43, $E$2:$E$666, E43) &gt; 1, "Duplicate", "Unique")</f>
        <v>Unique</v>
      </c>
    </row>
    <row r="44" spans="1:16" customFormat="1" ht="26.5" hidden="1" thickBot="1" x14ac:dyDescent="0.4">
      <c r="A44" s="3">
        <v>46252.6875</v>
      </c>
      <c r="B44" s="1" t="s">
        <v>17</v>
      </c>
      <c r="C44" s="1" t="s">
        <v>10</v>
      </c>
      <c r="D44" s="4">
        <v>25</v>
      </c>
      <c r="E44" s="4">
        <v>326</v>
      </c>
      <c r="F44" s="4">
        <v>-3.2066508310000001</v>
      </c>
      <c r="G44" s="2" t="s">
        <v>76</v>
      </c>
      <c r="H44" s="5">
        <v>336.8</v>
      </c>
      <c r="I44" s="1" t="s">
        <v>8</v>
      </c>
      <c r="J44" s="91" t="s">
        <v>40</v>
      </c>
      <c r="K44" s="16"/>
      <c r="L44" s="16"/>
      <c r="M44" s="16"/>
      <c r="N44" t="str">
        <f>IF(COUNTIFS( $B$2:$B$666, B44, $C$2:$C$666, C44, $D$2:$D$666, D44, $E$2:$E$666, E44) &gt; 1, "Duplicate", "Unique")</f>
        <v>Unique</v>
      </c>
    </row>
    <row r="45" spans="1:16" s="27" customFormat="1" ht="39" hidden="1" thickBot="1" x14ac:dyDescent="0.4">
      <c r="A45" s="6" t="s">
        <v>61</v>
      </c>
      <c r="B45" s="1" t="s">
        <v>50</v>
      </c>
      <c r="C45" s="1" t="s">
        <v>10</v>
      </c>
      <c r="D45" s="4">
        <v>40</v>
      </c>
      <c r="E45" s="4">
        <v>862</v>
      </c>
      <c r="F45" s="4">
        <v>-3.135183729</v>
      </c>
      <c r="G45" s="2" t="s">
        <v>51</v>
      </c>
      <c r="H45" s="5">
        <v>889.9</v>
      </c>
      <c r="I45" s="1" t="s">
        <v>8</v>
      </c>
      <c r="J45" s="91" t="s">
        <v>54</v>
      </c>
      <c r="K45" s="16"/>
      <c r="L45" s="16"/>
      <c r="M45" s="16"/>
      <c r="N45" t="str">
        <f>IF(COUNTIFS( $B$2:$B$666, B45, $C$2:$C$666, C45, $D$2:$D$666, D45, $E$2:$E$666, E45) &gt; 1, "Duplicate", "Unique")</f>
        <v>Unique</v>
      </c>
      <c r="O45"/>
      <c r="P45"/>
    </row>
    <row r="46" spans="1:16" ht="39" hidden="1" thickBot="1" x14ac:dyDescent="0.4">
      <c r="A46" s="46">
        <v>46308.547638888886</v>
      </c>
      <c r="B46" s="2" t="s">
        <v>102</v>
      </c>
      <c r="C46" s="2" t="s">
        <v>10</v>
      </c>
      <c r="D46" s="5">
        <v>9</v>
      </c>
      <c r="E46" s="5">
        <v>2055</v>
      </c>
      <c r="F46" s="4">
        <v>-3.0660377360000002</v>
      </c>
      <c r="G46" s="2" t="s">
        <v>103</v>
      </c>
      <c r="H46" s="5">
        <v>2120</v>
      </c>
      <c r="I46" s="1" t="s">
        <v>8</v>
      </c>
      <c r="J46" s="17" t="s">
        <v>54</v>
      </c>
      <c r="K46" s="17" t="s">
        <v>338</v>
      </c>
      <c r="L46" s="17">
        <v>18855</v>
      </c>
      <c r="M46" s="17">
        <f>ABS((D46*E46)-L46)</f>
        <v>360</v>
      </c>
      <c r="N46" t="str">
        <f>IF(COUNTIFS( $B$2:$B$666, B46, $C$2:$C$666, C46, $D$2:$D$666, D46, $E$2:$E$666, E46) &gt; 1, "Duplicate", "Unique")</f>
        <v>Unique</v>
      </c>
    </row>
    <row r="47" spans="1:16" s="73" customFormat="1" ht="39" hidden="1" thickBot="1" x14ac:dyDescent="0.4">
      <c r="A47" s="3">
        <v>46286.375</v>
      </c>
      <c r="B47" s="1" t="s">
        <v>42</v>
      </c>
      <c r="C47" s="1" t="s">
        <v>10</v>
      </c>
      <c r="D47" s="4">
        <v>5</v>
      </c>
      <c r="E47" s="4">
        <v>702</v>
      </c>
      <c r="F47" s="4">
        <v>-3.0587585449999999</v>
      </c>
      <c r="G47" s="2" t="s">
        <v>43</v>
      </c>
      <c r="H47" s="5">
        <v>724.15</v>
      </c>
      <c r="I47" s="1" t="s">
        <v>8</v>
      </c>
      <c r="J47" s="96" t="s">
        <v>40</v>
      </c>
      <c r="K47" s="17" t="s">
        <v>283</v>
      </c>
      <c r="L47" s="17">
        <f>7470/2</f>
        <v>3735</v>
      </c>
      <c r="M47" s="17">
        <f>ABS((D47*E47)-L47)</f>
        <v>225</v>
      </c>
      <c r="N47" s="10" t="str">
        <f>IF(COUNTIFS( $B$2:$B$666, B47, $C$2:$C$666, C47, $D$2:$D$666, D47, $E$2:$E$666, E47) &gt; 1, "Duplicate", "Unique")</f>
        <v>Unique</v>
      </c>
      <c r="O47" s="10"/>
      <c r="P47" s="10"/>
    </row>
    <row r="48" spans="1:16" ht="39" hidden="1" thickBot="1" x14ac:dyDescent="0.4">
      <c r="A48" s="46">
        <v>46301.393055555556</v>
      </c>
      <c r="B48" s="2" t="s">
        <v>33</v>
      </c>
      <c r="C48" s="2" t="s">
        <v>10</v>
      </c>
      <c r="D48" s="5">
        <v>1</v>
      </c>
      <c r="E48" s="5">
        <v>19550</v>
      </c>
      <c r="F48" s="4">
        <v>-2.6733708370000002</v>
      </c>
      <c r="G48" s="2" t="s">
        <v>70</v>
      </c>
      <c r="H48" s="5">
        <v>20087</v>
      </c>
      <c r="I48" s="1" t="s">
        <v>8</v>
      </c>
      <c r="J48" s="96" t="s">
        <v>40</v>
      </c>
      <c r="K48" s="17" t="s">
        <v>306</v>
      </c>
      <c r="L48" s="17">
        <v>20020</v>
      </c>
      <c r="M48" s="17">
        <f>ABS((D48*E48)-L48)</f>
        <v>470</v>
      </c>
      <c r="N48" s="10" t="str">
        <f>IF(COUNTIFS( $B$2:$B$666, B48, $C$2:$C$666, C48, $D$2:$D$666, D48, $E$2:$E$666, E48) &gt; 1, "Duplicate", "Unique")</f>
        <v>Unique</v>
      </c>
    </row>
    <row r="49" spans="1:16" ht="26.5" hidden="1" thickBot="1" x14ac:dyDescent="0.4">
      <c r="A49" s="3">
        <v>46307.375</v>
      </c>
      <c r="B49" s="1" t="s">
        <v>73</v>
      </c>
      <c r="C49" s="1" t="s">
        <v>10</v>
      </c>
      <c r="D49" s="4">
        <v>5</v>
      </c>
      <c r="E49" s="4">
        <v>3288</v>
      </c>
      <c r="F49" s="4">
        <v>-2.5893227470000002</v>
      </c>
      <c r="G49" s="2" t="s">
        <v>74</v>
      </c>
      <c r="H49" s="5">
        <v>3375.4</v>
      </c>
      <c r="I49" s="1" t="s">
        <v>8</v>
      </c>
      <c r="J49" s="100" t="s">
        <v>54</v>
      </c>
      <c r="K49" t="s">
        <v>324</v>
      </c>
      <c r="L49">
        <v>16740</v>
      </c>
      <c r="M49" s="17">
        <f>ABS((D49*E49)-L49)</f>
        <v>300</v>
      </c>
      <c r="N49" s="10" t="str">
        <f>IF(COUNTIFS( $B$2:$B$666, B49, $C$2:$C$666, C49, $D$2:$D$666, D49, $E$2:$E$666, E49) &gt; 1, "Duplicate", "Unique")</f>
        <v>Unique</v>
      </c>
    </row>
    <row r="50" spans="1:16" ht="27.65" hidden="1" customHeight="1" thickBot="1" x14ac:dyDescent="0.4">
      <c r="A50" s="46">
        <v>46308.375474537039</v>
      </c>
      <c r="B50" s="2" t="s">
        <v>56</v>
      </c>
      <c r="C50" s="2" t="s">
        <v>10</v>
      </c>
      <c r="D50" s="5">
        <v>5</v>
      </c>
      <c r="E50" s="5">
        <v>2912</v>
      </c>
      <c r="F50" s="4">
        <v>-2.5369837340000001</v>
      </c>
      <c r="G50" s="2" t="s">
        <v>57</v>
      </c>
      <c r="H50" s="5">
        <v>2987.8</v>
      </c>
      <c r="I50" s="1" t="s">
        <v>8</v>
      </c>
      <c r="J50" s="17" t="s">
        <v>54</v>
      </c>
      <c r="K50" s="17" t="s">
        <v>346</v>
      </c>
      <c r="L50" s="17">
        <v>14860</v>
      </c>
      <c r="M50" s="17">
        <f>ABS((D50*E50)-L50)</f>
        <v>300</v>
      </c>
      <c r="N50" t="str">
        <f>IF(COUNTIFS( $B$2:$B$666, B50, $C$2:$C$666, C50, $D$2:$D$666, D50, $E$2:$E$666, E50) &gt; 1, "Duplicate", "Unique")</f>
        <v>Unique</v>
      </c>
    </row>
    <row r="51" spans="1:16" ht="26.5" hidden="1" thickBot="1" x14ac:dyDescent="0.4">
      <c r="A51" s="6" t="s">
        <v>61</v>
      </c>
      <c r="B51" s="1" t="s">
        <v>18</v>
      </c>
      <c r="C51" s="1" t="s">
        <v>10</v>
      </c>
      <c r="D51" s="4">
        <v>5</v>
      </c>
      <c r="E51" s="4">
        <v>1614</v>
      </c>
      <c r="F51" s="4">
        <v>-2.4655547499999999</v>
      </c>
      <c r="G51" s="2" t="s">
        <v>101</v>
      </c>
      <c r="H51" s="5">
        <v>1654.8</v>
      </c>
      <c r="I51" s="1" t="s">
        <v>8</v>
      </c>
      <c r="J51" s="95" t="s">
        <v>40</v>
      </c>
      <c r="K51" s="16"/>
      <c r="L51" s="16"/>
      <c r="M51" s="16"/>
      <c r="N51" t="str">
        <f>IF(COUNTIFS( $B$2:$B$666, B51, $C$2:$C$666, C51, $D$2:$D$666, D51, $E$2:$E$666, E51) &gt; 1, "Duplicate", "Unique")</f>
        <v>Unique</v>
      </c>
      <c r="O51"/>
      <c r="P51"/>
    </row>
    <row r="52" spans="1:16" s="27" customFormat="1" ht="39" hidden="1" thickBot="1" x14ac:dyDescent="0.4">
      <c r="A52" s="46">
        <v>46308.407789351855</v>
      </c>
      <c r="B52" s="2" t="s">
        <v>50</v>
      </c>
      <c r="C52" s="2" t="s">
        <v>10</v>
      </c>
      <c r="D52" s="5">
        <v>40</v>
      </c>
      <c r="E52" s="5">
        <v>871</v>
      </c>
      <c r="F52" s="4">
        <v>-2.123834139</v>
      </c>
      <c r="G52" s="2" t="s">
        <v>51</v>
      </c>
      <c r="H52" s="5">
        <v>889.9</v>
      </c>
      <c r="I52" s="1" t="s">
        <v>8</v>
      </c>
      <c r="J52" s="17" t="s">
        <v>54</v>
      </c>
      <c r="K52" s="17" t="s">
        <v>343</v>
      </c>
      <c r="L52" s="17">
        <v>35560</v>
      </c>
      <c r="M52" s="17">
        <f>ABS((D52*E52)-L52)</f>
        <v>720</v>
      </c>
      <c r="N52" t="str">
        <f>IF(COUNTIFS( $B$2:$B$666, B52, $C$2:$C$666, C52, $D$2:$D$666, D52, $E$2:$E$666, E52) &gt; 1, "Duplicate", "Unique")</f>
        <v>Unique</v>
      </c>
      <c r="O52" s="10"/>
      <c r="P52" s="10"/>
    </row>
    <row r="53" spans="1:16" s="27" customFormat="1" ht="39" hidden="1" thickBot="1" x14ac:dyDescent="0.4">
      <c r="A53" s="6" t="s">
        <v>61</v>
      </c>
      <c r="B53" s="1" t="s">
        <v>31</v>
      </c>
      <c r="C53" s="1" t="s">
        <v>10</v>
      </c>
      <c r="D53" s="4">
        <v>25</v>
      </c>
      <c r="E53" s="4">
        <v>836</v>
      </c>
      <c r="F53" s="4">
        <v>-2.1077283370000002</v>
      </c>
      <c r="G53" s="2" t="s">
        <v>84</v>
      </c>
      <c r="H53" s="5">
        <v>854</v>
      </c>
      <c r="I53" s="1" t="s">
        <v>8</v>
      </c>
      <c r="J53" s="91" t="s">
        <v>40</v>
      </c>
      <c r="K53" s="16"/>
      <c r="L53" s="16"/>
      <c r="M53" s="16"/>
      <c r="N53" t="str">
        <f>IF(COUNTIFS( $B$2:$B$666, B53, $C$2:$C$666, C53, $D$2:$D$666, D53, $E$2:$E$666, E53) &gt; 1, "Duplicate", "Unique")</f>
        <v>Unique</v>
      </c>
      <c r="O53"/>
      <c r="P53"/>
    </row>
    <row r="54" spans="1:16" ht="27.65" hidden="1" customHeight="1" thickBot="1" x14ac:dyDescent="0.4">
      <c r="A54" s="46">
        <v>46304.375</v>
      </c>
      <c r="B54" s="2" t="s">
        <v>13</v>
      </c>
      <c r="C54" s="2" t="s">
        <v>10</v>
      </c>
      <c r="D54" s="5">
        <v>10</v>
      </c>
      <c r="E54" s="5">
        <v>1708.7</v>
      </c>
      <c r="F54" s="4">
        <v>-2.0802292260000002</v>
      </c>
      <c r="G54" s="2" t="s">
        <v>90</v>
      </c>
      <c r="H54" s="5">
        <v>1745</v>
      </c>
      <c r="I54" s="1" t="s">
        <v>8</v>
      </c>
      <c r="J54" s="101" t="s">
        <v>54</v>
      </c>
      <c r="K54" s="76" t="s">
        <v>320</v>
      </c>
      <c r="L54" s="76">
        <v>17487</v>
      </c>
      <c r="M54" s="76">
        <f>ABS((D54*E54)-L54)</f>
        <v>400</v>
      </c>
      <c r="N54" s="79" t="str">
        <f>IF(COUNTIFS( $B$2:$B$666, B54, $C$2:$C$666, C54, $D$2:$D$666, D54, $E$2:$E$666, E54) &gt; 1, "Duplicate", "Unique")</f>
        <v>Unique</v>
      </c>
      <c r="O54" s="77"/>
      <c r="P54" s="77"/>
    </row>
    <row r="55" spans="1:16" ht="40.75" hidden="1" customHeight="1" thickBot="1" x14ac:dyDescent="0.4">
      <c r="A55" s="46">
        <v>46308.620196759257</v>
      </c>
      <c r="B55" s="2" t="s">
        <v>73</v>
      </c>
      <c r="C55" s="2" t="s">
        <v>10</v>
      </c>
      <c r="D55" s="5">
        <v>10</v>
      </c>
      <c r="E55" s="5">
        <v>3310</v>
      </c>
      <c r="F55" s="4">
        <v>-1.937548142</v>
      </c>
      <c r="G55" s="2" t="s">
        <v>74</v>
      </c>
      <c r="H55" s="5">
        <v>3375.4</v>
      </c>
      <c r="I55" s="1" t="s">
        <v>8</v>
      </c>
      <c r="J55" s="17" t="s">
        <v>54</v>
      </c>
      <c r="K55" s="17" t="s">
        <v>337</v>
      </c>
      <c r="L55" s="17">
        <v>33800</v>
      </c>
      <c r="M55" s="17">
        <f>ABS((D55*E55)-L55)</f>
        <v>700</v>
      </c>
      <c r="N55" t="str">
        <f>IF(COUNTIFS( $B$2:$B$666, B55, $C$2:$C$666, C55, $D$2:$D$666, D55, $E$2:$E$666, E55) &gt; 1, "Duplicate", "Unique")</f>
        <v>Unique</v>
      </c>
    </row>
    <row r="56" spans="1:16" ht="27.65" hidden="1" customHeight="1" thickBot="1" x14ac:dyDescent="0.4">
      <c r="A56" s="6" t="s">
        <v>61</v>
      </c>
      <c r="B56" s="1" t="s">
        <v>20</v>
      </c>
      <c r="C56" s="1" t="s">
        <v>10</v>
      </c>
      <c r="D56" s="4">
        <v>50</v>
      </c>
      <c r="E56" s="4">
        <v>119</v>
      </c>
      <c r="F56" s="4">
        <v>-1.6610197499999999</v>
      </c>
      <c r="G56" s="2" t="s">
        <v>85</v>
      </c>
      <c r="H56" s="5">
        <v>121.01</v>
      </c>
      <c r="I56" s="1" t="s">
        <v>8</v>
      </c>
      <c r="J56" s="91"/>
      <c r="K56" s="16"/>
      <c r="L56" s="16"/>
      <c r="M56" s="16"/>
      <c r="N56" t="str">
        <f>IF(COUNTIFS( $B$2:$B$666, B56, $C$2:$C$666, C56, $D$2:$D$666, D56, $E$2:$E$666, E56) &gt; 1, "Duplicate", "Unique")</f>
        <v>Unique</v>
      </c>
      <c r="O56"/>
    </row>
    <row r="57" spans="1:16" ht="40.75" hidden="1" customHeight="1" thickBot="1" x14ac:dyDescent="0.4">
      <c r="A57" s="3">
        <v>46254.375</v>
      </c>
      <c r="B57" s="1" t="s">
        <v>32</v>
      </c>
      <c r="C57" s="1" t="s">
        <v>10</v>
      </c>
      <c r="D57" s="4">
        <v>7</v>
      </c>
      <c r="E57" s="4">
        <v>2230</v>
      </c>
      <c r="F57" s="4">
        <v>-1.5582925000000001</v>
      </c>
      <c r="G57" s="2" t="s">
        <v>83</v>
      </c>
      <c r="H57" s="5">
        <v>2265.3000000000002</v>
      </c>
      <c r="I57" s="1" t="s">
        <v>8</v>
      </c>
      <c r="J57" s="94" t="s">
        <v>54</v>
      </c>
      <c r="K57" s="16" t="s">
        <v>146</v>
      </c>
      <c r="L57" s="16"/>
      <c r="M57" s="16"/>
      <c r="N57" s="10" t="str">
        <f>IF(COUNTIFS( $B$2:$B$666, B57, $C$2:$C$666, C57, $D$2:$D$666, D57, $E$2:$E$666, E57) &gt; 1, "Duplicate", "Unique")</f>
        <v>Unique</v>
      </c>
      <c r="O57"/>
      <c r="P57"/>
    </row>
    <row r="58" spans="1:16" ht="27.65" hidden="1" customHeight="1" thickBot="1" x14ac:dyDescent="0.4">
      <c r="A58" s="6" t="s">
        <v>61</v>
      </c>
      <c r="B58" s="1" t="s">
        <v>77</v>
      </c>
      <c r="C58" s="1" t="s">
        <v>10</v>
      </c>
      <c r="D58" s="4">
        <v>69</v>
      </c>
      <c r="E58" s="4">
        <v>1277</v>
      </c>
      <c r="F58" s="4">
        <v>-1.160990712</v>
      </c>
      <c r="G58" s="2" t="s">
        <v>78</v>
      </c>
      <c r="H58" s="5">
        <v>1292</v>
      </c>
      <c r="I58" s="1" t="s">
        <v>8</v>
      </c>
      <c r="J58" s="91"/>
      <c r="K58" s="16"/>
      <c r="L58" s="16"/>
      <c r="M58" s="16"/>
      <c r="N58" t="str">
        <f>IF(COUNTIFS( $B$2:$B$666, B58, $C$2:$C$666, C58, $D$2:$D$666, D58, $E$2:$E$666, E58) &gt; 1, "Duplicate", "Unique")</f>
        <v>Unique</v>
      </c>
      <c r="O58"/>
      <c r="P58"/>
    </row>
    <row r="59" spans="1:16" ht="40.75" hidden="1" customHeight="1" thickBot="1" x14ac:dyDescent="0.4">
      <c r="A59" s="6" t="s">
        <v>61</v>
      </c>
      <c r="B59" s="1" t="s">
        <v>19</v>
      </c>
      <c r="C59" s="1" t="s">
        <v>10</v>
      </c>
      <c r="D59" s="4">
        <v>50</v>
      </c>
      <c r="E59" s="4">
        <v>206</v>
      </c>
      <c r="F59" s="4">
        <v>-0.79460630870000004</v>
      </c>
      <c r="G59" s="2" t="s">
        <v>39</v>
      </c>
      <c r="H59" s="5">
        <v>207.65</v>
      </c>
      <c r="I59" s="1" t="s">
        <v>8</v>
      </c>
      <c r="J59" s="91" t="s">
        <v>40</v>
      </c>
      <c r="K59" s="16"/>
      <c r="L59" s="16"/>
      <c r="M59" s="16"/>
      <c r="N59" t="str">
        <f>IF(COUNTIFS( $B$2:$B$666, B59, $C$2:$C$666, C59, $D$2:$D$666, D59, $E$2:$E$666, E59) &gt; 1, "Duplicate", "Unique")</f>
        <v>Unique</v>
      </c>
      <c r="O59"/>
      <c r="P59"/>
    </row>
    <row r="60" spans="1:16" ht="39" hidden="1" thickBot="1" x14ac:dyDescent="0.4">
      <c r="A60" s="3">
        <v>46252.635416666664</v>
      </c>
      <c r="B60" s="1" t="s">
        <v>31</v>
      </c>
      <c r="C60" s="1" t="s">
        <v>10</v>
      </c>
      <c r="D60" s="4">
        <v>50</v>
      </c>
      <c r="E60" s="4">
        <v>850</v>
      </c>
      <c r="F60" s="4">
        <v>-0.4683840749</v>
      </c>
      <c r="G60" s="2" t="s">
        <v>84</v>
      </c>
      <c r="H60" s="5">
        <v>854</v>
      </c>
      <c r="I60" s="1" t="s">
        <v>8</v>
      </c>
      <c r="J60" s="92" t="s">
        <v>54</v>
      </c>
      <c r="K60" s="16"/>
      <c r="L60" s="16"/>
      <c r="M60" s="16"/>
      <c r="N60" t="str">
        <f>IF(COUNTIFS( $B$2:$B$666, B60, $C$2:$C$666, C60, $D$2:$D$666, D60, $E$2:$E$666, E60) &gt; 1, "Duplicate", "Unique")</f>
        <v>Unique</v>
      </c>
      <c r="P60"/>
    </row>
    <row r="61" spans="1:16" ht="39" hidden="1" thickBot="1" x14ac:dyDescent="0.4">
      <c r="A61" s="6" t="s">
        <v>61</v>
      </c>
      <c r="B61" s="1" t="s">
        <v>81</v>
      </c>
      <c r="C61" s="1" t="s">
        <v>10</v>
      </c>
      <c r="D61" s="4">
        <v>1</v>
      </c>
      <c r="E61" s="4">
        <v>4010</v>
      </c>
      <c r="F61" s="4">
        <v>-3.7392496570000003E-2</v>
      </c>
      <c r="G61" s="2" t="s">
        <v>82</v>
      </c>
      <c r="H61" s="5">
        <v>4011.5</v>
      </c>
      <c r="I61" s="1" t="s">
        <v>8</v>
      </c>
      <c r="J61" s="91" t="s">
        <v>40</v>
      </c>
      <c r="K61" s="16"/>
      <c r="L61" s="16"/>
      <c r="M61" s="16"/>
      <c r="N61" t="str">
        <f>IF(COUNTIFS( $B$2:$B$666, B61, $C$2:$C$666, C61, $D$2:$D$666, D61, $E$2:$E$666, E61) &gt; 1, "Duplicate", "Unique")</f>
        <v>Unique</v>
      </c>
    </row>
    <row r="62" spans="1:16" ht="27.65" hidden="1" customHeight="1" thickBot="1" x14ac:dyDescent="0.4">
      <c r="A62" s="3">
        <v>46258.601388888892</v>
      </c>
      <c r="B62" s="1" t="s">
        <v>32</v>
      </c>
      <c r="C62" s="1" t="s">
        <v>10</v>
      </c>
      <c r="D62" s="4">
        <v>3</v>
      </c>
      <c r="E62" s="4">
        <v>2271</v>
      </c>
      <c r="F62" s="4">
        <v>0.2516223017</v>
      </c>
      <c r="G62" s="2" t="s">
        <v>83</v>
      </c>
      <c r="H62" s="5">
        <v>2265.3000000000002</v>
      </c>
      <c r="I62" s="1" t="s">
        <v>8</v>
      </c>
      <c r="J62" s="96" t="s">
        <v>54</v>
      </c>
      <c r="K62" s="17" t="s">
        <v>157</v>
      </c>
      <c r="L62" s="17">
        <v>7113</v>
      </c>
      <c r="M62" s="17">
        <f>ABS((D62*E62)-L62)</f>
        <v>300</v>
      </c>
      <c r="N62" s="10" t="str">
        <f>IF(COUNTIFS( $B$2:$B$666, B62, $C$2:$C$666, C62, $D$2:$D$666, D62, $E$2:$E$666, E62) &gt; 1, "Duplicate", "Unique")</f>
        <v>Unique</v>
      </c>
      <c r="O62"/>
      <c r="P62"/>
    </row>
    <row r="63" spans="1:16" s="27" customFormat="1" ht="27.65" hidden="1" customHeight="1" thickBot="1" x14ac:dyDescent="0.4">
      <c r="A63" s="3">
        <v>46252.635416666664</v>
      </c>
      <c r="B63" s="1" t="s">
        <v>77</v>
      </c>
      <c r="C63" s="1" t="s">
        <v>10</v>
      </c>
      <c r="D63" s="4">
        <v>3</v>
      </c>
      <c r="E63" s="4">
        <v>1302</v>
      </c>
      <c r="F63" s="4">
        <v>0.77399380799999995</v>
      </c>
      <c r="G63" s="2" t="s">
        <v>78</v>
      </c>
      <c r="H63" s="5">
        <v>1292</v>
      </c>
      <c r="I63" s="1" t="s">
        <v>8</v>
      </c>
      <c r="J63" s="91" t="s">
        <v>40</v>
      </c>
      <c r="K63" s="16"/>
      <c r="L63" s="16"/>
      <c r="M63" s="16"/>
      <c r="N63" t="str">
        <f>IF(COUNTIFS( $B$2:$B$666, B63, $C$2:$C$666, C63, $D$2:$D$666, D63, $E$2:$E$666, E63) &gt; 1, "Duplicate", "Unique")</f>
        <v>Unique</v>
      </c>
      <c r="O63"/>
      <c r="P63"/>
    </row>
    <row r="64" spans="1:16" s="27" customFormat="1" ht="27.65" customHeight="1" thickBot="1" x14ac:dyDescent="0.4">
      <c r="A64" s="46">
        <v>46293.375694444447</v>
      </c>
      <c r="B64" s="2" t="s">
        <v>50</v>
      </c>
      <c r="C64" s="2" t="s">
        <v>7</v>
      </c>
      <c r="D64" s="5">
        <v>10</v>
      </c>
      <c r="E64" s="5">
        <v>897</v>
      </c>
      <c r="F64" s="4">
        <v>0.7978424542</v>
      </c>
      <c r="G64" s="2" t="s">
        <v>51</v>
      </c>
      <c r="H64" s="5">
        <v>889.9</v>
      </c>
      <c r="I64" s="1" t="s">
        <v>8</v>
      </c>
      <c r="J64" s="17" t="s">
        <v>116</v>
      </c>
      <c r="K64" s="17"/>
      <c r="L64" s="17"/>
      <c r="M64" s="17"/>
      <c r="N64" s="10" t="str">
        <f>IF(COUNTIFS( $B$2:$B$666, B64, $C$2:$C$666, C64, $D$2:$D$666, D64, $E$2:$E$666, E64) &gt; 1, "Duplicate", "Unique")</f>
        <v>Unique</v>
      </c>
      <c r="O64" s="10"/>
      <c r="P64" s="10"/>
    </row>
    <row r="65" spans="1:16" ht="39" hidden="1" thickBot="1" x14ac:dyDescent="0.4">
      <c r="A65" s="3">
        <v>46252.6875</v>
      </c>
      <c r="B65" s="1" t="s">
        <v>20</v>
      </c>
      <c r="C65" s="1" t="s">
        <v>10</v>
      </c>
      <c r="D65" s="4">
        <v>20</v>
      </c>
      <c r="E65" s="4">
        <v>122</v>
      </c>
      <c r="F65" s="4">
        <v>0.81811420540000002</v>
      </c>
      <c r="G65" s="2" t="s">
        <v>85</v>
      </c>
      <c r="H65" s="5">
        <v>121.01</v>
      </c>
      <c r="I65" s="1" t="s">
        <v>8</v>
      </c>
      <c r="J65" s="92" t="s">
        <v>40</v>
      </c>
      <c r="K65" s="16"/>
      <c r="L65" s="16"/>
      <c r="M65" s="16"/>
      <c r="N65" t="str">
        <f>IF(COUNTIFS( $B$2:$B$666, B65, $C$2:$C$666, C65, $D$2:$D$666, D65, $E$2:$E$666, E65) &gt; 1, "Duplicate", "Unique")</f>
        <v>Unique</v>
      </c>
    </row>
    <row r="66" spans="1:16" ht="40.75" hidden="1" customHeight="1" thickBot="1" x14ac:dyDescent="0.4">
      <c r="A66" s="3">
        <v>46281.376388888886</v>
      </c>
      <c r="B66" s="1" t="s">
        <v>108</v>
      </c>
      <c r="C66" s="1" t="s">
        <v>7</v>
      </c>
      <c r="D66" s="4">
        <v>1</v>
      </c>
      <c r="E66" s="4">
        <v>4940</v>
      </c>
      <c r="F66" s="4">
        <v>1.4582049699999999</v>
      </c>
      <c r="G66" s="2" t="s">
        <v>109</v>
      </c>
      <c r="H66" s="5">
        <v>4869</v>
      </c>
      <c r="I66" s="1" t="s">
        <v>8</v>
      </c>
      <c r="J66" s="17" t="s">
        <v>117</v>
      </c>
      <c r="K66" s="17" t="s">
        <v>277</v>
      </c>
      <c r="L66" s="17">
        <v>4640</v>
      </c>
      <c r="M66" s="17">
        <f>ABS((D66*E66)-L66)</f>
        <v>300</v>
      </c>
      <c r="N66" s="10" t="str">
        <f>IF(COUNTIFS( $B$2:$B$666, B66, $C$2:$C$666, C66, $D$2:$D$666, D66, $E$2:$E$666, E66) &gt; 1, "Duplicate", "Unique")</f>
        <v>Unique</v>
      </c>
      <c r="O66" s="36" t="s">
        <v>238</v>
      </c>
    </row>
    <row r="67" spans="1:16" ht="40.75" customHeight="1" thickBot="1" x14ac:dyDescent="0.4">
      <c r="A67" s="11">
        <v>46252.645138888889</v>
      </c>
      <c r="B67" s="8" t="s">
        <v>56</v>
      </c>
      <c r="C67" s="8" t="s">
        <v>7</v>
      </c>
      <c r="D67" s="8">
        <v>5</v>
      </c>
      <c r="E67" s="8">
        <v>3040</v>
      </c>
      <c r="F67" s="4">
        <v>1.7471048929999999</v>
      </c>
      <c r="G67" s="2" t="s">
        <v>57</v>
      </c>
      <c r="H67" s="5">
        <v>2987.8</v>
      </c>
      <c r="I67" s="1" t="s">
        <v>8</v>
      </c>
      <c r="J67" s="16" t="s">
        <v>116</v>
      </c>
      <c r="N67" s="10" t="str">
        <f>IF(COUNTIFS( $B$2:$B$666, B67, $C$2:$C$666, C67, $D$2:$D$666, D67, $E$2:$E$666, E67) &gt; 1, "Duplicate", "Unique")</f>
        <v>Unique</v>
      </c>
    </row>
    <row r="68" spans="1:16" ht="27.65" hidden="1" customHeight="1" thickBot="1" x14ac:dyDescent="0.4">
      <c r="A68" s="3">
        <v>46261.375</v>
      </c>
      <c r="B68" s="1" t="s">
        <v>31</v>
      </c>
      <c r="C68" s="1" t="s">
        <v>10</v>
      </c>
      <c r="D68" s="4">
        <v>20</v>
      </c>
      <c r="E68" s="4">
        <v>870</v>
      </c>
      <c r="F68" s="4">
        <v>1.8735363</v>
      </c>
      <c r="G68" s="2" t="s">
        <v>84</v>
      </c>
      <c r="H68" s="5">
        <v>854</v>
      </c>
      <c r="I68" s="1" t="s">
        <v>8</v>
      </c>
      <c r="J68" s="96" t="s">
        <v>40</v>
      </c>
      <c r="K68" s="17" t="s">
        <v>182</v>
      </c>
      <c r="L68" s="17">
        <v>17700</v>
      </c>
      <c r="M68" s="17">
        <f>ABS((D68*E68)-L68)</f>
        <v>300</v>
      </c>
      <c r="N68" s="10" t="str">
        <f>IF(COUNTIFS( $B$2:$B$666, B68, $C$2:$C$666, C68, $D$2:$D$666, D68, $E$2:$E$666, E68) &gt; 1, "Duplicate", "Unique")</f>
        <v>Unique</v>
      </c>
      <c r="P68" s="22"/>
    </row>
    <row r="69" spans="1:16" ht="27.65" hidden="1" customHeight="1" thickBot="1" x14ac:dyDescent="0.4">
      <c r="A69" s="3">
        <v>46283.375</v>
      </c>
      <c r="B69" s="1" t="s">
        <v>31</v>
      </c>
      <c r="C69" s="1" t="s">
        <v>10</v>
      </c>
      <c r="D69" s="4">
        <v>20</v>
      </c>
      <c r="E69" s="4">
        <v>870.2</v>
      </c>
      <c r="F69" s="4">
        <v>1.8969555039999999</v>
      </c>
      <c r="G69" s="2" t="s">
        <v>84</v>
      </c>
      <c r="H69" s="5">
        <v>854</v>
      </c>
      <c r="I69" s="1" t="s">
        <v>8</v>
      </c>
      <c r="J69" s="96" t="s">
        <v>54</v>
      </c>
      <c r="K69" s="17" t="s">
        <v>281</v>
      </c>
      <c r="L69" s="17">
        <v>17920</v>
      </c>
      <c r="M69" s="17">
        <f>ABS((D69*E69)-L69)</f>
        <v>516</v>
      </c>
      <c r="N69" s="10" t="str">
        <f>IF(COUNTIFS( $B$2:$B$666, B69, $C$2:$C$666, C69, $D$2:$D$666, D69, $E$2:$E$666, E69) &gt; 1, "Duplicate", "Unique")</f>
        <v>Unique</v>
      </c>
    </row>
    <row r="70" spans="1:16" ht="40.75" customHeight="1" thickBot="1" x14ac:dyDescent="0.4">
      <c r="A70" s="46">
        <v>46293.375694444447</v>
      </c>
      <c r="B70" s="2" t="s">
        <v>50</v>
      </c>
      <c r="C70" s="2" t="s">
        <v>7</v>
      </c>
      <c r="D70" s="5">
        <v>10</v>
      </c>
      <c r="E70" s="5">
        <v>907</v>
      </c>
      <c r="F70" s="4">
        <v>1.9215642209999999</v>
      </c>
      <c r="G70" s="2" t="s">
        <v>51</v>
      </c>
      <c r="H70" s="5">
        <v>889.9</v>
      </c>
      <c r="I70" s="1" t="s">
        <v>8</v>
      </c>
      <c r="J70" s="17" t="s">
        <v>116</v>
      </c>
      <c r="K70" s="17" t="s">
        <v>295</v>
      </c>
      <c r="L70" s="17">
        <f>17740/2</f>
        <v>8870</v>
      </c>
      <c r="M70" s="17">
        <f>ABS((D70*E70)-L70)</f>
        <v>200</v>
      </c>
      <c r="N70" s="10" t="str">
        <f>IF(COUNTIFS( $B$2:$B$666, B70, $C$2:$C$666, C70, $D$2:$D$666, D70, $E$2:$E$666, E70) &gt; 1, "Duplicate", "Unique")</f>
        <v>Unique</v>
      </c>
    </row>
    <row r="71" spans="1:16" ht="40.75" hidden="1" customHeight="1" thickBot="1" x14ac:dyDescent="0.4">
      <c r="A71" s="6" t="s">
        <v>61</v>
      </c>
      <c r="B71" s="1" t="s">
        <v>19</v>
      </c>
      <c r="C71" s="1" t="s">
        <v>10</v>
      </c>
      <c r="D71" s="4">
        <v>50</v>
      </c>
      <c r="E71" s="4">
        <v>212</v>
      </c>
      <c r="F71" s="4">
        <v>2.0948711769999999</v>
      </c>
      <c r="G71" s="2" t="s">
        <v>39</v>
      </c>
      <c r="H71" s="5">
        <v>207.65</v>
      </c>
      <c r="I71" s="1" t="s">
        <v>8</v>
      </c>
      <c r="J71" s="91" t="s">
        <v>40</v>
      </c>
      <c r="K71" s="16"/>
      <c r="L71" s="16"/>
      <c r="M71" s="16"/>
      <c r="N71" t="str">
        <f>IF(COUNTIFS( $B$2:$B$666, B71, $C$2:$C$666, C71, $D$2:$D$666, D71, $E$2:$E$666, E71) &gt; 1, "Duplicate", "Unique")</f>
        <v>Unique</v>
      </c>
    </row>
    <row r="72" spans="1:16" ht="40.75" hidden="1" customHeight="1" thickBot="1" x14ac:dyDescent="0.4">
      <c r="A72" s="6" t="s">
        <v>61</v>
      </c>
      <c r="B72" s="1" t="s">
        <v>48</v>
      </c>
      <c r="C72" s="1" t="s">
        <v>10</v>
      </c>
      <c r="D72" s="4">
        <v>2</v>
      </c>
      <c r="E72" s="4">
        <v>3760</v>
      </c>
      <c r="F72" s="4">
        <v>2.3129251700000002</v>
      </c>
      <c r="G72" s="2" t="s">
        <v>49</v>
      </c>
      <c r="H72" s="5">
        <v>3675</v>
      </c>
      <c r="I72" s="1" t="s">
        <v>8</v>
      </c>
      <c r="J72" s="91"/>
      <c r="K72" s="16"/>
      <c r="L72" s="16"/>
      <c r="M72" s="16"/>
      <c r="N72" t="str">
        <f>IF(COUNTIFS( $B$2:$B$666, B72, $C$2:$C$666, C72, $D$2:$D$666, D72, $E$2:$E$666, E72) &gt; 1, "Duplicate", "Unique")</f>
        <v>Unique</v>
      </c>
      <c r="O72"/>
    </row>
    <row r="73" spans="1:16" ht="26.5" thickBot="1" x14ac:dyDescent="0.4">
      <c r="A73" s="46">
        <v>46303.375</v>
      </c>
      <c r="B73" s="2" t="s">
        <v>9</v>
      </c>
      <c r="C73" s="2" t="s">
        <v>7</v>
      </c>
      <c r="D73" s="5">
        <v>50</v>
      </c>
      <c r="E73" s="5">
        <v>289</v>
      </c>
      <c r="F73" s="4">
        <v>2.518623625</v>
      </c>
      <c r="G73" s="2" t="s">
        <v>94</v>
      </c>
      <c r="H73" s="5">
        <v>281.89999999999998</v>
      </c>
      <c r="I73" s="1" t="s">
        <v>8</v>
      </c>
      <c r="J73" s="17" t="s">
        <v>116</v>
      </c>
      <c r="K73" s="17" t="s">
        <v>311</v>
      </c>
      <c r="L73" s="17">
        <v>13900</v>
      </c>
      <c r="M73" s="17">
        <f>ABS((D73*E73)-L73)</f>
        <v>550</v>
      </c>
      <c r="N73" s="10" t="str">
        <f>IF(COUNTIFS( $B$2:$B$666, B73, $C$2:$C$666, C73, $D$2:$D$666, D73, $E$2:$E$666, E73) &gt; 1, "Duplicate", "Unique")</f>
        <v>Unique</v>
      </c>
    </row>
    <row r="74" spans="1:16" ht="39" hidden="1" thickBot="1" x14ac:dyDescent="0.4">
      <c r="A74" s="46">
        <v>46303.375</v>
      </c>
      <c r="B74" s="2" t="s">
        <v>21</v>
      </c>
      <c r="C74" s="2" t="s">
        <v>7</v>
      </c>
      <c r="D74" s="5">
        <v>5</v>
      </c>
      <c r="E74" s="5">
        <v>690</v>
      </c>
      <c r="F74" s="4">
        <v>2.6785714289999998</v>
      </c>
      <c r="G74" s="2" t="s">
        <v>75</v>
      </c>
      <c r="H74" s="5">
        <v>672</v>
      </c>
      <c r="I74" s="1" t="s">
        <v>8</v>
      </c>
      <c r="J74" s="17" t="s">
        <v>117</v>
      </c>
      <c r="K74" s="17" t="s">
        <v>310</v>
      </c>
      <c r="L74" s="17">
        <v>3200</v>
      </c>
      <c r="M74" s="17">
        <f>ABS((D74*E74)-L74)</f>
        <v>250</v>
      </c>
      <c r="N74" s="10" t="str">
        <f>IF(COUNTIFS( $B$2:$B$666, B74, $C$2:$C$666, C74, $D$2:$D$666, D74, $E$2:$E$666, E74) &gt; 1, "Duplicate", "Unique")</f>
        <v>Unique</v>
      </c>
      <c r="O74" s="36" t="s">
        <v>238</v>
      </c>
    </row>
    <row r="75" spans="1:16" ht="40.75" customHeight="1" thickBot="1" x14ac:dyDescent="0.4">
      <c r="A75" s="3">
        <v>46307.617361111108</v>
      </c>
      <c r="B75" s="1" t="s">
        <v>106</v>
      </c>
      <c r="C75" s="1" t="s">
        <v>7</v>
      </c>
      <c r="D75" s="4">
        <v>1</v>
      </c>
      <c r="E75" s="4">
        <v>7168</v>
      </c>
      <c r="F75" s="4">
        <v>2.7302042279999998</v>
      </c>
      <c r="G75" s="2" t="s">
        <v>107</v>
      </c>
      <c r="H75" s="5">
        <v>6977.5</v>
      </c>
      <c r="I75" s="1" t="s">
        <v>8</v>
      </c>
      <c r="J75" t="s">
        <v>116</v>
      </c>
      <c r="K75" t="s">
        <v>322</v>
      </c>
      <c r="L75">
        <v>6868</v>
      </c>
      <c r="M75" s="17">
        <f>ABS((D75*E75)-L75)</f>
        <v>300</v>
      </c>
      <c r="N75" s="10" t="str">
        <f>IF(COUNTIFS( $B$2:$B$666, B75, $C$2:$C$666, C75, $D$2:$D$666, D75, $E$2:$E$666, E75) &gt; 1, "Duplicate", "Unique")</f>
        <v>Unique</v>
      </c>
    </row>
    <row r="76" spans="1:16" ht="40.75" customHeight="1" thickBot="1" x14ac:dyDescent="0.4">
      <c r="A76" s="46">
        <v>46308.389675925922</v>
      </c>
      <c r="B76" s="2" t="s">
        <v>13</v>
      </c>
      <c r="C76" s="2" t="s">
        <v>7</v>
      </c>
      <c r="D76" s="5">
        <v>10</v>
      </c>
      <c r="E76" s="5">
        <v>1796</v>
      </c>
      <c r="F76" s="4">
        <v>2.9226361029999999</v>
      </c>
      <c r="G76" s="2" t="s">
        <v>90</v>
      </c>
      <c r="H76" s="5">
        <v>1745</v>
      </c>
      <c r="I76" s="1" t="s">
        <v>8</v>
      </c>
      <c r="J76" s="17" t="s">
        <v>116</v>
      </c>
      <c r="K76" s="17" t="s">
        <v>342</v>
      </c>
      <c r="L76" s="17">
        <v>17310</v>
      </c>
      <c r="M76" s="17">
        <f>ABS((D76*E76)-L76)</f>
        <v>650</v>
      </c>
      <c r="N76" t="str">
        <f>IF(COUNTIFS( $B$2:$B$666, B76, $C$2:$C$666, C76, $D$2:$D$666, D76, $E$2:$E$666, E76) &gt; 1, "Duplicate", "Unique")</f>
        <v>Unique</v>
      </c>
    </row>
    <row r="77" spans="1:16" ht="40.75" customHeight="1" thickBot="1" x14ac:dyDescent="0.4">
      <c r="A77" s="46">
        <v>46293.375694444447</v>
      </c>
      <c r="B77" s="2" t="s">
        <v>50</v>
      </c>
      <c r="C77" s="2" t="s">
        <v>7</v>
      </c>
      <c r="D77" s="5">
        <v>10</v>
      </c>
      <c r="E77" s="5">
        <v>917</v>
      </c>
      <c r="F77" s="4">
        <v>3.0452859870000002</v>
      </c>
      <c r="G77" s="2" t="s">
        <v>51</v>
      </c>
      <c r="H77" s="5">
        <v>889.9</v>
      </c>
      <c r="I77" s="1" t="s">
        <v>8</v>
      </c>
      <c r="J77" s="17" t="s">
        <v>116</v>
      </c>
      <c r="K77" s="17" t="s">
        <v>295</v>
      </c>
      <c r="L77" s="17">
        <f>17740/2</f>
        <v>8870</v>
      </c>
      <c r="M77" s="17">
        <f>ABS((D77*E77)-L77)</f>
        <v>300</v>
      </c>
      <c r="N77" s="10" t="str">
        <f>IF(COUNTIFS( $B$2:$B$666, B77, $C$2:$C$666, C77, $D$2:$D$666, D77, $E$2:$E$666, E77) &gt; 1, "Duplicate", "Unique")</f>
        <v>Unique</v>
      </c>
    </row>
    <row r="78" spans="1:16" ht="27.65" hidden="1" customHeight="1" thickBot="1" x14ac:dyDescent="0.4">
      <c r="A78" s="3">
        <v>46268.385416666664</v>
      </c>
      <c r="B78" s="1" t="s">
        <v>19</v>
      </c>
      <c r="C78" s="1" t="s">
        <v>10</v>
      </c>
      <c r="D78" s="4">
        <v>100</v>
      </c>
      <c r="E78" s="4">
        <v>214</v>
      </c>
      <c r="F78" s="4">
        <v>3.0580303400000002</v>
      </c>
      <c r="G78" s="2" t="s">
        <v>39</v>
      </c>
      <c r="H78" s="5">
        <v>207.65</v>
      </c>
      <c r="I78" s="1" t="s">
        <v>8</v>
      </c>
      <c r="J78" s="96" t="s">
        <v>54</v>
      </c>
      <c r="K78" s="17" t="s">
        <v>231</v>
      </c>
      <c r="L78" s="17">
        <v>21900</v>
      </c>
      <c r="M78" s="17">
        <f>ABS((D78*E78)-L78)</f>
        <v>500</v>
      </c>
      <c r="N78" s="10" t="str">
        <f>IF(COUNTIFS( $B$2:$B$666, B78, $C$2:$C$666, C78, $D$2:$D$666, D78, $E$2:$E$666, E78) &gt; 1, "Duplicate", "Unique")</f>
        <v>Unique</v>
      </c>
    </row>
    <row r="79" spans="1:16" s="27" customFormat="1" ht="40.75" customHeight="1" thickBot="1" x14ac:dyDescent="0.4">
      <c r="A79" s="11">
        <v>46252.635416666664</v>
      </c>
      <c r="B79" s="8" t="s">
        <v>73</v>
      </c>
      <c r="C79" s="8" t="s">
        <v>7</v>
      </c>
      <c r="D79" s="8">
        <v>5</v>
      </c>
      <c r="E79" s="8">
        <v>3482</v>
      </c>
      <c r="F79" s="4">
        <v>3.1581442200000001</v>
      </c>
      <c r="G79" s="2" t="s">
        <v>74</v>
      </c>
      <c r="H79" s="5">
        <v>3375.4</v>
      </c>
      <c r="I79" s="1" t="s">
        <v>8</v>
      </c>
      <c r="J79" s="32" t="s">
        <v>117</v>
      </c>
      <c r="K79" s="17"/>
      <c r="L79" s="17"/>
      <c r="M79" s="17"/>
      <c r="N79" s="10" t="str">
        <f>IF(COUNTIFS( $B$2:$B$666, B79, $C$2:$C$666, C79, $D$2:$D$666, D79, $E$2:$E$666, E79) &gt; 1, "Duplicate", "Unique")</f>
        <v>Unique</v>
      </c>
      <c r="O79" s="10"/>
      <c r="P79"/>
    </row>
    <row r="80" spans="1:16" ht="27.65" hidden="1" customHeight="1" thickBot="1" x14ac:dyDescent="0.4">
      <c r="A80" s="3">
        <v>46287.375</v>
      </c>
      <c r="B80" s="1" t="s">
        <v>17</v>
      </c>
      <c r="C80" s="1" t="s">
        <v>7</v>
      </c>
      <c r="D80" s="4">
        <v>25</v>
      </c>
      <c r="E80" s="4">
        <v>348</v>
      </c>
      <c r="F80" s="4">
        <v>3.3254156770000001</v>
      </c>
      <c r="G80" s="2" t="s">
        <v>76</v>
      </c>
      <c r="H80" s="5">
        <v>336.8</v>
      </c>
      <c r="I80" s="1" t="s">
        <v>8</v>
      </c>
      <c r="J80" s="17" t="s">
        <v>116</v>
      </c>
      <c r="K80" s="17" t="s">
        <v>285</v>
      </c>
      <c r="L80" s="17">
        <v>8400</v>
      </c>
      <c r="M80" s="17">
        <f>ABS((D80*E80)-L80)</f>
        <v>300</v>
      </c>
      <c r="N80" s="10" t="str">
        <f>IF(COUNTIFS( $B$2:$B$666, B80, $C$2:$C$666, C80, $D$2:$D$666, D80, $E$2:$E$666, E80) &gt; 1, "Duplicate", "Unique")</f>
        <v>Unique</v>
      </c>
      <c r="O80" s="36" t="s">
        <v>238</v>
      </c>
    </row>
    <row r="81" spans="1:16" ht="27.65" customHeight="1" thickBot="1" x14ac:dyDescent="0.4">
      <c r="A81" s="46">
        <v>46304.375</v>
      </c>
      <c r="B81" s="2" t="s">
        <v>31</v>
      </c>
      <c r="C81" s="2" t="s">
        <v>7</v>
      </c>
      <c r="D81" s="5">
        <v>20</v>
      </c>
      <c r="E81" s="5">
        <v>883.5</v>
      </c>
      <c r="F81" s="4">
        <v>3.454332553</v>
      </c>
      <c r="G81" s="2" t="s">
        <v>84</v>
      </c>
      <c r="H81" s="5">
        <v>854</v>
      </c>
      <c r="I81" s="1" t="s">
        <v>8</v>
      </c>
      <c r="J81" s="17" t="s">
        <v>117</v>
      </c>
      <c r="K81" s="17" t="s">
        <v>317</v>
      </c>
      <c r="L81" s="17">
        <v>17020</v>
      </c>
      <c r="M81" s="17">
        <f>ABS((D81*E81)-L81)</f>
        <v>650</v>
      </c>
      <c r="N81" t="str">
        <f>IF(COUNTIFS( $B$2:$B$666, B81, $C$2:$C$666, C81, $D$2:$D$666, D81, $E$2:$E$666, E81) &gt; 1, "Duplicate", "Unique")</f>
        <v>Unique</v>
      </c>
    </row>
    <row r="82" spans="1:16" ht="27.65" hidden="1" customHeight="1" thickBot="1" x14ac:dyDescent="0.4">
      <c r="A82" s="6" t="s">
        <v>61</v>
      </c>
      <c r="B82" s="1" t="s">
        <v>48</v>
      </c>
      <c r="C82" s="1" t="s">
        <v>10</v>
      </c>
      <c r="D82" s="4">
        <v>3</v>
      </c>
      <c r="E82" s="4">
        <v>3810</v>
      </c>
      <c r="F82" s="4">
        <v>3.673469388</v>
      </c>
      <c r="G82" s="2" t="s">
        <v>49</v>
      </c>
      <c r="H82" s="5">
        <v>3675</v>
      </c>
      <c r="I82" s="1" t="s">
        <v>8</v>
      </c>
      <c r="J82" s="91"/>
      <c r="K82" s="16"/>
      <c r="L82" s="16"/>
      <c r="M82" s="16"/>
      <c r="N82" t="str">
        <f>IF(COUNTIFS( $B$2:$B$666, B82, $C$2:$C$666, C82, $D$2:$D$666, D82, $E$2:$E$666, E82) &gt; 1, "Duplicate", "Unique")</f>
        <v>Unique</v>
      </c>
    </row>
    <row r="83" spans="1:16" ht="40.75" customHeight="1" thickBot="1" x14ac:dyDescent="0.4">
      <c r="A83" s="46">
        <v>46293.401388888888</v>
      </c>
      <c r="B83" s="2" t="s">
        <v>14</v>
      </c>
      <c r="C83" s="2" t="s">
        <v>7</v>
      </c>
      <c r="D83" s="5">
        <v>100</v>
      </c>
      <c r="E83" s="5">
        <v>329</v>
      </c>
      <c r="F83" s="4">
        <v>3.8674033149999998</v>
      </c>
      <c r="G83" s="2" t="s">
        <v>44</v>
      </c>
      <c r="H83" s="5">
        <v>316.75</v>
      </c>
      <c r="I83" s="1" t="s">
        <v>8</v>
      </c>
      <c r="J83" s="17" t="s">
        <v>116</v>
      </c>
      <c r="K83" s="17" t="s">
        <v>292</v>
      </c>
      <c r="L83" s="17">
        <v>32400</v>
      </c>
      <c r="M83" s="17">
        <f>ABS((D83*E83)-L83)</f>
        <v>500</v>
      </c>
      <c r="N83" s="10" t="str">
        <f>IF(COUNTIFS( $B$2:$B$666, B83, $C$2:$C$666, C83, $D$2:$D$666, D83, $E$2:$E$666, E83) &gt; 1, "Duplicate", "Unique")</f>
        <v>Unique</v>
      </c>
    </row>
    <row r="84" spans="1:16" ht="27.65" customHeight="1" thickBot="1" x14ac:dyDescent="0.4">
      <c r="A84" s="3">
        <v>46286.375694444447</v>
      </c>
      <c r="B84" s="1" t="s">
        <v>50</v>
      </c>
      <c r="C84" s="1" t="s">
        <v>7</v>
      </c>
      <c r="D84" s="4">
        <v>10</v>
      </c>
      <c r="E84" s="4">
        <v>927</v>
      </c>
      <c r="F84" s="4">
        <v>4.1690077539999999</v>
      </c>
      <c r="G84" s="2" t="s">
        <v>51</v>
      </c>
      <c r="H84" s="5">
        <v>889.9</v>
      </c>
      <c r="I84" s="1" t="s">
        <v>8</v>
      </c>
      <c r="J84" s="17" t="s">
        <v>116</v>
      </c>
      <c r="K84" s="17" t="s">
        <v>284</v>
      </c>
      <c r="L84" s="17">
        <f>26910/3</f>
        <v>8970</v>
      </c>
      <c r="M84" s="17">
        <f>ABS((D84*E84)-L84)</f>
        <v>300</v>
      </c>
      <c r="N84" s="10" t="str">
        <f>IF(COUNTIFS( $B$2:$B$666, B84, $C$2:$C$666, C84, $D$2:$D$666, D84, $E$2:$E$666, E84) &gt; 1, "Duplicate", "Unique")</f>
        <v>Unique</v>
      </c>
    </row>
    <row r="85" spans="1:16" ht="27.65" hidden="1" customHeight="1" thickBot="1" x14ac:dyDescent="0.4">
      <c r="A85" s="6" t="s">
        <v>61</v>
      </c>
      <c r="B85" s="1" t="s">
        <v>48</v>
      </c>
      <c r="C85" s="1" t="s">
        <v>10</v>
      </c>
      <c r="D85" s="4">
        <v>2</v>
      </c>
      <c r="E85" s="4">
        <v>3830</v>
      </c>
      <c r="F85" s="4">
        <v>4.2176870749999997</v>
      </c>
      <c r="G85" s="2" t="s">
        <v>49</v>
      </c>
      <c r="H85" s="5">
        <v>3675</v>
      </c>
      <c r="I85" s="1" t="s">
        <v>8</v>
      </c>
      <c r="J85" s="91"/>
      <c r="K85" s="16"/>
      <c r="L85" s="16"/>
      <c r="M85" s="16"/>
      <c r="N85" t="str">
        <f>IF(COUNTIFS( $B$2:$B$666, B85, $C$2:$C$666, C85, $D$2:$D$666, D85, $E$2:$E$666, E85) &gt; 1, "Duplicate", "Unique")</f>
        <v>Unique</v>
      </c>
    </row>
    <row r="86" spans="1:16" ht="40.75" customHeight="1" thickBot="1" x14ac:dyDescent="0.4">
      <c r="A86" s="11">
        <v>46243.375</v>
      </c>
      <c r="B86" s="8" t="s">
        <v>9</v>
      </c>
      <c r="C86" s="8" t="s">
        <v>7</v>
      </c>
      <c r="D86" s="8">
        <v>50</v>
      </c>
      <c r="E86" s="8">
        <v>294</v>
      </c>
      <c r="F86" s="4">
        <v>4.2923022350000002</v>
      </c>
      <c r="G86" s="2" t="s">
        <v>94</v>
      </c>
      <c r="H86" s="5">
        <v>281.89999999999998</v>
      </c>
      <c r="I86" s="1" t="s">
        <v>8</v>
      </c>
      <c r="J86" s="17" t="s">
        <v>116</v>
      </c>
      <c r="K86" s="17" t="s">
        <v>313</v>
      </c>
      <c r="L86" s="17">
        <v>26109.000000000004</v>
      </c>
      <c r="M86" s="17">
        <f>ABS((D86*E86)-L86)</f>
        <v>11409.000000000004</v>
      </c>
      <c r="N86" s="10" t="str">
        <f>IF(COUNTIFS( $B$2:$B$666, B86, $C$2:$C$666, C86, $D$2:$D$666, D86, $E$2:$E$666, E86) &gt; 1, "Duplicate", "Unique")</f>
        <v>Unique</v>
      </c>
      <c r="P86"/>
    </row>
    <row r="87" spans="1:16" ht="40.75" customHeight="1" thickBot="1" x14ac:dyDescent="0.4">
      <c r="A87" s="50">
        <v>46296.586111111108</v>
      </c>
      <c r="B87" s="51" t="s">
        <v>77</v>
      </c>
      <c r="C87" s="51" t="s">
        <v>7</v>
      </c>
      <c r="D87" s="52">
        <v>5</v>
      </c>
      <c r="E87" s="52">
        <v>1348</v>
      </c>
      <c r="F87" s="4">
        <v>4.3343653250000003</v>
      </c>
      <c r="G87" s="2" t="s">
        <v>78</v>
      </c>
      <c r="H87" s="5">
        <v>1292</v>
      </c>
      <c r="I87" s="1" t="s">
        <v>8</v>
      </c>
      <c r="J87" s="25" t="s">
        <v>117</v>
      </c>
      <c r="K87" s="25" t="s">
        <v>300</v>
      </c>
      <c r="L87" s="25">
        <v>6127.5</v>
      </c>
      <c r="M87" s="25">
        <f>ABS((D87*E87)-L87)</f>
        <v>612.5</v>
      </c>
      <c r="N87" s="27" t="str">
        <f>IF(COUNTIFS( $B$2:$B$666, B87, $C$2:$C$666, C87, $D$2:$D$666, D87, $E$2:$E$666, E87) &gt; 1, "Duplicate", "Unique")</f>
        <v>Duplicate</v>
      </c>
      <c r="O87" s="27"/>
      <c r="P87" s="27"/>
    </row>
    <row r="88" spans="1:16" ht="40.75" customHeight="1" thickBot="1" x14ac:dyDescent="0.4">
      <c r="A88" s="50">
        <v>46296.420138888891</v>
      </c>
      <c r="B88" s="51" t="s">
        <v>77</v>
      </c>
      <c r="C88" s="51" t="s">
        <v>7</v>
      </c>
      <c r="D88" s="52">
        <v>5</v>
      </c>
      <c r="E88" s="52">
        <v>1348</v>
      </c>
      <c r="F88" s="4">
        <v>4.3343653250000003</v>
      </c>
      <c r="G88" s="2" t="s">
        <v>78</v>
      </c>
      <c r="H88" s="5">
        <v>1292</v>
      </c>
      <c r="I88" s="1" t="s">
        <v>8</v>
      </c>
      <c r="J88" s="25" t="s">
        <v>117</v>
      </c>
      <c r="K88" s="25" t="s">
        <v>302</v>
      </c>
      <c r="L88" s="25">
        <v>6320</v>
      </c>
      <c r="M88" s="25">
        <f>ABS((D88*E88)-L88)</f>
        <v>420</v>
      </c>
      <c r="N88" s="27" t="str">
        <f>IF(COUNTIFS( $B$2:$B$666, B88, $C$2:$C$666, C88, $D$2:$D$666, D88, $E$2:$E$666, E88) &gt; 1, "Duplicate", "Unique")</f>
        <v>Duplicate</v>
      </c>
      <c r="O88" s="27"/>
      <c r="P88" s="27"/>
    </row>
    <row r="89" spans="1:16" ht="27.65" hidden="1" customHeight="1" thickBot="1" x14ac:dyDescent="0.4">
      <c r="A89" s="3">
        <v>46274.414583333331</v>
      </c>
      <c r="B89" s="1" t="s">
        <v>12</v>
      </c>
      <c r="C89" s="1" t="s">
        <v>7</v>
      </c>
      <c r="D89" s="4">
        <v>2</v>
      </c>
      <c r="E89" s="4">
        <v>5274</v>
      </c>
      <c r="F89" s="4">
        <v>4.4770206019999996</v>
      </c>
      <c r="G89" s="2" t="s">
        <v>97</v>
      </c>
      <c r="H89" s="5">
        <v>5048</v>
      </c>
      <c r="I89" s="1" t="s">
        <v>8</v>
      </c>
      <c r="J89" s="17" t="s">
        <v>117</v>
      </c>
      <c r="K89" s="17" t="s">
        <v>251</v>
      </c>
      <c r="L89" s="17">
        <v>9902</v>
      </c>
      <c r="M89" s="17">
        <f>ABS((D89*E89)-L89)</f>
        <v>646</v>
      </c>
      <c r="N89" s="10" t="str">
        <f>IF(COUNTIFS( $B$2:$B$666, B89, $C$2:$C$666, C89, $D$2:$D$666, D89, $E$2:$E$666, E89) &gt; 1, "Duplicate", "Unique")</f>
        <v>Unique</v>
      </c>
      <c r="O89" s="36" t="s">
        <v>238</v>
      </c>
    </row>
    <row r="90" spans="1:16" ht="40.75" hidden="1" customHeight="1" thickBot="1" x14ac:dyDescent="0.4">
      <c r="A90" s="6" t="s">
        <v>61</v>
      </c>
      <c r="B90" s="1" t="s">
        <v>48</v>
      </c>
      <c r="C90" s="1" t="s">
        <v>10</v>
      </c>
      <c r="D90" s="4">
        <v>2</v>
      </c>
      <c r="E90" s="4">
        <v>3856</v>
      </c>
      <c r="F90" s="4">
        <v>4.9251700679999999</v>
      </c>
      <c r="G90" s="2" t="s">
        <v>49</v>
      </c>
      <c r="H90" s="5">
        <v>3675</v>
      </c>
      <c r="I90" s="1" t="s">
        <v>8</v>
      </c>
      <c r="J90" s="91"/>
      <c r="K90" s="16"/>
      <c r="L90" s="16"/>
      <c r="M90" s="16"/>
      <c r="N90" t="str">
        <f>IF(COUNTIFS( $B$2:$B$666, B90, $C$2:$C$666, C90, $D$2:$D$666, D90, $E$2:$E$666, E90) &gt; 1, "Duplicate", "Unique")</f>
        <v>Unique</v>
      </c>
      <c r="O90" s="18"/>
    </row>
    <row r="91" spans="1:16" ht="27.65" customHeight="1" thickBot="1" x14ac:dyDescent="0.4">
      <c r="A91" s="46">
        <v>46293.375694444447</v>
      </c>
      <c r="B91" s="2" t="s">
        <v>42</v>
      </c>
      <c r="C91" s="2" t="s">
        <v>7</v>
      </c>
      <c r="D91" s="5">
        <v>5</v>
      </c>
      <c r="E91" s="5">
        <v>762</v>
      </c>
      <c r="F91" s="4">
        <v>5.2268176479999999</v>
      </c>
      <c r="G91" s="2" t="s">
        <v>43</v>
      </c>
      <c r="H91" s="5">
        <v>724.15</v>
      </c>
      <c r="I91" s="1" t="s">
        <v>8</v>
      </c>
      <c r="J91" s="17" t="s">
        <v>117</v>
      </c>
      <c r="K91" s="17" t="s">
        <v>294</v>
      </c>
      <c r="L91" s="17">
        <v>3560</v>
      </c>
      <c r="M91" s="17">
        <f>ABS((D91*E91)-L91)</f>
        <v>250</v>
      </c>
      <c r="N91" s="10" t="str">
        <f>IF(COUNTIFS( $B$2:$B$666, B91, $C$2:$C$666, C91, $D$2:$D$666, D91, $E$2:$E$666, E91) &gt; 1, "Duplicate", "Unique")</f>
        <v>Unique</v>
      </c>
    </row>
    <row r="92" spans="1:16" s="27" customFormat="1" ht="40.75" hidden="1" customHeight="1" thickBot="1" x14ac:dyDescent="0.4">
      <c r="A92" s="11">
        <v>46273.375</v>
      </c>
      <c r="B92" s="8" t="s">
        <v>50</v>
      </c>
      <c r="C92" s="8" t="s">
        <v>7</v>
      </c>
      <c r="D92" s="8">
        <v>10</v>
      </c>
      <c r="E92" s="8">
        <v>937</v>
      </c>
      <c r="F92" s="4">
        <v>5.29272952</v>
      </c>
      <c r="G92" s="2" t="s">
        <v>51</v>
      </c>
      <c r="H92" s="5">
        <v>889.9</v>
      </c>
      <c r="I92" s="1" t="s">
        <v>8</v>
      </c>
      <c r="J92" s="17" t="s">
        <v>152</v>
      </c>
      <c r="K92" s="17" t="s">
        <v>248</v>
      </c>
      <c r="L92" s="17">
        <v>9170</v>
      </c>
      <c r="M92" s="25">
        <f>ABS((D92*E92)-L92)</f>
        <v>200</v>
      </c>
      <c r="N92" s="10" t="str">
        <f>IF(COUNTIFS( $B$2:$B$666, B92, $C$2:$C$666, C92, $D$2:$D$666, D92, $E$2:$E$666, E92) &gt; 1, "Duplicate", "Unique")</f>
        <v>Unique</v>
      </c>
      <c r="O92" s="36" t="s">
        <v>238</v>
      </c>
      <c r="P92" s="10"/>
    </row>
    <row r="93" spans="1:16" s="27" customFormat="1" ht="40.75" hidden="1" customHeight="1" thickBot="1" x14ac:dyDescent="0.4">
      <c r="A93" s="3">
        <v>46268.375</v>
      </c>
      <c r="B93" s="1" t="s">
        <v>14</v>
      </c>
      <c r="C93" s="1" t="s">
        <v>7</v>
      </c>
      <c r="D93" s="4">
        <v>100</v>
      </c>
      <c r="E93" s="4">
        <v>334</v>
      </c>
      <c r="F93" s="4">
        <v>5.4459352799999996</v>
      </c>
      <c r="G93" s="2" t="s">
        <v>44</v>
      </c>
      <c r="H93" s="5">
        <v>316.75</v>
      </c>
      <c r="I93" s="1" t="s">
        <v>8</v>
      </c>
      <c r="J93" s="17" t="s">
        <v>116</v>
      </c>
      <c r="K93" s="17" t="s">
        <v>230</v>
      </c>
      <c r="L93" s="17">
        <v>32200</v>
      </c>
      <c r="M93" s="17">
        <f>ABS((D93*E93)-L93)</f>
        <v>1200</v>
      </c>
      <c r="N93" s="10" t="str">
        <f>IF(COUNTIFS( $B$2:$B$666, B93, $C$2:$C$666, C93, $D$2:$D$666, D93, $E$2:$E$666, E93) &gt; 1, "Duplicate", "Unique")</f>
        <v>Unique</v>
      </c>
      <c r="O93" s="36" t="s">
        <v>238</v>
      </c>
      <c r="P93" s="10"/>
    </row>
    <row r="94" spans="1:16" ht="27.65" hidden="1" customHeight="1" thickBot="1" x14ac:dyDescent="0.4">
      <c r="A94" s="3">
        <v>46252.645138888889</v>
      </c>
      <c r="B94" s="1" t="s">
        <v>67</v>
      </c>
      <c r="C94" s="1" t="s">
        <v>10</v>
      </c>
      <c r="D94" s="4">
        <v>10</v>
      </c>
      <c r="E94" s="4">
        <v>401</v>
      </c>
      <c r="F94" s="4">
        <v>5.5263157889999999</v>
      </c>
      <c r="G94" s="2" t="s">
        <v>68</v>
      </c>
      <c r="H94" s="5">
        <v>380</v>
      </c>
      <c r="I94" s="1" t="s">
        <v>8</v>
      </c>
      <c r="J94" s="93" t="s">
        <v>40</v>
      </c>
      <c r="K94" s="16"/>
      <c r="L94" s="16"/>
      <c r="M94" s="16"/>
      <c r="N94" t="str">
        <f>IF(COUNTIFS( $B$2:$B$666, B94, $C$2:$C$666, C94, $D$2:$D$666, D94, $E$2:$E$666, E94) &gt; 1, "Duplicate", "Unique")</f>
        <v>Unique</v>
      </c>
    </row>
    <row r="95" spans="1:16" ht="27.65" customHeight="1" thickBot="1" x14ac:dyDescent="0.4">
      <c r="A95" s="46">
        <v>46303.375</v>
      </c>
      <c r="B95" s="2" t="s">
        <v>88</v>
      </c>
      <c r="C95" s="2" t="s">
        <v>7</v>
      </c>
      <c r="D95" s="5">
        <v>1</v>
      </c>
      <c r="E95" s="5">
        <v>13450</v>
      </c>
      <c r="F95" s="4">
        <v>5.5729984300000002</v>
      </c>
      <c r="G95" s="2" t="s">
        <v>89</v>
      </c>
      <c r="H95" s="5">
        <v>12740</v>
      </c>
      <c r="I95" s="1" t="s">
        <v>8</v>
      </c>
      <c r="J95" s="17" t="s">
        <v>117</v>
      </c>
      <c r="K95" s="17" t="s">
        <v>309</v>
      </c>
      <c r="L95" s="17">
        <v>12800</v>
      </c>
      <c r="M95" s="17">
        <f>ABS((D95*E95)-L95)</f>
        <v>650</v>
      </c>
      <c r="N95" s="10" t="str">
        <f>IF(COUNTIFS( $B$2:$B$666, B95, $C$2:$C$666, C95, $D$2:$D$666, D95, $E$2:$E$666, E95) &gt; 1, "Duplicate", "Unique")</f>
        <v>Unique</v>
      </c>
    </row>
    <row r="96" spans="1:16" ht="40.75" customHeight="1" thickBot="1" x14ac:dyDescent="0.4">
      <c r="A96" s="3">
        <v>46275.375</v>
      </c>
      <c r="B96" s="1" t="s">
        <v>21</v>
      </c>
      <c r="C96" s="1" t="s">
        <v>7</v>
      </c>
      <c r="D96" s="4">
        <v>5</v>
      </c>
      <c r="E96" s="4">
        <v>710</v>
      </c>
      <c r="F96" s="4">
        <v>5.654761905</v>
      </c>
      <c r="G96" s="2" t="s">
        <v>75</v>
      </c>
      <c r="H96" s="5">
        <v>672</v>
      </c>
      <c r="I96" s="1" t="s">
        <v>8</v>
      </c>
      <c r="J96" s="17" t="s">
        <v>117</v>
      </c>
      <c r="K96" s="17" t="s">
        <v>256</v>
      </c>
      <c r="L96" s="17">
        <v>3300</v>
      </c>
      <c r="M96" s="17">
        <f>ABS((D96*E96)-L96)</f>
        <v>250</v>
      </c>
      <c r="N96" s="10" t="str">
        <f>IF(COUNTIFS( $B$2:$B$666, B96, $C$2:$C$666, C96, $D$2:$D$666, D96, $E$2:$E$666, E96) &gt; 1, "Duplicate", "Unique")</f>
        <v>Unique</v>
      </c>
    </row>
    <row r="97" spans="1:16" ht="40.75" hidden="1" customHeight="1" thickBot="1" x14ac:dyDescent="0.4">
      <c r="A97" s="11">
        <v>46243.375</v>
      </c>
      <c r="B97" s="8" t="s">
        <v>13</v>
      </c>
      <c r="C97" s="8" t="s">
        <v>7</v>
      </c>
      <c r="D97" s="8">
        <v>5</v>
      </c>
      <c r="E97" s="8">
        <v>1844</v>
      </c>
      <c r="F97" s="4">
        <v>5.6733524360000001</v>
      </c>
      <c r="G97" s="2" t="s">
        <v>90</v>
      </c>
      <c r="H97" s="5">
        <v>1745</v>
      </c>
      <c r="I97" s="1" t="s">
        <v>8</v>
      </c>
      <c r="J97" s="17" t="s">
        <v>117</v>
      </c>
      <c r="K97" s="17" t="s">
        <v>247</v>
      </c>
      <c r="L97" s="17">
        <v>8570</v>
      </c>
      <c r="M97" s="25">
        <f>ABS((D97*E97)-L97)</f>
        <v>650</v>
      </c>
      <c r="N97" s="10" t="str">
        <f>IF(COUNTIFS( $B$2:$B$666, B97, $C$2:$C$666, C97, $D$2:$D$666, D97, $E$2:$E$666, E97) &gt; 1, "Duplicate", "Unique")</f>
        <v>Unique</v>
      </c>
      <c r="O97" s="36" t="s">
        <v>238</v>
      </c>
    </row>
    <row r="98" spans="1:16" ht="27.65" hidden="1" customHeight="1" thickBot="1" x14ac:dyDescent="0.4">
      <c r="A98" s="6" t="s">
        <v>61</v>
      </c>
      <c r="B98" s="1" t="s">
        <v>48</v>
      </c>
      <c r="C98" s="1" t="s">
        <v>10</v>
      </c>
      <c r="D98" s="4">
        <v>5</v>
      </c>
      <c r="E98" s="4">
        <v>3888</v>
      </c>
      <c r="F98" s="4">
        <v>5.7959183669999996</v>
      </c>
      <c r="G98" s="2" t="s">
        <v>49</v>
      </c>
      <c r="H98" s="5">
        <v>3675</v>
      </c>
      <c r="I98" s="1" t="s">
        <v>8</v>
      </c>
      <c r="J98" s="91"/>
      <c r="K98" s="16"/>
      <c r="L98" s="16"/>
      <c r="M98" s="16"/>
      <c r="N98" t="str">
        <f>IF(COUNTIFS( $B$2:$B$666, B98, $C$2:$C$666, C98, $D$2:$D$666, D98, $E$2:$E$666, E98) &gt; 1, "Duplicate", "Unique")</f>
        <v>Unique</v>
      </c>
      <c r="O98" s="23"/>
    </row>
    <row r="99" spans="1:16" ht="27.65" hidden="1" customHeight="1" thickBot="1" x14ac:dyDescent="0.4">
      <c r="A99" s="6" t="s">
        <v>61</v>
      </c>
      <c r="B99" s="1" t="s">
        <v>23</v>
      </c>
      <c r="C99" s="1" t="s">
        <v>10</v>
      </c>
      <c r="D99" s="4">
        <v>50</v>
      </c>
      <c r="E99" s="4">
        <v>201</v>
      </c>
      <c r="F99" s="4">
        <v>6.0126582280000003</v>
      </c>
      <c r="G99" s="2" t="s">
        <v>69</v>
      </c>
      <c r="H99" s="5">
        <v>189.6</v>
      </c>
      <c r="I99" s="1" t="s">
        <v>8</v>
      </c>
      <c r="J99" s="92" t="s">
        <v>40</v>
      </c>
      <c r="K99" s="16"/>
      <c r="L99" s="16"/>
      <c r="M99" s="16"/>
      <c r="N99" t="str">
        <f>IF(COUNTIFS( $B$2:$B$666, B99, $C$2:$C$666, C99, $D$2:$D$666, D99, $E$2:$E$666, E99) &gt; 1, "Duplicate", "Unique")</f>
        <v>Unique</v>
      </c>
      <c r="O99"/>
      <c r="P99"/>
    </row>
    <row r="100" spans="1:16" ht="40.75" customHeight="1" thickBot="1" x14ac:dyDescent="0.4">
      <c r="A100" s="46">
        <v>46304.375</v>
      </c>
      <c r="B100" s="2" t="s">
        <v>23</v>
      </c>
      <c r="C100" s="2" t="s">
        <v>7</v>
      </c>
      <c r="D100" s="5">
        <v>50</v>
      </c>
      <c r="E100" s="5">
        <v>201</v>
      </c>
      <c r="F100" s="4">
        <v>6.0126582280000003</v>
      </c>
      <c r="G100" s="2" t="s">
        <v>69</v>
      </c>
      <c r="H100" s="5">
        <v>189.6</v>
      </c>
      <c r="I100" s="1" t="s">
        <v>8</v>
      </c>
      <c r="J100" s="17" t="s">
        <v>117</v>
      </c>
      <c r="K100" s="17" t="s">
        <v>316</v>
      </c>
      <c r="L100" s="17">
        <v>9393.5</v>
      </c>
      <c r="M100" s="17">
        <f>ABS((D100*E100)-L100)</f>
        <v>656.5</v>
      </c>
      <c r="N100" t="str">
        <f>IF(COUNTIFS( $B$2:$B$666, B100, $C$2:$C$666, C100, $D$2:$D$666, D100, $E$2:$E$666, E100) &gt; 1, "Duplicate", "Unique")</f>
        <v>Unique</v>
      </c>
    </row>
    <row r="101" spans="1:16" ht="40.75" customHeight="1" thickBot="1" x14ac:dyDescent="0.4">
      <c r="A101" s="11">
        <v>46243.375</v>
      </c>
      <c r="B101" s="8" t="s">
        <v>9</v>
      </c>
      <c r="C101" s="8" t="s">
        <v>7</v>
      </c>
      <c r="D101" s="8">
        <v>40</v>
      </c>
      <c r="E101" s="8">
        <v>299</v>
      </c>
      <c r="F101" s="4">
        <v>6.0659808440000003</v>
      </c>
      <c r="G101" s="2" t="s">
        <v>94</v>
      </c>
      <c r="H101" s="5">
        <v>281.89999999999998</v>
      </c>
      <c r="I101" s="1" t="s">
        <v>8</v>
      </c>
      <c r="J101" s="17" t="s">
        <v>116</v>
      </c>
      <c r="K101" s="17" t="s">
        <v>314</v>
      </c>
      <c r="L101" s="17">
        <v>26109.000000000004</v>
      </c>
      <c r="M101" s="17">
        <f>ABS((D101*E101)-L101)</f>
        <v>14149.000000000004</v>
      </c>
      <c r="N101" s="10" t="str">
        <f>IF(COUNTIFS( $B$2:$B$666, B101, $C$2:$C$666, C101, $D$2:$D$666, D101, $E$2:$E$666, E101) &gt; 1, "Duplicate", "Unique")</f>
        <v>Unique</v>
      </c>
      <c r="P101"/>
    </row>
    <row r="102" spans="1:16" ht="40.75" hidden="1" customHeight="1" thickBot="1" x14ac:dyDescent="0.4">
      <c r="A102" s="46">
        <v>46296.443055555559</v>
      </c>
      <c r="B102" s="2" t="s">
        <v>15</v>
      </c>
      <c r="C102" s="2" t="s">
        <v>7</v>
      </c>
      <c r="D102" s="5">
        <v>5</v>
      </c>
      <c r="E102" s="5">
        <v>2276</v>
      </c>
      <c r="F102" s="4">
        <v>6.1072261069999998</v>
      </c>
      <c r="G102" s="2" t="s">
        <v>71</v>
      </c>
      <c r="H102" s="5">
        <v>2145</v>
      </c>
      <c r="I102" s="1" t="s">
        <v>8</v>
      </c>
      <c r="J102" s="17" t="s">
        <v>117</v>
      </c>
      <c r="K102" s="17" t="s">
        <v>301</v>
      </c>
      <c r="L102" s="17">
        <v>10725.5</v>
      </c>
      <c r="M102" s="17">
        <f>ABS((D102*E102)-L102)</f>
        <v>654.5</v>
      </c>
      <c r="N102" s="10" t="str">
        <f>IF(COUNTIFS( $B$2:$B$666, B102, $C$2:$C$666, C102, $D$2:$D$666, D102, $E$2:$E$666, E102) &gt; 1, "Duplicate", "Unique")</f>
        <v>Unique</v>
      </c>
      <c r="O102" s="36" t="s">
        <v>238</v>
      </c>
    </row>
    <row r="103" spans="1:16" ht="27.65" customHeight="1" thickBot="1" x14ac:dyDescent="0.4">
      <c r="A103" s="53">
        <v>46302</v>
      </c>
      <c r="B103" s="1" t="s">
        <v>22</v>
      </c>
      <c r="C103" s="1" t="s">
        <v>7</v>
      </c>
      <c r="D103" s="4">
        <v>15</v>
      </c>
      <c r="E103" s="4">
        <v>421</v>
      </c>
      <c r="F103" s="4">
        <v>6.2594649169999999</v>
      </c>
      <c r="G103" s="2" t="s">
        <v>72</v>
      </c>
      <c r="H103" s="5">
        <v>396.2</v>
      </c>
      <c r="I103" s="1" t="s">
        <v>8</v>
      </c>
      <c r="J103" s="49" t="s">
        <v>116</v>
      </c>
      <c r="K103" s="16"/>
      <c r="L103" s="16"/>
      <c r="M103" s="16"/>
      <c r="N103" t="str">
        <f>IF(COUNTIFS( $B$2:$B$666, B103, $C$2:$C$666, C103, $D$2:$D$666, D103, $E$2:$E$666, E103) &gt; 1, "Duplicate", "Unique")</f>
        <v>Unique</v>
      </c>
      <c r="O103"/>
    </row>
    <row r="104" spans="1:16" s="27" customFormat="1" ht="27.65" customHeight="1" thickBot="1" x14ac:dyDescent="0.4">
      <c r="A104" s="3">
        <v>46276.375</v>
      </c>
      <c r="B104" s="1" t="s">
        <v>17</v>
      </c>
      <c r="C104" s="1" t="s">
        <v>7</v>
      </c>
      <c r="D104" s="4">
        <v>25</v>
      </c>
      <c r="E104" s="4">
        <v>358</v>
      </c>
      <c r="F104" s="4">
        <v>6.294536817</v>
      </c>
      <c r="G104" s="2" t="s">
        <v>76</v>
      </c>
      <c r="H104" s="5">
        <v>336.8</v>
      </c>
      <c r="I104" s="1" t="s">
        <v>8</v>
      </c>
      <c r="J104" s="17" t="s">
        <v>116</v>
      </c>
      <c r="K104" s="17" t="s">
        <v>267</v>
      </c>
      <c r="L104" s="17">
        <v>8700</v>
      </c>
      <c r="M104" s="17">
        <f>ABS((D104*E104)-L104)</f>
        <v>250</v>
      </c>
      <c r="N104" s="10" t="str">
        <f>IF(COUNTIFS( $B$2:$B$666, B104, $C$2:$C$666, C104, $D$2:$D$666, D104, $E$2:$E$666, E104) &gt; 1, "Duplicate", "Unique")</f>
        <v>Unique</v>
      </c>
      <c r="O104" s="10"/>
      <c r="P104" s="10"/>
    </row>
    <row r="105" spans="1:16" ht="40.75" customHeight="1" thickBot="1" x14ac:dyDescent="0.4">
      <c r="A105" s="8" t="s">
        <v>61</v>
      </c>
      <c r="B105" s="8" t="s">
        <v>137</v>
      </c>
      <c r="C105" s="8" t="s">
        <v>7</v>
      </c>
      <c r="D105" s="8">
        <v>50</v>
      </c>
      <c r="E105" s="12">
        <v>470</v>
      </c>
      <c r="F105" s="4">
        <v>6.3348416289999996</v>
      </c>
      <c r="G105" s="2" t="s">
        <v>138</v>
      </c>
      <c r="H105" s="5">
        <v>442</v>
      </c>
      <c r="I105" s="1" t="s">
        <v>8</v>
      </c>
      <c r="J105" s="32" t="s">
        <v>116</v>
      </c>
      <c r="N105" s="10" t="str">
        <f>IF(COUNTIFS( $B$2:$B$666, B105, $C$2:$C$666, C105, $D$2:$D$666, D105, $E$2:$E$666, E105) &gt; 1, "Duplicate", "Unique")</f>
        <v>Unique</v>
      </c>
    </row>
    <row r="106" spans="1:16" ht="40.75" customHeight="1" thickBot="1" x14ac:dyDescent="0.4">
      <c r="A106" s="11">
        <v>46273.375</v>
      </c>
      <c r="B106" s="8" t="s">
        <v>50</v>
      </c>
      <c r="C106" s="8" t="s">
        <v>7</v>
      </c>
      <c r="D106" s="8">
        <v>10</v>
      </c>
      <c r="E106" s="8">
        <v>947</v>
      </c>
      <c r="F106" s="4">
        <v>6.4164512870000001</v>
      </c>
      <c r="G106" s="2" t="s">
        <v>51</v>
      </c>
      <c r="H106" s="5">
        <v>889.9</v>
      </c>
      <c r="I106" s="1" t="s">
        <v>8</v>
      </c>
      <c r="J106" s="17" t="s">
        <v>152</v>
      </c>
      <c r="K106" s="17" t="s">
        <v>248</v>
      </c>
      <c r="L106" s="17">
        <v>9170</v>
      </c>
      <c r="M106" s="25">
        <f>ABS((D106*E106)-L106)</f>
        <v>300</v>
      </c>
      <c r="N106" s="10" t="str">
        <f>IF(COUNTIFS( $B$2:$B$666, B106, $C$2:$C$666, C106, $D$2:$D$666, D106, $E$2:$E$666, E106) &gt; 1, "Duplicate", "Unique")</f>
        <v>Unique</v>
      </c>
    </row>
    <row r="107" spans="1:16" ht="27.65" customHeight="1" thickBot="1" x14ac:dyDescent="0.4">
      <c r="A107" s="8" t="s">
        <v>61</v>
      </c>
      <c r="B107" s="8" t="s">
        <v>42</v>
      </c>
      <c r="C107" s="8" t="s">
        <v>7</v>
      </c>
      <c r="D107" s="8">
        <v>10</v>
      </c>
      <c r="E107" s="8">
        <v>773</v>
      </c>
      <c r="F107" s="4">
        <v>6.7458399499999997</v>
      </c>
      <c r="G107" s="2" t="s">
        <v>43</v>
      </c>
      <c r="H107" s="5">
        <v>724.15</v>
      </c>
      <c r="I107" s="1" t="s">
        <v>8</v>
      </c>
      <c r="J107" s="20" t="s">
        <v>117</v>
      </c>
      <c r="N107" s="10" t="str">
        <f>IF(COUNTIFS( $B$2:$B$666, B107, $C$2:$C$666, C107, $D$2:$D$666, D107, $E$2:$E$666, E107) &gt; 1, "Duplicate", "Unique")</f>
        <v>Unique</v>
      </c>
    </row>
    <row r="108" spans="1:16" ht="27.65" customHeight="1" thickBot="1" x14ac:dyDescent="0.4">
      <c r="A108" s="46">
        <v>46293.375</v>
      </c>
      <c r="B108" s="2" t="s">
        <v>65</v>
      </c>
      <c r="C108" s="2" t="s">
        <v>7</v>
      </c>
      <c r="D108" s="5">
        <v>10</v>
      </c>
      <c r="E108" s="5">
        <v>1166</v>
      </c>
      <c r="F108" s="4">
        <v>6.825469537</v>
      </c>
      <c r="G108" s="2" t="s">
        <v>66</v>
      </c>
      <c r="H108" s="5">
        <v>1091.5</v>
      </c>
      <c r="I108" s="1" t="s">
        <v>8</v>
      </c>
      <c r="J108" s="17" t="s">
        <v>116</v>
      </c>
      <c r="K108" s="17" t="s">
        <v>293</v>
      </c>
      <c r="L108" s="17">
        <v>11360</v>
      </c>
      <c r="M108" s="17">
        <f>ABS((D108*E108)-L108)</f>
        <v>300</v>
      </c>
      <c r="N108" s="10" t="str">
        <f>IF(COUNTIFS( $B$2:$B$666, B108, $C$2:$C$666, C108, $D$2:$D$666, D108, $E$2:$E$666, E108) &gt; 1, "Duplicate", "Unique")</f>
        <v>Unique</v>
      </c>
    </row>
    <row r="109" spans="1:16" s="27" customFormat="1" ht="27.65" hidden="1" customHeight="1" thickBot="1" x14ac:dyDescent="0.4">
      <c r="A109" s="3">
        <v>46275.457638888889</v>
      </c>
      <c r="B109" s="1" t="s">
        <v>19</v>
      </c>
      <c r="C109" s="1" t="s">
        <v>10</v>
      </c>
      <c r="D109" s="4">
        <v>100</v>
      </c>
      <c r="E109" s="4">
        <v>222</v>
      </c>
      <c r="F109" s="4">
        <v>6.910666988</v>
      </c>
      <c r="G109" s="2" t="s">
        <v>39</v>
      </c>
      <c r="H109" s="5">
        <v>207.65</v>
      </c>
      <c r="I109" s="1" t="s">
        <v>8</v>
      </c>
      <c r="J109" s="96" t="s">
        <v>40</v>
      </c>
      <c r="K109" s="17" t="s">
        <v>259</v>
      </c>
      <c r="L109" s="17">
        <v>56375</v>
      </c>
      <c r="M109" s="17">
        <f>ABS((D109*E109)-L109)</f>
        <v>34175</v>
      </c>
      <c r="N109" s="10" t="str">
        <f>IF(COUNTIFS( $B$2:$B$666, B109, $C$2:$C$666, C109, $D$2:$D$666, D109, $E$2:$E$666, E109) &gt; 1, "Duplicate", "Unique")</f>
        <v>Unique</v>
      </c>
      <c r="O109" s="10"/>
      <c r="P109" s="10"/>
    </row>
    <row r="110" spans="1:16" ht="27.65" hidden="1" customHeight="1" thickBot="1" x14ac:dyDescent="0.4">
      <c r="A110" s="3">
        <v>46267.375</v>
      </c>
      <c r="B110" s="1" t="s">
        <v>81</v>
      </c>
      <c r="C110" s="1" t="s">
        <v>7</v>
      </c>
      <c r="D110" s="4">
        <v>2</v>
      </c>
      <c r="E110" s="4">
        <v>4290</v>
      </c>
      <c r="F110" s="4">
        <v>6.9425401969999996</v>
      </c>
      <c r="G110" s="2" t="s">
        <v>82</v>
      </c>
      <c r="H110" s="5">
        <v>4011.5</v>
      </c>
      <c r="I110" s="1" t="s">
        <v>8</v>
      </c>
      <c r="J110" s="96" t="s">
        <v>117</v>
      </c>
      <c r="K110" s="17" t="s">
        <v>223</v>
      </c>
      <c r="L110" s="17">
        <v>8220</v>
      </c>
      <c r="M110" s="17">
        <f>ABS((D110*E110)-L110)</f>
        <v>360</v>
      </c>
      <c r="N110" s="10" t="str">
        <f>IF(COUNTIFS( $B$2:$B$666, B110, $C$2:$C$666, C110, $D$2:$D$666, D110, $E$2:$E$666, E110) &gt; 1, "Duplicate", "Unique")</f>
        <v>Unique</v>
      </c>
      <c r="O110" s="36" t="s">
        <v>238</v>
      </c>
    </row>
    <row r="111" spans="1:16" ht="27.65" customHeight="1" thickBot="1" x14ac:dyDescent="0.4">
      <c r="A111" s="3">
        <v>46267.461111111108</v>
      </c>
      <c r="B111" s="1" t="s">
        <v>14</v>
      </c>
      <c r="C111" s="1" t="s">
        <v>7</v>
      </c>
      <c r="D111" s="4">
        <v>100</v>
      </c>
      <c r="E111" s="4">
        <v>339</v>
      </c>
      <c r="F111" s="4">
        <v>7.0244672450000003</v>
      </c>
      <c r="G111" s="2" t="s">
        <v>44</v>
      </c>
      <c r="H111" s="5">
        <v>316.75</v>
      </c>
      <c r="I111" s="1" t="s">
        <v>8</v>
      </c>
      <c r="J111" s="17" t="s">
        <v>116</v>
      </c>
      <c r="K111" s="17" t="s">
        <v>219</v>
      </c>
      <c r="L111" s="17">
        <v>32900</v>
      </c>
      <c r="M111" s="17">
        <f>ABS((D111*E111)-L111)</f>
        <v>1000</v>
      </c>
      <c r="N111" s="10" t="str">
        <f>IF(COUNTIFS( $B$2:$B$666, B111, $C$2:$C$666, C111, $D$2:$D$666, D111, $E$2:$E$666, E111) &gt; 1, "Duplicate", "Unique")</f>
        <v>Unique</v>
      </c>
    </row>
    <row r="112" spans="1:16" ht="27.65" customHeight="1" thickBot="1" x14ac:dyDescent="0.4">
      <c r="A112" s="46">
        <v>46289.390277777777</v>
      </c>
      <c r="B112" s="2" t="s">
        <v>58</v>
      </c>
      <c r="C112" s="2" t="s">
        <v>7</v>
      </c>
      <c r="D112" s="5">
        <v>10</v>
      </c>
      <c r="E112" s="5">
        <v>1054</v>
      </c>
      <c r="F112" s="4">
        <v>7.2500635969999996</v>
      </c>
      <c r="G112" s="2" t="s">
        <v>59</v>
      </c>
      <c r="H112" s="5">
        <v>982.75</v>
      </c>
      <c r="I112" s="1" t="s">
        <v>8</v>
      </c>
      <c r="J112" s="17" t="s">
        <v>117</v>
      </c>
      <c r="K112" s="17" t="s">
        <v>286</v>
      </c>
      <c r="L112" s="17">
        <v>9886</v>
      </c>
      <c r="M112" s="17">
        <f>ABS((D112*E112)-L112)</f>
        <v>654</v>
      </c>
      <c r="N112" s="10" t="str">
        <f>IF(COUNTIFS( $B$2:$B$666, B112, $C$2:$C$666, C112, $D$2:$D$666, D112, $E$2:$E$666, E112) &gt; 1, "Duplicate", "Unique")</f>
        <v>Unique</v>
      </c>
    </row>
    <row r="113" spans="1:16" s="23" customFormat="1" ht="40.75" customHeight="1" thickBot="1" x14ac:dyDescent="0.4">
      <c r="A113" s="3">
        <v>46294.375</v>
      </c>
      <c r="B113" s="2" t="s">
        <v>35</v>
      </c>
      <c r="C113" s="2" t="s">
        <v>7</v>
      </c>
      <c r="D113" s="5">
        <v>5</v>
      </c>
      <c r="E113" s="5">
        <v>1143</v>
      </c>
      <c r="F113" s="4">
        <v>7.2534484380000004</v>
      </c>
      <c r="G113" s="2" t="s">
        <v>64</v>
      </c>
      <c r="H113" s="5">
        <v>1065.7</v>
      </c>
      <c r="I113" s="1" t="s">
        <v>8</v>
      </c>
      <c r="J113" s="17" t="s">
        <v>117</v>
      </c>
      <c r="K113" s="17" t="s">
        <v>297</v>
      </c>
      <c r="L113" s="17">
        <v>5450</v>
      </c>
      <c r="M113" s="17">
        <f>ABS((D113*E113)-L113)</f>
        <v>265</v>
      </c>
      <c r="N113" s="10" t="str">
        <f>IF(COUNTIFS( $B$2:$B$666, B113, $C$2:$C$666, C113, $D$2:$D$666, D113, $E$2:$E$666, E113) &gt; 1, "Duplicate", "Unique")</f>
        <v>Unique</v>
      </c>
      <c r="O113" s="10"/>
      <c r="P113" s="10"/>
    </row>
    <row r="114" spans="1:16" ht="40.75" customHeight="1" thickBot="1" x14ac:dyDescent="0.4">
      <c r="A114" s="3">
        <v>46267.375</v>
      </c>
      <c r="B114" s="1" t="s">
        <v>50</v>
      </c>
      <c r="C114" s="1" t="s">
        <v>7</v>
      </c>
      <c r="D114" s="4">
        <v>10</v>
      </c>
      <c r="E114" s="4">
        <v>957</v>
      </c>
      <c r="F114" s="4">
        <v>7.5401730530000002</v>
      </c>
      <c r="G114" s="2" t="s">
        <v>51</v>
      </c>
      <c r="H114" s="5">
        <v>889.9</v>
      </c>
      <c r="I114" s="1" t="s">
        <v>8</v>
      </c>
      <c r="J114" s="17" t="s">
        <v>116</v>
      </c>
      <c r="K114" s="17" t="s">
        <v>227</v>
      </c>
      <c r="L114" s="17">
        <v>9270</v>
      </c>
      <c r="M114" s="17">
        <f>ABS((D114*E114)-L114)</f>
        <v>300</v>
      </c>
      <c r="N114" s="10" t="str">
        <f>IF(COUNTIFS( $B$2:$B$666, B114, $C$2:$C$666, C114, $D$2:$D$666, D114, $E$2:$E$666, E114) &gt; 1, "Duplicate", "Unique")</f>
        <v>Unique</v>
      </c>
      <c r="P114" s="18"/>
    </row>
    <row r="115" spans="1:16" ht="40.75" hidden="1" customHeight="1" thickBot="1" x14ac:dyDescent="0.4">
      <c r="A115" s="3">
        <v>46261.375</v>
      </c>
      <c r="B115" s="1" t="s">
        <v>23</v>
      </c>
      <c r="C115" s="1" t="s">
        <v>10</v>
      </c>
      <c r="D115" s="4">
        <v>50</v>
      </c>
      <c r="E115" s="4">
        <v>204</v>
      </c>
      <c r="F115" s="4">
        <v>7.5949367089999997</v>
      </c>
      <c r="G115" s="2" t="s">
        <v>69</v>
      </c>
      <c r="H115" s="5">
        <v>189.6</v>
      </c>
      <c r="I115" s="1" t="s">
        <v>8</v>
      </c>
      <c r="J115" s="96" t="s">
        <v>40</v>
      </c>
      <c r="K115" s="17" t="s">
        <v>181</v>
      </c>
      <c r="L115" s="17">
        <v>10550</v>
      </c>
      <c r="M115" s="17">
        <f>ABS((D115*E115)-L115)</f>
        <v>350</v>
      </c>
      <c r="N115" s="10" t="str">
        <f>IF(COUNTIFS( $B$2:$B$666, B115, $C$2:$C$666, C115, $D$2:$D$666, D115, $E$2:$E$666, E115) &gt; 1, "Duplicate", "Unique")</f>
        <v>Unique</v>
      </c>
    </row>
    <row r="116" spans="1:16" s="27" customFormat="1" ht="27.65" customHeight="1" thickBot="1" x14ac:dyDescent="0.4">
      <c r="A116" s="3">
        <v>46280.435416666667</v>
      </c>
      <c r="B116" s="1" t="s">
        <v>67</v>
      </c>
      <c r="C116" s="1" t="s">
        <v>7</v>
      </c>
      <c r="D116" s="4">
        <v>50</v>
      </c>
      <c r="E116" s="4">
        <v>409</v>
      </c>
      <c r="F116" s="4">
        <v>7.6315789470000004</v>
      </c>
      <c r="G116" s="2" t="s">
        <v>68</v>
      </c>
      <c r="H116" s="5">
        <v>380</v>
      </c>
      <c r="I116" s="1" t="s">
        <v>8</v>
      </c>
      <c r="J116" s="17" t="s">
        <v>116</v>
      </c>
      <c r="K116" s="17" t="s">
        <v>271</v>
      </c>
      <c r="L116" s="17">
        <v>39300</v>
      </c>
      <c r="M116" s="17">
        <f>ABS((D116*E116)-L116)</f>
        <v>18850</v>
      </c>
      <c r="N116" s="10" t="str">
        <f>IF(COUNTIFS( $B$2:$B$666, B116, $C$2:$C$666, C116, $D$2:$D$666, D116, $E$2:$E$666, E116) &gt; 1, "Duplicate", "Unique")</f>
        <v>Unique</v>
      </c>
      <c r="O116" s="10"/>
      <c r="P116" s="10"/>
    </row>
    <row r="117" spans="1:16" ht="27.65" customHeight="1" thickBot="1" x14ac:dyDescent="0.4">
      <c r="A117" s="8" t="s">
        <v>61</v>
      </c>
      <c r="B117" s="8" t="s">
        <v>73</v>
      </c>
      <c r="C117" s="8" t="s">
        <v>7</v>
      </c>
      <c r="D117" s="8">
        <v>5</v>
      </c>
      <c r="E117" s="8">
        <v>3633</v>
      </c>
      <c r="F117" s="4">
        <v>7.6316880960000004</v>
      </c>
      <c r="G117" s="2" t="s">
        <v>74</v>
      </c>
      <c r="H117" s="5">
        <v>3375.4</v>
      </c>
      <c r="I117" s="1" t="s">
        <v>8</v>
      </c>
      <c r="J117" s="32"/>
      <c r="N117" s="10" t="str">
        <f>IF(COUNTIFS( $B$2:$B$666, B117, $C$2:$C$666, C117, $D$2:$D$666, D117, $E$2:$E$666, E117) &gt; 1, "Duplicate", "Unique")</f>
        <v>Unique</v>
      </c>
    </row>
    <row r="118" spans="1:16" ht="40.75" customHeight="1" thickBot="1" x14ac:dyDescent="0.4">
      <c r="A118" s="3">
        <v>46267.375</v>
      </c>
      <c r="B118" s="1" t="s">
        <v>14</v>
      </c>
      <c r="C118" s="1" t="s">
        <v>7</v>
      </c>
      <c r="D118" s="4">
        <v>50</v>
      </c>
      <c r="E118" s="4">
        <v>341</v>
      </c>
      <c r="F118" s="4">
        <v>7.6558800319999998</v>
      </c>
      <c r="G118" s="2" t="s">
        <v>44</v>
      </c>
      <c r="H118" s="5">
        <v>316.75</v>
      </c>
      <c r="I118" s="1" t="s">
        <v>8</v>
      </c>
      <c r="J118" s="17" t="s">
        <v>116</v>
      </c>
      <c r="K118" s="17" t="s">
        <v>226</v>
      </c>
      <c r="L118" s="17">
        <v>16755</v>
      </c>
      <c r="M118" s="17">
        <f>ABS((D118*E118)-L118)</f>
        <v>295</v>
      </c>
      <c r="N118" s="10" t="str">
        <f>IF(COUNTIFS( $B$2:$B$666, B118, $C$2:$C$666, C118, $D$2:$D$666, D118, $E$2:$E$666, E118) &gt; 1, "Duplicate", "Unique")</f>
        <v>Unique</v>
      </c>
    </row>
    <row r="119" spans="1:16" ht="27.65" customHeight="1" thickBot="1" x14ac:dyDescent="0.4">
      <c r="A119" s="3">
        <v>46269.411111111112</v>
      </c>
      <c r="B119" s="1" t="s">
        <v>13</v>
      </c>
      <c r="C119" s="1" t="s">
        <v>7</v>
      </c>
      <c r="D119" s="4">
        <v>10</v>
      </c>
      <c r="E119" s="4">
        <v>1879</v>
      </c>
      <c r="F119" s="4">
        <v>7.6790830950000002</v>
      </c>
      <c r="G119" s="2" t="s">
        <v>90</v>
      </c>
      <c r="H119" s="5">
        <v>1745</v>
      </c>
      <c r="I119" s="1" t="s">
        <v>8</v>
      </c>
      <c r="J119" s="17" t="s">
        <v>117</v>
      </c>
      <c r="K119" s="17" t="s">
        <v>233</v>
      </c>
      <c r="L119" s="17">
        <v>18140</v>
      </c>
      <c r="M119" s="24">
        <f>ABS((D119*E119)-L119)</f>
        <v>650</v>
      </c>
      <c r="N119" t="str">
        <f>IF(COUNTIFS( $B$2:$B$666, B119, $C$2:$C$666, C119, $D$2:$D$666, D119, $E$2:$E$666, E119) &gt; 1, "Duplicate", "Unique")</f>
        <v>Unique</v>
      </c>
    </row>
    <row r="120" spans="1:16" ht="40.75" customHeight="1" thickBot="1" x14ac:dyDescent="0.4">
      <c r="A120" s="3">
        <v>46269.643055555556</v>
      </c>
      <c r="B120" s="1" t="s">
        <v>12</v>
      </c>
      <c r="C120" s="1" t="s">
        <v>7</v>
      </c>
      <c r="D120" s="4">
        <v>1</v>
      </c>
      <c r="E120" s="4">
        <v>5448</v>
      </c>
      <c r="F120" s="4">
        <v>7.9239302690000004</v>
      </c>
      <c r="G120" s="2" t="s">
        <v>97</v>
      </c>
      <c r="H120" s="5">
        <v>5048</v>
      </c>
      <c r="I120" s="1" t="s">
        <v>8</v>
      </c>
      <c r="J120" s="17" t="s">
        <v>117</v>
      </c>
      <c r="K120" s="17" t="s">
        <v>232</v>
      </c>
      <c r="L120" s="17">
        <v>5180</v>
      </c>
      <c r="M120" s="24">
        <f>ABS((D120*E120)-L120)</f>
        <v>268</v>
      </c>
      <c r="N120" t="str">
        <f>IF(COUNTIFS( $B$2:$B$666, B120, $C$2:$C$666, C120, $D$2:$D$666, D120, $E$2:$E$666, E120) &gt; 1, "Duplicate", "Unique")</f>
        <v>Unique</v>
      </c>
    </row>
    <row r="121" spans="1:16" s="27" customFormat="1" ht="27.65" customHeight="1" thickBot="1" x14ac:dyDescent="0.4">
      <c r="A121" s="3">
        <v>46301.375</v>
      </c>
      <c r="B121" s="1" t="s">
        <v>32</v>
      </c>
      <c r="C121" s="1" t="s">
        <v>7</v>
      </c>
      <c r="D121" s="4">
        <v>3</v>
      </c>
      <c r="E121" s="4">
        <v>2448</v>
      </c>
      <c r="F121" s="4">
        <v>8.0651569330000008</v>
      </c>
      <c r="G121" s="2" t="s">
        <v>83</v>
      </c>
      <c r="H121" s="5">
        <v>2265.3000000000002</v>
      </c>
      <c r="I121" s="1" t="s">
        <v>8</v>
      </c>
      <c r="J121" s="17" t="s">
        <v>117</v>
      </c>
      <c r="K121" s="17" t="s">
        <v>304</v>
      </c>
      <c r="L121" s="17">
        <f>3*2300</f>
        <v>6900</v>
      </c>
      <c r="M121" s="17">
        <f>ABS((D121*E121)-L121)</f>
        <v>444</v>
      </c>
      <c r="N121" t="str">
        <f>IF(COUNTIFS( $B$2:$B$666, B121, $C$2:$C$666, C121, $D$2:$D$666, D121, $E$2:$E$666, E121) &gt; 1, "Duplicate", "Unique")</f>
        <v>Unique</v>
      </c>
      <c r="O121" s="10"/>
      <c r="P121" s="10"/>
    </row>
    <row r="122" spans="1:16" s="27" customFormat="1" ht="40.75" hidden="1" customHeight="1" thickBot="1" x14ac:dyDescent="0.4">
      <c r="A122" s="3">
        <v>46281.375</v>
      </c>
      <c r="B122" s="1" t="s">
        <v>18</v>
      </c>
      <c r="C122" s="1" t="s">
        <v>7</v>
      </c>
      <c r="D122" s="4">
        <v>10</v>
      </c>
      <c r="E122" s="4">
        <v>1790</v>
      </c>
      <c r="F122" s="4">
        <v>8.1701716219999998</v>
      </c>
      <c r="G122" s="2" t="s">
        <v>101</v>
      </c>
      <c r="H122" s="5">
        <v>1654.8</v>
      </c>
      <c r="I122" s="1" t="s">
        <v>8</v>
      </c>
      <c r="J122" s="17" t="s">
        <v>116</v>
      </c>
      <c r="K122" s="17" t="s">
        <v>278</v>
      </c>
      <c r="L122" s="17">
        <v>16500</v>
      </c>
      <c r="M122" s="17">
        <f>ABS((D122*E122)-L122)</f>
        <v>1400</v>
      </c>
      <c r="N122" s="10" t="str">
        <f>IF(COUNTIFS( $B$2:$B$666, B122, $C$2:$C$666, C122, $D$2:$D$666, D122, $E$2:$E$666, E122) &gt; 1, "Duplicate", "Unique")</f>
        <v>Unique</v>
      </c>
      <c r="O122" s="36" t="s">
        <v>238</v>
      </c>
      <c r="P122" s="10"/>
    </row>
    <row r="123" spans="1:16" ht="27.65" customHeight="1" thickBot="1" x14ac:dyDescent="0.4">
      <c r="A123" s="11">
        <v>46252.6875</v>
      </c>
      <c r="B123" s="8" t="s">
        <v>9</v>
      </c>
      <c r="C123" s="8" t="s">
        <v>7</v>
      </c>
      <c r="D123" s="8">
        <v>50</v>
      </c>
      <c r="E123" s="8">
        <v>305</v>
      </c>
      <c r="F123" s="4">
        <v>8.1943951760000004</v>
      </c>
      <c r="G123" s="2" t="s">
        <v>94</v>
      </c>
      <c r="H123" s="5">
        <v>281.89999999999998</v>
      </c>
      <c r="I123" s="1" t="s">
        <v>8</v>
      </c>
      <c r="J123" s="32" t="s">
        <v>117</v>
      </c>
      <c r="N123" s="10" t="str">
        <f>IF(COUNTIFS( $B$2:$B$666, B123, $C$2:$C$666, C123, $D$2:$D$666, D123, $E$2:$E$666, E123) &gt; 1, "Duplicate", "Unique")</f>
        <v>Unique</v>
      </c>
    </row>
    <row r="124" spans="1:16" ht="27.65" customHeight="1" thickBot="1" x14ac:dyDescent="0.4">
      <c r="A124" s="28">
        <v>46272.451388888891</v>
      </c>
      <c r="B124" s="29" t="s">
        <v>13</v>
      </c>
      <c r="C124" s="29" t="s">
        <v>7</v>
      </c>
      <c r="D124" s="30">
        <v>5</v>
      </c>
      <c r="E124" s="30">
        <v>1894</v>
      </c>
      <c r="F124" s="4">
        <v>8.5386819480000007</v>
      </c>
      <c r="G124" s="2" t="s">
        <v>90</v>
      </c>
      <c r="H124" s="5">
        <v>1745</v>
      </c>
      <c r="I124" s="1" t="s">
        <v>8</v>
      </c>
      <c r="J124" s="27" t="s">
        <v>117</v>
      </c>
      <c r="K124" s="25" t="s">
        <v>239</v>
      </c>
      <c r="L124" s="25">
        <v>8820</v>
      </c>
      <c r="M124" s="25">
        <f>ABS((D124*E124)-L124)</f>
        <v>650</v>
      </c>
      <c r="N124" s="27" t="str">
        <f>IF(COUNTIFS( $B$2:$B$666, B124, $C$2:$C$666, C124, $D$2:$D$666, D124, $E$2:$E$666, E124) &gt; 1, "Duplicate", "Unique")</f>
        <v>Unique</v>
      </c>
      <c r="O124" s="27"/>
      <c r="P124" s="27"/>
    </row>
    <row r="125" spans="1:16" ht="27.65" customHeight="1" thickBot="1" x14ac:dyDescent="0.4">
      <c r="A125" s="28">
        <v>46272.390972222223</v>
      </c>
      <c r="B125" s="29" t="s">
        <v>13</v>
      </c>
      <c r="C125" s="29" t="s">
        <v>7</v>
      </c>
      <c r="D125" s="30">
        <v>20</v>
      </c>
      <c r="E125" s="30">
        <v>1894</v>
      </c>
      <c r="F125" s="4">
        <v>8.5386819480000007</v>
      </c>
      <c r="G125" s="2" t="s">
        <v>90</v>
      </c>
      <c r="H125" s="5">
        <v>1745</v>
      </c>
      <c r="I125" s="1" t="s">
        <v>8</v>
      </c>
      <c r="J125" s="27" t="s">
        <v>117</v>
      </c>
      <c r="K125" s="25" t="s">
        <v>240</v>
      </c>
      <c r="L125" s="25">
        <v>36946</v>
      </c>
      <c r="M125" s="25">
        <f>ABS((D125*E125)-L125)</f>
        <v>934</v>
      </c>
      <c r="N125" s="27" t="str">
        <f>IF(COUNTIFS( $B$2:$B$666, B125, $C$2:$C$666, C125, $D$2:$D$666, D125, $E$2:$E$666, E125) &gt; 1, "Duplicate", "Unique")</f>
        <v>Unique</v>
      </c>
      <c r="O125" s="27"/>
      <c r="P125" s="27"/>
    </row>
    <row r="126" spans="1:16" ht="40.75" customHeight="1" thickBot="1" x14ac:dyDescent="0.4">
      <c r="A126" s="3">
        <v>46267.38958333333</v>
      </c>
      <c r="B126" s="1" t="s">
        <v>14</v>
      </c>
      <c r="C126" s="1" t="s">
        <v>7</v>
      </c>
      <c r="D126" s="4">
        <v>100</v>
      </c>
      <c r="E126" s="4">
        <v>344</v>
      </c>
      <c r="F126" s="4">
        <v>8.6029992110000002</v>
      </c>
      <c r="G126" s="2" t="s">
        <v>44</v>
      </c>
      <c r="H126" s="5">
        <v>316.75</v>
      </c>
      <c r="I126" s="1" t="s">
        <v>8</v>
      </c>
      <c r="J126" s="17" t="s">
        <v>116</v>
      </c>
      <c r="K126" s="17" t="s">
        <v>221</v>
      </c>
      <c r="L126" s="17">
        <v>33200</v>
      </c>
      <c r="M126" s="17">
        <f>ABS((D126*E126)-L126)</f>
        <v>1200</v>
      </c>
      <c r="N126" s="10" t="str">
        <f>IF(COUNTIFS( $B$2:$B$666, B126, $C$2:$C$666, C126, $D$2:$D$666, D126, $E$2:$E$666, E126) &gt; 1, "Duplicate", "Unique")</f>
        <v>Unique</v>
      </c>
    </row>
    <row r="127" spans="1:16" ht="27.65" customHeight="1" thickBot="1" x14ac:dyDescent="0.4">
      <c r="A127" s="3">
        <v>46274.375</v>
      </c>
      <c r="B127" s="1" t="s">
        <v>21</v>
      </c>
      <c r="C127" s="1" t="s">
        <v>7</v>
      </c>
      <c r="D127" s="4">
        <v>5</v>
      </c>
      <c r="E127" s="4">
        <v>730</v>
      </c>
      <c r="F127" s="4">
        <v>8.6309523810000002</v>
      </c>
      <c r="G127" s="2" t="s">
        <v>75</v>
      </c>
      <c r="H127" s="5">
        <v>672</v>
      </c>
      <c r="I127" s="1" t="s">
        <v>8</v>
      </c>
      <c r="J127" s="17" t="s">
        <v>117</v>
      </c>
      <c r="K127" s="17" t="s">
        <v>253</v>
      </c>
      <c r="L127" s="17">
        <v>3400</v>
      </c>
      <c r="M127" s="17">
        <f>ABS((D127*E127)-L127)</f>
        <v>250</v>
      </c>
      <c r="N127" s="10" t="str">
        <f>IF(COUNTIFS( $B$2:$B$666, B127, $C$2:$C$666, C127, $D$2:$D$666, D127, $E$2:$E$666, E127) &gt; 1, "Duplicate", "Unique")</f>
        <v>Unique</v>
      </c>
    </row>
    <row r="128" spans="1:16" ht="27.65" customHeight="1" thickBot="1" x14ac:dyDescent="0.4">
      <c r="A128" s="3">
        <v>46262.375</v>
      </c>
      <c r="B128" s="1" t="s">
        <v>81</v>
      </c>
      <c r="C128" s="1" t="s">
        <v>7</v>
      </c>
      <c r="D128" s="4">
        <v>2</v>
      </c>
      <c r="E128" s="4">
        <v>4360</v>
      </c>
      <c r="F128" s="4">
        <v>8.6875233699999992</v>
      </c>
      <c r="G128" s="2" t="s">
        <v>82</v>
      </c>
      <c r="H128" s="5">
        <v>4011.5</v>
      </c>
      <c r="I128" s="1" t="s">
        <v>8</v>
      </c>
      <c r="J128" s="17" t="s">
        <v>117</v>
      </c>
      <c r="K128" s="17" t="s">
        <v>184</v>
      </c>
      <c r="L128" s="17">
        <v>8420</v>
      </c>
      <c r="M128" s="17">
        <f>ABS((D128*E128)-L128)</f>
        <v>300</v>
      </c>
      <c r="N128" s="10" t="str">
        <f>IF(COUNTIFS( $B$2:$B$666, B128, $C$2:$C$666, C128, $D$2:$D$666, D128, $E$2:$E$666, E128) &gt; 1, "Duplicate", "Unique")</f>
        <v>Unique</v>
      </c>
    </row>
    <row r="129" spans="1:16" ht="27.65" customHeight="1" thickBot="1" x14ac:dyDescent="0.4">
      <c r="A129" s="8" t="s">
        <v>61</v>
      </c>
      <c r="B129" s="8" t="s">
        <v>42</v>
      </c>
      <c r="C129" s="8" t="s">
        <v>7</v>
      </c>
      <c r="D129" s="8">
        <v>5</v>
      </c>
      <c r="E129" s="12">
        <v>790</v>
      </c>
      <c r="F129" s="4">
        <v>9.0934198720000001</v>
      </c>
      <c r="G129" s="2" t="s">
        <v>43</v>
      </c>
      <c r="H129" s="5">
        <v>724.15</v>
      </c>
      <c r="I129" s="1" t="s">
        <v>8</v>
      </c>
      <c r="J129" s="32" t="s">
        <v>117</v>
      </c>
      <c r="N129" s="10" t="str">
        <f>IF(COUNTIFS( $B$2:$B$666, B129, $C$2:$C$666, C129, $D$2:$D$666, D129, $E$2:$E$666, E129) &gt; 1, "Duplicate", "Unique")</f>
        <v>Unique</v>
      </c>
    </row>
    <row r="130" spans="1:16" ht="27.65" customHeight="1" thickBot="1" x14ac:dyDescent="0.4">
      <c r="A130" s="28">
        <v>46335.62777777778</v>
      </c>
      <c r="B130" s="29" t="s">
        <v>11</v>
      </c>
      <c r="C130" s="29" t="s">
        <v>7</v>
      </c>
      <c r="D130" s="30">
        <v>20</v>
      </c>
      <c r="E130" s="30">
        <v>284.5</v>
      </c>
      <c r="F130" s="4">
        <v>9.2130518230000007</v>
      </c>
      <c r="G130" s="2" t="s">
        <v>98</v>
      </c>
      <c r="H130" s="5">
        <v>260.5</v>
      </c>
      <c r="I130" s="1" t="s">
        <v>8</v>
      </c>
      <c r="J130" s="25" t="s">
        <v>117</v>
      </c>
      <c r="K130" s="25" t="s">
        <v>260</v>
      </c>
      <c r="L130" s="25">
        <v>5370</v>
      </c>
      <c r="M130" s="25">
        <f>ABS((D130*E130)-L130)</f>
        <v>320</v>
      </c>
      <c r="N130" s="27" t="str">
        <f>IF(COUNTIFS( $B$2:$B$666, B130, $C$2:$C$666, C130, $D$2:$D$666, D130, $E$2:$E$666, E130) &gt; 1, "Duplicate", "Unique")</f>
        <v>Unique</v>
      </c>
      <c r="O130" s="27"/>
      <c r="P130" s="27"/>
    </row>
    <row r="131" spans="1:16" ht="40.75" customHeight="1" thickBot="1" x14ac:dyDescent="0.4">
      <c r="A131" s="28">
        <v>46280.375694444447</v>
      </c>
      <c r="B131" s="29" t="s">
        <v>11</v>
      </c>
      <c r="C131" s="29" t="s">
        <v>7</v>
      </c>
      <c r="D131" s="30">
        <v>10</v>
      </c>
      <c r="E131" s="30">
        <v>284.5</v>
      </c>
      <c r="F131" s="4">
        <v>9.2130518230000007</v>
      </c>
      <c r="G131" s="2" t="s">
        <v>98</v>
      </c>
      <c r="H131" s="5">
        <v>260.5</v>
      </c>
      <c r="I131" s="1" t="s">
        <v>8</v>
      </c>
      <c r="J131" s="25" t="s">
        <v>117</v>
      </c>
      <c r="K131" s="25" t="s">
        <v>272</v>
      </c>
      <c r="L131" s="25">
        <v>2610</v>
      </c>
      <c r="M131" s="25">
        <f>ABS((D131*E131)-L131)</f>
        <v>235</v>
      </c>
      <c r="N131" s="27" t="str">
        <f>IF(COUNTIFS( $B$2:$B$666, B131, $C$2:$C$666, C131, $D$2:$D$666, D131, $E$2:$E$666, E131) &gt; 1, "Duplicate", "Unique")</f>
        <v>Unique</v>
      </c>
      <c r="O131" s="27"/>
      <c r="P131" s="27"/>
    </row>
    <row r="132" spans="1:16" s="27" customFormat="1" ht="27.65" hidden="1" customHeight="1" thickBot="1" x14ac:dyDescent="0.4">
      <c r="A132" s="3">
        <v>46272.375694444447</v>
      </c>
      <c r="B132" s="1" t="s">
        <v>62</v>
      </c>
      <c r="C132" s="1" t="s">
        <v>7</v>
      </c>
      <c r="D132" s="4">
        <v>15</v>
      </c>
      <c r="E132" s="4">
        <v>1048</v>
      </c>
      <c r="F132" s="4">
        <v>9.5088819230000006</v>
      </c>
      <c r="G132" s="2" t="s">
        <v>63</v>
      </c>
      <c r="H132" s="5">
        <v>957</v>
      </c>
      <c r="I132" s="1" t="s">
        <v>8</v>
      </c>
      <c r="J132" s="17" t="s">
        <v>116</v>
      </c>
      <c r="K132" s="17" t="s">
        <v>242</v>
      </c>
      <c r="L132" s="17">
        <v>15075</v>
      </c>
      <c r="M132" s="17">
        <f>ABS((D132*E132)-L132)</f>
        <v>645</v>
      </c>
      <c r="N132" s="10" t="str">
        <f>IF(COUNTIFS( $B$2:$B$666, B132, $C$2:$C$666, C132, $D$2:$D$666, D132, $E$2:$E$666, E132) &gt; 1, "Duplicate", "Unique")</f>
        <v>Unique</v>
      </c>
      <c r="O132" s="36" t="s">
        <v>238</v>
      </c>
      <c r="P132" s="10"/>
    </row>
    <row r="133" spans="1:16" s="27" customFormat="1" ht="40.75" hidden="1" customHeight="1" thickBot="1" x14ac:dyDescent="0.4">
      <c r="A133" s="3">
        <v>46274.375</v>
      </c>
      <c r="B133" s="1" t="s">
        <v>65</v>
      </c>
      <c r="C133" s="1" t="s">
        <v>7</v>
      </c>
      <c r="D133" s="4">
        <v>10</v>
      </c>
      <c r="E133" s="4">
        <v>1196</v>
      </c>
      <c r="F133" s="4">
        <v>9.5739807599999995</v>
      </c>
      <c r="G133" s="2" t="s">
        <v>66</v>
      </c>
      <c r="H133" s="5">
        <v>1091.5</v>
      </c>
      <c r="I133" s="1" t="s">
        <v>8</v>
      </c>
      <c r="J133" s="17" t="s">
        <v>116</v>
      </c>
      <c r="K133" s="17" t="s">
        <v>252</v>
      </c>
      <c r="L133" s="17">
        <v>11660</v>
      </c>
      <c r="M133" s="17">
        <f>ABS((D133*E133)-L133)</f>
        <v>300</v>
      </c>
      <c r="N133" s="10" t="str">
        <f>IF(COUNTIFS( $B$2:$B$666, B133, $C$2:$C$666, C133, $D$2:$D$666, D133, $E$2:$E$666, E133) &gt; 1, "Duplicate", "Unique")</f>
        <v>Unique</v>
      </c>
      <c r="O133" s="36" t="s">
        <v>238</v>
      </c>
      <c r="P133" s="10"/>
    </row>
    <row r="134" spans="1:16" ht="40.75" customHeight="1" thickBot="1" x14ac:dyDescent="0.4">
      <c r="A134" s="3">
        <v>46260.554861111108</v>
      </c>
      <c r="B134" s="1" t="s">
        <v>12</v>
      </c>
      <c r="C134" s="1" t="s">
        <v>7</v>
      </c>
      <c r="D134" s="4">
        <v>1</v>
      </c>
      <c r="E134" s="4">
        <v>5540</v>
      </c>
      <c r="F134" s="4">
        <v>9.7464342310000003</v>
      </c>
      <c r="G134" s="2" t="s">
        <v>97</v>
      </c>
      <c r="H134" s="5">
        <v>5048</v>
      </c>
      <c r="I134" s="1" t="s">
        <v>8</v>
      </c>
      <c r="J134" s="17" t="s">
        <v>117</v>
      </c>
      <c r="K134" s="17" t="s">
        <v>164</v>
      </c>
      <c r="L134" s="17">
        <v>5290</v>
      </c>
      <c r="M134" s="17">
        <f>ABS((D134*E134)-L134)</f>
        <v>250</v>
      </c>
      <c r="N134" t="str">
        <f>IF(COUNTIFS( $B$2:$B$666, B134, $C$2:$C$666, C134, $D$2:$D$666, D134, $E$2:$E$666, E134) &gt; 1, "Duplicate", "Unique")</f>
        <v>Unique</v>
      </c>
    </row>
    <row r="135" spans="1:16" ht="27.65" customHeight="1" thickBot="1" x14ac:dyDescent="0.4">
      <c r="A135" s="3">
        <v>46261.375694444447</v>
      </c>
      <c r="B135" s="1" t="s">
        <v>50</v>
      </c>
      <c r="C135" s="1" t="s">
        <v>7</v>
      </c>
      <c r="D135" s="4">
        <v>10</v>
      </c>
      <c r="E135" s="4">
        <v>977</v>
      </c>
      <c r="F135" s="4">
        <v>9.7876165860000004</v>
      </c>
      <c r="G135" s="2" t="s">
        <v>51</v>
      </c>
      <c r="H135" s="5">
        <v>889.9</v>
      </c>
      <c r="I135" s="1" t="s">
        <v>8</v>
      </c>
      <c r="J135" s="17" t="s">
        <v>116</v>
      </c>
      <c r="K135" s="17" t="s">
        <v>173</v>
      </c>
      <c r="L135" s="17">
        <v>9470</v>
      </c>
      <c r="M135" s="17">
        <f>ABS((D135*E135)-L135)</f>
        <v>300</v>
      </c>
      <c r="N135" s="10" t="str">
        <f>IF(COUNTIFS( $B$2:$B$666, B135, $C$2:$C$666, C135, $D$2:$D$666, D135, $E$2:$E$666, E135) &gt; 1, "Duplicate", "Unique")</f>
        <v>Unique</v>
      </c>
    </row>
    <row r="136" spans="1:16" ht="27.65" customHeight="1" thickBot="1" x14ac:dyDescent="0.4">
      <c r="A136" s="3">
        <v>46266.642361111109</v>
      </c>
      <c r="B136" s="1" t="s">
        <v>14</v>
      </c>
      <c r="C136" s="1" t="s">
        <v>7</v>
      </c>
      <c r="D136" s="4">
        <v>100</v>
      </c>
      <c r="E136" s="4">
        <v>348</v>
      </c>
      <c r="F136" s="4">
        <v>9.8658247830000008</v>
      </c>
      <c r="G136" s="2" t="s">
        <v>44</v>
      </c>
      <c r="H136" s="5">
        <v>316.75</v>
      </c>
      <c r="I136" s="1" t="s">
        <v>8</v>
      </c>
      <c r="J136" s="17" t="s">
        <v>116</v>
      </c>
      <c r="K136" s="17" t="s">
        <v>215</v>
      </c>
      <c r="L136" s="17">
        <v>33950</v>
      </c>
      <c r="M136" s="17">
        <f>ABS((D136*E136)-L136)</f>
        <v>850</v>
      </c>
      <c r="N136" s="10" t="str">
        <f>IF(COUNTIFS( $B$2:$B$666, B136, $C$2:$C$666, C136, $D$2:$D$666, D136, $E$2:$E$666, E136) &gt; 1, "Duplicate", "Unique")</f>
        <v>Unique</v>
      </c>
    </row>
    <row r="137" spans="1:16" ht="27.65" customHeight="1" thickBot="1" x14ac:dyDescent="0.4">
      <c r="A137" s="8" t="s">
        <v>61</v>
      </c>
      <c r="B137" s="8" t="s">
        <v>73</v>
      </c>
      <c r="C137" s="8" t="s">
        <v>7</v>
      </c>
      <c r="D137" s="8">
        <v>1</v>
      </c>
      <c r="E137" s="8">
        <v>3710</v>
      </c>
      <c r="F137" s="4">
        <v>9.9128992119999992</v>
      </c>
      <c r="G137" s="2" t="s">
        <v>74</v>
      </c>
      <c r="H137" s="5">
        <v>3375.4</v>
      </c>
      <c r="I137" s="1" t="s">
        <v>8</v>
      </c>
      <c r="J137" s="32" t="s">
        <v>117</v>
      </c>
      <c r="N137" s="10" t="str">
        <f>IF(COUNTIFS( $B$2:$B$666, B137, $C$2:$C$666, C137, $D$2:$D$666, D137, $E$2:$E$666, E137) &gt; 1, "Duplicate", "Unique")</f>
        <v>Unique</v>
      </c>
    </row>
    <row r="138" spans="1:16" ht="27.65" hidden="1" customHeight="1" thickBot="1" x14ac:dyDescent="0.4">
      <c r="A138" s="38">
        <v>46273.375</v>
      </c>
      <c r="B138" s="39" t="s">
        <v>48</v>
      </c>
      <c r="C138" s="39" t="s">
        <v>7</v>
      </c>
      <c r="D138" s="39">
        <v>5</v>
      </c>
      <c r="E138" s="39">
        <v>4047</v>
      </c>
      <c r="F138" s="4">
        <v>10.12244898</v>
      </c>
      <c r="G138" s="2" t="s">
        <v>49</v>
      </c>
      <c r="H138" s="5">
        <v>3675</v>
      </c>
      <c r="I138" s="1" t="s">
        <v>8</v>
      </c>
      <c r="J138" s="25" t="s">
        <v>116</v>
      </c>
      <c r="K138" s="25" t="s">
        <v>249</v>
      </c>
      <c r="L138" s="25">
        <v>19730.5</v>
      </c>
      <c r="M138" s="25">
        <f>ABS((D138*E138)-L138)</f>
        <v>504.5</v>
      </c>
      <c r="N138" s="27" t="str">
        <f>IF(COUNTIFS( $B$2:$B$666, B138, $C$2:$C$666, C138, $D$2:$D$666, D138, $E$2:$E$666, E138) &gt; 1, "Duplicate", "Unique")</f>
        <v>Duplicate</v>
      </c>
      <c r="O138" s="36" t="s">
        <v>238</v>
      </c>
      <c r="P138" s="27"/>
    </row>
    <row r="139" spans="1:16" ht="40.75" hidden="1" customHeight="1" thickBot="1" x14ac:dyDescent="0.4">
      <c r="A139" s="28">
        <v>46274.375</v>
      </c>
      <c r="B139" s="29" t="s">
        <v>48</v>
      </c>
      <c r="C139" s="29" t="s">
        <v>7</v>
      </c>
      <c r="D139" s="30">
        <v>5</v>
      </c>
      <c r="E139" s="30">
        <v>4047</v>
      </c>
      <c r="F139" s="4">
        <v>10.12244898</v>
      </c>
      <c r="G139" s="2" t="s">
        <v>49</v>
      </c>
      <c r="H139" s="5">
        <v>3675</v>
      </c>
      <c r="I139" s="1" t="s">
        <v>8</v>
      </c>
      <c r="J139" s="25" t="s">
        <v>116</v>
      </c>
      <c r="K139" s="25" t="s">
        <v>254</v>
      </c>
      <c r="L139" s="25">
        <v>19690</v>
      </c>
      <c r="M139" s="25">
        <f>ABS((D139*E139)-L139)</f>
        <v>545</v>
      </c>
      <c r="N139" s="27" t="str">
        <f>IF(COUNTIFS( $B$2:$B$666, B139, $C$2:$C$666, C139, $D$2:$D$666, D139, $E$2:$E$666, E139) &gt; 1, "Duplicate", "Unique")</f>
        <v>Duplicate</v>
      </c>
      <c r="O139" s="36" t="s">
        <v>238</v>
      </c>
      <c r="P139" s="27"/>
    </row>
    <row r="140" spans="1:16" ht="27.65" hidden="1" customHeight="1" thickBot="1" x14ac:dyDescent="0.4">
      <c r="A140" s="3">
        <v>46266.375694444447</v>
      </c>
      <c r="B140" s="1" t="s">
        <v>120</v>
      </c>
      <c r="C140" s="1" t="s">
        <v>7</v>
      </c>
      <c r="D140" s="4">
        <v>25</v>
      </c>
      <c r="E140" s="4">
        <v>772</v>
      </c>
      <c r="F140" s="4">
        <v>10.128388019999999</v>
      </c>
      <c r="G140" s="2" t="s">
        <v>121</v>
      </c>
      <c r="H140" s="5">
        <v>701</v>
      </c>
      <c r="I140" s="1" t="s">
        <v>8</v>
      </c>
      <c r="J140" s="17" t="s">
        <v>116</v>
      </c>
      <c r="K140" s="17" t="s">
        <v>209</v>
      </c>
      <c r="L140" s="17">
        <v>18800</v>
      </c>
      <c r="M140" s="17">
        <f>ABS((D140*E140)-L140)</f>
        <v>500</v>
      </c>
      <c r="N140" s="10" t="str">
        <f>IF(COUNTIFS( $B$2:$B$666, B140, $C$2:$C$666, C140, $D$2:$D$666, D140, $E$2:$E$666, E140) &gt; 1, "Duplicate", "Unique")</f>
        <v>Unique</v>
      </c>
      <c r="O140" s="37" t="s">
        <v>238</v>
      </c>
    </row>
    <row r="141" spans="1:16" ht="27.65" customHeight="1" thickBot="1" x14ac:dyDescent="0.4">
      <c r="A141" s="3">
        <v>46261.375</v>
      </c>
      <c r="B141" s="1" t="s">
        <v>14</v>
      </c>
      <c r="C141" s="1" t="s">
        <v>7</v>
      </c>
      <c r="D141" s="4">
        <v>50</v>
      </c>
      <c r="E141" s="4">
        <v>349</v>
      </c>
      <c r="F141" s="4">
        <v>10.18153118</v>
      </c>
      <c r="G141" s="2" t="s">
        <v>44</v>
      </c>
      <c r="H141" s="5">
        <v>316.75</v>
      </c>
      <c r="I141" s="1" t="s">
        <v>8</v>
      </c>
      <c r="J141" s="17" t="s">
        <v>116</v>
      </c>
      <c r="K141" s="17" t="s">
        <v>179</v>
      </c>
      <c r="L141" s="17">
        <v>17150</v>
      </c>
      <c r="M141" s="17">
        <f>ABS((D141*E141)-L141)</f>
        <v>300</v>
      </c>
      <c r="N141" s="10" t="str">
        <f>IF(COUNTIFS( $B$2:$B$666, B141, $C$2:$C$666, C141, $D$2:$D$666, D141, $E$2:$E$666, E141) &gt; 1, "Duplicate", "Unique")</f>
        <v>Unique</v>
      </c>
    </row>
    <row r="142" spans="1:16" ht="40.75" customHeight="1" thickBot="1" x14ac:dyDescent="0.4">
      <c r="A142" s="3">
        <v>46260.425694444442</v>
      </c>
      <c r="B142" s="1" t="s">
        <v>13</v>
      </c>
      <c r="C142" s="1" t="s">
        <v>7</v>
      </c>
      <c r="D142" s="4">
        <v>20</v>
      </c>
      <c r="E142" s="4">
        <v>1924</v>
      </c>
      <c r="F142" s="4">
        <v>10.25787966</v>
      </c>
      <c r="G142" s="2" t="s">
        <v>90</v>
      </c>
      <c r="H142" s="5">
        <v>1745</v>
      </c>
      <c r="I142" s="1" t="s">
        <v>8</v>
      </c>
      <c r="J142" s="17" t="s">
        <v>117</v>
      </c>
      <c r="K142" s="17" t="s">
        <v>167</v>
      </c>
      <c r="L142" s="17">
        <v>37480</v>
      </c>
      <c r="M142" s="17">
        <f>ABS((D142*E142)-L142)</f>
        <v>1000</v>
      </c>
      <c r="N142" t="str">
        <f>IF(COUNTIFS( $B$2:$B$666, B142, $C$2:$C$666, C142, $D$2:$D$666, D142, $E$2:$E$666, E142) &gt; 1, "Duplicate", "Unique")</f>
        <v>Unique</v>
      </c>
      <c r="P142" s="27"/>
    </row>
    <row r="143" spans="1:16" ht="40.75" customHeight="1" thickBot="1" x14ac:dyDescent="0.4">
      <c r="A143" s="3">
        <v>46280.435416666667</v>
      </c>
      <c r="B143" s="1" t="s">
        <v>67</v>
      </c>
      <c r="C143" s="1" t="s">
        <v>7</v>
      </c>
      <c r="D143" s="4">
        <v>50</v>
      </c>
      <c r="E143" s="4">
        <v>419</v>
      </c>
      <c r="F143" s="4">
        <v>10.26315789</v>
      </c>
      <c r="G143" s="2" t="s">
        <v>68</v>
      </c>
      <c r="H143" s="5">
        <v>380</v>
      </c>
      <c r="I143" s="1" t="s">
        <v>8</v>
      </c>
      <c r="J143" s="17" t="s">
        <v>116</v>
      </c>
      <c r="K143" s="17" t="s">
        <v>271</v>
      </c>
      <c r="L143" s="17">
        <v>39300</v>
      </c>
      <c r="M143" s="17">
        <f>ABS((D143*E143)-L143)</f>
        <v>18350</v>
      </c>
      <c r="N143" s="10" t="str">
        <f>IF(COUNTIFS( $B$2:$B$666, B143, $C$2:$C$666, C143, $D$2:$D$666, D143, $E$2:$E$666, E143) &gt; 1, "Duplicate", "Unique")</f>
        <v>Unique</v>
      </c>
    </row>
    <row r="144" spans="1:16" s="27" customFormat="1" ht="40.75" customHeight="1" thickBot="1" x14ac:dyDescent="0.4">
      <c r="A144" s="3">
        <v>46274.375</v>
      </c>
      <c r="B144" s="1" t="s">
        <v>52</v>
      </c>
      <c r="C144" s="1" t="s">
        <v>7</v>
      </c>
      <c r="D144" s="4">
        <v>2</v>
      </c>
      <c r="E144" s="4">
        <v>2576</v>
      </c>
      <c r="F144" s="4">
        <v>10.55793991</v>
      </c>
      <c r="G144" s="2" t="s">
        <v>53</v>
      </c>
      <c r="H144" s="5">
        <v>2330</v>
      </c>
      <c r="I144" s="1" t="s">
        <v>8</v>
      </c>
      <c r="J144" s="17" t="s">
        <v>117</v>
      </c>
      <c r="K144" s="17" t="s">
        <v>255</v>
      </c>
      <c r="L144" s="17">
        <v>4852</v>
      </c>
      <c r="M144" s="17">
        <f>ABS((D144*E144)-L144)</f>
        <v>300</v>
      </c>
      <c r="N144" s="10" t="str">
        <f>IF(COUNTIFS( $B$2:$B$666, B144, $C$2:$C$666, C144, $D$2:$D$666, D144, $E$2:$E$666, E144) &gt; 1, "Duplicate", "Unique")</f>
        <v>Unique</v>
      </c>
      <c r="O144" s="10"/>
      <c r="P144" s="10"/>
    </row>
    <row r="145" spans="1:16" ht="40.75" customHeight="1" thickBot="1" x14ac:dyDescent="0.4">
      <c r="A145" s="3">
        <v>46266.375</v>
      </c>
      <c r="B145" s="1" t="s">
        <v>62</v>
      </c>
      <c r="C145" s="1" t="s">
        <v>7</v>
      </c>
      <c r="D145" s="4">
        <v>10</v>
      </c>
      <c r="E145" s="4">
        <v>1060</v>
      </c>
      <c r="F145" s="4">
        <v>10.76280042</v>
      </c>
      <c r="G145" s="2" t="s">
        <v>63</v>
      </c>
      <c r="H145" s="5">
        <v>957</v>
      </c>
      <c r="I145" s="1" t="s">
        <v>8</v>
      </c>
      <c r="J145" s="17" t="s">
        <v>116</v>
      </c>
      <c r="K145" s="17" t="s">
        <v>212</v>
      </c>
      <c r="L145" s="17">
        <v>10300</v>
      </c>
      <c r="M145" s="17">
        <f>ABS((D145*E145)-L145)</f>
        <v>300</v>
      </c>
      <c r="N145" s="10" t="str">
        <f>IF(COUNTIFS( $B$2:$B$666, B145, $C$2:$C$666, C145, $D$2:$D$666, D145, $E$2:$E$666, E145) &gt; 1, "Duplicate", "Unique")</f>
        <v>Unique</v>
      </c>
      <c r="P145" s="27"/>
    </row>
    <row r="146" spans="1:16" ht="40.75" hidden="1" customHeight="1" thickBot="1" x14ac:dyDescent="0.4">
      <c r="A146" s="28">
        <v>46267.425694444442</v>
      </c>
      <c r="B146" s="29" t="s">
        <v>34</v>
      </c>
      <c r="C146" s="29" t="s">
        <v>7</v>
      </c>
      <c r="D146" s="30">
        <v>20</v>
      </c>
      <c r="E146" s="30">
        <v>219.5</v>
      </c>
      <c r="F146" s="4">
        <v>11.25190066</v>
      </c>
      <c r="G146" s="2" t="s">
        <v>41</v>
      </c>
      <c r="H146" s="5">
        <v>197.3</v>
      </c>
      <c r="I146" s="1" t="s">
        <v>8</v>
      </c>
      <c r="J146" s="25" t="s">
        <v>117</v>
      </c>
      <c r="K146" s="25" t="s">
        <v>218</v>
      </c>
      <c r="L146" s="25">
        <v>4120</v>
      </c>
      <c r="M146" s="25">
        <f>ABS((D146*E146)-L146)</f>
        <v>270</v>
      </c>
      <c r="N146" s="27" t="str">
        <f>IF(COUNTIFS( $B$2:$B$666, B146, $C$2:$C$666, C146, $D$2:$D$666, D146, $E$2:$E$666, E146) &gt; 1, "Duplicate", "Unique")</f>
        <v>Unique</v>
      </c>
      <c r="O146" s="37" t="s">
        <v>238</v>
      </c>
      <c r="P146" s="27"/>
    </row>
    <row r="147" spans="1:16" ht="27.65" hidden="1" customHeight="1" thickBot="1" x14ac:dyDescent="0.4">
      <c r="A147" s="28">
        <v>46280.593055555553</v>
      </c>
      <c r="B147" s="29" t="s">
        <v>34</v>
      </c>
      <c r="C147" s="29" t="s">
        <v>7</v>
      </c>
      <c r="D147" s="30">
        <v>10</v>
      </c>
      <c r="E147" s="30">
        <v>219.5</v>
      </c>
      <c r="F147" s="4">
        <v>11.25190066</v>
      </c>
      <c r="G147" s="2" t="s">
        <v>41</v>
      </c>
      <c r="H147" s="5">
        <v>197.3</v>
      </c>
      <c r="I147" s="1" t="s">
        <v>8</v>
      </c>
      <c r="J147" s="25" t="s">
        <v>117</v>
      </c>
      <c r="K147" s="25" t="s">
        <v>269</v>
      </c>
      <c r="L147" s="25">
        <v>2006.3999999999999</v>
      </c>
      <c r="M147" s="25">
        <f>ABS((D147*E147)-L147)</f>
        <v>188.60000000000014</v>
      </c>
      <c r="N147" s="27" t="str">
        <f>IF(COUNTIFS( $B$2:$B$666, B147, $C$2:$C$666, C147, $D$2:$D$666, D147, $E$2:$E$666, E147) &gt; 1, "Duplicate", "Unique")</f>
        <v>Unique</v>
      </c>
      <c r="O147" s="37" t="s">
        <v>238</v>
      </c>
      <c r="P147" s="27"/>
    </row>
    <row r="148" spans="1:16" ht="40.75" customHeight="1" thickBot="1" x14ac:dyDescent="0.4">
      <c r="A148" s="46">
        <v>46289.375694444447</v>
      </c>
      <c r="B148" s="2" t="s">
        <v>23</v>
      </c>
      <c r="C148" s="2" t="s">
        <v>7</v>
      </c>
      <c r="D148" s="5">
        <v>50</v>
      </c>
      <c r="E148" s="5">
        <v>211</v>
      </c>
      <c r="F148" s="4">
        <v>11.28691983</v>
      </c>
      <c r="G148" s="2" t="s">
        <v>69</v>
      </c>
      <c r="H148" s="5">
        <v>189.6</v>
      </c>
      <c r="I148" s="1" t="s">
        <v>8</v>
      </c>
      <c r="J148" s="17" t="s">
        <v>116</v>
      </c>
      <c r="K148" s="17" t="s">
        <v>287</v>
      </c>
      <c r="L148" s="17">
        <v>10250</v>
      </c>
      <c r="M148" s="17">
        <f>ABS((D148*E148)-L148)</f>
        <v>300</v>
      </c>
      <c r="N148" s="10" t="str">
        <f>IF(COUNTIFS( $B$2:$B$666, B148, $C$2:$C$666, C148, $D$2:$D$666, D148, $E$2:$E$666, E148) &gt; 1, "Duplicate", "Unique")</f>
        <v>Unique</v>
      </c>
    </row>
    <row r="149" spans="1:16" s="27" customFormat="1" ht="40.75" customHeight="1" thickBot="1" x14ac:dyDescent="0.4">
      <c r="A149" s="3">
        <v>46265.375694444447</v>
      </c>
      <c r="B149" s="1" t="s">
        <v>48</v>
      </c>
      <c r="C149" s="1" t="s">
        <v>7</v>
      </c>
      <c r="D149" s="4">
        <v>5</v>
      </c>
      <c r="E149" s="4">
        <v>4092</v>
      </c>
      <c r="F149" s="4">
        <v>11.34693878</v>
      </c>
      <c r="G149" s="2" t="s">
        <v>49</v>
      </c>
      <c r="H149" s="5">
        <v>3675</v>
      </c>
      <c r="I149" s="1" t="s">
        <v>8</v>
      </c>
      <c r="J149" s="17" t="s">
        <v>117</v>
      </c>
      <c r="K149" s="17" t="s">
        <v>204</v>
      </c>
      <c r="L149" s="17">
        <v>20010</v>
      </c>
      <c r="M149" s="17">
        <f>ABS((D149*E149)-L149)</f>
        <v>450</v>
      </c>
      <c r="N149" t="str">
        <f>IF(COUNTIFS( $B$2:$B$666, B149, $C$2:$C$666, C149, $D$2:$D$666, D149, $E$2:$E$666, E149) &gt; 1, "Duplicate", "Unique")</f>
        <v>Unique</v>
      </c>
      <c r="O149" s="10"/>
      <c r="P149"/>
    </row>
    <row r="150" spans="1:16" ht="40.75" hidden="1" customHeight="1" thickBot="1" x14ac:dyDescent="0.4">
      <c r="A150" s="3">
        <v>46272.375694444447</v>
      </c>
      <c r="B150" s="1" t="s">
        <v>24</v>
      </c>
      <c r="C150" s="1" t="s">
        <v>7</v>
      </c>
      <c r="D150" s="4">
        <v>40</v>
      </c>
      <c r="E150" s="4">
        <v>448</v>
      </c>
      <c r="F150" s="4">
        <v>11.44278607</v>
      </c>
      <c r="G150" s="2" t="s">
        <v>55</v>
      </c>
      <c r="H150" s="5">
        <v>402</v>
      </c>
      <c r="I150" s="1" t="s">
        <v>8</v>
      </c>
      <c r="J150" s="17" t="s">
        <v>116</v>
      </c>
      <c r="K150" s="17" t="s">
        <v>243</v>
      </c>
      <c r="L150" s="17">
        <v>17040</v>
      </c>
      <c r="M150" s="17">
        <f>ABS((D150*E150)-L150)</f>
        <v>880</v>
      </c>
      <c r="N150" s="10" t="str">
        <f>IF(COUNTIFS( $B$2:$B$666, B150, $C$2:$C$666, C150, $D$2:$D$666, D150, $E$2:$E$666, E150) &gt; 1, "Duplicate", "Unique")</f>
        <v>Unique</v>
      </c>
      <c r="O150" s="36" t="s">
        <v>238</v>
      </c>
    </row>
    <row r="151" spans="1:16" ht="40.75" customHeight="1" thickBot="1" x14ac:dyDescent="0.4">
      <c r="A151" s="11">
        <v>46253.375</v>
      </c>
      <c r="B151" s="8" t="s">
        <v>14</v>
      </c>
      <c r="C151" s="8" t="s">
        <v>7</v>
      </c>
      <c r="D151" s="8">
        <v>50</v>
      </c>
      <c r="E151" s="8">
        <v>353</v>
      </c>
      <c r="F151" s="4">
        <v>11.444356750000001</v>
      </c>
      <c r="G151" s="2" t="s">
        <v>44</v>
      </c>
      <c r="H151" s="5">
        <v>316.75</v>
      </c>
      <c r="I151" s="1" t="s">
        <v>8</v>
      </c>
      <c r="J151" s="32" t="s">
        <v>117</v>
      </c>
      <c r="K151" s="17" t="s">
        <v>143</v>
      </c>
      <c r="N151" s="10" t="str">
        <f>IF(COUNTIFS( $B$2:$B$666, B151, $C$2:$C$666, C151, $D$2:$D$666, D151, $E$2:$E$666, E151) &gt; 1, "Duplicate", "Unique")</f>
        <v>Unique</v>
      </c>
    </row>
    <row r="152" spans="1:16" ht="40.75" customHeight="1" thickBot="1" x14ac:dyDescent="0.4">
      <c r="A152" s="8" t="s">
        <v>61</v>
      </c>
      <c r="B152" s="8" t="s">
        <v>21</v>
      </c>
      <c r="C152" s="8" t="s">
        <v>7</v>
      </c>
      <c r="D152" s="8">
        <v>11</v>
      </c>
      <c r="E152" s="12">
        <v>749</v>
      </c>
      <c r="F152" s="4">
        <v>11.45833333</v>
      </c>
      <c r="G152" s="2" t="s">
        <v>75</v>
      </c>
      <c r="H152" s="5">
        <v>672</v>
      </c>
      <c r="I152" s="1" t="s">
        <v>8</v>
      </c>
      <c r="J152" s="32" t="s">
        <v>191</v>
      </c>
      <c r="N152" s="10" t="str">
        <f>IF(COUNTIFS( $B$2:$B$666, B152, $C$2:$C$666, C152, $D$2:$D$666, D152, $E$2:$E$666, E152) &gt; 1, "Duplicate", "Unique")</f>
        <v>Unique</v>
      </c>
    </row>
    <row r="153" spans="1:16" ht="40.75" hidden="1" customHeight="1" thickBot="1" x14ac:dyDescent="0.4">
      <c r="A153" s="11">
        <v>46252.645138888889</v>
      </c>
      <c r="B153" s="8" t="s">
        <v>67</v>
      </c>
      <c r="C153" s="8" t="s">
        <v>7</v>
      </c>
      <c r="D153" s="8">
        <v>20</v>
      </c>
      <c r="E153" s="8">
        <v>424</v>
      </c>
      <c r="F153" s="4">
        <v>11.57894737</v>
      </c>
      <c r="G153" s="2" t="s">
        <v>68</v>
      </c>
      <c r="H153" s="5">
        <v>380</v>
      </c>
      <c r="I153" s="1" t="s">
        <v>8</v>
      </c>
      <c r="J153" s="32"/>
      <c r="N153" s="10" t="str">
        <f>IF(COUNTIFS( $B$2:$B$666, B153, $C$2:$C$666, C153, $D$2:$D$666, D153, $E$2:$E$666, E153) &gt; 1, "Duplicate", "Unique")</f>
        <v>Unique</v>
      </c>
      <c r="O153" s="36" t="s">
        <v>238</v>
      </c>
      <c r="P153"/>
    </row>
    <row r="154" spans="1:16" ht="40.75" customHeight="1" thickBot="1" x14ac:dyDescent="0.4">
      <c r="A154" s="3">
        <v>46259.388194444444</v>
      </c>
      <c r="B154" s="1" t="s">
        <v>13</v>
      </c>
      <c r="C154" s="1" t="s">
        <v>7</v>
      </c>
      <c r="D154" s="4">
        <v>20</v>
      </c>
      <c r="E154" s="4">
        <v>1948</v>
      </c>
      <c r="F154" s="4">
        <v>11.63323782</v>
      </c>
      <c r="G154" s="2" t="s">
        <v>90</v>
      </c>
      <c r="H154" s="5">
        <v>1745</v>
      </c>
      <c r="I154" s="1" t="s">
        <v>8</v>
      </c>
      <c r="J154" s="17" t="s">
        <v>116</v>
      </c>
      <c r="K154" s="17" t="s">
        <v>160</v>
      </c>
      <c r="L154" s="17">
        <v>38020</v>
      </c>
      <c r="M154" s="17">
        <f>ABS((D154*E154)-L154)</f>
        <v>940</v>
      </c>
      <c r="N154" s="10" t="str">
        <f>IF(COUNTIFS( $B$2:$B$666, B154, $C$2:$C$666, C154, $D$2:$D$666, D154, $E$2:$E$666, E154) &gt; 1, "Duplicate", "Unique")</f>
        <v>Unique</v>
      </c>
    </row>
    <row r="155" spans="1:16" ht="40.75" customHeight="1" thickBot="1" x14ac:dyDescent="0.4">
      <c r="A155" s="8" t="s">
        <v>61</v>
      </c>
      <c r="B155" s="8" t="s">
        <v>137</v>
      </c>
      <c r="C155" s="8" t="s">
        <v>7</v>
      </c>
      <c r="D155" s="8">
        <v>35</v>
      </c>
      <c r="E155" s="13">
        <v>494</v>
      </c>
      <c r="F155" s="4">
        <v>11.764705879999999</v>
      </c>
      <c r="G155" s="2" t="s">
        <v>138</v>
      </c>
      <c r="H155" s="5">
        <v>442</v>
      </c>
      <c r="I155" s="1" t="s">
        <v>8</v>
      </c>
      <c r="J155" s="32"/>
      <c r="N155" s="10" t="str">
        <f>IF(COUNTIFS( $B$2:$B$666, B155, $C$2:$C$666, C155, $D$2:$D$666, D155, $E$2:$E$666, E155) &gt; 1, "Duplicate", "Unique")</f>
        <v>Unique</v>
      </c>
    </row>
    <row r="156" spans="1:16" ht="27.65" customHeight="1" thickBot="1" x14ac:dyDescent="0.4">
      <c r="A156" s="8" t="s">
        <v>61</v>
      </c>
      <c r="B156" s="8" t="s">
        <v>56</v>
      </c>
      <c r="C156" s="8" t="s">
        <v>7</v>
      </c>
      <c r="D156" s="8">
        <v>3</v>
      </c>
      <c r="E156" s="12">
        <v>3341</v>
      </c>
      <c r="F156" s="4">
        <v>11.82140706</v>
      </c>
      <c r="G156" s="2" t="s">
        <v>57</v>
      </c>
      <c r="H156" s="5">
        <v>2987.8</v>
      </c>
      <c r="I156" s="1" t="s">
        <v>8</v>
      </c>
      <c r="J156" s="32"/>
      <c r="N156" s="10" t="str">
        <f>IF(COUNTIFS( $B$2:$B$666, B156, $C$2:$C$666, C156, $D$2:$D$666, D156, $E$2:$E$666, E156) &gt; 1, "Duplicate", "Unique")</f>
        <v>Unique</v>
      </c>
      <c r="P156" s="27"/>
    </row>
    <row r="157" spans="1:16" ht="27.65" customHeight="1" thickBot="1" x14ac:dyDescent="0.4">
      <c r="A157" s="3">
        <v>46260.375694444447</v>
      </c>
      <c r="B157" s="1" t="s">
        <v>48</v>
      </c>
      <c r="C157" s="1" t="s">
        <v>7</v>
      </c>
      <c r="D157" s="4">
        <v>5</v>
      </c>
      <c r="E157" s="4">
        <v>4112</v>
      </c>
      <c r="F157" s="4">
        <v>11.891156459999999</v>
      </c>
      <c r="G157" s="2" t="s">
        <v>49</v>
      </c>
      <c r="H157" s="5">
        <v>3675</v>
      </c>
      <c r="I157" s="1" t="s">
        <v>8</v>
      </c>
      <c r="J157" s="17" t="s">
        <v>117</v>
      </c>
      <c r="K157" s="17" t="s">
        <v>169</v>
      </c>
      <c r="L157" s="17">
        <v>20260</v>
      </c>
      <c r="M157" s="17">
        <f>ABS((D157*E157)-L157)</f>
        <v>300</v>
      </c>
      <c r="N157" t="str">
        <f>IF(COUNTIFS( $B$2:$B$666, B157, $C$2:$C$666, C157, $D$2:$D$666, D157, $E$2:$E$666, E157) &gt; 1, "Duplicate", "Unique")</f>
        <v>Unique</v>
      </c>
      <c r="O157"/>
      <c r="P157" s="27"/>
    </row>
    <row r="158" spans="1:16" ht="40.75" customHeight="1" thickBot="1" x14ac:dyDescent="0.4">
      <c r="A158" s="3">
        <v>46262.375</v>
      </c>
      <c r="B158" s="1" t="s">
        <v>62</v>
      </c>
      <c r="C158" s="1" t="s">
        <v>7</v>
      </c>
      <c r="D158" s="4">
        <v>10</v>
      </c>
      <c r="E158" s="4">
        <v>1071</v>
      </c>
      <c r="F158" s="4">
        <v>11.91222571</v>
      </c>
      <c r="G158" s="2" t="s">
        <v>63</v>
      </c>
      <c r="H158" s="5">
        <v>957</v>
      </c>
      <c r="I158" s="1" t="s">
        <v>8</v>
      </c>
      <c r="J158" s="17" t="s">
        <v>117</v>
      </c>
      <c r="K158" s="17" t="s">
        <v>190</v>
      </c>
      <c r="L158" s="17">
        <v>10410</v>
      </c>
      <c r="M158" s="17">
        <f>ABS((D158*E158)-L158)</f>
        <v>300</v>
      </c>
      <c r="N158" s="10" t="str">
        <f>IF(COUNTIFS( $B$2:$B$666, B158, $C$2:$C$666, C158, $D$2:$D$666, D158, $E$2:$E$666, E158) &gt; 1, "Duplicate", "Unique")</f>
        <v>Unique</v>
      </c>
      <c r="O158" s="27"/>
    </row>
    <row r="159" spans="1:16" ht="40.75" customHeight="1" thickBot="1" x14ac:dyDescent="0.4">
      <c r="A159" s="3">
        <v>46294.375</v>
      </c>
      <c r="B159" s="2" t="s">
        <v>280</v>
      </c>
      <c r="C159" s="2" t="s">
        <v>7</v>
      </c>
      <c r="D159" s="5">
        <v>2</v>
      </c>
      <c r="E159" s="5">
        <v>1740</v>
      </c>
      <c r="F159" s="4">
        <v>11.96911197</v>
      </c>
      <c r="G159" s="2" t="s">
        <v>282</v>
      </c>
      <c r="H159" s="5">
        <v>1554</v>
      </c>
      <c r="I159" s="1" t="s">
        <v>8</v>
      </c>
      <c r="J159" s="17" t="s">
        <v>117</v>
      </c>
      <c r="K159" s="17" t="s">
        <v>298</v>
      </c>
      <c r="L159" s="17">
        <v>3180</v>
      </c>
      <c r="M159" s="17">
        <f>ABS((D159*E159)-L159)</f>
        <v>300</v>
      </c>
      <c r="N159" s="10" t="str">
        <f>IF(COUNTIFS( $B$2:$B$666, B159, $C$2:$C$666, C159, $D$2:$D$666, D159, $E$2:$E$666, E159) &gt; 1, "Duplicate", "Unique")</f>
        <v>Unique</v>
      </c>
    </row>
    <row r="160" spans="1:16" ht="40.75" customHeight="1" thickBot="1" x14ac:dyDescent="0.4">
      <c r="A160" s="11">
        <v>46252.635416666664</v>
      </c>
      <c r="B160" s="8" t="s">
        <v>50</v>
      </c>
      <c r="C160" s="8" t="s">
        <v>7</v>
      </c>
      <c r="D160" s="8">
        <v>10</v>
      </c>
      <c r="E160" s="8">
        <v>997</v>
      </c>
      <c r="F160" s="4">
        <v>12.035060120000001</v>
      </c>
      <c r="G160" s="2" t="s">
        <v>51</v>
      </c>
      <c r="H160" s="5">
        <v>889.9</v>
      </c>
      <c r="I160" s="1" t="s">
        <v>8</v>
      </c>
      <c r="J160" s="32" t="s">
        <v>116</v>
      </c>
      <c r="N160" s="10" t="str">
        <f>IF(COUNTIFS( $B$2:$B$666, B160, $C$2:$C$666, C160, $D$2:$D$666, D160, $E$2:$E$666, E160) &gt; 1, "Duplicate", "Unique")</f>
        <v>Unique</v>
      </c>
    </row>
    <row r="161" spans="1:16" ht="27.65" hidden="1" customHeight="1" thickBot="1" x14ac:dyDescent="0.4">
      <c r="A161" s="11">
        <v>46252.635416666664</v>
      </c>
      <c r="B161" s="8" t="s">
        <v>122</v>
      </c>
      <c r="C161" s="8" t="s">
        <v>7</v>
      </c>
      <c r="D161" s="8">
        <v>200</v>
      </c>
      <c r="E161" s="8">
        <v>89.3</v>
      </c>
      <c r="F161" s="4">
        <v>12.15774931</v>
      </c>
      <c r="G161" s="2" t="s">
        <v>123</v>
      </c>
      <c r="H161" s="5">
        <v>79.62</v>
      </c>
      <c r="I161" s="1" t="s">
        <v>8</v>
      </c>
      <c r="J161" s="17" t="s">
        <v>117</v>
      </c>
      <c r="N161" s="10" t="str">
        <f>IF(COUNTIFS( $B$2:$B$666, B161, $C$2:$C$666, C161, $D$2:$D$666, D161, $E$2:$E$666, E161) &gt; 1, "Duplicate", "Unique")</f>
        <v>Unique</v>
      </c>
      <c r="O161" s="36" t="s">
        <v>238</v>
      </c>
    </row>
    <row r="162" spans="1:16" ht="27.65" hidden="1" customHeight="1" thickBot="1" x14ac:dyDescent="0.4">
      <c r="A162" s="28">
        <v>46281.443055555559</v>
      </c>
      <c r="B162" s="29" t="s">
        <v>35</v>
      </c>
      <c r="C162" s="29" t="s">
        <v>7</v>
      </c>
      <c r="D162" s="30">
        <v>5</v>
      </c>
      <c r="E162" s="30">
        <v>1196</v>
      </c>
      <c r="F162" s="4">
        <v>12.226705450000001</v>
      </c>
      <c r="G162" s="2" t="s">
        <v>64</v>
      </c>
      <c r="H162" s="5">
        <v>1065.7</v>
      </c>
      <c r="I162" s="1" t="s">
        <v>8</v>
      </c>
      <c r="J162" s="25" t="s">
        <v>117</v>
      </c>
      <c r="K162" s="25" t="s">
        <v>274</v>
      </c>
      <c r="L162" s="25">
        <v>5585</v>
      </c>
      <c r="M162" s="25">
        <f>ABS((D162*E162)-L162)</f>
        <v>395</v>
      </c>
      <c r="N162" s="27" t="str">
        <f>IF(COUNTIFS( $B$2:$B$666, B162, $C$2:$C$666, C162, $D$2:$D$666, D162, $E$2:$E$666, E162) &gt; 1, "Duplicate", "Unique")</f>
        <v>Duplicate</v>
      </c>
      <c r="O162" s="36" t="s">
        <v>238</v>
      </c>
      <c r="P162" s="27"/>
    </row>
    <row r="163" spans="1:16" ht="27.65" hidden="1" customHeight="1" thickBot="1" x14ac:dyDescent="0.4">
      <c r="A163" s="28">
        <v>46281.388888888891</v>
      </c>
      <c r="B163" s="29" t="s">
        <v>35</v>
      </c>
      <c r="C163" s="29" t="s">
        <v>7</v>
      </c>
      <c r="D163" s="30">
        <v>5</v>
      </c>
      <c r="E163" s="30">
        <v>1196</v>
      </c>
      <c r="F163" s="4">
        <v>12.226705450000001</v>
      </c>
      <c r="G163" s="2" t="s">
        <v>64</v>
      </c>
      <c r="H163" s="5">
        <v>1065.7</v>
      </c>
      <c r="I163" s="1" t="s">
        <v>8</v>
      </c>
      <c r="J163" s="25" t="s">
        <v>117</v>
      </c>
      <c r="K163" s="25" t="s">
        <v>276</v>
      </c>
      <c r="L163" s="25">
        <v>5730</v>
      </c>
      <c r="M163" s="25">
        <f>ABS((D163*E163)-L163)</f>
        <v>250</v>
      </c>
      <c r="N163" s="27" t="str">
        <f>IF(COUNTIFS( $B$2:$B$666, B163, $C$2:$C$666, C163, $D$2:$D$666, D163, $E$2:$E$666, E163) &gt; 1, "Duplicate", "Unique")</f>
        <v>Duplicate</v>
      </c>
      <c r="O163" s="36" t="s">
        <v>238</v>
      </c>
      <c r="P163" s="27"/>
    </row>
    <row r="164" spans="1:16" ht="40.75" customHeight="1" thickBot="1" x14ac:dyDescent="0.4">
      <c r="A164" s="11">
        <v>46252.645138888889</v>
      </c>
      <c r="B164" s="8" t="s">
        <v>48</v>
      </c>
      <c r="C164" s="8" t="s">
        <v>7</v>
      </c>
      <c r="D164" s="8">
        <v>5</v>
      </c>
      <c r="E164" s="8">
        <v>4129</v>
      </c>
      <c r="F164" s="4">
        <v>12.3537415</v>
      </c>
      <c r="G164" s="2" t="s">
        <v>49</v>
      </c>
      <c r="H164" s="5">
        <v>3675</v>
      </c>
      <c r="I164" s="1" t="s">
        <v>8</v>
      </c>
      <c r="J164" s="32"/>
      <c r="N164" s="10" t="str">
        <f>IF(COUNTIFS( $B$2:$B$666, B164, $C$2:$C$666, C164, $D$2:$D$666, D164, $E$2:$E$666, E164) &gt; 1, "Duplicate", "Unique")</f>
        <v>Unique</v>
      </c>
    </row>
    <row r="165" spans="1:16" ht="40.75" customHeight="1" thickBot="1" x14ac:dyDescent="0.4">
      <c r="A165" s="8" t="s">
        <v>61</v>
      </c>
      <c r="B165" s="8" t="s">
        <v>9</v>
      </c>
      <c r="C165" s="8" t="s">
        <v>7</v>
      </c>
      <c r="D165" s="8">
        <v>50</v>
      </c>
      <c r="E165" s="8">
        <v>317</v>
      </c>
      <c r="F165" s="4">
        <v>12.451223840000001</v>
      </c>
      <c r="G165" s="2" t="s">
        <v>94</v>
      </c>
      <c r="H165" s="5">
        <v>281.89999999999998</v>
      </c>
      <c r="I165" s="1" t="s">
        <v>8</v>
      </c>
      <c r="J165" s="32"/>
      <c r="N165" s="10" t="str">
        <f>IF(COUNTIFS( $B$2:$B$666, B165, $C$2:$C$666, C165, $D$2:$D$666, D165, $E$2:$E$666, E165) &gt; 1, "Duplicate", "Unique")</f>
        <v>Unique</v>
      </c>
    </row>
    <row r="166" spans="1:16" ht="27.65" customHeight="1" thickBot="1" x14ac:dyDescent="0.4">
      <c r="A166" s="28">
        <v>46265.375694444447</v>
      </c>
      <c r="B166" s="29" t="s">
        <v>52</v>
      </c>
      <c r="C166" s="29" t="s">
        <v>7</v>
      </c>
      <c r="D166" s="30">
        <v>3</v>
      </c>
      <c r="E166" s="30">
        <v>2624</v>
      </c>
      <c r="F166" s="4">
        <v>12.618025749999999</v>
      </c>
      <c r="G166" s="2" t="s">
        <v>53</v>
      </c>
      <c r="H166" s="5">
        <v>2330</v>
      </c>
      <c r="I166" s="1" t="s">
        <v>8</v>
      </c>
      <c r="J166" s="25" t="s">
        <v>117</v>
      </c>
      <c r="K166" s="25" t="s">
        <v>196</v>
      </c>
      <c r="L166" s="25">
        <v>7578</v>
      </c>
      <c r="M166" s="25">
        <f>ABS((D166*E166)-L166)</f>
        <v>294</v>
      </c>
      <c r="N166" s="26" t="str">
        <f>IF(COUNTIFS( $B$2:$B$666, B166, $C$2:$C$666, C166, $D$2:$D$666, D166, $E$2:$E$666, E166) &gt; 1, "Duplicate", "Unique")</f>
        <v>Duplicate</v>
      </c>
    </row>
    <row r="167" spans="1:16" ht="40.75" customHeight="1" thickBot="1" x14ac:dyDescent="0.4">
      <c r="A167" s="28">
        <v>46266.375694444447</v>
      </c>
      <c r="B167" s="29" t="s">
        <v>52</v>
      </c>
      <c r="C167" s="29" t="s">
        <v>7</v>
      </c>
      <c r="D167" s="30">
        <v>3</v>
      </c>
      <c r="E167" s="30">
        <v>2624</v>
      </c>
      <c r="F167" s="4">
        <v>12.618025749999999</v>
      </c>
      <c r="G167" s="2" t="s">
        <v>53</v>
      </c>
      <c r="H167" s="5">
        <v>2330</v>
      </c>
      <c r="I167" s="1" t="s">
        <v>8</v>
      </c>
      <c r="J167" s="25" t="s">
        <v>117</v>
      </c>
      <c r="K167" s="25" t="s">
        <v>210</v>
      </c>
      <c r="L167" s="25">
        <v>7578</v>
      </c>
      <c r="M167" s="25">
        <f>ABS((D167*E167)-L167)</f>
        <v>294</v>
      </c>
      <c r="N167" s="27" t="str">
        <f>IF(COUNTIFS( $B$2:$B$666, B167, $C$2:$C$666, C167, $D$2:$D$666, D167, $E$2:$E$666, E167) &gt; 1, "Duplicate", "Unique")</f>
        <v>Duplicate</v>
      </c>
    </row>
    <row r="168" spans="1:16" s="27" customFormat="1" ht="40.75" customHeight="1" thickBot="1" x14ac:dyDescent="0.4">
      <c r="A168" s="28">
        <v>46267.424305555556</v>
      </c>
      <c r="B168" s="29" t="s">
        <v>52</v>
      </c>
      <c r="C168" s="29" t="s">
        <v>7</v>
      </c>
      <c r="D168" s="30">
        <v>2</v>
      </c>
      <c r="E168" s="30">
        <v>2624</v>
      </c>
      <c r="F168" s="4">
        <v>12.618025749999999</v>
      </c>
      <c r="G168" s="2" t="s">
        <v>53</v>
      </c>
      <c r="H168" s="5">
        <v>2330</v>
      </c>
      <c r="I168" s="1" t="s">
        <v>8</v>
      </c>
      <c r="J168" s="25" t="s">
        <v>117</v>
      </c>
      <c r="K168" s="25" t="s">
        <v>220</v>
      </c>
      <c r="L168" s="25">
        <v>4968</v>
      </c>
      <c r="M168" s="25">
        <f>ABS((D168*E168)-L168)</f>
        <v>280</v>
      </c>
      <c r="N168" s="27" t="str">
        <f>IF(COUNTIFS( $B$2:$B$666, B168, $C$2:$C$666, C168, $D$2:$D$666, D168, $E$2:$E$666, E168) &gt; 1, "Duplicate", "Unique")</f>
        <v>Unique</v>
      </c>
    </row>
    <row r="169" spans="1:16" ht="40.75" customHeight="1" thickBot="1" x14ac:dyDescent="0.4">
      <c r="A169" s="11">
        <v>46252.688194444447</v>
      </c>
      <c r="B169" s="8" t="s">
        <v>14</v>
      </c>
      <c r="C169" s="8" t="s">
        <v>7</v>
      </c>
      <c r="D169" s="8">
        <v>50</v>
      </c>
      <c r="E169" s="8">
        <v>357</v>
      </c>
      <c r="F169" s="4">
        <v>12.707182319999999</v>
      </c>
      <c r="G169" s="2" t="s">
        <v>44</v>
      </c>
      <c r="H169" s="5">
        <v>316.75</v>
      </c>
      <c r="I169" s="1" t="s">
        <v>8</v>
      </c>
      <c r="J169" s="32"/>
      <c r="N169" s="10" t="str">
        <f>IF(COUNTIFS( $B$2:$B$666, B169, $C$2:$C$666, C169, $D$2:$D$666, D169, $E$2:$E$666, E169) &gt; 1, "Duplicate", "Unique")</f>
        <v>Unique</v>
      </c>
      <c r="O169" s="27"/>
    </row>
    <row r="170" spans="1:16" ht="40.75" customHeight="1" thickBot="1" x14ac:dyDescent="0.4">
      <c r="A170" s="3">
        <v>46275.375</v>
      </c>
      <c r="B170" s="1" t="s">
        <v>23</v>
      </c>
      <c r="C170" s="1" t="s">
        <v>7</v>
      </c>
      <c r="D170" s="4">
        <v>50</v>
      </c>
      <c r="E170" s="4">
        <v>214</v>
      </c>
      <c r="F170" s="4">
        <v>12.86919831</v>
      </c>
      <c r="G170" s="2" t="s">
        <v>69</v>
      </c>
      <c r="H170" s="5">
        <v>189.6</v>
      </c>
      <c r="I170" s="1" t="s">
        <v>8</v>
      </c>
      <c r="J170" s="17" t="s">
        <v>116</v>
      </c>
      <c r="K170" s="17" t="s">
        <v>257</v>
      </c>
      <c r="L170" s="17">
        <v>10400</v>
      </c>
      <c r="M170" s="17">
        <f>ABS((D170*E170)-L170)</f>
        <v>300</v>
      </c>
      <c r="N170" s="10" t="str">
        <f>IF(COUNTIFS( $B$2:$B$666, B170, $C$2:$C$666, C170, $D$2:$D$666, D170, $E$2:$E$666, E170) &gt; 1, "Duplicate", "Unique")</f>
        <v>Unique</v>
      </c>
    </row>
    <row r="171" spans="1:16" ht="40.75" customHeight="1" thickBot="1" x14ac:dyDescent="0.4">
      <c r="A171" s="8" t="s">
        <v>61</v>
      </c>
      <c r="B171" s="8" t="s">
        <v>73</v>
      </c>
      <c r="C171" s="8" t="s">
        <v>7</v>
      </c>
      <c r="D171" s="8">
        <v>1</v>
      </c>
      <c r="E171" s="12">
        <v>3810</v>
      </c>
      <c r="F171" s="4">
        <v>12.87551105</v>
      </c>
      <c r="G171" s="2" t="s">
        <v>74</v>
      </c>
      <c r="H171" s="5">
        <v>3375.4</v>
      </c>
      <c r="I171" s="1" t="s">
        <v>8</v>
      </c>
      <c r="J171" s="32" t="s">
        <v>117</v>
      </c>
      <c r="N171" s="10" t="str">
        <f>IF(COUNTIFS( $B$2:$B$666, B171, $C$2:$C$666, C171, $D$2:$D$666, D171, $E$2:$E$666, E171) &gt; 1, "Duplicate", "Unique")</f>
        <v>Unique</v>
      </c>
    </row>
    <row r="172" spans="1:16" ht="40.75" customHeight="1" thickBot="1" x14ac:dyDescent="0.4">
      <c r="A172" s="3">
        <v>46261.375</v>
      </c>
      <c r="B172" s="1" t="s">
        <v>62</v>
      </c>
      <c r="C172" s="1" t="s">
        <v>7</v>
      </c>
      <c r="D172" s="4">
        <v>10</v>
      </c>
      <c r="E172" s="4">
        <v>1081</v>
      </c>
      <c r="F172" s="4">
        <v>12.957157779999999</v>
      </c>
      <c r="G172" s="2" t="s">
        <v>63</v>
      </c>
      <c r="H172" s="5">
        <v>957</v>
      </c>
      <c r="I172" s="1" t="s">
        <v>8</v>
      </c>
      <c r="J172" s="17" t="s">
        <v>117</v>
      </c>
      <c r="K172" s="17" t="s">
        <v>180</v>
      </c>
      <c r="L172" s="17">
        <v>10510</v>
      </c>
      <c r="M172" s="17">
        <f>ABS((D172*E172)-L172)</f>
        <v>300</v>
      </c>
      <c r="N172" s="10" t="str">
        <f>IF(COUNTIFS( $B$2:$B$666, B172, $C$2:$C$666, C172, $D$2:$D$666, D172, $E$2:$E$666, E172) &gt; 1, "Duplicate", "Unique")</f>
        <v>Unique</v>
      </c>
    </row>
    <row r="173" spans="1:16" ht="40.75" customHeight="1" thickBot="1" x14ac:dyDescent="0.4">
      <c r="A173" s="3">
        <v>46267.375</v>
      </c>
      <c r="B173" s="1" t="s">
        <v>77</v>
      </c>
      <c r="C173" s="1" t="s">
        <v>7</v>
      </c>
      <c r="D173" s="4">
        <v>3</v>
      </c>
      <c r="E173" s="4">
        <v>1460</v>
      </c>
      <c r="F173" s="4">
        <v>13.003095979999999</v>
      </c>
      <c r="G173" s="2" t="s">
        <v>78</v>
      </c>
      <c r="H173" s="5">
        <v>1292</v>
      </c>
      <c r="I173" s="1" t="s">
        <v>8</v>
      </c>
      <c r="J173" s="17" t="s">
        <v>117</v>
      </c>
      <c r="K173" s="17" t="s">
        <v>222</v>
      </c>
      <c r="L173" s="17">
        <v>4080</v>
      </c>
      <c r="M173" s="17">
        <f>ABS((D173*E173)-L173)</f>
        <v>300</v>
      </c>
      <c r="N173" s="10" t="str">
        <f>IF(COUNTIFS( $B$2:$B$666, B173, $C$2:$C$666, C173, $D$2:$D$666, D173, $E$2:$E$666, E173) &gt; 1, "Duplicate", "Unique")</f>
        <v>Unique</v>
      </c>
    </row>
    <row r="174" spans="1:16" ht="27.65" customHeight="1" thickBot="1" x14ac:dyDescent="0.4">
      <c r="A174" s="3">
        <v>46261.375</v>
      </c>
      <c r="B174" s="1" t="s">
        <v>14</v>
      </c>
      <c r="C174" s="1" t="s">
        <v>7</v>
      </c>
      <c r="D174" s="4">
        <v>100</v>
      </c>
      <c r="E174" s="4">
        <v>358</v>
      </c>
      <c r="F174" s="4">
        <v>13.02288871</v>
      </c>
      <c r="G174" s="2" t="s">
        <v>44</v>
      </c>
      <c r="H174" s="5">
        <v>316.75</v>
      </c>
      <c r="I174" s="1" t="s">
        <v>8</v>
      </c>
      <c r="J174" s="17" t="s">
        <v>116</v>
      </c>
      <c r="K174" s="17" t="s">
        <v>177</v>
      </c>
      <c r="L174" s="17">
        <v>34100</v>
      </c>
      <c r="M174" s="17">
        <f>ABS((D174*E174)-L174)</f>
        <v>1700</v>
      </c>
      <c r="N174" s="10" t="str">
        <f>IF(COUNTIFS( $B$2:$B$666, B174, $C$2:$C$666, C174, $D$2:$D$666, D174, $E$2:$E$666, E174) &gt; 1, "Duplicate", "Unique")</f>
        <v>Unique</v>
      </c>
      <c r="O174" s="27"/>
    </row>
    <row r="175" spans="1:16" ht="39" thickBot="1" x14ac:dyDescent="0.4">
      <c r="A175" s="28">
        <v>46267.375</v>
      </c>
      <c r="B175" s="29" t="s">
        <v>35</v>
      </c>
      <c r="C175" s="29" t="s">
        <v>7</v>
      </c>
      <c r="D175" s="30">
        <v>5</v>
      </c>
      <c r="E175" s="30">
        <v>1206</v>
      </c>
      <c r="F175" s="4">
        <v>13.16505583</v>
      </c>
      <c r="G175" s="2" t="s">
        <v>64</v>
      </c>
      <c r="H175" s="5">
        <v>1065.7</v>
      </c>
      <c r="I175" s="1" t="s">
        <v>8</v>
      </c>
      <c r="J175" s="25" t="s">
        <v>117</v>
      </c>
      <c r="K175" s="25" t="s">
        <v>224</v>
      </c>
      <c r="L175" s="25">
        <v>5755</v>
      </c>
      <c r="M175" s="25">
        <f>ABS((D175*E175)-L175)</f>
        <v>275</v>
      </c>
      <c r="N175" s="27" t="str">
        <f>IF(COUNTIFS( $B$2:$B$666, B175, $C$2:$C$666, C175, $D$2:$D$666, D175, $E$2:$E$666, E175) &gt; 1, "Duplicate", "Unique")</f>
        <v>Duplicate</v>
      </c>
    </row>
    <row r="176" spans="1:16" s="27" customFormat="1" ht="40.75" customHeight="1" thickBot="1" x14ac:dyDescent="0.4">
      <c r="A176" s="28">
        <v>46267.375</v>
      </c>
      <c r="B176" s="29" t="s">
        <v>35</v>
      </c>
      <c r="C176" s="29" t="s">
        <v>7</v>
      </c>
      <c r="D176" s="30">
        <v>5</v>
      </c>
      <c r="E176" s="30">
        <v>1206</v>
      </c>
      <c r="F176" s="4">
        <v>13.16505583</v>
      </c>
      <c r="G176" s="2" t="s">
        <v>64</v>
      </c>
      <c r="H176" s="5">
        <v>1065.7</v>
      </c>
      <c r="I176" s="1" t="s">
        <v>8</v>
      </c>
      <c r="J176" s="25" t="s">
        <v>117</v>
      </c>
      <c r="K176" s="25" t="s">
        <v>228</v>
      </c>
      <c r="L176" s="25">
        <v>5805</v>
      </c>
      <c r="M176" s="25">
        <f>ABS((D176*E176)-L176)</f>
        <v>225</v>
      </c>
      <c r="N176" s="27" t="str">
        <f>IF(COUNTIFS( $B$2:$B$666, B176, $C$2:$C$666, C176, $D$2:$D$666, D176, $E$2:$E$666, E176) &gt; 1, "Duplicate", "Unique")</f>
        <v>Duplicate</v>
      </c>
      <c r="O176" s="10"/>
      <c r="P176" s="10"/>
    </row>
    <row r="177" spans="1:16" ht="27.65" customHeight="1" thickBot="1" x14ac:dyDescent="0.4">
      <c r="A177" s="3">
        <v>46265.474999999999</v>
      </c>
      <c r="B177" s="1" t="s">
        <v>20</v>
      </c>
      <c r="C177" s="1" t="s">
        <v>7</v>
      </c>
      <c r="D177" s="4">
        <v>30</v>
      </c>
      <c r="E177" s="4">
        <v>137</v>
      </c>
      <c r="F177" s="4">
        <v>13.213783980000001</v>
      </c>
      <c r="G177" s="2" t="s">
        <v>85</v>
      </c>
      <c r="H177" s="5">
        <v>121.01</v>
      </c>
      <c r="I177" s="1" t="s">
        <v>8</v>
      </c>
      <c r="J177" s="17" t="s">
        <v>117</v>
      </c>
      <c r="K177" s="17" t="s">
        <v>195</v>
      </c>
      <c r="L177" s="17">
        <v>3810</v>
      </c>
      <c r="M177" s="17">
        <f>ABS((D177*E177)-L177)</f>
        <v>300</v>
      </c>
      <c r="N177" t="str">
        <f>IF(COUNTIFS( $B$2:$B$666, B177, $C$2:$C$666, C177, $D$2:$D$666, D177, $E$2:$E$666, E177) &gt; 1, "Duplicate", "Unique")</f>
        <v>Unique</v>
      </c>
    </row>
    <row r="178" spans="1:16" ht="40.75" customHeight="1" thickBot="1" x14ac:dyDescent="0.4">
      <c r="A178" s="3">
        <v>46290.385416666664</v>
      </c>
      <c r="B178" s="2" t="s">
        <v>22</v>
      </c>
      <c r="C178" s="2" t="s">
        <v>7</v>
      </c>
      <c r="D178" s="5">
        <v>10</v>
      </c>
      <c r="E178" s="5">
        <v>449</v>
      </c>
      <c r="F178" s="4">
        <v>13.326602729999999</v>
      </c>
      <c r="G178" s="2" t="s">
        <v>72</v>
      </c>
      <c r="H178" s="5">
        <v>396.2</v>
      </c>
      <c r="I178" s="1" t="s">
        <v>8</v>
      </c>
      <c r="J178" s="17" t="s">
        <v>117</v>
      </c>
      <c r="K178" s="17" t="s">
        <v>290</v>
      </c>
      <c r="L178" s="17">
        <v>4200</v>
      </c>
      <c r="M178" s="17">
        <f>ABS((D178*E178)-L178)</f>
        <v>290</v>
      </c>
      <c r="N178" s="10" t="str">
        <f>IF(COUNTIFS( $B$2:$B$666, B178, $C$2:$C$666, C178, $D$2:$D$666, D178, $E$2:$E$666, E178) &gt; 1, "Duplicate", "Unique")</f>
        <v>Unique</v>
      </c>
    </row>
    <row r="179" spans="1:16" ht="40.75" hidden="1" customHeight="1" thickBot="1" x14ac:dyDescent="0.4">
      <c r="A179" s="6" t="s">
        <v>61</v>
      </c>
      <c r="B179" s="1" t="s">
        <v>15</v>
      </c>
      <c r="C179" s="1" t="s">
        <v>10</v>
      </c>
      <c r="D179" s="4">
        <v>30</v>
      </c>
      <c r="E179" s="4">
        <v>2435</v>
      </c>
      <c r="F179" s="4">
        <v>13.51981352</v>
      </c>
      <c r="G179" s="2" t="s">
        <v>71</v>
      </c>
      <c r="H179" s="5">
        <v>2145</v>
      </c>
      <c r="I179" s="1" t="s">
        <v>8</v>
      </c>
      <c r="J179" s="91" t="s">
        <v>54</v>
      </c>
      <c r="K179" s="16"/>
      <c r="L179" s="16"/>
      <c r="M179" s="16"/>
      <c r="N179" t="str">
        <f>IF(COUNTIFS( $B$2:$B$666, B179, $C$2:$C$666, C179, $D$2:$D$666, D179, $E$2:$E$666, E179) &gt; 1, "Duplicate", "Unique")</f>
        <v>Unique</v>
      </c>
    </row>
    <row r="180" spans="1:16" ht="40.75" customHeight="1" thickBot="1" x14ac:dyDescent="0.4">
      <c r="A180" s="8" t="s">
        <v>61</v>
      </c>
      <c r="B180" s="8" t="s">
        <v>120</v>
      </c>
      <c r="C180" s="8" t="s">
        <v>7</v>
      </c>
      <c r="D180" s="8">
        <v>10</v>
      </c>
      <c r="E180" s="8">
        <v>796</v>
      </c>
      <c r="F180" s="4">
        <v>13.55206847</v>
      </c>
      <c r="G180" s="2" t="s">
        <v>121</v>
      </c>
      <c r="H180" s="5">
        <v>701</v>
      </c>
      <c r="I180" s="1" t="s">
        <v>8</v>
      </c>
      <c r="J180" s="32" t="s">
        <v>116</v>
      </c>
      <c r="N180" s="10" t="str">
        <f>IF(COUNTIFS( $B$2:$B$666, B180, $C$2:$C$666, C180, $D$2:$D$666, D180, $E$2:$E$666, E180) &gt; 1, "Duplicate", "Unique")</f>
        <v>Unique</v>
      </c>
    </row>
    <row r="181" spans="1:16" ht="40.75" customHeight="1" thickBot="1" x14ac:dyDescent="0.4">
      <c r="A181" s="11">
        <v>46252.635416666664</v>
      </c>
      <c r="B181" s="8" t="s">
        <v>81</v>
      </c>
      <c r="C181" s="8" t="s">
        <v>7</v>
      </c>
      <c r="D181" s="8">
        <v>1</v>
      </c>
      <c r="E181" s="8">
        <v>4556</v>
      </c>
      <c r="F181" s="4">
        <v>13.57347626</v>
      </c>
      <c r="G181" s="2" t="s">
        <v>82</v>
      </c>
      <c r="H181" s="5">
        <v>4011.5</v>
      </c>
      <c r="I181" s="1" t="s">
        <v>8</v>
      </c>
      <c r="J181" s="32"/>
      <c r="N181" s="10" t="str">
        <f>IF(COUNTIFS( $B$2:$B$666, B181, $C$2:$C$666, C181, $D$2:$D$666, D181, $E$2:$E$666, E181) &gt; 1, "Duplicate", "Unique")</f>
        <v>Unique</v>
      </c>
    </row>
    <row r="182" spans="1:16" ht="27.65" customHeight="1" thickBot="1" x14ac:dyDescent="0.4">
      <c r="A182" s="11">
        <v>46243.375</v>
      </c>
      <c r="B182" s="8" t="s">
        <v>11</v>
      </c>
      <c r="C182" s="8" t="s">
        <v>7</v>
      </c>
      <c r="D182" s="8">
        <v>20</v>
      </c>
      <c r="E182" s="8">
        <v>296</v>
      </c>
      <c r="F182" s="4">
        <v>13.627639159999999</v>
      </c>
      <c r="G182" s="2" t="s">
        <v>98</v>
      </c>
      <c r="H182" s="5">
        <v>260.5</v>
      </c>
      <c r="I182" s="1" t="s">
        <v>8</v>
      </c>
      <c r="J182" s="17" t="s">
        <v>117</v>
      </c>
      <c r="K182" s="17" t="s">
        <v>246</v>
      </c>
      <c r="L182" s="17">
        <v>5620</v>
      </c>
      <c r="M182" s="25">
        <f>ABS((D182*E182)-L182)</f>
        <v>300</v>
      </c>
      <c r="N182" s="10" t="str">
        <f>IF(COUNTIFS( $B$2:$B$666, B182, $C$2:$C$666, C182, $D$2:$D$666, D182, $E$2:$E$666, E182) &gt; 1, "Duplicate", "Unique")</f>
        <v>Unique</v>
      </c>
      <c r="P182" s="23"/>
    </row>
    <row r="183" spans="1:16" ht="40.75" customHeight="1" thickBot="1" x14ac:dyDescent="0.4">
      <c r="A183" s="11">
        <v>46252.645833333336</v>
      </c>
      <c r="B183" s="8" t="s">
        <v>48</v>
      </c>
      <c r="C183" s="8" t="s">
        <v>7</v>
      </c>
      <c r="D183" s="8">
        <v>5</v>
      </c>
      <c r="E183" s="8">
        <v>4177</v>
      </c>
      <c r="F183" s="4">
        <v>13.65986395</v>
      </c>
      <c r="G183" s="2" t="s">
        <v>49</v>
      </c>
      <c r="H183" s="5">
        <v>3675</v>
      </c>
      <c r="I183" s="1" t="s">
        <v>8</v>
      </c>
      <c r="J183" s="32"/>
      <c r="N183" s="10" t="str">
        <f>IF(COUNTIFS( $B$2:$B$666, B183, $C$2:$C$666, C183, $D$2:$D$666, D183, $E$2:$E$666, E183) &gt; 1, "Duplicate", "Unique")</f>
        <v>Unique</v>
      </c>
      <c r="O183" s="22"/>
    </row>
    <row r="184" spans="1:16" ht="27.65" customHeight="1" thickBot="1" x14ac:dyDescent="0.4">
      <c r="A184" s="3">
        <v>46272.375694444447</v>
      </c>
      <c r="B184" s="1" t="s">
        <v>86</v>
      </c>
      <c r="C184" s="1" t="s">
        <v>7</v>
      </c>
      <c r="D184" s="4">
        <v>10</v>
      </c>
      <c r="E184" s="4">
        <v>1280</v>
      </c>
      <c r="F184" s="4">
        <v>13.68682832</v>
      </c>
      <c r="G184" s="2" t="s">
        <v>87</v>
      </c>
      <c r="H184" s="5">
        <v>1125.9000000000001</v>
      </c>
      <c r="I184" s="1" t="s">
        <v>8</v>
      </c>
      <c r="J184" s="17" t="s">
        <v>116</v>
      </c>
      <c r="K184" s="17" t="s">
        <v>244</v>
      </c>
      <c r="L184" s="17">
        <v>12510</v>
      </c>
      <c r="M184" s="17">
        <f>ABS((D184*E184)-L184)</f>
        <v>290</v>
      </c>
      <c r="N184" s="10" t="str">
        <f>IF(COUNTIFS( $B$2:$B$666, B184, $C$2:$C$666, C184, $D$2:$D$666, D184, $E$2:$E$666, E184) &gt; 1, "Duplicate", "Unique")</f>
        <v>Unique</v>
      </c>
    </row>
    <row r="185" spans="1:16" ht="27.65" customHeight="1" thickBot="1" x14ac:dyDescent="0.4">
      <c r="A185" s="8" t="s">
        <v>61</v>
      </c>
      <c r="B185" s="8" t="s">
        <v>9</v>
      </c>
      <c r="C185" s="8" t="s">
        <v>7</v>
      </c>
      <c r="D185" s="8">
        <v>40</v>
      </c>
      <c r="E185" s="8">
        <v>320.5</v>
      </c>
      <c r="F185" s="4">
        <v>13.69279886</v>
      </c>
      <c r="G185" s="2" t="s">
        <v>94</v>
      </c>
      <c r="H185" s="5">
        <v>281.89999999999998</v>
      </c>
      <c r="I185" s="1" t="s">
        <v>8</v>
      </c>
      <c r="J185" s="32"/>
      <c r="N185" s="10" t="str">
        <f>IF(COUNTIFS( $B$2:$B$666, B185, $C$2:$C$666, C185, $D$2:$D$666, D185, $E$2:$E$666, E185) &gt; 1, "Duplicate", "Unique")</f>
        <v>Unique</v>
      </c>
    </row>
    <row r="186" spans="1:16" ht="40.75" customHeight="1" thickBot="1" x14ac:dyDescent="0.4">
      <c r="A186" s="8" t="s">
        <v>61</v>
      </c>
      <c r="B186" s="8" t="s">
        <v>132</v>
      </c>
      <c r="C186" s="8" t="s">
        <v>7</v>
      </c>
      <c r="D186" s="8">
        <v>150</v>
      </c>
      <c r="E186" s="8">
        <v>123.4</v>
      </c>
      <c r="F186" s="4">
        <v>13.848140969999999</v>
      </c>
      <c r="G186" s="2" t="s">
        <v>133</v>
      </c>
      <c r="H186" s="5">
        <v>108.39</v>
      </c>
      <c r="I186" s="1" t="s">
        <v>8</v>
      </c>
      <c r="J186" s="32" t="s">
        <v>116</v>
      </c>
      <c r="N186" s="10" t="str">
        <f>IF(COUNTIFS( $B$2:$B$666, B186, $C$2:$C$666, C186, $D$2:$D$666, D186, $E$2:$E$666, E186) &gt; 1, "Duplicate", "Unique")</f>
        <v>Unique</v>
      </c>
    </row>
    <row r="187" spans="1:16" ht="27.65" customHeight="1" thickBot="1" x14ac:dyDescent="0.4">
      <c r="A187" s="11">
        <v>46252.6875</v>
      </c>
      <c r="B187" s="8" t="s">
        <v>24</v>
      </c>
      <c r="C187" s="8" t="s">
        <v>7</v>
      </c>
      <c r="D187" s="8">
        <v>40</v>
      </c>
      <c r="E187" s="8">
        <v>458</v>
      </c>
      <c r="F187" s="4">
        <v>13.930348260000001</v>
      </c>
      <c r="G187" s="2" t="s">
        <v>55</v>
      </c>
      <c r="H187" s="5">
        <v>402</v>
      </c>
      <c r="I187" s="1" t="s">
        <v>8</v>
      </c>
      <c r="J187" s="32" t="s">
        <v>116</v>
      </c>
      <c r="N187" s="10" t="str">
        <f>IF(COUNTIFS( $B$2:$B$666, B187, $C$2:$C$666, C187, $D$2:$D$666, D187, $E$2:$E$666, E187) &gt; 1, "Duplicate", "Unique")</f>
        <v>Unique</v>
      </c>
    </row>
    <row r="188" spans="1:16" ht="40.75" customHeight="1" thickBot="1" x14ac:dyDescent="0.4">
      <c r="A188" s="11">
        <v>46252.688194444447</v>
      </c>
      <c r="B188" s="8" t="s">
        <v>14</v>
      </c>
      <c r="C188" s="8" t="s">
        <v>7</v>
      </c>
      <c r="D188" s="8">
        <v>50</v>
      </c>
      <c r="E188" s="8">
        <v>361</v>
      </c>
      <c r="F188" s="4">
        <v>13.97000789</v>
      </c>
      <c r="G188" s="2" t="s">
        <v>44</v>
      </c>
      <c r="H188" s="5">
        <v>316.75</v>
      </c>
      <c r="I188" s="1" t="s">
        <v>8</v>
      </c>
      <c r="J188" s="32"/>
      <c r="N188" s="10" t="str">
        <f>IF(COUNTIFS( $B$2:$B$666, B188, $C$2:$C$666, C188, $D$2:$D$666, D188, $E$2:$E$666, E188) &gt; 1, "Duplicate", "Unique")</f>
        <v>Unique</v>
      </c>
    </row>
    <row r="189" spans="1:16" ht="40.75" customHeight="1" thickBot="1" x14ac:dyDescent="0.4">
      <c r="A189" s="8" t="s">
        <v>61</v>
      </c>
      <c r="B189" s="8" t="s">
        <v>122</v>
      </c>
      <c r="C189" s="8" t="s">
        <v>7</v>
      </c>
      <c r="D189" s="8">
        <v>200</v>
      </c>
      <c r="E189" s="8">
        <v>90.75</v>
      </c>
      <c r="F189" s="4">
        <v>13.97889977</v>
      </c>
      <c r="G189" s="2" t="s">
        <v>123</v>
      </c>
      <c r="H189" s="5">
        <v>79.62</v>
      </c>
      <c r="I189" s="1" t="s">
        <v>8</v>
      </c>
      <c r="J189" s="32" t="s">
        <v>54</v>
      </c>
      <c r="N189" s="10" t="str">
        <f>IF(COUNTIFS( $B$2:$B$666, B189, $C$2:$C$666, C189, $D$2:$D$666, D189, $E$2:$E$666, E189) &gt; 1, "Duplicate", "Unique")</f>
        <v>Unique</v>
      </c>
    </row>
    <row r="190" spans="1:16" ht="40.75" customHeight="1" thickBot="1" x14ac:dyDescent="0.4">
      <c r="A190" s="3">
        <v>46294.475694444445</v>
      </c>
      <c r="B190" s="2" t="s">
        <v>16</v>
      </c>
      <c r="C190" s="2" t="s">
        <v>7</v>
      </c>
      <c r="D190" s="5">
        <v>5</v>
      </c>
      <c r="E190" s="5">
        <v>849</v>
      </c>
      <c r="F190" s="4">
        <v>14.112903230000001</v>
      </c>
      <c r="G190" s="2" t="s">
        <v>60</v>
      </c>
      <c r="H190" s="5">
        <v>744</v>
      </c>
      <c r="I190" s="1" t="s">
        <v>8</v>
      </c>
      <c r="J190" s="17" t="s">
        <v>117</v>
      </c>
      <c r="K190" s="17" t="s">
        <v>296</v>
      </c>
      <c r="L190" s="17">
        <v>3869</v>
      </c>
      <c r="M190" s="17">
        <f>ABS((D190*E190)-L190)</f>
        <v>376</v>
      </c>
      <c r="N190" s="10" t="str">
        <f>IF(COUNTIFS( $B$2:$B$666, B190, $C$2:$C$666, C190, $D$2:$D$666, D190, $E$2:$E$666, E190) &gt; 1, "Duplicate", "Unique")</f>
        <v>Unique</v>
      </c>
    </row>
    <row r="191" spans="1:16" ht="27.65" customHeight="1" thickBot="1" x14ac:dyDescent="0.4">
      <c r="A191" s="3">
        <v>46260.375</v>
      </c>
      <c r="B191" s="1" t="s">
        <v>13</v>
      </c>
      <c r="C191" s="1" t="s">
        <v>7</v>
      </c>
      <c r="D191" s="4">
        <v>5</v>
      </c>
      <c r="E191" s="4">
        <v>1994</v>
      </c>
      <c r="F191" s="4">
        <v>14.26934097</v>
      </c>
      <c r="G191" s="2" t="s">
        <v>90</v>
      </c>
      <c r="H191" s="5">
        <v>1745</v>
      </c>
      <c r="I191" s="1" t="s">
        <v>8</v>
      </c>
      <c r="J191" s="17" t="s">
        <v>117</v>
      </c>
      <c r="K191" s="17" t="s">
        <v>170</v>
      </c>
      <c r="L191" s="17">
        <v>9320</v>
      </c>
      <c r="M191" s="17">
        <f>ABS((D191*E191)-L191)</f>
        <v>650</v>
      </c>
      <c r="N191" t="str">
        <f>IF(COUNTIFS( $B$2:$B$666, B191, $C$2:$C$666, C191, $D$2:$D$666, D191, $E$2:$E$666, E191) &gt; 1, "Duplicate", "Unique")</f>
        <v>Unique</v>
      </c>
      <c r="P191" s="27"/>
    </row>
    <row r="192" spans="1:16" ht="27.65" customHeight="1" thickBot="1" x14ac:dyDescent="0.4">
      <c r="A192" s="3">
        <v>46265.460416666669</v>
      </c>
      <c r="B192" s="1" t="s">
        <v>18</v>
      </c>
      <c r="C192" s="1" t="s">
        <v>7</v>
      </c>
      <c r="D192" s="4">
        <v>5</v>
      </c>
      <c r="E192" s="4">
        <v>1892</v>
      </c>
      <c r="F192" s="4">
        <v>14.334058499999999</v>
      </c>
      <c r="G192" s="2" t="s">
        <v>101</v>
      </c>
      <c r="H192" s="5">
        <v>1654.8</v>
      </c>
      <c r="I192" s="1" t="s">
        <v>8</v>
      </c>
      <c r="J192" s="17" t="s">
        <v>117</v>
      </c>
      <c r="K192" s="17" t="s">
        <v>193</v>
      </c>
      <c r="L192" s="17">
        <v>8810</v>
      </c>
      <c r="M192" s="17">
        <f>ABS((D192*E192)-L192)</f>
        <v>650</v>
      </c>
      <c r="N192" t="str">
        <f>IF(COUNTIFS( $B$2:$B$666, B192, $C$2:$C$666, C192, $D$2:$D$666, D192, $E$2:$E$666, E192) &gt; 1, "Duplicate", "Unique")</f>
        <v>Unique</v>
      </c>
      <c r="P192" s="27"/>
    </row>
    <row r="193" spans="1:16" ht="27.65" customHeight="1" thickBot="1" x14ac:dyDescent="0.4">
      <c r="A193" s="3">
        <v>46266.375694444447</v>
      </c>
      <c r="B193" s="1" t="s">
        <v>65</v>
      </c>
      <c r="C193" s="1" t="s">
        <v>7</v>
      </c>
      <c r="D193" s="4">
        <v>5</v>
      </c>
      <c r="E193" s="4">
        <v>1248</v>
      </c>
      <c r="F193" s="4">
        <v>14.33806688</v>
      </c>
      <c r="G193" s="2" t="s">
        <v>66</v>
      </c>
      <c r="H193" s="5">
        <v>1091.5</v>
      </c>
      <c r="I193" s="1" t="s">
        <v>8</v>
      </c>
      <c r="J193" s="17" t="s">
        <v>116</v>
      </c>
      <c r="K193" s="17" t="s">
        <v>208</v>
      </c>
      <c r="L193" s="17">
        <v>5940</v>
      </c>
      <c r="M193" s="17">
        <f>ABS((D193*E193)-L193)</f>
        <v>300</v>
      </c>
      <c r="N193" s="10" t="str">
        <f>IF(COUNTIFS( $B$2:$B$666, B193, $C$2:$C$666, C193, $D$2:$D$666, D193, $E$2:$E$666, E193) &gt; 1, "Duplicate", "Unique")</f>
        <v>Unique</v>
      </c>
    </row>
    <row r="194" spans="1:16" ht="27.65" customHeight="1" thickBot="1" x14ac:dyDescent="0.4">
      <c r="A194" s="8" t="s">
        <v>61</v>
      </c>
      <c r="B194" s="8" t="s">
        <v>67</v>
      </c>
      <c r="C194" s="8" t="s">
        <v>7</v>
      </c>
      <c r="D194" s="8">
        <v>10</v>
      </c>
      <c r="E194" s="8">
        <v>435</v>
      </c>
      <c r="F194" s="4">
        <v>14.47368421</v>
      </c>
      <c r="G194" s="2" t="s">
        <v>68</v>
      </c>
      <c r="H194" s="5">
        <v>380</v>
      </c>
      <c r="I194" s="1" t="s">
        <v>8</v>
      </c>
      <c r="J194" s="32"/>
      <c r="N194" s="10" t="str">
        <f>IF(COUNTIFS( $B$2:$B$666, B194, $C$2:$C$666, C194, $D$2:$D$666, D194, $E$2:$E$666, E194) &gt; 1, "Duplicate", "Unique")</f>
        <v>Unique</v>
      </c>
    </row>
    <row r="195" spans="1:16" ht="27.65" hidden="1" customHeight="1" thickBot="1" x14ac:dyDescent="0.4">
      <c r="A195" s="3">
        <v>46261.615277777775</v>
      </c>
      <c r="B195" s="1" t="s">
        <v>34</v>
      </c>
      <c r="C195" s="1" t="s">
        <v>7</v>
      </c>
      <c r="D195" s="4">
        <v>50</v>
      </c>
      <c r="E195" s="4">
        <v>226.3</v>
      </c>
      <c r="F195" s="4">
        <v>14.698428789999999</v>
      </c>
      <c r="G195" s="2" t="s">
        <v>41</v>
      </c>
      <c r="H195" s="5">
        <v>197.3</v>
      </c>
      <c r="I195" s="1" t="s">
        <v>8</v>
      </c>
      <c r="J195" s="17" t="s">
        <v>117</v>
      </c>
      <c r="K195" s="17" t="s">
        <v>172</v>
      </c>
      <c r="L195" s="17">
        <v>10814</v>
      </c>
      <c r="M195" s="17">
        <f>ABS((D195*E195)-L195)</f>
        <v>501</v>
      </c>
      <c r="N195" s="10" t="str">
        <f>IF(COUNTIFS( $B$2:$B$666, B195, $C$2:$C$666, C195, $D$2:$D$666, D195, $E$2:$E$666, E195) &gt; 1, "Duplicate", "Unique")</f>
        <v>Unique</v>
      </c>
      <c r="O195" s="36" t="s">
        <v>238</v>
      </c>
    </row>
    <row r="196" spans="1:16" ht="40.75" customHeight="1" thickBot="1" x14ac:dyDescent="0.4">
      <c r="A196" s="11">
        <v>46252.688194444447</v>
      </c>
      <c r="B196" s="8" t="s">
        <v>28</v>
      </c>
      <c r="C196" s="8" t="s">
        <v>7</v>
      </c>
      <c r="D196" s="8">
        <v>30</v>
      </c>
      <c r="E196" s="8">
        <v>930</v>
      </c>
      <c r="F196" s="4">
        <v>15.05629098</v>
      </c>
      <c r="G196" s="2" t="s">
        <v>124</v>
      </c>
      <c r="H196" s="5">
        <v>808.3</v>
      </c>
      <c r="I196" s="1" t="s">
        <v>8</v>
      </c>
      <c r="J196" s="32"/>
      <c r="N196" s="10" t="str">
        <f>IF(COUNTIFS( $B$2:$B$666, B196, $C$2:$C$666, C196, $D$2:$D$666, D196, $E$2:$E$666, E196) &gt; 1, "Duplicate", "Unique")</f>
        <v>Unique</v>
      </c>
      <c r="P196" s="27"/>
    </row>
    <row r="197" spans="1:16" ht="40.75" customHeight="1" thickBot="1" x14ac:dyDescent="0.4">
      <c r="A197" s="8" t="s">
        <v>61</v>
      </c>
      <c r="B197" s="8" t="s">
        <v>50</v>
      </c>
      <c r="C197" s="8" t="s">
        <v>7</v>
      </c>
      <c r="D197" s="8">
        <v>10</v>
      </c>
      <c r="E197" s="13">
        <v>1024</v>
      </c>
      <c r="F197" s="4">
        <v>15.069108890000001</v>
      </c>
      <c r="G197" s="2" t="s">
        <v>51</v>
      </c>
      <c r="H197" s="5">
        <v>889.9</v>
      </c>
      <c r="I197" s="1" t="s">
        <v>8</v>
      </c>
      <c r="J197" s="32" t="s">
        <v>117</v>
      </c>
      <c r="N197" s="10" t="str">
        <f>IF(COUNTIFS( $B$2:$B$666, B197, $C$2:$C$666, C197, $D$2:$D$666, D197, $E$2:$E$666, E197) &gt; 1, "Duplicate", "Unique")</f>
        <v>Unique</v>
      </c>
    </row>
    <row r="198" spans="1:16" ht="27.65" customHeight="1" thickBot="1" x14ac:dyDescent="0.4">
      <c r="A198" s="3">
        <v>46266.375</v>
      </c>
      <c r="B198" s="1" t="s">
        <v>86</v>
      </c>
      <c r="C198" s="1" t="s">
        <v>7</v>
      </c>
      <c r="D198" s="4">
        <v>10</v>
      </c>
      <c r="E198" s="4">
        <v>1296</v>
      </c>
      <c r="F198" s="4">
        <v>15.10791367</v>
      </c>
      <c r="G198" s="2" t="s">
        <v>87</v>
      </c>
      <c r="H198" s="5">
        <v>1125.9000000000001</v>
      </c>
      <c r="I198" s="1" t="s">
        <v>8</v>
      </c>
      <c r="J198" s="17" t="s">
        <v>116</v>
      </c>
      <c r="K198" s="17" t="s">
        <v>213</v>
      </c>
      <c r="L198" s="17">
        <v>12600</v>
      </c>
      <c r="M198" s="17">
        <f>ABS((D198*E198)-L198)</f>
        <v>360</v>
      </c>
      <c r="N198" s="10" t="str">
        <f>IF(COUNTIFS( $B$2:$B$666, B198, $C$2:$C$666, C198, $D$2:$D$666, D198, $E$2:$E$666, E198) &gt; 1, "Duplicate", "Unique")</f>
        <v>Unique</v>
      </c>
    </row>
    <row r="199" spans="1:16" ht="26.5" hidden="1" thickBot="1" x14ac:dyDescent="0.4">
      <c r="A199" s="6" t="s">
        <v>61</v>
      </c>
      <c r="B199" s="1" t="s">
        <v>15</v>
      </c>
      <c r="C199" s="1" t="s">
        <v>10</v>
      </c>
      <c r="D199" s="4">
        <v>5</v>
      </c>
      <c r="E199" s="4">
        <v>2470</v>
      </c>
      <c r="F199" s="4">
        <v>15.15151515</v>
      </c>
      <c r="G199" s="2" t="s">
        <v>71</v>
      </c>
      <c r="H199" s="5">
        <v>2145</v>
      </c>
      <c r="I199" s="1" t="s">
        <v>8</v>
      </c>
      <c r="J199" s="91" t="s">
        <v>40</v>
      </c>
      <c r="K199" s="16"/>
      <c r="L199" s="16"/>
      <c r="M199" s="16"/>
      <c r="N199" t="str">
        <f>IF(COUNTIFS( $B$2:$B$666, B199, $C$2:$C$666, C199, $D$2:$D$666, D199, $E$2:$E$666, E199) &gt; 1, "Duplicate", "Unique")</f>
        <v>Unique</v>
      </c>
      <c r="P199" s="22"/>
    </row>
    <row r="200" spans="1:16" ht="40.75" customHeight="1" thickBot="1" x14ac:dyDescent="0.4">
      <c r="A200" s="11">
        <v>46252.688194444447</v>
      </c>
      <c r="B200" s="8" t="s">
        <v>14</v>
      </c>
      <c r="C200" s="8" t="s">
        <v>7</v>
      </c>
      <c r="D200" s="8">
        <v>50</v>
      </c>
      <c r="E200" s="8">
        <v>365</v>
      </c>
      <c r="F200" s="4">
        <v>15.23283346</v>
      </c>
      <c r="G200" s="2" t="s">
        <v>44</v>
      </c>
      <c r="H200" s="5">
        <v>316.75</v>
      </c>
      <c r="I200" s="1" t="s">
        <v>8</v>
      </c>
      <c r="J200" s="32" t="s">
        <v>117</v>
      </c>
      <c r="N200" s="10" t="str">
        <f>IF(COUNTIFS( $B$2:$B$666, B200, $C$2:$C$666, C200, $D$2:$D$666, D200, $E$2:$E$666, E200) &gt; 1, "Duplicate", "Unique")</f>
        <v>Unique</v>
      </c>
    </row>
    <row r="201" spans="1:16" ht="40.75" customHeight="1" thickBot="1" x14ac:dyDescent="0.4">
      <c r="A201" s="8" t="s">
        <v>61</v>
      </c>
      <c r="B201" s="8" t="s">
        <v>122</v>
      </c>
      <c r="C201" s="8" t="s">
        <v>7</v>
      </c>
      <c r="D201" s="8">
        <v>200</v>
      </c>
      <c r="E201" s="8">
        <v>91.75</v>
      </c>
      <c r="F201" s="4">
        <v>15.23486561</v>
      </c>
      <c r="G201" s="2" t="s">
        <v>123</v>
      </c>
      <c r="H201" s="5">
        <v>79.62</v>
      </c>
      <c r="I201" s="1" t="s">
        <v>8</v>
      </c>
      <c r="J201" s="32"/>
      <c r="N201" s="10" t="str">
        <f>IF(COUNTIFS( $B$2:$B$666, B201, $C$2:$C$666, C201, $D$2:$D$666, D201, $E$2:$E$666, E201) &gt; 1, "Duplicate", "Unique")</f>
        <v>Unique</v>
      </c>
    </row>
    <row r="202" spans="1:16" ht="27.65" customHeight="1" thickBot="1" x14ac:dyDescent="0.4">
      <c r="A202" s="3">
        <v>46261.375694444447</v>
      </c>
      <c r="B202" s="1" t="s">
        <v>77</v>
      </c>
      <c r="C202" s="1" t="s">
        <v>7</v>
      </c>
      <c r="D202" s="4">
        <v>5</v>
      </c>
      <c r="E202" s="4">
        <v>1490</v>
      </c>
      <c r="F202" s="4">
        <v>15.3250774</v>
      </c>
      <c r="G202" s="2" t="s">
        <v>78</v>
      </c>
      <c r="H202" s="5">
        <v>1292</v>
      </c>
      <c r="I202" s="1" t="s">
        <v>8</v>
      </c>
      <c r="J202" s="17" t="s">
        <v>117</v>
      </c>
      <c r="K202" s="17" t="s">
        <v>183</v>
      </c>
      <c r="L202" s="17">
        <v>7200</v>
      </c>
      <c r="M202" s="17">
        <f>ABS((D202*E202)-L202)</f>
        <v>250</v>
      </c>
      <c r="N202" s="10" t="str">
        <f>IF(COUNTIFS( $B$2:$B$666, B202, $C$2:$C$666, C202, $D$2:$D$666, D202, $E$2:$E$666, E202) &gt; 1, "Duplicate", "Unique")</f>
        <v>Unique</v>
      </c>
    </row>
    <row r="203" spans="1:16" ht="40.75" customHeight="1" thickBot="1" x14ac:dyDescent="0.4">
      <c r="A203" s="3">
        <v>46265.375694444447</v>
      </c>
      <c r="B203" s="1" t="s">
        <v>77</v>
      </c>
      <c r="C203" s="1" t="s">
        <v>7</v>
      </c>
      <c r="D203" s="4">
        <v>3</v>
      </c>
      <c r="E203" s="4">
        <v>1490</v>
      </c>
      <c r="F203" s="4">
        <v>15.3250774</v>
      </c>
      <c r="G203" s="2" t="s">
        <v>78</v>
      </c>
      <c r="H203" s="5">
        <v>1292</v>
      </c>
      <c r="I203" s="1" t="s">
        <v>8</v>
      </c>
      <c r="J203" s="17" t="s">
        <v>117</v>
      </c>
      <c r="K203" s="17" t="s">
        <v>201</v>
      </c>
      <c r="L203" s="17">
        <v>4170</v>
      </c>
      <c r="M203" s="17">
        <f>ABS((D203*E203)-L203)</f>
        <v>300</v>
      </c>
      <c r="N203" t="str">
        <f>IF(COUNTIFS( $B$2:$B$666, B203, $C$2:$C$666, C203, $D$2:$D$666, D203, $E$2:$E$666, E203) &gt; 1, "Duplicate", "Unique")</f>
        <v>Unique</v>
      </c>
    </row>
    <row r="204" spans="1:16" ht="40.75" customHeight="1" thickBot="1" x14ac:dyDescent="0.4">
      <c r="A204" s="3">
        <v>46335.442361111112</v>
      </c>
      <c r="B204" s="1" t="s">
        <v>79</v>
      </c>
      <c r="C204" s="1" t="s">
        <v>7</v>
      </c>
      <c r="D204" s="4">
        <v>10</v>
      </c>
      <c r="E204" s="4">
        <v>1460</v>
      </c>
      <c r="F204" s="4">
        <v>15.41501976</v>
      </c>
      <c r="G204" s="2" t="s">
        <v>80</v>
      </c>
      <c r="H204" s="5">
        <v>1265</v>
      </c>
      <c r="I204" s="1" t="s">
        <v>8</v>
      </c>
      <c r="J204" s="17" t="s">
        <v>116</v>
      </c>
      <c r="K204" s="17" t="s">
        <v>261</v>
      </c>
      <c r="L204" s="17">
        <v>14100</v>
      </c>
      <c r="M204" s="17">
        <f>ABS((D204*E204)-L204)</f>
        <v>500</v>
      </c>
      <c r="N204" s="10" t="str">
        <f>IF(COUNTIFS( $B$2:$B$666, B204, $C$2:$C$666, C204, $D$2:$D$666, D204, $E$2:$E$666, E204) &gt; 1, "Duplicate", "Unique")</f>
        <v>Unique</v>
      </c>
    </row>
    <row r="205" spans="1:16" ht="40.75" customHeight="1" thickBot="1" x14ac:dyDescent="0.4">
      <c r="A205" s="11">
        <v>46252.6875</v>
      </c>
      <c r="B205" s="8" t="s">
        <v>13</v>
      </c>
      <c r="C205" s="8" t="s">
        <v>7</v>
      </c>
      <c r="D205" s="8">
        <v>5</v>
      </c>
      <c r="E205" s="8">
        <v>2014</v>
      </c>
      <c r="F205" s="4">
        <v>15.41547278</v>
      </c>
      <c r="G205" s="2" t="s">
        <v>90</v>
      </c>
      <c r="H205" s="5">
        <v>1745</v>
      </c>
      <c r="I205" s="1" t="s">
        <v>8</v>
      </c>
      <c r="J205" s="32" t="s">
        <v>117</v>
      </c>
      <c r="N205" s="10" t="str">
        <f>IF(COUNTIFS( $B$2:$B$666, B205, $C$2:$C$666, C205, $D$2:$D$666, D205, $E$2:$E$666, E205) &gt; 1, "Duplicate", "Unique")</f>
        <v>Unique</v>
      </c>
      <c r="O205" s="27"/>
    </row>
    <row r="206" spans="1:16" ht="40.75" customHeight="1" thickBot="1" x14ac:dyDescent="0.4">
      <c r="A206" s="3">
        <v>46261.375694444447</v>
      </c>
      <c r="B206" s="1" t="s">
        <v>52</v>
      </c>
      <c r="C206" s="1" t="s">
        <v>7</v>
      </c>
      <c r="D206" s="4">
        <v>2</v>
      </c>
      <c r="E206" s="4">
        <v>2690</v>
      </c>
      <c r="F206" s="4">
        <v>15.45064378</v>
      </c>
      <c r="G206" s="2" t="s">
        <v>53</v>
      </c>
      <c r="H206" s="5">
        <v>2330</v>
      </c>
      <c r="I206" s="1" t="s">
        <v>8</v>
      </c>
      <c r="J206" s="17" t="s">
        <v>117</v>
      </c>
      <c r="K206" s="17" t="s">
        <v>174</v>
      </c>
      <c r="L206" s="17">
        <v>5120</v>
      </c>
      <c r="M206" s="17">
        <f>ABS((D206*E206)-L206)</f>
        <v>260</v>
      </c>
      <c r="N206" s="10" t="str">
        <f>IF(COUNTIFS( $B$2:$B$666, B206, $C$2:$C$666, C206, $D$2:$D$666, D206, $E$2:$E$666, E206) &gt; 1, "Duplicate", "Unique")</f>
        <v>Unique</v>
      </c>
    </row>
    <row r="207" spans="1:16" ht="27.65" hidden="1" customHeight="1" thickBot="1" x14ac:dyDescent="0.4">
      <c r="A207" s="3">
        <v>46269.614583333336</v>
      </c>
      <c r="B207" s="1" t="s">
        <v>23</v>
      </c>
      <c r="C207" s="1" t="s">
        <v>7</v>
      </c>
      <c r="D207" s="4">
        <v>40</v>
      </c>
      <c r="E207" s="4">
        <v>219</v>
      </c>
      <c r="F207" s="4">
        <v>15.506329109999999</v>
      </c>
      <c r="G207" s="2" t="s">
        <v>69</v>
      </c>
      <c r="H207" s="5">
        <v>189.6</v>
      </c>
      <c r="I207" s="1" t="s">
        <v>8</v>
      </c>
      <c r="J207" s="17" t="s">
        <v>116</v>
      </c>
      <c r="K207" s="17" t="s">
        <v>234</v>
      </c>
      <c r="L207" s="17">
        <v>8480</v>
      </c>
      <c r="M207" s="24">
        <f>ABS((D207*E207)-L207)</f>
        <v>280</v>
      </c>
      <c r="N207" t="str">
        <f>IF(COUNTIFS( $B$2:$B$666, B207, $C$2:$C$666, C207, $D$2:$D$666, D207, $E$2:$E$666, E207) &gt; 1, "Duplicate", "Unique")</f>
        <v>Unique</v>
      </c>
      <c r="O207" s="36" t="s">
        <v>238</v>
      </c>
    </row>
    <row r="208" spans="1:16" ht="40.75" customHeight="1" thickBot="1" x14ac:dyDescent="0.4">
      <c r="A208" s="53">
        <v>46302</v>
      </c>
      <c r="B208" s="1" t="s">
        <v>22</v>
      </c>
      <c r="C208" s="1" t="s">
        <v>7</v>
      </c>
      <c r="D208" s="4">
        <v>14</v>
      </c>
      <c r="E208" s="4">
        <v>459</v>
      </c>
      <c r="F208" s="4">
        <v>15.85058051</v>
      </c>
      <c r="G208" s="2" t="s">
        <v>72</v>
      </c>
      <c r="H208" s="5">
        <v>396.2</v>
      </c>
      <c r="I208" s="1" t="s">
        <v>8</v>
      </c>
      <c r="J208" s="49" t="s">
        <v>116</v>
      </c>
      <c r="K208" s="16"/>
      <c r="L208" s="16"/>
      <c r="M208" s="16"/>
      <c r="N208" t="str">
        <f>IF(COUNTIFS( $B$2:$B$666, B208, $C$2:$C$666, C208, $D$2:$D$666, D208, $E$2:$E$666, E208) &gt; 1, "Duplicate", "Unique")</f>
        <v>Unique</v>
      </c>
      <c r="O208"/>
    </row>
    <row r="209" spans="1:16" ht="40.75" hidden="1" customHeight="1" thickBot="1" x14ac:dyDescent="0.4">
      <c r="A209" s="28">
        <v>46265.375694444447</v>
      </c>
      <c r="B209" s="29" t="s">
        <v>6</v>
      </c>
      <c r="C209" s="29" t="s">
        <v>7</v>
      </c>
      <c r="D209" s="30">
        <v>20</v>
      </c>
      <c r="E209" s="30">
        <v>291</v>
      </c>
      <c r="F209" s="4">
        <v>15.890083629999999</v>
      </c>
      <c r="G209" s="2" t="s">
        <v>129</v>
      </c>
      <c r="H209" s="5">
        <v>251.1</v>
      </c>
      <c r="I209" s="1" t="s">
        <v>8</v>
      </c>
      <c r="J209" s="25" t="s">
        <v>117</v>
      </c>
      <c r="K209" s="25" t="s">
        <v>202</v>
      </c>
      <c r="L209" s="25">
        <v>5520</v>
      </c>
      <c r="M209" s="25">
        <f>ABS((D209*E209)-L209)</f>
        <v>300</v>
      </c>
      <c r="N209" s="26" t="str">
        <f>IF(COUNTIFS( $B$2:$B$666, B209, $C$2:$C$666, C209, $D$2:$D$666, D209, $E$2:$E$666, E209) &gt; 1, "Duplicate", "Unique")</f>
        <v>Unique</v>
      </c>
      <c r="O209" s="36" t="s">
        <v>238</v>
      </c>
    </row>
    <row r="210" spans="1:16" ht="40.75" hidden="1" customHeight="1" thickBot="1" x14ac:dyDescent="0.4">
      <c r="A210" s="38">
        <v>46243.505555555559</v>
      </c>
      <c r="B210" s="39" t="s">
        <v>6</v>
      </c>
      <c r="C210" s="39" t="s">
        <v>7</v>
      </c>
      <c r="D210" s="39">
        <v>10</v>
      </c>
      <c r="E210" s="39">
        <v>291</v>
      </c>
      <c r="F210" s="4">
        <v>15.890083629999999</v>
      </c>
      <c r="G210" s="2" t="s">
        <v>129</v>
      </c>
      <c r="H210" s="5">
        <v>251.1</v>
      </c>
      <c r="I210" s="1" t="s">
        <v>8</v>
      </c>
      <c r="J210" s="25" t="s">
        <v>117</v>
      </c>
      <c r="K210" s="25" t="s">
        <v>245</v>
      </c>
      <c r="L210" s="25">
        <v>2657</v>
      </c>
      <c r="M210" s="25">
        <f>ABS((D210*E210)-L210)</f>
        <v>253</v>
      </c>
      <c r="N210" s="27" t="str">
        <f>IF(COUNTIFS( $B$2:$B$666, B210, $C$2:$C$666, C210, $D$2:$D$666, D210, $E$2:$E$666, E210) &gt; 1, "Duplicate", "Unique")</f>
        <v>Duplicate</v>
      </c>
      <c r="O210" s="36" t="s">
        <v>238</v>
      </c>
    </row>
    <row r="211" spans="1:16" ht="27.65" hidden="1" customHeight="1" thickBot="1" x14ac:dyDescent="0.4">
      <c r="A211" s="28">
        <v>46280.588194444441</v>
      </c>
      <c r="B211" s="29" t="s">
        <v>6</v>
      </c>
      <c r="C211" s="29" t="s">
        <v>7</v>
      </c>
      <c r="D211" s="30">
        <v>10</v>
      </c>
      <c r="E211" s="30">
        <v>291</v>
      </c>
      <c r="F211" s="4">
        <v>15.890083629999999</v>
      </c>
      <c r="G211" s="2" t="s">
        <v>129</v>
      </c>
      <c r="H211" s="5">
        <v>251.1</v>
      </c>
      <c r="I211" s="1" t="s">
        <v>8</v>
      </c>
      <c r="J211" s="45" t="s">
        <v>117</v>
      </c>
      <c r="K211" s="25" t="s">
        <v>270</v>
      </c>
      <c r="L211" s="25">
        <v>2554.5</v>
      </c>
      <c r="M211" s="25">
        <f>ABS((D211*E211)-L211)</f>
        <v>355.5</v>
      </c>
      <c r="N211" s="27" t="str">
        <f>IF(COUNTIFS( $B$2:$B$666, B211, $C$2:$C$666, C211, $D$2:$D$666, D211, $E$2:$E$666, E211) &gt; 1, "Duplicate", "Unique")</f>
        <v>Duplicate</v>
      </c>
      <c r="O211" s="36" t="s">
        <v>238</v>
      </c>
      <c r="P211" s="27"/>
    </row>
    <row r="212" spans="1:16" ht="40.75" customHeight="1" thickBot="1" x14ac:dyDescent="0.4">
      <c r="A212" s="3">
        <v>46265.375694444447</v>
      </c>
      <c r="B212" s="1" t="s">
        <v>35</v>
      </c>
      <c r="C212" s="1" t="s">
        <v>7</v>
      </c>
      <c r="D212" s="4">
        <v>5</v>
      </c>
      <c r="E212" s="4">
        <v>1236</v>
      </c>
      <c r="F212" s="4">
        <v>15.98010697</v>
      </c>
      <c r="G212" s="2" t="s">
        <v>64</v>
      </c>
      <c r="H212" s="5">
        <v>1065.7</v>
      </c>
      <c r="I212" s="1" t="s">
        <v>8</v>
      </c>
      <c r="J212" s="17" t="s">
        <v>117</v>
      </c>
      <c r="K212" s="17" t="s">
        <v>203</v>
      </c>
      <c r="L212" s="17">
        <v>5905</v>
      </c>
      <c r="M212" s="17">
        <f>ABS((D212*E212)-L212)</f>
        <v>275</v>
      </c>
      <c r="N212" t="str">
        <f>IF(COUNTIFS( $B$2:$B$666, B212, $C$2:$C$666, C212, $D$2:$D$666, D212, $E$2:$E$666, E212) &gt; 1, "Duplicate", "Unique")</f>
        <v>Unique</v>
      </c>
    </row>
    <row r="213" spans="1:16" ht="27.65" customHeight="1" thickBot="1" x14ac:dyDescent="0.4">
      <c r="A213" s="31">
        <v>46255</v>
      </c>
      <c r="B213" s="29" t="s">
        <v>19</v>
      </c>
      <c r="C213" s="29" t="s">
        <v>7</v>
      </c>
      <c r="D213" s="30">
        <v>20</v>
      </c>
      <c r="E213" s="30">
        <v>241</v>
      </c>
      <c r="F213" s="4">
        <v>16.060679029999999</v>
      </c>
      <c r="G213" s="2" t="s">
        <v>39</v>
      </c>
      <c r="H213" s="5">
        <v>207.65</v>
      </c>
      <c r="I213" s="1" t="s">
        <v>8</v>
      </c>
      <c r="J213" s="25" t="s">
        <v>117</v>
      </c>
      <c r="K213" s="25" t="s">
        <v>148</v>
      </c>
      <c r="L213" s="25">
        <v>4680</v>
      </c>
      <c r="M213" s="25">
        <f>ABS((D213*E213)-L213)</f>
        <v>140</v>
      </c>
      <c r="N213" s="27" t="str">
        <f>IF(COUNTIFS( $B$2:$B$666, B213, $C$2:$C$666, C213, $D$2:$D$666, D213, $E$2:$E$666, E213) &gt; 1, "Duplicate", "Unique")</f>
        <v>Duplicate</v>
      </c>
      <c r="P213" s="27"/>
    </row>
    <row r="214" spans="1:16" s="27" customFormat="1" ht="40.75" customHeight="1" thickBot="1" x14ac:dyDescent="0.4">
      <c r="A214" s="28">
        <v>46261.385416666664</v>
      </c>
      <c r="B214" s="29" t="s">
        <v>19</v>
      </c>
      <c r="C214" s="29" t="s">
        <v>7</v>
      </c>
      <c r="D214" s="30">
        <v>20</v>
      </c>
      <c r="E214" s="30">
        <v>241</v>
      </c>
      <c r="F214" s="4">
        <v>16.060679029999999</v>
      </c>
      <c r="G214" s="2" t="s">
        <v>39</v>
      </c>
      <c r="H214" s="5">
        <v>207.65</v>
      </c>
      <c r="I214" s="1" t="s">
        <v>8</v>
      </c>
      <c r="J214" s="25" t="s">
        <v>117</v>
      </c>
      <c r="K214" s="25" t="s">
        <v>175</v>
      </c>
      <c r="L214" s="25">
        <v>4520</v>
      </c>
      <c r="M214" s="25">
        <f>ABS((D214*E214)-L214)</f>
        <v>300</v>
      </c>
      <c r="N214" s="27" t="str">
        <f>IF(COUNTIFS( $B$2:$B$666, B214, $C$2:$C$666, C214, $D$2:$D$666, D214, $E$2:$E$666, E214) &gt; 1, "Duplicate", "Unique")</f>
        <v>Duplicate</v>
      </c>
      <c r="O214" s="10"/>
      <c r="P214" s="10"/>
    </row>
    <row r="215" spans="1:16" s="27" customFormat="1" ht="40.75" customHeight="1" thickBot="1" x14ac:dyDescent="0.4">
      <c r="A215" s="3">
        <v>46276.4</v>
      </c>
      <c r="B215" s="1" t="s">
        <v>79</v>
      </c>
      <c r="C215" s="1" t="s">
        <v>7</v>
      </c>
      <c r="D215" s="4">
        <v>10</v>
      </c>
      <c r="E215" s="4">
        <v>1470</v>
      </c>
      <c r="F215" s="4">
        <v>16.205533599999999</v>
      </c>
      <c r="G215" s="2" t="s">
        <v>80</v>
      </c>
      <c r="H215" s="5">
        <v>1265</v>
      </c>
      <c r="I215" s="1" t="s">
        <v>8</v>
      </c>
      <c r="J215" s="17" t="s">
        <v>116</v>
      </c>
      <c r="K215" s="17" t="s">
        <v>263</v>
      </c>
      <c r="L215" s="17">
        <v>14200</v>
      </c>
      <c r="M215" s="17">
        <f>ABS((D215*E215)-L215)</f>
        <v>500</v>
      </c>
      <c r="N215" s="10" t="str">
        <f>IF(COUNTIFS( $B$2:$B$666, B215, $C$2:$C$666, C215, $D$2:$D$666, D215, $E$2:$E$666, E215) &gt; 1, "Duplicate", "Unique")</f>
        <v>Unique</v>
      </c>
      <c r="O215" s="10"/>
      <c r="P215" s="10"/>
    </row>
    <row r="216" spans="1:16" ht="40.75" customHeight="1" thickBot="1" x14ac:dyDescent="0.4">
      <c r="A216" s="8" t="s">
        <v>61</v>
      </c>
      <c r="B216" s="8" t="s">
        <v>52</v>
      </c>
      <c r="C216" s="8" t="s">
        <v>7</v>
      </c>
      <c r="D216" s="8">
        <v>3</v>
      </c>
      <c r="E216" s="12">
        <v>2710</v>
      </c>
      <c r="F216" s="4">
        <v>16.309012880000001</v>
      </c>
      <c r="G216" s="2" t="s">
        <v>53</v>
      </c>
      <c r="H216" s="5">
        <v>2330</v>
      </c>
      <c r="I216" s="1" t="s">
        <v>8</v>
      </c>
      <c r="J216" s="32" t="s">
        <v>117</v>
      </c>
      <c r="N216" s="10" t="str">
        <f>IF(COUNTIFS( $B$2:$B$666, B216, $C$2:$C$666, C216, $D$2:$D$666, D216, $E$2:$E$666, E216) &gt; 1, "Duplicate", "Unique")</f>
        <v>Unique</v>
      </c>
    </row>
    <row r="217" spans="1:16" ht="40.75" customHeight="1" thickBot="1" x14ac:dyDescent="0.4">
      <c r="A217" s="28">
        <v>46258.443055555559</v>
      </c>
      <c r="B217" s="29" t="s">
        <v>34</v>
      </c>
      <c r="C217" s="29" t="s">
        <v>7</v>
      </c>
      <c r="D217" s="30">
        <v>50</v>
      </c>
      <c r="E217" s="30">
        <v>229.5</v>
      </c>
      <c r="F217" s="4">
        <v>16.320324379999999</v>
      </c>
      <c r="G217" s="2" t="s">
        <v>41</v>
      </c>
      <c r="H217" s="5">
        <v>197.3</v>
      </c>
      <c r="I217" s="1" t="s">
        <v>8</v>
      </c>
      <c r="J217" s="25" t="s">
        <v>117</v>
      </c>
      <c r="K217" s="25" t="s">
        <v>155</v>
      </c>
      <c r="L217" s="25">
        <v>11175</v>
      </c>
      <c r="M217" s="25">
        <f>ABS((D217*E217)-L217)</f>
        <v>300</v>
      </c>
      <c r="N217" s="27" t="str">
        <f>IF(COUNTIFS( $B$2:$B$666, B217, $C$2:$C$666, C217, $D$2:$D$666, D217, $E$2:$E$666, E217) &gt; 1, "Duplicate", "Unique")</f>
        <v>Unique</v>
      </c>
      <c r="O217" s="27"/>
      <c r="P217" s="27"/>
    </row>
    <row r="218" spans="1:16" ht="27.65" customHeight="1" thickBot="1" x14ac:dyDescent="0.4">
      <c r="A218" s="28">
        <v>46259.375</v>
      </c>
      <c r="B218" s="29" t="s">
        <v>34</v>
      </c>
      <c r="C218" s="29" t="s">
        <v>7</v>
      </c>
      <c r="D218" s="30">
        <v>20</v>
      </c>
      <c r="E218" s="30">
        <v>229.5</v>
      </c>
      <c r="F218" s="4">
        <v>16.320324379999999</v>
      </c>
      <c r="G218" s="2" t="s">
        <v>41</v>
      </c>
      <c r="H218" s="5">
        <v>197.3</v>
      </c>
      <c r="I218" s="1" t="s">
        <v>8</v>
      </c>
      <c r="J218" s="25" t="s">
        <v>117</v>
      </c>
      <c r="K218" s="25" t="s">
        <v>161</v>
      </c>
      <c r="L218" s="25">
        <v>4402</v>
      </c>
      <c r="M218" s="25">
        <f>ABS((D218*E218)-L218)</f>
        <v>188</v>
      </c>
      <c r="N218" s="27" t="str">
        <f>IF(COUNTIFS( $B$2:$B$666, B218, $C$2:$C$666, C218, $D$2:$D$666, D218, $E$2:$E$666, E218) &gt; 1, "Duplicate", "Unique")</f>
        <v>Unique</v>
      </c>
      <c r="O218" s="27"/>
      <c r="P218" s="27"/>
    </row>
    <row r="219" spans="1:16" ht="40.75" customHeight="1" thickBot="1" x14ac:dyDescent="0.4">
      <c r="A219" s="8" t="s">
        <v>61</v>
      </c>
      <c r="B219" s="8" t="s">
        <v>120</v>
      </c>
      <c r="C219" s="8" t="s">
        <v>7</v>
      </c>
      <c r="D219" s="8">
        <v>10</v>
      </c>
      <c r="E219" s="8">
        <v>816</v>
      </c>
      <c r="F219" s="4">
        <v>16.405135520000002</v>
      </c>
      <c r="G219" s="2" t="s">
        <v>121</v>
      </c>
      <c r="H219" s="5">
        <v>701</v>
      </c>
      <c r="I219" s="1" t="s">
        <v>8</v>
      </c>
      <c r="J219" s="32" t="s">
        <v>116</v>
      </c>
      <c r="N219" s="10" t="str">
        <f>IF(COUNTIFS( $B$2:$B$666, B219, $C$2:$C$666, C219, $D$2:$D$666, D219, $E$2:$E$666, E219) &gt; 1, "Duplicate", "Unique")</f>
        <v>Unique</v>
      </c>
      <c r="P219" s="27"/>
    </row>
    <row r="220" spans="1:16" ht="27.65" customHeight="1" thickBot="1" x14ac:dyDescent="0.4">
      <c r="A220" s="8" t="s">
        <v>61</v>
      </c>
      <c r="B220" s="8" t="s">
        <v>24</v>
      </c>
      <c r="C220" s="8" t="s">
        <v>7</v>
      </c>
      <c r="D220" s="8">
        <v>5</v>
      </c>
      <c r="E220" s="8">
        <v>468</v>
      </c>
      <c r="F220" s="4">
        <v>16.417910450000001</v>
      </c>
      <c r="G220" s="2" t="s">
        <v>55</v>
      </c>
      <c r="H220" s="5">
        <v>402</v>
      </c>
      <c r="I220" s="1" t="s">
        <v>8</v>
      </c>
      <c r="J220" s="32" t="s">
        <v>117</v>
      </c>
      <c r="N220" s="10" t="str">
        <f>IF(COUNTIFS( $B$2:$B$666, B220, $C$2:$C$666, C220, $D$2:$D$666, D220, $E$2:$E$666, E220) &gt; 1, "Duplicate", "Unique")</f>
        <v>Unique</v>
      </c>
    </row>
    <row r="221" spans="1:16" ht="27.65" customHeight="1" thickBot="1" x14ac:dyDescent="0.4">
      <c r="A221" s="3">
        <v>46260.375</v>
      </c>
      <c r="B221" s="1" t="s">
        <v>24</v>
      </c>
      <c r="C221" s="1" t="s">
        <v>7</v>
      </c>
      <c r="D221" s="4">
        <v>40</v>
      </c>
      <c r="E221" s="4">
        <v>468</v>
      </c>
      <c r="F221" s="4">
        <v>16.417910450000001</v>
      </c>
      <c r="G221" s="2" t="s">
        <v>55</v>
      </c>
      <c r="H221" s="5">
        <v>402</v>
      </c>
      <c r="I221" s="1" t="s">
        <v>8</v>
      </c>
      <c r="J221" s="17" t="s">
        <v>117</v>
      </c>
      <c r="K221" s="17" t="s">
        <v>168</v>
      </c>
      <c r="L221" s="17">
        <v>17920</v>
      </c>
      <c r="M221" s="17">
        <f>ABS((D221*E221)-L221)</f>
        <v>800</v>
      </c>
      <c r="N221" t="str">
        <f>IF(COUNTIFS( $B$2:$B$666, B221, $C$2:$C$666, C221, $D$2:$D$666, D221, $E$2:$E$666, E221) &gt; 1, "Duplicate", "Unique")</f>
        <v>Unique</v>
      </c>
    </row>
    <row r="222" spans="1:16" ht="27.65" customHeight="1" thickBot="1" x14ac:dyDescent="0.4">
      <c r="A222" s="3">
        <v>46258.629861111112</v>
      </c>
      <c r="B222" s="1" t="s">
        <v>17</v>
      </c>
      <c r="C222" s="1" t="s">
        <v>7</v>
      </c>
      <c r="D222" s="4">
        <v>25</v>
      </c>
      <c r="E222" s="4">
        <v>392.5</v>
      </c>
      <c r="F222" s="4">
        <v>16.538004749999999</v>
      </c>
      <c r="G222" s="2" t="s">
        <v>76</v>
      </c>
      <c r="H222" s="5">
        <v>336.8</v>
      </c>
      <c r="I222" s="1" t="s">
        <v>8</v>
      </c>
      <c r="J222" s="17" t="s">
        <v>117</v>
      </c>
      <c r="K222" s="17" t="s">
        <v>153</v>
      </c>
      <c r="L222" s="17">
        <v>9312.5</v>
      </c>
      <c r="M222" s="17">
        <f>ABS((D222*E222)-L222)</f>
        <v>500</v>
      </c>
      <c r="N222" s="10" t="str">
        <f>IF(COUNTIFS( $B$2:$B$666, B222, $C$2:$C$666, C222, $D$2:$D$666, D222, $E$2:$E$666, E222) &gt; 1, "Duplicate", "Unique")</f>
        <v>Unique</v>
      </c>
    </row>
    <row r="223" spans="1:16" ht="40.75" hidden="1" customHeight="1" thickBot="1" x14ac:dyDescent="0.4">
      <c r="A223" s="3">
        <v>46266.375</v>
      </c>
      <c r="B223" s="1" t="s">
        <v>88</v>
      </c>
      <c r="C223" s="1" t="s">
        <v>7</v>
      </c>
      <c r="D223" s="4">
        <v>1</v>
      </c>
      <c r="E223" s="4">
        <v>14852</v>
      </c>
      <c r="F223" s="4">
        <v>16.577708009999998</v>
      </c>
      <c r="G223" s="2" t="s">
        <v>89</v>
      </c>
      <c r="H223" s="5">
        <v>12740</v>
      </c>
      <c r="I223" s="1" t="s">
        <v>8</v>
      </c>
      <c r="J223" s="17" t="s">
        <v>117</v>
      </c>
      <c r="K223" s="17" t="s">
        <v>216</v>
      </c>
      <c r="L223" s="17">
        <v>14552</v>
      </c>
      <c r="M223" s="17">
        <f>ABS((D223*E223)-L223)</f>
        <v>300</v>
      </c>
      <c r="N223" s="10" t="str">
        <f>IF(COUNTIFS( $B$2:$B$666, B223, $C$2:$C$666, C223, $D$2:$D$666, D223, $E$2:$E$666, E223) &gt; 1, "Duplicate", "Unique")</f>
        <v>Unique</v>
      </c>
      <c r="O223" s="36" t="s">
        <v>238</v>
      </c>
      <c r="P223" s="27"/>
    </row>
    <row r="224" spans="1:16" ht="27.65" customHeight="1" thickBot="1" x14ac:dyDescent="0.4">
      <c r="A224" s="3">
        <v>46276.375</v>
      </c>
      <c r="B224" s="1" t="s">
        <v>102</v>
      </c>
      <c r="C224" s="1" t="s">
        <v>7</v>
      </c>
      <c r="D224" s="4">
        <v>8</v>
      </c>
      <c r="E224" s="4">
        <v>2472</v>
      </c>
      <c r="F224" s="4">
        <v>16.603773579999999</v>
      </c>
      <c r="G224" s="2" t="s">
        <v>103</v>
      </c>
      <c r="H224" s="5">
        <v>2120</v>
      </c>
      <c r="I224" s="1" t="s">
        <v>8</v>
      </c>
      <c r="J224" s="17" t="s">
        <v>116</v>
      </c>
      <c r="K224" s="17" t="s">
        <v>268</v>
      </c>
      <c r="L224" s="17">
        <v>18960</v>
      </c>
      <c r="M224" s="17">
        <f>ABS((D224*E224)-L224)</f>
        <v>816</v>
      </c>
      <c r="N224" s="10" t="str">
        <f>IF(COUNTIFS( $B$2:$B$666, B224, $C$2:$C$666, C224, $D$2:$D$666, D224, $E$2:$E$666, E224) &gt; 1, "Duplicate", "Unique")</f>
        <v>Unique</v>
      </c>
    </row>
    <row r="225" spans="1:16" s="27" customFormat="1" ht="40.75" customHeight="1" thickBot="1" x14ac:dyDescent="0.4">
      <c r="A225" s="3">
        <v>46262.375</v>
      </c>
      <c r="B225" s="1" t="s">
        <v>58</v>
      </c>
      <c r="C225" s="1" t="s">
        <v>7</v>
      </c>
      <c r="D225" s="4">
        <v>4</v>
      </c>
      <c r="E225" s="4">
        <v>1146</v>
      </c>
      <c r="F225" s="4">
        <v>16.611549220000001</v>
      </c>
      <c r="G225" s="2" t="s">
        <v>59</v>
      </c>
      <c r="H225" s="5">
        <v>982.75</v>
      </c>
      <c r="I225" s="1" t="s">
        <v>8</v>
      </c>
      <c r="J225" s="17" t="s">
        <v>116</v>
      </c>
      <c r="K225" s="17" t="s">
        <v>186</v>
      </c>
      <c r="L225" s="17">
        <v>4264</v>
      </c>
      <c r="M225" s="17">
        <f>ABS((D225*E225)-L225)</f>
        <v>320</v>
      </c>
      <c r="N225" s="10" t="str">
        <f>IF(COUNTIFS( $B$2:$B$666, B225, $C$2:$C$666, C225, $D$2:$D$666, D225, $E$2:$E$666, E225) &gt; 1, "Duplicate", "Unique")</f>
        <v>Unique</v>
      </c>
      <c r="O225" s="10"/>
      <c r="P225" s="10"/>
    </row>
    <row r="226" spans="1:16" ht="27.65" customHeight="1" thickBot="1" x14ac:dyDescent="0.4">
      <c r="A226" s="3">
        <v>46265.486111111109</v>
      </c>
      <c r="B226" s="1" t="s">
        <v>58</v>
      </c>
      <c r="C226" s="1" t="s">
        <v>7</v>
      </c>
      <c r="D226" s="4">
        <v>5</v>
      </c>
      <c r="E226" s="4">
        <v>1146</v>
      </c>
      <c r="F226" s="4">
        <v>16.611549220000001</v>
      </c>
      <c r="G226" s="2" t="s">
        <v>59</v>
      </c>
      <c r="H226" s="5">
        <v>982.75</v>
      </c>
      <c r="I226" s="1" t="s">
        <v>8</v>
      </c>
      <c r="J226" s="17" t="s">
        <v>117</v>
      </c>
      <c r="K226" s="17" t="s">
        <v>192</v>
      </c>
      <c r="L226" s="17">
        <v>5282</v>
      </c>
      <c r="M226" s="17">
        <f>ABS((D226*E226)-L226)</f>
        <v>448</v>
      </c>
      <c r="N226" t="str">
        <f>IF(COUNTIFS( $B$2:$B$666, B226, $C$2:$C$666, C226, $D$2:$D$666, D226, $E$2:$E$666, E226) &gt; 1, "Duplicate", "Unique")</f>
        <v>Unique</v>
      </c>
    </row>
    <row r="227" spans="1:16" ht="40.75" customHeight="1" thickBot="1" x14ac:dyDescent="0.4">
      <c r="A227" s="8" t="s">
        <v>61</v>
      </c>
      <c r="B227" s="8" t="s">
        <v>134</v>
      </c>
      <c r="C227" s="8" t="s">
        <v>7</v>
      </c>
      <c r="D227" s="8">
        <v>5</v>
      </c>
      <c r="E227" s="8">
        <v>2190</v>
      </c>
      <c r="F227" s="4">
        <v>16.768861640000001</v>
      </c>
      <c r="G227" s="2" t="s">
        <v>135</v>
      </c>
      <c r="H227" s="5">
        <v>1875.5</v>
      </c>
      <c r="I227" s="1" t="s">
        <v>8</v>
      </c>
      <c r="J227" s="32" t="s">
        <v>117</v>
      </c>
      <c r="N227" s="10" t="str">
        <f>IF(COUNTIFS( $B$2:$B$666, B227, $C$2:$C$666, C227, $D$2:$D$666, D227, $E$2:$E$666, E227) &gt; 1, "Duplicate", "Unique")</f>
        <v>Unique</v>
      </c>
      <c r="O227" s="27"/>
    </row>
    <row r="228" spans="1:16" ht="27.65" customHeight="1" thickBot="1" x14ac:dyDescent="0.4">
      <c r="A228" s="28">
        <v>46258.443749999999</v>
      </c>
      <c r="B228" s="29" t="s">
        <v>6</v>
      </c>
      <c r="C228" s="29" t="s">
        <v>7</v>
      </c>
      <c r="D228" s="30">
        <v>50</v>
      </c>
      <c r="E228" s="30">
        <v>294</v>
      </c>
      <c r="F228" s="4">
        <v>17.084826759999999</v>
      </c>
      <c r="G228" s="2" t="s">
        <v>129</v>
      </c>
      <c r="H228" s="5">
        <v>251.1</v>
      </c>
      <c r="I228" s="1" t="s">
        <v>8</v>
      </c>
      <c r="J228" s="25" t="s">
        <v>117</v>
      </c>
      <c r="K228" s="25" t="s">
        <v>154</v>
      </c>
      <c r="L228" s="25">
        <v>14172.5</v>
      </c>
      <c r="M228" s="25">
        <f>ABS((D228*E228)-L228)</f>
        <v>527.5</v>
      </c>
      <c r="N228" s="27" t="str">
        <f>IF(COUNTIFS( $B$2:$B$666, B228, $C$2:$C$666, C228, $D$2:$D$666, D228, $E$2:$E$666, E228) &gt; 1, "Duplicate", "Unique")</f>
        <v>Unique</v>
      </c>
      <c r="O228" s="27"/>
      <c r="P228" s="27"/>
    </row>
    <row r="229" spans="1:16" s="27" customFormat="1" ht="40.75" customHeight="1" thickBot="1" x14ac:dyDescent="0.4">
      <c r="A229" s="38">
        <v>46253.4</v>
      </c>
      <c r="B229" s="39" t="s">
        <v>6</v>
      </c>
      <c r="C229" s="39" t="s">
        <v>7</v>
      </c>
      <c r="D229" s="39">
        <v>30</v>
      </c>
      <c r="E229" s="39">
        <v>294</v>
      </c>
      <c r="F229" s="4">
        <v>17.084826759999999</v>
      </c>
      <c r="G229" s="2" t="s">
        <v>129</v>
      </c>
      <c r="H229" s="5">
        <v>251.1</v>
      </c>
      <c r="I229" s="1" t="s">
        <v>8</v>
      </c>
      <c r="J229" s="45" t="s">
        <v>117</v>
      </c>
      <c r="K229" s="25" t="s">
        <v>142</v>
      </c>
      <c r="L229" s="25"/>
      <c r="M229" s="25"/>
      <c r="N229" s="27" t="str">
        <f>IF(COUNTIFS( $B$2:$B$666, B229, $C$2:$C$666, C229, $D$2:$D$666, D229, $E$2:$E$666, E229) &gt; 1, "Duplicate", "Unique")</f>
        <v>Unique</v>
      </c>
    </row>
    <row r="230" spans="1:16" ht="27.65" customHeight="1" thickBot="1" x14ac:dyDescent="0.4">
      <c r="A230" s="3">
        <v>46265.375694444447</v>
      </c>
      <c r="B230" s="1" t="s">
        <v>86</v>
      </c>
      <c r="C230" s="1" t="s">
        <v>7</v>
      </c>
      <c r="D230" s="4">
        <v>10</v>
      </c>
      <c r="E230" s="4">
        <v>1320</v>
      </c>
      <c r="F230" s="4">
        <v>17.2395417</v>
      </c>
      <c r="G230" s="2" t="s">
        <v>87</v>
      </c>
      <c r="H230" s="5">
        <v>1125.9000000000001</v>
      </c>
      <c r="I230" s="1" t="s">
        <v>8</v>
      </c>
      <c r="J230" s="17" t="s">
        <v>116</v>
      </c>
      <c r="K230" s="17" t="s">
        <v>198</v>
      </c>
      <c r="L230" s="17">
        <v>12800</v>
      </c>
      <c r="M230" s="17">
        <f>ABS((D230*E230)-L230)</f>
        <v>400</v>
      </c>
      <c r="N230" t="str">
        <f>IF(COUNTIFS( $B$2:$B$666, B230, $C$2:$C$666, C230, $D$2:$D$666, D230, $E$2:$E$666, E230) &gt; 1, "Duplicate", "Unique")</f>
        <v>Unique</v>
      </c>
    </row>
    <row r="231" spans="1:16" ht="27.65" customHeight="1" thickBot="1" x14ac:dyDescent="0.4">
      <c r="A231" s="11">
        <v>46252.6875</v>
      </c>
      <c r="B231" s="8" t="s">
        <v>27</v>
      </c>
      <c r="C231" s="8" t="s">
        <v>7</v>
      </c>
      <c r="D231" s="8">
        <v>2</v>
      </c>
      <c r="E231" s="8">
        <v>3048</v>
      </c>
      <c r="F231" s="4">
        <v>17.32101617</v>
      </c>
      <c r="G231" s="2" t="s">
        <v>130</v>
      </c>
      <c r="H231" s="5">
        <v>2598</v>
      </c>
      <c r="I231" s="1" t="s">
        <v>8</v>
      </c>
      <c r="J231" s="32" t="s">
        <v>116</v>
      </c>
      <c r="N231" s="10" t="str">
        <f>IF(COUNTIFS( $B$2:$B$666, B231, $C$2:$C$666, C231, $D$2:$D$666, D231, $E$2:$E$666, E231) &gt; 1, "Duplicate", "Unique")</f>
        <v>Unique</v>
      </c>
    </row>
    <row r="232" spans="1:16" ht="40.75" customHeight="1" thickBot="1" x14ac:dyDescent="0.4">
      <c r="A232" s="28">
        <v>46260.556944444441</v>
      </c>
      <c r="B232" s="29" t="s">
        <v>35</v>
      </c>
      <c r="C232" s="29" t="s">
        <v>7</v>
      </c>
      <c r="D232" s="30">
        <v>5</v>
      </c>
      <c r="E232" s="30">
        <v>1251</v>
      </c>
      <c r="F232" s="4">
        <v>17.387632539999998</v>
      </c>
      <c r="G232" s="2" t="s">
        <v>64</v>
      </c>
      <c r="H232" s="5">
        <v>1065.7</v>
      </c>
      <c r="I232" s="1" t="s">
        <v>8</v>
      </c>
      <c r="J232" s="25" t="s">
        <v>117</v>
      </c>
      <c r="K232" s="25" t="s">
        <v>163</v>
      </c>
      <c r="L232" s="25">
        <v>6105</v>
      </c>
      <c r="M232" s="25">
        <f>ABS((D232*E232)-L232)</f>
        <v>150</v>
      </c>
      <c r="N232" s="26" t="str">
        <f>IF(COUNTIFS( $B$2:$B$666, B232, $C$2:$C$666, C232, $D$2:$D$666, D232, $E$2:$E$666, E232) &gt; 1, "Duplicate", "Unique")</f>
        <v>Duplicate</v>
      </c>
    </row>
    <row r="233" spans="1:16" ht="27.65" customHeight="1" thickBot="1" x14ac:dyDescent="0.4">
      <c r="A233" s="28">
        <v>46261.375</v>
      </c>
      <c r="B233" s="29" t="s">
        <v>35</v>
      </c>
      <c r="C233" s="29" t="s">
        <v>7</v>
      </c>
      <c r="D233" s="30">
        <v>5</v>
      </c>
      <c r="E233" s="30">
        <v>1251</v>
      </c>
      <c r="F233" s="4">
        <v>17.387632539999998</v>
      </c>
      <c r="G233" s="2" t="s">
        <v>64</v>
      </c>
      <c r="H233" s="5">
        <v>1065.7</v>
      </c>
      <c r="I233" s="1" t="s">
        <v>8</v>
      </c>
      <c r="J233" s="25" t="s">
        <v>117</v>
      </c>
      <c r="K233" s="25" t="s">
        <v>176</v>
      </c>
      <c r="L233" s="25">
        <v>6005</v>
      </c>
      <c r="M233" s="25">
        <f>ABS((D233*E233)-L233)</f>
        <v>250</v>
      </c>
      <c r="N233" s="27" t="str">
        <f>IF(COUNTIFS( $B$2:$B$666, B233, $C$2:$C$666, C233, $D$2:$D$666, D233, $E$2:$E$666, E233) &gt; 1, "Duplicate", "Unique")</f>
        <v>Duplicate</v>
      </c>
    </row>
    <row r="234" spans="1:16" s="27" customFormat="1" ht="27.65" customHeight="1" thickBot="1" x14ac:dyDescent="0.4">
      <c r="A234" s="3">
        <v>46266.509722222225</v>
      </c>
      <c r="B234" s="1" t="s">
        <v>11</v>
      </c>
      <c r="C234" s="1" t="s">
        <v>7</v>
      </c>
      <c r="D234" s="4">
        <v>20</v>
      </c>
      <c r="E234" s="4">
        <v>306</v>
      </c>
      <c r="F234" s="4">
        <v>17.466410750000001</v>
      </c>
      <c r="G234" s="2" t="s">
        <v>98</v>
      </c>
      <c r="H234" s="5">
        <v>260.5</v>
      </c>
      <c r="I234" s="1" t="s">
        <v>8</v>
      </c>
      <c r="J234" s="17" t="s">
        <v>117</v>
      </c>
      <c r="K234" s="17" t="s">
        <v>207</v>
      </c>
      <c r="L234" s="17">
        <v>5820</v>
      </c>
      <c r="M234" s="17">
        <f>ABS((D234*E234)-L234)</f>
        <v>300</v>
      </c>
      <c r="N234" s="10" t="str">
        <f>IF(COUNTIFS( $B$2:$B$666, B234, $C$2:$C$666, C234, $D$2:$D$666, D234, $E$2:$E$666, E234) &gt; 1, "Duplicate", "Unique")</f>
        <v>Unique</v>
      </c>
      <c r="O234" s="10"/>
      <c r="P234" s="10"/>
    </row>
    <row r="235" spans="1:16" s="27" customFormat="1" ht="40.75" customHeight="1" thickBot="1" x14ac:dyDescent="0.4">
      <c r="A235" s="3">
        <v>46259.375</v>
      </c>
      <c r="B235" s="1" t="s">
        <v>24</v>
      </c>
      <c r="C235" s="1" t="s">
        <v>7</v>
      </c>
      <c r="D235" s="4">
        <v>20</v>
      </c>
      <c r="E235" s="4">
        <v>472.5</v>
      </c>
      <c r="F235" s="4">
        <v>17.537313430000001</v>
      </c>
      <c r="G235" s="2" t="s">
        <v>55</v>
      </c>
      <c r="H235" s="5">
        <v>402</v>
      </c>
      <c r="I235" s="1" t="s">
        <v>8</v>
      </c>
      <c r="J235" s="32" t="s">
        <v>117</v>
      </c>
      <c r="K235" s="17" t="s">
        <v>159</v>
      </c>
      <c r="L235" s="17">
        <v>8800</v>
      </c>
      <c r="M235" s="17">
        <f>ABS((D235*E235)-L235)</f>
        <v>650</v>
      </c>
      <c r="N235" s="10" t="str">
        <f>IF(COUNTIFS( $B$2:$B$666, B235, $C$2:$C$666, C235, $D$2:$D$666, D235, $E$2:$E$666, E235) &gt; 1, "Duplicate", "Unique")</f>
        <v>Unique</v>
      </c>
      <c r="P235" s="10"/>
    </row>
    <row r="236" spans="1:16" ht="40.75" customHeight="1" thickBot="1" x14ac:dyDescent="0.4">
      <c r="A236" s="11">
        <v>46252.645138888889</v>
      </c>
      <c r="B236" s="8" t="s">
        <v>34</v>
      </c>
      <c r="C236" s="8" t="s">
        <v>7</v>
      </c>
      <c r="D236" s="8">
        <v>200</v>
      </c>
      <c r="E236" s="8">
        <v>232</v>
      </c>
      <c r="F236" s="4">
        <v>17.587430309999998</v>
      </c>
      <c r="G236" s="2" t="s">
        <v>41</v>
      </c>
      <c r="H236" s="5">
        <v>197.3</v>
      </c>
      <c r="I236" s="1" t="s">
        <v>8</v>
      </c>
      <c r="J236" s="16" t="s">
        <v>116</v>
      </c>
      <c r="N236" s="10" t="str">
        <f>IF(COUNTIFS( $B$2:$B$666, B236, $C$2:$C$666, C236, $D$2:$D$666, D236, $E$2:$E$666, E236) &gt; 1, "Duplicate", "Unique")</f>
        <v>Unique</v>
      </c>
    </row>
    <row r="237" spans="1:16" s="27" customFormat="1" ht="40.75" customHeight="1" thickBot="1" x14ac:dyDescent="0.4">
      <c r="A237" s="8" t="s">
        <v>61</v>
      </c>
      <c r="B237" s="8" t="s">
        <v>14</v>
      </c>
      <c r="C237" s="8" t="s">
        <v>7</v>
      </c>
      <c r="D237" s="8">
        <v>17</v>
      </c>
      <c r="E237" s="8">
        <v>373</v>
      </c>
      <c r="F237" s="4">
        <v>17.75848461</v>
      </c>
      <c r="G237" s="2" t="s">
        <v>44</v>
      </c>
      <c r="H237" s="5">
        <v>316.75</v>
      </c>
      <c r="I237" s="1" t="s">
        <v>8</v>
      </c>
      <c r="J237" s="32"/>
      <c r="K237" s="17"/>
      <c r="L237" s="17"/>
      <c r="M237" s="17"/>
      <c r="N237" s="10" t="str">
        <f>IF(COUNTIFS( $B$2:$B$666, B237, $C$2:$C$666, C237, $D$2:$D$666, D237, $E$2:$E$666, E237) &gt; 1, "Duplicate", "Unique")</f>
        <v>Unique</v>
      </c>
      <c r="O237" s="10"/>
      <c r="P237" s="10"/>
    </row>
    <row r="238" spans="1:16" ht="40.75" customHeight="1" thickBot="1" x14ac:dyDescent="0.4">
      <c r="A238" s="8" t="s">
        <v>61</v>
      </c>
      <c r="B238" s="8" t="s">
        <v>14</v>
      </c>
      <c r="C238" s="8" t="s">
        <v>7</v>
      </c>
      <c r="D238" s="8">
        <v>50</v>
      </c>
      <c r="E238" s="12">
        <v>373</v>
      </c>
      <c r="F238" s="4">
        <v>17.75848461</v>
      </c>
      <c r="G238" s="2" t="s">
        <v>44</v>
      </c>
      <c r="H238" s="5">
        <v>316.75</v>
      </c>
      <c r="I238" s="1" t="s">
        <v>8</v>
      </c>
      <c r="J238" s="32" t="s">
        <v>117</v>
      </c>
      <c r="N238" s="10" t="str">
        <f>IF(COUNTIFS( $B$2:$B$666, B238, $C$2:$C$666, C238, $D$2:$D$666, D238, $E$2:$E$666, E238) &gt; 1, "Duplicate", "Unique")</f>
        <v>Unique</v>
      </c>
      <c r="O238" s="27"/>
    </row>
    <row r="239" spans="1:16" s="27" customFormat="1" ht="27.65" customHeight="1" thickBot="1" x14ac:dyDescent="0.4">
      <c r="A239" s="3">
        <v>46276.390277777777</v>
      </c>
      <c r="B239" s="1" t="s">
        <v>79</v>
      </c>
      <c r="C239" s="1" t="s">
        <v>7</v>
      </c>
      <c r="D239" s="4">
        <v>10</v>
      </c>
      <c r="E239" s="4">
        <v>1490</v>
      </c>
      <c r="F239" s="4">
        <v>17.786561259999999</v>
      </c>
      <c r="G239" s="2" t="s">
        <v>80</v>
      </c>
      <c r="H239" s="5">
        <v>1265</v>
      </c>
      <c r="I239" s="1" t="s">
        <v>8</v>
      </c>
      <c r="J239" s="17" t="s">
        <v>116</v>
      </c>
      <c r="K239" s="17" t="s">
        <v>264</v>
      </c>
      <c r="L239" s="17">
        <v>14400</v>
      </c>
      <c r="M239" s="17">
        <f>ABS((D239*E239)-L239)</f>
        <v>500</v>
      </c>
      <c r="N239" s="10" t="str">
        <f>IF(COUNTIFS( $B$2:$B$666, B239, $C$2:$C$666, C239, $D$2:$D$666, D239, $E$2:$E$666, E239) &gt; 1, "Duplicate", "Unique")</f>
        <v>Unique</v>
      </c>
      <c r="O239" s="10"/>
      <c r="P239" s="10"/>
    </row>
    <row r="240" spans="1:16" s="27" customFormat="1" ht="27.65" hidden="1" customHeight="1" thickBot="1" x14ac:dyDescent="0.4">
      <c r="A240" s="3">
        <v>46275.507638888892</v>
      </c>
      <c r="B240" s="1" t="s">
        <v>15</v>
      </c>
      <c r="C240" s="1" t="s">
        <v>7</v>
      </c>
      <c r="D240" s="4">
        <v>10</v>
      </c>
      <c r="E240" s="4">
        <v>2548</v>
      </c>
      <c r="F240" s="4">
        <v>18.787878790000001</v>
      </c>
      <c r="G240" s="2" t="s">
        <v>71</v>
      </c>
      <c r="H240" s="5">
        <v>2145</v>
      </c>
      <c r="I240" s="1" t="s">
        <v>8</v>
      </c>
      <c r="J240" s="17" t="s">
        <v>116</v>
      </c>
      <c r="K240" s="17" t="s">
        <v>258</v>
      </c>
      <c r="L240" s="17">
        <v>73800</v>
      </c>
      <c r="M240" s="17">
        <f>ABS((D240*E240)-L240)</f>
        <v>48320</v>
      </c>
      <c r="N240" s="10" t="str">
        <f>IF(COUNTIFS( $B$2:$B$666, B240, $C$2:$C$666, C240, $D$2:$D$666, D240, $E$2:$E$666, E240) &gt; 1, "Duplicate", "Unique")</f>
        <v>Unique</v>
      </c>
      <c r="O240" s="36" t="s">
        <v>238</v>
      </c>
      <c r="P240" s="10"/>
    </row>
    <row r="241" spans="1:16" ht="27.65" customHeight="1" thickBot="1" x14ac:dyDescent="0.4">
      <c r="A241" s="3">
        <v>46269.375</v>
      </c>
      <c r="B241" s="1" t="s">
        <v>22</v>
      </c>
      <c r="C241" s="1" t="s">
        <v>7</v>
      </c>
      <c r="D241" s="4">
        <v>5</v>
      </c>
      <c r="E241" s="4">
        <v>471</v>
      </c>
      <c r="F241" s="4">
        <v>18.879353859999998</v>
      </c>
      <c r="G241" s="2" t="s">
        <v>72</v>
      </c>
      <c r="H241" s="5">
        <v>396.2</v>
      </c>
      <c r="I241" s="1" t="s">
        <v>8</v>
      </c>
      <c r="J241" s="17" t="s">
        <v>117</v>
      </c>
      <c r="K241" s="17" t="s">
        <v>235</v>
      </c>
      <c r="L241" s="17">
        <v>2105</v>
      </c>
      <c r="M241" s="24">
        <f>ABS((D241*E241)-L241)</f>
        <v>250</v>
      </c>
      <c r="N241" t="str">
        <f>IF(COUNTIFS( $B$2:$B$666, B241, $C$2:$C$666, C241, $D$2:$D$666, D241, $E$2:$E$666, E241) &gt; 1, "Duplicate", "Unique")</f>
        <v>Unique</v>
      </c>
    </row>
    <row r="242" spans="1:16" ht="27.65" hidden="1" customHeight="1" thickBot="1" x14ac:dyDescent="0.4">
      <c r="A242" s="3">
        <v>46335.421527777777</v>
      </c>
      <c r="B242" s="1" t="s">
        <v>16</v>
      </c>
      <c r="C242" s="1" t="s">
        <v>7</v>
      </c>
      <c r="D242" s="4">
        <v>10</v>
      </c>
      <c r="E242" s="4">
        <v>884.9</v>
      </c>
      <c r="F242" s="4">
        <v>18.938172040000001</v>
      </c>
      <c r="G242" s="2" t="s">
        <v>60</v>
      </c>
      <c r="H242" s="5">
        <v>744</v>
      </c>
      <c r="I242" s="1" t="s">
        <v>8</v>
      </c>
      <c r="J242" s="17" t="s">
        <v>117</v>
      </c>
      <c r="K242" s="17" t="s">
        <v>262</v>
      </c>
      <c r="L242" s="17">
        <v>8049</v>
      </c>
      <c r="M242" s="17">
        <f>ABS((D242*E242)-L242)</f>
        <v>800</v>
      </c>
      <c r="N242" s="10" t="str">
        <f>IF(COUNTIFS( $B$2:$B$666, B242, $C$2:$C$666, C242, $D$2:$D$666, D242, $E$2:$E$666, E242) &gt; 1, "Duplicate", "Unique")</f>
        <v>Unique</v>
      </c>
      <c r="O242" s="36" t="s">
        <v>238</v>
      </c>
    </row>
    <row r="243" spans="1:16" ht="27.65" customHeight="1" thickBot="1" x14ac:dyDescent="0.4">
      <c r="A243" s="3">
        <v>46262.375</v>
      </c>
      <c r="B243" s="1" t="s">
        <v>86</v>
      </c>
      <c r="C243" s="1" t="s">
        <v>7</v>
      </c>
      <c r="D243" s="4">
        <v>10</v>
      </c>
      <c r="E243" s="4">
        <v>1340</v>
      </c>
      <c r="F243" s="4">
        <v>19.01589839</v>
      </c>
      <c r="G243" s="2" t="s">
        <v>87</v>
      </c>
      <c r="H243" s="5">
        <v>1125.9000000000001</v>
      </c>
      <c r="I243" s="1" t="s">
        <v>8</v>
      </c>
      <c r="J243" s="17" t="s">
        <v>116</v>
      </c>
      <c r="K243" s="17" t="s">
        <v>185</v>
      </c>
      <c r="L243" s="17">
        <v>13030</v>
      </c>
      <c r="M243" s="17">
        <f>ABS((D243*E243)-L243)</f>
        <v>370</v>
      </c>
      <c r="N243" s="10" t="str">
        <f>IF(COUNTIFS( $B$2:$B$666, B243, $C$2:$C$666, C243, $D$2:$D$666, D243, $E$2:$E$666, E243) &gt; 1, "Duplicate", "Unique")</f>
        <v>Unique</v>
      </c>
      <c r="P243" s="27"/>
    </row>
    <row r="244" spans="1:16" ht="40.75" customHeight="1" thickBot="1" x14ac:dyDescent="0.4">
      <c r="A244" s="3">
        <v>46261.375</v>
      </c>
      <c r="B244" s="1" t="s">
        <v>18</v>
      </c>
      <c r="C244" s="1" t="s">
        <v>7</v>
      </c>
      <c r="D244" s="4">
        <v>2</v>
      </c>
      <c r="E244" s="4">
        <v>1970</v>
      </c>
      <c r="F244" s="4">
        <v>19.047619050000002</v>
      </c>
      <c r="G244" s="2" t="s">
        <v>101</v>
      </c>
      <c r="H244" s="5">
        <v>1654.8</v>
      </c>
      <c r="I244" s="1" t="s">
        <v>8</v>
      </c>
      <c r="J244" s="17" t="s">
        <v>116</v>
      </c>
      <c r="K244" s="17" t="s">
        <v>178</v>
      </c>
      <c r="L244" s="17">
        <v>3680</v>
      </c>
      <c r="M244" s="17">
        <f>ABS((D244*E244)-L244)</f>
        <v>260</v>
      </c>
      <c r="N244" s="10" t="str">
        <f>IF(COUNTIFS( $B$2:$B$666, B244, $C$2:$C$666, C244, $D$2:$D$666, D244, $E$2:$E$666, E244) &gt; 1, "Duplicate", "Unique")</f>
        <v>Unique</v>
      </c>
    </row>
    <row r="245" spans="1:16" ht="40.75" customHeight="1" thickBot="1" x14ac:dyDescent="0.4">
      <c r="A245" s="11">
        <v>46252.635416666664</v>
      </c>
      <c r="B245" s="8" t="s">
        <v>34</v>
      </c>
      <c r="C245" s="8" t="s">
        <v>7</v>
      </c>
      <c r="D245" s="8">
        <v>200</v>
      </c>
      <c r="E245" s="8">
        <v>235</v>
      </c>
      <c r="F245" s="4">
        <v>19.107957429999999</v>
      </c>
      <c r="G245" s="2" t="s">
        <v>41</v>
      </c>
      <c r="H245" s="5">
        <v>197.3</v>
      </c>
      <c r="I245" s="1" t="s">
        <v>8</v>
      </c>
      <c r="J245" s="35" t="s">
        <v>54</v>
      </c>
      <c r="N245" s="10" t="str">
        <f>IF(COUNTIFS( $B$2:$B$666, B245, $C$2:$C$666, C245, $D$2:$D$666, D245, $E$2:$E$666, E245) &gt; 1, "Duplicate", "Unique")</f>
        <v>Unique</v>
      </c>
    </row>
    <row r="246" spans="1:16" ht="27.65" customHeight="1" thickBot="1" x14ac:dyDescent="0.4">
      <c r="A246" s="3">
        <v>46276.388194444444</v>
      </c>
      <c r="B246" s="1" t="s">
        <v>79</v>
      </c>
      <c r="C246" s="1" t="s">
        <v>7</v>
      </c>
      <c r="D246" s="4">
        <v>10</v>
      </c>
      <c r="E246" s="4">
        <v>1510</v>
      </c>
      <c r="F246" s="4">
        <v>19.36758893</v>
      </c>
      <c r="G246" s="2" t="s">
        <v>80</v>
      </c>
      <c r="H246" s="5">
        <v>1265</v>
      </c>
      <c r="I246" s="1" t="s">
        <v>8</v>
      </c>
      <c r="J246" s="17" t="s">
        <v>116</v>
      </c>
      <c r="K246" s="17" t="s">
        <v>265</v>
      </c>
      <c r="L246" s="17">
        <v>14650</v>
      </c>
      <c r="M246" s="17">
        <f>ABS((D246*E246)-L246)</f>
        <v>450</v>
      </c>
      <c r="N246" s="10" t="str">
        <f>IF(COUNTIFS( $B$2:$B$666, B246, $C$2:$C$666, C246, $D$2:$D$666, D246, $E$2:$E$666, E246) &gt; 1, "Duplicate", "Unique")</f>
        <v>Unique</v>
      </c>
    </row>
    <row r="247" spans="1:16" ht="27.65" customHeight="1" thickBot="1" x14ac:dyDescent="0.4">
      <c r="A247" s="8" t="s">
        <v>61</v>
      </c>
      <c r="B247" s="8" t="s">
        <v>6</v>
      </c>
      <c r="C247" s="8" t="s">
        <v>7</v>
      </c>
      <c r="D247" s="8">
        <v>120</v>
      </c>
      <c r="E247" s="8">
        <v>300.5</v>
      </c>
      <c r="F247" s="4">
        <v>19.673436880000001</v>
      </c>
      <c r="G247" s="2" t="s">
        <v>129</v>
      </c>
      <c r="H247" s="5">
        <v>251.1</v>
      </c>
      <c r="I247" s="1" t="s">
        <v>8</v>
      </c>
      <c r="J247" s="32" t="s">
        <v>117</v>
      </c>
      <c r="N247" s="10" t="str">
        <f>IF(COUNTIFS( $B$2:$B$666, B247, $C$2:$C$666, C247, $D$2:$D$666, D247, $E$2:$E$666, E247) &gt; 1, "Duplicate", "Unique")</f>
        <v>Unique</v>
      </c>
    </row>
    <row r="248" spans="1:16" ht="40.75" customHeight="1" thickBot="1" x14ac:dyDescent="0.4">
      <c r="A248" s="8" t="s">
        <v>61</v>
      </c>
      <c r="B248" s="8" t="s">
        <v>132</v>
      </c>
      <c r="C248" s="8" t="s">
        <v>7</v>
      </c>
      <c r="D248" s="8">
        <v>150</v>
      </c>
      <c r="E248" s="12">
        <v>129.9</v>
      </c>
      <c r="F248" s="4">
        <v>19.845004150000001</v>
      </c>
      <c r="G248" s="2" t="s">
        <v>133</v>
      </c>
      <c r="H248" s="5">
        <v>108.39</v>
      </c>
      <c r="I248" s="1" t="s">
        <v>8</v>
      </c>
      <c r="J248" s="32"/>
      <c r="N248" s="10" t="str">
        <f>IF(COUNTIFS( $B$2:$B$666, B248, $C$2:$C$666, C248, $D$2:$D$666, D248, $E$2:$E$666, E248) &gt; 1, "Duplicate", "Unique")</f>
        <v>Unique</v>
      </c>
    </row>
    <row r="249" spans="1:16" ht="27.65" customHeight="1" thickBot="1" x14ac:dyDescent="0.4">
      <c r="A249" s="11">
        <v>46252.6875</v>
      </c>
      <c r="B249" s="8" t="s">
        <v>13</v>
      </c>
      <c r="C249" s="8" t="s">
        <v>7</v>
      </c>
      <c r="D249" s="8">
        <v>5</v>
      </c>
      <c r="E249" s="8">
        <v>2094</v>
      </c>
      <c r="F249" s="4">
        <v>20</v>
      </c>
      <c r="G249" s="2" t="s">
        <v>90</v>
      </c>
      <c r="H249" s="5">
        <v>1745</v>
      </c>
      <c r="I249" s="1" t="s">
        <v>8</v>
      </c>
      <c r="J249" s="32" t="s">
        <v>117</v>
      </c>
      <c r="N249" s="10" t="str">
        <f>IF(COUNTIFS( $B$2:$B$666, B249, $C$2:$C$666, C249, $D$2:$D$666, D249, $E$2:$E$666, E249) &gt; 1, "Duplicate", "Unique")</f>
        <v>Unique</v>
      </c>
    </row>
    <row r="250" spans="1:16" ht="40.75" customHeight="1" thickBot="1" x14ac:dyDescent="0.4">
      <c r="A250" s="8" t="s">
        <v>61</v>
      </c>
      <c r="B250" s="8" t="s">
        <v>28</v>
      </c>
      <c r="C250" s="8" t="s">
        <v>7</v>
      </c>
      <c r="D250" s="8">
        <v>30</v>
      </c>
      <c r="E250" s="13">
        <v>974</v>
      </c>
      <c r="F250" s="4">
        <v>20.499814430000001</v>
      </c>
      <c r="G250" s="2" t="s">
        <v>124</v>
      </c>
      <c r="H250" s="5">
        <v>808.3</v>
      </c>
      <c r="I250" s="1" t="s">
        <v>8</v>
      </c>
      <c r="J250" s="32"/>
      <c r="N250" s="10" t="str">
        <f>IF(COUNTIFS( $B$2:$B$666, B250, $C$2:$C$666, C250, $D$2:$D$666, D250, $E$2:$E$666, E250) &gt; 1, "Duplicate", "Unique")</f>
        <v>Unique</v>
      </c>
    </row>
    <row r="251" spans="1:16" ht="27.65" customHeight="1" thickBot="1" x14ac:dyDescent="0.4">
      <c r="A251" s="11">
        <v>46252.635416666664</v>
      </c>
      <c r="B251" s="8" t="s">
        <v>34</v>
      </c>
      <c r="C251" s="8" t="s">
        <v>7</v>
      </c>
      <c r="D251" s="8">
        <v>120</v>
      </c>
      <c r="E251" s="8">
        <v>238.2</v>
      </c>
      <c r="F251" s="4">
        <v>20.72985302</v>
      </c>
      <c r="G251" s="2" t="s">
        <v>41</v>
      </c>
      <c r="H251" s="5">
        <v>197.3</v>
      </c>
      <c r="I251" s="1" t="s">
        <v>8</v>
      </c>
      <c r="J251" s="32" t="s">
        <v>117</v>
      </c>
      <c r="K251" s="17" t="s">
        <v>144</v>
      </c>
      <c r="N251" s="10" t="str">
        <f>IF(COUNTIFS( $B$2:$B$666, B251, $C$2:$C$666, C251, $D$2:$D$666, D251, $E$2:$E$666, E251) &gt; 1, "Duplicate", "Unique")</f>
        <v>Unique</v>
      </c>
    </row>
    <row r="252" spans="1:16" ht="27.65" hidden="1" customHeight="1" thickBot="1" x14ac:dyDescent="0.4">
      <c r="A252" s="3">
        <v>46275.507638888892</v>
      </c>
      <c r="B252" s="1" t="s">
        <v>15</v>
      </c>
      <c r="C252" s="1" t="s">
        <v>7</v>
      </c>
      <c r="D252" s="4">
        <v>10</v>
      </c>
      <c r="E252" s="4">
        <v>2590</v>
      </c>
      <c r="F252" s="4">
        <v>20.74592075</v>
      </c>
      <c r="G252" s="2" t="s">
        <v>71</v>
      </c>
      <c r="H252" s="5">
        <v>2145</v>
      </c>
      <c r="I252" s="1" t="s">
        <v>8</v>
      </c>
      <c r="J252" s="17" t="s">
        <v>116</v>
      </c>
      <c r="K252" s="17" t="s">
        <v>258</v>
      </c>
      <c r="L252" s="17">
        <v>73800</v>
      </c>
      <c r="M252" s="17">
        <f>ABS((D252*E252)-L252)</f>
        <v>47900</v>
      </c>
      <c r="N252" s="10" t="str">
        <f>IF(COUNTIFS( $B$2:$B$666, B252, $C$2:$C$666, C252, $D$2:$D$666, D252, $E$2:$E$666, E252) &gt; 1, "Duplicate", "Unique")</f>
        <v>Unique</v>
      </c>
      <c r="O252" s="36" t="s">
        <v>238</v>
      </c>
    </row>
    <row r="253" spans="1:16" ht="27.65" customHeight="1" thickBot="1" x14ac:dyDescent="0.4">
      <c r="A253" s="40" t="s">
        <v>61</v>
      </c>
      <c r="B253" s="42" t="s">
        <v>23</v>
      </c>
      <c r="C253" s="40" t="s">
        <v>7</v>
      </c>
      <c r="D253" s="40">
        <v>40</v>
      </c>
      <c r="E253" s="43">
        <v>229</v>
      </c>
      <c r="F253" s="4">
        <v>20.780590719999999</v>
      </c>
      <c r="G253" s="2" t="s">
        <v>69</v>
      </c>
      <c r="H253" s="5">
        <v>189.6</v>
      </c>
      <c r="I253" s="1" t="s">
        <v>8</v>
      </c>
      <c r="J253" s="44" t="s">
        <v>116</v>
      </c>
      <c r="K253" s="41"/>
      <c r="L253" s="41"/>
      <c r="M253" s="41"/>
      <c r="N253" s="22" t="str">
        <f>IF(COUNTIFS( $B$2:$B$666, B253, $C$2:$C$666, C253, $D$2:$D$666, D253, $E$2:$E$666, E253) &gt; 1, "Duplicate", "Unique")</f>
        <v>Unique</v>
      </c>
      <c r="O253" s="22"/>
      <c r="P253" s="22" t="s">
        <v>250</v>
      </c>
    </row>
    <row r="254" spans="1:16" ht="27.65" customHeight="1" thickBot="1" x14ac:dyDescent="0.4">
      <c r="A254" s="3">
        <v>46262.375</v>
      </c>
      <c r="B254" s="1" t="s">
        <v>86</v>
      </c>
      <c r="C254" s="1" t="s">
        <v>7</v>
      </c>
      <c r="D254" s="4">
        <v>10</v>
      </c>
      <c r="E254" s="4">
        <v>1360</v>
      </c>
      <c r="F254" s="4">
        <v>20.79225508</v>
      </c>
      <c r="G254" s="2" t="s">
        <v>87</v>
      </c>
      <c r="H254" s="5">
        <v>1125.9000000000001</v>
      </c>
      <c r="I254" s="1" t="s">
        <v>8</v>
      </c>
      <c r="J254" s="17" t="s">
        <v>116</v>
      </c>
      <c r="K254" s="17" t="s">
        <v>188</v>
      </c>
      <c r="L254" s="17">
        <v>13300</v>
      </c>
      <c r="M254" s="17">
        <f>ABS((D254*E254)-L254)</f>
        <v>300</v>
      </c>
      <c r="N254" s="10" t="str">
        <f>IF(COUNTIFS( $B$2:$B$666, B254, $C$2:$C$666, C254, $D$2:$D$666, D254, $E$2:$E$666, E254) &gt; 1, "Duplicate", "Unique")</f>
        <v>Unique</v>
      </c>
    </row>
    <row r="255" spans="1:16" s="27" customFormat="1" ht="27.65" customHeight="1" thickBot="1" x14ac:dyDescent="0.4">
      <c r="A255" s="8" t="s">
        <v>61</v>
      </c>
      <c r="B255" s="8" t="s">
        <v>14</v>
      </c>
      <c r="C255" s="8" t="s">
        <v>7</v>
      </c>
      <c r="D255" s="8">
        <v>50</v>
      </c>
      <c r="E255" s="12">
        <v>383</v>
      </c>
      <c r="F255" s="4">
        <v>20.91554854</v>
      </c>
      <c r="G255" s="2" t="s">
        <v>44</v>
      </c>
      <c r="H255" s="5">
        <v>316.75</v>
      </c>
      <c r="I255" s="1" t="s">
        <v>8</v>
      </c>
      <c r="J255" s="32"/>
      <c r="K255" s="17"/>
      <c r="L255" s="17"/>
      <c r="M255" s="17"/>
      <c r="N255" s="10" t="str">
        <f>IF(COUNTIFS( $B$2:$B$666, B255, $C$2:$C$666, C255, $D$2:$D$666, D255, $E$2:$E$666, E255) &gt; 1, "Duplicate", "Unique")</f>
        <v>Unique</v>
      </c>
      <c r="O255" s="10"/>
      <c r="P255" s="10"/>
    </row>
    <row r="256" spans="1:16" s="27" customFormat="1" ht="40.75" hidden="1" customHeight="1" thickBot="1" x14ac:dyDescent="0.4">
      <c r="A256" s="3">
        <v>46266.375</v>
      </c>
      <c r="B256" s="1" t="s">
        <v>15</v>
      </c>
      <c r="C256" s="1" t="s">
        <v>7</v>
      </c>
      <c r="D256" s="4">
        <v>10</v>
      </c>
      <c r="E256" s="4">
        <v>2595</v>
      </c>
      <c r="F256" s="4">
        <v>20.979020980000001</v>
      </c>
      <c r="G256" s="2" t="s">
        <v>71</v>
      </c>
      <c r="H256" s="5">
        <v>2145</v>
      </c>
      <c r="I256" s="1" t="s">
        <v>8</v>
      </c>
      <c r="J256" s="17" t="s">
        <v>117</v>
      </c>
      <c r="K256" s="17" t="s">
        <v>214</v>
      </c>
      <c r="L256" s="17">
        <v>25300</v>
      </c>
      <c r="M256" s="17">
        <f>ABS((D256*E256)-L256)</f>
        <v>650</v>
      </c>
      <c r="N256" s="10" t="str">
        <f>IF(COUNTIFS( $B$2:$B$666, B256, $C$2:$C$666, C256, $D$2:$D$666, D256, $E$2:$E$666, E256) &gt; 1, "Duplicate", "Unique")</f>
        <v>Unique</v>
      </c>
      <c r="O256" s="36" t="s">
        <v>238</v>
      </c>
      <c r="P256" s="10"/>
    </row>
    <row r="257" spans="1:16" ht="27.65" hidden="1" customHeight="1" thickBot="1" x14ac:dyDescent="0.4">
      <c r="A257" s="3">
        <v>46267.513888888891</v>
      </c>
      <c r="B257" s="1" t="s">
        <v>15</v>
      </c>
      <c r="C257" s="1" t="s">
        <v>7</v>
      </c>
      <c r="D257" s="4">
        <v>5</v>
      </c>
      <c r="E257" s="4">
        <v>2595</v>
      </c>
      <c r="F257" s="4">
        <v>20.979020980000001</v>
      </c>
      <c r="G257" s="2" t="s">
        <v>71</v>
      </c>
      <c r="H257" s="5">
        <v>2145</v>
      </c>
      <c r="I257" s="1" t="s">
        <v>8</v>
      </c>
      <c r="J257" s="17" t="s">
        <v>117</v>
      </c>
      <c r="K257" s="17" t="s">
        <v>225</v>
      </c>
      <c r="L257" s="17">
        <v>12480</v>
      </c>
      <c r="M257" s="17">
        <f>ABS((D257*E257)-L257)</f>
        <v>495</v>
      </c>
      <c r="N257" s="10" t="str">
        <f>IF(COUNTIFS( $B$2:$B$666, B257, $C$2:$C$666, C257, $D$2:$D$666, D257, $E$2:$E$666, E257) &gt; 1, "Duplicate", "Unique")</f>
        <v>Unique</v>
      </c>
      <c r="O257" s="36" t="s">
        <v>238</v>
      </c>
    </row>
    <row r="258" spans="1:16" ht="27.65" customHeight="1" thickBot="1" x14ac:dyDescent="0.4">
      <c r="A258" s="8" t="s">
        <v>61</v>
      </c>
      <c r="B258" s="8" t="s">
        <v>34</v>
      </c>
      <c r="C258" s="8" t="s">
        <v>7</v>
      </c>
      <c r="D258" s="8">
        <v>200</v>
      </c>
      <c r="E258" s="8">
        <v>239</v>
      </c>
      <c r="F258" s="4">
        <v>21.13532691</v>
      </c>
      <c r="G258" s="2" t="s">
        <v>41</v>
      </c>
      <c r="H258" s="5">
        <v>197.3</v>
      </c>
      <c r="I258" s="1" t="s">
        <v>8</v>
      </c>
      <c r="J258" s="32" t="s">
        <v>116</v>
      </c>
      <c r="N258" s="10" t="str">
        <f>IF(COUNTIFS( $B$2:$B$666, B258, $C$2:$C$666, C258, $D$2:$D$666, D258, $E$2:$E$666, E258) &gt; 1, "Duplicate", "Unique")</f>
        <v>Unique</v>
      </c>
    </row>
    <row r="259" spans="1:16" ht="27.65" customHeight="1" thickBot="1" x14ac:dyDescent="0.4">
      <c r="A259" s="8" t="s">
        <v>61</v>
      </c>
      <c r="B259" s="8" t="s">
        <v>13</v>
      </c>
      <c r="C259" s="8" t="s">
        <v>7</v>
      </c>
      <c r="D259" s="8">
        <v>10</v>
      </c>
      <c r="E259" s="8">
        <v>2114</v>
      </c>
      <c r="F259" s="4">
        <v>21.14613181</v>
      </c>
      <c r="G259" s="2" t="s">
        <v>90</v>
      </c>
      <c r="H259" s="5">
        <v>1745</v>
      </c>
      <c r="I259" s="1" t="s">
        <v>8</v>
      </c>
      <c r="J259" s="32"/>
      <c r="N259" s="10" t="str">
        <f>IF(COUNTIFS( $B$2:$B$666, B259, $C$2:$C$666, C259, $D$2:$D$666, D259, $E$2:$E$666, E259) &gt; 1, "Duplicate", "Unique")</f>
        <v>Unique</v>
      </c>
      <c r="P259" s="27"/>
    </row>
    <row r="260" spans="1:16" ht="27.65" customHeight="1" thickBot="1" x14ac:dyDescent="0.4">
      <c r="A260" s="8" t="s">
        <v>61</v>
      </c>
      <c r="B260" s="8" t="s">
        <v>26</v>
      </c>
      <c r="C260" s="8" t="s">
        <v>7</v>
      </c>
      <c r="D260" s="8">
        <v>25</v>
      </c>
      <c r="E260" s="8">
        <v>199.9</v>
      </c>
      <c r="F260" s="4">
        <v>21.151515150000002</v>
      </c>
      <c r="G260" s="2" t="s">
        <v>131</v>
      </c>
      <c r="H260" s="5">
        <v>165</v>
      </c>
      <c r="I260" s="1" t="s">
        <v>8</v>
      </c>
      <c r="J260" s="32" t="s">
        <v>116</v>
      </c>
      <c r="N260" s="10" t="str">
        <f>IF(COUNTIFS( $B$2:$B$666, B260, $C$2:$C$666, C260, $D$2:$D$666, D260, $E$2:$E$666, E260) &gt; 1, "Duplicate", "Unique")</f>
        <v>Unique</v>
      </c>
    </row>
    <row r="261" spans="1:16" ht="27.65" customHeight="1" thickBot="1" x14ac:dyDescent="0.4">
      <c r="A261" s="3">
        <v>46272.375694444447</v>
      </c>
      <c r="B261" s="1" t="s">
        <v>16</v>
      </c>
      <c r="C261" s="1" t="s">
        <v>7</v>
      </c>
      <c r="D261" s="4">
        <v>5</v>
      </c>
      <c r="E261" s="4">
        <v>902</v>
      </c>
      <c r="F261" s="4">
        <v>21.236559140000001</v>
      </c>
      <c r="G261" s="2" t="s">
        <v>60</v>
      </c>
      <c r="H261" s="5">
        <v>744</v>
      </c>
      <c r="I261" s="1" t="s">
        <v>8</v>
      </c>
      <c r="J261" s="17" t="s">
        <v>117</v>
      </c>
      <c r="K261" s="17" t="s">
        <v>241</v>
      </c>
      <c r="L261" s="17">
        <v>4260</v>
      </c>
      <c r="M261" s="17">
        <f>ABS((D261*E261)-L261)</f>
        <v>250</v>
      </c>
      <c r="N261" s="10" t="str">
        <f>IF(COUNTIFS( $B$2:$B$666, B261, $C$2:$C$666, C261, $D$2:$D$666, D261, $E$2:$E$666, E261) &gt; 1, "Duplicate", "Unique")</f>
        <v>Unique</v>
      </c>
      <c r="P261" s="27"/>
    </row>
    <row r="262" spans="1:16" ht="27.65" customHeight="1" thickBot="1" x14ac:dyDescent="0.4">
      <c r="A262" s="3">
        <v>46290.385416666664</v>
      </c>
      <c r="B262" s="2" t="s">
        <v>280</v>
      </c>
      <c r="C262" s="2" t="s">
        <v>7</v>
      </c>
      <c r="D262" s="5">
        <v>2</v>
      </c>
      <c r="E262" s="5">
        <v>1885.5</v>
      </c>
      <c r="F262" s="4">
        <v>21.332046330000001</v>
      </c>
      <c r="G262" s="2" t="s">
        <v>282</v>
      </c>
      <c r="H262" s="5">
        <v>1554</v>
      </c>
      <c r="I262" s="1" t="s">
        <v>8</v>
      </c>
      <c r="J262" s="17" t="s">
        <v>117</v>
      </c>
      <c r="K262" s="17" t="s">
        <v>289</v>
      </c>
      <c r="L262" s="17">
        <v>3521</v>
      </c>
      <c r="M262" s="17">
        <f>ABS((D262*E262)-L262)</f>
        <v>250</v>
      </c>
      <c r="N262" s="10" t="str">
        <f>IF(COUNTIFS( $B$2:$B$666, B262, $C$2:$C$666, C262, $D$2:$D$666, D262, $E$2:$E$666, E262) &gt; 1, "Duplicate", "Unique")</f>
        <v>Unique</v>
      </c>
    </row>
    <row r="263" spans="1:16" ht="27.65" customHeight="1" thickBot="1" x14ac:dyDescent="0.4">
      <c r="A263" s="19">
        <v>46255</v>
      </c>
      <c r="B263" s="1" t="s">
        <v>20</v>
      </c>
      <c r="C263" s="1" t="s">
        <v>7</v>
      </c>
      <c r="D263" s="4">
        <v>20</v>
      </c>
      <c r="E263" s="4">
        <v>147</v>
      </c>
      <c r="F263" s="4">
        <v>21.477563839999998</v>
      </c>
      <c r="G263" s="2" t="s">
        <v>85</v>
      </c>
      <c r="H263" s="5">
        <v>121.01</v>
      </c>
      <c r="I263" s="1" t="s">
        <v>8</v>
      </c>
      <c r="J263" s="17" t="s">
        <v>54</v>
      </c>
      <c r="K263" s="17" t="s">
        <v>147</v>
      </c>
      <c r="L263" s="17">
        <v>2640</v>
      </c>
      <c r="M263" s="17">
        <f>ABS((D263*E263)-L263)</f>
        <v>300</v>
      </c>
      <c r="N263" s="10" t="str">
        <f>IF(COUNTIFS( $B$2:$B$666, B263, $C$2:$C$666, C263, $D$2:$D$666, D263, $E$2:$E$666, E263) &gt; 1, "Duplicate", "Unique")</f>
        <v>Unique</v>
      </c>
    </row>
    <row r="264" spans="1:16" ht="40.75" hidden="1" customHeight="1" thickBot="1" x14ac:dyDescent="0.4">
      <c r="A264" s="3">
        <v>46265.375694444447</v>
      </c>
      <c r="B264" s="1" t="s">
        <v>15</v>
      </c>
      <c r="C264" s="1" t="s">
        <v>7</v>
      </c>
      <c r="D264" s="4">
        <v>10</v>
      </c>
      <c r="E264" s="4">
        <v>2608</v>
      </c>
      <c r="F264" s="4">
        <v>21.585081590000001</v>
      </c>
      <c r="G264" s="2" t="s">
        <v>71</v>
      </c>
      <c r="H264" s="5">
        <v>2145</v>
      </c>
      <c r="I264" s="1" t="s">
        <v>8</v>
      </c>
      <c r="J264" s="17" t="s">
        <v>117</v>
      </c>
      <c r="K264" s="17" t="s">
        <v>200</v>
      </c>
      <c r="L264" s="17">
        <v>25780</v>
      </c>
      <c r="M264" s="17">
        <f>ABS((D264*E264)-L264)</f>
        <v>300</v>
      </c>
      <c r="N264" t="str">
        <f>IF(COUNTIFS( $B$2:$B$666, B264, $C$2:$C$666, C264, $D$2:$D$666, D264, $E$2:$E$666, E264) &gt; 1, "Duplicate", "Unique")</f>
        <v>Unique</v>
      </c>
      <c r="O264" s="36" t="s">
        <v>238</v>
      </c>
      <c r="P264"/>
    </row>
    <row r="265" spans="1:16" ht="27.65" customHeight="1" thickBot="1" x14ac:dyDescent="0.4">
      <c r="A265" s="3">
        <v>46290.385416666664</v>
      </c>
      <c r="B265" s="2" t="s">
        <v>118</v>
      </c>
      <c r="C265" s="2" t="s">
        <v>7</v>
      </c>
      <c r="D265" s="5">
        <v>15</v>
      </c>
      <c r="E265" s="5">
        <v>1048</v>
      </c>
      <c r="F265" s="4">
        <v>21.718931479999998</v>
      </c>
      <c r="G265" s="2" t="s">
        <v>119</v>
      </c>
      <c r="H265" s="5">
        <v>861</v>
      </c>
      <c r="I265" s="1" t="s">
        <v>8</v>
      </c>
      <c r="J265" s="17" t="s">
        <v>54</v>
      </c>
      <c r="K265" s="17" t="s">
        <v>291</v>
      </c>
      <c r="L265" s="17">
        <v>15300</v>
      </c>
      <c r="M265" s="17">
        <f>ABS((D265*E265)-L265)</f>
        <v>420</v>
      </c>
      <c r="N265" s="10" t="str">
        <f>IF(COUNTIFS( $B$2:$B$666, B265, $C$2:$C$666, C265, $D$2:$D$666, D265, $E$2:$E$666, E265) &gt; 1, "Duplicate", "Unique")</f>
        <v>Unique</v>
      </c>
    </row>
    <row r="266" spans="1:16" ht="27.65" customHeight="1" thickBot="1" x14ac:dyDescent="0.4">
      <c r="A266" s="8" t="s">
        <v>61</v>
      </c>
      <c r="B266" s="8" t="s">
        <v>127</v>
      </c>
      <c r="C266" s="8" t="s">
        <v>7</v>
      </c>
      <c r="D266" s="8">
        <v>150</v>
      </c>
      <c r="E266" s="8">
        <v>129</v>
      </c>
      <c r="F266" s="4">
        <v>21.801529599999999</v>
      </c>
      <c r="G266" s="2" t="s">
        <v>128</v>
      </c>
      <c r="H266" s="5">
        <v>105.91</v>
      </c>
      <c r="I266" s="1" t="s">
        <v>8</v>
      </c>
      <c r="J266" s="32"/>
      <c r="N266" s="10" t="str">
        <f>IF(COUNTIFS( $B$2:$B$666, B266, $C$2:$C$666, C266, $D$2:$D$666, D266, $E$2:$E$666, E266) &gt; 1, "Duplicate", "Unique")</f>
        <v>Unique</v>
      </c>
    </row>
    <row r="267" spans="1:16" ht="27.65" customHeight="1" thickBot="1" x14ac:dyDescent="0.4">
      <c r="A267" s="11">
        <v>46252.635416666664</v>
      </c>
      <c r="B267" s="8" t="s">
        <v>125</v>
      </c>
      <c r="C267" s="39" t="s">
        <v>7</v>
      </c>
      <c r="D267" s="8">
        <v>6</v>
      </c>
      <c r="E267" s="8">
        <v>548</v>
      </c>
      <c r="F267" s="4">
        <v>21.84546971</v>
      </c>
      <c r="G267" s="2" t="s">
        <v>126</v>
      </c>
      <c r="H267" s="5">
        <v>449.75</v>
      </c>
      <c r="I267" s="1" t="s">
        <v>8</v>
      </c>
      <c r="J267" s="32"/>
      <c r="N267" s="10" t="str">
        <f>IF(COUNTIFS( $B$2:$B$666, B267, $C$2:$C$666, C267, $D$2:$D$666, D267, $E$2:$E$666, E267) &gt; 1, "Duplicate", "Unique")</f>
        <v>Unique</v>
      </c>
      <c r="O267" s="27"/>
    </row>
    <row r="268" spans="1:16" ht="27.65" customHeight="1" thickBot="1" x14ac:dyDescent="0.4">
      <c r="A268" s="8" t="s">
        <v>61</v>
      </c>
      <c r="B268" s="8" t="s">
        <v>28</v>
      </c>
      <c r="C268" s="8" t="s">
        <v>7</v>
      </c>
      <c r="D268" s="8">
        <v>5</v>
      </c>
      <c r="E268" s="12">
        <v>986</v>
      </c>
      <c r="F268" s="4">
        <v>21.984411730000001</v>
      </c>
      <c r="G268" s="2" t="s">
        <v>124</v>
      </c>
      <c r="H268" s="5">
        <v>808.3</v>
      </c>
      <c r="I268" s="1" t="s">
        <v>8</v>
      </c>
      <c r="J268" s="32"/>
      <c r="N268" s="10" t="str">
        <f>IF(COUNTIFS( $B$2:$B$666, B268, $C$2:$C$666, C268, $D$2:$D$666, D268, $E$2:$E$666, E268) &gt; 1, "Duplicate", "Unique")</f>
        <v>Unique</v>
      </c>
    </row>
    <row r="269" spans="1:16" ht="40.75" customHeight="1" thickBot="1" x14ac:dyDescent="0.4">
      <c r="A269" s="3">
        <v>46265.390277777777</v>
      </c>
      <c r="B269" s="1" t="s">
        <v>15</v>
      </c>
      <c r="C269" s="1" t="s">
        <v>7</v>
      </c>
      <c r="D269" s="4">
        <v>10</v>
      </c>
      <c r="E269" s="4">
        <v>2618</v>
      </c>
      <c r="F269" s="4">
        <v>22.051282050000001</v>
      </c>
      <c r="G269" s="2" t="s">
        <v>71</v>
      </c>
      <c r="H269" s="5">
        <v>2145</v>
      </c>
      <c r="I269" s="1" t="s">
        <v>8</v>
      </c>
      <c r="J269" s="17" t="s">
        <v>116</v>
      </c>
      <c r="K269" s="17" t="s">
        <v>197</v>
      </c>
      <c r="L269" s="17">
        <v>25530</v>
      </c>
      <c r="M269" s="17">
        <f>ABS((D269*E269)-L269)</f>
        <v>650</v>
      </c>
      <c r="N269" t="str">
        <f>IF(COUNTIFS( $B$2:$B$666, B269, $C$2:$C$666, C269, $D$2:$D$666, D269, $E$2:$E$666, E269) &gt; 1, "Duplicate", "Unique")</f>
        <v>Unique</v>
      </c>
      <c r="O269"/>
      <c r="P269"/>
    </row>
    <row r="270" spans="1:16" ht="40.75" customHeight="1" thickBot="1" x14ac:dyDescent="0.4">
      <c r="A270" s="8" t="s">
        <v>61</v>
      </c>
      <c r="B270" s="8" t="s">
        <v>62</v>
      </c>
      <c r="C270" s="8" t="s">
        <v>7</v>
      </c>
      <c r="D270" s="8">
        <v>11</v>
      </c>
      <c r="E270" s="12">
        <v>1170</v>
      </c>
      <c r="F270" s="4">
        <v>22.257053290000002</v>
      </c>
      <c r="G270" s="2" t="s">
        <v>63</v>
      </c>
      <c r="H270" s="5">
        <v>957</v>
      </c>
      <c r="I270" s="1" t="s">
        <v>8</v>
      </c>
      <c r="J270" s="32"/>
      <c r="N270" s="10" t="str">
        <f>IF(COUNTIFS( $B$2:$B$666, B270, $C$2:$C$666, C270, $D$2:$D$666, D270, $E$2:$E$666, E270) &gt; 1, "Duplicate", "Unique")</f>
        <v>Unique</v>
      </c>
    </row>
    <row r="271" spans="1:16" ht="27.65" customHeight="1" thickBot="1" x14ac:dyDescent="0.4">
      <c r="A271" s="3">
        <v>46276.375</v>
      </c>
      <c r="B271" s="1" t="s">
        <v>79</v>
      </c>
      <c r="C271" s="1" t="s">
        <v>7</v>
      </c>
      <c r="D271" s="4">
        <v>10</v>
      </c>
      <c r="E271" s="4">
        <v>1548</v>
      </c>
      <c r="F271" s="4">
        <v>22.371541499999999</v>
      </c>
      <c r="G271" s="2" t="s">
        <v>80</v>
      </c>
      <c r="H271" s="5">
        <v>1265</v>
      </c>
      <c r="I271" s="1" t="s">
        <v>8</v>
      </c>
      <c r="J271" s="17" t="s">
        <v>116</v>
      </c>
      <c r="K271" s="17" t="s">
        <v>266</v>
      </c>
      <c r="L271" s="17">
        <v>15030</v>
      </c>
      <c r="M271" s="17">
        <f>ABS((D271*E271)-L271)</f>
        <v>450</v>
      </c>
      <c r="N271" s="10" t="str">
        <f>IF(COUNTIFS( $B$2:$B$666, B271, $C$2:$C$666, C271, $D$2:$D$666, D271, $E$2:$E$666, E271) &gt; 1, "Duplicate", "Unique")</f>
        <v>Unique</v>
      </c>
    </row>
    <row r="272" spans="1:16" ht="27.65" customHeight="1" thickBot="1" x14ac:dyDescent="0.4">
      <c r="A272" s="3">
        <v>46275.507638888892</v>
      </c>
      <c r="B272" s="1" t="s">
        <v>15</v>
      </c>
      <c r="C272" s="1" t="s">
        <v>7</v>
      </c>
      <c r="D272" s="4">
        <v>10</v>
      </c>
      <c r="E272" s="4">
        <v>2632</v>
      </c>
      <c r="F272" s="4">
        <v>22.703962700000002</v>
      </c>
      <c r="G272" s="2" t="s">
        <v>71</v>
      </c>
      <c r="H272" s="5">
        <v>2145</v>
      </c>
      <c r="I272" s="1" t="s">
        <v>8</v>
      </c>
      <c r="J272" s="17" t="s">
        <v>116</v>
      </c>
      <c r="K272" s="17" t="s">
        <v>258</v>
      </c>
      <c r="L272" s="17">
        <v>73800</v>
      </c>
      <c r="M272" s="17">
        <f>ABS((D272*E272)-L272)</f>
        <v>47480</v>
      </c>
      <c r="N272" s="10" t="str">
        <f>IF(COUNTIFS( $B$2:$B$666, B272, $C$2:$C$666, C272, $D$2:$D$666, D272, $E$2:$E$666, E272) &gt; 1, "Duplicate", "Unique")</f>
        <v>Unique</v>
      </c>
    </row>
    <row r="273" spans="1:16" ht="27.65" customHeight="1" thickBot="1" x14ac:dyDescent="0.4">
      <c r="A273" s="46">
        <v>46304.375</v>
      </c>
      <c r="B273" s="2" t="s">
        <v>110</v>
      </c>
      <c r="C273" s="2" t="s">
        <v>7</v>
      </c>
      <c r="D273" s="5">
        <v>10</v>
      </c>
      <c r="E273" s="5">
        <v>511</v>
      </c>
      <c r="F273" s="4">
        <v>22.851304240000001</v>
      </c>
      <c r="G273" s="2" t="s">
        <v>111</v>
      </c>
      <c r="H273" s="5">
        <v>415.95</v>
      </c>
      <c r="I273" s="1" t="s">
        <v>8</v>
      </c>
      <c r="J273" s="17" t="s">
        <v>117</v>
      </c>
      <c r="K273" s="17" t="s">
        <v>318</v>
      </c>
      <c r="L273" s="17">
        <v>4110</v>
      </c>
      <c r="M273" s="17">
        <f>ABS((D273*E273)-L273)</f>
        <v>1000</v>
      </c>
      <c r="N273" t="str">
        <f>IF(COUNTIFS( $B$2:$B$666, B273, $C$2:$C$666, C273, $D$2:$D$666, D273, $E$2:$E$666, E273) &gt; 1, "Duplicate", "Unique")</f>
        <v>Unique</v>
      </c>
    </row>
    <row r="274" spans="1:16" ht="40.75" customHeight="1" thickBot="1" x14ac:dyDescent="0.4">
      <c r="A274" s="3">
        <v>46265.375694444447</v>
      </c>
      <c r="B274" s="1" t="s">
        <v>15</v>
      </c>
      <c r="C274" s="1" t="s">
        <v>7</v>
      </c>
      <c r="D274" s="4">
        <v>10</v>
      </c>
      <c r="E274" s="4">
        <v>2636</v>
      </c>
      <c r="F274" s="4">
        <v>22.890442889999999</v>
      </c>
      <c r="G274" s="2" t="s">
        <v>71</v>
      </c>
      <c r="H274" s="5">
        <v>2145</v>
      </c>
      <c r="I274" s="1" t="s">
        <v>8</v>
      </c>
      <c r="J274" s="17" t="s">
        <v>116</v>
      </c>
      <c r="K274" s="17" t="s">
        <v>205</v>
      </c>
      <c r="L274" s="17">
        <v>26020</v>
      </c>
      <c r="M274" s="17">
        <f>ABS((D274*E274)-L274)</f>
        <v>340</v>
      </c>
      <c r="N274" t="str">
        <f>IF(COUNTIFS( $B$2:$B$666, B274, $C$2:$C$666, C274, $D$2:$D$666, D274, $E$2:$E$666, E274) &gt; 1, "Duplicate", "Unique")</f>
        <v>Unique</v>
      </c>
    </row>
    <row r="275" spans="1:16" ht="40.75" customHeight="1" thickBot="1" x14ac:dyDescent="0.4">
      <c r="A275" s="8" t="s">
        <v>61</v>
      </c>
      <c r="B275" s="14" t="s">
        <v>28</v>
      </c>
      <c r="C275" s="8" t="s">
        <v>7</v>
      </c>
      <c r="D275" s="8">
        <v>40</v>
      </c>
      <c r="E275" s="15">
        <v>996</v>
      </c>
      <c r="F275" s="4">
        <v>23.221576150000001</v>
      </c>
      <c r="G275" s="2" t="s">
        <v>124</v>
      </c>
      <c r="H275" s="5">
        <v>808.3</v>
      </c>
      <c r="I275" s="1" t="s">
        <v>8</v>
      </c>
      <c r="J275" s="32" t="s">
        <v>117</v>
      </c>
      <c r="N275" s="10" t="str">
        <f>IF(COUNTIFS( $B$2:$B$666, B275, $C$2:$C$666, C275, $D$2:$D$666, D275, $E$2:$E$666, E275) &gt; 1, "Duplicate", "Unique")</f>
        <v>Unique</v>
      </c>
    </row>
    <row r="276" spans="1:16" ht="27.65" customHeight="1" thickBot="1" x14ac:dyDescent="0.4">
      <c r="A276" s="3">
        <v>46262.463194444441</v>
      </c>
      <c r="B276" s="1" t="s">
        <v>15</v>
      </c>
      <c r="C276" s="1" t="s">
        <v>7</v>
      </c>
      <c r="D276" s="4">
        <v>10</v>
      </c>
      <c r="E276" s="4">
        <v>2648</v>
      </c>
      <c r="F276" s="4">
        <v>23.449883450000002</v>
      </c>
      <c r="G276" s="2" t="s">
        <v>71</v>
      </c>
      <c r="H276" s="5">
        <v>2145</v>
      </c>
      <c r="I276" s="1" t="s">
        <v>8</v>
      </c>
      <c r="J276" s="17" t="s">
        <v>116</v>
      </c>
      <c r="K276" s="17" t="s">
        <v>187</v>
      </c>
      <c r="L276" s="17">
        <v>26180</v>
      </c>
      <c r="M276" s="17">
        <f>ABS((D276*E276)-L276)</f>
        <v>300</v>
      </c>
      <c r="N276" s="10" t="str">
        <f>IF(COUNTIFS( $B$2:$B$666, B276, $C$2:$C$666, C276, $D$2:$D$666, D276, $E$2:$E$666, E276) &gt; 1, "Duplicate", "Unique")</f>
        <v>Unique</v>
      </c>
    </row>
    <row r="277" spans="1:16" ht="27.65" customHeight="1" thickBot="1" x14ac:dyDescent="0.4">
      <c r="A277" s="3">
        <v>46260.375</v>
      </c>
      <c r="B277" s="1" t="s">
        <v>86</v>
      </c>
      <c r="C277" s="1" t="s">
        <v>7</v>
      </c>
      <c r="D277" s="4">
        <v>10</v>
      </c>
      <c r="E277" s="4">
        <v>1390</v>
      </c>
      <c r="F277" s="4">
        <v>23.456790120000001</v>
      </c>
      <c r="G277" s="2" t="s">
        <v>87</v>
      </c>
      <c r="H277" s="5">
        <v>1125.9000000000001</v>
      </c>
      <c r="I277" s="1" t="s">
        <v>8</v>
      </c>
      <c r="J277" s="17" t="s">
        <v>116</v>
      </c>
      <c r="K277" s="17" t="s">
        <v>171</v>
      </c>
      <c r="L277" s="17">
        <v>13600</v>
      </c>
      <c r="M277" s="17">
        <f>ABS((D277*E277)-L277)</f>
        <v>300</v>
      </c>
      <c r="N277" t="str">
        <f>IF(COUNTIFS( $B$2:$B$666, B277, $C$2:$C$666, C277, $D$2:$D$666, D277, $E$2:$E$666, E277) &gt; 1, "Duplicate", "Unique")</f>
        <v>Unique</v>
      </c>
    </row>
    <row r="278" spans="1:16" s="27" customFormat="1" ht="27.65" customHeight="1" thickBot="1" x14ac:dyDescent="0.4">
      <c r="A278" s="8" t="s">
        <v>61</v>
      </c>
      <c r="B278" s="8" t="s">
        <v>17</v>
      </c>
      <c r="C278" s="8" t="s">
        <v>7</v>
      </c>
      <c r="D278" s="8">
        <v>5</v>
      </c>
      <c r="E278" s="12">
        <v>416</v>
      </c>
      <c r="F278" s="4">
        <v>23.515439430000001</v>
      </c>
      <c r="G278" s="2" t="s">
        <v>76</v>
      </c>
      <c r="H278" s="5">
        <v>336.8</v>
      </c>
      <c r="I278" s="1" t="s">
        <v>8</v>
      </c>
      <c r="J278" s="32"/>
      <c r="K278" s="17"/>
      <c r="L278" s="17"/>
      <c r="M278" s="17"/>
      <c r="N278" s="10" t="str">
        <f>IF(COUNTIFS( $B$2:$B$666, B278, $C$2:$C$666, C278, $D$2:$D$666, D278, $E$2:$E$666, E278) &gt; 1, "Duplicate", "Unique")</f>
        <v>Unique</v>
      </c>
      <c r="O278" s="10"/>
      <c r="P278" s="10"/>
    </row>
    <row r="279" spans="1:16" ht="27.65" customHeight="1" thickBot="1" x14ac:dyDescent="0.4">
      <c r="A279" s="8" t="s">
        <v>61</v>
      </c>
      <c r="B279" s="8" t="s">
        <v>6</v>
      </c>
      <c r="C279" s="8" t="s">
        <v>7</v>
      </c>
      <c r="D279" s="8">
        <v>100</v>
      </c>
      <c r="E279" s="8">
        <v>310.5</v>
      </c>
      <c r="F279" s="4">
        <v>23.655913980000001</v>
      </c>
      <c r="G279" s="2" t="s">
        <v>129</v>
      </c>
      <c r="H279" s="5">
        <v>251.1</v>
      </c>
      <c r="I279" s="1" t="s">
        <v>8</v>
      </c>
      <c r="J279" s="32" t="s">
        <v>117</v>
      </c>
      <c r="N279" s="10" t="str">
        <f>IF(COUNTIFS( $B$2:$B$666, B279, $C$2:$C$666, C279, $D$2:$D$666, D279, $E$2:$E$666, E279) &gt; 1, "Duplicate", "Unique")</f>
        <v>Unique</v>
      </c>
    </row>
    <row r="280" spans="1:16" s="27" customFormat="1" ht="27.65" customHeight="1" thickBot="1" x14ac:dyDescent="0.4">
      <c r="A280" s="3">
        <v>46268.375</v>
      </c>
      <c r="B280" s="1" t="s">
        <v>16</v>
      </c>
      <c r="C280" s="1" t="s">
        <v>7</v>
      </c>
      <c r="D280" s="4">
        <v>30</v>
      </c>
      <c r="E280" s="4">
        <v>920</v>
      </c>
      <c r="F280" s="4">
        <v>23.655913980000001</v>
      </c>
      <c r="G280" s="2" t="s">
        <v>60</v>
      </c>
      <c r="H280" s="5">
        <v>744</v>
      </c>
      <c r="I280" s="1" t="s">
        <v>8</v>
      </c>
      <c r="J280" s="17" t="s">
        <v>116</v>
      </c>
      <c r="K280" s="17" t="s">
        <v>229</v>
      </c>
      <c r="L280" s="17">
        <v>25800</v>
      </c>
      <c r="M280" s="17">
        <f>ABS((D280*E280)-L280)</f>
        <v>1800</v>
      </c>
      <c r="N280" s="10" t="str">
        <f>IF(COUNTIFS( $B$2:$B$666, B280, $C$2:$C$666, C280, $D$2:$D$666, D280, $E$2:$E$666, E280) &gt; 1, "Duplicate", "Unique")</f>
        <v>Unique</v>
      </c>
      <c r="O280" s="10"/>
      <c r="P280" s="10"/>
    </row>
    <row r="281" spans="1:16" ht="40.75" customHeight="1" thickBot="1" x14ac:dyDescent="0.4">
      <c r="A281" s="8" t="s">
        <v>61</v>
      </c>
      <c r="B281" s="8" t="s">
        <v>34</v>
      </c>
      <c r="C281" s="8" t="s">
        <v>7</v>
      </c>
      <c r="D281" s="8">
        <v>200</v>
      </c>
      <c r="E281" s="12">
        <v>244</v>
      </c>
      <c r="F281" s="4">
        <v>23.669538769999999</v>
      </c>
      <c r="G281" s="2" t="s">
        <v>41</v>
      </c>
      <c r="H281" s="5">
        <v>197.3</v>
      </c>
      <c r="I281" s="1" t="s">
        <v>8</v>
      </c>
      <c r="J281" s="32" t="s">
        <v>116</v>
      </c>
      <c r="N281" s="10" t="str">
        <f>IF(COUNTIFS( $B$2:$B$666, B281, $C$2:$C$666, C281, $D$2:$D$666, D281, $E$2:$E$666, E281) &gt; 1, "Duplicate", "Unique")</f>
        <v>Unique</v>
      </c>
    </row>
    <row r="282" spans="1:16" ht="40.75" customHeight="1" thickBot="1" x14ac:dyDescent="0.4">
      <c r="A282" s="8" t="s">
        <v>61</v>
      </c>
      <c r="B282" s="8" t="s">
        <v>28</v>
      </c>
      <c r="C282" s="8" t="s">
        <v>7</v>
      </c>
      <c r="D282" s="8">
        <v>5</v>
      </c>
      <c r="E282" s="12">
        <v>1002</v>
      </c>
      <c r="F282" s="4">
        <v>23.963874799999999</v>
      </c>
      <c r="G282" s="2" t="s">
        <v>124</v>
      </c>
      <c r="H282" s="5">
        <v>808.3</v>
      </c>
      <c r="I282" s="1" t="s">
        <v>8</v>
      </c>
      <c r="J282" s="32"/>
      <c r="N282" s="10" t="str">
        <f>IF(COUNTIFS( $B$2:$B$666, B282, $C$2:$C$666, C282, $D$2:$D$666, D282, $E$2:$E$666, E282) &gt; 1, "Duplicate", "Unique")</f>
        <v>Unique</v>
      </c>
      <c r="O282" s="27"/>
    </row>
    <row r="283" spans="1:16" ht="27.65" customHeight="1" thickBot="1" x14ac:dyDescent="0.4">
      <c r="A283" s="3">
        <v>46262.375</v>
      </c>
      <c r="B283" s="1" t="s">
        <v>15</v>
      </c>
      <c r="C283" s="1" t="s">
        <v>7</v>
      </c>
      <c r="D283" s="4">
        <v>10</v>
      </c>
      <c r="E283" s="4">
        <v>2660</v>
      </c>
      <c r="F283" s="4">
        <v>24.00932401</v>
      </c>
      <c r="G283" s="2" t="s">
        <v>71</v>
      </c>
      <c r="H283" s="5">
        <v>2145</v>
      </c>
      <c r="I283" s="1" t="s">
        <v>8</v>
      </c>
      <c r="J283" s="17" t="s">
        <v>116</v>
      </c>
      <c r="K283" s="17" t="s">
        <v>189</v>
      </c>
      <c r="L283" s="17">
        <v>26300</v>
      </c>
      <c r="M283" s="17">
        <f>ABS((D283*E283)-L283)</f>
        <v>300</v>
      </c>
      <c r="N283" s="10" t="str">
        <f>IF(COUNTIFS( $B$2:$B$666, B283, $C$2:$C$666, C283, $D$2:$D$666, D283, $E$2:$E$666, E283) &gt; 1, "Duplicate", "Unique")</f>
        <v>Unique</v>
      </c>
    </row>
    <row r="284" spans="1:16" ht="26.5" thickBot="1" x14ac:dyDescent="0.4">
      <c r="A284" s="3">
        <v>46254.642361111109</v>
      </c>
      <c r="B284" s="1" t="s">
        <v>15</v>
      </c>
      <c r="C284" s="1" t="s">
        <v>7</v>
      </c>
      <c r="D284" s="4">
        <v>10</v>
      </c>
      <c r="E284" s="4">
        <v>2672</v>
      </c>
      <c r="F284" s="4">
        <v>24.568764569999999</v>
      </c>
      <c r="G284" s="2" t="s">
        <v>71</v>
      </c>
      <c r="H284" s="5">
        <v>2145</v>
      </c>
      <c r="I284" s="1" t="s">
        <v>8</v>
      </c>
      <c r="J284" s="16" t="s">
        <v>116</v>
      </c>
      <c r="K284" s="16" t="s">
        <v>145</v>
      </c>
      <c r="L284" s="16"/>
      <c r="M284" s="16"/>
      <c r="N284" s="10" t="str">
        <f>IF(COUNTIFS( $B$2:$B$666, B284, $C$2:$C$666, C284, $D$2:$D$666, D284, $E$2:$E$666, E284) &gt; 1, "Duplicate", "Unique")</f>
        <v>Unique</v>
      </c>
    </row>
    <row r="285" spans="1:16" ht="26.5" thickBot="1" x14ac:dyDescent="0.4">
      <c r="A285" s="8" t="s">
        <v>61</v>
      </c>
      <c r="B285" s="8" t="s">
        <v>6</v>
      </c>
      <c r="C285" s="8" t="s">
        <v>7</v>
      </c>
      <c r="D285" s="8">
        <v>100</v>
      </c>
      <c r="E285" s="13">
        <v>314</v>
      </c>
      <c r="F285" s="4">
        <v>25.04978096</v>
      </c>
      <c r="G285" s="2" t="s">
        <v>129</v>
      </c>
      <c r="H285" s="5">
        <v>251.1</v>
      </c>
      <c r="I285" s="1" t="s">
        <v>8</v>
      </c>
      <c r="J285" s="32" t="s">
        <v>116</v>
      </c>
      <c r="N285" s="10" t="str">
        <f>IF(COUNTIFS( $B$2:$B$666, B285, $C$2:$C$666, C285, $D$2:$D$666, D285, $E$2:$E$666, E285) &gt; 1, "Duplicate", "Unique")</f>
        <v>Unique</v>
      </c>
    </row>
    <row r="286" spans="1:16" ht="26.5" thickBot="1" x14ac:dyDescent="0.4">
      <c r="A286" s="8" t="s">
        <v>61</v>
      </c>
      <c r="B286" s="8" t="s">
        <v>13</v>
      </c>
      <c r="C286" s="8" t="s">
        <v>7</v>
      </c>
      <c r="D286" s="8">
        <v>10</v>
      </c>
      <c r="E286" s="8">
        <v>2189</v>
      </c>
      <c r="F286" s="4">
        <v>25.444126069999999</v>
      </c>
      <c r="G286" s="2" t="s">
        <v>90</v>
      </c>
      <c r="H286" s="5">
        <v>1745</v>
      </c>
      <c r="I286" s="1" t="s">
        <v>8</v>
      </c>
      <c r="J286" s="32"/>
      <c r="N286" s="10" t="str">
        <f>IF(COUNTIFS( $B$2:$B$666, B286, $C$2:$C$666, C286, $D$2:$D$666, D286, $E$2:$E$666, E286) &gt; 1, "Duplicate", "Unique")</f>
        <v>Unique</v>
      </c>
    </row>
    <row r="287" spans="1:16" ht="26.5" thickBot="1" x14ac:dyDescent="0.4">
      <c r="A287" s="11">
        <v>46252.6875</v>
      </c>
      <c r="B287" s="8" t="s">
        <v>15</v>
      </c>
      <c r="C287" s="8" t="s">
        <v>7</v>
      </c>
      <c r="D287" s="8">
        <v>10</v>
      </c>
      <c r="E287" s="8">
        <v>2696</v>
      </c>
      <c r="F287" s="4">
        <v>25.68764569</v>
      </c>
      <c r="G287" s="2" t="s">
        <v>71</v>
      </c>
      <c r="H287" s="5">
        <v>2145</v>
      </c>
      <c r="I287" s="1" t="s">
        <v>8</v>
      </c>
      <c r="J287" s="32" t="s">
        <v>152</v>
      </c>
      <c r="N287" s="10" t="str">
        <f>IF(COUNTIFS( $B$2:$B$666, B287, $C$2:$C$666, C287, $D$2:$D$666, D287, $E$2:$E$666, E287) &gt; 1, "Duplicate", "Unique")</f>
        <v>Unique</v>
      </c>
    </row>
    <row r="288" spans="1:16" ht="39" thickBot="1" x14ac:dyDescent="0.4">
      <c r="A288" s="3">
        <v>46258.375694444447</v>
      </c>
      <c r="B288" s="1" t="s">
        <v>22</v>
      </c>
      <c r="C288" s="1" t="s">
        <v>7</v>
      </c>
      <c r="D288" s="4">
        <v>5</v>
      </c>
      <c r="E288" s="4">
        <v>499</v>
      </c>
      <c r="F288" s="4">
        <v>25.94649167</v>
      </c>
      <c r="G288" s="2" t="s">
        <v>72</v>
      </c>
      <c r="H288" s="5">
        <v>396.2</v>
      </c>
      <c r="I288" s="1" t="s">
        <v>8</v>
      </c>
      <c r="J288" s="17" t="s">
        <v>117</v>
      </c>
      <c r="K288" s="17" t="s">
        <v>156</v>
      </c>
      <c r="L288" s="17">
        <v>2260</v>
      </c>
      <c r="M288" s="17">
        <f>ABS((D288*E288)-L288)</f>
        <v>235</v>
      </c>
      <c r="N288" s="10" t="str">
        <f>IF(COUNTIFS( $B$2:$B$666, B288, $C$2:$C$666, C288, $D$2:$D$666, D288, $E$2:$E$666, E288) &gt; 1, "Duplicate", "Unique")</f>
        <v>Unique</v>
      </c>
    </row>
    <row r="289" spans="1:16" ht="26.5" thickBot="1" x14ac:dyDescent="0.4">
      <c r="A289" s="3">
        <v>46260.634027777778</v>
      </c>
      <c r="B289" s="1" t="s">
        <v>29</v>
      </c>
      <c r="C289" s="1" t="s">
        <v>7</v>
      </c>
      <c r="D289" s="4">
        <v>5</v>
      </c>
      <c r="E289" s="4">
        <v>4148</v>
      </c>
      <c r="F289" s="4">
        <v>26.079027360000001</v>
      </c>
      <c r="G289" s="2" t="s">
        <v>136</v>
      </c>
      <c r="H289" s="5">
        <v>3290</v>
      </c>
      <c r="I289" s="1" t="s">
        <v>8</v>
      </c>
      <c r="J289" s="17" t="s">
        <v>117</v>
      </c>
      <c r="K289" s="17" t="s">
        <v>166</v>
      </c>
      <c r="L289" s="17">
        <v>20260</v>
      </c>
      <c r="M289" s="17">
        <f>ABS((D289*E289)-L289)</f>
        <v>480</v>
      </c>
      <c r="N289" t="str">
        <f>IF(COUNTIFS( $B$2:$B$666, B289, $C$2:$C$666, C289, $D$2:$D$666, D289, $E$2:$E$666, E289) &gt; 1, "Duplicate", "Unique")</f>
        <v>Unique</v>
      </c>
    </row>
    <row r="290" spans="1:16" ht="26.5" thickBot="1" x14ac:dyDescent="0.4">
      <c r="A290" s="8" t="s">
        <v>61</v>
      </c>
      <c r="B290" s="8" t="s">
        <v>34</v>
      </c>
      <c r="C290" s="8" t="s">
        <v>7</v>
      </c>
      <c r="D290" s="8">
        <v>200</v>
      </c>
      <c r="E290" s="12">
        <v>249</v>
      </c>
      <c r="F290" s="4">
        <v>26.203750629999998</v>
      </c>
      <c r="G290" s="2" t="s">
        <v>41</v>
      </c>
      <c r="H290" s="5">
        <v>197.3</v>
      </c>
      <c r="I290" s="1" t="s">
        <v>8</v>
      </c>
      <c r="J290" s="32" t="s">
        <v>116</v>
      </c>
      <c r="N290" s="10" t="str">
        <f>IF(COUNTIFS( $B$2:$B$666, B290, $C$2:$C$666, C290, $D$2:$D$666, D290, $E$2:$E$666, E290) &gt; 1, "Duplicate", "Unique")</f>
        <v>Unique</v>
      </c>
    </row>
    <row r="291" spans="1:16" ht="39" thickBot="1" x14ac:dyDescent="0.4">
      <c r="A291" s="8" t="s">
        <v>61</v>
      </c>
      <c r="B291" s="8" t="s">
        <v>118</v>
      </c>
      <c r="C291" s="8" t="s">
        <v>7</v>
      </c>
      <c r="D291" s="8">
        <v>15</v>
      </c>
      <c r="E291" s="8">
        <v>1090</v>
      </c>
      <c r="F291" s="4">
        <v>26.596980259999999</v>
      </c>
      <c r="G291" s="2" t="s">
        <v>119</v>
      </c>
      <c r="H291" s="5">
        <v>861</v>
      </c>
      <c r="I291" s="1" t="s">
        <v>8</v>
      </c>
      <c r="J291" s="32"/>
      <c r="N291" s="10" t="str">
        <f>IF(COUNTIFS( $B$2:$B$666, B291, $C$2:$C$666, C291, $D$2:$D$666, D291, $E$2:$E$666, E291) &gt; 1, "Duplicate", "Unique")</f>
        <v>Unique</v>
      </c>
    </row>
    <row r="292" spans="1:16" ht="26.5" thickBot="1" x14ac:dyDescent="0.4">
      <c r="A292" s="8" t="s">
        <v>61</v>
      </c>
      <c r="B292" s="8" t="s">
        <v>6</v>
      </c>
      <c r="C292" s="8" t="s">
        <v>7</v>
      </c>
      <c r="D292" s="8">
        <v>100</v>
      </c>
      <c r="E292" s="12">
        <v>318</v>
      </c>
      <c r="F292" s="4">
        <v>26.642771799999998</v>
      </c>
      <c r="G292" s="2" t="s">
        <v>129</v>
      </c>
      <c r="H292" s="5">
        <v>251.1</v>
      </c>
      <c r="I292" s="1" t="s">
        <v>8</v>
      </c>
      <c r="J292" s="32" t="s">
        <v>116</v>
      </c>
      <c r="N292" s="10" t="str">
        <f>IF(COUNTIFS( $B$2:$B$666, B292, $C$2:$C$666, C292, $D$2:$D$666, D292, $E$2:$E$666, E292) &gt; 1, "Duplicate", "Unique")</f>
        <v>Unique</v>
      </c>
    </row>
    <row r="293" spans="1:16" ht="26.5" thickBot="1" x14ac:dyDescent="0.4">
      <c r="A293" s="11">
        <v>46252.6875</v>
      </c>
      <c r="B293" s="8" t="s">
        <v>15</v>
      </c>
      <c r="C293" s="8" t="s">
        <v>7</v>
      </c>
      <c r="D293" s="8">
        <v>10</v>
      </c>
      <c r="E293" s="8">
        <v>2720</v>
      </c>
      <c r="F293" s="4">
        <v>26.806526810000001</v>
      </c>
      <c r="G293" s="2" t="s">
        <v>71</v>
      </c>
      <c r="H293" s="5">
        <v>2145</v>
      </c>
      <c r="I293" s="1" t="s">
        <v>8</v>
      </c>
      <c r="J293" s="32" t="s">
        <v>116</v>
      </c>
      <c r="N293" s="10" t="str">
        <f>IF(COUNTIFS( $B$2:$B$666, B293, $C$2:$C$666, C293, $D$2:$D$666, D293, $E$2:$E$666, E293) &gt; 1, "Duplicate", "Unique")</f>
        <v>Unique</v>
      </c>
    </row>
    <row r="294" spans="1:16" ht="26.5" thickBot="1" x14ac:dyDescent="0.4">
      <c r="A294" s="8" t="s">
        <v>61</v>
      </c>
      <c r="B294" s="8" t="s">
        <v>6</v>
      </c>
      <c r="C294" s="8" t="s">
        <v>7</v>
      </c>
      <c r="D294" s="8">
        <v>100</v>
      </c>
      <c r="E294" s="13">
        <v>319</v>
      </c>
      <c r="F294" s="4">
        <v>27.041019510000002</v>
      </c>
      <c r="G294" s="2" t="s">
        <v>129</v>
      </c>
      <c r="H294" s="5">
        <v>251.1</v>
      </c>
      <c r="I294" s="1" t="s">
        <v>8</v>
      </c>
      <c r="J294" s="32" t="s">
        <v>116</v>
      </c>
      <c r="N294" s="10" t="str">
        <f>IF(COUNTIFS( $B$2:$B$666, B294, $C$2:$C$666, C294, $D$2:$D$666, D294, $E$2:$E$666, E294) &gt; 1, "Duplicate", "Unique")</f>
        <v>Unique</v>
      </c>
    </row>
    <row r="295" spans="1:16" ht="26.5" thickBot="1" x14ac:dyDescent="0.4">
      <c r="A295" s="8" t="s">
        <v>61</v>
      </c>
      <c r="B295" s="8" t="s">
        <v>26</v>
      </c>
      <c r="C295" s="8" t="s">
        <v>7</v>
      </c>
      <c r="D295" s="8">
        <v>25</v>
      </c>
      <c r="E295" s="8">
        <v>210</v>
      </c>
      <c r="F295" s="4">
        <v>27.272727270000001</v>
      </c>
      <c r="G295" s="2" t="s">
        <v>131</v>
      </c>
      <c r="H295" s="5">
        <v>165</v>
      </c>
      <c r="I295" s="1" t="s">
        <v>8</v>
      </c>
      <c r="J295" s="32"/>
      <c r="N295" s="10" t="str">
        <f>IF(COUNTIFS( $B$2:$B$666, B295, $C$2:$C$666, C295, $D$2:$D$666, D295, $E$2:$E$666, E295) &gt; 1, "Duplicate", "Unique")</f>
        <v>Unique</v>
      </c>
    </row>
    <row r="296" spans="1:16" ht="26.5" thickBot="1" x14ac:dyDescent="0.4">
      <c r="A296" s="3">
        <v>46265.415277777778</v>
      </c>
      <c r="B296" s="1" t="s">
        <v>16</v>
      </c>
      <c r="C296" s="1" t="s">
        <v>7</v>
      </c>
      <c r="D296" s="4">
        <v>5</v>
      </c>
      <c r="E296" s="4">
        <v>948</v>
      </c>
      <c r="F296" s="4">
        <v>27.41935484</v>
      </c>
      <c r="G296" s="2" t="s">
        <v>60</v>
      </c>
      <c r="H296" s="5">
        <v>744</v>
      </c>
      <c r="I296" s="1" t="s">
        <v>8</v>
      </c>
      <c r="J296" s="17" t="s">
        <v>117</v>
      </c>
      <c r="K296" s="17" t="s">
        <v>194</v>
      </c>
      <c r="L296" s="17">
        <v>4455</v>
      </c>
      <c r="M296" s="17">
        <f>ABS((D296*E296)-L296)</f>
        <v>285</v>
      </c>
      <c r="N296" t="str">
        <f>IF(COUNTIFS( $B$2:$B$666, B296, $C$2:$C$666, C296, $D$2:$D$666, D296, $E$2:$E$666, E296) &gt; 1, "Duplicate", "Unique")</f>
        <v>Unique</v>
      </c>
    </row>
    <row r="297" spans="1:16" ht="26.5" thickBot="1" x14ac:dyDescent="0.4">
      <c r="A297" s="3">
        <v>46266.375</v>
      </c>
      <c r="B297" s="1" t="s">
        <v>16</v>
      </c>
      <c r="C297" s="1" t="s">
        <v>7</v>
      </c>
      <c r="D297" s="4">
        <v>11</v>
      </c>
      <c r="E297" s="4">
        <v>948</v>
      </c>
      <c r="F297" s="4">
        <v>27.41935484</v>
      </c>
      <c r="G297" s="2" t="s">
        <v>60</v>
      </c>
      <c r="H297" s="5">
        <v>744</v>
      </c>
      <c r="I297" s="1" t="s">
        <v>8</v>
      </c>
      <c r="J297" s="17" t="s">
        <v>116</v>
      </c>
      <c r="K297" s="17" t="s">
        <v>211</v>
      </c>
      <c r="L297" s="17">
        <v>9702</v>
      </c>
      <c r="M297" s="17">
        <f>ABS((D297*E297)-L297)</f>
        <v>726</v>
      </c>
      <c r="N297" s="10" t="str">
        <f>IF(COUNTIFS( $B$2:$B$666, B297, $C$2:$C$666, C297, $D$2:$D$666, D297, $E$2:$E$666, E297) &gt; 1, "Duplicate", "Unique")</f>
        <v>Unique</v>
      </c>
    </row>
    <row r="298" spans="1:16" ht="26.5" thickBot="1" x14ac:dyDescent="0.4">
      <c r="A298" s="8" t="s">
        <v>61</v>
      </c>
      <c r="B298" s="8" t="s">
        <v>127</v>
      </c>
      <c r="C298" s="8" t="s">
        <v>7</v>
      </c>
      <c r="D298" s="8">
        <v>150</v>
      </c>
      <c r="E298" s="12">
        <v>136</v>
      </c>
      <c r="F298" s="4">
        <v>28.410914930000001</v>
      </c>
      <c r="G298" s="2" t="s">
        <v>128</v>
      </c>
      <c r="H298" s="5">
        <v>105.91</v>
      </c>
      <c r="I298" s="1" t="s">
        <v>8</v>
      </c>
      <c r="J298" s="32"/>
      <c r="N298" s="10" t="str">
        <f>IF(COUNTIFS( $B$2:$B$666, B298, $C$2:$C$666, C298, $D$2:$D$666, D298, $E$2:$E$666, E298) &gt; 1, "Duplicate", "Unique")</f>
        <v>Unique</v>
      </c>
    </row>
    <row r="299" spans="1:16" ht="26.5" thickBot="1" x14ac:dyDescent="0.4">
      <c r="A299" s="8" t="s">
        <v>61</v>
      </c>
      <c r="B299" s="8" t="s">
        <v>6</v>
      </c>
      <c r="C299" s="8" t="s">
        <v>7</v>
      </c>
      <c r="D299" s="8">
        <v>150</v>
      </c>
      <c r="E299" s="12">
        <v>323</v>
      </c>
      <c r="F299" s="4">
        <v>28.63401035</v>
      </c>
      <c r="G299" s="2" t="s">
        <v>129</v>
      </c>
      <c r="H299" s="5">
        <v>251.1</v>
      </c>
      <c r="I299" s="1" t="s">
        <v>8</v>
      </c>
      <c r="J299" s="32" t="s">
        <v>117</v>
      </c>
      <c r="N299" s="10" t="str">
        <f>IF(COUNTIFS( $B$2:$B$666, B299, $C$2:$C$666, C299, $D$2:$D$666, D299, $E$2:$E$666, E299) &gt; 1, "Duplicate", "Unique")</f>
        <v>Unique</v>
      </c>
    </row>
    <row r="300" spans="1:16" ht="26.5" thickBot="1" x14ac:dyDescent="0.4">
      <c r="A300" s="8" t="s">
        <v>61</v>
      </c>
      <c r="B300" s="8" t="s">
        <v>17</v>
      </c>
      <c r="C300" s="8" t="s">
        <v>7</v>
      </c>
      <c r="D300" s="8">
        <v>5</v>
      </c>
      <c r="E300" s="12">
        <v>435</v>
      </c>
      <c r="F300" s="4">
        <v>29.156769600000001</v>
      </c>
      <c r="G300" s="2" t="s">
        <v>76</v>
      </c>
      <c r="H300" s="5">
        <v>336.8</v>
      </c>
      <c r="I300" s="1" t="s">
        <v>8</v>
      </c>
      <c r="J300" s="32" t="s">
        <v>117</v>
      </c>
      <c r="N300" s="10" t="str">
        <f>IF(COUNTIFS( $B$2:$B$666, B300, $C$2:$C$666, C300, $D$2:$D$666, D300, $E$2:$E$666, E300) &gt; 1, "Duplicate", "Unique")</f>
        <v>Unique</v>
      </c>
    </row>
    <row r="301" spans="1:16" ht="26.5" thickBot="1" x14ac:dyDescent="0.4">
      <c r="A301" s="3">
        <v>46265.375694444447</v>
      </c>
      <c r="B301" s="1" t="s">
        <v>16</v>
      </c>
      <c r="C301" s="1" t="s">
        <v>7</v>
      </c>
      <c r="D301" s="4">
        <v>5</v>
      </c>
      <c r="E301" s="4">
        <v>961</v>
      </c>
      <c r="F301" s="4">
        <v>29.166666670000001</v>
      </c>
      <c r="G301" s="2" t="s">
        <v>60</v>
      </c>
      <c r="H301" s="5">
        <v>744</v>
      </c>
      <c r="I301" s="1" t="s">
        <v>8</v>
      </c>
      <c r="J301" s="17" t="s">
        <v>117</v>
      </c>
      <c r="K301" s="17" t="s">
        <v>199</v>
      </c>
      <c r="L301" s="17">
        <v>4530</v>
      </c>
      <c r="M301" s="17">
        <f>ABS((D301*E301)-L301)</f>
        <v>275</v>
      </c>
      <c r="N301" t="str">
        <f>IF(COUNTIFS( $B$2:$B$666, B301, $C$2:$C$666, C301, $D$2:$D$666, D301, $E$2:$E$666, E301) &gt; 1, "Duplicate", "Unique")</f>
        <v>Unique</v>
      </c>
    </row>
    <row r="302" spans="1:16" ht="26.5" thickBot="1" x14ac:dyDescent="0.4">
      <c r="A302" s="3">
        <v>46260.557638888888</v>
      </c>
      <c r="B302" s="1" t="s">
        <v>16</v>
      </c>
      <c r="C302" s="1" t="s">
        <v>7</v>
      </c>
      <c r="D302" s="4">
        <v>5</v>
      </c>
      <c r="E302" s="4">
        <v>971</v>
      </c>
      <c r="F302" s="4">
        <v>30.51075269</v>
      </c>
      <c r="G302" s="2" t="s">
        <v>60</v>
      </c>
      <c r="H302" s="5">
        <v>744</v>
      </c>
      <c r="I302" s="1" t="s">
        <v>8</v>
      </c>
      <c r="J302" s="17" t="s">
        <v>117</v>
      </c>
      <c r="K302" s="17" t="s">
        <v>162</v>
      </c>
      <c r="L302" s="17">
        <v>4605</v>
      </c>
      <c r="M302" s="17">
        <f>ABS((D302*E302)-L302)</f>
        <v>250</v>
      </c>
      <c r="N302" t="str">
        <f>IF(COUNTIFS( $B$2:$B$666, B302, $C$2:$C$666, C302, $D$2:$D$666, D302, $E$2:$E$666, E302) &gt; 1, "Duplicate", "Unique")</f>
        <v>Unique</v>
      </c>
      <c r="P302" s="27"/>
    </row>
    <row r="303" spans="1:16" ht="26.5" thickBot="1" x14ac:dyDescent="0.4">
      <c r="A303" s="11">
        <v>46252.635416666664</v>
      </c>
      <c r="B303" s="8" t="s">
        <v>86</v>
      </c>
      <c r="C303" s="8" t="s">
        <v>7</v>
      </c>
      <c r="D303" s="8">
        <v>10</v>
      </c>
      <c r="E303" s="8">
        <v>1479</v>
      </c>
      <c r="F303" s="4">
        <v>31.361577400000002</v>
      </c>
      <c r="G303" s="2" t="s">
        <v>87</v>
      </c>
      <c r="H303" s="5">
        <v>1125.9000000000001</v>
      </c>
      <c r="I303" s="1" t="s">
        <v>8</v>
      </c>
      <c r="J303" s="32" t="s">
        <v>54</v>
      </c>
      <c r="N303" s="10" t="str">
        <f>IF(COUNTIFS( $B$2:$B$666, B303, $C$2:$C$666, C303, $D$2:$D$666, D303, $E$2:$E$666, E303) &gt; 1, "Duplicate", "Unique")</f>
        <v>Unique</v>
      </c>
    </row>
    <row r="304" spans="1:16" ht="39" thickBot="1" x14ac:dyDescent="0.4">
      <c r="A304" s="3">
        <v>46260.550694444442</v>
      </c>
      <c r="B304" s="1" t="s">
        <v>102</v>
      </c>
      <c r="C304" s="1" t="s">
        <v>7</v>
      </c>
      <c r="D304" s="4">
        <v>2</v>
      </c>
      <c r="E304" s="4">
        <v>2787.9</v>
      </c>
      <c r="F304" s="4">
        <v>31.504716980000001</v>
      </c>
      <c r="G304" s="2" t="s">
        <v>103</v>
      </c>
      <c r="H304" s="5">
        <v>2120</v>
      </c>
      <c r="I304" s="1" t="s">
        <v>8</v>
      </c>
      <c r="J304" s="17" t="s">
        <v>117</v>
      </c>
      <c r="K304" s="17" t="s">
        <v>165</v>
      </c>
      <c r="L304" s="17">
        <v>5275.8</v>
      </c>
      <c r="M304" s="17">
        <f>ABS((D304*E304)-L304)</f>
        <v>300</v>
      </c>
      <c r="N304" t="str">
        <f>IF(COUNTIFS( $B$2:$B$666, B304, $C$2:$C$666, C304, $D$2:$D$666, D304, $E$2:$E$666, E304) &gt; 1, "Duplicate", "Unique")</f>
        <v>Unique</v>
      </c>
    </row>
    <row r="305" spans="1:16" ht="26.5" thickBot="1" x14ac:dyDescent="0.4">
      <c r="A305" s="8" t="s">
        <v>61</v>
      </c>
      <c r="B305" s="8" t="s">
        <v>13</v>
      </c>
      <c r="C305" s="8" t="s">
        <v>7</v>
      </c>
      <c r="D305" s="8">
        <v>20</v>
      </c>
      <c r="E305" s="8">
        <v>2310</v>
      </c>
      <c r="F305" s="4">
        <v>32.378223499999997</v>
      </c>
      <c r="G305" s="2" t="s">
        <v>90</v>
      </c>
      <c r="H305" s="5">
        <v>1745</v>
      </c>
      <c r="I305" s="1" t="s">
        <v>8</v>
      </c>
      <c r="J305" s="32"/>
      <c r="N305" s="10" t="str">
        <f>IF(COUNTIFS( $B$2:$B$666, B305, $C$2:$C$666, C305, $D$2:$D$666, D305, $E$2:$E$666, E305) &gt; 1, "Duplicate", "Unique")</f>
        <v>Unique</v>
      </c>
    </row>
    <row r="306" spans="1:16" ht="39" thickBot="1" x14ac:dyDescent="0.4">
      <c r="A306" s="8" t="s">
        <v>61</v>
      </c>
      <c r="B306" s="8" t="s">
        <v>125</v>
      </c>
      <c r="C306" s="8" t="s">
        <v>7</v>
      </c>
      <c r="D306" s="8">
        <v>5</v>
      </c>
      <c r="E306" s="8">
        <v>596</v>
      </c>
      <c r="F306" s="4">
        <v>32.518065589999999</v>
      </c>
      <c r="G306" s="2" t="s">
        <v>126</v>
      </c>
      <c r="H306" s="5">
        <v>449.75</v>
      </c>
      <c r="I306" s="1" t="s">
        <v>8</v>
      </c>
      <c r="J306" s="32"/>
      <c r="N306" s="10" t="str">
        <f>IF(COUNTIFS( $B$2:$B$666, B306, $C$2:$C$666, C306, $D$2:$D$666, D306, $E$2:$E$666, E306) &gt; 1, "Duplicate", "Unique")</f>
        <v>Unique</v>
      </c>
    </row>
    <row r="307" spans="1:16" ht="39" thickBot="1" x14ac:dyDescent="0.4">
      <c r="A307" s="3">
        <v>46259.532638888886</v>
      </c>
      <c r="B307" s="1" t="s">
        <v>95</v>
      </c>
      <c r="C307" s="1" t="s">
        <v>7</v>
      </c>
      <c r="D307" s="4">
        <v>5</v>
      </c>
      <c r="E307" s="4">
        <v>218</v>
      </c>
      <c r="F307" s="4">
        <v>33.251833740000002</v>
      </c>
      <c r="G307" s="2" t="s">
        <v>96</v>
      </c>
      <c r="H307" s="5">
        <v>163.6</v>
      </c>
      <c r="I307" s="1" t="s">
        <v>8</v>
      </c>
      <c r="J307" s="32" t="s">
        <v>117</v>
      </c>
      <c r="K307" s="17" t="s">
        <v>158</v>
      </c>
      <c r="L307" s="17">
        <v>840</v>
      </c>
      <c r="M307" s="17">
        <f>ABS((D307*E307)-L307)</f>
        <v>250</v>
      </c>
      <c r="N307" s="10" t="str">
        <f>IF(COUNTIFS( $B$2:$B$666, B307, $C$2:$C$666, C307, $D$2:$D$666, D307, $E$2:$E$666, E307) &gt; 1, "Duplicate", "Unique")</f>
        <v>Unique</v>
      </c>
    </row>
    <row r="308" spans="1:16" ht="26.5" thickBot="1" x14ac:dyDescent="0.4">
      <c r="A308" s="11">
        <v>46252.6875</v>
      </c>
      <c r="B308" s="8" t="s">
        <v>15</v>
      </c>
      <c r="C308" s="8" t="s">
        <v>7</v>
      </c>
      <c r="D308" s="8">
        <v>10</v>
      </c>
      <c r="E308" s="8">
        <v>2896</v>
      </c>
      <c r="F308" s="4">
        <v>35.011655009999998</v>
      </c>
      <c r="G308" s="2" t="s">
        <v>71</v>
      </c>
      <c r="H308" s="5">
        <v>2145</v>
      </c>
      <c r="I308" s="1" t="s">
        <v>8</v>
      </c>
      <c r="J308" s="32" t="s">
        <v>117</v>
      </c>
      <c r="N308" s="10" t="str">
        <f>IF(COUNTIFS( $B$2:$B$666, B308, $C$2:$C$666, C308, $D$2:$D$666, D308, $E$2:$E$666, E308) &gt; 1, "Duplicate", "Unique")</f>
        <v>Unique</v>
      </c>
    </row>
    <row r="309" spans="1:16" ht="26.5" thickBot="1" x14ac:dyDescent="0.4">
      <c r="A309" s="11">
        <v>46252.6875</v>
      </c>
      <c r="B309" s="8" t="s">
        <v>15</v>
      </c>
      <c r="C309" s="8" t="s">
        <v>7</v>
      </c>
      <c r="D309" s="8">
        <v>10</v>
      </c>
      <c r="E309" s="8">
        <v>2908</v>
      </c>
      <c r="F309" s="4">
        <v>35.571095569999997</v>
      </c>
      <c r="G309" s="2" t="s">
        <v>71</v>
      </c>
      <c r="H309" s="5">
        <v>2145</v>
      </c>
      <c r="I309" s="1" t="s">
        <v>8</v>
      </c>
      <c r="J309" s="32" t="s">
        <v>117</v>
      </c>
      <c r="N309" s="10" t="str">
        <f>IF(COUNTIFS( $B$2:$B$666, B309, $C$2:$C$666, C309, $D$2:$D$666, D309, $E$2:$E$666, E309) &gt; 1, "Duplicate", "Unique")</f>
        <v>Unique</v>
      </c>
    </row>
    <row r="310" spans="1:16" ht="39" thickBot="1" x14ac:dyDescent="0.4">
      <c r="A310" s="9" t="s">
        <v>61</v>
      </c>
      <c r="B310" s="9" t="s">
        <v>118</v>
      </c>
      <c r="C310" s="9" t="s">
        <v>7</v>
      </c>
      <c r="D310" s="9">
        <v>7</v>
      </c>
      <c r="E310" s="12">
        <v>1170</v>
      </c>
      <c r="F310" s="4">
        <v>35.888501740000002</v>
      </c>
      <c r="G310" s="2" t="s">
        <v>119</v>
      </c>
      <c r="H310" s="5">
        <v>861</v>
      </c>
      <c r="I310" s="1" t="s">
        <v>8</v>
      </c>
      <c r="J310" s="32"/>
      <c r="N310" s="10" t="str">
        <f>IF(COUNTIFS( $B$2:$B$666, B310, $C$2:$C$666, C310, $D$2:$D$666, D310, $E$2:$E$666, E310) &gt; 1, "Duplicate", "Unique")</f>
        <v>Unique</v>
      </c>
    </row>
    <row r="311" spans="1:16" ht="26.5" thickBot="1" x14ac:dyDescent="0.4">
      <c r="A311" s="39" t="s">
        <v>61</v>
      </c>
      <c r="B311" s="39" t="s">
        <v>13</v>
      </c>
      <c r="C311" s="39" t="s">
        <v>7</v>
      </c>
      <c r="D311" s="39">
        <v>1</v>
      </c>
      <c r="E311" s="39">
        <v>2494</v>
      </c>
      <c r="F311" s="4">
        <v>42.922636099999998</v>
      </c>
      <c r="G311" s="2" t="s">
        <v>90</v>
      </c>
      <c r="H311" s="5">
        <v>1745</v>
      </c>
      <c r="I311" s="1" t="s">
        <v>8</v>
      </c>
      <c r="J311" s="45" t="s">
        <v>117</v>
      </c>
      <c r="K311" s="25"/>
      <c r="L311" s="25"/>
      <c r="M311" s="25"/>
      <c r="N311" s="27" t="str">
        <f>IF(COUNTIFS( $B$2:$B$666, B311, $C$2:$C$666, C311, $D$2:$D$666, D311, $E$2:$E$666, E311) &gt; 1, "Duplicate", "Unique")</f>
        <v>Unique</v>
      </c>
      <c r="O311" s="27"/>
      <c r="P311" s="27"/>
    </row>
    <row r="312" spans="1:16" ht="26.5" thickBot="1" x14ac:dyDescent="0.4">
      <c r="A312" s="38">
        <v>46251.506249999999</v>
      </c>
      <c r="B312" s="39" t="s">
        <v>13</v>
      </c>
      <c r="C312" s="39" t="s">
        <v>7</v>
      </c>
      <c r="D312" s="39">
        <v>3</v>
      </c>
      <c r="E312" s="39">
        <v>2494</v>
      </c>
      <c r="F312" s="4">
        <v>42.922636099999998</v>
      </c>
      <c r="G312" s="2" t="s">
        <v>90</v>
      </c>
      <c r="H312" s="5">
        <v>1745</v>
      </c>
      <c r="I312" s="1" t="s">
        <v>8</v>
      </c>
      <c r="J312" s="45" t="s">
        <v>117</v>
      </c>
      <c r="K312" s="25"/>
      <c r="L312" s="25"/>
      <c r="M312" s="25"/>
      <c r="N312" s="27" t="str">
        <f>IF(COUNTIFS( $B$2:$B$666, B312, $C$2:$C$666, C312, $D$2:$D$666, D312, $E$2:$E$666, E312) &gt; 1, "Duplicate", "Unique")</f>
        <v>Unique</v>
      </c>
      <c r="O312" s="27"/>
      <c r="P312" s="27"/>
    </row>
    <row r="313" spans="1:16" ht="26.5" thickBot="1" x14ac:dyDescent="0.4">
      <c r="A313" s="8" t="s">
        <v>61</v>
      </c>
      <c r="B313" s="8" t="s">
        <v>140</v>
      </c>
      <c r="C313" s="8" t="s">
        <v>7</v>
      </c>
      <c r="D313" s="8">
        <v>23</v>
      </c>
      <c r="E313" s="12">
        <v>890</v>
      </c>
      <c r="F313" s="6" t="e">
        <v>#N/A</v>
      </c>
      <c r="G313" s="2" t="s">
        <v>141</v>
      </c>
      <c r="H313" s="7" t="e">
        <v>#N/A</v>
      </c>
      <c r="I313" s="1" t="s">
        <v>8</v>
      </c>
      <c r="J313" s="32" t="s">
        <v>116</v>
      </c>
      <c r="N313" s="10" t="str">
        <f>IF(COUNTIFS( $B$2:$B$666, B313, $C$2:$C$666, C313, $D$2:$D$666, D313, $E$2:$E$666, E313) &gt; 1, "Duplicate", "Unique")</f>
        <v>Unique</v>
      </c>
    </row>
    <row r="314" spans="1:16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16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16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16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16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16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16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</sheetData>
  <autoFilter ref="A1:P313" xr:uid="{00000000-0001-0000-0000-000000000000}">
    <filterColumn colId="2">
      <filters>
        <filter val="S"/>
      </filters>
    </filterColumn>
    <filterColumn colId="14">
      <filters blank="1"/>
    </filterColumn>
    <sortState xmlns:xlrd2="http://schemas.microsoft.com/office/spreadsheetml/2017/richdata2" ref="A2:P313">
      <sortCondition ref="F1:F313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workbookViewId="0">
      <selection sqref="A1:L11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328</v>
      </c>
      <c r="B2" t="s">
        <v>73</v>
      </c>
      <c r="C2" t="s">
        <v>7</v>
      </c>
      <c r="D2">
        <v>10</v>
      </c>
      <c r="E2">
        <v>3380</v>
      </c>
      <c r="F2" t="s">
        <v>308</v>
      </c>
      <c r="K2" t="str">
        <f t="shared" ref="K2" si="0">C2 &amp; " " &amp; D2 &amp; "*" &amp; E2 &amp; " :" &amp; A2</f>
        <v>S 10*3380 :13 OCT 2026 02:53:05 PM</v>
      </c>
      <c r="L2">
        <f t="shared" ref="L2" si="1">D2*E2</f>
        <v>33800</v>
      </c>
      <c r="N2" t="str">
        <f>IF(COUNTIFS( $B$2:$B$880, B2) &gt; 1, "Duplicate", "Unique")</f>
        <v>Unique</v>
      </c>
    </row>
    <row r="3" spans="1:14" x14ac:dyDescent="0.35">
      <c r="A3" t="s">
        <v>329</v>
      </c>
      <c r="B3" t="s">
        <v>102</v>
      </c>
      <c r="C3" t="s">
        <v>7</v>
      </c>
      <c r="D3">
        <v>9</v>
      </c>
      <c r="E3">
        <v>2095</v>
      </c>
      <c r="F3" t="s">
        <v>308</v>
      </c>
      <c r="K3" t="str">
        <f t="shared" ref="K3:K6" si="2">C3 &amp; " " &amp; D3 &amp; "*" &amp; E3 &amp; " :" &amp; A3</f>
        <v>S 9*2095 :13 OCT 2026 01:08:36 PM</v>
      </c>
      <c r="L3">
        <f t="shared" ref="L3:L6" si="3">D3*E3</f>
        <v>18855</v>
      </c>
      <c r="N3" t="str">
        <f>IF(COUNTIFS( $B$2:$B$880, B3) &gt; 1, "Duplicate", "Unique")</f>
        <v>Unique</v>
      </c>
    </row>
    <row r="4" spans="1:14" x14ac:dyDescent="0.35">
      <c r="A4" t="s">
        <v>330</v>
      </c>
      <c r="B4" t="s">
        <v>331</v>
      </c>
      <c r="C4" t="s">
        <v>7</v>
      </c>
      <c r="D4">
        <v>13</v>
      </c>
      <c r="E4">
        <v>1309</v>
      </c>
      <c r="F4" t="s">
        <v>308</v>
      </c>
      <c r="K4" t="str">
        <f t="shared" si="2"/>
        <v>S 13*1309 :13 OCT 2026 01:53:26 PM</v>
      </c>
      <c r="L4">
        <f t="shared" si="3"/>
        <v>17017</v>
      </c>
      <c r="N4" t="str">
        <f>IF(COUNTIFS( $B$2:$B$880, B4) &gt; 1, "Duplicate", "Unique")</f>
        <v>Unique</v>
      </c>
    </row>
    <row r="5" spans="1:14" x14ac:dyDescent="0.35">
      <c r="A5" t="s">
        <v>332</v>
      </c>
      <c r="B5" t="s">
        <v>46</v>
      </c>
      <c r="C5" t="s">
        <v>7</v>
      </c>
      <c r="D5">
        <v>8</v>
      </c>
      <c r="E5">
        <v>2255</v>
      </c>
      <c r="F5" t="s">
        <v>308</v>
      </c>
      <c r="K5" t="str">
        <f t="shared" si="2"/>
        <v>S 8*2255 :13 OCT 2026 12:56:17 PM</v>
      </c>
      <c r="L5">
        <f t="shared" si="3"/>
        <v>18040</v>
      </c>
      <c r="N5" t="str">
        <f>IF(COUNTIFS( $B$2:$B$880, B5) &gt; 1, "Duplicate", "Unique")</f>
        <v>Unique</v>
      </c>
    </row>
    <row r="6" spans="1:14" x14ac:dyDescent="0.35">
      <c r="A6" t="s">
        <v>333</v>
      </c>
      <c r="B6" t="s">
        <v>25</v>
      </c>
      <c r="C6" t="s">
        <v>7</v>
      </c>
      <c r="D6">
        <v>200</v>
      </c>
      <c r="E6">
        <v>32.9</v>
      </c>
      <c r="F6" t="s">
        <v>308</v>
      </c>
      <c r="K6" t="str">
        <f t="shared" si="2"/>
        <v>S 200*32.9 :13 OCT 2026 12:53:56 PM</v>
      </c>
      <c r="L6">
        <f t="shared" si="3"/>
        <v>6580</v>
      </c>
      <c r="N6" t="str">
        <f>IF(COUNTIFS( $B$2:$B$880, B6) &gt; 1, "Duplicate", "Unique")</f>
        <v>Unique</v>
      </c>
    </row>
    <row r="7" spans="1:14" x14ac:dyDescent="0.35">
      <c r="A7" t="s">
        <v>334</v>
      </c>
      <c r="B7" t="s">
        <v>13</v>
      </c>
      <c r="C7" t="s">
        <v>10</v>
      </c>
      <c r="D7">
        <v>10</v>
      </c>
      <c r="E7">
        <v>1731</v>
      </c>
      <c r="F7" t="s">
        <v>308</v>
      </c>
      <c r="K7" t="str">
        <f t="shared" ref="K7" si="4">C7 &amp; " " &amp; D7 &amp; "*" &amp; E7 &amp; " :" &amp; A7</f>
        <v>B 10*1731 :13 OCT 2026 09:21:08 AM</v>
      </c>
      <c r="L7">
        <f t="shared" ref="L7" si="5">D7*E7</f>
        <v>17310</v>
      </c>
      <c r="N7" t="str">
        <f>IF(COUNTIFS( $B$2:$B$880, B7) &gt; 1, "Duplicate", "Unique")</f>
        <v>Unique</v>
      </c>
    </row>
    <row r="8" spans="1:14" x14ac:dyDescent="0.35">
      <c r="A8" t="s">
        <v>336</v>
      </c>
      <c r="B8" t="s">
        <v>50</v>
      </c>
      <c r="C8" t="s">
        <v>7</v>
      </c>
      <c r="D8">
        <v>40</v>
      </c>
      <c r="E8">
        <v>889</v>
      </c>
      <c r="F8" t="s">
        <v>308</v>
      </c>
      <c r="K8" t="str">
        <f t="shared" ref="K8:K11" si="6">C8 &amp; " " &amp; D8 &amp; "*" &amp; E8 &amp; " :" &amp; A8</f>
        <v>S 40*889 :13 OCT 2026 09:47:13 AM</v>
      </c>
      <c r="L8">
        <f t="shared" ref="L8:L11" si="7">D8*E8</f>
        <v>35560</v>
      </c>
      <c r="N8" t="str">
        <f>IF(COUNTIFS( $B$2:$B$880, B8) &gt; 1, "Duplicate", "Unique")</f>
        <v>Duplicate</v>
      </c>
    </row>
    <row r="9" spans="1:14" x14ac:dyDescent="0.35">
      <c r="A9" t="s">
        <v>335</v>
      </c>
      <c r="B9" t="s">
        <v>50</v>
      </c>
      <c r="C9" t="s">
        <v>7</v>
      </c>
      <c r="D9">
        <v>10</v>
      </c>
      <c r="E9">
        <v>887</v>
      </c>
      <c r="F9" t="s">
        <v>308</v>
      </c>
      <c r="K9" t="str">
        <f t="shared" si="6"/>
        <v>S 10*887 :13 OCT 2026 09:00:41 AM</v>
      </c>
      <c r="L9">
        <f t="shared" si="7"/>
        <v>8870</v>
      </c>
      <c r="N9" t="str">
        <f>IF(COUNTIFS( $B$2:$B$880, B9) &gt; 1, "Duplicate", "Unique")</f>
        <v>Duplicate</v>
      </c>
    </row>
    <row r="10" spans="1:14" x14ac:dyDescent="0.35">
      <c r="A10" t="s">
        <v>335</v>
      </c>
      <c r="B10" t="s">
        <v>50</v>
      </c>
      <c r="C10" t="s">
        <v>7</v>
      </c>
      <c r="D10">
        <v>10</v>
      </c>
      <c r="E10">
        <v>877</v>
      </c>
      <c r="F10" t="s">
        <v>308</v>
      </c>
      <c r="K10" t="str">
        <f t="shared" si="6"/>
        <v>S 10*877 :13 OCT 2026 09:00:41 AM</v>
      </c>
      <c r="L10">
        <f t="shared" si="7"/>
        <v>8770</v>
      </c>
      <c r="N10" t="str">
        <f>IF(COUNTIFS( $B$2:$B$880, B10) &gt; 1, "Duplicate", "Unique")</f>
        <v>Duplicate</v>
      </c>
    </row>
    <row r="11" spans="1:14" x14ac:dyDescent="0.35">
      <c r="A11" t="s">
        <v>335</v>
      </c>
      <c r="B11" t="s">
        <v>56</v>
      </c>
      <c r="C11" t="s">
        <v>7</v>
      </c>
      <c r="D11">
        <v>5</v>
      </c>
      <c r="E11">
        <v>2972</v>
      </c>
      <c r="F11" t="s">
        <v>308</v>
      </c>
      <c r="K11" t="str">
        <f t="shared" si="6"/>
        <v>S 5*2972 :13 OCT 2026 09:00:41 AM</v>
      </c>
      <c r="L11">
        <f t="shared" si="7"/>
        <v>14860</v>
      </c>
      <c r="N11" t="str">
        <f>IF(COUNTIFS( $B$2:$B$880, B11) &gt; 1, "Duplicate", "Unique")</f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8EC2-5BEA-4CEE-BD12-5B3F68179258}">
  <dimension ref="A1:P972"/>
  <sheetViews>
    <sheetView zoomScaleNormal="100" workbookViewId="0">
      <pane ySplit="1" topLeftCell="A300" activePane="bottomLeft" state="frozen"/>
      <selection sqref="A1:XFD1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s="77" customFormat="1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74" t="s">
        <v>139</v>
      </c>
      <c r="K1" s="75" t="s">
        <v>149</v>
      </c>
      <c r="L1" s="76" t="s">
        <v>150</v>
      </c>
      <c r="M1" s="76" t="s">
        <v>151</v>
      </c>
      <c r="O1" s="77" t="s">
        <v>237</v>
      </c>
    </row>
    <row r="2" spans="1:16" customFormat="1" ht="40.75" customHeight="1" thickBot="1" x14ac:dyDescent="0.4">
      <c r="A2" s="6" t="s">
        <v>61</v>
      </c>
      <c r="B2" s="1" t="s">
        <v>15</v>
      </c>
      <c r="C2" s="1" t="s">
        <v>10</v>
      </c>
      <c r="D2" s="4">
        <v>5</v>
      </c>
      <c r="E2" s="4">
        <v>2470</v>
      </c>
      <c r="F2" s="4">
        <v>18.329021749999999</v>
      </c>
      <c r="G2" s="2" t="s">
        <v>71</v>
      </c>
      <c r="H2" s="5">
        <v>2087.4</v>
      </c>
      <c r="I2" s="1" t="s">
        <v>8</v>
      </c>
      <c r="J2" s="33" t="s">
        <v>40</v>
      </c>
      <c r="K2" s="16"/>
      <c r="L2" s="16"/>
      <c r="M2" s="16"/>
      <c r="N2" t="str">
        <f>IF(COUNTIFS( $B$2:$B$666, B2, $C$2:$C$666, C2, $D$2:$D$666, D2, $E$2:$E$666, E2) &gt; 1, "Duplicate", "Unique")</f>
        <v>Unique</v>
      </c>
      <c r="O2" s="10"/>
      <c r="P2" s="22"/>
    </row>
    <row r="3" spans="1:16" customFormat="1" ht="27.65" customHeight="1" thickBot="1" x14ac:dyDescent="0.4">
      <c r="A3" s="6" t="s">
        <v>61</v>
      </c>
      <c r="B3" s="1" t="s">
        <v>15</v>
      </c>
      <c r="C3" s="1" t="s">
        <v>10</v>
      </c>
      <c r="D3" s="4">
        <v>30</v>
      </c>
      <c r="E3" s="4">
        <v>2435</v>
      </c>
      <c r="F3" s="4">
        <v>16.65229472</v>
      </c>
      <c r="G3" s="2" t="s">
        <v>71</v>
      </c>
      <c r="H3" s="5">
        <v>2087.4</v>
      </c>
      <c r="I3" s="1" t="s">
        <v>8</v>
      </c>
      <c r="J3" s="33" t="s">
        <v>54</v>
      </c>
      <c r="K3" s="16"/>
      <c r="L3" s="16"/>
      <c r="M3" s="16"/>
      <c r="N3" t="str">
        <f>IF(COUNTIFS( $B$2:$B$666, B3, $C$2:$C$666, C3, $D$2:$D$666, D3, $E$2:$E$666, E3) &gt; 1, "Duplicate", "Unique")</f>
        <v>Unique</v>
      </c>
      <c r="O3" s="10"/>
      <c r="P3" s="10"/>
    </row>
    <row r="4" spans="1:16" customFormat="1" ht="15" customHeight="1" thickBot="1" x14ac:dyDescent="0.4">
      <c r="A4" s="3">
        <v>46261.375</v>
      </c>
      <c r="B4" s="1" t="s">
        <v>23</v>
      </c>
      <c r="C4" s="1" t="s">
        <v>10</v>
      </c>
      <c r="D4" s="4">
        <v>50</v>
      </c>
      <c r="E4" s="4">
        <v>204</v>
      </c>
      <c r="F4" s="4">
        <v>8.5799446459999995</v>
      </c>
      <c r="G4" s="2" t="s">
        <v>69</v>
      </c>
      <c r="H4" s="5">
        <v>187.88</v>
      </c>
      <c r="I4" s="1" t="s">
        <v>8</v>
      </c>
      <c r="J4" s="21" t="s">
        <v>40</v>
      </c>
      <c r="K4" s="17" t="s">
        <v>181</v>
      </c>
      <c r="L4" s="17">
        <v>10550</v>
      </c>
      <c r="M4" s="17">
        <f>ABS((D4*E4)-L4)</f>
        <v>350</v>
      </c>
      <c r="N4" s="10" t="str">
        <f>IF(COUNTIFS( $B$2:$B$666, B4, $C$2:$C$666, C4, $D$2:$D$666, D4, $E$2:$E$666, E4) &gt; 1, "Duplicate", "Unique")</f>
        <v>Unique</v>
      </c>
      <c r="O4" s="10"/>
      <c r="P4" s="10"/>
    </row>
    <row r="5" spans="1:16" customFormat="1" ht="15" customHeight="1" thickBot="1" x14ac:dyDescent="0.4">
      <c r="A5" s="3">
        <v>46252.645138888889</v>
      </c>
      <c r="B5" s="1" t="s">
        <v>67</v>
      </c>
      <c r="C5" s="1" t="s">
        <v>10</v>
      </c>
      <c r="D5" s="4">
        <v>10</v>
      </c>
      <c r="E5" s="4">
        <v>401</v>
      </c>
      <c r="F5" s="4">
        <v>7.2479272530000003</v>
      </c>
      <c r="G5" s="2" t="s">
        <v>68</v>
      </c>
      <c r="H5" s="5">
        <v>373.9</v>
      </c>
      <c r="I5" s="1" t="s">
        <v>8</v>
      </c>
      <c r="J5" s="56" t="s">
        <v>40</v>
      </c>
      <c r="K5" s="16"/>
      <c r="L5" s="16"/>
      <c r="M5" s="16"/>
      <c r="N5" t="str">
        <f>IF(COUNTIFS( $B$2:$B$666, B5, $C$2:$C$666, C5, $D$2:$D$666, D5, $E$2:$E$666, E5) &gt; 1, "Duplicate", "Unique")</f>
        <v>Unique</v>
      </c>
      <c r="O5" s="10"/>
      <c r="P5" s="10"/>
    </row>
    <row r="6" spans="1:16" customFormat="1" ht="40.75" customHeight="1" thickBot="1" x14ac:dyDescent="0.4">
      <c r="A6" s="6" t="s">
        <v>61</v>
      </c>
      <c r="B6" s="1" t="s">
        <v>48</v>
      </c>
      <c r="C6" s="1" t="s">
        <v>10</v>
      </c>
      <c r="D6" s="4">
        <v>5</v>
      </c>
      <c r="E6" s="4">
        <v>3888</v>
      </c>
      <c r="F6" s="4">
        <v>7.1812543069999997</v>
      </c>
      <c r="G6" s="2" t="s">
        <v>49</v>
      </c>
      <c r="H6" s="5">
        <v>3627.5</v>
      </c>
      <c r="I6" s="1" t="s">
        <v>8</v>
      </c>
      <c r="J6" s="33"/>
      <c r="K6" s="16"/>
      <c r="L6" s="16"/>
      <c r="M6" s="16"/>
      <c r="N6" t="str">
        <f>IF(COUNTIFS( $B$2:$B$666, B6, $C$2:$C$666, C6, $D$2:$D$666, D6, $E$2:$E$666, E6) &gt; 1, "Duplicate", "Unique")</f>
        <v>Unique</v>
      </c>
      <c r="O6" s="23"/>
      <c r="P6" s="10"/>
    </row>
    <row r="7" spans="1:16" customFormat="1" ht="27.65" customHeight="1" thickBot="1" x14ac:dyDescent="0.4">
      <c r="A7" s="6" t="s">
        <v>61</v>
      </c>
      <c r="B7" s="1" t="s">
        <v>23</v>
      </c>
      <c r="C7" s="1" t="s">
        <v>10</v>
      </c>
      <c r="D7" s="4">
        <v>50</v>
      </c>
      <c r="E7" s="4">
        <v>201</v>
      </c>
      <c r="F7" s="4">
        <v>6.9831807540000002</v>
      </c>
      <c r="G7" s="2" t="s">
        <v>69</v>
      </c>
      <c r="H7" s="5">
        <v>187.88</v>
      </c>
      <c r="I7" s="1" t="s">
        <v>8</v>
      </c>
      <c r="J7" s="34" t="s">
        <v>40</v>
      </c>
      <c r="K7" s="16"/>
      <c r="L7" s="16"/>
      <c r="M7" s="16"/>
      <c r="N7" t="str">
        <f>IF(COUNTIFS( $B$2:$B$666, B7, $C$2:$C$666, C7, $D$2:$D$666, D7, $E$2:$E$666, E7) &gt; 1, "Duplicate", "Unique")</f>
        <v>Unique</v>
      </c>
    </row>
    <row r="8" spans="1:16" customFormat="1" ht="27.65" customHeight="1" thickBot="1" x14ac:dyDescent="0.4">
      <c r="A8" s="3">
        <v>46275.457638888889</v>
      </c>
      <c r="B8" s="1" t="s">
        <v>19</v>
      </c>
      <c r="C8" s="1" t="s">
        <v>10</v>
      </c>
      <c r="D8" s="4">
        <v>100</v>
      </c>
      <c r="E8" s="4">
        <v>222</v>
      </c>
      <c r="F8" s="4">
        <v>6.3727838999999999</v>
      </c>
      <c r="G8" s="2" t="s">
        <v>39</v>
      </c>
      <c r="H8" s="5">
        <v>208.7</v>
      </c>
      <c r="I8" s="1" t="s">
        <v>8</v>
      </c>
      <c r="J8" s="21" t="s">
        <v>40</v>
      </c>
      <c r="K8" s="17" t="s">
        <v>259</v>
      </c>
      <c r="L8" s="17">
        <v>56375</v>
      </c>
      <c r="M8" s="17">
        <f>ABS((D8*E8)-L8)</f>
        <v>34175</v>
      </c>
      <c r="N8" s="10" t="str">
        <f>IF(COUNTIFS( $B$2:$B$666, B8, $C$2:$C$666, C8, $D$2:$D$666, D8, $E$2:$E$666, E8) &gt; 1, "Duplicate", "Unique")</f>
        <v>Unique</v>
      </c>
      <c r="O8" s="10"/>
      <c r="P8" s="10"/>
    </row>
    <row r="9" spans="1:16" customFormat="1" ht="27.65" customHeight="1" thickBot="1" x14ac:dyDescent="0.4">
      <c r="A9" s="6" t="s">
        <v>61</v>
      </c>
      <c r="B9" s="1" t="s">
        <v>48</v>
      </c>
      <c r="C9" s="1" t="s">
        <v>10</v>
      </c>
      <c r="D9" s="4">
        <v>2</v>
      </c>
      <c r="E9" s="4">
        <v>3856</v>
      </c>
      <c r="F9" s="4">
        <v>6.2991040659999999</v>
      </c>
      <c r="G9" s="2" t="s">
        <v>49</v>
      </c>
      <c r="H9" s="5">
        <v>3627.5</v>
      </c>
      <c r="I9" s="1" t="s">
        <v>8</v>
      </c>
      <c r="J9" s="33"/>
      <c r="K9" s="16"/>
      <c r="L9" s="16"/>
      <c r="M9" s="16"/>
      <c r="N9" t="str">
        <f>IF(COUNTIFS( $B$2:$B$666, B9, $C$2:$C$666, C9, $D$2:$D$666, D9, $E$2:$E$666, E9) &gt; 1, "Duplicate", "Unique")</f>
        <v>Unique</v>
      </c>
      <c r="O9" s="18"/>
      <c r="P9" s="10"/>
    </row>
    <row r="10" spans="1:16" customFormat="1" ht="27.65" customHeight="1" thickBot="1" x14ac:dyDescent="0.4">
      <c r="A10" s="6" t="s">
        <v>61</v>
      </c>
      <c r="B10" s="1" t="s">
        <v>48</v>
      </c>
      <c r="C10" s="1" t="s">
        <v>10</v>
      </c>
      <c r="D10" s="4">
        <v>2</v>
      </c>
      <c r="E10" s="4">
        <v>3830</v>
      </c>
      <c r="F10" s="4">
        <v>5.5823569949999996</v>
      </c>
      <c r="G10" s="2" t="s">
        <v>49</v>
      </c>
      <c r="H10" s="5">
        <v>3627.5</v>
      </c>
      <c r="I10" s="1" t="s">
        <v>8</v>
      </c>
      <c r="J10" s="33"/>
      <c r="K10" s="16"/>
      <c r="L10" s="16"/>
      <c r="M10" s="16"/>
      <c r="N10" t="str">
        <f>IF(COUNTIFS( $B$2:$B$666, B10, $C$2:$C$666, C10, $D$2:$D$666, D10, $E$2:$E$666, E10) &gt; 1, "Duplicate", "Unique")</f>
        <v>Unique</v>
      </c>
      <c r="O10" s="10"/>
      <c r="P10" s="10"/>
    </row>
    <row r="11" spans="1:16" customFormat="1" ht="27.65" customHeight="1" thickBot="1" x14ac:dyDescent="0.4">
      <c r="A11" s="6" t="s">
        <v>61</v>
      </c>
      <c r="B11" s="1" t="s">
        <v>48</v>
      </c>
      <c r="C11" s="1" t="s">
        <v>10</v>
      </c>
      <c r="D11" s="4">
        <v>3</v>
      </c>
      <c r="E11" s="4">
        <v>3810</v>
      </c>
      <c r="F11" s="4">
        <v>5.0310130940000004</v>
      </c>
      <c r="G11" s="2" t="s">
        <v>49</v>
      </c>
      <c r="H11" s="5">
        <v>3627.5</v>
      </c>
      <c r="I11" s="1" t="s">
        <v>8</v>
      </c>
      <c r="J11" s="33"/>
      <c r="K11" s="16"/>
      <c r="L11" s="16"/>
      <c r="M11" s="16"/>
      <c r="N11" t="str">
        <f>IF(COUNTIFS( $B$2:$B$666, B11, $C$2:$C$666, C11, $D$2:$D$666, D11, $E$2:$E$666, E11) &gt; 1, "Duplicate", "Unique")</f>
        <v>Unique</v>
      </c>
      <c r="O11" s="10"/>
      <c r="P11" s="10"/>
    </row>
    <row r="12" spans="1:16" customFormat="1" ht="27.65" customHeight="1" thickBot="1" x14ac:dyDescent="0.4">
      <c r="A12" s="6" t="s">
        <v>61</v>
      </c>
      <c r="B12" s="1" t="s">
        <v>48</v>
      </c>
      <c r="C12" s="1" t="s">
        <v>10</v>
      </c>
      <c r="D12" s="4">
        <v>2</v>
      </c>
      <c r="E12" s="4">
        <v>3760</v>
      </c>
      <c r="F12" s="4">
        <v>3.6526533429999999</v>
      </c>
      <c r="G12" s="2" t="s">
        <v>49</v>
      </c>
      <c r="H12" s="5">
        <v>3627.5</v>
      </c>
      <c r="I12" s="1" t="s">
        <v>8</v>
      </c>
      <c r="J12" s="33"/>
      <c r="K12" s="16"/>
      <c r="L12" s="16"/>
      <c r="M12" s="16"/>
      <c r="N12" t="str">
        <f>IF(COUNTIFS( $B$2:$B$666, B12, $C$2:$C$666, C12, $D$2:$D$666, D12, $E$2:$E$666, E12) &gt; 1, "Duplicate", "Unique")</f>
        <v>Unique</v>
      </c>
      <c r="P12" s="10"/>
    </row>
    <row r="13" spans="1:16" ht="40.75" customHeight="1" thickBot="1" x14ac:dyDescent="0.4">
      <c r="A13" s="3">
        <v>46252.635416666664</v>
      </c>
      <c r="B13" s="1" t="s">
        <v>77</v>
      </c>
      <c r="C13" s="1" t="s">
        <v>10</v>
      </c>
      <c r="D13" s="4">
        <v>3</v>
      </c>
      <c r="E13" s="4">
        <v>1302</v>
      </c>
      <c r="F13" s="4">
        <v>2.843601896</v>
      </c>
      <c r="G13" s="2" t="s">
        <v>78</v>
      </c>
      <c r="H13" s="5">
        <v>1266</v>
      </c>
      <c r="I13" s="1" t="s">
        <v>8</v>
      </c>
      <c r="J13" s="33" t="s">
        <v>40</v>
      </c>
      <c r="K13" s="16"/>
      <c r="L13" s="16"/>
      <c r="M13" s="16"/>
      <c r="N13" t="str">
        <f>IF(COUNTIFS( $B$2:$B$666, B13, $C$2:$C$666, C13, $D$2:$D$666, D13, $E$2:$E$666, E13) &gt; 1, "Duplicate", "Unique")</f>
        <v>Unique</v>
      </c>
      <c r="O13"/>
      <c r="P13"/>
    </row>
    <row r="14" spans="1:16" ht="40.75" customHeight="1" thickBot="1" x14ac:dyDescent="0.4">
      <c r="A14" s="3">
        <v>46268.385416666664</v>
      </c>
      <c r="B14" s="1" t="s">
        <v>19</v>
      </c>
      <c r="C14" s="1" t="s">
        <v>10</v>
      </c>
      <c r="D14" s="4">
        <v>100</v>
      </c>
      <c r="E14" s="4">
        <v>214</v>
      </c>
      <c r="F14" s="4">
        <v>2.5395304259999998</v>
      </c>
      <c r="G14" s="2" t="s">
        <v>39</v>
      </c>
      <c r="H14" s="5">
        <v>208.7</v>
      </c>
      <c r="I14" s="1" t="s">
        <v>8</v>
      </c>
      <c r="J14" s="21" t="s">
        <v>54</v>
      </c>
      <c r="K14" s="17" t="s">
        <v>231</v>
      </c>
      <c r="L14" s="17">
        <v>21900</v>
      </c>
      <c r="M14" s="17">
        <f>ABS((D14*E14)-L14)</f>
        <v>500</v>
      </c>
      <c r="N14" s="10" t="str">
        <f>IF(COUNTIFS( $B$2:$B$666, B14, $C$2:$C$666, C14, $D$2:$D$666, D14, $E$2:$E$666, E14) &gt; 1, "Duplicate", "Unique")</f>
        <v>Unique</v>
      </c>
    </row>
    <row r="15" spans="1:16" ht="15" customHeight="1" thickBot="1" x14ac:dyDescent="0.4">
      <c r="A15" s="6" t="s">
        <v>61</v>
      </c>
      <c r="B15" s="1" t="s">
        <v>81</v>
      </c>
      <c r="C15" s="1" t="s">
        <v>10</v>
      </c>
      <c r="D15" s="4">
        <v>1</v>
      </c>
      <c r="E15" s="4">
        <v>4010</v>
      </c>
      <c r="F15" s="4">
        <v>1.7689008450000001</v>
      </c>
      <c r="G15" s="2" t="s">
        <v>82</v>
      </c>
      <c r="H15" s="5">
        <v>3940.3</v>
      </c>
      <c r="I15" s="1" t="s">
        <v>8</v>
      </c>
      <c r="J15" s="33" t="s">
        <v>40</v>
      </c>
      <c r="K15" s="16"/>
      <c r="L15" s="16"/>
      <c r="M15" s="16"/>
      <c r="N15" t="str">
        <f>IF(COUNTIFS( $B$2:$B$666, B15, $C$2:$C$666, C15, $D$2:$D$666, D15, $E$2:$E$666, E15) &gt; 1, "Duplicate", "Unique")</f>
        <v>Unique</v>
      </c>
    </row>
    <row r="16" spans="1:16" ht="27.65" customHeight="1" thickBot="1" x14ac:dyDescent="0.4">
      <c r="A16" s="6" t="s">
        <v>61</v>
      </c>
      <c r="B16" s="1" t="s">
        <v>19</v>
      </c>
      <c r="C16" s="1" t="s">
        <v>10</v>
      </c>
      <c r="D16" s="4">
        <v>50</v>
      </c>
      <c r="E16" s="4">
        <v>212</v>
      </c>
      <c r="F16" s="4">
        <v>1.581217058</v>
      </c>
      <c r="G16" s="2" t="s">
        <v>39</v>
      </c>
      <c r="H16" s="5">
        <v>208.7</v>
      </c>
      <c r="I16" s="1" t="s">
        <v>8</v>
      </c>
      <c r="J16" s="33" t="s">
        <v>40</v>
      </c>
      <c r="K16" s="16"/>
      <c r="L16" s="16"/>
      <c r="M16" s="16"/>
      <c r="N16" t="str">
        <f>IF(COUNTIFS( $B$2:$B$666, B16, $C$2:$C$666, C16, $D$2:$D$666, D16, $E$2:$E$666, E16) &gt; 1, "Duplicate", "Unique")</f>
        <v>Unique</v>
      </c>
    </row>
    <row r="17" spans="1:16" ht="40.75" customHeight="1" thickBot="1" x14ac:dyDescent="0.4">
      <c r="A17" s="6" t="s">
        <v>61</v>
      </c>
      <c r="B17" s="1" t="s">
        <v>77</v>
      </c>
      <c r="C17" s="1" t="s">
        <v>10</v>
      </c>
      <c r="D17" s="4">
        <v>69</v>
      </c>
      <c r="E17" s="4">
        <v>1277</v>
      </c>
      <c r="F17" s="4">
        <v>0.86887835700000005</v>
      </c>
      <c r="G17" s="2" t="s">
        <v>78</v>
      </c>
      <c r="H17" s="5">
        <v>1266</v>
      </c>
      <c r="I17" s="1" t="s">
        <v>8</v>
      </c>
      <c r="J17" s="33"/>
      <c r="K17" s="16"/>
      <c r="L17" s="16"/>
      <c r="M17" s="16"/>
      <c r="N17" t="str">
        <f>IF(COUNTIFS( $B$2:$B$666, B17, $C$2:$C$666, C17, $D$2:$D$666, D17, $E$2:$E$666, E17) &gt; 1, "Duplicate", "Unique")</f>
        <v>Unique</v>
      </c>
      <c r="O17"/>
      <c r="P17"/>
    </row>
    <row r="18" spans="1:16" s="22" customFormat="1" ht="27.65" customHeight="1" thickBot="1" x14ac:dyDescent="0.4">
      <c r="A18" s="3">
        <v>46252.6875</v>
      </c>
      <c r="B18" s="1" t="s">
        <v>20</v>
      </c>
      <c r="C18" s="1" t="s">
        <v>10</v>
      </c>
      <c r="D18" s="4">
        <v>20</v>
      </c>
      <c r="E18" s="4">
        <v>122</v>
      </c>
      <c r="F18" s="4">
        <v>0.560501154</v>
      </c>
      <c r="G18" s="2" t="s">
        <v>85</v>
      </c>
      <c r="H18" s="5">
        <v>121.32</v>
      </c>
      <c r="I18" s="1" t="s">
        <v>8</v>
      </c>
      <c r="J18" s="34" t="s">
        <v>40</v>
      </c>
      <c r="K18" s="16"/>
      <c r="L18" s="16"/>
      <c r="M18" s="16"/>
      <c r="N18" t="str">
        <f>IF(COUNTIFS( $B$2:$B$666, B18, $C$2:$C$666, C18, $D$2:$D$666, D18, $E$2:$E$666, E18) &gt; 1, "Duplicate", "Unique")</f>
        <v>Unique</v>
      </c>
      <c r="O18" s="10"/>
      <c r="P18" s="10"/>
    </row>
    <row r="19" spans="1:16" ht="27.65" customHeight="1" thickBot="1" x14ac:dyDescent="0.4">
      <c r="A19" s="3">
        <v>46283.375</v>
      </c>
      <c r="B19" s="1" t="s">
        <v>31</v>
      </c>
      <c r="C19" s="1" t="s">
        <v>10</v>
      </c>
      <c r="D19" s="4">
        <v>20</v>
      </c>
      <c r="E19" s="4">
        <v>870.2</v>
      </c>
      <c r="F19" s="4">
        <v>0.31123919309999998</v>
      </c>
      <c r="G19" s="2" t="s">
        <v>84</v>
      </c>
      <c r="H19" s="5">
        <v>867.5</v>
      </c>
      <c r="I19" s="1" t="s">
        <v>8</v>
      </c>
      <c r="J19" s="21" t="s">
        <v>54</v>
      </c>
      <c r="K19" s="17" t="s">
        <v>281</v>
      </c>
      <c r="L19" s="17">
        <v>17920</v>
      </c>
      <c r="M19" s="17">
        <f>ABS((D19*E19)-L19)</f>
        <v>516</v>
      </c>
      <c r="N19" s="10" t="str">
        <f>IF(COUNTIFS( $B$2:$B$666, B19, $C$2:$C$666, C19, $D$2:$D$666, D19, $E$2:$E$666, E19) &gt; 1, "Duplicate", "Unique")</f>
        <v>Unique</v>
      </c>
    </row>
    <row r="20" spans="1:16" ht="27.65" customHeight="1" thickBot="1" x14ac:dyDescent="0.4">
      <c r="A20" s="3">
        <v>46261.375</v>
      </c>
      <c r="B20" s="1" t="s">
        <v>31</v>
      </c>
      <c r="C20" s="1" t="s">
        <v>10</v>
      </c>
      <c r="D20" s="4">
        <v>20</v>
      </c>
      <c r="E20" s="4">
        <v>870</v>
      </c>
      <c r="F20" s="4">
        <v>0.28818443799999999</v>
      </c>
      <c r="G20" s="2" t="s">
        <v>84</v>
      </c>
      <c r="H20" s="5">
        <v>867.5</v>
      </c>
      <c r="I20" s="1" t="s">
        <v>8</v>
      </c>
      <c r="J20" s="21" t="s">
        <v>40</v>
      </c>
      <c r="K20" s="17" t="s">
        <v>182</v>
      </c>
      <c r="L20" s="17">
        <v>17700</v>
      </c>
      <c r="M20" s="17">
        <f>ABS((D20*E20)-L20)</f>
        <v>300</v>
      </c>
      <c r="N20" s="10" t="str">
        <f>IF(COUNTIFS( $B$2:$B$666, B20, $C$2:$C$666, C20, $D$2:$D$666, D20, $E$2:$E$666, E20) &gt; 1, "Duplicate", "Unique")</f>
        <v>Unique</v>
      </c>
      <c r="P20" s="22"/>
    </row>
    <row r="21" spans="1:16" ht="27.65" customHeight="1" thickBot="1" x14ac:dyDescent="0.4">
      <c r="A21" s="6" t="s">
        <v>61</v>
      </c>
      <c r="B21" s="1" t="s">
        <v>18</v>
      </c>
      <c r="C21" s="1" t="s">
        <v>10</v>
      </c>
      <c r="D21" s="4">
        <v>5</v>
      </c>
      <c r="E21" s="4">
        <v>1614</v>
      </c>
      <c r="F21" s="4">
        <v>-5.5731005020000002E-2</v>
      </c>
      <c r="G21" s="2" t="s">
        <v>101</v>
      </c>
      <c r="H21" s="5">
        <v>1614.9</v>
      </c>
      <c r="I21" s="1" t="s">
        <v>8</v>
      </c>
      <c r="J21" s="57" t="s">
        <v>40</v>
      </c>
      <c r="K21" s="16"/>
      <c r="L21" s="16"/>
      <c r="M21" s="16"/>
      <c r="N21" t="str">
        <f>IF(COUNTIFS( $B$2:$B$666, B21, $C$2:$C$666, C21, $D$2:$D$666, D21, $E$2:$E$666, E21) &gt; 1, "Duplicate", "Unique")</f>
        <v>Unique</v>
      </c>
      <c r="O21"/>
      <c r="P21"/>
    </row>
    <row r="22" spans="1:16" ht="27.65" customHeight="1" thickBot="1" x14ac:dyDescent="0.4">
      <c r="A22" s="6" t="s">
        <v>61</v>
      </c>
      <c r="B22" s="1" t="s">
        <v>50</v>
      </c>
      <c r="C22" s="1" t="s">
        <v>10</v>
      </c>
      <c r="D22" s="4">
        <v>40</v>
      </c>
      <c r="E22" s="4">
        <v>862</v>
      </c>
      <c r="F22" s="4">
        <v>-0.46189376440000002</v>
      </c>
      <c r="G22" s="2" t="s">
        <v>51</v>
      </c>
      <c r="H22" s="5">
        <v>866</v>
      </c>
      <c r="I22" s="1" t="s">
        <v>8</v>
      </c>
      <c r="J22" s="33" t="s">
        <v>54</v>
      </c>
      <c r="K22" s="16"/>
      <c r="L22" s="16"/>
      <c r="M22" s="16"/>
      <c r="N22" t="str">
        <f>IF(COUNTIFS( $B$2:$B$666, B22, $C$2:$C$666, C22, $D$2:$D$666, D22, $E$2:$E$666, E22) &gt; 1, "Duplicate", "Unique")</f>
        <v>Unique</v>
      </c>
      <c r="O22"/>
      <c r="P22"/>
    </row>
    <row r="23" spans="1:16" ht="27.65" customHeight="1" thickBot="1" x14ac:dyDescent="0.4">
      <c r="A23" s="3">
        <v>46258.601388888892</v>
      </c>
      <c r="B23" s="1" t="s">
        <v>32</v>
      </c>
      <c r="C23" s="1" t="s">
        <v>10</v>
      </c>
      <c r="D23" s="4">
        <v>3</v>
      </c>
      <c r="E23" s="4">
        <v>2271</v>
      </c>
      <c r="F23" s="4">
        <v>-0.5256241787</v>
      </c>
      <c r="G23" s="2" t="s">
        <v>83</v>
      </c>
      <c r="H23" s="5">
        <v>2283</v>
      </c>
      <c r="I23" s="1" t="s">
        <v>8</v>
      </c>
      <c r="J23" s="21" t="s">
        <v>54</v>
      </c>
      <c r="K23" s="17" t="s">
        <v>157</v>
      </c>
      <c r="L23" s="17">
        <v>7113</v>
      </c>
      <c r="M23" s="17">
        <f>ABS((D23*E23)-L23)</f>
        <v>300</v>
      </c>
      <c r="N23" s="10" t="str">
        <f>IF(COUNTIFS( $B$2:$B$666, B23, $C$2:$C$666, C23, $D$2:$D$666, D23, $E$2:$E$666, E23) &gt; 1, "Duplicate", "Unique")</f>
        <v>Unique</v>
      </c>
      <c r="O23"/>
      <c r="P23"/>
    </row>
    <row r="24" spans="1:16" ht="27.65" customHeight="1" thickBot="1" x14ac:dyDescent="0.4">
      <c r="A24" s="46">
        <v>46304.388888888891</v>
      </c>
      <c r="B24" s="2" t="s">
        <v>46</v>
      </c>
      <c r="C24" s="2" t="s">
        <v>10</v>
      </c>
      <c r="D24" s="5">
        <v>9</v>
      </c>
      <c r="E24" s="5">
        <v>2105</v>
      </c>
      <c r="F24" s="4">
        <v>-0.94117647059999998</v>
      </c>
      <c r="G24" s="2" t="s">
        <v>47</v>
      </c>
      <c r="H24" s="5">
        <v>2125</v>
      </c>
      <c r="I24" s="1" t="s">
        <v>8</v>
      </c>
      <c r="J24" s="21" t="s">
        <v>54</v>
      </c>
      <c r="K24" s="17" t="s">
        <v>319</v>
      </c>
      <c r="L24" s="17">
        <v>19395</v>
      </c>
      <c r="M24" s="17">
        <f>ABS((D24*E24)-L24)</f>
        <v>450</v>
      </c>
      <c r="N24" t="str">
        <f>IF(COUNTIFS( $B$2:$B$666, B24, $C$2:$C$666, C24, $D$2:$D$666, D24, $E$2:$E$666, E24) &gt; 1, "Duplicate", "Unique")</f>
        <v>Unique</v>
      </c>
    </row>
    <row r="25" spans="1:16" ht="27.65" customHeight="1" thickBot="1" x14ac:dyDescent="0.4">
      <c r="A25" s="3">
        <v>46307.375578703701</v>
      </c>
      <c r="B25" s="1" t="s">
        <v>73</v>
      </c>
      <c r="C25" s="1" t="s">
        <v>10</v>
      </c>
      <c r="D25" s="4">
        <v>5</v>
      </c>
      <c r="E25" s="4">
        <v>3288</v>
      </c>
      <c r="F25" s="4">
        <v>-1.2671911600000001</v>
      </c>
      <c r="G25" s="2" t="s">
        <v>74</v>
      </c>
      <c r="H25" s="5">
        <v>3330.2</v>
      </c>
      <c r="I25" s="1" t="s">
        <v>8</v>
      </c>
      <c r="J25" s="55" t="s">
        <v>54</v>
      </c>
      <c r="K25" t="s">
        <v>324</v>
      </c>
      <c r="L25">
        <v>16740</v>
      </c>
      <c r="M25" s="17">
        <f>ABS((D25*E25)-L25)</f>
        <v>300</v>
      </c>
      <c r="N25" s="10" t="str">
        <f>IF(COUNTIFS( $B$2:$B$666, B25, $C$2:$C$666, C25, $D$2:$D$666, D25, $E$2:$E$666, E25) &gt; 1, "Duplicate", "Unique")</f>
        <v>Unique</v>
      </c>
    </row>
    <row r="26" spans="1:16" ht="27.65" customHeight="1" thickBot="1" x14ac:dyDescent="0.4">
      <c r="A26" s="6" t="s">
        <v>61</v>
      </c>
      <c r="B26" s="1" t="s">
        <v>19</v>
      </c>
      <c r="C26" s="1" t="s">
        <v>10</v>
      </c>
      <c r="D26" s="4">
        <v>50</v>
      </c>
      <c r="E26" s="4">
        <v>206</v>
      </c>
      <c r="F26" s="4">
        <v>-1.2937230470000001</v>
      </c>
      <c r="G26" s="2" t="s">
        <v>39</v>
      </c>
      <c r="H26" s="5">
        <v>208.7</v>
      </c>
      <c r="I26" s="1" t="s">
        <v>8</v>
      </c>
      <c r="J26" s="33" t="s">
        <v>40</v>
      </c>
      <c r="K26" s="16"/>
      <c r="L26" s="16"/>
      <c r="M26" s="16"/>
      <c r="N26" t="str">
        <f>IF(COUNTIFS( $B$2:$B$666, B26, $C$2:$C$666, C26, $D$2:$D$666, D26, $E$2:$E$666, E26) &gt; 1, "Duplicate", "Unique")</f>
        <v>Unique</v>
      </c>
      <c r="O26"/>
      <c r="P26"/>
    </row>
    <row r="27" spans="1:16" ht="27.65" customHeight="1" thickBot="1" x14ac:dyDescent="0.4">
      <c r="A27" s="3">
        <v>46286.375</v>
      </c>
      <c r="B27" s="1" t="s">
        <v>42</v>
      </c>
      <c r="C27" s="1" t="s">
        <v>10</v>
      </c>
      <c r="D27" s="4">
        <v>5</v>
      </c>
      <c r="E27" s="4">
        <v>702</v>
      </c>
      <c r="F27" s="4">
        <v>-1.3352073090000001</v>
      </c>
      <c r="G27" s="2" t="s">
        <v>43</v>
      </c>
      <c r="H27" s="5">
        <v>711.5</v>
      </c>
      <c r="I27" s="1" t="s">
        <v>8</v>
      </c>
      <c r="J27" s="21" t="s">
        <v>40</v>
      </c>
      <c r="K27" s="17" t="s">
        <v>283</v>
      </c>
      <c r="L27" s="17">
        <f>7470/2</f>
        <v>3735</v>
      </c>
      <c r="M27" s="17">
        <f>ABS((D27*E27)-L27)</f>
        <v>225</v>
      </c>
      <c r="N27" s="10" t="str">
        <f>IF(COUNTIFS( $B$2:$B$666, B27, $C$2:$C$666, C27, $D$2:$D$666, D27, $E$2:$E$666, E27) &gt; 1, "Duplicate", "Unique")</f>
        <v>Unique</v>
      </c>
    </row>
    <row r="28" spans="1:16" s="22" customFormat="1" ht="27.65" customHeight="1" thickBot="1" x14ac:dyDescent="0.4">
      <c r="A28" s="6" t="s">
        <v>61</v>
      </c>
      <c r="B28" s="1" t="s">
        <v>20</v>
      </c>
      <c r="C28" s="1" t="s">
        <v>10</v>
      </c>
      <c r="D28" s="4">
        <v>50</v>
      </c>
      <c r="E28" s="4">
        <v>119</v>
      </c>
      <c r="F28" s="4">
        <v>-1.9122980549999999</v>
      </c>
      <c r="G28" s="2" t="s">
        <v>85</v>
      </c>
      <c r="H28" s="5">
        <v>121.32</v>
      </c>
      <c r="I28" s="1" t="s">
        <v>8</v>
      </c>
      <c r="J28" s="33"/>
      <c r="K28" s="16"/>
      <c r="L28" s="16"/>
      <c r="M28" s="16"/>
      <c r="N28" t="str">
        <f>IF(COUNTIFS( $B$2:$B$666, B28, $C$2:$C$666, C28, $D$2:$D$666, D28, $E$2:$E$666, E28) &gt; 1, "Duplicate", "Unique")</f>
        <v>Unique</v>
      </c>
      <c r="O28"/>
      <c r="P28" s="10"/>
    </row>
    <row r="29" spans="1:16" ht="27.65" customHeight="1" thickBot="1" x14ac:dyDescent="0.4">
      <c r="A29" s="3">
        <v>46252.635416666664</v>
      </c>
      <c r="B29" s="1" t="s">
        <v>31</v>
      </c>
      <c r="C29" s="1" t="s">
        <v>10</v>
      </c>
      <c r="D29" s="4">
        <v>50</v>
      </c>
      <c r="E29" s="4">
        <v>850</v>
      </c>
      <c r="F29" s="4">
        <v>-2.0172910659999999</v>
      </c>
      <c r="G29" s="2" t="s">
        <v>84</v>
      </c>
      <c r="H29" s="5">
        <v>867.5</v>
      </c>
      <c r="I29" s="1" t="s">
        <v>8</v>
      </c>
      <c r="J29" s="34" t="s">
        <v>54</v>
      </c>
      <c r="K29" s="16"/>
      <c r="L29" s="16"/>
      <c r="M29" s="16"/>
      <c r="N29" t="str">
        <f>IF(COUNTIFS( $B$2:$B$666, B29, $C$2:$C$666, C29, $D$2:$D$666, D29, $E$2:$E$666, E29) &gt; 1, "Duplicate", "Unique")</f>
        <v>Unique</v>
      </c>
      <c r="P29"/>
    </row>
    <row r="30" spans="1:16" ht="27.65" customHeight="1" thickBot="1" x14ac:dyDescent="0.4">
      <c r="A30" s="3">
        <v>46254.375</v>
      </c>
      <c r="B30" s="1" t="s">
        <v>32</v>
      </c>
      <c r="C30" s="1" t="s">
        <v>10</v>
      </c>
      <c r="D30" s="4">
        <v>7</v>
      </c>
      <c r="E30" s="4">
        <v>2230</v>
      </c>
      <c r="F30" s="4">
        <v>-2.3215067889999998</v>
      </c>
      <c r="G30" s="2" t="s">
        <v>83</v>
      </c>
      <c r="H30" s="5">
        <v>2283</v>
      </c>
      <c r="I30" s="1" t="s">
        <v>8</v>
      </c>
      <c r="J30" s="47" t="s">
        <v>54</v>
      </c>
      <c r="K30" s="16" t="s">
        <v>146</v>
      </c>
      <c r="L30" s="16"/>
      <c r="M30" s="16"/>
      <c r="N30" s="10" t="str">
        <f>IF(COUNTIFS( $B$2:$B$666, B30, $C$2:$C$666, C30, $D$2:$D$666, D30, $E$2:$E$666, E30) &gt; 1, "Duplicate", "Unique")</f>
        <v>Unique</v>
      </c>
      <c r="O30"/>
      <c r="P30"/>
    </row>
    <row r="31" spans="1:16" ht="27.65" customHeight="1" thickBot="1" x14ac:dyDescent="0.4">
      <c r="A31" s="3">
        <v>46252.6875</v>
      </c>
      <c r="B31" s="1" t="s">
        <v>17</v>
      </c>
      <c r="C31" s="1" t="s">
        <v>10</v>
      </c>
      <c r="D31" s="4">
        <v>25</v>
      </c>
      <c r="E31" s="4">
        <v>326</v>
      </c>
      <c r="F31" s="4">
        <v>-2.395209581</v>
      </c>
      <c r="G31" s="2" t="s">
        <v>76</v>
      </c>
      <c r="H31" s="5">
        <v>334</v>
      </c>
      <c r="I31" s="1" t="s">
        <v>8</v>
      </c>
      <c r="J31" s="33" t="s">
        <v>40</v>
      </c>
      <c r="K31" s="16"/>
      <c r="L31" s="16"/>
      <c r="M31" s="16"/>
      <c r="N31" t="str">
        <f>IF(COUNTIFS( $B$2:$B$666, B31, $C$2:$C$666, C31, $D$2:$D$666, D31, $E$2:$E$666, E31) &gt; 1, "Duplicate", "Unique")</f>
        <v>Unique</v>
      </c>
      <c r="O31"/>
      <c r="P31"/>
    </row>
    <row r="32" spans="1:16" s="88" customFormat="1" ht="14.4" customHeight="1" thickBot="1" x14ac:dyDescent="0.4">
      <c r="A32" s="80">
        <v>46304.375</v>
      </c>
      <c r="B32" s="81" t="s">
        <v>50</v>
      </c>
      <c r="C32" s="81" t="s">
        <v>10</v>
      </c>
      <c r="D32" s="82">
        <v>10</v>
      </c>
      <c r="E32" s="82">
        <v>852</v>
      </c>
      <c r="F32" s="83">
        <v>-2.771362587</v>
      </c>
      <c r="G32" s="81" t="s">
        <v>51</v>
      </c>
      <c r="H32" s="82">
        <v>866</v>
      </c>
      <c r="I32" s="84" t="s">
        <v>8</v>
      </c>
      <c r="J32" s="85" t="s">
        <v>54</v>
      </c>
      <c r="K32" s="86" t="s">
        <v>321</v>
      </c>
      <c r="L32" s="86">
        <v>8570</v>
      </c>
      <c r="M32" s="86">
        <f>ABS((D32*E32)-L32)</f>
        <v>50</v>
      </c>
      <c r="N32" s="87" t="str">
        <f>IF(COUNTIFS( $B$2:$B$666, B32, $C$2:$C$666, C32, $D$2:$D$666, D32, $E$2:$E$666, E32) &gt; 1, "Duplicate", "Unique")</f>
        <v>Duplicate</v>
      </c>
    </row>
    <row r="33" spans="1:16" s="88" customFormat="1" ht="14.4" customHeight="1" thickBot="1" x14ac:dyDescent="0.4">
      <c r="A33" s="89">
        <v>46307.375590277778</v>
      </c>
      <c r="B33" s="84" t="s">
        <v>50</v>
      </c>
      <c r="C33" s="84" t="s">
        <v>10</v>
      </c>
      <c r="D33" s="83">
        <v>10</v>
      </c>
      <c r="E33" s="83">
        <v>852</v>
      </c>
      <c r="F33" s="83">
        <v>-2.771362587</v>
      </c>
      <c r="G33" s="81" t="s">
        <v>51</v>
      </c>
      <c r="H33" s="82">
        <v>866</v>
      </c>
      <c r="I33" s="84" t="s">
        <v>8</v>
      </c>
      <c r="J33" s="90" t="s">
        <v>54</v>
      </c>
      <c r="K33" s="87" t="s">
        <v>323</v>
      </c>
      <c r="L33" s="87">
        <v>8670</v>
      </c>
      <c r="M33" s="86">
        <f>ABS((D33*E33)-L33)</f>
        <v>150</v>
      </c>
      <c r="N33" s="88" t="str">
        <f>IF(COUNTIFS( $B$2:$B$666, B33, $C$2:$C$666, C33, $D$2:$D$666, D33, $E$2:$E$666, E33) &gt; 1, "Duplicate", "Unique")</f>
        <v>Duplicate</v>
      </c>
    </row>
    <row r="34" spans="1:16" s="77" customFormat="1" ht="14.4" customHeight="1" thickBot="1" x14ac:dyDescent="0.4">
      <c r="A34" s="46">
        <v>46304.387499999997</v>
      </c>
      <c r="B34" s="2" t="s">
        <v>25</v>
      </c>
      <c r="C34" s="2" t="s">
        <v>10</v>
      </c>
      <c r="D34" s="5">
        <v>500</v>
      </c>
      <c r="E34" s="5">
        <v>30.3</v>
      </c>
      <c r="F34" s="4">
        <v>-3.6259541980000001</v>
      </c>
      <c r="G34" s="2" t="s">
        <v>45</v>
      </c>
      <c r="H34" s="5">
        <v>31.44</v>
      </c>
      <c r="I34" s="1" t="s">
        <v>8</v>
      </c>
      <c r="J34" s="78" t="s">
        <v>54</v>
      </c>
      <c r="K34" s="76" t="s">
        <v>315</v>
      </c>
      <c r="L34" s="76">
        <v>15850</v>
      </c>
      <c r="M34" s="76">
        <f>ABS((D34*E34)-L34)</f>
        <v>700</v>
      </c>
      <c r="N34" s="79" t="str">
        <f>IF(COUNTIFS( $B$2:$B$666, B34, $C$2:$C$666, C34, $D$2:$D$666, D34, $E$2:$E$666, E34) &gt; 1, "Duplicate", "Unique")</f>
        <v>Unique</v>
      </c>
    </row>
    <row r="35" spans="1:16" s="22" customFormat="1" ht="14.4" customHeight="1" thickBot="1" x14ac:dyDescent="0.4">
      <c r="A35" s="6" t="s">
        <v>61</v>
      </c>
      <c r="B35" s="1" t="s">
        <v>31</v>
      </c>
      <c r="C35" s="1" t="s">
        <v>10</v>
      </c>
      <c r="D35" s="4">
        <v>25</v>
      </c>
      <c r="E35" s="4">
        <v>836</v>
      </c>
      <c r="F35" s="4">
        <v>-3.6311239190000002</v>
      </c>
      <c r="G35" s="2" t="s">
        <v>84</v>
      </c>
      <c r="H35" s="5">
        <v>867.5</v>
      </c>
      <c r="I35" s="1" t="s">
        <v>8</v>
      </c>
      <c r="J35" s="33" t="s">
        <v>40</v>
      </c>
      <c r="K35" s="16"/>
      <c r="L35" s="16"/>
      <c r="M35" s="16"/>
      <c r="N35" t="str">
        <f>IF(COUNTIFS( $B$2:$B$666, B35, $C$2:$C$666, C35, $D$2:$D$666, D35, $E$2:$E$666, E35) &gt; 1, "Duplicate", "Unique")</f>
        <v>Unique</v>
      </c>
      <c r="O35"/>
      <c r="P35"/>
    </row>
    <row r="36" spans="1:16" s="27" customFormat="1" ht="14.4" customHeight="1" thickBot="1" x14ac:dyDescent="0.4">
      <c r="A36" s="46">
        <v>46301.393055555556</v>
      </c>
      <c r="B36" s="2" t="s">
        <v>33</v>
      </c>
      <c r="C36" s="2" t="s">
        <v>10</v>
      </c>
      <c r="D36" s="5">
        <v>1</v>
      </c>
      <c r="E36" s="5">
        <v>19550</v>
      </c>
      <c r="F36" s="4">
        <v>-3.8556112910000002</v>
      </c>
      <c r="G36" s="2" t="s">
        <v>70</v>
      </c>
      <c r="H36" s="5">
        <v>20334</v>
      </c>
      <c r="I36" s="1" t="s">
        <v>8</v>
      </c>
      <c r="J36" s="21" t="s">
        <v>40</v>
      </c>
      <c r="K36" s="17" t="s">
        <v>306</v>
      </c>
      <c r="L36" s="17">
        <v>20020</v>
      </c>
      <c r="M36" s="17">
        <f>ABS((D36*E36)-L36)</f>
        <v>470</v>
      </c>
      <c r="N36" s="10" t="str">
        <f>IF(COUNTIFS( $B$2:$B$666, B36, $C$2:$C$666, C36, $D$2:$D$666, D36, $E$2:$E$666, E36) &gt; 1, "Duplicate", "Unique")</f>
        <v>Unique</v>
      </c>
      <c r="O36" s="10"/>
      <c r="P36" s="10"/>
    </row>
    <row r="37" spans="1:16" s="77" customFormat="1" ht="26.5" thickBot="1" x14ac:dyDescent="0.4">
      <c r="A37" s="46">
        <v>46304.375</v>
      </c>
      <c r="B37" s="2" t="s">
        <v>13</v>
      </c>
      <c r="C37" s="2" t="s">
        <v>10</v>
      </c>
      <c r="D37" s="5">
        <v>10</v>
      </c>
      <c r="E37" s="5">
        <v>1708.7</v>
      </c>
      <c r="F37" s="4">
        <v>-3.951658235</v>
      </c>
      <c r="G37" s="2" t="s">
        <v>90</v>
      </c>
      <c r="H37" s="5">
        <v>1779</v>
      </c>
      <c r="I37" s="1" t="s">
        <v>8</v>
      </c>
      <c r="J37" s="78" t="s">
        <v>54</v>
      </c>
      <c r="K37" s="76" t="s">
        <v>320</v>
      </c>
      <c r="L37" s="76">
        <v>17487</v>
      </c>
      <c r="M37" s="76">
        <f>ABS((D37*E37)-L37)</f>
        <v>400</v>
      </c>
      <c r="N37" s="79" t="str">
        <f>IF(COUNTIFS( $B$2:$B$666, B37, $C$2:$C$666, C37, $D$2:$D$666, D37, $E$2:$E$666, E37) &gt; 1, "Duplicate", "Unique")</f>
        <v>Unique</v>
      </c>
    </row>
    <row r="38" spans="1:16" ht="14.4" customHeight="1" thickBot="1" x14ac:dyDescent="0.4">
      <c r="A38" s="3">
        <v>46031.4375</v>
      </c>
      <c r="B38" s="1" t="s">
        <v>206</v>
      </c>
      <c r="C38" s="1" t="s">
        <v>10</v>
      </c>
      <c r="D38" s="4">
        <v>3</v>
      </c>
      <c r="E38" s="4">
        <v>1052</v>
      </c>
      <c r="F38" s="4">
        <v>-4.1894353369999999</v>
      </c>
      <c r="G38" s="2" t="s">
        <v>217</v>
      </c>
      <c r="H38" s="5">
        <v>1098</v>
      </c>
      <c r="I38" s="1" t="s">
        <v>8</v>
      </c>
      <c r="J38" s="21" t="s">
        <v>40</v>
      </c>
      <c r="M38" s="17">
        <f>ABS((D38*E38)-L38)</f>
        <v>3156</v>
      </c>
      <c r="N38" s="10" t="str">
        <f>IF(COUNTIFS( $B$2:$B$666, B38, $C$2:$C$666, C38, $D$2:$D$666, D38, $E$2:$E$666, E38) &gt; 1, "Duplicate", "Unique")</f>
        <v>Unique</v>
      </c>
      <c r="P38" s="18"/>
    </row>
    <row r="39" spans="1:16" ht="14.4" customHeight="1" thickBot="1" x14ac:dyDescent="0.4">
      <c r="A39" s="6" t="s">
        <v>61</v>
      </c>
      <c r="B39" s="1" t="s">
        <v>108</v>
      </c>
      <c r="C39" s="1" t="s">
        <v>10</v>
      </c>
      <c r="D39" s="4">
        <v>1</v>
      </c>
      <c r="E39" s="4">
        <v>4560</v>
      </c>
      <c r="F39" s="4">
        <v>-4.2016806720000002</v>
      </c>
      <c r="G39" s="2" t="s">
        <v>109</v>
      </c>
      <c r="H39" s="5">
        <v>4760</v>
      </c>
      <c r="I39" s="1" t="s">
        <v>8</v>
      </c>
      <c r="J39" s="33"/>
      <c r="K39" s="16"/>
      <c r="L39" s="16"/>
      <c r="M39" s="16"/>
      <c r="N39" t="str">
        <f>IF(COUNTIFS( $B$2:$B$666, B39, $C$2:$C$666, C39, $D$2:$D$666, D39, $E$2:$E$666, E39) &gt; 1, "Duplicate", "Unique")</f>
        <v>Unique</v>
      </c>
      <c r="O39"/>
      <c r="P39"/>
    </row>
    <row r="40" spans="1:16" customFormat="1" ht="39" thickBot="1" x14ac:dyDescent="0.4">
      <c r="A40" s="6" t="s">
        <v>61</v>
      </c>
      <c r="B40" s="1" t="s">
        <v>20</v>
      </c>
      <c r="C40" s="1" t="s">
        <v>10</v>
      </c>
      <c r="D40" s="4">
        <v>50</v>
      </c>
      <c r="E40" s="4">
        <v>116</v>
      </c>
      <c r="F40" s="4">
        <v>-4.3850972629999996</v>
      </c>
      <c r="G40" s="2" t="s">
        <v>85</v>
      </c>
      <c r="H40" s="5">
        <v>121.32</v>
      </c>
      <c r="I40" s="1" t="s">
        <v>8</v>
      </c>
      <c r="J40" s="48"/>
      <c r="K40" s="16"/>
      <c r="L40" s="16"/>
      <c r="M40" s="16"/>
      <c r="N40" t="str">
        <f>IF(COUNTIFS( $B$2:$B$666, B40, $C$2:$C$666, C40, $D$2:$D$666, D40, $E$2:$E$666, E40) &gt; 1, "Duplicate", "Unique")</f>
        <v>Unique</v>
      </c>
    </row>
    <row r="41" spans="1:16" s="63" customFormat="1" ht="39" thickBot="1" x14ac:dyDescent="0.4">
      <c r="A41" s="58">
        <v>46307.375578703701</v>
      </c>
      <c r="B41" s="59" t="s">
        <v>12</v>
      </c>
      <c r="C41" s="59" t="s">
        <v>10</v>
      </c>
      <c r="D41" s="60">
        <v>3</v>
      </c>
      <c r="E41" s="60">
        <v>4770</v>
      </c>
      <c r="F41" s="60">
        <v>-4.6190761849999999</v>
      </c>
      <c r="G41" s="61" t="s">
        <v>97</v>
      </c>
      <c r="H41" s="62">
        <v>5001</v>
      </c>
      <c r="I41" s="59" t="s">
        <v>8</v>
      </c>
      <c r="J41" s="63" t="s">
        <v>54</v>
      </c>
      <c r="K41" s="63" t="s">
        <v>326</v>
      </c>
      <c r="L41" s="63">
        <v>14970</v>
      </c>
      <c r="M41" s="64">
        <f>ABS((D41*E41)-L41)</f>
        <v>660</v>
      </c>
      <c r="N41" s="23" t="str">
        <f>IF(COUNTIFS( $B$2:$B$666, B41, $C$2:$C$666, C41, $D$2:$D$666, D41, $E$2:$E$666, E41) &gt; 1, "Duplicate", "Unique")</f>
        <v>Unique</v>
      </c>
      <c r="O41" s="23"/>
      <c r="P41" s="23"/>
    </row>
    <row r="42" spans="1:16" customFormat="1" ht="39" thickBot="1" x14ac:dyDescent="0.4">
      <c r="A42" s="6" t="s">
        <v>61</v>
      </c>
      <c r="B42" s="1" t="s">
        <v>20</v>
      </c>
      <c r="C42" s="1" t="s">
        <v>10</v>
      </c>
      <c r="D42" s="4">
        <v>200</v>
      </c>
      <c r="E42" s="4">
        <v>115.25</v>
      </c>
      <c r="F42" s="4">
        <v>-5.003297066</v>
      </c>
      <c r="G42" s="2" t="s">
        <v>85</v>
      </c>
      <c r="H42" s="5">
        <v>121.32</v>
      </c>
      <c r="I42" s="1" t="s">
        <v>8</v>
      </c>
      <c r="J42" s="48"/>
      <c r="K42" s="16"/>
      <c r="L42" s="16"/>
      <c r="M42" s="16"/>
      <c r="N42" t="str">
        <f>IF(COUNTIFS( $B$2:$B$666, B42, $C$2:$C$666, C42, $D$2:$D$666, D42, $E$2:$E$666, E42) &gt; 1, "Duplicate", "Unique")</f>
        <v>Unique</v>
      </c>
    </row>
    <row r="43" spans="1:16" customFormat="1" ht="26.5" thickBot="1" x14ac:dyDescent="0.4">
      <c r="A43" s="6" t="s">
        <v>61</v>
      </c>
      <c r="B43" s="1" t="s">
        <v>108</v>
      </c>
      <c r="C43" s="1" t="s">
        <v>10</v>
      </c>
      <c r="D43" s="4">
        <v>2</v>
      </c>
      <c r="E43" s="4">
        <v>4456</v>
      </c>
      <c r="F43" s="4">
        <v>-6.3865546220000002</v>
      </c>
      <c r="G43" s="2" t="s">
        <v>109</v>
      </c>
      <c r="H43" s="5">
        <v>4760</v>
      </c>
      <c r="I43" s="1" t="s">
        <v>8</v>
      </c>
      <c r="J43" s="48"/>
      <c r="K43" s="16"/>
      <c r="L43" s="16"/>
      <c r="M43" s="16"/>
      <c r="N43" t="str">
        <f>IF(COUNTIFS( $B$2:$B$666, B43, $C$2:$C$666, C43, $D$2:$D$666, D43, $E$2:$E$666, E43) &gt; 1, "Duplicate", "Unique")</f>
        <v>Unique</v>
      </c>
    </row>
    <row r="44" spans="1:16" customFormat="1" ht="26.5" thickBot="1" x14ac:dyDescent="0.4">
      <c r="A44" s="46">
        <v>46301.375694444447</v>
      </c>
      <c r="B44" s="2" t="s">
        <v>13</v>
      </c>
      <c r="C44" s="2" t="s">
        <v>10</v>
      </c>
      <c r="D44" s="5">
        <v>5</v>
      </c>
      <c r="E44" s="5">
        <v>1664</v>
      </c>
      <c r="F44" s="4">
        <v>-6.4643057900000001</v>
      </c>
      <c r="G44" s="2" t="s">
        <v>90</v>
      </c>
      <c r="H44" s="5">
        <v>1779</v>
      </c>
      <c r="I44" s="1" t="s">
        <v>8</v>
      </c>
      <c r="J44" s="17" t="s">
        <v>40</v>
      </c>
      <c r="K44" s="17" t="s">
        <v>305</v>
      </c>
      <c r="L44" s="17">
        <f>5*1752</f>
        <v>8760</v>
      </c>
      <c r="M44" s="17">
        <f>ABS((D44*E44)-L44)</f>
        <v>440</v>
      </c>
      <c r="N44" s="10" t="str">
        <f>IF(COUNTIFS( $B$2:$B$666, B44, $C$2:$C$666, C44, $D$2:$D$666, D44, $E$2:$E$666, E44) &gt; 1, "Duplicate", "Unique")</f>
        <v>Unique</v>
      </c>
      <c r="O44" s="10"/>
      <c r="P44" s="10"/>
    </row>
    <row r="45" spans="1:16" s="27" customFormat="1" ht="26.5" thickBot="1" x14ac:dyDescent="0.4">
      <c r="A45" s="3">
        <v>46302.468055555553</v>
      </c>
      <c r="B45" s="1" t="s">
        <v>73</v>
      </c>
      <c r="C45" s="1" t="s">
        <v>10</v>
      </c>
      <c r="D45" s="4">
        <v>2</v>
      </c>
      <c r="E45" s="4">
        <v>3110</v>
      </c>
      <c r="F45" s="4">
        <v>-6.6122154829999999</v>
      </c>
      <c r="G45" s="2" t="s">
        <v>74</v>
      </c>
      <c r="H45" s="5">
        <v>3330.2</v>
      </c>
      <c r="I45" s="1" t="s">
        <v>8</v>
      </c>
      <c r="J45" s="17" t="s">
        <v>40</v>
      </c>
      <c r="K45" s="17" t="s">
        <v>307</v>
      </c>
      <c r="L45" s="17">
        <f>2*3334</f>
        <v>6668</v>
      </c>
      <c r="M45" s="17">
        <f>ABS((D45*E45)-L45)</f>
        <v>448</v>
      </c>
      <c r="N45" s="10" t="str">
        <f>IF(COUNTIFS( $B$2:$B$666, B45, $C$2:$C$666, C45, $D$2:$D$666, D45, $E$2:$E$666, E45) &gt; 1, "Duplicate", "Unique")</f>
        <v>Unique</v>
      </c>
      <c r="O45" s="10"/>
      <c r="P45" s="10"/>
    </row>
    <row r="46" spans="1:16" ht="26.5" thickBot="1" x14ac:dyDescent="0.4">
      <c r="A46" s="6" t="s">
        <v>61</v>
      </c>
      <c r="B46" s="1" t="s">
        <v>108</v>
      </c>
      <c r="C46" s="1" t="s">
        <v>10</v>
      </c>
      <c r="D46" s="4">
        <v>15</v>
      </c>
      <c r="E46" s="4">
        <v>4415</v>
      </c>
      <c r="F46" s="4">
        <v>-7.2478991600000002</v>
      </c>
      <c r="G46" s="2" t="s">
        <v>109</v>
      </c>
      <c r="H46" s="5">
        <v>4760</v>
      </c>
      <c r="I46" s="1" t="s">
        <v>8</v>
      </c>
      <c r="J46" s="48"/>
      <c r="K46" s="16"/>
      <c r="L46" s="16"/>
      <c r="M46" s="16"/>
      <c r="N46" t="str">
        <f>IF(COUNTIFS( $B$2:$B$666, B46, $C$2:$C$666, C46, $D$2:$D$666, D46, $E$2:$E$666, E46) &gt; 1, "Duplicate", "Unique")</f>
        <v>Unique</v>
      </c>
      <c r="O46"/>
      <c r="P46"/>
    </row>
    <row r="47" spans="1:16" s="73" customFormat="1" ht="39" thickBot="1" x14ac:dyDescent="0.4">
      <c r="A47" s="72">
        <v>46307.375578703701</v>
      </c>
      <c r="B47" s="68" t="s">
        <v>12</v>
      </c>
      <c r="C47" s="68" t="s">
        <v>10</v>
      </c>
      <c r="D47" s="67">
        <v>3</v>
      </c>
      <c r="E47" s="67">
        <v>4628</v>
      </c>
      <c r="F47" s="67">
        <v>-7.4585082979999999</v>
      </c>
      <c r="G47" s="65" t="s">
        <v>97</v>
      </c>
      <c r="H47" s="66">
        <v>5001</v>
      </c>
      <c r="I47" s="68" t="s">
        <v>8</v>
      </c>
      <c r="J47" s="70" t="s">
        <v>54</v>
      </c>
      <c r="K47" s="70" t="s">
        <v>327</v>
      </c>
      <c r="L47" s="70">
        <v>14544</v>
      </c>
      <c r="M47" s="69">
        <f>ABS((D47*E47)-L47)</f>
        <v>660</v>
      </c>
      <c r="N47" s="71" t="str">
        <f>IF(COUNTIFS( $B$2:$B$666, B47, $C$2:$C$666, C47, $D$2:$D$666, D47, $E$2:$E$666, E47) &gt; 1, "Duplicate", "Unique")</f>
        <v>Unique</v>
      </c>
      <c r="O47" s="71"/>
      <c r="P47" s="71"/>
    </row>
    <row r="48" spans="1:16" ht="26.5" thickBot="1" x14ac:dyDescent="0.4">
      <c r="A48" s="3">
        <v>46307.375578703701</v>
      </c>
      <c r="B48" s="1" t="s">
        <v>280</v>
      </c>
      <c r="C48" s="1" t="s">
        <v>10</v>
      </c>
      <c r="D48" s="4">
        <v>2</v>
      </c>
      <c r="E48" s="4">
        <v>1448</v>
      </c>
      <c r="F48" s="4">
        <v>-7.9524505750000003</v>
      </c>
      <c r="G48" s="2" t="s">
        <v>282</v>
      </c>
      <c r="H48" s="5">
        <v>1573.1</v>
      </c>
      <c r="I48" s="1" t="s">
        <v>8</v>
      </c>
      <c r="J48" s="17" t="s">
        <v>40</v>
      </c>
      <c r="K48" t="s">
        <v>325</v>
      </c>
      <c r="L48">
        <v>3146</v>
      </c>
      <c r="M48" s="17">
        <f>ABS((D48*E48)-L48)</f>
        <v>250</v>
      </c>
      <c r="N48" s="10" t="str">
        <f>IF(COUNTIFS( $B$2:$B$666, B48, $C$2:$C$666, C48, $D$2:$D$666, D48, $E$2:$E$666, E48) &gt; 1, "Duplicate", "Unique")</f>
        <v>Unique</v>
      </c>
    </row>
    <row r="49" spans="1:16" ht="39" thickBot="1" x14ac:dyDescent="0.4">
      <c r="A49" s="6" t="s">
        <v>61</v>
      </c>
      <c r="B49" s="1" t="s">
        <v>20</v>
      </c>
      <c r="C49" s="1" t="s">
        <v>10</v>
      </c>
      <c r="D49" s="4">
        <v>100</v>
      </c>
      <c r="E49" s="4">
        <v>111</v>
      </c>
      <c r="F49" s="4">
        <v>-8.5064292780000006</v>
      </c>
      <c r="G49" s="2" t="s">
        <v>85</v>
      </c>
      <c r="H49" s="5">
        <v>121.32</v>
      </c>
      <c r="I49" s="1" t="s">
        <v>8</v>
      </c>
      <c r="J49" s="48"/>
      <c r="K49" s="16"/>
      <c r="L49" s="16"/>
      <c r="M49" s="16"/>
      <c r="N49" t="str">
        <f>IF(COUNTIFS( $B$2:$B$666, B49, $C$2:$C$666, C49, $D$2:$D$666, D49, $E$2:$E$666, E49) &gt; 1, "Duplicate", "Unique")</f>
        <v>Unique</v>
      </c>
      <c r="O49"/>
      <c r="P49"/>
    </row>
    <row r="50" spans="1:16" ht="27.65" customHeight="1" thickBot="1" x14ac:dyDescent="0.4">
      <c r="A50" s="6" t="s">
        <v>61</v>
      </c>
      <c r="B50" s="1" t="s">
        <v>33</v>
      </c>
      <c r="C50" s="1" t="s">
        <v>10</v>
      </c>
      <c r="D50" s="4">
        <v>1</v>
      </c>
      <c r="E50" s="4">
        <v>18552</v>
      </c>
      <c r="F50" s="4">
        <v>-8.7636470939999995</v>
      </c>
      <c r="G50" s="2" t="s">
        <v>70</v>
      </c>
      <c r="H50" s="5">
        <v>20334</v>
      </c>
      <c r="I50" s="1" t="s">
        <v>8</v>
      </c>
      <c r="J50" s="48"/>
      <c r="K50" s="16"/>
      <c r="L50" s="16"/>
      <c r="M50" s="16"/>
      <c r="N50" t="str">
        <f>IF(COUNTIFS( $B$2:$B$666, B50, $C$2:$C$666, C50, $D$2:$D$666, D50, $E$2:$E$666, E50) &gt; 1, "Duplicate", "Unique")</f>
        <v>Unique</v>
      </c>
      <c r="O50"/>
      <c r="P50"/>
    </row>
    <row r="51" spans="1:16" ht="26.5" thickBot="1" x14ac:dyDescent="0.4">
      <c r="A51" s="3">
        <v>46121.375</v>
      </c>
      <c r="B51" s="1" t="s">
        <v>13</v>
      </c>
      <c r="C51" s="1" t="s">
        <v>10</v>
      </c>
      <c r="D51" s="4">
        <v>3</v>
      </c>
      <c r="E51" s="4">
        <v>1614</v>
      </c>
      <c r="F51" s="4">
        <v>-9.2748735240000002</v>
      </c>
      <c r="G51" s="2" t="s">
        <v>90</v>
      </c>
      <c r="H51" s="5">
        <v>1779</v>
      </c>
      <c r="I51" s="1" t="s">
        <v>8</v>
      </c>
      <c r="J51" s="17" t="s">
        <v>40</v>
      </c>
      <c r="K51" s="17" t="s">
        <v>236</v>
      </c>
      <c r="L51" s="17">
        <f>3*1794</f>
        <v>5382</v>
      </c>
      <c r="M51" s="17">
        <f>ABS((D51*E51)-L51)</f>
        <v>540</v>
      </c>
      <c r="N51" s="10" t="str">
        <f>IF(COUNTIFS( $B$2:$B$666, B51, $C$2:$C$666, C51, $D$2:$D$666, D51, $E$2:$E$666, E51) &gt; 1, "Duplicate", "Unique")</f>
        <v>Unique</v>
      </c>
      <c r="O51"/>
      <c r="P51"/>
    </row>
    <row r="52" spans="1:16" s="27" customFormat="1" ht="39" thickBot="1" x14ac:dyDescent="0.4">
      <c r="A52" s="46">
        <v>46300.375694444447</v>
      </c>
      <c r="B52" s="2" t="s">
        <v>12</v>
      </c>
      <c r="C52" s="2" t="s">
        <v>10</v>
      </c>
      <c r="D52" s="5">
        <v>1</v>
      </c>
      <c r="E52" s="5">
        <v>4510</v>
      </c>
      <c r="F52" s="4">
        <v>-9.8180363929999999</v>
      </c>
      <c r="G52" s="2" t="s">
        <v>97</v>
      </c>
      <c r="H52" s="5">
        <v>5001</v>
      </c>
      <c r="I52" s="1" t="s">
        <v>8</v>
      </c>
      <c r="J52" s="17" t="s">
        <v>117</v>
      </c>
      <c r="K52" s="17" t="s">
        <v>303</v>
      </c>
      <c r="L52" s="17">
        <v>4763</v>
      </c>
      <c r="M52" s="17">
        <f>ABS((D52*E52)-L52)</f>
        <v>253</v>
      </c>
      <c r="N52" s="10" t="str">
        <f>IF(COUNTIFS( $B$2:$B$666, B52, $C$2:$C$666, C52, $D$2:$D$666, D52, $E$2:$E$666, E52) &gt; 1, "Duplicate", "Unique")</f>
        <v>Unique</v>
      </c>
      <c r="O52" s="10"/>
      <c r="P52" s="10"/>
    </row>
    <row r="53" spans="1:16" s="27" customFormat="1" ht="39" thickBot="1" x14ac:dyDescent="0.4">
      <c r="A53" s="6" t="s">
        <v>61</v>
      </c>
      <c r="B53" s="1" t="s">
        <v>104</v>
      </c>
      <c r="C53" s="1" t="s">
        <v>10</v>
      </c>
      <c r="D53" s="4">
        <v>4</v>
      </c>
      <c r="E53" s="4">
        <v>1751</v>
      </c>
      <c r="F53" s="4">
        <v>-11.10772667</v>
      </c>
      <c r="G53" s="2" t="s">
        <v>105</v>
      </c>
      <c r="H53" s="5">
        <v>1969.8</v>
      </c>
      <c r="I53" s="1" t="s">
        <v>8</v>
      </c>
      <c r="J53" s="48"/>
      <c r="K53" s="16"/>
      <c r="L53" s="16"/>
      <c r="M53" s="16"/>
      <c r="N53" t="str">
        <f>IF(COUNTIFS( $B$2:$B$666, B53, $C$2:$C$666, C53, $D$2:$D$666, D53, $E$2:$E$666, E53) &gt; 1, "Duplicate", "Unique")</f>
        <v>Unique</v>
      </c>
      <c r="O53"/>
      <c r="P53"/>
    </row>
    <row r="54" spans="1:16" ht="27.65" customHeight="1" thickBot="1" x14ac:dyDescent="0.4">
      <c r="A54" s="6" t="s">
        <v>61</v>
      </c>
      <c r="B54" s="1" t="s">
        <v>33</v>
      </c>
      <c r="C54" s="1" t="s">
        <v>10</v>
      </c>
      <c r="D54" s="4">
        <v>1</v>
      </c>
      <c r="E54" s="4">
        <v>18052</v>
      </c>
      <c r="F54" s="4">
        <v>-11.22258287</v>
      </c>
      <c r="G54" s="2" t="s">
        <v>70</v>
      </c>
      <c r="H54" s="5">
        <v>20334</v>
      </c>
      <c r="I54" s="1" t="s">
        <v>8</v>
      </c>
      <c r="J54" s="48"/>
      <c r="K54" s="16"/>
      <c r="L54" s="16"/>
      <c r="M54" s="16"/>
      <c r="N54" t="str">
        <f>IF(COUNTIFS( $B$2:$B$666, B54, $C$2:$C$666, C54, $D$2:$D$666, D54, $E$2:$E$666, E54) &gt; 1, "Duplicate", "Unique")</f>
        <v>Unique</v>
      </c>
      <c r="O54"/>
      <c r="P54"/>
    </row>
    <row r="55" spans="1:16" ht="40.75" customHeight="1" thickBot="1" x14ac:dyDescent="0.4">
      <c r="A55" s="6" t="s">
        <v>61</v>
      </c>
      <c r="B55" s="1" t="s">
        <v>112</v>
      </c>
      <c r="C55" s="1" t="s">
        <v>10</v>
      </c>
      <c r="D55" s="4">
        <v>4</v>
      </c>
      <c r="E55" s="4">
        <v>701</v>
      </c>
      <c r="F55" s="4">
        <v>-12.15538847</v>
      </c>
      <c r="G55" s="2" t="s">
        <v>113</v>
      </c>
      <c r="H55" s="5">
        <v>798</v>
      </c>
      <c r="I55" s="1" t="s">
        <v>8</v>
      </c>
      <c r="J55" s="48" t="s">
        <v>40</v>
      </c>
      <c r="K55" s="16"/>
      <c r="L55" s="16"/>
      <c r="M55" s="16"/>
      <c r="N55" t="str">
        <f>IF(COUNTIFS( $B$2:$B$666, B55, $C$2:$C$666, C55, $D$2:$D$666, D55, $E$2:$E$666, E55) &gt; 1, "Duplicate", "Unique")</f>
        <v>Unique</v>
      </c>
      <c r="O55"/>
      <c r="P55"/>
    </row>
    <row r="56" spans="1:16" ht="27.65" customHeight="1" thickBot="1" x14ac:dyDescent="0.4">
      <c r="A56" s="6" t="s">
        <v>61</v>
      </c>
      <c r="B56" s="1" t="s">
        <v>12</v>
      </c>
      <c r="C56" s="1" t="s">
        <v>10</v>
      </c>
      <c r="D56" s="4">
        <v>1</v>
      </c>
      <c r="E56" s="4">
        <v>4364</v>
      </c>
      <c r="F56" s="4">
        <v>-12.737452510000001</v>
      </c>
      <c r="G56" s="2" t="s">
        <v>97</v>
      </c>
      <c r="H56" s="5">
        <v>5001</v>
      </c>
      <c r="I56" s="1" t="s">
        <v>8</v>
      </c>
      <c r="J56" s="54" t="s">
        <v>40</v>
      </c>
      <c r="K56" s="16"/>
      <c r="L56" s="16"/>
      <c r="M56" s="16"/>
      <c r="N56" t="str">
        <f>IF(COUNTIFS( $B$2:$B$666, B56, $C$2:$C$666, C56, $D$2:$D$666, D56, $E$2:$E$666, E56) &gt; 1, "Duplicate", "Unique")</f>
        <v>Unique</v>
      </c>
      <c r="O56"/>
      <c r="P56"/>
    </row>
    <row r="57" spans="1:16" ht="40.75" customHeight="1" thickBot="1" x14ac:dyDescent="0.4">
      <c r="A57" s="3">
        <v>46252.635416666664</v>
      </c>
      <c r="B57" s="1" t="s">
        <v>91</v>
      </c>
      <c r="C57" s="1" t="s">
        <v>10</v>
      </c>
      <c r="D57" s="4">
        <v>2</v>
      </c>
      <c r="E57" s="4">
        <v>2892</v>
      </c>
      <c r="F57" s="4">
        <v>-14.69026549</v>
      </c>
      <c r="G57" s="2" t="s">
        <v>92</v>
      </c>
      <c r="H57" s="5">
        <v>3390</v>
      </c>
      <c r="I57" s="1" t="s">
        <v>8</v>
      </c>
      <c r="J57" s="48"/>
      <c r="K57" s="16"/>
      <c r="L57" s="16"/>
      <c r="M57" s="16"/>
      <c r="N57" t="str">
        <f>IF(COUNTIFS( $B$2:$B$666, B57, $C$2:$C$666, C57, $D$2:$D$666, D57, $E$2:$E$666, E57) &gt; 1, "Duplicate", "Unique")</f>
        <v>Unique</v>
      </c>
      <c r="O57"/>
      <c r="P57"/>
    </row>
    <row r="58" spans="1:16" ht="27.65" customHeight="1" thickBot="1" x14ac:dyDescent="0.4">
      <c r="A58" s="46">
        <v>46304.375</v>
      </c>
      <c r="B58" s="2" t="s">
        <v>31</v>
      </c>
      <c r="C58" s="2" t="s">
        <v>7</v>
      </c>
      <c r="D58" s="5">
        <v>20</v>
      </c>
      <c r="E58" s="5">
        <v>883.5</v>
      </c>
      <c r="F58" s="4">
        <v>1.8443804029999999</v>
      </c>
      <c r="G58" s="2" t="s">
        <v>84</v>
      </c>
      <c r="H58" s="5">
        <v>867.5</v>
      </c>
      <c r="I58" s="1" t="s">
        <v>8</v>
      </c>
      <c r="J58" s="17" t="s">
        <v>117</v>
      </c>
      <c r="K58" s="17" t="s">
        <v>317</v>
      </c>
      <c r="L58" s="17">
        <v>17020</v>
      </c>
      <c r="M58" s="17">
        <f>ABS((D58*E58)-L58)</f>
        <v>650</v>
      </c>
      <c r="N58" t="str">
        <f>IF(COUNTIFS( $B$2:$B$666, B58, $C$2:$C$666, C58, $D$2:$D$666, D58, $E$2:$E$666, E58) &gt; 1, "Duplicate", "Unique")</f>
        <v>Unique</v>
      </c>
    </row>
    <row r="59" spans="1:16" ht="40.75" customHeight="1" thickBot="1" x14ac:dyDescent="0.4">
      <c r="A59" s="6" t="s">
        <v>61</v>
      </c>
      <c r="B59" s="1" t="s">
        <v>99</v>
      </c>
      <c r="C59" s="1" t="s">
        <v>10</v>
      </c>
      <c r="D59" s="4">
        <v>25</v>
      </c>
      <c r="E59" s="4">
        <v>251</v>
      </c>
      <c r="F59" s="4">
        <v>-15.73788103</v>
      </c>
      <c r="G59" s="2" t="s">
        <v>100</v>
      </c>
      <c r="H59" s="5">
        <v>297.88</v>
      </c>
      <c r="I59" s="1" t="s">
        <v>8</v>
      </c>
      <c r="J59" s="48" t="s">
        <v>40</v>
      </c>
      <c r="K59" s="16"/>
      <c r="L59" s="16"/>
      <c r="M59" s="16"/>
      <c r="N59" t="str">
        <f>IF(COUNTIFS( $B$2:$B$666, B59, $C$2:$C$666, C59, $D$2:$D$666, D59, $E$2:$E$666, E59) &gt; 1, "Duplicate", "Unique")</f>
        <v>Unique</v>
      </c>
      <c r="O59"/>
      <c r="P59"/>
    </row>
    <row r="60" spans="1:16" ht="26.5" thickBot="1" x14ac:dyDescent="0.4">
      <c r="A60" s="46">
        <v>46303.375</v>
      </c>
      <c r="B60" s="2" t="s">
        <v>9</v>
      </c>
      <c r="C60" s="2" t="s">
        <v>7</v>
      </c>
      <c r="D60" s="5">
        <v>50</v>
      </c>
      <c r="E60" s="5">
        <v>289</v>
      </c>
      <c r="F60" s="4">
        <v>2.5550035489999998</v>
      </c>
      <c r="G60" s="2" t="s">
        <v>94</v>
      </c>
      <c r="H60" s="5">
        <v>281.8</v>
      </c>
      <c r="I60" s="1" t="s">
        <v>8</v>
      </c>
      <c r="J60" s="17" t="s">
        <v>116</v>
      </c>
      <c r="K60" s="17" t="s">
        <v>311</v>
      </c>
      <c r="L60" s="17">
        <v>13900</v>
      </c>
      <c r="M60" s="17">
        <f>ABS((D60*E60)-L60)</f>
        <v>550</v>
      </c>
      <c r="N60" s="10" t="str">
        <f>IF(COUNTIFS( $B$2:$B$666, B60, $C$2:$C$666, C60, $D$2:$D$666, D60, $E$2:$E$666, E60) &gt; 1, "Duplicate", "Unique")</f>
        <v>Unique</v>
      </c>
    </row>
    <row r="61" spans="1:16" ht="26.5" thickBot="1" x14ac:dyDescent="0.4">
      <c r="A61" s="46">
        <v>46295.375</v>
      </c>
      <c r="B61" s="2" t="s">
        <v>30</v>
      </c>
      <c r="C61" s="2" t="s">
        <v>10</v>
      </c>
      <c r="D61" s="5">
        <v>5</v>
      </c>
      <c r="E61" s="5">
        <v>620</v>
      </c>
      <c r="F61" s="4">
        <v>-15.87516961</v>
      </c>
      <c r="G61" s="2" t="s">
        <v>93</v>
      </c>
      <c r="H61" s="5">
        <v>737</v>
      </c>
      <c r="I61" s="1" t="s">
        <v>8</v>
      </c>
      <c r="J61" s="17" t="s">
        <v>40</v>
      </c>
      <c r="K61" s="17" t="s">
        <v>299</v>
      </c>
      <c r="L61" s="17">
        <v>3395</v>
      </c>
      <c r="M61" s="17">
        <f>ABS((D61*E61)-L61)</f>
        <v>295</v>
      </c>
      <c r="N61" s="10" t="str">
        <f>IF(COUNTIFS( $B$2:$B$666, B61, $C$2:$C$666, C61, $D$2:$D$666, D61, $E$2:$E$666, E61) &gt; 1, "Duplicate", "Unique")</f>
        <v>Unique</v>
      </c>
    </row>
    <row r="62" spans="1:16" ht="27.65" customHeight="1" thickBot="1" x14ac:dyDescent="0.4">
      <c r="A62" s="6" t="s">
        <v>61</v>
      </c>
      <c r="B62" s="1" t="s">
        <v>12</v>
      </c>
      <c r="C62" s="1" t="s">
        <v>10</v>
      </c>
      <c r="D62" s="4">
        <v>1</v>
      </c>
      <c r="E62" s="4">
        <v>4164</v>
      </c>
      <c r="F62" s="4">
        <v>-16.736652670000002</v>
      </c>
      <c r="G62" s="2" t="s">
        <v>97</v>
      </c>
      <c r="H62" s="5">
        <v>5001</v>
      </c>
      <c r="I62" s="1" t="s">
        <v>8</v>
      </c>
      <c r="J62" s="48"/>
      <c r="K62" s="16"/>
      <c r="L62" s="16"/>
      <c r="M62" s="16"/>
      <c r="N62" t="str">
        <f>IF(COUNTIFS( $B$2:$B$666, B62, $C$2:$C$666, C62, $D$2:$D$666, D62, $E$2:$E$666, E62) &gt; 1, "Duplicate", "Unique")</f>
        <v>Unique</v>
      </c>
      <c r="O62"/>
      <c r="P62"/>
    </row>
    <row r="63" spans="1:16" s="27" customFormat="1" ht="27.65" customHeight="1" thickBot="1" x14ac:dyDescent="0.4">
      <c r="A63" s="11">
        <v>46243.375</v>
      </c>
      <c r="B63" s="8" t="s">
        <v>13</v>
      </c>
      <c r="C63" s="8" t="s">
        <v>7</v>
      </c>
      <c r="D63" s="8">
        <v>5</v>
      </c>
      <c r="E63" s="8">
        <v>1844</v>
      </c>
      <c r="F63" s="4">
        <v>3.6537380549999998</v>
      </c>
      <c r="G63" s="2" t="s">
        <v>90</v>
      </c>
      <c r="H63" s="5">
        <v>1779</v>
      </c>
      <c r="I63" s="1" t="s">
        <v>8</v>
      </c>
      <c r="J63" s="17" t="s">
        <v>117</v>
      </c>
      <c r="K63" s="17" t="s">
        <v>247</v>
      </c>
      <c r="L63" s="17">
        <v>8570</v>
      </c>
      <c r="M63" s="25">
        <f>ABS((D63*E63)-L63)</f>
        <v>650</v>
      </c>
      <c r="N63" s="10" t="str">
        <f>IF(COUNTIFS( $B$2:$B$666, B63, $C$2:$C$666, C63, $D$2:$D$666, D63, $E$2:$E$666, E63) &gt; 1, "Duplicate", "Unique")</f>
        <v>Unique</v>
      </c>
      <c r="O63" s="36" t="s">
        <v>238</v>
      </c>
      <c r="P63" s="10"/>
    </row>
    <row r="64" spans="1:16" s="27" customFormat="1" ht="27.65" customHeight="1" thickBot="1" x14ac:dyDescent="0.4">
      <c r="A64" s="3">
        <v>46281.376388888886</v>
      </c>
      <c r="B64" s="1" t="s">
        <v>108</v>
      </c>
      <c r="C64" s="1" t="s">
        <v>7</v>
      </c>
      <c r="D64" s="4">
        <v>1</v>
      </c>
      <c r="E64" s="4">
        <v>4940</v>
      </c>
      <c r="F64" s="4">
        <v>3.7815126050000001</v>
      </c>
      <c r="G64" s="2" t="s">
        <v>109</v>
      </c>
      <c r="H64" s="5">
        <v>4760</v>
      </c>
      <c r="I64" s="1" t="s">
        <v>8</v>
      </c>
      <c r="J64" s="17" t="s">
        <v>117</v>
      </c>
      <c r="K64" s="17" t="s">
        <v>277</v>
      </c>
      <c r="L64" s="17">
        <v>4640</v>
      </c>
      <c r="M64" s="17">
        <f>ABS((D64*E64)-L64)</f>
        <v>300</v>
      </c>
      <c r="N64" s="10" t="str">
        <f>IF(COUNTIFS( $B$2:$B$666, B64, $C$2:$C$666, C64, $D$2:$D$666, D64, $E$2:$E$666, E64) &gt; 1, "Duplicate", "Unique")</f>
        <v>Unique</v>
      </c>
      <c r="O64" s="36" t="s">
        <v>238</v>
      </c>
      <c r="P64" s="10"/>
    </row>
    <row r="65" spans="1:16" ht="26.5" thickBot="1" x14ac:dyDescent="0.4">
      <c r="A65" s="3">
        <v>46287.375</v>
      </c>
      <c r="B65" s="1" t="s">
        <v>17</v>
      </c>
      <c r="C65" s="1" t="s">
        <v>7</v>
      </c>
      <c r="D65" s="4">
        <v>25</v>
      </c>
      <c r="E65" s="4">
        <v>348</v>
      </c>
      <c r="F65" s="4">
        <v>4.1916167660000001</v>
      </c>
      <c r="G65" s="2" t="s">
        <v>76</v>
      </c>
      <c r="H65" s="5">
        <v>334</v>
      </c>
      <c r="I65" s="1" t="s">
        <v>8</v>
      </c>
      <c r="J65" s="17" t="s">
        <v>116</v>
      </c>
      <c r="K65" s="17" t="s">
        <v>285</v>
      </c>
      <c r="L65" s="17">
        <v>8400</v>
      </c>
      <c r="M65" s="17">
        <f>ABS((D65*E65)-L65)</f>
        <v>300</v>
      </c>
      <c r="N65" s="10" t="str">
        <f>IF(COUNTIFS( $B$2:$B$666, B65, $C$2:$C$666, C65, $D$2:$D$666, D65, $E$2:$E$666, E65) &gt; 1, "Duplicate", "Unique")</f>
        <v>Unique</v>
      </c>
      <c r="O65" s="36" t="s">
        <v>238</v>
      </c>
    </row>
    <row r="66" spans="1:16" ht="40.75" customHeight="1" thickBot="1" x14ac:dyDescent="0.4">
      <c r="A66" s="11">
        <v>46243.375</v>
      </c>
      <c r="B66" s="8" t="s">
        <v>9</v>
      </c>
      <c r="C66" s="8" t="s">
        <v>7</v>
      </c>
      <c r="D66" s="8">
        <v>50</v>
      </c>
      <c r="E66" s="8">
        <v>294</v>
      </c>
      <c r="F66" s="4">
        <v>4.3293115679999996</v>
      </c>
      <c r="G66" s="2" t="s">
        <v>94</v>
      </c>
      <c r="H66" s="5">
        <v>281.8</v>
      </c>
      <c r="I66" s="1" t="s">
        <v>8</v>
      </c>
      <c r="J66" s="17" t="s">
        <v>116</v>
      </c>
      <c r="K66" s="17" t="s">
        <v>313</v>
      </c>
      <c r="L66" s="17">
        <v>26109.000000000004</v>
      </c>
      <c r="M66" s="17">
        <f>ABS((D66*E66)-L66)</f>
        <v>11409.000000000004</v>
      </c>
      <c r="N66" s="10" t="str">
        <f>IF(COUNTIFS( $B$2:$B$666, B66, $C$2:$C$666, C66, $D$2:$D$666, D66, $E$2:$E$666, E66) &gt; 1, "Duplicate", "Unique")</f>
        <v>Unique</v>
      </c>
      <c r="P66"/>
    </row>
    <row r="67" spans="1:16" ht="40.75" customHeight="1" thickBot="1" x14ac:dyDescent="0.4">
      <c r="A67" s="11">
        <v>46252.645138888889</v>
      </c>
      <c r="B67" s="8" t="s">
        <v>56</v>
      </c>
      <c r="C67" s="8" t="s">
        <v>7</v>
      </c>
      <c r="D67" s="8">
        <v>5</v>
      </c>
      <c r="E67" s="8">
        <v>3040</v>
      </c>
      <c r="F67" s="4">
        <v>4.3597665640000001</v>
      </c>
      <c r="G67" s="2" t="s">
        <v>57</v>
      </c>
      <c r="H67" s="5">
        <v>2913</v>
      </c>
      <c r="I67" s="1" t="s">
        <v>8</v>
      </c>
      <c r="J67" s="16" t="s">
        <v>116</v>
      </c>
      <c r="N67" s="10" t="str">
        <f>IF(COUNTIFS( $B$2:$B$666, B67, $C$2:$C$666, C67, $D$2:$D$666, D67, $E$2:$E$666, E67) &gt; 1, "Duplicate", "Unique")</f>
        <v>Unique</v>
      </c>
    </row>
    <row r="68" spans="1:16" ht="27.65" customHeight="1" thickBot="1" x14ac:dyDescent="0.4">
      <c r="A68" s="11">
        <v>46252.635416666664</v>
      </c>
      <c r="B68" s="8" t="s">
        <v>73</v>
      </c>
      <c r="C68" s="8" t="s">
        <v>7</v>
      </c>
      <c r="D68" s="8">
        <v>5</v>
      </c>
      <c r="E68" s="8">
        <v>3482</v>
      </c>
      <c r="F68" s="4">
        <v>4.5582847879999999</v>
      </c>
      <c r="G68" s="2" t="s">
        <v>74</v>
      </c>
      <c r="H68" s="5">
        <v>3330.2</v>
      </c>
      <c r="I68" s="1" t="s">
        <v>8</v>
      </c>
      <c r="J68" s="32" t="s">
        <v>117</v>
      </c>
      <c r="N68" s="10" t="str">
        <f>IF(COUNTIFS( $B$2:$B$666, B68, $C$2:$C$666, C68, $D$2:$D$666, D68, $E$2:$E$666, E68) &gt; 1, "Duplicate", "Unique")</f>
        <v>Unique</v>
      </c>
      <c r="P68"/>
    </row>
    <row r="69" spans="1:16" ht="27.65" customHeight="1" thickBot="1" x14ac:dyDescent="0.4">
      <c r="A69" s="3">
        <v>46307.618009259262</v>
      </c>
      <c r="B69" s="1" t="s">
        <v>106</v>
      </c>
      <c r="C69" s="1" t="s">
        <v>7</v>
      </c>
      <c r="D69" s="4">
        <v>1</v>
      </c>
      <c r="E69" s="4">
        <v>7168</v>
      </c>
      <c r="F69" s="4">
        <v>4.5583837789999997</v>
      </c>
      <c r="G69" s="2" t="s">
        <v>107</v>
      </c>
      <c r="H69" s="5">
        <v>6855.5</v>
      </c>
      <c r="I69" s="1" t="s">
        <v>8</v>
      </c>
      <c r="J69" t="s">
        <v>116</v>
      </c>
      <c r="K69" t="s">
        <v>322</v>
      </c>
      <c r="L69">
        <v>6868</v>
      </c>
      <c r="M69" s="17">
        <f>ABS((D69*E69)-L69)</f>
        <v>300</v>
      </c>
      <c r="N69" s="10" t="str">
        <f>IF(COUNTIFS( $B$2:$B$666, B69, $C$2:$C$666, C69, $D$2:$D$666, D69, $E$2:$E$666, E69) &gt; 1, "Duplicate", "Unique")</f>
        <v>Unique</v>
      </c>
    </row>
    <row r="70" spans="1:16" ht="40.75" customHeight="1" thickBot="1" x14ac:dyDescent="0.4">
      <c r="A70" s="46">
        <v>46293.375694444447</v>
      </c>
      <c r="B70" s="2" t="s">
        <v>50</v>
      </c>
      <c r="C70" s="2" t="s">
        <v>7</v>
      </c>
      <c r="D70" s="5">
        <v>10</v>
      </c>
      <c r="E70" s="5">
        <v>907</v>
      </c>
      <c r="F70" s="4">
        <v>4.7344110849999996</v>
      </c>
      <c r="G70" s="2" t="s">
        <v>51</v>
      </c>
      <c r="H70" s="5">
        <v>866</v>
      </c>
      <c r="I70" s="1" t="s">
        <v>8</v>
      </c>
      <c r="J70" s="17" t="s">
        <v>116</v>
      </c>
      <c r="K70" s="17" t="s">
        <v>295</v>
      </c>
      <c r="L70" s="17">
        <f>17740/2</f>
        <v>8870</v>
      </c>
      <c r="M70" s="17">
        <f>ABS((D70*E70)-L70)</f>
        <v>200</v>
      </c>
      <c r="N70" s="10" t="str">
        <f>IF(COUNTIFS( $B$2:$B$666, B70, $C$2:$C$666, C70, $D$2:$D$666, D70, $E$2:$E$666, E70) &gt; 1, "Duplicate", "Unique")</f>
        <v>Unique</v>
      </c>
    </row>
    <row r="71" spans="1:16" ht="40.75" customHeight="1" thickBot="1" x14ac:dyDescent="0.4">
      <c r="A71" s="46">
        <v>46293.375694444447</v>
      </c>
      <c r="B71" s="2" t="s">
        <v>50</v>
      </c>
      <c r="C71" s="2" t="s">
        <v>7</v>
      </c>
      <c r="D71" s="5">
        <v>10</v>
      </c>
      <c r="E71" s="5">
        <v>897</v>
      </c>
      <c r="F71" s="4">
        <v>4.7344110849999996</v>
      </c>
      <c r="G71" s="2" t="s">
        <v>51</v>
      </c>
      <c r="H71" s="5">
        <v>866</v>
      </c>
      <c r="I71" s="1" t="s">
        <v>8</v>
      </c>
      <c r="J71" s="17" t="s">
        <v>116</v>
      </c>
      <c r="N71" s="10" t="str">
        <f>IF(COUNTIFS( $B$2:$B$666, B71, $C$2:$C$666, C71, $D$2:$D$666, D71, $E$2:$E$666, E71) &gt; 1, "Duplicate", "Unique")</f>
        <v>Unique</v>
      </c>
    </row>
    <row r="72" spans="1:16" ht="40.75" customHeight="1" thickBot="1" x14ac:dyDescent="0.4">
      <c r="A72" s="3">
        <v>46252.688194444447</v>
      </c>
      <c r="B72" s="1" t="s">
        <v>95</v>
      </c>
      <c r="C72" s="1" t="s">
        <v>10</v>
      </c>
      <c r="D72" s="4">
        <v>45</v>
      </c>
      <c r="E72" s="4">
        <v>136.15</v>
      </c>
      <c r="F72" s="4">
        <v>-16.910777490000001</v>
      </c>
      <c r="G72" s="2" t="s">
        <v>96</v>
      </c>
      <c r="H72" s="5">
        <v>163.86</v>
      </c>
      <c r="I72" s="1" t="s">
        <v>8</v>
      </c>
      <c r="J72" s="48" t="s">
        <v>54</v>
      </c>
      <c r="K72" s="16"/>
      <c r="L72" s="16"/>
      <c r="M72" s="16"/>
      <c r="N72" t="str">
        <f>IF(COUNTIFS( $B$2:$B$666, B72, $C$2:$C$666, C72, $D$2:$D$666, D72, $E$2:$E$666, E72) &gt; 1, "Duplicate", "Unique")</f>
        <v>Unique</v>
      </c>
      <c r="O72"/>
      <c r="P72"/>
    </row>
    <row r="73" spans="1:16" ht="39" thickBot="1" x14ac:dyDescent="0.4">
      <c r="A73" s="46">
        <v>46303.375</v>
      </c>
      <c r="B73" s="2" t="s">
        <v>21</v>
      </c>
      <c r="C73" s="2" t="s">
        <v>7</v>
      </c>
      <c r="D73" s="5">
        <v>5</v>
      </c>
      <c r="E73" s="5">
        <v>690</v>
      </c>
      <c r="F73" s="4">
        <v>5.1588813529999999</v>
      </c>
      <c r="G73" s="2" t="s">
        <v>75</v>
      </c>
      <c r="H73" s="5">
        <v>656.15</v>
      </c>
      <c r="I73" s="1" t="s">
        <v>8</v>
      </c>
      <c r="J73" s="17" t="s">
        <v>117</v>
      </c>
      <c r="K73" s="17" t="s">
        <v>310</v>
      </c>
      <c r="L73" s="17">
        <v>3200</v>
      </c>
      <c r="M73" s="17">
        <f t="shared" ref="M73:M80" si="0">ABS((D73*E73)-L73)</f>
        <v>250</v>
      </c>
      <c r="N73" s="10" t="str">
        <f>IF(COUNTIFS( $B$2:$B$666, B73, $C$2:$C$666, C73, $D$2:$D$666, D73, $E$2:$E$666, E73) &gt; 1, "Duplicate", "Unique")</f>
        <v>Unique</v>
      </c>
      <c r="O73" s="36" t="s">
        <v>238</v>
      </c>
    </row>
    <row r="74" spans="1:16" ht="39" thickBot="1" x14ac:dyDescent="0.4">
      <c r="A74" s="3">
        <v>46274.414583333331</v>
      </c>
      <c r="B74" s="1" t="s">
        <v>12</v>
      </c>
      <c r="C74" s="1" t="s">
        <v>7</v>
      </c>
      <c r="D74" s="4">
        <v>2</v>
      </c>
      <c r="E74" s="4">
        <v>5274</v>
      </c>
      <c r="F74" s="4">
        <v>5.4589082180000004</v>
      </c>
      <c r="G74" s="2" t="s">
        <v>97</v>
      </c>
      <c r="H74" s="5">
        <v>5001</v>
      </c>
      <c r="I74" s="1" t="s">
        <v>8</v>
      </c>
      <c r="J74" s="17" t="s">
        <v>117</v>
      </c>
      <c r="K74" s="17" t="s">
        <v>251</v>
      </c>
      <c r="L74" s="17">
        <v>9902</v>
      </c>
      <c r="M74" s="17">
        <f t="shared" si="0"/>
        <v>646</v>
      </c>
      <c r="N74" s="10" t="str">
        <f>IF(COUNTIFS( $B$2:$B$666, B74, $C$2:$C$666, C74, $D$2:$D$666, D74, $E$2:$E$666, E74) &gt; 1, "Duplicate", "Unique")</f>
        <v>Unique</v>
      </c>
      <c r="O74" s="36" t="s">
        <v>238</v>
      </c>
    </row>
    <row r="75" spans="1:16" ht="40.75" customHeight="1" thickBot="1" x14ac:dyDescent="0.4">
      <c r="A75" s="46">
        <v>46303.375</v>
      </c>
      <c r="B75" s="2" t="s">
        <v>280</v>
      </c>
      <c r="C75" s="2" t="s">
        <v>10</v>
      </c>
      <c r="D75" s="5">
        <v>2</v>
      </c>
      <c r="E75" s="5">
        <v>1294</v>
      </c>
      <c r="F75" s="4">
        <v>-17.742038010000002</v>
      </c>
      <c r="G75" s="2" t="s">
        <v>282</v>
      </c>
      <c r="H75" s="5">
        <v>1573.1</v>
      </c>
      <c r="I75" s="1" t="s">
        <v>8</v>
      </c>
      <c r="J75" s="17" t="s">
        <v>40</v>
      </c>
      <c r="K75" s="17" t="s">
        <v>312</v>
      </c>
      <c r="L75" s="17">
        <v>2852</v>
      </c>
      <c r="M75" s="17">
        <f t="shared" si="0"/>
        <v>264</v>
      </c>
      <c r="N75" s="10" t="str">
        <f>IF(COUNTIFS( $B$2:$B$666, B75, $C$2:$C$666, C75, $D$2:$D$666, D75, $E$2:$E$666, E75) &gt; 1, "Duplicate", "Unique")</f>
        <v>Unique</v>
      </c>
    </row>
    <row r="76" spans="1:16" ht="40.75" customHeight="1" thickBot="1" x14ac:dyDescent="0.4">
      <c r="A76" s="3">
        <v>46269.411111111112</v>
      </c>
      <c r="B76" s="1" t="s">
        <v>13</v>
      </c>
      <c r="C76" s="1" t="s">
        <v>7</v>
      </c>
      <c r="D76" s="4">
        <v>10</v>
      </c>
      <c r="E76" s="4">
        <v>1879</v>
      </c>
      <c r="F76" s="4">
        <v>5.6211354690000004</v>
      </c>
      <c r="G76" s="2" t="s">
        <v>90</v>
      </c>
      <c r="H76" s="5">
        <v>1779</v>
      </c>
      <c r="I76" s="1" t="s">
        <v>8</v>
      </c>
      <c r="J76" s="17" t="s">
        <v>117</v>
      </c>
      <c r="K76" s="17" t="s">
        <v>233</v>
      </c>
      <c r="L76" s="17">
        <v>18140</v>
      </c>
      <c r="M76" s="24">
        <f t="shared" si="0"/>
        <v>650</v>
      </c>
      <c r="N76" t="str">
        <f>IF(COUNTIFS( $B$2:$B$666, B76, $C$2:$C$666, C76, $D$2:$D$666, D76, $E$2:$E$666, E76) &gt; 1, "Duplicate", "Unique")</f>
        <v>Unique</v>
      </c>
    </row>
    <row r="77" spans="1:16" ht="40.75" customHeight="1" thickBot="1" x14ac:dyDescent="0.4">
      <c r="A77" s="46">
        <v>46293.375694444447</v>
      </c>
      <c r="B77" s="2" t="s">
        <v>50</v>
      </c>
      <c r="C77" s="2" t="s">
        <v>7</v>
      </c>
      <c r="D77" s="5">
        <v>10</v>
      </c>
      <c r="E77" s="5">
        <v>917</v>
      </c>
      <c r="F77" s="4">
        <v>5.8891454970000003</v>
      </c>
      <c r="G77" s="2" t="s">
        <v>51</v>
      </c>
      <c r="H77" s="5">
        <v>866</v>
      </c>
      <c r="I77" s="1" t="s">
        <v>8</v>
      </c>
      <c r="J77" s="17" t="s">
        <v>116</v>
      </c>
      <c r="K77" s="17" t="s">
        <v>295</v>
      </c>
      <c r="L77" s="17">
        <f>17740/2</f>
        <v>8870</v>
      </c>
      <c r="M77" s="17">
        <f t="shared" si="0"/>
        <v>300</v>
      </c>
      <c r="N77" s="10" t="str">
        <f>IF(COUNTIFS( $B$2:$B$666, B77, $C$2:$C$666, C77, $D$2:$D$666, D77, $E$2:$E$666, E77) &gt; 1, "Duplicate", "Unique")</f>
        <v>Unique</v>
      </c>
    </row>
    <row r="78" spans="1:16" ht="27.65" customHeight="1" thickBot="1" x14ac:dyDescent="0.4">
      <c r="A78" s="11">
        <v>46243.375</v>
      </c>
      <c r="B78" s="8" t="s">
        <v>9</v>
      </c>
      <c r="C78" s="8" t="s">
        <v>7</v>
      </c>
      <c r="D78" s="8">
        <v>40</v>
      </c>
      <c r="E78" s="8">
        <v>299</v>
      </c>
      <c r="F78" s="4">
        <v>6.1036195879999999</v>
      </c>
      <c r="G78" s="2" t="s">
        <v>94</v>
      </c>
      <c r="H78" s="5">
        <v>281.8</v>
      </c>
      <c r="I78" s="1" t="s">
        <v>8</v>
      </c>
      <c r="J78" s="17" t="s">
        <v>116</v>
      </c>
      <c r="K78" s="17" t="s">
        <v>314</v>
      </c>
      <c r="L78" s="17">
        <v>26109.000000000004</v>
      </c>
      <c r="M78" s="17">
        <f t="shared" si="0"/>
        <v>14149.000000000004</v>
      </c>
      <c r="N78" s="10" t="str">
        <f>IF(COUNTIFS( $B$2:$B$666, B78, $C$2:$C$666, C78, $D$2:$D$666, D78, $E$2:$E$666, E78) &gt; 1, "Duplicate", "Unique")</f>
        <v>Unique</v>
      </c>
      <c r="P78"/>
    </row>
    <row r="79" spans="1:16" s="27" customFormat="1" ht="40.75" customHeight="1" thickBot="1" x14ac:dyDescent="0.4">
      <c r="A79" s="46">
        <v>46303.375</v>
      </c>
      <c r="B79" s="2" t="s">
        <v>88</v>
      </c>
      <c r="C79" s="2" t="s">
        <v>7</v>
      </c>
      <c r="D79" s="5">
        <v>1</v>
      </c>
      <c r="E79" s="5">
        <v>13450</v>
      </c>
      <c r="F79" s="4">
        <v>6.2401263819999997</v>
      </c>
      <c r="G79" s="2" t="s">
        <v>89</v>
      </c>
      <c r="H79" s="5">
        <v>12660</v>
      </c>
      <c r="I79" s="1" t="s">
        <v>8</v>
      </c>
      <c r="J79" s="17" t="s">
        <v>117</v>
      </c>
      <c r="K79" s="17" t="s">
        <v>309</v>
      </c>
      <c r="L79" s="17">
        <v>12800</v>
      </c>
      <c r="M79" s="17">
        <f t="shared" si="0"/>
        <v>650</v>
      </c>
      <c r="N79" s="10" t="str">
        <f>IF(COUNTIFS( $B$2:$B$666, B79, $C$2:$C$666, C79, $D$2:$D$666, D79, $E$2:$E$666, E79) &gt; 1, "Duplicate", "Unique")</f>
        <v>Unique</v>
      </c>
      <c r="O79" s="10"/>
      <c r="P79" s="10"/>
    </row>
    <row r="80" spans="1:16" ht="27.65" customHeight="1" thickBot="1" x14ac:dyDescent="0.4">
      <c r="A80" s="46">
        <v>46289.375</v>
      </c>
      <c r="B80" s="2" t="s">
        <v>30</v>
      </c>
      <c r="C80" s="2" t="s">
        <v>10</v>
      </c>
      <c r="D80" s="5">
        <v>5</v>
      </c>
      <c r="E80" s="5">
        <v>601</v>
      </c>
      <c r="F80" s="4">
        <v>-18.453188600000001</v>
      </c>
      <c r="G80" s="2" t="s">
        <v>93</v>
      </c>
      <c r="H80" s="5">
        <v>737</v>
      </c>
      <c r="I80" s="1" t="s">
        <v>8</v>
      </c>
      <c r="J80" s="17" t="s">
        <v>40</v>
      </c>
      <c r="K80" s="17" t="s">
        <v>288</v>
      </c>
      <c r="L80" s="17">
        <v>3245</v>
      </c>
      <c r="M80" s="17">
        <f t="shared" si="0"/>
        <v>240</v>
      </c>
      <c r="N80" s="10" t="str">
        <f>IF(COUNTIFS( $B$2:$B$666, B80, $C$2:$C$666, C80, $D$2:$D$666, D80, $E$2:$E$666, E80) &gt; 1, "Duplicate", "Unique")</f>
        <v>Unique</v>
      </c>
    </row>
    <row r="81" spans="1:16" ht="27.65" customHeight="1" thickBot="1" x14ac:dyDescent="0.4">
      <c r="A81" s="6" t="s">
        <v>61</v>
      </c>
      <c r="B81" s="1" t="s">
        <v>91</v>
      </c>
      <c r="C81" s="1" t="s">
        <v>10</v>
      </c>
      <c r="D81" s="4">
        <v>1</v>
      </c>
      <c r="E81" s="4">
        <v>2752</v>
      </c>
      <c r="F81" s="4">
        <v>-18.820059000000001</v>
      </c>
      <c r="G81" s="2" t="s">
        <v>92</v>
      </c>
      <c r="H81" s="5">
        <v>3390</v>
      </c>
      <c r="I81" s="1" t="s">
        <v>8</v>
      </c>
      <c r="J81" s="48" t="s">
        <v>40</v>
      </c>
      <c r="K81" s="16"/>
      <c r="L81" s="16"/>
      <c r="M81" s="16"/>
      <c r="N81" t="str">
        <f>IF(COUNTIFS( $B$2:$B$666, B81, $C$2:$C$666, C81, $D$2:$D$666, D81, $E$2:$E$666, E81) &gt; 1, "Duplicate", "Unique")</f>
        <v>Unique</v>
      </c>
      <c r="O81"/>
      <c r="P81"/>
    </row>
    <row r="82" spans="1:16" ht="27.65" customHeight="1" thickBot="1" x14ac:dyDescent="0.4">
      <c r="A82" s="28">
        <v>46272.451388888891</v>
      </c>
      <c r="B82" s="29" t="s">
        <v>13</v>
      </c>
      <c r="C82" s="29" t="s">
        <v>7</v>
      </c>
      <c r="D82" s="30">
        <v>5</v>
      </c>
      <c r="E82" s="30">
        <v>1894</v>
      </c>
      <c r="F82" s="4">
        <v>6.4643057900000001</v>
      </c>
      <c r="G82" s="2" t="s">
        <v>90</v>
      </c>
      <c r="H82" s="5">
        <v>1779</v>
      </c>
      <c r="I82" s="1" t="s">
        <v>8</v>
      </c>
      <c r="J82" s="27" t="s">
        <v>117</v>
      </c>
      <c r="K82" s="25" t="s">
        <v>239</v>
      </c>
      <c r="L82" s="25">
        <v>8820</v>
      </c>
      <c r="M82" s="25">
        <f t="shared" ref="M82:M88" si="1">ABS((D82*E82)-L82)</f>
        <v>650</v>
      </c>
      <c r="N82" s="27" t="str">
        <f>IF(COUNTIFS( $B$2:$B$666, B82, $C$2:$C$666, C82, $D$2:$D$666, D82, $E$2:$E$666, E82) &gt; 1, "Duplicate", "Unique")</f>
        <v>Unique</v>
      </c>
      <c r="O82" s="27"/>
      <c r="P82" s="27"/>
    </row>
    <row r="83" spans="1:16" ht="40.75" customHeight="1" thickBot="1" x14ac:dyDescent="0.4">
      <c r="A83" s="28">
        <v>46272.390972222223</v>
      </c>
      <c r="B83" s="29" t="s">
        <v>13</v>
      </c>
      <c r="C83" s="29" t="s">
        <v>7</v>
      </c>
      <c r="D83" s="30">
        <v>20</v>
      </c>
      <c r="E83" s="30">
        <v>1894</v>
      </c>
      <c r="F83" s="4">
        <v>6.4643057900000001</v>
      </c>
      <c r="G83" s="2" t="s">
        <v>90</v>
      </c>
      <c r="H83" s="5">
        <v>1779</v>
      </c>
      <c r="I83" s="1" t="s">
        <v>8</v>
      </c>
      <c r="J83" s="27" t="s">
        <v>117</v>
      </c>
      <c r="K83" s="25" t="s">
        <v>240</v>
      </c>
      <c r="L83" s="25">
        <v>36946</v>
      </c>
      <c r="M83" s="25">
        <f t="shared" si="1"/>
        <v>934</v>
      </c>
      <c r="N83" s="27" t="str">
        <f>IF(COUNTIFS( $B$2:$B$666, B83, $C$2:$C$666, C83, $D$2:$D$666, D83, $E$2:$E$666, E83) &gt; 1, "Duplicate", "Unique")</f>
        <v>Unique</v>
      </c>
      <c r="O83" s="27"/>
      <c r="P83" s="27"/>
    </row>
    <row r="84" spans="1:16" ht="27.65" customHeight="1" thickBot="1" x14ac:dyDescent="0.4">
      <c r="A84" s="50">
        <v>46296.586111111108</v>
      </c>
      <c r="B84" s="51" t="s">
        <v>77</v>
      </c>
      <c r="C84" s="51" t="s">
        <v>7</v>
      </c>
      <c r="D84" s="52">
        <v>5</v>
      </c>
      <c r="E84" s="52">
        <v>1348</v>
      </c>
      <c r="F84" s="4">
        <v>6.4770932070000002</v>
      </c>
      <c r="G84" s="2" t="s">
        <v>78</v>
      </c>
      <c r="H84" s="5">
        <v>1266</v>
      </c>
      <c r="I84" s="1" t="s">
        <v>8</v>
      </c>
      <c r="J84" s="25" t="s">
        <v>117</v>
      </c>
      <c r="K84" s="25" t="s">
        <v>300</v>
      </c>
      <c r="L84" s="25">
        <v>6127.5</v>
      </c>
      <c r="M84" s="25">
        <f t="shared" si="1"/>
        <v>612.5</v>
      </c>
      <c r="N84" s="27" t="str">
        <f>IF(COUNTIFS( $B$2:$B$666, B84, $C$2:$C$666, C84, $D$2:$D$666, D84, $E$2:$E$666, E84) &gt; 1, "Duplicate", "Unique")</f>
        <v>Duplicate</v>
      </c>
      <c r="O84" s="27"/>
      <c r="P84" s="27"/>
    </row>
    <row r="85" spans="1:16" ht="27.65" customHeight="1" thickBot="1" x14ac:dyDescent="0.4">
      <c r="A85" s="50">
        <v>46296.420138888891</v>
      </c>
      <c r="B85" s="51" t="s">
        <v>77</v>
      </c>
      <c r="C85" s="51" t="s">
        <v>7</v>
      </c>
      <c r="D85" s="52">
        <v>5</v>
      </c>
      <c r="E85" s="52">
        <v>1348</v>
      </c>
      <c r="F85" s="4">
        <v>6.4770932070000002</v>
      </c>
      <c r="G85" s="2" t="s">
        <v>78</v>
      </c>
      <c r="H85" s="5">
        <v>1266</v>
      </c>
      <c r="I85" s="1" t="s">
        <v>8</v>
      </c>
      <c r="J85" s="25" t="s">
        <v>117</v>
      </c>
      <c r="K85" s="25" t="s">
        <v>302</v>
      </c>
      <c r="L85" s="25">
        <v>6320</v>
      </c>
      <c r="M85" s="25">
        <f t="shared" si="1"/>
        <v>420</v>
      </c>
      <c r="N85" s="27" t="str">
        <f>IF(COUNTIFS( $B$2:$B$666, B85, $C$2:$C$666, C85, $D$2:$D$666, D85, $E$2:$E$666, E85) &gt; 1, "Duplicate", "Unique")</f>
        <v>Duplicate</v>
      </c>
      <c r="O85" s="27"/>
      <c r="P85" s="27"/>
    </row>
    <row r="86" spans="1:16" ht="40.75" customHeight="1" thickBot="1" x14ac:dyDescent="0.4">
      <c r="A86" s="46">
        <v>46293.401388888888</v>
      </c>
      <c r="B86" s="2" t="s">
        <v>14</v>
      </c>
      <c r="C86" s="2" t="s">
        <v>7</v>
      </c>
      <c r="D86" s="5">
        <v>100</v>
      </c>
      <c r="E86" s="5">
        <v>329</v>
      </c>
      <c r="F86" s="4">
        <v>6.8528743099999998</v>
      </c>
      <c r="G86" s="2" t="s">
        <v>44</v>
      </c>
      <c r="H86" s="5">
        <v>307.89999999999998</v>
      </c>
      <c r="I86" s="1" t="s">
        <v>8</v>
      </c>
      <c r="J86" s="17" t="s">
        <v>116</v>
      </c>
      <c r="K86" s="17" t="s">
        <v>292</v>
      </c>
      <c r="L86" s="17">
        <v>32400</v>
      </c>
      <c r="M86" s="17">
        <f t="shared" si="1"/>
        <v>500</v>
      </c>
      <c r="N86" s="10" t="str">
        <f>IF(COUNTIFS( $B$2:$B$666, B86, $C$2:$C$666, C86, $D$2:$D$666, D86, $E$2:$E$666, E86) &gt; 1, "Duplicate", "Unique")</f>
        <v>Unique</v>
      </c>
    </row>
    <row r="87" spans="1:16" ht="40.75" customHeight="1" thickBot="1" x14ac:dyDescent="0.4">
      <c r="A87" s="28">
        <v>46335.62777777778</v>
      </c>
      <c r="B87" s="29" t="s">
        <v>11</v>
      </c>
      <c r="C87" s="29" t="s">
        <v>7</v>
      </c>
      <c r="D87" s="30">
        <v>20</v>
      </c>
      <c r="E87" s="30">
        <v>284.5</v>
      </c>
      <c r="F87" s="4">
        <v>6.9548872179999996</v>
      </c>
      <c r="G87" s="2" t="s">
        <v>98</v>
      </c>
      <c r="H87" s="5">
        <v>266</v>
      </c>
      <c r="I87" s="1" t="s">
        <v>8</v>
      </c>
      <c r="J87" s="25" t="s">
        <v>117</v>
      </c>
      <c r="K87" s="25" t="s">
        <v>260</v>
      </c>
      <c r="L87" s="25">
        <v>5370</v>
      </c>
      <c r="M87" s="25">
        <f t="shared" si="1"/>
        <v>320</v>
      </c>
      <c r="N87" s="27" t="str">
        <f>IF(COUNTIFS( $B$2:$B$666, B87, $C$2:$C$666, C87, $D$2:$D$666, D87, $E$2:$E$666, E87) &gt; 1, "Duplicate", "Unique")</f>
        <v>Unique</v>
      </c>
      <c r="O87" s="27"/>
      <c r="P87" s="27"/>
    </row>
    <row r="88" spans="1:16" ht="40.75" customHeight="1" thickBot="1" x14ac:dyDescent="0.4">
      <c r="A88" s="28">
        <v>46280.375694444447</v>
      </c>
      <c r="B88" s="29" t="s">
        <v>11</v>
      </c>
      <c r="C88" s="29" t="s">
        <v>7</v>
      </c>
      <c r="D88" s="30">
        <v>10</v>
      </c>
      <c r="E88" s="30">
        <v>284.5</v>
      </c>
      <c r="F88" s="4">
        <v>6.9548872179999996</v>
      </c>
      <c r="G88" s="2" t="s">
        <v>98</v>
      </c>
      <c r="H88" s="5">
        <v>266</v>
      </c>
      <c r="I88" s="1" t="s">
        <v>8</v>
      </c>
      <c r="J88" s="25" t="s">
        <v>117</v>
      </c>
      <c r="K88" s="25" t="s">
        <v>272</v>
      </c>
      <c r="L88" s="25">
        <v>2610</v>
      </c>
      <c r="M88" s="25">
        <f t="shared" si="1"/>
        <v>235</v>
      </c>
      <c r="N88" s="27" t="str">
        <f>IF(COUNTIFS( $B$2:$B$666, B88, $C$2:$C$666, C88, $D$2:$D$666, D88, $E$2:$E$666, E88) &gt; 1, "Duplicate", "Unique")</f>
        <v>Unique</v>
      </c>
      <c r="O88" s="27"/>
      <c r="P88" s="27"/>
    </row>
    <row r="89" spans="1:16" ht="27.65" customHeight="1" thickBot="1" x14ac:dyDescent="0.4">
      <c r="A89" s="6" t="s">
        <v>61</v>
      </c>
      <c r="B89" s="1" t="s">
        <v>12</v>
      </c>
      <c r="C89" s="1" t="s">
        <v>10</v>
      </c>
      <c r="D89" s="4">
        <v>1</v>
      </c>
      <c r="E89" s="4">
        <v>4014</v>
      </c>
      <c r="F89" s="4">
        <v>-19.736052789999999</v>
      </c>
      <c r="G89" s="2" t="s">
        <v>97</v>
      </c>
      <c r="H89" s="5">
        <v>5001</v>
      </c>
      <c r="I89" s="1" t="s">
        <v>8</v>
      </c>
      <c r="J89" s="48"/>
      <c r="K89" s="16"/>
      <c r="L89" s="16"/>
      <c r="M89" s="16"/>
      <c r="N89" t="str">
        <f>IF(COUNTIFS( $B$2:$B$666, B89, $C$2:$C$666, C89, $D$2:$D$666, D89, $E$2:$E$666, E89) &gt; 1, "Duplicate", "Unique")</f>
        <v>Unique</v>
      </c>
      <c r="O89"/>
      <c r="P89"/>
    </row>
    <row r="90" spans="1:16" ht="40.75" customHeight="1" thickBot="1" x14ac:dyDescent="0.4">
      <c r="A90" s="46">
        <v>46304.375</v>
      </c>
      <c r="B90" s="2" t="s">
        <v>23</v>
      </c>
      <c r="C90" s="2" t="s">
        <v>7</v>
      </c>
      <c r="D90" s="5">
        <v>50</v>
      </c>
      <c r="E90" s="5">
        <v>201</v>
      </c>
      <c r="F90" s="4">
        <v>6.9831807540000002</v>
      </c>
      <c r="G90" s="2" t="s">
        <v>69</v>
      </c>
      <c r="H90" s="5">
        <v>187.88</v>
      </c>
      <c r="I90" s="1" t="s">
        <v>8</v>
      </c>
      <c r="J90" s="17" t="s">
        <v>117</v>
      </c>
      <c r="K90" s="17" t="s">
        <v>316</v>
      </c>
      <c r="L90" s="17">
        <v>9393.5</v>
      </c>
      <c r="M90" s="17">
        <f>ABS((D90*E90)-L90)</f>
        <v>656.5</v>
      </c>
      <c r="N90" t="str">
        <f>IF(COUNTIFS( $B$2:$B$666, B90, $C$2:$C$666, C90, $D$2:$D$666, D90, $E$2:$E$666, E90) &gt; 1, "Duplicate", "Unique")</f>
        <v>Unique</v>
      </c>
    </row>
    <row r="91" spans="1:16" ht="27.65" customHeight="1" thickBot="1" x14ac:dyDescent="0.4">
      <c r="A91" s="3">
        <v>46286.375694444447</v>
      </c>
      <c r="B91" s="1" t="s">
        <v>50</v>
      </c>
      <c r="C91" s="1" t="s">
        <v>7</v>
      </c>
      <c r="D91" s="4">
        <v>10</v>
      </c>
      <c r="E91" s="4">
        <v>927</v>
      </c>
      <c r="F91" s="4">
        <v>7.0438799080000001</v>
      </c>
      <c r="G91" s="2" t="s">
        <v>51</v>
      </c>
      <c r="H91" s="5">
        <v>866</v>
      </c>
      <c r="I91" s="1" t="s">
        <v>8</v>
      </c>
      <c r="J91" s="17" t="s">
        <v>116</v>
      </c>
      <c r="K91" s="17" t="s">
        <v>284</v>
      </c>
      <c r="L91" s="17">
        <f>26910/3</f>
        <v>8970</v>
      </c>
      <c r="M91" s="17">
        <f>ABS((D91*E91)-L91)</f>
        <v>300</v>
      </c>
      <c r="N91" s="10" t="str">
        <f>IF(COUNTIFS( $B$2:$B$666, B91, $C$2:$C$666, C91, $D$2:$D$666, D91, $E$2:$E$666, E91) &gt; 1, "Duplicate", "Unique")</f>
        <v>Unique</v>
      </c>
    </row>
    <row r="92" spans="1:16" s="27" customFormat="1" ht="40.75" customHeight="1" thickBot="1" x14ac:dyDescent="0.4">
      <c r="A92" s="46">
        <v>46293.375694444447</v>
      </c>
      <c r="B92" s="2" t="s">
        <v>42</v>
      </c>
      <c r="C92" s="2" t="s">
        <v>7</v>
      </c>
      <c r="D92" s="5">
        <v>5</v>
      </c>
      <c r="E92" s="5">
        <v>762</v>
      </c>
      <c r="F92" s="4">
        <v>7.0976809559999996</v>
      </c>
      <c r="G92" s="2" t="s">
        <v>43</v>
      </c>
      <c r="H92" s="5">
        <v>711.5</v>
      </c>
      <c r="I92" s="1" t="s">
        <v>8</v>
      </c>
      <c r="J92" s="17" t="s">
        <v>117</v>
      </c>
      <c r="K92" s="17" t="s">
        <v>294</v>
      </c>
      <c r="L92" s="17">
        <v>3560</v>
      </c>
      <c r="M92" s="17">
        <f>ABS((D92*E92)-L92)</f>
        <v>250</v>
      </c>
      <c r="N92" s="10" t="str">
        <f>IF(COUNTIFS( $B$2:$B$666, B92, $C$2:$C$666, C92, $D$2:$D$666, D92, $E$2:$E$666, E92) &gt; 1, "Duplicate", "Unique")</f>
        <v>Unique</v>
      </c>
      <c r="O92" s="10"/>
      <c r="P92" s="10"/>
    </row>
    <row r="93" spans="1:16" s="27" customFormat="1" ht="40.75" customHeight="1" thickBot="1" x14ac:dyDescent="0.4">
      <c r="A93" s="6" t="s">
        <v>61</v>
      </c>
      <c r="B93" s="1" t="s">
        <v>91</v>
      </c>
      <c r="C93" s="1" t="s">
        <v>10</v>
      </c>
      <c r="D93" s="4">
        <v>2</v>
      </c>
      <c r="E93" s="4">
        <v>2660</v>
      </c>
      <c r="F93" s="4">
        <v>-21.533923300000001</v>
      </c>
      <c r="G93" s="2" t="s">
        <v>92</v>
      </c>
      <c r="H93" s="5">
        <v>3390</v>
      </c>
      <c r="I93" s="1" t="s">
        <v>8</v>
      </c>
      <c r="J93" s="48"/>
      <c r="K93" s="16"/>
      <c r="L93" s="16"/>
      <c r="M93" s="16"/>
      <c r="N93" t="str">
        <f>IF(COUNTIFS( $B$2:$B$666, B93, $C$2:$C$666, C93, $D$2:$D$666, D93, $E$2:$E$666, E93) &gt; 1, "Duplicate", "Unique")</f>
        <v>Unique</v>
      </c>
      <c r="O93"/>
      <c r="P93"/>
    </row>
    <row r="94" spans="1:16" ht="27.65" customHeight="1" thickBot="1" x14ac:dyDescent="0.4">
      <c r="A94" s="3">
        <v>46276.375</v>
      </c>
      <c r="B94" s="1" t="s">
        <v>17</v>
      </c>
      <c r="C94" s="1" t="s">
        <v>7</v>
      </c>
      <c r="D94" s="4">
        <v>25</v>
      </c>
      <c r="E94" s="4">
        <v>358</v>
      </c>
      <c r="F94" s="4">
        <v>7.1856287429999997</v>
      </c>
      <c r="G94" s="2" t="s">
        <v>76</v>
      </c>
      <c r="H94" s="5">
        <v>334</v>
      </c>
      <c r="I94" s="1" t="s">
        <v>8</v>
      </c>
      <c r="J94" s="17" t="s">
        <v>116</v>
      </c>
      <c r="K94" s="17" t="s">
        <v>267</v>
      </c>
      <c r="L94" s="17">
        <v>8700</v>
      </c>
      <c r="M94" s="17">
        <f>ABS((D94*E94)-L94)</f>
        <v>250</v>
      </c>
      <c r="N94" s="10" t="str">
        <f>IF(COUNTIFS( $B$2:$B$666, B94, $C$2:$C$666, C94, $D$2:$D$666, D94, $E$2:$E$666, E94) &gt; 1, "Duplicate", "Unique")</f>
        <v>Unique</v>
      </c>
    </row>
    <row r="95" spans="1:16" ht="27.65" customHeight="1" thickBot="1" x14ac:dyDescent="0.4">
      <c r="A95" s="3">
        <v>46301.375</v>
      </c>
      <c r="B95" s="1" t="s">
        <v>32</v>
      </c>
      <c r="C95" s="1" t="s">
        <v>7</v>
      </c>
      <c r="D95" s="4">
        <v>3</v>
      </c>
      <c r="E95" s="4">
        <v>2448</v>
      </c>
      <c r="F95" s="4">
        <v>7.2273324570000002</v>
      </c>
      <c r="G95" s="2" t="s">
        <v>83</v>
      </c>
      <c r="H95" s="5">
        <v>2283</v>
      </c>
      <c r="I95" s="1" t="s">
        <v>8</v>
      </c>
      <c r="J95" s="17" t="s">
        <v>117</v>
      </c>
      <c r="K95" s="17" t="s">
        <v>304</v>
      </c>
      <c r="L95" s="17">
        <f>3*2300</f>
        <v>6900</v>
      </c>
      <c r="M95" s="17">
        <f>ABS((D95*E95)-L95)</f>
        <v>444</v>
      </c>
      <c r="N95" t="str">
        <f>IF(COUNTIFS( $B$2:$B$666, B95, $C$2:$C$666, C95, $D$2:$D$666, D95, $E$2:$E$666, E95) &gt; 1, "Duplicate", "Unique")</f>
        <v>Unique</v>
      </c>
    </row>
    <row r="96" spans="1:16" ht="40.75" customHeight="1" thickBot="1" x14ac:dyDescent="0.4">
      <c r="A96" s="6" t="s">
        <v>61</v>
      </c>
      <c r="B96" s="1" t="s">
        <v>114</v>
      </c>
      <c r="C96" s="1" t="s">
        <v>10</v>
      </c>
      <c r="D96" s="4">
        <v>2</v>
      </c>
      <c r="E96" s="4">
        <v>660</v>
      </c>
      <c r="F96" s="4">
        <v>-24.26850258</v>
      </c>
      <c r="G96" s="2" t="s">
        <v>115</v>
      </c>
      <c r="H96" s="5">
        <v>871.5</v>
      </c>
      <c r="I96" s="1" t="s">
        <v>8</v>
      </c>
      <c r="J96" s="48" t="s">
        <v>40</v>
      </c>
      <c r="K96" s="16"/>
      <c r="L96" s="16"/>
      <c r="M96" s="16"/>
      <c r="N96" t="str">
        <f>IF(COUNTIFS( $B$2:$B$666, B96, $C$2:$C$666, C96, $D$2:$D$666, D96, $E$2:$E$666, E96) &gt; 1, "Duplicate", "Unique")</f>
        <v>Unique</v>
      </c>
      <c r="O96"/>
      <c r="P96"/>
    </row>
    <row r="97" spans="1:16" ht="40.75" customHeight="1" thickBot="1" x14ac:dyDescent="0.4">
      <c r="A97" s="53">
        <v>46302</v>
      </c>
      <c r="B97" s="1" t="s">
        <v>22</v>
      </c>
      <c r="C97" s="1" t="s">
        <v>7</v>
      </c>
      <c r="D97" s="4">
        <v>15</v>
      </c>
      <c r="E97" s="4">
        <v>421</v>
      </c>
      <c r="F97" s="4">
        <v>7.2884811420000002</v>
      </c>
      <c r="G97" s="2" t="s">
        <v>72</v>
      </c>
      <c r="H97" s="5">
        <v>392.4</v>
      </c>
      <c r="I97" s="1" t="s">
        <v>8</v>
      </c>
      <c r="J97" s="49" t="s">
        <v>116</v>
      </c>
      <c r="K97" s="16"/>
      <c r="L97" s="16"/>
      <c r="M97" s="16"/>
      <c r="N97" t="str">
        <f>IF(COUNTIFS( $B$2:$B$666, B97, $C$2:$C$666, C97, $D$2:$D$666, D97, $E$2:$E$666, E97) &gt; 1, "Duplicate", "Unique")</f>
        <v>Unique</v>
      </c>
      <c r="O97"/>
    </row>
    <row r="98" spans="1:16" ht="27.65" customHeight="1" thickBot="1" x14ac:dyDescent="0.4">
      <c r="A98" s="3">
        <v>46294.375</v>
      </c>
      <c r="B98" s="2" t="s">
        <v>35</v>
      </c>
      <c r="C98" s="2" t="s">
        <v>7</v>
      </c>
      <c r="D98" s="5">
        <v>5</v>
      </c>
      <c r="E98" s="5">
        <v>1143</v>
      </c>
      <c r="F98" s="4">
        <v>8.1362346260000002</v>
      </c>
      <c r="G98" s="2" t="s">
        <v>64</v>
      </c>
      <c r="H98" s="5">
        <v>1057</v>
      </c>
      <c r="I98" s="1" t="s">
        <v>8</v>
      </c>
      <c r="J98" s="17" t="s">
        <v>117</v>
      </c>
      <c r="K98" s="17" t="s">
        <v>297</v>
      </c>
      <c r="L98" s="17">
        <v>5450</v>
      </c>
      <c r="M98" s="17">
        <f>ABS((D98*E98)-L98)</f>
        <v>265</v>
      </c>
      <c r="N98" s="10" t="str">
        <f>IF(COUNTIFS( $B$2:$B$666, B98, $C$2:$C$666, C98, $D$2:$D$666, D98, $E$2:$E$666, E98) &gt; 1, "Duplicate", "Unique")</f>
        <v>Unique</v>
      </c>
    </row>
    <row r="99" spans="1:16" ht="27.65" customHeight="1" thickBot="1" x14ac:dyDescent="0.4">
      <c r="A99" s="3">
        <v>46260.425694444442</v>
      </c>
      <c r="B99" s="1" t="s">
        <v>13</v>
      </c>
      <c r="C99" s="1" t="s">
        <v>7</v>
      </c>
      <c r="D99" s="4">
        <v>20</v>
      </c>
      <c r="E99" s="4">
        <v>1924</v>
      </c>
      <c r="F99" s="4">
        <v>8.1506464310000002</v>
      </c>
      <c r="G99" s="2" t="s">
        <v>90</v>
      </c>
      <c r="H99" s="5">
        <v>1779</v>
      </c>
      <c r="I99" s="1" t="s">
        <v>8</v>
      </c>
      <c r="J99" s="17" t="s">
        <v>117</v>
      </c>
      <c r="K99" s="17" t="s">
        <v>167</v>
      </c>
      <c r="L99" s="17">
        <v>37480</v>
      </c>
      <c r="M99" s="17">
        <f>ABS((D99*E99)-L99)</f>
        <v>1000</v>
      </c>
      <c r="N99" t="str">
        <f>IF(COUNTIFS( $B$2:$B$666, B99, $C$2:$C$666, C99, $D$2:$D$666, D99, $E$2:$E$666, E99) &gt; 1, "Duplicate", "Unique")</f>
        <v>Unique</v>
      </c>
      <c r="P99" s="27"/>
    </row>
    <row r="100" spans="1:16" ht="40.75" customHeight="1" thickBot="1" x14ac:dyDescent="0.4">
      <c r="A100" s="11">
        <v>46273.375</v>
      </c>
      <c r="B100" s="8" t="s">
        <v>50</v>
      </c>
      <c r="C100" s="8" t="s">
        <v>7</v>
      </c>
      <c r="D100" s="8">
        <v>10</v>
      </c>
      <c r="E100" s="8">
        <v>937</v>
      </c>
      <c r="F100" s="4">
        <v>8.1986143190000007</v>
      </c>
      <c r="G100" s="2" t="s">
        <v>51</v>
      </c>
      <c r="H100" s="5">
        <v>866</v>
      </c>
      <c r="I100" s="1" t="s">
        <v>8</v>
      </c>
      <c r="J100" s="17" t="s">
        <v>152</v>
      </c>
      <c r="K100" s="17" t="s">
        <v>248</v>
      </c>
      <c r="L100" s="17">
        <v>9170</v>
      </c>
      <c r="M100" s="25">
        <f>ABS((D100*E100)-L100)</f>
        <v>200</v>
      </c>
      <c r="N100" s="10" t="str">
        <f>IF(COUNTIFS( $B$2:$B$666, B100, $C$2:$C$666, C100, $D$2:$D$666, D100, $E$2:$E$666, E100) &gt; 1, "Duplicate", "Unique")</f>
        <v>Unique</v>
      </c>
      <c r="O100" s="36" t="s">
        <v>238</v>
      </c>
    </row>
    <row r="101" spans="1:16" ht="40.75" customHeight="1" thickBot="1" x14ac:dyDescent="0.4">
      <c r="A101" s="3">
        <v>46275.375</v>
      </c>
      <c r="B101" s="1" t="s">
        <v>21</v>
      </c>
      <c r="C101" s="1" t="s">
        <v>7</v>
      </c>
      <c r="D101" s="4">
        <v>5</v>
      </c>
      <c r="E101" s="4">
        <v>710</v>
      </c>
      <c r="F101" s="4">
        <v>8.2069648710000003</v>
      </c>
      <c r="G101" s="2" t="s">
        <v>75</v>
      </c>
      <c r="H101" s="5">
        <v>656.15</v>
      </c>
      <c r="I101" s="1" t="s">
        <v>8</v>
      </c>
      <c r="J101" s="17" t="s">
        <v>117</v>
      </c>
      <c r="K101" s="17" t="s">
        <v>256</v>
      </c>
      <c r="L101" s="17">
        <v>3300</v>
      </c>
      <c r="M101" s="17">
        <f>ABS((D101*E101)-L101)</f>
        <v>250</v>
      </c>
      <c r="N101" s="10" t="str">
        <f>IF(COUNTIFS( $B$2:$B$666, B101, $C$2:$C$666, C101, $D$2:$D$666, D101, $E$2:$E$666, E101) &gt; 1, "Duplicate", "Unique")</f>
        <v>Unique</v>
      </c>
    </row>
    <row r="102" spans="1:16" ht="40.75" customHeight="1" thickBot="1" x14ac:dyDescent="0.4">
      <c r="A102" s="11">
        <v>46252.6875</v>
      </c>
      <c r="B102" s="8" t="s">
        <v>9</v>
      </c>
      <c r="C102" s="8" t="s">
        <v>7</v>
      </c>
      <c r="D102" s="8">
        <v>50</v>
      </c>
      <c r="E102" s="8">
        <v>305</v>
      </c>
      <c r="F102" s="4">
        <v>8.2327892120000001</v>
      </c>
      <c r="G102" s="2" t="s">
        <v>94</v>
      </c>
      <c r="H102" s="5">
        <v>281.8</v>
      </c>
      <c r="I102" s="1" t="s">
        <v>8</v>
      </c>
      <c r="J102" s="32" t="s">
        <v>117</v>
      </c>
      <c r="N102" s="10" t="str">
        <f>IF(COUNTIFS( $B$2:$B$666, B102, $C$2:$C$666, C102, $D$2:$D$666, D102, $E$2:$E$666, E102) &gt; 1, "Duplicate", "Unique")</f>
        <v>Unique</v>
      </c>
    </row>
    <row r="103" spans="1:16" ht="27.65" customHeight="1" thickBot="1" x14ac:dyDescent="0.4">
      <c r="A103" s="8" t="s">
        <v>61</v>
      </c>
      <c r="B103" s="8" t="s">
        <v>137</v>
      </c>
      <c r="C103" s="8" t="s">
        <v>7</v>
      </c>
      <c r="D103" s="8">
        <v>50</v>
      </c>
      <c r="E103" s="12">
        <v>470</v>
      </c>
      <c r="F103" s="4">
        <v>8.469882299</v>
      </c>
      <c r="G103" s="2" t="s">
        <v>138</v>
      </c>
      <c r="H103" s="5">
        <v>433.3</v>
      </c>
      <c r="I103" s="1" t="s">
        <v>8</v>
      </c>
      <c r="J103" s="32" t="s">
        <v>116</v>
      </c>
      <c r="N103" s="10" t="str">
        <f>IF(COUNTIFS( $B$2:$B$666, B103, $C$2:$C$666, C103, $D$2:$D$666, D103, $E$2:$E$666, E103) &gt; 1, "Duplicate", "Unique")</f>
        <v>Unique</v>
      </c>
    </row>
    <row r="104" spans="1:16" s="27" customFormat="1" ht="27.65" customHeight="1" thickBot="1" x14ac:dyDescent="0.4">
      <c r="A104" s="3">
        <v>46268.375</v>
      </c>
      <c r="B104" s="1" t="s">
        <v>14</v>
      </c>
      <c r="C104" s="1" t="s">
        <v>7</v>
      </c>
      <c r="D104" s="4">
        <v>100</v>
      </c>
      <c r="E104" s="4">
        <v>334</v>
      </c>
      <c r="F104" s="4">
        <v>8.4767781749999997</v>
      </c>
      <c r="G104" s="2" t="s">
        <v>44</v>
      </c>
      <c r="H104" s="5">
        <v>307.89999999999998</v>
      </c>
      <c r="I104" s="1" t="s">
        <v>8</v>
      </c>
      <c r="J104" s="17" t="s">
        <v>116</v>
      </c>
      <c r="K104" s="17" t="s">
        <v>230</v>
      </c>
      <c r="L104" s="17">
        <v>32200</v>
      </c>
      <c r="M104" s="17">
        <f>ABS((D104*E104)-L104)</f>
        <v>1200</v>
      </c>
      <c r="N104" s="10" t="str">
        <f>IF(COUNTIFS( $B$2:$B$666, B104, $C$2:$C$666, C104, $D$2:$D$666, D104, $E$2:$E$666, E104) &gt; 1, "Duplicate", "Unique")</f>
        <v>Unique</v>
      </c>
      <c r="O104" s="36" t="s">
        <v>238</v>
      </c>
      <c r="P104" s="10"/>
    </row>
    <row r="105" spans="1:16" ht="40.75" customHeight="1" thickBot="1" x14ac:dyDescent="0.4">
      <c r="A105" s="6" t="s">
        <v>61</v>
      </c>
      <c r="B105" s="1" t="s">
        <v>91</v>
      </c>
      <c r="C105" s="1" t="s">
        <v>10</v>
      </c>
      <c r="D105" s="4">
        <v>2</v>
      </c>
      <c r="E105" s="4">
        <v>2560</v>
      </c>
      <c r="F105" s="4">
        <v>-24.483775810000001</v>
      </c>
      <c r="G105" s="2" t="s">
        <v>92</v>
      </c>
      <c r="H105" s="5">
        <v>3390</v>
      </c>
      <c r="I105" s="1" t="s">
        <v>8</v>
      </c>
      <c r="J105" s="48" t="s">
        <v>40</v>
      </c>
      <c r="K105" s="16"/>
      <c r="L105" s="16"/>
      <c r="M105" s="16"/>
      <c r="N105" t="str">
        <f>IF(COUNTIFS( $B$2:$B$666, B105, $C$2:$C$666, C105, $D$2:$D$666, D105, $E$2:$E$666, E105) &gt; 1, "Duplicate", "Unique")</f>
        <v>Unique</v>
      </c>
      <c r="O105"/>
      <c r="P105"/>
    </row>
    <row r="106" spans="1:16" ht="40.75" customHeight="1" thickBot="1" x14ac:dyDescent="0.4">
      <c r="A106" s="8" t="s">
        <v>61</v>
      </c>
      <c r="B106" s="8" t="s">
        <v>42</v>
      </c>
      <c r="C106" s="8" t="s">
        <v>7</v>
      </c>
      <c r="D106" s="8">
        <v>10</v>
      </c>
      <c r="E106" s="8">
        <v>773</v>
      </c>
      <c r="F106" s="4">
        <v>8.6437104710000003</v>
      </c>
      <c r="G106" s="2" t="s">
        <v>43</v>
      </c>
      <c r="H106" s="5">
        <v>711.5</v>
      </c>
      <c r="I106" s="1" t="s">
        <v>8</v>
      </c>
      <c r="J106" s="32" t="s">
        <v>117</v>
      </c>
      <c r="N106" s="10" t="str">
        <f>IF(COUNTIFS( $B$2:$B$666, B106, $C$2:$C$666, C106, $D$2:$D$666, D106, $E$2:$E$666, E106) &gt; 1, "Duplicate", "Unique")</f>
        <v>Unique</v>
      </c>
    </row>
    <row r="107" spans="1:16" ht="27.65" customHeight="1" thickBot="1" x14ac:dyDescent="0.4">
      <c r="A107" s="3">
        <v>46267.375</v>
      </c>
      <c r="B107" s="1" t="s">
        <v>81</v>
      </c>
      <c r="C107" s="1" t="s">
        <v>7</v>
      </c>
      <c r="D107" s="4">
        <v>2</v>
      </c>
      <c r="E107" s="4">
        <v>4290</v>
      </c>
      <c r="F107" s="4">
        <v>8.8749587590000001</v>
      </c>
      <c r="G107" s="2" t="s">
        <v>82</v>
      </c>
      <c r="H107" s="5">
        <v>3940.3</v>
      </c>
      <c r="I107" s="1" t="s">
        <v>8</v>
      </c>
      <c r="J107" s="21" t="s">
        <v>117</v>
      </c>
      <c r="K107" s="17" t="s">
        <v>223</v>
      </c>
      <c r="L107" s="17">
        <v>8220</v>
      </c>
      <c r="M107" s="17">
        <f>ABS((D107*E107)-L107)</f>
        <v>360</v>
      </c>
      <c r="N107" s="10" t="str">
        <f>IF(COUNTIFS( $B$2:$B$666, B107, $C$2:$C$666, C107, $D$2:$D$666, D107, $E$2:$E$666, E107) &gt; 1, "Duplicate", "Unique")</f>
        <v>Unique</v>
      </c>
      <c r="O107" s="36" t="s">
        <v>238</v>
      </c>
    </row>
    <row r="108" spans="1:16" ht="27.65" customHeight="1" thickBot="1" x14ac:dyDescent="0.4">
      <c r="A108" s="3">
        <v>46269.643055555556</v>
      </c>
      <c r="B108" s="1" t="s">
        <v>12</v>
      </c>
      <c r="C108" s="1" t="s">
        <v>7</v>
      </c>
      <c r="D108" s="4">
        <v>1</v>
      </c>
      <c r="E108" s="4">
        <v>5448</v>
      </c>
      <c r="F108" s="4">
        <v>8.9382123579999995</v>
      </c>
      <c r="G108" s="2" t="s">
        <v>97</v>
      </c>
      <c r="H108" s="5">
        <v>5001</v>
      </c>
      <c r="I108" s="1" t="s">
        <v>8</v>
      </c>
      <c r="J108" s="17" t="s">
        <v>117</v>
      </c>
      <c r="K108" s="17" t="s">
        <v>232</v>
      </c>
      <c r="L108" s="17">
        <v>5180</v>
      </c>
      <c r="M108" s="24">
        <f>ABS((D108*E108)-L108)</f>
        <v>268</v>
      </c>
      <c r="N108" t="str">
        <f>IF(COUNTIFS( $B$2:$B$666, B108, $C$2:$C$666, C108, $D$2:$D$666, D108, $E$2:$E$666, E108) &gt; 1, "Duplicate", "Unique")</f>
        <v>Unique</v>
      </c>
    </row>
    <row r="109" spans="1:16" s="27" customFormat="1" ht="27.65" customHeight="1" thickBot="1" x14ac:dyDescent="0.4">
      <c r="A109" s="46">
        <v>46293.375</v>
      </c>
      <c r="B109" s="2" t="s">
        <v>65</v>
      </c>
      <c r="C109" s="2" t="s">
        <v>7</v>
      </c>
      <c r="D109" s="5">
        <v>10</v>
      </c>
      <c r="E109" s="5">
        <v>1166</v>
      </c>
      <c r="F109" s="4">
        <v>9.0025240719999999</v>
      </c>
      <c r="G109" s="2" t="s">
        <v>66</v>
      </c>
      <c r="H109" s="5">
        <v>1069.7</v>
      </c>
      <c r="I109" s="1" t="s">
        <v>8</v>
      </c>
      <c r="J109" s="17" t="s">
        <v>116</v>
      </c>
      <c r="K109" s="17" t="s">
        <v>293</v>
      </c>
      <c r="L109" s="17">
        <v>11360</v>
      </c>
      <c r="M109" s="17">
        <f>ABS((D109*E109)-L109)</f>
        <v>300</v>
      </c>
      <c r="N109" s="10" t="str">
        <f>IF(COUNTIFS( $B$2:$B$666, B109, $C$2:$C$666, C109, $D$2:$D$666, D109, $E$2:$E$666, E109) &gt; 1, "Duplicate", "Unique")</f>
        <v>Unique</v>
      </c>
      <c r="O109" s="10"/>
      <c r="P109" s="10"/>
    </row>
    <row r="110" spans="1:16" ht="27.65" customHeight="1" thickBot="1" x14ac:dyDescent="0.4">
      <c r="A110" s="46">
        <v>46296.443055555559</v>
      </c>
      <c r="B110" s="2" t="s">
        <v>15</v>
      </c>
      <c r="C110" s="2" t="s">
        <v>7</v>
      </c>
      <c r="D110" s="5">
        <v>5</v>
      </c>
      <c r="E110" s="5">
        <v>2276</v>
      </c>
      <c r="F110" s="4">
        <v>9.0351633610000004</v>
      </c>
      <c r="G110" s="2" t="s">
        <v>71</v>
      </c>
      <c r="H110" s="5">
        <v>2087.4</v>
      </c>
      <c r="I110" s="1" t="s">
        <v>8</v>
      </c>
      <c r="J110" s="17" t="s">
        <v>117</v>
      </c>
      <c r="K110" s="17" t="s">
        <v>301</v>
      </c>
      <c r="L110" s="17">
        <v>10725.5</v>
      </c>
      <c r="M110" s="17">
        <f>ABS((D110*E110)-L110)</f>
        <v>654.5</v>
      </c>
      <c r="N110" s="10" t="str">
        <f>IF(COUNTIFS( $B$2:$B$666, B110, $C$2:$C$666, C110, $D$2:$D$666, D110, $E$2:$E$666, E110) &gt; 1, "Duplicate", "Unique")</f>
        <v>Unique</v>
      </c>
      <c r="O110" s="36" t="s">
        <v>238</v>
      </c>
    </row>
    <row r="111" spans="1:16" ht="27.65" customHeight="1" thickBot="1" x14ac:dyDescent="0.4">
      <c r="A111" s="8" t="s">
        <v>61</v>
      </c>
      <c r="B111" s="8" t="s">
        <v>73</v>
      </c>
      <c r="C111" s="8" t="s">
        <v>7</v>
      </c>
      <c r="D111" s="8">
        <v>5</v>
      </c>
      <c r="E111" s="8">
        <v>3633</v>
      </c>
      <c r="F111" s="4">
        <v>9.0925469939999992</v>
      </c>
      <c r="G111" s="2" t="s">
        <v>74</v>
      </c>
      <c r="H111" s="5">
        <v>3330.2</v>
      </c>
      <c r="I111" s="1" t="s">
        <v>8</v>
      </c>
      <c r="J111" s="32"/>
      <c r="N111" s="10" t="str">
        <f>IF(COUNTIFS( $B$2:$B$666, B111, $C$2:$C$666, C111, $D$2:$D$666, D111, $E$2:$E$666, E111) &gt; 1, "Duplicate", "Unique")</f>
        <v>Unique</v>
      </c>
    </row>
    <row r="112" spans="1:16" ht="27.65" customHeight="1" thickBot="1" x14ac:dyDescent="0.4">
      <c r="A112" s="11">
        <v>46273.375</v>
      </c>
      <c r="B112" s="8" t="s">
        <v>50</v>
      </c>
      <c r="C112" s="8" t="s">
        <v>7</v>
      </c>
      <c r="D112" s="8">
        <v>10</v>
      </c>
      <c r="E112" s="8">
        <v>947</v>
      </c>
      <c r="F112" s="4">
        <v>9.3533487300000004</v>
      </c>
      <c r="G112" s="2" t="s">
        <v>51</v>
      </c>
      <c r="H112" s="5">
        <v>866</v>
      </c>
      <c r="I112" s="1" t="s">
        <v>8</v>
      </c>
      <c r="J112" s="17" t="s">
        <v>152</v>
      </c>
      <c r="K112" s="17" t="s">
        <v>248</v>
      </c>
      <c r="L112" s="17">
        <v>9170</v>
      </c>
      <c r="M112" s="25">
        <f t="shared" ref="M112:M122" si="2">ABS((D112*E112)-L112)</f>
        <v>300</v>
      </c>
      <c r="N112" s="10" t="str">
        <f>IF(COUNTIFS( $B$2:$B$666, B112, $C$2:$C$666, C112, $D$2:$D$666, D112, $E$2:$E$666, E112) &gt; 1, "Duplicate", "Unique")</f>
        <v>Unique</v>
      </c>
    </row>
    <row r="113" spans="1:16" s="23" customFormat="1" ht="40.75" customHeight="1" thickBot="1" x14ac:dyDescent="0.4">
      <c r="A113" s="3">
        <v>46280.435416666667</v>
      </c>
      <c r="B113" s="1" t="s">
        <v>67</v>
      </c>
      <c r="C113" s="1" t="s">
        <v>7</v>
      </c>
      <c r="D113" s="4">
        <v>50</v>
      </c>
      <c r="E113" s="4">
        <v>409</v>
      </c>
      <c r="F113" s="4">
        <v>9.3875367749999992</v>
      </c>
      <c r="G113" s="2" t="s">
        <v>68</v>
      </c>
      <c r="H113" s="5">
        <v>373.9</v>
      </c>
      <c r="I113" s="1" t="s">
        <v>8</v>
      </c>
      <c r="J113" s="17" t="s">
        <v>116</v>
      </c>
      <c r="K113" s="17" t="s">
        <v>271</v>
      </c>
      <c r="L113" s="17">
        <v>39300</v>
      </c>
      <c r="M113" s="17">
        <f t="shared" si="2"/>
        <v>18850</v>
      </c>
      <c r="N113" s="10" t="str">
        <f>IF(COUNTIFS( $B$2:$B$666, B113, $C$2:$C$666, C113, $D$2:$D$666, D113, $E$2:$E$666, E113) &gt; 1, "Duplicate", "Unique")</f>
        <v>Unique</v>
      </c>
      <c r="O113" s="10"/>
      <c r="P113" s="10"/>
    </row>
    <row r="114" spans="1:16" ht="40.75" customHeight="1" thickBot="1" x14ac:dyDescent="0.4">
      <c r="A114" s="3">
        <v>46259.388194444444</v>
      </c>
      <c r="B114" s="1" t="s">
        <v>13</v>
      </c>
      <c r="C114" s="1" t="s">
        <v>7</v>
      </c>
      <c r="D114" s="4">
        <v>20</v>
      </c>
      <c r="E114" s="4">
        <v>1948</v>
      </c>
      <c r="F114" s="4">
        <v>9.4997189429999995</v>
      </c>
      <c r="G114" s="2" t="s">
        <v>90</v>
      </c>
      <c r="H114" s="5">
        <v>1779</v>
      </c>
      <c r="I114" s="1" t="s">
        <v>8</v>
      </c>
      <c r="J114" s="17" t="s">
        <v>116</v>
      </c>
      <c r="K114" s="17" t="s">
        <v>160</v>
      </c>
      <c r="L114" s="17">
        <v>38020</v>
      </c>
      <c r="M114" s="17">
        <f t="shared" si="2"/>
        <v>940</v>
      </c>
      <c r="N114" s="10" t="str">
        <f>IF(COUNTIFS( $B$2:$B$666, B114, $C$2:$C$666, C114, $D$2:$D$666, D114, $E$2:$E$666, E114) &gt; 1, "Duplicate", "Unique")</f>
        <v>Unique</v>
      </c>
    </row>
    <row r="115" spans="1:16" ht="40.75" customHeight="1" thickBot="1" x14ac:dyDescent="0.4">
      <c r="A115" s="3">
        <v>46267.461111111108</v>
      </c>
      <c r="B115" s="1" t="s">
        <v>14</v>
      </c>
      <c r="C115" s="1" t="s">
        <v>7</v>
      </c>
      <c r="D115" s="4">
        <v>100</v>
      </c>
      <c r="E115" s="4">
        <v>339</v>
      </c>
      <c r="F115" s="4">
        <v>10.100682040000001</v>
      </c>
      <c r="G115" s="2" t="s">
        <v>44</v>
      </c>
      <c r="H115" s="5">
        <v>307.89999999999998</v>
      </c>
      <c r="I115" s="1" t="s">
        <v>8</v>
      </c>
      <c r="J115" s="17" t="s">
        <v>116</v>
      </c>
      <c r="K115" s="17" t="s">
        <v>219</v>
      </c>
      <c r="L115" s="17">
        <v>32900</v>
      </c>
      <c r="M115" s="17">
        <f t="shared" si="2"/>
        <v>1000</v>
      </c>
      <c r="N115" s="10" t="str">
        <f>IF(COUNTIFS( $B$2:$B$666, B115, $C$2:$C$666, C115, $D$2:$D$666, D115, $E$2:$E$666, E115) &gt; 1, "Duplicate", "Unique")</f>
        <v>Unique</v>
      </c>
    </row>
    <row r="116" spans="1:16" s="27" customFormat="1" ht="27.65" customHeight="1" thickBot="1" x14ac:dyDescent="0.4">
      <c r="A116" s="46">
        <v>46289.390277777777</v>
      </c>
      <c r="B116" s="2" t="s">
        <v>58</v>
      </c>
      <c r="C116" s="2" t="s">
        <v>7</v>
      </c>
      <c r="D116" s="5">
        <v>10</v>
      </c>
      <c r="E116" s="5">
        <v>1054</v>
      </c>
      <c r="F116" s="4">
        <v>10.10707757</v>
      </c>
      <c r="G116" s="2" t="s">
        <v>59</v>
      </c>
      <c r="H116" s="5">
        <v>957.25</v>
      </c>
      <c r="I116" s="1" t="s">
        <v>8</v>
      </c>
      <c r="J116" s="17" t="s">
        <v>117</v>
      </c>
      <c r="K116" s="17" t="s">
        <v>286</v>
      </c>
      <c r="L116" s="17">
        <v>9886</v>
      </c>
      <c r="M116" s="17">
        <f t="shared" si="2"/>
        <v>654</v>
      </c>
      <c r="N116" s="10" t="str">
        <f>IF(COUNTIFS( $B$2:$B$666, B116, $C$2:$C$666, C116, $D$2:$D$666, D116, $E$2:$E$666, E116) &gt; 1, "Duplicate", "Unique")</f>
        <v>Unique</v>
      </c>
      <c r="O116" s="10"/>
      <c r="P116" s="10"/>
    </row>
    <row r="117" spans="1:16" ht="27.65" customHeight="1" thickBot="1" x14ac:dyDescent="0.4">
      <c r="A117" s="3">
        <v>46267.375</v>
      </c>
      <c r="B117" s="1" t="s">
        <v>50</v>
      </c>
      <c r="C117" s="1" t="s">
        <v>7</v>
      </c>
      <c r="D117" s="4">
        <v>10</v>
      </c>
      <c r="E117" s="4">
        <v>957</v>
      </c>
      <c r="F117" s="4">
        <v>10.50808314</v>
      </c>
      <c r="G117" s="2" t="s">
        <v>51</v>
      </c>
      <c r="H117" s="5">
        <v>866</v>
      </c>
      <c r="I117" s="1" t="s">
        <v>8</v>
      </c>
      <c r="J117" s="17" t="s">
        <v>116</v>
      </c>
      <c r="K117" s="17" t="s">
        <v>227</v>
      </c>
      <c r="L117" s="17">
        <v>9270</v>
      </c>
      <c r="M117" s="17">
        <f t="shared" si="2"/>
        <v>300</v>
      </c>
      <c r="N117" s="10" t="str">
        <f>IF(COUNTIFS( $B$2:$B$666, B117, $C$2:$C$666, C117, $D$2:$D$666, D117, $E$2:$E$666, E117) &gt; 1, "Duplicate", "Unique")</f>
        <v>Unique</v>
      </c>
      <c r="P117" s="18"/>
    </row>
    <row r="118" spans="1:16" ht="40.75" customHeight="1" thickBot="1" x14ac:dyDescent="0.4">
      <c r="A118" s="3">
        <v>46294.375</v>
      </c>
      <c r="B118" s="2" t="s">
        <v>280</v>
      </c>
      <c r="C118" s="2" t="s">
        <v>7</v>
      </c>
      <c r="D118" s="5">
        <v>2</v>
      </c>
      <c r="E118" s="5">
        <v>1740</v>
      </c>
      <c r="F118" s="4">
        <v>10.609624309999999</v>
      </c>
      <c r="G118" s="2" t="s">
        <v>282</v>
      </c>
      <c r="H118" s="5">
        <v>1573.1</v>
      </c>
      <c r="I118" s="1" t="s">
        <v>8</v>
      </c>
      <c r="J118" s="17" t="s">
        <v>117</v>
      </c>
      <c r="K118" s="17" t="s">
        <v>298</v>
      </c>
      <c r="L118" s="17">
        <v>3180</v>
      </c>
      <c r="M118" s="17">
        <f t="shared" si="2"/>
        <v>300</v>
      </c>
      <c r="N118" s="10" t="str">
        <f>IF(COUNTIFS( $B$2:$B$666, B118, $C$2:$C$666, C118, $D$2:$D$666, D118, $E$2:$E$666, E118) &gt; 1, "Duplicate", "Unique")</f>
        <v>Unique</v>
      </c>
    </row>
    <row r="119" spans="1:16" ht="27.65" customHeight="1" thickBot="1" x14ac:dyDescent="0.4">
      <c r="A119" s="3">
        <v>46262.375</v>
      </c>
      <c r="B119" s="1" t="s">
        <v>81</v>
      </c>
      <c r="C119" s="1" t="s">
        <v>7</v>
      </c>
      <c r="D119" s="4">
        <v>2</v>
      </c>
      <c r="E119" s="4">
        <v>4360</v>
      </c>
      <c r="F119" s="4">
        <v>10.65147324</v>
      </c>
      <c r="G119" s="2" t="s">
        <v>82</v>
      </c>
      <c r="H119" s="5">
        <v>3940.3</v>
      </c>
      <c r="I119" s="1" t="s">
        <v>8</v>
      </c>
      <c r="J119" s="17" t="s">
        <v>117</v>
      </c>
      <c r="K119" s="17" t="s">
        <v>184</v>
      </c>
      <c r="L119" s="17">
        <v>8420</v>
      </c>
      <c r="M119" s="17">
        <f t="shared" si="2"/>
        <v>300</v>
      </c>
      <c r="N119" s="10" t="str">
        <f>IF(COUNTIFS( $B$2:$B$666, B119, $C$2:$C$666, C119, $D$2:$D$666, D119, $E$2:$E$666, E119) &gt; 1, "Duplicate", "Unique")</f>
        <v>Unique</v>
      </c>
    </row>
    <row r="120" spans="1:16" ht="40.75" customHeight="1" thickBot="1" x14ac:dyDescent="0.4">
      <c r="A120" s="3">
        <v>46267.375</v>
      </c>
      <c r="B120" s="1" t="s">
        <v>14</v>
      </c>
      <c r="C120" s="1" t="s">
        <v>7</v>
      </c>
      <c r="D120" s="4">
        <v>50</v>
      </c>
      <c r="E120" s="4">
        <v>341</v>
      </c>
      <c r="F120" s="4">
        <v>10.75024359</v>
      </c>
      <c r="G120" s="2" t="s">
        <v>44</v>
      </c>
      <c r="H120" s="5">
        <v>307.89999999999998</v>
      </c>
      <c r="I120" s="1" t="s">
        <v>8</v>
      </c>
      <c r="J120" s="17" t="s">
        <v>116</v>
      </c>
      <c r="K120" s="17" t="s">
        <v>226</v>
      </c>
      <c r="L120" s="17">
        <v>16755</v>
      </c>
      <c r="M120" s="17">
        <f t="shared" si="2"/>
        <v>295</v>
      </c>
      <c r="N120" s="10" t="str">
        <f>IF(COUNTIFS( $B$2:$B$666, B120, $C$2:$C$666, C120, $D$2:$D$666, D120, $E$2:$E$666, E120) &gt; 1, "Duplicate", "Unique")</f>
        <v>Unique</v>
      </c>
    </row>
    <row r="121" spans="1:16" s="27" customFormat="1" ht="27.65" customHeight="1" thickBot="1" x14ac:dyDescent="0.4">
      <c r="A121" s="3">
        <v>46260.554861111108</v>
      </c>
      <c r="B121" s="1" t="s">
        <v>12</v>
      </c>
      <c r="C121" s="1" t="s">
        <v>7</v>
      </c>
      <c r="D121" s="4">
        <v>1</v>
      </c>
      <c r="E121" s="4">
        <v>5540</v>
      </c>
      <c r="F121" s="4">
        <v>10.77784443</v>
      </c>
      <c r="G121" s="2" t="s">
        <v>97</v>
      </c>
      <c r="H121" s="5">
        <v>5001</v>
      </c>
      <c r="I121" s="1" t="s">
        <v>8</v>
      </c>
      <c r="J121" s="17" t="s">
        <v>117</v>
      </c>
      <c r="K121" s="17" t="s">
        <v>164</v>
      </c>
      <c r="L121" s="17">
        <v>5290</v>
      </c>
      <c r="M121" s="17">
        <f t="shared" si="2"/>
        <v>250</v>
      </c>
      <c r="N121" t="str">
        <f>IF(COUNTIFS( $B$2:$B$666, B121, $C$2:$C$666, C121, $D$2:$D$666, D121, $E$2:$E$666, E121) &gt; 1, "Duplicate", "Unique")</f>
        <v>Unique</v>
      </c>
      <c r="O121" s="10"/>
      <c r="P121" s="10"/>
    </row>
    <row r="122" spans="1:16" s="27" customFormat="1" ht="40.75" customHeight="1" thickBot="1" x14ac:dyDescent="0.4">
      <c r="A122" s="3">
        <v>46281.375</v>
      </c>
      <c r="B122" s="1" t="s">
        <v>18</v>
      </c>
      <c r="C122" s="1" t="s">
        <v>7</v>
      </c>
      <c r="D122" s="4">
        <v>10</v>
      </c>
      <c r="E122" s="4">
        <v>1790</v>
      </c>
      <c r="F122" s="4">
        <v>10.84277664</v>
      </c>
      <c r="G122" s="2" t="s">
        <v>101</v>
      </c>
      <c r="H122" s="5">
        <v>1614.9</v>
      </c>
      <c r="I122" s="1" t="s">
        <v>8</v>
      </c>
      <c r="J122" s="17" t="s">
        <v>116</v>
      </c>
      <c r="K122" s="17" t="s">
        <v>278</v>
      </c>
      <c r="L122" s="17">
        <v>16500</v>
      </c>
      <c r="M122" s="17">
        <f t="shared" si="2"/>
        <v>1400</v>
      </c>
      <c r="N122" s="10" t="str">
        <f>IF(COUNTIFS( $B$2:$B$666, B122, $C$2:$C$666, C122, $D$2:$D$666, D122, $E$2:$E$666, E122) &gt; 1, "Duplicate", "Unique")</f>
        <v>Unique</v>
      </c>
      <c r="O122" s="36" t="s">
        <v>238</v>
      </c>
      <c r="P122" s="10"/>
    </row>
    <row r="123" spans="1:16" ht="27.65" customHeight="1" thickBot="1" x14ac:dyDescent="0.4">
      <c r="A123" s="8" t="s">
        <v>61</v>
      </c>
      <c r="B123" s="8" t="s">
        <v>42</v>
      </c>
      <c r="C123" s="8" t="s">
        <v>7</v>
      </c>
      <c r="D123" s="8">
        <v>5</v>
      </c>
      <c r="E123" s="12">
        <v>790</v>
      </c>
      <c r="F123" s="4">
        <v>11.033028809999999</v>
      </c>
      <c r="G123" s="2" t="s">
        <v>43</v>
      </c>
      <c r="H123" s="5">
        <v>711.5</v>
      </c>
      <c r="I123" s="1" t="s">
        <v>8</v>
      </c>
      <c r="J123" s="32" t="s">
        <v>117</v>
      </c>
      <c r="N123" s="10" t="str">
        <f>IF(COUNTIFS( $B$2:$B$666, B123, $C$2:$C$666, C123, $D$2:$D$666, D123, $E$2:$E$666, E123) &gt; 1, "Duplicate", "Unique")</f>
        <v>Unique</v>
      </c>
    </row>
    <row r="124" spans="1:16" ht="27.65" customHeight="1" thickBot="1" x14ac:dyDescent="0.4">
      <c r="A124" s="3">
        <v>46274.375</v>
      </c>
      <c r="B124" s="1" t="s">
        <v>21</v>
      </c>
      <c r="C124" s="1" t="s">
        <v>7</v>
      </c>
      <c r="D124" s="4">
        <v>5</v>
      </c>
      <c r="E124" s="4">
        <v>730</v>
      </c>
      <c r="F124" s="4">
        <v>11.255048390000001</v>
      </c>
      <c r="G124" s="2" t="s">
        <v>75</v>
      </c>
      <c r="H124" s="5">
        <v>656.15</v>
      </c>
      <c r="I124" s="1" t="s">
        <v>8</v>
      </c>
      <c r="J124" s="17" t="s">
        <v>117</v>
      </c>
      <c r="K124" s="17" t="s">
        <v>253</v>
      </c>
      <c r="L124" s="17">
        <v>3400</v>
      </c>
      <c r="M124" s="17">
        <f>ABS((D124*E124)-L124)</f>
        <v>250</v>
      </c>
      <c r="N124" s="10" t="str">
        <f>IF(COUNTIFS( $B$2:$B$666, B124, $C$2:$C$666, C124, $D$2:$D$666, D124, $E$2:$E$666, E124) &gt; 1, "Duplicate", "Unique")</f>
        <v>Unique</v>
      </c>
    </row>
    <row r="125" spans="1:16" ht="27.65" customHeight="1" thickBot="1" x14ac:dyDescent="0.4">
      <c r="A125" s="11">
        <v>46243.375</v>
      </c>
      <c r="B125" s="8" t="s">
        <v>11</v>
      </c>
      <c r="C125" s="8" t="s">
        <v>7</v>
      </c>
      <c r="D125" s="8">
        <v>20</v>
      </c>
      <c r="E125" s="8">
        <v>296</v>
      </c>
      <c r="F125" s="4">
        <v>11.27819549</v>
      </c>
      <c r="G125" s="2" t="s">
        <v>98</v>
      </c>
      <c r="H125" s="5">
        <v>266</v>
      </c>
      <c r="I125" s="1" t="s">
        <v>8</v>
      </c>
      <c r="J125" s="17" t="s">
        <v>117</v>
      </c>
      <c r="K125" s="17" t="s">
        <v>246</v>
      </c>
      <c r="L125" s="17">
        <v>5620</v>
      </c>
      <c r="M125" s="25">
        <f>ABS((D125*E125)-L125)</f>
        <v>300</v>
      </c>
      <c r="N125" s="10" t="str">
        <f>IF(COUNTIFS( $B$2:$B$666, B125, $C$2:$C$666, C125, $D$2:$D$666, D125, $E$2:$E$666, E125) &gt; 1, "Duplicate", "Unique")</f>
        <v>Unique</v>
      </c>
      <c r="P125" s="23"/>
    </row>
    <row r="126" spans="1:16" ht="40.75" customHeight="1" thickBot="1" x14ac:dyDescent="0.4">
      <c r="A126" s="3">
        <v>46272.375694444447</v>
      </c>
      <c r="B126" s="1" t="s">
        <v>62</v>
      </c>
      <c r="C126" s="1" t="s">
        <v>7</v>
      </c>
      <c r="D126" s="4">
        <v>15</v>
      </c>
      <c r="E126" s="4">
        <v>1048</v>
      </c>
      <c r="F126" s="4">
        <v>11.37088204</v>
      </c>
      <c r="G126" s="2" t="s">
        <v>63</v>
      </c>
      <c r="H126" s="5">
        <v>941</v>
      </c>
      <c r="I126" s="1" t="s">
        <v>8</v>
      </c>
      <c r="J126" s="17" t="s">
        <v>116</v>
      </c>
      <c r="K126" s="17" t="s">
        <v>242</v>
      </c>
      <c r="L126" s="17">
        <v>15075</v>
      </c>
      <c r="M126" s="17">
        <f>ABS((D126*E126)-L126)</f>
        <v>645</v>
      </c>
      <c r="N126" s="10" t="str">
        <f>IF(COUNTIFS( $B$2:$B$666, B126, $C$2:$C$666, C126, $D$2:$D$666, D126, $E$2:$E$666, E126) &gt; 1, "Duplicate", "Unique")</f>
        <v>Unique</v>
      </c>
      <c r="O126" s="36" t="s">
        <v>238</v>
      </c>
    </row>
    <row r="127" spans="1:16" ht="27.65" customHeight="1" thickBot="1" x14ac:dyDescent="0.4">
      <c r="A127" s="8" t="s">
        <v>61</v>
      </c>
      <c r="B127" s="8" t="s">
        <v>73</v>
      </c>
      <c r="C127" s="8" t="s">
        <v>7</v>
      </c>
      <c r="D127" s="8">
        <v>1</v>
      </c>
      <c r="E127" s="8">
        <v>3710</v>
      </c>
      <c r="F127" s="4">
        <v>11.40472044</v>
      </c>
      <c r="G127" s="2" t="s">
        <v>74</v>
      </c>
      <c r="H127" s="5">
        <v>3330.2</v>
      </c>
      <c r="I127" s="1" t="s">
        <v>8</v>
      </c>
      <c r="J127" s="32" t="s">
        <v>117</v>
      </c>
      <c r="N127" s="10" t="str">
        <f>IF(COUNTIFS( $B$2:$B$666, B127, $C$2:$C$666, C127, $D$2:$D$666, D127, $E$2:$E$666, E127) &gt; 1, "Duplicate", "Unique")</f>
        <v>Unique</v>
      </c>
    </row>
    <row r="128" spans="1:16" ht="27.65" customHeight="1" thickBot="1" x14ac:dyDescent="0.4">
      <c r="A128" s="38">
        <v>46273.375</v>
      </c>
      <c r="B128" s="39" t="s">
        <v>48</v>
      </c>
      <c r="C128" s="39" t="s">
        <v>7</v>
      </c>
      <c r="D128" s="39">
        <v>5</v>
      </c>
      <c r="E128" s="39">
        <v>4047</v>
      </c>
      <c r="F128" s="4">
        <v>11.564438320000001</v>
      </c>
      <c r="G128" s="2" t="s">
        <v>49</v>
      </c>
      <c r="H128" s="5">
        <v>3627.5</v>
      </c>
      <c r="I128" s="1" t="s">
        <v>8</v>
      </c>
      <c r="J128" s="25" t="s">
        <v>116</v>
      </c>
      <c r="K128" s="25" t="s">
        <v>249</v>
      </c>
      <c r="L128" s="25">
        <v>19730.5</v>
      </c>
      <c r="M128" s="25">
        <f t="shared" ref="M128:M135" si="3">ABS((D128*E128)-L128)</f>
        <v>504.5</v>
      </c>
      <c r="N128" s="27" t="str">
        <f>IF(COUNTIFS( $B$2:$B$666, B128, $C$2:$C$666, C128, $D$2:$D$666, D128, $E$2:$E$666, E128) &gt; 1, "Duplicate", "Unique")</f>
        <v>Duplicate</v>
      </c>
      <c r="O128" s="36" t="s">
        <v>238</v>
      </c>
      <c r="P128" s="27"/>
    </row>
    <row r="129" spans="1:16" ht="27.65" customHeight="1" thickBot="1" x14ac:dyDescent="0.4">
      <c r="A129" s="28">
        <v>46274.375</v>
      </c>
      <c r="B129" s="29" t="s">
        <v>48</v>
      </c>
      <c r="C129" s="29" t="s">
        <v>7</v>
      </c>
      <c r="D129" s="30">
        <v>5</v>
      </c>
      <c r="E129" s="30">
        <v>4047</v>
      </c>
      <c r="F129" s="4">
        <v>11.564438320000001</v>
      </c>
      <c r="G129" s="2" t="s">
        <v>49</v>
      </c>
      <c r="H129" s="5">
        <v>3627.5</v>
      </c>
      <c r="I129" s="1" t="s">
        <v>8</v>
      </c>
      <c r="J129" s="25" t="s">
        <v>116</v>
      </c>
      <c r="K129" s="25" t="s">
        <v>254</v>
      </c>
      <c r="L129" s="25">
        <v>19690</v>
      </c>
      <c r="M129" s="25">
        <f t="shared" si="3"/>
        <v>545</v>
      </c>
      <c r="N129" s="27" t="str">
        <f>IF(COUNTIFS( $B$2:$B$666, B129, $C$2:$C$666, C129, $D$2:$D$666, D129, $E$2:$E$666, E129) &gt; 1, "Duplicate", "Unique")</f>
        <v>Duplicate</v>
      </c>
      <c r="O129" s="36" t="s">
        <v>238</v>
      </c>
      <c r="P129" s="27"/>
    </row>
    <row r="130" spans="1:16" ht="27.65" customHeight="1" thickBot="1" x14ac:dyDescent="0.4">
      <c r="A130" s="3">
        <v>46272.375694444447</v>
      </c>
      <c r="B130" s="1" t="s">
        <v>24</v>
      </c>
      <c r="C130" s="1" t="s">
        <v>7</v>
      </c>
      <c r="D130" s="4">
        <v>40</v>
      </c>
      <c r="E130" s="4">
        <v>448</v>
      </c>
      <c r="F130" s="4">
        <v>11.69284468</v>
      </c>
      <c r="G130" s="2" t="s">
        <v>55</v>
      </c>
      <c r="H130" s="5">
        <v>401.1</v>
      </c>
      <c r="I130" s="1" t="s">
        <v>8</v>
      </c>
      <c r="J130" s="17" t="s">
        <v>116</v>
      </c>
      <c r="K130" s="17" t="s">
        <v>243</v>
      </c>
      <c r="L130" s="17">
        <v>17040</v>
      </c>
      <c r="M130" s="17">
        <f t="shared" si="3"/>
        <v>880</v>
      </c>
      <c r="N130" s="10" t="str">
        <f>IF(COUNTIFS( $B$2:$B$666, B130, $C$2:$C$666, C130, $D$2:$D$666, D130, $E$2:$E$666, E130) &gt; 1, "Duplicate", "Unique")</f>
        <v>Unique</v>
      </c>
      <c r="O130" s="36" t="s">
        <v>238</v>
      </c>
    </row>
    <row r="131" spans="1:16" ht="40.75" customHeight="1" thickBot="1" x14ac:dyDescent="0.4">
      <c r="A131" s="3">
        <v>46267.38958333333</v>
      </c>
      <c r="B131" s="1" t="s">
        <v>14</v>
      </c>
      <c r="C131" s="1" t="s">
        <v>7</v>
      </c>
      <c r="D131" s="4">
        <v>100</v>
      </c>
      <c r="E131" s="4">
        <v>344</v>
      </c>
      <c r="F131" s="4">
        <v>11.724585899999999</v>
      </c>
      <c r="G131" s="2" t="s">
        <v>44</v>
      </c>
      <c r="H131" s="5">
        <v>307.89999999999998</v>
      </c>
      <c r="I131" s="1" t="s">
        <v>8</v>
      </c>
      <c r="J131" s="17" t="s">
        <v>116</v>
      </c>
      <c r="K131" s="17" t="s">
        <v>221</v>
      </c>
      <c r="L131" s="17">
        <v>33200</v>
      </c>
      <c r="M131" s="17">
        <f t="shared" si="3"/>
        <v>1200</v>
      </c>
      <c r="N131" s="10" t="str">
        <f>IF(COUNTIFS( $B$2:$B$666, B131, $C$2:$C$666, C131, $D$2:$D$666, D131, $E$2:$E$666, E131) &gt; 1, "Duplicate", "Unique")</f>
        <v>Unique</v>
      </c>
    </row>
    <row r="132" spans="1:16" s="27" customFormat="1" ht="27.65" customHeight="1" thickBot="1" x14ac:dyDescent="0.4">
      <c r="A132" s="3">
        <v>46274.375</v>
      </c>
      <c r="B132" s="1" t="s">
        <v>65</v>
      </c>
      <c r="C132" s="1" t="s">
        <v>7</v>
      </c>
      <c r="D132" s="4">
        <v>10</v>
      </c>
      <c r="E132" s="4">
        <v>1196</v>
      </c>
      <c r="F132" s="4">
        <v>11.80704871</v>
      </c>
      <c r="G132" s="2" t="s">
        <v>66</v>
      </c>
      <c r="H132" s="5">
        <v>1069.7</v>
      </c>
      <c r="I132" s="1" t="s">
        <v>8</v>
      </c>
      <c r="J132" s="17" t="s">
        <v>116</v>
      </c>
      <c r="K132" s="17" t="s">
        <v>252</v>
      </c>
      <c r="L132" s="17">
        <v>11660</v>
      </c>
      <c r="M132" s="17">
        <f t="shared" si="3"/>
        <v>300</v>
      </c>
      <c r="N132" s="10" t="str">
        <f>IF(COUNTIFS( $B$2:$B$666, B132, $C$2:$C$666, C132, $D$2:$D$666, D132, $E$2:$E$666, E132) &gt; 1, "Duplicate", "Unique")</f>
        <v>Unique</v>
      </c>
      <c r="O132" s="36" t="s">
        <v>238</v>
      </c>
      <c r="P132" s="10"/>
    </row>
    <row r="133" spans="1:16" s="27" customFormat="1" ht="40.75" customHeight="1" thickBot="1" x14ac:dyDescent="0.4">
      <c r="A133" s="3">
        <v>46280.435416666667</v>
      </c>
      <c r="B133" s="1" t="s">
        <v>67</v>
      </c>
      <c r="C133" s="1" t="s">
        <v>7</v>
      </c>
      <c r="D133" s="4">
        <v>50</v>
      </c>
      <c r="E133" s="4">
        <v>419</v>
      </c>
      <c r="F133" s="4">
        <v>12.06204868</v>
      </c>
      <c r="G133" s="2" t="s">
        <v>68</v>
      </c>
      <c r="H133" s="5">
        <v>373.9</v>
      </c>
      <c r="I133" s="1" t="s">
        <v>8</v>
      </c>
      <c r="J133" s="17" t="s">
        <v>116</v>
      </c>
      <c r="K133" s="17" t="s">
        <v>271</v>
      </c>
      <c r="L133" s="17">
        <v>39300</v>
      </c>
      <c r="M133" s="17">
        <f t="shared" si="3"/>
        <v>18350</v>
      </c>
      <c r="N133" s="10" t="str">
        <f>IF(COUNTIFS( $B$2:$B$666, B133, $C$2:$C$666, C133, $D$2:$D$666, D133, $E$2:$E$666, E133) &gt; 1, "Duplicate", "Unique")</f>
        <v>Unique</v>
      </c>
      <c r="O133" s="10"/>
      <c r="P133" s="10"/>
    </row>
    <row r="134" spans="1:16" ht="40.75" customHeight="1" thickBot="1" x14ac:dyDescent="0.4">
      <c r="A134" s="3">
        <v>46260.375</v>
      </c>
      <c r="B134" s="1" t="s">
        <v>13</v>
      </c>
      <c r="C134" s="1" t="s">
        <v>7</v>
      </c>
      <c r="D134" s="4">
        <v>5</v>
      </c>
      <c r="E134" s="4">
        <v>1994</v>
      </c>
      <c r="F134" s="4">
        <v>12.08544126</v>
      </c>
      <c r="G134" s="2" t="s">
        <v>90</v>
      </c>
      <c r="H134" s="5">
        <v>1779</v>
      </c>
      <c r="I134" s="1" t="s">
        <v>8</v>
      </c>
      <c r="J134" s="17" t="s">
        <v>117</v>
      </c>
      <c r="K134" s="17" t="s">
        <v>170</v>
      </c>
      <c r="L134" s="17">
        <v>9320</v>
      </c>
      <c r="M134" s="17">
        <f t="shared" si="3"/>
        <v>650</v>
      </c>
      <c r="N134" t="str">
        <f>IF(COUNTIFS( $B$2:$B$666, B134, $C$2:$C$666, C134, $D$2:$D$666, D134, $E$2:$E$666, E134) &gt; 1, "Duplicate", "Unique")</f>
        <v>Unique</v>
      </c>
      <c r="P134" s="27"/>
    </row>
    <row r="135" spans="1:16" ht="27.65" customHeight="1" thickBot="1" x14ac:dyDescent="0.4">
      <c r="A135" s="46">
        <v>46289.375694444447</v>
      </c>
      <c r="B135" s="2" t="s">
        <v>23</v>
      </c>
      <c r="C135" s="2" t="s">
        <v>7</v>
      </c>
      <c r="D135" s="5">
        <v>50</v>
      </c>
      <c r="E135" s="5">
        <v>211</v>
      </c>
      <c r="F135" s="4">
        <v>12.305727060000001</v>
      </c>
      <c r="G135" s="2" t="s">
        <v>69</v>
      </c>
      <c r="H135" s="5">
        <v>187.88</v>
      </c>
      <c r="I135" s="1" t="s">
        <v>8</v>
      </c>
      <c r="J135" s="17" t="s">
        <v>116</v>
      </c>
      <c r="K135" s="17" t="s">
        <v>287</v>
      </c>
      <c r="L135" s="17">
        <v>10250</v>
      </c>
      <c r="M135" s="17">
        <f t="shared" si="3"/>
        <v>300</v>
      </c>
      <c r="N135" s="10" t="str">
        <f>IF(COUNTIFS( $B$2:$B$666, B135, $C$2:$C$666, C135, $D$2:$D$666, D135, $E$2:$E$666, E135) &gt; 1, "Duplicate", "Unique")</f>
        <v>Unique</v>
      </c>
    </row>
    <row r="136" spans="1:16" ht="27.65" customHeight="1" thickBot="1" x14ac:dyDescent="0.4">
      <c r="A136" s="8" t="s">
        <v>61</v>
      </c>
      <c r="B136" s="8" t="s">
        <v>9</v>
      </c>
      <c r="C136" s="8" t="s">
        <v>7</v>
      </c>
      <c r="D136" s="8">
        <v>50</v>
      </c>
      <c r="E136" s="8">
        <v>317</v>
      </c>
      <c r="F136" s="4">
        <v>12.491128460000001</v>
      </c>
      <c r="G136" s="2" t="s">
        <v>94</v>
      </c>
      <c r="H136" s="5">
        <v>281.8</v>
      </c>
      <c r="I136" s="1" t="s">
        <v>8</v>
      </c>
      <c r="J136" s="32"/>
      <c r="N136" s="10" t="str">
        <f>IF(COUNTIFS( $B$2:$B$666, B136, $C$2:$C$666, C136, $D$2:$D$666, D136, $E$2:$E$666, E136) &gt; 1, "Duplicate", "Unique")</f>
        <v>Unique</v>
      </c>
    </row>
    <row r="137" spans="1:16" ht="27.65" customHeight="1" thickBot="1" x14ac:dyDescent="0.4">
      <c r="A137" s="3">
        <v>46274.375</v>
      </c>
      <c r="B137" s="1" t="s">
        <v>52</v>
      </c>
      <c r="C137" s="1" t="s">
        <v>7</v>
      </c>
      <c r="D137" s="4">
        <v>2</v>
      </c>
      <c r="E137" s="4">
        <v>2576</v>
      </c>
      <c r="F137" s="4">
        <v>12.503821459999999</v>
      </c>
      <c r="G137" s="2" t="s">
        <v>53</v>
      </c>
      <c r="H137" s="5">
        <v>2289.6999999999998</v>
      </c>
      <c r="I137" s="1" t="s">
        <v>8</v>
      </c>
      <c r="J137" s="17" t="s">
        <v>117</v>
      </c>
      <c r="K137" s="17" t="s">
        <v>255</v>
      </c>
      <c r="L137" s="17">
        <v>4852</v>
      </c>
      <c r="M137" s="17">
        <f t="shared" ref="M137:M144" si="4">ABS((D137*E137)-L137)</f>
        <v>300</v>
      </c>
      <c r="N137" s="10" t="str">
        <f>IF(COUNTIFS( $B$2:$B$666, B137, $C$2:$C$666, C137, $D$2:$D$666, D137, $E$2:$E$666, E137) &gt; 1, "Duplicate", "Unique")</f>
        <v>Unique</v>
      </c>
    </row>
    <row r="138" spans="1:16" ht="27.65" customHeight="1" thickBot="1" x14ac:dyDescent="0.4">
      <c r="A138" s="3">
        <v>46266.375</v>
      </c>
      <c r="B138" s="1" t="s">
        <v>62</v>
      </c>
      <c r="C138" s="1" t="s">
        <v>7</v>
      </c>
      <c r="D138" s="4">
        <v>10</v>
      </c>
      <c r="E138" s="4">
        <v>1060</v>
      </c>
      <c r="F138" s="4">
        <v>12.646121150000001</v>
      </c>
      <c r="G138" s="2" t="s">
        <v>63</v>
      </c>
      <c r="H138" s="5">
        <v>941</v>
      </c>
      <c r="I138" s="1" t="s">
        <v>8</v>
      </c>
      <c r="J138" s="17" t="s">
        <v>116</v>
      </c>
      <c r="K138" s="17" t="s">
        <v>212</v>
      </c>
      <c r="L138" s="17">
        <v>10300</v>
      </c>
      <c r="M138" s="17">
        <f t="shared" si="4"/>
        <v>300</v>
      </c>
      <c r="N138" s="10" t="str">
        <f>IF(COUNTIFS( $B$2:$B$666, B138, $C$2:$C$666, C138, $D$2:$D$666, D138, $E$2:$E$666, E138) &gt; 1, "Duplicate", "Unique")</f>
        <v>Unique</v>
      </c>
      <c r="P138" s="27"/>
    </row>
    <row r="139" spans="1:16" ht="40.75" customHeight="1" thickBot="1" x14ac:dyDescent="0.4">
      <c r="A139" s="3">
        <v>46265.375694444447</v>
      </c>
      <c r="B139" s="1" t="s">
        <v>48</v>
      </c>
      <c r="C139" s="1" t="s">
        <v>7</v>
      </c>
      <c r="D139" s="4">
        <v>5</v>
      </c>
      <c r="E139" s="4">
        <v>4092</v>
      </c>
      <c r="F139" s="4">
        <v>12.804962099999999</v>
      </c>
      <c r="G139" s="2" t="s">
        <v>49</v>
      </c>
      <c r="H139" s="5">
        <v>3627.5</v>
      </c>
      <c r="I139" s="1" t="s">
        <v>8</v>
      </c>
      <c r="J139" s="17" t="s">
        <v>117</v>
      </c>
      <c r="K139" s="17" t="s">
        <v>204</v>
      </c>
      <c r="L139" s="17">
        <v>20010</v>
      </c>
      <c r="M139" s="17">
        <f t="shared" si="4"/>
        <v>450</v>
      </c>
      <c r="N139" t="str">
        <f>IF(COUNTIFS( $B$2:$B$666, B139, $C$2:$C$666, C139, $D$2:$D$666, D139, $E$2:$E$666, E139) &gt; 1, "Duplicate", "Unique")</f>
        <v>Unique</v>
      </c>
      <c r="P139"/>
    </row>
    <row r="140" spans="1:16" ht="27.65" customHeight="1" thickBot="1" x14ac:dyDescent="0.4">
      <c r="A140" s="3">
        <v>46261.375694444447</v>
      </c>
      <c r="B140" s="1" t="s">
        <v>50</v>
      </c>
      <c r="C140" s="1" t="s">
        <v>7</v>
      </c>
      <c r="D140" s="4">
        <v>10</v>
      </c>
      <c r="E140" s="4">
        <v>977</v>
      </c>
      <c r="F140" s="4">
        <v>12.817551959999999</v>
      </c>
      <c r="G140" s="2" t="s">
        <v>51</v>
      </c>
      <c r="H140" s="5">
        <v>866</v>
      </c>
      <c r="I140" s="1" t="s">
        <v>8</v>
      </c>
      <c r="J140" s="17" t="s">
        <v>116</v>
      </c>
      <c r="K140" s="17" t="s">
        <v>173</v>
      </c>
      <c r="L140" s="17">
        <v>9470</v>
      </c>
      <c r="M140" s="17">
        <f t="shared" si="4"/>
        <v>300</v>
      </c>
      <c r="N140" s="10" t="str">
        <f>IF(COUNTIFS( $B$2:$B$666, B140, $C$2:$C$666, C140, $D$2:$D$666, D140, $E$2:$E$666, E140) &gt; 1, "Duplicate", "Unique")</f>
        <v>Unique</v>
      </c>
    </row>
    <row r="141" spans="1:16" ht="27.65" customHeight="1" thickBot="1" x14ac:dyDescent="0.4">
      <c r="A141" s="3">
        <v>46265.474999999999</v>
      </c>
      <c r="B141" s="1" t="s">
        <v>20</v>
      </c>
      <c r="C141" s="1" t="s">
        <v>7</v>
      </c>
      <c r="D141" s="4">
        <v>30</v>
      </c>
      <c r="E141" s="4">
        <v>137</v>
      </c>
      <c r="F141" s="4">
        <v>12.924497199999999</v>
      </c>
      <c r="G141" s="2" t="s">
        <v>85</v>
      </c>
      <c r="H141" s="5">
        <v>121.32</v>
      </c>
      <c r="I141" s="1" t="s">
        <v>8</v>
      </c>
      <c r="J141" s="17" t="s">
        <v>117</v>
      </c>
      <c r="K141" s="17" t="s">
        <v>195</v>
      </c>
      <c r="L141" s="17">
        <v>3810</v>
      </c>
      <c r="M141" s="17">
        <f t="shared" si="4"/>
        <v>300</v>
      </c>
      <c r="N141" t="str">
        <f>IF(COUNTIFS( $B$2:$B$666, B141, $C$2:$C$666, C141, $D$2:$D$666, D141, $E$2:$E$666, E141) &gt; 1, "Duplicate", "Unique")</f>
        <v>Unique</v>
      </c>
    </row>
    <row r="142" spans="1:16" ht="40.75" customHeight="1" thickBot="1" x14ac:dyDescent="0.4">
      <c r="A142" s="3">
        <v>46266.642361111109</v>
      </c>
      <c r="B142" s="1" t="s">
        <v>14</v>
      </c>
      <c r="C142" s="1" t="s">
        <v>7</v>
      </c>
      <c r="D142" s="4">
        <v>100</v>
      </c>
      <c r="E142" s="4">
        <v>348</v>
      </c>
      <c r="F142" s="4">
        <v>13.023709</v>
      </c>
      <c r="G142" s="2" t="s">
        <v>44</v>
      </c>
      <c r="H142" s="5">
        <v>307.89999999999998</v>
      </c>
      <c r="I142" s="1" t="s">
        <v>8</v>
      </c>
      <c r="J142" s="17" t="s">
        <v>116</v>
      </c>
      <c r="K142" s="17" t="s">
        <v>215</v>
      </c>
      <c r="L142" s="17">
        <v>33950</v>
      </c>
      <c r="M142" s="17">
        <f t="shared" si="4"/>
        <v>850</v>
      </c>
      <c r="N142" s="10" t="str">
        <f>IF(COUNTIFS( $B$2:$B$666, B142, $C$2:$C$666, C142, $D$2:$D$666, D142, $E$2:$E$666, E142) &gt; 1, "Duplicate", "Unique")</f>
        <v>Unique</v>
      </c>
    </row>
    <row r="143" spans="1:16" ht="40.75" customHeight="1" thickBot="1" x14ac:dyDescent="0.4">
      <c r="A143" s="28">
        <v>46281.443055555559</v>
      </c>
      <c r="B143" s="29" t="s">
        <v>35</v>
      </c>
      <c r="C143" s="29" t="s">
        <v>7</v>
      </c>
      <c r="D143" s="30">
        <v>5</v>
      </c>
      <c r="E143" s="30">
        <v>1196</v>
      </c>
      <c r="F143" s="4">
        <v>13.15042573</v>
      </c>
      <c r="G143" s="2" t="s">
        <v>64</v>
      </c>
      <c r="H143" s="5">
        <v>1057</v>
      </c>
      <c r="I143" s="1" t="s">
        <v>8</v>
      </c>
      <c r="J143" s="25" t="s">
        <v>117</v>
      </c>
      <c r="K143" s="25" t="s">
        <v>274</v>
      </c>
      <c r="L143" s="25">
        <v>5585</v>
      </c>
      <c r="M143" s="25">
        <f t="shared" si="4"/>
        <v>395</v>
      </c>
      <c r="N143" s="27" t="str">
        <f>IF(COUNTIFS( $B$2:$B$666, B143, $C$2:$C$666, C143, $D$2:$D$666, D143, $E$2:$E$666, E143) &gt; 1, "Duplicate", "Unique")</f>
        <v>Duplicate</v>
      </c>
      <c r="O143" s="36" t="s">
        <v>238</v>
      </c>
      <c r="P143" s="27"/>
    </row>
    <row r="144" spans="1:16" s="27" customFormat="1" ht="40.75" customHeight="1" thickBot="1" x14ac:dyDescent="0.4">
      <c r="A144" s="28">
        <v>46281.388888888891</v>
      </c>
      <c r="B144" s="29" t="s">
        <v>35</v>
      </c>
      <c r="C144" s="29" t="s">
        <v>7</v>
      </c>
      <c r="D144" s="30">
        <v>5</v>
      </c>
      <c r="E144" s="30">
        <v>1196</v>
      </c>
      <c r="F144" s="4">
        <v>13.15042573</v>
      </c>
      <c r="G144" s="2" t="s">
        <v>64</v>
      </c>
      <c r="H144" s="5">
        <v>1057</v>
      </c>
      <c r="I144" s="1" t="s">
        <v>8</v>
      </c>
      <c r="J144" s="25" t="s">
        <v>117</v>
      </c>
      <c r="K144" s="25" t="s">
        <v>276</v>
      </c>
      <c r="L144" s="25">
        <v>5730</v>
      </c>
      <c r="M144" s="25">
        <f t="shared" si="4"/>
        <v>250</v>
      </c>
      <c r="N144" s="27" t="str">
        <f>IF(COUNTIFS( $B$2:$B$666, B144, $C$2:$C$666, C144, $D$2:$D$666, D144, $E$2:$E$666, E144) &gt; 1, "Duplicate", "Unique")</f>
        <v>Duplicate</v>
      </c>
      <c r="O144" s="36" t="s">
        <v>238</v>
      </c>
    </row>
    <row r="145" spans="1:16" ht="40.75" customHeight="1" thickBot="1" x14ac:dyDescent="0.4">
      <c r="A145" s="11">
        <v>46252.6875</v>
      </c>
      <c r="B145" s="8" t="s">
        <v>13</v>
      </c>
      <c r="C145" s="8" t="s">
        <v>7</v>
      </c>
      <c r="D145" s="8">
        <v>5</v>
      </c>
      <c r="E145" s="8">
        <v>2014</v>
      </c>
      <c r="F145" s="4">
        <v>13.209668349999999</v>
      </c>
      <c r="G145" s="2" t="s">
        <v>90</v>
      </c>
      <c r="H145" s="5">
        <v>1779</v>
      </c>
      <c r="I145" s="1" t="s">
        <v>8</v>
      </c>
      <c r="J145" s="32" t="s">
        <v>117</v>
      </c>
      <c r="N145" s="10" t="str">
        <f>IF(COUNTIFS( $B$2:$B$666, B145, $C$2:$C$666, C145, $D$2:$D$666, D145, $E$2:$E$666, E145) &gt; 1, "Duplicate", "Unique")</f>
        <v>Unique</v>
      </c>
      <c r="O145" s="27"/>
    </row>
    <row r="146" spans="1:16" ht="40.75" customHeight="1" thickBot="1" x14ac:dyDescent="0.4">
      <c r="A146" s="3">
        <v>46261.375</v>
      </c>
      <c r="B146" s="1" t="s">
        <v>14</v>
      </c>
      <c r="C146" s="1" t="s">
        <v>7</v>
      </c>
      <c r="D146" s="4">
        <v>50</v>
      </c>
      <c r="E146" s="4">
        <v>349</v>
      </c>
      <c r="F146" s="4">
        <v>13.34848977</v>
      </c>
      <c r="G146" s="2" t="s">
        <v>44</v>
      </c>
      <c r="H146" s="5">
        <v>307.89999999999998</v>
      </c>
      <c r="I146" s="1" t="s">
        <v>8</v>
      </c>
      <c r="J146" s="17" t="s">
        <v>116</v>
      </c>
      <c r="K146" s="17" t="s">
        <v>179</v>
      </c>
      <c r="L146" s="17">
        <v>17150</v>
      </c>
      <c r="M146" s="17">
        <f>ABS((D146*E146)-L146)</f>
        <v>300</v>
      </c>
      <c r="N146" s="10" t="str">
        <f>IF(COUNTIFS( $B$2:$B$666, B146, $C$2:$C$666, C146, $D$2:$D$666, D146, $E$2:$E$666, E146) &gt; 1, "Duplicate", "Unique")</f>
        <v>Unique</v>
      </c>
    </row>
    <row r="147" spans="1:16" ht="27.65" customHeight="1" thickBot="1" x14ac:dyDescent="0.4">
      <c r="A147" s="3">
        <v>46260.375694444447</v>
      </c>
      <c r="B147" s="1" t="s">
        <v>48</v>
      </c>
      <c r="C147" s="1" t="s">
        <v>7</v>
      </c>
      <c r="D147" s="4">
        <v>5</v>
      </c>
      <c r="E147" s="4">
        <v>4112</v>
      </c>
      <c r="F147" s="4">
        <v>13.356306</v>
      </c>
      <c r="G147" s="2" t="s">
        <v>49</v>
      </c>
      <c r="H147" s="5">
        <v>3627.5</v>
      </c>
      <c r="I147" s="1" t="s">
        <v>8</v>
      </c>
      <c r="J147" s="17" t="s">
        <v>117</v>
      </c>
      <c r="K147" s="17" t="s">
        <v>169</v>
      </c>
      <c r="L147" s="17">
        <v>20260</v>
      </c>
      <c r="M147" s="17">
        <f>ABS((D147*E147)-L147)</f>
        <v>300</v>
      </c>
      <c r="N147" t="str">
        <f>IF(COUNTIFS( $B$2:$B$666, B147, $C$2:$C$666, C147, $D$2:$D$666, D147, $E$2:$E$666, E147) &gt; 1, "Duplicate", "Unique")</f>
        <v>Unique</v>
      </c>
      <c r="O147"/>
      <c r="P147" s="27"/>
    </row>
    <row r="148" spans="1:16" ht="40.75" customHeight="1" thickBot="1" x14ac:dyDescent="0.4">
      <c r="A148" s="11">
        <v>46252.645138888889</v>
      </c>
      <c r="B148" s="8" t="s">
        <v>67</v>
      </c>
      <c r="C148" s="8" t="s">
        <v>7</v>
      </c>
      <c r="D148" s="8">
        <v>20</v>
      </c>
      <c r="E148" s="8">
        <v>424</v>
      </c>
      <c r="F148" s="4">
        <v>13.39930463</v>
      </c>
      <c r="G148" s="2" t="s">
        <v>68</v>
      </c>
      <c r="H148" s="5">
        <v>373.9</v>
      </c>
      <c r="I148" s="1" t="s">
        <v>8</v>
      </c>
      <c r="J148" s="32"/>
      <c r="N148" s="10" t="str">
        <f>IF(COUNTIFS( $B$2:$B$666, B148, $C$2:$C$666, C148, $D$2:$D$666, D148, $E$2:$E$666, E148) &gt; 1, "Duplicate", "Unique")</f>
        <v>Unique</v>
      </c>
      <c r="O148" s="36" t="s">
        <v>238</v>
      </c>
      <c r="P148"/>
    </row>
    <row r="149" spans="1:16" s="27" customFormat="1" ht="40.75" customHeight="1" thickBot="1" x14ac:dyDescent="0.4">
      <c r="A149" s="3">
        <v>46266.375694444447</v>
      </c>
      <c r="B149" s="1" t="s">
        <v>120</v>
      </c>
      <c r="C149" s="1" t="s">
        <v>7</v>
      </c>
      <c r="D149" s="4">
        <v>25</v>
      </c>
      <c r="E149" s="4">
        <v>772</v>
      </c>
      <c r="F149" s="4">
        <v>13.68824092</v>
      </c>
      <c r="G149" s="2" t="s">
        <v>121</v>
      </c>
      <c r="H149" s="5">
        <v>679.05</v>
      </c>
      <c r="I149" s="1" t="s">
        <v>8</v>
      </c>
      <c r="J149" s="17" t="s">
        <v>116</v>
      </c>
      <c r="K149" s="17" t="s">
        <v>209</v>
      </c>
      <c r="L149" s="17">
        <v>18800</v>
      </c>
      <c r="M149" s="17">
        <f>ABS((D149*E149)-L149)</f>
        <v>500</v>
      </c>
      <c r="N149" s="10" t="str">
        <f>IF(COUNTIFS( $B$2:$B$666, B149, $C$2:$C$666, C149, $D$2:$D$666, D149, $E$2:$E$666, E149) &gt; 1, "Duplicate", "Unique")</f>
        <v>Unique</v>
      </c>
      <c r="O149" s="37" t="s">
        <v>238</v>
      </c>
      <c r="P149" s="10"/>
    </row>
    <row r="150" spans="1:16" ht="40.75" customHeight="1" thickBot="1" x14ac:dyDescent="0.4">
      <c r="A150" s="8" t="s">
        <v>61</v>
      </c>
      <c r="B150" s="8" t="s">
        <v>9</v>
      </c>
      <c r="C150" s="8" t="s">
        <v>7</v>
      </c>
      <c r="D150" s="8">
        <v>40</v>
      </c>
      <c r="E150" s="8">
        <v>320.5</v>
      </c>
      <c r="F150" s="4">
        <v>13.73314407</v>
      </c>
      <c r="G150" s="2" t="s">
        <v>94</v>
      </c>
      <c r="H150" s="5">
        <v>281.8</v>
      </c>
      <c r="I150" s="1" t="s">
        <v>8</v>
      </c>
      <c r="J150" s="32"/>
      <c r="N150" s="10" t="str">
        <f>IF(COUNTIFS( $B$2:$B$666, B150, $C$2:$C$666, C150, $D$2:$D$666, D150, $E$2:$E$666, E150) &gt; 1, "Duplicate", "Unique")</f>
        <v>Unique</v>
      </c>
    </row>
    <row r="151" spans="1:16" ht="40.75" customHeight="1" thickBot="1" x14ac:dyDescent="0.4">
      <c r="A151" s="3">
        <v>46262.375</v>
      </c>
      <c r="B151" s="1" t="s">
        <v>62</v>
      </c>
      <c r="C151" s="1" t="s">
        <v>7</v>
      </c>
      <c r="D151" s="4">
        <v>10</v>
      </c>
      <c r="E151" s="4">
        <v>1071</v>
      </c>
      <c r="F151" s="4">
        <v>13.81509033</v>
      </c>
      <c r="G151" s="2" t="s">
        <v>63</v>
      </c>
      <c r="H151" s="5">
        <v>941</v>
      </c>
      <c r="I151" s="1" t="s">
        <v>8</v>
      </c>
      <c r="J151" s="17" t="s">
        <v>117</v>
      </c>
      <c r="K151" s="17" t="s">
        <v>190</v>
      </c>
      <c r="L151" s="17">
        <v>10410</v>
      </c>
      <c r="M151" s="17">
        <f>ABS((D151*E151)-L151)</f>
        <v>300</v>
      </c>
      <c r="N151" s="10" t="str">
        <f>IF(COUNTIFS( $B$2:$B$666, B151, $C$2:$C$666, C151, $D$2:$D$666, D151, $E$2:$E$666, E151) &gt; 1, "Duplicate", "Unique")</f>
        <v>Unique</v>
      </c>
      <c r="O151" s="27"/>
    </row>
    <row r="152" spans="1:16" ht="40.75" customHeight="1" thickBot="1" x14ac:dyDescent="0.4">
      <c r="A152" s="11">
        <v>46252.645138888889</v>
      </c>
      <c r="B152" s="8" t="s">
        <v>48</v>
      </c>
      <c r="C152" s="8" t="s">
        <v>7</v>
      </c>
      <c r="D152" s="8">
        <v>5</v>
      </c>
      <c r="E152" s="8">
        <v>4129</v>
      </c>
      <c r="F152" s="4">
        <v>13.82494831</v>
      </c>
      <c r="G152" s="2" t="s">
        <v>49</v>
      </c>
      <c r="H152" s="5">
        <v>3627.5</v>
      </c>
      <c r="I152" s="1" t="s">
        <v>8</v>
      </c>
      <c r="J152" s="32"/>
      <c r="N152" s="10" t="str">
        <f>IF(COUNTIFS( $B$2:$B$666, B152, $C$2:$C$666, C152, $D$2:$D$666, D152, $E$2:$E$666, E152) &gt; 1, "Duplicate", "Unique")</f>
        <v>Unique</v>
      </c>
    </row>
    <row r="153" spans="1:16" ht="40.75" customHeight="1" thickBot="1" x14ac:dyDescent="0.4">
      <c r="A153" s="28">
        <v>46267.425694444442</v>
      </c>
      <c r="B153" s="29" t="s">
        <v>34</v>
      </c>
      <c r="C153" s="29" t="s">
        <v>7</v>
      </c>
      <c r="D153" s="30">
        <v>20</v>
      </c>
      <c r="E153" s="30">
        <v>219.5</v>
      </c>
      <c r="F153" s="4">
        <v>13.88398879</v>
      </c>
      <c r="G153" s="2" t="s">
        <v>41</v>
      </c>
      <c r="H153" s="5">
        <v>192.74</v>
      </c>
      <c r="I153" s="1" t="s">
        <v>8</v>
      </c>
      <c r="J153" s="25" t="s">
        <v>117</v>
      </c>
      <c r="K153" s="25" t="s">
        <v>218</v>
      </c>
      <c r="L153" s="25">
        <v>4120</v>
      </c>
      <c r="M153" s="25">
        <f>ABS((D153*E153)-L153)</f>
        <v>270</v>
      </c>
      <c r="N153" s="27" t="str">
        <f>IF(COUNTIFS( $B$2:$B$666, B153, $C$2:$C$666, C153, $D$2:$D$666, D153, $E$2:$E$666, E153) &gt; 1, "Duplicate", "Unique")</f>
        <v>Unique</v>
      </c>
      <c r="O153" s="37" t="s">
        <v>238</v>
      </c>
      <c r="P153" s="27"/>
    </row>
    <row r="154" spans="1:16" ht="40.75" customHeight="1" thickBot="1" x14ac:dyDescent="0.4">
      <c r="A154" s="28">
        <v>46280.593055555553</v>
      </c>
      <c r="B154" s="29" t="s">
        <v>34</v>
      </c>
      <c r="C154" s="29" t="s">
        <v>7</v>
      </c>
      <c r="D154" s="30">
        <v>10</v>
      </c>
      <c r="E154" s="30">
        <v>219.5</v>
      </c>
      <c r="F154" s="4">
        <v>13.88398879</v>
      </c>
      <c r="G154" s="2" t="s">
        <v>41</v>
      </c>
      <c r="H154" s="5">
        <v>192.74</v>
      </c>
      <c r="I154" s="1" t="s">
        <v>8</v>
      </c>
      <c r="J154" s="25" t="s">
        <v>117</v>
      </c>
      <c r="K154" s="25" t="s">
        <v>269</v>
      </c>
      <c r="L154" s="25">
        <v>2006.3999999999999</v>
      </c>
      <c r="M154" s="25">
        <f>ABS((D154*E154)-L154)</f>
        <v>188.60000000000014</v>
      </c>
      <c r="N154" s="27" t="str">
        <f>IF(COUNTIFS( $B$2:$B$666, B154, $C$2:$C$666, C154, $D$2:$D$666, D154, $E$2:$E$666, E154) &gt; 1, "Duplicate", "Unique")</f>
        <v>Unique</v>
      </c>
      <c r="O154" s="37" t="s">
        <v>238</v>
      </c>
      <c r="P154" s="27"/>
    </row>
    <row r="155" spans="1:16" ht="40.75" customHeight="1" thickBot="1" x14ac:dyDescent="0.4">
      <c r="A155" s="3">
        <v>46275.375</v>
      </c>
      <c r="B155" s="1" t="s">
        <v>23</v>
      </c>
      <c r="C155" s="1" t="s">
        <v>7</v>
      </c>
      <c r="D155" s="4">
        <v>50</v>
      </c>
      <c r="E155" s="4">
        <v>214</v>
      </c>
      <c r="F155" s="4">
        <v>13.902490950000001</v>
      </c>
      <c r="G155" s="2" t="s">
        <v>69</v>
      </c>
      <c r="H155" s="5">
        <v>187.88</v>
      </c>
      <c r="I155" s="1" t="s">
        <v>8</v>
      </c>
      <c r="J155" s="17" t="s">
        <v>116</v>
      </c>
      <c r="K155" s="17" t="s">
        <v>257</v>
      </c>
      <c r="L155" s="17">
        <v>10400</v>
      </c>
      <c r="M155" s="17">
        <f>ABS((D155*E155)-L155)</f>
        <v>300</v>
      </c>
      <c r="N155" s="10" t="str">
        <f>IF(COUNTIFS( $B$2:$B$666, B155, $C$2:$C$666, C155, $D$2:$D$666, D155, $E$2:$E$666, E155) &gt; 1, "Duplicate", "Unique")</f>
        <v>Unique</v>
      </c>
    </row>
    <row r="156" spans="1:16" ht="27.65" customHeight="1" thickBot="1" x14ac:dyDescent="0.4">
      <c r="A156" s="8" t="s">
        <v>61</v>
      </c>
      <c r="B156" s="8" t="s">
        <v>137</v>
      </c>
      <c r="C156" s="8" t="s">
        <v>7</v>
      </c>
      <c r="D156" s="8">
        <v>35</v>
      </c>
      <c r="E156" s="13">
        <v>494</v>
      </c>
      <c r="F156" s="4">
        <v>14.00876991</v>
      </c>
      <c r="G156" s="2" t="s">
        <v>138</v>
      </c>
      <c r="H156" s="5">
        <v>433.3</v>
      </c>
      <c r="I156" s="1" t="s">
        <v>8</v>
      </c>
      <c r="J156" s="32"/>
      <c r="N156" s="10" t="str">
        <f>IF(COUNTIFS( $B$2:$B$666, B156, $C$2:$C$666, C156, $D$2:$D$666, D156, $E$2:$E$666, E156) &gt; 1, "Duplicate", "Unique")</f>
        <v>Unique</v>
      </c>
    </row>
    <row r="157" spans="1:16" ht="27.65" customHeight="1" thickBot="1" x14ac:dyDescent="0.4">
      <c r="A157" s="28">
        <v>46267.375</v>
      </c>
      <c r="B157" s="29" t="s">
        <v>35</v>
      </c>
      <c r="C157" s="29" t="s">
        <v>7</v>
      </c>
      <c r="D157" s="30">
        <v>5</v>
      </c>
      <c r="E157" s="30">
        <v>1206</v>
      </c>
      <c r="F157" s="4">
        <v>14.096499529999999</v>
      </c>
      <c r="G157" s="2" t="s">
        <v>64</v>
      </c>
      <c r="H157" s="5">
        <v>1057</v>
      </c>
      <c r="I157" s="1" t="s">
        <v>8</v>
      </c>
      <c r="J157" s="25" t="s">
        <v>117</v>
      </c>
      <c r="K157" s="25" t="s">
        <v>224</v>
      </c>
      <c r="L157" s="25">
        <v>5755</v>
      </c>
      <c r="M157" s="25">
        <f>ABS((D157*E157)-L157)</f>
        <v>275</v>
      </c>
      <c r="N157" s="27" t="str">
        <f>IF(COUNTIFS( $B$2:$B$666, B157, $C$2:$C$666, C157, $D$2:$D$666, D157, $E$2:$E$666, E157) &gt; 1, "Duplicate", "Unique")</f>
        <v>Duplicate</v>
      </c>
    </row>
    <row r="158" spans="1:16" ht="40.75" customHeight="1" thickBot="1" x14ac:dyDescent="0.4">
      <c r="A158" s="28">
        <v>46267.375</v>
      </c>
      <c r="B158" s="29" t="s">
        <v>35</v>
      </c>
      <c r="C158" s="29" t="s">
        <v>7</v>
      </c>
      <c r="D158" s="30">
        <v>5</v>
      </c>
      <c r="E158" s="30">
        <v>1206</v>
      </c>
      <c r="F158" s="4">
        <v>14.096499529999999</v>
      </c>
      <c r="G158" s="2" t="s">
        <v>64</v>
      </c>
      <c r="H158" s="5">
        <v>1057</v>
      </c>
      <c r="I158" s="1" t="s">
        <v>8</v>
      </c>
      <c r="J158" s="25" t="s">
        <v>117</v>
      </c>
      <c r="K158" s="25" t="s">
        <v>228</v>
      </c>
      <c r="L158" s="25">
        <v>5805</v>
      </c>
      <c r="M158" s="25">
        <f>ABS((D158*E158)-L158)</f>
        <v>225</v>
      </c>
      <c r="N158" s="27" t="str">
        <f>IF(COUNTIFS( $B$2:$B$666, B158, $C$2:$C$666, C158, $D$2:$D$666, D158, $E$2:$E$666, E158) &gt; 1, "Duplicate", "Unique")</f>
        <v>Duplicate</v>
      </c>
    </row>
    <row r="159" spans="1:16" ht="40.75" customHeight="1" thickBot="1" x14ac:dyDescent="0.4">
      <c r="A159" s="8" t="s">
        <v>61</v>
      </c>
      <c r="B159" s="8" t="s">
        <v>21</v>
      </c>
      <c r="C159" s="8" t="s">
        <v>7</v>
      </c>
      <c r="D159" s="8">
        <v>11</v>
      </c>
      <c r="E159" s="12">
        <v>749</v>
      </c>
      <c r="F159" s="4">
        <v>14.15072773</v>
      </c>
      <c r="G159" s="2" t="s">
        <v>75</v>
      </c>
      <c r="H159" s="5">
        <v>656.15</v>
      </c>
      <c r="I159" s="1" t="s">
        <v>8</v>
      </c>
      <c r="J159" s="32" t="s">
        <v>191</v>
      </c>
      <c r="N159" s="10" t="str">
        <f>IF(COUNTIFS( $B$2:$B$666, B159, $C$2:$C$666, C159, $D$2:$D$666, D159, $E$2:$E$666, E159) &gt; 1, "Duplicate", "Unique")</f>
        <v>Unique</v>
      </c>
    </row>
    <row r="160" spans="1:16" ht="40.75" customHeight="1" thickBot="1" x14ac:dyDescent="0.4">
      <c r="A160" s="11">
        <v>46252.6875</v>
      </c>
      <c r="B160" s="8" t="s">
        <v>24</v>
      </c>
      <c r="C160" s="8" t="s">
        <v>7</v>
      </c>
      <c r="D160" s="8">
        <v>40</v>
      </c>
      <c r="E160" s="8">
        <v>458</v>
      </c>
      <c r="F160" s="4">
        <v>14.185988529999999</v>
      </c>
      <c r="G160" s="2" t="s">
        <v>55</v>
      </c>
      <c r="H160" s="5">
        <v>401.1</v>
      </c>
      <c r="I160" s="1" t="s">
        <v>8</v>
      </c>
      <c r="J160" s="32" t="s">
        <v>116</v>
      </c>
      <c r="N160" s="10" t="str">
        <f>IF(COUNTIFS( $B$2:$B$666, B160, $C$2:$C$666, C160, $D$2:$D$666, D160, $E$2:$E$666, E160) &gt; 1, "Duplicate", "Unique")</f>
        <v>Unique</v>
      </c>
    </row>
    <row r="161" spans="1:16" ht="27.65" customHeight="1" thickBot="1" x14ac:dyDescent="0.4">
      <c r="A161" s="8" t="s">
        <v>61</v>
      </c>
      <c r="B161" s="8" t="s">
        <v>73</v>
      </c>
      <c r="C161" s="8" t="s">
        <v>7</v>
      </c>
      <c r="D161" s="8">
        <v>1</v>
      </c>
      <c r="E161" s="12">
        <v>3810</v>
      </c>
      <c r="F161" s="4">
        <v>14.407543090000001</v>
      </c>
      <c r="G161" s="2" t="s">
        <v>74</v>
      </c>
      <c r="H161" s="5">
        <v>3330.2</v>
      </c>
      <c r="I161" s="1" t="s">
        <v>8</v>
      </c>
      <c r="J161" s="32" t="s">
        <v>117</v>
      </c>
      <c r="N161" s="10" t="str">
        <f>IF(COUNTIFS( $B$2:$B$666, B161, $C$2:$C$666, C161, $D$2:$D$666, D161, $E$2:$E$666, E161) &gt; 1, "Duplicate", "Unique")</f>
        <v>Unique</v>
      </c>
    </row>
    <row r="162" spans="1:16" ht="27.65" customHeight="1" thickBot="1" x14ac:dyDescent="0.4">
      <c r="A162" s="3">
        <v>46290.385416666664</v>
      </c>
      <c r="B162" s="2" t="s">
        <v>22</v>
      </c>
      <c r="C162" s="2" t="s">
        <v>7</v>
      </c>
      <c r="D162" s="5">
        <v>10</v>
      </c>
      <c r="E162" s="5">
        <v>449</v>
      </c>
      <c r="F162" s="4">
        <v>14.424057080000001</v>
      </c>
      <c r="G162" s="2" t="s">
        <v>72</v>
      </c>
      <c r="H162" s="5">
        <v>392.4</v>
      </c>
      <c r="I162" s="1" t="s">
        <v>8</v>
      </c>
      <c r="J162" s="17" t="s">
        <v>117</v>
      </c>
      <c r="K162" s="17" t="s">
        <v>290</v>
      </c>
      <c r="L162" s="17">
        <v>4200</v>
      </c>
      <c r="M162" s="17">
        <f>ABS((D162*E162)-L162)</f>
        <v>290</v>
      </c>
      <c r="N162" s="10" t="str">
        <f>IF(COUNTIFS( $B$2:$B$666, B162, $C$2:$C$666, C162, $D$2:$D$666, D162, $E$2:$E$666, E162) &gt; 1, "Duplicate", "Unique")</f>
        <v>Unique</v>
      </c>
    </row>
    <row r="163" spans="1:16" ht="27.65" customHeight="1" thickBot="1" x14ac:dyDescent="0.4">
      <c r="A163" s="28">
        <v>46265.375694444447</v>
      </c>
      <c r="B163" s="29" t="s">
        <v>52</v>
      </c>
      <c r="C163" s="29" t="s">
        <v>7</v>
      </c>
      <c r="D163" s="30">
        <v>3</v>
      </c>
      <c r="E163" s="30">
        <v>2624</v>
      </c>
      <c r="F163" s="4">
        <v>14.60016596</v>
      </c>
      <c r="G163" s="2" t="s">
        <v>53</v>
      </c>
      <c r="H163" s="5">
        <v>2289.6999999999998</v>
      </c>
      <c r="I163" s="1" t="s">
        <v>8</v>
      </c>
      <c r="J163" s="25" t="s">
        <v>117</v>
      </c>
      <c r="K163" s="25" t="s">
        <v>196</v>
      </c>
      <c r="L163" s="25">
        <v>7578</v>
      </c>
      <c r="M163" s="25">
        <f>ABS((D163*E163)-L163)</f>
        <v>294</v>
      </c>
      <c r="N163" s="26" t="str">
        <f>IF(COUNTIFS( $B$2:$B$666, B163, $C$2:$C$666, C163, $D$2:$D$666, D163, $E$2:$E$666, E163) &gt; 1, "Duplicate", "Unique")</f>
        <v>Duplicate</v>
      </c>
    </row>
    <row r="164" spans="1:16" ht="40.75" customHeight="1" thickBot="1" x14ac:dyDescent="0.4">
      <c r="A164" s="28">
        <v>46266.375694444447</v>
      </c>
      <c r="B164" s="29" t="s">
        <v>52</v>
      </c>
      <c r="C164" s="29" t="s">
        <v>7</v>
      </c>
      <c r="D164" s="30">
        <v>3</v>
      </c>
      <c r="E164" s="30">
        <v>2624</v>
      </c>
      <c r="F164" s="4">
        <v>14.60016596</v>
      </c>
      <c r="G164" s="2" t="s">
        <v>53</v>
      </c>
      <c r="H164" s="5">
        <v>2289.6999999999998</v>
      </c>
      <c r="I164" s="1" t="s">
        <v>8</v>
      </c>
      <c r="J164" s="25" t="s">
        <v>117</v>
      </c>
      <c r="K164" s="25" t="s">
        <v>210</v>
      </c>
      <c r="L164" s="25">
        <v>7578</v>
      </c>
      <c r="M164" s="25">
        <f>ABS((D164*E164)-L164)</f>
        <v>294</v>
      </c>
      <c r="N164" s="27" t="str">
        <f>IF(COUNTIFS( $B$2:$B$666, B164, $C$2:$C$666, C164, $D$2:$D$666, D164, $E$2:$E$666, E164) &gt; 1, "Duplicate", "Unique")</f>
        <v>Duplicate</v>
      </c>
    </row>
    <row r="165" spans="1:16" ht="40.75" customHeight="1" thickBot="1" x14ac:dyDescent="0.4">
      <c r="A165" s="28">
        <v>46267.424305555556</v>
      </c>
      <c r="B165" s="29" t="s">
        <v>52</v>
      </c>
      <c r="C165" s="29" t="s">
        <v>7</v>
      </c>
      <c r="D165" s="30">
        <v>2</v>
      </c>
      <c r="E165" s="30">
        <v>2624</v>
      </c>
      <c r="F165" s="4">
        <v>14.60016596</v>
      </c>
      <c r="G165" s="2" t="s">
        <v>53</v>
      </c>
      <c r="H165" s="5">
        <v>2289.6999999999998</v>
      </c>
      <c r="I165" s="1" t="s">
        <v>8</v>
      </c>
      <c r="J165" s="25" t="s">
        <v>117</v>
      </c>
      <c r="K165" s="25" t="s">
        <v>220</v>
      </c>
      <c r="L165" s="25">
        <v>4968</v>
      </c>
      <c r="M165" s="25">
        <f>ABS((D165*E165)-L165)</f>
        <v>280</v>
      </c>
      <c r="N165" s="27" t="str">
        <f>IF(COUNTIFS( $B$2:$B$666, B165, $C$2:$C$666, C165, $D$2:$D$666, D165, $E$2:$E$666, E165) &gt; 1, "Duplicate", "Unique")</f>
        <v>Unique</v>
      </c>
      <c r="O165" s="27"/>
      <c r="P165" s="27"/>
    </row>
    <row r="166" spans="1:16" ht="27.65" customHeight="1" thickBot="1" x14ac:dyDescent="0.4">
      <c r="A166" s="11">
        <v>46253.375</v>
      </c>
      <c r="B166" s="8" t="s">
        <v>14</v>
      </c>
      <c r="C166" s="8" t="s">
        <v>7</v>
      </c>
      <c r="D166" s="8">
        <v>50</v>
      </c>
      <c r="E166" s="8">
        <v>353</v>
      </c>
      <c r="F166" s="4">
        <v>14.647612860000001</v>
      </c>
      <c r="G166" s="2" t="s">
        <v>44</v>
      </c>
      <c r="H166" s="5">
        <v>307.89999999999998</v>
      </c>
      <c r="I166" s="1" t="s">
        <v>8</v>
      </c>
      <c r="J166" s="32" t="s">
        <v>117</v>
      </c>
      <c r="K166" s="17" t="s">
        <v>143</v>
      </c>
      <c r="N166" s="10" t="str">
        <f>IF(COUNTIFS( $B$2:$B$666, B166, $C$2:$C$666, C166, $D$2:$D$666, D166, $E$2:$E$666, E166) &gt; 1, "Duplicate", "Unique")</f>
        <v>Unique</v>
      </c>
    </row>
    <row r="167" spans="1:16" ht="40.75" customHeight="1" thickBot="1" x14ac:dyDescent="0.4">
      <c r="A167" s="8" t="s">
        <v>61</v>
      </c>
      <c r="B167" s="8" t="s">
        <v>56</v>
      </c>
      <c r="C167" s="8" t="s">
        <v>7</v>
      </c>
      <c r="D167" s="8">
        <v>3</v>
      </c>
      <c r="E167" s="12">
        <v>3341</v>
      </c>
      <c r="F167" s="4">
        <v>14.69275661</v>
      </c>
      <c r="G167" s="2" t="s">
        <v>57</v>
      </c>
      <c r="H167" s="5">
        <v>2913</v>
      </c>
      <c r="I167" s="1" t="s">
        <v>8</v>
      </c>
      <c r="J167" s="32"/>
      <c r="N167" s="10" t="str">
        <f>IF(COUNTIFS( $B$2:$B$666, B167, $C$2:$C$666, C167, $D$2:$D$666, D167, $E$2:$E$666, E167) &gt; 1, "Duplicate", "Unique")</f>
        <v>Unique</v>
      </c>
      <c r="P167" s="27"/>
    </row>
    <row r="168" spans="1:16" s="27" customFormat="1" ht="40.75" customHeight="1" thickBot="1" x14ac:dyDescent="0.4">
      <c r="A168" s="3">
        <v>46261.375</v>
      </c>
      <c r="B168" s="1" t="s">
        <v>62</v>
      </c>
      <c r="C168" s="1" t="s">
        <v>7</v>
      </c>
      <c r="D168" s="4">
        <v>10</v>
      </c>
      <c r="E168" s="4">
        <v>1081</v>
      </c>
      <c r="F168" s="4">
        <v>14.877789590000001</v>
      </c>
      <c r="G168" s="2" t="s">
        <v>63</v>
      </c>
      <c r="H168" s="5">
        <v>941</v>
      </c>
      <c r="I168" s="1" t="s">
        <v>8</v>
      </c>
      <c r="J168" s="17" t="s">
        <v>117</v>
      </c>
      <c r="K168" s="17" t="s">
        <v>180</v>
      </c>
      <c r="L168" s="17">
        <v>10510</v>
      </c>
      <c r="M168" s="17">
        <f>ABS((D168*E168)-L168)</f>
        <v>300</v>
      </c>
      <c r="N168" s="10" t="str">
        <f>IF(COUNTIFS( $B$2:$B$666, B168, $C$2:$C$666, C168, $D$2:$D$666, D168, $E$2:$E$666, E168) &gt; 1, "Duplicate", "Unique")</f>
        <v>Unique</v>
      </c>
      <c r="O168" s="10"/>
      <c r="P168" s="10"/>
    </row>
    <row r="169" spans="1:16" ht="40.75" customHeight="1" thickBot="1" x14ac:dyDescent="0.4">
      <c r="A169" s="3">
        <v>46266.509722222225</v>
      </c>
      <c r="B169" s="1" t="s">
        <v>11</v>
      </c>
      <c r="C169" s="1" t="s">
        <v>7</v>
      </c>
      <c r="D169" s="4">
        <v>20</v>
      </c>
      <c r="E169" s="4">
        <v>306</v>
      </c>
      <c r="F169" s="4">
        <v>15.03759398</v>
      </c>
      <c r="G169" s="2" t="s">
        <v>98</v>
      </c>
      <c r="H169" s="5">
        <v>266</v>
      </c>
      <c r="I169" s="1" t="s">
        <v>8</v>
      </c>
      <c r="J169" s="17" t="s">
        <v>117</v>
      </c>
      <c r="K169" s="17" t="s">
        <v>207</v>
      </c>
      <c r="L169" s="17">
        <v>5820</v>
      </c>
      <c r="M169" s="17">
        <f>ABS((D169*E169)-L169)</f>
        <v>300</v>
      </c>
      <c r="N169" s="10" t="str">
        <f>IF(COUNTIFS( $B$2:$B$666, B169, $C$2:$C$666, C169, $D$2:$D$666, D169, $E$2:$E$666, E169) &gt; 1, "Duplicate", "Unique")</f>
        <v>Unique</v>
      </c>
    </row>
    <row r="170" spans="1:16" ht="40.75" customHeight="1" thickBot="1" x14ac:dyDescent="0.4">
      <c r="A170" s="11">
        <v>46252.635416666664</v>
      </c>
      <c r="B170" s="8" t="s">
        <v>50</v>
      </c>
      <c r="C170" s="8" t="s">
        <v>7</v>
      </c>
      <c r="D170" s="8">
        <v>10</v>
      </c>
      <c r="E170" s="8">
        <v>997</v>
      </c>
      <c r="F170" s="4">
        <v>15.12702079</v>
      </c>
      <c r="G170" s="2" t="s">
        <v>51</v>
      </c>
      <c r="H170" s="5">
        <v>866</v>
      </c>
      <c r="I170" s="1" t="s">
        <v>8</v>
      </c>
      <c r="J170" s="32" t="s">
        <v>116</v>
      </c>
      <c r="N170" s="10" t="str">
        <f>IF(COUNTIFS( $B$2:$B$666, B170, $C$2:$C$666, C170, $D$2:$D$666, D170, $E$2:$E$666, E170) &gt; 1, "Duplicate", "Unique")</f>
        <v>Unique</v>
      </c>
    </row>
    <row r="171" spans="1:16" ht="40.75" customHeight="1" thickBot="1" x14ac:dyDescent="0.4">
      <c r="A171" s="11">
        <v>46252.645833333336</v>
      </c>
      <c r="B171" s="8" t="s">
        <v>48</v>
      </c>
      <c r="C171" s="8" t="s">
        <v>7</v>
      </c>
      <c r="D171" s="8">
        <v>5</v>
      </c>
      <c r="E171" s="8">
        <v>4177</v>
      </c>
      <c r="F171" s="4">
        <v>15.14817367</v>
      </c>
      <c r="G171" s="2" t="s">
        <v>49</v>
      </c>
      <c r="H171" s="5">
        <v>3627.5</v>
      </c>
      <c r="I171" s="1" t="s">
        <v>8</v>
      </c>
      <c r="J171" s="32"/>
      <c r="N171" s="10" t="str">
        <f>IF(COUNTIFS( $B$2:$B$666, B171, $C$2:$C$666, C171, $D$2:$D$666, D171, $E$2:$E$666, E171) &gt; 1, "Duplicate", "Unique")</f>
        <v>Unique</v>
      </c>
      <c r="O171" s="22"/>
    </row>
    <row r="172" spans="1:16" ht="40.75" customHeight="1" thickBot="1" x14ac:dyDescent="0.4">
      <c r="A172" s="11">
        <v>46252.635416666664</v>
      </c>
      <c r="B172" s="8" t="s">
        <v>122</v>
      </c>
      <c r="C172" s="8" t="s">
        <v>7</v>
      </c>
      <c r="D172" s="8">
        <v>200</v>
      </c>
      <c r="E172" s="8">
        <v>89.3</v>
      </c>
      <c r="F172" s="4">
        <v>15.22580645</v>
      </c>
      <c r="G172" s="2" t="s">
        <v>123</v>
      </c>
      <c r="H172" s="5">
        <v>77.5</v>
      </c>
      <c r="I172" s="1" t="s">
        <v>8</v>
      </c>
      <c r="J172" s="17" t="s">
        <v>117</v>
      </c>
      <c r="N172" s="10" t="str">
        <f>IF(COUNTIFS( $B$2:$B$666, B172, $C$2:$C$666, C172, $D$2:$D$666, D172, $E$2:$E$666, E172) &gt; 1, "Duplicate", "Unique")</f>
        <v>Unique</v>
      </c>
      <c r="O172" s="36" t="s">
        <v>238</v>
      </c>
    </row>
    <row r="173" spans="1:16" ht="40.75" customHeight="1" thickBot="1" x14ac:dyDescent="0.4">
      <c r="A173" s="3">
        <v>46267.375</v>
      </c>
      <c r="B173" s="1" t="s">
        <v>77</v>
      </c>
      <c r="C173" s="1" t="s">
        <v>7</v>
      </c>
      <c r="D173" s="4">
        <v>3</v>
      </c>
      <c r="E173" s="4">
        <v>1460</v>
      </c>
      <c r="F173" s="4">
        <v>15.32385466</v>
      </c>
      <c r="G173" s="2" t="s">
        <v>78</v>
      </c>
      <c r="H173" s="5">
        <v>1266</v>
      </c>
      <c r="I173" s="1" t="s">
        <v>8</v>
      </c>
      <c r="J173" s="17" t="s">
        <v>117</v>
      </c>
      <c r="K173" s="17" t="s">
        <v>222</v>
      </c>
      <c r="L173" s="17">
        <v>4080</v>
      </c>
      <c r="M173" s="17">
        <f>ABS((D173*E173)-L173)</f>
        <v>300</v>
      </c>
      <c r="N173" s="10" t="str">
        <f>IF(COUNTIFS( $B$2:$B$666, B173, $C$2:$C$666, C173, $D$2:$D$666, D173, $E$2:$E$666, E173) &gt; 1, "Duplicate", "Unique")</f>
        <v>Unique</v>
      </c>
    </row>
    <row r="174" spans="1:16" ht="27.65" customHeight="1" thickBot="1" x14ac:dyDescent="0.4">
      <c r="A174" s="11">
        <v>46252.688194444447</v>
      </c>
      <c r="B174" s="8" t="s">
        <v>28</v>
      </c>
      <c r="C174" s="8" t="s">
        <v>7</v>
      </c>
      <c r="D174" s="8">
        <v>30</v>
      </c>
      <c r="E174" s="8">
        <v>930</v>
      </c>
      <c r="F174" s="4">
        <v>15.38461538</v>
      </c>
      <c r="G174" s="2" t="s">
        <v>124</v>
      </c>
      <c r="H174" s="5">
        <v>806</v>
      </c>
      <c r="I174" s="1" t="s">
        <v>8</v>
      </c>
      <c r="J174" s="32"/>
      <c r="N174" s="10" t="str">
        <f>IF(COUNTIFS( $B$2:$B$666, B174, $C$2:$C$666, C174, $D$2:$D$666, D174, $E$2:$E$666, E174) &gt; 1, "Duplicate", "Unique")</f>
        <v>Unique</v>
      </c>
      <c r="P174" s="27"/>
    </row>
    <row r="175" spans="1:16" ht="39" thickBot="1" x14ac:dyDescent="0.4">
      <c r="A175" s="31">
        <v>46255</v>
      </c>
      <c r="B175" s="29" t="s">
        <v>19</v>
      </c>
      <c r="C175" s="29" t="s">
        <v>7</v>
      </c>
      <c r="D175" s="30">
        <v>20</v>
      </c>
      <c r="E175" s="30">
        <v>241</v>
      </c>
      <c r="F175" s="4">
        <v>15.4767609</v>
      </c>
      <c r="G175" s="2" t="s">
        <v>39</v>
      </c>
      <c r="H175" s="5">
        <v>208.7</v>
      </c>
      <c r="I175" s="1" t="s">
        <v>8</v>
      </c>
      <c r="J175" s="25" t="s">
        <v>117</v>
      </c>
      <c r="K175" s="25" t="s">
        <v>148</v>
      </c>
      <c r="L175" s="25">
        <v>4680</v>
      </c>
      <c r="M175" s="25">
        <f>ABS((D175*E175)-L175)</f>
        <v>140</v>
      </c>
      <c r="N175" s="27" t="str">
        <f>IF(COUNTIFS( $B$2:$B$666, B175, $C$2:$C$666, C175, $D$2:$D$666, D175, $E$2:$E$666, E175) &gt; 1, "Duplicate", "Unique")</f>
        <v>Duplicate</v>
      </c>
      <c r="P175" s="27"/>
    </row>
    <row r="176" spans="1:16" s="27" customFormat="1" ht="40.75" customHeight="1" thickBot="1" x14ac:dyDescent="0.4">
      <c r="A176" s="28">
        <v>46261.385416666664</v>
      </c>
      <c r="B176" s="29" t="s">
        <v>19</v>
      </c>
      <c r="C176" s="29" t="s">
        <v>7</v>
      </c>
      <c r="D176" s="30">
        <v>20</v>
      </c>
      <c r="E176" s="30">
        <v>241</v>
      </c>
      <c r="F176" s="4">
        <v>15.4767609</v>
      </c>
      <c r="G176" s="2" t="s">
        <v>39</v>
      </c>
      <c r="H176" s="5">
        <v>208.7</v>
      </c>
      <c r="I176" s="1" t="s">
        <v>8</v>
      </c>
      <c r="J176" s="25" t="s">
        <v>117</v>
      </c>
      <c r="K176" s="25" t="s">
        <v>175</v>
      </c>
      <c r="L176" s="25">
        <v>4520</v>
      </c>
      <c r="M176" s="25">
        <f>ABS((D176*E176)-L176)</f>
        <v>300</v>
      </c>
      <c r="N176" s="27" t="str">
        <f>IF(COUNTIFS( $B$2:$B$666, B176, $C$2:$C$666, C176, $D$2:$D$666, D176, $E$2:$E$666, E176) &gt; 1, "Duplicate", "Unique")</f>
        <v>Duplicate</v>
      </c>
      <c r="O176" s="10"/>
      <c r="P176" s="10"/>
    </row>
    <row r="177" spans="1:16" ht="27.65" customHeight="1" thickBot="1" x14ac:dyDescent="0.4">
      <c r="A177" s="3">
        <v>46294.475694444445</v>
      </c>
      <c r="B177" s="2" t="s">
        <v>16</v>
      </c>
      <c r="C177" s="2" t="s">
        <v>7</v>
      </c>
      <c r="D177" s="5">
        <v>5</v>
      </c>
      <c r="E177" s="5">
        <v>849</v>
      </c>
      <c r="F177" s="4">
        <v>15.57310101</v>
      </c>
      <c r="G177" s="2" t="s">
        <v>60</v>
      </c>
      <c r="H177" s="5">
        <v>734.6</v>
      </c>
      <c r="I177" s="1" t="s">
        <v>8</v>
      </c>
      <c r="J177" s="17" t="s">
        <v>117</v>
      </c>
      <c r="K177" s="17" t="s">
        <v>296</v>
      </c>
      <c r="L177" s="17">
        <v>3869</v>
      </c>
      <c r="M177" s="17">
        <f>ABS((D177*E177)-L177)</f>
        <v>376</v>
      </c>
      <c r="N177" s="10" t="str">
        <f>IF(COUNTIFS( $B$2:$B$666, B177, $C$2:$C$666, C177, $D$2:$D$666, D177, $E$2:$E$666, E177) &gt; 1, "Duplicate", "Unique")</f>
        <v>Unique</v>
      </c>
    </row>
    <row r="178" spans="1:16" ht="40.75" customHeight="1" thickBot="1" x14ac:dyDescent="0.4">
      <c r="A178" s="11">
        <v>46252.635416666664</v>
      </c>
      <c r="B178" s="8" t="s">
        <v>81</v>
      </c>
      <c r="C178" s="8" t="s">
        <v>7</v>
      </c>
      <c r="D178" s="8">
        <v>1</v>
      </c>
      <c r="E178" s="8">
        <v>4556</v>
      </c>
      <c r="F178" s="4">
        <v>15.62571378</v>
      </c>
      <c r="G178" s="2" t="s">
        <v>82</v>
      </c>
      <c r="H178" s="5">
        <v>3940.3</v>
      </c>
      <c r="I178" s="1" t="s">
        <v>8</v>
      </c>
      <c r="J178" s="32"/>
      <c r="N178" s="10" t="str">
        <f>IF(COUNTIFS( $B$2:$B$666, B178, $C$2:$C$666, C178, $D$2:$D$666, D178, $E$2:$E$666, E178) &gt; 1, "Duplicate", "Unique")</f>
        <v>Unique</v>
      </c>
    </row>
    <row r="179" spans="1:16" ht="40.75" customHeight="1" thickBot="1" x14ac:dyDescent="0.4">
      <c r="A179" s="11">
        <v>46252.688194444447</v>
      </c>
      <c r="B179" s="8" t="s">
        <v>14</v>
      </c>
      <c r="C179" s="8" t="s">
        <v>7</v>
      </c>
      <c r="D179" s="8">
        <v>50</v>
      </c>
      <c r="E179" s="8">
        <v>357</v>
      </c>
      <c r="F179" s="4">
        <v>15.946735950000001</v>
      </c>
      <c r="G179" s="2" t="s">
        <v>44</v>
      </c>
      <c r="H179" s="5">
        <v>307.89999999999998</v>
      </c>
      <c r="I179" s="1" t="s">
        <v>8</v>
      </c>
      <c r="J179" s="32"/>
      <c r="N179" s="10" t="str">
        <f>IF(COUNTIFS( $B$2:$B$666, B179, $C$2:$C$666, C179, $D$2:$D$666, D179, $E$2:$E$666, E179) &gt; 1, "Duplicate", "Unique")</f>
        <v>Unique</v>
      </c>
      <c r="O179" s="27"/>
    </row>
    <row r="180" spans="1:16" ht="40.75" customHeight="1" thickBot="1" x14ac:dyDescent="0.4">
      <c r="A180" s="3">
        <v>46261.375</v>
      </c>
      <c r="B180" s="1" t="s">
        <v>14</v>
      </c>
      <c r="C180" s="1" t="s">
        <v>7</v>
      </c>
      <c r="D180" s="4">
        <v>100</v>
      </c>
      <c r="E180" s="4">
        <v>358</v>
      </c>
      <c r="F180" s="4">
        <v>16.271516729999998</v>
      </c>
      <c r="G180" s="2" t="s">
        <v>44</v>
      </c>
      <c r="H180" s="5">
        <v>307.89999999999998</v>
      </c>
      <c r="I180" s="1" t="s">
        <v>8</v>
      </c>
      <c r="J180" s="17" t="s">
        <v>116</v>
      </c>
      <c r="K180" s="17" t="s">
        <v>177</v>
      </c>
      <c r="L180" s="17">
        <v>34100</v>
      </c>
      <c r="M180" s="17">
        <f>ABS((D180*E180)-L180)</f>
        <v>1700</v>
      </c>
      <c r="N180" s="10" t="str">
        <f>IF(COUNTIFS( $B$2:$B$666, B180, $C$2:$C$666, C180, $D$2:$D$666, D180, $E$2:$E$666, E180) &gt; 1, "Duplicate", "Unique")</f>
        <v>Unique</v>
      </c>
      <c r="O180" s="27"/>
    </row>
    <row r="181" spans="1:16" ht="40.75" customHeight="1" thickBot="1" x14ac:dyDescent="0.4">
      <c r="A181" s="8" t="s">
        <v>61</v>
      </c>
      <c r="B181" s="8" t="s">
        <v>67</v>
      </c>
      <c r="C181" s="8" t="s">
        <v>7</v>
      </c>
      <c r="D181" s="8">
        <v>10</v>
      </c>
      <c r="E181" s="8">
        <v>435</v>
      </c>
      <c r="F181" s="4">
        <v>16.341267720000001</v>
      </c>
      <c r="G181" s="2" t="s">
        <v>68</v>
      </c>
      <c r="H181" s="5">
        <v>373.9</v>
      </c>
      <c r="I181" s="1" t="s">
        <v>8</v>
      </c>
      <c r="J181" s="32"/>
      <c r="N181" s="10" t="str">
        <f>IF(COUNTIFS( $B$2:$B$666, B181, $C$2:$C$666, C181, $D$2:$D$666, D181, $E$2:$E$666, E181) &gt; 1, "Duplicate", "Unique")</f>
        <v>Unique</v>
      </c>
    </row>
    <row r="182" spans="1:16" ht="27.65" customHeight="1" thickBot="1" x14ac:dyDescent="0.4">
      <c r="A182" s="3">
        <v>46269.614583333336</v>
      </c>
      <c r="B182" s="1" t="s">
        <v>23</v>
      </c>
      <c r="C182" s="1" t="s">
        <v>7</v>
      </c>
      <c r="D182" s="4">
        <v>40</v>
      </c>
      <c r="E182" s="4">
        <v>219</v>
      </c>
      <c r="F182" s="4">
        <v>16.5637641</v>
      </c>
      <c r="G182" s="2" t="s">
        <v>69</v>
      </c>
      <c r="H182" s="5">
        <v>187.88</v>
      </c>
      <c r="I182" s="1" t="s">
        <v>8</v>
      </c>
      <c r="J182" s="17" t="s">
        <v>116</v>
      </c>
      <c r="K182" s="17" t="s">
        <v>234</v>
      </c>
      <c r="L182" s="17">
        <v>8480</v>
      </c>
      <c r="M182" s="24">
        <f>ABS((D182*E182)-L182)</f>
        <v>280</v>
      </c>
      <c r="N182" t="str">
        <f>IF(COUNTIFS( $B$2:$B$666, B182, $C$2:$C$666, C182, $D$2:$D$666, D182, $E$2:$E$666, E182) &gt; 1, "Duplicate", "Unique")</f>
        <v>Unique</v>
      </c>
      <c r="O182" s="36" t="s">
        <v>238</v>
      </c>
    </row>
    <row r="183" spans="1:16" ht="40.75" customHeight="1" thickBot="1" x14ac:dyDescent="0.4">
      <c r="A183" s="3">
        <v>46281.416666666664</v>
      </c>
      <c r="B183" s="1" t="s">
        <v>273</v>
      </c>
      <c r="C183" s="1" t="s">
        <v>10</v>
      </c>
      <c r="D183" s="4">
        <v>10</v>
      </c>
      <c r="E183" s="4">
        <v>726</v>
      </c>
      <c r="F183" s="4">
        <v>-34.58870168</v>
      </c>
      <c r="G183" s="2" t="s">
        <v>279</v>
      </c>
      <c r="H183" s="5">
        <v>1109.9000000000001</v>
      </c>
      <c r="I183" s="1" t="s">
        <v>8</v>
      </c>
      <c r="J183" s="17" t="s">
        <v>40</v>
      </c>
      <c r="K183" s="17" t="s">
        <v>275</v>
      </c>
      <c r="L183" s="17">
        <v>17940</v>
      </c>
      <c r="M183" s="17">
        <f>ABS((D183*E183)-L183)</f>
        <v>10680</v>
      </c>
      <c r="N183" s="10" t="str">
        <f>IF(COUNTIFS( $B$2:$B$666, B183, $C$2:$C$666, C183, $D$2:$D$666, D183, $E$2:$E$666, E183) &gt; 1, "Duplicate", "Unique")</f>
        <v>Unique</v>
      </c>
    </row>
    <row r="184" spans="1:16" ht="27.65" customHeight="1" thickBot="1" x14ac:dyDescent="0.4">
      <c r="A184" s="3">
        <v>46266.375694444447</v>
      </c>
      <c r="B184" s="1" t="s">
        <v>65</v>
      </c>
      <c r="C184" s="1" t="s">
        <v>7</v>
      </c>
      <c r="D184" s="4">
        <v>5</v>
      </c>
      <c r="E184" s="4">
        <v>1248</v>
      </c>
      <c r="F184" s="4">
        <v>16.668224739999999</v>
      </c>
      <c r="G184" s="2" t="s">
        <v>66</v>
      </c>
      <c r="H184" s="5">
        <v>1069.7</v>
      </c>
      <c r="I184" s="1" t="s">
        <v>8</v>
      </c>
      <c r="J184" s="17" t="s">
        <v>116</v>
      </c>
      <c r="K184" s="17" t="s">
        <v>208</v>
      </c>
      <c r="L184" s="17">
        <v>5940</v>
      </c>
      <c r="M184" s="17">
        <f>ABS((D184*E184)-L184)</f>
        <v>300</v>
      </c>
      <c r="N184" s="10" t="str">
        <f>IF(COUNTIFS( $B$2:$B$666, B184, $C$2:$C$666, C184, $D$2:$D$666, D184, $E$2:$E$666, E184) &gt; 1, "Duplicate", "Unique")</f>
        <v>Unique</v>
      </c>
    </row>
    <row r="185" spans="1:16" ht="27.65" customHeight="1" thickBot="1" x14ac:dyDescent="0.4">
      <c r="A185" s="8" t="s">
        <v>61</v>
      </c>
      <c r="B185" s="8" t="s">
        <v>24</v>
      </c>
      <c r="C185" s="8" t="s">
        <v>7</v>
      </c>
      <c r="D185" s="8">
        <v>5</v>
      </c>
      <c r="E185" s="8">
        <v>468</v>
      </c>
      <c r="F185" s="4">
        <v>16.679132389999999</v>
      </c>
      <c r="G185" s="2" t="s">
        <v>55</v>
      </c>
      <c r="H185" s="5">
        <v>401.1</v>
      </c>
      <c r="I185" s="1" t="s">
        <v>8</v>
      </c>
      <c r="J185" s="32" t="s">
        <v>117</v>
      </c>
      <c r="N185" s="10" t="str">
        <f>IF(COUNTIFS( $B$2:$B$666, B185, $C$2:$C$666, C185, $D$2:$D$666, D185, $E$2:$E$666, E185) &gt; 1, "Duplicate", "Unique")</f>
        <v>Unique</v>
      </c>
    </row>
    <row r="186" spans="1:16" ht="40.75" customHeight="1" thickBot="1" x14ac:dyDescent="0.4">
      <c r="A186" s="3">
        <v>46260.375</v>
      </c>
      <c r="B186" s="1" t="s">
        <v>24</v>
      </c>
      <c r="C186" s="1" t="s">
        <v>7</v>
      </c>
      <c r="D186" s="4">
        <v>40</v>
      </c>
      <c r="E186" s="4">
        <v>468</v>
      </c>
      <c r="F186" s="4">
        <v>16.679132389999999</v>
      </c>
      <c r="G186" s="2" t="s">
        <v>55</v>
      </c>
      <c r="H186" s="5">
        <v>401.1</v>
      </c>
      <c r="I186" s="1" t="s">
        <v>8</v>
      </c>
      <c r="J186" s="17" t="s">
        <v>117</v>
      </c>
      <c r="K186" s="17" t="s">
        <v>168</v>
      </c>
      <c r="L186" s="17">
        <v>17920</v>
      </c>
      <c r="M186" s="17">
        <f>ABS((D186*E186)-L186)</f>
        <v>800</v>
      </c>
      <c r="N186" t="str">
        <f>IF(COUNTIFS( $B$2:$B$666, B186, $C$2:$C$666, C186, $D$2:$D$666, D186, $E$2:$E$666, E186) &gt; 1, "Duplicate", "Unique")</f>
        <v>Unique</v>
      </c>
    </row>
    <row r="187" spans="1:16" ht="27.65" customHeight="1" thickBot="1" x14ac:dyDescent="0.4">
      <c r="A187" s="3">
        <v>46265.375694444447</v>
      </c>
      <c r="B187" s="1" t="s">
        <v>35</v>
      </c>
      <c r="C187" s="1" t="s">
        <v>7</v>
      </c>
      <c r="D187" s="4">
        <v>5</v>
      </c>
      <c r="E187" s="4">
        <v>1236</v>
      </c>
      <c r="F187" s="4">
        <v>16.934720909999999</v>
      </c>
      <c r="G187" s="2" t="s">
        <v>64</v>
      </c>
      <c r="H187" s="5">
        <v>1057</v>
      </c>
      <c r="I187" s="1" t="s">
        <v>8</v>
      </c>
      <c r="J187" s="17" t="s">
        <v>117</v>
      </c>
      <c r="K187" s="17" t="s">
        <v>203</v>
      </c>
      <c r="L187" s="17">
        <v>5905</v>
      </c>
      <c r="M187" s="17">
        <f>ABS((D187*E187)-L187)</f>
        <v>275</v>
      </c>
      <c r="N187" t="str">
        <f>IF(COUNTIFS( $B$2:$B$666, B187, $C$2:$C$666, C187, $D$2:$D$666, D187, $E$2:$E$666, E187) &gt; 1, "Duplicate", "Unique")</f>
        <v>Unique</v>
      </c>
    </row>
    <row r="188" spans="1:16" ht="40.75" customHeight="1" thickBot="1" x14ac:dyDescent="0.4">
      <c r="A188" s="53">
        <v>46302</v>
      </c>
      <c r="B188" s="1" t="s">
        <v>22</v>
      </c>
      <c r="C188" s="1" t="s">
        <v>7</v>
      </c>
      <c r="D188" s="4">
        <v>14</v>
      </c>
      <c r="E188" s="4">
        <v>459</v>
      </c>
      <c r="F188" s="4">
        <v>16.972477059999999</v>
      </c>
      <c r="G188" s="2" t="s">
        <v>72</v>
      </c>
      <c r="H188" s="5">
        <v>392.4</v>
      </c>
      <c r="I188" s="1" t="s">
        <v>8</v>
      </c>
      <c r="J188" s="49" t="s">
        <v>116</v>
      </c>
      <c r="K188" s="16"/>
      <c r="L188" s="16"/>
      <c r="M188" s="16"/>
      <c r="N188" t="str">
        <f>IF(COUNTIFS( $B$2:$B$666, B188, $C$2:$C$666, C188, $D$2:$D$666, D188, $E$2:$E$666, E188) &gt; 1, "Duplicate", "Unique")</f>
        <v>Unique</v>
      </c>
      <c r="O188"/>
    </row>
    <row r="189" spans="1:16" ht="40.75" customHeight="1" thickBot="1" x14ac:dyDescent="0.4">
      <c r="A189" s="8" t="s">
        <v>61</v>
      </c>
      <c r="B189" s="8" t="s">
        <v>122</v>
      </c>
      <c r="C189" s="8" t="s">
        <v>7</v>
      </c>
      <c r="D189" s="8">
        <v>200</v>
      </c>
      <c r="E189" s="8">
        <v>90.75</v>
      </c>
      <c r="F189" s="4">
        <v>17.096774190000001</v>
      </c>
      <c r="G189" s="2" t="s">
        <v>123</v>
      </c>
      <c r="H189" s="5">
        <v>77.5</v>
      </c>
      <c r="I189" s="1" t="s">
        <v>8</v>
      </c>
      <c r="J189" s="32" t="s">
        <v>54</v>
      </c>
      <c r="N189" s="10" t="str">
        <f>IF(COUNTIFS( $B$2:$B$666, B189, $C$2:$C$666, C189, $D$2:$D$666, D189, $E$2:$E$666, E189) &gt; 1, "Duplicate", "Unique")</f>
        <v>Unique</v>
      </c>
    </row>
    <row r="190" spans="1:16" ht="40.75" customHeight="1" thickBot="1" x14ac:dyDescent="0.4">
      <c r="A190" s="28">
        <v>46265.375694444447</v>
      </c>
      <c r="B190" s="29" t="s">
        <v>6</v>
      </c>
      <c r="C190" s="29" t="s">
        <v>7</v>
      </c>
      <c r="D190" s="30">
        <v>20</v>
      </c>
      <c r="E190" s="30">
        <v>291</v>
      </c>
      <c r="F190" s="4">
        <v>17.14975845</v>
      </c>
      <c r="G190" s="2" t="s">
        <v>129</v>
      </c>
      <c r="H190" s="5">
        <v>248.4</v>
      </c>
      <c r="I190" s="1" t="s">
        <v>8</v>
      </c>
      <c r="J190" s="25" t="s">
        <v>117</v>
      </c>
      <c r="K190" s="25" t="s">
        <v>202</v>
      </c>
      <c r="L190" s="25">
        <v>5520</v>
      </c>
      <c r="M190" s="25">
        <f>ABS((D190*E190)-L190)</f>
        <v>300</v>
      </c>
      <c r="N190" s="26" t="str">
        <f>IF(COUNTIFS( $B$2:$B$666, B190, $C$2:$C$666, C190, $D$2:$D$666, D190, $E$2:$E$666, E190) &gt; 1, "Duplicate", "Unique")</f>
        <v>Unique</v>
      </c>
      <c r="O190" s="36" t="s">
        <v>238</v>
      </c>
    </row>
    <row r="191" spans="1:16" ht="27.65" customHeight="1" thickBot="1" x14ac:dyDescent="0.4">
      <c r="A191" s="38">
        <v>46243.505555555559</v>
      </c>
      <c r="B191" s="39" t="s">
        <v>6</v>
      </c>
      <c r="C191" s="39" t="s">
        <v>7</v>
      </c>
      <c r="D191" s="39">
        <v>10</v>
      </c>
      <c r="E191" s="39">
        <v>291</v>
      </c>
      <c r="F191" s="4">
        <v>17.14975845</v>
      </c>
      <c r="G191" s="2" t="s">
        <v>129</v>
      </c>
      <c r="H191" s="5">
        <v>248.4</v>
      </c>
      <c r="I191" s="1" t="s">
        <v>8</v>
      </c>
      <c r="J191" s="25" t="s">
        <v>117</v>
      </c>
      <c r="K191" s="25" t="s">
        <v>245</v>
      </c>
      <c r="L191" s="25">
        <v>2657</v>
      </c>
      <c r="M191" s="25">
        <f>ABS((D191*E191)-L191)</f>
        <v>253</v>
      </c>
      <c r="N191" s="27" t="str">
        <f>IF(COUNTIFS( $B$2:$B$666, B191, $C$2:$C$666, C191, $D$2:$D$666, D191, $E$2:$E$666, E191) &gt; 1, "Duplicate", "Unique")</f>
        <v>Duplicate</v>
      </c>
      <c r="O191" s="36" t="s">
        <v>238</v>
      </c>
    </row>
    <row r="192" spans="1:16" ht="27.65" customHeight="1" thickBot="1" x14ac:dyDescent="0.4">
      <c r="A192" s="28">
        <v>46280.588194444441</v>
      </c>
      <c r="B192" s="29" t="s">
        <v>6</v>
      </c>
      <c r="C192" s="29" t="s">
        <v>7</v>
      </c>
      <c r="D192" s="30">
        <v>10</v>
      </c>
      <c r="E192" s="30">
        <v>291</v>
      </c>
      <c r="F192" s="4">
        <v>17.14975845</v>
      </c>
      <c r="G192" s="2" t="s">
        <v>129</v>
      </c>
      <c r="H192" s="5">
        <v>248.4</v>
      </c>
      <c r="I192" s="1" t="s">
        <v>8</v>
      </c>
      <c r="J192" s="45" t="s">
        <v>117</v>
      </c>
      <c r="K192" s="25" t="s">
        <v>270</v>
      </c>
      <c r="L192" s="25">
        <v>2554.5</v>
      </c>
      <c r="M192" s="25">
        <f>ABS((D192*E192)-L192)</f>
        <v>355.5</v>
      </c>
      <c r="N192" s="27" t="str">
        <f>IF(COUNTIFS( $B$2:$B$666, B192, $C$2:$C$666, C192, $D$2:$D$666, D192, $E$2:$E$666, E192) &gt; 1, "Duplicate", "Unique")</f>
        <v>Duplicate</v>
      </c>
      <c r="O192" s="36" t="s">
        <v>238</v>
      </c>
      <c r="P192" s="27"/>
    </row>
    <row r="193" spans="1:16" ht="27.65" customHeight="1" thickBot="1" x14ac:dyDescent="0.4">
      <c r="A193" s="3">
        <v>46265.460416666669</v>
      </c>
      <c r="B193" s="1" t="s">
        <v>18</v>
      </c>
      <c r="C193" s="1" t="s">
        <v>7</v>
      </c>
      <c r="D193" s="4">
        <v>5</v>
      </c>
      <c r="E193" s="4">
        <v>1892</v>
      </c>
      <c r="F193" s="4">
        <v>17.158957210000001</v>
      </c>
      <c r="G193" s="2" t="s">
        <v>101</v>
      </c>
      <c r="H193" s="5">
        <v>1614.9</v>
      </c>
      <c r="I193" s="1" t="s">
        <v>8</v>
      </c>
      <c r="J193" s="17" t="s">
        <v>117</v>
      </c>
      <c r="K193" s="17" t="s">
        <v>193</v>
      </c>
      <c r="L193" s="17">
        <v>8810</v>
      </c>
      <c r="M193" s="17">
        <f>ABS((D193*E193)-L193)</f>
        <v>650</v>
      </c>
      <c r="N193" t="str">
        <f>IF(COUNTIFS( $B$2:$B$666, B193, $C$2:$C$666, C193, $D$2:$D$666, D193, $E$2:$E$666, E193) &gt; 1, "Duplicate", "Unique")</f>
        <v>Unique</v>
      </c>
      <c r="P193" s="27"/>
    </row>
    <row r="194" spans="1:16" ht="27.65" customHeight="1" thickBot="1" x14ac:dyDescent="0.4">
      <c r="A194" s="8" t="s">
        <v>61</v>
      </c>
      <c r="B194" s="8" t="s">
        <v>120</v>
      </c>
      <c r="C194" s="8" t="s">
        <v>7</v>
      </c>
      <c r="D194" s="8">
        <v>10</v>
      </c>
      <c r="E194" s="8">
        <v>796</v>
      </c>
      <c r="F194" s="4">
        <v>17.22259038</v>
      </c>
      <c r="G194" s="2" t="s">
        <v>121</v>
      </c>
      <c r="H194" s="5">
        <v>679.05</v>
      </c>
      <c r="I194" s="1" t="s">
        <v>8</v>
      </c>
      <c r="J194" s="32" t="s">
        <v>116</v>
      </c>
      <c r="N194" s="10" t="str">
        <f>IF(COUNTIFS( $B$2:$B$666, B194, $C$2:$C$666, C194, $D$2:$D$666, D194, $E$2:$E$666, E194) &gt; 1, "Duplicate", "Unique")</f>
        <v>Unique</v>
      </c>
    </row>
    <row r="195" spans="1:16" ht="27.65" customHeight="1" thickBot="1" x14ac:dyDescent="0.4">
      <c r="A195" s="11">
        <v>46252.688194444447</v>
      </c>
      <c r="B195" s="8" t="s">
        <v>14</v>
      </c>
      <c r="C195" s="8" t="s">
        <v>7</v>
      </c>
      <c r="D195" s="8">
        <v>50</v>
      </c>
      <c r="E195" s="8">
        <v>361</v>
      </c>
      <c r="F195" s="4">
        <v>17.24585905</v>
      </c>
      <c r="G195" s="2" t="s">
        <v>44</v>
      </c>
      <c r="H195" s="5">
        <v>307.89999999999998</v>
      </c>
      <c r="I195" s="1" t="s">
        <v>8</v>
      </c>
      <c r="J195" s="32"/>
      <c r="N195" s="10" t="str">
        <f>IF(COUNTIFS( $B$2:$B$666, B195, $C$2:$C$666, C195, $D$2:$D$666, D195, $E$2:$E$666, E195) &gt; 1, "Duplicate", "Unique")</f>
        <v>Unique</v>
      </c>
    </row>
    <row r="196" spans="1:16" ht="40.75" customHeight="1" thickBot="1" x14ac:dyDescent="0.4">
      <c r="A196" s="3">
        <v>46266.375</v>
      </c>
      <c r="B196" s="1" t="s">
        <v>88</v>
      </c>
      <c r="C196" s="1" t="s">
        <v>7</v>
      </c>
      <c r="D196" s="4">
        <v>1</v>
      </c>
      <c r="E196" s="4">
        <v>14852</v>
      </c>
      <c r="F196" s="4">
        <v>17.314375989999998</v>
      </c>
      <c r="G196" s="2" t="s">
        <v>89</v>
      </c>
      <c r="H196" s="5">
        <v>12660</v>
      </c>
      <c r="I196" s="1" t="s">
        <v>8</v>
      </c>
      <c r="J196" s="17" t="s">
        <v>117</v>
      </c>
      <c r="K196" s="17" t="s">
        <v>216</v>
      </c>
      <c r="L196" s="17">
        <v>14552</v>
      </c>
      <c r="M196" s="17">
        <f t="shared" ref="M196:M202" si="5">ABS((D196*E196)-L196)</f>
        <v>300</v>
      </c>
      <c r="N196" s="10" t="str">
        <f>IF(COUNTIFS( $B$2:$B$666, B196, $C$2:$C$666, C196, $D$2:$D$666, D196, $E$2:$E$666, E196) &gt; 1, "Duplicate", "Unique")</f>
        <v>Unique</v>
      </c>
      <c r="O196" s="36" t="s">
        <v>238</v>
      </c>
      <c r="P196" s="27"/>
    </row>
    <row r="197" spans="1:16" ht="40.75" customHeight="1" thickBot="1" x14ac:dyDescent="0.4">
      <c r="A197" s="3">
        <v>46261.615277777775</v>
      </c>
      <c r="B197" s="1" t="s">
        <v>34</v>
      </c>
      <c r="C197" s="1" t="s">
        <v>7</v>
      </c>
      <c r="D197" s="4">
        <v>50</v>
      </c>
      <c r="E197" s="4">
        <v>226.3</v>
      </c>
      <c r="F197" s="4">
        <v>17.412057690000001</v>
      </c>
      <c r="G197" s="2" t="s">
        <v>41</v>
      </c>
      <c r="H197" s="5">
        <v>192.74</v>
      </c>
      <c r="I197" s="1" t="s">
        <v>8</v>
      </c>
      <c r="J197" s="17" t="s">
        <v>117</v>
      </c>
      <c r="K197" s="17" t="s">
        <v>172</v>
      </c>
      <c r="L197" s="17">
        <v>10814</v>
      </c>
      <c r="M197" s="17">
        <f t="shared" si="5"/>
        <v>501</v>
      </c>
      <c r="N197" s="10" t="str">
        <f>IF(COUNTIFS( $B$2:$B$666, B197, $C$2:$C$666, C197, $D$2:$D$666, D197, $E$2:$E$666, E197) &gt; 1, "Duplicate", "Unique")</f>
        <v>Unique</v>
      </c>
      <c r="O197" s="36" t="s">
        <v>238</v>
      </c>
    </row>
    <row r="198" spans="1:16" ht="27.65" customHeight="1" thickBot="1" x14ac:dyDescent="0.4">
      <c r="A198" s="3">
        <v>46261.375694444447</v>
      </c>
      <c r="B198" s="1" t="s">
        <v>52</v>
      </c>
      <c r="C198" s="1" t="s">
        <v>7</v>
      </c>
      <c r="D198" s="4">
        <v>2</v>
      </c>
      <c r="E198" s="4">
        <v>2690</v>
      </c>
      <c r="F198" s="4">
        <v>17.482639649999999</v>
      </c>
      <c r="G198" s="2" t="s">
        <v>53</v>
      </c>
      <c r="H198" s="5">
        <v>2289.6999999999998</v>
      </c>
      <c r="I198" s="1" t="s">
        <v>8</v>
      </c>
      <c r="J198" s="17" t="s">
        <v>117</v>
      </c>
      <c r="K198" s="17" t="s">
        <v>174</v>
      </c>
      <c r="L198" s="17">
        <v>5120</v>
      </c>
      <c r="M198" s="17">
        <f t="shared" si="5"/>
        <v>260</v>
      </c>
      <c r="N198" s="10" t="str">
        <f>IF(COUNTIFS( $B$2:$B$666, B198, $C$2:$C$666, C198, $D$2:$D$666, D198, $E$2:$E$666, E198) &gt; 1, "Duplicate", "Unique")</f>
        <v>Unique</v>
      </c>
    </row>
    <row r="199" spans="1:16" ht="26.5" thickBot="1" x14ac:dyDescent="0.4">
      <c r="A199" s="3">
        <v>46258.629861111112</v>
      </c>
      <c r="B199" s="1" t="s">
        <v>17</v>
      </c>
      <c r="C199" s="1" t="s">
        <v>7</v>
      </c>
      <c r="D199" s="4">
        <v>25</v>
      </c>
      <c r="E199" s="4">
        <v>392.5</v>
      </c>
      <c r="F199" s="4">
        <v>17.51497006</v>
      </c>
      <c r="G199" s="2" t="s">
        <v>76</v>
      </c>
      <c r="H199" s="5">
        <v>334</v>
      </c>
      <c r="I199" s="1" t="s">
        <v>8</v>
      </c>
      <c r="J199" s="17" t="s">
        <v>117</v>
      </c>
      <c r="K199" s="17" t="s">
        <v>153</v>
      </c>
      <c r="L199" s="17">
        <v>9312.5</v>
      </c>
      <c r="M199" s="17">
        <f t="shared" si="5"/>
        <v>500</v>
      </c>
      <c r="N199" s="10" t="str">
        <f>IF(COUNTIFS( $B$2:$B$666, B199, $C$2:$C$666, C199, $D$2:$D$666, D199, $E$2:$E$666, E199) &gt; 1, "Duplicate", "Unique")</f>
        <v>Unique</v>
      </c>
    </row>
    <row r="200" spans="1:16" ht="40.75" customHeight="1" thickBot="1" x14ac:dyDescent="0.4">
      <c r="A200" s="3">
        <v>46272.375694444447</v>
      </c>
      <c r="B200" s="1" t="s">
        <v>86</v>
      </c>
      <c r="C200" s="1" t="s">
        <v>7</v>
      </c>
      <c r="D200" s="4">
        <v>10</v>
      </c>
      <c r="E200" s="4">
        <v>1280</v>
      </c>
      <c r="F200" s="4">
        <v>17.539026629999999</v>
      </c>
      <c r="G200" s="2" t="s">
        <v>87</v>
      </c>
      <c r="H200" s="5">
        <v>1089</v>
      </c>
      <c r="I200" s="1" t="s">
        <v>8</v>
      </c>
      <c r="J200" s="17" t="s">
        <v>116</v>
      </c>
      <c r="K200" s="17" t="s">
        <v>244</v>
      </c>
      <c r="L200" s="17">
        <v>12510</v>
      </c>
      <c r="M200" s="17">
        <f t="shared" si="5"/>
        <v>290</v>
      </c>
      <c r="N200" s="10" t="str">
        <f>IF(COUNTIFS( $B$2:$B$666, B200, $C$2:$C$666, C200, $D$2:$D$666, D200, $E$2:$E$666, E200) &gt; 1, "Duplicate", "Unique")</f>
        <v>Unique</v>
      </c>
    </row>
    <row r="201" spans="1:16" ht="40.75" customHeight="1" thickBot="1" x14ac:dyDescent="0.4">
      <c r="A201" s="3">
        <v>46261.375694444447</v>
      </c>
      <c r="B201" s="1" t="s">
        <v>77</v>
      </c>
      <c r="C201" s="1" t="s">
        <v>7</v>
      </c>
      <c r="D201" s="4">
        <v>5</v>
      </c>
      <c r="E201" s="4">
        <v>1490</v>
      </c>
      <c r="F201" s="4">
        <v>17.693522909999999</v>
      </c>
      <c r="G201" s="2" t="s">
        <v>78</v>
      </c>
      <c r="H201" s="5">
        <v>1266</v>
      </c>
      <c r="I201" s="1" t="s">
        <v>8</v>
      </c>
      <c r="J201" s="17" t="s">
        <v>117</v>
      </c>
      <c r="K201" s="17" t="s">
        <v>183</v>
      </c>
      <c r="L201" s="17">
        <v>7200</v>
      </c>
      <c r="M201" s="17">
        <f t="shared" si="5"/>
        <v>250</v>
      </c>
      <c r="N201" s="10" t="str">
        <f>IF(COUNTIFS( $B$2:$B$666, B201, $C$2:$C$666, C201, $D$2:$D$666, D201, $E$2:$E$666, E201) &gt; 1, "Duplicate", "Unique")</f>
        <v>Unique</v>
      </c>
    </row>
    <row r="202" spans="1:16" ht="27.65" customHeight="1" thickBot="1" x14ac:dyDescent="0.4">
      <c r="A202" s="3">
        <v>46265.375694444447</v>
      </c>
      <c r="B202" s="1" t="s">
        <v>77</v>
      </c>
      <c r="C202" s="1" t="s">
        <v>7</v>
      </c>
      <c r="D202" s="4">
        <v>3</v>
      </c>
      <c r="E202" s="4">
        <v>1490</v>
      </c>
      <c r="F202" s="4">
        <v>17.693522909999999</v>
      </c>
      <c r="G202" s="2" t="s">
        <v>78</v>
      </c>
      <c r="H202" s="5">
        <v>1266</v>
      </c>
      <c r="I202" s="1" t="s">
        <v>8</v>
      </c>
      <c r="J202" s="17" t="s">
        <v>117</v>
      </c>
      <c r="K202" s="17" t="s">
        <v>201</v>
      </c>
      <c r="L202" s="17">
        <v>4170</v>
      </c>
      <c r="M202" s="17">
        <f t="shared" si="5"/>
        <v>300</v>
      </c>
      <c r="N202" t="str">
        <f>IF(COUNTIFS( $B$2:$B$666, B202, $C$2:$C$666, C202, $D$2:$D$666, D202, $E$2:$E$666, E202) &gt; 1, "Duplicate", "Unique")</f>
        <v>Unique</v>
      </c>
    </row>
    <row r="203" spans="1:16" ht="40.75" customHeight="1" thickBot="1" x14ac:dyDescent="0.4">
      <c r="A203" s="11">
        <v>46252.6875</v>
      </c>
      <c r="B203" s="8" t="s">
        <v>13</v>
      </c>
      <c r="C203" s="8" t="s">
        <v>7</v>
      </c>
      <c r="D203" s="8">
        <v>5</v>
      </c>
      <c r="E203" s="8">
        <v>2094</v>
      </c>
      <c r="F203" s="4">
        <v>17.706576729999998</v>
      </c>
      <c r="G203" s="2" t="s">
        <v>90</v>
      </c>
      <c r="H203" s="5">
        <v>1779</v>
      </c>
      <c r="I203" s="1" t="s">
        <v>8</v>
      </c>
      <c r="J203" s="32" t="s">
        <v>117</v>
      </c>
      <c r="N203" s="10" t="str">
        <f>IF(COUNTIFS( $B$2:$B$666, B203, $C$2:$C$666, C203, $D$2:$D$666, D203, $E$2:$E$666, E203) &gt; 1, "Duplicate", "Unique")</f>
        <v>Unique</v>
      </c>
    </row>
    <row r="204" spans="1:16" ht="40.75" customHeight="1" thickBot="1" x14ac:dyDescent="0.4">
      <c r="A204" s="3">
        <v>46259.375</v>
      </c>
      <c r="B204" s="1" t="s">
        <v>24</v>
      </c>
      <c r="C204" s="1" t="s">
        <v>7</v>
      </c>
      <c r="D204" s="4">
        <v>20</v>
      </c>
      <c r="E204" s="4">
        <v>472.5</v>
      </c>
      <c r="F204" s="4">
        <v>17.80104712</v>
      </c>
      <c r="G204" s="2" t="s">
        <v>55</v>
      </c>
      <c r="H204" s="5">
        <v>401.1</v>
      </c>
      <c r="I204" s="1" t="s">
        <v>8</v>
      </c>
      <c r="J204" s="32" t="s">
        <v>117</v>
      </c>
      <c r="K204" s="17" t="s">
        <v>159</v>
      </c>
      <c r="L204" s="17">
        <v>8800</v>
      </c>
      <c r="M204" s="17">
        <f>ABS((D204*E204)-L204)</f>
        <v>650</v>
      </c>
      <c r="N204" s="10" t="str">
        <f>IF(COUNTIFS( $B$2:$B$666, B204, $C$2:$C$666, C204, $D$2:$D$666, D204, $E$2:$E$666, E204) &gt; 1, "Duplicate", "Unique")</f>
        <v>Unique</v>
      </c>
      <c r="O204" s="27"/>
    </row>
    <row r="205" spans="1:16" ht="40.75" customHeight="1" thickBot="1" x14ac:dyDescent="0.4">
      <c r="A205" s="8" t="s">
        <v>61</v>
      </c>
      <c r="B205" s="8" t="s">
        <v>132</v>
      </c>
      <c r="C205" s="8" t="s">
        <v>7</v>
      </c>
      <c r="D205" s="8">
        <v>150</v>
      </c>
      <c r="E205" s="8">
        <v>123.4</v>
      </c>
      <c r="F205" s="4">
        <v>17.97323136</v>
      </c>
      <c r="G205" s="2" t="s">
        <v>133</v>
      </c>
      <c r="H205" s="5">
        <v>104.6</v>
      </c>
      <c r="I205" s="1" t="s">
        <v>8</v>
      </c>
      <c r="J205" s="32" t="s">
        <v>116</v>
      </c>
      <c r="N205" s="10" t="str">
        <f>IF(COUNTIFS( $B$2:$B$666, B205, $C$2:$C$666, C205, $D$2:$D$666, D205, $E$2:$E$666, E205) &gt; 1, "Duplicate", "Unique")</f>
        <v>Unique</v>
      </c>
    </row>
    <row r="206" spans="1:16" ht="40.75" customHeight="1" thickBot="1" x14ac:dyDescent="0.4">
      <c r="A206" s="8" t="s">
        <v>61</v>
      </c>
      <c r="B206" s="8" t="s">
        <v>50</v>
      </c>
      <c r="C206" s="8" t="s">
        <v>7</v>
      </c>
      <c r="D206" s="8">
        <v>10</v>
      </c>
      <c r="E206" s="13">
        <v>1024</v>
      </c>
      <c r="F206" s="4">
        <v>18.244803699999999</v>
      </c>
      <c r="G206" s="2" t="s">
        <v>51</v>
      </c>
      <c r="H206" s="5">
        <v>866</v>
      </c>
      <c r="I206" s="1" t="s">
        <v>8</v>
      </c>
      <c r="J206" s="32" t="s">
        <v>117</v>
      </c>
      <c r="N206" s="10" t="str">
        <f>IF(COUNTIFS( $B$2:$B$666, B206, $C$2:$C$666, C206, $D$2:$D$666, D206, $E$2:$E$666, E206) &gt; 1, "Duplicate", "Unique")</f>
        <v>Unique</v>
      </c>
    </row>
    <row r="207" spans="1:16" ht="27.65" customHeight="1" thickBot="1" x14ac:dyDescent="0.4">
      <c r="A207" s="3">
        <v>46281.416666666664</v>
      </c>
      <c r="B207" s="1" t="s">
        <v>273</v>
      </c>
      <c r="C207" s="1" t="s">
        <v>10</v>
      </c>
      <c r="D207" s="4">
        <v>10</v>
      </c>
      <c r="E207" s="4">
        <v>706</v>
      </c>
      <c r="F207" s="4">
        <v>-36.390665830000003</v>
      </c>
      <c r="G207" s="2" t="s">
        <v>279</v>
      </c>
      <c r="H207" s="5">
        <v>1109.9000000000001</v>
      </c>
      <c r="I207" s="1" t="s">
        <v>8</v>
      </c>
      <c r="J207" s="17" t="s">
        <v>40</v>
      </c>
      <c r="K207" s="17" t="s">
        <v>275</v>
      </c>
      <c r="L207" s="17">
        <v>17940</v>
      </c>
      <c r="M207" s="17">
        <f>ABS((D207*E207)-L207)</f>
        <v>10880</v>
      </c>
      <c r="N207" s="10" t="str">
        <f>IF(COUNTIFS( $B$2:$B$666, B207, $C$2:$C$666, C207, $D$2:$D$666, D207, $E$2:$E$666, E207) &gt; 1, "Duplicate", "Unique")</f>
        <v>Unique</v>
      </c>
    </row>
    <row r="208" spans="1:16" ht="40.75" customHeight="1" thickBot="1" x14ac:dyDescent="0.4">
      <c r="A208" s="28">
        <v>46260.556944444441</v>
      </c>
      <c r="B208" s="29" t="s">
        <v>35</v>
      </c>
      <c r="C208" s="29" t="s">
        <v>7</v>
      </c>
      <c r="D208" s="30">
        <v>5</v>
      </c>
      <c r="E208" s="30">
        <v>1251</v>
      </c>
      <c r="F208" s="4">
        <v>18.353831599999999</v>
      </c>
      <c r="G208" s="2" t="s">
        <v>64</v>
      </c>
      <c r="H208" s="5">
        <v>1057</v>
      </c>
      <c r="I208" s="1" t="s">
        <v>8</v>
      </c>
      <c r="J208" s="25" t="s">
        <v>117</v>
      </c>
      <c r="K208" s="25" t="s">
        <v>163</v>
      </c>
      <c r="L208" s="25">
        <v>6105</v>
      </c>
      <c r="M208" s="25">
        <f>ABS((D208*E208)-L208)</f>
        <v>150</v>
      </c>
      <c r="N208" s="26" t="str">
        <f>IF(COUNTIFS( $B$2:$B$666, B208, $C$2:$C$666, C208, $D$2:$D$666, D208, $E$2:$E$666, E208) &gt; 1, "Duplicate", "Unique")</f>
        <v>Duplicate</v>
      </c>
    </row>
    <row r="209" spans="1:16" ht="40.75" customHeight="1" thickBot="1" x14ac:dyDescent="0.4">
      <c r="A209" s="28">
        <v>46261.375</v>
      </c>
      <c r="B209" s="29" t="s">
        <v>35</v>
      </c>
      <c r="C209" s="29" t="s">
        <v>7</v>
      </c>
      <c r="D209" s="30">
        <v>5</v>
      </c>
      <c r="E209" s="30">
        <v>1251</v>
      </c>
      <c r="F209" s="4">
        <v>18.353831599999999</v>
      </c>
      <c r="G209" s="2" t="s">
        <v>64</v>
      </c>
      <c r="H209" s="5">
        <v>1057</v>
      </c>
      <c r="I209" s="1" t="s">
        <v>8</v>
      </c>
      <c r="J209" s="25" t="s">
        <v>117</v>
      </c>
      <c r="K209" s="25" t="s">
        <v>176</v>
      </c>
      <c r="L209" s="25">
        <v>6005</v>
      </c>
      <c r="M209" s="25">
        <f>ABS((D209*E209)-L209)</f>
        <v>250</v>
      </c>
      <c r="N209" s="27" t="str">
        <f>IF(COUNTIFS( $B$2:$B$666, B209, $C$2:$C$666, C209, $D$2:$D$666, D209, $E$2:$E$666, E209) &gt; 1, "Duplicate", "Unique")</f>
        <v>Duplicate</v>
      </c>
    </row>
    <row r="210" spans="1:16" ht="40.75" customHeight="1" thickBot="1" x14ac:dyDescent="0.4">
      <c r="A210" s="8" t="s">
        <v>61</v>
      </c>
      <c r="B210" s="8" t="s">
        <v>52</v>
      </c>
      <c r="C210" s="8" t="s">
        <v>7</v>
      </c>
      <c r="D210" s="8">
        <v>3</v>
      </c>
      <c r="E210" s="12">
        <v>2710</v>
      </c>
      <c r="F210" s="4">
        <v>18.35611652</v>
      </c>
      <c r="G210" s="2" t="s">
        <v>53</v>
      </c>
      <c r="H210" s="5">
        <v>2289.6999999999998</v>
      </c>
      <c r="I210" s="1" t="s">
        <v>8</v>
      </c>
      <c r="J210" s="32" t="s">
        <v>117</v>
      </c>
      <c r="N210" s="10" t="str">
        <f>IF(COUNTIFS( $B$2:$B$666, B210, $C$2:$C$666, C210, $D$2:$D$666, D210, $E$2:$E$666, E210) &gt; 1, "Duplicate", "Unique")</f>
        <v>Unique</v>
      </c>
    </row>
    <row r="211" spans="1:16" ht="27.65" customHeight="1" thickBot="1" x14ac:dyDescent="0.4">
      <c r="A211" s="28">
        <v>46258.443749999999</v>
      </c>
      <c r="B211" s="29" t="s">
        <v>6</v>
      </c>
      <c r="C211" s="29" t="s">
        <v>7</v>
      </c>
      <c r="D211" s="30">
        <v>50</v>
      </c>
      <c r="E211" s="30">
        <v>294</v>
      </c>
      <c r="F211" s="4">
        <v>18.357487920000001</v>
      </c>
      <c r="G211" s="2" t="s">
        <v>129</v>
      </c>
      <c r="H211" s="5">
        <v>248.4</v>
      </c>
      <c r="I211" s="1" t="s">
        <v>8</v>
      </c>
      <c r="J211" s="25" t="s">
        <v>117</v>
      </c>
      <c r="K211" s="25" t="s">
        <v>154</v>
      </c>
      <c r="L211" s="25">
        <v>14172.5</v>
      </c>
      <c r="M211" s="25">
        <f>ABS((D211*E211)-L211)</f>
        <v>527.5</v>
      </c>
      <c r="N211" s="27" t="str">
        <f>IF(COUNTIFS( $B$2:$B$666, B211, $C$2:$C$666, C211, $D$2:$D$666, D211, $E$2:$E$666, E211) &gt; 1, "Duplicate", "Unique")</f>
        <v>Unique</v>
      </c>
      <c r="O211" s="27"/>
      <c r="P211" s="27"/>
    </row>
    <row r="212" spans="1:16" ht="40.75" customHeight="1" thickBot="1" x14ac:dyDescent="0.4">
      <c r="A212" s="38">
        <v>46253.4</v>
      </c>
      <c r="B212" s="39" t="s">
        <v>6</v>
      </c>
      <c r="C212" s="39" t="s">
        <v>7</v>
      </c>
      <c r="D212" s="39">
        <v>30</v>
      </c>
      <c r="E212" s="39">
        <v>294</v>
      </c>
      <c r="F212" s="4">
        <v>18.357487920000001</v>
      </c>
      <c r="G212" s="2" t="s">
        <v>129</v>
      </c>
      <c r="H212" s="5">
        <v>248.4</v>
      </c>
      <c r="I212" s="1" t="s">
        <v>8</v>
      </c>
      <c r="J212" s="45" t="s">
        <v>117</v>
      </c>
      <c r="K212" s="25" t="s">
        <v>142</v>
      </c>
      <c r="L212" s="25"/>
      <c r="M212" s="25"/>
      <c r="N212" s="27" t="str">
        <f>IF(COUNTIFS( $B$2:$B$666, B212, $C$2:$C$666, C212, $D$2:$D$666, D212, $E$2:$E$666, E212) &gt; 1, "Duplicate", "Unique")</f>
        <v>Unique</v>
      </c>
      <c r="O212" s="27"/>
      <c r="P212" s="27"/>
    </row>
    <row r="213" spans="1:16" ht="27.65" customHeight="1" thickBot="1" x14ac:dyDescent="0.4">
      <c r="A213" s="8" t="s">
        <v>61</v>
      </c>
      <c r="B213" s="8" t="s">
        <v>122</v>
      </c>
      <c r="C213" s="8" t="s">
        <v>7</v>
      </c>
      <c r="D213" s="8">
        <v>200</v>
      </c>
      <c r="E213" s="8">
        <v>91.75</v>
      </c>
      <c r="F213" s="4">
        <v>18.387096769999999</v>
      </c>
      <c r="G213" s="2" t="s">
        <v>123</v>
      </c>
      <c r="H213" s="5">
        <v>77.5</v>
      </c>
      <c r="I213" s="1" t="s">
        <v>8</v>
      </c>
      <c r="J213" s="32"/>
      <c r="N213" s="10" t="str">
        <f>IF(COUNTIFS( $B$2:$B$666, B213, $C$2:$C$666, C213, $D$2:$D$666, D213, $E$2:$E$666, E213) &gt; 1, "Duplicate", "Unique")</f>
        <v>Unique</v>
      </c>
    </row>
    <row r="214" spans="1:16" s="27" customFormat="1" ht="40.75" customHeight="1" thickBot="1" x14ac:dyDescent="0.4">
      <c r="A214" s="3">
        <v>46335.442361111112</v>
      </c>
      <c r="B214" s="1" t="s">
        <v>79</v>
      </c>
      <c r="C214" s="1" t="s">
        <v>7</v>
      </c>
      <c r="D214" s="4">
        <v>10</v>
      </c>
      <c r="E214" s="4">
        <v>1460</v>
      </c>
      <c r="F214" s="4">
        <v>18.506493509999999</v>
      </c>
      <c r="G214" s="2" t="s">
        <v>80</v>
      </c>
      <c r="H214" s="5">
        <v>1232</v>
      </c>
      <c r="I214" s="1" t="s">
        <v>8</v>
      </c>
      <c r="J214" s="17" t="s">
        <v>116</v>
      </c>
      <c r="K214" s="17" t="s">
        <v>261</v>
      </c>
      <c r="L214" s="17">
        <v>14100</v>
      </c>
      <c r="M214" s="17">
        <f>ABS((D214*E214)-L214)</f>
        <v>500</v>
      </c>
      <c r="N214" s="10" t="str">
        <f>IF(COUNTIFS( $B$2:$B$666, B214, $C$2:$C$666, C214, $D$2:$D$666, D214, $E$2:$E$666, E214) &gt; 1, "Duplicate", "Unique")</f>
        <v>Unique</v>
      </c>
      <c r="O214" s="10"/>
      <c r="P214" s="10"/>
    </row>
    <row r="215" spans="1:16" s="27" customFormat="1" ht="40.75" customHeight="1" thickBot="1" x14ac:dyDescent="0.4">
      <c r="A215" s="11">
        <v>46252.688194444447</v>
      </c>
      <c r="B215" s="8" t="s">
        <v>14</v>
      </c>
      <c r="C215" s="8" t="s">
        <v>7</v>
      </c>
      <c r="D215" s="8">
        <v>50</v>
      </c>
      <c r="E215" s="8">
        <v>365</v>
      </c>
      <c r="F215" s="4">
        <v>18.544982139999998</v>
      </c>
      <c r="G215" s="2" t="s">
        <v>44</v>
      </c>
      <c r="H215" s="5">
        <v>307.89999999999998</v>
      </c>
      <c r="I215" s="1" t="s">
        <v>8</v>
      </c>
      <c r="J215" s="32" t="s">
        <v>117</v>
      </c>
      <c r="K215" s="17"/>
      <c r="L215" s="17"/>
      <c r="M215" s="17"/>
      <c r="N215" s="10" t="str">
        <f>IF(COUNTIFS( $B$2:$B$666, B215, $C$2:$C$666, C215, $D$2:$D$666, D215, $E$2:$E$666, E215) &gt; 1, "Duplicate", "Unique")</f>
        <v>Unique</v>
      </c>
      <c r="O215" s="10"/>
      <c r="P215" s="10"/>
    </row>
    <row r="216" spans="1:16" ht="40.75" customHeight="1" thickBot="1" x14ac:dyDescent="0.4">
      <c r="A216" s="11">
        <v>46252.6875</v>
      </c>
      <c r="B216" s="8" t="s">
        <v>27</v>
      </c>
      <c r="C216" s="8" t="s">
        <v>7</v>
      </c>
      <c r="D216" s="8">
        <v>2</v>
      </c>
      <c r="E216" s="8">
        <v>3048</v>
      </c>
      <c r="F216" s="4">
        <v>18.599221790000001</v>
      </c>
      <c r="G216" s="2" t="s">
        <v>130</v>
      </c>
      <c r="H216" s="5">
        <v>2570</v>
      </c>
      <c r="I216" s="1" t="s">
        <v>8</v>
      </c>
      <c r="J216" s="32" t="s">
        <v>116</v>
      </c>
      <c r="N216" s="10" t="str">
        <f>IF(COUNTIFS( $B$2:$B$666, B216, $C$2:$C$666, C216, $D$2:$D$666, D216, $E$2:$E$666, E216) &gt; 1, "Duplicate", "Unique")</f>
        <v>Unique</v>
      </c>
    </row>
    <row r="217" spans="1:16" ht="40.75" customHeight="1" thickBot="1" x14ac:dyDescent="0.4">
      <c r="A217" s="8" t="s">
        <v>61</v>
      </c>
      <c r="B217" s="8" t="s">
        <v>13</v>
      </c>
      <c r="C217" s="8" t="s">
        <v>7</v>
      </c>
      <c r="D217" s="8">
        <v>10</v>
      </c>
      <c r="E217" s="8">
        <v>2114</v>
      </c>
      <c r="F217" s="4">
        <v>18.83080382</v>
      </c>
      <c r="G217" s="2" t="s">
        <v>90</v>
      </c>
      <c r="H217" s="5">
        <v>1779</v>
      </c>
      <c r="I217" s="1" t="s">
        <v>8</v>
      </c>
      <c r="J217" s="32"/>
      <c r="N217" s="10" t="str">
        <f>IF(COUNTIFS( $B$2:$B$666, B217, $C$2:$C$666, C217, $D$2:$D$666, D217, $E$2:$E$666, E217) &gt; 1, "Duplicate", "Unique")</f>
        <v>Unique</v>
      </c>
      <c r="P217" s="27"/>
    </row>
    <row r="218" spans="1:16" ht="27.65" customHeight="1" thickBot="1" x14ac:dyDescent="0.4">
      <c r="A218" s="3">
        <v>46266.375</v>
      </c>
      <c r="B218" s="1" t="s">
        <v>86</v>
      </c>
      <c r="C218" s="1" t="s">
        <v>7</v>
      </c>
      <c r="D218" s="4">
        <v>10</v>
      </c>
      <c r="E218" s="4">
        <v>1296</v>
      </c>
      <c r="F218" s="4">
        <v>19.008264459999999</v>
      </c>
      <c r="G218" s="2" t="s">
        <v>87</v>
      </c>
      <c r="H218" s="5">
        <v>1089</v>
      </c>
      <c r="I218" s="1" t="s">
        <v>8</v>
      </c>
      <c r="J218" s="17" t="s">
        <v>116</v>
      </c>
      <c r="K218" s="17" t="s">
        <v>213</v>
      </c>
      <c r="L218" s="17">
        <v>12600</v>
      </c>
      <c r="M218" s="17">
        <f t="shared" ref="M218:M225" si="6">ABS((D218*E218)-L218)</f>
        <v>360</v>
      </c>
      <c r="N218" s="10" t="str">
        <f>IF(COUNTIFS( $B$2:$B$666, B218, $C$2:$C$666, C218, $D$2:$D$666, D218, $E$2:$E$666, E218) &gt; 1, "Duplicate", "Unique")</f>
        <v>Unique</v>
      </c>
    </row>
    <row r="219" spans="1:16" ht="40.75" customHeight="1" thickBot="1" x14ac:dyDescent="0.4">
      <c r="A219" s="28">
        <v>46258.443055555559</v>
      </c>
      <c r="B219" s="29" t="s">
        <v>34</v>
      </c>
      <c r="C219" s="29" t="s">
        <v>7</v>
      </c>
      <c r="D219" s="30">
        <v>50</v>
      </c>
      <c r="E219" s="30">
        <v>229.5</v>
      </c>
      <c r="F219" s="4">
        <v>19.072325410000001</v>
      </c>
      <c r="G219" s="2" t="s">
        <v>41</v>
      </c>
      <c r="H219" s="5">
        <v>192.74</v>
      </c>
      <c r="I219" s="1" t="s">
        <v>8</v>
      </c>
      <c r="J219" s="25" t="s">
        <v>117</v>
      </c>
      <c r="K219" s="25" t="s">
        <v>155</v>
      </c>
      <c r="L219" s="25">
        <v>11175</v>
      </c>
      <c r="M219" s="25">
        <f t="shared" si="6"/>
        <v>300</v>
      </c>
      <c r="N219" s="27" t="str">
        <f>IF(COUNTIFS( $B$2:$B$666, B219, $C$2:$C$666, C219, $D$2:$D$666, D219, $E$2:$E$666, E219) &gt; 1, "Duplicate", "Unique")</f>
        <v>Unique</v>
      </c>
      <c r="O219" s="27"/>
      <c r="P219" s="27"/>
    </row>
    <row r="220" spans="1:16" ht="27.65" customHeight="1" thickBot="1" x14ac:dyDescent="0.4">
      <c r="A220" s="28">
        <v>46259.375</v>
      </c>
      <c r="B220" s="29" t="s">
        <v>34</v>
      </c>
      <c r="C220" s="29" t="s">
        <v>7</v>
      </c>
      <c r="D220" s="30">
        <v>20</v>
      </c>
      <c r="E220" s="30">
        <v>229.5</v>
      </c>
      <c r="F220" s="4">
        <v>19.072325410000001</v>
      </c>
      <c r="G220" s="2" t="s">
        <v>41</v>
      </c>
      <c r="H220" s="5">
        <v>192.74</v>
      </c>
      <c r="I220" s="1" t="s">
        <v>8</v>
      </c>
      <c r="J220" s="25" t="s">
        <v>117</v>
      </c>
      <c r="K220" s="25" t="s">
        <v>161</v>
      </c>
      <c r="L220" s="25">
        <v>4402</v>
      </c>
      <c r="M220" s="25">
        <f t="shared" si="6"/>
        <v>188</v>
      </c>
      <c r="N220" s="27" t="str">
        <f>IF(COUNTIFS( $B$2:$B$666, B220, $C$2:$C$666, C220, $D$2:$D$666, D220, $E$2:$E$666, E220) &gt; 1, "Duplicate", "Unique")</f>
        <v>Unique</v>
      </c>
      <c r="O220" s="27"/>
      <c r="P220" s="27"/>
    </row>
    <row r="221" spans="1:16" ht="27.65" customHeight="1" thickBot="1" x14ac:dyDescent="0.4">
      <c r="A221" s="3">
        <v>46276.4</v>
      </c>
      <c r="B221" s="1" t="s">
        <v>79</v>
      </c>
      <c r="C221" s="1" t="s">
        <v>7</v>
      </c>
      <c r="D221" s="4">
        <v>10</v>
      </c>
      <c r="E221" s="4">
        <v>1470</v>
      </c>
      <c r="F221" s="4">
        <v>19.31818182</v>
      </c>
      <c r="G221" s="2" t="s">
        <v>80</v>
      </c>
      <c r="H221" s="5">
        <v>1232</v>
      </c>
      <c r="I221" s="1" t="s">
        <v>8</v>
      </c>
      <c r="J221" s="17" t="s">
        <v>116</v>
      </c>
      <c r="K221" s="17" t="s">
        <v>263</v>
      </c>
      <c r="L221" s="17">
        <v>14200</v>
      </c>
      <c r="M221" s="17">
        <f t="shared" si="6"/>
        <v>500</v>
      </c>
      <c r="N221" s="10" t="str">
        <f>IF(COUNTIFS( $B$2:$B$666, B221, $C$2:$C$666, C221, $D$2:$D$666, D221, $E$2:$E$666, E221) &gt; 1, "Duplicate", "Unique")</f>
        <v>Unique</v>
      </c>
    </row>
    <row r="222" spans="1:16" ht="27.65" customHeight="1" thickBot="1" x14ac:dyDescent="0.4">
      <c r="A222" s="3">
        <v>46262.375</v>
      </c>
      <c r="B222" s="1" t="s">
        <v>58</v>
      </c>
      <c r="C222" s="1" t="s">
        <v>7</v>
      </c>
      <c r="D222" s="4">
        <v>4</v>
      </c>
      <c r="E222" s="4">
        <v>1146</v>
      </c>
      <c r="F222" s="4">
        <v>19.717942019999999</v>
      </c>
      <c r="G222" s="2" t="s">
        <v>59</v>
      </c>
      <c r="H222" s="5">
        <v>957.25</v>
      </c>
      <c r="I222" s="1" t="s">
        <v>8</v>
      </c>
      <c r="J222" s="17" t="s">
        <v>116</v>
      </c>
      <c r="K222" s="17" t="s">
        <v>186</v>
      </c>
      <c r="L222" s="17">
        <v>4264</v>
      </c>
      <c r="M222" s="17">
        <f t="shared" si="6"/>
        <v>320</v>
      </c>
      <c r="N222" s="10" t="str">
        <f>IF(COUNTIFS( $B$2:$B$666, B222, $C$2:$C$666, C222, $D$2:$D$666, D222, $E$2:$E$666, E222) &gt; 1, "Duplicate", "Unique")</f>
        <v>Unique</v>
      </c>
    </row>
    <row r="223" spans="1:16" ht="40.75" customHeight="1" thickBot="1" x14ac:dyDescent="0.4">
      <c r="A223" s="3">
        <v>46265.486111111109</v>
      </c>
      <c r="B223" s="1" t="s">
        <v>58</v>
      </c>
      <c r="C223" s="1" t="s">
        <v>7</v>
      </c>
      <c r="D223" s="4">
        <v>5</v>
      </c>
      <c r="E223" s="4">
        <v>1146</v>
      </c>
      <c r="F223" s="4">
        <v>19.717942019999999</v>
      </c>
      <c r="G223" s="2" t="s">
        <v>59</v>
      </c>
      <c r="H223" s="5">
        <v>957.25</v>
      </c>
      <c r="I223" s="1" t="s">
        <v>8</v>
      </c>
      <c r="J223" s="17" t="s">
        <v>117</v>
      </c>
      <c r="K223" s="17" t="s">
        <v>192</v>
      </c>
      <c r="L223" s="17">
        <v>5282</v>
      </c>
      <c r="M223" s="17">
        <f t="shared" si="6"/>
        <v>448</v>
      </c>
      <c r="N223" t="str">
        <f>IF(COUNTIFS( $B$2:$B$666, B223, $C$2:$C$666, C223, $D$2:$D$666, D223, $E$2:$E$666, E223) &gt; 1, "Duplicate", "Unique")</f>
        <v>Unique</v>
      </c>
    </row>
    <row r="224" spans="1:16" ht="27.65" customHeight="1" thickBot="1" x14ac:dyDescent="0.4">
      <c r="A224" s="3">
        <v>46290.385416666664</v>
      </c>
      <c r="B224" s="2" t="s">
        <v>280</v>
      </c>
      <c r="C224" s="2" t="s">
        <v>7</v>
      </c>
      <c r="D224" s="5">
        <v>2</v>
      </c>
      <c r="E224" s="5">
        <v>1885.5</v>
      </c>
      <c r="F224" s="4">
        <v>19.858877379999999</v>
      </c>
      <c r="G224" s="2" t="s">
        <v>282</v>
      </c>
      <c r="H224" s="5">
        <v>1573.1</v>
      </c>
      <c r="I224" s="1" t="s">
        <v>8</v>
      </c>
      <c r="J224" s="17" t="s">
        <v>117</v>
      </c>
      <c r="K224" s="17" t="s">
        <v>289</v>
      </c>
      <c r="L224" s="17">
        <v>3521</v>
      </c>
      <c r="M224" s="17">
        <f t="shared" si="6"/>
        <v>250</v>
      </c>
      <c r="N224" s="10" t="str">
        <f>IF(COUNTIFS( $B$2:$B$666, B224, $C$2:$C$666, C224, $D$2:$D$666, D224, $E$2:$E$666, E224) &gt; 1, "Duplicate", "Unique")</f>
        <v>Unique</v>
      </c>
    </row>
    <row r="225" spans="1:16" s="27" customFormat="1" ht="40.75" customHeight="1" thickBot="1" x14ac:dyDescent="0.4">
      <c r="A225" s="3">
        <v>46269.375</v>
      </c>
      <c r="B225" s="1" t="s">
        <v>22</v>
      </c>
      <c r="C225" s="1" t="s">
        <v>7</v>
      </c>
      <c r="D225" s="4">
        <v>5</v>
      </c>
      <c r="E225" s="4">
        <v>471</v>
      </c>
      <c r="F225" s="4">
        <v>20.030581040000001</v>
      </c>
      <c r="G225" s="2" t="s">
        <v>72</v>
      </c>
      <c r="H225" s="5">
        <v>392.4</v>
      </c>
      <c r="I225" s="1" t="s">
        <v>8</v>
      </c>
      <c r="J225" s="17" t="s">
        <v>117</v>
      </c>
      <c r="K225" s="17" t="s">
        <v>235</v>
      </c>
      <c r="L225" s="17">
        <v>2105</v>
      </c>
      <c r="M225" s="24">
        <f t="shared" si="6"/>
        <v>250</v>
      </c>
      <c r="N225" t="str">
        <f>IF(COUNTIFS( $B$2:$B$666, B225, $C$2:$C$666, C225, $D$2:$D$666, D225, $E$2:$E$666, E225) &gt; 1, "Duplicate", "Unique")</f>
        <v>Unique</v>
      </c>
      <c r="O225" s="10"/>
      <c r="P225" s="10"/>
    </row>
    <row r="226" spans="1:16" ht="27.65" customHeight="1" thickBot="1" x14ac:dyDescent="0.4">
      <c r="A226" s="8" t="s">
        <v>61</v>
      </c>
      <c r="B226" s="8" t="s">
        <v>120</v>
      </c>
      <c r="C226" s="8" t="s">
        <v>7</v>
      </c>
      <c r="D226" s="8">
        <v>10</v>
      </c>
      <c r="E226" s="8">
        <v>816</v>
      </c>
      <c r="F226" s="4">
        <v>20.167881600000001</v>
      </c>
      <c r="G226" s="2" t="s">
        <v>121</v>
      </c>
      <c r="H226" s="5">
        <v>679.05</v>
      </c>
      <c r="I226" s="1" t="s">
        <v>8</v>
      </c>
      <c r="J226" s="32" t="s">
        <v>116</v>
      </c>
      <c r="N226" s="10" t="str">
        <f>IF(COUNTIFS( $B$2:$B$666, B226, $C$2:$C$666, C226, $D$2:$D$666, D226, $E$2:$E$666, E226) &gt; 1, "Duplicate", "Unique")</f>
        <v>Unique</v>
      </c>
      <c r="P226" s="27"/>
    </row>
    <row r="227" spans="1:16" ht="40.75" customHeight="1" thickBot="1" x14ac:dyDescent="0.4">
      <c r="A227" s="8" t="s">
        <v>61</v>
      </c>
      <c r="B227" s="8" t="s">
        <v>134</v>
      </c>
      <c r="C227" s="8" t="s">
        <v>7</v>
      </c>
      <c r="D227" s="8">
        <v>5</v>
      </c>
      <c r="E227" s="8">
        <v>2190</v>
      </c>
      <c r="F227" s="4">
        <v>20.283407480000001</v>
      </c>
      <c r="G227" s="2" t="s">
        <v>135</v>
      </c>
      <c r="H227" s="5">
        <v>1820.7</v>
      </c>
      <c r="I227" s="1" t="s">
        <v>8</v>
      </c>
      <c r="J227" s="32" t="s">
        <v>117</v>
      </c>
      <c r="N227" s="10" t="str">
        <f>IF(COUNTIFS( $B$2:$B$666, B227, $C$2:$C$666, C227, $D$2:$D$666, D227, $E$2:$E$666, E227) &gt; 1, "Duplicate", "Unique")</f>
        <v>Unique</v>
      </c>
      <c r="O227" s="27"/>
    </row>
    <row r="228" spans="1:16" ht="27.65" customHeight="1" thickBot="1" x14ac:dyDescent="0.4">
      <c r="A228" s="11">
        <v>46252.645138888889</v>
      </c>
      <c r="B228" s="8" t="s">
        <v>34</v>
      </c>
      <c r="C228" s="8" t="s">
        <v>7</v>
      </c>
      <c r="D228" s="8">
        <v>200</v>
      </c>
      <c r="E228" s="8">
        <v>232</v>
      </c>
      <c r="F228" s="4">
        <v>20.369409569999998</v>
      </c>
      <c r="G228" s="2" t="s">
        <v>41</v>
      </c>
      <c r="H228" s="5">
        <v>192.74</v>
      </c>
      <c r="I228" s="1" t="s">
        <v>8</v>
      </c>
      <c r="J228" s="16" t="s">
        <v>116</v>
      </c>
      <c r="N228" s="10" t="str">
        <f>IF(COUNTIFS( $B$2:$B$666, B228, $C$2:$C$666, C228, $D$2:$D$666, D228, $E$2:$E$666, E228) &gt; 1, "Duplicate", "Unique")</f>
        <v>Unique</v>
      </c>
    </row>
    <row r="229" spans="1:16" s="27" customFormat="1" ht="40.75" customHeight="1" thickBot="1" x14ac:dyDescent="0.4">
      <c r="A229" s="3">
        <v>46335.421527777777</v>
      </c>
      <c r="B229" s="1" t="s">
        <v>16</v>
      </c>
      <c r="C229" s="1" t="s">
        <v>7</v>
      </c>
      <c r="D229" s="4">
        <v>10</v>
      </c>
      <c r="E229" s="4">
        <v>884.9</v>
      </c>
      <c r="F229" s="4">
        <v>20.460114350000001</v>
      </c>
      <c r="G229" s="2" t="s">
        <v>60</v>
      </c>
      <c r="H229" s="5">
        <v>734.6</v>
      </c>
      <c r="I229" s="1" t="s">
        <v>8</v>
      </c>
      <c r="J229" s="17" t="s">
        <v>117</v>
      </c>
      <c r="K229" s="17" t="s">
        <v>262</v>
      </c>
      <c r="L229" s="17">
        <v>8049</v>
      </c>
      <c r="M229" s="17">
        <f>ABS((D229*E229)-L229)</f>
        <v>800</v>
      </c>
      <c r="N229" s="10" t="str">
        <f>IF(COUNTIFS( $B$2:$B$666, B229, $C$2:$C$666, C229, $D$2:$D$666, D229, $E$2:$E$666, E229) &gt; 1, "Duplicate", "Unique")</f>
        <v>Unique</v>
      </c>
      <c r="O229" s="36" t="s">
        <v>238</v>
      </c>
      <c r="P229" s="10"/>
    </row>
    <row r="230" spans="1:16" ht="27.65" customHeight="1" thickBot="1" x14ac:dyDescent="0.4">
      <c r="A230" s="8" t="s">
        <v>61</v>
      </c>
      <c r="B230" s="8" t="s">
        <v>28</v>
      </c>
      <c r="C230" s="8" t="s">
        <v>7</v>
      </c>
      <c r="D230" s="8">
        <v>30</v>
      </c>
      <c r="E230" s="13">
        <v>974</v>
      </c>
      <c r="F230" s="4">
        <v>20.843672460000001</v>
      </c>
      <c r="G230" s="2" t="s">
        <v>124</v>
      </c>
      <c r="H230" s="5">
        <v>806</v>
      </c>
      <c r="I230" s="1" t="s">
        <v>8</v>
      </c>
      <c r="J230" s="32"/>
      <c r="N230" s="10" t="str">
        <f>IF(COUNTIFS( $B$2:$B$666, B230, $C$2:$C$666, C230, $D$2:$D$666, D230, $E$2:$E$666, E230) &gt; 1, "Duplicate", "Unique")</f>
        <v>Unique</v>
      </c>
    </row>
    <row r="231" spans="1:16" ht="27.65" customHeight="1" thickBot="1" x14ac:dyDescent="0.4">
      <c r="A231" s="3">
        <v>46276.390277777777</v>
      </c>
      <c r="B231" s="1" t="s">
        <v>79</v>
      </c>
      <c r="C231" s="1" t="s">
        <v>7</v>
      </c>
      <c r="D231" s="4">
        <v>10</v>
      </c>
      <c r="E231" s="4">
        <v>1490</v>
      </c>
      <c r="F231" s="4">
        <v>20.941558440000001</v>
      </c>
      <c r="G231" s="2" t="s">
        <v>80</v>
      </c>
      <c r="H231" s="5">
        <v>1232</v>
      </c>
      <c r="I231" s="1" t="s">
        <v>8</v>
      </c>
      <c r="J231" s="17" t="s">
        <v>116</v>
      </c>
      <c r="K231" s="17" t="s">
        <v>264</v>
      </c>
      <c r="L231" s="17">
        <v>14400</v>
      </c>
      <c r="M231" s="17">
        <f>ABS((D231*E231)-L231)</f>
        <v>500</v>
      </c>
      <c r="N231" s="10" t="str">
        <f>IF(COUNTIFS( $B$2:$B$666, B231, $C$2:$C$666, C231, $D$2:$D$666, D231, $E$2:$E$666, E231) &gt; 1, "Duplicate", "Unique")</f>
        <v>Unique</v>
      </c>
    </row>
    <row r="232" spans="1:16" ht="40.75" customHeight="1" thickBot="1" x14ac:dyDescent="0.4">
      <c r="A232" s="8" t="s">
        <v>61</v>
      </c>
      <c r="B232" s="8" t="s">
        <v>6</v>
      </c>
      <c r="C232" s="8" t="s">
        <v>7</v>
      </c>
      <c r="D232" s="8">
        <v>120</v>
      </c>
      <c r="E232" s="8">
        <v>300.5</v>
      </c>
      <c r="F232" s="4">
        <v>20.974235100000001</v>
      </c>
      <c r="G232" s="2" t="s">
        <v>129</v>
      </c>
      <c r="H232" s="5">
        <v>248.4</v>
      </c>
      <c r="I232" s="1" t="s">
        <v>8</v>
      </c>
      <c r="J232" s="32" t="s">
        <v>117</v>
      </c>
      <c r="N232" s="10" t="str">
        <f>IF(COUNTIFS( $B$2:$B$666, B232, $C$2:$C$666, C232, $D$2:$D$666, D232, $E$2:$E$666, E232) &gt; 1, "Duplicate", "Unique")</f>
        <v>Unique</v>
      </c>
    </row>
    <row r="233" spans="1:16" ht="27.65" customHeight="1" thickBot="1" x14ac:dyDescent="0.4">
      <c r="A233" s="3">
        <v>46290.385416666664</v>
      </c>
      <c r="B233" s="2" t="s">
        <v>118</v>
      </c>
      <c r="C233" s="2" t="s">
        <v>7</v>
      </c>
      <c r="D233" s="5">
        <v>15</v>
      </c>
      <c r="E233" s="5">
        <v>1048</v>
      </c>
      <c r="F233" s="4">
        <v>21.02315376</v>
      </c>
      <c r="G233" s="2" t="s">
        <v>119</v>
      </c>
      <c r="H233" s="5">
        <v>865.95</v>
      </c>
      <c r="I233" s="1" t="s">
        <v>8</v>
      </c>
      <c r="J233" s="17" t="s">
        <v>54</v>
      </c>
      <c r="K233" s="17" t="s">
        <v>291</v>
      </c>
      <c r="L233" s="17">
        <v>15300</v>
      </c>
      <c r="M233" s="17">
        <f>ABS((D233*E233)-L233)</f>
        <v>420</v>
      </c>
      <c r="N233" s="10" t="str">
        <f>IF(COUNTIFS( $B$2:$B$666, B233, $C$2:$C$666, C233, $D$2:$D$666, D233, $E$2:$E$666, E233) &gt; 1, "Duplicate", "Unique")</f>
        <v>Unique</v>
      </c>
    </row>
    <row r="234" spans="1:16" s="27" customFormat="1" ht="27.65" customHeight="1" thickBot="1" x14ac:dyDescent="0.4">
      <c r="A234" s="8" t="s">
        <v>61</v>
      </c>
      <c r="B234" s="8" t="s">
        <v>14</v>
      </c>
      <c r="C234" s="8" t="s">
        <v>7</v>
      </c>
      <c r="D234" s="8">
        <v>17</v>
      </c>
      <c r="E234" s="8">
        <v>373</v>
      </c>
      <c r="F234" s="4">
        <v>21.143228319999999</v>
      </c>
      <c r="G234" s="2" t="s">
        <v>44</v>
      </c>
      <c r="H234" s="5">
        <v>307.89999999999998</v>
      </c>
      <c r="I234" s="1" t="s">
        <v>8</v>
      </c>
      <c r="J234" s="32"/>
      <c r="K234" s="17"/>
      <c r="L234" s="17"/>
      <c r="M234" s="17"/>
      <c r="N234" s="10" t="str">
        <f>IF(COUNTIFS( $B$2:$B$666, B234, $C$2:$C$666, C234, $D$2:$D$666, D234, $E$2:$E$666, E234) &gt; 1, "Duplicate", "Unique")</f>
        <v>Unique</v>
      </c>
      <c r="O234" s="10"/>
      <c r="P234" s="10"/>
    </row>
    <row r="235" spans="1:16" s="27" customFormat="1" ht="40.75" customHeight="1" thickBot="1" x14ac:dyDescent="0.4">
      <c r="A235" s="8" t="s">
        <v>61</v>
      </c>
      <c r="B235" s="8" t="s">
        <v>14</v>
      </c>
      <c r="C235" s="8" t="s">
        <v>7</v>
      </c>
      <c r="D235" s="8">
        <v>50</v>
      </c>
      <c r="E235" s="12">
        <v>373</v>
      </c>
      <c r="F235" s="4">
        <v>21.143228319999999</v>
      </c>
      <c r="G235" s="2" t="s">
        <v>44</v>
      </c>
      <c r="H235" s="5">
        <v>307.89999999999998</v>
      </c>
      <c r="I235" s="1" t="s">
        <v>8</v>
      </c>
      <c r="J235" s="32" t="s">
        <v>117</v>
      </c>
      <c r="K235" s="17"/>
      <c r="L235" s="17"/>
      <c r="M235" s="17"/>
      <c r="N235" s="10" t="str">
        <f>IF(COUNTIFS( $B$2:$B$666, B235, $C$2:$C$666, C235, $D$2:$D$666, D235, $E$2:$E$666, E235) &gt; 1, "Duplicate", "Unique")</f>
        <v>Unique</v>
      </c>
      <c r="P235" s="10"/>
    </row>
    <row r="236" spans="1:16" ht="40.75" customHeight="1" thickBot="1" x14ac:dyDescent="0.4">
      <c r="A236" s="19">
        <v>46255</v>
      </c>
      <c r="B236" s="1" t="s">
        <v>20</v>
      </c>
      <c r="C236" s="1" t="s">
        <v>7</v>
      </c>
      <c r="D236" s="4">
        <v>20</v>
      </c>
      <c r="E236" s="4">
        <v>147</v>
      </c>
      <c r="F236" s="4">
        <v>21.167161230000001</v>
      </c>
      <c r="G236" s="2" t="s">
        <v>85</v>
      </c>
      <c r="H236" s="5">
        <v>121.32</v>
      </c>
      <c r="I236" s="1" t="s">
        <v>8</v>
      </c>
      <c r="J236" s="17" t="s">
        <v>54</v>
      </c>
      <c r="K236" s="17" t="s">
        <v>147</v>
      </c>
      <c r="L236" s="17">
        <v>2640</v>
      </c>
      <c r="M236" s="17">
        <f>ABS((D236*E236)-L236)</f>
        <v>300</v>
      </c>
      <c r="N236" s="10" t="str">
        <f>IF(COUNTIFS( $B$2:$B$666, B236, $C$2:$C$666, C236, $D$2:$D$666, D236, $E$2:$E$666, E236) &gt; 1, "Duplicate", "Unique")</f>
        <v>Unique</v>
      </c>
    </row>
    <row r="237" spans="1:16" s="27" customFormat="1" ht="40.75" customHeight="1" thickBot="1" x14ac:dyDescent="0.4">
      <c r="A237" s="3">
        <v>46265.375694444447</v>
      </c>
      <c r="B237" s="1" t="s">
        <v>86</v>
      </c>
      <c r="C237" s="1" t="s">
        <v>7</v>
      </c>
      <c r="D237" s="4">
        <v>10</v>
      </c>
      <c r="E237" s="4">
        <v>1320</v>
      </c>
      <c r="F237" s="4">
        <v>21.212121209999999</v>
      </c>
      <c r="G237" s="2" t="s">
        <v>87</v>
      </c>
      <c r="H237" s="5">
        <v>1089</v>
      </c>
      <c r="I237" s="1" t="s">
        <v>8</v>
      </c>
      <c r="J237" s="17" t="s">
        <v>116</v>
      </c>
      <c r="K237" s="17" t="s">
        <v>198</v>
      </c>
      <c r="L237" s="17">
        <v>12800</v>
      </c>
      <c r="M237" s="17">
        <f>ABS((D237*E237)-L237)</f>
        <v>400</v>
      </c>
      <c r="N237" t="str">
        <f>IF(COUNTIFS( $B$2:$B$666, B237, $C$2:$C$666, C237, $D$2:$D$666, D237, $E$2:$E$666, E237) &gt; 1, "Duplicate", "Unique")</f>
        <v>Unique</v>
      </c>
      <c r="O237" s="10"/>
      <c r="P237" s="10"/>
    </row>
    <row r="238" spans="1:16" ht="40.75" customHeight="1" thickBot="1" x14ac:dyDescent="0.4">
      <c r="A238" s="40" t="s">
        <v>61</v>
      </c>
      <c r="B238" s="42" t="s">
        <v>23</v>
      </c>
      <c r="C238" s="40" t="s">
        <v>7</v>
      </c>
      <c r="D238" s="40">
        <v>40</v>
      </c>
      <c r="E238" s="43">
        <v>229</v>
      </c>
      <c r="F238" s="4">
        <v>21.88631041</v>
      </c>
      <c r="G238" s="2" t="s">
        <v>69</v>
      </c>
      <c r="H238" s="5">
        <v>187.88</v>
      </c>
      <c r="I238" s="1" t="s">
        <v>8</v>
      </c>
      <c r="J238" s="44" t="s">
        <v>116</v>
      </c>
      <c r="K238" s="41"/>
      <c r="L238" s="41"/>
      <c r="M238" s="41"/>
      <c r="N238" s="22" t="str">
        <f>IF(COUNTIFS( $B$2:$B$666, B238, $C$2:$C$666, C238, $D$2:$D$666, D238, $E$2:$E$666, E238) &gt; 1, "Duplicate", "Unique")</f>
        <v>Unique</v>
      </c>
      <c r="O238" s="22"/>
      <c r="P238" s="22" t="s">
        <v>250</v>
      </c>
    </row>
    <row r="239" spans="1:16" s="27" customFormat="1" ht="27.65" customHeight="1" thickBot="1" x14ac:dyDescent="0.4">
      <c r="A239" s="11">
        <v>46252.635416666664</v>
      </c>
      <c r="B239" s="8" t="s">
        <v>34</v>
      </c>
      <c r="C239" s="8" t="s">
        <v>7</v>
      </c>
      <c r="D239" s="8">
        <v>200</v>
      </c>
      <c r="E239" s="8">
        <v>235</v>
      </c>
      <c r="F239" s="4">
        <v>21.925910550000001</v>
      </c>
      <c r="G239" s="2" t="s">
        <v>41</v>
      </c>
      <c r="H239" s="5">
        <v>192.74</v>
      </c>
      <c r="I239" s="1" t="s">
        <v>8</v>
      </c>
      <c r="J239" s="35" t="s">
        <v>54</v>
      </c>
      <c r="K239" s="17"/>
      <c r="L239" s="17"/>
      <c r="M239" s="17"/>
      <c r="N239" s="10" t="str">
        <f>IF(COUNTIFS( $B$2:$B$666, B239, $C$2:$C$666, C239, $D$2:$D$666, D239, $E$2:$E$666, E239) &gt; 1, "Duplicate", "Unique")</f>
        <v>Unique</v>
      </c>
      <c r="O239" s="10"/>
      <c r="P239" s="10"/>
    </row>
    <row r="240" spans="1:16" s="27" customFormat="1" ht="27.65" customHeight="1" thickBot="1" x14ac:dyDescent="0.4">
      <c r="A240" s="3">
        <v>46276.375</v>
      </c>
      <c r="B240" s="1" t="s">
        <v>102</v>
      </c>
      <c r="C240" s="1" t="s">
        <v>7</v>
      </c>
      <c r="D240" s="4">
        <v>8</v>
      </c>
      <c r="E240" s="4">
        <v>2472</v>
      </c>
      <c r="F240" s="4">
        <v>21.95362605</v>
      </c>
      <c r="G240" s="2" t="s">
        <v>103</v>
      </c>
      <c r="H240" s="5">
        <v>2027</v>
      </c>
      <c r="I240" s="1" t="s">
        <v>8</v>
      </c>
      <c r="J240" s="17" t="s">
        <v>116</v>
      </c>
      <c r="K240" s="17" t="s">
        <v>268</v>
      </c>
      <c r="L240" s="17">
        <v>18960</v>
      </c>
      <c r="M240" s="17">
        <f>ABS((D240*E240)-L240)</f>
        <v>816</v>
      </c>
      <c r="N240" s="10" t="str">
        <f>IF(COUNTIFS( $B$2:$B$666, B240, $C$2:$C$666, C240, $D$2:$D$666, D240, $E$2:$E$666, E240) &gt; 1, "Duplicate", "Unique")</f>
        <v>Unique</v>
      </c>
      <c r="O240" s="10"/>
      <c r="P240" s="10"/>
    </row>
    <row r="241" spans="1:16" ht="27.65" customHeight="1" thickBot="1" x14ac:dyDescent="0.4">
      <c r="A241" s="3">
        <v>46261.375</v>
      </c>
      <c r="B241" s="1" t="s">
        <v>18</v>
      </c>
      <c r="C241" s="1" t="s">
        <v>7</v>
      </c>
      <c r="D241" s="4">
        <v>2</v>
      </c>
      <c r="E241" s="4">
        <v>1970</v>
      </c>
      <c r="F241" s="4">
        <v>21.988977649999999</v>
      </c>
      <c r="G241" s="2" t="s">
        <v>101</v>
      </c>
      <c r="H241" s="5">
        <v>1614.9</v>
      </c>
      <c r="I241" s="1" t="s">
        <v>8</v>
      </c>
      <c r="J241" s="17" t="s">
        <v>116</v>
      </c>
      <c r="K241" s="17" t="s">
        <v>178</v>
      </c>
      <c r="L241" s="17">
        <v>3680</v>
      </c>
      <c r="M241" s="17">
        <f>ABS((D241*E241)-L241)</f>
        <v>260</v>
      </c>
      <c r="N241" s="10" t="str">
        <f>IF(COUNTIFS( $B$2:$B$666, B241, $C$2:$C$666, C241, $D$2:$D$666, D241, $E$2:$E$666, E241) &gt; 1, "Duplicate", "Unique")</f>
        <v>Unique</v>
      </c>
    </row>
    <row r="242" spans="1:16" ht="27.65" customHeight="1" thickBot="1" x14ac:dyDescent="0.4">
      <c r="A242" s="8" t="s">
        <v>61</v>
      </c>
      <c r="B242" s="8" t="s">
        <v>26</v>
      </c>
      <c r="C242" s="8" t="s">
        <v>7</v>
      </c>
      <c r="D242" s="8">
        <v>25</v>
      </c>
      <c r="E242" s="8">
        <v>199.9</v>
      </c>
      <c r="F242" s="4">
        <v>22.001830940000001</v>
      </c>
      <c r="G242" s="2" t="s">
        <v>131</v>
      </c>
      <c r="H242" s="5">
        <v>163.85</v>
      </c>
      <c r="I242" s="1" t="s">
        <v>8</v>
      </c>
      <c r="J242" s="32" t="s">
        <v>116</v>
      </c>
      <c r="N242" s="10" t="str">
        <f>IF(COUNTIFS( $B$2:$B$666, B242, $C$2:$C$666, C242, $D$2:$D$666, D242, $E$2:$E$666, E242) &gt; 1, "Duplicate", "Unique")</f>
        <v>Unique</v>
      </c>
    </row>
    <row r="243" spans="1:16" ht="27.65" customHeight="1" thickBot="1" x14ac:dyDescent="0.4">
      <c r="A243" s="3">
        <v>46275.507638888892</v>
      </c>
      <c r="B243" s="1" t="s">
        <v>15</v>
      </c>
      <c r="C243" s="1" t="s">
        <v>7</v>
      </c>
      <c r="D243" s="4">
        <v>10</v>
      </c>
      <c r="E243" s="4">
        <v>2548</v>
      </c>
      <c r="F243" s="4">
        <v>22.0657277</v>
      </c>
      <c r="G243" s="2" t="s">
        <v>71</v>
      </c>
      <c r="H243" s="5">
        <v>2087.4</v>
      </c>
      <c r="I243" s="1" t="s">
        <v>8</v>
      </c>
      <c r="J243" s="17" t="s">
        <v>116</v>
      </c>
      <c r="K243" s="17" t="s">
        <v>258</v>
      </c>
      <c r="L243" s="17">
        <v>73800</v>
      </c>
      <c r="M243" s="17">
        <f>ABS((D243*E243)-L243)</f>
        <v>48320</v>
      </c>
      <c r="N243" s="10" t="str">
        <f>IF(COUNTIFS( $B$2:$B$666, B243, $C$2:$C$666, C243, $D$2:$D$666, D243, $E$2:$E$666, E243) &gt; 1, "Duplicate", "Unique")</f>
        <v>Unique</v>
      </c>
      <c r="O243" s="36" t="s">
        <v>238</v>
      </c>
    </row>
    <row r="244" spans="1:16" ht="40.75" customHeight="1" thickBot="1" x14ac:dyDescent="0.4">
      <c r="A244" s="8" t="s">
        <v>61</v>
      </c>
      <c r="B244" s="8" t="s">
        <v>28</v>
      </c>
      <c r="C244" s="8" t="s">
        <v>7</v>
      </c>
      <c r="D244" s="8">
        <v>5</v>
      </c>
      <c r="E244" s="12">
        <v>986</v>
      </c>
      <c r="F244" s="4">
        <v>22.332506200000001</v>
      </c>
      <c r="G244" s="2" t="s">
        <v>124</v>
      </c>
      <c r="H244" s="5">
        <v>806</v>
      </c>
      <c r="I244" s="1" t="s">
        <v>8</v>
      </c>
      <c r="J244" s="32"/>
      <c r="N244" s="10" t="str">
        <f>IF(COUNTIFS( $B$2:$B$666, B244, $C$2:$C$666, C244, $D$2:$D$666, D244, $E$2:$E$666, E244) &gt; 1, "Duplicate", "Unique")</f>
        <v>Unique</v>
      </c>
    </row>
    <row r="245" spans="1:16" ht="40.75" customHeight="1" thickBot="1" x14ac:dyDescent="0.4">
      <c r="A245" s="3">
        <v>46276.388194444444</v>
      </c>
      <c r="B245" s="1" t="s">
        <v>79</v>
      </c>
      <c r="C245" s="1" t="s">
        <v>7</v>
      </c>
      <c r="D245" s="4">
        <v>10</v>
      </c>
      <c r="E245" s="4">
        <v>1510</v>
      </c>
      <c r="F245" s="4">
        <v>22.56493506</v>
      </c>
      <c r="G245" s="2" t="s">
        <v>80</v>
      </c>
      <c r="H245" s="5">
        <v>1232</v>
      </c>
      <c r="I245" s="1" t="s">
        <v>8</v>
      </c>
      <c r="J245" s="17" t="s">
        <v>116</v>
      </c>
      <c r="K245" s="17" t="s">
        <v>265</v>
      </c>
      <c r="L245" s="17">
        <v>14650</v>
      </c>
      <c r="M245" s="17">
        <f>ABS((D245*E245)-L245)</f>
        <v>450</v>
      </c>
      <c r="N245" s="10" t="str">
        <f>IF(COUNTIFS( $B$2:$B$666, B245, $C$2:$C$666, C245, $D$2:$D$666, D245, $E$2:$E$666, E245) &gt; 1, "Duplicate", "Unique")</f>
        <v>Unique</v>
      </c>
    </row>
    <row r="246" spans="1:16" ht="27.65" customHeight="1" thickBot="1" x14ac:dyDescent="0.4">
      <c r="A246" s="3">
        <v>46272.375694444447</v>
      </c>
      <c r="B246" s="1" t="s">
        <v>16</v>
      </c>
      <c r="C246" s="1" t="s">
        <v>7</v>
      </c>
      <c r="D246" s="4">
        <v>5</v>
      </c>
      <c r="E246" s="4">
        <v>902</v>
      </c>
      <c r="F246" s="4">
        <v>22.787911789999999</v>
      </c>
      <c r="G246" s="2" t="s">
        <v>60</v>
      </c>
      <c r="H246" s="5">
        <v>734.6</v>
      </c>
      <c r="I246" s="1" t="s">
        <v>8</v>
      </c>
      <c r="J246" s="17" t="s">
        <v>117</v>
      </c>
      <c r="K246" s="17" t="s">
        <v>241</v>
      </c>
      <c r="L246" s="17">
        <v>4260</v>
      </c>
      <c r="M246" s="17">
        <f>ABS((D246*E246)-L246)</f>
        <v>250</v>
      </c>
      <c r="N246" s="10" t="str">
        <f>IF(COUNTIFS( $B$2:$B$666, B246, $C$2:$C$666, C246, $D$2:$D$666, D246, $E$2:$E$666, E246) &gt; 1, "Duplicate", "Unique")</f>
        <v>Unique</v>
      </c>
      <c r="P246" s="27"/>
    </row>
    <row r="247" spans="1:16" ht="27.65" customHeight="1" thickBot="1" x14ac:dyDescent="0.4">
      <c r="A247" s="8" t="s">
        <v>61</v>
      </c>
      <c r="B247" s="8" t="s">
        <v>13</v>
      </c>
      <c r="C247" s="8" t="s">
        <v>7</v>
      </c>
      <c r="D247" s="8">
        <v>10</v>
      </c>
      <c r="E247" s="8">
        <v>2189</v>
      </c>
      <c r="F247" s="4">
        <v>23.04665542</v>
      </c>
      <c r="G247" s="2" t="s">
        <v>90</v>
      </c>
      <c r="H247" s="5">
        <v>1779</v>
      </c>
      <c r="I247" s="1" t="s">
        <v>8</v>
      </c>
      <c r="J247" s="32"/>
      <c r="N247" s="10" t="str">
        <f>IF(COUNTIFS( $B$2:$B$666, B247, $C$2:$C$666, C247, $D$2:$D$666, D247, $E$2:$E$666, E247) &gt; 1, "Duplicate", "Unique")</f>
        <v>Unique</v>
      </c>
    </row>
    <row r="248" spans="1:16" ht="40.75" customHeight="1" thickBot="1" x14ac:dyDescent="0.4">
      <c r="A248" s="3">
        <v>46262.375</v>
      </c>
      <c r="B248" s="1" t="s">
        <v>86</v>
      </c>
      <c r="C248" s="1" t="s">
        <v>7</v>
      </c>
      <c r="D248" s="4">
        <v>10</v>
      </c>
      <c r="E248" s="4">
        <v>1340</v>
      </c>
      <c r="F248" s="4">
        <v>23.048668500000002</v>
      </c>
      <c r="G248" s="2" t="s">
        <v>87</v>
      </c>
      <c r="H248" s="5">
        <v>1089</v>
      </c>
      <c r="I248" s="1" t="s">
        <v>8</v>
      </c>
      <c r="J248" s="17" t="s">
        <v>116</v>
      </c>
      <c r="K248" s="17" t="s">
        <v>185</v>
      </c>
      <c r="L248" s="17">
        <v>13030</v>
      </c>
      <c r="M248" s="17">
        <f>ABS((D248*E248)-L248)</f>
        <v>370</v>
      </c>
      <c r="N248" s="10" t="str">
        <f>IF(COUNTIFS( $B$2:$B$666, B248, $C$2:$C$666, C248, $D$2:$D$666, D248, $E$2:$E$666, E248) &gt; 1, "Duplicate", "Unique")</f>
        <v>Unique</v>
      </c>
      <c r="P248" s="27"/>
    </row>
    <row r="249" spans="1:16" ht="27.65" customHeight="1" thickBot="1" x14ac:dyDescent="0.4">
      <c r="A249" s="8" t="s">
        <v>61</v>
      </c>
      <c r="B249" s="8" t="s">
        <v>127</v>
      </c>
      <c r="C249" s="8" t="s">
        <v>7</v>
      </c>
      <c r="D249" s="8">
        <v>150</v>
      </c>
      <c r="E249" s="8">
        <v>129</v>
      </c>
      <c r="F249" s="4">
        <v>23.20916905</v>
      </c>
      <c r="G249" s="2" t="s">
        <v>128</v>
      </c>
      <c r="H249" s="5">
        <v>104.7</v>
      </c>
      <c r="I249" s="1" t="s">
        <v>8</v>
      </c>
      <c r="J249" s="32"/>
      <c r="N249" s="10" t="str">
        <f>IF(COUNTIFS( $B$2:$B$666, B249, $C$2:$C$666, C249, $D$2:$D$666, D249, $E$2:$E$666, E249) &gt; 1, "Duplicate", "Unique")</f>
        <v>Unique</v>
      </c>
    </row>
    <row r="250" spans="1:16" ht="40.75" customHeight="1" thickBot="1" x14ac:dyDescent="0.4">
      <c r="A250" s="8" t="s">
        <v>61</v>
      </c>
      <c r="B250" s="14" t="s">
        <v>28</v>
      </c>
      <c r="C250" s="8" t="s">
        <v>7</v>
      </c>
      <c r="D250" s="8">
        <v>40</v>
      </c>
      <c r="E250" s="15">
        <v>996</v>
      </c>
      <c r="F250" s="4">
        <v>23.57320099</v>
      </c>
      <c r="G250" s="2" t="s">
        <v>124</v>
      </c>
      <c r="H250" s="5">
        <v>806</v>
      </c>
      <c r="I250" s="1" t="s">
        <v>8</v>
      </c>
      <c r="J250" s="32" t="s">
        <v>117</v>
      </c>
      <c r="N250" s="10" t="str">
        <f>IF(COUNTIFS( $B$2:$B$666, B250, $C$2:$C$666, C250, $D$2:$D$666, D250, $E$2:$E$666, E250) &gt; 1, "Duplicate", "Unique")</f>
        <v>Unique</v>
      </c>
    </row>
    <row r="251" spans="1:16" ht="27.65" customHeight="1" thickBot="1" x14ac:dyDescent="0.4">
      <c r="A251" s="11">
        <v>46252.635416666664</v>
      </c>
      <c r="B251" s="8" t="s">
        <v>34</v>
      </c>
      <c r="C251" s="8" t="s">
        <v>7</v>
      </c>
      <c r="D251" s="8">
        <v>120</v>
      </c>
      <c r="E251" s="8">
        <v>238.2</v>
      </c>
      <c r="F251" s="4">
        <v>23.586178270000001</v>
      </c>
      <c r="G251" s="2" t="s">
        <v>41</v>
      </c>
      <c r="H251" s="5">
        <v>192.74</v>
      </c>
      <c r="I251" s="1" t="s">
        <v>8</v>
      </c>
      <c r="J251" s="32" t="s">
        <v>117</v>
      </c>
      <c r="K251" s="17" t="s">
        <v>144</v>
      </c>
      <c r="N251" s="10" t="str">
        <f>IF(COUNTIFS( $B$2:$B$666, B251, $C$2:$C$666, C251, $D$2:$D$666, D251, $E$2:$E$666, E251) &gt; 1, "Duplicate", "Unique")</f>
        <v>Unique</v>
      </c>
    </row>
    <row r="252" spans="1:16" ht="27.65" customHeight="1" thickBot="1" x14ac:dyDescent="0.4">
      <c r="A252" s="8" t="s">
        <v>61</v>
      </c>
      <c r="B252" s="8" t="s">
        <v>34</v>
      </c>
      <c r="C252" s="8" t="s">
        <v>7</v>
      </c>
      <c r="D252" s="8">
        <v>200</v>
      </c>
      <c r="E252" s="8">
        <v>239</v>
      </c>
      <c r="F252" s="4">
        <v>24.0012452</v>
      </c>
      <c r="G252" s="2" t="s">
        <v>41</v>
      </c>
      <c r="H252" s="5">
        <v>192.74</v>
      </c>
      <c r="I252" s="1" t="s">
        <v>8</v>
      </c>
      <c r="J252" s="32" t="s">
        <v>116</v>
      </c>
      <c r="N252" s="10" t="str">
        <f>IF(COUNTIFS( $B$2:$B$666, B252, $C$2:$C$666, C252, $D$2:$D$666, D252, $E$2:$E$666, E252) &gt; 1, "Duplicate", "Unique")</f>
        <v>Unique</v>
      </c>
    </row>
    <row r="253" spans="1:16" ht="27.65" customHeight="1" thickBot="1" x14ac:dyDescent="0.4">
      <c r="A253" s="3">
        <v>46275.507638888892</v>
      </c>
      <c r="B253" s="1" t="s">
        <v>15</v>
      </c>
      <c r="C253" s="1" t="s">
        <v>7</v>
      </c>
      <c r="D253" s="4">
        <v>10</v>
      </c>
      <c r="E253" s="4">
        <v>2590</v>
      </c>
      <c r="F253" s="4">
        <v>24.07780013</v>
      </c>
      <c r="G253" s="2" t="s">
        <v>71</v>
      </c>
      <c r="H253" s="5">
        <v>2087.4</v>
      </c>
      <c r="I253" s="1" t="s">
        <v>8</v>
      </c>
      <c r="J253" s="17" t="s">
        <v>116</v>
      </c>
      <c r="K253" s="17" t="s">
        <v>258</v>
      </c>
      <c r="L253" s="17">
        <v>73800</v>
      </c>
      <c r="M253" s="17">
        <f>ABS((D253*E253)-L253)</f>
        <v>47900</v>
      </c>
      <c r="N253" s="10" t="str">
        <f>IF(COUNTIFS( $B$2:$B$666, B253, $C$2:$C$666, C253, $D$2:$D$666, D253, $E$2:$E$666, E253) &gt; 1, "Duplicate", "Unique")</f>
        <v>Unique</v>
      </c>
      <c r="O253" s="36" t="s">
        <v>238</v>
      </c>
    </row>
    <row r="254" spans="1:16" ht="27.65" customHeight="1" thickBot="1" x14ac:dyDescent="0.4">
      <c r="A254" s="8" t="s">
        <v>61</v>
      </c>
      <c r="B254" s="8" t="s">
        <v>132</v>
      </c>
      <c r="C254" s="8" t="s">
        <v>7</v>
      </c>
      <c r="D254" s="8">
        <v>150</v>
      </c>
      <c r="E254" s="12">
        <v>129.9</v>
      </c>
      <c r="F254" s="4">
        <v>24.1873805</v>
      </c>
      <c r="G254" s="2" t="s">
        <v>133</v>
      </c>
      <c r="H254" s="5">
        <v>104.6</v>
      </c>
      <c r="I254" s="1" t="s">
        <v>8</v>
      </c>
      <c r="J254" s="32"/>
      <c r="N254" s="10" t="str">
        <f>IF(COUNTIFS( $B$2:$B$666, B254, $C$2:$C$666, C254, $D$2:$D$666, D254, $E$2:$E$666, E254) &gt; 1, "Duplicate", "Unique")</f>
        <v>Unique</v>
      </c>
    </row>
    <row r="255" spans="1:16" s="27" customFormat="1" ht="27.65" customHeight="1" thickBot="1" x14ac:dyDescent="0.4">
      <c r="A255" s="3">
        <v>46266.375</v>
      </c>
      <c r="B255" s="1" t="s">
        <v>15</v>
      </c>
      <c r="C255" s="1" t="s">
        <v>7</v>
      </c>
      <c r="D255" s="4">
        <v>10</v>
      </c>
      <c r="E255" s="4">
        <v>2595</v>
      </c>
      <c r="F255" s="4">
        <v>24.317332570000001</v>
      </c>
      <c r="G255" s="2" t="s">
        <v>71</v>
      </c>
      <c r="H255" s="5">
        <v>2087.4</v>
      </c>
      <c r="I255" s="1" t="s">
        <v>8</v>
      </c>
      <c r="J255" s="17" t="s">
        <v>117</v>
      </c>
      <c r="K255" s="17" t="s">
        <v>214</v>
      </c>
      <c r="L255" s="17">
        <v>25300</v>
      </c>
      <c r="M255" s="17">
        <f>ABS((D255*E255)-L255)</f>
        <v>650</v>
      </c>
      <c r="N255" s="10" t="str">
        <f>IF(COUNTIFS( $B$2:$B$666, B255, $C$2:$C$666, C255, $D$2:$D$666, D255, $E$2:$E$666, E255) &gt; 1, "Duplicate", "Unique")</f>
        <v>Unique</v>
      </c>
      <c r="O255" s="36" t="s">
        <v>238</v>
      </c>
      <c r="P255" s="10"/>
    </row>
    <row r="256" spans="1:16" s="27" customFormat="1" ht="40.75" customHeight="1" thickBot="1" x14ac:dyDescent="0.4">
      <c r="A256" s="3">
        <v>46267.513888888891</v>
      </c>
      <c r="B256" s="1" t="s">
        <v>15</v>
      </c>
      <c r="C256" s="1" t="s">
        <v>7</v>
      </c>
      <c r="D256" s="4">
        <v>5</v>
      </c>
      <c r="E256" s="4">
        <v>2595</v>
      </c>
      <c r="F256" s="4">
        <v>24.317332570000001</v>
      </c>
      <c r="G256" s="2" t="s">
        <v>71</v>
      </c>
      <c r="H256" s="5">
        <v>2087.4</v>
      </c>
      <c r="I256" s="1" t="s">
        <v>8</v>
      </c>
      <c r="J256" s="17" t="s">
        <v>117</v>
      </c>
      <c r="K256" s="17" t="s">
        <v>225</v>
      </c>
      <c r="L256" s="17">
        <v>12480</v>
      </c>
      <c r="M256" s="17">
        <f>ABS((D256*E256)-L256)</f>
        <v>495</v>
      </c>
      <c r="N256" s="10" t="str">
        <f>IF(COUNTIFS( $B$2:$B$666, B256, $C$2:$C$666, C256, $D$2:$D$666, D256, $E$2:$E$666, E256) &gt; 1, "Duplicate", "Unique")</f>
        <v>Unique</v>
      </c>
      <c r="O256" s="36" t="s">
        <v>238</v>
      </c>
      <c r="P256" s="10"/>
    </row>
    <row r="257" spans="1:16" ht="27.65" customHeight="1" thickBot="1" x14ac:dyDescent="0.4">
      <c r="A257" s="8" t="s">
        <v>61</v>
      </c>
      <c r="B257" s="8" t="s">
        <v>28</v>
      </c>
      <c r="C257" s="8" t="s">
        <v>7</v>
      </c>
      <c r="D257" s="8">
        <v>5</v>
      </c>
      <c r="E257" s="12">
        <v>1002</v>
      </c>
      <c r="F257" s="4">
        <v>24.317617869999999</v>
      </c>
      <c r="G257" s="2" t="s">
        <v>124</v>
      </c>
      <c r="H257" s="5">
        <v>806</v>
      </c>
      <c r="I257" s="1" t="s">
        <v>8</v>
      </c>
      <c r="J257" s="32"/>
      <c r="N257" s="10" t="str">
        <f>IF(COUNTIFS( $B$2:$B$666, B257, $C$2:$C$666, C257, $D$2:$D$666, D257, $E$2:$E$666, E257) &gt; 1, "Duplicate", "Unique")</f>
        <v>Unique</v>
      </c>
      <c r="O257" s="27"/>
    </row>
    <row r="258" spans="1:16" ht="27.65" customHeight="1" thickBot="1" x14ac:dyDescent="0.4">
      <c r="A258" s="11">
        <v>46252.635416666664</v>
      </c>
      <c r="B258" s="8" t="s">
        <v>125</v>
      </c>
      <c r="C258" s="39" t="s">
        <v>7</v>
      </c>
      <c r="D258" s="8">
        <v>6</v>
      </c>
      <c r="E258" s="8">
        <v>548</v>
      </c>
      <c r="F258" s="4">
        <v>24.3335224</v>
      </c>
      <c r="G258" s="2" t="s">
        <v>126</v>
      </c>
      <c r="H258" s="5">
        <v>440.75</v>
      </c>
      <c r="I258" s="1" t="s">
        <v>8</v>
      </c>
      <c r="J258" s="32"/>
      <c r="N258" s="10" t="str">
        <f>IF(COUNTIFS( $B$2:$B$666, B258, $C$2:$C$666, C258, $D$2:$D$666, D258, $E$2:$E$666, E258) &gt; 1, "Duplicate", "Unique")</f>
        <v>Unique</v>
      </c>
      <c r="O258" s="27"/>
    </row>
    <row r="259" spans="1:16" ht="27.65" customHeight="1" thickBot="1" x14ac:dyDescent="0.4">
      <c r="A259" s="8" t="s">
        <v>61</v>
      </c>
      <c r="B259" s="8" t="s">
        <v>62</v>
      </c>
      <c r="C259" s="8" t="s">
        <v>7</v>
      </c>
      <c r="D259" s="8">
        <v>11</v>
      </c>
      <c r="E259" s="12">
        <v>1170</v>
      </c>
      <c r="F259" s="4">
        <v>24.335812959999998</v>
      </c>
      <c r="G259" s="2" t="s">
        <v>63</v>
      </c>
      <c r="H259" s="5">
        <v>941</v>
      </c>
      <c r="I259" s="1" t="s">
        <v>8</v>
      </c>
      <c r="J259" s="32"/>
      <c r="N259" s="10" t="str">
        <f>IF(COUNTIFS( $B$2:$B$666, B259, $C$2:$C$666, C259, $D$2:$D$666, D259, $E$2:$E$666, E259) &gt; 1, "Duplicate", "Unique")</f>
        <v>Unique</v>
      </c>
    </row>
    <row r="260" spans="1:16" ht="27.65" customHeight="1" thickBot="1" x14ac:dyDescent="0.4">
      <c r="A260" s="8" t="s">
        <v>61</v>
      </c>
      <c r="B260" s="8" t="s">
        <v>14</v>
      </c>
      <c r="C260" s="8" t="s">
        <v>7</v>
      </c>
      <c r="D260" s="8">
        <v>50</v>
      </c>
      <c r="E260" s="12">
        <v>383</v>
      </c>
      <c r="F260" s="4">
        <v>24.39103605</v>
      </c>
      <c r="G260" s="2" t="s">
        <v>44</v>
      </c>
      <c r="H260" s="5">
        <v>307.89999999999998</v>
      </c>
      <c r="I260" s="1" t="s">
        <v>8</v>
      </c>
      <c r="J260" s="32"/>
      <c r="N260" s="10" t="str">
        <f>IF(COUNTIFS( $B$2:$B$666, B260, $C$2:$C$666, C260, $D$2:$D$666, D260, $E$2:$E$666, E260) &gt; 1, "Duplicate", "Unique")</f>
        <v>Unique</v>
      </c>
    </row>
    <row r="261" spans="1:16" ht="27.65" customHeight="1" thickBot="1" x14ac:dyDescent="0.4">
      <c r="A261" s="8" t="s">
        <v>61</v>
      </c>
      <c r="B261" s="8" t="s">
        <v>17</v>
      </c>
      <c r="C261" s="8" t="s">
        <v>7</v>
      </c>
      <c r="D261" s="8">
        <v>5</v>
      </c>
      <c r="E261" s="12">
        <v>416</v>
      </c>
      <c r="F261" s="4">
        <v>24.550898199999999</v>
      </c>
      <c r="G261" s="2" t="s">
        <v>76</v>
      </c>
      <c r="H261" s="5">
        <v>334</v>
      </c>
      <c r="I261" s="1" t="s">
        <v>8</v>
      </c>
      <c r="J261" s="32"/>
      <c r="N261" s="10" t="str">
        <f>IF(COUNTIFS( $B$2:$B$666, B261, $C$2:$C$666, C261, $D$2:$D$666, D261, $E$2:$E$666, E261) &gt; 1, "Duplicate", "Unique")</f>
        <v>Unique</v>
      </c>
    </row>
    <row r="262" spans="1:16" ht="27.65" customHeight="1" thickBot="1" x14ac:dyDescent="0.4">
      <c r="A262" s="3">
        <v>46262.375</v>
      </c>
      <c r="B262" s="1" t="s">
        <v>86</v>
      </c>
      <c r="C262" s="1" t="s">
        <v>7</v>
      </c>
      <c r="D262" s="4">
        <v>10</v>
      </c>
      <c r="E262" s="4">
        <v>1360</v>
      </c>
      <c r="F262" s="4">
        <v>24.88521579</v>
      </c>
      <c r="G262" s="2" t="s">
        <v>87</v>
      </c>
      <c r="H262" s="5">
        <v>1089</v>
      </c>
      <c r="I262" s="1" t="s">
        <v>8</v>
      </c>
      <c r="J262" s="17" t="s">
        <v>116</v>
      </c>
      <c r="K262" s="17" t="s">
        <v>188</v>
      </c>
      <c r="L262" s="17">
        <v>13300</v>
      </c>
      <c r="M262" s="17">
        <f>ABS((D262*E262)-L262)</f>
        <v>300</v>
      </c>
      <c r="N262" s="10" t="str">
        <f>IF(COUNTIFS( $B$2:$B$666, B262, $C$2:$C$666, C262, $D$2:$D$666, D262, $E$2:$E$666, E262) &gt; 1, "Duplicate", "Unique")</f>
        <v>Unique</v>
      </c>
    </row>
    <row r="263" spans="1:16" ht="27.65" customHeight="1" thickBot="1" x14ac:dyDescent="0.4">
      <c r="A263" s="3">
        <v>46265.375694444447</v>
      </c>
      <c r="B263" s="1" t="s">
        <v>15</v>
      </c>
      <c r="C263" s="1" t="s">
        <v>7</v>
      </c>
      <c r="D263" s="4">
        <v>10</v>
      </c>
      <c r="E263" s="4">
        <v>2608</v>
      </c>
      <c r="F263" s="4">
        <v>24.940116889999999</v>
      </c>
      <c r="G263" s="2" t="s">
        <v>71</v>
      </c>
      <c r="H263" s="5">
        <v>2087.4</v>
      </c>
      <c r="I263" s="1" t="s">
        <v>8</v>
      </c>
      <c r="J263" s="17" t="s">
        <v>117</v>
      </c>
      <c r="K263" s="17" t="s">
        <v>200</v>
      </c>
      <c r="L263" s="17">
        <v>25780</v>
      </c>
      <c r="M263" s="17">
        <f>ABS((D263*E263)-L263)</f>
        <v>300</v>
      </c>
      <c r="N263" t="str">
        <f>IF(COUNTIFS( $B$2:$B$666, B263, $C$2:$C$666, C263, $D$2:$D$666, D263, $E$2:$E$666, E263) &gt; 1, "Duplicate", "Unique")</f>
        <v>Unique</v>
      </c>
      <c r="O263" s="36" t="s">
        <v>238</v>
      </c>
      <c r="P263"/>
    </row>
    <row r="264" spans="1:16" ht="40.75" customHeight="1" thickBot="1" x14ac:dyDescent="0.4">
      <c r="A264" s="8" t="s">
        <v>61</v>
      </c>
      <c r="B264" s="8" t="s">
        <v>6</v>
      </c>
      <c r="C264" s="8" t="s">
        <v>7</v>
      </c>
      <c r="D264" s="8">
        <v>100</v>
      </c>
      <c r="E264" s="8">
        <v>310.5</v>
      </c>
      <c r="F264" s="4">
        <v>25</v>
      </c>
      <c r="G264" s="2" t="s">
        <v>129</v>
      </c>
      <c r="H264" s="5">
        <v>248.4</v>
      </c>
      <c r="I264" s="1" t="s">
        <v>8</v>
      </c>
      <c r="J264" s="32" t="s">
        <v>117</v>
      </c>
      <c r="N264" s="10" t="str">
        <f>IF(COUNTIFS( $B$2:$B$666, B264, $C$2:$C$666, C264, $D$2:$D$666, D264, $E$2:$E$666, E264) &gt; 1, "Duplicate", "Unique")</f>
        <v>Unique</v>
      </c>
    </row>
    <row r="265" spans="1:16" ht="27.65" customHeight="1" thickBot="1" x14ac:dyDescent="0.4">
      <c r="A265" s="3">
        <v>46268.375</v>
      </c>
      <c r="B265" s="1" t="s">
        <v>16</v>
      </c>
      <c r="C265" s="1" t="s">
        <v>7</v>
      </c>
      <c r="D265" s="4">
        <v>30</v>
      </c>
      <c r="E265" s="4">
        <v>920</v>
      </c>
      <c r="F265" s="4">
        <v>25.238224880000001</v>
      </c>
      <c r="G265" s="2" t="s">
        <v>60</v>
      </c>
      <c r="H265" s="5">
        <v>734.6</v>
      </c>
      <c r="I265" s="1" t="s">
        <v>8</v>
      </c>
      <c r="J265" s="17" t="s">
        <v>116</v>
      </c>
      <c r="K265" s="17" t="s">
        <v>229</v>
      </c>
      <c r="L265" s="17">
        <v>25800</v>
      </c>
      <c r="M265" s="17">
        <f>ABS((D265*E265)-L265)</f>
        <v>1800</v>
      </c>
      <c r="N265" s="10" t="str">
        <f>IF(COUNTIFS( $B$2:$B$666, B265, $C$2:$C$666, C265, $D$2:$D$666, D265, $E$2:$E$666, E265) &gt; 1, "Duplicate", "Unique")</f>
        <v>Unique</v>
      </c>
    </row>
    <row r="266" spans="1:16" ht="27.65" customHeight="1" thickBot="1" x14ac:dyDescent="0.4">
      <c r="A266" s="3">
        <v>46265.390277777777</v>
      </c>
      <c r="B266" s="1" t="s">
        <v>15</v>
      </c>
      <c r="C266" s="1" t="s">
        <v>7</v>
      </c>
      <c r="D266" s="4">
        <v>10</v>
      </c>
      <c r="E266" s="4">
        <v>2618</v>
      </c>
      <c r="F266" s="4">
        <v>25.419181760000001</v>
      </c>
      <c r="G266" s="2" t="s">
        <v>71</v>
      </c>
      <c r="H266" s="5">
        <v>2087.4</v>
      </c>
      <c r="I266" s="1" t="s">
        <v>8</v>
      </c>
      <c r="J266" s="17" t="s">
        <v>116</v>
      </c>
      <c r="K266" s="17" t="s">
        <v>197</v>
      </c>
      <c r="L266" s="17">
        <v>25530</v>
      </c>
      <c r="M266" s="17">
        <f>ABS((D266*E266)-L266)</f>
        <v>650</v>
      </c>
      <c r="N266" t="str">
        <f>IF(COUNTIFS( $B$2:$B$666, B266, $C$2:$C$666, C266, $D$2:$D$666, D266, $E$2:$E$666, E266) &gt; 1, "Duplicate", "Unique")</f>
        <v>Unique</v>
      </c>
      <c r="O266"/>
      <c r="P266"/>
    </row>
    <row r="267" spans="1:16" ht="27.65" customHeight="1" thickBot="1" x14ac:dyDescent="0.4">
      <c r="A267" s="3">
        <v>46276.375</v>
      </c>
      <c r="B267" s="1" t="s">
        <v>79</v>
      </c>
      <c r="C267" s="1" t="s">
        <v>7</v>
      </c>
      <c r="D267" s="4">
        <v>10</v>
      </c>
      <c r="E267" s="4">
        <v>1548</v>
      </c>
      <c r="F267" s="4">
        <v>25.649350649999999</v>
      </c>
      <c r="G267" s="2" t="s">
        <v>80</v>
      </c>
      <c r="H267" s="5">
        <v>1232</v>
      </c>
      <c r="I267" s="1" t="s">
        <v>8</v>
      </c>
      <c r="J267" s="17" t="s">
        <v>116</v>
      </c>
      <c r="K267" s="17" t="s">
        <v>266</v>
      </c>
      <c r="L267" s="17">
        <v>15030</v>
      </c>
      <c r="M267" s="17">
        <f>ABS((D267*E267)-L267)</f>
        <v>450</v>
      </c>
      <c r="N267" s="10" t="str">
        <f>IF(COUNTIFS( $B$2:$B$666, B267, $C$2:$C$666, C267, $D$2:$D$666, D267, $E$2:$E$666, E267) &gt; 1, "Duplicate", "Unique")</f>
        <v>Unique</v>
      </c>
    </row>
    <row r="268" spans="1:16" ht="27.65" customHeight="1" thickBot="1" x14ac:dyDescent="0.4">
      <c r="A268" s="8" t="s">
        <v>61</v>
      </c>
      <c r="B268" s="8" t="s">
        <v>118</v>
      </c>
      <c r="C268" s="8" t="s">
        <v>7</v>
      </c>
      <c r="D268" s="8">
        <v>15</v>
      </c>
      <c r="E268" s="8">
        <v>1090</v>
      </c>
      <c r="F268" s="4">
        <v>25.873318319999999</v>
      </c>
      <c r="G268" s="2" t="s">
        <v>119</v>
      </c>
      <c r="H268" s="5">
        <v>865.95</v>
      </c>
      <c r="I268" s="1" t="s">
        <v>8</v>
      </c>
      <c r="J268" s="32"/>
      <c r="N268" s="10" t="str">
        <f>IF(COUNTIFS( $B$2:$B$666, B268, $C$2:$C$666, C268, $D$2:$D$666, D268, $E$2:$E$666, E268) &gt; 1, "Duplicate", "Unique")</f>
        <v>Unique</v>
      </c>
    </row>
    <row r="269" spans="1:16" ht="40.75" customHeight="1" thickBot="1" x14ac:dyDescent="0.4">
      <c r="A269" s="3">
        <v>46275.507638888892</v>
      </c>
      <c r="B269" s="1" t="s">
        <v>15</v>
      </c>
      <c r="C269" s="1" t="s">
        <v>7</v>
      </c>
      <c r="D269" s="4">
        <v>10</v>
      </c>
      <c r="E269" s="4">
        <v>2632</v>
      </c>
      <c r="F269" s="4">
        <v>26.089872570000001</v>
      </c>
      <c r="G269" s="2" t="s">
        <v>71</v>
      </c>
      <c r="H269" s="5">
        <v>2087.4</v>
      </c>
      <c r="I269" s="1" t="s">
        <v>8</v>
      </c>
      <c r="J269" s="17" t="s">
        <v>116</v>
      </c>
      <c r="K269" s="17" t="s">
        <v>258</v>
      </c>
      <c r="L269" s="17">
        <v>73800</v>
      </c>
      <c r="M269" s="17">
        <f>ABS((D269*E269)-L269)</f>
        <v>47480</v>
      </c>
      <c r="N269" s="10" t="str">
        <f>IF(COUNTIFS( $B$2:$B$666, B269, $C$2:$C$666, C269, $D$2:$D$666, D269, $E$2:$E$666, E269) &gt; 1, "Duplicate", "Unique")</f>
        <v>Unique</v>
      </c>
    </row>
    <row r="270" spans="1:16" ht="40.75" customHeight="1" thickBot="1" x14ac:dyDescent="0.4">
      <c r="A270" s="3">
        <v>46265.375694444447</v>
      </c>
      <c r="B270" s="1" t="s">
        <v>15</v>
      </c>
      <c r="C270" s="1" t="s">
        <v>7</v>
      </c>
      <c r="D270" s="4">
        <v>10</v>
      </c>
      <c r="E270" s="4">
        <v>2636</v>
      </c>
      <c r="F270" s="4">
        <v>26.281498509999999</v>
      </c>
      <c r="G270" s="2" t="s">
        <v>71</v>
      </c>
      <c r="H270" s="5">
        <v>2087.4</v>
      </c>
      <c r="I270" s="1" t="s">
        <v>8</v>
      </c>
      <c r="J270" s="17" t="s">
        <v>116</v>
      </c>
      <c r="K270" s="17" t="s">
        <v>205</v>
      </c>
      <c r="L270" s="17">
        <v>26020</v>
      </c>
      <c r="M270" s="17">
        <f>ABS((D270*E270)-L270)</f>
        <v>340</v>
      </c>
      <c r="N270" t="str">
        <f>IF(COUNTIFS( $B$2:$B$666, B270, $C$2:$C$666, C270, $D$2:$D$666, D270, $E$2:$E$666, E270) &gt; 1, "Duplicate", "Unique")</f>
        <v>Unique</v>
      </c>
    </row>
    <row r="271" spans="1:16" ht="27.65" customHeight="1" thickBot="1" x14ac:dyDescent="0.4">
      <c r="A271" s="8" t="s">
        <v>61</v>
      </c>
      <c r="B271" s="8" t="s">
        <v>6</v>
      </c>
      <c r="C271" s="8" t="s">
        <v>7</v>
      </c>
      <c r="D271" s="8">
        <v>100</v>
      </c>
      <c r="E271" s="13">
        <v>314</v>
      </c>
      <c r="F271" s="4">
        <v>26.409017710000001</v>
      </c>
      <c r="G271" s="2" t="s">
        <v>129</v>
      </c>
      <c r="H271" s="5">
        <v>248.4</v>
      </c>
      <c r="I271" s="1" t="s">
        <v>8</v>
      </c>
      <c r="J271" s="32" t="s">
        <v>116</v>
      </c>
      <c r="N271" s="10" t="str">
        <f>IF(COUNTIFS( $B$2:$B$666, B271, $C$2:$C$666, C271, $D$2:$D$666, D271, $E$2:$E$666, E271) &gt; 1, "Duplicate", "Unique")</f>
        <v>Unique</v>
      </c>
    </row>
    <row r="272" spans="1:16" ht="27.65" customHeight="1" thickBot="1" x14ac:dyDescent="0.4">
      <c r="A272" s="8" t="s">
        <v>61</v>
      </c>
      <c r="B272" s="8" t="s">
        <v>34</v>
      </c>
      <c r="C272" s="8" t="s">
        <v>7</v>
      </c>
      <c r="D272" s="8">
        <v>200</v>
      </c>
      <c r="E272" s="12">
        <v>244</v>
      </c>
      <c r="F272" s="4">
        <v>26.59541351</v>
      </c>
      <c r="G272" s="2" t="s">
        <v>41</v>
      </c>
      <c r="H272" s="5">
        <v>192.74</v>
      </c>
      <c r="I272" s="1" t="s">
        <v>8</v>
      </c>
      <c r="J272" s="32" t="s">
        <v>116</v>
      </c>
      <c r="N272" s="10" t="str">
        <f>IF(COUNTIFS( $B$2:$B$666, B272, $C$2:$C$666, C272, $D$2:$D$666, D272, $E$2:$E$666, E272) &gt; 1, "Duplicate", "Unique")</f>
        <v>Unique</v>
      </c>
    </row>
    <row r="273" spans="1:16" ht="27.65" customHeight="1" thickBot="1" x14ac:dyDescent="0.4">
      <c r="A273" s="3">
        <v>46262.463194444441</v>
      </c>
      <c r="B273" s="1" t="s">
        <v>15</v>
      </c>
      <c r="C273" s="1" t="s">
        <v>7</v>
      </c>
      <c r="D273" s="4">
        <v>10</v>
      </c>
      <c r="E273" s="4">
        <v>2648</v>
      </c>
      <c r="F273" s="4">
        <v>26.856376350000001</v>
      </c>
      <c r="G273" s="2" t="s">
        <v>71</v>
      </c>
      <c r="H273" s="5">
        <v>2087.4</v>
      </c>
      <c r="I273" s="1" t="s">
        <v>8</v>
      </c>
      <c r="J273" s="17" t="s">
        <v>116</v>
      </c>
      <c r="K273" s="17" t="s">
        <v>187</v>
      </c>
      <c r="L273" s="17">
        <v>26180</v>
      </c>
      <c r="M273" s="17">
        <f>ABS((D273*E273)-L273)</f>
        <v>300</v>
      </c>
      <c r="N273" s="10" t="str">
        <f>IF(COUNTIFS( $B$2:$B$666, B273, $C$2:$C$666, C273, $D$2:$D$666, D273, $E$2:$E$666, E273) &gt; 1, "Duplicate", "Unique")</f>
        <v>Unique</v>
      </c>
    </row>
    <row r="274" spans="1:16" ht="40.75" customHeight="1" thickBot="1" x14ac:dyDescent="0.4">
      <c r="A274" s="46">
        <v>46304.375</v>
      </c>
      <c r="B274" s="2" t="s">
        <v>110</v>
      </c>
      <c r="C274" s="2" t="s">
        <v>7</v>
      </c>
      <c r="D274" s="5">
        <v>10</v>
      </c>
      <c r="E274" s="5">
        <v>511</v>
      </c>
      <c r="F274" s="4">
        <v>26.861966240000001</v>
      </c>
      <c r="G274" s="2" t="s">
        <v>111</v>
      </c>
      <c r="H274" s="5">
        <v>402.8</v>
      </c>
      <c r="I274" s="1" t="s">
        <v>8</v>
      </c>
      <c r="J274" s="17" t="s">
        <v>117</v>
      </c>
      <c r="K274" s="17" t="s">
        <v>318</v>
      </c>
      <c r="L274" s="17">
        <v>4110</v>
      </c>
      <c r="M274" s="17">
        <f>ABS((D274*E274)-L274)</f>
        <v>1000</v>
      </c>
      <c r="N274" t="str">
        <f>IF(COUNTIFS( $B$2:$B$666, B274, $C$2:$C$666, C274, $D$2:$D$666, D274, $E$2:$E$666, E274) &gt; 1, "Duplicate", "Unique")</f>
        <v>Unique</v>
      </c>
    </row>
    <row r="275" spans="1:16" ht="40.75" customHeight="1" thickBot="1" x14ac:dyDescent="0.4">
      <c r="A275" s="3">
        <v>46258.375694444447</v>
      </c>
      <c r="B275" s="1" t="s">
        <v>22</v>
      </c>
      <c r="C275" s="1" t="s">
        <v>7</v>
      </c>
      <c r="D275" s="4">
        <v>5</v>
      </c>
      <c r="E275" s="4">
        <v>499</v>
      </c>
      <c r="F275" s="4">
        <v>27.16615698</v>
      </c>
      <c r="G275" s="2" t="s">
        <v>72</v>
      </c>
      <c r="H275" s="5">
        <v>392.4</v>
      </c>
      <c r="I275" s="1" t="s">
        <v>8</v>
      </c>
      <c r="J275" s="17" t="s">
        <v>117</v>
      </c>
      <c r="K275" s="17" t="s">
        <v>156</v>
      </c>
      <c r="L275" s="17">
        <v>2260</v>
      </c>
      <c r="M275" s="17">
        <f>ABS((D275*E275)-L275)</f>
        <v>235</v>
      </c>
      <c r="N275" s="10" t="str">
        <f>IF(COUNTIFS( $B$2:$B$666, B275, $C$2:$C$666, C275, $D$2:$D$666, D275, $E$2:$E$666, E275) &gt; 1, "Duplicate", "Unique")</f>
        <v>Unique</v>
      </c>
    </row>
    <row r="276" spans="1:16" ht="27.65" customHeight="1" thickBot="1" x14ac:dyDescent="0.4">
      <c r="A276" s="3">
        <v>46262.375</v>
      </c>
      <c r="B276" s="1" t="s">
        <v>15</v>
      </c>
      <c r="C276" s="1" t="s">
        <v>7</v>
      </c>
      <c r="D276" s="4">
        <v>10</v>
      </c>
      <c r="E276" s="4">
        <v>2660</v>
      </c>
      <c r="F276" s="4">
        <v>27.431254190000001</v>
      </c>
      <c r="G276" s="2" t="s">
        <v>71</v>
      </c>
      <c r="H276" s="5">
        <v>2087.4</v>
      </c>
      <c r="I276" s="1" t="s">
        <v>8</v>
      </c>
      <c r="J276" s="17" t="s">
        <v>116</v>
      </c>
      <c r="K276" s="17" t="s">
        <v>189</v>
      </c>
      <c r="L276" s="17">
        <v>26300</v>
      </c>
      <c r="M276" s="17">
        <f>ABS((D276*E276)-L276)</f>
        <v>300</v>
      </c>
      <c r="N276" s="10" t="str">
        <f>IF(COUNTIFS( $B$2:$B$666, B276, $C$2:$C$666, C276, $D$2:$D$666, D276, $E$2:$E$666, E276) &gt; 1, "Duplicate", "Unique")</f>
        <v>Unique</v>
      </c>
    </row>
    <row r="277" spans="1:16" ht="27.65" customHeight="1" thickBot="1" x14ac:dyDescent="0.4">
      <c r="A277" s="3">
        <v>46260.375</v>
      </c>
      <c r="B277" s="1" t="s">
        <v>86</v>
      </c>
      <c r="C277" s="1" t="s">
        <v>7</v>
      </c>
      <c r="D277" s="4">
        <v>10</v>
      </c>
      <c r="E277" s="4">
        <v>1390</v>
      </c>
      <c r="F277" s="4">
        <v>27.640036729999998</v>
      </c>
      <c r="G277" s="2" t="s">
        <v>87</v>
      </c>
      <c r="H277" s="5">
        <v>1089</v>
      </c>
      <c r="I277" s="1" t="s">
        <v>8</v>
      </c>
      <c r="J277" s="17" t="s">
        <v>116</v>
      </c>
      <c r="K277" s="17" t="s">
        <v>171</v>
      </c>
      <c r="L277" s="17">
        <v>13600</v>
      </c>
      <c r="M277" s="17">
        <f>ABS((D277*E277)-L277)</f>
        <v>300</v>
      </c>
      <c r="N277" t="str">
        <f>IF(COUNTIFS( $B$2:$B$666, B277, $C$2:$C$666, C277, $D$2:$D$666, D277, $E$2:$E$666, E277) &gt; 1, "Duplicate", "Unique")</f>
        <v>Unique</v>
      </c>
    </row>
    <row r="278" spans="1:16" s="27" customFormat="1" ht="27.65" customHeight="1" thickBot="1" x14ac:dyDescent="0.4">
      <c r="A278" s="3">
        <v>46254.642361111109</v>
      </c>
      <c r="B278" s="1" t="s">
        <v>15</v>
      </c>
      <c r="C278" s="1" t="s">
        <v>7</v>
      </c>
      <c r="D278" s="4">
        <v>10</v>
      </c>
      <c r="E278" s="4">
        <v>2672</v>
      </c>
      <c r="F278" s="4">
        <v>28.00613203</v>
      </c>
      <c r="G278" s="2" t="s">
        <v>71</v>
      </c>
      <c r="H278" s="5">
        <v>2087.4</v>
      </c>
      <c r="I278" s="1" t="s">
        <v>8</v>
      </c>
      <c r="J278" s="16" t="s">
        <v>116</v>
      </c>
      <c r="K278" s="16" t="s">
        <v>145</v>
      </c>
      <c r="L278" s="16"/>
      <c r="M278" s="16"/>
      <c r="N278" s="10" t="str">
        <f>IF(COUNTIFS( $B$2:$B$666, B278, $C$2:$C$666, C278, $D$2:$D$666, D278, $E$2:$E$666, E278) &gt; 1, "Duplicate", "Unique")</f>
        <v>Unique</v>
      </c>
      <c r="O278" s="10"/>
      <c r="P278" s="10"/>
    </row>
    <row r="279" spans="1:16" ht="27.65" customHeight="1" thickBot="1" x14ac:dyDescent="0.4">
      <c r="A279" s="8" t="s">
        <v>61</v>
      </c>
      <c r="B279" s="8" t="s">
        <v>6</v>
      </c>
      <c r="C279" s="8" t="s">
        <v>7</v>
      </c>
      <c r="D279" s="8">
        <v>100</v>
      </c>
      <c r="E279" s="12">
        <v>318</v>
      </c>
      <c r="F279" s="4">
        <v>28.019323669999999</v>
      </c>
      <c r="G279" s="2" t="s">
        <v>129</v>
      </c>
      <c r="H279" s="5">
        <v>248.4</v>
      </c>
      <c r="I279" s="1" t="s">
        <v>8</v>
      </c>
      <c r="J279" s="32" t="s">
        <v>116</v>
      </c>
      <c r="N279" s="10" t="str">
        <f>IF(COUNTIFS( $B$2:$B$666, B279, $C$2:$C$666, C279, $D$2:$D$666, D279, $E$2:$E$666, E279) &gt; 1, "Duplicate", "Unique")</f>
        <v>Unique</v>
      </c>
    </row>
    <row r="280" spans="1:16" s="27" customFormat="1" ht="27.65" customHeight="1" thickBot="1" x14ac:dyDescent="0.4">
      <c r="A280" s="8" t="s">
        <v>61</v>
      </c>
      <c r="B280" s="8" t="s">
        <v>26</v>
      </c>
      <c r="C280" s="8" t="s">
        <v>7</v>
      </c>
      <c r="D280" s="8">
        <v>25</v>
      </c>
      <c r="E280" s="8">
        <v>210</v>
      </c>
      <c r="F280" s="4">
        <v>28.16600549</v>
      </c>
      <c r="G280" s="2" t="s">
        <v>131</v>
      </c>
      <c r="H280" s="5">
        <v>163.85</v>
      </c>
      <c r="I280" s="1" t="s">
        <v>8</v>
      </c>
      <c r="J280" s="32"/>
      <c r="K280" s="17"/>
      <c r="L280" s="17"/>
      <c r="M280" s="17"/>
      <c r="N280" s="10" t="str">
        <f>IF(COUNTIFS( $B$2:$B$666, B280, $C$2:$C$666, C280, $D$2:$D$666, D280, $E$2:$E$666, E280) &gt; 1, "Duplicate", "Unique")</f>
        <v>Unique</v>
      </c>
      <c r="O280" s="10"/>
      <c r="P280" s="10"/>
    </row>
    <row r="281" spans="1:16" ht="40.75" customHeight="1" thickBot="1" x14ac:dyDescent="0.4">
      <c r="A281" s="8" t="s">
        <v>61</v>
      </c>
      <c r="B281" s="8" t="s">
        <v>6</v>
      </c>
      <c r="C281" s="8" t="s">
        <v>7</v>
      </c>
      <c r="D281" s="8">
        <v>100</v>
      </c>
      <c r="E281" s="13">
        <v>319</v>
      </c>
      <c r="F281" s="4">
        <v>28.42190016</v>
      </c>
      <c r="G281" s="2" t="s">
        <v>129</v>
      </c>
      <c r="H281" s="5">
        <v>248.4</v>
      </c>
      <c r="I281" s="1" t="s">
        <v>8</v>
      </c>
      <c r="J281" s="32" t="s">
        <v>116</v>
      </c>
      <c r="N281" s="10" t="str">
        <f>IF(COUNTIFS( $B$2:$B$666, B281, $C$2:$C$666, C281, $D$2:$D$666, D281, $E$2:$E$666, E281) &gt; 1, "Duplicate", "Unique")</f>
        <v>Unique</v>
      </c>
    </row>
    <row r="282" spans="1:16" ht="40.75" customHeight="1" thickBot="1" x14ac:dyDescent="0.4">
      <c r="A282" s="3">
        <v>46260.634027777778</v>
      </c>
      <c r="B282" s="1" t="s">
        <v>29</v>
      </c>
      <c r="C282" s="1" t="s">
        <v>7</v>
      </c>
      <c r="D282" s="4">
        <v>5</v>
      </c>
      <c r="E282" s="4">
        <v>4148</v>
      </c>
      <c r="F282" s="4">
        <v>28.735917570000002</v>
      </c>
      <c r="G282" s="2" t="s">
        <v>136</v>
      </c>
      <c r="H282" s="5">
        <v>3222.1</v>
      </c>
      <c r="I282" s="1" t="s">
        <v>8</v>
      </c>
      <c r="J282" s="17" t="s">
        <v>117</v>
      </c>
      <c r="K282" s="17" t="s">
        <v>166</v>
      </c>
      <c r="L282" s="17">
        <v>20260</v>
      </c>
      <c r="M282" s="17">
        <f>ABS((D282*E282)-L282)</f>
        <v>480</v>
      </c>
      <c r="N282" t="str">
        <f>IF(COUNTIFS( $B$2:$B$666, B282, $C$2:$C$666, C282, $D$2:$D$666, D282, $E$2:$E$666, E282) &gt; 1, "Duplicate", "Unique")</f>
        <v>Unique</v>
      </c>
    </row>
    <row r="283" spans="1:16" ht="27.65" customHeight="1" thickBot="1" x14ac:dyDescent="0.4">
      <c r="A283" s="3">
        <v>46265.415277777778</v>
      </c>
      <c r="B283" s="1" t="s">
        <v>16</v>
      </c>
      <c r="C283" s="1" t="s">
        <v>7</v>
      </c>
      <c r="D283" s="4">
        <v>5</v>
      </c>
      <c r="E283" s="4">
        <v>948</v>
      </c>
      <c r="F283" s="4">
        <v>29.049823029999999</v>
      </c>
      <c r="G283" s="2" t="s">
        <v>60</v>
      </c>
      <c r="H283" s="5">
        <v>734.6</v>
      </c>
      <c r="I283" s="1" t="s">
        <v>8</v>
      </c>
      <c r="J283" s="17" t="s">
        <v>117</v>
      </c>
      <c r="K283" s="17" t="s">
        <v>194</v>
      </c>
      <c r="L283" s="17">
        <v>4455</v>
      </c>
      <c r="M283" s="17">
        <f>ABS((D283*E283)-L283)</f>
        <v>285</v>
      </c>
      <c r="N283" t="str">
        <f>IF(COUNTIFS( $B$2:$B$666, B283, $C$2:$C$666, C283, $D$2:$D$666, D283, $E$2:$E$666, E283) &gt; 1, "Duplicate", "Unique")</f>
        <v>Unique</v>
      </c>
    </row>
    <row r="284" spans="1:16" ht="26.5" thickBot="1" x14ac:dyDescent="0.4">
      <c r="A284" s="3">
        <v>46266.375</v>
      </c>
      <c r="B284" s="1" t="s">
        <v>16</v>
      </c>
      <c r="C284" s="1" t="s">
        <v>7</v>
      </c>
      <c r="D284" s="4">
        <v>11</v>
      </c>
      <c r="E284" s="4">
        <v>948</v>
      </c>
      <c r="F284" s="4">
        <v>29.049823029999999</v>
      </c>
      <c r="G284" s="2" t="s">
        <v>60</v>
      </c>
      <c r="H284" s="5">
        <v>734.6</v>
      </c>
      <c r="I284" s="1" t="s">
        <v>8</v>
      </c>
      <c r="J284" s="17" t="s">
        <v>116</v>
      </c>
      <c r="K284" s="17" t="s">
        <v>211</v>
      </c>
      <c r="L284" s="17">
        <v>9702</v>
      </c>
      <c r="M284" s="17">
        <f>ABS((D284*E284)-L284)</f>
        <v>726</v>
      </c>
      <c r="N284" s="10" t="str">
        <f>IF(COUNTIFS( $B$2:$B$666, B284, $C$2:$C$666, C284, $D$2:$D$666, D284, $E$2:$E$666, E284) &gt; 1, "Duplicate", "Unique")</f>
        <v>Unique</v>
      </c>
    </row>
    <row r="285" spans="1:16" ht="26.5" thickBot="1" x14ac:dyDescent="0.4">
      <c r="A285" s="11">
        <v>46252.6875</v>
      </c>
      <c r="B285" s="8" t="s">
        <v>15</v>
      </c>
      <c r="C285" s="8" t="s">
        <v>7</v>
      </c>
      <c r="D285" s="8">
        <v>10</v>
      </c>
      <c r="E285" s="8">
        <v>2696</v>
      </c>
      <c r="F285" s="4">
        <v>29.155887709999998</v>
      </c>
      <c r="G285" s="2" t="s">
        <v>71</v>
      </c>
      <c r="H285" s="5">
        <v>2087.4</v>
      </c>
      <c r="I285" s="1" t="s">
        <v>8</v>
      </c>
      <c r="J285" s="32" t="s">
        <v>152</v>
      </c>
      <c r="N285" s="10" t="str">
        <f>IF(COUNTIFS( $B$2:$B$666, B285, $C$2:$C$666, C285, $D$2:$D$666, D285, $E$2:$E$666, E285) &gt; 1, "Duplicate", "Unique")</f>
        <v>Unique</v>
      </c>
    </row>
    <row r="286" spans="1:16" ht="26.5" thickBot="1" x14ac:dyDescent="0.4">
      <c r="A286" s="8" t="s">
        <v>61</v>
      </c>
      <c r="B286" s="8" t="s">
        <v>34</v>
      </c>
      <c r="C286" s="8" t="s">
        <v>7</v>
      </c>
      <c r="D286" s="8">
        <v>200</v>
      </c>
      <c r="E286" s="12">
        <v>249</v>
      </c>
      <c r="F286" s="4">
        <v>29.189581820000001</v>
      </c>
      <c r="G286" s="2" t="s">
        <v>41</v>
      </c>
      <c r="H286" s="5">
        <v>192.74</v>
      </c>
      <c r="I286" s="1" t="s">
        <v>8</v>
      </c>
      <c r="J286" s="32" t="s">
        <v>116</v>
      </c>
      <c r="N286" s="10" t="str">
        <f>IF(COUNTIFS( $B$2:$B$666, B286, $C$2:$C$666, C286, $D$2:$D$666, D286, $E$2:$E$666, E286) &gt; 1, "Duplicate", "Unique")</f>
        <v>Unique</v>
      </c>
    </row>
    <row r="287" spans="1:16" ht="26.5" thickBot="1" x14ac:dyDescent="0.4">
      <c r="A287" s="8" t="s">
        <v>61</v>
      </c>
      <c r="B287" s="8" t="s">
        <v>13</v>
      </c>
      <c r="C287" s="8" t="s">
        <v>7</v>
      </c>
      <c r="D287" s="8">
        <v>20</v>
      </c>
      <c r="E287" s="8">
        <v>2310</v>
      </c>
      <c r="F287" s="4">
        <v>29.84822934</v>
      </c>
      <c r="G287" s="2" t="s">
        <v>90</v>
      </c>
      <c r="H287" s="5">
        <v>1779</v>
      </c>
      <c r="I287" s="1" t="s">
        <v>8</v>
      </c>
      <c r="J287" s="32"/>
      <c r="N287" s="10" t="str">
        <f>IF(COUNTIFS( $B$2:$B$666, B287, $C$2:$C$666, C287, $D$2:$D$666, D287, $E$2:$E$666, E287) &gt; 1, "Duplicate", "Unique")</f>
        <v>Unique</v>
      </c>
    </row>
    <row r="288" spans="1:16" ht="26.5" thickBot="1" x14ac:dyDescent="0.4">
      <c r="A288" s="8" t="s">
        <v>61</v>
      </c>
      <c r="B288" s="8" t="s">
        <v>127</v>
      </c>
      <c r="C288" s="8" t="s">
        <v>7</v>
      </c>
      <c r="D288" s="8">
        <v>150</v>
      </c>
      <c r="E288" s="12">
        <v>136</v>
      </c>
      <c r="F288" s="4">
        <v>29.89493792</v>
      </c>
      <c r="G288" s="2" t="s">
        <v>128</v>
      </c>
      <c r="H288" s="5">
        <v>104.7</v>
      </c>
      <c r="I288" s="1" t="s">
        <v>8</v>
      </c>
      <c r="J288" s="32"/>
      <c r="N288" s="10" t="str">
        <f>IF(COUNTIFS( $B$2:$B$666, B288, $C$2:$C$666, C288, $D$2:$D$666, D288, $E$2:$E$666, E288) &gt; 1, "Duplicate", "Unique")</f>
        <v>Unique</v>
      </c>
    </row>
    <row r="289" spans="1:16" ht="26.5" thickBot="1" x14ac:dyDescent="0.4">
      <c r="A289" s="8" t="s">
        <v>61</v>
      </c>
      <c r="B289" s="8" t="s">
        <v>6</v>
      </c>
      <c r="C289" s="8" t="s">
        <v>7</v>
      </c>
      <c r="D289" s="8">
        <v>150</v>
      </c>
      <c r="E289" s="12">
        <v>323</v>
      </c>
      <c r="F289" s="4">
        <v>30.032206120000001</v>
      </c>
      <c r="G289" s="2" t="s">
        <v>129</v>
      </c>
      <c r="H289" s="5">
        <v>248.4</v>
      </c>
      <c r="I289" s="1" t="s">
        <v>8</v>
      </c>
      <c r="J289" s="32" t="s">
        <v>117</v>
      </c>
      <c r="N289" s="10" t="str">
        <f>IF(COUNTIFS( $B$2:$B$666, B289, $C$2:$C$666, C289, $D$2:$D$666, D289, $E$2:$E$666, E289) &gt; 1, "Duplicate", "Unique")</f>
        <v>Unique</v>
      </c>
    </row>
    <row r="290" spans="1:16" ht="26.5" thickBot="1" x14ac:dyDescent="0.4">
      <c r="A290" s="8" t="s">
        <v>61</v>
      </c>
      <c r="B290" s="8" t="s">
        <v>17</v>
      </c>
      <c r="C290" s="8" t="s">
        <v>7</v>
      </c>
      <c r="D290" s="8">
        <v>5</v>
      </c>
      <c r="E290" s="12">
        <v>435</v>
      </c>
      <c r="F290" s="4">
        <v>30.23952096</v>
      </c>
      <c r="G290" s="2" t="s">
        <v>76</v>
      </c>
      <c r="H290" s="5">
        <v>334</v>
      </c>
      <c r="I290" s="1" t="s">
        <v>8</v>
      </c>
      <c r="J290" s="32" t="s">
        <v>117</v>
      </c>
      <c r="N290" s="10" t="str">
        <f>IF(COUNTIFS( $B$2:$B$666, B290, $C$2:$C$666, C290, $D$2:$D$666, D290, $E$2:$E$666, E290) &gt; 1, "Duplicate", "Unique")</f>
        <v>Unique</v>
      </c>
    </row>
    <row r="291" spans="1:16" ht="26.5" thickBot="1" x14ac:dyDescent="0.4">
      <c r="A291" s="11">
        <v>46252.6875</v>
      </c>
      <c r="B291" s="8" t="s">
        <v>15</v>
      </c>
      <c r="C291" s="8" t="s">
        <v>7</v>
      </c>
      <c r="D291" s="8">
        <v>10</v>
      </c>
      <c r="E291" s="8">
        <v>2720</v>
      </c>
      <c r="F291" s="4">
        <v>30.305643379999999</v>
      </c>
      <c r="G291" s="2" t="s">
        <v>71</v>
      </c>
      <c r="H291" s="5">
        <v>2087.4</v>
      </c>
      <c r="I291" s="1" t="s">
        <v>8</v>
      </c>
      <c r="J291" s="32" t="s">
        <v>116</v>
      </c>
      <c r="N291" s="10" t="str">
        <f>IF(COUNTIFS( $B$2:$B$666, B291, $C$2:$C$666, C291, $D$2:$D$666, D291, $E$2:$E$666, E291) &gt; 1, "Duplicate", "Unique")</f>
        <v>Unique</v>
      </c>
    </row>
    <row r="292" spans="1:16" ht="26.5" thickBot="1" x14ac:dyDescent="0.4">
      <c r="A292" s="3">
        <v>46265.375694444447</v>
      </c>
      <c r="B292" s="1" t="s">
        <v>16</v>
      </c>
      <c r="C292" s="1" t="s">
        <v>7</v>
      </c>
      <c r="D292" s="4">
        <v>5</v>
      </c>
      <c r="E292" s="4">
        <v>961</v>
      </c>
      <c r="F292" s="4">
        <v>30.819493600000001</v>
      </c>
      <c r="G292" s="2" t="s">
        <v>60</v>
      </c>
      <c r="H292" s="5">
        <v>734.6</v>
      </c>
      <c r="I292" s="1" t="s">
        <v>8</v>
      </c>
      <c r="J292" s="17" t="s">
        <v>117</v>
      </c>
      <c r="K292" s="17" t="s">
        <v>199</v>
      </c>
      <c r="L292" s="17">
        <v>4530</v>
      </c>
      <c r="M292" s="17">
        <f>ABS((D292*E292)-L292)</f>
        <v>275</v>
      </c>
      <c r="N292" t="str">
        <f>IF(COUNTIFS( $B$2:$B$666, B292, $C$2:$C$666, C292, $D$2:$D$666, D292, $E$2:$E$666, E292) &gt; 1, "Duplicate", "Unique")</f>
        <v>Unique</v>
      </c>
    </row>
    <row r="293" spans="1:16" ht="26.5" thickBot="1" x14ac:dyDescent="0.4">
      <c r="A293" s="3">
        <v>46260.557638888888</v>
      </c>
      <c r="B293" s="1" t="s">
        <v>16</v>
      </c>
      <c r="C293" s="1" t="s">
        <v>7</v>
      </c>
      <c r="D293" s="4">
        <v>5</v>
      </c>
      <c r="E293" s="4">
        <v>971</v>
      </c>
      <c r="F293" s="4">
        <v>32.180778660000001</v>
      </c>
      <c r="G293" s="2" t="s">
        <v>60</v>
      </c>
      <c r="H293" s="5">
        <v>734.6</v>
      </c>
      <c r="I293" s="1" t="s">
        <v>8</v>
      </c>
      <c r="J293" s="17" t="s">
        <v>117</v>
      </c>
      <c r="K293" s="17" t="s">
        <v>162</v>
      </c>
      <c r="L293" s="17">
        <v>4605</v>
      </c>
      <c r="M293" s="17">
        <f>ABS((D293*E293)-L293)</f>
        <v>250</v>
      </c>
      <c r="N293" t="str">
        <f>IF(COUNTIFS( $B$2:$B$666, B293, $C$2:$C$666, C293, $D$2:$D$666, D293, $E$2:$E$666, E293) &gt; 1, "Duplicate", "Unique")</f>
        <v>Unique</v>
      </c>
      <c r="P293" s="27"/>
    </row>
    <row r="294" spans="1:16" ht="39" thickBot="1" x14ac:dyDescent="0.4">
      <c r="A294" s="3">
        <v>46259.532638888886</v>
      </c>
      <c r="B294" s="1" t="s">
        <v>95</v>
      </c>
      <c r="C294" s="1" t="s">
        <v>7</v>
      </c>
      <c r="D294" s="4">
        <v>5</v>
      </c>
      <c r="E294" s="4">
        <v>218</v>
      </c>
      <c r="F294" s="4">
        <v>33.040400339999998</v>
      </c>
      <c r="G294" s="2" t="s">
        <v>96</v>
      </c>
      <c r="H294" s="5">
        <v>163.86</v>
      </c>
      <c r="I294" s="1" t="s">
        <v>8</v>
      </c>
      <c r="J294" s="32" t="s">
        <v>117</v>
      </c>
      <c r="K294" s="17" t="s">
        <v>158</v>
      </c>
      <c r="L294" s="17">
        <v>840</v>
      </c>
      <c r="M294" s="17">
        <f>ABS((D294*E294)-L294)</f>
        <v>250</v>
      </c>
      <c r="N294" s="10" t="str">
        <f>IF(COUNTIFS( $B$2:$B$666, B294, $C$2:$C$666, C294, $D$2:$D$666, D294, $E$2:$E$666, E294) &gt; 1, "Duplicate", "Unique")</f>
        <v>Unique</v>
      </c>
    </row>
    <row r="295" spans="1:16" ht="39" thickBot="1" x14ac:dyDescent="0.4">
      <c r="A295" s="9" t="s">
        <v>61</v>
      </c>
      <c r="B295" s="9" t="s">
        <v>118</v>
      </c>
      <c r="C295" s="9" t="s">
        <v>7</v>
      </c>
      <c r="D295" s="9">
        <v>7</v>
      </c>
      <c r="E295" s="12">
        <v>1170</v>
      </c>
      <c r="F295" s="4">
        <v>35.111727010000003</v>
      </c>
      <c r="G295" s="2" t="s">
        <v>119</v>
      </c>
      <c r="H295" s="5">
        <v>865.95</v>
      </c>
      <c r="I295" s="1" t="s">
        <v>8</v>
      </c>
      <c r="J295" s="32"/>
      <c r="N295" s="10" t="str">
        <f>IF(COUNTIFS( $B$2:$B$666, B295, $C$2:$C$666, C295, $D$2:$D$666, D295, $E$2:$E$666, E295) &gt; 1, "Duplicate", "Unique")</f>
        <v>Unique</v>
      </c>
    </row>
    <row r="296" spans="1:16" ht="39" thickBot="1" x14ac:dyDescent="0.4">
      <c r="A296" s="8" t="s">
        <v>61</v>
      </c>
      <c r="B296" s="8" t="s">
        <v>125</v>
      </c>
      <c r="C296" s="8" t="s">
        <v>7</v>
      </c>
      <c r="D296" s="8">
        <v>5</v>
      </c>
      <c r="E296" s="8">
        <v>596</v>
      </c>
      <c r="F296" s="4">
        <v>35.224049909999998</v>
      </c>
      <c r="G296" s="2" t="s">
        <v>126</v>
      </c>
      <c r="H296" s="5">
        <v>440.75</v>
      </c>
      <c r="I296" s="1" t="s">
        <v>8</v>
      </c>
      <c r="J296" s="32"/>
      <c r="N296" s="10" t="str">
        <f>IF(COUNTIFS( $B$2:$B$666, B296, $C$2:$C$666, C296, $D$2:$D$666, D296, $E$2:$E$666, E296) &gt; 1, "Duplicate", "Unique")</f>
        <v>Unique</v>
      </c>
    </row>
    <row r="297" spans="1:16" ht="26.5" thickBot="1" x14ac:dyDescent="0.4">
      <c r="A297" s="11">
        <v>46252.635416666664</v>
      </c>
      <c r="B297" s="8" t="s">
        <v>86</v>
      </c>
      <c r="C297" s="8" t="s">
        <v>7</v>
      </c>
      <c r="D297" s="8">
        <v>10</v>
      </c>
      <c r="E297" s="8">
        <v>1479</v>
      </c>
      <c r="F297" s="4">
        <v>35.81267218</v>
      </c>
      <c r="G297" s="2" t="s">
        <v>87</v>
      </c>
      <c r="H297" s="5">
        <v>1089</v>
      </c>
      <c r="I297" s="1" t="s">
        <v>8</v>
      </c>
      <c r="J297" s="32" t="s">
        <v>54</v>
      </c>
      <c r="N297" s="10" t="str">
        <f>IF(COUNTIFS( $B$2:$B$666, B297, $C$2:$C$666, C297, $D$2:$D$666, D297, $E$2:$E$666, E297) &gt; 1, "Duplicate", "Unique")</f>
        <v>Unique</v>
      </c>
    </row>
    <row r="298" spans="1:16" ht="39" thickBot="1" x14ac:dyDescent="0.4">
      <c r="A298" s="3">
        <v>46260.550694444442</v>
      </c>
      <c r="B298" s="1" t="s">
        <v>102</v>
      </c>
      <c r="C298" s="1" t="s">
        <v>7</v>
      </c>
      <c r="D298" s="4">
        <v>2</v>
      </c>
      <c r="E298" s="4">
        <v>2787.9</v>
      </c>
      <c r="F298" s="4">
        <v>37.538233839999997</v>
      </c>
      <c r="G298" s="2" t="s">
        <v>103</v>
      </c>
      <c r="H298" s="5">
        <v>2027</v>
      </c>
      <c r="I298" s="1" t="s">
        <v>8</v>
      </c>
      <c r="J298" s="17" t="s">
        <v>117</v>
      </c>
      <c r="K298" s="17" t="s">
        <v>165</v>
      </c>
      <c r="L298" s="17">
        <v>5275.8</v>
      </c>
      <c r="M298" s="17">
        <f>ABS((D298*E298)-L298)</f>
        <v>300</v>
      </c>
      <c r="N298" t="str">
        <f>IF(COUNTIFS( $B$2:$B$666, B298, $C$2:$C$666, C298, $D$2:$D$666, D298, $E$2:$E$666, E298) &gt; 1, "Duplicate", "Unique")</f>
        <v>Unique</v>
      </c>
    </row>
    <row r="299" spans="1:16" ht="26.5" thickBot="1" x14ac:dyDescent="0.4">
      <c r="A299" s="11">
        <v>46252.6875</v>
      </c>
      <c r="B299" s="8" t="s">
        <v>15</v>
      </c>
      <c r="C299" s="8" t="s">
        <v>7</v>
      </c>
      <c r="D299" s="8">
        <v>10</v>
      </c>
      <c r="E299" s="8">
        <v>2896</v>
      </c>
      <c r="F299" s="4">
        <v>38.737185009999997</v>
      </c>
      <c r="G299" s="2" t="s">
        <v>71</v>
      </c>
      <c r="H299" s="5">
        <v>2087.4</v>
      </c>
      <c r="I299" s="1" t="s">
        <v>8</v>
      </c>
      <c r="J299" s="32" t="s">
        <v>117</v>
      </c>
      <c r="N299" s="10" t="str">
        <f>IF(COUNTIFS( $B$2:$B$666, B299, $C$2:$C$666, C299, $D$2:$D$666, D299, $E$2:$E$666, E299) &gt; 1, "Duplicate", "Unique")</f>
        <v>Unique</v>
      </c>
    </row>
    <row r="300" spans="1:16" ht="26.5" thickBot="1" x14ac:dyDescent="0.4">
      <c r="A300" s="11">
        <v>46252.6875</v>
      </c>
      <c r="B300" s="8" t="s">
        <v>15</v>
      </c>
      <c r="C300" s="8" t="s">
        <v>7</v>
      </c>
      <c r="D300" s="8">
        <v>10</v>
      </c>
      <c r="E300" s="8">
        <v>2908</v>
      </c>
      <c r="F300" s="4">
        <v>39.312062849999997</v>
      </c>
      <c r="G300" s="2" t="s">
        <v>71</v>
      </c>
      <c r="H300" s="5">
        <v>2087.4</v>
      </c>
      <c r="I300" s="1" t="s">
        <v>8</v>
      </c>
      <c r="J300" s="32" t="s">
        <v>117</v>
      </c>
      <c r="N300" s="10" t="str">
        <f>IF(COUNTIFS( $B$2:$B$666, B300, $C$2:$C$666, C300, $D$2:$D$666, D300, $E$2:$E$666, E300) &gt; 1, "Duplicate", "Unique")</f>
        <v>Unique</v>
      </c>
    </row>
    <row r="301" spans="1:16" ht="26.5" thickBot="1" x14ac:dyDescent="0.4">
      <c r="A301" s="39" t="s">
        <v>61</v>
      </c>
      <c r="B301" s="39" t="s">
        <v>13</v>
      </c>
      <c r="C301" s="39" t="s">
        <v>7</v>
      </c>
      <c r="D301" s="39">
        <v>1</v>
      </c>
      <c r="E301" s="39">
        <v>2494</v>
      </c>
      <c r="F301" s="4">
        <v>40.191118609999997</v>
      </c>
      <c r="G301" s="2" t="s">
        <v>90</v>
      </c>
      <c r="H301" s="5">
        <v>1779</v>
      </c>
      <c r="I301" s="1" t="s">
        <v>8</v>
      </c>
      <c r="J301" s="45" t="s">
        <v>117</v>
      </c>
      <c r="K301" s="25"/>
      <c r="L301" s="25"/>
      <c r="M301" s="25"/>
      <c r="N301" s="27" t="str">
        <f>IF(COUNTIFS( $B$2:$B$666, B301, $C$2:$C$666, C301, $D$2:$D$666, D301, $E$2:$E$666, E301) &gt; 1, "Duplicate", "Unique")</f>
        <v>Unique</v>
      </c>
      <c r="O301" s="27"/>
      <c r="P301" s="27"/>
    </row>
    <row r="302" spans="1:16" ht="26.5" thickBot="1" x14ac:dyDescent="0.4">
      <c r="A302" s="38">
        <v>46251.506249999999</v>
      </c>
      <c r="B302" s="39" t="s">
        <v>13</v>
      </c>
      <c r="C302" s="39" t="s">
        <v>7</v>
      </c>
      <c r="D302" s="39">
        <v>3</v>
      </c>
      <c r="E302" s="39">
        <v>2494</v>
      </c>
      <c r="F302" s="4">
        <v>40.191118609999997</v>
      </c>
      <c r="G302" s="2" t="s">
        <v>90</v>
      </c>
      <c r="H302" s="5">
        <v>1779</v>
      </c>
      <c r="I302" s="1" t="s">
        <v>8</v>
      </c>
      <c r="J302" s="45" t="s">
        <v>117</v>
      </c>
      <c r="K302" s="25"/>
      <c r="L302" s="25"/>
      <c r="M302" s="25"/>
      <c r="N302" s="27" t="str">
        <f>IF(COUNTIFS( $B$2:$B$666, B302, $C$2:$C$666, C302, $D$2:$D$666, D302, $E$2:$E$666, E302) &gt; 1, "Duplicate", "Unique")</f>
        <v>Unique</v>
      </c>
      <c r="O302" s="27"/>
      <c r="P302" s="27"/>
    </row>
    <row r="303" spans="1:16" ht="26.5" thickBot="1" x14ac:dyDescent="0.4">
      <c r="A303" s="8" t="s">
        <v>61</v>
      </c>
      <c r="B303" s="8" t="s">
        <v>140</v>
      </c>
      <c r="C303" s="8" t="s">
        <v>7</v>
      </c>
      <c r="D303" s="8">
        <v>23</v>
      </c>
      <c r="E303" s="12">
        <v>890</v>
      </c>
      <c r="F303" s="6" t="e">
        <v>#N/A</v>
      </c>
      <c r="G303" s="2" t="s">
        <v>141</v>
      </c>
      <c r="H303" s="7" t="e">
        <v>#N/A</v>
      </c>
      <c r="I303" s="1" t="s">
        <v>8</v>
      </c>
      <c r="J303" s="32" t="s">
        <v>116</v>
      </c>
      <c r="N303" s="10" t="str">
        <f>IF(COUNTIFS( $B$2:$B$666, B303, $C$2:$C$666, C303, $D$2:$D$666, D303, $E$2:$E$666, E303) &gt; 1, "Duplicate", "Unique")</f>
        <v>Unique</v>
      </c>
    </row>
    <row r="304" spans="1:16" ht="26.5" thickBot="1" x14ac:dyDescent="0.4">
      <c r="A304" s="2" t="s">
        <v>328</v>
      </c>
      <c r="B304" s="2" t="s">
        <v>73</v>
      </c>
      <c r="C304" s="2" t="s">
        <v>10</v>
      </c>
      <c r="D304" s="2">
        <v>10</v>
      </c>
      <c r="E304" s="2">
        <v>3310</v>
      </c>
      <c r="F304" s="2"/>
      <c r="G304" s="2"/>
      <c r="H304" s="2"/>
      <c r="I304" s="2"/>
      <c r="J304" s="17" t="s">
        <v>54</v>
      </c>
      <c r="K304" s="17" t="s">
        <v>337</v>
      </c>
      <c r="L304" s="17">
        <v>33800</v>
      </c>
      <c r="M304" s="17">
        <f>ABS((D304*E304)-L304)</f>
        <v>700</v>
      </c>
      <c r="N304" t="str">
        <f>IF(COUNTIFS( $B$2:$B$666, B304, $C$2:$C$666, C304, $D$2:$D$666, D304, $E$2:$E$666, E304) &gt; 1, "Duplicate", "Unique")</f>
        <v>Unique</v>
      </c>
    </row>
    <row r="305" spans="1:14" ht="26.5" thickBot="1" x14ac:dyDescent="0.4">
      <c r="A305" s="2" t="s">
        <v>329</v>
      </c>
      <c r="B305" s="2" t="s">
        <v>102</v>
      </c>
      <c r="C305" s="2" t="s">
        <v>10</v>
      </c>
      <c r="D305" s="2">
        <v>9</v>
      </c>
      <c r="E305" s="2">
        <v>2055</v>
      </c>
      <c r="F305" s="2"/>
      <c r="G305" s="2"/>
      <c r="H305" s="2"/>
      <c r="I305" s="2"/>
      <c r="J305" s="17" t="s">
        <v>54</v>
      </c>
      <c r="K305" s="17" t="s">
        <v>338</v>
      </c>
      <c r="L305" s="17">
        <v>18855</v>
      </c>
      <c r="M305" s="17">
        <f t="shared" ref="M305:M313" si="7">ABS((D305*E305)-L305)</f>
        <v>360</v>
      </c>
      <c r="N305" t="str">
        <f>IF(COUNTIFS( $B$2:$B$666, B305, $C$2:$C$666, C305, $D$2:$D$666, D305, $E$2:$E$666, E305) &gt; 1, "Duplicate", "Unique")</f>
        <v>Unique</v>
      </c>
    </row>
    <row r="306" spans="1:14" ht="26.5" thickBot="1" x14ac:dyDescent="0.4">
      <c r="A306" s="2" t="s">
        <v>330</v>
      </c>
      <c r="B306" s="2" t="s">
        <v>331</v>
      </c>
      <c r="C306" s="2" t="s">
        <v>10</v>
      </c>
      <c r="D306" s="2">
        <v>13</v>
      </c>
      <c r="E306" s="2">
        <v>1209</v>
      </c>
      <c r="F306" s="2"/>
      <c r="G306" s="2"/>
      <c r="H306" s="2"/>
      <c r="I306" s="2"/>
      <c r="J306" s="17" t="s">
        <v>54</v>
      </c>
      <c r="K306" s="17" t="s">
        <v>339</v>
      </c>
      <c r="L306" s="17">
        <v>17017</v>
      </c>
      <c r="M306" s="17">
        <f t="shared" si="7"/>
        <v>1300</v>
      </c>
      <c r="N306" t="str">
        <f>IF(COUNTIFS( $B$2:$B$666, B306, $C$2:$C$666, C306, $D$2:$D$666, D306, $E$2:$E$666, E306) &gt; 1, "Duplicate", "Unique")</f>
        <v>Unique</v>
      </c>
    </row>
    <row r="307" spans="1:14" ht="26.5" thickBot="1" x14ac:dyDescent="0.4">
      <c r="A307" s="2" t="s">
        <v>332</v>
      </c>
      <c r="B307" s="2" t="s">
        <v>46</v>
      </c>
      <c r="C307" s="2" t="s">
        <v>10</v>
      </c>
      <c r="D307" s="2">
        <v>8</v>
      </c>
      <c r="E307" s="2">
        <v>2155</v>
      </c>
      <c r="F307" s="2"/>
      <c r="G307" s="2"/>
      <c r="H307" s="2"/>
      <c r="I307" s="2"/>
      <c r="J307" s="17" t="s">
        <v>54</v>
      </c>
      <c r="K307" s="17" t="s">
        <v>340</v>
      </c>
      <c r="L307" s="17">
        <v>18040</v>
      </c>
      <c r="M307" s="17">
        <f t="shared" si="7"/>
        <v>800</v>
      </c>
      <c r="N307" t="str">
        <f>IF(COUNTIFS( $B$2:$B$666, B307, $C$2:$C$666, C307, $D$2:$D$666, D307, $E$2:$E$666, E307) &gt; 1, "Duplicate", "Unique")</f>
        <v>Unique</v>
      </c>
    </row>
    <row r="308" spans="1:14" ht="26.5" thickBot="1" x14ac:dyDescent="0.4">
      <c r="A308" s="2" t="s">
        <v>333</v>
      </c>
      <c r="B308" s="2" t="s">
        <v>25</v>
      </c>
      <c r="C308" s="2" t="s">
        <v>10</v>
      </c>
      <c r="D308" s="2">
        <v>200</v>
      </c>
      <c r="E308" s="2">
        <v>31.1</v>
      </c>
      <c r="F308" s="2"/>
      <c r="G308" s="2"/>
      <c r="H308" s="2"/>
      <c r="I308" s="2"/>
      <c r="J308" s="17" t="s">
        <v>54</v>
      </c>
      <c r="K308" s="17" t="s">
        <v>341</v>
      </c>
      <c r="L308" s="17">
        <v>6580</v>
      </c>
      <c r="M308" s="17">
        <f t="shared" si="7"/>
        <v>360</v>
      </c>
      <c r="N308" t="str">
        <f>IF(COUNTIFS( $B$2:$B$666, B308, $C$2:$C$666, C308, $D$2:$D$666, D308, $E$2:$E$666, E308) &gt; 1, "Duplicate", "Unique")</f>
        <v>Unique</v>
      </c>
    </row>
    <row r="309" spans="1:14" ht="26.5" thickBot="1" x14ac:dyDescent="0.4">
      <c r="A309" s="2" t="s">
        <v>334</v>
      </c>
      <c r="B309" s="2" t="s">
        <v>13</v>
      </c>
      <c r="C309" s="2" t="s">
        <v>7</v>
      </c>
      <c r="D309" s="2">
        <v>10</v>
      </c>
      <c r="E309" s="2">
        <v>1796</v>
      </c>
      <c r="F309" s="2"/>
      <c r="G309" s="2"/>
      <c r="H309" s="2"/>
      <c r="I309" s="2"/>
      <c r="J309" s="17" t="s">
        <v>116</v>
      </c>
      <c r="K309" s="17" t="s">
        <v>342</v>
      </c>
      <c r="L309" s="17">
        <v>17310</v>
      </c>
      <c r="M309" s="17">
        <f t="shared" si="7"/>
        <v>650</v>
      </c>
      <c r="N309" t="str">
        <f>IF(COUNTIFS( $B$2:$B$666, B309, $C$2:$C$666, C309, $D$2:$D$666, D309, $E$2:$E$666, E309) &gt; 1, "Duplicate", "Unique")</f>
        <v>Unique</v>
      </c>
    </row>
    <row r="310" spans="1:14" ht="26.5" thickBot="1" x14ac:dyDescent="0.4">
      <c r="A310" s="2" t="s">
        <v>336</v>
      </c>
      <c r="B310" s="2" t="s">
        <v>50</v>
      </c>
      <c r="C310" s="2" t="s">
        <v>10</v>
      </c>
      <c r="D310" s="2">
        <v>40</v>
      </c>
      <c r="E310" s="2">
        <v>871</v>
      </c>
      <c r="F310" s="2"/>
      <c r="G310" s="2"/>
      <c r="H310" s="2"/>
      <c r="I310" s="2"/>
      <c r="J310" s="17" t="s">
        <v>54</v>
      </c>
      <c r="K310" s="17" t="s">
        <v>343</v>
      </c>
      <c r="L310" s="17">
        <v>35560</v>
      </c>
      <c r="M310" s="17">
        <f t="shared" si="7"/>
        <v>720</v>
      </c>
      <c r="N310" t="str">
        <f>IF(COUNTIFS( $B$2:$B$666, B310, $C$2:$C$666, C310, $D$2:$D$666, D310, $E$2:$E$666, E310) &gt; 1, "Duplicate", "Unique")</f>
        <v>Unique</v>
      </c>
    </row>
    <row r="311" spans="1:14" ht="26.5" thickBot="1" x14ac:dyDescent="0.4">
      <c r="A311" s="2" t="s">
        <v>335</v>
      </c>
      <c r="B311" s="2" t="s">
        <v>50</v>
      </c>
      <c r="C311" s="2" t="s">
        <v>10</v>
      </c>
      <c r="D311" s="2">
        <v>10</v>
      </c>
      <c r="E311" s="2">
        <v>852</v>
      </c>
      <c r="F311" s="2"/>
      <c r="G311" s="2"/>
      <c r="H311" s="2"/>
      <c r="I311" s="2"/>
      <c r="J311" s="17" t="s">
        <v>54</v>
      </c>
      <c r="K311" s="17" t="s">
        <v>344</v>
      </c>
      <c r="L311" s="17">
        <v>8870</v>
      </c>
      <c r="M311" s="17">
        <f t="shared" si="7"/>
        <v>350</v>
      </c>
      <c r="N311" t="str">
        <f>IF(COUNTIFS( $B$2:$B$666, B311, $C$2:$C$666, C311, $D$2:$D$666, D311, $E$2:$E$666, E311) &gt; 1, "Duplicate", "Unique")</f>
        <v>Duplicate</v>
      </c>
    </row>
    <row r="312" spans="1:14" ht="26.5" thickBot="1" x14ac:dyDescent="0.4">
      <c r="A312" s="2" t="s">
        <v>335</v>
      </c>
      <c r="B312" s="2" t="s">
        <v>50</v>
      </c>
      <c r="C312" s="2" t="s">
        <v>10</v>
      </c>
      <c r="D312" s="2">
        <v>10</v>
      </c>
      <c r="E312" s="2">
        <v>852</v>
      </c>
      <c r="F312" s="2"/>
      <c r="G312" s="2"/>
      <c r="H312" s="2"/>
      <c r="I312" s="2"/>
      <c r="J312" s="17" t="s">
        <v>54</v>
      </c>
      <c r="K312" s="17" t="s">
        <v>345</v>
      </c>
      <c r="L312" s="17">
        <v>8770</v>
      </c>
      <c r="M312" s="17">
        <f t="shared" si="7"/>
        <v>250</v>
      </c>
      <c r="N312" t="str">
        <f>IF(COUNTIFS( $B$2:$B$666, B312, $C$2:$C$666, C312, $D$2:$D$666, D312, $E$2:$E$666, E312) &gt; 1, "Duplicate", "Unique")</f>
        <v>Duplicate</v>
      </c>
    </row>
    <row r="313" spans="1:14" ht="26.5" thickBot="1" x14ac:dyDescent="0.4">
      <c r="A313" s="2" t="s">
        <v>335</v>
      </c>
      <c r="B313" s="2" t="s">
        <v>56</v>
      </c>
      <c r="C313" s="2" t="s">
        <v>10</v>
      </c>
      <c r="D313" s="2">
        <v>5</v>
      </c>
      <c r="E313" s="2">
        <v>2912</v>
      </c>
      <c r="F313" s="2"/>
      <c r="G313" s="2"/>
      <c r="H313" s="2"/>
      <c r="I313" s="2"/>
      <c r="J313" s="17" t="s">
        <v>54</v>
      </c>
      <c r="K313" s="17" t="s">
        <v>346</v>
      </c>
      <c r="L313" s="17">
        <v>14860</v>
      </c>
      <c r="M313" s="17">
        <f t="shared" si="7"/>
        <v>300</v>
      </c>
      <c r="N313" t="str">
        <f>IF(COUNTIFS( $B$2:$B$666, B313, $C$2:$C$666, C313, $D$2:$D$666, D313, $E$2:$E$666, E313) &gt; 1, "Duplicate", "Unique")</f>
        <v>Unique</v>
      </c>
    </row>
    <row r="314" spans="1:14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14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14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14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14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14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14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2026-10-13T15:38:27Z</dcterms:modified>
</cp:coreProperties>
</file>