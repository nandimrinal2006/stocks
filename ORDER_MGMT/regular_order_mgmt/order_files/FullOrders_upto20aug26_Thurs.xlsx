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ITA\Downloads\"/>
    </mc:Choice>
  </mc:AlternateContent>
  <bookViews>
    <workbookView xWindow="0" yWindow="0" windowWidth="23040" windowHeight="9264"/>
  </bookViews>
  <sheets>
    <sheet name="Sheet1" sheetId="1" r:id="rId1"/>
    <sheet name="Sheet3" sheetId="3" r:id="rId2"/>
    <sheet name="Sheet1 (2)" sheetId="4" r:id="rId3"/>
  </sheets>
  <definedNames>
    <definedName name="_xlnm._FilterDatabase" localSheetId="0" hidden="1">Sheet1!$A$1:$N$245</definedName>
    <definedName name="_xlnm._FilterDatabase" localSheetId="2" hidden="1">'Sheet1 (2)'!$N$1:$N$248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48" i="4" l="1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N55" i="1"/>
  <c r="N9" i="1"/>
  <c r="N43" i="1"/>
  <c r="N143" i="1"/>
  <c r="N155" i="1"/>
  <c r="N179" i="1"/>
  <c r="N142" i="1"/>
  <c r="N60" i="1"/>
  <c r="N25" i="1"/>
  <c r="K3" i="3"/>
  <c r="K4" i="3"/>
  <c r="K5" i="3"/>
  <c r="K6" i="3"/>
  <c r="K7" i="3"/>
  <c r="K8" i="3"/>
  <c r="K2" i="3"/>
  <c r="N26" i="1"/>
  <c r="N29" i="1"/>
  <c r="N14" i="1"/>
  <c r="N13" i="1"/>
  <c r="N68" i="1"/>
  <c r="N4" i="1"/>
  <c r="N24" i="1"/>
  <c r="N28" i="1"/>
  <c r="N17" i="1"/>
  <c r="N40" i="1"/>
  <c r="N12" i="1"/>
  <c r="N88" i="1"/>
  <c r="N50" i="1"/>
  <c r="N51" i="1"/>
  <c r="N11" i="1"/>
  <c r="N7" i="1"/>
  <c r="N30" i="1"/>
  <c r="N18" i="1"/>
  <c r="N16" i="1"/>
  <c r="N3" i="1"/>
  <c r="N20" i="1"/>
  <c r="N39" i="1"/>
  <c r="N82" i="1"/>
  <c r="N35" i="1"/>
  <c r="N37" i="1"/>
  <c r="N36" i="1"/>
  <c r="N95" i="1"/>
  <c r="N34" i="1"/>
  <c r="N45" i="1"/>
  <c r="N66" i="1"/>
  <c r="N71" i="1"/>
  <c r="N8" i="1"/>
  <c r="N21" i="1"/>
  <c r="N58" i="1"/>
  <c r="N101" i="1"/>
  <c r="N79" i="1"/>
  <c r="N56" i="1"/>
  <c r="N77" i="1"/>
  <c r="N108" i="1"/>
  <c r="N23" i="1"/>
  <c r="N59" i="1"/>
  <c r="N47" i="1"/>
  <c r="N19" i="1"/>
  <c r="N6" i="1"/>
  <c r="N93" i="1"/>
  <c r="N10" i="1"/>
  <c r="N67" i="1"/>
  <c r="N2" i="1"/>
  <c r="N73" i="1"/>
  <c r="N70" i="1"/>
  <c r="N32" i="1"/>
  <c r="N31" i="1"/>
  <c r="N41" i="1"/>
  <c r="N54" i="1"/>
  <c r="N69" i="1"/>
  <c r="N81" i="1"/>
  <c r="N76" i="1"/>
  <c r="N83" i="1"/>
  <c r="N98" i="1"/>
  <c r="N94" i="1"/>
  <c r="N61" i="1"/>
  <c r="N75" i="1"/>
  <c r="N46" i="1"/>
  <c r="N110" i="1"/>
  <c r="N27" i="1"/>
  <c r="N87" i="1"/>
  <c r="N52" i="1"/>
  <c r="N84" i="1"/>
  <c r="N65" i="1"/>
  <c r="N48" i="1"/>
  <c r="N57" i="1"/>
  <c r="N5" i="1"/>
  <c r="N64" i="1"/>
  <c r="N104" i="1"/>
  <c r="N106" i="1"/>
  <c r="N63" i="1"/>
  <c r="N42" i="1"/>
  <c r="N85" i="1"/>
  <c r="N44" i="1"/>
  <c r="N97" i="1"/>
  <c r="N92" i="1"/>
  <c r="N53" i="1"/>
  <c r="N74" i="1"/>
  <c r="N109" i="1"/>
  <c r="N72" i="1"/>
  <c r="N103" i="1"/>
  <c r="N120" i="1"/>
  <c r="N22" i="1"/>
  <c r="N105" i="1"/>
  <c r="N80" i="1"/>
  <c r="N113" i="1"/>
  <c r="N99" i="1"/>
  <c r="N91" i="1"/>
  <c r="N96" i="1"/>
  <c r="N89" i="1"/>
  <c r="N116" i="1"/>
  <c r="N107" i="1"/>
  <c r="N90" i="1"/>
  <c r="N119" i="1"/>
  <c r="N49" i="1"/>
  <c r="N38" i="1"/>
  <c r="N114" i="1"/>
  <c r="N111" i="1"/>
  <c r="N86" i="1"/>
  <c r="N100" i="1"/>
  <c r="N62" i="1"/>
  <c r="N102" i="1"/>
  <c r="N122" i="1"/>
  <c r="N124" i="1"/>
  <c r="N125" i="1"/>
  <c r="N115" i="1"/>
  <c r="N127" i="1"/>
  <c r="N112" i="1"/>
  <c r="N118" i="1"/>
  <c r="N117" i="1"/>
  <c r="N123" i="1"/>
  <c r="N126" i="1"/>
  <c r="N129" i="1"/>
  <c r="N121" i="1"/>
  <c r="N130" i="1"/>
  <c r="N131" i="1"/>
  <c r="N128" i="1"/>
  <c r="N133" i="1"/>
  <c r="N132" i="1"/>
  <c r="N134" i="1"/>
  <c r="N137" i="1"/>
  <c r="N149" i="1"/>
  <c r="N139" i="1"/>
  <c r="N159" i="1"/>
  <c r="N135" i="1"/>
  <c r="N138" i="1"/>
  <c r="N156" i="1"/>
  <c r="N160" i="1"/>
  <c r="N182" i="1"/>
  <c r="N166" i="1"/>
  <c r="N146" i="1"/>
  <c r="N171" i="1"/>
  <c r="N136" i="1"/>
  <c r="N162" i="1"/>
  <c r="N141" i="1"/>
  <c r="N150" i="1"/>
  <c r="N170" i="1"/>
  <c r="N194" i="1"/>
  <c r="N151" i="1"/>
  <c r="N164" i="1"/>
  <c r="N148" i="1"/>
  <c r="N157" i="1"/>
  <c r="N178" i="1"/>
  <c r="N163" i="1"/>
  <c r="N183" i="1"/>
  <c r="N202" i="1"/>
  <c r="N153" i="1"/>
  <c r="N177" i="1"/>
  <c r="N184" i="1"/>
  <c r="N147" i="1"/>
  <c r="N181" i="1"/>
  <c r="N174" i="1"/>
  <c r="N187" i="1"/>
  <c r="N211" i="1"/>
  <c r="N167" i="1"/>
  <c r="N165" i="1"/>
  <c r="N180" i="1"/>
  <c r="N172" i="1"/>
  <c r="N224" i="1"/>
  <c r="N193" i="1"/>
  <c r="N185" i="1"/>
  <c r="N201" i="1"/>
  <c r="N196" i="1"/>
  <c r="N200" i="1"/>
  <c r="N204" i="1"/>
  <c r="N188" i="1"/>
  <c r="N217" i="1"/>
  <c r="N218" i="1"/>
  <c r="N154" i="1"/>
  <c r="N186" i="1"/>
  <c r="N190" i="1"/>
  <c r="N205" i="1"/>
  <c r="N176" i="1"/>
  <c r="N208" i="1"/>
  <c r="N161" i="1"/>
  <c r="N195" i="1"/>
  <c r="N168" i="1"/>
  <c r="N213" i="1"/>
  <c r="N203" i="1"/>
  <c r="N192" i="1"/>
  <c r="N189" i="1"/>
  <c r="N209" i="1"/>
  <c r="N216" i="1"/>
  <c r="N219" i="1"/>
  <c r="N212" i="1"/>
  <c r="N199" i="1"/>
  <c r="N214" i="1"/>
  <c r="N233" i="1"/>
  <c r="N231" i="1"/>
  <c r="N198" i="1"/>
  <c r="N206" i="1"/>
  <c r="N191" i="1"/>
  <c r="N222" i="1"/>
  <c r="N221" i="1"/>
  <c r="N236" i="1"/>
  <c r="N228" i="1"/>
  <c r="N215" i="1"/>
  <c r="N230" i="1"/>
  <c r="N225" i="1"/>
  <c r="N232" i="1"/>
  <c r="N227" i="1"/>
  <c r="N223" i="1"/>
  <c r="N220" i="1"/>
  <c r="N210" i="1"/>
  <c r="N234" i="1"/>
  <c r="N226" i="1"/>
  <c r="N239" i="1"/>
  <c r="N229" i="1"/>
  <c r="N237" i="1"/>
  <c r="N238" i="1"/>
  <c r="N235" i="1"/>
  <c r="N241" i="1"/>
  <c r="N240" i="1"/>
  <c r="N242" i="1"/>
  <c r="N243" i="1"/>
  <c r="N244" i="1"/>
  <c r="N245" i="1"/>
  <c r="N158" i="1"/>
  <c r="N197" i="1"/>
  <c r="N33" i="1"/>
  <c r="N169" i="1"/>
  <c r="N175" i="1"/>
  <c r="N207" i="1"/>
  <c r="N145" i="1"/>
  <c r="N144" i="1"/>
  <c r="N140" i="1"/>
  <c r="N152" i="1"/>
  <c r="N173" i="1"/>
  <c r="N15" i="1"/>
  <c r="N78" i="1"/>
</calcChain>
</file>

<file path=xl/sharedStrings.xml><?xml version="1.0" encoding="utf-8"?>
<sst xmlns="http://schemas.openxmlformats.org/spreadsheetml/2006/main" count="2495" uniqueCount="173">
  <si>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</si>
  <si>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</si>
  <si>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</si>
  <si>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</si>
  <si>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</si>
  <si>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</si>
  <si>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</si>
  <si>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</si>
  <si>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</si>
  <si>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</si>
  <si>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</si>
  <si>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</si>
  <si>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</si>
  <si>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</si>
  <si>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</si>
  <si>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</si>
  <si>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</si>
  <si>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</si>
  <si>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</si>
  <si>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</si>
  <si>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</si>
  <si>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</si>
  <si>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</si>
  <si>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</si>
  <si>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</si>
  <si>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</si>
  <si>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</si>
  <si>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</si>
  <si>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</si>
  <si>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</si>
  <si>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</si>
  <si>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</si>
  <si>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</si>
  <si>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</si>
  <si>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</si>
  <si>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</si>
  <si>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</si>
  <si>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</si>
  <si>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</si>
  <si>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</si>
  <si>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</si>
  <si>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</si>
  <si>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</si>
  <si>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</si>
  <si>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</si>
  <si>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</si>
  <si>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</si>
  <si>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</si>
  <si>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</si>
  <si>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</si>
  <si>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</si>
  <si>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</si>
  <si>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</si>
  <si>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</si>
  <si>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</si>
  <si>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</si>
  <si>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</si>
  <si>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</si>
  <si>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</si>
  <si>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</si>
  <si>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</si>
  <si>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</si>
  <si>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</si>
  <si>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</si>
  <si>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</si>
  <si>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</si>
  <si>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</si>
  <si>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</si>
  <si>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</si>
  <si>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</si>
  <si>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</si>
  <si>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</si>
  <si>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</si>
  <si>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</si>
  <si>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</si>
  <si>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</si>
  <si>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</si>
  <si>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</si>
  <si>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</si>
  <si>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</si>
  <si>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</si>
  <si>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</si>
  <si>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</si>
  <si>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</si>
  <si>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</si>
  <si>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</si>
  <si>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</si>
  <si>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</si>
  <si>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</si>
  <si>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</si>
  <si>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</si>
  <si>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</si>
  <si>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</si>
  <si>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</si>
  <si>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</si>
  <si>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</si>
  <si>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</si>
  <si>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</si>
  <si>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</si>
  <si>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</si>
  <si>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</si>
  <si>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</si>
  <si>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</si>
  <si>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</si>
  <si>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</si>
  <si>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</si>
  <si>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</si>
  <si>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</si>
  <si>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</si>
  <si>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</si>
  <si>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</si>
  <si>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</si>
  <si>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</si>
  <si>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</si>
  <si>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</si>
  <si>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</si>
  <si>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</si>
  <si>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</si>
  <si>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</si>
  <si>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</si>
  <si>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</si>
  <si>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</si>
  <si>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</si>
  <si>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</si>
  <si>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</si>
  <si>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</si>
  <si>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</si>
  <si>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</si>
  <si>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</si>
  <si>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</si>
  <si>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</si>
  <si>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</si>
  <si>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</si>
  <si>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</si>
  <si>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</si>
  <si>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</si>
  <si>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</si>
  <si>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</si>
  <si>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</si>
  <si>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</si>
  <si>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17/8/2026 12:09</t>
  </si>
  <si>
    <t>MrOrdType</t>
  </si>
  <si>
    <t>NSDLEQ</t>
  </si>
  <si>
    <t>NSE:NSDL</t>
  </si>
  <si>
    <t>B 5*3822.9 :19 AUG 2026 03:07:21 PM</t>
  </si>
  <si>
    <t>B 10*1872 :19 AUG 2026 02:32:51 PM</t>
  </si>
  <si>
    <t>S 5*3766 :19 AUG 2026 10:00:52 AM</t>
  </si>
  <si>
    <t>B 30*284 :19 AUG 2026 09:36:11 AM</t>
  </si>
  <si>
    <t>B 3*1835 :19 AUG 2026 09:29:15 AM</t>
  </si>
  <si>
    <t>B 5*632 :19 AUG 2026 09:00:50 AM</t>
  </si>
  <si>
    <t>B 20*861 :19 AUG 2026 09:00:50 AM</t>
  </si>
  <si>
    <t>B 100*337.5 :19 AUG 2026 02:30:51 PM</t>
  </si>
  <si>
    <t>B 1*19552 :19 AUG 2026 09:00:48 AM</t>
  </si>
  <si>
    <t>B 100*341 :19 AUG 2026 12:33:52 PM</t>
  </si>
  <si>
    <t>B 50*344 :19 AUG 2026 09:00:50 AM</t>
  </si>
  <si>
    <t>B 10*223 :19 AUG 2026 09:00:48 AM</t>
  </si>
  <si>
    <t>S 5*1212 :19 AUG 2026 09:00:43 AM</t>
  </si>
  <si>
    <t>Comment</t>
  </si>
  <si>
    <t>S 20*294 :19 AUG 2026 09:00:44 AM</t>
  </si>
  <si>
    <t>19/8/2026 09:00</t>
  </si>
  <si>
    <t>20 AUG 2026 03:25:59 PM</t>
  </si>
  <si>
    <t>20 AUG 2026 03:01:21 PM</t>
  </si>
  <si>
    <t>20 AUG 2026 09:00:50 AM</t>
  </si>
  <si>
    <t>20 AUG 2026 09:00:51 AM</t>
  </si>
  <si>
    <t>20 AUG 2026 09:15:06 AM</t>
  </si>
  <si>
    <t>B 10*2620 :20 AUG 2026 03:25:59 PM</t>
  </si>
  <si>
    <t>B 100*336 :20 AUG 2026 03:01:21 PM</t>
  </si>
  <si>
    <t>B 10*1340 :20 AUG 2026 09:00:50 AM</t>
  </si>
  <si>
    <t>B 10*937 :20 AUG 2026 09:00:51 AM</t>
  </si>
  <si>
    <t>S 7*2324 :20 AUG 2026 09:00:50 AM</t>
  </si>
  <si>
    <t>S (100/200)*222.5 :20 AUG 2026 09:15:06 AM</t>
  </si>
  <si>
    <t>S (5/10)*1221 :20 AUG 2026 09:00:50 AM</t>
  </si>
  <si>
    <t>20/8/2026 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</si>
</sst>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0" fontId="0" fillId="5" borderId="1" xfId="0" applyFont="1" applyFill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0" xfId="0" applyFont="1" applyAlignment="1">
      <alignment horizontal="center" vertical="top"/>
    </xf>
    <xf numFmtId="22" fontId="0" fillId="0" borderId="1" xfId="0" applyNumberFormat="1" applyFont="1" applyBorder="1" applyAlignment="1">
      <alignment horizontal="center" vertical="top" wrapText="1"/>
    </xf>
    <xf numFmtId="0" fontId="0" fillId="2" borderId="1" xfId="0" applyFont="1" applyFill="1" applyBorder="1" applyAlignment="1">
      <alignment horizontal="center" vertical="top" wrapText="1"/>
    </xf>
    <xf numFmtId="0" fontId="0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top" wrapText="1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245"/>
  <sheetViews>
    <sheetView tabSelected="1" zoomScaleNormal="100" workbookViewId="0">
      <selection activeCell="A3" activeCellId="1" sqref="A4:XFD4 A3:XFD3"/>
    </sheetView>
  </sheetViews>
  <sheetFormatPr defaultColWidth="8.77734375" defaultRowHeight="14.4" x14ac:dyDescent="0.3"/>
  <cols>
    <col min="1" max="1" width="20.109375" style="18" customWidth="1"/>
    <col min="2" max="2" width="15.21875" style="18" customWidth="1"/>
    <col min="3" max="3" width="8.77734375" style="18"/>
    <col min="4" max="5" width="8.77734375" style="18" bestFit="1" customWidth="1"/>
    <col min="6" max="6" width="11.6640625" style="18" bestFit="1" customWidth="1"/>
    <col min="7" max="7" width="17.21875" style="18" customWidth="1"/>
    <col min="8" max="8" width="9.21875" style="18" customWidth="1"/>
    <col min="9" max="9" width="8.77734375" style="18"/>
    <col min="10" max="10" width="11.33203125" style="18" customWidth="1"/>
    <col min="11" max="11" width="10.44140625" style="18" customWidth="1"/>
    <col min="12" max="16384" width="8.77734375" style="18"/>
  </cols>
  <sheetData>
    <row r="1" spans="1:14" ht="43.8" thickBo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15" t="s">
        <v>141</v>
      </c>
      <c r="K1" s="17" t="s">
        <v>157</v>
      </c>
    </row>
    <row r="2" spans="1:14" customFormat="1" ht="27.6" customHeight="1" thickBot="1" x14ac:dyDescent="0.35">
      <c r="A2" s="7" t="s">
        <v>62</v>
      </c>
      <c r="B2" s="1" t="s">
        <v>31</v>
      </c>
      <c r="C2" s="1" t="s">
        <v>10</v>
      </c>
      <c r="D2" s="4">
        <v>5</v>
      </c>
      <c r="E2" s="4">
        <v>634</v>
      </c>
      <c r="F2" s="4">
        <v>1.44</v>
      </c>
      <c r="G2" s="2" t="s">
        <v>94</v>
      </c>
      <c r="H2" s="5">
        <v>625</v>
      </c>
      <c r="I2" s="1" t="s">
        <v>8</v>
      </c>
      <c r="J2" s="2"/>
      <c r="N2" t="str">
        <f>IF(COUNTIFS( $B$2:$B$949, B2, $C$2:$C$949, C2, $D$2:$D$949, D2, $E$2:$E$949, E2) &gt; 1, "Duplicate", "Unique")</f>
        <v>Unique</v>
      </c>
    </row>
    <row r="3" spans="1:14" customFormat="1" ht="27.6" customHeight="1" thickBot="1" x14ac:dyDescent="0.35">
      <c r="A3" s="3">
        <v>46252.6875</v>
      </c>
      <c r="B3" s="1" t="s">
        <v>15</v>
      </c>
      <c r="C3" s="1" t="s">
        <v>10</v>
      </c>
      <c r="D3" s="4">
        <v>20</v>
      </c>
      <c r="E3" s="4">
        <v>2602</v>
      </c>
      <c r="F3" s="4">
        <v>-0.55417542519999996</v>
      </c>
      <c r="G3" s="2" t="s">
        <v>72</v>
      </c>
      <c r="H3" s="5">
        <v>2616.5</v>
      </c>
      <c r="I3" s="1" t="s">
        <v>8</v>
      </c>
      <c r="J3" s="2"/>
      <c r="N3" t="str">
        <f>IF(COUNTIFS( $B$2:$B$949, B3, $C$2:$C$949, C3, $D$2:$D$949, D3, $E$2:$E$949, E3) &gt; 1, "Duplicate", "Unique")</f>
        <v>Unique</v>
      </c>
    </row>
    <row r="4" spans="1:14" customFormat="1" ht="27.6" customHeight="1" thickBot="1" x14ac:dyDescent="0.35">
      <c r="A4" s="3">
        <v>46252.6875</v>
      </c>
      <c r="B4" s="1" t="s">
        <v>24</v>
      </c>
      <c r="C4" s="1" t="s">
        <v>10</v>
      </c>
      <c r="D4" s="4">
        <v>40</v>
      </c>
      <c r="E4" s="4">
        <v>426</v>
      </c>
      <c r="F4" s="4">
        <v>-0.69930069930000005</v>
      </c>
      <c r="G4" s="2" t="s">
        <v>56</v>
      </c>
      <c r="H4" s="5">
        <v>429</v>
      </c>
      <c r="I4" s="1" t="s">
        <v>8</v>
      </c>
      <c r="J4" s="2"/>
      <c r="N4" t="str">
        <f>IF(COUNTIFS( $B$2:$B$949, B4, $C$2:$C$949, C4, $D$2:$D$949, D4, $E$2:$E$949, E4) &gt; 1, "Duplicate", "Unique")</f>
        <v>Unique</v>
      </c>
    </row>
    <row r="5" spans="1:14" customFormat="1" ht="40.799999999999997" customHeight="1" thickBot="1" x14ac:dyDescent="0.35">
      <c r="A5" s="3">
        <v>46252.635416666664</v>
      </c>
      <c r="B5" s="1" t="s">
        <v>87</v>
      </c>
      <c r="C5" s="1" t="s">
        <v>10</v>
      </c>
      <c r="D5" s="4">
        <v>10</v>
      </c>
      <c r="E5" s="4">
        <v>1303</v>
      </c>
      <c r="F5" s="4">
        <v>-0.83713850840000004</v>
      </c>
      <c r="G5" s="2" t="s">
        <v>88</v>
      </c>
      <c r="H5" s="5">
        <v>1314</v>
      </c>
      <c r="I5" s="1" t="s">
        <v>8</v>
      </c>
      <c r="J5" s="2"/>
      <c r="N5" t="str">
        <f>IF(COUNTIFS( $B$2:$B$949, B5, $C$2:$C$949, C5, $D$2:$D$949, D5, $E$2:$E$949, E5) &gt; 1, "Duplicate", "Unique")</f>
        <v>Unique</v>
      </c>
    </row>
    <row r="6" spans="1:14" customFormat="1" ht="27.6" customHeight="1" thickBot="1" x14ac:dyDescent="0.35">
      <c r="A6" s="3">
        <v>46252.6875</v>
      </c>
      <c r="B6" s="1" t="s">
        <v>13</v>
      </c>
      <c r="C6" s="1" t="s">
        <v>10</v>
      </c>
      <c r="D6" s="4">
        <v>5</v>
      </c>
      <c r="E6" s="4">
        <v>1814</v>
      </c>
      <c r="F6" s="4">
        <v>-1.1982570809999999</v>
      </c>
      <c r="G6" s="2" t="s">
        <v>91</v>
      </c>
      <c r="H6" s="5">
        <v>1836</v>
      </c>
      <c r="I6" s="1" t="s">
        <v>8</v>
      </c>
      <c r="J6" s="2"/>
      <c r="N6" t="str">
        <f>IF(COUNTIFS( $B$2:$B$949, B6, $C$2:$C$949, C6, $D$2:$D$949, D6, $E$2:$E$949, E6) &gt; 1, "Duplicate", "Unique")</f>
        <v>Unique</v>
      </c>
    </row>
    <row r="7" spans="1:14" customFormat="1" ht="27.6" customHeight="1" thickBot="1" x14ac:dyDescent="0.35">
      <c r="A7" s="3">
        <v>46252.6875</v>
      </c>
      <c r="B7" s="1" t="s">
        <v>23</v>
      </c>
      <c r="C7" s="1" t="s">
        <v>10</v>
      </c>
      <c r="D7" s="4">
        <v>50</v>
      </c>
      <c r="E7" s="4">
        <v>203.5</v>
      </c>
      <c r="F7" s="4">
        <v>-1.357246728</v>
      </c>
      <c r="G7" s="2" t="s">
        <v>70</v>
      </c>
      <c r="H7" s="5">
        <v>206.3</v>
      </c>
      <c r="I7" s="1" t="s">
        <v>8</v>
      </c>
      <c r="J7" s="1" t="s">
        <v>55</v>
      </c>
      <c r="N7" t="str">
        <f>IF(COUNTIFS( $B$2:$B$949, B7, $C$2:$C$949, C7, $D$2:$D$949, D7, $E$2:$E$949, E7) &gt; 1, "Duplicate", "Unique")</f>
        <v>Unique</v>
      </c>
    </row>
    <row r="8" spans="1:14" customFormat="1" ht="27.6" customHeight="1" thickBot="1" x14ac:dyDescent="0.35">
      <c r="A8" s="3">
        <v>46252.6875</v>
      </c>
      <c r="B8" s="1" t="s">
        <v>15</v>
      </c>
      <c r="C8" s="1" t="s">
        <v>10</v>
      </c>
      <c r="D8" s="4">
        <v>10</v>
      </c>
      <c r="E8" s="4">
        <v>2578</v>
      </c>
      <c r="F8" s="4">
        <v>-1.471431301</v>
      </c>
      <c r="G8" s="2" t="s">
        <v>72</v>
      </c>
      <c r="H8" s="5">
        <v>2616.5</v>
      </c>
      <c r="I8" s="1" t="s">
        <v>8</v>
      </c>
      <c r="J8" s="2"/>
      <c r="N8" t="str">
        <f>IF(COUNTIFS( $B$2:$B$949, B8, $C$2:$C$949, C8, $D$2:$D$949, D8, $E$2:$E$949, E8) &gt; 1, "Duplicate", "Unique")</f>
        <v>Unique</v>
      </c>
    </row>
    <row r="9" spans="1:14" customFormat="1" ht="27.6" customHeight="1" thickBot="1" x14ac:dyDescent="0.35">
      <c r="A9" s="3">
        <v>46254.38548611111</v>
      </c>
      <c r="B9" s="1" t="s">
        <v>19</v>
      </c>
      <c r="C9" s="1" t="s">
        <v>10</v>
      </c>
      <c r="D9" s="4">
        <v>100</v>
      </c>
      <c r="E9" s="4">
        <v>222</v>
      </c>
      <c r="F9" s="4">
        <v>-1.495318809</v>
      </c>
      <c r="G9" s="2" t="s">
        <v>40</v>
      </c>
      <c r="H9" s="5">
        <v>225.37</v>
      </c>
      <c r="I9" s="1" t="s">
        <v>8</v>
      </c>
      <c r="J9" s="30" t="s">
        <v>41</v>
      </c>
      <c r="K9" t="s">
        <v>170</v>
      </c>
      <c r="N9" s="18" t="str">
        <f>IF(COUNTIFS( $B$2:$B$949, B9, $C$2:$C$949, C9, $D$2:$D$949, D9, $E$2:$E$949, E9) &gt; 1, "Duplicate", "Unique")</f>
        <v>Unique</v>
      </c>
    </row>
    <row r="10" spans="1:14" customFormat="1" ht="27.6" customHeight="1" thickBot="1" x14ac:dyDescent="0.35">
      <c r="A10" s="7" t="s">
        <v>62</v>
      </c>
      <c r="B10" s="1" t="s">
        <v>14</v>
      </c>
      <c r="C10" s="1" t="s">
        <v>10</v>
      </c>
      <c r="D10" s="4">
        <v>100</v>
      </c>
      <c r="E10" s="4">
        <v>331</v>
      </c>
      <c r="F10" s="4">
        <v>-1.634472511</v>
      </c>
      <c r="G10" s="2" t="s">
        <v>45</v>
      </c>
      <c r="H10" s="5">
        <v>336.5</v>
      </c>
      <c r="I10" s="1" t="s">
        <v>8</v>
      </c>
      <c r="J10" s="2"/>
      <c r="N10" t="str">
        <f>IF(COUNTIFS( $B$2:$B$949, B10, $C$2:$C$949, C10, $D$2:$D$949, D10, $E$2:$E$949, E10) &gt; 1, "Duplicate", "Unique")</f>
        <v>Unique</v>
      </c>
    </row>
    <row r="11" spans="1:14" customFormat="1" ht="27.6" customHeight="1" thickBot="1" x14ac:dyDescent="0.35">
      <c r="A11" s="3">
        <v>46252.645138888889</v>
      </c>
      <c r="B11" s="1" t="s">
        <v>68</v>
      </c>
      <c r="C11" s="1" t="s">
        <v>10</v>
      </c>
      <c r="D11" s="4">
        <v>10</v>
      </c>
      <c r="E11" s="4">
        <v>401</v>
      </c>
      <c r="F11" s="4">
        <v>-1.6554261189999999</v>
      </c>
      <c r="G11" s="2" t="s">
        <v>69</v>
      </c>
      <c r="H11" s="5">
        <v>407.75</v>
      </c>
      <c r="I11" s="1" t="s">
        <v>8</v>
      </c>
      <c r="J11" s="11" t="s">
        <v>118</v>
      </c>
      <c r="N11" t="str">
        <f>IF(COUNTIFS( $B$2:$B$949, B11, $C$2:$C$949, C11, $D$2:$D$949, D11, $E$2:$E$949, E11) &gt; 1, "Duplicate", "Unique")</f>
        <v>Unique</v>
      </c>
    </row>
    <row r="12" spans="1:14" customFormat="1" ht="27.6" customHeight="1" thickBot="1" x14ac:dyDescent="0.35">
      <c r="A12" s="3">
        <v>46252.645138888889</v>
      </c>
      <c r="B12" s="1" t="s">
        <v>63</v>
      </c>
      <c r="C12" s="1" t="s">
        <v>10</v>
      </c>
      <c r="D12" s="4">
        <v>10</v>
      </c>
      <c r="E12" s="4">
        <v>1030</v>
      </c>
      <c r="F12" s="4">
        <v>-1.670644391</v>
      </c>
      <c r="G12" s="2" t="s">
        <v>64</v>
      </c>
      <c r="H12" s="5">
        <v>1047.5</v>
      </c>
      <c r="I12" s="1" t="s">
        <v>8</v>
      </c>
      <c r="J12" s="1" t="s">
        <v>55</v>
      </c>
      <c r="N12" t="str">
        <f>IF(COUNTIFS( $B$2:$B$949, B12, $C$2:$C$949, C12, $D$2:$D$949, D12, $E$2:$E$949, E12) &gt; 1, "Duplicate", "Unique")</f>
        <v>Unique</v>
      </c>
    </row>
    <row r="13" spans="1:14" customFormat="1" ht="27.6" customHeight="1" thickBot="1" x14ac:dyDescent="0.35">
      <c r="A13" s="3">
        <v>46252.645833333336</v>
      </c>
      <c r="B13" s="1" t="s">
        <v>49</v>
      </c>
      <c r="C13" s="1" t="s">
        <v>10</v>
      </c>
      <c r="D13" s="4">
        <v>5</v>
      </c>
      <c r="E13" s="4">
        <v>4002</v>
      </c>
      <c r="F13" s="4">
        <v>-1.6707616709999999</v>
      </c>
      <c r="G13" s="2" t="s">
        <v>50</v>
      </c>
      <c r="H13" s="5">
        <v>4070</v>
      </c>
      <c r="I13" s="1" t="s">
        <v>8</v>
      </c>
      <c r="J13" s="2"/>
      <c r="N13" t="str">
        <f>IF(COUNTIFS( $B$2:$B$949, B13, $C$2:$C$949, C13, $D$2:$D$949, D13, $E$2:$E$949, E13) &gt; 1, "Duplicate", "Unique")</f>
        <v>Unique</v>
      </c>
    </row>
    <row r="14" spans="1:14" customFormat="1" ht="15" customHeight="1" thickBot="1" x14ac:dyDescent="0.35">
      <c r="A14" s="3">
        <v>46252.645138888889</v>
      </c>
      <c r="B14" s="1" t="s">
        <v>47</v>
      </c>
      <c r="C14" s="1" t="s">
        <v>10</v>
      </c>
      <c r="D14" s="4">
        <v>9</v>
      </c>
      <c r="E14" s="4">
        <v>2251</v>
      </c>
      <c r="F14" s="4">
        <v>-1.720223542</v>
      </c>
      <c r="G14" s="2" t="s">
        <v>48</v>
      </c>
      <c r="H14" s="5">
        <v>2290.4</v>
      </c>
      <c r="I14" s="1" t="s">
        <v>8</v>
      </c>
      <c r="J14" s="2"/>
      <c r="N14" t="str">
        <f>IF(COUNTIFS( $B$2:$B$949, B14, $C$2:$C$949, C14, $D$2:$D$949, D14, $E$2:$E$949, E14) &gt; 1, "Duplicate", "Unique")</f>
        <v>Unique</v>
      </c>
    </row>
    <row r="15" spans="1:14" customFormat="1" ht="27.6" customHeight="1" thickBot="1" x14ac:dyDescent="0.35">
      <c r="A15" s="4" t="s">
        <v>159</v>
      </c>
      <c r="B15" s="1" t="s">
        <v>6</v>
      </c>
      <c r="C15" s="1" t="s">
        <v>10</v>
      </c>
      <c r="D15" s="4">
        <v>20</v>
      </c>
      <c r="E15" s="4">
        <v>276</v>
      </c>
      <c r="F15" s="4">
        <v>-1.8492176389999999</v>
      </c>
      <c r="G15" s="2" t="s">
        <v>130</v>
      </c>
      <c r="H15" s="5">
        <v>281.2</v>
      </c>
      <c r="I15" s="1" t="s">
        <v>8</v>
      </c>
      <c r="J15" s="1" t="s">
        <v>117</v>
      </c>
      <c r="K15" t="s">
        <v>158</v>
      </c>
      <c r="N15" t="str">
        <f>IF(COUNTIFS( $B$2:$B$949, B15, $C$2:$C$949, C15, $D$2:$D$949, D15, $E$2:$E$949, E15) &gt; 1, "Duplicate", "Unique")</f>
        <v>Unique</v>
      </c>
    </row>
    <row r="16" spans="1:14" customFormat="1" ht="27.6" customHeight="1" thickBot="1" x14ac:dyDescent="0.35">
      <c r="A16" s="7" t="s">
        <v>62</v>
      </c>
      <c r="B16" s="1" t="s">
        <v>68</v>
      </c>
      <c r="C16" s="1" t="s">
        <v>10</v>
      </c>
      <c r="D16" s="4">
        <v>10</v>
      </c>
      <c r="E16" s="4">
        <v>400</v>
      </c>
      <c r="F16" s="4">
        <v>-1.9006744330000001</v>
      </c>
      <c r="G16" s="2" t="s">
        <v>69</v>
      </c>
      <c r="H16" s="5">
        <v>407.75</v>
      </c>
      <c r="I16" s="1" t="s">
        <v>8</v>
      </c>
      <c r="J16" s="2"/>
      <c r="N16" t="str">
        <f>IF(COUNTIFS( $B$2:$B$949, B16, $C$2:$C$949, C16, $D$2:$D$949, D16, $E$2:$E$949, E16) &gt; 1, "Duplicate", "Unique")</f>
        <v>Unique</v>
      </c>
    </row>
    <row r="17" spans="1:14" customFormat="1" ht="15" customHeight="1" thickBot="1" x14ac:dyDescent="0.35">
      <c r="A17" s="3">
        <v>46252.6875</v>
      </c>
      <c r="B17" s="1" t="s">
        <v>16</v>
      </c>
      <c r="C17" s="1" t="s">
        <v>10</v>
      </c>
      <c r="D17" s="4">
        <v>5</v>
      </c>
      <c r="E17" s="4">
        <v>916</v>
      </c>
      <c r="F17" s="4">
        <v>-2.0320855610000002</v>
      </c>
      <c r="G17" s="2" t="s">
        <v>61</v>
      </c>
      <c r="H17" s="5">
        <v>935</v>
      </c>
      <c r="I17" s="1" t="s">
        <v>8</v>
      </c>
      <c r="J17" s="1" t="s">
        <v>117</v>
      </c>
      <c r="N17" t="str">
        <f>IF(COUNTIFS( $B$2:$B$949, B17, $C$2:$C$949, C17, $D$2:$D$949, D17, $E$2:$E$949, E17) &gt; 1, "Duplicate", "Unique")</f>
        <v>Unique</v>
      </c>
    </row>
    <row r="18" spans="1:14" customFormat="1" ht="27.6" customHeight="1" thickBot="1" x14ac:dyDescent="0.35">
      <c r="A18" s="3">
        <v>46252.6875</v>
      </c>
      <c r="B18" s="1" t="s">
        <v>22</v>
      </c>
      <c r="C18" s="1" t="s">
        <v>10</v>
      </c>
      <c r="D18" s="4">
        <v>5</v>
      </c>
      <c r="E18" s="4">
        <v>452</v>
      </c>
      <c r="F18" s="4">
        <v>-2.164502165</v>
      </c>
      <c r="G18" s="2" t="s">
        <v>73</v>
      </c>
      <c r="H18" s="5">
        <v>462</v>
      </c>
      <c r="I18" s="1" t="s">
        <v>8</v>
      </c>
      <c r="J18" s="6" t="s">
        <v>55</v>
      </c>
      <c r="N18" t="str">
        <f>IF(COUNTIFS( $B$2:$B$949, B18, $C$2:$C$949, C18, $D$2:$D$949, D18, $E$2:$E$949, E18) &gt; 1, "Duplicate", "Unique")</f>
        <v>Unique</v>
      </c>
    </row>
    <row r="19" spans="1:14" customFormat="1" ht="15" customHeight="1" thickBot="1" x14ac:dyDescent="0.35">
      <c r="A19" s="3">
        <v>46252.6875</v>
      </c>
      <c r="B19" s="1" t="s">
        <v>15</v>
      </c>
      <c r="C19" s="1" t="s">
        <v>10</v>
      </c>
      <c r="D19" s="4">
        <v>10</v>
      </c>
      <c r="E19" s="4">
        <v>2553</v>
      </c>
      <c r="F19" s="4">
        <v>-2.4269061719999998</v>
      </c>
      <c r="G19" s="2" t="s">
        <v>72</v>
      </c>
      <c r="H19" s="5">
        <v>2616.5</v>
      </c>
      <c r="I19" s="1" t="s">
        <v>8</v>
      </c>
      <c r="J19" s="2"/>
      <c r="N19" t="str">
        <f>IF(COUNTIFS( $B$2:$B$949, B19, $C$2:$C$949, C19, $D$2:$D$949, D19, $E$2:$E$949, E19) &gt; 1, "Duplicate", "Unique")</f>
        <v>Unique</v>
      </c>
    </row>
    <row r="20" spans="1:14" customFormat="1" ht="27.6" customHeight="1" thickBot="1" x14ac:dyDescent="0.35">
      <c r="A20" s="3">
        <v>46252.645833333336</v>
      </c>
      <c r="B20" s="1" t="s">
        <v>74</v>
      </c>
      <c r="C20" s="1" t="s">
        <v>10</v>
      </c>
      <c r="D20" s="4">
        <v>2</v>
      </c>
      <c r="E20" s="4">
        <v>3210</v>
      </c>
      <c r="F20" s="4">
        <v>-2.4612579760000002</v>
      </c>
      <c r="G20" s="2" t="s">
        <v>75</v>
      </c>
      <c r="H20" s="5">
        <v>3291</v>
      </c>
      <c r="I20" s="1" t="s">
        <v>8</v>
      </c>
      <c r="J20" s="6" t="s">
        <v>55</v>
      </c>
      <c r="N20" t="str">
        <f>IF(COUNTIFS( $B$2:$B$949, B20, $C$2:$C$949, C20, $D$2:$D$949, D20, $E$2:$E$949, E20) &gt; 1, "Duplicate", "Unique")</f>
        <v>Unique</v>
      </c>
    </row>
    <row r="21" spans="1:14" customFormat="1" ht="15" customHeight="1" thickBot="1" x14ac:dyDescent="0.35">
      <c r="A21" s="7" t="s">
        <v>62</v>
      </c>
      <c r="B21" s="1" t="s">
        <v>23</v>
      </c>
      <c r="C21" s="1" t="s">
        <v>10</v>
      </c>
      <c r="D21" s="4">
        <v>50</v>
      </c>
      <c r="E21" s="4">
        <v>201</v>
      </c>
      <c r="F21" s="4">
        <v>-2.5690741639999999</v>
      </c>
      <c r="G21" s="2" t="s">
        <v>70</v>
      </c>
      <c r="H21" s="5">
        <v>206.3</v>
      </c>
      <c r="I21" s="1" t="s">
        <v>8</v>
      </c>
      <c r="J21" s="1" t="s">
        <v>41</v>
      </c>
      <c r="N21" t="str">
        <f>IF(COUNTIFS( $B$2:$B$949, B21, $C$2:$C$949, C21, $D$2:$D$949, D21, $E$2:$E$949, E21) &gt; 1, "Duplicate", "Unique")</f>
        <v>Unique</v>
      </c>
    </row>
    <row r="22" spans="1:14" customFormat="1" ht="27.6" customHeight="1" thickBot="1" x14ac:dyDescent="0.35">
      <c r="A22" s="7" t="s">
        <v>62</v>
      </c>
      <c r="B22" s="1" t="s">
        <v>87</v>
      </c>
      <c r="C22" s="1" t="s">
        <v>10</v>
      </c>
      <c r="D22" s="4">
        <v>10</v>
      </c>
      <c r="E22" s="4">
        <v>1280</v>
      </c>
      <c r="F22" s="4">
        <v>-2.5875190259999998</v>
      </c>
      <c r="G22" s="2" t="s">
        <v>88</v>
      </c>
      <c r="H22" s="5">
        <v>1314</v>
      </c>
      <c r="I22" s="1" t="s">
        <v>8</v>
      </c>
      <c r="J22" s="2"/>
      <c r="N22" t="str">
        <f>IF(COUNTIFS( $B$2:$B$949, B22, $C$2:$C$949, C22, $D$2:$D$949, D22, $E$2:$E$949, E22) &gt; 1, "Duplicate", "Unique")</f>
        <v>Unique</v>
      </c>
    </row>
    <row r="23" spans="1:14" customFormat="1" ht="27.6" customHeight="1" thickBot="1" x14ac:dyDescent="0.35">
      <c r="A23" s="3">
        <v>46252.635416666664</v>
      </c>
      <c r="B23" s="1" t="s">
        <v>32</v>
      </c>
      <c r="C23" s="1" t="s">
        <v>10</v>
      </c>
      <c r="D23" s="4">
        <v>50</v>
      </c>
      <c r="E23" s="4">
        <v>850</v>
      </c>
      <c r="F23" s="4">
        <v>-2.6736130990000002</v>
      </c>
      <c r="G23" s="2" t="s">
        <v>85</v>
      </c>
      <c r="H23" s="5">
        <v>873.35</v>
      </c>
      <c r="I23" s="1" t="s">
        <v>8</v>
      </c>
      <c r="J23" s="1" t="s">
        <v>55</v>
      </c>
      <c r="N23" t="str">
        <f>IF(COUNTIFS( $B$2:$B$949, B23, $C$2:$C$949, C23, $D$2:$D$949, D23, $E$2:$E$949, E23) &gt; 1, "Duplicate", "Unique")</f>
        <v>Unique</v>
      </c>
    </row>
    <row r="24" spans="1:14" customFormat="1" ht="15" customHeight="1" thickBot="1" x14ac:dyDescent="0.35">
      <c r="A24" s="3">
        <v>46252.645138888889</v>
      </c>
      <c r="B24" s="1" t="s">
        <v>57</v>
      </c>
      <c r="C24" s="1" t="s">
        <v>10</v>
      </c>
      <c r="D24" s="4">
        <v>5</v>
      </c>
      <c r="E24" s="4">
        <v>2888</v>
      </c>
      <c r="F24" s="4">
        <v>-2.7609427609999999</v>
      </c>
      <c r="G24" s="2" t="s">
        <v>58</v>
      </c>
      <c r="H24" s="5">
        <v>2970</v>
      </c>
      <c r="I24" s="1" t="s">
        <v>8</v>
      </c>
      <c r="J24" s="2"/>
      <c r="N24" t="str">
        <f>IF(COUNTIFS( $B$2:$B$949, B24, $C$2:$C$949, C24, $D$2:$D$949, D24, $E$2:$E$949, E24) &gt; 1, "Duplicate", "Unique")</f>
        <v>Unique</v>
      </c>
    </row>
    <row r="25" spans="1:14" customFormat="1" ht="27.6" customHeight="1" thickBot="1" x14ac:dyDescent="0.35">
      <c r="A25" s="3">
        <v>46254.375578703701</v>
      </c>
      <c r="B25" s="1" t="s">
        <v>36</v>
      </c>
      <c r="C25" s="1" t="s">
        <v>10</v>
      </c>
      <c r="D25" s="4">
        <v>5</v>
      </c>
      <c r="E25" s="4">
        <v>1201</v>
      </c>
      <c r="F25" s="4">
        <v>-2.776653445</v>
      </c>
      <c r="G25" s="2" t="s">
        <v>65</v>
      </c>
      <c r="H25" s="5">
        <v>1235.3</v>
      </c>
      <c r="I25" s="1" t="s">
        <v>8</v>
      </c>
      <c r="J25" s="30" t="s">
        <v>41</v>
      </c>
      <c r="K25" t="s">
        <v>171</v>
      </c>
      <c r="N25" s="18" t="str">
        <f>IF(COUNTIFS( $B$2:$B$949, B25, $C$2:$C$949, C25, $D$2:$D$949, D25, $E$2:$E$949, E25) &gt; 1, "Duplicate", "Unique")</f>
        <v>Unique</v>
      </c>
    </row>
    <row r="26" spans="1:14" customFormat="1" ht="27.6" customHeight="1" thickBot="1" x14ac:dyDescent="0.35">
      <c r="A26" s="3">
        <v>46252.645833333336</v>
      </c>
      <c r="B26" s="1" t="s">
        <v>43</v>
      </c>
      <c r="C26" s="1" t="s">
        <v>10</v>
      </c>
      <c r="D26" s="4">
        <v>5</v>
      </c>
      <c r="E26" s="4">
        <v>712</v>
      </c>
      <c r="F26" s="4">
        <v>-2.8052692650000002</v>
      </c>
      <c r="G26" s="2" t="s">
        <v>44</v>
      </c>
      <c r="H26" s="5">
        <v>732.55</v>
      </c>
      <c r="I26" s="1" t="s">
        <v>8</v>
      </c>
      <c r="J26" s="11" t="s">
        <v>41</v>
      </c>
      <c r="N26" t="str">
        <f>IF(COUNTIFS( $B$2:$B$949, B26, $C$2:$C$949, C26, $D$2:$D$949, D26, $E$2:$E$949, E26) &gt; 1, "Duplicate", "Unique")</f>
        <v>Unique</v>
      </c>
    </row>
    <row r="27" spans="1:14" customFormat="1" ht="27.6" customHeight="1" thickBot="1" x14ac:dyDescent="0.35">
      <c r="A27" s="7" t="s">
        <v>62</v>
      </c>
      <c r="B27" s="1" t="s">
        <v>14</v>
      </c>
      <c r="C27" s="1" t="s">
        <v>10</v>
      </c>
      <c r="D27" s="4">
        <v>100</v>
      </c>
      <c r="E27" s="4">
        <v>327</v>
      </c>
      <c r="F27" s="4">
        <v>-2.8231797919999999</v>
      </c>
      <c r="G27" s="2" t="s">
        <v>45</v>
      </c>
      <c r="H27" s="5">
        <v>336.5</v>
      </c>
      <c r="I27" s="1" t="s">
        <v>8</v>
      </c>
      <c r="J27" s="2"/>
      <c r="N27" t="str">
        <f>IF(COUNTIFS( $B$2:$B$949, B27, $C$2:$C$949, C27, $D$2:$D$949, D27, $E$2:$E$949, E27) &gt; 1, "Duplicate", "Unique")</f>
        <v>Unique</v>
      </c>
    </row>
    <row r="28" spans="1:14" customFormat="1" ht="15" customHeight="1" thickBot="1" x14ac:dyDescent="0.35">
      <c r="A28" s="3">
        <v>46252.645138888889</v>
      </c>
      <c r="B28" s="1" t="s">
        <v>59</v>
      </c>
      <c r="C28" s="1" t="s">
        <v>10</v>
      </c>
      <c r="D28" s="4">
        <v>4</v>
      </c>
      <c r="E28" s="4">
        <v>1066</v>
      </c>
      <c r="F28" s="4">
        <v>-2.8258887879999999</v>
      </c>
      <c r="G28" s="2" t="s">
        <v>60</v>
      </c>
      <c r="H28" s="5">
        <v>1097</v>
      </c>
      <c r="I28" s="1" t="s">
        <v>8</v>
      </c>
      <c r="J28" s="11" t="s">
        <v>118</v>
      </c>
      <c r="N28" t="str">
        <f>IF(COUNTIFS( $B$2:$B$949, B28, $C$2:$C$949, C28, $D$2:$D$949, D28, $E$2:$E$949, E28) &gt; 1, "Duplicate", "Unique")</f>
        <v>Unique</v>
      </c>
    </row>
    <row r="29" spans="1:14" customFormat="1" ht="40.799999999999997" customHeight="1" thickBot="1" x14ac:dyDescent="0.35">
      <c r="A29" s="3">
        <v>46252.6875</v>
      </c>
      <c r="B29" s="1" t="s">
        <v>25</v>
      </c>
      <c r="C29" s="1" t="s">
        <v>10</v>
      </c>
      <c r="D29" s="4">
        <v>500</v>
      </c>
      <c r="E29" s="4">
        <v>33.159999999999997</v>
      </c>
      <c r="F29" s="4">
        <v>-2.8989751099999999</v>
      </c>
      <c r="G29" s="2" t="s">
        <v>46</v>
      </c>
      <c r="H29" s="5">
        <v>34.15</v>
      </c>
      <c r="I29" s="1" t="s">
        <v>8</v>
      </c>
      <c r="J29" s="2"/>
      <c r="N29" t="str">
        <f>IF(COUNTIFS( $B$2:$B$949, B29, $C$2:$C$949, C29, $D$2:$D$949, D29, $E$2:$E$949, E29) &gt; 1, "Duplicate", "Unique")</f>
        <v>Unique</v>
      </c>
    </row>
    <row r="30" spans="1:14" customFormat="1" ht="27.6" customHeight="1" thickBot="1" x14ac:dyDescent="0.35">
      <c r="A30" s="7" t="s">
        <v>62</v>
      </c>
      <c r="B30" s="1" t="s">
        <v>49</v>
      </c>
      <c r="C30" s="1" t="s">
        <v>10</v>
      </c>
      <c r="D30" s="4">
        <v>5</v>
      </c>
      <c r="E30" s="4">
        <v>3952</v>
      </c>
      <c r="F30" s="4">
        <v>-2.899262899</v>
      </c>
      <c r="G30" s="2" t="s">
        <v>50</v>
      </c>
      <c r="H30" s="5">
        <v>4070</v>
      </c>
      <c r="I30" s="1" t="s">
        <v>8</v>
      </c>
      <c r="J30" s="6" t="s">
        <v>55</v>
      </c>
      <c r="N30" t="str">
        <f>IF(COUNTIFS( $B$2:$B$949, B30, $C$2:$C$949, C30, $D$2:$D$949, D30, $E$2:$E$949, E30) &gt; 1, "Duplicate", "Unique")</f>
        <v>Unique</v>
      </c>
    </row>
    <row r="31" spans="1:14" customFormat="1" ht="40.799999999999997" customHeight="1" thickBot="1" x14ac:dyDescent="0.35">
      <c r="A31" s="7" t="s">
        <v>62</v>
      </c>
      <c r="B31" s="1" t="s">
        <v>15</v>
      </c>
      <c r="C31" s="1" t="s">
        <v>10</v>
      </c>
      <c r="D31" s="4">
        <v>5</v>
      </c>
      <c r="E31" s="4">
        <v>2540</v>
      </c>
      <c r="F31" s="4">
        <v>-2.9237531049999999</v>
      </c>
      <c r="G31" s="2" t="s">
        <v>72</v>
      </c>
      <c r="H31" s="5">
        <v>2616.5</v>
      </c>
      <c r="I31" s="1" t="s">
        <v>8</v>
      </c>
      <c r="J31" s="2"/>
      <c r="N31" t="str">
        <f>IF(COUNTIFS( $B$2:$B$949, B31, $C$2:$C$949, C31, $D$2:$D$949, D31, $E$2:$E$949, E31) &gt; 1, "Duplicate", "Unique")</f>
        <v>Unique</v>
      </c>
    </row>
    <row r="32" spans="1:14" customFormat="1" ht="27.6" customHeight="1" thickBot="1" x14ac:dyDescent="0.35">
      <c r="A32" s="7" t="s">
        <v>62</v>
      </c>
      <c r="B32" s="1" t="s">
        <v>34</v>
      </c>
      <c r="C32" s="1" t="s">
        <v>10</v>
      </c>
      <c r="D32" s="4">
        <v>1</v>
      </c>
      <c r="E32" s="4">
        <v>19052</v>
      </c>
      <c r="F32" s="4">
        <v>-3.092573754</v>
      </c>
      <c r="G32" s="2" t="s">
        <v>71</v>
      </c>
      <c r="H32" s="5">
        <v>19660</v>
      </c>
      <c r="I32" s="1" t="s">
        <v>8</v>
      </c>
      <c r="J32" s="2"/>
      <c r="N32" t="str">
        <f>IF(COUNTIFS( $B$2:$B$949, B32, $C$2:$C$949, C32, $D$2:$D$949, D32, $E$2:$E$949, E32) &gt; 1, "Duplicate", "Unique")</f>
        <v>Unique</v>
      </c>
    </row>
    <row r="33" spans="1:14" customFormat="1" ht="15" customHeight="1" thickBot="1" x14ac:dyDescent="0.35">
      <c r="A33" s="3">
        <v>46253.416666666664</v>
      </c>
      <c r="B33" s="1" t="s">
        <v>29</v>
      </c>
      <c r="C33" s="1" t="s">
        <v>10</v>
      </c>
      <c r="D33" s="4">
        <v>5</v>
      </c>
      <c r="E33" s="4">
        <v>3706</v>
      </c>
      <c r="F33" s="4">
        <v>-3.113644088</v>
      </c>
      <c r="G33" s="2" t="s">
        <v>137</v>
      </c>
      <c r="H33" s="5">
        <v>3825.1</v>
      </c>
      <c r="I33" s="1" t="s">
        <v>8</v>
      </c>
      <c r="J33" s="2"/>
      <c r="K33" t="s">
        <v>146</v>
      </c>
      <c r="N33" t="str">
        <f>IF(COUNTIFS( $B$2:$B$949, B33, $C$2:$C$949, C33, $D$2:$D$949, D33, $E$2:$E$949, E33) &gt; 1, "Duplicate", "Unique")</f>
        <v>Unique</v>
      </c>
    </row>
    <row r="34" spans="1:14" customFormat="1" ht="15" customHeight="1" thickBot="1" x14ac:dyDescent="0.35">
      <c r="A34" s="3">
        <v>46252.635416666664</v>
      </c>
      <c r="B34" s="1" t="s">
        <v>80</v>
      </c>
      <c r="C34" s="1" t="s">
        <v>10</v>
      </c>
      <c r="D34" s="4">
        <v>10</v>
      </c>
      <c r="E34" s="4">
        <v>1440</v>
      </c>
      <c r="F34" s="4">
        <v>-3.2388119880000001</v>
      </c>
      <c r="G34" s="2" t="s">
        <v>81</v>
      </c>
      <c r="H34" s="5">
        <v>1488.2</v>
      </c>
      <c r="I34" s="1" t="s">
        <v>8</v>
      </c>
      <c r="J34" s="2"/>
      <c r="N34" t="str">
        <f>IF(COUNTIFS( $B$2:$B$949, B34, $C$2:$C$949, C34, $D$2:$D$949, D34, $E$2:$E$949, E34) &gt; 1, "Duplicate", "Unique")</f>
        <v>Unique</v>
      </c>
    </row>
    <row r="35" spans="1:14" customFormat="1" ht="27.6" customHeight="1" thickBot="1" x14ac:dyDescent="0.35">
      <c r="A35" s="7" t="s">
        <v>62</v>
      </c>
      <c r="B35" s="1" t="s">
        <v>49</v>
      </c>
      <c r="C35" s="1" t="s">
        <v>10</v>
      </c>
      <c r="D35" s="4">
        <v>5</v>
      </c>
      <c r="E35" s="4">
        <v>3938</v>
      </c>
      <c r="F35" s="4">
        <v>-3.2432432430000002</v>
      </c>
      <c r="G35" s="2" t="s">
        <v>50</v>
      </c>
      <c r="H35" s="5">
        <v>4070</v>
      </c>
      <c r="I35" s="1" t="s">
        <v>8</v>
      </c>
      <c r="J35" s="2"/>
      <c r="N35" t="str">
        <f>IF(COUNTIFS( $B$2:$B$949, B35, $C$2:$C$949, C35, $D$2:$D$949, D35, $E$2:$E$949, E35) &gt; 1, "Duplicate", "Unique")</f>
        <v>Unique</v>
      </c>
    </row>
    <row r="36" spans="1:14" customFormat="1" ht="27.6" customHeight="1" thickBot="1" x14ac:dyDescent="0.35">
      <c r="A36" s="3">
        <v>46252.635416666664</v>
      </c>
      <c r="B36" s="1" t="s">
        <v>78</v>
      </c>
      <c r="C36" s="1" t="s">
        <v>10</v>
      </c>
      <c r="D36" s="4">
        <v>3</v>
      </c>
      <c r="E36" s="4">
        <v>1302</v>
      </c>
      <c r="F36" s="4">
        <v>-3.261757931</v>
      </c>
      <c r="G36" s="2" t="s">
        <v>79</v>
      </c>
      <c r="H36" s="5">
        <v>1345.9</v>
      </c>
      <c r="I36" s="1" t="s">
        <v>8</v>
      </c>
      <c r="J36" s="2"/>
      <c r="N36" t="str">
        <f>IF(COUNTIFS( $B$2:$B$949, B36, $C$2:$C$949, C36, $D$2:$D$949, D36, $E$2:$E$949, E36) &gt; 1, "Duplicate", "Unique")</f>
        <v>Unique</v>
      </c>
    </row>
    <row r="37" spans="1:14" customFormat="1" ht="27.6" customHeight="1" thickBot="1" x14ac:dyDescent="0.35">
      <c r="A37" s="3">
        <v>46252.6875</v>
      </c>
      <c r="B37" s="1" t="s">
        <v>17</v>
      </c>
      <c r="C37" s="1" t="s">
        <v>10</v>
      </c>
      <c r="D37" s="4">
        <v>25</v>
      </c>
      <c r="E37" s="4">
        <v>326</v>
      </c>
      <c r="F37" s="4">
        <v>-3.3501334119999999</v>
      </c>
      <c r="G37" s="2" t="s">
        <v>77</v>
      </c>
      <c r="H37" s="5">
        <v>337.3</v>
      </c>
      <c r="I37" s="1" t="s">
        <v>8</v>
      </c>
      <c r="J37" s="2"/>
      <c r="N37" t="str">
        <f>IF(COUNTIFS( $B$2:$B$949, B37, $C$2:$C$949, C37, $D$2:$D$949, D37, $E$2:$E$949, E37) &gt; 1, "Duplicate", "Unique")</f>
        <v>Unique</v>
      </c>
    </row>
    <row r="38" spans="1:14" customFormat="1" ht="27.6" customHeight="1" thickBot="1" x14ac:dyDescent="0.35">
      <c r="A38" s="7" t="s">
        <v>62</v>
      </c>
      <c r="B38" s="1" t="s">
        <v>31</v>
      </c>
      <c r="C38" s="1" t="s">
        <v>10</v>
      </c>
      <c r="D38" s="4">
        <v>5</v>
      </c>
      <c r="E38" s="4">
        <v>604</v>
      </c>
      <c r="F38" s="4">
        <v>-3.36</v>
      </c>
      <c r="G38" s="2" t="s">
        <v>94</v>
      </c>
      <c r="H38" s="5">
        <v>625</v>
      </c>
      <c r="I38" s="1" t="s">
        <v>8</v>
      </c>
      <c r="J38" s="2" t="s">
        <v>41</v>
      </c>
      <c r="N38" t="str">
        <f>IF(COUNTIFS( $B$2:$B$949, B38, $C$2:$C$949, C38, $D$2:$D$949, D38, $E$2:$E$949, E38) &gt; 1, "Duplicate", "Unique")</f>
        <v>Unique</v>
      </c>
    </row>
    <row r="39" spans="1:14" customFormat="1" ht="27.6" customHeight="1" thickBot="1" x14ac:dyDescent="0.35">
      <c r="A39" s="3">
        <v>46252.645833333336</v>
      </c>
      <c r="B39" s="1" t="s">
        <v>51</v>
      </c>
      <c r="C39" s="1" t="s">
        <v>10</v>
      </c>
      <c r="D39" s="4">
        <v>10</v>
      </c>
      <c r="E39" s="4">
        <v>927</v>
      </c>
      <c r="F39" s="4">
        <v>-3.53798127</v>
      </c>
      <c r="G39" s="2" t="s">
        <v>52</v>
      </c>
      <c r="H39" s="5">
        <v>961</v>
      </c>
      <c r="I39" s="1" t="s">
        <v>8</v>
      </c>
      <c r="J39" s="2"/>
      <c r="N39" t="str">
        <f>IF(COUNTIFS( $B$2:$B$949, B39, $C$2:$C$949, C39, $D$2:$D$949, D39, $E$2:$E$949, E39) &gt; 1, "Duplicate", "Unique")</f>
        <v>Unique</v>
      </c>
    </row>
    <row r="40" spans="1:14" customFormat="1" ht="15" customHeight="1" thickBot="1" x14ac:dyDescent="0.35">
      <c r="A40" s="7" t="s">
        <v>62</v>
      </c>
      <c r="B40" s="1" t="s">
        <v>35</v>
      </c>
      <c r="C40" s="1" t="s">
        <v>10</v>
      </c>
      <c r="D40" s="4">
        <v>10</v>
      </c>
      <c r="E40" s="4">
        <v>220.1</v>
      </c>
      <c r="F40" s="4">
        <v>-3.5706462210000001</v>
      </c>
      <c r="G40" s="2" t="s">
        <v>42</v>
      </c>
      <c r="H40" s="5">
        <v>228.25</v>
      </c>
      <c r="I40" s="1" t="s">
        <v>8</v>
      </c>
      <c r="J40" s="1" t="s">
        <v>117</v>
      </c>
      <c r="N40" t="str">
        <f>IF(COUNTIFS( $B$2:$B$949, B40, $C$2:$C$949, C40, $D$2:$D$949, D40, $E$2:$E$949, E40) &gt; 1, "Duplicate", "Unique")</f>
        <v>Unique</v>
      </c>
    </row>
    <row r="41" spans="1:14" customFormat="1" ht="40.799999999999997" customHeight="1" thickBot="1" x14ac:dyDescent="0.35">
      <c r="A41" s="7" t="s">
        <v>62</v>
      </c>
      <c r="B41" s="1" t="s">
        <v>9</v>
      </c>
      <c r="C41" s="1" t="s">
        <v>10</v>
      </c>
      <c r="D41" s="4">
        <v>20</v>
      </c>
      <c r="E41" s="4">
        <v>281</v>
      </c>
      <c r="F41" s="4">
        <v>-3.6020583190000002</v>
      </c>
      <c r="G41" s="2" t="s">
        <v>95</v>
      </c>
      <c r="H41" s="5">
        <v>291.5</v>
      </c>
      <c r="I41" s="1" t="s">
        <v>8</v>
      </c>
      <c r="J41" s="2"/>
      <c r="N41" t="str">
        <f>IF(COUNTIFS( $B$2:$B$949, B41, $C$2:$C$949, C41, $D$2:$D$949, D41, $E$2:$E$949, E41) &gt; 1, "Duplicate", "Unique")</f>
        <v>Unique</v>
      </c>
    </row>
    <row r="42" spans="1:14" customFormat="1" ht="27.6" customHeight="1" thickBot="1" x14ac:dyDescent="0.35">
      <c r="A42" s="3">
        <v>46252.6875</v>
      </c>
      <c r="B42" s="1" t="s">
        <v>18</v>
      </c>
      <c r="C42" s="1" t="s">
        <v>10</v>
      </c>
      <c r="D42" s="4">
        <v>2</v>
      </c>
      <c r="E42" s="4">
        <v>1840</v>
      </c>
      <c r="F42" s="4">
        <v>-3.664921466</v>
      </c>
      <c r="G42" s="2" t="s">
        <v>102</v>
      </c>
      <c r="H42" s="5">
        <v>1910</v>
      </c>
      <c r="I42" s="1" t="s">
        <v>8</v>
      </c>
      <c r="J42" s="2"/>
      <c r="N42" t="str">
        <f>IF(COUNTIFS( $B$2:$B$949, B42, $C$2:$C$949, C42, $D$2:$D$949, D42, $E$2:$E$949, E42) &gt; 1, "Duplicate", "Unique")</f>
        <v>Unique</v>
      </c>
    </row>
    <row r="43" spans="1:14" customFormat="1" ht="27.6" customHeight="1" thickBot="1" x14ac:dyDescent="0.35">
      <c r="A43" s="3">
        <v>46254.38548611111</v>
      </c>
      <c r="B43" s="1" t="s">
        <v>19</v>
      </c>
      <c r="C43" s="1" t="s">
        <v>10</v>
      </c>
      <c r="D43" s="4">
        <v>100</v>
      </c>
      <c r="E43" s="4">
        <v>217</v>
      </c>
      <c r="F43" s="4">
        <v>-3.7138927100000001</v>
      </c>
      <c r="G43" s="2" t="s">
        <v>40</v>
      </c>
      <c r="H43" s="5">
        <v>225.37</v>
      </c>
      <c r="I43" s="1" t="s">
        <v>8</v>
      </c>
      <c r="J43" s="30" t="s">
        <v>41</v>
      </c>
      <c r="K43" t="s">
        <v>170</v>
      </c>
      <c r="N43" s="18" t="str">
        <f>IF(COUNTIFS( $B$2:$B$949, B43, $C$2:$C$949, C43, $D$2:$D$949, D43, $E$2:$E$949, E43) &gt; 1, "Duplicate", "Unique")</f>
        <v>Unique</v>
      </c>
    </row>
    <row r="44" spans="1:14" customFormat="1" ht="40.799999999999997" customHeight="1" thickBot="1" x14ac:dyDescent="0.35">
      <c r="A44" s="3">
        <v>46252.6875</v>
      </c>
      <c r="B44" s="1" t="s">
        <v>13</v>
      </c>
      <c r="C44" s="1" t="s">
        <v>10</v>
      </c>
      <c r="D44" s="4">
        <v>5</v>
      </c>
      <c r="E44" s="4">
        <v>1764</v>
      </c>
      <c r="F44" s="4">
        <v>-3.9215686270000001</v>
      </c>
      <c r="G44" s="2" t="s">
        <v>91</v>
      </c>
      <c r="H44" s="5">
        <v>1836</v>
      </c>
      <c r="I44" s="1" t="s">
        <v>8</v>
      </c>
      <c r="J44" s="2"/>
      <c r="N44" t="str">
        <f>IF(COUNTIFS( $B$2:$B$949, B44, $C$2:$C$949, C44, $D$2:$D$949, D44, $E$2:$E$949, E44) &gt; 1, "Duplicate", "Unique")</f>
        <v>Unique</v>
      </c>
    </row>
    <row r="45" spans="1:14" customFormat="1" ht="27.6" customHeight="1" thickBot="1" x14ac:dyDescent="0.35">
      <c r="A45" s="3">
        <v>46252.635416666664</v>
      </c>
      <c r="B45" s="1" t="s">
        <v>82</v>
      </c>
      <c r="C45" s="1" t="s">
        <v>10</v>
      </c>
      <c r="D45" s="4">
        <v>2</v>
      </c>
      <c r="E45" s="4">
        <v>4206</v>
      </c>
      <c r="F45" s="4">
        <v>-3.9945217990000002</v>
      </c>
      <c r="G45" s="2" t="s">
        <v>83</v>
      </c>
      <c r="H45" s="5">
        <v>4381</v>
      </c>
      <c r="I45" s="1" t="s">
        <v>8</v>
      </c>
      <c r="J45" s="1" t="s">
        <v>55</v>
      </c>
      <c r="N45" t="str">
        <f>IF(COUNTIFS( $B$2:$B$949, B45, $C$2:$C$949, C45, $D$2:$D$949, D45, $E$2:$E$949, E45) &gt; 1, "Duplicate", "Unique")</f>
        <v>Unique</v>
      </c>
    </row>
    <row r="46" spans="1:14" customFormat="1" ht="27.6" customHeight="1" thickBot="1" x14ac:dyDescent="0.35">
      <c r="A46" s="7" t="s">
        <v>62</v>
      </c>
      <c r="B46" s="1" t="s">
        <v>32</v>
      </c>
      <c r="C46" s="1" t="s">
        <v>10</v>
      </c>
      <c r="D46" s="4">
        <v>5</v>
      </c>
      <c r="E46" s="4">
        <v>838</v>
      </c>
      <c r="F46" s="4">
        <v>-4.0476326790000003</v>
      </c>
      <c r="G46" s="2" t="s">
        <v>85</v>
      </c>
      <c r="H46" s="5">
        <v>873.35</v>
      </c>
      <c r="I46" s="1" t="s">
        <v>8</v>
      </c>
      <c r="J46" s="2"/>
      <c r="N46" t="str">
        <f>IF(COUNTIFS( $B$2:$B$949, B46, $C$2:$C$949, C46, $D$2:$D$949, D46, $E$2:$E$949, E46) &gt; 1, "Duplicate", "Unique")</f>
        <v>Unique</v>
      </c>
    </row>
    <row r="47" spans="1:14" customFormat="1" ht="27.6" customHeight="1" thickBot="1" x14ac:dyDescent="0.35">
      <c r="A47" s="7" t="s">
        <v>62</v>
      </c>
      <c r="B47" s="1" t="s">
        <v>63</v>
      </c>
      <c r="C47" s="1" t="s">
        <v>10</v>
      </c>
      <c r="D47" s="4">
        <v>15</v>
      </c>
      <c r="E47" s="4">
        <v>1005</v>
      </c>
      <c r="F47" s="4">
        <v>-4.0572792360000003</v>
      </c>
      <c r="G47" s="2" t="s">
        <v>64</v>
      </c>
      <c r="H47" s="5">
        <v>1047.5</v>
      </c>
      <c r="I47" s="1" t="s">
        <v>8</v>
      </c>
      <c r="J47" s="2"/>
      <c r="N47" t="str">
        <f>IF(COUNTIFS( $B$2:$B$949, B47, $C$2:$C$949, C47, $D$2:$D$949, D47, $E$2:$E$949, E47) &gt; 1, "Duplicate", "Unique")</f>
        <v>Unique</v>
      </c>
    </row>
    <row r="48" spans="1:14" customFormat="1" ht="27.6" customHeight="1" thickBot="1" x14ac:dyDescent="0.35">
      <c r="A48" s="7" t="s">
        <v>62</v>
      </c>
      <c r="B48" s="1" t="s">
        <v>15</v>
      </c>
      <c r="C48" s="1" t="s">
        <v>10</v>
      </c>
      <c r="D48" s="4">
        <v>5</v>
      </c>
      <c r="E48" s="4">
        <v>2510</v>
      </c>
      <c r="F48" s="4">
        <v>-4.0703229509999996</v>
      </c>
      <c r="G48" s="2" t="s">
        <v>72</v>
      </c>
      <c r="H48" s="5">
        <v>2616.5</v>
      </c>
      <c r="I48" s="1" t="s">
        <v>8</v>
      </c>
      <c r="J48" s="2"/>
      <c r="N48" t="str">
        <f>IF(COUNTIFS( $B$2:$B$949, B48, $C$2:$C$949, C48, $D$2:$D$949, D48, $E$2:$E$949, E48) &gt; 1, "Duplicate", "Unique")</f>
        <v>Unique</v>
      </c>
    </row>
    <row r="49" spans="1:14" customFormat="1" ht="15" customHeight="1" thickBot="1" x14ac:dyDescent="0.35">
      <c r="A49" s="7" t="s">
        <v>62</v>
      </c>
      <c r="B49" s="1" t="s">
        <v>87</v>
      </c>
      <c r="C49" s="1" t="s">
        <v>10</v>
      </c>
      <c r="D49" s="4">
        <v>10</v>
      </c>
      <c r="E49" s="4">
        <v>1260</v>
      </c>
      <c r="F49" s="4">
        <v>-4.1095890410000004</v>
      </c>
      <c r="G49" s="2" t="s">
        <v>88</v>
      </c>
      <c r="H49" s="5">
        <v>1314</v>
      </c>
      <c r="I49" s="1" t="s">
        <v>8</v>
      </c>
      <c r="J49" s="2"/>
      <c r="N49" t="str">
        <f>IF(COUNTIFS( $B$2:$B$949, B49, $C$2:$C$949, C49, $D$2:$D$949, D49, $E$2:$E$949, E49) &gt; 1, "Duplicate", "Unique")</f>
        <v>Unique</v>
      </c>
    </row>
    <row r="50" spans="1:14" customFormat="1" ht="27.6" customHeight="1" thickBot="1" x14ac:dyDescent="0.35">
      <c r="A50" s="7" t="s">
        <v>62</v>
      </c>
      <c r="B50" s="1" t="s">
        <v>43</v>
      </c>
      <c r="C50" s="1" t="s">
        <v>10</v>
      </c>
      <c r="D50" s="4">
        <v>5</v>
      </c>
      <c r="E50" s="4">
        <v>702</v>
      </c>
      <c r="F50" s="4">
        <v>-4.1703637980000003</v>
      </c>
      <c r="G50" s="2" t="s">
        <v>44</v>
      </c>
      <c r="H50" s="5">
        <v>732.55</v>
      </c>
      <c r="I50" s="1" t="s">
        <v>8</v>
      </c>
      <c r="J50" s="1" t="s">
        <v>55</v>
      </c>
      <c r="N50" t="str">
        <f>IF(COUNTIFS( $B$2:$B$949, B50, $C$2:$C$949, C50, $D$2:$D$949, D50, $E$2:$E$949, E50) &gt; 1, "Duplicate", "Unique")</f>
        <v>Unique</v>
      </c>
    </row>
    <row r="51" spans="1:14" customFormat="1" ht="15" customHeight="1" thickBot="1" x14ac:dyDescent="0.35">
      <c r="A51" s="3">
        <v>46252.645138888889</v>
      </c>
      <c r="B51" s="1" t="s">
        <v>66</v>
      </c>
      <c r="C51" s="1" t="s">
        <v>10</v>
      </c>
      <c r="D51" s="4">
        <v>5</v>
      </c>
      <c r="E51" s="4">
        <v>1188</v>
      </c>
      <c r="F51" s="4">
        <v>-4.1858214370000004</v>
      </c>
      <c r="G51" s="2" t="s">
        <v>67</v>
      </c>
      <c r="H51" s="5">
        <v>1239.9000000000001</v>
      </c>
      <c r="I51" s="1" t="s">
        <v>8</v>
      </c>
      <c r="J51" s="11" t="s">
        <v>118</v>
      </c>
      <c r="N51" t="str">
        <f>IF(COUNTIFS( $B$2:$B$949, B51, $C$2:$C$949, C51, $D$2:$D$949, D51, $E$2:$E$949, E51) &gt; 1, "Duplicate", "Unique")</f>
        <v>Unique</v>
      </c>
    </row>
    <row r="52" spans="1:14" customFormat="1" ht="27.6" customHeight="1" thickBot="1" x14ac:dyDescent="0.35">
      <c r="A52" s="7" t="s">
        <v>62</v>
      </c>
      <c r="B52" s="1" t="s">
        <v>32</v>
      </c>
      <c r="C52" s="1" t="s">
        <v>10</v>
      </c>
      <c r="D52" s="4">
        <v>25</v>
      </c>
      <c r="E52" s="4">
        <v>836</v>
      </c>
      <c r="F52" s="4">
        <v>-4.2766359420000004</v>
      </c>
      <c r="G52" s="2" t="s">
        <v>85</v>
      </c>
      <c r="H52" s="5">
        <v>873.35</v>
      </c>
      <c r="I52" s="1" t="s">
        <v>8</v>
      </c>
      <c r="J52" s="2"/>
      <c r="N52" t="str">
        <f>IF(COUNTIFS( $B$2:$B$949, B52, $C$2:$C$949, C52, $D$2:$D$949, D52, $E$2:$E$949, E52) &gt; 1, "Duplicate", "Unique")</f>
        <v>Unique</v>
      </c>
    </row>
    <row r="53" spans="1:14" customFormat="1" ht="15" customHeight="1" thickBot="1" x14ac:dyDescent="0.35">
      <c r="A53" s="7" t="s">
        <v>62</v>
      </c>
      <c r="B53" s="1" t="s">
        <v>14</v>
      </c>
      <c r="C53" s="1" t="s">
        <v>10</v>
      </c>
      <c r="D53" s="4">
        <v>100</v>
      </c>
      <c r="E53" s="4">
        <v>322</v>
      </c>
      <c r="F53" s="4">
        <v>-4.3090638930000003</v>
      </c>
      <c r="G53" s="2" t="s">
        <v>45</v>
      </c>
      <c r="H53" s="5">
        <v>336.5</v>
      </c>
      <c r="I53" s="1" t="s">
        <v>8</v>
      </c>
      <c r="J53" s="2"/>
      <c r="N53" t="str">
        <f>IF(COUNTIFS( $B$2:$B$949, B53, $C$2:$C$949, C53, $D$2:$D$949, D53, $E$2:$E$949, E53) &gt; 1, "Duplicate", "Unique")</f>
        <v>Unique</v>
      </c>
    </row>
    <row r="54" spans="1:14" customFormat="1" ht="27.6" customHeight="1" thickBot="1" x14ac:dyDescent="0.35">
      <c r="A54" s="3">
        <v>46252.635416666664</v>
      </c>
      <c r="B54" s="1" t="s">
        <v>68</v>
      </c>
      <c r="C54" s="1" t="s">
        <v>10</v>
      </c>
      <c r="D54" s="4">
        <v>100</v>
      </c>
      <c r="E54" s="4">
        <v>390</v>
      </c>
      <c r="F54" s="4">
        <v>-4.3531575719999998</v>
      </c>
      <c r="G54" s="2" t="s">
        <v>69</v>
      </c>
      <c r="H54" s="5">
        <v>407.75</v>
      </c>
      <c r="I54" s="1" t="s">
        <v>8</v>
      </c>
      <c r="J54" s="2"/>
      <c r="N54" t="str">
        <f>IF(COUNTIFS( $B$2:$B$949, B54, $C$2:$C$949, C54, $D$2:$D$949, D54, $E$2:$E$949, E54) &gt; 1, "Duplicate", "Unique")</f>
        <v>Unique</v>
      </c>
    </row>
    <row r="55" spans="1:14" customFormat="1" ht="27.6" customHeight="1" thickBot="1" x14ac:dyDescent="0.35">
      <c r="A55" s="3">
        <v>46254.375578703701</v>
      </c>
      <c r="B55" s="1" t="s">
        <v>36</v>
      </c>
      <c r="C55" s="1" t="s">
        <v>10</v>
      </c>
      <c r="D55" s="4">
        <v>5</v>
      </c>
      <c r="E55" s="4">
        <v>1181</v>
      </c>
      <c r="F55" s="4">
        <v>-4.3956933539999996</v>
      </c>
      <c r="G55" s="2" t="s">
        <v>65</v>
      </c>
      <c r="H55" s="5">
        <v>1235.3</v>
      </c>
      <c r="I55" s="1" t="s">
        <v>8</v>
      </c>
      <c r="J55" s="30" t="s">
        <v>41</v>
      </c>
      <c r="K55" t="s">
        <v>171</v>
      </c>
      <c r="N55" s="18" t="str">
        <f>IF(COUNTIFS( $B$2:$B$949, B55, $C$2:$C$949, C55, $D$2:$D$949, D55, $E$2:$E$949, E55) &gt; 1, "Duplicate", "Unique")</f>
        <v>Unique</v>
      </c>
    </row>
    <row r="56" spans="1:14" customFormat="1" ht="15" customHeight="1" thickBot="1" x14ac:dyDescent="0.35">
      <c r="A56" s="7" t="s">
        <v>62</v>
      </c>
      <c r="B56" s="1" t="s">
        <v>49</v>
      </c>
      <c r="C56" s="1" t="s">
        <v>10</v>
      </c>
      <c r="D56" s="4">
        <v>5</v>
      </c>
      <c r="E56" s="4">
        <v>3888</v>
      </c>
      <c r="F56" s="4">
        <v>-4.4717444720000001</v>
      </c>
      <c r="G56" s="2" t="s">
        <v>50</v>
      </c>
      <c r="H56" s="5">
        <v>4070</v>
      </c>
      <c r="I56" s="1" t="s">
        <v>8</v>
      </c>
      <c r="J56" s="2"/>
      <c r="N56" t="str">
        <f>IF(COUNTIFS( $B$2:$B$949, B56, $C$2:$C$949, C56, $D$2:$D$949, D56, $E$2:$E$949, E56) &gt; 1, "Duplicate", "Unique")</f>
        <v>Unique</v>
      </c>
    </row>
    <row r="57" spans="1:14" customFormat="1" ht="15" customHeight="1" thickBot="1" x14ac:dyDescent="0.35">
      <c r="A57" s="7" t="s">
        <v>62</v>
      </c>
      <c r="B57" s="1" t="s">
        <v>100</v>
      </c>
      <c r="C57" s="1" t="s">
        <v>10</v>
      </c>
      <c r="D57" s="4">
        <v>25</v>
      </c>
      <c r="E57" s="4">
        <v>196</v>
      </c>
      <c r="F57" s="4">
        <v>-4.5764362219999999</v>
      </c>
      <c r="G57" s="2" t="s">
        <v>101</v>
      </c>
      <c r="H57" s="5">
        <v>205.4</v>
      </c>
      <c r="I57" s="1" t="s">
        <v>8</v>
      </c>
      <c r="J57" s="2"/>
      <c r="N57" t="str">
        <f>IF(COUNTIFS( $B$2:$B$949, B57, $C$2:$C$949, C57, $D$2:$D$949, D57, $E$2:$E$949, E57) &gt; 1, "Duplicate", "Unique")</f>
        <v>Unique</v>
      </c>
    </row>
    <row r="58" spans="1:14" customFormat="1" ht="40.799999999999997" customHeight="1" thickBot="1" x14ac:dyDescent="0.35">
      <c r="A58" s="3">
        <v>46252.635416666664</v>
      </c>
      <c r="B58" s="1" t="s">
        <v>51</v>
      </c>
      <c r="C58" s="1" t="s">
        <v>10</v>
      </c>
      <c r="D58" s="4">
        <v>20</v>
      </c>
      <c r="E58" s="4">
        <v>917</v>
      </c>
      <c r="F58" s="4">
        <v>-4.5785639959999997</v>
      </c>
      <c r="G58" s="2" t="s">
        <v>52</v>
      </c>
      <c r="H58" s="5">
        <v>961</v>
      </c>
      <c r="I58" s="1" t="s">
        <v>8</v>
      </c>
      <c r="J58" s="1" t="s">
        <v>117</v>
      </c>
      <c r="N58" t="str">
        <f>IF(COUNTIFS( $B$2:$B$949, B58, $C$2:$C$949, C58, $D$2:$D$949, D58, $E$2:$E$949, E58) &gt; 1, "Duplicate", "Unique")</f>
        <v>Unique</v>
      </c>
    </row>
    <row r="59" spans="1:14" customFormat="1" ht="27.6" customHeight="1" thickBot="1" x14ac:dyDescent="0.35">
      <c r="A59" s="3">
        <v>46252.635416666664</v>
      </c>
      <c r="B59" s="1" t="s">
        <v>80</v>
      </c>
      <c r="C59" s="1" t="s">
        <v>10</v>
      </c>
      <c r="D59" s="4">
        <v>10</v>
      </c>
      <c r="E59" s="4">
        <v>1420</v>
      </c>
      <c r="F59" s="4">
        <v>-4.5827173769999998</v>
      </c>
      <c r="G59" s="2" t="s">
        <v>81</v>
      </c>
      <c r="H59" s="5">
        <v>1488.2</v>
      </c>
      <c r="I59" s="1" t="s">
        <v>8</v>
      </c>
      <c r="J59" s="2"/>
      <c r="N59" t="str">
        <f>IF(COUNTIFS( $B$2:$B$949, B59, $C$2:$C$949, C59, $D$2:$D$949, D59, $E$2:$E$949, E59) &gt; 1, "Duplicate", "Unique")</f>
        <v>Unique</v>
      </c>
    </row>
    <row r="60" spans="1:14" customFormat="1" ht="15" customHeight="1" thickBot="1" x14ac:dyDescent="0.35">
      <c r="A60" s="3">
        <v>46254.375578703701</v>
      </c>
      <c r="B60" s="1" t="s">
        <v>33</v>
      </c>
      <c r="C60" s="1" t="s">
        <v>10</v>
      </c>
      <c r="D60" s="4">
        <v>7</v>
      </c>
      <c r="E60" s="4">
        <v>2230</v>
      </c>
      <c r="F60" s="4">
        <v>-4.6641870809999997</v>
      </c>
      <c r="G60" s="2" t="s">
        <v>84</v>
      </c>
      <c r="H60" s="5">
        <v>2339.1</v>
      </c>
      <c r="I60" s="1" t="s">
        <v>8</v>
      </c>
      <c r="J60" s="30" t="s">
        <v>55</v>
      </c>
      <c r="K60" t="s">
        <v>169</v>
      </c>
      <c r="N60" s="18" t="str">
        <f>IF(COUNTIFS( $B$2:$B$949, B60, $C$2:$C$949, C60, $D$2:$D$949, D60, $E$2:$E$949, E60) &gt; 1, "Duplicate", "Unique")</f>
        <v>Unique</v>
      </c>
    </row>
    <row r="61" spans="1:14" customFormat="1" ht="27.6" customHeight="1" thickBot="1" x14ac:dyDescent="0.35">
      <c r="A61" s="3">
        <v>46252.6875</v>
      </c>
      <c r="B61" s="1" t="s">
        <v>11</v>
      </c>
      <c r="C61" s="1" t="s">
        <v>10</v>
      </c>
      <c r="D61" s="4">
        <v>60</v>
      </c>
      <c r="E61" s="4">
        <v>271</v>
      </c>
      <c r="F61" s="4">
        <v>-4.7451669599999997</v>
      </c>
      <c r="G61" s="2" t="s">
        <v>99</v>
      </c>
      <c r="H61" s="5">
        <v>284.5</v>
      </c>
      <c r="I61" s="1" t="s">
        <v>8</v>
      </c>
      <c r="J61" s="2"/>
      <c r="N61" t="str">
        <f>IF(COUNTIFS( $B$2:$B$949, B61, $C$2:$C$949, C61, $D$2:$D$949, D61, $E$2:$E$949, E61) &gt; 1, "Duplicate", "Unique")</f>
        <v>Unique</v>
      </c>
    </row>
    <row r="62" spans="1:14" customFormat="1" ht="27.6" customHeight="1" thickBot="1" x14ac:dyDescent="0.35">
      <c r="A62" s="7" t="s">
        <v>62</v>
      </c>
      <c r="B62" s="1" t="s">
        <v>87</v>
      </c>
      <c r="C62" s="1" t="s">
        <v>10</v>
      </c>
      <c r="D62" s="4">
        <v>10</v>
      </c>
      <c r="E62" s="4">
        <v>1251</v>
      </c>
      <c r="F62" s="4">
        <v>-4.7945205480000004</v>
      </c>
      <c r="G62" s="2" t="s">
        <v>88</v>
      </c>
      <c r="H62" s="5">
        <v>1314</v>
      </c>
      <c r="I62" s="1" t="s">
        <v>8</v>
      </c>
      <c r="J62" s="2"/>
      <c r="N62" t="str">
        <f>IF(COUNTIFS( $B$2:$B$949, B62, $C$2:$C$949, C62, $D$2:$D$949, D62, $E$2:$E$949, E62) &gt; 1, "Duplicate", "Unique")</f>
        <v>Unique</v>
      </c>
    </row>
    <row r="63" spans="1:14" customFormat="1" ht="27.6" customHeight="1" thickBot="1" x14ac:dyDescent="0.35">
      <c r="A63" s="7" t="s">
        <v>62</v>
      </c>
      <c r="B63" s="1" t="s">
        <v>15</v>
      </c>
      <c r="C63" s="1" t="s">
        <v>10</v>
      </c>
      <c r="D63" s="4">
        <v>5</v>
      </c>
      <c r="E63" s="4">
        <v>2490</v>
      </c>
      <c r="F63" s="4">
        <v>-4.834702847</v>
      </c>
      <c r="G63" s="2" t="s">
        <v>72</v>
      </c>
      <c r="H63" s="5">
        <v>2616.5</v>
      </c>
      <c r="I63" s="1" t="s">
        <v>8</v>
      </c>
      <c r="J63" s="2"/>
      <c r="N63" t="str">
        <f>IF(COUNTIFS( $B$2:$B$949, B63, $C$2:$C$949, C63, $D$2:$D$949, D63, $E$2:$E$949, E63) &gt; 1, "Duplicate", "Unique")</f>
        <v>Unique</v>
      </c>
    </row>
    <row r="64" spans="1:14" customFormat="1" ht="40.799999999999997" customHeight="1" thickBot="1" x14ac:dyDescent="0.35">
      <c r="A64" s="3">
        <v>46252.6875</v>
      </c>
      <c r="B64" s="1" t="s">
        <v>9</v>
      </c>
      <c r="C64" s="1" t="s">
        <v>10</v>
      </c>
      <c r="D64" s="4">
        <v>37</v>
      </c>
      <c r="E64" s="4">
        <v>277</v>
      </c>
      <c r="F64" s="4">
        <v>-4.974271012</v>
      </c>
      <c r="G64" s="2" t="s">
        <v>95</v>
      </c>
      <c r="H64" s="5">
        <v>291.5</v>
      </c>
      <c r="I64" s="1" t="s">
        <v>8</v>
      </c>
      <c r="J64" s="2"/>
      <c r="N64" t="str">
        <f>IF(COUNTIFS( $B$2:$B$949, B64, $C$2:$C$949, C64, $D$2:$D$949, D64, $E$2:$E$949, E64) &gt; 1, "Duplicate", "Unique")</f>
        <v>Unique</v>
      </c>
    </row>
    <row r="65" spans="1:14" customFormat="1" ht="27.6" customHeight="1" thickBot="1" x14ac:dyDescent="0.35">
      <c r="A65" s="7" t="s">
        <v>62</v>
      </c>
      <c r="B65" s="1" t="s">
        <v>23</v>
      </c>
      <c r="C65" s="1" t="s">
        <v>10</v>
      </c>
      <c r="D65" s="4">
        <v>50</v>
      </c>
      <c r="E65" s="4">
        <v>196</v>
      </c>
      <c r="F65" s="4">
        <v>-4.992729035</v>
      </c>
      <c r="G65" s="2" t="s">
        <v>70</v>
      </c>
      <c r="H65" s="5">
        <v>206.3</v>
      </c>
      <c r="I65" s="1" t="s">
        <v>8</v>
      </c>
      <c r="J65" s="2"/>
      <c r="N65" t="str">
        <f>IF(COUNTIFS( $B$2:$B$949, B65, $C$2:$C$949, C65, $D$2:$D$949, D65, $E$2:$E$949, E65) &gt; 1, "Duplicate", "Unique")</f>
        <v>Unique</v>
      </c>
    </row>
    <row r="66" spans="1:14" customFormat="1" ht="27.6" customHeight="1" thickBot="1" x14ac:dyDescent="0.35">
      <c r="A66" s="8" t="s">
        <v>62</v>
      </c>
      <c r="B66" s="9" t="s">
        <v>19</v>
      </c>
      <c r="C66" s="9" t="s">
        <v>10</v>
      </c>
      <c r="D66" s="10">
        <v>150</v>
      </c>
      <c r="E66" s="10">
        <v>214</v>
      </c>
      <c r="F66" s="4">
        <v>-5.0450370500000004</v>
      </c>
      <c r="G66" s="2" t="s">
        <v>40</v>
      </c>
      <c r="H66" s="5">
        <v>225.37</v>
      </c>
      <c r="I66" s="1" t="s">
        <v>8</v>
      </c>
      <c r="J66" s="2"/>
      <c r="N66" t="str">
        <f>IF(COUNTIFS( $B$2:$B$949, B66, $C$2:$C$949, C66, $D$2:$D$949, D66, $E$2:$E$949, E66) &gt; 1, "Duplicate", "Unique")</f>
        <v>Unique</v>
      </c>
    </row>
    <row r="67" spans="1:14" customFormat="1" ht="27.6" customHeight="1" thickBot="1" x14ac:dyDescent="0.35">
      <c r="A67" s="7" t="s">
        <v>62</v>
      </c>
      <c r="B67" s="1" t="s">
        <v>78</v>
      </c>
      <c r="C67" s="1" t="s">
        <v>10</v>
      </c>
      <c r="D67" s="4">
        <v>69</v>
      </c>
      <c r="E67" s="4">
        <v>1277</v>
      </c>
      <c r="F67" s="4">
        <v>-5.1192510589999998</v>
      </c>
      <c r="G67" s="2" t="s">
        <v>79</v>
      </c>
      <c r="H67" s="5">
        <v>1345.9</v>
      </c>
      <c r="I67" s="1" t="s">
        <v>8</v>
      </c>
      <c r="J67" s="2"/>
      <c r="N67" t="str">
        <f>IF(COUNTIFS( $B$2:$B$949, B67, $C$2:$C$949, C67, $D$2:$D$949, D67, $E$2:$E$949, E67) &gt; 1, "Duplicate", "Unique")</f>
        <v>Unique</v>
      </c>
    </row>
    <row r="68" spans="1:14" customFormat="1" ht="15" customHeight="1" thickBot="1" x14ac:dyDescent="0.35">
      <c r="A68" s="3">
        <v>46252.645833333336</v>
      </c>
      <c r="B68" s="1" t="s">
        <v>53</v>
      </c>
      <c r="C68" s="1" t="s">
        <v>10</v>
      </c>
      <c r="D68" s="4">
        <v>2</v>
      </c>
      <c r="E68" s="4">
        <v>2460</v>
      </c>
      <c r="F68" s="4">
        <v>-5.2059650880000001</v>
      </c>
      <c r="G68" s="2" t="s">
        <v>54</v>
      </c>
      <c r="H68" s="5">
        <v>2595.1</v>
      </c>
      <c r="I68" s="1" t="s">
        <v>8</v>
      </c>
      <c r="J68" s="11" t="s">
        <v>41</v>
      </c>
      <c r="N68" t="str">
        <f>IF(COUNTIFS( $B$2:$B$949, B68, $C$2:$C$949, C68, $D$2:$D$949, D68, $E$2:$E$949, E68) &gt; 1, "Duplicate", "Unique")</f>
        <v>Unique</v>
      </c>
    </row>
    <row r="69" spans="1:14" customFormat="1" ht="27.6" customHeight="1" thickBot="1" x14ac:dyDescent="0.35">
      <c r="A69" s="3">
        <v>46252.635416666664</v>
      </c>
      <c r="B69" s="1" t="s">
        <v>80</v>
      </c>
      <c r="C69" s="1" t="s">
        <v>10</v>
      </c>
      <c r="D69" s="4">
        <v>10</v>
      </c>
      <c r="E69" s="4">
        <v>1410</v>
      </c>
      <c r="F69" s="4">
        <v>-5.2546700709999996</v>
      </c>
      <c r="G69" s="2" t="s">
        <v>81</v>
      </c>
      <c r="H69" s="5">
        <v>1488.2</v>
      </c>
      <c r="I69" s="1" t="s">
        <v>8</v>
      </c>
      <c r="J69" s="2"/>
      <c r="N69" t="str">
        <f>IF(COUNTIFS( $B$2:$B$949, B69, $C$2:$C$949, C69, $D$2:$D$949, D69, $E$2:$E$949, E69) &gt; 1, "Duplicate", "Unique")</f>
        <v>Unique</v>
      </c>
    </row>
    <row r="70" spans="1:14" customFormat="1" ht="27.6" customHeight="1" thickBot="1" x14ac:dyDescent="0.35">
      <c r="A70" s="7" t="s">
        <v>62</v>
      </c>
      <c r="B70" s="1" t="s">
        <v>49</v>
      </c>
      <c r="C70" s="1" t="s">
        <v>10</v>
      </c>
      <c r="D70" s="4">
        <v>2</v>
      </c>
      <c r="E70" s="4">
        <v>3856</v>
      </c>
      <c r="F70" s="4">
        <v>-5.2579852579999997</v>
      </c>
      <c r="G70" s="2" t="s">
        <v>50</v>
      </c>
      <c r="H70" s="5">
        <v>4070</v>
      </c>
      <c r="I70" s="1" t="s">
        <v>8</v>
      </c>
      <c r="J70" s="2"/>
      <c r="N70" t="str">
        <f>IF(COUNTIFS( $B$2:$B$949, B70, $C$2:$C$949, C70, $D$2:$D$949, D70, $E$2:$E$949, E70) &gt; 1, "Duplicate", "Unique")</f>
        <v>Unique</v>
      </c>
    </row>
    <row r="71" spans="1:14" customFormat="1" ht="15" customHeight="1" thickBot="1" x14ac:dyDescent="0.35">
      <c r="A71" s="3">
        <v>46252.6875</v>
      </c>
      <c r="B71" s="1" t="s">
        <v>20</v>
      </c>
      <c r="C71" s="1" t="s">
        <v>10</v>
      </c>
      <c r="D71" s="4">
        <v>50</v>
      </c>
      <c r="E71" s="4">
        <v>122</v>
      </c>
      <c r="F71" s="4">
        <v>-5.3015601959999996</v>
      </c>
      <c r="G71" s="2" t="s">
        <v>86</v>
      </c>
      <c r="H71" s="5">
        <v>128.83000000000001</v>
      </c>
      <c r="I71" s="1" t="s">
        <v>8</v>
      </c>
      <c r="J71" s="1" t="s">
        <v>41</v>
      </c>
      <c r="N71" t="str">
        <f>IF(COUNTIFS( $B$2:$B$949, B71, $C$2:$C$949, C71, $D$2:$D$949, D71, $E$2:$E$949, E71) &gt; 1, "Duplicate", "Unique")</f>
        <v>Unique</v>
      </c>
    </row>
    <row r="72" spans="1:14" customFormat="1" ht="27.6" customHeight="1" thickBot="1" x14ac:dyDescent="0.35">
      <c r="A72" s="7" t="s">
        <v>62</v>
      </c>
      <c r="B72" s="1" t="s">
        <v>15</v>
      </c>
      <c r="C72" s="1" t="s">
        <v>10</v>
      </c>
      <c r="D72" s="4">
        <v>5</v>
      </c>
      <c r="E72" s="4">
        <v>2470</v>
      </c>
      <c r="F72" s="4">
        <v>-5.5990827440000004</v>
      </c>
      <c r="G72" s="2" t="s">
        <v>72</v>
      </c>
      <c r="H72" s="5">
        <v>2616.5</v>
      </c>
      <c r="I72" s="1" t="s">
        <v>8</v>
      </c>
      <c r="J72" s="2"/>
      <c r="N72" t="str">
        <f>IF(COUNTIFS( $B$2:$B$949, B72, $C$2:$C$949, C72, $D$2:$D$949, D72, $E$2:$E$949, E72) &gt; 1, "Duplicate", "Unique")</f>
        <v>Unique</v>
      </c>
    </row>
    <row r="73" spans="1:14" customFormat="1" ht="27.6" customHeight="1" thickBot="1" x14ac:dyDescent="0.35">
      <c r="A73" s="7" t="s">
        <v>62</v>
      </c>
      <c r="B73" s="1" t="s">
        <v>51</v>
      </c>
      <c r="C73" s="1" t="s">
        <v>10</v>
      </c>
      <c r="D73" s="4">
        <v>10</v>
      </c>
      <c r="E73" s="4">
        <v>907</v>
      </c>
      <c r="F73" s="4">
        <v>-5.619146722</v>
      </c>
      <c r="G73" s="2" t="s">
        <v>52</v>
      </c>
      <c r="H73" s="5">
        <v>961</v>
      </c>
      <c r="I73" s="1" t="s">
        <v>8</v>
      </c>
      <c r="J73" s="2"/>
      <c r="N73" t="str">
        <f>IF(COUNTIFS( $B$2:$B$949, B73, $C$2:$C$949, C73, $D$2:$D$949, D73, $E$2:$E$949, E73) &gt; 1, "Duplicate", "Unique")</f>
        <v>Unique</v>
      </c>
    </row>
    <row r="74" spans="1:14" customFormat="1" ht="27.6" customHeight="1" thickBot="1" x14ac:dyDescent="0.35">
      <c r="A74" s="7" t="s">
        <v>62</v>
      </c>
      <c r="B74" s="1" t="s">
        <v>34</v>
      </c>
      <c r="C74" s="1" t="s">
        <v>10</v>
      </c>
      <c r="D74" s="4">
        <v>1</v>
      </c>
      <c r="E74" s="4">
        <v>18552</v>
      </c>
      <c r="F74" s="4">
        <v>-5.6358087489999997</v>
      </c>
      <c r="G74" s="2" t="s">
        <v>71</v>
      </c>
      <c r="H74" s="5">
        <v>19660</v>
      </c>
      <c r="I74" s="1" t="s">
        <v>8</v>
      </c>
      <c r="J74" s="2"/>
      <c r="N74" t="str">
        <f>IF(COUNTIFS( $B$2:$B$949, B74, $C$2:$C$949, C74, $D$2:$D$949, D74, $E$2:$E$949, E74) &gt; 1, "Duplicate", "Unique")</f>
        <v>Unique</v>
      </c>
    </row>
    <row r="75" spans="1:14" customFormat="1" ht="15" customHeight="1" thickBot="1" x14ac:dyDescent="0.35">
      <c r="A75" s="7" t="s">
        <v>62</v>
      </c>
      <c r="B75" s="1" t="s">
        <v>16</v>
      </c>
      <c r="C75" s="1" t="s">
        <v>10</v>
      </c>
      <c r="D75" s="4">
        <v>11</v>
      </c>
      <c r="E75" s="4">
        <v>882</v>
      </c>
      <c r="F75" s="4">
        <v>-5.6684491980000002</v>
      </c>
      <c r="G75" s="2" t="s">
        <v>61</v>
      </c>
      <c r="H75" s="5">
        <v>935</v>
      </c>
      <c r="I75" s="1" t="s">
        <v>8</v>
      </c>
      <c r="J75" s="2"/>
      <c r="N75" t="str">
        <f>IF(COUNTIFS( $B$2:$B$949, B75, $C$2:$C$949, C75, $D$2:$D$949, D75, $E$2:$E$949, E75) &gt; 1, "Duplicate", "Unique")</f>
        <v>Unique</v>
      </c>
    </row>
    <row r="76" spans="1:14" customFormat="1" ht="15" customHeight="1" thickBot="1" x14ac:dyDescent="0.35">
      <c r="A76" s="7" t="s">
        <v>62</v>
      </c>
      <c r="B76" s="1" t="s">
        <v>49</v>
      </c>
      <c r="C76" s="1" t="s">
        <v>10</v>
      </c>
      <c r="D76" s="4">
        <v>2</v>
      </c>
      <c r="E76" s="4">
        <v>3830</v>
      </c>
      <c r="F76" s="4">
        <v>-5.8968058970000001</v>
      </c>
      <c r="G76" s="2" t="s">
        <v>50</v>
      </c>
      <c r="H76" s="5">
        <v>4070</v>
      </c>
      <c r="I76" s="1" t="s">
        <v>8</v>
      </c>
      <c r="J76" s="2"/>
      <c r="N76" t="str">
        <f>IF(COUNTIFS( $B$2:$B$949, B76, $C$2:$C$949, C76, $D$2:$D$949, D76, $E$2:$E$949, E76) &gt; 1, "Duplicate", "Unique")</f>
        <v>Unique</v>
      </c>
    </row>
    <row r="77" spans="1:14" customFormat="1" ht="40.799999999999997" customHeight="1" thickBot="1" x14ac:dyDescent="0.35">
      <c r="A77" s="7" t="s">
        <v>62</v>
      </c>
      <c r="B77" s="1" t="s">
        <v>19</v>
      </c>
      <c r="C77" s="1" t="s">
        <v>10</v>
      </c>
      <c r="D77" s="4">
        <v>50</v>
      </c>
      <c r="E77" s="4">
        <v>212</v>
      </c>
      <c r="F77" s="4">
        <v>-5.9324666099999996</v>
      </c>
      <c r="G77" s="2" t="s">
        <v>40</v>
      </c>
      <c r="H77" s="5">
        <v>225.37</v>
      </c>
      <c r="I77" s="1" t="s">
        <v>8</v>
      </c>
      <c r="J77" s="2"/>
      <c r="N77" t="str">
        <f>IF(COUNTIFS( $B$2:$B$949, B77, $C$2:$C$949, C77, $D$2:$D$949, D77, $E$2:$E$949, E77) &gt; 1, "Duplicate", "Unique")</f>
        <v>Unique</v>
      </c>
    </row>
    <row r="78" spans="1:14" customFormat="1" ht="27.6" customHeight="1" thickBot="1" x14ac:dyDescent="0.35">
      <c r="A78" s="3">
        <v>46253.375</v>
      </c>
      <c r="B78" s="1" t="s">
        <v>36</v>
      </c>
      <c r="C78" s="1" t="s">
        <v>10</v>
      </c>
      <c r="D78" s="4">
        <v>5</v>
      </c>
      <c r="E78" s="4">
        <v>1162</v>
      </c>
      <c r="F78" s="4">
        <v>-5.9337812679999997</v>
      </c>
      <c r="G78" s="2" t="s">
        <v>65</v>
      </c>
      <c r="H78" s="5">
        <v>1235.3</v>
      </c>
      <c r="I78" s="1" t="s">
        <v>8</v>
      </c>
      <c r="J78" s="2"/>
      <c r="K78" t="s">
        <v>156</v>
      </c>
      <c r="N78" t="str">
        <f>IF(COUNTIFS( $B$2:$B$949, B78, $C$2:$C$949, C78, $D$2:$D$949, D78, $E$2:$E$949, E78) &gt; 1, "Duplicate", "Unique")</f>
        <v>Unique</v>
      </c>
    </row>
    <row r="79" spans="1:14" customFormat="1" ht="27.6" customHeight="1" thickBot="1" x14ac:dyDescent="0.35">
      <c r="A79" s="7" t="s">
        <v>62</v>
      </c>
      <c r="B79" s="1" t="s">
        <v>66</v>
      </c>
      <c r="C79" s="1" t="s">
        <v>10</v>
      </c>
      <c r="D79" s="4">
        <v>10</v>
      </c>
      <c r="E79" s="4">
        <v>1166</v>
      </c>
      <c r="F79" s="4">
        <v>-5.960158077</v>
      </c>
      <c r="G79" s="2" t="s">
        <v>67</v>
      </c>
      <c r="H79" s="5">
        <v>1239.9000000000001</v>
      </c>
      <c r="I79" s="1" t="s">
        <v>8</v>
      </c>
      <c r="J79" s="2"/>
      <c r="N79" t="str">
        <f>IF(COUNTIFS( $B$2:$B$949, B79, $C$2:$C$949, C79, $D$2:$D$949, D79, $E$2:$E$949, E79) &gt; 1, "Duplicate", "Unique")</f>
        <v>Unique</v>
      </c>
    </row>
    <row r="80" spans="1:14" customFormat="1" ht="27.6" customHeight="1" thickBot="1" x14ac:dyDescent="0.35">
      <c r="A80" s="7" t="s">
        <v>62</v>
      </c>
      <c r="B80" s="1" t="s">
        <v>15</v>
      </c>
      <c r="C80" s="1" t="s">
        <v>10</v>
      </c>
      <c r="D80" s="4">
        <v>30</v>
      </c>
      <c r="E80" s="4">
        <v>2460</v>
      </c>
      <c r="F80" s="4">
        <v>-5.9812726930000002</v>
      </c>
      <c r="G80" s="2" t="s">
        <v>72</v>
      </c>
      <c r="H80" s="5">
        <v>2616.5</v>
      </c>
      <c r="I80" s="1" t="s">
        <v>8</v>
      </c>
      <c r="J80" s="2"/>
      <c r="N80" t="str">
        <f>IF(COUNTIFS( $B$2:$B$949, B80, $C$2:$C$949, C80, $D$2:$D$949, D80, $E$2:$E$949, E80) &gt; 1, "Duplicate", "Unique")</f>
        <v>Unique</v>
      </c>
    </row>
    <row r="81" spans="1:14" customFormat="1" ht="27.6" customHeight="1" thickBot="1" x14ac:dyDescent="0.35">
      <c r="A81" s="7" t="s">
        <v>62</v>
      </c>
      <c r="B81" s="1" t="s">
        <v>82</v>
      </c>
      <c r="C81" s="1" t="s">
        <v>10</v>
      </c>
      <c r="D81" s="4">
        <v>4</v>
      </c>
      <c r="E81" s="4">
        <v>4110</v>
      </c>
      <c r="F81" s="4">
        <v>-6.1858023280000003</v>
      </c>
      <c r="G81" s="2" t="s">
        <v>83</v>
      </c>
      <c r="H81" s="5">
        <v>4381</v>
      </c>
      <c r="I81" s="1" t="s">
        <v>8</v>
      </c>
      <c r="J81" s="2"/>
      <c r="N81" t="str">
        <f>IF(COUNTIFS( $B$2:$B$949, B81, $C$2:$C$949, C81, $D$2:$D$949, D81, $E$2:$E$949, E81) &gt; 1, "Duplicate", "Unique")</f>
        <v>Unique</v>
      </c>
    </row>
    <row r="82" spans="1:14" customFormat="1" ht="27.6" customHeight="1" thickBot="1" x14ac:dyDescent="0.35">
      <c r="A82" s="3">
        <v>46252.688194444447</v>
      </c>
      <c r="B82" s="1" t="s">
        <v>21</v>
      </c>
      <c r="C82" s="1" t="s">
        <v>10</v>
      </c>
      <c r="D82" s="4">
        <v>5</v>
      </c>
      <c r="E82" s="4">
        <v>640</v>
      </c>
      <c r="F82" s="4">
        <v>-6.2820325080000003</v>
      </c>
      <c r="G82" s="2" t="s">
        <v>76</v>
      </c>
      <c r="H82" s="5">
        <v>682.9</v>
      </c>
      <c r="I82" s="1" t="s">
        <v>8</v>
      </c>
      <c r="J82" s="2"/>
      <c r="N82" t="str">
        <f>IF(COUNTIFS( $B$2:$B$949, B82, $C$2:$C$949, C82, $D$2:$D$949, D82, $E$2:$E$949, E82) &gt; 1, "Duplicate", "Unique")</f>
        <v>Unique</v>
      </c>
    </row>
    <row r="83" spans="1:14" customFormat="1" ht="15" customHeight="1" thickBot="1" x14ac:dyDescent="0.35">
      <c r="A83" s="3">
        <v>46252.688194444447</v>
      </c>
      <c r="B83" s="1" t="s">
        <v>96</v>
      </c>
      <c r="C83" s="1" t="s">
        <v>10</v>
      </c>
      <c r="D83" s="4">
        <v>45</v>
      </c>
      <c r="E83" s="4">
        <v>136.15</v>
      </c>
      <c r="F83" s="4">
        <v>-6.3488787999999996</v>
      </c>
      <c r="G83" s="2" t="s">
        <v>97</v>
      </c>
      <c r="H83" s="5">
        <v>145.38</v>
      </c>
      <c r="I83" s="1" t="s">
        <v>8</v>
      </c>
      <c r="J83" s="2"/>
      <c r="N83" t="str">
        <f>IF(COUNTIFS( $B$2:$B$949, B83, $C$2:$C$949, C83, $D$2:$D$949, D83, $E$2:$E$949, E83) &gt; 1, "Duplicate", "Unique")</f>
        <v>Unique</v>
      </c>
    </row>
    <row r="84" spans="1:14" customFormat="1" ht="40.799999999999997" customHeight="1" thickBot="1" x14ac:dyDescent="0.35">
      <c r="A84" s="7" t="s">
        <v>62</v>
      </c>
      <c r="B84" s="1" t="s">
        <v>49</v>
      </c>
      <c r="C84" s="1" t="s">
        <v>10</v>
      </c>
      <c r="D84" s="4">
        <v>3</v>
      </c>
      <c r="E84" s="4">
        <v>3810</v>
      </c>
      <c r="F84" s="4">
        <v>-6.3882063880000004</v>
      </c>
      <c r="G84" s="2" t="s">
        <v>50</v>
      </c>
      <c r="H84" s="5">
        <v>4070</v>
      </c>
      <c r="I84" s="1" t="s">
        <v>8</v>
      </c>
      <c r="J84" s="2"/>
      <c r="N84" t="str">
        <f>IF(COUNTIFS( $B$2:$B$949, B84, $C$2:$C$949, C84, $D$2:$D$949, D84, $E$2:$E$949, E84) &gt; 1, "Duplicate", "Unique")</f>
        <v>Unique</v>
      </c>
    </row>
    <row r="85" spans="1:14" customFormat="1" ht="15" customHeight="1" thickBot="1" x14ac:dyDescent="0.35">
      <c r="A85" s="7" t="s">
        <v>62</v>
      </c>
      <c r="B85" s="1" t="s">
        <v>103</v>
      </c>
      <c r="C85" s="1" t="s">
        <v>10</v>
      </c>
      <c r="D85" s="4">
        <v>7</v>
      </c>
      <c r="E85" s="4">
        <v>2401</v>
      </c>
      <c r="F85" s="4">
        <v>-6.3937621829999998</v>
      </c>
      <c r="G85" s="2" t="s">
        <v>104</v>
      </c>
      <c r="H85" s="5">
        <v>2565</v>
      </c>
      <c r="I85" s="1" t="s">
        <v>8</v>
      </c>
      <c r="J85" s="2"/>
      <c r="N85" t="str">
        <f>IF(COUNTIFS( $B$2:$B$949, B85, $C$2:$C$949, C85, $D$2:$D$949, D85, $E$2:$E$949, E85) &gt; 1, "Duplicate", "Unique")</f>
        <v>Unique</v>
      </c>
    </row>
    <row r="86" spans="1:14" customFormat="1" ht="27.6" customHeight="1" thickBot="1" x14ac:dyDescent="0.35">
      <c r="A86" s="3">
        <v>46252.6875</v>
      </c>
      <c r="B86" s="1" t="s">
        <v>13</v>
      </c>
      <c r="C86" s="1" t="s">
        <v>10</v>
      </c>
      <c r="D86" s="4">
        <v>5</v>
      </c>
      <c r="E86" s="4">
        <v>1714</v>
      </c>
      <c r="F86" s="4">
        <v>-6.6448801739999999</v>
      </c>
      <c r="G86" s="2" t="s">
        <v>91</v>
      </c>
      <c r="H86" s="5">
        <v>1836</v>
      </c>
      <c r="I86" s="1" t="s">
        <v>8</v>
      </c>
      <c r="J86" s="2"/>
      <c r="N86" t="str">
        <f>IF(COUNTIFS( $B$2:$B$949, B86, $C$2:$C$949, C86, $D$2:$D$949, D86, $E$2:$E$949, E86) &gt; 1, "Duplicate", "Unique")</f>
        <v>Unique</v>
      </c>
    </row>
    <row r="87" spans="1:14" customFormat="1" ht="27.6" customHeight="1" thickBot="1" x14ac:dyDescent="0.35">
      <c r="A87" s="7" t="s">
        <v>62</v>
      </c>
      <c r="B87" s="1" t="s">
        <v>51</v>
      </c>
      <c r="C87" s="1" t="s">
        <v>10</v>
      </c>
      <c r="D87" s="4">
        <v>40</v>
      </c>
      <c r="E87" s="4">
        <v>897</v>
      </c>
      <c r="F87" s="4">
        <v>-6.6597294480000002</v>
      </c>
      <c r="G87" s="2" t="s">
        <v>52</v>
      </c>
      <c r="H87" s="5">
        <v>961</v>
      </c>
      <c r="I87" s="1" t="s">
        <v>8</v>
      </c>
      <c r="J87" s="2"/>
      <c r="N87" t="str">
        <f>IF(COUNTIFS( $B$2:$B$949, B87, $C$2:$C$949, C87, $D$2:$D$949, D87, $E$2:$E$949, E87) &gt; 1, "Duplicate", "Unique")</f>
        <v>Unique</v>
      </c>
    </row>
    <row r="88" spans="1:14" customFormat="1" ht="27.6" customHeight="1" thickBot="1" x14ac:dyDescent="0.35">
      <c r="A88" s="3">
        <v>46252.645138888889</v>
      </c>
      <c r="B88" s="1" t="s">
        <v>36</v>
      </c>
      <c r="C88" s="1" t="s">
        <v>10</v>
      </c>
      <c r="D88" s="4">
        <v>5</v>
      </c>
      <c r="E88" s="4">
        <v>1152</v>
      </c>
      <c r="F88" s="4">
        <v>-6.7433012220000004</v>
      </c>
      <c r="G88" s="2" t="s">
        <v>65</v>
      </c>
      <c r="H88" s="5">
        <v>1235.3</v>
      </c>
      <c r="I88" s="1" t="s">
        <v>8</v>
      </c>
      <c r="J88" s="11" t="s">
        <v>41</v>
      </c>
      <c r="N88" t="str">
        <f>IF(COUNTIFS( $B$2:$B$949, B88, $C$2:$C$949, C88, $D$2:$D$949, D88, $E$2:$E$949, E88) &gt; 1, "Duplicate", "Unique")</f>
        <v>Unique</v>
      </c>
    </row>
    <row r="89" spans="1:14" customFormat="1" ht="27.6" customHeight="1" thickBot="1" x14ac:dyDescent="0.35">
      <c r="A89" s="7" t="s">
        <v>62</v>
      </c>
      <c r="B89" s="1" t="s">
        <v>109</v>
      </c>
      <c r="C89" s="1" t="s">
        <v>10</v>
      </c>
      <c r="D89" s="4">
        <v>1</v>
      </c>
      <c r="E89" s="4">
        <v>4640</v>
      </c>
      <c r="F89" s="4">
        <v>-6.7711472769999999</v>
      </c>
      <c r="G89" s="2" t="s">
        <v>110</v>
      </c>
      <c r="H89" s="5">
        <v>4977</v>
      </c>
      <c r="I89" s="1" t="s">
        <v>8</v>
      </c>
      <c r="J89" s="2"/>
      <c r="N89" t="str">
        <f>IF(COUNTIFS( $B$2:$B$949, B89, $C$2:$C$949, C89, $D$2:$D$949, D89, $E$2:$E$949, E89) &gt; 1, "Duplicate", "Unique")</f>
        <v>Unique</v>
      </c>
    </row>
    <row r="90" spans="1:14" customFormat="1" ht="27.6" customHeight="1" thickBot="1" x14ac:dyDescent="0.35">
      <c r="A90" s="7" t="s">
        <v>62</v>
      </c>
      <c r="B90" s="1" t="s">
        <v>15</v>
      </c>
      <c r="C90" s="1" t="s">
        <v>10</v>
      </c>
      <c r="D90" s="4">
        <v>30</v>
      </c>
      <c r="E90" s="4">
        <v>2435</v>
      </c>
      <c r="F90" s="4">
        <v>-6.936747564</v>
      </c>
      <c r="G90" s="2" t="s">
        <v>72</v>
      </c>
      <c r="H90" s="5">
        <v>2616.5</v>
      </c>
      <c r="I90" s="1" t="s">
        <v>8</v>
      </c>
      <c r="J90" s="2"/>
      <c r="N90" t="str">
        <f>IF(COUNTIFS( $B$2:$B$949, B90, $C$2:$C$949, C90, $D$2:$D$949, D90, $E$2:$E$949, E90) &gt; 1, "Duplicate", "Unique")</f>
        <v>Unique</v>
      </c>
    </row>
    <row r="91" spans="1:14" customFormat="1" ht="15" customHeight="1" thickBot="1" x14ac:dyDescent="0.35">
      <c r="A91" s="7" t="s">
        <v>62</v>
      </c>
      <c r="B91" s="1" t="s">
        <v>107</v>
      </c>
      <c r="C91" s="1" t="s">
        <v>10</v>
      </c>
      <c r="D91" s="4">
        <v>1</v>
      </c>
      <c r="E91" s="4">
        <v>6920</v>
      </c>
      <c r="F91" s="4">
        <v>-7.2012873810000002</v>
      </c>
      <c r="G91" s="2" t="s">
        <v>108</v>
      </c>
      <c r="H91" s="5">
        <v>7457</v>
      </c>
      <c r="I91" s="1" t="s">
        <v>8</v>
      </c>
      <c r="J91" s="6" t="s">
        <v>141</v>
      </c>
      <c r="N91" t="str">
        <f>IF(COUNTIFS( $B$2:$B$949, B91, $C$2:$C$949, C91, $D$2:$D$949, D91, $E$2:$E$949, E91) &gt; 1, "Duplicate", "Unique")</f>
        <v>Unique</v>
      </c>
    </row>
    <row r="92" spans="1:14" customFormat="1" ht="27.6" customHeight="1" thickBot="1" x14ac:dyDescent="0.35">
      <c r="A92" s="7" t="s">
        <v>62</v>
      </c>
      <c r="B92" s="1" t="s">
        <v>105</v>
      </c>
      <c r="C92" s="1" t="s">
        <v>10</v>
      </c>
      <c r="D92" s="4">
        <v>4</v>
      </c>
      <c r="E92" s="4">
        <v>1751</v>
      </c>
      <c r="F92" s="4">
        <v>-7.256355932</v>
      </c>
      <c r="G92" s="2" t="s">
        <v>106</v>
      </c>
      <c r="H92" s="5">
        <v>1888</v>
      </c>
      <c r="I92" s="1" t="s">
        <v>8</v>
      </c>
      <c r="J92" s="2"/>
      <c r="N92" t="str">
        <f>IF(COUNTIFS( $B$2:$B$949, B92, $C$2:$C$949, C92, $D$2:$D$949, D92, $E$2:$E$949, E92) &gt; 1, "Duplicate", "Unique")</f>
        <v>Unique</v>
      </c>
    </row>
    <row r="93" spans="1:14" customFormat="1" ht="27.6" customHeight="1" thickBot="1" x14ac:dyDescent="0.35">
      <c r="A93" s="3">
        <v>46252.635416666664</v>
      </c>
      <c r="B93" s="1" t="s">
        <v>92</v>
      </c>
      <c r="C93" s="1" t="s">
        <v>10</v>
      </c>
      <c r="D93" s="4">
        <v>2</v>
      </c>
      <c r="E93" s="4">
        <v>2892</v>
      </c>
      <c r="F93" s="4">
        <v>-7.307692308</v>
      </c>
      <c r="G93" s="2" t="s">
        <v>93</v>
      </c>
      <c r="H93" s="5">
        <v>3120</v>
      </c>
      <c r="I93" s="1" t="s">
        <v>8</v>
      </c>
      <c r="J93" s="2"/>
      <c r="N93" t="str">
        <f>IF(COUNTIFS( $B$2:$B$949, B93, $C$2:$C$949, C93, $D$2:$D$949, D93, $E$2:$E$949, E93) &gt; 1, "Duplicate", "Unique")</f>
        <v>Unique</v>
      </c>
    </row>
    <row r="94" spans="1:14" customFormat="1" ht="27.6" customHeight="1" thickBot="1" x14ac:dyDescent="0.35">
      <c r="A94" s="7" t="s">
        <v>62</v>
      </c>
      <c r="B94" s="1" t="s">
        <v>12</v>
      </c>
      <c r="C94" s="1" t="s">
        <v>10</v>
      </c>
      <c r="D94" s="4">
        <v>1</v>
      </c>
      <c r="E94" s="4">
        <v>5010</v>
      </c>
      <c r="F94" s="4">
        <v>-7.4108297910000003</v>
      </c>
      <c r="G94" s="2" t="s">
        <v>98</v>
      </c>
      <c r="H94" s="5">
        <v>5411</v>
      </c>
      <c r="I94" s="1" t="s">
        <v>8</v>
      </c>
      <c r="J94" s="2"/>
      <c r="N94" t="str">
        <f>IF(COUNTIFS( $B$2:$B$949, B94, $C$2:$C$949, C94, $D$2:$D$949, D94, $E$2:$E$949, E94) &gt; 1, "Duplicate", "Unique")</f>
        <v>Unique</v>
      </c>
    </row>
    <row r="95" spans="1:14" customFormat="1" ht="27.6" customHeight="1" thickBot="1" x14ac:dyDescent="0.35">
      <c r="A95" s="3">
        <v>46252.635416666664</v>
      </c>
      <c r="B95" s="1" t="s">
        <v>36</v>
      </c>
      <c r="C95" s="1" t="s">
        <v>10</v>
      </c>
      <c r="D95" s="4">
        <v>5</v>
      </c>
      <c r="E95" s="4">
        <v>1142</v>
      </c>
      <c r="F95" s="4">
        <v>-7.5528211770000002</v>
      </c>
      <c r="G95" s="2" t="s">
        <v>65</v>
      </c>
      <c r="H95" s="5">
        <v>1235.3</v>
      </c>
      <c r="I95" s="1" t="s">
        <v>8</v>
      </c>
      <c r="J95" s="6" t="s">
        <v>41</v>
      </c>
      <c r="N95" t="str">
        <f>IF(COUNTIFS( $B$2:$B$949, B95, $C$2:$C$949, C95, $D$2:$D$949, D95, $E$2:$E$949, E95) &gt; 1, "Duplicate", "Unique")</f>
        <v>Unique</v>
      </c>
    </row>
    <row r="96" spans="1:14" customFormat="1" ht="15" customHeight="1" thickBot="1" x14ac:dyDescent="0.35">
      <c r="A96" s="7" t="s">
        <v>62</v>
      </c>
      <c r="B96" s="1" t="s">
        <v>103</v>
      </c>
      <c r="C96" s="1" t="s">
        <v>10</v>
      </c>
      <c r="D96" s="4">
        <v>8</v>
      </c>
      <c r="E96" s="4">
        <v>2370</v>
      </c>
      <c r="F96" s="4">
        <v>-7.6023391809999996</v>
      </c>
      <c r="G96" s="2" t="s">
        <v>104</v>
      </c>
      <c r="H96" s="5">
        <v>2565</v>
      </c>
      <c r="I96" s="1" t="s">
        <v>8</v>
      </c>
      <c r="J96" s="2"/>
      <c r="N96" t="str">
        <f>IF(COUNTIFS( $B$2:$B$949, B96, $C$2:$C$949, C96, $D$2:$D$949, D96, $E$2:$E$949, E96) &gt; 1, "Duplicate", "Unique")</f>
        <v>Unique</v>
      </c>
    </row>
    <row r="97" spans="1:14" customFormat="1" ht="27.6" customHeight="1" thickBot="1" x14ac:dyDescent="0.35">
      <c r="A97" s="7" t="s">
        <v>62</v>
      </c>
      <c r="B97" s="1" t="s">
        <v>49</v>
      </c>
      <c r="C97" s="1" t="s">
        <v>10</v>
      </c>
      <c r="D97" s="4">
        <v>2</v>
      </c>
      <c r="E97" s="4">
        <v>3760</v>
      </c>
      <c r="F97" s="4">
        <v>-7.6167076170000003</v>
      </c>
      <c r="G97" s="2" t="s">
        <v>50</v>
      </c>
      <c r="H97" s="5">
        <v>4070</v>
      </c>
      <c r="I97" s="1" t="s">
        <v>8</v>
      </c>
      <c r="J97" s="2"/>
      <c r="N97" t="str">
        <f>IF(COUNTIFS( $B$2:$B$949, B97, $C$2:$C$949, C97, $D$2:$D$949, D97, $E$2:$E$949, E97) &gt; 1, "Duplicate", "Unique")</f>
        <v>Unique</v>
      </c>
    </row>
    <row r="98" spans="1:14" customFormat="1" ht="15" customHeight="1" thickBot="1" x14ac:dyDescent="0.35">
      <c r="A98" s="7" t="s">
        <v>62</v>
      </c>
      <c r="B98" s="1" t="s">
        <v>20</v>
      </c>
      <c r="C98" s="1" t="s">
        <v>10</v>
      </c>
      <c r="D98" s="4">
        <v>50</v>
      </c>
      <c r="E98" s="4">
        <v>119</v>
      </c>
      <c r="F98" s="4">
        <v>-7.630210355</v>
      </c>
      <c r="G98" s="2" t="s">
        <v>86</v>
      </c>
      <c r="H98" s="5">
        <v>128.83000000000001</v>
      </c>
      <c r="I98" s="1" t="s">
        <v>8</v>
      </c>
      <c r="J98" s="2"/>
      <c r="N98" t="str">
        <f>IF(COUNTIFS( $B$2:$B$949, B98, $C$2:$C$949, C98, $D$2:$D$949, D98, $E$2:$E$949, E98) &gt; 1, "Duplicate", "Unique")</f>
        <v>Unique</v>
      </c>
    </row>
    <row r="99" spans="1:14" customFormat="1" ht="27.6" customHeight="1" thickBot="1" x14ac:dyDescent="0.35">
      <c r="A99" s="7" t="s">
        <v>62</v>
      </c>
      <c r="B99" s="1" t="s">
        <v>16</v>
      </c>
      <c r="C99" s="1" t="s">
        <v>10</v>
      </c>
      <c r="D99" s="4">
        <v>30</v>
      </c>
      <c r="E99" s="4">
        <v>860</v>
      </c>
      <c r="F99" s="4">
        <v>-8.0213903739999992</v>
      </c>
      <c r="G99" s="2" t="s">
        <v>61</v>
      </c>
      <c r="H99" s="5">
        <v>935</v>
      </c>
      <c r="I99" s="1" t="s">
        <v>8</v>
      </c>
      <c r="J99" s="2"/>
      <c r="N99" t="str">
        <f>IF(COUNTIFS( $B$2:$B$949, B99, $C$2:$C$949, C99, $D$2:$D$949, D99, $E$2:$E$949, E99) &gt; 1, "Duplicate", "Unique")</f>
        <v>Unique</v>
      </c>
    </row>
    <row r="100" spans="1:14" customFormat="1" ht="27.6" customHeight="1" thickBot="1" x14ac:dyDescent="0.35">
      <c r="A100" s="7" t="s">
        <v>62</v>
      </c>
      <c r="B100" s="1" t="s">
        <v>34</v>
      </c>
      <c r="C100" s="1" t="s">
        <v>10</v>
      </c>
      <c r="D100" s="4">
        <v>1</v>
      </c>
      <c r="E100" s="4">
        <v>18052</v>
      </c>
      <c r="F100" s="4">
        <v>-8.1790437439999994</v>
      </c>
      <c r="G100" s="2" t="s">
        <v>71</v>
      </c>
      <c r="H100" s="5">
        <v>19660</v>
      </c>
      <c r="I100" s="1" t="s">
        <v>8</v>
      </c>
      <c r="J100" s="2"/>
      <c r="N100" t="str">
        <f>IF(COUNTIFS( $B$2:$B$949, B100, $C$2:$C$949, C100, $D$2:$D$949, D100, $E$2:$E$949, E100) &gt; 1, "Duplicate", "Unique")</f>
        <v>Unique</v>
      </c>
    </row>
    <row r="101" spans="1:14" customFormat="1" ht="27.6" customHeight="1" thickBot="1" x14ac:dyDescent="0.35">
      <c r="A101" s="3">
        <v>46252.635416666664</v>
      </c>
      <c r="B101" s="1" t="s">
        <v>36</v>
      </c>
      <c r="C101" s="1" t="s">
        <v>10</v>
      </c>
      <c r="D101" s="4">
        <v>5</v>
      </c>
      <c r="E101" s="4">
        <v>1132</v>
      </c>
      <c r="F101" s="4">
        <v>-8.3623411319999992</v>
      </c>
      <c r="G101" s="2" t="s">
        <v>65</v>
      </c>
      <c r="H101" s="5">
        <v>1235.3</v>
      </c>
      <c r="I101" s="1" t="s">
        <v>8</v>
      </c>
      <c r="J101" s="2"/>
      <c r="N101" t="str">
        <f>IF(COUNTIFS( $B$2:$B$949, B101, $C$2:$C$949, C101, $D$2:$D$949, D101, $E$2:$E$949, E101) &gt; 1, "Duplicate", "Unique")</f>
        <v>Unique</v>
      </c>
    </row>
    <row r="102" spans="1:14" customFormat="1" ht="27.6" customHeight="1" thickBot="1" x14ac:dyDescent="0.35">
      <c r="A102" s="7" t="s">
        <v>62</v>
      </c>
      <c r="B102" s="1" t="s">
        <v>109</v>
      </c>
      <c r="C102" s="1" t="s">
        <v>10</v>
      </c>
      <c r="D102" s="4">
        <v>1</v>
      </c>
      <c r="E102" s="4">
        <v>4560</v>
      </c>
      <c r="F102" s="4">
        <v>-8.3785412899999994</v>
      </c>
      <c r="G102" s="2" t="s">
        <v>110</v>
      </c>
      <c r="H102" s="5">
        <v>4977</v>
      </c>
      <c r="I102" s="1" t="s">
        <v>8</v>
      </c>
      <c r="J102" s="2"/>
      <c r="N102" t="str">
        <f>IF(COUNTIFS( $B$2:$B$949, B102, $C$2:$C$949, C102, $D$2:$D$949, D102, $E$2:$E$949, E102) &gt; 1, "Duplicate", "Unique")</f>
        <v>Unique</v>
      </c>
    </row>
    <row r="103" spans="1:14" customFormat="1" ht="15" customHeight="1" thickBot="1" x14ac:dyDescent="0.35">
      <c r="A103" s="7" t="s">
        <v>62</v>
      </c>
      <c r="B103" s="1" t="s">
        <v>82</v>
      </c>
      <c r="C103" s="1" t="s">
        <v>10</v>
      </c>
      <c r="D103" s="4">
        <v>2</v>
      </c>
      <c r="E103" s="4">
        <v>4010</v>
      </c>
      <c r="F103" s="4">
        <v>-8.4683862130000005</v>
      </c>
      <c r="G103" s="2" t="s">
        <v>83</v>
      </c>
      <c r="H103" s="5">
        <v>4381</v>
      </c>
      <c r="I103" s="1" t="s">
        <v>8</v>
      </c>
      <c r="J103" s="2"/>
      <c r="N103" t="str">
        <f>IF(COUNTIFS( $B$2:$B$949, B103, $C$2:$C$949, C103, $D$2:$D$949, D103, $E$2:$E$949, E103) &gt; 1, "Duplicate", "Unique")</f>
        <v>Unique</v>
      </c>
    </row>
    <row r="104" spans="1:14" customFormat="1" ht="15" customHeight="1" thickBot="1" x14ac:dyDescent="0.35">
      <c r="A104" s="7" t="s">
        <v>62</v>
      </c>
      <c r="B104" s="1" t="s">
        <v>19</v>
      </c>
      <c r="C104" s="1" t="s">
        <v>10</v>
      </c>
      <c r="D104" s="4">
        <v>50</v>
      </c>
      <c r="E104" s="4">
        <v>206</v>
      </c>
      <c r="F104" s="4">
        <v>-8.5947552910000002</v>
      </c>
      <c r="G104" s="2" t="s">
        <v>40</v>
      </c>
      <c r="H104" s="5">
        <v>225.37</v>
      </c>
      <c r="I104" s="1" t="s">
        <v>8</v>
      </c>
      <c r="J104" s="2"/>
      <c r="N104" t="str">
        <f>IF(COUNTIFS( $B$2:$B$949, B104, $C$2:$C$949, C104, $D$2:$D$949, D104, $E$2:$E$949, E104) &gt; 1, "Duplicate", "Unique")</f>
        <v>Unique</v>
      </c>
    </row>
    <row r="105" spans="1:14" customFormat="1" ht="27.6" customHeight="1" thickBot="1" x14ac:dyDescent="0.35">
      <c r="A105" s="7" t="s">
        <v>62</v>
      </c>
      <c r="B105" s="1" t="s">
        <v>51</v>
      </c>
      <c r="C105" s="1" t="s">
        <v>10</v>
      </c>
      <c r="D105" s="4">
        <v>40</v>
      </c>
      <c r="E105" s="4">
        <v>878</v>
      </c>
      <c r="F105" s="4">
        <v>-8.6368366289999994</v>
      </c>
      <c r="G105" s="2" t="s">
        <v>52</v>
      </c>
      <c r="H105" s="5">
        <v>961</v>
      </c>
      <c r="I105" s="1" t="s">
        <v>8</v>
      </c>
      <c r="J105" s="2"/>
      <c r="N105" t="str">
        <f>IF(COUNTIFS( $B$2:$B$949, B105, $C$2:$C$949, C105, $D$2:$D$949, D105, $E$2:$E$949, E105) &gt; 1, "Duplicate", "Unique")</f>
        <v>Unique</v>
      </c>
    </row>
    <row r="106" spans="1:14" customFormat="1" ht="27.6" customHeight="1" thickBot="1" x14ac:dyDescent="0.35">
      <c r="A106" s="7" t="s">
        <v>62</v>
      </c>
      <c r="B106" s="1" t="s">
        <v>66</v>
      </c>
      <c r="C106" s="1" t="s">
        <v>10</v>
      </c>
      <c r="D106" s="4">
        <v>10</v>
      </c>
      <c r="E106" s="4">
        <v>1132</v>
      </c>
      <c r="F106" s="4">
        <v>-8.7023147030000008</v>
      </c>
      <c r="G106" s="2" t="s">
        <v>67</v>
      </c>
      <c r="H106" s="5">
        <v>1239.9000000000001</v>
      </c>
      <c r="I106" s="1" t="s">
        <v>8</v>
      </c>
      <c r="J106" s="2"/>
      <c r="N106" t="str">
        <f>IF(COUNTIFS( $B$2:$B$949, B106, $C$2:$C$949, C106, $D$2:$D$949, D106, $E$2:$E$949, E106) &gt; 1, "Duplicate", "Unique")</f>
        <v>Unique</v>
      </c>
    </row>
    <row r="107" spans="1:14" customFormat="1" ht="27.6" customHeight="1" thickBot="1" x14ac:dyDescent="0.35">
      <c r="A107" s="7" t="s">
        <v>62</v>
      </c>
      <c r="B107" s="1" t="s">
        <v>16</v>
      </c>
      <c r="C107" s="1" t="s">
        <v>10</v>
      </c>
      <c r="D107" s="4">
        <v>5</v>
      </c>
      <c r="E107" s="4">
        <v>852</v>
      </c>
      <c r="F107" s="4">
        <v>-8.8770053480000009</v>
      </c>
      <c r="G107" s="2" t="s">
        <v>61</v>
      </c>
      <c r="H107" s="5">
        <v>935</v>
      </c>
      <c r="I107" s="1" t="s">
        <v>8</v>
      </c>
      <c r="J107" s="2"/>
      <c r="N107" t="str">
        <f>IF(COUNTIFS( $B$2:$B$949, B107, $C$2:$C$949, C107, $D$2:$D$949, D107, $E$2:$E$949, E107) &gt; 1, "Duplicate", "Unique")</f>
        <v>Unique</v>
      </c>
    </row>
    <row r="108" spans="1:14" customFormat="1" ht="27.6" customHeight="1" thickBot="1" x14ac:dyDescent="0.35">
      <c r="A108" s="3">
        <v>46252.635416666664</v>
      </c>
      <c r="B108" s="1" t="s">
        <v>89</v>
      </c>
      <c r="C108" s="1" t="s">
        <v>10</v>
      </c>
      <c r="D108" s="4">
        <v>1</v>
      </c>
      <c r="E108" s="4">
        <v>13552</v>
      </c>
      <c r="F108" s="4">
        <v>-8.9430894310000006</v>
      </c>
      <c r="G108" s="2" t="s">
        <v>90</v>
      </c>
      <c r="H108" s="5">
        <v>14883</v>
      </c>
      <c r="I108" s="1" t="s">
        <v>8</v>
      </c>
      <c r="J108" s="2"/>
      <c r="N108" t="str">
        <f>IF(COUNTIFS( $B$2:$B$949, B108, $C$2:$C$949, C108, $D$2:$D$949, D108, $E$2:$E$949, E108) &gt; 1, "Duplicate", "Unique")</f>
        <v>Unique</v>
      </c>
    </row>
    <row r="109" spans="1:14" customFormat="1" ht="15" customHeight="1" thickBot="1" x14ac:dyDescent="0.35">
      <c r="A109" s="7" t="s">
        <v>62</v>
      </c>
      <c r="B109" s="1" t="s">
        <v>25</v>
      </c>
      <c r="C109" s="1" t="s">
        <v>10</v>
      </c>
      <c r="D109" s="4">
        <v>200</v>
      </c>
      <c r="E109" s="4">
        <v>31.01</v>
      </c>
      <c r="F109" s="4">
        <v>-9.1947291359999994</v>
      </c>
      <c r="G109" s="2" t="s">
        <v>46</v>
      </c>
      <c r="H109" s="5">
        <v>34.15</v>
      </c>
      <c r="I109" s="1" t="s">
        <v>8</v>
      </c>
      <c r="J109" s="2"/>
      <c r="N109" t="str">
        <f>IF(COUNTIFS( $B$2:$B$949, B109, $C$2:$C$949, C109, $D$2:$D$949, D109, $E$2:$E$949, E109) &gt; 1, "Duplicate", "Unique")</f>
        <v>Unique</v>
      </c>
    </row>
    <row r="110" spans="1:14" customFormat="1" ht="15" customHeight="1" thickBot="1" x14ac:dyDescent="0.35">
      <c r="A110" s="7" t="s">
        <v>62</v>
      </c>
      <c r="B110" s="1" t="s">
        <v>21</v>
      </c>
      <c r="C110" s="1" t="s">
        <v>10</v>
      </c>
      <c r="D110" s="4">
        <v>5</v>
      </c>
      <c r="E110" s="4">
        <v>620</v>
      </c>
      <c r="F110" s="4">
        <v>-9.2107189930000004</v>
      </c>
      <c r="G110" s="2" t="s">
        <v>76</v>
      </c>
      <c r="H110" s="5">
        <v>682.9</v>
      </c>
      <c r="I110" s="1" t="s">
        <v>8</v>
      </c>
      <c r="J110" s="2"/>
      <c r="N110" t="str">
        <f>IF(COUNTIFS( $B$2:$B$949, B110, $C$2:$C$949, C110, $D$2:$D$949, D110, $E$2:$E$949, E110) &gt; 1, "Duplicate", "Unique")</f>
        <v>Unique</v>
      </c>
    </row>
    <row r="111" spans="1:14" customFormat="1" ht="27.6" customHeight="1" thickBot="1" x14ac:dyDescent="0.35">
      <c r="A111" s="7" t="s">
        <v>62</v>
      </c>
      <c r="B111" s="1" t="s">
        <v>22</v>
      </c>
      <c r="C111" s="1" t="s">
        <v>10</v>
      </c>
      <c r="D111" s="4">
        <v>5</v>
      </c>
      <c r="E111" s="4">
        <v>419</v>
      </c>
      <c r="F111" s="4">
        <v>-9.3073593070000005</v>
      </c>
      <c r="G111" s="2" t="s">
        <v>73</v>
      </c>
      <c r="H111" s="5">
        <v>462</v>
      </c>
      <c r="I111" s="1" t="s">
        <v>8</v>
      </c>
      <c r="J111" s="2"/>
      <c r="N111" t="str">
        <f>IF(COUNTIFS( $B$2:$B$949, B111, $C$2:$C$949, C111, $D$2:$D$949, D111, $E$2:$E$949, E111) &gt; 1, "Duplicate", "Unique")</f>
        <v>Unique</v>
      </c>
    </row>
    <row r="112" spans="1:14" customFormat="1" ht="27.6" customHeight="1" thickBot="1" x14ac:dyDescent="0.35">
      <c r="A112" s="7" t="s">
        <v>62</v>
      </c>
      <c r="B112" s="1" t="s">
        <v>13</v>
      </c>
      <c r="C112" s="1" t="s">
        <v>10</v>
      </c>
      <c r="D112" s="4">
        <v>5</v>
      </c>
      <c r="E112" s="4">
        <v>1664</v>
      </c>
      <c r="F112" s="4">
        <v>-9.3681917210000005</v>
      </c>
      <c r="G112" s="2" t="s">
        <v>91</v>
      </c>
      <c r="H112" s="5">
        <v>1836</v>
      </c>
      <c r="I112" s="1" t="s">
        <v>8</v>
      </c>
      <c r="J112" s="2"/>
      <c r="N112" t="str">
        <f>IF(COUNTIFS( $B$2:$B$949, B112, $C$2:$C$949, C112, $D$2:$D$949, D112, $E$2:$E$949, E112) &gt; 1, "Duplicate", "Unique")</f>
        <v>Unique</v>
      </c>
    </row>
    <row r="113" spans="1:14" customFormat="1" ht="27.6" customHeight="1" thickBot="1" x14ac:dyDescent="0.35">
      <c r="A113" s="7" t="s">
        <v>62</v>
      </c>
      <c r="B113" s="1" t="s">
        <v>20</v>
      </c>
      <c r="C113" s="1" t="s">
        <v>10</v>
      </c>
      <c r="D113" s="4">
        <v>50</v>
      </c>
      <c r="E113" s="4">
        <v>116</v>
      </c>
      <c r="F113" s="4">
        <v>-9.9588605139999995</v>
      </c>
      <c r="G113" s="2" t="s">
        <v>86</v>
      </c>
      <c r="H113" s="5">
        <v>128.83000000000001</v>
      </c>
      <c r="I113" s="1" t="s">
        <v>8</v>
      </c>
      <c r="J113" s="2"/>
      <c r="N113" t="str">
        <f>IF(COUNTIFS( $B$2:$B$949, B113, $C$2:$C$949, C113, $D$2:$D$949, D113, $E$2:$E$949, E113) &gt; 1, "Duplicate", "Unique")</f>
        <v>Unique</v>
      </c>
    </row>
    <row r="114" spans="1:14" customFormat="1" ht="15" customHeight="1" thickBot="1" x14ac:dyDescent="0.35">
      <c r="A114" s="7" t="s">
        <v>62</v>
      </c>
      <c r="B114" s="1" t="s">
        <v>51</v>
      </c>
      <c r="C114" s="1" t="s">
        <v>10</v>
      </c>
      <c r="D114" s="4">
        <v>40</v>
      </c>
      <c r="E114" s="4">
        <v>862</v>
      </c>
      <c r="F114" s="4">
        <v>-10.301768989999999</v>
      </c>
      <c r="G114" s="2" t="s">
        <v>52</v>
      </c>
      <c r="H114" s="5">
        <v>961</v>
      </c>
      <c r="I114" s="1" t="s">
        <v>8</v>
      </c>
      <c r="J114" s="2" t="s">
        <v>41</v>
      </c>
      <c r="N114" t="str">
        <f>IF(COUNTIFS( $B$2:$B$949, B114, $C$2:$C$949, C114, $D$2:$D$949, D114, $E$2:$E$949, E114) &gt; 1, "Duplicate", "Unique")</f>
        <v>Unique</v>
      </c>
    </row>
    <row r="115" spans="1:14" customFormat="1" ht="27.6" customHeight="1" thickBot="1" x14ac:dyDescent="0.35">
      <c r="A115" s="7" t="s">
        <v>62</v>
      </c>
      <c r="B115" s="1" t="s">
        <v>109</v>
      </c>
      <c r="C115" s="1" t="s">
        <v>10</v>
      </c>
      <c r="D115" s="4">
        <v>2</v>
      </c>
      <c r="E115" s="4">
        <v>4456</v>
      </c>
      <c r="F115" s="4">
        <v>-10.46815351</v>
      </c>
      <c r="G115" s="2" t="s">
        <v>110</v>
      </c>
      <c r="H115" s="5">
        <v>4977</v>
      </c>
      <c r="I115" s="1" t="s">
        <v>8</v>
      </c>
      <c r="J115" s="2"/>
      <c r="N115" t="str">
        <f>IF(COUNTIFS( $B$2:$B$949, B115, $C$2:$C$949, C115, $D$2:$D$949, D115, $E$2:$E$949, E115) &gt; 1, "Duplicate", "Unique")</f>
        <v>Unique</v>
      </c>
    </row>
    <row r="116" spans="1:14" customFormat="1" ht="27.6" customHeight="1" thickBot="1" x14ac:dyDescent="0.35">
      <c r="A116" s="7" t="s">
        <v>62</v>
      </c>
      <c r="B116" s="1" t="s">
        <v>20</v>
      </c>
      <c r="C116" s="1" t="s">
        <v>10</v>
      </c>
      <c r="D116" s="4">
        <v>200</v>
      </c>
      <c r="E116" s="4">
        <v>115.25</v>
      </c>
      <c r="F116" s="4">
        <v>-10.54102305</v>
      </c>
      <c r="G116" s="2" t="s">
        <v>86</v>
      </c>
      <c r="H116" s="5">
        <v>128.83000000000001</v>
      </c>
      <c r="I116" s="1" t="s">
        <v>8</v>
      </c>
      <c r="J116" s="2"/>
      <c r="N116" t="str">
        <f>IF(COUNTIFS( $B$2:$B$949, B116, $C$2:$C$949, C116, $D$2:$D$949, D116, $E$2:$E$949, E116) &gt; 1, "Duplicate", "Unique")</f>
        <v>Unique</v>
      </c>
    </row>
    <row r="117" spans="1:14" customFormat="1" ht="40.799999999999997" customHeight="1" thickBot="1" x14ac:dyDescent="0.35">
      <c r="A117" s="7" t="s">
        <v>62</v>
      </c>
      <c r="B117" s="1" t="s">
        <v>109</v>
      </c>
      <c r="C117" s="1" t="s">
        <v>10</v>
      </c>
      <c r="D117" s="4">
        <v>15</v>
      </c>
      <c r="E117" s="4">
        <v>4415</v>
      </c>
      <c r="F117" s="4">
        <v>-11.29194294</v>
      </c>
      <c r="G117" s="2" t="s">
        <v>110</v>
      </c>
      <c r="H117" s="5">
        <v>4977</v>
      </c>
      <c r="I117" s="1" t="s">
        <v>8</v>
      </c>
      <c r="J117" s="2"/>
      <c r="N117" t="str">
        <f>IF(COUNTIFS( $B$2:$B$949, B117, $C$2:$C$949, C117, $D$2:$D$949, D117, $E$2:$E$949, E117) &gt; 1, "Duplicate", "Unique")</f>
        <v>Unique</v>
      </c>
    </row>
    <row r="118" spans="1:14" customFormat="1" ht="15" customHeight="1" thickBot="1" x14ac:dyDescent="0.35">
      <c r="A118" s="7" t="s">
        <v>62</v>
      </c>
      <c r="B118" s="1" t="s">
        <v>11</v>
      </c>
      <c r="C118" s="1" t="s">
        <v>10</v>
      </c>
      <c r="D118" s="4">
        <v>10</v>
      </c>
      <c r="E118" s="4">
        <v>251</v>
      </c>
      <c r="F118" s="4">
        <v>-11.77504394</v>
      </c>
      <c r="G118" s="2" t="s">
        <v>99</v>
      </c>
      <c r="H118" s="5">
        <v>284.5</v>
      </c>
      <c r="I118" s="1" t="s">
        <v>8</v>
      </c>
      <c r="J118" s="2"/>
      <c r="N118" t="str">
        <f>IF(COUNTIFS( $B$2:$B$949, B118, $C$2:$C$949, C118, $D$2:$D$949, D118, $E$2:$E$949, E118) &gt; 1, "Duplicate", "Unique")</f>
        <v>Unique</v>
      </c>
    </row>
    <row r="119" spans="1:14" customFormat="1" ht="27.6" customHeight="1" thickBot="1" x14ac:dyDescent="0.35">
      <c r="A119" s="7" t="s">
        <v>62</v>
      </c>
      <c r="B119" s="1" t="s">
        <v>92</v>
      </c>
      <c r="C119" s="1" t="s">
        <v>10</v>
      </c>
      <c r="D119" s="4">
        <v>1</v>
      </c>
      <c r="E119" s="4">
        <v>2752</v>
      </c>
      <c r="F119" s="4">
        <v>-11.79487179</v>
      </c>
      <c r="G119" s="2" t="s">
        <v>93</v>
      </c>
      <c r="H119" s="5">
        <v>3120</v>
      </c>
      <c r="I119" s="1" t="s">
        <v>8</v>
      </c>
      <c r="J119" s="2"/>
      <c r="N119" t="str">
        <f>IF(COUNTIFS( $B$2:$B$949, B119, $C$2:$C$949, C119, $D$2:$D$949, D119, $E$2:$E$949, E119) &gt; 1, "Duplicate", "Unique")</f>
        <v>Unique</v>
      </c>
    </row>
    <row r="120" spans="1:14" customFormat="1" ht="27.6" customHeight="1" thickBot="1" x14ac:dyDescent="0.35">
      <c r="A120" s="7" t="s">
        <v>62</v>
      </c>
      <c r="B120" s="1" t="s">
        <v>89</v>
      </c>
      <c r="C120" s="1" t="s">
        <v>10</v>
      </c>
      <c r="D120" s="4">
        <v>1</v>
      </c>
      <c r="E120" s="4">
        <v>13052</v>
      </c>
      <c r="F120" s="4">
        <v>-12.30262716</v>
      </c>
      <c r="G120" s="2" t="s">
        <v>90</v>
      </c>
      <c r="H120" s="5">
        <v>14883</v>
      </c>
      <c r="I120" s="1" t="s">
        <v>8</v>
      </c>
      <c r="J120" s="2"/>
      <c r="N120" t="str">
        <f>IF(COUNTIFS( $B$2:$B$949, B120, $C$2:$C$949, C120, $D$2:$D$949, D120, $E$2:$E$949, E120) &gt; 1, "Duplicate", "Unique")</f>
        <v>Unique</v>
      </c>
    </row>
    <row r="121" spans="1:14" customFormat="1" ht="27.6" customHeight="1" thickBot="1" x14ac:dyDescent="0.35">
      <c r="A121" s="3">
        <v>46252.6875</v>
      </c>
      <c r="B121" s="1" t="s">
        <v>18</v>
      </c>
      <c r="C121" s="1" t="s">
        <v>10</v>
      </c>
      <c r="D121" s="4">
        <v>10</v>
      </c>
      <c r="E121" s="4">
        <v>1666</v>
      </c>
      <c r="F121" s="4">
        <v>-12.774869109999999</v>
      </c>
      <c r="G121" s="2" t="s">
        <v>102</v>
      </c>
      <c r="H121" s="5">
        <v>1910</v>
      </c>
      <c r="I121" s="1" t="s">
        <v>8</v>
      </c>
      <c r="J121" s="2"/>
      <c r="N121" t="str">
        <f>IF(COUNTIFS( $B$2:$B$949, B121, $C$2:$C$949, C121, $D$2:$D$949, D121, $E$2:$E$949, E121) &gt; 1, "Duplicate", "Unique")</f>
        <v>Unique</v>
      </c>
    </row>
    <row r="122" spans="1:14" customFormat="1" ht="27.6" customHeight="1" thickBot="1" x14ac:dyDescent="0.35">
      <c r="A122" s="7" t="s">
        <v>62</v>
      </c>
      <c r="B122" s="1" t="s">
        <v>12</v>
      </c>
      <c r="C122" s="1" t="s">
        <v>10</v>
      </c>
      <c r="D122" s="4">
        <v>3</v>
      </c>
      <c r="E122" s="4">
        <v>4710</v>
      </c>
      <c r="F122" s="4">
        <v>-12.95509148</v>
      </c>
      <c r="G122" s="2" t="s">
        <v>98</v>
      </c>
      <c r="H122" s="5">
        <v>5411</v>
      </c>
      <c r="I122" s="1" t="s">
        <v>8</v>
      </c>
      <c r="J122" s="2"/>
      <c r="N122" t="str">
        <f>IF(COUNTIFS( $B$2:$B$949, B122, $C$2:$C$949, C122, $D$2:$D$949, D122, $E$2:$E$949, E122) &gt; 1, "Duplicate", "Unique")</f>
        <v>Unique</v>
      </c>
    </row>
    <row r="123" spans="1:14" customFormat="1" ht="27.6" customHeight="1" thickBot="1" x14ac:dyDescent="0.35">
      <c r="A123" s="7" t="s">
        <v>62</v>
      </c>
      <c r="B123" s="1" t="s">
        <v>22</v>
      </c>
      <c r="C123" s="1" t="s">
        <v>10</v>
      </c>
      <c r="D123" s="4">
        <v>29</v>
      </c>
      <c r="E123" s="4">
        <v>401</v>
      </c>
      <c r="F123" s="4">
        <v>-13.2034632</v>
      </c>
      <c r="G123" s="2" t="s">
        <v>73</v>
      </c>
      <c r="H123" s="5">
        <v>462</v>
      </c>
      <c r="I123" s="1" t="s">
        <v>8</v>
      </c>
      <c r="J123" s="2"/>
      <c r="N123" t="str">
        <f>IF(COUNTIFS( $B$2:$B$949, B123, $C$2:$C$949, C123, $D$2:$D$949, D123, $E$2:$E$949, E123) &gt; 1, "Duplicate", "Unique")</f>
        <v>Unique</v>
      </c>
    </row>
    <row r="124" spans="1:14" customFormat="1" ht="27.6" customHeight="1" thickBot="1" x14ac:dyDescent="0.35">
      <c r="A124" s="7" t="s">
        <v>62</v>
      </c>
      <c r="B124" s="1" t="s">
        <v>20</v>
      </c>
      <c r="C124" s="1" t="s">
        <v>10</v>
      </c>
      <c r="D124" s="4">
        <v>100</v>
      </c>
      <c r="E124" s="4">
        <v>111</v>
      </c>
      <c r="F124" s="4">
        <v>-13.839944109999999</v>
      </c>
      <c r="G124" s="2" t="s">
        <v>86</v>
      </c>
      <c r="H124" s="5">
        <v>128.83000000000001</v>
      </c>
      <c r="I124" s="1" t="s">
        <v>8</v>
      </c>
      <c r="J124" s="2"/>
      <c r="N124" t="str">
        <f>IF(COUNTIFS( $B$2:$B$949, B124, $C$2:$C$949, C124, $D$2:$D$949, D124, $E$2:$E$949, E124) &gt; 1, "Duplicate", "Unique")</f>
        <v>Unique</v>
      </c>
    </row>
    <row r="125" spans="1:14" customFormat="1" ht="27.6" customHeight="1" thickBot="1" x14ac:dyDescent="0.35">
      <c r="A125" s="7" t="s">
        <v>62</v>
      </c>
      <c r="B125" s="1" t="s">
        <v>111</v>
      </c>
      <c r="C125" s="1" t="s">
        <v>10</v>
      </c>
      <c r="D125" s="4">
        <v>7</v>
      </c>
      <c r="E125" s="4">
        <v>411</v>
      </c>
      <c r="F125" s="4">
        <v>-13.872590110000001</v>
      </c>
      <c r="G125" s="2" t="s">
        <v>112</v>
      </c>
      <c r="H125" s="5">
        <v>477.2</v>
      </c>
      <c r="I125" s="1" t="s">
        <v>8</v>
      </c>
      <c r="J125" s="2"/>
      <c r="N125" t="str">
        <f>IF(COUNTIFS( $B$2:$B$949, B125, $C$2:$C$949, C125, $D$2:$D$949, D125, $E$2:$E$949, E125) &gt; 1, "Duplicate", "Unique")</f>
        <v>Unique</v>
      </c>
    </row>
    <row r="126" spans="1:14" customFormat="1" ht="27.6" customHeight="1" thickBot="1" x14ac:dyDescent="0.35">
      <c r="A126" s="7" t="s">
        <v>62</v>
      </c>
      <c r="B126" s="1" t="s">
        <v>113</v>
      </c>
      <c r="C126" s="1" t="s">
        <v>10</v>
      </c>
      <c r="D126" s="4">
        <v>4</v>
      </c>
      <c r="E126" s="4">
        <v>701</v>
      </c>
      <c r="F126" s="4">
        <v>-14.68905927</v>
      </c>
      <c r="G126" s="2" t="s">
        <v>114</v>
      </c>
      <c r="H126" s="5">
        <v>821.7</v>
      </c>
      <c r="I126" s="1" t="s">
        <v>8</v>
      </c>
      <c r="J126" s="2" t="s">
        <v>41</v>
      </c>
      <c r="N126" t="str">
        <f>IF(COUNTIFS( $B$2:$B$949, B126, $C$2:$C$949, C126, $D$2:$D$949, D126, $E$2:$E$949, E126) &gt; 1, "Duplicate", "Unique")</f>
        <v>Unique</v>
      </c>
    </row>
    <row r="127" spans="1:14" customFormat="1" ht="27.6" customHeight="1" thickBot="1" x14ac:dyDescent="0.35">
      <c r="A127" s="7" t="s">
        <v>62</v>
      </c>
      <c r="B127" s="1" t="s">
        <v>92</v>
      </c>
      <c r="C127" s="1" t="s">
        <v>10</v>
      </c>
      <c r="D127" s="4">
        <v>2</v>
      </c>
      <c r="E127" s="4">
        <v>2660</v>
      </c>
      <c r="F127" s="4">
        <v>-14.743589740000001</v>
      </c>
      <c r="G127" s="2" t="s">
        <v>93</v>
      </c>
      <c r="H127" s="5">
        <v>3120</v>
      </c>
      <c r="I127" s="1" t="s">
        <v>8</v>
      </c>
      <c r="J127" s="2"/>
      <c r="N127" t="str">
        <f>IF(COUNTIFS( $B$2:$B$949, B127, $C$2:$C$949, C127, $D$2:$D$949, D127, $E$2:$E$949, E127) &gt; 1, "Duplicate", "Unique")</f>
        <v>Unique</v>
      </c>
    </row>
    <row r="128" spans="1:14" customFormat="1" ht="27.6" customHeight="1" thickBot="1" x14ac:dyDescent="0.35">
      <c r="A128" s="7" t="s">
        <v>62</v>
      </c>
      <c r="B128" s="1" t="s">
        <v>18</v>
      </c>
      <c r="C128" s="1" t="s">
        <v>10</v>
      </c>
      <c r="D128" s="4">
        <v>5</v>
      </c>
      <c r="E128" s="4">
        <v>1614</v>
      </c>
      <c r="F128" s="4">
        <v>-15.497382200000001</v>
      </c>
      <c r="G128" s="2" t="s">
        <v>102</v>
      </c>
      <c r="H128" s="5">
        <v>1910</v>
      </c>
      <c r="I128" s="1" t="s">
        <v>8</v>
      </c>
      <c r="J128" s="6" t="s">
        <v>55</v>
      </c>
      <c r="N128" t="str">
        <f>IF(COUNTIFS( $B$2:$B$949, B128, $C$2:$C$949, C128, $D$2:$D$949, D128, $E$2:$E$949, E128) &gt; 1, "Duplicate", "Unique")</f>
        <v>Unique</v>
      </c>
    </row>
    <row r="129" spans="1:14" customFormat="1" ht="40.799999999999997" customHeight="1" thickBot="1" x14ac:dyDescent="0.35">
      <c r="A129" s="7" t="s">
        <v>62</v>
      </c>
      <c r="B129" s="1" t="s">
        <v>92</v>
      </c>
      <c r="C129" s="1" t="s">
        <v>10</v>
      </c>
      <c r="D129" s="4">
        <v>2</v>
      </c>
      <c r="E129" s="4">
        <v>2560</v>
      </c>
      <c r="F129" s="4">
        <v>-17.948717949999999</v>
      </c>
      <c r="G129" s="2" t="s">
        <v>93</v>
      </c>
      <c r="H129" s="5">
        <v>3120</v>
      </c>
      <c r="I129" s="1" t="s">
        <v>8</v>
      </c>
      <c r="J129" s="2"/>
      <c r="N129" t="str">
        <f>IF(COUNTIFS( $B$2:$B$949, B129, $C$2:$C$949, C129, $D$2:$D$949, D129, $E$2:$E$949, E129) &gt; 1, "Duplicate", "Unique")</f>
        <v>Unique</v>
      </c>
    </row>
    <row r="130" spans="1:14" customFormat="1" ht="27.6" customHeight="1" thickBot="1" x14ac:dyDescent="0.35">
      <c r="A130" s="7" t="s">
        <v>62</v>
      </c>
      <c r="B130" s="1" t="s">
        <v>12</v>
      </c>
      <c r="C130" s="1" t="s">
        <v>10</v>
      </c>
      <c r="D130" s="4">
        <v>2</v>
      </c>
      <c r="E130" s="4">
        <v>4410</v>
      </c>
      <c r="F130" s="4">
        <v>-18.499353169999999</v>
      </c>
      <c r="G130" s="2" t="s">
        <v>98</v>
      </c>
      <c r="H130" s="5">
        <v>5411</v>
      </c>
      <c r="I130" s="1" t="s">
        <v>8</v>
      </c>
      <c r="J130" s="2"/>
      <c r="N130" t="str">
        <f>IF(COUNTIFS( $B$2:$B$949, B130, $C$2:$C$949, C130, $D$2:$D$949, D130, $E$2:$E$949, E130) &gt; 1, "Duplicate", "Unique")</f>
        <v>Unique</v>
      </c>
    </row>
    <row r="131" spans="1:14" ht="15" customHeight="1" thickBot="1" x14ac:dyDescent="0.35">
      <c r="A131" s="7" t="s">
        <v>62</v>
      </c>
      <c r="B131" s="1" t="s">
        <v>12</v>
      </c>
      <c r="C131" s="1" t="s">
        <v>10</v>
      </c>
      <c r="D131" s="4">
        <v>1</v>
      </c>
      <c r="E131" s="4">
        <v>4364</v>
      </c>
      <c r="F131" s="4">
        <v>-19.3494733</v>
      </c>
      <c r="G131" s="2" t="s">
        <v>98</v>
      </c>
      <c r="H131" s="5">
        <v>5411</v>
      </c>
      <c r="I131" s="1" t="s">
        <v>8</v>
      </c>
      <c r="J131" s="1" t="s">
        <v>41</v>
      </c>
      <c r="K131"/>
      <c r="L131"/>
      <c r="M131"/>
      <c r="N131" t="str">
        <f>IF(COUNTIFS( $B$2:$B$949, B131, $C$2:$C$949, C131, $D$2:$D$949, D131, $E$2:$E$949, E131) &gt; 1, "Duplicate", "Unique")</f>
        <v>Unique</v>
      </c>
    </row>
    <row r="132" spans="1:14" ht="27.6" customHeight="1" thickBot="1" x14ac:dyDescent="0.35">
      <c r="A132" s="7" t="s">
        <v>62</v>
      </c>
      <c r="B132" s="1" t="s">
        <v>115</v>
      </c>
      <c r="C132" s="1" t="s">
        <v>10</v>
      </c>
      <c r="D132" s="4">
        <v>2</v>
      </c>
      <c r="E132" s="4">
        <v>660</v>
      </c>
      <c r="F132" s="4">
        <v>-20.768307320000002</v>
      </c>
      <c r="G132" s="2" t="s">
        <v>116</v>
      </c>
      <c r="H132" s="5">
        <v>833</v>
      </c>
      <c r="I132" s="1" t="s">
        <v>8</v>
      </c>
      <c r="J132" s="2"/>
      <c r="K132"/>
      <c r="L132"/>
      <c r="M132"/>
      <c r="N132" t="str">
        <f>IF(COUNTIFS( $B$2:$B$949, B132, $C$2:$C$949, C132, $D$2:$D$949, D132, $E$2:$E$949, E132) &gt; 1, "Duplicate", "Unique")</f>
        <v>Unique</v>
      </c>
    </row>
    <row r="133" spans="1:14" ht="40.799999999999997" customHeight="1" thickBot="1" x14ac:dyDescent="0.35">
      <c r="A133" s="7" t="s">
        <v>62</v>
      </c>
      <c r="B133" s="1" t="s">
        <v>12</v>
      </c>
      <c r="C133" s="1" t="s">
        <v>10</v>
      </c>
      <c r="D133" s="4">
        <v>1</v>
      </c>
      <c r="E133" s="4">
        <v>4164</v>
      </c>
      <c r="F133" s="4">
        <v>-23.045647750000001</v>
      </c>
      <c r="G133" s="2" t="s">
        <v>98</v>
      </c>
      <c r="H133" s="5">
        <v>5411</v>
      </c>
      <c r="I133" s="1" t="s">
        <v>8</v>
      </c>
      <c r="J133" s="2"/>
      <c r="K133"/>
      <c r="L133"/>
      <c r="M133"/>
      <c r="N133" t="str">
        <f>IF(COUNTIFS( $B$2:$B$949, B133, $C$2:$C$949, C133, $D$2:$D$949, D133, $E$2:$E$949, E133) &gt; 1, "Duplicate", "Unique")</f>
        <v>Unique</v>
      </c>
    </row>
    <row r="134" spans="1:14" ht="16.2" customHeight="1" thickBot="1" x14ac:dyDescent="0.35">
      <c r="A134" s="7" t="s">
        <v>62</v>
      </c>
      <c r="B134" s="1" t="s">
        <v>12</v>
      </c>
      <c r="C134" s="1" t="s">
        <v>10</v>
      </c>
      <c r="D134" s="4">
        <v>1</v>
      </c>
      <c r="E134" s="4">
        <v>4014</v>
      </c>
      <c r="F134" s="4">
        <v>-25.8177786</v>
      </c>
      <c r="G134" s="2" t="s">
        <v>98</v>
      </c>
      <c r="H134" s="5">
        <v>5411</v>
      </c>
      <c r="I134" s="1" t="s">
        <v>8</v>
      </c>
      <c r="J134" s="2"/>
      <c r="K134"/>
      <c r="L134"/>
      <c r="M134"/>
      <c r="N134" t="str">
        <f>IF(COUNTIFS( $B$2:$B$949, B134, $C$2:$C$949, C134, $D$2:$D$949, D134, $E$2:$E$949, E134) &gt; 1, "Duplicate", "Unique")</f>
        <v>Unique</v>
      </c>
    </row>
    <row r="135" spans="1:14" ht="40.799999999999997" hidden="1" customHeight="1" thickBot="1" x14ac:dyDescent="0.35">
      <c r="A135" s="25">
        <v>46252.645138888889</v>
      </c>
      <c r="B135" s="13" t="s">
        <v>57</v>
      </c>
      <c r="C135" s="13" t="s">
        <v>7</v>
      </c>
      <c r="D135" s="13">
        <v>5</v>
      </c>
      <c r="E135" s="13">
        <v>2998</v>
      </c>
      <c r="F135" s="4">
        <v>0.9427609428</v>
      </c>
      <c r="G135" s="2" t="s">
        <v>58</v>
      </c>
      <c r="H135" s="5">
        <v>2970</v>
      </c>
      <c r="I135" s="1" t="s">
        <v>8</v>
      </c>
      <c r="J135" s="15"/>
      <c r="N135" s="18" t="str">
        <f>IF(COUNTIFS( $B$2:$B$949, B135, $C$2:$C$949, C135, $D$2:$D$949, D135, $E$2:$E$949, E135) &gt; 1, "Duplicate", "Unique")</f>
        <v>Unique</v>
      </c>
    </row>
    <row r="136" spans="1:14" ht="15" hidden="1" customHeight="1" thickBot="1" x14ac:dyDescent="0.35">
      <c r="A136" s="13" t="s">
        <v>62</v>
      </c>
      <c r="B136" s="13" t="s">
        <v>19</v>
      </c>
      <c r="C136" s="13" t="s">
        <v>7</v>
      </c>
      <c r="D136" s="13">
        <v>50</v>
      </c>
      <c r="E136" s="13">
        <v>228</v>
      </c>
      <c r="F136" s="4">
        <v>1.1669698719999999</v>
      </c>
      <c r="G136" s="2" t="s">
        <v>40</v>
      </c>
      <c r="H136" s="5">
        <v>225.37</v>
      </c>
      <c r="I136" s="1" t="s">
        <v>8</v>
      </c>
      <c r="J136" s="15"/>
      <c r="N136" s="18" t="str">
        <f>IF(COUNTIFS( $B$2:$B$949, B136, $C$2:$C$949, C136, $D$2:$D$949, D136, $E$2:$E$949, E136) &gt; 1, "Duplicate", "Unique")</f>
        <v>Unique</v>
      </c>
    </row>
    <row r="137" spans="1:14" ht="15" customHeight="1" thickBot="1" x14ac:dyDescent="0.35">
      <c r="A137" s="7" t="s">
        <v>62</v>
      </c>
      <c r="B137" s="1" t="s">
        <v>12</v>
      </c>
      <c r="C137" s="1" t="s">
        <v>10</v>
      </c>
      <c r="D137" s="4">
        <v>1</v>
      </c>
      <c r="E137" s="4">
        <v>3914</v>
      </c>
      <c r="F137" s="4">
        <v>-27.665865830000001</v>
      </c>
      <c r="G137" s="2" t="s">
        <v>98</v>
      </c>
      <c r="H137" s="5">
        <v>5411</v>
      </c>
      <c r="I137" s="1" t="s">
        <v>8</v>
      </c>
      <c r="J137" s="1" t="s">
        <v>41</v>
      </c>
      <c r="K137"/>
      <c r="L137"/>
      <c r="M137"/>
      <c r="N137" t="str">
        <f>IF(COUNTIFS( $B$2:$B$949, B137, $C$2:$C$949, C137, $D$2:$D$949, D137, $E$2:$E$949, E137) &gt; 1, "Duplicate", "Unique")</f>
        <v>Unique</v>
      </c>
    </row>
    <row r="138" spans="1:14" ht="15" hidden="1" customHeight="1" thickBot="1" x14ac:dyDescent="0.35">
      <c r="A138" s="25">
        <v>46252.645138888889</v>
      </c>
      <c r="B138" s="13" t="s">
        <v>49</v>
      </c>
      <c r="C138" s="13" t="s">
        <v>7</v>
      </c>
      <c r="D138" s="13">
        <v>5</v>
      </c>
      <c r="E138" s="13">
        <v>4129</v>
      </c>
      <c r="F138" s="4">
        <v>1.44963145</v>
      </c>
      <c r="G138" s="2" t="s">
        <v>50</v>
      </c>
      <c r="H138" s="5">
        <v>4070</v>
      </c>
      <c r="I138" s="1" t="s">
        <v>8</v>
      </c>
      <c r="J138" s="15"/>
      <c r="N138" s="18" t="str">
        <f>IF(COUNTIFS( $B$2:$B$949, B138, $C$2:$C$949, C138, $D$2:$D$949, D138, $E$2:$E$949, E138) &gt; 1, "Duplicate", "Unique")</f>
        <v>Unique</v>
      </c>
    </row>
    <row r="139" spans="1:14" ht="27.6" hidden="1" customHeight="1" thickBot="1" x14ac:dyDescent="0.35">
      <c r="A139" s="25">
        <v>46252.645833333336</v>
      </c>
      <c r="B139" s="13" t="s">
        <v>80</v>
      </c>
      <c r="C139" s="13" t="s">
        <v>7</v>
      </c>
      <c r="D139" s="13">
        <v>10</v>
      </c>
      <c r="E139" s="13">
        <v>1510</v>
      </c>
      <c r="F139" s="4">
        <v>1.4648568740000001</v>
      </c>
      <c r="G139" s="2" t="s">
        <v>81</v>
      </c>
      <c r="H139" s="5">
        <v>1488.2</v>
      </c>
      <c r="I139" s="1" t="s">
        <v>8</v>
      </c>
      <c r="J139" s="15"/>
      <c r="N139" s="18" t="str">
        <f>IF(COUNTIFS( $B$2:$B$949, B139, $C$2:$C$949, C139, $D$2:$D$949, D139, $E$2:$E$949, E139) &gt; 1, "Duplicate", "Unique")</f>
        <v>Unique</v>
      </c>
    </row>
    <row r="140" spans="1:14" ht="27.6" hidden="1" customHeight="1" thickBot="1" x14ac:dyDescent="0.35">
      <c r="A140" s="25">
        <v>46253.375</v>
      </c>
      <c r="B140" s="13" t="s">
        <v>34</v>
      </c>
      <c r="C140" s="13" t="s">
        <v>7</v>
      </c>
      <c r="D140" s="13">
        <v>1</v>
      </c>
      <c r="E140" s="13">
        <v>19952</v>
      </c>
      <c r="F140" s="4">
        <v>1.4852492370000001</v>
      </c>
      <c r="G140" s="2" t="s">
        <v>71</v>
      </c>
      <c r="H140" s="5">
        <v>19660</v>
      </c>
      <c r="I140" s="1" t="s">
        <v>8</v>
      </c>
      <c r="J140" s="15" t="s">
        <v>118</v>
      </c>
      <c r="K140" s="18" t="s">
        <v>152</v>
      </c>
      <c r="N140" s="18" t="str">
        <f>IF(COUNTIFS( $B$2:$B$949, B140, $C$2:$C$949, C140, $D$2:$D$949, D140, $E$2:$E$949, E140) &gt; 1, "Duplicate", "Unique")</f>
        <v>Unique</v>
      </c>
    </row>
    <row r="141" spans="1:14" ht="27.6" hidden="1" customHeight="1" thickBot="1" x14ac:dyDescent="0.35">
      <c r="A141" s="25">
        <v>46252.645138888889</v>
      </c>
      <c r="B141" s="13" t="s">
        <v>35</v>
      </c>
      <c r="C141" s="13" t="s">
        <v>7</v>
      </c>
      <c r="D141" s="13">
        <v>200</v>
      </c>
      <c r="E141" s="13">
        <v>232</v>
      </c>
      <c r="F141" s="4">
        <v>1.642935378</v>
      </c>
      <c r="G141" s="2" t="s">
        <v>42</v>
      </c>
      <c r="H141" s="5">
        <v>228.25</v>
      </c>
      <c r="I141" s="1" t="s">
        <v>8</v>
      </c>
      <c r="J141" s="15"/>
      <c r="N141" s="18" t="str">
        <f>IF(COUNTIFS( $B$2:$B$949, B141, $C$2:$C$949, C141, $D$2:$D$949, D141, $E$2:$E$949, E141) &gt; 1, "Duplicate", "Unique")</f>
        <v>Unique</v>
      </c>
    </row>
    <row r="142" spans="1:14" ht="16.2" hidden="1" customHeight="1" thickBot="1" x14ac:dyDescent="0.35">
      <c r="A142" s="4" t="s">
        <v>172</v>
      </c>
      <c r="B142" s="1" t="s">
        <v>51</v>
      </c>
      <c r="C142" s="1" t="s">
        <v>7</v>
      </c>
      <c r="D142" s="4">
        <v>10</v>
      </c>
      <c r="E142" s="4">
        <v>977</v>
      </c>
      <c r="F142" s="4">
        <v>1.6649323620000001</v>
      </c>
      <c r="G142" s="2" t="s">
        <v>52</v>
      </c>
      <c r="H142" s="5">
        <v>961</v>
      </c>
      <c r="I142" s="1" t="s">
        <v>8</v>
      </c>
      <c r="J142" s="30" t="s">
        <v>117</v>
      </c>
      <c r="K142" t="s">
        <v>168</v>
      </c>
      <c r="L142"/>
      <c r="M142"/>
      <c r="N142" s="18" t="str">
        <f>IF(COUNTIFS( $B$2:$B$949, B142, $C$2:$C$949, C142, $D$2:$D$949, D142, $E$2:$E$949, E142) &gt; 1, "Duplicate", "Unique")</f>
        <v>Unique</v>
      </c>
    </row>
    <row r="143" spans="1:14" ht="27.6" hidden="1" customHeight="1" thickBot="1" x14ac:dyDescent="0.35">
      <c r="A143" s="3">
        <v>46254.643043981479</v>
      </c>
      <c r="B143" s="1" t="s">
        <v>15</v>
      </c>
      <c r="C143" s="1" t="s">
        <v>7</v>
      </c>
      <c r="D143" s="4">
        <v>10</v>
      </c>
      <c r="E143" s="4">
        <v>2672</v>
      </c>
      <c r="F143" s="4">
        <v>2.1211542140000001</v>
      </c>
      <c r="G143" s="2" t="s">
        <v>72</v>
      </c>
      <c r="H143" s="5">
        <v>2616.5</v>
      </c>
      <c r="I143" s="1" t="s">
        <v>8</v>
      </c>
      <c r="J143" s="30" t="s">
        <v>117</v>
      </c>
      <c r="K143" t="s">
        <v>165</v>
      </c>
      <c r="L143"/>
      <c r="M143"/>
      <c r="N143" s="18" t="str">
        <f>IF(COUNTIFS( $B$2:$B$949, B143, $C$2:$C$949, C143, $D$2:$D$949, D143, $E$2:$E$949, E143) &gt; 1, "Duplicate", "Unique")</f>
        <v>Unique</v>
      </c>
    </row>
    <row r="144" spans="1:14" ht="40.799999999999997" hidden="1" customHeight="1" thickBot="1" x14ac:dyDescent="0.35">
      <c r="A144" s="25">
        <v>46253.604166666664</v>
      </c>
      <c r="B144" s="13" t="s">
        <v>14</v>
      </c>
      <c r="C144" s="13" t="s">
        <v>7</v>
      </c>
      <c r="D144" s="13">
        <v>100</v>
      </c>
      <c r="E144" s="13">
        <v>344.5</v>
      </c>
      <c r="F144" s="4">
        <v>2.3774145619999998</v>
      </c>
      <c r="G144" s="2" t="s">
        <v>45</v>
      </c>
      <c r="H144" s="5">
        <v>336.5</v>
      </c>
      <c r="I144" s="1" t="s">
        <v>8</v>
      </c>
      <c r="J144" s="15" t="s">
        <v>118</v>
      </c>
      <c r="K144" s="18" t="s">
        <v>151</v>
      </c>
      <c r="N144" s="18" t="str">
        <f>IF(COUNTIFS( $B$2:$B$949, B144, $C$2:$C$949, C144, $D$2:$D$949, D144, $E$2:$E$949, E144) &gt; 1, "Duplicate", "Unique")</f>
        <v>Unique</v>
      </c>
    </row>
    <row r="145" spans="1:14" ht="27.6" hidden="1" customHeight="1" thickBot="1" x14ac:dyDescent="0.35">
      <c r="A145" s="25">
        <v>46253.375</v>
      </c>
      <c r="B145" s="13" t="s">
        <v>32</v>
      </c>
      <c r="C145" s="13" t="s">
        <v>7</v>
      </c>
      <c r="D145" s="13">
        <v>20</v>
      </c>
      <c r="E145" s="13">
        <v>896</v>
      </c>
      <c r="F145" s="4">
        <v>2.5934619570000002</v>
      </c>
      <c r="G145" s="2" t="s">
        <v>85</v>
      </c>
      <c r="H145" s="5">
        <v>873.35</v>
      </c>
      <c r="I145" s="1" t="s">
        <v>8</v>
      </c>
      <c r="J145" s="15"/>
      <c r="K145" s="18" t="s">
        <v>150</v>
      </c>
      <c r="N145" s="18" t="str">
        <f>IF(COUNTIFS( $B$2:$B$949, B145, $C$2:$C$949, C145, $D$2:$D$949, D145, $E$2:$E$949, E145) &gt; 1, "Duplicate", "Unique")</f>
        <v>Unique</v>
      </c>
    </row>
    <row r="146" spans="1:14" ht="27.6" hidden="1" customHeight="1" thickBot="1" x14ac:dyDescent="0.35">
      <c r="A146" s="25">
        <v>46252.645833333336</v>
      </c>
      <c r="B146" s="13" t="s">
        <v>49</v>
      </c>
      <c r="C146" s="13" t="s">
        <v>7</v>
      </c>
      <c r="D146" s="13">
        <v>5</v>
      </c>
      <c r="E146" s="13">
        <v>4177</v>
      </c>
      <c r="F146" s="4">
        <v>2.6289926289999999</v>
      </c>
      <c r="G146" s="2" t="s">
        <v>50</v>
      </c>
      <c r="H146" s="5">
        <v>4070</v>
      </c>
      <c r="I146" s="1" t="s">
        <v>8</v>
      </c>
      <c r="J146" s="15"/>
      <c r="N146" s="18" t="str">
        <f>IF(COUNTIFS( $B$2:$B$949, B146, $C$2:$C$949, C146, $D$2:$D$949, D146, $E$2:$E$949, E146) &gt; 1, "Duplicate", "Unique")</f>
        <v>Unique</v>
      </c>
    </row>
    <row r="147" spans="1:14" ht="40.799999999999997" hidden="1" customHeight="1" thickBot="1" x14ac:dyDescent="0.35">
      <c r="A147" s="13" t="s">
        <v>62</v>
      </c>
      <c r="B147" s="13" t="s">
        <v>128</v>
      </c>
      <c r="C147" s="13" t="s">
        <v>7</v>
      </c>
      <c r="D147" s="13">
        <v>150</v>
      </c>
      <c r="E147" s="13">
        <v>130</v>
      </c>
      <c r="F147" s="4">
        <v>2.823696907</v>
      </c>
      <c r="G147" s="2" t="s">
        <v>129</v>
      </c>
      <c r="H147" s="5">
        <v>126.43</v>
      </c>
      <c r="I147" s="1" t="s">
        <v>8</v>
      </c>
      <c r="J147" s="15"/>
      <c r="N147" s="18" t="str">
        <f>IF(COUNTIFS( $B$2:$B$949, B147, $C$2:$C$949, C147, $D$2:$D$949, D147, $E$2:$E$949, E147) &gt; 1, "Duplicate", "Unique")</f>
        <v>Unique</v>
      </c>
    </row>
    <row r="148" spans="1:14" ht="27.6" hidden="1" customHeight="1" thickBot="1" x14ac:dyDescent="0.35">
      <c r="A148" s="25">
        <v>46252.635416666664</v>
      </c>
      <c r="B148" s="13" t="s">
        <v>35</v>
      </c>
      <c r="C148" s="13" t="s">
        <v>7</v>
      </c>
      <c r="D148" s="13">
        <v>200</v>
      </c>
      <c r="E148" s="13">
        <v>235</v>
      </c>
      <c r="F148" s="4">
        <v>2.9572836800000002</v>
      </c>
      <c r="G148" s="2" t="s">
        <v>42</v>
      </c>
      <c r="H148" s="5">
        <v>228.25</v>
      </c>
      <c r="I148" s="1" t="s">
        <v>8</v>
      </c>
      <c r="J148" s="20" t="s">
        <v>55</v>
      </c>
      <c r="N148" s="18" t="str">
        <f>IF(COUNTIFS( $B$2:$B$949, B148, $C$2:$C$949, C148, $D$2:$D$949, D148, $E$2:$E$949, E148) &gt; 1, "Duplicate", "Unique")</f>
        <v>Unique</v>
      </c>
    </row>
    <row r="149" spans="1:14" ht="27.6" hidden="1" customHeight="1" thickBot="1" x14ac:dyDescent="0.35">
      <c r="A149" s="25">
        <v>46252.6875</v>
      </c>
      <c r="B149" s="13" t="s">
        <v>15</v>
      </c>
      <c r="C149" s="13" t="s">
        <v>7</v>
      </c>
      <c r="D149" s="13">
        <v>10</v>
      </c>
      <c r="E149" s="13">
        <v>2696</v>
      </c>
      <c r="F149" s="4">
        <v>3.0384100900000002</v>
      </c>
      <c r="G149" s="2" t="s">
        <v>72</v>
      </c>
      <c r="H149" s="5">
        <v>2616.5</v>
      </c>
      <c r="I149" s="1" t="s">
        <v>8</v>
      </c>
      <c r="J149" s="15"/>
      <c r="N149" s="18" t="str">
        <f>IF(COUNTIFS( $B$2:$B$949, B149, $C$2:$C$949, C149, $D$2:$D$949, D149, $E$2:$E$949, E149) &gt; 1, "Duplicate", "Unique")</f>
        <v>Unique</v>
      </c>
    </row>
    <row r="150" spans="1:14" ht="16.2" hidden="1" customHeight="1" thickBot="1" x14ac:dyDescent="0.35">
      <c r="A150" s="25">
        <v>46252.6875</v>
      </c>
      <c r="B150" s="13" t="s">
        <v>17</v>
      </c>
      <c r="C150" s="13" t="s">
        <v>7</v>
      </c>
      <c r="D150" s="13">
        <v>25</v>
      </c>
      <c r="E150" s="13">
        <v>348</v>
      </c>
      <c r="F150" s="4">
        <v>3.1722502220000002</v>
      </c>
      <c r="G150" s="2" t="s">
        <v>77</v>
      </c>
      <c r="H150" s="5">
        <v>337.3</v>
      </c>
      <c r="I150" s="1" t="s">
        <v>8</v>
      </c>
      <c r="J150" s="15" t="s">
        <v>55</v>
      </c>
      <c r="N150" s="18" t="str">
        <f>IF(COUNTIFS( $B$2:$B$949, B150, $C$2:$C$949, C150, $D$2:$D$949, D150, $E$2:$E$949, E150) &gt; 1, "Duplicate", "Unique")</f>
        <v>Unique</v>
      </c>
    </row>
    <row r="151" spans="1:14" ht="27.6" hidden="1" customHeight="1" thickBot="1" x14ac:dyDescent="0.35">
      <c r="A151" s="25">
        <v>46252.635416666664</v>
      </c>
      <c r="B151" s="13" t="s">
        <v>123</v>
      </c>
      <c r="C151" s="13" t="s">
        <v>7</v>
      </c>
      <c r="D151" s="13">
        <v>200</v>
      </c>
      <c r="E151" s="13">
        <v>89.3</v>
      </c>
      <c r="F151" s="4">
        <v>3.3564814809999999</v>
      </c>
      <c r="G151" s="2" t="s">
        <v>124</v>
      </c>
      <c r="H151" s="5">
        <v>86.4</v>
      </c>
      <c r="I151" s="1" t="s">
        <v>8</v>
      </c>
      <c r="J151" s="15"/>
      <c r="N151" s="18" t="str">
        <f>IF(COUNTIFS( $B$2:$B$949, B151, $C$2:$C$949, C151, $D$2:$D$949, D151, $E$2:$E$949, E151) &gt; 1, "Duplicate", "Unique")</f>
        <v>Unique</v>
      </c>
    </row>
    <row r="152" spans="1:14" ht="27.6" hidden="1" customHeight="1" thickBot="1" x14ac:dyDescent="0.35">
      <c r="A152" s="25">
        <v>46253.522916666669</v>
      </c>
      <c r="B152" s="13" t="s">
        <v>14</v>
      </c>
      <c r="C152" s="13" t="s">
        <v>7</v>
      </c>
      <c r="D152" s="13">
        <v>100</v>
      </c>
      <c r="E152" s="13">
        <v>348</v>
      </c>
      <c r="F152" s="4">
        <v>3.4175334319999999</v>
      </c>
      <c r="G152" s="2" t="s">
        <v>45</v>
      </c>
      <c r="H152" s="5">
        <v>336.5</v>
      </c>
      <c r="I152" s="1" t="s">
        <v>8</v>
      </c>
      <c r="J152" s="15" t="s">
        <v>118</v>
      </c>
      <c r="K152" s="18" t="s">
        <v>153</v>
      </c>
      <c r="N152" s="18" t="str">
        <f>IF(COUNTIFS( $B$2:$B$949, B152, $C$2:$C$949, C152, $D$2:$D$949, D152, $E$2:$E$949, E152) &gt; 1, "Duplicate", "Unique")</f>
        <v>Unique</v>
      </c>
    </row>
    <row r="153" spans="1:14" ht="27.6" hidden="1" customHeight="1" thickBot="1" x14ac:dyDescent="0.35">
      <c r="A153" s="25">
        <v>46252.635416666664</v>
      </c>
      <c r="B153" s="13" t="s">
        <v>33</v>
      </c>
      <c r="C153" s="13" t="s">
        <v>7</v>
      </c>
      <c r="D153" s="13">
        <v>6</v>
      </c>
      <c r="E153" s="13">
        <v>2420</v>
      </c>
      <c r="F153" s="4">
        <v>3.4585951860000002</v>
      </c>
      <c r="G153" s="2" t="s">
        <v>84</v>
      </c>
      <c r="H153" s="5">
        <v>2339.1</v>
      </c>
      <c r="I153" s="1" t="s">
        <v>8</v>
      </c>
      <c r="J153" s="15"/>
      <c r="N153" s="18" t="str">
        <f>IF(COUNTIFS( $B$2:$B$949, B153, $C$2:$C$949, C153, $D$2:$D$949, D153, $E$2:$E$949, E153) &gt; 1, "Duplicate", "Unique")</f>
        <v>Unique</v>
      </c>
    </row>
    <row r="154" spans="1:14" ht="27.6" hidden="1" customHeight="1" thickBot="1" x14ac:dyDescent="0.35">
      <c r="A154" s="13" t="s">
        <v>62</v>
      </c>
      <c r="B154" s="13" t="s">
        <v>53</v>
      </c>
      <c r="C154" s="13" t="s">
        <v>7</v>
      </c>
      <c r="D154" s="13">
        <v>2</v>
      </c>
      <c r="E154" s="26">
        <v>2690</v>
      </c>
      <c r="F154" s="4">
        <v>3.6568918350000001</v>
      </c>
      <c r="G154" s="2" t="s">
        <v>54</v>
      </c>
      <c r="H154" s="5">
        <v>2595.1</v>
      </c>
      <c r="I154" s="1" t="s">
        <v>8</v>
      </c>
      <c r="J154" s="15" t="s">
        <v>41</v>
      </c>
      <c r="N154" s="18" t="str">
        <f>IF(COUNTIFS( $B$2:$B$949, B154, $C$2:$C$949, C154, $D$2:$D$949, D154, $E$2:$E$949, E154) &gt; 1, "Duplicate", "Unique")</f>
        <v>Unique</v>
      </c>
    </row>
    <row r="155" spans="1:14" ht="15" hidden="1" customHeight="1" thickBot="1" x14ac:dyDescent="0.35">
      <c r="A155" s="3">
        <v>46254.625937500001</v>
      </c>
      <c r="B155" s="1" t="s">
        <v>14</v>
      </c>
      <c r="C155" s="1" t="s">
        <v>7</v>
      </c>
      <c r="D155" s="4">
        <v>100</v>
      </c>
      <c r="E155" s="4">
        <v>349</v>
      </c>
      <c r="F155" s="4">
        <v>3.7147102529999998</v>
      </c>
      <c r="G155" s="2" t="s">
        <v>45</v>
      </c>
      <c r="H155" s="5">
        <v>336.5</v>
      </c>
      <c r="I155" s="1" t="s">
        <v>8</v>
      </c>
      <c r="J155" s="30" t="s">
        <v>117</v>
      </c>
      <c r="K155" t="s">
        <v>166</v>
      </c>
      <c r="L155"/>
      <c r="M155"/>
      <c r="N155" s="18" t="str">
        <f>IF(COUNTIFS( $B$2:$B$949, B155, $C$2:$C$949, C155, $D$2:$D$949, D155, $E$2:$E$949, E155) &gt; 1, "Duplicate", "Unique")</f>
        <v>Unique</v>
      </c>
    </row>
    <row r="156" spans="1:14" ht="27.6" hidden="1" customHeight="1" thickBot="1" x14ac:dyDescent="0.35">
      <c r="A156" s="25">
        <v>46252.6875</v>
      </c>
      <c r="B156" s="13" t="s">
        <v>23</v>
      </c>
      <c r="C156" s="13" t="s">
        <v>7</v>
      </c>
      <c r="D156" s="13">
        <v>50</v>
      </c>
      <c r="E156" s="13">
        <v>214</v>
      </c>
      <c r="F156" s="4">
        <v>3.7324285019999999</v>
      </c>
      <c r="G156" s="2" t="s">
        <v>70</v>
      </c>
      <c r="H156" s="5">
        <v>206.3</v>
      </c>
      <c r="I156" s="1" t="s">
        <v>8</v>
      </c>
      <c r="J156" s="15" t="s">
        <v>41</v>
      </c>
      <c r="N156" s="18" t="str">
        <f>IF(COUNTIFS( $B$2:$B$949, B156, $C$2:$C$949, C156, $D$2:$D$949, D156, $E$2:$E$949, E156) &gt; 1, "Duplicate", "Unique")</f>
        <v>Unique</v>
      </c>
    </row>
    <row r="157" spans="1:14" ht="15" hidden="1" customHeight="1" thickBot="1" x14ac:dyDescent="0.35">
      <c r="A157" s="25">
        <v>46252.635416666664</v>
      </c>
      <c r="B157" s="13" t="s">
        <v>51</v>
      </c>
      <c r="C157" s="13" t="s">
        <v>7</v>
      </c>
      <c r="D157" s="13">
        <v>10</v>
      </c>
      <c r="E157" s="13">
        <v>997</v>
      </c>
      <c r="F157" s="4">
        <v>3.7460978150000002</v>
      </c>
      <c r="G157" s="2" t="s">
        <v>52</v>
      </c>
      <c r="H157" s="5">
        <v>961</v>
      </c>
      <c r="I157" s="1" t="s">
        <v>8</v>
      </c>
      <c r="J157" s="15" t="s">
        <v>41</v>
      </c>
      <c r="N157" s="18" t="str">
        <f>IF(COUNTIFS( $B$2:$B$949, B157, $C$2:$C$949, C157, $D$2:$D$949, D157, $E$2:$E$949, E157) &gt; 1, "Duplicate", "Unique")</f>
        <v>Unique</v>
      </c>
    </row>
    <row r="158" spans="1:14" ht="27.6" hidden="1" customHeight="1" thickBot="1" x14ac:dyDescent="0.35">
      <c r="A158" s="25">
        <v>46253.629861111112</v>
      </c>
      <c r="B158" s="13" t="s">
        <v>29</v>
      </c>
      <c r="C158" s="13" t="s">
        <v>7</v>
      </c>
      <c r="D158" s="13">
        <v>5</v>
      </c>
      <c r="E158" s="13">
        <v>3973</v>
      </c>
      <c r="F158" s="4">
        <v>3.8665655800000001</v>
      </c>
      <c r="G158" s="2" t="s">
        <v>137</v>
      </c>
      <c r="H158" s="5">
        <v>3825.1</v>
      </c>
      <c r="I158" s="1" t="s">
        <v>8</v>
      </c>
      <c r="J158" s="15"/>
      <c r="K158" s="18" t="s">
        <v>144</v>
      </c>
      <c r="N158" s="18" t="str">
        <f>IF(COUNTIFS( $B$2:$B$949, B158, $C$2:$C$949, C158, $D$2:$D$949, D158, $E$2:$E$949, E158) &gt; 1, "Duplicate", "Unique")</f>
        <v>Unique</v>
      </c>
    </row>
    <row r="159" spans="1:14" ht="27.6" hidden="1" customHeight="1" thickBot="1" x14ac:dyDescent="0.35">
      <c r="A159" s="25">
        <v>46252.6875</v>
      </c>
      <c r="B159" s="13" t="s">
        <v>15</v>
      </c>
      <c r="C159" s="13" t="s">
        <v>7</v>
      </c>
      <c r="D159" s="13">
        <v>10</v>
      </c>
      <c r="E159" s="13">
        <v>2720</v>
      </c>
      <c r="F159" s="4">
        <v>3.9556659660000002</v>
      </c>
      <c r="G159" s="2" t="s">
        <v>72</v>
      </c>
      <c r="H159" s="5">
        <v>2616.5</v>
      </c>
      <c r="I159" s="1" t="s">
        <v>8</v>
      </c>
      <c r="J159" s="15"/>
      <c r="N159" s="18" t="str">
        <f>IF(COUNTIFS( $B$2:$B$949, B159, $C$2:$C$949, C159, $D$2:$D$949, D159, $E$2:$E$949, E159) &gt; 1, "Duplicate", "Unique")</f>
        <v>Unique</v>
      </c>
    </row>
    <row r="160" spans="1:14" ht="27.6" hidden="1" customHeight="1" thickBot="1" x14ac:dyDescent="0.35">
      <c r="A160" s="25">
        <v>46252.6875</v>
      </c>
      <c r="B160" s="13" t="s">
        <v>24</v>
      </c>
      <c r="C160" s="13" t="s">
        <v>7</v>
      </c>
      <c r="D160" s="13">
        <v>40</v>
      </c>
      <c r="E160" s="13">
        <v>446</v>
      </c>
      <c r="F160" s="4">
        <v>3.9627039630000001</v>
      </c>
      <c r="G160" s="2" t="s">
        <v>56</v>
      </c>
      <c r="H160" s="5">
        <v>429</v>
      </c>
      <c r="I160" s="1" t="s">
        <v>8</v>
      </c>
      <c r="J160" s="20" t="s">
        <v>55</v>
      </c>
      <c r="N160" s="18" t="str">
        <f>IF(COUNTIFS( $B$2:$B$949, B160, $C$2:$C$949, C160, $D$2:$D$949, D160, $E$2:$E$949, E160) &gt; 1, "Duplicate", "Unique")</f>
        <v>Unique</v>
      </c>
    </row>
    <row r="161" spans="1:14" ht="27.6" hidden="1" customHeight="1" thickBot="1" x14ac:dyDescent="0.35">
      <c r="A161" s="25">
        <v>46252.688194444447</v>
      </c>
      <c r="B161" s="13" t="s">
        <v>21</v>
      </c>
      <c r="C161" s="13" t="s">
        <v>7</v>
      </c>
      <c r="D161" s="13">
        <v>5</v>
      </c>
      <c r="E161" s="13">
        <v>710</v>
      </c>
      <c r="F161" s="4">
        <v>3.968370186</v>
      </c>
      <c r="G161" s="2" t="s">
        <v>76</v>
      </c>
      <c r="H161" s="5">
        <v>682.9</v>
      </c>
      <c r="I161" s="1" t="s">
        <v>8</v>
      </c>
      <c r="J161" s="15"/>
      <c r="N161" s="18" t="str">
        <f>IF(COUNTIFS( $B$2:$B$949, B161, $C$2:$C$949, C161, $D$2:$D$949, D161, $E$2:$E$949, E161) &gt; 1, "Duplicate", "Unique")</f>
        <v>Unique</v>
      </c>
    </row>
    <row r="162" spans="1:14" ht="27.6" hidden="1" customHeight="1" thickBot="1" x14ac:dyDescent="0.35">
      <c r="A162" s="25">
        <v>46252.645138888889</v>
      </c>
      <c r="B162" s="13" t="s">
        <v>68</v>
      </c>
      <c r="C162" s="13" t="s">
        <v>7</v>
      </c>
      <c r="D162" s="13">
        <v>20</v>
      </c>
      <c r="E162" s="13">
        <v>424</v>
      </c>
      <c r="F162" s="4">
        <v>3.9852851010000001</v>
      </c>
      <c r="G162" s="2" t="s">
        <v>69</v>
      </c>
      <c r="H162" s="5">
        <v>407.75</v>
      </c>
      <c r="I162" s="1" t="s">
        <v>8</v>
      </c>
      <c r="J162" s="15"/>
      <c r="N162" s="18" t="str">
        <f>IF(COUNTIFS( $B$2:$B$949, B162, $C$2:$C$949, C162, $D$2:$D$949, D162, $E$2:$E$949, E162) &gt; 1, "Duplicate", "Unique")</f>
        <v>Unique</v>
      </c>
    </row>
    <row r="163" spans="1:14" ht="15" hidden="1" customHeight="1" thickBot="1" x14ac:dyDescent="0.35">
      <c r="A163" s="25">
        <v>46252.635416666664</v>
      </c>
      <c r="B163" s="13" t="s">
        <v>82</v>
      </c>
      <c r="C163" s="13" t="s">
        <v>7</v>
      </c>
      <c r="D163" s="13">
        <v>1</v>
      </c>
      <c r="E163" s="13">
        <v>4556</v>
      </c>
      <c r="F163" s="4">
        <v>3.9945217990000002</v>
      </c>
      <c r="G163" s="2" t="s">
        <v>83</v>
      </c>
      <c r="H163" s="5">
        <v>4381</v>
      </c>
      <c r="I163" s="1" t="s">
        <v>8</v>
      </c>
      <c r="J163" s="15"/>
      <c r="N163" s="18" t="str">
        <f>IF(COUNTIFS( $B$2:$B$949, B163, $C$2:$C$949, C163, $D$2:$D$949, D163, $E$2:$E$949, E163) &gt; 1, "Duplicate", "Unique")</f>
        <v>Unique</v>
      </c>
    </row>
    <row r="164" spans="1:14" ht="27.6" hidden="1" customHeight="1" thickBot="1" x14ac:dyDescent="0.35">
      <c r="A164" s="13" t="s">
        <v>62</v>
      </c>
      <c r="B164" s="13" t="s">
        <v>80</v>
      </c>
      <c r="C164" s="13" t="s">
        <v>7</v>
      </c>
      <c r="D164" s="13">
        <v>10</v>
      </c>
      <c r="E164" s="13">
        <v>1548</v>
      </c>
      <c r="F164" s="4">
        <v>4.0182771129999999</v>
      </c>
      <c r="G164" s="2" t="s">
        <v>81</v>
      </c>
      <c r="H164" s="5">
        <v>1488.2</v>
      </c>
      <c r="I164" s="1" t="s">
        <v>8</v>
      </c>
      <c r="J164" s="15" t="s">
        <v>41</v>
      </c>
      <c r="N164" s="18" t="str">
        <f>IF(COUNTIFS( $B$2:$B$949, B164, $C$2:$C$949, C164, $D$2:$D$949, D164, $E$2:$E$949, E164) &gt; 1, "Duplicate", "Unique")</f>
        <v>Unique</v>
      </c>
    </row>
    <row r="165" spans="1:14" ht="27.6" hidden="1" customHeight="1" thickBot="1" x14ac:dyDescent="0.35">
      <c r="A165" s="25">
        <v>46252.6875</v>
      </c>
      <c r="B165" s="13" t="s">
        <v>6</v>
      </c>
      <c r="C165" s="13" t="s">
        <v>7</v>
      </c>
      <c r="D165" s="13">
        <v>50</v>
      </c>
      <c r="E165" s="13">
        <v>293</v>
      </c>
      <c r="F165" s="4">
        <v>4.1963015649999997</v>
      </c>
      <c r="G165" s="2" t="s">
        <v>130</v>
      </c>
      <c r="H165" s="5">
        <v>281.2</v>
      </c>
      <c r="I165" s="1" t="s">
        <v>8</v>
      </c>
      <c r="J165" s="15"/>
      <c r="N165" s="18" t="str">
        <f>IF(COUNTIFS( $B$2:$B$949, B165, $C$2:$C$949, C165, $D$2:$D$949, D165, $E$2:$E$949, E165) &gt; 1, "Duplicate", "Unique")</f>
        <v>Unique</v>
      </c>
    </row>
    <row r="166" spans="1:14" ht="27.6" hidden="1" customHeight="1" thickBot="1" x14ac:dyDescent="0.35">
      <c r="A166" s="25">
        <v>46252.645833333336</v>
      </c>
      <c r="B166" s="13" t="s">
        <v>119</v>
      </c>
      <c r="C166" s="13" t="s">
        <v>7</v>
      </c>
      <c r="D166" s="13">
        <v>15</v>
      </c>
      <c r="E166" s="13">
        <v>1040</v>
      </c>
      <c r="F166" s="4">
        <v>4.2815602129999997</v>
      </c>
      <c r="G166" s="2" t="s">
        <v>120</v>
      </c>
      <c r="H166" s="5">
        <v>997.3</v>
      </c>
      <c r="I166" s="1" t="s">
        <v>8</v>
      </c>
      <c r="J166" s="15"/>
      <c r="N166" s="18" t="str">
        <f>IF(COUNTIFS( $B$2:$B$949, B166, $C$2:$C$949, C166, $D$2:$D$949, D166, $E$2:$E$949, E166) &gt; 1, "Duplicate", "Unique")</f>
        <v>Unique</v>
      </c>
    </row>
    <row r="167" spans="1:14" ht="27.6" hidden="1" customHeight="1" thickBot="1" x14ac:dyDescent="0.35">
      <c r="A167" s="25">
        <v>46252.635416666664</v>
      </c>
      <c r="B167" s="13" t="s">
        <v>35</v>
      </c>
      <c r="C167" s="13" t="s">
        <v>7</v>
      </c>
      <c r="D167" s="13">
        <v>120</v>
      </c>
      <c r="E167" s="13">
        <v>238.2</v>
      </c>
      <c r="F167" s="4">
        <v>4.359255203</v>
      </c>
      <c r="G167" s="2" t="s">
        <v>42</v>
      </c>
      <c r="H167" s="5">
        <v>228.25</v>
      </c>
      <c r="I167" s="1" t="s">
        <v>8</v>
      </c>
      <c r="J167" s="15" t="s">
        <v>41</v>
      </c>
      <c r="K167" s="18" t="s">
        <v>155</v>
      </c>
      <c r="N167" s="18" t="str">
        <f>IF(COUNTIFS( $B$2:$B$949, B167, $C$2:$C$949, C167, $D$2:$D$949, D167, $E$2:$E$949, E167) &gt; 1, "Duplicate", "Unique")</f>
        <v>Unique</v>
      </c>
    </row>
    <row r="168" spans="1:14" ht="27.6" hidden="1" customHeight="1" thickBot="1" x14ac:dyDescent="0.35">
      <c r="A168" s="13" t="s">
        <v>62</v>
      </c>
      <c r="B168" s="13" t="s">
        <v>53</v>
      </c>
      <c r="C168" s="13" t="s">
        <v>7</v>
      </c>
      <c r="D168" s="13">
        <v>3</v>
      </c>
      <c r="E168" s="26">
        <v>2710</v>
      </c>
      <c r="F168" s="4">
        <v>4.4275750450000002</v>
      </c>
      <c r="G168" s="2" t="s">
        <v>54</v>
      </c>
      <c r="H168" s="5">
        <v>2595.1</v>
      </c>
      <c r="I168" s="1" t="s">
        <v>8</v>
      </c>
      <c r="J168" s="15"/>
      <c r="N168" s="18" t="str">
        <f>IF(COUNTIFS( $B$2:$B$949, B168, $C$2:$C$949, C168, $D$2:$D$949, D168, $E$2:$E$949, E168) &gt; 1, "Duplicate", "Unique")</f>
        <v>Unique</v>
      </c>
    </row>
    <row r="169" spans="1:14" ht="15" hidden="1" customHeight="1" thickBot="1" x14ac:dyDescent="0.35">
      <c r="A169" s="25">
        <v>46253.4</v>
      </c>
      <c r="B169" s="13" t="s">
        <v>6</v>
      </c>
      <c r="C169" s="13" t="s">
        <v>7</v>
      </c>
      <c r="D169" s="13">
        <v>30</v>
      </c>
      <c r="E169" s="13">
        <v>294</v>
      </c>
      <c r="F169" s="4">
        <v>4.5519203409999998</v>
      </c>
      <c r="G169" s="2" t="s">
        <v>130</v>
      </c>
      <c r="H169" s="5">
        <v>281.2</v>
      </c>
      <c r="I169" s="1" t="s">
        <v>8</v>
      </c>
      <c r="J169" s="15" t="s">
        <v>118</v>
      </c>
      <c r="K169" s="18" t="s">
        <v>147</v>
      </c>
      <c r="N169" s="18" t="str">
        <f>IF(COUNTIFS( $B$2:$B$949, B169, $C$2:$C$949, C169, $D$2:$D$949, D169, $E$2:$E$949, E169) &gt; 1, "Duplicate", "Unique")</f>
        <v>Unique</v>
      </c>
    </row>
    <row r="170" spans="1:14" ht="27.6" hidden="1" customHeight="1" thickBot="1" x14ac:dyDescent="0.35">
      <c r="A170" s="25">
        <v>46252.635416666664</v>
      </c>
      <c r="B170" s="13" t="s">
        <v>121</v>
      </c>
      <c r="C170" s="13" t="s">
        <v>7</v>
      </c>
      <c r="D170" s="13">
        <v>25</v>
      </c>
      <c r="E170" s="13">
        <v>784</v>
      </c>
      <c r="F170" s="4">
        <v>4.5612163240000001</v>
      </c>
      <c r="G170" s="2" t="s">
        <v>122</v>
      </c>
      <c r="H170" s="5">
        <v>749.8</v>
      </c>
      <c r="I170" s="1" t="s">
        <v>8</v>
      </c>
      <c r="J170" s="15" t="s">
        <v>41</v>
      </c>
      <c r="N170" s="18" t="str">
        <f>IF(COUNTIFS( $B$2:$B$949, B170, $C$2:$C$949, C170, $D$2:$D$949, D170, $E$2:$E$949, E170) &gt; 1, "Duplicate", "Unique")</f>
        <v>Unique</v>
      </c>
    </row>
    <row r="171" spans="1:14" ht="15" hidden="1" customHeight="1" thickBot="1" x14ac:dyDescent="0.35">
      <c r="A171" s="25">
        <v>46252.6875</v>
      </c>
      <c r="B171" s="13" t="s">
        <v>9</v>
      </c>
      <c r="C171" s="13" t="s">
        <v>7</v>
      </c>
      <c r="D171" s="13">
        <v>50</v>
      </c>
      <c r="E171" s="13">
        <v>305</v>
      </c>
      <c r="F171" s="4">
        <v>4.6312178389999996</v>
      </c>
      <c r="G171" s="2" t="s">
        <v>95</v>
      </c>
      <c r="H171" s="5">
        <v>291.5</v>
      </c>
      <c r="I171" s="1" t="s">
        <v>8</v>
      </c>
      <c r="J171" s="15" t="s">
        <v>55</v>
      </c>
      <c r="N171" s="18" t="str">
        <f>IF(COUNTIFS( $B$2:$B$949, B171, $C$2:$C$949, C171, $D$2:$D$949, D171, $E$2:$E$949, E171) &gt; 1, "Duplicate", "Unique")</f>
        <v>Unique</v>
      </c>
    </row>
    <row r="172" spans="1:14" ht="16.2" hidden="1" customHeight="1" thickBot="1" x14ac:dyDescent="0.35">
      <c r="A172" s="13" t="s">
        <v>62</v>
      </c>
      <c r="B172" s="13" t="s">
        <v>35</v>
      </c>
      <c r="C172" s="13" t="s">
        <v>7</v>
      </c>
      <c r="D172" s="13">
        <v>200</v>
      </c>
      <c r="E172" s="13">
        <v>239</v>
      </c>
      <c r="F172" s="4">
        <v>4.709748083</v>
      </c>
      <c r="G172" s="2" t="s">
        <v>42</v>
      </c>
      <c r="H172" s="5">
        <v>228.25</v>
      </c>
      <c r="I172" s="1" t="s">
        <v>8</v>
      </c>
      <c r="J172" s="15"/>
      <c r="N172" s="18" t="str">
        <f>IF(COUNTIFS( $B$2:$B$949, B172, $C$2:$C$949, C172, $D$2:$D$949, D172, $E$2:$E$949, E172) &gt; 1, "Duplicate", "Unique")</f>
        <v>Unique</v>
      </c>
    </row>
    <row r="173" spans="1:14" ht="27.6" hidden="1" customHeight="1" thickBot="1" x14ac:dyDescent="0.35">
      <c r="A173" s="25">
        <v>46253.375</v>
      </c>
      <c r="B173" s="13" t="s">
        <v>14</v>
      </c>
      <c r="C173" s="13" t="s">
        <v>7</v>
      </c>
      <c r="D173" s="13">
        <v>50</v>
      </c>
      <c r="E173" s="13">
        <v>353</v>
      </c>
      <c r="F173" s="4">
        <v>4.9034175329999998</v>
      </c>
      <c r="G173" s="2" t="s">
        <v>45</v>
      </c>
      <c r="H173" s="5">
        <v>336.5</v>
      </c>
      <c r="I173" s="1" t="s">
        <v>8</v>
      </c>
      <c r="J173" s="15" t="s">
        <v>118</v>
      </c>
      <c r="K173" s="18" t="s">
        <v>154</v>
      </c>
      <c r="N173" s="18" t="str">
        <f>IF(COUNTIFS( $B$2:$B$949, B173, $C$2:$C$949, C173, $D$2:$D$949, D173, $E$2:$E$949, E173) &gt; 1, "Duplicate", "Unique")</f>
        <v>Unique</v>
      </c>
    </row>
    <row r="174" spans="1:14" ht="27.6" hidden="1" customHeight="1" thickBot="1" x14ac:dyDescent="0.35">
      <c r="A174" s="13" t="s">
        <v>62</v>
      </c>
      <c r="B174" s="13" t="s">
        <v>123</v>
      </c>
      <c r="C174" s="13" t="s">
        <v>7</v>
      </c>
      <c r="D174" s="13">
        <v>200</v>
      </c>
      <c r="E174" s="13">
        <v>90.75</v>
      </c>
      <c r="F174" s="4">
        <v>5.0347222220000001</v>
      </c>
      <c r="G174" s="2" t="s">
        <v>124</v>
      </c>
      <c r="H174" s="5">
        <v>86.4</v>
      </c>
      <c r="I174" s="1" t="s">
        <v>8</v>
      </c>
      <c r="J174" s="15" t="s">
        <v>55</v>
      </c>
      <c r="N174" s="18" t="str">
        <f>IF(COUNTIFS( $B$2:$B$949, B174, $C$2:$C$949, C174, $D$2:$D$949, D174, $E$2:$E$949, E174) &gt; 1, "Duplicate", "Unique")</f>
        <v>Unique</v>
      </c>
    </row>
    <row r="175" spans="1:14" ht="15" hidden="1" customHeight="1" thickBot="1" x14ac:dyDescent="0.35">
      <c r="A175" s="25">
        <v>46253.395138888889</v>
      </c>
      <c r="B175" s="13" t="s">
        <v>13</v>
      </c>
      <c r="C175" s="13" t="s">
        <v>7</v>
      </c>
      <c r="D175" s="13">
        <v>3</v>
      </c>
      <c r="E175" s="13">
        <v>1935</v>
      </c>
      <c r="F175" s="4">
        <v>5.3921568630000003</v>
      </c>
      <c r="G175" s="2" t="s">
        <v>91</v>
      </c>
      <c r="H175" s="5">
        <v>1836</v>
      </c>
      <c r="I175" s="1" t="s">
        <v>8</v>
      </c>
      <c r="J175" s="15"/>
      <c r="K175" s="18" t="s">
        <v>148</v>
      </c>
      <c r="N175" s="18" t="str">
        <f>IF(COUNTIFS( $B$2:$B$949, B175, $C$2:$C$949, C175, $D$2:$D$949, D175, $E$2:$E$949, E175) &gt; 1, "Duplicate", "Unique")</f>
        <v>Unique</v>
      </c>
    </row>
    <row r="176" spans="1:14" ht="40.799999999999997" hidden="1" customHeight="1" thickBot="1" x14ac:dyDescent="0.35">
      <c r="A176" s="13" t="s">
        <v>62</v>
      </c>
      <c r="B176" s="13" t="s">
        <v>43</v>
      </c>
      <c r="C176" s="13" t="s">
        <v>7</v>
      </c>
      <c r="D176" s="13">
        <v>10</v>
      </c>
      <c r="E176" s="26">
        <v>773</v>
      </c>
      <c r="F176" s="4">
        <v>5.5218073849999998</v>
      </c>
      <c r="G176" s="2" t="s">
        <v>44</v>
      </c>
      <c r="H176" s="5">
        <v>732.55</v>
      </c>
      <c r="I176" s="1" t="s">
        <v>8</v>
      </c>
      <c r="J176" s="15" t="s">
        <v>118</v>
      </c>
      <c r="N176" s="18" t="str">
        <f>IF(COUNTIFS( $B$2:$B$949, B176, $C$2:$C$949, C176, $D$2:$D$949, D176, $E$2:$E$949, E176) &gt; 1, "Duplicate", "Unique")</f>
        <v>Unique</v>
      </c>
    </row>
    <row r="177" spans="1:14" ht="27.6" hidden="1" customHeight="1" thickBot="1" x14ac:dyDescent="0.35">
      <c r="A177" s="25">
        <v>46252.635416666664</v>
      </c>
      <c r="B177" s="13" t="s">
        <v>126</v>
      </c>
      <c r="C177" s="13" t="s">
        <v>7</v>
      </c>
      <c r="D177" s="13">
        <v>6</v>
      </c>
      <c r="E177" s="13">
        <v>548</v>
      </c>
      <c r="F177" s="4">
        <v>5.5876685930000001</v>
      </c>
      <c r="G177" s="2" t="s">
        <v>127</v>
      </c>
      <c r="H177" s="5">
        <v>519</v>
      </c>
      <c r="I177" s="1" t="s">
        <v>8</v>
      </c>
      <c r="J177" s="15"/>
      <c r="N177" s="18" t="str">
        <f>IF(COUNTIFS( $B$2:$B$949, B177, $C$2:$C$949, C177, $D$2:$D$949, D177, $E$2:$E$949, E177) &gt; 1, "Duplicate", "Unique")</f>
        <v>Unique</v>
      </c>
    </row>
    <row r="178" spans="1:14" ht="40.799999999999997" hidden="1" customHeight="1" thickBot="1" x14ac:dyDescent="0.35">
      <c r="A178" s="25">
        <v>46252.688194444447</v>
      </c>
      <c r="B178" s="13" t="s">
        <v>28</v>
      </c>
      <c r="C178" s="13" t="s">
        <v>7</v>
      </c>
      <c r="D178" s="13">
        <v>30</v>
      </c>
      <c r="E178" s="13">
        <v>930</v>
      </c>
      <c r="F178" s="4">
        <v>5.6818181819999998</v>
      </c>
      <c r="G178" s="2" t="s">
        <v>125</v>
      </c>
      <c r="H178" s="5">
        <v>880</v>
      </c>
      <c r="I178" s="1" t="s">
        <v>8</v>
      </c>
      <c r="J178" s="15"/>
      <c r="N178" s="18" t="str">
        <f>IF(COUNTIFS( $B$2:$B$949, B178, $C$2:$C$949, C178, $D$2:$D$949, D178, $E$2:$E$949, E178) &gt; 1, "Duplicate", "Unique")</f>
        <v>Unique</v>
      </c>
    </row>
    <row r="179" spans="1:14" ht="27.6" hidden="1" customHeight="1" thickBot="1" x14ac:dyDescent="0.35">
      <c r="A179" s="3">
        <v>46254.375578703701</v>
      </c>
      <c r="B179" s="1" t="s">
        <v>87</v>
      </c>
      <c r="C179" s="1" t="s">
        <v>7</v>
      </c>
      <c r="D179" s="4">
        <v>10</v>
      </c>
      <c r="E179" s="4">
        <v>1390</v>
      </c>
      <c r="F179" s="4">
        <v>5.7838660580000001</v>
      </c>
      <c r="G179" s="2" t="s">
        <v>88</v>
      </c>
      <c r="H179" s="5">
        <v>1314</v>
      </c>
      <c r="I179" s="1" t="s">
        <v>8</v>
      </c>
      <c r="J179" s="30" t="s">
        <v>117</v>
      </c>
      <c r="K179" t="s">
        <v>167</v>
      </c>
      <c r="L179"/>
      <c r="M179"/>
      <c r="N179" s="18" t="str">
        <f>IF(COUNTIFS( $B$2:$B$949, B179, $C$2:$C$949, C179, $D$2:$D$949, D179, $E$2:$E$949, E179) &gt; 1, "Duplicate", "Unique")</f>
        <v>Unique</v>
      </c>
    </row>
    <row r="180" spans="1:14" ht="27.6" hidden="1" customHeight="1" thickBot="1" x14ac:dyDescent="0.35">
      <c r="A180" s="25">
        <v>46252.635416666664</v>
      </c>
      <c r="B180" s="13" t="s">
        <v>78</v>
      </c>
      <c r="C180" s="13" t="s">
        <v>7</v>
      </c>
      <c r="D180" s="13">
        <v>7</v>
      </c>
      <c r="E180" s="13">
        <v>1424</v>
      </c>
      <c r="F180" s="4">
        <v>5.8028085300000001</v>
      </c>
      <c r="G180" s="2" t="s">
        <v>79</v>
      </c>
      <c r="H180" s="5">
        <v>1345.9</v>
      </c>
      <c r="I180" s="1" t="s">
        <v>8</v>
      </c>
      <c r="J180" s="15"/>
      <c r="N180" s="18" t="str">
        <f>IF(COUNTIFS( $B$2:$B$949, B180, $C$2:$C$949, C180, $D$2:$D$949, D180, $E$2:$E$949, E180) &gt; 1, "Duplicate", "Unique")</f>
        <v>Unique</v>
      </c>
    </row>
    <row r="181" spans="1:14" ht="27.6" hidden="1" customHeight="1" thickBot="1" x14ac:dyDescent="0.35">
      <c r="A181" s="25">
        <v>46252.635416666664</v>
      </c>
      <c r="B181" s="13" t="s">
        <v>74</v>
      </c>
      <c r="C181" s="13" t="s">
        <v>7</v>
      </c>
      <c r="D181" s="13">
        <v>5</v>
      </c>
      <c r="E181" s="13">
        <v>3482</v>
      </c>
      <c r="F181" s="4">
        <v>5.8037070799999997</v>
      </c>
      <c r="G181" s="2" t="s">
        <v>75</v>
      </c>
      <c r="H181" s="5">
        <v>3291</v>
      </c>
      <c r="I181" s="1" t="s">
        <v>8</v>
      </c>
      <c r="J181" s="15"/>
      <c r="N181" s="18" t="str">
        <f>IF(COUNTIFS( $B$2:$B$949, B181, $C$2:$C$949, C181, $D$2:$D$949, D181, $E$2:$E$949, E181) &gt; 1, "Duplicate", "Unique")</f>
        <v>Unique</v>
      </c>
    </row>
    <row r="182" spans="1:14" ht="15" hidden="1" customHeight="1" thickBot="1" x14ac:dyDescent="0.35">
      <c r="A182" s="25">
        <v>46252.688194444447</v>
      </c>
      <c r="B182" s="13" t="s">
        <v>14</v>
      </c>
      <c r="C182" s="13" t="s">
        <v>7</v>
      </c>
      <c r="D182" s="13">
        <v>50</v>
      </c>
      <c r="E182" s="13">
        <v>357</v>
      </c>
      <c r="F182" s="4">
        <v>6.0921248139999999</v>
      </c>
      <c r="G182" s="2" t="s">
        <v>45</v>
      </c>
      <c r="H182" s="5">
        <v>336.5</v>
      </c>
      <c r="I182" s="1" t="s">
        <v>8</v>
      </c>
      <c r="J182" s="15"/>
      <c r="N182" s="18" t="str">
        <f>IF(COUNTIFS( $B$2:$B$949, B182, $C$2:$C$949, C182, $D$2:$D$949, D182, $E$2:$E$949, E182) &gt; 1, "Duplicate", "Unique")</f>
        <v>Unique</v>
      </c>
    </row>
    <row r="183" spans="1:14" ht="27.6" hidden="1" customHeight="1" thickBot="1" x14ac:dyDescent="0.35">
      <c r="A183" s="25">
        <v>46252.6875</v>
      </c>
      <c r="B183" s="13" t="s">
        <v>23</v>
      </c>
      <c r="C183" s="13" t="s">
        <v>7</v>
      </c>
      <c r="D183" s="13">
        <v>65</v>
      </c>
      <c r="E183" s="13">
        <v>219</v>
      </c>
      <c r="F183" s="4">
        <v>6.1560833739999996</v>
      </c>
      <c r="G183" s="2" t="s">
        <v>70</v>
      </c>
      <c r="H183" s="5">
        <v>206.3</v>
      </c>
      <c r="I183" s="1" t="s">
        <v>8</v>
      </c>
      <c r="J183" s="15" t="s">
        <v>55</v>
      </c>
      <c r="N183" s="18" t="str">
        <f>IF(COUNTIFS( $B$2:$B$949, B183, $C$2:$C$949, C183, $D$2:$D$949, D183, $E$2:$E$949, E183) &gt; 1, "Duplicate", "Unique")</f>
        <v>Unique</v>
      </c>
    </row>
    <row r="184" spans="1:14" ht="27.6" hidden="1" customHeight="1" thickBot="1" x14ac:dyDescent="0.35">
      <c r="A184" s="13" t="s">
        <v>62</v>
      </c>
      <c r="B184" s="13" t="s">
        <v>121</v>
      </c>
      <c r="C184" s="13" t="s">
        <v>7</v>
      </c>
      <c r="D184" s="13">
        <v>20</v>
      </c>
      <c r="E184" s="13">
        <v>796</v>
      </c>
      <c r="F184" s="4">
        <v>6.1616431049999996</v>
      </c>
      <c r="G184" s="2" t="s">
        <v>122</v>
      </c>
      <c r="H184" s="5">
        <v>749.8</v>
      </c>
      <c r="I184" s="1" t="s">
        <v>8</v>
      </c>
      <c r="J184" s="15"/>
      <c r="N184" s="18" t="str">
        <f>IF(COUNTIFS( $B$2:$B$949, B184, $C$2:$C$949, C184, $D$2:$D$949, D184, $E$2:$E$949, E184) &gt; 1, "Duplicate", "Unique")</f>
        <v>Unique</v>
      </c>
    </row>
    <row r="185" spans="1:14" ht="27.6" hidden="1" customHeight="1" thickBot="1" x14ac:dyDescent="0.35">
      <c r="A185" s="13" t="s">
        <v>62</v>
      </c>
      <c r="B185" s="13" t="s">
        <v>123</v>
      </c>
      <c r="C185" s="13" t="s">
        <v>7</v>
      </c>
      <c r="D185" s="13">
        <v>200</v>
      </c>
      <c r="E185" s="13">
        <v>91.75</v>
      </c>
      <c r="F185" s="4">
        <v>6.1921296300000002</v>
      </c>
      <c r="G185" s="2" t="s">
        <v>124</v>
      </c>
      <c r="H185" s="5">
        <v>86.4</v>
      </c>
      <c r="I185" s="1" t="s">
        <v>8</v>
      </c>
      <c r="J185" s="15"/>
      <c r="N185" s="18" t="str">
        <f>IF(COUNTIFS( $B$2:$B$949, B185, $C$2:$C$949, C185, $D$2:$D$949, D185, $E$2:$E$949, E185) &gt; 1, "Duplicate", "Unique")</f>
        <v>Unique</v>
      </c>
    </row>
    <row r="186" spans="1:14" ht="27.6" hidden="1" customHeight="1" thickBot="1" x14ac:dyDescent="0.35">
      <c r="A186" s="13" t="s">
        <v>62</v>
      </c>
      <c r="B186" s="13" t="s">
        <v>51</v>
      </c>
      <c r="C186" s="13" t="s">
        <v>7</v>
      </c>
      <c r="D186" s="13">
        <v>10</v>
      </c>
      <c r="E186" s="27">
        <v>1024</v>
      </c>
      <c r="F186" s="4">
        <v>6.5556711759999997</v>
      </c>
      <c r="G186" s="2" t="s">
        <v>52</v>
      </c>
      <c r="H186" s="5">
        <v>961</v>
      </c>
      <c r="I186" s="1" t="s">
        <v>8</v>
      </c>
      <c r="J186" s="15" t="s">
        <v>118</v>
      </c>
      <c r="N186" s="18" t="str">
        <f>IF(COUNTIFS( $B$2:$B$949, B186, $C$2:$C$949, C186, $D$2:$D$949, D186, $E$2:$E$949, E186) &gt; 1, "Duplicate", "Unique")</f>
        <v>Unique</v>
      </c>
    </row>
    <row r="187" spans="1:14" ht="40.799999999999997" hidden="1" customHeight="1" thickBot="1" x14ac:dyDescent="0.35">
      <c r="A187" s="13" t="s">
        <v>62</v>
      </c>
      <c r="B187" s="13" t="s">
        <v>68</v>
      </c>
      <c r="C187" s="13" t="s">
        <v>7</v>
      </c>
      <c r="D187" s="13">
        <v>10</v>
      </c>
      <c r="E187" s="13">
        <v>435</v>
      </c>
      <c r="F187" s="4">
        <v>6.6830165539999999</v>
      </c>
      <c r="G187" s="2" t="s">
        <v>69</v>
      </c>
      <c r="H187" s="5">
        <v>407.75</v>
      </c>
      <c r="I187" s="1" t="s">
        <v>8</v>
      </c>
      <c r="J187" s="15"/>
      <c r="N187" s="18" t="str">
        <f>IF(COUNTIFS( $B$2:$B$949, B187, $C$2:$C$949, C187, $D$2:$D$949, D187, $E$2:$E$949, E187) &gt; 1, "Duplicate", "Unique")</f>
        <v>Unique</v>
      </c>
    </row>
    <row r="188" spans="1:14" ht="27.6" hidden="1" customHeight="1" thickBot="1" x14ac:dyDescent="0.35">
      <c r="A188" s="13" t="s">
        <v>62</v>
      </c>
      <c r="B188" s="13" t="s">
        <v>17</v>
      </c>
      <c r="C188" s="13" t="s">
        <v>7</v>
      </c>
      <c r="D188" s="13">
        <v>25</v>
      </c>
      <c r="E188" s="13">
        <v>360</v>
      </c>
      <c r="F188" s="4">
        <v>6.7299140230000001</v>
      </c>
      <c r="G188" s="2" t="s">
        <v>77</v>
      </c>
      <c r="H188" s="5">
        <v>337.3</v>
      </c>
      <c r="I188" s="1" t="s">
        <v>8</v>
      </c>
      <c r="J188" s="15"/>
      <c r="N188" s="18" t="str">
        <f>IF(COUNTIFS( $B$2:$B$949, B188, $C$2:$C$949, C188, $D$2:$D$949, D188, $E$2:$E$949, E188) &gt; 1, "Duplicate", "Unique")</f>
        <v>Unique</v>
      </c>
    </row>
    <row r="189" spans="1:14" ht="15" hidden="1" customHeight="1" thickBot="1" x14ac:dyDescent="0.35">
      <c r="A189" s="13" t="s">
        <v>62</v>
      </c>
      <c r="B189" s="13" t="s">
        <v>6</v>
      </c>
      <c r="C189" s="13" t="s">
        <v>7</v>
      </c>
      <c r="D189" s="13">
        <v>120</v>
      </c>
      <c r="E189" s="13">
        <v>300.5</v>
      </c>
      <c r="F189" s="4">
        <v>6.8634423900000003</v>
      </c>
      <c r="G189" s="2" t="s">
        <v>130</v>
      </c>
      <c r="H189" s="5">
        <v>281.2</v>
      </c>
      <c r="I189" s="1" t="s">
        <v>8</v>
      </c>
      <c r="J189" s="15" t="s">
        <v>117</v>
      </c>
      <c r="N189" s="18" t="str">
        <f>IF(COUNTIFS( $B$2:$B$949, B189, $C$2:$C$949, C189, $D$2:$D$949, D189, $E$2:$E$949, E189) &gt; 1, "Duplicate", "Unique")</f>
        <v>Unique</v>
      </c>
    </row>
    <row r="190" spans="1:14" ht="27.6" hidden="1" customHeight="1" thickBot="1" x14ac:dyDescent="0.35">
      <c r="A190" s="25">
        <v>46252.635416666664</v>
      </c>
      <c r="B190" s="13" t="s">
        <v>47</v>
      </c>
      <c r="C190" s="13" t="s">
        <v>7</v>
      </c>
      <c r="D190" s="13">
        <v>8</v>
      </c>
      <c r="E190" s="13">
        <v>2448</v>
      </c>
      <c r="F190" s="4">
        <v>6.8808941670000001</v>
      </c>
      <c r="G190" s="2" t="s">
        <v>48</v>
      </c>
      <c r="H190" s="5">
        <v>2290.4</v>
      </c>
      <c r="I190" s="1" t="s">
        <v>8</v>
      </c>
      <c r="J190" s="15"/>
      <c r="N190" s="18" t="str">
        <f>IF(COUNTIFS( $B$2:$B$949, B190, $C$2:$C$949, C190, $D$2:$D$949, D190, $E$2:$E$949, E190) &gt; 1, "Duplicate", "Unique")</f>
        <v>Unique</v>
      </c>
    </row>
    <row r="191" spans="1:14" ht="16.2" hidden="1" customHeight="1" thickBot="1" x14ac:dyDescent="0.35">
      <c r="A191" s="13" t="s">
        <v>62</v>
      </c>
      <c r="B191" s="13" t="s">
        <v>21</v>
      </c>
      <c r="C191" s="13" t="s">
        <v>7</v>
      </c>
      <c r="D191" s="13">
        <v>5</v>
      </c>
      <c r="E191" s="13">
        <v>730</v>
      </c>
      <c r="F191" s="4">
        <v>6.8970566699999996</v>
      </c>
      <c r="G191" s="2" t="s">
        <v>76</v>
      </c>
      <c r="H191" s="5">
        <v>682.9</v>
      </c>
      <c r="I191" s="1" t="s">
        <v>8</v>
      </c>
      <c r="J191" s="15"/>
      <c r="N191" s="18" t="str">
        <f>IF(COUNTIFS( $B$2:$B$949, B191, $C$2:$C$949, C191, $D$2:$D$949, D191, $E$2:$E$949, E191) &gt; 1, "Duplicate", "Unique")</f>
        <v>Unique</v>
      </c>
    </row>
    <row r="192" spans="1:14" ht="27.6" hidden="1" customHeight="1" thickBot="1" x14ac:dyDescent="0.35">
      <c r="A192" s="13" t="s">
        <v>62</v>
      </c>
      <c r="B192" s="13" t="s">
        <v>35</v>
      </c>
      <c r="C192" s="13" t="s">
        <v>7</v>
      </c>
      <c r="D192" s="13">
        <v>200</v>
      </c>
      <c r="E192" s="26">
        <v>244</v>
      </c>
      <c r="F192" s="4">
        <v>6.9003285869999997</v>
      </c>
      <c r="G192" s="2" t="s">
        <v>42</v>
      </c>
      <c r="H192" s="5">
        <v>228.25</v>
      </c>
      <c r="I192" s="1" t="s">
        <v>8</v>
      </c>
      <c r="J192" s="15" t="s">
        <v>118</v>
      </c>
      <c r="N192" s="18" t="str">
        <f>IF(COUNTIFS( $B$2:$B$949, B192, $C$2:$C$949, C192, $D$2:$D$949, D192, $E$2:$E$949, E192) &gt; 1, "Duplicate", "Unique")</f>
        <v>Unique</v>
      </c>
    </row>
    <row r="193" spans="1:14" ht="16.2" hidden="1" customHeight="1" thickBot="1" x14ac:dyDescent="0.35">
      <c r="A193" s="25">
        <v>46252.6875</v>
      </c>
      <c r="B193" s="13" t="s">
        <v>27</v>
      </c>
      <c r="C193" s="13" t="s">
        <v>7</v>
      </c>
      <c r="D193" s="13">
        <v>2</v>
      </c>
      <c r="E193" s="13">
        <v>3048</v>
      </c>
      <c r="F193" s="4">
        <v>6.9473684210000002</v>
      </c>
      <c r="G193" s="2" t="s">
        <v>131</v>
      </c>
      <c r="H193" s="5">
        <v>2850</v>
      </c>
      <c r="I193" s="1" t="s">
        <v>8</v>
      </c>
      <c r="J193" s="15" t="s">
        <v>41</v>
      </c>
      <c r="N193" s="18" t="str">
        <f>IF(COUNTIFS( $B$2:$B$949, B193, $C$2:$C$949, C193, $D$2:$D$949, D193, $E$2:$E$949, E193) &gt; 1, "Duplicate", "Unique")</f>
        <v>Unique</v>
      </c>
    </row>
    <row r="194" spans="1:14" ht="27.6" hidden="1" customHeight="1" thickBot="1" x14ac:dyDescent="0.35">
      <c r="A194" s="25">
        <v>46252.688194444447</v>
      </c>
      <c r="B194" s="13" t="s">
        <v>14</v>
      </c>
      <c r="C194" s="13" t="s">
        <v>7</v>
      </c>
      <c r="D194" s="13">
        <v>50</v>
      </c>
      <c r="E194" s="13">
        <v>361</v>
      </c>
      <c r="F194" s="4">
        <v>7.2808320950000001</v>
      </c>
      <c r="G194" s="2" t="s">
        <v>45</v>
      </c>
      <c r="H194" s="5">
        <v>336.5</v>
      </c>
      <c r="I194" s="1" t="s">
        <v>8</v>
      </c>
      <c r="J194" s="15"/>
      <c r="N194" s="18" t="str">
        <f>IF(COUNTIFS( $B$2:$B$949, B194, $C$2:$C$949, C194, $D$2:$D$949, D194, $E$2:$E$949, E194) &gt; 1, "Duplicate", "Unique")</f>
        <v>Unique</v>
      </c>
    </row>
    <row r="195" spans="1:14" ht="27.6" hidden="1" customHeight="1" thickBot="1" x14ac:dyDescent="0.35">
      <c r="A195" s="13" t="s">
        <v>62</v>
      </c>
      <c r="B195" s="13" t="s">
        <v>135</v>
      </c>
      <c r="C195" s="13" t="s">
        <v>7</v>
      </c>
      <c r="D195" s="13">
        <v>5</v>
      </c>
      <c r="E195" s="13">
        <v>2190</v>
      </c>
      <c r="F195" s="4">
        <v>7.3424174100000004</v>
      </c>
      <c r="G195" s="2" t="s">
        <v>136</v>
      </c>
      <c r="H195" s="5">
        <v>2040.2</v>
      </c>
      <c r="I195" s="1" t="s">
        <v>8</v>
      </c>
      <c r="J195" s="15" t="s">
        <v>118</v>
      </c>
      <c r="N195" s="18" t="str">
        <f>IF(COUNTIFS( $B$2:$B$949, B195, $C$2:$C$949, C195, $D$2:$D$949, D195, $E$2:$E$949, E195) &gt; 1, "Duplicate", "Unique")</f>
        <v>Unique</v>
      </c>
    </row>
    <row r="196" spans="1:14" ht="27.6" hidden="1" customHeight="1" thickBot="1" x14ac:dyDescent="0.35">
      <c r="A196" s="13" t="s">
        <v>62</v>
      </c>
      <c r="B196" s="13" t="s">
        <v>133</v>
      </c>
      <c r="C196" s="13" t="s">
        <v>7</v>
      </c>
      <c r="D196" s="13">
        <v>150</v>
      </c>
      <c r="E196" s="13">
        <v>123.4</v>
      </c>
      <c r="F196" s="4">
        <v>7.3977371630000004</v>
      </c>
      <c r="G196" s="2" t="s">
        <v>134</v>
      </c>
      <c r="H196" s="5">
        <v>114.9</v>
      </c>
      <c r="I196" s="1" t="s">
        <v>8</v>
      </c>
      <c r="J196" s="15" t="s">
        <v>41</v>
      </c>
      <c r="N196" s="18" t="str">
        <f>IF(COUNTIFS( $B$2:$B$949, B196, $C$2:$C$949, C196, $D$2:$D$949, D196, $E$2:$E$949, E196) &gt; 1, "Duplicate", "Unique")</f>
        <v>Unique</v>
      </c>
    </row>
    <row r="197" spans="1:14" ht="40.799999999999997" hidden="1" customHeight="1" thickBot="1" x14ac:dyDescent="0.35">
      <c r="A197" s="25">
        <v>46253.605555555558</v>
      </c>
      <c r="B197" s="13" t="s">
        <v>13</v>
      </c>
      <c r="C197" s="13" t="s">
        <v>7</v>
      </c>
      <c r="D197" s="13">
        <v>10</v>
      </c>
      <c r="E197" s="13">
        <v>1972</v>
      </c>
      <c r="F197" s="4">
        <v>7.407407407</v>
      </c>
      <c r="G197" s="2" t="s">
        <v>91</v>
      </c>
      <c r="H197" s="5">
        <v>1836</v>
      </c>
      <c r="I197" s="1" t="s">
        <v>8</v>
      </c>
      <c r="J197" s="15"/>
      <c r="K197" s="18" t="s">
        <v>145</v>
      </c>
      <c r="N197" s="18" t="str">
        <f>IF(COUNTIFS( $B$2:$B$949, B197, $C$2:$C$949, C197, $D$2:$D$949, D197, $E$2:$E$949, E197) &gt; 1, "Duplicate", "Unique")</f>
        <v>Unique</v>
      </c>
    </row>
    <row r="198" spans="1:14" ht="27.6" hidden="1" customHeight="1" thickBot="1" x14ac:dyDescent="0.35">
      <c r="A198" s="13" t="s">
        <v>62</v>
      </c>
      <c r="B198" s="13" t="s">
        <v>128</v>
      </c>
      <c r="C198" s="13" t="s">
        <v>7</v>
      </c>
      <c r="D198" s="13">
        <v>150</v>
      </c>
      <c r="E198" s="26">
        <v>136</v>
      </c>
      <c r="F198" s="4">
        <v>7.5694059950000003</v>
      </c>
      <c r="G198" s="2" t="s">
        <v>129</v>
      </c>
      <c r="H198" s="5">
        <v>126.43</v>
      </c>
      <c r="I198" s="1" t="s">
        <v>8</v>
      </c>
      <c r="J198" s="15"/>
      <c r="N198" s="18" t="str">
        <f>IF(COUNTIFS( $B$2:$B$949, B198, $C$2:$C$949, C198, $D$2:$D$949, D198, $E$2:$E$949, E198) &gt; 1, "Duplicate", "Unique")</f>
        <v>Unique</v>
      </c>
    </row>
    <row r="199" spans="1:14" ht="27.6" hidden="1" customHeight="1" thickBot="1" x14ac:dyDescent="0.35">
      <c r="A199" s="13" t="s">
        <v>62</v>
      </c>
      <c r="B199" s="13" t="s">
        <v>43</v>
      </c>
      <c r="C199" s="13" t="s">
        <v>7</v>
      </c>
      <c r="D199" s="13">
        <v>5</v>
      </c>
      <c r="E199" s="26">
        <v>790</v>
      </c>
      <c r="F199" s="4">
        <v>7.8424680909999998</v>
      </c>
      <c r="G199" s="2" t="s">
        <v>44</v>
      </c>
      <c r="H199" s="5">
        <v>732.55</v>
      </c>
      <c r="I199" s="1" t="s">
        <v>8</v>
      </c>
      <c r="J199" s="15"/>
      <c r="N199" s="18" t="str">
        <f>IF(COUNTIFS( $B$2:$B$949, B199, $C$2:$C$949, C199, $D$2:$D$949, D199, $E$2:$E$949, E199) &gt; 1, "Duplicate", "Unique")</f>
        <v>Unique</v>
      </c>
    </row>
    <row r="200" spans="1:14" ht="40.799999999999997" hidden="1" customHeight="1" thickBot="1" x14ac:dyDescent="0.35">
      <c r="A200" s="25">
        <v>46252.635416666664</v>
      </c>
      <c r="B200" s="13" t="s">
        <v>121</v>
      </c>
      <c r="C200" s="13" t="s">
        <v>7</v>
      </c>
      <c r="D200" s="13">
        <v>20</v>
      </c>
      <c r="E200" s="13">
        <v>810</v>
      </c>
      <c r="F200" s="4">
        <v>8.0288076820000001</v>
      </c>
      <c r="G200" s="2" t="s">
        <v>122</v>
      </c>
      <c r="H200" s="5">
        <v>749.8</v>
      </c>
      <c r="I200" s="1" t="s">
        <v>8</v>
      </c>
      <c r="J200" s="15"/>
      <c r="N200" s="18" t="str">
        <f>IF(COUNTIFS( $B$2:$B$949, B200, $C$2:$C$949, C200, $D$2:$D$949, D200, $E$2:$E$949, E200) &gt; 1, "Duplicate", "Unique")</f>
        <v>Unique</v>
      </c>
    </row>
    <row r="201" spans="1:14" ht="27.6" hidden="1" customHeight="1" thickBot="1" x14ac:dyDescent="0.35">
      <c r="A201" s="13" t="s">
        <v>62</v>
      </c>
      <c r="B201" s="13" t="s">
        <v>26</v>
      </c>
      <c r="C201" s="13" t="s">
        <v>7</v>
      </c>
      <c r="D201" s="13">
        <v>25</v>
      </c>
      <c r="E201" s="13">
        <v>199.9</v>
      </c>
      <c r="F201" s="4">
        <v>8.0540540539999999</v>
      </c>
      <c r="G201" s="2" t="s">
        <v>132</v>
      </c>
      <c r="H201" s="5">
        <v>185</v>
      </c>
      <c r="I201" s="1" t="s">
        <v>8</v>
      </c>
      <c r="J201" s="15"/>
      <c r="N201" s="18" t="str">
        <f>IF(COUNTIFS( $B$2:$B$949, B201, $C$2:$C$949, C201, $D$2:$D$949, D201, $E$2:$E$949, E201) &gt; 1, "Duplicate", "Unique")</f>
        <v>Unique</v>
      </c>
    </row>
    <row r="202" spans="1:14" ht="27.6" hidden="1" customHeight="1" thickBot="1" x14ac:dyDescent="0.35">
      <c r="A202" s="25">
        <v>46252.688194444447</v>
      </c>
      <c r="B202" s="13" t="s">
        <v>14</v>
      </c>
      <c r="C202" s="13" t="s">
        <v>7</v>
      </c>
      <c r="D202" s="13">
        <v>50</v>
      </c>
      <c r="E202" s="13">
        <v>365</v>
      </c>
      <c r="F202" s="4">
        <v>8.4695393760000002</v>
      </c>
      <c r="G202" s="2" t="s">
        <v>45</v>
      </c>
      <c r="H202" s="5">
        <v>336.5</v>
      </c>
      <c r="I202" s="1" t="s">
        <v>8</v>
      </c>
      <c r="J202" s="15"/>
      <c r="N202" s="18" t="str">
        <f>IF(COUNTIFS( $B$2:$B$949, B202, $C$2:$C$949, C202, $D$2:$D$949, D202, $E$2:$E$949, E202) &gt; 1, "Duplicate", "Unique")</f>
        <v>Unique</v>
      </c>
    </row>
    <row r="203" spans="1:14" ht="16.2" hidden="1" customHeight="1" thickBot="1" x14ac:dyDescent="0.35">
      <c r="A203" s="13" t="s">
        <v>62</v>
      </c>
      <c r="B203" s="13" t="s">
        <v>133</v>
      </c>
      <c r="C203" s="13" t="s">
        <v>7</v>
      </c>
      <c r="D203" s="13">
        <v>150</v>
      </c>
      <c r="E203" s="26">
        <v>124.9</v>
      </c>
      <c r="F203" s="4">
        <v>8.7032201909999998</v>
      </c>
      <c r="G203" s="2" t="s">
        <v>134</v>
      </c>
      <c r="H203" s="5">
        <v>114.9</v>
      </c>
      <c r="I203" s="1" t="s">
        <v>8</v>
      </c>
      <c r="J203" s="20" t="s">
        <v>117</v>
      </c>
      <c r="N203" s="18" t="str">
        <f>IF(COUNTIFS( $B$2:$B$949, B203, $C$2:$C$949, C203, $D$2:$D$949, D203, $E$2:$E$949, E203) &gt; 1, "Duplicate", "Unique")</f>
        <v>Unique</v>
      </c>
    </row>
    <row r="204" spans="1:14" ht="40.799999999999997" hidden="1" customHeight="1" thickBot="1" x14ac:dyDescent="0.35">
      <c r="A204" s="13" t="s">
        <v>62</v>
      </c>
      <c r="B204" s="13" t="s">
        <v>9</v>
      </c>
      <c r="C204" s="13" t="s">
        <v>7</v>
      </c>
      <c r="D204" s="13">
        <v>50</v>
      </c>
      <c r="E204" s="13">
        <v>317</v>
      </c>
      <c r="F204" s="4">
        <v>8.7478559180000008</v>
      </c>
      <c r="G204" s="2" t="s">
        <v>95</v>
      </c>
      <c r="H204" s="5">
        <v>291.5</v>
      </c>
      <c r="I204" s="1" t="s">
        <v>8</v>
      </c>
      <c r="J204" s="15"/>
      <c r="N204" s="18" t="str">
        <f>IF(COUNTIFS( $B$2:$B$949, B204, $C$2:$C$949, C204, $D$2:$D$949, D204, $E$2:$E$949, E204) &gt; 1, "Duplicate", "Unique")</f>
        <v>Unique</v>
      </c>
    </row>
    <row r="205" spans="1:14" ht="15" hidden="1" customHeight="1" thickBot="1" x14ac:dyDescent="0.35">
      <c r="A205" s="13" t="s">
        <v>62</v>
      </c>
      <c r="B205" s="13" t="s">
        <v>24</v>
      </c>
      <c r="C205" s="13" t="s">
        <v>7</v>
      </c>
      <c r="D205" s="13">
        <v>5</v>
      </c>
      <c r="E205" s="13">
        <v>467.25</v>
      </c>
      <c r="F205" s="4">
        <v>8.9160839159999998</v>
      </c>
      <c r="G205" s="2" t="s">
        <v>56</v>
      </c>
      <c r="H205" s="5">
        <v>429</v>
      </c>
      <c r="I205" s="1" t="s">
        <v>8</v>
      </c>
      <c r="J205" s="15"/>
      <c r="N205" s="18" t="str">
        <f>IF(COUNTIFS( $B$2:$B$949, B205, $C$2:$C$949, C205, $D$2:$D$949, D205, $E$2:$E$949, E205) &gt; 1, "Duplicate", "Unique")</f>
        <v>Unique</v>
      </c>
    </row>
    <row r="206" spans="1:14" ht="27.6" hidden="1" customHeight="1" thickBot="1" x14ac:dyDescent="0.35">
      <c r="A206" s="13" t="s">
        <v>62</v>
      </c>
      <c r="B206" s="13" t="s">
        <v>35</v>
      </c>
      <c r="C206" s="13" t="s">
        <v>7</v>
      </c>
      <c r="D206" s="13">
        <v>200</v>
      </c>
      <c r="E206" s="26">
        <v>249</v>
      </c>
      <c r="F206" s="4">
        <v>9.0909090910000003</v>
      </c>
      <c r="G206" s="2" t="s">
        <v>42</v>
      </c>
      <c r="H206" s="5">
        <v>228.25</v>
      </c>
      <c r="I206" s="1" t="s">
        <v>8</v>
      </c>
      <c r="J206" s="15"/>
      <c r="N206" s="18" t="str">
        <f>IF(COUNTIFS( $B$2:$B$949, B206, $C$2:$C$949, C206, $D$2:$D$949, D206, $E$2:$E$949, E206) &gt; 1, "Duplicate", "Unique")</f>
        <v>Unique</v>
      </c>
    </row>
    <row r="207" spans="1:14" ht="27.6" hidden="1" customHeight="1" thickBot="1" x14ac:dyDescent="0.35">
      <c r="A207" s="25">
        <v>46253.375</v>
      </c>
      <c r="B207" s="13" t="s">
        <v>31</v>
      </c>
      <c r="C207" s="13" t="s">
        <v>7</v>
      </c>
      <c r="D207" s="13">
        <v>5</v>
      </c>
      <c r="E207" s="13">
        <v>682</v>
      </c>
      <c r="F207" s="4">
        <v>9.1199999999999992</v>
      </c>
      <c r="G207" s="2" t="s">
        <v>94</v>
      </c>
      <c r="H207" s="5">
        <v>625</v>
      </c>
      <c r="I207" s="1" t="s">
        <v>8</v>
      </c>
      <c r="J207" s="15"/>
      <c r="K207" s="18" t="s">
        <v>149</v>
      </c>
      <c r="N207" s="18" t="str">
        <f>IF(COUNTIFS( $B$2:$B$949, B207, $C$2:$C$949, C207, $D$2:$D$949, D207, $E$2:$E$949, E207) &gt; 1, "Duplicate", "Unique")</f>
        <v>Unique</v>
      </c>
    </row>
    <row r="208" spans="1:14" ht="27.6" hidden="1" customHeight="1" thickBot="1" x14ac:dyDescent="0.35">
      <c r="A208" s="13" t="s">
        <v>62</v>
      </c>
      <c r="B208" s="13" t="s">
        <v>119</v>
      </c>
      <c r="C208" s="13" t="s">
        <v>7</v>
      </c>
      <c r="D208" s="13">
        <v>15</v>
      </c>
      <c r="E208" s="13">
        <v>1090</v>
      </c>
      <c r="F208" s="4">
        <v>9.2950967609999999</v>
      </c>
      <c r="G208" s="2" t="s">
        <v>120</v>
      </c>
      <c r="H208" s="5">
        <v>997.3</v>
      </c>
      <c r="I208" s="1" t="s">
        <v>8</v>
      </c>
      <c r="J208" s="15"/>
      <c r="N208" s="18" t="str">
        <f>IF(COUNTIFS( $B$2:$B$949, B208, $C$2:$C$949, C208, $D$2:$D$949, D208, $E$2:$E$949, E208) &gt; 1, "Duplicate", "Unique")</f>
        <v>Unique</v>
      </c>
    </row>
    <row r="209" spans="1:14" ht="27.6" hidden="1" customHeight="1" thickBot="1" x14ac:dyDescent="0.35">
      <c r="A209" s="13" t="s">
        <v>62</v>
      </c>
      <c r="B209" s="13" t="s">
        <v>133</v>
      </c>
      <c r="C209" s="13" t="s">
        <v>7</v>
      </c>
      <c r="D209" s="13">
        <v>150</v>
      </c>
      <c r="E209" s="26">
        <v>125.9</v>
      </c>
      <c r="F209" s="4">
        <v>9.5735422109999995</v>
      </c>
      <c r="G209" s="2" t="s">
        <v>134</v>
      </c>
      <c r="H209" s="5">
        <v>114.9</v>
      </c>
      <c r="I209" s="1" t="s">
        <v>8</v>
      </c>
      <c r="J209" s="15"/>
      <c r="N209" s="18" t="str">
        <f>IF(COUNTIFS( $B$2:$B$949, B209, $C$2:$C$949, C209, $D$2:$D$949, D209, $E$2:$E$949, E209) &gt; 1, "Duplicate", "Unique")</f>
        <v>Unique</v>
      </c>
    </row>
    <row r="210" spans="1:14" ht="27.6" hidden="1" customHeight="1" thickBot="1" x14ac:dyDescent="0.35">
      <c r="A210" s="13" t="s">
        <v>62</v>
      </c>
      <c r="B210" s="13" t="s">
        <v>21</v>
      </c>
      <c r="C210" s="13" t="s">
        <v>7</v>
      </c>
      <c r="D210" s="13">
        <v>11</v>
      </c>
      <c r="E210" s="26">
        <v>749</v>
      </c>
      <c r="F210" s="4">
        <v>9.6793088300000001</v>
      </c>
      <c r="G210" s="2" t="s">
        <v>76</v>
      </c>
      <c r="H210" s="5">
        <v>682.9</v>
      </c>
      <c r="I210" s="1" t="s">
        <v>8</v>
      </c>
      <c r="J210" s="15"/>
      <c r="N210" s="18" t="str">
        <f>IF(COUNTIFS( $B$2:$B$949, B210, $C$2:$C$949, C210, $D$2:$D$949, D210, $E$2:$E$949, E210) &gt; 1, "Duplicate", "Unique")</f>
        <v>Unique</v>
      </c>
    </row>
    <row r="211" spans="1:14" ht="27.6" hidden="1" customHeight="1" thickBot="1" x14ac:dyDescent="0.35">
      <c r="A211" s="25">
        <v>46252.6875</v>
      </c>
      <c r="B211" s="13" t="s">
        <v>13</v>
      </c>
      <c r="C211" s="13" t="s">
        <v>7</v>
      </c>
      <c r="D211" s="13">
        <v>5</v>
      </c>
      <c r="E211" s="13">
        <v>2014</v>
      </c>
      <c r="F211" s="4">
        <v>9.6949891069999996</v>
      </c>
      <c r="G211" s="2" t="s">
        <v>91</v>
      </c>
      <c r="H211" s="5">
        <v>1836</v>
      </c>
      <c r="I211" s="1" t="s">
        <v>8</v>
      </c>
      <c r="J211" s="15" t="s">
        <v>41</v>
      </c>
      <c r="N211" s="18" t="str">
        <f>IF(COUNTIFS( $B$2:$B$949, B211, $C$2:$C$949, C211, $D$2:$D$949, D211, $E$2:$E$949, E211) &gt; 1, "Duplicate", "Unique")</f>
        <v>Unique</v>
      </c>
    </row>
    <row r="212" spans="1:14" ht="27.6" hidden="1" customHeight="1" thickBot="1" x14ac:dyDescent="0.35">
      <c r="A212" s="13" t="s">
        <v>62</v>
      </c>
      <c r="B212" s="13" t="s">
        <v>138</v>
      </c>
      <c r="C212" s="13" t="s">
        <v>7</v>
      </c>
      <c r="D212" s="13">
        <v>50</v>
      </c>
      <c r="E212" s="26">
        <v>480</v>
      </c>
      <c r="F212" s="4">
        <v>9.8901098899999997</v>
      </c>
      <c r="G212" s="2" t="s">
        <v>139</v>
      </c>
      <c r="H212" s="5">
        <v>436.8</v>
      </c>
      <c r="I212" s="1" t="s">
        <v>8</v>
      </c>
      <c r="J212" s="15"/>
      <c r="N212" s="18" t="str">
        <f>IF(COUNTIFS( $B$2:$B$949, B212, $C$2:$C$949, C212, $D$2:$D$949, D212, $E$2:$E$949, E212) &gt; 1, "Duplicate", "Unique")</f>
        <v>Unique</v>
      </c>
    </row>
    <row r="213" spans="1:14" ht="16.2" hidden="1" customHeight="1" thickBot="1" x14ac:dyDescent="0.35">
      <c r="A213" s="13" t="s">
        <v>62</v>
      </c>
      <c r="B213" s="13" t="s">
        <v>9</v>
      </c>
      <c r="C213" s="13" t="s">
        <v>7</v>
      </c>
      <c r="D213" s="13">
        <v>40</v>
      </c>
      <c r="E213" s="13">
        <v>320.5</v>
      </c>
      <c r="F213" s="4">
        <v>9.948542024</v>
      </c>
      <c r="G213" s="2" t="s">
        <v>95</v>
      </c>
      <c r="H213" s="5">
        <v>291.5</v>
      </c>
      <c r="I213" s="1" t="s">
        <v>8</v>
      </c>
      <c r="J213" s="15"/>
      <c r="N213" s="18" t="str">
        <f>IF(COUNTIFS( $B$2:$B$949, B213, $C$2:$C$949, C213, $D$2:$D$949, D213, $E$2:$E$949, E213) &gt; 1, "Duplicate", "Unique")</f>
        <v>Unique</v>
      </c>
    </row>
    <row r="214" spans="1:14" ht="40.799999999999997" hidden="1" customHeight="1" thickBot="1" x14ac:dyDescent="0.35">
      <c r="A214" s="13" t="s">
        <v>62</v>
      </c>
      <c r="B214" s="13" t="s">
        <v>74</v>
      </c>
      <c r="C214" s="13" t="s">
        <v>7</v>
      </c>
      <c r="D214" s="13">
        <v>5</v>
      </c>
      <c r="E214" s="13">
        <v>3633</v>
      </c>
      <c r="F214" s="4">
        <v>10.391978119999999</v>
      </c>
      <c r="G214" s="2" t="s">
        <v>75</v>
      </c>
      <c r="H214" s="5">
        <v>3291</v>
      </c>
      <c r="I214" s="1" t="s">
        <v>8</v>
      </c>
      <c r="J214" s="15"/>
      <c r="N214" s="18" t="str">
        <f>IF(COUNTIFS( $B$2:$B$949, B214, $C$2:$C$949, C214, $D$2:$D$949, D214, $E$2:$E$949, E214) &gt; 1, "Duplicate", "Unique")</f>
        <v>Unique</v>
      </c>
    </row>
    <row r="215" spans="1:14" ht="27.6" hidden="1" customHeight="1" thickBot="1" x14ac:dyDescent="0.35">
      <c r="A215" s="13" t="s">
        <v>62</v>
      </c>
      <c r="B215" s="13" t="s">
        <v>6</v>
      </c>
      <c r="C215" s="13" t="s">
        <v>7</v>
      </c>
      <c r="D215" s="13">
        <v>100</v>
      </c>
      <c r="E215" s="13">
        <v>310.5</v>
      </c>
      <c r="F215" s="4">
        <v>10.419630160000001</v>
      </c>
      <c r="G215" s="2" t="s">
        <v>130</v>
      </c>
      <c r="H215" s="5">
        <v>281.2</v>
      </c>
      <c r="I215" s="1" t="s">
        <v>8</v>
      </c>
      <c r="J215" s="15"/>
      <c r="N215" s="18" t="str">
        <f>IF(COUNTIFS( $B$2:$B$949, B215, $C$2:$C$949, C215, $D$2:$D$949, D215, $E$2:$E$949, E215) &gt; 1, "Duplicate", "Unique")</f>
        <v>Unique</v>
      </c>
    </row>
    <row r="216" spans="1:14" ht="27.6" hidden="1" customHeight="1" thickBot="1" x14ac:dyDescent="0.35">
      <c r="A216" s="13" t="s">
        <v>62</v>
      </c>
      <c r="B216" s="13" t="s">
        <v>28</v>
      </c>
      <c r="C216" s="13" t="s">
        <v>7</v>
      </c>
      <c r="D216" s="13">
        <v>30</v>
      </c>
      <c r="E216" s="27">
        <v>974</v>
      </c>
      <c r="F216" s="4">
        <v>10.68181818</v>
      </c>
      <c r="G216" s="2" t="s">
        <v>125</v>
      </c>
      <c r="H216" s="5">
        <v>880</v>
      </c>
      <c r="I216" s="1" t="s">
        <v>8</v>
      </c>
      <c r="J216" s="15"/>
      <c r="N216" s="18" t="str">
        <f>IF(COUNTIFS( $B$2:$B$949, B216, $C$2:$C$949, C216, $D$2:$D$949, D216, $E$2:$E$949, E216) &gt; 1, "Duplicate", "Unique")</f>
        <v>Unique</v>
      </c>
    </row>
    <row r="217" spans="1:14" ht="27.6" hidden="1" customHeight="1" thickBot="1" x14ac:dyDescent="0.35">
      <c r="A217" s="13" t="s">
        <v>62</v>
      </c>
      <c r="B217" s="13" t="s">
        <v>14</v>
      </c>
      <c r="C217" s="13" t="s">
        <v>7</v>
      </c>
      <c r="D217" s="13">
        <v>17</v>
      </c>
      <c r="E217" s="13">
        <v>373</v>
      </c>
      <c r="F217" s="4">
        <v>10.846953940000001</v>
      </c>
      <c r="G217" s="2" t="s">
        <v>45</v>
      </c>
      <c r="H217" s="5">
        <v>336.5</v>
      </c>
      <c r="I217" s="1" t="s">
        <v>8</v>
      </c>
      <c r="J217" s="15"/>
      <c r="N217" s="18" t="str">
        <f>IF(COUNTIFS( $B$2:$B$949, B217, $C$2:$C$949, C217, $D$2:$D$949, D217, $E$2:$E$949, E217) &gt; 1, "Duplicate", "Unique")</f>
        <v>Unique</v>
      </c>
    </row>
    <row r="218" spans="1:14" ht="27.6" hidden="1" customHeight="1" thickBot="1" x14ac:dyDescent="0.35">
      <c r="A218" s="13" t="s">
        <v>62</v>
      </c>
      <c r="B218" s="13" t="s">
        <v>14</v>
      </c>
      <c r="C218" s="13" t="s">
        <v>7</v>
      </c>
      <c r="D218" s="13">
        <v>50</v>
      </c>
      <c r="E218" s="26">
        <v>373</v>
      </c>
      <c r="F218" s="4">
        <v>10.846953940000001</v>
      </c>
      <c r="G218" s="2" t="s">
        <v>45</v>
      </c>
      <c r="H218" s="5">
        <v>336.5</v>
      </c>
      <c r="I218" s="1" t="s">
        <v>8</v>
      </c>
      <c r="J218" s="15" t="s">
        <v>41</v>
      </c>
      <c r="N218" s="18" t="str">
        <f>IF(COUNTIFS( $B$2:$B$949, B218, $C$2:$C$949, C218, $D$2:$D$949, D218, $E$2:$E$949, E218) &gt; 1, "Duplicate", "Unique")</f>
        <v>Unique</v>
      </c>
    </row>
    <row r="219" spans="1:14" ht="27.6" hidden="1" customHeight="1" thickBot="1" x14ac:dyDescent="0.35">
      <c r="A219" s="13" t="s">
        <v>62</v>
      </c>
      <c r="B219" s="28" t="s">
        <v>23</v>
      </c>
      <c r="C219" s="13" t="s">
        <v>7</v>
      </c>
      <c r="D219" s="13">
        <v>40</v>
      </c>
      <c r="E219" s="29">
        <v>229</v>
      </c>
      <c r="F219" s="4">
        <v>11.00339312</v>
      </c>
      <c r="G219" s="2" t="s">
        <v>70</v>
      </c>
      <c r="H219" s="5">
        <v>206.3</v>
      </c>
      <c r="I219" s="1" t="s">
        <v>8</v>
      </c>
      <c r="J219" s="15"/>
      <c r="N219" s="18" t="str">
        <f>IF(COUNTIFS( $B$2:$B$949, B219, $C$2:$C$949, C219, $D$2:$D$949, D219, $E$2:$E$949, E219) &gt; 1, "Duplicate", "Unique")</f>
        <v>Unique</v>
      </c>
    </row>
    <row r="220" spans="1:14" ht="27.6" hidden="1" customHeight="1" thickBot="1" x14ac:dyDescent="0.35">
      <c r="A220" s="13" t="s">
        <v>62</v>
      </c>
      <c r="B220" s="13" t="s">
        <v>6</v>
      </c>
      <c r="C220" s="13" t="s">
        <v>7</v>
      </c>
      <c r="D220" s="13">
        <v>100</v>
      </c>
      <c r="E220" s="27">
        <v>314</v>
      </c>
      <c r="F220" s="4">
        <v>11.66429587</v>
      </c>
      <c r="G220" s="2" t="s">
        <v>130</v>
      </c>
      <c r="H220" s="5">
        <v>281.2</v>
      </c>
      <c r="I220" s="1" t="s">
        <v>8</v>
      </c>
      <c r="J220" s="15"/>
      <c r="N220" s="18" t="str">
        <f>IF(COUNTIFS( $B$2:$B$949, B220, $C$2:$C$949, C220, $D$2:$D$949, D220, $E$2:$E$949, E220) &gt; 1, "Duplicate", "Unique")</f>
        <v>Unique</v>
      </c>
    </row>
    <row r="221" spans="1:14" ht="27.6" hidden="1" customHeight="1" thickBot="1" x14ac:dyDescent="0.35">
      <c r="A221" s="13" t="s">
        <v>62</v>
      </c>
      <c r="B221" s="13" t="s">
        <v>63</v>
      </c>
      <c r="C221" s="13" t="s">
        <v>7</v>
      </c>
      <c r="D221" s="13">
        <v>11</v>
      </c>
      <c r="E221" s="26">
        <v>1170</v>
      </c>
      <c r="F221" s="4">
        <v>11.69451074</v>
      </c>
      <c r="G221" s="2" t="s">
        <v>64</v>
      </c>
      <c r="H221" s="5">
        <v>1047.5</v>
      </c>
      <c r="I221" s="1" t="s">
        <v>8</v>
      </c>
      <c r="J221" s="15"/>
      <c r="N221" s="18" t="str">
        <f>IF(COUNTIFS( $B$2:$B$949, B221, $C$2:$C$949, C221, $D$2:$D$949, D221, $E$2:$E$949, E221) &gt; 1, "Duplicate", "Unique")</f>
        <v>Unique</v>
      </c>
    </row>
    <row r="222" spans="1:14" ht="14.4" hidden="1" customHeight="1" thickBot="1" x14ac:dyDescent="0.35">
      <c r="A222" s="13" t="s">
        <v>62</v>
      </c>
      <c r="B222" s="13" t="s">
        <v>28</v>
      </c>
      <c r="C222" s="13" t="s">
        <v>7</v>
      </c>
      <c r="D222" s="13">
        <v>5</v>
      </c>
      <c r="E222" s="26">
        <v>986</v>
      </c>
      <c r="F222" s="4">
        <v>12.045454550000001</v>
      </c>
      <c r="G222" s="2" t="s">
        <v>125</v>
      </c>
      <c r="H222" s="5">
        <v>880</v>
      </c>
      <c r="I222" s="1" t="s">
        <v>8</v>
      </c>
      <c r="J222" s="15"/>
      <c r="N222" s="18" t="str">
        <f>IF(COUNTIFS( $B$2:$B$949, B222, $C$2:$C$949, C222, $D$2:$D$949, D222, $E$2:$E$949, E222) &gt; 1, "Duplicate", "Unique")</f>
        <v>Unique</v>
      </c>
    </row>
    <row r="223" spans="1:14" ht="15.6" hidden="1" customHeight="1" thickBot="1" x14ac:dyDescent="0.35">
      <c r="A223" s="13" t="s">
        <v>62</v>
      </c>
      <c r="B223" s="13" t="s">
        <v>57</v>
      </c>
      <c r="C223" s="13" t="s">
        <v>7</v>
      </c>
      <c r="D223" s="13">
        <v>3</v>
      </c>
      <c r="E223" s="26">
        <v>3341</v>
      </c>
      <c r="F223" s="4">
        <v>12.491582490000001</v>
      </c>
      <c r="G223" s="2" t="s">
        <v>58</v>
      </c>
      <c r="H223" s="5">
        <v>2970</v>
      </c>
      <c r="I223" s="1" t="s">
        <v>8</v>
      </c>
      <c r="J223" s="15"/>
      <c r="N223" s="18" t="str">
        <f>IF(COUNTIFS( $B$2:$B$949, B223, $C$2:$C$949, C223, $D$2:$D$949, D223, $E$2:$E$949, E223) &gt; 1, "Duplicate", "Unique")</f>
        <v>Unique</v>
      </c>
    </row>
    <row r="224" spans="1:14" ht="14.4" hidden="1" customHeight="1" thickBot="1" x14ac:dyDescent="0.35">
      <c r="A224" s="25">
        <v>46252.635416666664</v>
      </c>
      <c r="B224" s="13" t="s">
        <v>87</v>
      </c>
      <c r="C224" s="13" t="s">
        <v>7</v>
      </c>
      <c r="D224" s="13">
        <v>10</v>
      </c>
      <c r="E224" s="13">
        <v>1479</v>
      </c>
      <c r="F224" s="4">
        <v>12.55707763</v>
      </c>
      <c r="G224" s="2" t="s">
        <v>88</v>
      </c>
      <c r="H224" s="5">
        <v>1314</v>
      </c>
      <c r="I224" s="1" t="s">
        <v>8</v>
      </c>
      <c r="J224" s="15" t="s">
        <v>55</v>
      </c>
      <c r="N224" s="18" t="str">
        <f>IF(COUNTIFS( $B$2:$B$949, B224, $C$2:$C$949, C224, $D$2:$D$949, D224, $E$2:$E$949, E224) &gt; 1, "Duplicate", "Unique")</f>
        <v>Unique</v>
      </c>
    </row>
    <row r="225" spans="1:14" ht="14.4" hidden="1" customHeight="1" thickBot="1" x14ac:dyDescent="0.35">
      <c r="A225" s="13" t="s">
        <v>62</v>
      </c>
      <c r="B225" s="13" t="s">
        <v>74</v>
      </c>
      <c r="C225" s="13" t="s">
        <v>7</v>
      </c>
      <c r="D225" s="13">
        <v>1</v>
      </c>
      <c r="E225" s="13">
        <v>3710</v>
      </c>
      <c r="F225" s="4">
        <v>12.73169249</v>
      </c>
      <c r="G225" s="2" t="s">
        <v>75</v>
      </c>
      <c r="H225" s="5">
        <v>3291</v>
      </c>
      <c r="I225" s="1" t="s">
        <v>8</v>
      </c>
      <c r="J225" s="15" t="s">
        <v>118</v>
      </c>
      <c r="N225" s="18" t="str">
        <f>IF(COUNTIFS( $B$2:$B$949, B225, $C$2:$C$949, C225, $D$2:$D$949, D225, $E$2:$E$949, E225) &gt; 1, "Duplicate", "Unique")</f>
        <v>Unique</v>
      </c>
    </row>
    <row r="226" spans="1:14" ht="15.6" hidden="1" customHeight="1" thickBot="1" x14ac:dyDescent="0.35">
      <c r="A226" s="13" t="s">
        <v>62</v>
      </c>
      <c r="B226" s="13" t="s">
        <v>6</v>
      </c>
      <c r="C226" s="13" t="s">
        <v>7</v>
      </c>
      <c r="D226" s="13">
        <v>100</v>
      </c>
      <c r="E226" s="26">
        <v>318</v>
      </c>
      <c r="F226" s="4">
        <v>13.086770980000001</v>
      </c>
      <c r="G226" s="2" t="s">
        <v>130</v>
      </c>
      <c r="H226" s="5">
        <v>281.2</v>
      </c>
      <c r="I226" s="1" t="s">
        <v>8</v>
      </c>
      <c r="J226" s="15"/>
      <c r="N226" s="18" t="str">
        <f>IF(COUNTIFS( $B$2:$B$949, B226, $C$2:$C$949, C226, $D$2:$D$949, D226, $E$2:$E$949, E226) &gt; 1, "Duplicate", "Unique")</f>
        <v>Unique</v>
      </c>
    </row>
    <row r="227" spans="1:14" ht="14.4" hidden="1" customHeight="1" thickBot="1" x14ac:dyDescent="0.35">
      <c r="A227" s="13" t="s">
        <v>62</v>
      </c>
      <c r="B227" s="13" t="s">
        <v>138</v>
      </c>
      <c r="C227" s="13" t="s">
        <v>7</v>
      </c>
      <c r="D227" s="13">
        <v>35</v>
      </c>
      <c r="E227" s="27">
        <v>494</v>
      </c>
      <c r="F227" s="4">
        <v>13.0952381</v>
      </c>
      <c r="G227" s="2" t="s">
        <v>139</v>
      </c>
      <c r="H227" s="5">
        <v>436.8</v>
      </c>
      <c r="I227" s="1" t="s">
        <v>8</v>
      </c>
      <c r="J227" s="15"/>
      <c r="N227" s="18" t="str">
        <f>IF(COUNTIFS( $B$2:$B$949, B227, $C$2:$C$949, C227, $D$2:$D$949, D227, $E$2:$E$949, E227) &gt; 1, "Duplicate", "Unique")</f>
        <v>Unique</v>
      </c>
    </row>
    <row r="228" spans="1:14" ht="14.4" hidden="1" customHeight="1" thickBot="1" x14ac:dyDescent="0.35">
      <c r="A228" s="13" t="s">
        <v>62</v>
      </c>
      <c r="B228" s="28" t="s">
        <v>28</v>
      </c>
      <c r="C228" s="13" t="s">
        <v>7</v>
      </c>
      <c r="D228" s="13">
        <v>40</v>
      </c>
      <c r="E228" s="29">
        <v>996</v>
      </c>
      <c r="F228" s="4">
        <v>13.18181818</v>
      </c>
      <c r="G228" s="2" t="s">
        <v>125</v>
      </c>
      <c r="H228" s="5">
        <v>880</v>
      </c>
      <c r="I228" s="1" t="s">
        <v>8</v>
      </c>
      <c r="J228" s="15" t="s">
        <v>118</v>
      </c>
      <c r="N228" s="18" t="str">
        <f>IF(COUNTIFS( $B$2:$B$949, B228, $C$2:$C$949, C228, $D$2:$D$949, D228, $E$2:$E$949, E228) &gt; 1, "Duplicate", "Unique")</f>
        <v>Unique</v>
      </c>
    </row>
    <row r="229" spans="1:14" ht="14.4" hidden="1" customHeight="1" thickBot="1" x14ac:dyDescent="0.35">
      <c r="A229" s="13" t="s">
        <v>62</v>
      </c>
      <c r="B229" s="13" t="s">
        <v>6</v>
      </c>
      <c r="C229" s="13" t="s">
        <v>7</v>
      </c>
      <c r="D229" s="13">
        <v>100</v>
      </c>
      <c r="E229" s="27">
        <v>319</v>
      </c>
      <c r="F229" s="4">
        <v>13.442389759999999</v>
      </c>
      <c r="G229" s="2" t="s">
        <v>130</v>
      </c>
      <c r="H229" s="5">
        <v>281.2</v>
      </c>
      <c r="I229" s="1" t="s">
        <v>8</v>
      </c>
      <c r="J229" s="15"/>
      <c r="N229" s="18" t="str">
        <f>IF(COUNTIFS( $B$2:$B$949, B229, $C$2:$C$949, C229, $D$2:$D$949, D229, $E$2:$E$949, E229) &gt; 1, "Duplicate", "Unique")</f>
        <v>Unique</v>
      </c>
    </row>
    <row r="230" spans="1:14" ht="14.4" hidden="1" customHeight="1" thickBot="1" x14ac:dyDescent="0.35">
      <c r="A230" s="13" t="s">
        <v>62</v>
      </c>
      <c r="B230" s="13" t="s">
        <v>26</v>
      </c>
      <c r="C230" s="13" t="s">
        <v>7</v>
      </c>
      <c r="D230" s="13">
        <v>25</v>
      </c>
      <c r="E230" s="13">
        <v>210</v>
      </c>
      <c r="F230" s="4">
        <v>13.513513509999999</v>
      </c>
      <c r="G230" s="2" t="s">
        <v>132</v>
      </c>
      <c r="H230" s="5">
        <v>185</v>
      </c>
      <c r="I230" s="1" t="s">
        <v>8</v>
      </c>
      <c r="J230" s="15"/>
      <c r="N230" s="18" t="str">
        <f>IF(COUNTIFS( $B$2:$B$949, B230, $C$2:$C$949, C230, $D$2:$D$949, D230, $E$2:$E$949, E230) &gt; 1, "Duplicate", "Unique")</f>
        <v>Unique</v>
      </c>
    </row>
    <row r="231" spans="1:14" ht="14.4" hidden="1" customHeight="1" thickBot="1" x14ac:dyDescent="0.35">
      <c r="A231" s="13" t="s">
        <v>62</v>
      </c>
      <c r="B231" s="13" t="s">
        <v>14</v>
      </c>
      <c r="C231" s="13" t="s">
        <v>7</v>
      </c>
      <c r="D231" s="13">
        <v>50</v>
      </c>
      <c r="E231" s="26">
        <v>383</v>
      </c>
      <c r="F231" s="4">
        <v>13.81872214</v>
      </c>
      <c r="G231" s="2" t="s">
        <v>45</v>
      </c>
      <c r="H231" s="5">
        <v>336.5</v>
      </c>
      <c r="I231" s="1" t="s">
        <v>8</v>
      </c>
      <c r="J231" s="15"/>
      <c r="N231" s="18" t="str">
        <f>IF(COUNTIFS( $B$2:$B$949, B231, $C$2:$C$949, C231, $D$2:$D$949, D231, $E$2:$E$949, E231) &gt; 1, "Duplicate", "Unique")</f>
        <v>Unique</v>
      </c>
    </row>
    <row r="232" spans="1:14" ht="14.4" hidden="1" customHeight="1" thickBot="1" x14ac:dyDescent="0.35">
      <c r="A232" s="13" t="s">
        <v>62</v>
      </c>
      <c r="B232" s="13" t="s">
        <v>28</v>
      </c>
      <c r="C232" s="13" t="s">
        <v>7</v>
      </c>
      <c r="D232" s="13">
        <v>5</v>
      </c>
      <c r="E232" s="26">
        <v>1002</v>
      </c>
      <c r="F232" s="4">
        <v>13.863636359999999</v>
      </c>
      <c r="G232" s="2" t="s">
        <v>125</v>
      </c>
      <c r="H232" s="5">
        <v>880</v>
      </c>
      <c r="I232" s="1" t="s">
        <v>8</v>
      </c>
      <c r="J232" s="15"/>
      <c r="N232" s="18" t="str">
        <f>IF(COUNTIFS( $B$2:$B$949, B232, $C$2:$C$949, C232, $D$2:$D$949, D232, $E$2:$E$949, E232) &gt; 1, "Duplicate", "Unique")</f>
        <v>Unique</v>
      </c>
    </row>
    <row r="233" spans="1:14" ht="15" hidden="1" thickBot="1" x14ac:dyDescent="0.35">
      <c r="A233" s="25">
        <v>46252.6875</v>
      </c>
      <c r="B233" s="13" t="s">
        <v>13</v>
      </c>
      <c r="C233" s="13" t="s">
        <v>7</v>
      </c>
      <c r="D233" s="13">
        <v>5</v>
      </c>
      <c r="E233" s="13">
        <v>2094</v>
      </c>
      <c r="F233" s="4">
        <v>14.05228758</v>
      </c>
      <c r="G233" s="2" t="s">
        <v>91</v>
      </c>
      <c r="H233" s="5">
        <v>1836</v>
      </c>
      <c r="I233" s="1" t="s">
        <v>8</v>
      </c>
      <c r="J233" s="15" t="s">
        <v>118</v>
      </c>
      <c r="N233" s="18" t="str">
        <f>IF(COUNTIFS( $B$2:$B$949, B233, $C$2:$C$949, C233, $D$2:$D$949, D233, $E$2:$E$949, E233) &gt; 1, "Duplicate", "Unique")</f>
        <v>Unique</v>
      </c>
    </row>
    <row r="234" spans="1:14" ht="15" hidden="1" thickBot="1" x14ac:dyDescent="0.35">
      <c r="A234" s="13" t="s">
        <v>62</v>
      </c>
      <c r="B234" s="13" t="s">
        <v>126</v>
      </c>
      <c r="C234" s="13" t="s">
        <v>7</v>
      </c>
      <c r="D234" s="13">
        <v>5</v>
      </c>
      <c r="E234" s="13">
        <v>596</v>
      </c>
      <c r="F234" s="4">
        <v>14.83622351</v>
      </c>
      <c r="G234" s="2" t="s">
        <v>127</v>
      </c>
      <c r="H234" s="5">
        <v>519</v>
      </c>
      <c r="I234" s="1" t="s">
        <v>8</v>
      </c>
      <c r="J234" s="15"/>
      <c r="N234" s="18" t="str">
        <f>IF(COUNTIFS( $B$2:$B$949, B234, $C$2:$C$949, C234, $D$2:$D$949, D234, $E$2:$E$949, E234) &gt; 1, "Duplicate", "Unique")</f>
        <v>Unique</v>
      </c>
    </row>
    <row r="235" spans="1:14" ht="14.4" hidden="1" customHeight="1" thickBot="1" x14ac:dyDescent="0.35">
      <c r="A235" s="13" t="s">
        <v>62</v>
      </c>
      <c r="B235" s="13" t="s">
        <v>6</v>
      </c>
      <c r="C235" s="13" t="s">
        <v>7</v>
      </c>
      <c r="D235" s="13">
        <v>150</v>
      </c>
      <c r="E235" s="26">
        <v>323</v>
      </c>
      <c r="F235" s="4">
        <v>14.864864860000001</v>
      </c>
      <c r="G235" s="2" t="s">
        <v>130</v>
      </c>
      <c r="H235" s="5">
        <v>281.2</v>
      </c>
      <c r="I235" s="1" t="s">
        <v>8</v>
      </c>
      <c r="J235" s="15" t="s">
        <v>118</v>
      </c>
      <c r="N235" s="18" t="str">
        <f>IF(COUNTIFS( $B$2:$B$949, B235, $C$2:$C$949, C235, $D$2:$D$949, D235, $E$2:$E$949, E235) &gt; 1, "Duplicate", "Unique")</f>
        <v>Unique</v>
      </c>
    </row>
    <row r="236" spans="1:14" ht="14.4" hidden="1" customHeight="1" thickBot="1" x14ac:dyDescent="0.35">
      <c r="A236" s="13" t="s">
        <v>62</v>
      </c>
      <c r="B236" s="13" t="s">
        <v>13</v>
      </c>
      <c r="C236" s="13" t="s">
        <v>7</v>
      </c>
      <c r="D236" s="13">
        <v>10</v>
      </c>
      <c r="E236" s="13">
        <v>2114</v>
      </c>
      <c r="F236" s="4">
        <v>15.141612200000001</v>
      </c>
      <c r="G236" s="2" t="s">
        <v>91</v>
      </c>
      <c r="H236" s="5">
        <v>1836</v>
      </c>
      <c r="I236" s="1" t="s">
        <v>8</v>
      </c>
      <c r="J236" s="15"/>
      <c r="N236" s="18" t="str">
        <f>IF(COUNTIFS( $B$2:$B$949, B236, $C$2:$C$949, C236, $D$2:$D$949, D236, $E$2:$E$949, E236) &gt; 1, "Duplicate", "Unique")</f>
        <v>Unique</v>
      </c>
    </row>
    <row r="237" spans="1:14" customFormat="1" ht="15" hidden="1" thickBot="1" x14ac:dyDescent="0.35">
      <c r="A237" s="13" t="s">
        <v>62</v>
      </c>
      <c r="B237" s="13" t="s">
        <v>74</v>
      </c>
      <c r="C237" s="13" t="s">
        <v>7</v>
      </c>
      <c r="D237" s="13">
        <v>1</v>
      </c>
      <c r="E237" s="26">
        <v>3810</v>
      </c>
      <c r="F237" s="4">
        <v>15.770282590000001</v>
      </c>
      <c r="G237" s="2" t="s">
        <v>75</v>
      </c>
      <c r="H237" s="5">
        <v>3291</v>
      </c>
      <c r="I237" s="1" t="s">
        <v>8</v>
      </c>
      <c r="J237" s="31" t="s">
        <v>118</v>
      </c>
      <c r="K237" s="18"/>
      <c r="L237" s="18"/>
      <c r="M237" s="18"/>
      <c r="N237" s="18" t="str">
        <f>IF(COUNTIFS( $B$2:$B$949, B237, $C$2:$C$949, C237, $D$2:$D$949, D237, $E$2:$E$949, E237) &gt; 1, "Duplicate", "Unique")</f>
        <v>Unique</v>
      </c>
    </row>
    <row r="238" spans="1:14" customFormat="1" ht="15" hidden="1" thickBot="1" x14ac:dyDescent="0.35">
      <c r="A238" s="14" t="s">
        <v>62</v>
      </c>
      <c r="B238" s="14" t="s">
        <v>119</v>
      </c>
      <c r="C238" s="14" t="s">
        <v>7</v>
      </c>
      <c r="D238" s="14">
        <v>7</v>
      </c>
      <c r="E238" s="26">
        <v>1170</v>
      </c>
      <c r="F238" s="4">
        <v>17.316755239999999</v>
      </c>
      <c r="G238" s="2" t="s">
        <v>120</v>
      </c>
      <c r="H238" s="5">
        <v>997.3</v>
      </c>
      <c r="I238" s="1" t="s">
        <v>8</v>
      </c>
      <c r="J238" s="31"/>
      <c r="K238" s="18"/>
      <c r="L238" s="18"/>
      <c r="M238" s="18"/>
      <c r="N238" s="18" t="str">
        <f>IF(COUNTIFS( $B$2:$B$949, B238, $C$2:$C$949, C238, $D$2:$D$949, D238, $E$2:$E$949, E238) &gt; 1, "Duplicate", "Unique")</f>
        <v>Unique</v>
      </c>
    </row>
    <row r="239" spans="1:14" customFormat="1" ht="15" hidden="1" thickBot="1" x14ac:dyDescent="0.35">
      <c r="A239" s="13" t="s">
        <v>62</v>
      </c>
      <c r="B239" s="13" t="s">
        <v>13</v>
      </c>
      <c r="C239" s="13" t="s">
        <v>7</v>
      </c>
      <c r="D239" s="13">
        <v>10</v>
      </c>
      <c r="E239" s="13">
        <v>2189</v>
      </c>
      <c r="F239" s="4">
        <v>19.226579520000001</v>
      </c>
      <c r="G239" s="2" t="s">
        <v>91</v>
      </c>
      <c r="H239" s="5">
        <v>1836</v>
      </c>
      <c r="I239" s="1" t="s">
        <v>8</v>
      </c>
      <c r="J239" s="31"/>
      <c r="K239" s="18"/>
      <c r="L239" s="18"/>
      <c r="M239" s="18"/>
      <c r="N239" s="18" t="str">
        <f>IF(COUNTIFS( $B$2:$B$949, B239, $C$2:$C$949, C239, $D$2:$D$949, D239, $E$2:$E$949, E239) &gt; 1, "Duplicate", "Unique")</f>
        <v>Unique</v>
      </c>
    </row>
    <row r="240" spans="1:14" customFormat="1" ht="15" hidden="1" thickBot="1" x14ac:dyDescent="0.35">
      <c r="A240" s="13" t="s">
        <v>62</v>
      </c>
      <c r="B240" s="13" t="s">
        <v>17</v>
      </c>
      <c r="C240" s="13" t="s">
        <v>7</v>
      </c>
      <c r="D240" s="13">
        <v>5</v>
      </c>
      <c r="E240" s="26">
        <v>416</v>
      </c>
      <c r="F240" s="4">
        <v>23.33234509</v>
      </c>
      <c r="G240" s="2" t="s">
        <v>77</v>
      </c>
      <c r="H240" s="5">
        <v>337.3</v>
      </c>
      <c r="I240" s="1" t="s">
        <v>8</v>
      </c>
      <c r="J240" s="31"/>
      <c r="K240" s="18"/>
      <c r="L240" s="18"/>
      <c r="M240" s="18"/>
      <c r="N240" s="18" t="str">
        <f>IF(COUNTIFS( $B$2:$B$949, B240, $C$2:$C$949, C240, $D$2:$D$949, D240, $E$2:$E$949, E240) &gt; 1, "Duplicate", "Unique")</f>
        <v>Unique</v>
      </c>
    </row>
    <row r="241" spans="1:14" customFormat="1" ht="15" hidden="1" thickBot="1" x14ac:dyDescent="0.35">
      <c r="A241" s="13" t="s">
        <v>62</v>
      </c>
      <c r="B241" s="13" t="s">
        <v>13</v>
      </c>
      <c r="C241" s="13" t="s">
        <v>7</v>
      </c>
      <c r="D241" s="13">
        <v>20</v>
      </c>
      <c r="E241" s="13">
        <v>2310</v>
      </c>
      <c r="F241" s="4">
        <v>25.816993459999999</v>
      </c>
      <c r="G241" s="2" t="s">
        <v>91</v>
      </c>
      <c r="H241" s="5">
        <v>1836</v>
      </c>
      <c r="I241" s="1" t="s">
        <v>8</v>
      </c>
      <c r="J241" s="31"/>
      <c r="K241" s="18"/>
      <c r="L241" s="18"/>
      <c r="M241" s="18"/>
      <c r="N241" s="18" t="str">
        <f>IF(COUNTIFS( $B$2:$B$949, B241, $C$2:$C$949, C241, $D$2:$D$949, D241, $E$2:$E$949, E241) &gt; 1, "Duplicate", "Unique")</f>
        <v>Unique</v>
      </c>
    </row>
    <row r="242" spans="1:14" customFormat="1" ht="15" hidden="1" thickBot="1" x14ac:dyDescent="0.35">
      <c r="A242" s="13" t="s">
        <v>62</v>
      </c>
      <c r="B242" s="13" t="s">
        <v>17</v>
      </c>
      <c r="C242" s="13" t="s">
        <v>7</v>
      </c>
      <c r="D242" s="13">
        <v>5</v>
      </c>
      <c r="E242" s="26">
        <v>435</v>
      </c>
      <c r="F242" s="4">
        <v>28.965312780000001</v>
      </c>
      <c r="G242" s="2" t="s">
        <v>77</v>
      </c>
      <c r="H242" s="5">
        <v>337.3</v>
      </c>
      <c r="I242" s="1" t="s">
        <v>8</v>
      </c>
      <c r="J242" s="31" t="s">
        <v>118</v>
      </c>
      <c r="K242" s="18"/>
      <c r="L242" s="18"/>
      <c r="M242" s="18"/>
      <c r="N242" s="18" t="str">
        <f>IF(COUNTIFS( $B$2:$B$949, B242, $C$2:$C$949, C242, $D$2:$D$949, D242, $E$2:$E$949, E242) &gt; 1, "Duplicate", "Unique")</f>
        <v>Unique</v>
      </c>
    </row>
    <row r="243" spans="1:14" customFormat="1" ht="15" hidden="1" thickBot="1" x14ac:dyDescent="0.35">
      <c r="A243" s="13" t="s">
        <v>62</v>
      </c>
      <c r="B243" s="13" t="s">
        <v>13</v>
      </c>
      <c r="C243" s="13" t="s">
        <v>7</v>
      </c>
      <c r="D243" s="13">
        <v>1</v>
      </c>
      <c r="E243" s="13">
        <v>2494</v>
      </c>
      <c r="F243" s="4">
        <v>35.838779959999997</v>
      </c>
      <c r="G243" s="2" t="s">
        <v>91</v>
      </c>
      <c r="H243" s="5">
        <v>1836</v>
      </c>
      <c r="I243" s="1" t="s">
        <v>8</v>
      </c>
      <c r="J243" s="31"/>
      <c r="K243" s="18"/>
      <c r="L243" s="18"/>
      <c r="M243" s="18"/>
      <c r="N243" s="18" t="str">
        <f>IF(COUNTIFS( $B$2:$B$949, B243, $C$2:$C$949, C243, $D$2:$D$949, D243, $E$2:$E$949, E243) &gt; 1, "Duplicate", "Unique")</f>
        <v>Unique</v>
      </c>
    </row>
    <row r="244" spans="1:14" customFormat="1" ht="15" hidden="1" thickBot="1" x14ac:dyDescent="0.35">
      <c r="A244" s="25">
        <v>46251.506249999999</v>
      </c>
      <c r="B244" s="13" t="s">
        <v>13</v>
      </c>
      <c r="C244" s="13" t="s">
        <v>7</v>
      </c>
      <c r="D244" s="13">
        <v>3</v>
      </c>
      <c r="E244" s="13">
        <v>2494</v>
      </c>
      <c r="F244" s="4">
        <v>35.838779959999997</v>
      </c>
      <c r="G244" s="2" t="s">
        <v>91</v>
      </c>
      <c r="H244" s="5">
        <v>1836</v>
      </c>
      <c r="I244" s="1" t="s">
        <v>8</v>
      </c>
      <c r="J244" s="31"/>
      <c r="K244" s="18"/>
      <c r="L244" s="18"/>
      <c r="M244" s="18"/>
      <c r="N244" s="18" t="str">
        <f>IF(COUNTIFS( $B$2:$B$949, B244, $C$2:$C$949, C244, $D$2:$D$949, D244, $E$2:$E$949, E244) &gt; 1, "Duplicate", "Unique")</f>
        <v>Unique</v>
      </c>
    </row>
    <row r="245" spans="1:14" customFormat="1" ht="15" hidden="1" thickBot="1" x14ac:dyDescent="0.35">
      <c r="A245" s="13" t="s">
        <v>62</v>
      </c>
      <c r="B245" s="13" t="s">
        <v>142</v>
      </c>
      <c r="C245" s="13" t="s">
        <v>7</v>
      </c>
      <c r="D245" s="13">
        <v>23</v>
      </c>
      <c r="E245" s="26">
        <v>890</v>
      </c>
      <c r="F245" s="7" t="e">
        <v>#N/A</v>
      </c>
      <c r="G245" s="2" t="s">
        <v>143</v>
      </c>
      <c r="H245" s="12" t="e">
        <v>#N/A</v>
      </c>
      <c r="I245" s="1" t="s">
        <v>8</v>
      </c>
      <c r="J245" s="31"/>
      <c r="K245" s="18"/>
      <c r="L245" s="18"/>
      <c r="M245" s="18"/>
      <c r="N245" s="18" t="str">
        <f>IF(COUNTIFS( $B$2:$B$949, B245, $C$2:$C$949, C245, $D$2:$D$949, D245, $E$2:$E$949, E245) &gt; 1, "Duplicate", "Unique")</f>
        <v>Unique</v>
      </c>
    </row>
  </sheetData>
  <autoFilter ref="A1:N245">
    <filterColumn colId="2">
      <filters>
        <filter val="B"/>
      </filters>
    </filterColumn>
    <sortState ref="A2:N140">
      <sortCondition descending="1" ref="F1:F248"/>
    </sortState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C13" sqref="C1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3">
      <c r="A2" t="s">
        <v>160</v>
      </c>
      <c r="B2" t="s">
        <v>15</v>
      </c>
      <c r="C2" t="s">
        <v>10</v>
      </c>
      <c r="D2">
        <v>10</v>
      </c>
      <c r="E2">
        <v>2620</v>
      </c>
      <c r="F2" t="s">
        <v>30</v>
      </c>
      <c r="K2" t="str">
        <f>C2 &amp; " " &amp; D2 &amp; "*" &amp; E2 &amp; " :" &amp; A2</f>
        <v>B 10*2620 :20 AUG 2026 03:25:59 PM</v>
      </c>
    </row>
    <row r="3" spans="1:11" x14ac:dyDescent="0.3">
      <c r="A3" t="s">
        <v>161</v>
      </c>
      <c r="B3" t="s">
        <v>14</v>
      </c>
      <c r="C3" t="s">
        <v>10</v>
      </c>
      <c r="D3">
        <v>100</v>
      </c>
      <c r="E3">
        <v>336</v>
      </c>
      <c r="F3" t="s">
        <v>30</v>
      </c>
      <c r="K3" t="str">
        <f t="shared" ref="K3:K8" si="0">C3 &amp; " " &amp; D3 &amp; "*" &amp; E3 &amp; " :" &amp; A3</f>
        <v>B 100*336 :20 AUG 2026 03:01:21 PM</v>
      </c>
    </row>
    <row r="4" spans="1:11" x14ac:dyDescent="0.3">
      <c r="A4" t="s">
        <v>162</v>
      </c>
      <c r="B4" t="s">
        <v>87</v>
      </c>
      <c r="C4" t="s">
        <v>10</v>
      </c>
      <c r="D4">
        <v>10</v>
      </c>
      <c r="E4">
        <v>1340</v>
      </c>
      <c r="F4" t="s">
        <v>30</v>
      </c>
      <c r="K4" t="str">
        <f t="shared" si="0"/>
        <v>B 10*1340 :20 AUG 2026 09:00:50 AM</v>
      </c>
    </row>
    <row r="5" spans="1:11" x14ac:dyDescent="0.3">
      <c r="A5" t="s">
        <v>163</v>
      </c>
      <c r="B5" t="s">
        <v>51</v>
      </c>
      <c r="C5" t="s">
        <v>10</v>
      </c>
      <c r="D5">
        <v>10</v>
      </c>
      <c r="E5">
        <v>937</v>
      </c>
      <c r="F5" t="s">
        <v>30</v>
      </c>
      <c r="K5" t="str">
        <f t="shared" si="0"/>
        <v>B 10*937 :20 AUG 2026 09:00:51 AM</v>
      </c>
    </row>
    <row r="6" spans="1:11" x14ac:dyDescent="0.3">
      <c r="A6" t="s">
        <v>162</v>
      </c>
      <c r="B6" t="s">
        <v>33</v>
      </c>
      <c r="C6" t="s">
        <v>7</v>
      </c>
      <c r="D6">
        <v>7</v>
      </c>
      <c r="E6">
        <v>2324</v>
      </c>
      <c r="F6" t="s">
        <v>30</v>
      </c>
      <c r="K6" t="str">
        <f t="shared" si="0"/>
        <v>S 7*2324 :20 AUG 2026 09:00:50 AM</v>
      </c>
    </row>
    <row r="7" spans="1:11" x14ac:dyDescent="0.3">
      <c r="A7" t="s">
        <v>164</v>
      </c>
      <c r="B7" t="s">
        <v>19</v>
      </c>
      <c r="C7" t="s">
        <v>7</v>
      </c>
      <c r="D7">
        <v>200</v>
      </c>
      <c r="E7">
        <v>222.5</v>
      </c>
      <c r="F7" t="s">
        <v>30</v>
      </c>
      <c r="K7" t="str">
        <f t="shared" si="0"/>
        <v>S 200*222.5 :20 AUG 2026 09:15:06 AM</v>
      </c>
    </row>
    <row r="8" spans="1:11" x14ac:dyDescent="0.3">
      <c r="A8" t="s">
        <v>162</v>
      </c>
      <c r="B8" t="s">
        <v>36</v>
      </c>
      <c r="C8" t="s">
        <v>7</v>
      </c>
      <c r="D8">
        <v>10</v>
      </c>
      <c r="E8">
        <v>1221</v>
      </c>
      <c r="F8" t="s">
        <v>30</v>
      </c>
      <c r="K8" t="str">
        <f t="shared" si="0"/>
        <v>S 10*1221 :20 AUG 2026 09:00:50 AM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8"/>
  <sheetViews>
    <sheetView zoomScaleNormal="100" workbookViewId="0"/>
  </sheetViews>
  <sheetFormatPr defaultColWidth="8.77734375" defaultRowHeight="14.4" x14ac:dyDescent="0.3"/>
  <cols>
    <col min="1" max="1" width="20.109375" style="18" customWidth="1"/>
    <col min="2" max="2" width="15.21875" style="18" customWidth="1"/>
    <col min="3" max="3" width="8.77734375" style="18"/>
    <col min="4" max="5" width="8.77734375" style="18" bestFit="1" customWidth="1"/>
    <col min="6" max="6" width="11.6640625" style="18" bestFit="1" customWidth="1"/>
    <col min="7" max="7" width="17.21875" style="18" customWidth="1"/>
    <col min="8" max="8" width="9.21875" style="18" customWidth="1"/>
    <col min="9" max="9" width="8.77734375" style="18"/>
    <col min="10" max="10" width="10.109375" style="18" customWidth="1"/>
    <col min="11" max="11" width="10.44140625" style="18" customWidth="1"/>
    <col min="12" max="16384" width="8.77734375" style="18"/>
  </cols>
  <sheetData>
    <row r="1" spans="1:14" ht="43.8" thickBo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37</v>
      </c>
      <c r="G1" s="15" t="s">
        <v>38</v>
      </c>
      <c r="H1" s="15" t="s">
        <v>39</v>
      </c>
      <c r="I1" s="15" t="s">
        <v>5</v>
      </c>
      <c r="J1" s="15" t="s">
        <v>141</v>
      </c>
      <c r="K1" s="17" t="s">
        <v>157</v>
      </c>
    </row>
    <row r="2" spans="1:14" customFormat="1" ht="27.6" customHeight="1" thickBot="1" x14ac:dyDescent="0.35">
      <c r="A2" s="7" t="s">
        <v>62</v>
      </c>
      <c r="B2" s="1" t="s">
        <v>12</v>
      </c>
      <c r="C2" s="1" t="s">
        <v>10</v>
      </c>
      <c r="D2" s="4">
        <v>1</v>
      </c>
      <c r="E2" s="4">
        <v>3914</v>
      </c>
      <c r="F2" s="4">
        <v>-22.776418589999999</v>
      </c>
      <c r="G2" s="2" t="s">
        <v>98</v>
      </c>
      <c r="H2" s="5">
        <v>5068.3999999999996</v>
      </c>
      <c r="I2" s="1" t="s">
        <v>8</v>
      </c>
      <c r="J2" s="1" t="s">
        <v>55</v>
      </c>
      <c r="N2" t="str">
        <f t="shared" ref="N2:N65" si="0">IF(COUNTIFS( $B$2:$B$952, B2, $C$2:$C$952, C2, $D$2:$D$952, D2, $E$2:$E$952, E2) &gt; 1, "Duplicate", "Unique")</f>
        <v>Unique</v>
      </c>
    </row>
    <row r="3" spans="1:14" customFormat="1" ht="27.6" customHeight="1" thickBot="1" x14ac:dyDescent="0.35">
      <c r="A3" s="7" t="s">
        <v>62</v>
      </c>
      <c r="B3" s="1" t="s">
        <v>115</v>
      </c>
      <c r="C3" s="1" t="s">
        <v>10</v>
      </c>
      <c r="D3" s="4">
        <v>2</v>
      </c>
      <c r="E3" s="4">
        <v>660</v>
      </c>
      <c r="F3" s="4">
        <v>-20.9391471</v>
      </c>
      <c r="G3" s="2" t="s">
        <v>116</v>
      </c>
      <c r="H3" s="5">
        <v>834.8</v>
      </c>
      <c r="I3" s="1" t="s">
        <v>8</v>
      </c>
      <c r="J3" s="2"/>
      <c r="N3" t="str">
        <f t="shared" si="0"/>
        <v>Unique</v>
      </c>
    </row>
    <row r="4" spans="1:14" customFormat="1" ht="15" customHeight="1" thickBot="1" x14ac:dyDescent="0.35">
      <c r="A4" s="7" t="s">
        <v>62</v>
      </c>
      <c r="B4" s="1" t="s">
        <v>12</v>
      </c>
      <c r="C4" s="1" t="s">
        <v>10</v>
      </c>
      <c r="D4" s="4">
        <v>1</v>
      </c>
      <c r="E4" s="4">
        <v>4014</v>
      </c>
      <c r="F4" s="4">
        <v>-20.80340936</v>
      </c>
      <c r="G4" s="2" t="s">
        <v>98</v>
      </c>
      <c r="H4" s="5">
        <v>5068.3999999999996</v>
      </c>
      <c r="I4" s="1" t="s">
        <v>8</v>
      </c>
      <c r="J4" s="2"/>
      <c r="N4" t="str">
        <f t="shared" si="0"/>
        <v>Unique</v>
      </c>
    </row>
    <row r="5" spans="1:14" customFormat="1" ht="15" customHeight="1" thickBot="1" x14ac:dyDescent="0.35">
      <c r="A5" s="7" t="s">
        <v>62</v>
      </c>
      <c r="B5" s="1" t="s">
        <v>12</v>
      </c>
      <c r="C5" s="1" t="s">
        <v>10</v>
      </c>
      <c r="D5" s="4">
        <v>1</v>
      </c>
      <c r="E5" s="4">
        <v>4164</v>
      </c>
      <c r="F5" s="4">
        <v>-17.843895509999999</v>
      </c>
      <c r="G5" s="2" t="s">
        <v>98</v>
      </c>
      <c r="H5" s="5">
        <v>5068.3999999999996</v>
      </c>
      <c r="I5" s="1" t="s">
        <v>8</v>
      </c>
      <c r="J5" s="2"/>
      <c r="N5" t="str">
        <f t="shared" si="0"/>
        <v>Unique</v>
      </c>
    </row>
    <row r="6" spans="1:14" customFormat="1" ht="27.6" customHeight="1" thickBot="1" x14ac:dyDescent="0.35">
      <c r="A6" s="7" t="s">
        <v>62</v>
      </c>
      <c r="B6" s="1" t="s">
        <v>18</v>
      </c>
      <c r="C6" s="1" t="s">
        <v>10</v>
      </c>
      <c r="D6" s="4">
        <v>5</v>
      </c>
      <c r="E6" s="4">
        <v>1614</v>
      </c>
      <c r="F6" s="4">
        <v>-16.429348109999999</v>
      </c>
      <c r="G6" s="2" t="s">
        <v>102</v>
      </c>
      <c r="H6" s="5">
        <v>1931.3</v>
      </c>
      <c r="I6" s="1" t="s">
        <v>8</v>
      </c>
      <c r="J6" s="6" t="s">
        <v>55</v>
      </c>
      <c r="N6" t="str">
        <f t="shared" si="0"/>
        <v>Unique</v>
      </c>
    </row>
    <row r="7" spans="1:14" customFormat="1" ht="27.6" customHeight="1" thickBot="1" x14ac:dyDescent="0.35">
      <c r="A7" s="7" t="s">
        <v>62</v>
      </c>
      <c r="B7" s="1" t="s">
        <v>113</v>
      </c>
      <c r="C7" s="1" t="s">
        <v>10</v>
      </c>
      <c r="D7" s="4">
        <v>4</v>
      </c>
      <c r="E7" s="4">
        <v>701</v>
      </c>
      <c r="F7" s="4">
        <v>-14.57470144</v>
      </c>
      <c r="G7" s="2" t="s">
        <v>114</v>
      </c>
      <c r="H7" s="5">
        <v>820.6</v>
      </c>
      <c r="I7" s="1" t="s">
        <v>8</v>
      </c>
      <c r="J7" s="2" t="s">
        <v>41</v>
      </c>
      <c r="N7" t="str">
        <f t="shared" si="0"/>
        <v>Unique</v>
      </c>
    </row>
    <row r="8" spans="1:14" customFormat="1" ht="40.799999999999997" customHeight="1" thickBot="1" x14ac:dyDescent="0.35">
      <c r="A8" s="7" t="s">
        <v>62</v>
      </c>
      <c r="B8" s="1" t="s">
        <v>111</v>
      </c>
      <c r="C8" s="1" t="s">
        <v>10</v>
      </c>
      <c r="D8" s="4">
        <v>7</v>
      </c>
      <c r="E8" s="4">
        <v>411</v>
      </c>
      <c r="F8" s="4">
        <v>-13.953731810000001</v>
      </c>
      <c r="G8" s="2" t="s">
        <v>112</v>
      </c>
      <c r="H8" s="5">
        <v>477.65</v>
      </c>
      <c r="I8" s="1" t="s">
        <v>8</v>
      </c>
      <c r="J8" s="2"/>
      <c r="N8" t="str">
        <f t="shared" si="0"/>
        <v>Unique</v>
      </c>
    </row>
    <row r="9" spans="1:14" customFormat="1" ht="27.6" customHeight="1" thickBot="1" x14ac:dyDescent="0.35">
      <c r="A9" s="7" t="s">
        <v>62</v>
      </c>
      <c r="B9" s="1" t="s">
        <v>12</v>
      </c>
      <c r="C9" s="1" t="s">
        <v>10</v>
      </c>
      <c r="D9" s="4">
        <v>1</v>
      </c>
      <c r="E9" s="4">
        <v>4364</v>
      </c>
      <c r="F9" s="4">
        <v>-13.897877039999999</v>
      </c>
      <c r="G9" s="2" t="s">
        <v>98</v>
      </c>
      <c r="H9" s="5">
        <v>5068.3999999999996</v>
      </c>
      <c r="I9" s="1" t="s">
        <v>8</v>
      </c>
      <c r="J9" s="1" t="s">
        <v>55</v>
      </c>
      <c r="N9" t="str">
        <f t="shared" si="0"/>
        <v>Unique</v>
      </c>
    </row>
    <row r="10" spans="1:14" customFormat="1" ht="27.6" customHeight="1" thickBot="1" x14ac:dyDescent="0.35">
      <c r="A10" s="7" t="s">
        <v>62</v>
      </c>
      <c r="B10" s="1" t="s">
        <v>92</v>
      </c>
      <c r="C10" s="1" t="s">
        <v>10</v>
      </c>
      <c r="D10" s="4">
        <v>2</v>
      </c>
      <c r="E10" s="4">
        <v>2560</v>
      </c>
      <c r="F10" s="4">
        <v>-13.891691890000001</v>
      </c>
      <c r="G10" s="2" t="s">
        <v>93</v>
      </c>
      <c r="H10" s="5">
        <v>2973</v>
      </c>
      <c r="I10" s="1" t="s">
        <v>8</v>
      </c>
      <c r="J10" s="2"/>
      <c r="N10" t="str">
        <f t="shared" si="0"/>
        <v>Unique</v>
      </c>
    </row>
    <row r="11" spans="1:14" customFormat="1" ht="27.6" customHeight="1" thickBot="1" x14ac:dyDescent="0.35">
      <c r="A11" s="3">
        <v>46252.6875</v>
      </c>
      <c r="B11" s="1" t="s">
        <v>18</v>
      </c>
      <c r="C11" s="1" t="s">
        <v>10</v>
      </c>
      <c r="D11" s="4">
        <v>10</v>
      </c>
      <c r="E11" s="4">
        <v>1666</v>
      </c>
      <c r="F11" s="4">
        <v>-13.73686118</v>
      </c>
      <c r="G11" s="2" t="s">
        <v>102</v>
      </c>
      <c r="H11" s="5">
        <v>1931.3</v>
      </c>
      <c r="I11" s="1" t="s">
        <v>8</v>
      </c>
      <c r="J11" s="2"/>
      <c r="N11" t="str">
        <f t="shared" si="0"/>
        <v>Unique</v>
      </c>
    </row>
    <row r="12" spans="1:14" customFormat="1" ht="27.6" customHeight="1" thickBot="1" x14ac:dyDescent="0.35">
      <c r="A12" s="7" t="s">
        <v>62</v>
      </c>
      <c r="B12" s="1" t="s">
        <v>12</v>
      </c>
      <c r="C12" s="1" t="s">
        <v>10</v>
      </c>
      <c r="D12" s="4">
        <v>2</v>
      </c>
      <c r="E12" s="4">
        <v>4410</v>
      </c>
      <c r="F12" s="4">
        <v>-12.99029279</v>
      </c>
      <c r="G12" s="2" t="s">
        <v>98</v>
      </c>
      <c r="H12" s="5">
        <v>5068.3999999999996</v>
      </c>
      <c r="I12" s="1" t="s">
        <v>8</v>
      </c>
      <c r="J12" s="2"/>
      <c r="N12" t="str">
        <f t="shared" si="0"/>
        <v>Unique</v>
      </c>
    </row>
    <row r="13" spans="1:14" customFormat="1" ht="27.6" customHeight="1" thickBot="1" x14ac:dyDescent="0.35">
      <c r="A13" s="7" t="s">
        <v>62</v>
      </c>
      <c r="B13" s="1" t="s">
        <v>22</v>
      </c>
      <c r="C13" s="1" t="s">
        <v>10</v>
      </c>
      <c r="D13" s="4">
        <v>29</v>
      </c>
      <c r="E13" s="4">
        <v>401</v>
      </c>
      <c r="F13" s="4">
        <v>-12.445414850000001</v>
      </c>
      <c r="G13" s="2" t="s">
        <v>73</v>
      </c>
      <c r="H13" s="5">
        <v>458</v>
      </c>
      <c r="I13" s="1" t="s">
        <v>8</v>
      </c>
      <c r="J13" s="2"/>
      <c r="N13" t="str">
        <f t="shared" si="0"/>
        <v>Unique</v>
      </c>
    </row>
    <row r="14" spans="1:14" customFormat="1" ht="27.6" customHeight="1" thickBot="1" x14ac:dyDescent="0.35">
      <c r="A14" s="7" t="s">
        <v>62</v>
      </c>
      <c r="B14" s="1" t="s">
        <v>109</v>
      </c>
      <c r="C14" s="1" t="s">
        <v>10</v>
      </c>
      <c r="D14" s="4">
        <v>15</v>
      </c>
      <c r="E14" s="4">
        <v>4415</v>
      </c>
      <c r="F14" s="4">
        <v>-11.8762475</v>
      </c>
      <c r="G14" s="2" t="s">
        <v>110</v>
      </c>
      <c r="H14" s="5">
        <v>5010</v>
      </c>
      <c r="I14" s="1" t="s">
        <v>8</v>
      </c>
      <c r="J14" s="2"/>
      <c r="N14" t="str">
        <f t="shared" si="0"/>
        <v>Unique</v>
      </c>
    </row>
    <row r="15" spans="1:14" customFormat="1" ht="27.6" customHeight="1" thickBot="1" x14ac:dyDescent="0.35">
      <c r="A15" s="7" t="s">
        <v>62</v>
      </c>
      <c r="B15" s="1" t="s">
        <v>20</v>
      </c>
      <c r="C15" s="1" t="s">
        <v>10</v>
      </c>
      <c r="D15" s="4">
        <v>100</v>
      </c>
      <c r="E15" s="4">
        <v>111</v>
      </c>
      <c r="F15" s="4">
        <v>-11.8207817</v>
      </c>
      <c r="G15" s="2" t="s">
        <v>86</v>
      </c>
      <c r="H15" s="5">
        <v>125.88</v>
      </c>
      <c r="I15" s="1" t="s">
        <v>8</v>
      </c>
      <c r="J15" s="2"/>
      <c r="N15" t="str">
        <f t="shared" si="0"/>
        <v>Unique</v>
      </c>
    </row>
    <row r="16" spans="1:14" customFormat="1" ht="27.6" customHeight="1" thickBot="1" x14ac:dyDescent="0.35">
      <c r="A16" s="7" t="s">
        <v>62</v>
      </c>
      <c r="B16" s="1" t="s">
        <v>13</v>
      </c>
      <c r="C16" s="1" t="s">
        <v>10</v>
      </c>
      <c r="D16" s="4">
        <v>5</v>
      </c>
      <c r="E16" s="4">
        <v>1664</v>
      </c>
      <c r="F16" s="4">
        <v>-11.724137929999999</v>
      </c>
      <c r="G16" s="2" t="s">
        <v>91</v>
      </c>
      <c r="H16" s="5">
        <v>1885</v>
      </c>
      <c r="I16" s="1" t="s">
        <v>8</v>
      </c>
      <c r="J16" s="2"/>
      <c r="N16" t="str">
        <f t="shared" si="0"/>
        <v>Unique</v>
      </c>
    </row>
    <row r="17" spans="1:14" customFormat="1" ht="15" customHeight="1" thickBot="1" x14ac:dyDescent="0.35">
      <c r="A17" s="7" t="s">
        <v>62</v>
      </c>
      <c r="B17" s="1" t="s">
        <v>11</v>
      </c>
      <c r="C17" s="1" t="s">
        <v>10</v>
      </c>
      <c r="D17" s="4">
        <v>10</v>
      </c>
      <c r="E17" s="4">
        <v>251</v>
      </c>
      <c r="F17" s="4">
        <v>-11.3700565</v>
      </c>
      <c r="G17" s="2" t="s">
        <v>99</v>
      </c>
      <c r="H17" s="5">
        <v>283.2</v>
      </c>
      <c r="I17" s="1" t="s">
        <v>8</v>
      </c>
      <c r="J17" s="2"/>
      <c r="N17" t="str">
        <f t="shared" si="0"/>
        <v>Unique</v>
      </c>
    </row>
    <row r="18" spans="1:14" customFormat="1" ht="27.6" customHeight="1" thickBot="1" x14ac:dyDescent="0.35">
      <c r="A18" s="7" t="s">
        <v>62</v>
      </c>
      <c r="B18" s="1" t="s">
        <v>109</v>
      </c>
      <c r="C18" s="1" t="s">
        <v>10</v>
      </c>
      <c r="D18" s="4">
        <v>2</v>
      </c>
      <c r="E18" s="4">
        <v>4456</v>
      </c>
      <c r="F18" s="4">
        <v>-11.057884230000001</v>
      </c>
      <c r="G18" s="2" t="s">
        <v>110</v>
      </c>
      <c r="H18" s="5">
        <v>5010</v>
      </c>
      <c r="I18" s="1" t="s">
        <v>8</v>
      </c>
      <c r="J18" s="2"/>
      <c r="N18" t="str">
        <f t="shared" si="0"/>
        <v>Unique</v>
      </c>
    </row>
    <row r="19" spans="1:14" customFormat="1" ht="27.6" customHeight="1" thickBot="1" x14ac:dyDescent="0.35">
      <c r="A19" s="7" t="s">
        <v>62</v>
      </c>
      <c r="B19" s="1" t="s">
        <v>92</v>
      </c>
      <c r="C19" s="1" t="s">
        <v>10</v>
      </c>
      <c r="D19" s="4">
        <v>2</v>
      </c>
      <c r="E19" s="4">
        <v>2660</v>
      </c>
      <c r="F19" s="4">
        <v>-10.52808611</v>
      </c>
      <c r="G19" s="2" t="s">
        <v>93</v>
      </c>
      <c r="H19" s="5">
        <v>2973</v>
      </c>
      <c r="I19" s="1" t="s">
        <v>8</v>
      </c>
      <c r="J19" s="2"/>
      <c r="N19" t="str">
        <f t="shared" si="0"/>
        <v>Unique</v>
      </c>
    </row>
    <row r="20" spans="1:14" customFormat="1" ht="15" customHeight="1" thickBot="1" x14ac:dyDescent="0.35">
      <c r="A20" s="7" t="s">
        <v>62</v>
      </c>
      <c r="B20" s="1" t="s">
        <v>89</v>
      </c>
      <c r="C20" s="1" t="s">
        <v>10</v>
      </c>
      <c r="D20" s="4">
        <v>1</v>
      </c>
      <c r="E20" s="4">
        <v>13052</v>
      </c>
      <c r="F20" s="4">
        <v>-9.9737894879999995</v>
      </c>
      <c r="G20" s="2" t="s">
        <v>90</v>
      </c>
      <c r="H20" s="5">
        <v>14498</v>
      </c>
      <c r="I20" s="1" t="s">
        <v>8</v>
      </c>
      <c r="J20" s="2"/>
      <c r="N20" t="str">
        <f t="shared" si="0"/>
        <v>Unique</v>
      </c>
    </row>
    <row r="21" spans="1:14" customFormat="1" ht="27.6" customHeight="1" thickBot="1" x14ac:dyDescent="0.35">
      <c r="A21" s="3">
        <v>46252.6875</v>
      </c>
      <c r="B21" s="1" t="s">
        <v>13</v>
      </c>
      <c r="C21" s="1" t="s">
        <v>10</v>
      </c>
      <c r="D21" s="4">
        <v>5</v>
      </c>
      <c r="E21" s="4">
        <v>1714</v>
      </c>
      <c r="F21" s="4">
        <v>-9.0716180370000004</v>
      </c>
      <c r="G21" s="2" t="s">
        <v>91</v>
      </c>
      <c r="H21" s="5">
        <v>1885</v>
      </c>
      <c r="I21" s="1" t="s">
        <v>8</v>
      </c>
      <c r="J21" s="2"/>
      <c r="N21" t="str">
        <f t="shared" si="0"/>
        <v>Unique</v>
      </c>
    </row>
    <row r="22" spans="1:14" customFormat="1" ht="15" customHeight="1" thickBot="1" x14ac:dyDescent="0.35">
      <c r="A22" s="7" t="s">
        <v>62</v>
      </c>
      <c r="B22" s="1" t="s">
        <v>109</v>
      </c>
      <c r="C22" s="1" t="s">
        <v>10</v>
      </c>
      <c r="D22" s="4">
        <v>1</v>
      </c>
      <c r="E22" s="4">
        <v>4560</v>
      </c>
      <c r="F22" s="4">
        <v>-8.9820359280000002</v>
      </c>
      <c r="G22" s="2" t="s">
        <v>110</v>
      </c>
      <c r="H22" s="5">
        <v>5010</v>
      </c>
      <c r="I22" s="1" t="s">
        <v>8</v>
      </c>
      <c r="J22" s="2"/>
      <c r="N22" t="str">
        <f t="shared" si="0"/>
        <v>Unique</v>
      </c>
    </row>
    <row r="23" spans="1:14" customFormat="1" ht="27.6" customHeight="1" thickBot="1" x14ac:dyDescent="0.35">
      <c r="A23" s="7" t="s">
        <v>62</v>
      </c>
      <c r="B23" s="1" t="s">
        <v>34</v>
      </c>
      <c r="C23" s="1" t="s">
        <v>10</v>
      </c>
      <c r="D23" s="4">
        <v>1</v>
      </c>
      <c r="E23" s="4">
        <v>18052</v>
      </c>
      <c r="F23" s="4">
        <v>-8.8282828280000007</v>
      </c>
      <c r="G23" s="2" t="s">
        <v>71</v>
      </c>
      <c r="H23" s="5">
        <v>19800</v>
      </c>
      <c r="I23" s="1" t="s">
        <v>8</v>
      </c>
      <c r="J23" s="2"/>
      <c r="N23" t="str">
        <f t="shared" si="0"/>
        <v>Unique</v>
      </c>
    </row>
    <row r="24" spans="1:14" customFormat="1" ht="15" customHeight="1" thickBot="1" x14ac:dyDescent="0.35">
      <c r="A24" s="7" t="s">
        <v>62</v>
      </c>
      <c r="B24" s="1" t="s">
        <v>51</v>
      </c>
      <c r="C24" s="1" t="s">
        <v>10</v>
      </c>
      <c r="D24" s="4">
        <v>40</v>
      </c>
      <c r="E24" s="4">
        <v>862</v>
      </c>
      <c r="F24" s="4">
        <v>-8.7782422350000004</v>
      </c>
      <c r="G24" s="2" t="s">
        <v>52</v>
      </c>
      <c r="H24" s="5">
        <v>944.95</v>
      </c>
      <c r="I24" s="1" t="s">
        <v>8</v>
      </c>
      <c r="J24" s="2" t="s">
        <v>41</v>
      </c>
      <c r="N24" t="str">
        <f t="shared" si="0"/>
        <v>Unique</v>
      </c>
    </row>
    <row r="25" spans="1:14" customFormat="1" ht="27.6" customHeight="1" thickBot="1" x14ac:dyDescent="0.35">
      <c r="A25" s="7" t="s">
        <v>62</v>
      </c>
      <c r="B25" s="1" t="s">
        <v>22</v>
      </c>
      <c r="C25" s="1" t="s">
        <v>10</v>
      </c>
      <c r="D25" s="4">
        <v>5</v>
      </c>
      <c r="E25" s="4">
        <v>419</v>
      </c>
      <c r="F25" s="4">
        <v>-8.5152838430000006</v>
      </c>
      <c r="G25" s="2" t="s">
        <v>73</v>
      </c>
      <c r="H25" s="5">
        <v>458</v>
      </c>
      <c r="I25" s="1" t="s">
        <v>8</v>
      </c>
      <c r="J25" s="2"/>
      <c r="N25" t="str">
        <f t="shared" si="0"/>
        <v>Unique</v>
      </c>
    </row>
    <row r="26" spans="1:14" customFormat="1" ht="27.6" customHeight="1" thickBot="1" x14ac:dyDescent="0.35">
      <c r="A26" s="7" t="s">
        <v>62</v>
      </c>
      <c r="B26" s="1" t="s">
        <v>20</v>
      </c>
      <c r="C26" s="1" t="s">
        <v>10</v>
      </c>
      <c r="D26" s="4">
        <v>200</v>
      </c>
      <c r="E26" s="4">
        <v>115.25</v>
      </c>
      <c r="F26" s="4">
        <v>-8.4445503649999996</v>
      </c>
      <c r="G26" s="2" t="s">
        <v>86</v>
      </c>
      <c r="H26" s="5">
        <v>125.88</v>
      </c>
      <c r="I26" s="1" t="s">
        <v>8</v>
      </c>
      <c r="J26" s="2"/>
      <c r="N26" t="str">
        <f t="shared" si="0"/>
        <v>Unique</v>
      </c>
    </row>
    <row r="27" spans="1:14" customFormat="1" ht="15" customHeight="1" thickBot="1" x14ac:dyDescent="0.35">
      <c r="A27" s="7" t="s">
        <v>62</v>
      </c>
      <c r="B27" s="1" t="s">
        <v>16</v>
      </c>
      <c r="C27" s="1" t="s">
        <v>10</v>
      </c>
      <c r="D27" s="4">
        <v>5</v>
      </c>
      <c r="E27" s="4">
        <v>852</v>
      </c>
      <c r="F27" s="4">
        <v>-8.2884822390000004</v>
      </c>
      <c r="G27" s="2" t="s">
        <v>61</v>
      </c>
      <c r="H27" s="5">
        <v>929</v>
      </c>
      <c r="I27" s="1" t="s">
        <v>8</v>
      </c>
      <c r="J27" s="2"/>
      <c r="N27" t="str">
        <f t="shared" si="0"/>
        <v>Unique</v>
      </c>
    </row>
    <row r="28" spans="1:14" customFormat="1" ht="27.6" customHeight="1" thickBot="1" x14ac:dyDescent="0.35">
      <c r="A28" s="3">
        <v>46252.688194444447</v>
      </c>
      <c r="B28" s="1" t="s">
        <v>96</v>
      </c>
      <c r="C28" s="1" t="s">
        <v>10</v>
      </c>
      <c r="D28" s="4">
        <v>45</v>
      </c>
      <c r="E28" s="4">
        <v>136.15</v>
      </c>
      <c r="F28" s="4">
        <v>-8.0191865960000008</v>
      </c>
      <c r="G28" s="2" t="s">
        <v>97</v>
      </c>
      <c r="H28" s="5">
        <v>148.02000000000001</v>
      </c>
      <c r="I28" s="1" t="s">
        <v>8</v>
      </c>
      <c r="J28" s="2"/>
      <c r="N28" t="str">
        <f t="shared" si="0"/>
        <v>Unique</v>
      </c>
    </row>
    <row r="29" spans="1:14" customFormat="1" ht="27.6" customHeight="1" thickBot="1" x14ac:dyDescent="0.35">
      <c r="A29" s="7" t="s">
        <v>62</v>
      </c>
      <c r="B29" s="1" t="s">
        <v>25</v>
      </c>
      <c r="C29" s="1" t="s">
        <v>10</v>
      </c>
      <c r="D29" s="4">
        <v>200</v>
      </c>
      <c r="E29" s="4">
        <v>31.01</v>
      </c>
      <c r="F29" s="4">
        <v>-7.9821958459999998</v>
      </c>
      <c r="G29" s="2" t="s">
        <v>46</v>
      </c>
      <c r="H29" s="5">
        <v>33.700000000000003</v>
      </c>
      <c r="I29" s="1" t="s">
        <v>8</v>
      </c>
      <c r="J29" s="2"/>
      <c r="N29" t="str">
        <f t="shared" si="0"/>
        <v>Unique</v>
      </c>
    </row>
    <row r="30" spans="1:14" customFormat="1" ht="27.6" customHeight="1" thickBot="1" x14ac:dyDescent="0.35">
      <c r="A30" s="7" t="s">
        <v>62</v>
      </c>
      <c r="B30" s="1" t="s">
        <v>82</v>
      </c>
      <c r="C30" s="1" t="s">
        <v>10</v>
      </c>
      <c r="D30" s="4">
        <v>2</v>
      </c>
      <c r="E30" s="4">
        <v>4010</v>
      </c>
      <c r="F30" s="4">
        <v>-7.9028961210000004</v>
      </c>
      <c r="G30" s="2" t="s">
        <v>83</v>
      </c>
      <c r="H30" s="5">
        <v>4354.1000000000004</v>
      </c>
      <c r="I30" s="1" t="s">
        <v>8</v>
      </c>
      <c r="J30" s="2"/>
      <c r="N30" t="str">
        <f t="shared" si="0"/>
        <v>Unique</v>
      </c>
    </row>
    <row r="31" spans="1:14" customFormat="1" ht="15" customHeight="1" thickBot="1" x14ac:dyDescent="0.35">
      <c r="A31" s="7" t="s">
        <v>62</v>
      </c>
      <c r="B31" s="1" t="s">
        <v>20</v>
      </c>
      <c r="C31" s="1" t="s">
        <v>10</v>
      </c>
      <c r="D31" s="4">
        <v>50</v>
      </c>
      <c r="E31" s="4">
        <v>116</v>
      </c>
      <c r="F31" s="4">
        <v>-7.8487448359999998</v>
      </c>
      <c r="G31" s="2" t="s">
        <v>86</v>
      </c>
      <c r="H31" s="5">
        <v>125.88</v>
      </c>
      <c r="I31" s="1" t="s">
        <v>8</v>
      </c>
      <c r="J31" s="2"/>
      <c r="N31" t="str">
        <f t="shared" si="0"/>
        <v>Unique</v>
      </c>
    </row>
    <row r="32" spans="1:14" customFormat="1" ht="40.799999999999997" customHeight="1" thickBot="1" x14ac:dyDescent="0.35">
      <c r="A32" s="7" t="s">
        <v>62</v>
      </c>
      <c r="B32" s="1" t="s">
        <v>15</v>
      </c>
      <c r="C32" s="1" t="s">
        <v>10</v>
      </c>
      <c r="D32" s="4">
        <v>30</v>
      </c>
      <c r="E32" s="4">
        <v>2435</v>
      </c>
      <c r="F32" s="4">
        <v>-7.6602199469999999</v>
      </c>
      <c r="G32" s="2" t="s">
        <v>72</v>
      </c>
      <c r="H32" s="5">
        <v>2637</v>
      </c>
      <c r="I32" s="1" t="s">
        <v>8</v>
      </c>
      <c r="J32" s="2"/>
      <c r="N32" t="str">
        <f t="shared" si="0"/>
        <v>Unique</v>
      </c>
    </row>
    <row r="33" spans="1:14" customFormat="1" ht="27.6" customHeight="1" thickBot="1" x14ac:dyDescent="0.35">
      <c r="A33" s="7" t="s">
        <v>62</v>
      </c>
      <c r="B33" s="1" t="s">
        <v>92</v>
      </c>
      <c r="C33" s="1" t="s">
        <v>10</v>
      </c>
      <c r="D33" s="4">
        <v>1</v>
      </c>
      <c r="E33" s="4">
        <v>2752</v>
      </c>
      <c r="F33" s="4">
        <v>-7.4335687860000004</v>
      </c>
      <c r="G33" s="2" t="s">
        <v>93</v>
      </c>
      <c r="H33" s="5">
        <v>2973</v>
      </c>
      <c r="I33" s="1" t="s">
        <v>8</v>
      </c>
      <c r="J33" s="2"/>
      <c r="N33" t="str">
        <f t="shared" si="0"/>
        <v>Unique</v>
      </c>
    </row>
    <row r="34" spans="1:14" customFormat="1" ht="40.799999999999997" customHeight="1" thickBot="1" x14ac:dyDescent="0.35">
      <c r="A34" s="7" t="s">
        <v>62</v>
      </c>
      <c r="B34" s="1" t="s">
        <v>16</v>
      </c>
      <c r="C34" s="1" t="s">
        <v>10</v>
      </c>
      <c r="D34" s="4">
        <v>30</v>
      </c>
      <c r="E34" s="4">
        <v>860</v>
      </c>
      <c r="F34" s="4">
        <v>-7.4273412270000003</v>
      </c>
      <c r="G34" s="2" t="s">
        <v>61</v>
      </c>
      <c r="H34" s="5">
        <v>929</v>
      </c>
      <c r="I34" s="1" t="s">
        <v>8</v>
      </c>
      <c r="J34" s="2"/>
      <c r="N34" t="str">
        <f t="shared" si="0"/>
        <v>Unique</v>
      </c>
    </row>
    <row r="35" spans="1:14" customFormat="1" ht="27.6" customHeight="1" thickBot="1" x14ac:dyDescent="0.35">
      <c r="A35" s="7" t="s">
        <v>62</v>
      </c>
      <c r="B35" s="1" t="s">
        <v>109</v>
      </c>
      <c r="C35" s="1" t="s">
        <v>10</v>
      </c>
      <c r="D35" s="4">
        <v>1</v>
      </c>
      <c r="E35" s="4">
        <v>4640</v>
      </c>
      <c r="F35" s="4">
        <v>-7.3852295410000002</v>
      </c>
      <c r="G35" s="2" t="s">
        <v>110</v>
      </c>
      <c r="H35" s="5">
        <v>5010</v>
      </c>
      <c r="I35" s="1" t="s">
        <v>8</v>
      </c>
      <c r="J35" s="2"/>
      <c r="N35" t="str">
        <f t="shared" si="0"/>
        <v>Unique</v>
      </c>
    </row>
    <row r="36" spans="1:14" customFormat="1" ht="15" customHeight="1" thickBot="1" x14ac:dyDescent="0.35">
      <c r="A36" s="7" t="s">
        <v>62</v>
      </c>
      <c r="B36" s="1" t="s">
        <v>87</v>
      </c>
      <c r="C36" s="1" t="s">
        <v>10</v>
      </c>
      <c r="D36" s="4">
        <v>10</v>
      </c>
      <c r="E36" s="4">
        <v>1251</v>
      </c>
      <c r="F36" s="4">
        <v>-7.2715143429999998</v>
      </c>
      <c r="G36" s="2" t="s">
        <v>88</v>
      </c>
      <c r="H36" s="5">
        <v>1349.1</v>
      </c>
      <c r="I36" s="1" t="s">
        <v>8</v>
      </c>
      <c r="J36" s="2"/>
      <c r="N36" t="str">
        <f t="shared" si="0"/>
        <v>Unique</v>
      </c>
    </row>
    <row r="37" spans="1:14" customFormat="1" ht="15" customHeight="1" thickBot="1" x14ac:dyDescent="0.35">
      <c r="A37" s="7" t="s">
        <v>62</v>
      </c>
      <c r="B37" s="1" t="s">
        <v>103</v>
      </c>
      <c r="C37" s="1" t="s">
        <v>10</v>
      </c>
      <c r="D37" s="4">
        <v>8</v>
      </c>
      <c r="E37" s="4">
        <v>2370</v>
      </c>
      <c r="F37" s="4">
        <v>-7.1280222579999997</v>
      </c>
      <c r="G37" s="2" t="s">
        <v>104</v>
      </c>
      <c r="H37" s="5">
        <v>2551.9</v>
      </c>
      <c r="I37" s="1" t="s">
        <v>8</v>
      </c>
      <c r="J37" s="2"/>
      <c r="N37" t="str">
        <f t="shared" si="0"/>
        <v>Unique</v>
      </c>
    </row>
    <row r="38" spans="1:14" customFormat="1" ht="27.6" customHeight="1" thickBot="1" x14ac:dyDescent="0.35">
      <c r="A38" s="7" t="s">
        <v>62</v>
      </c>
      <c r="B38" s="1" t="s">
        <v>51</v>
      </c>
      <c r="C38" s="1" t="s">
        <v>10</v>
      </c>
      <c r="D38" s="4">
        <v>40</v>
      </c>
      <c r="E38" s="4">
        <v>878</v>
      </c>
      <c r="F38" s="4">
        <v>-7.0850309539999996</v>
      </c>
      <c r="G38" s="2" t="s">
        <v>52</v>
      </c>
      <c r="H38" s="5">
        <v>944.95</v>
      </c>
      <c r="I38" s="1" t="s">
        <v>8</v>
      </c>
      <c r="J38" s="2"/>
      <c r="N38" t="str">
        <f t="shared" si="0"/>
        <v>Unique</v>
      </c>
    </row>
    <row r="39" spans="1:14" customFormat="1" ht="27.6" customHeight="1" thickBot="1" x14ac:dyDescent="0.35">
      <c r="A39" s="7" t="s">
        <v>62</v>
      </c>
      <c r="B39" s="1" t="s">
        <v>105</v>
      </c>
      <c r="C39" s="1" t="s">
        <v>10</v>
      </c>
      <c r="D39" s="4">
        <v>4</v>
      </c>
      <c r="E39" s="4">
        <v>1751</v>
      </c>
      <c r="F39" s="4">
        <v>-7.0841071900000001</v>
      </c>
      <c r="G39" s="2" t="s">
        <v>106</v>
      </c>
      <c r="H39" s="5">
        <v>1884.5</v>
      </c>
      <c r="I39" s="1" t="s">
        <v>8</v>
      </c>
      <c r="J39" s="2"/>
      <c r="N39" t="str">
        <f t="shared" si="0"/>
        <v>Unique</v>
      </c>
    </row>
    <row r="40" spans="1:14" customFormat="1" ht="27.6" customHeight="1" thickBot="1" x14ac:dyDescent="0.35">
      <c r="A40" s="7" t="s">
        <v>62</v>
      </c>
      <c r="B40" s="1" t="s">
        <v>12</v>
      </c>
      <c r="C40" s="1" t="s">
        <v>10</v>
      </c>
      <c r="D40" s="4">
        <v>3</v>
      </c>
      <c r="E40" s="4">
        <v>4710</v>
      </c>
      <c r="F40" s="4">
        <v>-7.0712650940000001</v>
      </c>
      <c r="G40" s="2" t="s">
        <v>98</v>
      </c>
      <c r="H40" s="5">
        <v>5068.3999999999996</v>
      </c>
      <c r="I40" s="1" t="s">
        <v>8</v>
      </c>
      <c r="J40" s="2"/>
      <c r="N40" t="str">
        <f t="shared" si="0"/>
        <v>Unique</v>
      </c>
    </row>
    <row r="41" spans="1:14" customFormat="1" ht="27.6" customHeight="1" thickBot="1" x14ac:dyDescent="0.35">
      <c r="A41" s="3">
        <v>46252.635416666664</v>
      </c>
      <c r="B41" s="1" t="s">
        <v>36</v>
      </c>
      <c r="C41" s="1" t="s">
        <v>10</v>
      </c>
      <c r="D41" s="4">
        <v>5</v>
      </c>
      <c r="E41" s="4">
        <v>1132</v>
      </c>
      <c r="F41" s="4">
        <v>-6.984387839</v>
      </c>
      <c r="G41" s="2" t="s">
        <v>65</v>
      </c>
      <c r="H41" s="5">
        <v>1217</v>
      </c>
      <c r="I41" s="1" t="s">
        <v>8</v>
      </c>
      <c r="J41" s="2"/>
      <c r="N41" t="str">
        <f t="shared" si="0"/>
        <v>Unique</v>
      </c>
    </row>
    <row r="42" spans="1:14" customFormat="1" ht="27.6" customHeight="1" thickBot="1" x14ac:dyDescent="0.35">
      <c r="A42" s="7" t="s">
        <v>62</v>
      </c>
      <c r="B42" s="1" t="s">
        <v>49</v>
      </c>
      <c r="C42" s="1" t="s">
        <v>10</v>
      </c>
      <c r="D42" s="4">
        <v>2</v>
      </c>
      <c r="E42" s="4">
        <v>3760</v>
      </c>
      <c r="F42" s="4">
        <v>-6.8315286070000001</v>
      </c>
      <c r="G42" s="2" t="s">
        <v>50</v>
      </c>
      <c r="H42" s="5">
        <v>4035.7</v>
      </c>
      <c r="I42" s="1" t="s">
        <v>8</v>
      </c>
      <c r="J42" s="2"/>
      <c r="N42" t="str">
        <f t="shared" si="0"/>
        <v>Unique</v>
      </c>
    </row>
    <row r="43" spans="1:14" customFormat="1" ht="15" customHeight="1" thickBot="1" x14ac:dyDescent="0.35">
      <c r="A43" s="7" t="s">
        <v>62</v>
      </c>
      <c r="B43" s="1" t="s">
        <v>15</v>
      </c>
      <c r="C43" s="1" t="s">
        <v>10</v>
      </c>
      <c r="D43" s="4">
        <v>30</v>
      </c>
      <c r="E43" s="4">
        <v>2460</v>
      </c>
      <c r="F43" s="4">
        <v>-6.7121729239999999</v>
      </c>
      <c r="G43" s="2" t="s">
        <v>72</v>
      </c>
      <c r="H43" s="5">
        <v>2637</v>
      </c>
      <c r="I43" s="1" t="s">
        <v>8</v>
      </c>
      <c r="J43" s="2"/>
      <c r="N43" t="str">
        <f t="shared" si="0"/>
        <v>Unique</v>
      </c>
    </row>
    <row r="44" spans="1:14" customFormat="1" ht="40.799999999999997" customHeight="1" thickBot="1" x14ac:dyDescent="0.35">
      <c r="A44" s="7" t="s">
        <v>62</v>
      </c>
      <c r="B44" s="1" t="s">
        <v>87</v>
      </c>
      <c r="C44" s="1" t="s">
        <v>10</v>
      </c>
      <c r="D44" s="4">
        <v>10</v>
      </c>
      <c r="E44" s="4">
        <v>1260</v>
      </c>
      <c r="F44" s="4">
        <v>-6.6044029350000004</v>
      </c>
      <c r="G44" s="2" t="s">
        <v>88</v>
      </c>
      <c r="H44" s="5">
        <v>1349.1</v>
      </c>
      <c r="I44" s="1" t="s">
        <v>8</v>
      </c>
      <c r="J44" s="2"/>
      <c r="N44" t="str">
        <f t="shared" si="0"/>
        <v>Unique</v>
      </c>
    </row>
    <row r="45" spans="1:14" customFormat="1" ht="27.6" customHeight="1" thickBot="1" x14ac:dyDescent="0.35">
      <c r="A45" s="3">
        <v>46252.635416666664</v>
      </c>
      <c r="B45" s="1" t="s">
        <v>89</v>
      </c>
      <c r="C45" s="1" t="s">
        <v>10</v>
      </c>
      <c r="D45" s="4">
        <v>1</v>
      </c>
      <c r="E45" s="4">
        <v>13552</v>
      </c>
      <c r="F45" s="4">
        <v>-6.5250379360000004</v>
      </c>
      <c r="G45" s="2" t="s">
        <v>90</v>
      </c>
      <c r="H45" s="5">
        <v>14498</v>
      </c>
      <c r="I45" s="1" t="s">
        <v>8</v>
      </c>
      <c r="J45" s="2"/>
      <c r="N45" t="str">
        <f t="shared" si="0"/>
        <v>Unique</v>
      </c>
    </row>
    <row r="46" spans="1:14" customFormat="1" ht="27.6" customHeight="1" thickBot="1" x14ac:dyDescent="0.35">
      <c r="A46" s="7" t="s">
        <v>62</v>
      </c>
      <c r="B46" s="1" t="s">
        <v>107</v>
      </c>
      <c r="C46" s="1" t="s">
        <v>10</v>
      </c>
      <c r="D46" s="4">
        <v>1</v>
      </c>
      <c r="E46" s="4">
        <v>6920</v>
      </c>
      <c r="F46" s="4">
        <v>-6.423258959</v>
      </c>
      <c r="G46" s="2" t="s">
        <v>108</v>
      </c>
      <c r="H46" s="5">
        <v>7395</v>
      </c>
      <c r="I46" s="1" t="s">
        <v>8</v>
      </c>
      <c r="J46" s="6" t="s">
        <v>141</v>
      </c>
      <c r="N46" t="str">
        <f t="shared" si="0"/>
        <v>Unique</v>
      </c>
    </row>
    <row r="47" spans="1:14" customFormat="1" ht="40.799999999999997" customHeight="1" thickBot="1" x14ac:dyDescent="0.35">
      <c r="A47" s="3">
        <v>46252.6875</v>
      </c>
      <c r="B47" s="1" t="s">
        <v>13</v>
      </c>
      <c r="C47" s="1" t="s">
        <v>10</v>
      </c>
      <c r="D47" s="4">
        <v>5</v>
      </c>
      <c r="E47" s="4">
        <v>1764</v>
      </c>
      <c r="F47" s="4">
        <v>-6.4190981430000003</v>
      </c>
      <c r="G47" s="2" t="s">
        <v>91</v>
      </c>
      <c r="H47" s="5">
        <v>1885</v>
      </c>
      <c r="I47" s="1" t="s">
        <v>8</v>
      </c>
      <c r="J47" s="2"/>
      <c r="N47" t="str">
        <f t="shared" si="0"/>
        <v>Unique</v>
      </c>
    </row>
    <row r="48" spans="1:14" customFormat="1" ht="27.6" customHeight="1" thickBot="1" x14ac:dyDescent="0.35">
      <c r="A48" s="7" t="s">
        <v>62</v>
      </c>
      <c r="B48" s="1" t="s">
        <v>15</v>
      </c>
      <c r="C48" s="1" t="s">
        <v>10</v>
      </c>
      <c r="D48" s="4">
        <v>5</v>
      </c>
      <c r="E48" s="4">
        <v>2470</v>
      </c>
      <c r="F48" s="4">
        <v>-6.3329541149999997</v>
      </c>
      <c r="G48" s="2" t="s">
        <v>72</v>
      </c>
      <c r="H48" s="5">
        <v>2637</v>
      </c>
      <c r="I48" s="1" t="s">
        <v>8</v>
      </c>
      <c r="J48" s="2"/>
      <c r="N48" t="str">
        <f t="shared" si="0"/>
        <v>Unique</v>
      </c>
    </row>
    <row r="49" spans="1:14" customFormat="1" ht="27.6" customHeight="1" thickBot="1" x14ac:dyDescent="0.35">
      <c r="A49" s="7" t="s">
        <v>62</v>
      </c>
      <c r="B49" s="1" t="s">
        <v>34</v>
      </c>
      <c r="C49" s="1" t="s">
        <v>10</v>
      </c>
      <c r="D49" s="4">
        <v>1</v>
      </c>
      <c r="E49" s="4">
        <v>18552</v>
      </c>
      <c r="F49" s="4">
        <v>-6.3030303029999999</v>
      </c>
      <c r="G49" s="2" t="s">
        <v>71</v>
      </c>
      <c r="H49" s="5">
        <v>19800</v>
      </c>
      <c r="I49" s="1" t="s">
        <v>8</v>
      </c>
      <c r="J49" s="2"/>
      <c r="N49" t="str">
        <f t="shared" si="0"/>
        <v>Unique</v>
      </c>
    </row>
    <row r="50" spans="1:14" customFormat="1" ht="27.6" customHeight="1" thickBot="1" x14ac:dyDescent="0.35">
      <c r="A50" s="3">
        <v>46252.635416666664</v>
      </c>
      <c r="B50" s="1" t="s">
        <v>36</v>
      </c>
      <c r="C50" s="1" t="s">
        <v>10</v>
      </c>
      <c r="D50" s="4">
        <v>5</v>
      </c>
      <c r="E50" s="4">
        <v>1142</v>
      </c>
      <c r="F50" s="4">
        <v>-6.1626951520000004</v>
      </c>
      <c r="G50" s="2" t="s">
        <v>65</v>
      </c>
      <c r="H50" s="5">
        <v>1217</v>
      </c>
      <c r="I50" s="1" t="s">
        <v>8</v>
      </c>
      <c r="J50" s="6" t="s">
        <v>41</v>
      </c>
      <c r="N50" t="str">
        <f t="shared" si="0"/>
        <v>Unique</v>
      </c>
    </row>
    <row r="51" spans="1:14" customFormat="1" ht="27.6" customHeight="1" thickBot="1" x14ac:dyDescent="0.35">
      <c r="A51" s="7" t="s">
        <v>62</v>
      </c>
      <c r="B51" s="1" t="s">
        <v>21</v>
      </c>
      <c r="C51" s="1" t="s">
        <v>10</v>
      </c>
      <c r="D51" s="4">
        <v>5</v>
      </c>
      <c r="E51" s="4">
        <v>620</v>
      </c>
      <c r="F51" s="4">
        <v>-6.0606060609999997</v>
      </c>
      <c r="G51" s="2" t="s">
        <v>76</v>
      </c>
      <c r="H51" s="5">
        <v>660</v>
      </c>
      <c r="I51" s="1" t="s">
        <v>8</v>
      </c>
      <c r="J51" s="2"/>
      <c r="N51" t="str">
        <f t="shared" si="0"/>
        <v>Unique</v>
      </c>
    </row>
    <row r="52" spans="1:14" customFormat="1" ht="15" customHeight="1" thickBot="1" x14ac:dyDescent="0.35">
      <c r="A52" s="7" t="s">
        <v>62</v>
      </c>
      <c r="B52" s="1" t="s">
        <v>66</v>
      </c>
      <c r="C52" s="1" t="s">
        <v>10</v>
      </c>
      <c r="D52" s="4">
        <v>10</v>
      </c>
      <c r="E52" s="4">
        <v>1132</v>
      </c>
      <c r="F52" s="4">
        <v>-5.9800664450000003</v>
      </c>
      <c r="G52" s="2" t="s">
        <v>67</v>
      </c>
      <c r="H52" s="5">
        <v>1204</v>
      </c>
      <c r="I52" s="1" t="s">
        <v>8</v>
      </c>
      <c r="J52" s="2"/>
      <c r="N52" t="str">
        <f t="shared" si="0"/>
        <v>Unique</v>
      </c>
    </row>
    <row r="53" spans="1:14" customFormat="1" ht="27.6" customHeight="1" thickBot="1" x14ac:dyDescent="0.35">
      <c r="A53" s="3">
        <v>46252.6875</v>
      </c>
      <c r="B53" s="1" t="s">
        <v>9</v>
      </c>
      <c r="C53" s="1" t="s">
        <v>10</v>
      </c>
      <c r="D53" s="4">
        <v>37</v>
      </c>
      <c r="E53" s="4">
        <v>277</v>
      </c>
      <c r="F53" s="4">
        <v>-5.9742023079999997</v>
      </c>
      <c r="G53" s="2" t="s">
        <v>95</v>
      </c>
      <c r="H53" s="5">
        <v>294.60000000000002</v>
      </c>
      <c r="I53" s="1" t="s">
        <v>8</v>
      </c>
      <c r="J53" s="2"/>
      <c r="N53" t="str">
        <f t="shared" si="0"/>
        <v>Unique</v>
      </c>
    </row>
    <row r="54" spans="1:14" customFormat="1" ht="15" customHeight="1" thickBot="1" x14ac:dyDescent="0.35">
      <c r="A54" s="7" t="s">
        <v>62</v>
      </c>
      <c r="B54" s="1" t="s">
        <v>103</v>
      </c>
      <c r="C54" s="1" t="s">
        <v>10</v>
      </c>
      <c r="D54" s="4">
        <v>7</v>
      </c>
      <c r="E54" s="4">
        <v>2401</v>
      </c>
      <c r="F54" s="4">
        <v>-5.9132411139999999</v>
      </c>
      <c r="G54" s="2" t="s">
        <v>104</v>
      </c>
      <c r="H54" s="5">
        <v>2551.9</v>
      </c>
      <c r="I54" s="1" t="s">
        <v>8</v>
      </c>
      <c r="J54" s="2"/>
      <c r="N54" t="str">
        <f t="shared" si="0"/>
        <v>Unique</v>
      </c>
    </row>
    <row r="55" spans="1:14" customFormat="1" ht="27.6" customHeight="1" thickBot="1" x14ac:dyDescent="0.35">
      <c r="A55" s="7" t="s">
        <v>62</v>
      </c>
      <c r="B55" s="1" t="s">
        <v>82</v>
      </c>
      <c r="C55" s="1" t="s">
        <v>10</v>
      </c>
      <c r="D55" s="4">
        <v>4</v>
      </c>
      <c r="E55" s="4">
        <v>4110</v>
      </c>
      <c r="F55" s="4">
        <v>-5.6062102390000002</v>
      </c>
      <c r="G55" s="2" t="s">
        <v>83</v>
      </c>
      <c r="H55" s="5">
        <v>4354.1000000000004</v>
      </c>
      <c r="I55" s="1" t="s">
        <v>8</v>
      </c>
      <c r="J55" s="2"/>
      <c r="N55" t="str">
        <f t="shared" si="0"/>
        <v>Unique</v>
      </c>
    </row>
    <row r="56" spans="1:14" customFormat="1" ht="15" customHeight="1" thickBot="1" x14ac:dyDescent="0.35">
      <c r="A56" s="7" t="s">
        <v>62</v>
      </c>
      <c r="B56" s="1" t="s">
        <v>49</v>
      </c>
      <c r="C56" s="1" t="s">
        <v>10</v>
      </c>
      <c r="D56" s="4">
        <v>3</v>
      </c>
      <c r="E56" s="4">
        <v>3810</v>
      </c>
      <c r="F56" s="4">
        <v>-5.5925861680000004</v>
      </c>
      <c r="G56" s="2" t="s">
        <v>50</v>
      </c>
      <c r="H56" s="5">
        <v>4035.7</v>
      </c>
      <c r="I56" s="1" t="s">
        <v>8</v>
      </c>
      <c r="J56" s="2"/>
      <c r="N56" t="str">
        <f t="shared" si="0"/>
        <v>Unique</v>
      </c>
    </row>
    <row r="57" spans="1:14" customFormat="1" ht="27.6" customHeight="1" thickBot="1" x14ac:dyDescent="0.35">
      <c r="A57" s="7" t="s">
        <v>62</v>
      </c>
      <c r="B57" s="1" t="s">
        <v>15</v>
      </c>
      <c r="C57" s="1" t="s">
        <v>10</v>
      </c>
      <c r="D57" s="4">
        <v>5</v>
      </c>
      <c r="E57" s="4">
        <v>2490</v>
      </c>
      <c r="F57" s="4">
        <v>-5.5745164960000002</v>
      </c>
      <c r="G57" s="2" t="s">
        <v>72</v>
      </c>
      <c r="H57" s="5">
        <v>2637</v>
      </c>
      <c r="I57" s="1" t="s">
        <v>8</v>
      </c>
      <c r="J57" s="2"/>
      <c r="N57" t="str">
        <f t="shared" si="0"/>
        <v>Unique</v>
      </c>
    </row>
    <row r="58" spans="1:14" customFormat="1" ht="27.6" customHeight="1" thickBot="1" x14ac:dyDescent="0.35">
      <c r="A58" s="7" t="s">
        <v>62</v>
      </c>
      <c r="B58" s="1" t="s">
        <v>20</v>
      </c>
      <c r="C58" s="1" t="s">
        <v>10</v>
      </c>
      <c r="D58" s="4">
        <v>50</v>
      </c>
      <c r="E58" s="4">
        <v>119</v>
      </c>
      <c r="F58" s="4">
        <v>-5.4655227200000001</v>
      </c>
      <c r="G58" s="2" t="s">
        <v>86</v>
      </c>
      <c r="H58" s="5">
        <v>125.88</v>
      </c>
      <c r="I58" s="1" t="s">
        <v>8</v>
      </c>
      <c r="J58" s="2"/>
      <c r="N58" t="str">
        <f t="shared" si="0"/>
        <v>Unique</v>
      </c>
    </row>
    <row r="59" spans="1:14" customFormat="1" ht="15" customHeight="1" thickBot="1" x14ac:dyDescent="0.35">
      <c r="A59" s="7" t="s">
        <v>62</v>
      </c>
      <c r="B59" s="1" t="s">
        <v>100</v>
      </c>
      <c r="C59" s="1" t="s">
        <v>10</v>
      </c>
      <c r="D59" s="4">
        <v>25</v>
      </c>
      <c r="E59" s="4">
        <v>196</v>
      </c>
      <c r="F59" s="4">
        <v>-5.3597295989999996</v>
      </c>
      <c r="G59" s="2" t="s">
        <v>101</v>
      </c>
      <c r="H59" s="5">
        <v>207.1</v>
      </c>
      <c r="I59" s="1" t="s">
        <v>8</v>
      </c>
      <c r="J59" s="2"/>
      <c r="N59" t="str">
        <f t="shared" si="0"/>
        <v>Unique</v>
      </c>
    </row>
    <row r="60" spans="1:14" customFormat="1" ht="15" customHeight="1" thickBot="1" x14ac:dyDescent="0.35">
      <c r="A60" s="3">
        <v>46252.645138888889</v>
      </c>
      <c r="B60" s="1" t="s">
        <v>36</v>
      </c>
      <c r="C60" s="1" t="s">
        <v>10</v>
      </c>
      <c r="D60" s="4">
        <v>5</v>
      </c>
      <c r="E60" s="4">
        <v>1152</v>
      </c>
      <c r="F60" s="4">
        <v>-5.3410024649999999</v>
      </c>
      <c r="G60" s="2" t="s">
        <v>65</v>
      </c>
      <c r="H60" s="5">
        <v>1217</v>
      </c>
      <c r="I60" s="1" t="s">
        <v>8</v>
      </c>
      <c r="J60" s="11" t="s">
        <v>41</v>
      </c>
      <c r="N60" t="str">
        <f t="shared" si="0"/>
        <v>Unique</v>
      </c>
    </row>
    <row r="61" spans="1:14" customFormat="1" ht="40.799999999999997" customHeight="1" thickBot="1" x14ac:dyDescent="0.35">
      <c r="A61" s="7" t="s">
        <v>62</v>
      </c>
      <c r="B61" s="1" t="s">
        <v>87</v>
      </c>
      <c r="C61" s="1" t="s">
        <v>10</v>
      </c>
      <c r="D61" s="4">
        <v>10</v>
      </c>
      <c r="E61" s="4">
        <v>1280</v>
      </c>
      <c r="F61" s="4">
        <v>-5.1219331410000004</v>
      </c>
      <c r="G61" s="2" t="s">
        <v>88</v>
      </c>
      <c r="H61" s="5">
        <v>1349.1</v>
      </c>
      <c r="I61" s="1" t="s">
        <v>8</v>
      </c>
      <c r="J61" s="2"/>
      <c r="N61" t="str">
        <f t="shared" si="0"/>
        <v>Unique</v>
      </c>
    </row>
    <row r="62" spans="1:14" customFormat="1" ht="27.6" customHeight="1" thickBot="1" x14ac:dyDescent="0.35">
      <c r="A62" s="7" t="s">
        <v>62</v>
      </c>
      <c r="B62" s="1" t="s">
        <v>49</v>
      </c>
      <c r="C62" s="1" t="s">
        <v>10</v>
      </c>
      <c r="D62" s="4">
        <v>2</v>
      </c>
      <c r="E62" s="4">
        <v>3830</v>
      </c>
      <c r="F62" s="4">
        <v>-5.0970091929999999</v>
      </c>
      <c r="G62" s="2" t="s">
        <v>50</v>
      </c>
      <c r="H62" s="5">
        <v>4035.7</v>
      </c>
      <c r="I62" s="1" t="s">
        <v>8</v>
      </c>
      <c r="J62" s="2"/>
      <c r="N62" t="str">
        <f t="shared" si="0"/>
        <v>Unique</v>
      </c>
    </row>
    <row r="63" spans="1:14" customFormat="1" ht="15" customHeight="1" thickBot="1" x14ac:dyDescent="0.35">
      <c r="A63" s="7" t="s">
        <v>62</v>
      </c>
      <c r="B63" s="1" t="s">
        <v>51</v>
      </c>
      <c r="C63" s="1" t="s">
        <v>10</v>
      </c>
      <c r="D63" s="4">
        <v>40</v>
      </c>
      <c r="E63" s="4">
        <v>897</v>
      </c>
      <c r="F63" s="4">
        <v>-5.0743425579999997</v>
      </c>
      <c r="G63" s="2" t="s">
        <v>52</v>
      </c>
      <c r="H63" s="5">
        <v>944.95</v>
      </c>
      <c r="I63" s="1" t="s">
        <v>8</v>
      </c>
      <c r="J63" s="2"/>
      <c r="N63" t="str">
        <f t="shared" si="0"/>
        <v>Unique</v>
      </c>
    </row>
    <row r="64" spans="1:14" customFormat="1" ht="27.6" customHeight="1" thickBot="1" x14ac:dyDescent="0.35">
      <c r="A64" s="7" t="s">
        <v>62</v>
      </c>
      <c r="B64" s="1" t="s">
        <v>16</v>
      </c>
      <c r="C64" s="1" t="s">
        <v>10</v>
      </c>
      <c r="D64" s="4">
        <v>11</v>
      </c>
      <c r="E64" s="4">
        <v>882</v>
      </c>
      <c r="F64" s="4">
        <v>-5.0592034449999996</v>
      </c>
      <c r="G64" s="2" t="s">
        <v>61</v>
      </c>
      <c r="H64" s="5">
        <v>929</v>
      </c>
      <c r="I64" s="1" t="s">
        <v>8</v>
      </c>
      <c r="J64" s="2"/>
      <c r="N64" t="str">
        <f t="shared" si="0"/>
        <v>Unique</v>
      </c>
    </row>
    <row r="65" spans="1:14" customFormat="1" ht="27.6" customHeight="1" thickBot="1" x14ac:dyDescent="0.35">
      <c r="A65" s="3">
        <v>46252.635416666664</v>
      </c>
      <c r="B65" s="1" t="s">
        <v>80</v>
      </c>
      <c r="C65" s="1" t="s">
        <v>10</v>
      </c>
      <c r="D65" s="4">
        <v>10</v>
      </c>
      <c r="E65" s="4">
        <v>1410</v>
      </c>
      <c r="F65" s="4">
        <v>-5.0568985250000003</v>
      </c>
      <c r="G65" s="2" t="s">
        <v>81</v>
      </c>
      <c r="H65" s="5">
        <v>1485.1</v>
      </c>
      <c r="I65" s="1" t="s">
        <v>8</v>
      </c>
      <c r="J65" s="2"/>
      <c r="N65" t="str">
        <f t="shared" si="0"/>
        <v>Unique</v>
      </c>
    </row>
    <row r="66" spans="1:14" customFormat="1" ht="27.6" customHeight="1" thickBot="1" x14ac:dyDescent="0.35">
      <c r="A66" s="7" t="s">
        <v>62</v>
      </c>
      <c r="B66" s="1" t="s">
        <v>23</v>
      </c>
      <c r="C66" s="1" t="s">
        <v>10</v>
      </c>
      <c r="D66" s="4">
        <v>50</v>
      </c>
      <c r="E66" s="4">
        <v>196</v>
      </c>
      <c r="F66" s="4">
        <v>-4.9005337210000004</v>
      </c>
      <c r="G66" s="2" t="s">
        <v>70</v>
      </c>
      <c r="H66" s="5">
        <v>206.1</v>
      </c>
      <c r="I66" s="1" t="s">
        <v>8</v>
      </c>
      <c r="J66" s="2"/>
      <c r="N66" t="str">
        <f t="shared" ref="N66:N129" si="1">IF(COUNTIFS( $B$2:$B$952, B66, $C$2:$C$952, C66, $D$2:$D$952, D66, $E$2:$E$952, E66) &gt; 1, "Duplicate", "Unique")</f>
        <v>Unique</v>
      </c>
    </row>
    <row r="67" spans="1:14" customFormat="1" ht="40.799999999999997" customHeight="1" thickBot="1" x14ac:dyDescent="0.35">
      <c r="A67" s="7" t="s">
        <v>62</v>
      </c>
      <c r="B67" s="1" t="s">
        <v>19</v>
      </c>
      <c r="C67" s="1" t="s">
        <v>10</v>
      </c>
      <c r="D67" s="4">
        <v>50</v>
      </c>
      <c r="E67" s="4">
        <v>206</v>
      </c>
      <c r="F67" s="4">
        <v>-4.8762467679999997</v>
      </c>
      <c r="G67" s="2" t="s">
        <v>40</v>
      </c>
      <c r="H67" s="5">
        <v>216.56</v>
      </c>
      <c r="I67" s="1" t="s">
        <v>8</v>
      </c>
      <c r="J67" s="2"/>
      <c r="N67" t="str">
        <f t="shared" si="1"/>
        <v>Unique</v>
      </c>
    </row>
    <row r="68" spans="1:14" customFormat="1" ht="27.6" customHeight="1" thickBot="1" x14ac:dyDescent="0.35">
      <c r="A68" s="7" t="s">
        <v>62</v>
      </c>
      <c r="B68" s="1" t="s">
        <v>14</v>
      </c>
      <c r="C68" s="1" t="s">
        <v>10</v>
      </c>
      <c r="D68" s="4">
        <v>100</v>
      </c>
      <c r="E68" s="4">
        <v>322</v>
      </c>
      <c r="F68" s="4">
        <v>-4.8603929680000002</v>
      </c>
      <c r="G68" s="2" t="s">
        <v>45</v>
      </c>
      <c r="H68" s="5">
        <v>338.45</v>
      </c>
      <c r="I68" s="1" t="s">
        <v>8</v>
      </c>
      <c r="J68" s="2"/>
      <c r="N68" t="str">
        <f t="shared" si="1"/>
        <v>Unique</v>
      </c>
    </row>
    <row r="69" spans="1:14" customFormat="1" ht="27.6" customHeight="1" thickBot="1" x14ac:dyDescent="0.35">
      <c r="A69" s="7" t="s">
        <v>62</v>
      </c>
      <c r="B69" s="1" t="s">
        <v>15</v>
      </c>
      <c r="C69" s="1" t="s">
        <v>10</v>
      </c>
      <c r="D69" s="4">
        <v>5</v>
      </c>
      <c r="E69" s="4">
        <v>2510</v>
      </c>
      <c r="F69" s="4">
        <v>-4.8160788779999999</v>
      </c>
      <c r="G69" s="2" t="s">
        <v>72</v>
      </c>
      <c r="H69" s="5">
        <v>2637</v>
      </c>
      <c r="I69" s="1" t="s">
        <v>8</v>
      </c>
      <c r="J69" s="2"/>
      <c r="N69" t="str">
        <f t="shared" si="1"/>
        <v>Unique</v>
      </c>
    </row>
    <row r="70" spans="1:14" customFormat="1" ht="27.6" customHeight="1" thickBot="1" x14ac:dyDescent="0.35">
      <c r="A70" s="3">
        <v>46252.6875</v>
      </c>
      <c r="B70" s="1" t="s">
        <v>18</v>
      </c>
      <c r="C70" s="1" t="s">
        <v>10</v>
      </c>
      <c r="D70" s="4">
        <v>2</v>
      </c>
      <c r="E70" s="4">
        <v>1840</v>
      </c>
      <c r="F70" s="4">
        <v>-4.7273856990000001</v>
      </c>
      <c r="G70" s="2" t="s">
        <v>102</v>
      </c>
      <c r="H70" s="5">
        <v>1931.3</v>
      </c>
      <c r="I70" s="1" t="s">
        <v>8</v>
      </c>
      <c r="J70" s="2"/>
      <c r="N70" t="str">
        <f t="shared" si="1"/>
        <v>Unique</v>
      </c>
    </row>
    <row r="71" spans="1:14" customFormat="1" ht="15" customHeight="1" thickBot="1" x14ac:dyDescent="0.35">
      <c r="A71" s="7" t="s">
        <v>62</v>
      </c>
      <c r="B71" s="1" t="s">
        <v>9</v>
      </c>
      <c r="C71" s="1" t="s">
        <v>10</v>
      </c>
      <c r="D71" s="4">
        <v>20</v>
      </c>
      <c r="E71" s="4">
        <v>281</v>
      </c>
      <c r="F71" s="4">
        <v>-4.6164290560000003</v>
      </c>
      <c r="G71" s="2" t="s">
        <v>95</v>
      </c>
      <c r="H71" s="5">
        <v>294.60000000000002</v>
      </c>
      <c r="I71" s="1" t="s">
        <v>8</v>
      </c>
      <c r="J71" s="2"/>
      <c r="N71" t="str">
        <f t="shared" si="1"/>
        <v>Unique</v>
      </c>
    </row>
    <row r="72" spans="1:14" customFormat="1" ht="27.6" customHeight="1" thickBot="1" x14ac:dyDescent="0.35">
      <c r="A72" s="3">
        <v>46253.375497685185</v>
      </c>
      <c r="B72" s="1" t="s">
        <v>36</v>
      </c>
      <c r="C72" s="1" t="s">
        <v>10</v>
      </c>
      <c r="D72" s="4">
        <v>5</v>
      </c>
      <c r="E72" s="4">
        <v>1162</v>
      </c>
      <c r="F72" s="4">
        <v>-4.5193097780000002</v>
      </c>
      <c r="G72" s="2" t="s">
        <v>65</v>
      </c>
      <c r="H72" s="5">
        <v>1217</v>
      </c>
      <c r="I72" s="1" t="s">
        <v>8</v>
      </c>
      <c r="J72" s="2"/>
      <c r="K72" t="s">
        <v>156</v>
      </c>
      <c r="N72" t="str">
        <f t="shared" si="1"/>
        <v>Unique</v>
      </c>
    </row>
    <row r="73" spans="1:14" customFormat="1" ht="27.6" customHeight="1" thickBot="1" x14ac:dyDescent="0.35">
      <c r="A73" s="7" t="s">
        <v>62</v>
      </c>
      <c r="B73" s="1" t="s">
        <v>49</v>
      </c>
      <c r="C73" s="1" t="s">
        <v>10</v>
      </c>
      <c r="D73" s="4">
        <v>2</v>
      </c>
      <c r="E73" s="4">
        <v>3856</v>
      </c>
      <c r="F73" s="4">
        <v>-4.452759125</v>
      </c>
      <c r="G73" s="2" t="s">
        <v>50</v>
      </c>
      <c r="H73" s="5">
        <v>4035.7</v>
      </c>
      <c r="I73" s="1" t="s">
        <v>8</v>
      </c>
      <c r="J73" s="2"/>
      <c r="N73" t="str">
        <f t="shared" si="1"/>
        <v>Unique</v>
      </c>
    </row>
    <row r="74" spans="1:14" customFormat="1" ht="15" customHeight="1" thickBot="1" x14ac:dyDescent="0.35">
      <c r="A74" s="3">
        <v>46252.635416666664</v>
      </c>
      <c r="B74" s="1" t="s">
        <v>68</v>
      </c>
      <c r="C74" s="1" t="s">
        <v>10</v>
      </c>
      <c r="D74" s="4">
        <v>100</v>
      </c>
      <c r="E74" s="4">
        <v>390</v>
      </c>
      <c r="F74" s="4">
        <v>-4.4468945240000002</v>
      </c>
      <c r="G74" s="2" t="s">
        <v>69</v>
      </c>
      <c r="H74" s="5">
        <v>408.15</v>
      </c>
      <c r="I74" s="1" t="s">
        <v>8</v>
      </c>
      <c r="J74" s="2"/>
      <c r="N74" t="str">
        <f t="shared" si="1"/>
        <v>Unique</v>
      </c>
    </row>
    <row r="75" spans="1:14" customFormat="1" ht="27.6" customHeight="1" thickBot="1" x14ac:dyDescent="0.35">
      <c r="A75" s="3">
        <v>46252.635416666664</v>
      </c>
      <c r="B75" s="1" t="s">
        <v>80</v>
      </c>
      <c r="C75" s="1" t="s">
        <v>10</v>
      </c>
      <c r="D75" s="4">
        <v>10</v>
      </c>
      <c r="E75" s="4">
        <v>1420</v>
      </c>
      <c r="F75" s="4">
        <v>-4.3835431959999998</v>
      </c>
      <c r="G75" s="2" t="s">
        <v>81</v>
      </c>
      <c r="H75" s="5">
        <v>1485.1</v>
      </c>
      <c r="I75" s="1" t="s">
        <v>8</v>
      </c>
      <c r="J75" s="2"/>
      <c r="N75" t="str">
        <f t="shared" si="1"/>
        <v>Unique</v>
      </c>
    </row>
    <row r="76" spans="1:14" customFormat="1" ht="27.6" customHeight="1" thickBot="1" x14ac:dyDescent="0.35">
      <c r="A76" s="7" t="s">
        <v>62</v>
      </c>
      <c r="B76" s="1" t="s">
        <v>31</v>
      </c>
      <c r="C76" s="1" t="s">
        <v>10</v>
      </c>
      <c r="D76" s="4">
        <v>5</v>
      </c>
      <c r="E76" s="4">
        <v>604</v>
      </c>
      <c r="F76" s="4">
        <v>-4.3319870119999999</v>
      </c>
      <c r="G76" s="2" t="s">
        <v>94</v>
      </c>
      <c r="H76" s="5">
        <v>631.35</v>
      </c>
      <c r="I76" s="1" t="s">
        <v>8</v>
      </c>
      <c r="J76" s="2" t="s">
        <v>41</v>
      </c>
      <c r="N76" t="str">
        <f t="shared" si="1"/>
        <v>Unique</v>
      </c>
    </row>
    <row r="77" spans="1:14" customFormat="1" ht="27.6" customHeight="1" thickBot="1" x14ac:dyDescent="0.35">
      <c r="A77" s="3">
        <v>46252.6875</v>
      </c>
      <c r="B77" s="1" t="s">
        <v>11</v>
      </c>
      <c r="C77" s="1" t="s">
        <v>10</v>
      </c>
      <c r="D77" s="4">
        <v>60</v>
      </c>
      <c r="E77" s="4">
        <v>271</v>
      </c>
      <c r="F77" s="4">
        <v>-4.3079096049999999</v>
      </c>
      <c r="G77" s="2" t="s">
        <v>99</v>
      </c>
      <c r="H77" s="5">
        <v>283.2</v>
      </c>
      <c r="I77" s="1" t="s">
        <v>8</v>
      </c>
      <c r="J77" s="2"/>
      <c r="N77" t="str">
        <f t="shared" si="1"/>
        <v>Unique</v>
      </c>
    </row>
    <row r="78" spans="1:14" customFormat="1" ht="15" customHeight="1" thickBot="1" x14ac:dyDescent="0.35">
      <c r="A78" s="3">
        <v>46252.645833333336</v>
      </c>
      <c r="B78" s="1" t="s">
        <v>74</v>
      </c>
      <c r="C78" s="1" t="s">
        <v>10</v>
      </c>
      <c r="D78" s="4">
        <v>2</v>
      </c>
      <c r="E78" s="4">
        <v>3210</v>
      </c>
      <c r="F78" s="4">
        <v>-4.0932178070000003</v>
      </c>
      <c r="G78" s="2" t="s">
        <v>75</v>
      </c>
      <c r="H78" s="5">
        <v>3347</v>
      </c>
      <c r="I78" s="1" t="s">
        <v>8</v>
      </c>
      <c r="J78" s="6" t="s">
        <v>55</v>
      </c>
      <c r="N78" t="str">
        <f t="shared" si="1"/>
        <v>Unique</v>
      </c>
    </row>
    <row r="79" spans="1:14" customFormat="1" ht="15" customHeight="1" thickBot="1" x14ac:dyDescent="0.35">
      <c r="A79" s="7" t="s">
        <v>62</v>
      </c>
      <c r="B79" s="1" t="s">
        <v>51</v>
      </c>
      <c r="C79" s="1" t="s">
        <v>10</v>
      </c>
      <c r="D79" s="4">
        <v>10</v>
      </c>
      <c r="E79" s="4">
        <v>907</v>
      </c>
      <c r="F79" s="4">
        <v>-4.0160855069999997</v>
      </c>
      <c r="G79" s="2" t="s">
        <v>52</v>
      </c>
      <c r="H79" s="5">
        <v>944.95</v>
      </c>
      <c r="I79" s="1" t="s">
        <v>8</v>
      </c>
      <c r="J79" s="2"/>
      <c r="N79" t="str">
        <f t="shared" si="1"/>
        <v>Unique</v>
      </c>
    </row>
    <row r="80" spans="1:14" customFormat="1" ht="40.799999999999997" customHeight="1" thickBot="1" x14ac:dyDescent="0.35">
      <c r="A80" s="7" t="s">
        <v>62</v>
      </c>
      <c r="B80" s="1" t="s">
        <v>63</v>
      </c>
      <c r="C80" s="1" t="s">
        <v>10</v>
      </c>
      <c r="D80" s="4">
        <v>15</v>
      </c>
      <c r="E80" s="4">
        <v>1005</v>
      </c>
      <c r="F80" s="4">
        <v>-3.809341501</v>
      </c>
      <c r="G80" s="2" t="s">
        <v>64</v>
      </c>
      <c r="H80" s="5">
        <v>1044.8</v>
      </c>
      <c r="I80" s="1" t="s">
        <v>8</v>
      </c>
      <c r="J80" s="2"/>
      <c r="N80" t="str">
        <f t="shared" si="1"/>
        <v>Unique</v>
      </c>
    </row>
    <row r="81" spans="1:14" customFormat="1" ht="27.6" customHeight="1" thickBot="1" x14ac:dyDescent="0.35">
      <c r="A81" s="7" t="s">
        <v>62</v>
      </c>
      <c r="B81" s="1" t="s">
        <v>34</v>
      </c>
      <c r="C81" s="1" t="s">
        <v>10</v>
      </c>
      <c r="D81" s="4">
        <v>1</v>
      </c>
      <c r="E81" s="4">
        <v>19052</v>
      </c>
      <c r="F81" s="4">
        <v>-3.7777777779999999</v>
      </c>
      <c r="G81" s="2" t="s">
        <v>71</v>
      </c>
      <c r="H81" s="5">
        <v>19800</v>
      </c>
      <c r="I81" s="1" t="s">
        <v>8</v>
      </c>
      <c r="J81" s="2"/>
      <c r="N81" t="str">
        <f t="shared" si="1"/>
        <v>Unique</v>
      </c>
    </row>
    <row r="82" spans="1:14" customFormat="1" ht="27.6" customHeight="1" thickBot="1" x14ac:dyDescent="0.35">
      <c r="A82" s="3">
        <v>46252.6875</v>
      </c>
      <c r="B82" s="1" t="s">
        <v>13</v>
      </c>
      <c r="C82" s="1" t="s">
        <v>10</v>
      </c>
      <c r="D82" s="4">
        <v>5</v>
      </c>
      <c r="E82" s="4">
        <v>1814</v>
      </c>
      <c r="F82" s="4">
        <v>-3.7665782490000002</v>
      </c>
      <c r="G82" s="2" t="s">
        <v>91</v>
      </c>
      <c r="H82" s="5">
        <v>1885</v>
      </c>
      <c r="I82" s="1" t="s">
        <v>8</v>
      </c>
      <c r="J82" s="2"/>
      <c r="N82" t="str">
        <f t="shared" si="1"/>
        <v>Unique</v>
      </c>
    </row>
    <row r="83" spans="1:14" customFormat="1" ht="27.6" customHeight="1" thickBot="1" x14ac:dyDescent="0.35">
      <c r="A83" s="7" t="s">
        <v>62</v>
      </c>
      <c r="B83" s="1" t="s">
        <v>78</v>
      </c>
      <c r="C83" s="1" t="s">
        <v>10</v>
      </c>
      <c r="D83" s="4">
        <v>69</v>
      </c>
      <c r="E83" s="4">
        <v>1277</v>
      </c>
      <c r="F83" s="4">
        <v>-3.7316245760000002</v>
      </c>
      <c r="G83" s="2" t="s">
        <v>79</v>
      </c>
      <c r="H83" s="5">
        <v>1326.5</v>
      </c>
      <c r="I83" s="1" t="s">
        <v>8</v>
      </c>
      <c r="J83" s="2"/>
      <c r="N83" t="str">
        <f t="shared" si="1"/>
        <v>Unique</v>
      </c>
    </row>
    <row r="84" spans="1:14" customFormat="1" ht="27.6" customHeight="1" thickBot="1" x14ac:dyDescent="0.35">
      <c r="A84" s="7" t="s">
        <v>62</v>
      </c>
      <c r="B84" s="1" t="s">
        <v>15</v>
      </c>
      <c r="C84" s="1" t="s">
        <v>10</v>
      </c>
      <c r="D84" s="4">
        <v>5</v>
      </c>
      <c r="E84" s="4">
        <v>2540</v>
      </c>
      <c r="F84" s="4">
        <v>-3.6784224499999998</v>
      </c>
      <c r="G84" s="2" t="s">
        <v>72</v>
      </c>
      <c r="H84" s="5">
        <v>2637</v>
      </c>
      <c r="I84" s="1" t="s">
        <v>8</v>
      </c>
      <c r="J84" s="2"/>
      <c r="N84" t="str">
        <f t="shared" si="1"/>
        <v>Unique</v>
      </c>
    </row>
    <row r="85" spans="1:14" customFormat="1" ht="27.6" customHeight="1" thickBot="1" x14ac:dyDescent="0.35">
      <c r="A85" s="7" t="s">
        <v>62</v>
      </c>
      <c r="B85" s="1" t="s">
        <v>49</v>
      </c>
      <c r="C85" s="1" t="s">
        <v>10</v>
      </c>
      <c r="D85" s="4">
        <v>5</v>
      </c>
      <c r="E85" s="4">
        <v>3888</v>
      </c>
      <c r="F85" s="4">
        <v>-3.659835964</v>
      </c>
      <c r="G85" s="2" t="s">
        <v>50</v>
      </c>
      <c r="H85" s="5">
        <v>4035.7</v>
      </c>
      <c r="I85" s="1" t="s">
        <v>8</v>
      </c>
      <c r="J85" s="2"/>
      <c r="N85" t="str">
        <f t="shared" si="1"/>
        <v>Unique</v>
      </c>
    </row>
    <row r="86" spans="1:14" customFormat="1" ht="15" customHeight="1" thickBot="1" x14ac:dyDescent="0.35">
      <c r="A86" s="3">
        <v>46252.635416666664</v>
      </c>
      <c r="B86" s="1" t="s">
        <v>87</v>
      </c>
      <c r="C86" s="1" t="s">
        <v>10</v>
      </c>
      <c r="D86" s="4">
        <v>10</v>
      </c>
      <c r="E86" s="4">
        <v>1303</v>
      </c>
      <c r="F86" s="4">
        <v>-3.417092877</v>
      </c>
      <c r="G86" s="2" t="s">
        <v>88</v>
      </c>
      <c r="H86" s="5">
        <v>1349.1</v>
      </c>
      <c r="I86" s="1" t="s">
        <v>8</v>
      </c>
      <c r="J86" s="2"/>
      <c r="N86" t="str">
        <f t="shared" si="1"/>
        <v>Unique</v>
      </c>
    </row>
    <row r="87" spans="1:14" customFormat="1" ht="40.799999999999997" customHeight="1" thickBot="1" x14ac:dyDescent="0.35">
      <c r="A87" s="3">
        <v>46252.635416666664</v>
      </c>
      <c r="B87" s="1" t="s">
        <v>82</v>
      </c>
      <c r="C87" s="1" t="s">
        <v>10</v>
      </c>
      <c r="D87" s="4">
        <v>2</v>
      </c>
      <c r="E87" s="4">
        <v>4206</v>
      </c>
      <c r="F87" s="4">
        <v>-3.4013917920000001</v>
      </c>
      <c r="G87" s="2" t="s">
        <v>83</v>
      </c>
      <c r="H87" s="5">
        <v>4354.1000000000004</v>
      </c>
      <c r="I87" s="1" t="s">
        <v>8</v>
      </c>
      <c r="J87" s="1" t="s">
        <v>55</v>
      </c>
      <c r="N87" t="str">
        <f t="shared" si="1"/>
        <v>Unique</v>
      </c>
    </row>
    <row r="88" spans="1:14" customFormat="1" ht="15" customHeight="1" thickBot="1" x14ac:dyDescent="0.35">
      <c r="A88" s="7" t="s">
        <v>62</v>
      </c>
      <c r="B88" s="1" t="s">
        <v>14</v>
      </c>
      <c r="C88" s="1" t="s">
        <v>10</v>
      </c>
      <c r="D88" s="4">
        <v>100</v>
      </c>
      <c r="E88" s="4">
        <v>327</v>
      </c>
      <c r="F88" s="4">
        <v>-3.3830698770000001</v>
      </c>
      <c r="G88" s="2" t="s">
        <v>45</v>
      </c>
      <c r="H88" s="5">
        <v>338.45</v>
      </c>
      <c r="I88" s="1" t="s">
        <v>8</v>
      </c>
      <c r="J88" s="2"/>
      <c r="N88" t="str">
        <f t="shared" si="1"/>
        <v>Unique</v>
      </c>
    </row>
    <row r="89" spans="1:14" customFormat="1" ht="27.6" customHeight="1" thickBot="1" x14ac:dyDescent="0.35">
      <c r="A89" s="3">
        <v>46252.6875</v>
      </c>
      <c r="B89" s="1" t="s">
        <v>15</v>
      </c>
      <c r="C89" s="1" t="s">
        <v>10</v>
      </c>
      <c r="D89" s="4">
        <v>10</v>
      </c>
      <c r="E89" s="4">
        <v>2553</v>
      </c>
      <c r="F89" s="4">
        <v>-3.1854379979999998</v>
      </c>
      <c r="G89" s="2" t="s">
        <v>72</v>
      </c>
      <c r="H89" s="5">
        <v>2637</v>
      </c>
      <c r="I89" s="1" t="s">
        <v>8</v>
      </c>
      <c r="J89" s="2"/>
      <c r="N89" t="str">
        <f t="shared" si="1"/>
        <v>Unique</v>
      </c>
    </row>
    <row r="90" spans="1:14" customFormat="1" ht="27.6" customHeight="1" thickBot="1" x14ac:dyDescent="0.35">
      <c r="A90" s="3">
        <v>46252.645833333336</v>
      </c>
      <c r="B90" s="1" t="s">
        <v>53</v>
      </c>
      <c r="C90" s="1" t="s">
        <v>10</v>
      </c>
      <c r="D90" s="4">
        <v>2</v>
      </c>
      <c r="E90" s="4">
        <v>2460</v>
      </c>
      <c r="F90" s="4">
        <v>-3.1686675850000001</v>
      </c>
      <c r="G90" s="2" t="s">
        <v>54</v>
      </c>
      <c r="H90" s="5">
        <v>2540.5</v>
      </c>
      <c r="I90" s="1" t="s">
        <v>8</v>
      </c>
      <c r="J90" s="11" t="s">
        <v>41</v>
      </c>
      <c r="N90" t="str">
        <f t="shared" si="1"/>
        <v>Unique</v>
      </c>
    </row>
    <row r="91" spans="1:14" customFormat="1" ht="27.6" customHeight="1" thickBot="1" x14ac:dyDescent="0.35">
      <c r="A91" s="7" t="s">
        <v>62</v>
      </c>
      <c r="B91" s="1" t="s">
        <v>66</v>
      </c>
      <c r="C91" s="1" t="s">
        <v>10</v>
      </c>
      <c r="D91" s="4">
        <v>10</v>
      </c>
      <c r="E91" s="4">
        <v>1166</v>
      </c>
      <c r="F91" s="4">
        <v>-3.1561461789999998</v>
      </c>
      <c r="G91" s="2" t="s">
        <v>67</v>
      </c>
      <c r="H91" s="5">
        <v>1204</v>
      </c>
      <c r="I91" s="1" t="s">
        <v>8</v>
      </c>
      <c r="J91" s="2"/>
      <c r="N91" t="str">
        <f t="shared" si="1"/>
        <v>Unique</v>
      </c>
    </row>
    <row r="92" spans="1:14" customFormat="1" ht="27.6" customHeight="1" thickBot="1" x14ac:dyDescent="0.35">
      <c r="A92" s="3">
        <v>46252.6875</v>
      </c>
      <c r="B92" s="1" t="s">
        <v>20</v>
      </c>
      <c r="C92" s="1" t="s">
        <v>10</v>
      </c>
      <c r="D92" s="4">
        <v>50</v>
      </c>
      <c r="E92" s="4">
        <v>122</v>
      </c>
      <c r="F92" s="4">
        <v>-3.0823006039999998</v>
      </c>
      <c r="G92" s="2" t="s">
        <v>86</v>
      </c>
      <c r="H92" s="5">
        <v>125.88</v>
      </c>
      <c r="I92" s="1" t="s">
        <v>8</v>
      </c>
      <c r="J92" s="1" t="s">
        <v>41</v>
      </c>
      <c r="N92" t="str">
        <f t="shared" si="1"/>
        <v>Unique</v>
      </c>
    </row>
    <row r="93" spans="1:14" customFormat="1" ht="27.6" customHeight="1" thickBot="1" x14ac:dyDescent="0.35">
      <c r="A93" s="3">
        <v>46252.635416666664</v>
      </c>
      <c r="B93" s="1" t="s">
        <v>80</v>
      </c>
      <c r="C93" s="1" t="s">
        <v>10</v>
      </c>
      <c r="D93" s="4">
        <v>10</v>
      </c>
      <c r="E93" s="4">
        <v>1440</v>
      </c>
      <c r="F93" s="4">
        <v>-3.036832537</v>
      </c>
      <c r="G93" s="2" t="s">
        <v>81</v>
      </c>
      <c r="H93" s="5">
        <v>1485.1</v>
      </c>
      <c r="I93" s="1" t="s">
        <v>8</v>
      </c>
      <c r="J93" s="2"/>
      <c r="N93" t="str">
        <f t="shared" si="1"/>
        <v>Unique</v>
      </c>
    </row>
    <row r="94" spans="1:14" customFormat="1" ht="15" customHeight="1" thickBot="1" x14ac:dyDescent="0.35">
      <c r="A94" s="3">
        <v>46252.688194444447</v>
      </c>
      <c r="B94" s="1" t="s">
        <v>21</v>
      </c>
      <c r="C94" s="1" t="s">
        <v>10</v>
      </c>
      <c r="D94" s="4">
        <v>5</v>
      </c>
      <c r="E94" s="4">
        <v>640</v>
      </c>
      <c r="F94" s="4">
        <v>-3.0303030299999998</v>
      </c>
      <c r="G94" s="2" t="s">
        <v>76</v>
      </c>
      <c r="H94" s="5">
        <v>660</v>
      </c>
      <c r="I94" s="1" t="s">
        <v>8</v>
      </c>
      <c r="J94" s="2"/>
      <c r="N94" t="str">
        <f t="shared" si="1"/>
        <v>Unique</v>
      </c>
    </row>
    <row r="95" spans="1:14" customFormat="1" ht="27.6" customHeight="1" thickBot="1" x14ac:dyDescent="0.35">
      <c r="A95" s="7" t="s">
        <v>62</v>
      </c>
      <c r="B95" s="1" t="s">
        <v>32</v>
      </c>
      <c r="C95" s="1" t="s">
        <v>10</v>
      </c>
      <c r="D95" s="4">
        <v>25</v>
      </c>
      <c r="E95" s="4">
        <v>836</v>
      </c>
      <c r="F95" s="4">
        <v>-2.9599535690000001</v>
      </c>
      <c r="G95" s="2" t="s">
        <v>85</v>
      </c>
      <c r="H95" s="5">
        <v>861.5</v>
      </c>
      <c r="I95" s="1" t="s">
        <v>8</v>
      </c>
      <c r="J95" s="2"/>
      <c r="N95" t="str">
        <f t="shared" si="1"/>
        <v>Unique</v>
      </c>
    </row>
    <row r="96" spans="1:14" customFormat="1" ht="27.6" customHeight="1" thickBot="1" x14ac:dyDescent="0.35">
      <c r="A96" s="3">
        <v>46252.635416666664</v>
      </c>
      <c r="B96" s="1" t="s">
        <v>51</v>
      </c>
      <c r="C96" s="1" t="s">
        <v>10</v>
      </c>
      <c r="D96" s="4">
        <v>20</v>
      </c>
      <c r="E96" s="4">
        <v>917</v>
      </c>
      <c r="F96" s="4">
        <v>-2.9578284570000002</v>
      </c>
      <c r="G96" s="2" t="s">
        <v>52</v>
      </c>
      <c r="H96" s="5">
        <v>944.95</v>
      </c>
      <c r="I96" s="1" t="s">
        <v>8</v>
      </c>
      <c r="J96" s="1" t="s">
        <v>117</v>
      </c>
      <c r="N96" t="str">
        <f t="shared" si="1"/>
        <v>Unique</v>
      </c>
    </row>
    <row r="97" spans="1:14" customFormat="1" ht="27.6" customHeight="1" thickBot="1" x14ac:dyDescent="0.35">
      <c r="A97" s="3">
        <v>46253.417268518519</v>
      </c>
      <c r="B97" s="1" t="s">
        <v>29</v>
      </c>
      <c r="C97" s="1" t="s">
        <v>10</v>
      </c>
      <c r="D97" s="4">
        <v>5</v>
      </c>
      <c r="E97" s="4">
        <v>3706</v>
      </c>
      <c r="F97" s="4">
        <v>-2.908042966</v>
      </c>
      <c r="G97" s="2" t="s">
        <v>137</v>
      </c>
      <c r="H97" s="5">
        <v>3817</v>
      </c>
      <c r="I97" s="1" t="s">
        <v>8</v>
      </c>
      <c r="J97" s="2"/>
      <c r="K97" t="s">
        <v>146</v>
      </c>
      <c r="N97" t="str">
        <f t="shared" si="1"/>
        <v>Unique</v>
      </c>
    </row>
    <row r="98" spans="1:14" customFormat="1" ht="27.6" customHeight="1" thickBot="1" x14ac:dyDescent="0.35">
      <c r="A98" s="7" t="s">
        <v>62</v>
      </c>
      <c r="B98" s="1" t="s">
        <v>43</v>
      </c>
      <c r="C98" s="1" t="s">
        <v>10</v>
      </c>
      <c r="D98" s="4">
        <v>5</v>
      </c>
      <c r="E98" s="4">
        <v>702</v>
      </c>
      <c r="F98" s="4">
        <v>-2.904564315</v>
      </c>
      <c r="G98" s="2" t="s">
        <v>44</v>
      </c>
      <c r="H98" s="5">
        <v>723</v>
      </c>
      <c r="I98" s="1" t="s">
        <v>8</v>
      </c>
      <c r="J98" s="1" t="s">
        <v>55</v>
      </c>
      <c r="N98" t="str">
        <f t="shared" si="1"/>
        <v>Unique</v>
      </c>
    </row>
    <row r="99" spans="1:14" customFormat="1" ht="15" customHeight="1" thickBot="1" x14ac:dyDescent="0.35">
      <c r="A99" s="7" t="s">
        <v>62</v>
      </c>
      <c r="B99" s="1" t="s">
        <v>32</v>
      </c>
      <c r="C99" s="1" t="s">
        <v>10</v>
      </c>
      <c r="D99" s="4">
        <v>5</v>
      </c>
      <c r="E99" s="4">
        <v>838</v>
      </c>
      <c r="F99" s="4">
        <v>-2.7278003480000002</v>
      </c>
      <c r="G99" s="2" t="s">
        <v>85</v>
      </c>
      <c r="H99" s="5">
        <v>861.5</v>
      </c>
      <c r="I99" s="1" t="s">
        <v>8</v>
      </c>
      <c r="J99" s="2"/>
      <c r="N99" t="str">
        <f t="shared" si="1"/>
        <v>Unique</v>
      </c>
    </row>
    <row r="100" spans="1:14" customFormat="1" ht="27.6" customHeight="1" thickBot="1" x14ac:dyDescent="0.35">
      <c r="A100" s="3">
        <v>46252.635416666664</v>
      </c>
      <c r="B100" s="1" t="s">
        <v>92</v>
      </c>
      <c r="C100" s="1" t="s">
        <v>10</v>
      </c>
      <c r="D100" s="4">
        <v>2</v>
      </c>
      <c r="E100" s="4">
        <v>2892</v>
      </c>
      <c r="F100" s="4">
        <v>-2.724520686</v>
      </c>
      <c r="G100" s="2" t="s">
        <v>93</v>
      </c>
      <c r="H100" s="5">
        <v>2973</v>
      </c>
      <c r="I100" s="1" t="s">
        <v>8</v>
      </c>
      <c r="J100" s="2"/>
      <c r="N100" t="str">
        <f t="shared" si="1"/>
        <v>Unique</v>
      </c>
    </row>
    <row r="101" spans="1:14" customFormat="1" ht="15" customHeight="1" thickBot="1" x14ac:dyDescent="0.35">
      <c r="A101" s="7" t="s">
        <v>62</v>
      </c>
      <c r="B101" s="1" t="s">
        <v>23</v>
      </c>
      <c r="C101" s="1" t="s">
        <v>10</v>
      </c>
      <c r="D101" s="4">
        <v>50</v>
      </c>
      <c r="E101" s="4">
        <v>201</v>
      </c>
      <c r="F101" s="4">
        <v>-2.474526929</v>
      </c>
      <c r="G101" s="2" t="s">
        <v>70</v>
      </c>
      <c r="H101" s="5">
        <v>206.1</v>
      </c>
      <c r="I101" s="1" t="s">
        <v>8</v>
      </c>
      <c r="J101" s="1" t="s">
        <v>41</v>
      </c>
      <c r="N101" t="str">
        <f t="shared" si="1"/>
        <v>Unique</v>
      </c>
    </row>
    <row r="102" spans="1:14" customFormat="1" ht="27.6" customHeight="1" thickBot="1" x14ac:dyDescent="0.35">
      <c r="A102" s="7" t="s">
        <v>62</v>
      </c>
      <c r="B102" s="1" t="s">
        <v>49</v>
      </c>
      <c r="C102" s="1" t="s">
        <v>10</v>
      </c>
      <c r="D102" s="4">
        <v>5</v>
      </c>
      <c r="E102" s="4">
        <v>3938</v>
      </c>
      <c r="F102" s="4">
        <v>-2.4208935249999999</v>
      </c>
      <c r="G102" s="2" t="s">
        <v>50</v>
      </c>
      <c r="H102" s="5">
        <v>4035.7</v>
      </c>
      <c r="I102" s="1" t="s">
        <v>8</v>
      </c>
      <c r="J102" s="2"/>
      <c r="N102" t="str">
        <f t="shared" si="1"/>
        <v>Unique</v>
      </c>
    </row>
    <row r="103" spans="1:14" customFormat="1" ht="27.6" customHeight="1" thickBot="1" x14ac:dyDescent="0.35">
      <c r="A103" s="4" t="s">
        <v>159</v>
      </c>
      <c r="B103" s="1" t="s">
        <v>6</v>
      </c>
      <c r="C103" s="1" t="s">
        <v>10</v>
      </c>
      <c r="D103" s="4">
        <v>20</v>
      </c>
      <c r="E103" s="4">
        <v>276</v>
      </c>
      <c r="F103" s="4">
        <v>-2.300884956</v>
      </c>
      <c r="G103" s="2" t="s">
        <v>130</v>
      </c>
      <c r="H103" s="5">
        <v>282.5</v>
      </c>
      <c r="I103" s="1" t="s">
        <v>8</v>
      </c>
      <c r="J103" s="1" t="s">
        <v>117</v>
      </c>
      <c r="K103" t="s">
        <v>158</v>
      </c>
      <c r="N103" t="str">
        <f t="shared" si="1"/>
        <v>Unique</v>
      </c>
    </row>
    <row r="104" spans="1:14" customFormat="1" ht="27.6" customHeight="1" thickBot="1" x14ac:dyDescent="0.35">
      <c r="A104" s="3">
        <v>46252.6875</v>
      </c>
      <c r="B104" s="1" t="s">
        <v>15</v>
      </c>
      <c r="C104" s="1" t="s">
        <v>10</v>
      </c>
      <c r="D104" s="4">
        <v>10</v>
      </c>
      <c r="E104" s="4">
        <v>2578</v>
      </c>
      <c r="F104" s="4">
        <v>-2.2373909749999998</v>
      </c>
      <c r="G104" s="2" t="s">
        <v>72</v>
      </c>
      <c r="H104" s="5">
        <v>2637</v>
      </c>
      <c r="I104" s="1" t="s">
        <v>8</v>
      </c>
      <c r="J104" s="2"/>
      <c r="N104" t="str">
        <f t="shared" si="1"/>
        <v>Unique</v>
      </c>
    </row>
    <row r="105" spans="1:14" customFormat="1" ht="27.6" customHeight="1" thickBot="1" x14ac:dyDescent="0.35">
      <c r="A105" s="7" t="s">
        <v>62</v>
      </c>
      <c r="B105" s="1" t="s">
        <v>14</v>
      </c>
      <c r="C105" s="1" t="s">
        <v>10</v>
      </c>
      <c r="D105" s="4">
        <v>100</v>
      </c>
      <c r="E105" s="4">
        <v>331</v>
      </c>
      <c r="F105" s="4">
        <v>-2.201211405</v>
      </c>
      <c r="G105" s="2" t="s">
        <v>45</v>
      </c>
      <c r="H105" s="5">
        <v>338.45</v>
      </c>
      <c r="I105" s="1" t="s">
        <v>8</v>
      </c>
      <c r="J105" s="2"/>
      <c r="N105" t="str">
        <f t="shared" si="1"/>
        <v>Unique</v>
      </c>
    </row>
    <row r="106" spans="1:14" customFormat="1" ht="15" customHeight="1" thickBot="1" x14ac:dyDescent="0.35">
      <c r="A106" s="7" t="s">
        <v>62</v>
      </c>
      <c r="B106" s="1" t="s">
        <v>19</v>
      </c>
      <c r="C106" s="1" t="s">
        <v>10</v>
      </c>
      <c r="D106" s="4">
        <v>50</v>
      </c>
      <c r="E106" s="4">
        <v>212</v>
      </c>
      <c r="F106" s="4">
        <v>-2.1056520129999998</v>
      </c>
      <c r="G106" s="2" t="s">
        <v>40</v>
      </c>
      <c r="H106" s="5">
        <v>216.56</v>
      </c>
      <c r="I106" s="1" t="s">
        <v>8</v>
      </c>
      <c r="J106" s="2"/>
      <c r="N106" t="str">
        <f t="shared" si="1"/>
        <v>Unique</v>
      </c>
    </row>
    <row r="107" spans="1:14" customFormat="1" ht="15" customHeight="1" thickBot="1" x14ac:dyDescent="0.35">
      <c r="A107" s="3">
        <v>46252.6875</v>
      </c>
      <c r="B107" s="1" t="s">
        <v>17</v>
      </c>
      <c r="C107" s="1" t="s">
        <v>10</v>
      </c>
      <c r="D107" s="4">
        <v>25</v>
      </c>
      <c r="E107" s="4">
        <v>326</v>
      </c>
      <c r="F107" s="4">
        <v>-2.1021021019999999</v>
      </c>
      <c r="G107" s="2" t="s">
        <v>77</v>
      </c>
      <c r="H107" s="5">
        <v>333</v>
      </c>
      <c r="I107" s="1" t="s">
        <v>8</v>
      </c>
      <c r="J107" s="2"/>
      <c r="N107" t="str">
        <f t="shared" si="1"/>
        <v>Unique</v>
      </c>
    </row>
    <row r="108" spans="1:14" customFormat="1" ht="27.6" customHeight="1" thickBot="1" x14ac:dyDescent="0.35">
      <c r="A108" s="7" t="s">
        <v>62</v>
      </c>
      <c r="B108" s="1" t="s">
        <v>49</v>
      </c>
      <c r="C108" s="1" t="s">
        <v>10</v>
      </c>
      <c r="D108" s="4">
        <v>5</v>
      </c>
      <c r="E108" s="4">
        <v>3952</v>
      </c>
      <c r="F108" s="4">
        <v>-2.0739896419999999</v>
      </c>
      <c r="G108" s="2" t="s">
        <v>50</v>
      </c>
      <c r="H108" s="5">
        <v>4035.7</v>
      </c>
      <c r="I108" s="1" t="s">
        <v>8</v>
      </c>
      <c r="J108" s="6" t="s">
        <v>55</v>
      </c>
      <c r="N108" t="str">
        <f t="shared" si="1"/>
        <v>Unique</v>
      </c>
    </row>
    <row r="109" spans="1:14" customFormat="1" ht="27.6" customHeight="1" thickBot="1" x14ac:dyDescent="0.35">
      <c r="A109" s="7" t="s">
        <v>62</v>
      </c>
      <c r="B109" s="1" t="s">
        <v>68</v>
      </c>
      <c r="C109" s="1" t="s">
        <v>10</v>
      </c>
      <c r="D109" s="4">
        <v>10</v>
      </c>
      <c r="E109" s="4">
        <v>400</v>
      </c>
      <c r="F109" s="4">
        <v>-1.9968148960000001</v>
      </c>
      <c r="G109" s="2" t="s">
        <v>69</v>
      </c>
      <c r="H109" s="5">
        <v>408.15</v>
      </c>
      <c r="I109" s="1" t="s">
        <v>8</v>
      </c>
      <c r="J109" s="2"/>
      <c r="N109" t="str">
        <f t="shared" si="1"/>
        <v>Unique</v>
      </c>
    </row>
    <row r="110" spans="1:14" customFormat="1" ht="27.6" customHeight="1" thickBot="1" x14ac:dyDescent="0.35">
      <c r="A110" s="3">
        <v>46252.645138888889</v>
      </c>
      <c r="B110" s="1" t="s">
        <v>57</v>
      </c>
      <c r="C110" s="1" t="s">
        <v>10</v>
      </c>
      <c r="D110" s="4">
        <v>5</v>
      </c>
      <c r="E110" s="4">
        <v>2888</v>
      </c>
      <c r="F110" s="4">
        <v>-1.9388136229999999</v>
      </c>
      <c r="G110" s="2" t="s">
        <v>58</v>
      </c>
      <c r="H110" s="5">
        <v>2945.1</v>
      </c>
      <c r="I110" s="1" t="s">
        <v>8</v>
      </c>
      <c r="J110" s="2"/>
      <c r="N110" t="str">
        <f t="shared" si="1"/>
        <v>Unique</v>
      </c>
    </row>
    <row r="111" spans="1:14" customFormat="1" ht="27.6" customHeight="1" thickBot="1" x14ac:dyDescent="0.35">
      <c r="A111" s="3">
        <v>46252.645833333336</v>
      </c>
      <c r="B111" s="1" t="s">
        <v>51</v>
      </c>
      <c r="C111" s="1" t="s">
        <v>10</v>
      </c>
      <c r="D111" s="4">
        <v>10</v>
      </c>
      <c r="E111" s="4">
        <v>927</v>
      </c>
      <c r="F111" s="4">
        <v>-1.899571406</v>
      </c>
      <c r="G111" s="2" t="s">
        <v>52</v>
      </c>
      <c r="H111" s="5">
        <v>944.95</v>
      </c>
      <c r="I111" s="1" t="s">
        <v>8</v>
      </c>
      <c r="J111" s="2"/>
      <c r="N111" t="str">
        <f t="shared" si="1"/>
        <v>Unique</v>
      </c>
    </row>
    <row r="112" spans="1:14" customFormat="1" ht="15" customHeight="1" thickBot="1" x14ac:dyDescent="0.35">
      <c r="A112" s="3">
        <v>46252.635416666664</v>
      </c>
      <c r="B112" s="1" t="s">
        <v>78</v>
      </c>
      <c r="C112" s="1" t="s">
        <v>10</v>
      </c>
      <c r="D112" s="4">
        <v>3</v>
      </c>
      <c r="E112" s="4">
        <v>1302</v>
      </c>
      <c r="F112" s="4">
        <v>-1.8469656990000001</v>
      </c>
      <c r="G112" s="2" t="s">
        <v>79</v>
      </c>
      <c r="H112" s="5">
        <v>1326.5</v>
      </c>
      <c r="I112" s="1" t="s">
        <v>8</v>
      </c>
      <c r="J112" s="2"/>
      <c r="N112" t="str">
        <f t="shared" si="1"/>
        <v>Unique</v>
      </c>
    </row>
    <row r="113" spans="1:14" customFormat="1" ht="15" customHeight="1" thickBot="1" x14ac:dyDescent="0.35">
      <c r="A113" s="3">
        <v>46252.645138888889</v>
      </c>
      <c r="B113" s="1" t="s">
        <v>68</v>
      </c>
      <c r="C113" s="1" t="s">
        <v>10</v>
      </c>
      <c r="D113" s="4">
        <v>10</v>
      </c>
      <c r="E113" s="4">
        <v>401</v>
      </c>
      <c r="F113" s="4">
        <v>-1.751806934</v>
      </c>
      <c r="G113" s="2" t="s">
        <v>69</v>
      </c>
      <c r="H113" s="5">
        <v>408.15</v>
      </c>
      <c r="I113" s="1" t="s">
        <v>8</v>
      </c>
      <c r="J113" s="11" t="s">
        <v>118</v>
      </c>
      <c r="N113" t="str">
        <f t="shared" si="1"/>
        <v>Unique</v>
      </c>
    </row>
    <row r="114" spans="1:14" customFormat="1" ht="27.6" customHeight="1" thickBot="1" x14ac:dyDescent="0.35">
      <c r="A114" s="3">
        <v>46252.6875</v>
      </c>
      <c r="B114" s="1" t="s">
        <v>25</v>
      </c>
      <c r="C114" s="1" t="s">
        <v>10</v>
      </c>
      <c r="D114" s="4">
        <v>500</v>
      </c>
      <c r="E114" s="4">
        <v>33.159999999999997</v>
      </c>
      <c r="F114" s="4">
        <v>-1.6023738869999999</v>
      </c>
      <c r="G114" s="2" t="s">
        <v>46</v>
      </c>
      <c r="H114" s="5">
        <v>33.700000000000003</v>
      </c>
      <c r="I114" s="1" t="s">
        <v>8</v>
      </c>
      <c r="J114" s="2"/>
      <c r="N114" t="str">
        <f t="shared" si="1"/>
        <v>Unique</v>
      </c>
    </row>
    <row r="115" spans="1:14" customFormat="1" ht="27.6" customHeight="1" thickBot="1" x14ac:dyDescent="0.35">
      <c r="A115" s="3">
        <v>46252.645138888889</v>
      </c>
      <c r="B115" s="1" t="s">
        <v>47</v>
      </c>
      <c r="C115" s="1" t="s">
        <v>10</v>
      </c>
      <c r="D115" s="4">
        <v>9</v>
      </c>
      <c r="E115" s="4">
        <v>2251</v>
      </c>
      <c r="F115" s="4">
        <v>-1.599930058</v>
      </c>
      <c r="G115" s="2" t="s">
        <v>48</v>
      </c>
      <c r="H115" s="5">
        <v>2287.6</v>
      </c>
      <c r="I115" s="1" t="s">
        <v>8</v>
      </c>
      <c r="J115" s="2"/>
      <c r="N115" t="str">
        <f t="shared" si="1"/>
        <v>Unique</v>
      </c>
    </row>
    <row r="116" spans="1:14" customFormat="1" ht="27.6" customHeight="1" thickBot="1" x14ac:dyDescent="0.35">
      <c r="A116" s="3">
        <v>46252.645833333336</v>
      </c>
      <c r="B116" s="1" t="s">
        <v>43</v>
      </c>
      <c r="C116" s="1" t="s">
        <v>10</v>
      </c>
      <c r="D116" s="4">
        <v>5</v>
      </c>
      <c r="E116" s="4">
        <v>712</v>
      </c>
      <c r="F116" s="4">
        <v>-1.5214384510000001</v>
      </c>
      <c r="G116" s="2" t="s">
        <v>44</v>
      </c>
      <c r="H116" s="5">
        <v>723</v>
      </c>
      <c r="I116" s="1" t="s">
        <v>8</v>
      </c>
      <c r="J116" s="11" t="s">
        <v>41</v>
      </c>
      <c r="N116" t="str">
        <f t="shared" si="1"/>
        <v>Unique</v>
      </c>
    </row>
    <row r="117" spans="1:14" customFormat="1" ht="15" customHeight="1" thickBot="1" x14ac:dyDescent="0.35">
      <c r="A117" s="7" t="s">
        <v>62</v>
      </c>
      <c r="B117" s="1" t="s">
        <v>35</v>
      </c>
      <c r="C117" s="1" t="s">
        <v>10</v>
      </c>
      <c r="D117" s="4">
        <v>10</v>
      </c>
      <c r="E117" s="4">
        <v>220.1</v>
      </c>
      <c r="F117" s="4">
        <v>-1.521252796</v>
      </c>
      <c r="G117" s="2" t="s">
        <v>42</v>
      </c>
      <c r="H117" s="5">
        <v>223.5</v>
      </c>
      <c r="I117" s="1" t="s">
        <v>8</v>
      </c>
      <c r="J117" s="1" t="s">
        <v>117</v>
      </c>
      <c r="N117" t="str">
        <f t="shared" si="1"/>
        <v>Unique</v>
      </c>
    </row>
    <row r="118" spans="1:14" customFormat="1" ht="27.6" customHeight="1" thickBot="1" x14ac:dyDescent="0.35">
      <c r="A118" s="3">
        <v>46252.645138888889</v>
      </c>
      <c r="B118" s="1" t="s">
        <v>63</v>
      </c>
      <c r="C118" s="1" t="s">
        <v>10</v>
      </c>
      <c r="D118" s="4">
        <v>10</v>
      </c>
      <c r="E118" s="4">
        <v>1030</v>
      </c>
      <c r="F118" s="4">
        <v>-1.416539051</v>
      </c>
      <c r="G118" s="2" t="s">
        <v>64</v>
      </c>
      <c r="H118" s="5">
        <v>1044.8</v>
      </c>
      <c r="I118" s="1" t="s">
        <v>8</v>
      </c>
      <c r="J118" s="1" t="s">
        <v>55</v>
      </c>
      <c r="N118" t="str">
        <f t="shared" si="1"/>
        <v>Unique</v>
      </c>
    </row>
    <row r="119" spans="1:14" customFormat="1" ht="27.6" customHeight="1" thickBot="1" x14ac:dyDescent="0.35">
      <c r="A119" s="3">
        <v>46252.6875</v>
      </c>
      <c r="B119" s="1" t="s">
        <v>16</v>
      </c>
      <c r="C119" s="1" t="s">
        <v>10</v>
      </c>
      <c r="D119" s="4">
        <v>5</v>
      </c>
      <c r="E119" s="4">
        <v>916</v>
      </c>
      <c r="F119" s="4">
        <v>-1.3993541439999999</v>
      </c>
      <c r="G119" s="2" t="s">
        <v>61</v>
      </c>
      <c r="H119" s="5">
        <v>929</v>
      </c>
      <c r="I119" s="1" t="s">
        <v>8</v>
      </c>
      <c r="J119" s="1" t="s">
        <v>117</v>
      </c>
      <c r="N119" t="str">
        <f t="shared" si="1"/>
        <v>Unique</v>
      </c>
    </row>
    <row r="120" spans="1:14" customFormat="1" ht="40.799999999999997" customHeight="1" thickBot="1" x14ac:dyDescent="0.35">
      <c r="A120" s="3">
        <v>46252.635416666664</v>
      </c>
      <c r="B120" s="1" t="s">
        <v>32</v>
      </c>
      <c r="C120" s="1" t="s">
        <v>10</v>
      </c>
      <c r="D120" s="4">
        <v>50</v>
      </c>
      <c r="E120" s="4">
        <v>850</v>
      </c>
      <c r="F120" s="4">
        <v>-1.3348810209999999</v>
      </c>
      <c r="G120" s="2" t="s">
        <v>85</v>
      </c>
      <c r="H120" s="5">
        <v>861.5</v>
      </c>
      <c r="I120" s="1" t="s">
        <v>8</v>
      </c>
      <c r="J120" s="1" t="s">
        <v>55</v>
      </c>
      <c r="N120" t="str">
        <f t="shared" si="1"/>
        <v>Unique</v>
      </c>
    </row>
    <row r="121" spans="1:14" customFormat="1" ht="15" customHeight="1" thickBot="1" x14ac:dyDescent="0.35">
      <c r="A121" s="3">
        <v>46252.645138888889</v>
      </c>
      <c r="B121" s="1" t="s">
        <v>66</v>
      </c>
      <c r="C121" s="1" t="s">
        <v>10</v>
      </c>
      <c r="D121" s="4">
        <v>5</v>
      </c>
      <c r="E121" s="4">
        <v>1188</v>
      </c>
      <c r="F121" s="4">
        <v>-1.3289036540000001</v>
      </c>
      <c r="G121" s="2" t="s">
        <v>67</v>
      </c>
      <c r="H121" s="5">
        <v>1204</v>
      </c>
      <c r="I121" s="1" t="s">
        <v>8</v>
      </c>
      <c r="J121" s="11" t="s">
        <v>118</v>
      </c>
      <c r="N121" t="str">
        <f t="shared" si="1"/>
        <v>Unique</v>
      </c>
    </row>
    <row r="122" spans="1:14" customFormat="1" ht="27.6" customHeight="1" thickBot="1" x14ac:dyDescent="0.35">
      <c r="A122" s="3">
        <v>46252.6875</v>
      </c>
      <c r="B122" s="1" t="s">
        <v>15</v>
      </c>
      <c r="C122" s="1" t="s">
        <v>10</v>
      </c>
      <c r="D122" s="4">
        <v>20</v>
      </c>
      <c r="E122" s="4">
        <v>2602</v>
      </c>
      <c r="F122" s="4">
        <v>-1.3272658319999999</v>
      </c>
      <c r="G122" s="2" t="s">
        <v>72</v>
      </c>
      <c r="H122" s="5">
        <v>2637</v>
      </c>
      <c r="I122" s="1" t="s">
        <v>8</v>
      </c>
      <c r="J122" s="2"/>
      <c r="N122" t="str">
        <f t="shared" si="1"/>
        <v>Unique</v>
      </c>
    </row>
    <row r="123" spans="1:14" customFormat="1" ht="27.6" customHeight="1" thickBot="1" x14ac:dyDescent="0.35">
      <c r="A123" s="3">
        <v>46252.645138888889</v>
      </c>
      <c r="B123" s="1" t="s">
        <v>59</v>
      </c>
      <c r="C123" s="1" t="s">
        <v>10</v>
      </c>
      <c r="D123" s="4">
        <v>4</v>
      </c>
      <c r="E123" s="4">
        <v>1066</v>
      </c>
      <c r="F123" s="4">
        <v>-1.314571376</v>
      </c>
      <c r="G123" s="2" t="s">
        <v>60</v>
      </c>
      <c r="H123" s="5">
        <v>1080.2</v>
      </c>
      <c r="I123" s="1" t="s">
        <v>8</v>
      </c>
      <c r="J123" s="11" t="s">
        <v>118</v>
      </c>
      <c r="N123" t="str">
        <f t="shared" si="1"/>
        <v>Unique</v>
      </c>
    </row>
    <row r="124" spans="1:14" customFormat="1" ht="27.6" customHeight="1" thickBot="1" x14ac:dyDescent="0.35">
      <c r="A124" s="3">
        <v>46252.6875</v>
      </c>
      <c r="B124" s="1" t="s">
        <v>22</v>
      </c>
      <c r="C124" s="1" t="s">
        <v>10</v>
      </c>
      <c r="D124" s="4">
        <v>5</v>
      </c>
      <c r="E124" s="4">
        <v>452</v>
      </c>
      <c r="F124" s="4">
        <v>-1.3100436680000001</v>
      </c>
      <c r="G124" s="2" t="s">
        <v>73</v>
      </c>
      <c r="H124" s="5">
        <v>458</v>
      </c>
      <c r="I124" s="1" t="s">
        <v>8</v>
      </c>
      <c r="J124" s="6" t="s">
        <v>55</v>
      </c>
      <c r="N124" t="str">
        <f t="shared" si="1"/>
        <v>Unique</v>
      </c>
    </row>
    <row r="125" spans="1:14" customFormat="1" ht="27.6" customHeight="1" thickBot="1" x14ac:dyDescent="0.35">
      <c r="A125" s="3">
        <v>46252.6875</v>
      </c>
      <c r="B125" s="1" t="s">
        <v>23</v>
      </c>
      <c r="C125" s="1" t="s">
        <v>10</v>
      </c>
      <c r="D125" s="4">
        <v>50</v>
      </c>
      <c r="E125" s="4">
        <v>203.5</v>
      </c>
      <c r="F125" s="4">
        <v>-1.261523532</v>
      </c>
      <c r="G125" s="2" t="s">
        <v>70</v>
      </c>
      <c r="H125" s="5">
        <v>206.1</v>
      </c>
      <c r="I125" s="1" t="s">
        <v>8</v>
      </c>
      <c r="J125" s="1" t="s">
        <v>55</v>
      </c>
      <c r="N125" t="str">
        <f t="shared" si="1"/>
        <v>Unique</v>
      </c>
    </row>
    <row r="126" spans="1:14" customFormat="1" ht="27.6" customHeight="1" thickBot="1" x14ac:dyDescent="0.35">
      <c r="A126" s="8" t="s">
        <v>62</v>
      </c>
      <c r="B126" s="9" t="s">
        <v>19</v>
      </c>
      <c r="C126" s="9" t="s">
        <v>10</v>
      </c>
      <c r="D126" s="10">
        <v>150</v>
      </c>
      <c r="E126" s="10">
        <v>214</v>
      </c>
      <c r="F126" s="4">
        <v>-1.182120429</v>
      </c>
      <c r="G126" s="2" t="s">
        <v>40</v>
      </c>
      <c r="H126" s="5">
        <v>216.56</v>
      </c>
      <c r="I126" s="1" t="s">
        <v>8</v>
      </c>
      <c r="J126" s="2"/>
      <c r="N126" t="str">
        <f t="shared" si="1"/>
        <v>Unique</v>
      </c>
    </row>
    <row r="127" spans="1:14" customFormat="1" ht="27.6" customHeight="1" thickBot="1" x14ac:dyDescent="0.35">
      <c r="A127" s="7" t="s">
        <v>62</v>
      </c>
      <c r="B127" s="1" t="s">
        <v>12</v>
      </c>
      <c r="C127" s="1" t="s">
        <v>10</v>
      </c>
      <c r="D127" s="4">
        <v>1</v>
      </c>
      <c r="E127" s="4">
        <v>5010</v>
      </c>
      <c r="F127" s="4">
        <v>-1.152237392</v>
      </c>
      <c r="G127" s="2" t="s">
        <v>98</v>
      </c>
      <c r="H127" s="5">
        <v>5068.3999999999996</v>
      </c>
      <c r="I127" s="1" t="s">
        <v>8</v>
      </c>
      <c r="J127" s="2"/>
      <c r="N127" t="str">
        <f t="shared" si="1"/>
        <v>Unique</v>
      </c>
    </row>
    <row r="128" spans="1:14" customFormat="1" ht="27.6" customHeight="1" thickBot="1" x14ac:dyDescent="0.35">
      <c r="A128" s="3">
        <v>46252.6875</v>
      </c>
      <c r="B128" s="1" t="s">
        <v>15</v>
      </c>
      <c r="C128" s="1" t="s">
        <v>10</v>
      </c>
      <c r="D128" s="4">
        <v>10</v>
      </c>
      <c r="E128" s="4">
        <v>2607</v>
      </c>
      <c r="F128" s="4">
        <v>-1.1376564280000001</v>
      </c>
      <c r="G128" s="2" t="s">
        <v>72</v>
      </c>
      <c r="H128" s="5">
        <v>2637</v>
      </c>
      <c r="I128" s="1" t="s">
        <v>8</v>
      </c>
      <c r="J128" s="2"/>
      <c r="N128" t="str">
        <f t="shared" si="1"/>
        <v>Unique</v>
      </c>
    </row>
    <row r="129" spans="1:14" customFormat="1" ht="27.6" customHeight="1" thickBot="1" x14ac:dyDescent="0.35">
      <c r="A129" s="3">
        <v>46252.688194444447</v>
      </c>
      <c r="B129" s="1" t="s">
        <v>14</v>
      </c>
      <c r="C129" s="1" t="s">
        <v>10</v>
      </c>
      <c r="D129" s="4">
        <v>100</v>
      </c>
      <c r="E129" s="4">
        <v>335</v>
      </c>
      <c r="F129" s="4">
        <v>-1.0193529320000001</v>
      </c>
      <c r="G129" s="2" t="s">
        <v>45</v>
      </c>
      <c r="H129" s="5">
        <v>338.45</v>
      </c>
      <c r="I129" s="1" t="s">
        <v>8</v>
      </c>
      <c r="J129" s="11" t="s">
        <v>118</v>
      </c>
      <c r="N129" t="str">
        <f t="shared" si="1"/>
        <v>Unique</v>
      </c>
    </row>
    <row r="130" spans="1:14" customFormat="1" ht="27.6" customHeight="1" thickBot="1" x14ac:dyDescent="0.35">
      <c r="A130" s="3">
        <v>46252.645833333336</v>
      </c>
      <c r="B130" s="1" t="s">
        <v>49</v>
      </c>
      <c r="C130" s="1" t="s">
        <v>10</v>
      </c>
      <c r="D130" s="4">
        <v>5</v>
      </c>
      <c r="E130" s="4">
        <v>4002</v>
      </c>
      <c r="F130" s="4">
        <v>-0.83504720369999996</v>
      </c>
      <c r="G130" s="2" t="s">
        <v>50</v>
      </c>
      <c r="H130" s="5">
        <v>4035.7</v>
      </c>
      <c r="I130" s="1" t="s">
        <v>8</v>
      </c>
      <c r="J130" s="2"/>
      <c r="N130" t="str">
        <f t="shared" ref="N130:N193" si="2">IF(COUNTIFS( $B$2:$B$952, B130, $C$2:$C$952, C130, $D$2:$D$952, D130, $E$2:$E$952, E130) &gt; 1, "Duplicate", "Unique")</f>
        <v>Unique</v>
      </c>
    </row>
    <row r="131" spans="1:14" customFormat="1" ht="27.6" customHeight="1" thickBot="1" x14ac:dyDescent="0.35">
      <c r="A131" s="3">
        <v>46252.6875</v>
      </c>
      <c r="B131" s="1" t="s">
        <v>24</v>
      </c>
      <c r="C131" s="1" t="s">
        <v>10</v>
      </c>
      <c r="D131" s="4">
        <v>40</v>
      </c>
      <c r="E131" s="4">
        <v>426</v>
      </c>
      <c r="F131" s="4">
        <v>-0.56022408960000003</v>
      </c>
      <c r="G131" s="2" t="s">
        <v>56</v>
      </c>
      <c r="H131" s="5">
        <v>428.4</v>
      </c>
      <c r="I131" s="1" t="s">
        <v>8</v>
      </c>
      <c r="J131" s="2"/>
      <c r="N131" t="str">
        <f t="shared" si="2"/>
        <v>Unique</v>
      </c>
    </row>
    <row r="132" spans="1:14" customFormat="1" ht="40.799999999999997" customHeight="1" thickBot="1" x14ac:dyDescent="0.35">
      <c r="A132" s="3">
        <v>46252.688194444447</v>
      </c>
      <c r="B132" s="1" t="s">
        <v>14</v>
      </c>
      <c r="C132" s="1" t="s">
        <v>10</v>
      </c>
      <c r="D132" s="4">
        <v>100</v>
      </c>
      <c r="E132" s="4">
        <v>337</v>
      </c>
      <c r="F132" s="4">
        <v>-0.42842369629999999</v>
      </c>
      <c r="G132" s="2" t="s">
        <v>45</v>
      </c>
      <c r="H132" s="5">
        <v>338.45</v>
      </c>
      <c r="I132" s="1" t="s">
        <v>8</v>
      </c>
      <c r="J132" s="2"/>
      <c r="N132" t="str">
        <f t="shared" si="2"/>
        <v>Unique</v>
      </c>
    </row>
    <row r="133" spans="1:14" customFormat="1" ht="27.6" customHeight="1" thickBot="1" x14ac:dyDescent="0.35">
      <c r="A133" s="7" t="s">
        <v>62</v>
      </c>
      <c r="B133" s="1" t="s">
        <v>31</v>
      </c>
      <c r="C133" s="1" t="s">
        <v>10</v>
      </c>
      <c r="D133" s="4">
        <v>5</v>
      </c>
      <c r="E133" s="4">
        <v>634</v>
      </c>
      <c r="F133" s="4">
        <v>0.4197354874</v>
      </c>
      <c r="G133" s="2" t="s">
        <v>94</v>
      </c>
      <c r="H133" s="5">
        <v>631.35</v>
      </c>
      <c r="I133" s="1" t="s">
        <v>8</v>
      </c>
      <c r="J133" s="2"/>
      <c r="N133" t="str">
        <f t="shared" si="2"/>
        <v>Unique</v>
      </c>
    </row>
    <row r="134" spans="1:14" ht="15" customHeight="1" thickBot="1" x14ac:dyDescent="0.35">
      <c r="A134" s="19">
        <v>46253.375555555554</v>
      </c>
      <c r="B134" s="15" t="s">
        <v>34</v>
      </c>
      <c r="C134" s="15" t="s">
        <v>7</v>
      </c>
      <c r="D134" s="15">
        <v>1</v>
      </c>
      <c r="E134" s="15">
        <v>19952</v>
      </c>
      <c r="F134" s="15">
        <v>0.76767676770000004</v>
      </c>
      <c r="G134" s="15" t="s">
        <v>71</v>
      </c>
      <c r="H134" s="15">
        <v>19800</v>
      </c>
      <c r="I134" s="15" t="s">
        <v>8</v>
      </c>
      <c r="J134" s="15" t="s">
        <v>118</v>
      </c>
      <c r="K134" s="18" t="s">
        <v>152</v>
      </c>
      <c r="N134" s="18" t="str">
        <f t="shared" si="2"/>
        <v>Unique</v>
      </c>
    </row>
    <row r="135" spans="1:14" ht="27.6" customHeight="1" thickBot="1" x14ac:dyDescent="0.35">
      <c r="A135" s="19">
        <v>46252.645833333336</v>
      </c>
      <c r="B135" s="15" t="s">
        <v>80</v>
      </c>
      <c r="C135" s="15" t="s">
        <v>7</v>
      </c>
      <c r="D135" s="15">
        <v>10</v>
      </c>
      <c r="E135" s="15">
        <v>1510</v>
      </c>
      <c r="F135" s="15">
        <v>1.6766547709999999</v>
      </c>
      <c r="G135" s="15" t="s">
        <v>81</v>
      </c>
      <c r="H135" s="15">
        <v>1485.1</v>
      </c>
      <c r="I135" s="15" t="s">
        <v>8</v>
      </c>
      <c r="J135" s="15"/>
      <c r="N135" s="18" t="str">
        <f t="shared" si="2"/>
        <v>Unique</v>
      </c>
    </row>
    <row r="136" spans="1:14" ht="40.799999999999997" customHeight="1" thickBot="1" x14ac:dyDescent="0.35">
      <c r="A136" s="19">
        <v>46253.604756944442</v>
      </c>
      <c r="B136" s="15" t="s">
        <v>14</v>
      </c>
      <c r="C136" s="15" t="s">
        <v>7</v>
      </c>
      <c r="D136" s="15">
        <v>100</v>
      </c>
      <c r="E136" s="15">
        <v>344.5</v>
      </c>
      <c r="F136" s="15">
        <v>1.7875609400000001</v>
      </c>
      <c r="G136" s="15" t="s">
        <v>45</v>
      </c>
      <c r="H136" s="15">
        <v>338.45</v>
      </c>
      <c r="I136" s="15" t="s">
        <v>8</v>
      </c>
      <c r="J136" s="15" t="s">
        <v>118</v>
      </c>
      <c r="K136" s="18" t="s">
        <v>151</v>
      </c>
      <c r="N136" s="18" t="str">
        <f t="shared" si="2"/>
        <v>Unique</v>
      </c>
    </row>
    <row r="137" spans="1:14" ht="16.2" customHeight="1" thickBot="1" x14ac:dyDescent="0.35">
      <c r="A137" s="19">
        <v>46252.645138888889</v>
      </c>
      <c r="B137" s="15" t="s">
        <v>57</v>
      </c>
      <c r="C137" s="15" t="s">
        <v>7</v>
      </c>
      <c r="D137" s="15">
        <v>5</v>
      </c>
      <c r="E137" s="15">
        <v>2998</v>
      </c>
      <c r="F137" s="15">
        <v>1.796203864</v>
      </c>
      <c r="G137" s="15" t="s">
        <v>58</v>
      </c>
      <c r="H137" s="15">
        <v>2945.1</v>
      </c>
      <c r="I137" s="15" t="s">
        <v>8</v>
      </c>
      <c r="J137" s="15"/>
      <c r="N137" s="18" t="str">
        <f t="shared" si="2"/>
        <v>Unique</v>
      </c>
    </row>
    <row r="138" spans="1:14" ht="40.799999999999997" customHeight="1" thickBot="1" x14ac:dyDescent="0.35">
      <c r="A138" s="19">
        <v>46252.6875</v>
      </c>
      <c r="B138" s="15" t="s">
        <v>15</v>
      </c>
      <c r="C138" s="15" t="s">
        <v>7</v>
      </c>
      <c r="D138" s="15">
        <v>10</v>
      </c>
      <c r="E138" s="15">
        <v>2696</v>
      </c>
      <c r="F138" s="15">
        <v>2.2373909749999998</v>
      </c>
      <c r="G138" s="15" t="s">
        <v>72</v>
      </c>
      <c r="H138" s="15">
        <v>2637</v>
      </c>
      <c r="I138" s="15" t="s">
        <v>8</v>
      </c>
      <c r="J138" s="15"/>
      <c r="N138" s="18" t="str">
        <f t="shared" si="2"/>
        <v>Unique</v>
      </c>
    </row>
    <row r="139" spans="1:14" ht="15" customHeight="1" thickBot="1" x14ac:dyDescent="0.35">
      <c r="A139" s="19">
        <v>46252.645138888889</v>
      </c>
      <c r="B139" s="15" t="s">
        <v>49</v>
      </c>
      <c r="C139" s="15" t="s">
        <v>7</v>
      </c>
      <c r="D139" s="15">
        <v>5</v>
      </c>
      <c r="E139" s="15">
        <v>4129</v>
      </c>
      <c r="F139" s="15">
        <v>2.3118665909999998</v>
      </c>
      <c r="G139" s="15" t="s">
        <v>50</v>
      </c>
      <c r="H139" s="15">
        <v>4035.7</v>
      </c>
      <c r="I139" s="15" t="s">
        <v>8</v>
      </c>
      <c r="J139" s="15"/>
      <c r="N139" s="18" t="str">
        <f t="shared" si="2"/>
        <v>Unique</v>
      </c>
    </row>
    <row r="140" spans="1:14" ht="15" customHeight="1" thickBot="1" x14ac:dyDescent="0.35">
      <c r="A140" s="19">
        <v>46253.395312499997</v>
      </c>
      <c r="B140" s="15" t="s">
        <v>13</v>
      </c>
      <c r="C140" s="15" t="s">
        <v>7</v>
      </c>
      <c r="D140" s="15">
        <v>3</v>
      </c>
      <c r="E140" s="15">
        <v>1935</v>
      </c>
      <c r="F140" s="15">
        <v>2.6525198940000001</v>
      </c>
      <c r="G140" s="15" t="s">
        <v>91</v>
      </c>
      <c r="H140" s="15">
        <v>1885</v>
      </c>
      <c r="I140" s="15" t="s">
        <v>8</v>
      </c>
      <c r="J140" s="15"/>
      <c r="K140" s="18" t="s">
        <v>148</v>
      </c>
      <c r="N140" s="18" t="str">
        <f t="shared" si="2"/>
        <v>Unique</v>
      </c>
    </row>
    <row r="141" spans="1:14" ht="15" customHeight="1" thickBot="1" x14ac:dyDescent="0.35">
      <c r="A141" s="19">
        <v>46253.523518518516</v>
      </c>
      <c r="B141" s="15" t="s">
        <v>14</v>
      </c>
      <c r="C141" s="15" t="s">
        <v>7</v>
      </c>
      <c r="D141" s="15">
        <v>100</v>
      </c>
      <c r="E141" s="15">
        <v>348</v>
      </c>
      <c r="F141" s="15">
        <v>2.8216871029999999</v>
      </c>
      <c r="G141" s="15" t="s">
        <v>45</v>
      </c>
      <c r="H141" s="15">
        <v>338.45</v>
      </c>
      <c r="I141" s="15" t="s">
        <v>8</v>
      </c>
      <c r="J141" s="15" t="s">
        <v>118</v>
      </c>
      <c r="K141" s="18" t="s">
        <v>153</v>
      </c>
      <c r="N141" s="18" t="str">
        <f t="shared" si="2"/>
        <v>Unique</v>
      </c>
    </row>
    <row r="142" spans="1:14" ht="27.6" customHeight="1" thickBot="1" x14ac:dyDescent="0.35">
      <c r="A142" s="19">
        <v>46252.6875</v>
      </c>
      <c r="B142" s="15" t="s">
        <v>15</v>
      </c>
      <c r="C142" s="15" t="s">
        <v>7</v>
      </c>
      <c r="D142" s="15">
        <v>10</v>
      </c>
      <c r="E142" s="15">
        <v>2720</v>
      </c>
      <c r="F142" s="15">
        <v>3.1475161169999999</v>
      </c>
      <c r="G142" s="15" t="s">
        <v>72</v>
      </c>
      <c r="H142" s="15">
        <v>2637</v>
      </c>
      <c r="I142" s="15" t="s">
        <v>8</v>
      </c>
      <c r="J142" s="15"/>
      <c r="N142" s="18" t="str">
        <f t="shared" si="2"/>
        <v>Unique</v>
      </c>
    </row>
    <row r="143" spans="1:14" ht="27.6" customHeight="1" thickBot="1" x14ac:dyDescent="0.35">
      <c r="A143" s="19">
        <v>46252.645833333336</v>
      </c>
      <c r="B143" s="15" t="s">
        <v>49</v>
      </c>
      <c r="C143" s="15" t="s">
        <v>7</v>
      </c>
      <c r="D143" s="15">
        <v>5</v>
      </c>
      <c r="E143" s="15">
        <v>4177</v>
      </c>
      <c r="F143" s="15">
        <v>3.5012513319999998</v>
      </c>
      <c r="G143" s="15" t="s">
        <v>50</v>
      </c>
      <c r="H143" s="15">
        <v>4035.7</v>
      </c>
      <c r="I143" s="15" t="s">
        <v>8</v>
      </c>
      <c r="J143" s="15"/>
      <c r="N143" s="18" t="str">
        <f t="shared" si="2"/>
        <v>Unique</v>
      </c>
    </row>
    <row r="144" spans="1:14" ht="27.6" customHeight="1" thickBot="1" x14ac:dyDescent="0.35">
      <c r="A144" s="19">
        <v>46252.6875</v>
      </c>
      <c r="B144" s="15" t="s">
        <v>9</v>
      </c>
      <c r="C144" s="15" t="s">
        <v>7</v>
      </c>
      <c r="D144" s="15">
        <v>50</v>
      </c>
      <c r="E144" s="15">
        <v>305</v>
      </c>
      <c r="F144" s="15">
        <v>3.5302104550000002</v>
      </c>
      <c r="G144" s="15" t="s">
        <v>95</v>
      </c>
      <c r="H144" s="15">
        <v>294.60000000000002</v>
      </c>
      <c r="I144" s="15" t="s">
        <v>8</v>
      </c>
      <c r="J144" s="15" t="s">
        <v>55</v>
      </c>
      <c r="N144" s="18" t="str">
        <f t="shared" si="2"/>
        <v>Unique</v>
      </c>
    </row>
    <row r="145" spans="1:14" ht="16.2" customHeight="1" thickBot="1" x14ac:dyDescent="0.35">
      <c r="A145" s="19">
        <v>46252.6875</v>
      </c>
      <c r="B145" s="15" t="s">
        <v>6</v>
      </c>
      <c r="C145" s="15" t="s">
        <v>7</v>
      </c>
      <c r="D145" s="15">
        <v>50</v>
      </c>
      <c r="E145" s="15">
        <v>293</v>
      </c>
      <c r="F145" s="15">
        <v>3.7168141590000001</v>
      </c>
      <c r="G145" s="15" t="s">
        <v>130</v>
      </c>
      <c r="H145" s="15">
        <v>282.5</v>
      </c>
      <c r="I145" s="15" t="s">
        <v>8</v>
      </c>
      <c r="J145" s="15"/>
      <c r="N145" s="18" t="str">
        <f t="shared" si="2"/>
        <v>Unique</v>
      </c>
    </row>
    <row r="146" spans="1:14" ht="27.6" customHeight="1" thickBot="1" x14ac:dyDescent="0.35">
      <c r="A146" s="19">
        <v>46252.645138888889</v>
      </c>
      <c r="B146" s="15" t="s">
        <v>35</v>
      </c>
      <c r="C146" s="15" t="s">
        <v>7</v>
      </c>
      <c r="D146" s="15">
        <v>200</v>
      </c>
      <c r="E146" s="15">
        <v>232</v>
      </c>
      <c r="F146" s="15">
        <v>3.8031319909999999</v>
      </c>
      <c r="G146" s="15" t="s">
        <v>42</v>
      </c>
      <c r="H146" s="15">
        <v>223.5</v>
      </c>
      <c r="I146" s="15" t="s">
        <v>8</v>
      </c>
      <c r="J146" s="15"/>
      <c r="N146" s="18" t="str">
        <f t="shared" si="2"/>
        <v>Unique</v>
      </c>
    </row>
    <row r="147" spans="1:14" ht="40.799999999999997" customHeight="1" thickBot="1" x14ac:dyDescent="0.35">
      <c r="A147" s="19">
        <v>46252.6875</v>
      </c>
      <c r="B147" s="15" t="s">
        <v>23</v>
      </c>
      <c r="C147" s="15" t="s">
        <v>7</v>
      </c>
      <c r="D147" s="15">
        <v>50</v>
      </c>
      <c r="E147" s="15">
        <v>214</v>
      </c>
      <c r="F147" s="15">
        <v>3.8330907330000001</v>
      </c>
      <c r="G147" s="15" t="s">
        <v>70</v>
      </c>
      <c r="H147" s="15">
        <v>206.1</v>
      </c>
      <c r="I147" s="15" t="s">
        <v>8</v>
      </c>
      <c r="J147" s="15" t="s">
        <v>41</v>
      </c>
      <c r="N147" s="18" t="str">
        <f t="shared" si="2"/>
        <v>Unique</v>
      </c>
    </row>
    <row r="148" spans="1:14" ht="27.6" customHeight="1" thickBot="1" x14ac:dyDescent="0.35">
      <c r="A148" s="19">
        <v>46252.645138888889</v>
      </c>
      <c r="B148" s="15" t="s">
        <v>68</v>
      </c>
      <c r="C148" s="15" t="s">
        <v>7</v>
      </c>
      <c r="D148" s="15">
        <v>20</v>
      </c>
      <c r="E148" s="15">
        <v>424</v>
      </c>
      <c r="F148" s="15">
        <v>3.8833762100000002</v>
      </c>
      <c r="G148" s="15" t="s">
        <v>69</v>
      </c>
      <c r="H148" s="15">
        <v>408.15</v>
      </c>
      <c r="I148" s="15" t="s">
        <v>8</v>
      </c>
      <c r="J148" s="15"/>
      <c r="N148" s="18" t="str">
        <f t="shared" si="2"/>
        <v>Unique</v>
      </c>
    </row>
    <row r="149" spans="1:14" ht="27.6" customHeight="1" thickBot="1" x14ac:dyDescent="0.35">
      <c r="A149" s="19">
        <v>46253.375578703701</v>
      </c>
      <c r="B149" s="15" t="s">
        <v>32</v>
      </c>
      <c r="C149" s="15" t="s">
        <v>7</v>
      </c>
      <c r="D149" s="15">
        <v>20</v>
      </c>
      <c r="E149" s="15">
        <v>896</v>
      </c>
      <c r="F149" s="15">
        <v>4.0046430639999997</v>
      </c>
      <c r="G149" s="15" t="s">
        <v>85</v>
      </c>
      <c r="H149" s="15">
        <v>861.5</v>
      </c>
      <c r="I149" s="15" t="s">
        <v>8</v>
      </c>
      <c r="J149" s="15"/>
      <c r="K149" s="18" t="s">
        <v>150</v>
      </c>
      <c r="N149" s="18" t="str">
        <f t="shared" si="2"/>
        <v>Unique</v>
      </c>
    </row>
    <row r="150" spans="1:14" ht="40.799999999999997" customHeight="1" thickBot="1" x14ac:dyDescent="0.35">
      <c r="A150" s="19">
        <v>46252.635416666664</v>
      </c>
      <c r="B150" s="15" t="s">
        <v>74</v>
      </c>
      <c r="C150" s="15" t="s">
        <v>7</v>
      </c>
      <c r="D150" s="15">
        <v>5</v>
      </c>
      <c r="E150" s="15">
        <v>3482</v>
      </c>
      <c r="F150" s="15">
        <v>4.0334628029999999</v>
      </c>
      <c r="G150" s="15" t="s">
        <v>75</v>
      </c>
      <c r="H150" s="15">
        <v>3347</v>
      </c>
      <c r="I150" s="15" t="s">
        <v>8</v>
      </c>
      <c r="J150" s="15"/>
      <c r="N150" s="18" t="str">
        <f t="shared" si="2"/>
        <v>Unique</v>
      </c>
    </row>
    <row r="151" spans="1:14" ht="27.6" customHeight="1" thickBot="1" x14ac:dyDescent="0.35">
      <c r="A151" s="19">
        <v>46253.400127314817</v>
      </c>
      <c r="B151" s="15" t="s">
        <v>6</v>
      </c>
      <c r="C151" s="15" t="s">
        <v>7</v>
      </c>
      <c r="D151" s="15">
        <v>30</v>
      </c>
      <c r="E151" s="15">
        <v>294</v>
      </c>
      <c r="F151" s="15">
        <v>4.0707964600000004</v>
      </c>
      <c r="G151" s="15" t="s">
        <v>130</v>
      </c>
      <c r="H151" s="15">
        <v>282.5</v>
      </c>
      <c r="I151" s="15" t="s">
        <v>8</v>
      </c>
      <c r="J151" s="15" t="s">
        <v>118</v>
      </c>
      <c r="K151" s="18" t="s">
        <v>147</v>
      </c>
      <c r="N151" s="18" t="str">
        <f t="shared" si="2"/>
        <v>Unique</v>
      </c>
    </row>
    <row r="152" spans="1:14" ht="27.6" customHeight="1" thickBot="1" x14ac:dyDescent="0.35">
      <c r="A152" s="19">
        <v>46253.630104166667</v>
      </c>
      <c r="B152" s="15" t="s">
        <v>29</v>
      </c>
      <c r="C152" s="15" t="s">
        <v>7</v>
      </c>
      <c r="D152" s="15">
        <v>5</v>
      </c>
      <c r="E152" s="15">
        <v>3973</v>
      </c>
      <c r="F152" s="15">
        <v>4.0869793029999997</v>
      </c>
      <c r="G152" s="15" t="s">
        <v>137</v>
      </c>
      <c r="H152" s="15">
        <v>3817</v>
      </c>
      <c r="I152" s="15" t="s">
        <v>8</v>
      </c>
      <c r="J152" s="15"/>
      <c r="K152" s="18" t="s">
        <v>144</v>
      </c>
      <c r="N152" s="18" t="str">
        <f t="shared" si="2"/>
        <v>Unique</v>
      </c>
    </row>
    <row r="153" spans="1:14" ht="16.2" customHeight="1" thickBot="1" x14ac:dyDescent="0.35">
      <c r="A153" s="19">
        <v>46252.6875</v>
      </c>
      <c r="B153" s="15" t="s">
        <v>24</v>
      </c>
      <c r="C153" s="15" t="s">
        <v>7</v>
      </c>
      <c r="D153" s="15">
        <v>40</v>
      </c>
      <c r="E153" s="15">
        <v>446</v>
      </c>
      <c r="F153" s="15">
        <v>4.1083099909999996</v>
      </c>
      <c r="G153" s="15" t="s">
        <v>56</v>
      </c>
      <c r="H153" s="15">
        <v>428.4</v>
      </c>
      <c r="I153" s="15" t="s">
        <v>8</v>
      </c>
      <c r="J153" s="20" t="s">
        <v>55</v>
      </c>
      <c r="N153" s="18" t="str">
        <f t="shared" si="2"/>
        <v>Unique</v>
      </c>
    </row>
    <row r="154" spans="1:14" ht="27.6" customHeight="1" thickBot="1" x14ac:dyDescent="0.35">
      <c r="A154" s="19">
        <v>46252.635416666664</v>
      </c>
      <c r="B154" s="15" t="s">
        <v>121</v>
      </c>
      <c r="C154" s="15" t="s">
        <v>7</v>
      </c>
      <c r="D154" s="15">
        <v>25</v>
      </c>
      <c r="E154" s="15">
        <v>784</v>
      </c>
      <c r="F154" s="15">
        <v>4.2137445170000003</v>
      </c>
      <c r="G154" s="15" t="s">
        <v>122</v>
      </c>
      <c r="H154" s="15">
        <v>752.3</v>
      </c>
      <c r="I154" s="15" t="s">
        <v>8</v>
      </c>
      <c r="J154" s="15" t="s">
        <v>41</v>
      </c>
      <c r="N154" s="18" t="str">
        <f t="shared" si="2"/>
        <v>Unique</v>
      </c>
    </row>
    <row r="155" spans="1:14" ht="27.6" customHeight="1" thickBot="1" x14ac:dyDescent="0.35">
      <c r="A155" s="15" t="s">
        <v>62</v>
      </c>
      <c r="B155" s="15" t="s">
        <v>80</v>
      </c>
      <c r="C155" s="15" t="s">
        <v>7</v>
      </c>
      <c r="D155" s="15">
        <v>10</v>
      </c>
      <c r="E155" s="15">
        <v>1548</v>
      </c>
      <c r="F155" s="15">
        <v>4.2354050230000002</v>
      </c>
      <c r="G155" s="15" t="s">
        <v>81</v>
      </c>
      <c r="H155" s="15">
        <v>1485.1</v>
      </c>
      <c r="I155" s="15" t="s">
        <v>8</v>
      </c>
      <c r="J155" s="15" t="s">
        <v>41</v>
      </c>
      <c r="N155" s="18" t="str">
        <f t="shared" si="2"/>
        <v>Unique</v>
      </c>
    </row>
    <row r="156" spans="1:14" ht="27.6" customHeight="1" thickBot="1" x14ac:dyDescent="0.35">
      <c r="A156" s="19">
        <v>46253.375578703701</v>
      </c>
      <c r="B156" s="15" t="s">
        <v>14</v>
      </c>
      <c r="C156" s="15" t="s">
        <v>7</v>
      </c>
      <c r="D156" s="15">
        <v>50</v>
      </c>
      <c r="E156" s="15">
        <v>353</v>
      </c>
      <c r="F156" s="15">
        <v>4.2990101940000001</v>
      </c>
      <c r="G156" s="15" t="s">
        <v>45</v>
      </c>
      <c r="H156" s="15">
        <v>338.45</v>
      </c>
      <c r="I156" s="15" t="s">
        <v>8</v>
      </c>
      <c r="J156" s="15" t="s">
        <v>118</v>
      </c>
      <c r="K156" s="18" t="s">
        <v>154</v>
      </c>
      <c r="N156" s="18" t="str">
        <f t="shared" si="2"/>
        <v>Unique</v>
      </c>
    </row>
    <row r="157" spans="1:14" ht="27.6" customHeight="1" thickBot="1" x14ac:dyDescent="0.35">
      <c r="A157" s="19">
        <v>46252.645833333336</v>
      </c>
      <c r="B157" s="15" t="s">
        <v>119</v>
      </c>
      <c r="C157" s="15" t="s">
        <v>7</v>
      </c>
      <c r="D157" s="15">
        <v>15</v>
      </c>
      <c r="E157" s="15">
        <v>1040</v>
      </c>
      <c r="F157" s="15">
        <v>4.4176706829999999</v>
      </c>
      <c r="G157" s="15" t="s">
        <v>120</v>
      </c>
      <c r="H157" s="15">
        <v>996</v>
      </c>
      <c r="I157" s="15" t="s">
        <v>8</v>
      </c>
      <c r="J157" s="15"/>
      <c r="N157" s="18" t="str">
        <f t="shared" si="2"/>
        <v>Unique</v>
      </c>
    </row>
    <row r="158" spans="1:14" ht="15" customHeight="1" thickBot="1" x14ac:dyDescent="0.35">
      <c r="A158" s="19">
        <v>46252.6875</v>
      </c>
      <c r="B158" s="15" t="s">
        <v>17</v>
      </c>
      <c r="C158" s="15" t="s">
        <v>7</v>
      </c>
      <c r="D158" s="15">
        <v>25</v>
      </c>
      <c r="E158" s="15">
        <v>348</v>
      </c>
      <c r="F158" s="15">
        <v>4.5045045049999999</v>
      </c>
      <c r="G158" s="15" t="s">
        <v>77</v>
      </c>
      <c r="H158" s="15">
        <v>333</v>
      </c>
      <c r="I158" s="15" t="s">
        <v>8</v>
      </c>
      <c r="J158" s="15" t="s">
        <v>55</v>
      </c>
      <c r="N158" s="18" t="str">
        <f t="shared" si="2"/>
        <v>Unique</v>
      </c>
    </row>
    <row r="159" spans="1:14" ht="27.6" customHeight="1" thickBot="1" x14ac:dyDescent="0.35">
      <c r="A159" s="19">
        <v>46253.606145833335</v>
      </c>
      <c r="B159" s="15" t="s">
        <v>13</v>
      </c>
      <c r="C159" s="15" t="s">
        <v>7</v>
      </c>
      <c r="D159" s="15">
        <v>10</v>
      </c>
      <c r="E159" s="15">
        <v>1972</v>
      </c>
      <c r="F159" s="15">
        <v>4.615384615</v>
      </c>
      <c r="G159" s="15" t="s">
        <v>91</v>
      </c>
      <c r="H159" s="15">
        <v>1885</v>
      </c>
      <c r="I159" s="15" t="s">
        <v>8</v>
      </c>
      <c r="J159" s="15"/>
      <c r="K159" s="18" t="s">
        <v>145</v>
      </c>
      <c r="N159" s="18" t="str">
        <f t="shared" si="2"/>
        <v>Unique</v>
      </c>
    </row>
    <row r="160" spans="1:14" ht="15" customHeight="1" thickBot="1" x14ac:dyDescent="0.35">
      <c r="A160" s="19">
        <v>46252.635416666664</v>
      </c>
      <c r="B160" s="15" t="s">
        <v>82</v>
      </c>
      <c r="C160" s="15" t="s">
        <v>7</v>
      </c>
      <c r="D160" s="15">
        <v>1</v>
      </c>
      <c r="E160" s="15">
        <v>4556</v>
      </c>
      <c r="F160" s="15">
        <v>4.6370087959999999</v>
      </c>
      <c r="G160" s="15" t="s">
        <v>83</v>
      </c>
      <c r="H160" s="15">
        <v>4354.1000000000004</v>
      </c>
      <c r="I160" s="15" t="s">
        <v>8</v>
      </c>
      <c r="J160" s="15"/>
      <c r="N160" s="18" t="str">
        <f t="shared" si="2"/>
        <v>Unique</v>
      </c>
    </row>
    <row r="161" spans="1:14" ht="27.6" customHeight="1" thickBot="1" x14ac:dyDescent="0.35">
      <c r="A161" s="19">
        <v>46252.635416666664</v>
      </c>
      <c r="B161" s="15" t="s">
        <v>123</v>
      </c>
      <c r="C161" s="15" t="s">
        <v>7</v>
      </c>
      <c r="D161" s="15">
        <v>200</v>
      </c>
      <c r="E161" s="15">
        <v>89.3</v>
      </c>
      <c r="F161" s="15">
        <v>4.9107142860000002</v>
      </c>
      <c r="G161" s="15" t="s">
        <v>124</v>
      </c>
      <c r="H161" s="15">
        <v>85.12</v>
      </c>
      <c r="I161" s="15" t="s">
        <v>8</v>
      </c>
      <c r="J161" s="15"/>
      <c r="N161" s="18" t="str">
        <f t="shared" si="2"/>
        <v>Unique</v>
      </c>
    </row>
    <row r="162" spans="1:14" ht="27.6" customHeight="1" thickBot="1" x14ac:dyDescent="0.35">
      <c r="A162" s="19">
        <v>46252.6875</v>
      </c>
      <c r="B162" s="15" t="s">
        <v>27</v>
      </c>
      <c r="C162" s="15" t="s">
        <v>7</v>
      </c>
      <c r="D162" s="15">
        <v>2</v>
      </c>
      <c r="E162" s="15">
        <v>3048</v>
      </c>
      <c r="F162" s="15">
        <v>5.1397033460000001</v>
      </c>
      <c r="G162" s="15" t="s">
        <v>131</v>
      </c>
      <c r="H162" s="15">
        <v>2899</v>
      </c>
      <c r="I162" s="15" t="s">
        <v>8</v>
      </c>
      <c r="J162" s="15" t="s">
        <v>41</v>
      </c>
      <c r="N162" s="18" t="str">
        <f t="shared" si="2"/>
        <v>Unique</v>
      </c>
    </row>
    <row r="163" spans="1:14" ht="27.6" customHeight="1" thickBot="1" x14ac:dyDescent="0.35">
      <c r="A163" s="19">
        <v>46252.635416666664</v>
      </c>
      <c r="B163" s="15" t="s">
        <v>35</v>
      </c>
      <c r="C163" s="15" t="s">
        <v>7</v>
      </c>
      <c r="D163" s="15">
        <v>200</v>
      </c>
      <c r="E163" s="15">
        <v>235</v>
      </c>
      <c r="F163" s="15">
        <v>5.1454138699999996</v>
      </c>
      <c r="G163" s="15" t="s">
        <v>42</v>
      </c>
      <c r="H163" s="15">
        <v>223.5</v>
      </c>
      <c r="I163" s="15" t="s">
        <v>8</v>
      </c>
      <c r="J163" s="20" t="s">
        <v>55</v>
      </c>
      <c r="N163" s="18" t="str">
        <f t="shared" si="2"/>
        <v>Unique</v>
      </c>
    </row>
    <row r="164" spans="1:14" ht="27.6" customHeight="1" thickBot="1" x14ac:dyDescent="0.35">
      <c r="A164" s="15" t="s">
        <v>62</v>
      </c>
      <c r="B164" s="15" t="s">
        <v>19</v>
      </c>
      <c r="C164" s="15" t="s">
        <v>7</v>
      </c>
      <c r="D164" s="15">
        <v>50</v>
      </c>
      <c r="E164" s="15">
        <v>228</v>
      </c>
      <c r="F164" s="15">
        <v>5.2826006650000004</v>
      </c>
      <c r="G164" s="15" t="s">
        <v>40</v>
      </c>
      <c r="H164" s="15">
        <v>216.56</v>
      </c>
      <c r="I164" s="15" t="s">
        <v>8</v>
      </c>
      <c r="J164" s="15"/>
      <c r="N164" s="18" t="str">
        <f t="shared" si="2"/>
        <v>Unique</v>
      </c>
    </row>
    <row r="165" spans="1:14" ht="27.6" customHeight="1" thickBot="1" x14ac:dyDescent="0.35">
      <c r="A165" s="19">
        <v>46252.688194444447</v>
      </c>
      <c r="B165" s="15" t="s">
        <v>28</v>
      </c>
      <c r="C165" s="15" t="s">
        <v>7</v>
      </c>
      <c r="D165" s="15">
        <v>30</v>
      </c>
      <c r="E165" s="15">
        <v>930</v>
      </c>
      <c r="F165" s="15">
        <v>5.3227633069999998</v>
      </c>
      <c r="G165" s="15" t="s">
        <v>125</v>
      </c>
      <c r="H165" s="15">
        <v>883</v>
      </c>
      <c r="I165" s="15" t="s">
        <v>8</v>
      </c>
      <c r="J165" s="15"/>
      <c r="N165" s="18" t="str">
        <f t="shared" si="2"/>
        <v>Unique</v>
      </c>
    </row>
    <row r="166" spans="1:14" ht="15" customHeight="1" thickBot="1" x14ac:dyDescent="0.35">
      <c r="A166" s="19">
        <v>46252.688194444447</v>
      </c>
      <c r="B166" s="15" t="s">
        <v>14</v>
      </c>
      <c r="C166" s="15" t="s">
        <v>7</v>
      </c>
      <c r="D166" s="15">
        <v>50</v>
      </c>
      <c r="E166" s="15">
        <v>357</v>
      </c>
      <c r="F166" s="15">
        <v>5.4808686660000001</v>
      </c>
      <c r="G166" s="15" t="s">
        <v>45</v>
      </c>
      <c r="H166" s="15">
        <v>338.45</v>
      </c>
      <c r="I166" s="15" t="s">
        <v>8</v>
      </c>
      <c r="J166" s="15"/>
      <c r="N166" s="18" t="str">
        <f t="shared" si="2"/>
        <v>Unique</v>
      </c>
    </row>
    <row r="167" spans="1:14" ht="27.6" customHeight="1" thickBot="1" x14ac:dyDescent="0.35">
      <c r="A167" s="19">
        <v>46252.635416666664</v>
      </c>
      <c r="B167" s="15" t="s">
        <v>51</v>
      </c>
      <c r="C167" s="15" t="s">
        <v>7</v>
      </c>
      <c r="D167" s="15">
        <v>10</v>
      </c>
      <c r="E167" s="15">
        <v>997</v>
      </c>
      <c r="F167" s="15">
        <v>5.5082279490000001</v>
      </c>
      <c r="G167" s="15" t="s">
        <v>52</v>
      </c>
      <c r="H167" s="15">
        <v>944.95</v>
      </c>
      <c r="I167" s="15" t="s">
        <v>8</v>
      </c>
      <c r="J167" s="15" t="s">
        <v>41</v>
      </c>
      <c r="N167" s="18" t="str">
        <f t="shared" si="2"/>
        <v>Unique</v>
      </c>
    </row>
    <row r="168" spans="1:14" ht="27.6" customHeight="1" thickBot="1" x14ac:dyDescent="0.35">
      <c r="A168" s="15" t="s">
        <v>62</v>
      </c>
      <c r="B168" s="15" t="s">
        <v>121</v>
      </c>
      <c r="C168" s="15" t="s">
        <v>7</v>
      </c>
      <c r="D168" s="15">
        <v>20</v>
      </c>
      <c r="E168" s="15">
        <v>796</v>
      </c>
      <c r="F168" s="15">
        <v>5.8088528510000002</v>
      </c>
      <c r="G168" s="15" t="s">
        <v>122</v>
      </c>
      <c r="H168" s="15">
        <v>752.3</v>
      </c>
      <c r="I168" s="15" t="s">
        <v>8</v>
      </c>
      <c r="J168" s="15"/>
      <c r="N168" s="18" t="str">
        <f t="shared" si="2"/>
        <v>Unique</v>
      </c>
    </row>
    <row r="169" spans="1:14" ht="27.6" customHeight="1" thickBot="1" x14ac:dyDescent="0.35">
      <c r="A169" s="15" t="s">
        <v>62</v>
      </c>
      <c r="B169" s="15" t="s">
        <v>53</v>
      </c>
      <c r="C169" s="15" t="s">
        <v>7</v>
      </c>
      <c r="D169" s="15">
        <v>2</v>
      </c>
      <c r="E169" s="21">
        <v>2690</v>
      </c>
      <c r="F169" s="15">
        <v>5.8846683720000001</v>
      </c>
      <c r="G169" s="15" t="s">
        <v>54</v>
      </c>
      <c r="H169" s="15">
        <v>2540.5</v>
      </c>
      <c r="I169" s="15" t="s">
        <v>8</v>
      </c>
      <c r="J169" s="15" t="s">
        <v>41</v>
      </c>
      <c r="N169" s="18" t="str">
        <f t="shared" si="2"/>
        <v>Unique</v>
      </c>
    </row>
    <row r="170" spans="1:14" ht="27.6" customHeight="1" thickBot="1" x14ac:dyDescent="0.35">
      <c r="A170" s="15" t="s">
        <v>62</v>
      </c>
      <c r="B170" s="15" t="s">
        <v>128</v>
      </c>
      <c r="C170" s="15" t="s">
        <v>7</v>
      </c>
      <c r="D170" s="15">
        <v>150</v>
      </c>
      <c r="E170" s="15">
        <v>130</v>
      </c>
      <c r="F170" s="15">
        <v>6.1311127440000002</v>
      </c>
      <c r="G170" s="15" t="s">
        <v>129</v>
      </c>
      <c r="H170" s="15">
        <v>122.49</v>
      </c>
      <c r="I170" s="15" t="s">
        <v>8</v>
      </c>
      <c r="J170" s="15"/>
      <c r="N170" s="18" t="str">
        <f t="shared" si="2"/>
        <v>Unique</v>
      </c>
    </row>
    <row r="171" spans="1:14" ht="27.6" customHeight="1" thickBot="1" x14ac:dyDescent="0.35">
      <c r="A171" s="19">
        <v>46252.6875</v>
      </c>
      <c r="B171" s="15" t="s">
        <v>23</v>
      </c>
      <c r="C171" s="15" t="s">
        <v>7</v>
      </c>
      <c r="D171" s="15">
        <v>65</v>
      </c>
      <c r="E171" s="15">
        <v>219</v>
      </c>
      <c r="F171" s="15">
        <v>6.2590975249999996</v>
      </c>
      <c r="G171" s="15" t="s">
        <v>70</v>
      </c>
      <c r="H171" s="15">
        <v>206.1</v>
      </c>
      <c r="I171" s="15" t="s">
        <v>8</v>
      </c>
      <c r="J171" s="15" t="s">
        <v>55</v>
      </c>
      <c r="N171" s="18" t="str">
        <f t="shared" si="2"/>
        <v>Unique</v>
      </c>
    </row>
    <row r="172" spans="1:14" ht="15" customHeight="1" thickBot="1" x14ac:dyDescent="0.35">
      <c r="A172" s="15" t="s">
        <v>62</v>
      </c>
      <c r="B172" s="15" t="s">
        <v>6</v>
      </c>
      <c r="C172" s="15" t="s">
        <v>7</v>
      </c>
      <c r="D172" s="15">
        <v>120</v>
      </c>
      <c r="E172" s="15">
        <v>300.5</v>
      </c>
      <c r="F172" s="15">
        <v>6.3716814160000004</v>
      </c>
      <c r="G172" s="15" t="s">
        <v>130</v>
      </c>
      <c r="H172" s="15">
        <v>282.5</v>
      </c>
      <c r="I172" s="15" t="s">
        <v>8</v>
      </c>
      <c r="J172" s="15" t="s">
        <v>117</v>
      </c>
      <c r="N172" s="18" t="str">
        <f t="shared" si="2"/>
        <v>Unique</v>
      </c>
    </row>
    <row r="173" spans="1:14" ht="27.6" customHeight="1" thickBot="1" x14ac:dyDescent="0.35">
      <c r="A173" s="15" t="s">
        <v>62</v>
      </c>
      <c r="B173" s="15" t="s">
        <v>26</v>
      </c>
      <c r="C173" s="15" t="s">
        <v>7</v>
      </c>
      <c r="D173" s="15">
        <v>25</v>
      </c>
      <c r="E173" s="15">
        <v>199.9</v>
      </c>
      <c r="F173" s="15">
        <v>6.3807141720000002</v>
      </c>
      <c r="G173" s="15" t="s">
        <v>132</v>
      </c>
      <c r="H173" s="15">
        <v>187.91</v>
      </c>
      <c r="I173" s="15" t="s">
        <v>8</v>
      </c>
      <c r="J173" s="15"/>
      <c r="N173" s="18" t="str">
        <f t="shared" si="2"/>
        <v>Unique</v>
      </c>
    </row>
    <row r="174" spans="1:14" ht="15" customHeight="1" thickBot="1" x14ac:dyDescent="0.35">
      <c r="A174" s="19">
        <v>46252.635416666664</v>
      </c>
      <c r="B174" s="15" t="s">
        <v>35</v>
      </c>
      <c r="C174" s="15" t="s">
        <v>7</v>
      </c>
      <c r="D174" s="15">
        <v>120</v>
      </c>
      <c r="E174" s="15">
        <v>238.2</v>
      </c>
      <c r="F174" s="15">
        <v>6.5771812079999998</v>
      </c>
      <c r="G174" s="15" t="s">
        <v>42</v>
      </c>
      <c r="H174" s="15">
        <v>223.5</v>
      </c>
      <c r="I174" s="15" t="s">
        <v>8</v>
      </c>
      <c r="J174" s="15" t="s">
        <v>41</v>
      </c>
      <c r="K174" s="18" t="s">
        <v>155</v>
      </c>
      <c r="N174" s="18" t="str">
        <f t="shared" si="2"/>
        <v>Unique</v>
      </c>
    </row>
    <row r="175" spans="1:14" ht="16.2" customHeight="1" thickBot="1" x14ac:dyDescent="0.35">
      <c r="A175" s="15" t="s">
        <v>62</v>
      </c>
      <c r="B175" s="15" t="s">
        <v>68</v>
      </c>
      <c r="C175" s="15" t="s">
        <v>7</v>
      </c>
      <c r="D175" s="15">
        <v>10</v>
      </c>
      <c r="E175" s="15">
        <v>435</v>
      </c>
      <c r="F175" s="15">
        <v>6.5784637999999998</v>
      </c>
      <c r="G175" s="15" t="s">
        <v>69</v>
      </c>
      <c r="H175" s="15">
        <v>408.15</v>
      </c>
      <c r="I175" s="15" t="s">
        <v>8</v>
      </c>
      <c r="J175" s="15"/>
      <c r="N175" s="18" t="str">
        <f t="shared" si="2"/>
        <v>Unique</v>
      </c>
    </row>
    <row r="176" spans="1:14" ht="27.6" customHeight="1" thickBot="1" x14ac:dyDescent="0.35">
      <c r="A176" s="15" t="s">
        <v>62</v>
      </c>
      <c r="B176" s="15" t="s">
        <v>123</v>
      </c>
      <c r="C176" s="15" t="s">
        <v>7</v>
      </c>
      <c r="D176" s="15">
        <v>200</v>
      </c>
      <c r="E176" s="15">
        <v>90.75</v>
      </c>
      <c r="F176" s="15">
        <v>6.6141917289999999</v>
      </c>
      <c r="G176" s="15" t="s">
        <v>124</v>
      </c>
      <c r="H176" s="15">
        <v>85.12</v>
      </c>
      <c r="I176" s="15" t="s">
        <v>8</v>
      </c>
      <c r="J176" s="15" t="s">
        <v>55</v>
      </c>
      <c r="N176" s="18" t="str">
        <f t="shared" si="2"/>
        <v>Unique</v>
      </c>
    </row>
    <row r="177" spans="1:14" ht="27.6" customHeight="1" thickBot="1" x14ac:dyDescent="0.35">
      <c r="A177" s="19">
        <v>46252.688194444447</v>
      </c>
      <c r="B177" s="15" t="s">
        <v>14</v>
      </c>
      <c r="C177" s="15" t="s">
        <v>7</v>
      </c>
      <c r="D177" s="15">
        <v>50</v>
      </c>
      <c r="E177" s="15">
        <v>361</v>
      </c>
      <c r="F177" s="15">
        <v>6.6627271380000002</v>
      </c>
      <c r="G177" s="15" t="s">
        <v>45</v>
      </c>
      <c r="H177" s="15">
        <v>338.45</v>
      </c>
      <c r="I177" s="15" t="s">
        <v>8</v>
      </c>
      <c r="J177" s="15"/>
      <c r="N177" s="18" t="str">
        <f t="shared" si="2"/>
        <v>Unique</v>
      </c>
    </row>
    <row r="178" spans="1:14" ht="15" customHeight="1" thickBot="1" x14ac:dyDescent="0.35">
      <c r="A178" s="15" t="s">
        <v>62</v>
      </c>
      <c r="B178" s="15" t="s">
        <v>53</v>
      </c>
      <c r="C178" s="15" t="s">
        <v>7</v>
      </c>
      <c r="D178" s="15">
        <v>3</v>
      </c>
      <c r="E178" s="21">
        <v>2710</v>
      </c>
      <c r="F178" s="15">
        <v>6.6719149770000001</v>
      </c>
      <c r="G178" s="15" t="s">
        <v>54</v>
      </c>
      <c r="H178" s="15">
        <v>2540.5</v>
      </c>
      <c r="I178" s="15" t="s">
        <v>8</v>
      </c>
      <c r="J178" s="15"/>
      <c r="N178" s="18" t="str">
        <f t="shared" si="2"/>
        <v>Unique</v>
      </c>
    </row>
    <row r="179" spans="1:14" ht="40.799999999999997" customHeight="1" thickBot="1" x14ac:dyDescent="0.35">
      <c r="A179" s="19">
        <v>46252.6875</v>
      </c>
      <c r="B179" s="15" t="s">
        <v>13</v>
      </c>
      <c r="C179" s="15" t="s">
        <v>7</v>
      </c>
      <c r="D179" s="15">
        <v>5</v>
      </c>
      <c r="E179" s="15">
        <v>2014</v>
      </c>
      <c r="F179" s="15">
        <v>6.8435013260000002</v>
      </c>
      <c r="G179" s="15" t="s">
        <v>91</v>
      </c>
      <c r="H179" s="15">
        <v>1885</v>
      </c>
      <c r="I179" s="15" t="s">
        <v>8</v>
      </c>
      <c r="J179" s="15" t="s">
        <v>41</v>
      </c>
      <c r="N179" s="18" t="str">
        <f t="shared" si="2"/>
        <v>Unique</v>
      </c>
    </row>
    <row r="180" spans="1:14" ht="27.6" customHeight="1" thickBot="1" x14ac:dyDescent="0.35">
      <c r="A180" s="19">
        <v>46252.635416666664</v>
      </c>
      <c r="B180" s="15" t="s">
        <v>126</v>
      </c>
      <c r="C180" s="15" t="s">
        <v>7</v>
      </c>
      <c r="D180" s="15">
        <v>6</v>
      </c>
      <c r="E180" s="15">
        <v>548</v>
      </c>
      <c r="F180" s="15">
        <v>6.9059695669999996</v>
      </c>
      <c r="G180" s="15" t="s">
        <v>127</v>
      </c>
      <c r="H180" s="15">
        <v>512.6</v>
      </c>
      <c r="I180" s="15" t="s">
        <v>8</v>
      </c>
      <c r="J180" s="15"/>
      <c r="N180" s="18" t="str">
        <f t="shared" si="2"/>
        <v>Unique</v>
      </c>
    </row>
    <row r="181" spans="1:14" ht="40.799999999999997" customHeight="1" thickBot="1" x14ac:dyDescent="0.35">
      <c r="A181" s="15" t="s">
        <v>62</v>
      </c>
      <c r="B181" s="15" t="s">
        <v>43</v>
      </c>
      <c r="C181" s="15" t="s">
        <v>7</v>
      </c>
      <c r="D181" s="15">
        <v>10</v>
      </c>
      <c r="E181" s="21">
        <v>773</v>
      </c>
      <c r="F181" s="15">
        <v>6.915629322</v>
      </c>
      <c r="G181" s="15" t="s">
        <v>44</v>
      </c>
      <c r="H181" s="15">
        <v>723</v>
      </c>
      <c r="I181" s="15" t="s">
        <v>8</v>
      </c>
      <c r="J181" s="15" t="s">
        <v>118</v>
      </c>
      <c r="N181" s="18" t="str">
        <f t="shared" si="2"/>
        <v>Unique</v>
      </c>
    </row>
    <row r="182" spans="1:14" ht="27.6" customHeight="1" thickBot="1" x14ac:dyDescent="0.35">
      <c r="A182" s="15" t="s">
        <v>62</v>
      </c>
      <c r="B182" s="15" t="s">
        <v>35</v>
      </c>
      <c r="C182" s="15" t="s">
        <v>7</v>
      </c>
      <c r="D182" s="15">
        <v>200</v>
      </c>
      <c r="E182" s="15">
        <v>239</v>
      </c>
      <c r="F182" s="15">
        <v>6.9351230429999999</v>
      </c>
      <c r="G182" s="15" t="s">
        <v>42</v>
      </c>
      <c r="H182" s="15">
        <v>223.5</v>
      </c>
      <c r="I182" s="15" t="s">
        <v>8</v>
      </c>
      <c r="J182" s="15"/>
      <c r="N182" s="18" t="str">
        <f t="shared" si="2"/>
        <v>Unique</v>
      </c>
    </row>
    <row r="183" spans="1:14" ht="27.6" customHeight="1" thickBot="1" x14ac:dyDescent="0.35">
      <c r="A183" s="19">
        <v>46252.635416666664</v>
      </c>
      <c r="B183" s="15" t="s">
        <v>47</v>
      </c>
      <c r="C183" s="15" t="s">
        <v>7</v>
      </c>
      <c r="D183" s="15">
        <v>8</v>
      </c>
      <c r="E183" s="15">
        <v>2448</v>
      </c>
      <c r="F183" s="15">
        <v>7.0117153349999999</v>
      </c>
      <c r="G183" s="15" t="s">
        <v>48</v>
      </c>
      <c r="H183" s="15">
        <v>2287.6</v>
      </c>
      <c r="I183" s="15" t="s">
        <v>8</v>
      </c>
      <c r="J183" s="15"/>
      <c r="N183" s="18" t="str">
        <f t="shared" si="2"/>
        <v>Unique</v>
      </c>
    </row>
    <row r="184" spans="1:14" ht="27.6" customHeight="1" thickBot="1" x14ac:dyDescent="0.35">
      <c r="A184" s="19">
        <v>46252.635416666664</v>
      </c>
      <c r="B184" s="15" t="s">
        <v>78</v>
      </c>
      <c r="C184" s="15" t="s">
        <v>7</v>
      </c>
      <c r="D184" s="15">
        <v>7</v>
      </c>
      <c r="E184" s="15">
        <v>1424</v>
      </c>
      <c r="F184" s="15">
        <v>7.3501696189999999</v>
      </c>
      <c r="G184" s="15" t="s">
        <v>79</v>
      </c>
      <c r="H184" s="15">
        <v>1326.5</v>
      </c>
      <c r="I184" s="15" t="s">
        <v>8</v>
      </c>
      <c r="J184" s="15"/>
      <c r="N184" s="18" t="str">
        <f t="shared" si="2"/>
        <v>Unique</v>
      </c>
    </row>
    <row r="185" spans="1:14" ht="15" customHeight="1" thickBot="1" x14ac:dyDescent="0.35">
      <c r="A185" s="19">
        <v>46252.635416666664</v>
      </c>
      <c r="B185" s="15" t="s">
        <v>33</v>
      </c>
      <c r="C185" s="15" t="s">
        <v>7</v>
      </c>
      <c r="D185" s="15">
        <v>6</v>
      </c>
      <c r="E185" s="15">
        <v>2420</v>
      </c>
      <c r="F185" s="15">
        <v>7.5507755210000003</v>
      </c>
      <c r="G185" s="15" t="s">
        <v>84</v>
      </c>
      <c r="H185" s="15">
        <v>2250.1</v>
      </c>
      <c r="I185" s="15" t="s">
        <v>8</v>
      </c>
      <c r="J185" s="15"/>
      <c r="N185" s="18" t="str">
        <f t="shared" si="2"/>
        <v>Unique</v>
      </c>
    </row>
    <row r="186" spans="1:14" ht="27.6" customHeight="1" thickBot="1" x14ac:dyDescent="0.35">
      <c r="A186" s="19">
        <v>46252.688194444447</v>
      </c>
      <c r="B186" s="15" t="s">
        <v>21</v>
      </c>
      <c r="C186" s="15" t="s">
        <v>7</v>
      </c>
      <c r="D186" s="15">
        <v>5</v>
      </c>
      <c r="E186" s="15">
        <v>710</v>
      </c>
      <c r="F186" s="15">
        <v>7.575757576</v>
      </c>
      <c r="G186" s="15" t="s">
        <v>76</v>
      </c>
      <c r="H186" s="15">
        <v>660</v>
      </c>
      <c r="I186" s="15" t="s">
        <v>8</v>
      </c>
      <c r="J186" s="15"/>
      <c r="N186" s="18" t="str">
        <f t="shared" si="2"/>
        <v>Unique</v>
      </c>
    </row>
    <row r="187" spans="1:14" ht="27.6" customHeight="1" thickBot="1" x14ac:dyDescent="0.35">
      <c r="A187" s="15" t="s">
        <v>62</v>
      </c>
      <c r="B187" s="15" t="s">
        <v>9</v>
      </c>
      <c r="C187" s="15" t="s">
        <v>7</v>
      </c>
      <c r="D187" s="15">
        <v>50</v>
      </c>
      <c r="E187" s="15">
        <v>317</v>
      </c>
      <c r="F187" s="15">
        <v>7.6035302099999997</v>
      </c>
      <c r="G187" s="15" t="s">
        <v>95</v>
      </c>
      <c r="H187" s="15">
        <v>294.60000000000002</v>
      </c>
      <c r="I187" s="15" t="s">
        <v>8</v>
      </c>
      <c r="J187" s="15"/>
      <c r="N187" s="18" t="str">
        <f t="shared" si="2"/>
        <v>Unique</v>
      </c>
    </row>
    <row r="188" spans="1:14" ht="27.6" customHeight="1" thickBot="1" x14ac:dyDescent="0.35">
      <c r="A188" s="19">
        <v>46252.635416666664</v>
      </c>
      <c r="B188" s="15" t="s">
        <v>121</v>
      </c>
      <c r="C188" s="15" t="s">
        <v>7</v>
      </c>
      <c r="D188" s="15">
        <v>20</v>
      </c>
      <c r="E188" s="15">
        <v>810</v>
      </c>
      <c r="F188" s="15">
        <v>7.6698125749999999</v>
      </c>
      <c r="G188" s="15" t="s">
        <v>122</v>
      </c>
      <c r="H188" s="15">
        <v>752.3</v>
      </c>
      <c r="I188" s="15" t="s">
        <v>8</v>
      </c>
      <c r="J188" s="15"/>
      <c r="N188" s="18" t="str">
        <f t="shared" si="2"/>
        <v>Unique</v>
      </c>
    </row>
    <row r="189" spans="1:14" ht="27.6" customHeight="1" thickBot="1" x14ac:dyDescent="0.35">
      <c r="A189" s="15" t="s">
        <v>62</v>
      </c>
      <c r="B189" s="15" t="s">
        <v>123</v>
      </c>
      <c r="C189" s="15" t="s">
        <v>7</v>
      </c>
      <c r="D189" s="15">
        <v>200</v>
      </c>
      <c r="E189" s="15">
        <v>91.75</v>
      </c>
      <c r="F189" s="15">
        <v>7.7890037589999999</v>
      </c>
      <c r="G189" s="15" t="s">
        <v>124</v>
      </c>
      <c r="H189" s="15">
        <v>85.12</v>
      </c>
      <c r="I189" s="15" t="s">
        <v>8</v>
      </c>
      <c r="J189" s="15"/>
      <c r="N189" s="18" t="str">
        <f t="shared" si="2"/>
        <v>Unique</v>
      </c>
    </row>
    <row r="190" spans="1:14" ht="40.799999999999997" customHeight="1" thickBot="1" x14ac:dyDescent="0.35">
      <c r="A190" s="19">
        <v>46252.688194444447</v>
      </c>
      <c r="B190" s="15" t="s">
        <v>14</v>
      </c>
      <c r="C190" s="15" t="s">
        <v>7</v>
      </c>
      <c r="D190" s="15">
        <v>50</v>
      </c>
      <c r="E190" s="15">
        <v>365</v>
      </c>
      <c r="F190" s="15">
        <v>7.8445856110000003</v>
      </c>
      <c r="G190" s="15" t="s">
        <v>45</v>
      </c>
      <c r="H190" s="15">
        <v>338.45</v>
      </c>
      <c r="I190" s="15" t="s">
        <v>8</v>
      </c>
      <c r="J190" s="15"/>
      <c r="N190" s="18" t="str">
        <f t="shared" si="2"/>
        <v>Unique</v>
      </c>
    </row>
    <row r="191" spans="1:14" ht="27.6" customHeight="1" thickBot="1" x14ac:dyDescent="0.35">
      <c r="A191" s="19">
        <v>46253.375578703701</v>
      </c>
      <c r="B191" s="15" t="s">
        <v>31</v>
      </c>
      <c r="C191" s="15" t="s">
        <v>7</v>
      </c>
      <c r="D191" s="15">
        <v>5</v>
      </c>
      <c r="E191" s="15">
        <v>682</v>
      </c>
      <c r="F191" s="15">
        <v>8.0224914859999998</v>
      </c>
      <c r="G191" s="15" t="s">
        <v>94</v>
      </c>
      <c r="H191" s="15">
        <v>631.35</v>
      </c>
      <c r="I191" s="15" t="s">
        <v>8</v>
      </c>
      <c r="J191" s="15"/>
      <c r="K191" s="18" t="s">
        <v>149</v>
      </c>
      <c r="N191" s="18" t="str">
        <f t="shared" si="2"/>
        <v>Unique</v>
      </c>
    </row>
    <row r="192" spans="1:14" ht="15" customHeight="1" thickBot="1" x14ac:dyDescent="0.35">
      <c r="A192" s="15" t="s">
        <v>62</v>
      </c>
      <c r="B192" s="15" t="s">
        <v>17</v>
      </c>
      <c r="C192" s="15" t="s">
        <v>7</v>
      </c>
      <c r="D192" s="15">
        <v>25</v>
      </c>
      <c r="E192" s="15">
        <v>360</v>
      </c>
      <c r="F192" s="15">
        <v>8.1081081079999997</v>
      </c>
      <c r="G192" s="15" t="s">
        <v>77</v>
      </c>
      <c r="H192" s="15">
        <v>333</v>
      </c>
      <c r="I192" s="15" t="s">
        <v>8</v>
      </c>
      <c r="J192" s="15"/>
      <c r="N192" s="18" t="str">
        <f t="shared" si="2"/>
        <v>Unique</v>
      </c>
    </row>
    <row r="193" spans="1:14" ht="27.6" customHeight="1" thickBot="1" x14ac:dyDescent="0.35">
      <c r="A193" s="15" t="s">
        <v>62</v>
      </c>
      <c r="B193" s="15" t="s">
        <v>133</v>
      </c>
      <c r="C193" s="15" t="s">
        <v>7</v>
      </c>
      <c r="D193" s="15">
        <v>150</v>
      </c>
      <c r="E193" s="15">
        <v>123.4</v>
      </c>
      <c r="F193" s="15">
        <v>8.3216292129999996</v>
      </c>
      <c r="G193" s="15" t="s">
        <v>134</v>
      </c>
      <c r="H193" s="15">
        <v>113.92</v>
      </c>
      <c r="I193" s="15" t="s">
        <v>8</v>
      </c>
      <c r="J193" s="15" t="s">
        <v>41</v>
      </c>
      <c r="N193" s="18" t="str">
        <f t="shared" si="2"/>
        <v>Unique</v>
      </c>
    </row>
    <row r="194" spans="1:14" ht="16.2" customHeight="1" thickBot="1" x14ac:dyDescent="0.35">
      <c r="A194" s="15" t="s">
        <v>62</v>
      </c>
      <c r="B194" s="15" t="s">
        <v>51</v>
      </c>
      <c r="C194" s="15" t="s">
        <v>7</v>
      </c>
      <c r="D194" s="15">
        <v>10</v>
      </c>
      <c r="E194" s="22">
        <v>1024</v>
      </c>
      <c r="F194" s="15">
        <v>8.3655219850000009</v>
      </c>
      <c r="G194" s="15" t="s">
        <v>52</v>
      </c>
      <c r="H194" s="15">
        <v>944.95</v>
      </c>
      <c r="I194" s="15" t="s">
        <v>8</v>
      </c>
      <c r="J194" s="15" t="s">
        <v>118</v>
      </c>
      <c r="N194" s="18" t="str">
        <f t="shared" ref="N194:N248" si="3">IF(COUNTIFS( $B$2:$B$952, B194, $C$2:$C$952, C194, $D$2:$D$952, D194, $E$2:$E$952, E194) &gt; 1, "Duplicate", "Unique")</f>
        <v>Unique</v>
      </c>
    </row>
    <row r="195" spans="1:14" ht="27.6" customHeight="1" thickBot="1" x14ac:dyDescent="0.35">
      <c r="A195" s="15" t="s">
        <v>62</v>
      </c>
      <c r="B195" s="15" t="s">
        <v>74</v>
      </c>
      <c r="C195" s="15" t="s">
        <v>7</v>
      </c>
      <c r="D195" s="15">
        <v>5</v>
      </c>
      <c r="E195" s="15">
        <v>3633</v>
      </c>
      <c r="F195" s="15">
        <v>8.5449656409999992</v>
      </c>
      <c r="G195" s="15" t="s">
        <v>75</v>
      </c>
      <c r="H195" s="15">
        <v>3347</v>
      </c>
      <c r="I195" s="15" t="s">
        <v>8</v>
      </c>
      <c r="J195" s="15"/>
      <c r="N195" s="18" t="str">
        <f t="shared" si="3"/>
        <v>Unique</v>
      </c>
    </row>
    <row r="196" spans="1:14" ht="16.2" customHeight="1" thickBot="1" x14ac:dyDescent="0.35">
      <c r="A196" s="15" t="s">
        <v>62</v>
      </c>
      <c r="B196" s="15" t="s">
        <v>135</v>
      </c>
      <c r="C196" s="15" t="s">
        <v>7</v>
      </c>
      <c r="D196" s="15">
        <v>5</v>
      </c>
      <c r="E196" s="15">
        <v>2190</v>
      </c>
      <c r="F196" s="15">
        <v>8.6309523810000002</v>
      </c>
      <c r="G196" s="15" t="s">
        <v>136</v>
      </c>
      <c r="H196" s="15">
        <v>2016</v>
      </c>
      <c r="I196" s="15" t="s">
        <v>8</v>
      </c>
      <c r="J196" s="15" t="s">
        <v>118</v>
      </c>
      <c r="N196" s="18" t="str">
        <f t="shared" si="3"/>
        <v>Unique</v>
      </c>
    </row>
    <row r="197" spans="1:14" ht="27.6" customHeight="1" thickBot="1" x14ac:dyDescent="0.35">
      <c r="A197" s="15" t="s">
        <v>62</v>
      </c>
      <c r="B197" s="15" t="s">
        <v>9</v>
      </c>
      <c r="C197" s="15" t="s">
        <v>7</v>
      </c>
      <c r="D197" s="15">
        <v>40</v>
      </c>
      <c r="E197" s="15">
        <v>320.5</v>
      </c>
      <c r="F197" s="15">
        <v>8.7915818059999999</v>
      </c>
      <c r="G197" s="15" t="s">
        <v>95</v>
      </c>
      <c r="H197" s="15">
        <v>294.60000000000002</v>
      </c>
      <c r="I197" s="15" t="s">
        <v>8</v>
      </c>
      <c r="J197" s="15"/>
      <c r="N197" s="18" t="str">
        <f t="shared" si="3"/>
        <v>Unique</v>
      </c>
    </row>
    <row r="198" spans="1:14" ht="27.6" customHeight="1" thickBot="1" x14ac:dyDescent="0.35">
      <c r="A198" s="15" t="s">
        <v>62</v>
      </c>
      <c r="B198" s="15" t="s">
        <v>24</v>
      </c>
      <c r="C198" s="15" t="s">
        <v>7</v>
      </c>
      <c r="D198" s="15">
        <v>5</v>
      </c>
      <c r="E198" s="15">
        <v>467.25</v>
      </c>
      <c r="F198" s="15">
        <v>9.0686274509999993</v>
      </c>
      <c r="G198" s="15" t="s">
        <v>56</v>
      </c>
      <c r="H198" s="15">
        <v>428.4</v>
      </c>
      <c r="I198" s="15" t="s">
        <v>8</v>
      </c>
      <c r="J198" s="15"/>
      <c r="N198" s="18" t="str">
        <f t="shared" si="3"/>
        <v>Unique</v>
      </c>
    </row>
    <row r="199" spans="1:14" ht="27.6" customHeight="1" thickBot="1" x14ac:dyDescent="0.35">
      <c r="A199" s="15" t="s">
        <v>62</v>
      </c>
      <c r="B199" s="15" t="s">
        <v>35</v>
      </c>
      <c r="C199" s="15" t="s">
        <v>7</v>
      </c>
      <c r="D199" s="15">
        <v>200</v>
      </c>
      <c r="E199" s="21">
        <v>244</v>
      </c>
      <c r="F199" s="15">
        <v>9.1722595079999998</v>
      </c>
      <c r="G199" s="15" t="s">
        <v>42</v>
      </c>
      <c r="H199" s="15">
        <v>223.5</v>
      </c>
      <c r="I199" s="15" t="s">
        <v>8</v>
      </c>
      <c r="J199" s="15" t="s">
        <v>118</v>
      </c>
      <c r="N199" s="18" t="str">
        <f t="shared" si="3"/>
        <v>Unique</v>
      </c>
    </row>
    <row r="200" spans="1:14" ht="40.799999999999997" customHeight="1" thickBot="1" x14ac:dyDescent="0.35">
      <c r="A200" s="15" t="s">
        <v>62</v>
      </c>
      <c r="B200" s="15" t="s">
        <v>43</v>
      </c>
      <c r="C200" s="15" t="s">
        <v>7</v>
      </c>
      <c r="D200" s="15">
        <v>5</v>
      </c>
      <c r="E200" s="21">
        <v>790</v>
      </c>
      <c r="F200" s="15">
        <v>9.2669432920000006</v>
      </c>
      <c r="G200" s="15" t="s">
        <v>44</v>
      </c>
      <c r="H200" s="15">
        <v>723</v>
      </c>
      <c r="I200" s="15" t="s">
        <v>8</v>
      </c>
      <c r="J200" s="15"/>
      <c r="N200" s="18" t="str">
        <f t="shared" si="3"/>
        <v>Unique</v>
      </c>
    </row>
    <row r="201" spans="1:14" ht="27.6" customHeight="1" thickBot="1" x14ac:dyDescent="0.35">
      <c r="A201" s="15" t="s">
        <v>62</v>
      </c>
      <c r="B201" s="15" t="s">
        <v>119</v>
      </c>
      <c r="C201" s="15" t="s">
        <v>7</v>
      </c>
      <c r="D201" s="15">
        <v>15</v>
      </c>
      <c r="E201" s="15">
        <v>1090</v>
      </c>
      <c r="F201" s="15">
        <v>9.4377510040000008</v>
      </c>
      <c r="G201" s="15" t="s">
        <v>120</v>
      </c>
      <c r="H201" s="15">
        <v>996</v>
      </c>
      <c r="I201" s="15" t="s">
        <v>8</v>
      </c>
      <c r="J201" s="15"/>
      <c r="N201" s="18" t="str">
        <f t="shared" si="3"/>
        <v>Unique</v>
      </c>
    </row>
    <row r="202" spans="1:14" ht="27.6" customHeight="1" thickBot="1" x14ac:dyDescent="0.35">
      <c r="A202" s="19">
        <v>46252.635416666664</v>
      </c>
      <c r="B202" s="15" t="s">
        <v>87</v>
      </c>
      <c r="C202" s="15" t="s">
        <v>7</v>
      </c>
      <c r="D202" s="15">
        <v>10</v>
      </c>
      <c r="E202" s="15">
        <v>1479</v>
      </c>
      <c r="F202" s="15">
        <v>9.6286413159999995</v>
      </c>
      <c r="G202" s="15" t="s">
        <v>88</v>
      </c>
      <c r="H202" s="15">
        <v>1349.1</v>
      </c>
      <c r="I202" s="15" t="s">
        <v>8</v>
      </c>
      <c r="J202" s="15" t="s">
        <v>55</v>
      </c>
      <c r="N202" s="18" t="str">
        <f t="shared" si="3"/>
        <v>Unique</v>
      </c>
    </row>
    <row r="203" spans="1:14" ht="40.799999999999997" customHeight="1" thickBot="1" x14ac:dyDescent="0.35">
      <c r="A203" s="15" t="s">
        <v>62</v>
      </c>
      <c r="B203" s="15" t="s">
        <v>133</v>
      </c>
      <c r="C203" s="15" t="s">
        <v>7</v>
      </c>
      <c r="D203" s="15">
        <v>150</v>
      </c>
      <c r="E203" s="21">
        <v>124.9</v>
      </c>
      <c r="F203" s="15">
        <v>9.6383426970000006</v>
      </c>
      <c r="G203" s="15" t="s">
        <v>134</v>
      </c>
      <c r="H203" s="15">
        <v>113.92</v>
      </c>
      <c r="I203" s="15" t="s">
        <v>8</v>
      </c>
      <c r="J203" s="20" t="s">
        <v>117</v>
      </c>
      <c r="N203" s="18" t="str">
        <f t="shared" si="3"/>
        <v>Unique</v>
      </c>
    </row>
    <row r="204" spans="1:14" ht="27.6" customHeight="1" thickBot="1" x14ac:dyDescent="0.35">
      <c r="A204" s="15" t="s">
        <v>62</v>
      </c>
      <c r="B204" s="15" t="s">
        <v>6</v>
      </c>
      <c r="C204" s="15" t="s">
        <v>7</v>
      </c>
      <c r="D204" s="15">
        <v>100</v>
      </c>
      <c r="E204" s="15">
        <v>310.5</v>
      </c>
      <c r="F204" s="15">
        <v>9.9115044250000004</v>
      </c>
      <c r="G204" s="15" t="s">
        <v>130</v>
      </c>
      <c r="H204" s="15">
        <v>282.5</v>
      </c>
      <c r="I204" s="15" t="s">
        <v>8</v>
      </c>
      <c r="J204" s="15"/>
      <c r="N204" s="18" t="str">
        <f t="shared" si="3"/>
        <v>Unique</v>
      </c>
    </row>
    <row r="205" spans="1:14" ht="27.6" customHeight="1" thickBot="1" x14ac:dyDescent="0.35">
      <c r="A205" s="15" t="s">
        <v>62</v>
      </c>
      <c r="B205" s="15" t="s">
        <v>14</v>
      </c>
      <c r="C205" s="15" t="s">
        <v>7</v>
      </c>
      <c r="D205" s="15">
        <v>17</v>
      </c>
      <c r="E205" s="15">
        <v>373</v>
      </c>
      <c r="F205" s="15">
        <v>10.20830256</v>
      </c>
      <c r="G205" s="15" t="s">
        <v>45</v>
      </c>
      <c r="H205" s="15">
        <v>338.45</v>
      </c>
      <c r="I205" s="15" t="s">
        <v>8</v>
      </c>
      <c r="J205" s="15"/>
      <c r="N205" s="18" t="str">
        <f t="shared" si="3"/>
        <v>Unique</v>
      </c>
    </row>
    <row r="206" spans="1:14" ht="16.2" customHeight="1" thickBot="1" x14ac:dyDescent="0.35">
      <c r="A206" s="15" t="s">
        <v>62</v>
      </c>
      <c r="B206" s="15" t="s">
        <v>14</v>
      </c>
      <c r="C206" s="15" t="s">
        <v>7</v>
      </c>
      <c r="D206" s="15">
        <v>50</v>
      </c>
      <c r="E206" s="21">
        <v>373</v>
      </c>
      <c r="F206" s="15">
        <v>10.20830256</v>
      </c>
      <c r="G206" s="15" t="s">
        <v>45</v>
      </c>
      <c r="H206" s="15">
        <v>338.45</v>
      </c>
      <c r="I206" s="15" t="s">
        <v>8</v>
      </c>
      <c r="J206" s="15" t="s">
        <v>41</v>
      </c>
      <c r="N206" s="18" t="str">
        <f t="shared" si="3"/>
        <v>Unique</v>
      </c>
    </row>
    <row r="207" spans="1:14" ht="40.799999999999997" customHeight="1" thickBot="1" x14ac:dyDescent="0.35">
      <c r="A207" s="15" t="s">
        <v>62</v>
      </c>
      <c r="B207" s="15" t="s">
        <v>28</v>
      </c>
      <c r="C207" s="15" t="s">
        <v>7</v>
      </c>
      <c r="D207" s="15">
        <v>30</v>
      </c>
      <c r="E207" s="22">
        <v>974</v>
      </c>
      <c r="F207" s="15">
        <v>10.30577576</v>
      </c>
      <c r="G207" s="15" t="s">
        <v>125</v>
      </c>
      <c r="H207" s="15">
        <v>883</v>
      </c>
      <c r="I207" s="15" t="s">
        <v>8</v>
      </c>
      <c r="J207" s="15"/>
      <c r="N207" s="18" t="str">
        <f t="shared" si="3"/>
        <v>Unique</v>
      </c>
    </row>
    <row r="208" spans="1:14" ht="15" customHeight="1" thickBot="1" x14ac:dyDescent="0.35">
      <c r="A208" s="15" t="s">
        <v>62</v>
      </c>
      <c r="B208" s="15" t="s">
        <v>133</v>
      </c>
      <c r="C208" s="15" t="s">
        <v>7</v>
      </c>
      <c r="D208" s="15">
        <v>150</v>
      </c>
      <c r="E208" s="21">
        <v>125.9</v>
      </c>
      <c r="F208" s="15">
        <v>10.516151689999999</v>
      </c>
      <c r="G208" s="15" t="s">
        <v>134</v>
      </c>
      <c r="H208" s="15">
        <v>113.92</v>
      </c>
      <c r="I208" s="15" t="s">
        <v>8</v>
      </c>
      <c r="J208" s="15"/>
      <c r="N208" s="18" t="str">
        <f t="shared" si="3"/>
        <v>Unique</v>
      </c>
    </row>
    <row r="209" spans="1:14" ht="27.6" customHeight="1" thickBot="1" x14ac:dyDescent="0.35">
      <c r="A209" s="15" t="s">
        <v>62</v>
      </c>
      <c r="B209" s="15" t="s">
        <v>21</v>
      </c>
      <c r="C209" s="15" t="s">
        <v>7</v>
      </c>
      <c r="D209" s="15">
        <v>5</v>
      </c>
      <c r="E209" s="15">
        <v>730</v>
      </c>
      <c r="F209" s="15">
        <v>10.60606061</v>
      </c>
      <c r="G209" s="15" t="s">
        <v>76</v>
      </c>
      <c r="H209" s="15">
        <v>660</v>
      </c>
      <c r="I209" s="15" t="s">
        <v>8</v>
      </c>
      <c r="J209" s="15"/>
      <c r="N209" s="18" t="str">
        <f t="shared" si="3"/>
        <v>Unique</v>
      </c>
    </row>
    <row r="210" spans="1:14" ht="27.6" customHeight="1" thickBot="1" x14ac:dyDescent="0.35">
      <c r="A210" s="15" t="s">
        <v>62</v>
      </c>
      <c r="B210" s="15" t="s">
        <v>74</v>
      </c>
      <c r="C210" s="15" t="s">
        <v>7</v>
      </c>
      <c r="D210" s="15">
        <v>1</v>
      </c>
      <c r="E210" s="15">
        <v>3710</v>
      </c>
      <c r="F210" s="15">
        <v>10.84553331</v>
      </c>
      <c r="G210" s="15" t="s">
        <v>75</v>
      </c>
      <c r="H210" s="15">
        <v>3347</v>
      </c>
      <c r="I210" s="15" t="s">
        <v>8</v>
      </c>
      <c r="J210" s="15" t="s">
        <v>118</v>
      </c>
      <c r="N210" s="18" t="str">
        <f t="shared" si="3"/>
        <v>Unique</v>
      </c>
    </row>
    <row r="211" spans="1:14" ht="27.6" customHeight="1" thickBot="1" x14ac:dyDescent="0.35">
      <c r="A211" s="15" t="s">
        <v>62</v>
      </c>
      <c r="B211" s="15" t="s">
        <v>138</v>
      </c>
      <c r="C211" s="15" t="s">
        <v>7</v>
      </c>
      <c r="D211" s="15">
        <v>50</v>
      </c>
      <c r="E211" s="21">
        <v>480</v>
      </c>
      <c r="F211" s="15">
        <v>10.931361219999999</v>
      </c>
      <c r="G211" s="15" t="s">
        <v>139</v>
      </c>
      <c r="H211" s="15">
        <v>432.7</v>
      </c>
      <c r="I211" s="15" t="s">
        <v>8</v>
      </c>
      <c r="J211" s="15"/>
      <c r="N211" s="18" t="str">
        <f t="shared" si="3"/>
        <v>Unique</v>
      </c>
    </row>
    <row r="212" spans="1:14" ht="27.6" customHeight="1" thickBot="1" x14ac:dyDescent="0.35">
      <c r="A212" s="15" t="s">
        <v>62</v>
      </c>
      <c r="B212" s="15" t="s">
        <v>128</v>
      </c>
      <c r="C212" s="15" t="s">
        <v>7</v>
      </c>
      <c r="D212" s="15">
        <v>150</v>
      </c>
      <c r="E212" s="21">
        <v>136</v>
      </c>
      <c r="F212" s="15">
        <v>11.029471790000001</v>
      </c>
      <c r="G212" s="15" t="s">
        <v>129</v>
      </c>
      <c r="H212" s="15">
        <v>122.49</v>
      </c>
      <c r="I212" s="15" t="s">
        <v>8</v>
      </c>
      <c r="J212" s="15"/>
      <c r="N212" s="18" t="str">
        <f t="shared" si="3"/>
        <v>Unique</v>
      </c>
    </row>
    <row r="213" spans="1:14" ht="27.6" customHeight="1" thickBot="1" x14ac:dyDescent="0.35">
      <c r="A213" s="19">
        <v>46252.6875</v>
      </c>
      <c r="B213" s="15" t="s">
        <v>13</v>
      </c>
      <c r="C213" s="15" t="s">
        <v>7</v>
      </c>
      <c r="D213" s="15">
        <v>5</v>
      </c>
      <c r="E213" s="15">
        <v>2094</v>
      </c>
      <c r="F213" s="15">
        <v>11.08753316</v>
      </c>
      <c r="G213" s="15" t="s">
        <v>91</v>
      </c>
      <c r="H213" s="15">
        <v>1885</v>
      </c>
      <c r="I213" s="15" t="s">
        <v>8</v>
      </c>
      <c r="J213" s="15" t="s">
        <v>118</v>
      </c>
      <c r="N213" s="18" t="str">
        <f t="shared" si="3"/>
        <v>Unique</v>
      </c>
    </row>
    <row r="214" spans="1:14" ht="27.6" customHeight="1" thickBot="1" x14ac:dyDescent="0.35">
      <c r="A214" s="15" t="s">
        <v>62</v>
      </c>
      <c r="B214" s="23" t="s">
        <v>23</v>
      </c>
      <c r="C214" s="15" t="s">
        <v>7</v>
      </c>
      <c r="D214" s="15">
        <v>40</v>
      </c>
      <c r="E214" s="24">
        <v>229</v>
      </c>
      <c r="F214" s="15">
        <v>11.11111111</v>
      </c>
      <c r="G214" s="15" t="s">
        <v>70</v>
      </c>
      <c r="H214" s="15">
        <v>206.1</v>
      </c>
      <c r="I214" s="15" t="s">
        <v>8</v>
      </c>
      <c r="J214" s="15"/>
      <c r="N214" s="18" t="str">
        <f t="shared" si="3"/>
        <v>Unique</v>
      </c>
    </row>
    <row r="215" spans="1:14" ht="27.6" customHeight="1" thickBot="1" x14ac:dyDescent="0.35">
      <c r="A215" s="15" t="s">
        <v>62</v>
      </c>
      <c r="B215" s="15" t="s">
        <v>6</v>
      </c>
      <c r="C215" s="15" t="s">
        <v>7</v>
      </c>
      <c r="D215" s="15">
        <v>100</v>
      </c>
      <c r="E215" s="22">
        <v>314</v>
      </c>
      <c r="F215" s="15">
        <v>11.150442480000001</v>
      </c>
      <c r="G215" s="15" t="s">
        <v>130</v>
      </c>
      <c r="H215" s="15">
        <v>282.5</v>
      </c>
      <c r="I215" s="15" t="s">
        <v>8</v>
      </c>
      <c r="J215" s="15"/>
      <c r="N215" s="18" t="str">
        <f t="shared" si="3"/>
        <v>Unique</v>
      </c>
    </row>
    <row r="216" spans="1:14" ht="16.2" customHeight="1" thickBot="1" x14ac:dyDescent="0.35">
      <c r="A216" s="15" t="s">
        <v>62</v>
      </c>
      <c r="B216" s="15" t="s">
        <v>35</v>
      </c>
      <c r="C216" s="15" t="s">
        <v>7</v>
      </c>
      <c r="D216" s="15">
        <v>200</v>
      </c>
      <c r="E216" s="21">
        <v>249</v>
      </c>
      <c r="F216" s="15">
        <v>11.40939597</v>
      </c>
      <c r="G216" s="15" t="s">
        <v>42</v>
      </c>
      <c r="H216" s="15">
        <v>223.5</v>
      </c>
      <c r="I216" s="15" t="s">
        <v>8</v>
      </c>
      <c r="J216" s="15"/>
      <c r="N216" s="18" t="str">
        <f t="shared" si="3"/>
        <v>Unique</v>
      </c>
    </row>
    <row r="217" spans="1:14" ht="40.799999999999997" customHeight="1" thickBot="1" x14ac:dyDescent="0.35">
      <c r="A217" s="15" t="s">
        <v>62</v>
      </c>
      <c r="B217" s="15" t="s">
        <v>28</v>
      </c>
      <c r="C217" s="15" t="s">
        <v>7</v>
      </c>
      <c r="D217" s="15">
        <v>5</v>
      </c>
      <c r="E217" s="21">
        <v>986</v>
      </c>
      <c r="F217" s="15">
        <v>11.66477916</v>
      </c>
      <c r="G217" s="15" t="s">
        <v>125</v>
      </c>
      <c r="H217" s="15">
        <v>883</v>
      </c>
      <c r="I217" s="15" t="s">
        <v>8</v>
      </c>
      <c r="J217" s="15"/>
      <c r="N217" s="18" t="str">
        <f t="shared" si="3"/>
        <v>Unique</v>
      </c>
    </row>
    <row r="218" spans="1:14" ht="27.6" customHeight="1" thickBot="1" x14ac:dyDescent="0.35">
      <c r="A218" s="15" t="s">
        <v>62</v>
      </c>
      <c r="B218" s="15" t="s">
        <v>26</v>
      </c>
      <c r="C218" s="15" t="s">
        <v>7</v>
      </c>
      <c r="D218" s="15">
        <v>25</v>
      </c>
      <c r="E218" s="15">
        <v>210</v>
      </c>
      <c r="F218" s="15">
        <v>11.755627690000001</v>
      </c>
      <c r="G218" s="15" t="s">
        <v>132</v>
      </c>
      <c r="H218" s="15">
        <v>187.91</v>
      </c>
      <c r="I218" s="15" t="s">
        <v>8</v>
      </c>
      <c r="J218" s="15"/>
      <c r="N218" s="18" t="str">
        <f t="shared" si="3"/>
        <v>Unique</v>
      </c>
    </row>
    <row r="219" spans="1:14" ht="27.6" customHeight="1" thickBot="1" x14ac:dyDescent="0.35">
      <c r="A219" s="15" t="s">
        <v>62</v>
      </c>
      <c r="B219" s="15" t="s">
        <v>63</v>
      </c>
      <c r="C219" s="15" t="s">
        <v>7</v>
      </c>
      <c r="D219" s="15">
        <v>11</v>
      </c>
      <c r="E219" s="21">
        <v>1170</v>
      </c>
      <c r="F219" s="15">
        <v>11.983154669999999</v>
      </c>
      <c r="G219" s="15" t="s">
        <v>64</v>
      </c>
      <c r="H219" s="15">
        <v>1044.8</v>
      </c>
      <c r="I219" s="15" t="s">
        <v>8</v>
      </c>
      <c r="J219" s="15"/>
      <c r="N219" s="18" t="str">
        <f t="shared" si="3"/>
        <v>Unique</v>
      </c>
    </row>
    <row r="220" spans="1:14" ht="27.6" customHeight="1" thickBot="1" x14ac:dyDescent="0.35">
      <c r="A220" s="15" t="s">
        <v>62</v>
      </c>
      <c r="B220" s="15" t="s">
        <v>13</v>
      </c>
      <c r="C220" s="15" t="s">
        <v>7</v>
      </c>
      <c r="D220" s="15">
        <v>10</v>
      </c>
      <c r="E220" s="15">
        <v>2114</v>
      </c>
      <c r="F220" s="15">
        <v>12.14854111</v>
      </c>
      <c r="G220" s="15" t="s">
        <v>91</v>
      </c>
      <c r="H220" s="15">
        <v>1885</v>
      </c>
      <c r="I220" s="15" t="s">
        <v>8</v>
      </c>
      <c r="J220" s="15"/>
      <c r="N220" s="18" t="str">
        <f t="shared" si="3"/>
        <v>Unique</v>
      </c>
    </row>
    <row r="221" spans="1:14" ht="27.6" customHeight="1" thickBot="1" x14ac:dyDescent="0.35">
      <c r="A221" s="15" t="s">
        <v>62</v>
      </c>
      <c r="B221" s="15" t="s">
        <v>6</v>
      </c>
      <c r="C221" s="15" t="s">
        <v>7</v>
      </c>
      <c r="D221" s="15">
        <v>100</v>
      </c>
      <c r="E221" s="21">
        <v>318</v>
      </c>
      <c r="F221" s="15">
        <v>12.56637168</v>
      </c>
      <c r="G221" s="15" t="s">
        <v>130</v>
      </c>
      <c r="H221" s="15">
        <v>282.5</v>
      </c>
      <c r="I221" s="15" t="s">
        <v>8</v>
      </c>
      <c r="J221" s="15"/>
      <c r="N221" s="18" t="str">
        <f t="shared" si="3"/>
        <v>Unique</v>
      </c>
    </row>
    <row r="222" spans="1:14" ht="27.6" customHeight="1" thickBot="1" x14ac:dyDescent="0.35">
      <c r="A222" s="15" t="s">
        <v>62</v>
      </c>
      <c r="B222" s="23" t="s">
        <v>28</v>
      </c>
      <c r="C222" s="15" t="s">
        <v>7</v>
      </c>
      <c r="D222" s="15">
        <v>40</v>
      </c>
      <c r="E222" s="24">
        <v>996</v>
      </c>
      <c r="F222" s="15">
        <v>12.79728199</v>
      </c>
      <c r="G222" s="15" t="s">
        <v>125</v>
      </c>
      <c r="H222" s="15">
        <v>883</v>
      </c>
      <c r="I222" s="15" t="s">
        <v>8</v>
      </c>
      <c r="J222" s="15" t="s">
        <v>118</v>
      </c>
      <c r="N222" s="18" t="str">
        <f t="shared" si="3"/>
        <v>Unique</v>
      </c>
    </row>
    <row r="223" spans="1:14" ht="27.6" customHeight="1" thickBot="1" x14ac:dyDescent="0.35">
      <c r="A223" s="15" t="s">
        <v>62</v>
      </c>
      <c r="B223" s="15" t="s">
        <v>6</v>
      </c>
      <c r="C223" s="15" t="s">
        <v>7</v>
      </c>
      <c r="D223" s="15">
        <v>100</v>
      </c>
      <c r="E223" s="22">
        <v>319</v>
      </c>
      <c r="F223" s="15">
        <v>12.92035398</v>
      </c>
      <c r="G223" s="15" t="s">
        <v>130</v>
      </c>
      <c r="H223" s="15">
        <v>282.5</v>
      </c>
      <c r="I223" s="15" t="s">
        <v>8</v>
      </c>
      <c r="J223" s="15"/>
      <c r="N223" s="18" t="str">
        <f t="shared" si="3"/>
        <v>Unique</v>
      </c>
    </row>
    <row r="224" spans="1:14" ht="27.6" customHeight="1" thickBot="1" x14ac:dyDescent="0.35">
      <c r="A224" s="15" t="s">
        <v>62</v>
      </c>
      <c r="B224" s="15" t="s">
        <v>14</v>
      </c>
      <c r="C224" s="15" t="s">
        <v>7</v>
      </c>
      <c r="D224" s="15">
        <v>50</v>
      </c>
      <c r="E224" s="21">
        <v>383</v>
      </c>
      <c r="F224" s="15">
        <v>13.162948739999999</v>
      </c>
      <c r="G224" s="15" t="s">
        <v>45</v>
      </c>
      <c r="H224" s="15">
        <v>338.45</v>
      </c>
      <c r="I224" s="15" t="s">
        <v>8</v>
      </c>
      <c r="J224" s="15"/>
      <c r="N224" s="18" t="str">
        <f t="shared" si="3"/>
        <v>Unique</v>
      </c>
    </row>
    <row r="225" spans="1:14" ht="14.4" customHeight="1" thickBot="1" x14ac:dyDescent="0.35">
      <c r="A225" s="15" t="s">
        <v>62</v>
      </c>
      <c r="B225" s="15" t="s">
        <v>57</v>
      </c>
      <c r="C225" s="15" t="s">
        <v>7</v>
      </c>
      <c r="D225" s="15">
        <v>3</v>
      </c>
      <c r="E225" s="21">
        <v>3341</v>
      </c>
      <c r="F225" s="15">
        <v>13.442667480000001</v>
      </c>
      <c r="G225" s="15" t="s">
        <v>58</v>
      </c>
      <c r="H225" s="15">
        <v>2945.1</v>
      </c>
      <c r="I225" s="15" t="s">
        <v>8</v>
      </c>
      <c r="J225" s="15"/>
      <c r="N225" s="18" t="str">
        <f t="shared" si="3"/>
        <v>Unique</v>
      </c>
    </row>
    <row r="226" spans="1:14" ht="15.6" customHeight="1" thickBot="1" x14ac:dyDescent="0.35">
      <c r="A226" s="15" t="s">
        <v>62</v>
      </c>
      <c r="B226" s="15" t="s">
        <v>28</v>
      </c>
      <c r="C226" s="15" t="s">
        <v>7</v>
      </c>
      <c r="D226" s="15">
        <v>5</v>
      </c>
      <c r="E226" s="21">
        <v>1002</v>
      </c>
      <c r="F226" s="15">
        <v>13.47678369</v>
      </c>
      <c r="G226" s="15" t="s">
        <v>125</v>
      </c>
      <c r="H226" s="15">
        <v>883</v>
      </c>
      <c r="I226" s="15" t="s">
        <v>8</v>
      </c>
      <c r="J226" s="15"/>
      <c r="N226" s="18" t="str">
        <f t="shared" si="3"/>
        <v>Unique</v>
      </c>
    </row>
    <row r="227" spans="1:14" ht="14.4" customHeight="1" thickBot="1" x14ac:dyDescent="0.35">
      <c r="A227" s="15" t="s">
        <v>62</v>
      </c>
      <c r="B227" s="15" t="s">
        <v>21</v>
      </c>
      <c r="C227" s="15" t="s">
        <v>7</v>
      </c>
      <c r="D227" s="15">
        <v>11</v>
      </c>
      <c r="E227" s="21">
        <v>749</v>
      </c>
      <c r="F227" s="15">
        <v>13.48484848</v>
      </c>
      <c r="G227" s="15" t="s">
        <v>76</v>
      </c>
      <c r="H227" s="15">
        <v>660</v>
      </c>
      <c r="I227" s="15" t="s">
        <v>8</v>
      </c>
      <c r="J227" s="15"/>
      <c r="N227" s="18" t="str">
        <f t="shared" si="3"/>
        <v>Unique</v>
      </c>
    </row>
    <row r="228" spans="1:14" ht="14.4" customHeight="1" thickBot="1" x14ac:dyDescent="0.35">
      <c r="A228" s="15" t="s">
        <v>62</v>
      </c>
      <c r="B228" s="15" t="s">
        <v>74</v>
      </c>
      <c r="C228" s="15" t="s">
        <v>7</v>
      </c>
      <c r="D228" s="15">
        <v>1</v>
      </c>
      <c r="E228" s="21">
        <v>3810</v>
      </c>
      <c r="F228" s="15">
        <v>13.83328354</v>
      </c>
      <c r="G228" s="15" t="s">
        <v>75</v>
      </c>
      <c r="H228" s="15">
        <v>3347</v>
      </c>
      <c r="I228" s="15" t="s">
        <v>8</v>
      </c>
      <c r="J228" s="15" t="s">
        <v>118</v>
      </c>
      <c r="N228" s="18" t="str">
        <f t="shared" si="3"/>
        <v>Unique</v>
      </c>
    </row>
    <row r="229" spans="1:14" ht="15.6" customHeight="1" thickBot="1" x14ac:dyDescent="0.35">
      <c r="A229" s="15" t="s">
        <v>62</v>
      </c>
      <c r="B229" s="15" t="s">
        <v>138</v>
      </c>
      <c r="C229" s="15" t="s">
        <v>7</v>
      </c>
      <c r="D229" s="15">
        <v>35</v>
      </c>
      <c r="E229" s="22">
        <v>494</v>
      </c>
      <c r="F229" s="15">
        <v>14.166859260000001</v>
      </c>
      <c r="G229" s="15" t="s">
        <v>139</v>
      </c>
      <c r="H229" s="15">
        <v>432.7</v>
      </c>
      <c r="I229" s="15" t="s">
        <v>8</v>
      </c>
      <c r="J229" s="15"/>
      <c r="N229" s="18" t="str">
        <f t="shared" si="3"/>
        <v>Unique</v>
      </c>
    </row>
    <row r="230" spans="1:14" ht="14.4" customHeight="1" thickBot="1" x14ac:dyDescent="0.35">
      <c r="A230" s="15" t="s">
        <v>62</v>
      </c>
      <c r="B230" s="15" t="s">
        <v>6</v>
      </c>
      <c r="C230" s="15" t="s">
        <v>7</v>
      </c>
      <c r="D230" s="15">
        <v>150</v>
      </c>
      <c r="E230" s="21">
        <v>323</v>
      </c>
      <c r="F230" s="15">
        <v>14.33628319</v>
      </c>
      <c r="G230" s="15" t="s">
        <v>130</v>
      </c>
      <c r="H230" s="15">
        <v>282.5</v>
      </c>
      <c r="I230" s="15" t="s">
        <v>8</v>
      </c>
      <c r="J230" s="15" t="s">
        <v>118</v>
      </c>
      <c r="N230" s="18" t="str">
        <f t="shared" si="3"/>
        <v>Unique</v>
      </c>
    </row>
    <row r="231" spans="1:14" ht="14.4" customHeight="1" thickBot="1" x14ac:dyDescent="0.35">
      <c r="A231" s="15" t="s">
        <v>62</v>
      </c>
      <c r="B231" s="15" t="s">
        <v>13</v>
      </c>
      <c r="C231" s="15" t="s">
        <v>7</v>
      </c>
      <c r="D231" s="15">
        <v>10</v>
      </c>
      <c r="E231" s="15">
        <v>2189</v>
      </c>
      <c r="F231" s="15">
        <v>16.127320950000001</v>
      </c>
      <c r="G231" s="15" t="s">
        <v>91</v>
      </c>
      <c r="H231" s="15">
        <v>1885</v>
      </c>
      <c r="I231" s="15" t="s">
        <v>8</v>
      </c>
      <c r="J231" s="15"/>
      <c r="N231" s="18" t="str">
        <f t="shared" si="3"/>
        <v>Unique</v>
      </c>
    </row>
    <row r="232" spans="1:14" ht="14.4" customHeight="1" thickBot="1" x14ac:dyDescent="0.35">
      <c r="A232" s="15" t="s">
        <v>62</v>
      </c>
      <c r="B232" s="15" t="s">
        <v>126</v>
      </c>
      <c r="C232" s="15" t="s">
        <v>7</v>
      </c>
      <c r="D232" s="15">
        <v>5</v>
      </c>
      <c r="E232" s="15">
        <v>596</v>
      </c>
      <c r="F232" s="15">
        <v>16.2699961</v>
      </c>
      <c r="G232" s="15" t="s">
        <v>127</v>
      </c>
      <c r="H232" s="15">
        <v>512.6</v>
      </c>
      <c r="I232" s="15" t="s">
        <v>8</v>
      </c>
      <c r="J232" s="15"/>
      <c r="N232" s="18" t="str">
        <f t="shared" si="3"/>
        <v>Unique</v>
      </c>
    </row>
    <row r="233" spans="1:14" ht="14.4" customHeight="1" thickBot="1" x14ac:dyDescent="0.35">
      <c r="A233" s="16" t="s">
        <v>62</v>
      </c>
      <c r="B233" s="16" t="s">
        <v>119</v>
      </c>
      <c r="C233" s="16" t="s">
        <v>7</v>
      </c>
      <c r="D233" s="16">
        <v>7</v>
      </c>
      <c r="E233" s="21">
        <v>1170</v>
      </c>
      <c r="F233" s="15">
        <v>17.469879519999999</v>
      </c>
      <c r="G233" s="15" t="s">
        <v>120</v>
      </c>
      <c r="H233" s="15">
        <v>996</v>
      </c>
      <c r="I233" s="15" t="s">
        <v>8</v>
      </c>
      <c r="J233" s="15"/>
      <c r="N233" s="18" t="str">
        <f t="shared" si="3"/>
        <v>Unique</v>
      </c>
    </row>
    <row r="234" spans="1:14" ht="14.4" customHeight="1" thickBot="1" x14ac:dyDescent="0.35">
      <c r="A234" s="15" t="s">
        <v>62</v>
      </c>
      <c r="B234" s="15" t="s">
        <v>13</v>
      </c>
      <c r="C234" s="15" t="s">
        <v>7</v>
      </c>
      <c r="D234" s="15">
        <v>20</v>
      </c>
      <c r="E234" s="15">
        <v>2310</v>
      </c>
      <c r="F234" s="15">
        <v>22.546419100000001</v>
      </c>
      <c r="G234" s="15" t="s">
        <v>91</v>
      </c>
      <c r="H234" s="15">
        <v>1885</v>
      </c>
      <c r="I234" s="15" t="s">
        <v>8</v>
      </c>
      <c r="J234" s="15"/>
      <c r="N234" s="18" t="str">
        <f t="shared" si="3"/>
        <v>Unique</v>
      </c>
    </row>
    <row r="235" spans="1:14" ht="14.4" customHeight="1" thickBot="1" x14ac:dyDescent="0.35">
      <c r="A235" s="15" t="s">
        <v>62</v>
      </c>
      <c r="B235" s="15" t="s">
        <v>17</v>
      </c>
      <c r="C235" s="15" t="s">
        <v>7</v>
      </c>
      <c r="D235" s="15">
        <v>5</v>
      </c>
      <c r="E235" s="21">
        <v>416</v>
      </c>
      <c r="F235" s="15">
        <v>24.924924919999999</v>
      </c>
      <c r="G235" s="15" t="s">
        <v>77</v>
      </c>
      <c r="H235" s="15">
        <v>333</v>
      </c>
      <c r="I235" s="15" t="s">
        <v>8</v>
      </c>
      <c r="J235" s="15"/>
      <c r="N235" s="18" t="str">
        <f t="shared" si="3"/>
        <v>Unique</v>
      </c>
    </row>
    <row r="236" spans="1:14" ht="15" thickBot="1" x14ac:dyDescent="0.35">
      <c r="A236" s="15" t="s">
        <v>62</v>
      </c>
      <c r="B236" s="15" t="s">
        <v>17</v>
      </c>
      <c r="C236" s="15" t="s">
        <v>7</v>
      </c>
      <c r="D236" s="15">
        <v>5</v>
      </c>
      <c r="E236" s="21">
        <v>435</v>
      </c>
      <c r="F236" s="15">
        <v>30.630630629999999</v>
      </c>
      <c r="G236" s="15" t="s">
        <v>77</v>
      </c>
      <c r="H236" s="15">
        <v>333</v>
      </c>
      <c r="I236" s="15" t="s">
        <v>8</v>
      </c>
      <c r="J236" s="15" t="s">
        <v>118</v>
      </c>
      <c r="N236" s="18" t="str">
        <f t="shared" si="3"/>
        <v>Unique</v>
      </c>
    </row>
    <row r="237" spans="1:14" ht="15" thickBot="1" x14ac:dyDescent="0.35">
      <c r="A237" s="15" t="s">
        <v>62</v>
      </c>
      <c r="B237" s="15" t="s">
        <v>13</v>
      </c>
      <c r="C237" s="15" t="s">
        <v>7</v>
      </c>
      <c r="D237" s="15">
        <v>1</v>
      </c>
      <c r="E237" s="15">
        <v>2494</v>
      </c>
      <c r="F237" s="15">
        <v>32.30769231</v>
      </c>
      <c r="G237" s="15" t="s">
        <v>91</v>
      </c>
      <c r="H237" s="15">
        <v>1885</v>
      </c>
      <c r="I237" s="15" t="s">
        <v>8</v>
      </c>
      <c r="J237" s="15"/>
      <c r="N237" s="18" t="str">
        <f t="shared" si="3"/>
        <v>Unique</v>
      </c>
    </row>
    <row r="238" spans="1:14" ht="14.4" customHeight="1" thickBot="1" x14ac:dyDescent="0.35">
      <c r="A238" s="15" t="s">
        <v>140</v>
      </c>
      <c r="B238" s="15" t="s">
        <v>13</v>
      </c>
      <c r="C238" s="15" t="s">
        <v>7</v>
      </c>
      <c r="D238" s="15">
        <v>3</v>
      </c>
      <c r="E238" s="15">
        <v>2494</v>
      </c>
      <c r="F238" s="15">
        <v>32.30769231</v>
      </c>
      <c r="G238" s="15" t="s">
        <v>91</v>
      </c>
      <c r="H238" s="15">
        <v>1885</v>
      </c>
      <c r="I238" s="15" t="s">
        <v>8</v>
      </c>
      <c r="J238" s="15"/>
      <c r="N238" s="18" t="str">
        <f t="shared" si="3"/>
        <v>Unique</v>
      </c>
    </row>
    <row r="239" spans="1:14" ht="14.4" customHeight="1" thickBot="1" x14ac:dyDescent="0.35">
      <c r="A239" s="15" t="s">
        <v>62</v>
      </c>
      <c r="B239" s="15" t="s">
        <v>142</v>
      </c>
      <c r="C239" s="15" t="s">
        <v>7</v>
      </c>
      <c r="D239" s="15">
        <v>23</v>
      </c>
      <c r="E239" s="21">
        <v>890</v>
      </c>
      <c r="F239" s="15" t="e">
        <v>#N/A</v>
      </c>
      <c r="G239" s="15" t="s">
        <v>143</v>
      </c>
      <c r="H239" s="15" t="e">
        <v>#N/A</v>
      </c>
      <c r="I239" s="15" t="s">
        <v>8</v>
      </c>
      <c r="J239" s="15"/>
      <c r="N239" s="18" t="str">
        <f t="shared" si="3"/>
        <v>Unique</v>
      </c>
    </row>
    <row r="240" spans="1:14" customFormat="1" x14ac:dyDescent="0.3">
      <c r="A240" t="s">
        <v>160</v>
      </c>
      <c r="B240" t="s">
        <v>15</v>
      </c>
      <c r="C240" t="s">
        <v>7</v>
      </c>
      <c r="D240">
        <v>10</v>
      </c>
      <c r="E240">
        <v>2672</v>
      </c>
      <c r="F240" s="18"/>
      <c r="I240" t="s">
        <v>8</v>
      </c>
      <c r="J240" t="s">
        <v>117</v>
      </c>
      <c r="K240" t="s">
        <v>165</v>
      </c>
      <c r="N240" s="18" t="str">
        <f t="shared" si="3"/>
        <v>Unique</v>
      </c>
    </row>
    <row r="241" spans="1:14" customFormat="1" x14ac:dyDescent="0.3">
      <c r="A241" t="s">
        <v>161</v>
      </c>
      <c r="B241" t="s">
        <v>14</v>
      </c>
      <c r="C241" t="s">
        <v>7</v>
      </c>
      <c r="D241">
        <v>100</v>
      </c>
      <c r="E241">
        <v>349</v>
      </c>
      <c r="F241" s="18"/>
      <c r="I241" t="s">
        <v>8</v>
      </c>
      <c r="J241" t="s">
        <v>117</v>
      </c>
      <c r="K241" t="s">
        <v>166</v>
      </c>
      <c r="N241" s="18" t="str">
        <f t="shared" si="3"/>
        <v>Unique</v>
      </c>
    </row>
    <row r="242" spans="1:14" customFormat="1" x14ac:dyDescent="0.3">
      <c r="A242" t="s">
        <v>162</v>
      </c>
      <c r="B242" t="s">
        <v>87</v>
      </c>
      <c r="C242" t="s">
        <v>7</v>
      </c>
      <c r="D242">
        <v>10</v>
      </c>
      <c r="E242">
        <v>1390</v>
      </c>
      <c r="F242" s="18"/>
      <c r="I242" t="s">
        <v>8</v>
      </c>
      <c r="J242" t="s">
        <v>117</v>
      </c>
      <c r="K242" t="s">
        <v>167</v>
      </c>
      <c r="N242" s="18" t="str">
        <f t="shared" si="3"/>
        <v>Unique</v>
      </c>
    </row>
    <row r="243" spans="1:14" customFormat="1" x14ac:dyDescent="0.3">
      <c r="A243" t="s">
        <v>163</v>
      </c>
      <c r="B243" t="s">
        <v>51</v>
      </c>
      <c r="C243" t="s">
        <v>7</v>
      </c>
      <c r="D243">
        <v>10</v>
      </c>
      <c r="E243">
        <v>977</v>
      </c>
      <c r="F243" s="18"/>
      <c r="I243" t="s">
        <v>8</v>
      </c>
      <c r="J243" t="s">
        <v>117</v>
      </c>
      <c r="K243" t="s">
        <v>168</v>
      </c>
      <c r="N243" s="18" t="str">
        <f t="shared" si="3"/>
        <v>Unique</v>
      </c>
    </row>
    <row r="244" spans="1:14" customFormat="1" x14ac:dyDescent="0.3">
      <c r="A244" t="s">
        <v>162</v>
      </c>
      <c r="B244" t="s">
        <v>33</v>
      </c>
      <c r="C244" t="s">
        <v>10</v>
      </c>
      <c r="D244">
        <v>7</v>
      </c>
      <c r="E244">
        <v>2230</v>
      </c>
      <c r="F244" s="18"/>
      <c r="I244" t="s">
        <v>8</v>
      </c>
      <c r="J244" t="s">
        <v>55</v>
      </c>
      <c r="K244" t="s">
        <v>169</v>
      </c>
      <c r="N244" s="18" t="str">
        <f t="shared" si="3"/>
        <v>Unique</v>
      </c>
    </row>
    <row r="245" spans="1:14" customFormat="1" x14ac:dyDescent="0.3">
      <c r="A245" t="s">
        <v>164</v>
      </c>
      <c r="B245" t="s">
        <v>19</v>
      </c>
      <c r="C245" t="s">
        <v>10</v>
      </c>
      <c r="D245">
        <v>100</v>
      </c>
      <c r="E245">
        <v>222</v>
      </c>
      <c r="F245" s="18"/>
      <c r="I245" t="s">
        <v>8</v>
      </c>
      <c r="J245" t="s">
        <v>41</v>
      </c>
      <c r="K245" t="s">
        <v>170</v>
      </c>
      <c r="N245" s="18" t="str">
        <f t="shared" si="3"/>
        <v>Unique</v>
      </c>
    </row>
    <row r="246" spans="1:14" customFormat="1" x14ac:dyDescent="0.3">
      <c r="A246" t="s">
        <v>164</v>
      </c>
      <c r="B246" t="s">
        <v>19</v>
      </c>
      <c r="C246" t="s">
        <v>10</v>
      </c>
      <c r="D246">
        <v>100</v>
      </c>
      <c r="E246">
        <v>217</v>
      </c>
      <c r="F246" s="18"/>
      <c r="I246" t="s">
        <v>8</v>
      </c>
      <c r="J246" t="s">
        <v>41</v>
      </c>
      <c r="K246" t="s">
        <v>170</v>
      </c>
      <c r="N246" s="18" t="str">
        <f t="shared" si="3"/>
        <v>Unique</v>
      </c>
    </row>
    <row r="247" spans="1:14" customFormat="1" x14ac:dyDescent="0.3">
      <c r="A247" t="s">
        <v>162</v>
      </c>
      <c r="B247" t="s">
        <v>36</v>
      </c>
      <c r="C247" t="s">
        <v>10</v>
      </c>
      <c r="D247">
        <v>5</v>
      </c>
      <c r="E247">
        <v>1201</v>
      </c>
      <c r="F247" s="18"/>
      <c r="I247" t="s">
        <v>8</v>
      </c>
      <c r="J247" t="s">
        <v>41</v>
      </c>
      <c r="K247" t="s">
        <v>171</v>
      </c>
      <c r="N247" s="18" t="str">
        <f t="shared" si="3"/>
        <v>Unique</v>
      </c>
    </row>
    <row r="248" spans="1:14" customFormat="1" x14ac:dyDescent="0.3">
      <c r="A248" t="s">
        <v>162</v>
      </c>
      <c r="B248" t="s">
        <v>36</v>
      </c>
      <c r="C248" t="s">
        <v>10</v>
      </c>
      <c r="D248">
        <v>5</v>
      </c>
      <c r="E248">
        <v>1181</v>
      </c>
      <c r="F248" s="18"/>
      <c r="I248" t="s">
        <v>8</v>
      </c>
      <c r="J248" t="s">
        <v>41</v>
      </c>
      <c r="K248" t="s">
        <v>171</v>
      </c>
      <c r="N248" s="18" t="str">
        <f t="shared" si="3"/>
        <v>Unique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AVITA</cp:lastModifiedBy>
  <dcterms:created xsi:type="dcterms:W3CDTF">2026-08-19T13:32:41Z</dcterms:created>
  <dcterms:modified xsi:type="dcterms:W3CDTF">2026-08-20T20:24:36Z</dcterms:modified>
</cp:coreProperties>
</file>