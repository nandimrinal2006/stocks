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8185570C-B780-4695-B0A8-4022A1306D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1" r:id="rId3"/>
  </sheets>
  <definedNames>
    <definedName name="_xlnm._FilterDatabase" localSheetId="0" hidden="1">Sheet1!$A$1:$P$291</definedName>
    <definedName name="_xlnm._FilterDatabase" localSheetId="2" hidden="1">'Sheet1 (2)'!$A$1:$P$291</definedName>
    <definedName name="_xlnm._FilterDatabase" localSheetId="1" hidden="1">Sheet2!$A$1:$L$12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1" i="11" l="1"/>
  <c r="M291" i="11"/>
  <c r="N290" i="11"/>
  <c r="M290" i="11"/>
  <c r="N289" i="11"/>
  <c r="M289" i="11"/>
  <c r="N288" i="11"/>
  <c r="M288" i="11"/>
  <c r="N287" i="11"/>
  <c r="M287" i="11"/>
  <c r="N286" i="11"/>
  <c r="M286" i="11"/>
  <c r="N285" i="11"/>
  <c r="M285" i="11"/>
  <c r="N284" i="11"/>
  <c r="M284" i="11"/>
  <c r="N283" i="11"/>
  <c r="M283" i="11"/>
  <c r="N282" i="11"/>
  <c r="M282" i="11"/>
  <c r="N281" i="11"/>
  <c r="M281" i="11"/>
  <c r="N280" i="11"/>
  <c r="N279" i="11"/>
  <c r="N278" i="11"/>
  <c r="N277" i="11"/>
  <c r="N276" i="11"/>
  <c r="N275" i="11"/>
  <c r="N274" i="11"/>
  <c r="M274" i="11"/>
  <c r="N273" i="11"/>
  <c r="N272" i="11"/>
  <c r="N271" i="11"/>
  <c r="N270" i="11"/>
  <c r="N269" i="11"/>
  <c r="N268" i="11"/>
  <c r="N267" i="11"/>
  <c r="N266" i="11"/>
  <c r="N265" i="11"/>
  <c r="N264" i="11"/>
  <c r="N263" i="11"/>
  <c r="N262" i="11"/>
  <c r="N261" i="11"/>
  <c r="N260" i="11"/>
  <c r="N259" i="11"/>
  <c r="N258" i="11"/>
  <c r="N257" i="11"/>
  <c r="N256" i="11"/>
  <c r="M256" i="11"/>
  <c r="N255" i="11"/>
  <c r="N254" i="11"/>
  <c r="N253" i="11"/>
  <c r="M253" i="11"/>
  <c r="N252" i="11"/>
  <c r="M252" i="11"/>
  <c r="N251" i="11"/>
  <c r="N250" i="11"/>
  <c r="N249" i="11"/>
  <c r="N248" i="11"/>
  <c r="N247" i="11"/>
  <c r="N246" i="11"/>
  <c r="N245" i="11"/>
  <c r="M245" i="11"/>
  <c r="N244" i="11"/>
  <c r="M244" i="11"/>
  <c r="N243" i="11"/>
  <c r="N242" i="11"/>
  <c r="N241" i="11"/>
  <c r="N240" i="11"/>
  <c r="M240" i="11"/>
  <c r="N239" i="11"/>
  <c r="M239" i="11"/>
  <c r="N238" i="11"/>
  <c r="N237" i="11"/>
  <c r="M237" i="11"/>
  <c r="N236" i="11"/>
  <c r="N235" i="11"/>
  <c r="N234" i="11"/>
  <c r="N233" i="11"/>
  <c r="M233" i="11"/>
  <c r="N232" i="11"/>
  <c r="M232" i="11"/>
  <c r="N231" i="11"/>
  <c r="N230" i="11"/>
  <c r="N229" i="11"/>
  <c r="N228" i="11"/>
  <c r="N227" i="11"/>
  <c r="N226" i="11"/>
  <c r="N225" i="11"/>
  <c r="N224" i="11"/>
  <c r="M224" i="11"/>
  <c r="N223" i="11"/>
  <c r="N222" i="11"/>
  <c r="M222" i="11"/>
  <c r="N221" i="11"/>
  <c r="N220" i="11"/>
  <c r="N219" i="11"/>
  <c r="N218" i="11"/>
  <c r="N217" i="11"/>
  <c r="N216" i="11"/>
  <c r="N215" i="11"/>
  <c r="M215" i="11"/>
  <c r="N214" i="11"/>
  <c r="N213" i="11"/>
  <c r="N212" i="11"/>
  <c r="M212" i="11"/>
  <c r="N211" i="11"/>
  <c r="M211" i="11"/>
  <c r="N210" i="11"/>
  <c r="M210" i="11"/>
  <c r="N209" i="11"/>
  <c r="N208" i="11"/>
  <c r="M208" i="11"/>
  <c r="N207" i="11"/>
  <c r="N206" i="11"/>
  <c r="M206" i="11"/>
  <c r="N205" i="11"/>
  <c r="M205" i="11"/>
  <c r="N204" i="11"/>
  <c r="N203" i="11"/>
  <c r="N202" i="11"/>
  <c r="M202" i="11"/>
  <c r="N201" i="11"/>
  <c r="N200" i="11"/>
  <c r="N199" i="11"/>
  <c r="M199" i="11"/>
  <c r="N198" i="11"/>
  <c r="N197" i="11"/>
  <c r="M197" i="11"/>
  <c r="N196" i="11"/>
  <c r="N195" i="11"/>
  <c r="M195" i="11"/>
  <c r="N194" i="11"/>
  <c r="M194" i="11"/>
  <c r="N193" i="11"/>
  <c r="M193" i="11"/>
  <c r="N192" i="11"/>
  <c r="N191" i="11"/>
  <c r="N190" i="11"/>
  <c r="N189" i="11"/>
  <c r="N188" i="11"/>
  <c r="M188" i="11"/>
  <c r="N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N179" i="11"/>
  <c r="M179" i="11"/>
  <c r="N178" i="11"/>
  <c r="N177" i="11"/>
  <c r="N176" i="11"/>
  <c r="M176" i="11"/>
  <c r="N175" i="11"/>
  <c r="M175" i="11"/>
  <c r="N174" i="11"/>
  <c r="N173" i="11"/>
  <c r="M173" i="11"/>
  <c r="N172" i="11"/>
  <c r="M172" i="11"/>
  <c r="N171" i="11"/>
  <c r="N170" i="11"/>
  <c r="N169" i="11"/>
  <c r="M169" i="11"/>
  <c r="N168" i="11"/>
  <c r="M168" i="11"/>
  <c r="N167" i="11"/>
  <c r="M167" i="11"/>
  <c r="N166" i="11"/>
  <c r="M166" i="11"/>
  <c r="N165" i="11"/>
  <c r="M165" i="11"/>
  <c r="N164" i="11"/>
  <c r="N163" i="11"/>
  <c r="N162" i="11"/>
  <c r="M162" i="11"/>
  <c r="N161" i="11"/>
  <c r="M161" i="11"/>
  <c r="N160" i="11"/>
  <c r="M160" i="11"/>
  <c r="N159" i="11"/>
  <c r="M159" i="11"/>
  <c r="N158" i="11"/>
  <c r="N157" i="11"/>
  <c r="M157" i="11"/>
  <c r="N156" i="11"/>
  <c r="M156" i="11"/>
  <c r="N155" i="11"/>
  <c r="M155" i="11"/>
  <c r="N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N142" i="11"/>
  <c r="M142" i="11"/>
  <c r="N141" i="11"/>
  <c r="M141" i="11"/>
  <c r="N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N127" i="11"/>
  <c r="M127" i="11"/>
  <c r="N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N117" i="11"/>
  <c r="M117" i="11"/>
  <c r="N116" i="11"/>
  <c r="M116" i="11"/>
  <c r="N115" i="11"/>
  <c r="M115" i="11"/>
  <c r="N114" i="11"/>
  <c r="M114" i="11"/>
  <c r="N113" i="11"/>
  <c r="N112" i="11"/>
  <c r="M112" i="11"/>
  <c r="N111" i="11"/>
  <c r="M111" i="11"/>
  <c r="N110" i="11"/>
  <c r="M110" i="11"/>
  <c r="N109" i="11"/>
  <c r="M109" i="11"/>
  <c r="N108" i="11"/>
  <c r="M108" i="11"/>
  <c r="N107" i="11"/>
  <c r="N106" i="11"/>
  <c r="M106" i="11"/>
  <c r="N105" i="11"/>
  <c r="N104" i="11"/>
  <c r="M104" i="11"/>
  <c r="N103" i="11"/>
  <c r="M103" i="11"/>
  <c r="N102" i="11"/>
  <c r="M102" i="11"/>
  <c r="N101" i="11"/>
  <c r="M101" i="11"/>
  <c r="N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N80" i="11"/>
  <c r="M80" i="11"/>
  <c r="N79" i="11"/>
  <c r="N78" i="11"/>
  <c r="N77" i="11"/>
  <c r="N76" i="11"/>
  <c r="M76" i="11"/>
  <c r="N75" i="11"/>
  <c r="M75" i="11"/>
  <c r="N74" i="11"/>
  <c r="N73" i="11"/>
  <c r="N72" i="11"/>
  <c r="N71" i="11"/>
  <c r="N70" i="11"/>
  <c r="N69" i="11"/>
  <c r="M69" i="11"/>
  <c r="N68" i="11"/>
  <c r="M68" i="11"/>
  <c r="N67" i="11"/>
  <c r="N66" i="11"/>
  <c r="N65" i="11"/>
  <c r="M65" i="11"/>
  <c r="N64" i="11"/>
  <c r="L64" i="11"/>
  <c r="M64" i="11" s="1"/>
  <c r="N63" i="11"/>
  <c r="N62" i="11"/>
  <c r="N61" i="11"/>
  <c r="N60" i="11"/>
  <c r="N59" i="11"/>
  <c r="N58" i="11"/>
  <c r="N57" i="11"/>
  <c r="N56" i="11"/>
  <c r="N55" i="11"/>
  <c r="N54" i="11"/>
  <c r="N53" i="11"/>
  <c r="N52" i="11"/>
  <c r="M52" i="11"/>
  <c r="N51" i="11"/>
  <c r="M51" i="11"/>
  <c r="N50" i="11"/>
  <c r="M50" i="11"/>
  <c r="N49" i="11"/>
  <c r="M49" i="11"/>
  <c r="N48" i="11"/>
  <c r="N47" i="11"/>
  <c r="N46" i="11"/>
  <c r="N45" i="11"/>
  <c r="N44" i="11"/>
  <c r="N43" i="11"/>
  <c r="N42" i="11"/>
  <c r="L42" i="11"/>
  <c r="M42" i="11" s="1"/>
  <c r="N41" i="11"/>
  <c r="N40" i="11"/>
  <c r="M40" i="11"/>
  <c r="N39" i="11"/>
  <c r="N38" i="11"/>
  <c r="N37" i="11"/>
  <c r="N36" i="11"/>
  <c r="N35" i="11"/>
  <c r="N34" i="11"/>
  <c r="N33" i="11"/>
  <c r="N32" i="11"/>
  <c r="N31" i="11"/>
  <c r="M31" i="11"/>
  <c r="N30" i="11"/>
  <c r="N29" i="11"/>
  <c r="N28" i="11"/>
  <c r="N27" i="11"/>
  <c r="N26" i="11"/>
  <c r="N25" i="11"/>
  <c r="N24" i="11"/>
  <c r="N23" i="11"/>
  <c r="N22" i="11"/>
  <c r="N21" i="11"/>
  <c r="M21" i="11"/>
  <c r="N20" i="11"/>
  <c r="N19" i="11"/>
  <c r="N18" i="11"/>
  <c r="N17" i="11"/>
  <c r="N16" i="11"/>
  <c r="M16" i="11"/>
  <c r="N15" i="11"/>
  <c r="N14" i="11"/>
  <c r="N13" i="11"/>
  <c r="N12" i="11"/>
  <c r="N11" i="11"/>
  <c r="N10" i="11"/>
  <c r="N9" i="11"/>
  <c r="N8" i="11"/>
  <c r="N7" i="11"/>
  <c r="N6" i="11"/>
  <c r="N5" i="11"/>
  <c r="N4" i="11"/>
  <c r="N3" i="11"/>
  <c r="N2" i="11"/>
  <c r="N140" i="1"/>
  <c r="N117" i="1"/>
  <c r="N155" i="1"/>
  <c r="N129" i="1"/>
  <c r="N150" i="1"/>
  <c r="N172" i="1"/>
  <c r="N84" i="1"/>
  <c r="N115" i="1"/>
  <c r="N214" i="1"/>
  <c r="N94" i="1"/>
  <c r="N119" i="1"/>
  <c r="M117" i="1"/>
  <c r="M155" i="1"/>
  <c r="M129" i="1"/>
  <c r="M150" i="1"/>
  <c r="M172" i="1"/>
  <c r="M84" i="1"/>
  <c r="M115" i="1"/>
  <c r="M214" i="1"/>
  <c r="M94" i="1"/>
  <c r="M119" i="1"/>
  <c r="M140" i="1"/>
  <c r="N261" i="1"/>
  <c r="N258" i="1"/>
  <c r="N79" i="1"/>
  <c r="M79" i="1"/>
  <c r="N90" i="1"/>
  <c r="M90" i="1"/>
  <c r="N85" i="1"/>
  <c r="M85" i="1"/>
  <c r="M102" i="1"/>
  <c r="N102" i="1"/>
  <c r="N118" i="1"/>
  <c r="M118" i="1"/>
  <c r="N99" i="1"/>
  <c r="M99" i="1"/>
  <c r="M2" i="1"/>
  <c r="N2" i="1"/>
  <c r="N120" i="1"/>
  <c r="N83" i="1"/>
  <c r="N143" i="1"/>
  <c r="M83" i="1"/>
  <c r="M143" i="1"/>
  <c r="M120" i="1"/>
  <c r="N101" i="1"/>
  <c r="N149" i="1"/>
  <c r="N132" i="1"/>
  <c r="N163" i="1"/>
  <c r="N111" i="1"/>
  <c r="N89" i="1"/>
  <c r="N133" i="1"/>
  <c r="N21" i="1"/>
  <c r="M149" i="1"/>
  <c r="M132" i="1"/>
  <c r="M163" i="1"/>
  <c r="M111" i="1"/>
  <c r="M89" i="1"/>
  <c r="M133" i="1"/>
  <c r="M21" i="1"/>
  <c r="M101" i="1"/>
  <c r="N97" i="1"/>
  <c r="M97" i="1"/>
  <c r="M113" i="1"/>
  <c r="N113" i="1"/>
  <c r="M195" i="1" l="1"/>
  <c r="M126" i="1"/>
  <c r="M125" i="1"/>
  <c r="M141" i="1"/>
  <c r="M88" i="1"/>
  <c r="M203" i="1"/>
  <c r="N203" i="1"/>
  <c r="N195" i="1"/>
  <c r="N126" i="1"/>
  <c r="N125" i="1"/>
  <c r="N141" i="1"/>
  <c r="N88" i="1"/>
  <c r="M167" i="1"/>
  <c r="M168" i="1"/>
  <c r="M188" i="1"/>
  <c r="M112" i="1"/>
  <c r="M137" i="1"/>
  <c r="M144" i="1"/>
  <c r="M107" i="1"/>
  <c r="N107" i="1"/>
  <c r="N167" i="1"/>
  <c r="N168" i="1"/>
  <c r="N188" i="1"/>
  <c r="N112" i="1"/>
  <c r="N137" i="1"/>
  <c r="N144" i="1"/>
  <c r="L30" i="1"/>
  <c r="M30" i="1" s="1"/>
  <c r="L51" i="1"/>
  <c r="M51" i="1" s="1"/>
  <c r="N51" i="1"/>
  <c r="N30" i="1"/>
  <c r="N106" i="1"/>
  <c r="N151" i="1"/>
  <c r="N152" i="1"/>
  <c r="N98" i="1"/>
  <c r="N234" i="1"/>
  <c r="N42" i="1"/>
  <c r="M151" i="1"/>
  <c r="M152" i="1"/>
  <c r="M98" i="1"/>
  <c r="M234" i="1"/>
  <c r="M42" i="1"/>
  <c r="M106" i="1"/>
  <c r="N222" i="1"/>
  <c r="N123" i="1"/>
  <c r="N36" i="1"/>
  <c r="N9" i="1"/>
  <c r="M123" i="1"/>
  <c r="M36" i="1"/>
  <c r="M9" i="1"/>
  <c r="M222" i="1"/>
  <c r="M37" i="1"/>
  <c r="N37" i="1"/>
  <c r="M135" i="1"/>
  <c r="N135" i="1"/>
  <c r="M146" i="1"/>
  <c r="N146" i="1"/>
  <c r="M166" i="1"/>
  <c r="N166" i="1"/>
  <c r="M116" i="1"/>
  <c r="N116" i="1"/>
  <c r="M147" i="1"/>
  <c r="N147" i="1"/>
  <c r="M139" i="1"/>
  <c r="N139" i="1"/>
  <c r="M95" i="1"/>
  <c r="N95" i="1"/>
  <c r="M81" i="1"/>
  <c r="N81" i="1"/>
  <c r="M122" i="1"/>
  <c r="N122" i="1"/>
  <c r="M154" i="1"/>
  <c r="N154" i="1"/>
  <c r="M127" i="1"/>
  <c r="N127" i="1"/>
  <c r="M82" i="1"/>
  <c r="N82" i="1"/>
  <c r="M62" i="1"/>
  <c r="N62" i="1"/>
  <c r="N238" i="1"/>
  <c r="N53" i="1"/>
  <c r="N216" i="1"/>
  <c r="N157" i="1"/>
  <c r="N165" i="1"/>
  <c r="N248" i="1"/>
  <c r="N128" i="1"/>
  <c r="N162" i="1"/>
  <c r="N121" i="1"/>
  <c r="N171" i="1"/>
  <c r="N184" i="1"/>
  <c r="M53" i="1"/>
  <c r="M216" i="1"/>
  <c r="M157" i="1"/>
  <c r="M165" i="1"/>
  <c r="M248" i="1"/>
  <c r="M128" i="1"/>
  <c r="M162" i="1"/>
  <c r="M121" i="1"/>
  <c r="M171" i="1"/>
  <c r="M184" i="1"/>
  <c r="M238" i="1"/>
  <c r="N240" i="1"/>
  <c r="M175" i="1"/>
  <c r="M247" i="1"/>
  <c r="M174" i="1"/>
  <c r="M164" i="1"/>
  <c r="M134" i="1"/>
  <c r="M196" i="1"/>
  <c r="M256" i="1"/>
  <c r="M130" i="1"/>
  <c r="M178" i="1"/>
  <c r="M202" i="1"/>
  <c r="M91" i="1"/>
  <c r="M96" i="1"/>
  <c r="M93" i="1"/>
  <c r="M148" i="1"/>
  <c r="M191" i="1"/>
  <c r="N191" i="1"/>
  <c r="N175" i="1"/>
  <c r="N247" i="1"/>
  <c r="N174" i="1"/>
  <c r="N164" i="1"/>
  <c r="N134" i="1"/>
  <c r="N196" i="1"/>
  <c r="N256" i="1"/>
  <c r="N130" i="1"/>
  <c r="N178" i="1"/>
  <c r="N202" i="1"/>
  <c r="N91" i="1"/>
  <c r="N96" i="1"/>
  <c r="N93" i="1"/>
  <c r="N148" i="1"/>
  <c r="I5" i="5"/>
  <c r="J5" i="5"/>
  <c r="L5" i="5"/>
  <c r="I6" i="5"/>
  <c r="J6" i="5"/>
  <c r="L6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M114" i="1"/>
  <c r="M218" i="1"/>
  <c r="M190" i="1"/>
  <c r="M153" i="1"/>
  <c r="M235" i="1"/>
  <c r="M92" i="1"/>
  <c r="M160" i="1"/>
  <c r="M142" i="1"/>
  <c r="N114" i="1"/>
  <c r="N218" i="1"/>
  <c r="N190" i="1"/>
  <c r="N153" i="1"/>
  <c r="N235" i="1"/>
  <c r="N92" i="1"/>
  <c r="N160" i="1"/>
  <c r="N142" i="1"/>
  <c r="N185" i="1"/>
  <c r="N177" i="1"/>
  <c r="N158" i="1"/>
  <c r="N204" i="1"/>
  <c r="N199" i="1"/>
  <c r="N109" i="1"/>
  <c r="N187" i="1"/>
  <c r="N232" i="1"/>
  <c r="N193" i="1"/>
  <c r="N105" i="1"/>
  <c r="N156" i="1"/>
  <c r="N15" i="1"/>
  <c r="M177" i="1"/>
  <c r="M158" i="1"/>
  <c r="M204" i="1"/>
  <c r="M199" i="1"/>
  <c r="M109" i="1"/>
  <c r="M187" i="1"/>
  <c r="M232" i="1"/>
  <c r="M193" i="1"/>
  <c r="M105" i="1"/>
  <c r="M156" i="1"/>
  <c r="M15" i="1"/>
  <c r="M185" i="1"/>
  <c r="M270" i="1" l="1"/>
  <c r="M262" i="1"/>
  <c r="M189" i="1"/>
  <c r="M208" i="1"/>
  <c r="M100" i="1"/>
  <c r="M241" i="1"/>
  <c r="M253" i="1"/>
  <c r="M24" i="1"/>
  <c r="M108" i="1"/>
  <c r="M180" i="1"/>
  <c r="M266" i="1"/>
  <c r="N266" i="1"/>
  <c r="N108" i="1"/>
  <c r="N180" i="1"/>
  <c r="N270" i="1"/>
  <c r="N262" i="1"/>
  <c r="N189" i="1"/>
  <c r="N208" i="1"/>
  <c r="N100" i="1"/>
  <c r="N241" i="1"/>
  <c r="N253" i="1"/>
  <c r="N24" i="1"/>
  <c r="I4" i="5"/>
  <c r="J4" i="5"/>
  <c r="L4" i="5"/>
  <c r="M287" i="1"/>
  <c r="M224" i="1"/>
  <c r="M213" i="1"/>
  <c r="M210" i="1"/>
  <c r="N287" i="1"/>
  <c r="N224" i="1"/>
  <c r="N213" i="1"/>
  <c r="N210" i="1"/>
  <c r="I3" i="5"/>
  <c r="J3" i="5"/>
  <c r="L3" i="5"/>
  <c r="M225" i="1"/>
  <c r="M219" i="1"/>
  <c r="M209" i="1"/>
  <c r="M277" i="1"/>
  <c r="M46" i="1"/>
  <c r="N46" i="1"/>
  <c r="N277" i="1"/>
  <c r="N209" i="1"/>
  <c r="N219" i="1"/>
  <c r="N225" i="1"/>
  <c r="M66" i="1" l="1"/>
  <c r="M20" i="1"/>
  <c r="M198" i="1"/>
  <c r="M254" i="1"/>
  <c r="J2" i="5"/>
  <c r="I2" i="5"/>
  <c r="L2" i="5"/>
  <c r="N20" i="1"/>
  <c r="N66" i="1"/>
  <c r="N198" i="1"/>
  <c r="N254" i="1"/>
  <c r="N169" i="1" l="1"/>
  <c r="N57" i="1"/>
  <c r="N7" i="1"/>
  <c r="N23" i="1"/>
  <c r="N34" i="1"/>
  <c r="N44" i="1"/>
  <c r="N31" i="1"/>
  <c r="N28" i="1"/>
  <c r="N16" i="1"/>
  <c r="N33" i="1"/>
  <c r="N39" i="1"/>
  <c r="N8" i="1"/>
  <c r="N13" i="1"/>
  <c r="N4" i="1"/>
  <c r="N50" i="1"/>
  <c r="N65" i="1"/>
  <c r="N45" i="1"/>
  <c r="N59" i="1"/>
  <c r="N11" i="1"/>
  <c r="N69" i="1"/>
  <c r="N5" i="1"/>
  <c r="N25" i="1"/>
  <c r="N17" i="1"/>
  <c r="N74" i="1"/>
  <c r="N38" i="1"/>
  <c r="N58" i="1"/>
  <c r="N22" i="1"/>
  <c r="N49" i="1"/>
  <c r="N70" i="1"/>
  <c r="N10" i="1"/>
  <c r="N40" i="1"/>
  <c r="N35" i="1"/>
  <c r="N55" i="1"/>
  <c r="N72" i="1"/>
  <c r="N27" i="1"/>
  <c r="N3" i="1"/>
  <c r="N19" i="1"/>
  <c r="N14" i="1"/>
  <c r="N54" i="1"/>
  <c r="N32" i="1"/>
  <c r="N43" i="1"/>
  <c r="N56" i="1"/>
  <c r="N6" i="1"/>
  <c r="N71" i="1"/>
  <c r="N29" i="1"/>
  <c r="N76" i="1"/>
  <c r="N52" i="1"/>
  <c r="N48" i="1"/>
  <c r="N64" i="1"/>
  <c r="N41" i="1"/>
  <c r="N60" i="1"/>
  <c r="N75" i="1"/>
  <c r="N12" i="1"/>
  <c r="N61" i="1"/>
  <c r="N18" i="1"/>
  <c r="N63" i="1"/>
  <c r="N80" i="1"/>
  <c r="N26" i="1"/>
  <c r="N67" i="1"/>
  <c r="N68" i="1"/>
  <c r="N47" i="1"/>
  <c r="N73" i="1"/>
  <c r="N77" i="1"/>
  <c r="N78" i="1"/>
  <c r="N86" i="1"/>
  <c r="N181" i="1"/>
  <c r="N200" i="1"/>
  <c r="N131" i="1"/>
  <c r="N103" i="1"/>
  <c r="N176" i="1"/>
  <c r="N229" i="1"/>
  <c r="N124" i="1"/>
  <c r="N159" i="1"/>
  <c r="N104" i="1"/>
  <c r="N227" i="1"/>
  <c r="N237" i="1"/>
  <c r="N182" i="1"/>
  <c r="N239" i="1"/>
  <c r="N192" i="1"/>
  <c r="N201" i="1"/>
  <c r="N183" i="1"/>
  <c r="N244" i="1"/>
  <c r="N170" i="1"/>
  <c r="N206" i="1"/>
  <c r="N231" i="1"/>
  <c r="N87" i="1"/>
  <c r="N211" i="1"/>
  <c r="N145" i="1"/>
  <c r="N243" i="1"/>
  <c r="N249" i="1"/>
  <c r="N251" i="1"/>
  <c r="N284" i="1"/>
  <c r="N236" i="1"/>
  <c r="N228" i="1"/>
  <c r="N246" i="1"/>
  <c r="N186" i="1"/>
  <c r="N223" i="1"/>
  <c r="N259" i="1"/>
  <c r="N260" i="1"/>
  <c r="N230" i="1"/>
  <c r="N194" i="1"/>
  <c r="N207" i="1"/>
  <c r="N138" i="1"/>
  <c r="N110" i="1"/>
  <c r="N226" i="1"/>
  <c r="N217" i="1"/>
  <c r="N233" i="1"/>
  <c r="N267" i="1"/>
  <c r="N242" i="1"/>
  <c r="N250" i="1"/>
  <c r="N252" i="1"/>
  <c r="N161" i="1"/>
  <c r="N245" i="1"/>
  <c r="N179" i="1"/>
  <c r="N136" i="1"/>
  <c r="N275" i="1"/>
  <c r="N278" i="1"/>
  <c r="N272" i="1"/>
  <c r="N276" i="1"/>
  <c r="N257" i="1"/>
  <c r="N255" i="1"/>
  <c r="N279" i="1"/>
  <c r="N268" i="1"/>
  <c r="N265" i="1"/>
  <c r="N281" i="1"/>
  <c r="N173" i="1"/>
  <c r="N273" i="1"/>
  <c r="N269" i="1"/>
  <c r="N263" i="1"/>
  <c r="N274" i="1"/>
  <c r="N205" i="1"/>
  <c r="N264" i="1"/>
  <c r="N280" i="1"/>
  <c r="N286" i="1"/>
  <c r="N282" i="1"/>
  <c r="N215" i="1"/>
  <c r="N221" i="1"/>
  <c r="N283" i="1"/>
  <c r="N288" i="1"/>
  <c r="N271" i="1"/>
  <c r="N285" i="1"/>
  <c r="N289" i="1"/>
  <c r="N290" i="1"/>
  <c r="N291" i="1"/>
  <c r="N220" i="1"/>
  <c r="N197" i="1"/>
  <c r="N212" i="1"/>
</calcChain>
</file>

<file path=xl/sharedStrings.xml><?xml version="1.0" encoding="utf-8"?>
<sst xmlns="http://schemas.openxmlformats.org/spreadsheetml/2006/main" count="3386" uniqueCount="300">
  <si>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</si>
  <si>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</si>
  <si>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</si>
  <si>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</si>
  <si>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</si>
  <si>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</si>
  <si>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</si>
  <si>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</si>
  <si>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</si>
  <si>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</si>
  <si>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</si>
  <si>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</si>
  <si>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</si>
  <si>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</si>
  <si>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</si>
  <si>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</si>
  <si>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</si>
  <si>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</si>
  <si>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</si>
  <si>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</si>
  <si>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</si>
  <si>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</si>
  <si>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</si>
  <si>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</si>
  <si>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</si>
  <si>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</si>
  <si>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</si>
  <si>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</si>
  <si>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</si>
  <si>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</si>
  <si>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</si>
  <si>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</si>
  <si>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</si>
  <si>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</si>
  <si>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</si>
  <si>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</si>
  <si>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</si>
  <si>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</si>
  <si>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</si>
  <si>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</si>
  <si>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</si>
  <si>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</si>
  <si>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</si>
  <si>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</si>
  <si>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</si>
  <si>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</si>
  <si>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</si>
  <si>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</si>
  <si>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</si>
  <si>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</si>
  <si>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</si>
  <si>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</si>
  <si>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</si>
  <si>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</si>
  <si>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</si>
  <si>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</si>
  <si>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</si>
  <si>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</si>
  <si>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</si>
  <si>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</si>
  <si>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</si>
  <si>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</si>
  <si>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</si>
  <si>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</si>
  <si>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</si>
  <si>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</si>
  <si>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</si>
  <si>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</si>
  <si>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</si>
  <si>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</si>
  <si>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</si>
  <si>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</si>
  <si>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</si>
  <si>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</si>
  <si>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</si>
  <si>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</si>
  <si>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</si>
  <si>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</si>
  <si>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</si>
  <si>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</si>
  <si>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</si>
  <si>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</si>
  <si>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</si>
  <si>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</si>
  <si>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</si>
  <si>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</si>
  <si>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</si>
  <si>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</si>
  <si>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</si>
  <si>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</si>
  <si>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</si>
  <si>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</si>
  <si>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</si>
  <si>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</si>
  <si>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</si>
  <si>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</si>
  <si>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</si>
  <si>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</si>
  <si>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</si>
  <si>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</si>
  <si>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</si>
  <si>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</si>
  <si>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</si>
  <si>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</si>
  <si>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</si>
  <si>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</si>
  <si>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</si>
  <si>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</si>
  <si>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</si>
  <si>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</si>
  <si>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</si>
  <si>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</si>
  <si>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</si>
  <si>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</si>
  <si>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</si>
  <si>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</si>
  <si>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</si>
  <si>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</si>
  <si>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</si>
  <si>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</si>
  <si>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</si>
  <si>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</si>
  <si>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</si>
  <si>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</si>
  <si>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</si>
  <si>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</si>
  <si>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</si>
  <si>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</si>
  <si>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</si>
  <si>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</si>
  <si>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</si>
  <si>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</si>
  <si>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</si>
  <si>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</si>
  <si>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</si>
  <si>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</si>
  <si>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</si>
  <si>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</si>
  <si>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</si>
  <si>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</si>
  <si>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</si>
  <si>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</si>
  <si>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</si>
  <si>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</si>
  <si>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</si>
  <si>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</si>
  <si>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</si>
  <si>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</si>
  <si>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</si>
  <si>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SELL 1*19992 :21-AUG-26</t>
  </si>
  <si>
    <t>SELL 25*348 :21-AUG-26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</si>
  <si>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</si>
  <si>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</si>
  <si>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</si>
  <si>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</si>
  <si>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</si>
  <si>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</si>
  <si>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</si>
  <si>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</si>
  <si>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</si>
  <si>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</si>
  <si>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</si>
  <si>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</si>
  <si>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</si>
  <si>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</si>
  <si>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</si>
  <si>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</si>
  <si>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</si>
  <si>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</si>
  <si>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</si>
  <si>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</si>
  <si>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</si>
  <si>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</si>
  <si>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</si>
  <si>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</si>
  <si>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</si>
  <si>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</si>
  <si>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</si>
  <si>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</si>
  <si>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</si>
  <si>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</si>
  <si>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</si>
  <si>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</si>
  <si>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</si>
  <si>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</si>
  <si>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</si>
  <si>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</si>
  <si>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</si>
  <si>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</si>
  <si>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</si>
  <si>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</si>
  <si>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</si>
  <si>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</si>
  <si>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</si>
  <si>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</si>
  <si>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</si>
  <si>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</si>
  <si>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</si>
  <si>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</si>
  <si>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</si>
  <si>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</si>
  <si>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</si>
  <si>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</si>
  <si>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</si>
  <si>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</si>
  <si>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</si>
  <si>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</si>
  <si>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</si>
  <si>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</si>
  <si>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</si>
  <si>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</si>
  <si>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</si>
  <si>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</si>
  <si>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</si>
  <si>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</si>
  <si>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</si>
  <si>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</si>
  <si>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</si>
  <si>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</si>
  <si>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</si>
  <si>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</si>
  <si>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</si>
  <si>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</si>
  <si>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</si>
  <si>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</si>
  <si>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</si>
  <si>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</si>
  <si>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</si>
  <si>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</si>
  <si>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</si>
  <si>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</si>
  <si>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</si>
  <si>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</si>
  <si>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</si>
  <si>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</si>
  <si>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</si>
  <si>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</si>
  <si>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S 1*20350 :02 SEP 2026 09:00:38 AM</t>
  </si>
  <si>
    <t>B 5*601 :02 SEP 2026 09:00:47 AM</t>
  </si>
  <si>
    <t>B 30*860 :03 SEP 2026 09:00:49 AM</t>
  </si>
  <si>
    <t>B 100*322 :03 SEP 2026 09:00:47 AM</t>
  </si>
  <si>
    <t>S 20*896 :03 SEP 2026 09:00:44 AM</t>
  </si>
  <si>
    <t>S 100*219 :03 SEP 2026 09:15:08 AM</t>
  </si>
  <si>
    <t>B 50*324.4 :04 SEP 2026 01:01:43 PM</t>
  </si>
  <si>
    <t>B 1*5180 :04 SEP 2026 03:26:46 PM</t>
  </si>
  <si>
    <t>B 10*1814 :04 SEP 2026 09:52:27 AM</t>
  </si>
  <si>
    <t>B 40*212 :04 SEP 2026 02:45:11 PM</t>
  </si>
  <si>
    <t>B 5*421 :04 SEP 2026 09:00:48 AM</t>
  </si>
  <si>
    <t>S 2*3440 :04 SEP 2026 09:00:45 AM</t>
  </si>
  <si>
    <t>S 3*1794 :04 SEP 2026 09:00:46 AM</t>
  </si>
  <si>
    <t>S 5*1794 :04 SEP 2026 09:00:46 AM</t>
  </si>
  <si>
    <t>GTD</t>
  </si>
  <si>
    <t>Y</t>
  </si>
  <si>
    <t>B 20*316.7 :07 SEP 2026 12:44:17 PM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</si>
  <si>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</si>
  <si>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</si>
  <si>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</si>
  <si>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</si>
  <si>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</si>
  <si>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</si>
  <si>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</si>
  <si>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</si>
  <si>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</si>
  <si>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</si>
  <si>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</si>
  <si>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</si>
  <si>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</si>
  <si>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</si>
  <si>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</si>
  <si>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</si>
  <si>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</si>
  <si>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</si>
  <si>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9*2230 :09 SEP 2026 09:00:57 AM</t>
  </si>
  <si>
    <t>B 5*3938 :09 SEP 2026 09:00:56 AM</t>
  </si>
  <si>
    <t>B 2*2426 :09 SEP 2026 09:00:56 AM</t>
  </si>
  <si>
    <t>S 15*1040 :09 SEP 2026 09:00:49 AM</t>
  </si>
  <si>
    <t>B 5*660 :10 SEP 2026 09:00:54 AM</t>
  </si>
  <si>
    <t>B 50*208 :10 SEP 2026 09:00:55 AM</t>
  </si>
  <si>
    <t>B 40*897 :10 SEP 2026 09:00:54 AM</t>
  </si>
  <si>
    <t>B 30*2460 :10 SEP 2026 12:11:32 PM</t>
  </si>
  <si>
    <t>S 250*225.5 :10 SEP 2026 10:59:02 AM</t>
  </si>
  <si>
    <t>11 SEP 2026 03:04:39 PM</t>
  </si>
  <si>
    <t>11 SEP 2026 10:37:54 AM</t>
  </si>
  <si>
    <t>11 SEP 2026 10:07:19 AM</t>
  </si>
  <si>
    <t>11 SEP 2026 09:36:15 AM</t>
  </si>
  <si>
    <t>11 SEP 2026 09:22:16 AM</t>
  </si>
  <si>
    <t>11 SEP 2026 09:19:05 AM</t>
  </si>
  <si>
    <t>11 SEP 2026 09:00:51 AM</t>
  </si>
  <si>
    <t>11 SEP 2026 09:00:53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</si>
  <si>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</si>
  <si>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</si>
  <si>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</si>
  <si>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</si>
  <si>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</si>
  <si>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</si>
  <si>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1*13052 :11 SEP 2026 09:00:51 AM</t>
  </si>
  <si>
    <t>B 10*1132 :11 SEP 2026 09:00:51 AM</t>
  </si>
  <si>
    <t>B 10*1503 :11 SEP 2026 09:00:53 AM</t>
  </si>
  <si>
    <t>B 25*348 :11 SEP 2026 09:00:51 AM</t>
  </si>
  <si>
    <t>B 8*2370 :11 SEP 2026 09:00:53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</si>
</sst>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7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11" borderId="0" xfId="0" applyFill="1" applyAlignment="1">
      <alignment horizontal="center" vertical="top"/>
    </xf>
    <xf numFmtId="0" fontId="0" fillId="11" borderId="0" xfId="0" applyFill="1"/>
    <xf numFmtId="22" fontId="1" fillId="10" borderId="1" xfId="0" applyNumberFormat="1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 applyAlignment="1">
      <alignment horizontal="left" vertical="top"/>
    </xf>
    <xf numFmtId="22" fontId="1" fillId="3" borderId="1" xfId="0" applyNumberFormat="1" applyFont="1" applyFill="1" applyBorder="1" applyAlignment="1">
      <alignment horizontal="right" wrapText="1"/>
    </xf>
    <xf numFmtId="0" fontId="0" fillId="3" borderId="0" xfId="0" applyFill="1"/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9" borderId="0" xfId="0" applyFill="1" applyAlignment="1">
      <alignment horizontal="left" vertical="top" wrapText="1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1" fillId="9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91"/>
  <sheetViews>
    <sheetView tabSelected="1" zoomScaleNormal="100" workbookViewId="0">
      <pane ySplit="1" topLeftCell="A72" activePane="bottomLeft" state="frozen"/>
      <selection pane="bottomLeft" activeCell="F293" sqref="F293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153</v>
      </c>
      <c r="L1" s="18" t="s">
        <v>154</v>
      </c>
      <c r="M1" s="18" t="s">
        <v>155</v>
      </c>
      <c r="O1" s="10" t="s">
        <v>251</v>
      </c>
    </row>
    <row r="2" spans="1:16" customFormat="1" ht="40.75" customHeight="1" thickBot="1" x14ac:dyDescent="0.4">
      <c r="A2" s="3">
        <v>46275.457638888889</v>
      </c>
      <c r="B2" s="1" t="s">
        <v>19</v>
      </c>
      <c r="C2" s="1" t="s">
        <v>10</v>
      </c>
      <c r="D2" s="4">
        <v>100</v>
      </c>
      <c r="E2" s="4">
        <v>222</v>
      </c>
      <c r="F2" s="4">
        <v>2.2805805110000001</v>
      </c>
      <c r="G2" s="2" t="s">
        <v>40</v>
      </c>
      <c r="H2" s="5">
        <v>217.05</v>
      </c>
      <c r="I2" s="1" t="s">
        <v>8</v>
      </c>
      <c r="J2" s="24" t="s">
        <v>41</v>
      </c>
      <c r="K2" s="18" t="s">
        <v>280</v>
      </c>
      <c r="L2" s="18">
        <v>56375</v>
      </c>
      <c r="M2" s="18">
        <f>ABS((D2*E2)-L2)</f>
        <v>34175</v>
      </c>
      <c r="N2" s="10" t="str">
        <f t="shared" ref="N2:N65" si="0">IF(COUNTIFS( $B$2:$B$767, B2, $C$2:$C$767, C2, $D$2:$D$767, D2, $E$2:$E$767, E2) &gt; 1, "Duplicate", "Unique")</f>
        <v>Unique</v>
      </c>
      <c r="O2" s="10"/>
      <c r="P2" s="10"/>
    </row>
    <row r="3" spans="1:16" customFormat="1" ht="27.65" customHeight="1" thickBot="1" x14ac:dyDescent="0.4">
      <c r="A3" s="6" t="s">
        <v>62</v>
      </c>
      <c r="B3" s="1" t="s">
        <v>15</v>
      </c>
      <c r="C3" s="1" t="s">
        <v>10</v>
      </c>
      <c r="D3" s="4">
        <v>5</v>
      </c>
      <c r="E3" s="4">
        <v>2470</v>
      </c>
      <c r="F3" s="4">
        <v>0.93992644049999996</v>
      </c>
      <c r="G3" s="2" t="s">
        <v>72</v>
      </c>
      <c r="H3" s="5">
        <v>2447</v>
      </c>
      <c r="I3" s="1" t="s">
        <v>8</v>
      </c>
      <c r="J3" s="41" t="s">
        <v>41</v>
      </c>
      <c r="K3" s="17"/>
      <c r="L3" s="17"/>
      <c r="M3" s="17"/>
      <c r="N3" t="str">
        <f t="shared" si="0"/>
        <v>Unique</v>
      </c>
      <c r="O3" s="10"/>
      <c r="P3" s="25"/>
    </row>
    <row r="4" spans="1:16" customFormat="1" ht="15" customHeight="1" thickBot="1" x14ac:dyDescent="0.4">
      <c r="A4" s="3">
        <v>46252.635416666664</v>
      </c>
      <c r="B4" s="1" t="s">
        <v>89</v>
      </c>
      <c r="C4" s="1" t="s">
        <v>10</v>
      </c>
      <c r="D4" s="4">
        <v>1</v>
      </c>
      <c r="E4" s="4">
        <v>13552</v>
      </c>
      <c r="F4" s="4">
        <v>0.68350668650000002</v>
      </c>
      <c r="G4" s="2" t="s">
        <v>90</v>
      </c>
      <c r="H4" s="5">
        <v>13460</v>
      </c>
      <c r="I4" s="1" t="s">
        <v>8</v>
      </c>
      <c r="J4" s="41" t="s">
        <v>41</v>
      </c>
      <c r="K4" s="17"/>
      <c r="L4" s="17"/>
      <c r="M4" s="17"/>
      <c r="N4" t="str">
        <f t="shared" si="0"/>
        <v>Unique</v>
      </c>
      <c r="O4" s="10"/>
      <c r="P4" s="10"/>
    </row>
    <row r="5" spans="1:16" customFormat="1" ht="15" customHeight="1" thickBot="1" x14ac:dyDescent="0.4">
      <c r="A5" s="6" t="s">
        <v>62</v>
      </c>
      <c r="B5" s="1" t="s">
        <v>9</v>
      </c>
      <c r="C5" s="1" t="s">
        <v>10</v>
      </c>
      <c r="D5" s="4">
        <v>20</v>
      </c>
      <c r="E5" s="4">
        <v>281</v>
      </c>
      <c r="F5" s="4">
        <v>1.779676099E-2</v>
      </c>
      <c r="G5" s="2" t="s">
        <v>95</v>
      </c>
      <c r="H5" s="5">
        <v>280.95</v>
      </c>
      <c r="I5" s="1" t="s">
        <v>8</v>
      </c>
      <c r="J5" s="41" t="s">
        <v>41</v>
      </c>
      <c r="K5" s="17"/>
      <c r="L5" s="17"/>
      <c r="M5" s="17"/>
      <c r="N5" t="str">
        <f t="shared" si="0"/>
        <v>Unique</v>
      </c>
      <c r="O5" s="10"/>
      <c r="P5" s="26"/>
    </row>
    <row r="6" spans="1:16" customFormat="1" ht="40.75" customHeight="1" thickBot="1" x14ac:dyDescent="0.4">
      <c r="A6" s="6" t="s">
        <v>62</v>
      </c>
      <c r="B6" s="1" t="s">
        <v>15</v>
      </c>
      <c r="C6" s="1" t="s">
        <v>10</v>
      </c>
      <c r="D6" s="4">
        <v>30</v>
      </c>
      <c r="E6" s="4">
        <v>2435</v>
      </c>
      <c r="F6" s="4">
        <v>-0.49039640379999999</v>
      </c>
      <c r="G6" s="2" t="s">
        <v>72</v>
      </c>
      <c r="H6" s="5">
        <v>2447</v>
      </c>
      <c r="I6" s="1" t="s">
        <v>8</v>
      </c>
      <c r="J6" s="41" t="s">
        <v>55</v>
      </c>
      <c r="K6" s="17"/>
      <c r="L6" s="17"/>
      <c r="M6" s="17"/>
      <c r="N6" t="str">
        <f t="shared" si="0"/>
        <v>Unique</v>
      </c>
      <c r="O6" s="10"/>
      <c r="P6" s="10"/>
    </row>
    <row r="7" spans="1:16" customFormat="1" ht="27.65" customHeight="1" thickBot="1" x14ac:dyDescent="0.4">
      <c r="A7" s="3">
        <v>46252.645138888889</v>
      </c>
      <c r="B7" s="1" t="s">
        <v>68</v>
      </c>
      <c r="C7" s="1" t="s">
        <v>10</v>
      </c>
      <c r="D7" s="4">
        <v>10</v>
      </c>
      <c r="E7" s="4">
        <v>401</v>
      </c>
      <c r="F7" s="4">
        <v>-0.82849016939999998</v>
      </c>
      <c r="G7" s="2" t="s">
        <v>69</v>
      </c>
      <c r="H7" s="5">
        <v>404.35</v>
      </c>
      <c r="I7" s="1" t="s">
        <v>8</v>
      </c>
      <c r="J7" s="43" t="s">
        <v>41</v>
      </c>
      <c r="K7" s="17"/>
      <c r="L7" s="17"/>
      <c r="M7" s="17"/>
      <c r="N7" t="str">
        <f t="shared" si="0"/>
        <v>Unique</v>
      </c>
      <c r="O7" s="10"/>
      <c r="P7" s="10"/>
    </row>
    <row r="8" spans="1:16" customFormat="1" ht="27.65" customHeight="1" thickBot="1" x14ac:dyDescent="0.4">
      <c r="A8" s="6" t="s">
        <v>62</v>
      </c>
      <c r="B8" s="1" t="s">
        <v>49</v>
      </c>
      <c r="C8" s="1" t="s">
        <v>10</v>
      </c>
      <c r="D8" s="4">
        <v>5</v>
      </c>
      <c r="E8" s="4">
        <v>3888</v>
      </c>
      <c r="F8" s="4">
        <v>-1.2746940229999999</v>
      </c>
      <c r="G8" s="2" t="s">
        <v>50</v>
      </c>
      <c r="H8" s="5">
        <v>3938.2</v>
      </c>
      <c r="I8" s="1" t="s">
        <v>8</v>
      </c>
      <c r="J8" s="41"/>
      <c r="K8" s="17"/>
      <c r="L8" s="17"/>
      <c r="M8" s="17"/>
      <c r="N8" t="str">
        <f t="shared" si="0"/>
        <v>Unique</v>
      </c>
      <c r="O8" s="26"/>
      <c r="P8" s="10"/>
    </row>
    <row r="9" spans="1:16" customFormat="1" ht="27.65" customHeight="1" thickBot="1" x14ac:dyDescent="0.4">
      <c r="A9" s="3">
        <v>46268.385416666664</v>
      </c>
      <c r="B9" s="1" t="s">
        <v>19</v>
      </c>
      <c r="C9" s="1" t="s">
        <v>10</v>
      </c>
      <c r="D9" s="4">
        <v>100</v>
      </c>
      <c r="E9" s="4">
        <v>214</v>
      </c>
      <c r="F9" s="4">
        <v>-1.4052061739999999</v>
      </c>
      <c r="G9" s="2" t="s">
        <v>40</v>
      </c>
      <c r="H9" s="5">
        <v>217.05</v>
      </c>
      <c r="I9" s="1" t="s">
        <v>8</v>
      </c>
      <c r="J9" s="24" t="s">
        <v>55</v>
      </c>
      <c r="K9" s="18" t="s">
        <v>242</v>
      </c>
      <c r="L9" s="18">
        <v>21900</v>
      </c>
      <c r="M9" s="18">
        <f>ABS((D9*E9)-L9)</f>
        <v>500</v>
      </c>
      <c r="N9" s="10" t="str">
        <f t="shared" si="0"/>
        <v>Unique</v>
      </c>
      <c r="O9" s="10"/>
      <c r="P9" s="10"/>
    </row>
    <row r="10" spans="1:16" s="34" customFormat="1" ht="27.65" customHeight="1" thickBot="1" x14ac:dyDescent="0.4">
      <c r="A10" s="3">
        <v>46252.6875</v>
      </c>
      <c r="B10" s="1" t="s">
        <v>9</v>
      </c>
      <c r="C10" s="1" t="s">
        <v>10</v>
      </c>
      <c r="D10" s="4">
        <v>37</v>
      </c>
      <c r="E10" s="4">
        <v>277</v>
      </c>
      <c r="F10" s="4">
        <v>-1.4059441180000001</v>
      </c>
      <c r="G10" s="2" t="s">
        <v>95</v>
      </c>
      <c r="H10" s="5">
        <v>280.95</v>
      </c>
      <c r="I10" s="1" t="s">
        <v>8</v>
      </c>
      <c r="J10" s="41" t="s">
        <v>55</v>
      </c>
      <c r="K10" s="17"/>
      <c r="L10" s="17"/>
      <c r="M10" s="17"/>
      <c r="N10" t="str">
        <f t="shared" si="0"/>
        <v>Unique</v>
      </c>
      <c r="O10"/>
      <c r="P10" s="10"/>
    </row>
    <row r="11" spans="1:16" customFormat="1" ht="15" customHeight="1" thickBot="1" x14ac:dyDescent="0.4">
      <c r="A11" s="6" t="s">
        <v>62</v>
      </c>
      <c r="B11" s="1" t="s">
        <v>49</v>
      </c>
      <c r="C11" s="1" t="s">
        <v>10</v>
      </c>
      <c r="D11" s="4">
        <v>2</v>
      </c>
      <c r="E11" s="4">
        <v>3856</v>
      </c>
      <c r="F11" s="4">
        <v>-2.087247981</v>
      </c>
      <c r="G11" s="2" t="s">
        <v>50</v>
      </c>
      <c r="H11" s="5">
        <v>3938.2</v>
      </c>
      <c r="I11" s="1" t="s">
        <v>8</v>
      </c>
      <c r="J11" s="41"/>
      <c r="K11" s="17"/>
      <c r="L11" s="17"/>
      <c r="M11" s="17"/>
      <c r="N11" t="str">
        <f t="shared" si="0"/>
        <v>Unique</v>
      </c>
      <c r="O11" s="19"/>
      <c r="P11" s="10"/>
    </row>
    <row r="12" spans="1:16" customFormat="1" ht="40.75" customHeight="1" thickBot="1" x14ac:dyDescent="0.4">
      <c r="A12" s="6" t="s">
        <v>62</v>
      </c>
      <c r="B12" s="1" t="s">
        <v>11</v>
      </c>
      <c r="C12" s="1" t="s">
        <v>10</v>
      </c>
      <c r="D12" s="4">
        <v>10</v>
      </c>
      <c r="E12" s="4">
        <v>261</v>
      </c>
      <c r="F12" s="4">
        <v>-2.1922428329999999</v>
      </c>
      <c r="G12" s="2" t="s">
        <v>99</v>
      </c>
      <c r="H12" s="5">
        <v>266.85000000000002</v>
      </c>
      <c r="I12" s="1" t="s">
        <v>8</v>
      </c>
      <c r="J12" s="41" t="s">
        <v>41</v>
      </c>
      <c r="K12" s="17"/>
      <c r="L12" s="17"/>
      <c r="M12" s="17"/>
      <c r="N12" t="str">
        <f t="shared" si="0"/>
        <v>Unique</v>
      </c>
      <c r="P12" s="34"/>
    </row>
    <row r="13" spans="1:16" customFormat="1" ht="27.65" customHeight="1" thickBot="1" x14ac:dyDescent="0.4">
      <c r="A13" s="6" t="s">
        <v>62</v>
      </c>
      <c r="B13" s="1" t="s">
        <v>19</v>
      </c>
      <c r="C13" s="1" t="s">
        <v>10</v>
      </c>
      <c r="D13" s="4">
        <v>50</v>
      </c>
      <c r="E13" s="4">
        <v>212</v>
      </c>
      <c r="F13" s="4">
        <v>-2.3266528449999999</v>
      </c>
      <c r="G13" s="2" t="s">
        <v>40</v>
      </c>
      <c r="H13" s="5">
        <v>217.05</v>
      </c>
      <c r="I13" s="1" t="s">
        <v>8</v>
      </c>
      <c r="J13" s="41" t="s">
        <v>41</v>
      </c>
      <c r="K13" s="17"/>
      <c r="L13" s="17"/>
      <c r="M13" s="17"/>
      <c r="N13" t="str">
        <f t="shared" si="0"/>
        <v>Unique</v>
      </c>
      <c r="O13" s="10"/>
      <c r="P13" s="10"/>
    </row>
    <row r="14" spans="1:16" customFormat="1" ht="27.65" customHeight="1" thickBot="1" x14ac:dyDescent="0.4">
      <c r="A14" s="6" t="s">
        <v>62</v>
      </c>
      <c r="B14" s="1" t="s">
        <v>51</v>
      </c>
      <c r="C14" s="1" t="s">
        <v>10</v>
      </c>
      <c r="D14" s="4">
        <v>40</v>
      </c>
      <c r="E14" s="4">
        <v>878</v>
      </c>
      <c r="F14" s="4">
        <v>-2.4444444440000002</v>
      </c>
      <c r="G14" s="2" t="s">
        <v>52</v>
      </c>
      <c r="H14" s="5">
        <v>900</v>
      </c>
      <c r="I14" s="1" t="s">
        <v>8</v>
      </c>
      <c r="J14" s="41" t="s">
        <v>55</v>
      </c>
      <c r="K14" s="17"/>
      <c r="L14" s="17"/>
      <c r="M14" s="17"/>
      <c r="N14" t="str">
        <f t="shared" si="0"/>
        <v>Unique</v>
      </c>
      <c r="O14" s="10"/>
      <c r="P14" s="10"/>
    </row>
    <row r="15" spans="1:16" customFormat="1" ht="27.65" customHeight="1" thickBot="1" x14ac:dyDescent="0.4">
      <c r="A15" s="3">
        <v>46261.375</v>
      </c>
      <c r="B15" s="1" t="s">
        <v>23</v>
      </c>
      <c r="C15" s="1" t="s">
        <v>10</v>
      </c>
      <c r="D15" s="4">
        <v>50</v>
      </c>
      <c r="E15" s="4">
        <v>205</v>
      </c>
      <c r="F15" s="4">
        <v>-2.543380081</v>
      </c>
      <c r="G15" s="2" t="s">
        <v>70</v>
      </c>
      <c r="H15" s="5">
        <v>210.35</v>
      </c>
      <c r="I15" s="1" t="s">
        <v>8</v>
      </c>
      <c r="J15" s="24" t="s">
        <v>41</v>
      </c>
      <c r="K15" s="18" t="s">
        <v>187</v>
      </c>
      <c r="L15" s="18">
        <v>10550</v>
      </c>
      <c r="M15" s="18">
        <f>ABS((D15*E15)-L15)</f>
        <v>300</v>
      </c>
      <c r="N15" s="10" t="str">
        <f t="shared" si="0"/>
        <v>Unique</v>
      </c>
      <c r="O15" s="10"/>
      <c r="P15" s="10"/>
    </row>
    <row r="16" spans="1:16" customFormat="1" ht="27.65" customHeight="1" thickBot="1" x14ac:dyDescent="0.4">
      <c r="A16" s="3">
        <v>46252.6875</v>
      </c>
      <c r="B16" s="1" t="s">
        <v>20</v>
      </c>
      <c r="C16" s="1" t="s">
        <v>10</v>
      </c>
      <c r="D16" s="4">
        <v>20</v>
      </c>
      <c r="E16" s="4">
        <v>122</v>
      </c>
      <c r="F16" s="4">
        <v>-2.5481268469999998</v>
      </c>
      <c r="G16" s="2" t="s">
        <v>86</v>
      </c>
      <c r="H16" s="5">
        <v>125.19</v>
      </c>
      <c r="I16" s="1" t="s">
        <v>8</v>
      </c>
      <c r="J16" s="42" t="s">
        <v>41</v>
      </c>
      <c r="K16" s="17"/>
      <c r="L16" s="17"/>
      <c r="M16" s="17"/>
      <c r="N16" t="str">
        <f t="shared" si="0"/>
        <v>Unique</v>
      </c>
      <c r="O16" s="10"/>
      <c r="P16" s="10"/>
    </row>
    <row r="17" spans="1:16" customFormat="1" ht="15" customHeight="1" thickBot="1" x14ac:dyDescent="0.4">
      <c r="A17" s="6" t="s">
        <v>62</v>
      </c>
      <c r="B17" s="1" t="s">
        <v>49</v>
      </c>
      <c r="C17" s="1" t="s">
        <v>10</v>
      </c>
      <c r="D17" s="4">
        <v>2</v>
      </c>
      <c r="E17" s="4">
        <v>3830</v>
      </c>
      <c r="F17" s="4">
        <v>-2.7474480730000002</v>
      </c>
      <c r="G17" s="2" t="s">
        <v>50</v>
      </c>
      <c r="H17" s="5">
        <v>3938.2</v>
      </c>
      <c r="I17" s="1" t="s">
        <v>8</v>
      </c>
      <c r="J17" s="41"/>
      <c r="K17" s="17"/>
      <c r="L17" s="17"/>
      <c r="M17" s="17"/>
      <c r="N17" t="str">
        <f t="shared" si="0"/>
        <v>Unique</v>
      </c>
      <c r="O17" s="10"/>
      <c r="P17" s="10"/>
    </row>
    <row r="18" spans="1:16" customFormat="1" ht="27.65" customHeight="1" thickBot="1" x14ac:dyDescent="0.4">
      <c r="A18" s="6" t="s">
        <v>62</v>
      </c>
      <c r="B18" s="1" t="s">
        <v>22</v>
      </c>
      <c r="C18" s="1" t="s">
        <v>10</v>
      </c>
      <c r="D18" s="4">
        <v>29</v>
      </c>
      <c r="E18" s="4">
        <v>401</v>
      </c>
      <c r="F18" s="4">
        <v>-2.8702918739999999</v>
      </c>
      <c r="G18" s="2" t="s">
        <v>73</v>
      </c>
      <c r="H18" s="5">
        <v>412.85</v>
      </c>
      <c r="I18" s="1" t="s">
        <v>8</v>
      </c>
      <c r="J18" s="22" t="s">
        <v>55</v>
      </c>
      <c r="K18" s="17"/>
      <c r="L18" s="17"/>
      <c r="M18" s="17"/>
      <c r="N18" t="str">
        <f t="shared" si="0"/>
        <v>Unique</v>
      </c>
      <c r="P18" s="10"/>
    </row>
    <row r="19" spans="1:16" customFormat="1" ht="27.65" customHeight="1" thickBot="1" x14ac:dyDescent="0.4">
      <c r="A19" s="6" t="s">
        <v>62</v>
      </c>
      <c r="B19" s="1" t="s">
        <v>82</v>
      </c>
      <c r="C19" s="1" t="s">
        <v>10</v>
      </c>
      <c r="D19" s="4">
        <v>1</v>
      </c>
      <c r="E19" s="4">
        <v>4010</v>
      </c>
      <c r="F19" s="4">
        <v>-2.9760464550000001</v>
      </c>
      <c r="G19" s="2" t="s">
        <v>83</v>
      </c>
      <c r="H19" s="5">
        <v>4133</v>
      </c>
      <c r="I19" s="1" t="s">
        <v>8</v>
      </c>
      <c r="J19" s="41" t="s">
        <v>41</v>
      </c>
      <c r="K19" s="17"/>
      <c r="L19" s="17"/>
      <c r="M19" s="17"/>
      <c r="N19" t="str">
        <f t="shared" si="0"/>
        <v>Unique</v>
      </c>
      <c r="O19" s="10"/>
      <c r="P19" s="10"/>
    </row>
    <row r="20" spans="1:16" customFormat="1" ht="27.65" customHeight="1" thickBot="1" x14ac:dyDescent="0.4">
      <c r="A20" s="20">
        <v>46255</v>
      </c>
      <c r="B20" s="1" t="s">
        <v>17</v>
      </c>
      <c r="C20" s="1" t="s">
        <v>10</v>
      </c>
      <c r="D20" s="4">
        <v>25</v>
      </c>
      <c r="E20" s="4">
        <v>336</v>
      </c>
      <c r="F20" s="4">
        <v>-3.156074362</v>
      </c>
      <c r="G20" s="2" t="s">
        <v>77</v>
      </c>
      <c r="H20" s="5">
        <v>346.95</v>
      </c>
      <c r="I20" s="1" t="s">
        <v>8</v>
      </c>
      <c r="J20" s="24" t="s">
        <v>55</v>
      </c>
      <c r="K20" s="18" t="s">
        <v>150</v>
      </c>
      <c r="L20" s="18">
        <v>8700</v>
      </c>
      <c r="M20" s="18">
        <f>ABS((D20*E20)-L20)</f>
        <v>300</v>
      </c>
      <c r="N20" s="10" t="str">
        <f t="shared" si="0"/>
        <v>Unique</v>
      </c>
    </row>
    <row r="21" spans="1:16" customFormat="1" ht="27.65" customHeight="1" thickBot="1" x14ac:dyDescent="0.4">
      <c r="A21" s="3">
        <v>46274.375</v>
      </c>
      <c r="B21" s="1" t="s">
        <v>119</v>
      </c>
      <c r="C21" s="1" t="s">
        <v>10</v>
      </c>
      <c r="D21" s="4">
        <v>15</v>
      </c>
      <c r="E21" s="4">
        <v>1005</v>
      </c>
      <c r="F21" s="4">
        <v>-3.2071655589999999</v>
      </c>
      <c r="G21" s="2" t="s">
        <v>120</v>
      </c>
      <c r="H21" s="5">
        <v>1038.3</v>
      </c>
      <c r="I21" s="1" t="s">
        <v>8</v>
      </c>
      <c r="J21" s="24" t="s">
        <v>55</v>
      </c>
      <c r="K21" s="18" t="s">
        <v>275</v>
      </c>
      <c r="L21" s="18">
        <v>15600</v>
      </c>
      <c r="M21" s="18">
        <f>ABS((D21*E21)-L21)</f>
        <v>525</v>
      </c>
      <c r="N21" s="10" t="str">
        <f t="shared" si="0"/>
        <v>Unique</v>
      </c>
      <c r="O21" s="10"/>
      <c r="P21" s="10"/>
    </row>
    <row r="22" spans="1:16" customFormat="1" ht="15" customHeight="1" thickBot="1" x14ac:dyDescent="0.4">
      <c r="A22" s="6" t="s">
        <v>62</v>
      </c>
      <c r="B22" s="1" t="s">
        <v>49</v>
      </c>
      <c r="C22" s="1" t="s">
        <v>10</v>
      </c>
      <c r="D22" s="4">
        <v>3</v>
      </c>
      <c r="E22" s="4">
        <v>3810</v>
      </c>
      <c r="F22" s="4">
        <v>-3.2552942969999998</v>
      </c>
      <c r="G22" s="2" t="s">
        <v>50</v>
      </c>
      <c r="H22" s="5">
        <v>3938.2</v>
      </c>
      <c r="I22" s="1" t="s">
        <v>8</v>
      </c>
      <c r="J22" s="41"/>
      <c r="K22" s="17"/>
      <c r="L22" s="17"/>
      <c r="M22" s="17"/>
      <c r="N22" t="str">
        <f t="shared" si="0"/>
        <v>Unique</v>
      </c>
      <c r="O22" s="10"/>
      <c r="P22" s="10"/>
    </row>
    <row r="23" spans="1:16" customFormat="1" ht="27.65" customHeight="1" thickBot="1" x14ac:dyDescent="0.4">
      <c r="A23" s="3">
        <v>46252.6875</v>
      </c>
      <c r="B23" s="1" t="s">
        <v>23</v>
      </c>
      <c r="C23" s="1" t="s">
        <v>10</v>
      </c>
      <c r="D23" s="4">
        <v>50</v>
      </c>
      <c r="E23" s="4">
        <v>203.5</v>
      </c>
      <c r="F23" s="4">
        <v>-3.2564772999999998</v>
      </c>
      <c r="G23" s="2" t="s">
        <v>70</v>
      </c>
      <c r="H23" s="5">
        <v>210.35</v>
      </c>
      <c r="I23" s="1" t="s">
        <v>8</v>
      </c>
      <c r="J23" s="42" t="s">
        <v>55</v>
      </c>
      <c r="K23" s="17"/>
      <c r="L23" s="17"/>
      <c r="M23" s="17"/>
      <c r="N23" t="str">
        <f t="shared" si="0"/>
        <v>Unique</v>
      </c>
      <c r="O23" s="10"/>
    </row>
    <row r="24" spans="1:16" customFormat="1" ht="27.65" customHeight="1" thickBot="1" x14ac:dyDescent="0.4">
      <c r="A24" s="3">
        <v>46260.375</v>
      </c>
      <c r="B24" s="1" t="s">
        <v>33</v>
      </c>
      <c r="C24" s="1" t="s">
        <v>10</v>
      </c>
      <c r="D24" s="4">
        <v>3</v>
      </c>
      <c r="E24" s="4">
        <v>2348</v>
      </c>
      <c r="F24" s="4">
        <v>-3.2709895360000001</v>
      </c>
      <c r="G24" s="2" t="s">
        <v>84</v>
      </c>
      <c r="H24" s="5">
        <v>2427.4</v>
      </c>
      <c r="I24" s="1" t="s">
        <v>8</v>
      </c>
      <c r="J24" s="24" t="s">
        <v>41</v>
      </c>
      <c r="K24" s="18" t="s">
        <v>176</v>
      </c>
      <c r="L24" s="18">
        <v>7344</v>
      </c>
      <c r="M24" s="18">
        <f>ABS((D24*E24)-L24)</f>
        <v>300</v>
      </c>
      <c r="N24" t="str">
        <f t="shared" si="0"/>
        <v>Unique</v>
      </c>
      <c r="O24" s="10"/>
      <c r="P24" s="10"/>
    </row>
    <row r="25" spans="1:16" customFormat="1" ht="27.65" customHeight="1" thickBot="1" x14ac:dyDescent="0.4">
      <c r="A25" s="3">
        <v>46252.635416666664</v>
      </c>
      <c r="B25" s="1" t="s">
        <v>68</v>
      </c>
      <c r="C25" s="1" t="s">
        <v>10</v>
      </c>
      <c r="D25" s="4">
        <v>100</v>
      </c>
      <c r="E25" s="4">
        <v>391</v>
      </c>
      <c r="F25" s="4">
        <v>-3.3015951530000001</v>
      </c>
      <c r="G25" s="2" t="s">
        <v>69</v>
      </c>
      <c r="H25" s="5">
        <v>404.35</v>
      </c>
      <c r="I25" s="1" t="s">
        <v>8</v>
      </c>
      <c r="J25" s="41" t="s">
        <v>55</v>
      </c>
      <c r="K25" s="17"/>
      <c r="L25" s="17"/>
      <c r="M25" s="17"/>
      <c r="N25" t="str">
        <f t="shared" si="0"/>
        <v>Unique</v>
      </c>
      <c r="O25" s="10"/>
      <c r="P25" s="10"/>
    </row>
    <row r="26" spans="1:16" customFormat="1" ht="27.65" customHeight="1" thickBot="1" x14ac:dyDescent="0.4">
      <c r="A26" s="3">
        <v>46252.6875</v>
      </c>
      <c r="B26" s="1" t="s">
        <v>18</v>
      </c>
      <c r="C26" s="1" t="s">
        <v>10</v>
      </c>
      <c r="D26" s="4">
        <v>10</v>
      </c>
      <c r="E26" s="4">
        <v>1666</v>
      </c>
      <c r="F26" s="4">
        <v>-3.59354204</v>
      </c>
      <c r="G26" s="2" t="s">
        <v>102</v>
      </c>
      <c r="H26" s="5">
        <v>1728.1</v>
      </c>
      <c r="I26" s="1" t="s">
        <v>8</v>
      </c>
      <c r="J26" s="41" t="s">
        <v>55</v>
      </c>
      <c r="K26" s="17"/>
      <c r="L26" s="17"/>
      <c r="M26" s="17"/>
      <c r="N26" t="str">
        <f t="shared" si="0"/>
        <v>Unique</v>
      </c>
    </row>
    <row r="27" spans="1:16" customFormat="1" ht="27.65" customHeight="1" thickBot="1" x14ac:dyDescent="0.4">
      <c r="A27" s="6" t="s">
        <v>62</v>
      </c>
      <c r="B27" s="1" t="s">
        <v>25</v>
      </c>
      <c r="C27" s="1" t="s">
        <v>10</v>
      </c>
      <c r="D27" s="4">
        <v>200</v>
      </c>
      <c r="E27" s="4">
        <v>31.01</v>
      </c>
      <c r="F27" s="4">
        <v>-3.8747675140000002</v>
      </c>
      <c r="G27" s="2" t="s">
        <v>46</v>
      </c>
      <c r="H27" s="5">
        <v>32.26</v>
      </c>
      <c r="I27" s="1" t="s">
        <v>8</v>
      </c>
      <c r="J27" s="41" t="s">
        <v>55</v>
      </c>
      <c r="K27" s="17"/>
      <c r="L27" s="17"/>
      <c r="M27" s="17"/>
      <c r="N27" t="str">
        <f t="shared" si="0"/>
        <v>Unique</v>
      </c>
      <c r="O27" s="34"/>
    </row>
    <row r="28" spans="1:16" customFormat="1" ht="15" customHeight="1" thickBot="1" x14ac:dyDescent="0.4">
      <c r="A28" s="3">
        <v>46252.635416666664</v>
      </c>
      <c r="B28" s="1" t="s">
        <v>36</v>
      </c>
      <c r="C28" s="1" t="s">
        <v>10</v>
      </c>
      <c r="D28" s="4">
        <v>5</v>
      </c>
      <c r="E28" s="4">
        <v>1142</v>
      </c>
      <c r="F28" s="4">
        <v>-4.1785534489999998</v>
      </c>
      <c r="G28" s="2" t="s">
        <v>65</v>
      </c>
      <c r="H28" s="5">
        <v>1191.8</v>
      </c>
      <c r="I28" s="1" t="s">
        <v>8</v>
      </c>
      <c r="J28" s="22" t="s">
        <v>41</v>
      </c>
      <c r="K28" s="17"/>
      <c r="L28" s="17"/>
      <c r="M28" s="17"/>
      <c r="N28" t="str">
        <f t="shared" si="0"/>
        <v>Unique</v>
      </c>
      <c r="O28" s="10"/>
      <c r="P28" s="10"/>
    </row>
    <row r="29" spans="1:16" customFormat="1" ht="27.65" customHeight="1" thickBot="1" x14ac:dyDescent="0.4">
      <c r="A29" s="6" t="s">
        <v>62</v>
      </c>
      <c r="B29" s="1" t="s">
        <v>51</v>
      </c>
      <c r="C29" s="1" t="s">
        <v>10</v>
      </c>
      <c r="D29" s="4">
        <v>40</v>
      </c>
      <c r="E29" s="4">
        <v>862</v>
      </c>
      <c r="F29" s="4">
        <v>-4.2222222220000001</v>
      </c>
      <c r="G29" s="2" t="s">
        <v>52</v>
      </c>
      <c r="H29" s="5">
        <v>900</v>
      </c>
      <c r="I29" s="1" t="s">
        <v>8</v>
      </c>
      <c r="J29" s="41" t="s">
        <v>41</v>
      </c>
      <c r="K29" s="17"/>
      <c r="L29" s="17"/>
      <c r="M29" s="17"/>
      <c r="N29" t="str">
        <f t="shared" si="0"/>
        <v>Unique</v>
      </c>
    </row>
    <row r="30" spans="1:16" customFormat="1" ht="27.65" customHeight="1" thickBot="1" x14ac:dyDescent="0.4">
      <c r="A30" s="3">
        <v>46121.375</v>
      </c>
      <c r="B30" s="1" t="s">
        <v>13</v>
      </c>
      <c r="C30" s="1" t="s">
        <v>10</v>
      </c>
      <c r="D30" s="4">
        <v>5</v>
      </c>
      <c r="E30" s="4">
        <v>1664</v>
      </c>
      <c r="F30" s="4">
        <v>-4.2577675490000004</v>
      </c>
      <c r="G30" s="2" t="s">
        <v>91</v>
      </c>
      <c r="H30" s="5">
        <v>1738</v>
      </c>
      <c r="I30" s="1" t="s">
        <v>8</v>
      </c>
      <c r="J30" s="24" t="s">
        <v>41</v>
      </c>
      <c r="K30" s="18" t="s">
        <v>250</v>
      </c>
      <c r="L30" s="18">
        <f>5*1794</f>
        <v>8970</v>
      </c>
      <c r="M30" s="18">
        <f>ABS((D30*E30)-L30)</f>
        <v>650</v>
      </c>
      <c r="N30" s="10" t="str">
        <f t="shared" si="0"/>
        <v>Unique</v>
      </c>
      <c r="P30" s="10"/>
    </row>
    <row r="31" spans="1:16" customFormat="1" ht="15" customHeight="1" thickBot="1" x14ac:dyDescent="0.4">
      <c r="A31" s="3">
        <v>46252.635416666664</v>
      </c>
      <c r="B31" s="1" t="s">
        <v>78</v>
      </c>
      <c r="C31" s="1" t="s">
        <v>10</v>
      </c>
      <c r="D31" s="4">
        <v>3</v>
      </c>
      <c r="E31" s="4">
        <v>1302</v>
      </c>
      <c r="F31" s="4">
        <v>-4.2647058820000003</v>
      </c>
      <c r="G31" s="2" t="s">
        <v>79</v>
      </c>
      <c r="H31" s="5">
        <v>1360</v>
      </c>
      <c r="I31" s="1" t="s">
        <v>8</v>
      </c>
      <c r="J31" s="41" t="s">
        <v>41</v>
      </c>
      <c r="K31" s="17"/>
      <c r="L31" s="17"/>
      <c r="M31" s="17"/>
      <c r="N31" t="str">
        <f t="shared" si="0"/>
        <v>Unique</v>
      </c>
    </row>
    <row r="32" spans="1:16" customFormat="1" ht="27.65" customHeight="1" thickBot="1" x14ac:dyDescent="0.4">
      <c r="A32" s="6" t="s">
        <v>62</v>
      </c>
      <c r="B32" s="1" t="s">
        <v>107</v>
      </c>
      <c r="C32" s="1" t="s">
        <v>10</v>
      </c>
      <c r="D32" s="4">
        <v>1</v>
      </c>
      <c r="E32" s="4">
        <v>6920</v>
      </c>
      <c r="F32" s="4">
        <v>-4.4198895030000003</v>
      </c>
      <c r="G32" s="2" t="s">
        <v>108</v>
      </c>
      <c r="H32" s="5">
        <v>7240</v>
      </c>
      <c r="I32" s="1" t="s">
        <v>8</v>
      </c>
      <c r="J32" s="22" t="s">
        <v>140</v>
      </c>
      <c r="K32" s="17"/>
      <c r="L32" s="17"/>
      <c r="M32" s="17"/>
      <c r="N32" t="str">
        <f t="shared" si="0"/>
        <v>Unique</v>
      </c>
    </row>
    <row r="33" spans="1:16" customFormat="1" ht="27.65" customHeight="1" thickBot="1" x14ac:dyDescent="0.4">
      <c r="A33" s="6" t="s">
        <v>62</v>
      </c>
      <c r="B33" s="1" t="s">
        <v>23</v>
      </c>
      <c r="C33" s="1" t="s">
        <v>10</v>
      </c>
      <c r="D33" s="4">
        <v>50</v>
      </c>
      <c r="E33" s="4">
        <v>201</v>
      </c>
      <c r="F33" s="4">
        <v>-4.4449726649999999</v>
      </c>
      <c r="G33" s="2" t="s">
        <v>70</v>
      </c>
      <c r="H33" s="5">
        <v>210.35</v>
      </c>
      <c r="I33" s="1" t="s">
        <v>8</v>
      </c>
      <c r="J33" s="42" t="s">
        <v>41</v>
      </c>
      <c r="K33" s="17"/>
      <c r="L33" s="17"/>
      <c r="M33" s="17"/>
      <c r="N33" t="str">
        <f t="shared" si="0"/>
        <v>Unique</v>
      </c>
    </row>
    <row r="34" spans="1:16" customFormat="1" ht="27.65" customHeight="1" thickBot="1" x14ac:dyDescent="0.4">
      <c r="A34" s="3">
        <v>46252.688194444447</v>
      </c>
      <c r="B34" s="1" t="s">
        <v>21</v>
      </c>
      <c r="C34" s="1" t="s">
        <v>10</v>
      </c>
      <c r="D34" s="4">
        <v>5</v>
      </c>
      <c r="E34" s="4">
        <v>640</v>
      </c>
      <c r="F34" s="4">
        <v>-4.4633527390000003</v>
      </c>
      <c r="G34" s="2" t="s">
        <v>76</v>
      </c>
      <c r="H34" s="5">
        <v>669.9</v>
      </c>
      <c r="I34" s="1" t="s">
        <v>8</v>
      </c>
      <c r="J34" s="41" t="s">
        <v>41</v>
      </c>
      <c r="K34" s="17"/>
      <c r="L34" s="17"/>
      <c r="M34" s="17"/>
      <c r="N34" t="str">
        <f t="shared" si="0"/>
        <v>Unique</v>
      </c>
    </row>
    <row r="35" spans="1:16" customFormat="1" ht="27.65" customHeight="1" thickBot="1" x14ac:dyDescent="0.4">
      <c r="A35" s="6" t="s">
        <v>62</v>
      </c>
      <c r="B35" s="1" t="s">
        <v>49</v>
      </c>
      <c r="C35" s="1" t="s">
        <v>10</v>
      </c>
      <c r="D35" s="4">
        <v>2</v>
      </c>
      <c r="E35" s="4">
        <v>3760</v>
      </c>
      <c r="F35" s="4">
        <v>-4.5249098569999999</v>
      </c>
      <c r="G35" s="2" t="s">
        <v>50</v>
      </c>
      <c r="H35" s="5">
        <v>3938.2</v>
      </c>
      <c r="I35" s="1" t="s">
        <v>8</v>
      </c>
      <c r="J35" s="41"/>
      <c r="K35" s="17"/>
      <c r="L35" s="17"/>
      <c r="M35" s="17"/>
      <c r="N35" t="str">
        <f t="shared" si="0"/>
        <v>Unique</v>
      </c>
      <c r="P35" s="10"/>
    </row>
    <row r="36" spans="1:16" customFormat="1" ht="27.65" customHeight="1" thickBot="1" x14ac:dyDescent="0.4">
      <c r="A36" s="3">
        <v>46268.375</v>
      </c>
      <c r="B36" s="1" t="s">
        <v>32</v>
      </c>
      <c r="C36" s="1" t="s">
        <v>10</v>
      </c>
      <c r="D36" s="4">
        <v>20</v>
      </c>
      <c r="E36" s="4">
        <v>870.2</v>
      </c>
      <c r="F36" s="4">
        <v>-4.6356164379999996</v>
      </c>
      <c r="G36" s="2" t="s">
        <v>85</v>
      </c>
      <c r="H36" s="5">
        <v>912.5</v>
      </c>
      <c r="I36" s="1" t="s">
        <v>8</v>
      </c>
      <c r="J36" s="24" t="s">
        <v>55</v>
      </c>
      <c r="K36" s="18" t="s">
        <v>241</v>
      </c>
      <c r="L36" s="18">
        <v>17920</v>
      </c>
      <c r="M36" s="18">
        <f>ABS((D36*E36)-L36)</f>
        <v>516</v>
      </c>
      <c r="N36" s="10" t="str">
        <f t="shared" si="0"/>
        <v>Unique</v>
      </c>
      <c r="O36" s="10"/>
      <c r="P36" s="10"/>
    </row>
    <row r="37" spans="1:16" customFormat="1" ht="27.65" customHeight="1" thickBot="1" x14ac:dyDescent="0.4">
      <c r="A37" s="3">
        <v>46261.375</v>
      </c>
      <c r="B37" s="1" t="s">
        <v>32</v>
      </c>
      <c r="C37" s="1" t="s">
        <v>10</v>
      </c>
      <c r="D37" s="4">
        <v>20</v>
      </c>
      <c r="E37" s="4">
        <v>870</v>
      </c>
      <c r="F37" s="4">
        <v>-4.6575342470000001</v>
      </c>
      <c r="G37" s="2" t="s">
        <v>85</v>
      </c>
      <c r="H37" s="5">
        <v>912.5</v>
      </c>
      <c r="I37" s="1" t="s">
        <v>8</v>
      </c>
      <c r="J37" s="24" t="s">
        <v>41</v>
      </c>
      <c r="K37" s="18" t="s">
        <v>188</v>
      </c>
      <c r="L37" s="18">
        <v>17700</v>
      </c>
      <c r="M37" s="18">
        <f>ABS((D37*E37)-L37)</f>
        <v>300</v>
      </c>
      <c r="N37" s="10" t="str">
        <f t="shared" si="0"/>
        <v>Unique</v>
      </c>
      <c r="O37" s="10"/>
      <c r="P37" s="25"/>
    </row>
    <row r="38" spans="1:16" customFormat="1" ht="27.65" customHeight="1" thickBot="1" x14ac:dyDescent="0.4">
      <c r="A38" s="6" t="s">
        <v>62</v>
      </c>
      <c r="B38" s="1" t="s">
        <v>20</v>
      </c>
      <c r="C38" s="1" t="s">
        <v>10</v>
      </c>
      <c r="D38" s="4">
        <v>50</v>
      </c>
      <c r="E38" s="4">
        <v>119</v>
      </c>
      <c r="F38" s="4">
        <v>-4.9444843839999999</v>
      </c>
      <c r="G38" s="2" t="s">
        <v>86</v>
      </c>
      <c r="H38" s="5">
        <v>125.19</v>
      </c>
      <c r="I38" s="1" t="s">
        <v>8</v>
      </c>
      <c r="J38" s="41"/>
      <c r="K38" s="17"/>
      <c r="L38" s="17"/>
      <c r="M38" s="17"/>
      <c r="N38" t="str">
        <f t="shared" si="0"/>
        <v>Unique</v>
      </c>
      <c r="P38" s="10"/>
    </row>
    <row r="39" spans="1:16" customFormat="1" ht="27.65" customHeight="1" thickBot="1" x14ac:dyDescent="0.4">
      <c r="A39" s="3">
        <v>46252.635416666664</v>
      </c>
      <c r="B39" s="1" t="s">
        <v>36</v>
      </c>
      <c r="C39" s="1" t="s">
        <v>10</v>
      </c>
      <c r="D39" s="4">
        <v>5</v>
      </c>
      <c r="E39" s="4">
        <v>1132</v>
      </c>
      <c r="F39" s="4">
        <v>-5.0176204059999998</v>
      </c>
      <c r="G39" s="2" t="s">
        <v>65</v>
      </c>
      <c r="H39" s="5">
        <v>1191.8</v>
      </c>
      <c r="I39" s="1" t="s">
        <v>8</v>
      </c>
      <c r="J39" s="41" t="s">
        <v>41</v>
      </c>
      <c r="K39" s="17"/>
      <c r="L39" s="17"/>
      <c r="M39" s="17"/>
      <c r="N39" t="str">
        <f t="shared" si="0"/>
        <v>Unique</v>
      </c>
      <c r="O39" s="10"/>
      <c r="P39" s="10"/>
    </row>
    <row r="40" spans="1:16" customFormat="1" ht="27.65" customHeight="1" thickBot="1" x14ac:dyDescent="0.4">
      <c r="A40" s="6" t="s">
        <v>62</v>
      </c>
      <c r="B40" s="1" t="s">
        <v>19</v>
      </c>
      <c r="C40" s="1" t="s">
        <v>10</v>
      </c>
      <c r="D40" s="4">
        <v>50</v>
      </c>
      <c r="E40" s="4">
        <v>206</v>
      </c>
      <c r="F40" s="4">
        <v>-5.090992859</v>
      </c>
      <c r="G40" s="2" t="s">
        <v>40</v>
      </c>
      <c r="H40" s="5">
        <v>217.05</v>
      </c>
      <c r="I40" s="1" t="s">
        <v>8</v>
      </c>
      <c r="J40" s="41" t="s">
        <v>41</v>
      </c>
      <c r="K40" s="17"/>
      <c r="L40" s="17"/>
      <c r="M40" s="17"/>
      <c r="N40" t="str">
        <f t="shared" si="0"/>
        <v>Unique</v>
      </c>
    </row>
    <row r="41" spans="1:16" ht="40.75" customHeight="1" thickBot="1" x14ac:dyDescent="0.4">
      <c r="A41" s="6" t="s">
        <v>62</v>
      </c>
      <c r="B41" s="1" t="s">
        <v>111</v>
      </c>
      <c r="C41" s="1" t="s">
        <v>10</v>
      </c>
      <c r="D41" s="4">
        <v>7</v>
      </c>
      <c r="E41" s="4">
        <v>411</v>
      </c>
      <c r="F41" s="4">
        <v>-5.3213545269999996</v>
      </c>
      <c r="G41" s="2" t="s">
        <v>112</v>
      </c>
      <c r="H41" s="5">
        <v>434.1</v>
      </c>
      <c r="I41" s="1" t="s">
        <v>8</v>
      </c>
      <c r="J41" s="41"/>
      <c r="K41" s="17"/>
      <c r="L41" s="17"/>
      <c r="M41" s="17"/>
      <c r="N41" t="str">
        <f t="shared" si="0"/>
        <v>Unique</v>
      </c>
      <c r="O41"/>
      <c r="P41"/>
    </row>
    <row r="42" spans="1:16" ht="40.75" customHeight="1" thickBot="1" x14ac:dyDescent="0.4">
      <c r="A42" s="3">
        <v>46269.375</v>
      </c>
      <c r="B42" s="1" t="s">
        <v>74</v>
      </c>
      <c r="C42" s="1" t="s">
        <v>10</v>
      </c>
      <c r="D42" s="4">
        <v>2</v>
      </c>
      <c r="E42" s="4">
        <v>3210</v>
      </c>
      <c r="F42" s="4">
        <v>-5.3320750270000001</v>
      </c>
      <c r="G42" s="2" t="s">
        <v>75</v>
      </c>
      <c r="H42" s="5">
        <v>3390.8</v>
      </c>
      <c r="I42" s="1" t="s">
        <v>8</v>
      </c>
      <c r="J42" s="24" t="s">
        <v>41</v>
      </c>
      <c r="K42" s="18" t="s">
        <v>248</v>
      </c>
      <c r="L42" s="18">
        <v>6880</v>
      </c>
      <c r="M42" s="27">
        <f>ABS((D42*E42)-L42)</f>
        <v>460</v>
      </c>
      <c r="N42" t="str">
        <f t="shared" si="0"/>
        <v>Unique</v>
      </c>
      <c r="O42"/>
    </row>
    <row r="43" spans="1:16" ht="40.75" customHeight="1" thickBot="1" x14ac:dyDescent="0.4">
      <c r="A43" s="6" t="s">
        <v>62</v>
      </c>
      <c r="B43" s="1" t="s">
        <v>109</v>
      </c>
      <c r="C43" s="1" t="s">
        <v>10</v>
      </c>
      <c r="D43" s="4">
        <v>1</v>
      </c>
      <c r="E43" s="4">
        <v>4640</v>
      </c>
      <c r="F43" s="4">
        <v>-5.6335163719999999</v>
      </c>
      <c r="G43" s="2" t="s">
        <v>110</v>
      </c>
      <c r="H43" s="5">
        <v>4917</v>
      </c>
      <c r="I43" s="1" t="s">
        <v>8</v>
      </c>
      <c r="J43" s="41"/>
      <c r="K43" s="17"/>
      <c r="L43" s="17"/>
      <c r="M43" s="17"/>
      <c r="N43" t="str">
        <f t="shared" si="0"/>
        <v>Unique</v>
      </c>
      <c r="P43"/>
    </row>
    <row r="44" spans="1:16" ht="15" customHeight="1" thickBot="1" x14ac:dyDescent="0.4">
      <c r="A44" s="3">
        <v>46252.6875</v>
      </c>
      <c r="B44" s="1" t="s">
        <v>17</v>
      </c>
      <c r="C44" s="1" t="s">
        <v>10</v>
      </c>
      <c r="D44" s="4">
        <v>25</v>
      </c>
      <c r="E44" s="4">
        <v>326</v>
      </c>
      <c r="F44" s="4">
        <v>-6.0383340539999999</v>
      </c>
      <c r="G44" s="2" t="s">
        <v>77</v>
      </c>
      <c r="H44" s="5">
        <v>346.95</v>
      </c>
      <c r="I44" s="1" t="s">
        <v>8</v>
      </c>
      <c r="J44" s="41" t="s">
        <v>41</v>
      </c>
      <c r="K44" s="17"/>
      <c r="L44" s="17"/>
      <c r="M44" s="17"/>
      <c r="N44" t="str">
        <f t="shared" si="0"/>
        <v>Unique</v>
      </c>
      <c r="O44"/>
      <c r="P44"/>
    </row>
    <row r="45" spans="1:16" ht="27.65" customHeight="1" thickBot="1" x14ac:dyDescent="0.4">
      <c r="A45" s="6" t="s">
        <v>62</v>
      </c>
      <c r="B45" s="1" t="s">
        <v>78</v>
      </c>
      <c r="C45" s="1" t="s">
        <v>10</v>
      </c>
      <c r="D45" s="4">
        <v>69</v>
      </c>
      <c r="E45" s="4">
        <v>1277</v>
      </c>
      <c r="F45" s="4">
        <v>-6.1029411759999999</v>
      </c>
      <c r="G45" s="2" t="s">
        <v>79</v>
      </c>
      <c r="H45" s="5">
        <v>1360</v>
      </c>
      <c r="I45" s="1" t="s">
        <v>8</v>
      </c>
      <c r="J45" s="41"/>
      <c r="K45" s="17"/>
      <c r="L45" s="17"/>
      <c r="M45" s="17"/>
      <c r="N45" t="str">
        <f t="shared" si="0"/>
        <v>Unique</v>
      </c>
      <c r="O45"/>
      <c r="P45"/>
    </row>
    <row r="46" spans="1:16" ht="27.65" customHeight="1" thickBot="1" x14ac:dyDescent="0.4">
      <c r="A46" s="3">
        <v>46258.601388888892</v>
      </c>
      <c r="B46" s="1" t="s">
        <v>33</v>
      </c>
      <c r="C46" s="1" t="s">
        <v>10</v>
      </c>
      <c r="D46" s="4">
        <v>3</v>
      </c>
      <c r="E46" s="4">
        <v>2271</v>
      </c>
      <c r="F46" s="4">
        <v>-6.4431078519999998</v>
      </c>
      <c r="G46" s="2" t="s">
        <v>84</v>
      </c>
      <c r="H46" s="5">
        <v>2427.4</v>
      </c>
      <c r="I46" s="1" t="s">
        <v>8</v>
      </c>
      <c r="J46" s="24" t="s">
        <v>55</v>
      </c>
      <c r="K46" s="18" t="s">
        <v>161</v>
      </c>
      <c r="L46" s="18">
        <v>7113</v>
      </c>
      <c r="M46" s="18">
        <f>ABS((D46*E46)-L46)</f>
        <v>300</v>
      </c>
      <c r="N46" s="10" t="str">
        <f t="shared" si="0"/>
        <v>Unique</v>
      </c>
      <c r="O46"/>
      <c r="P46"/>
    </row>
    <row r="47" spans="1:16" ht="40.75" customHeight="1" thickBot="1" x14ac:dyDescent="0.4">
      <c r="A47" s="6" t="s">
        <v>62</v>
      </c>
      <c r="B47" s="1" t="s">
        <v>18</v>
      </c>
      <c r="C47" s="1" t="s">
        <v>10</v>
      </c>
      <c r="D47" s="4">
        <v>5</v>
      </c>
      <c r="E47" s="4">
        <v>1614</v>
      </c>
      <c r="F47" s="4">
        <v>-6.6026271630000002</v>
      </c>
      <c r="G47" s="2" t="s">
        <v>102</v>
      </c>
      <c r="H47" s="5">
        <v>1728.1</v>
      </c>
      <c r="I47" s="1" t="s">
        <v>8</v>
      </c>
      <c r="J47" s="22" t="s">
        <v>41</v>
      </c>
      <c r="K47" s="17"/>
      <c r="L47" s="17"/>
      <c r="M47" s="17"/>
      <c r="N47" t="str">
        <f t="shared" si="0"/>
        <v>Unique</v>
      </c>
      <c r="O47"/>
      <c r="P47"/>
    </row>
    <row r="48" spans="1:16" ht="40.75" customHeight="1" thickBot="1" x14ac:dyDescent="0.4">
      <c r="A48" s="6" t="s">
        <v>62</v>
      </c>
      <c r="B48" s="1" t="s">
        <v>12</v>
      </c>
      <c r="C48" s="1" t="s">
        <v>10</v>
      </c>
      <c r="D48" s="4">
        <v>3</v>
      </c>
      <c r="E48" s="4">
        <v>4710</v>
      </c>
      <c r="F48" s="4">
        <v>-6.6309842400000001</v>
      </c>
      <c r="G48" s="2" t="s">
        <v>98</v>
      </c>
      <c r="H48" s="5">
        <v>5044.5</v>
      </c>
      <c r="I48" s="1" t="s">
        <v>8</v>
      </c>
      <c r="J48" s="41" t="s">
        <v>55</v>
      </c>
      <c r="K48" s="17"/>
      <c r="L48" s="17"/>
      <c r="M48" s="17"/>
      <c r="N48" t="str">
        <f t="shared" si="0"/>
        <v>Unique</v>
      </c>
      <c r="O48"/>
      <c r="P48"/>
    </row>
    <row r="49" spans="1:16" ht="27.65" customHeight="1" thickBot="1" x14ac:dyDescent="0.4">
      <c r="A49" s="6" t="s">
        <v>62</v>
      </c>
      <c r="B49" s="1" t="s">
        <v>23</v>
      </c>
      <c r="C49" s="1" t="s">
        <v>10</v>
      </c>
      <c r="D49" s="4">
        <v>50</v>
      </c>
      <c r="E49" s="4">
        <v>196</v>
      </c>
      <c r="F49" s="4">
        <v>-6.821963394</v>
      </c>
      <c r="G49" s="2" t="s">
        <v>70</v>
      </c>
      <c r="H49" s="5">
        <v>210.35</v>
      </c>
      <c r="I49" s="1" t="s">
        <v>8</v>
      </c>
      <c r="J49" s="41" t="s">
        <v>41</v>
      </c>
      <c r="K49" s="17"/>
      <c r="L49" s="17"/>
      <c r="M49" s="17"/>
      <c r="N49" t="str">
        <f t="shared" si="0"/>
        <v>Unique</v>
      </c>
      <c r="O49"/>
      <c r="P49"/>
    </row>
    <row r="50" spans="1:16" ht="27.65" customHeight="1" thickBot="1" x14ac:dyDescent="0.4">
      <c r="A50" s="3">
        <v>46252.635416666664</v>
      </c>
      <c r="B50" s="1" t="s">
        <v>32</v>
      </c>
      <c r="C50" s="1" t="s">
        <v>10</v>
      </c>
      <c r="D50" s="4">
        <v>50</v>
      </c>
      <c r="E50" s="4">
        <v>850</v>
      </c>
      <c r="F50" s="4">
        <v>-6.8493150680000001</v>
      </c>
      <c r="G50" s="2" t="s">
        <v>85</v>
      </c>
      <c r="H50" s="5">
        <v>912.5</v>
      </c>
      <c r="I50" s="1" t="s">
        <v>8</v>
      </c>
      <c r="J50" s="42" t="s">
        <v>55</v>
      </c>
      <c r="K50" s="17"/>
      <c r="L50" s="17"/>
      <c r="M50" s="17"/>
      <c r="N50" t="str">
        <f t="shared" si="0"/>
        <v>Unique</v>
      </c>
      <c r="P50"/>
    </row>
    <row r="51" spans="1:16" ht="27.65" customHeight="1" thickBot="1" x14ac:dyDescent="0.4">
      <c r="A51" s="3">
        <v>46121.375</v>
      </c>
      <c r="B51" s="1" t="s">
        <v>13</v>
      </c>
      <c r="C51" s="1" t="s">
        <v>10</v>
      </c>
      <c r="D51" s="4">
        <v>3</v>
      </c>
      <c r="E51" s="4">
        <v>1614</v>
      </c>
      <c r="F51" s="4">
        <v>-7.1346375139999996</v>
      </c>
      <c r="G51" s="2" t="s">
        <v>91</v>
      </c>
      <c r="H51" s="5">
        <v>1738</v>
      </c>
      <c r="I51" s="1" t="s">
        <v>8</v>
      </c>
      <c r="J51" s="24" t="s">
        <v>41</v>
      </c>
      <c r="K51" s="18" t="s">
        <v>249</v>
      </c>
      <c r="L51" s="18">
        <f>3*1794</f>
        <v>5382</v>
      </c>
      <c r="M51" s="18">
        <f>ABS((D51*E51)-L51)</f>
        <v>540</v>
      </c>
      <c r="N51" s="10" t="str">
        <f t="shared" si="0"/>
        <v>Unique</v>
      </c>
      <c r="O51"/>
      <c r="P51"/>
    </row>
    <row r="52" spans="1:16" s="25" customFormat="1" ht="27.65" customHeight="1" thickBot="1" x14ac:dyDescent="0.4">
      <c r="A52" s="6" t="s">
        <v>62</v>
      </c>
      <c r="B52" s="1" t="s">
        <v>109</v>
      </c>
      <c r="C52" s="1" t="s">
        <v>10</v>
      </c>
      <c r="D52" s="4">
        <v>1</v>
      </c>
      <c r="E52" s="4">
        <v>4560</v>
      </c>
      <c r="F52" s="4">
        <v>-7.2605247100000003</v>
      </c>
      <c r="G52" s="2" t="s">
        <v>110</v>
      </c>
      <c r="H52" s="5">
        <v>4917</v>
      </c>
      <c r="I52" s="1" t="s">
        <v>8</v>
      </c>
      <c r="J52" s="41"/>
      <c r="K52" s="17"/>
      <c r="L52" s="17"/>
      <c r="M52" s="17"/>
      <c r="N52" t="str">
        <f t="shared" si="0"/>
        <v>Unique</v>
      </c>
      <c r="O52"/>
      <c r="P52"/>
    </row>
    <row r="53" spans="1:16" ht="27.65" customHeight="1" thickBot="1" x14ac:dyDescent="0.4">
      <c r="A53" s="3">
        <v>46031.4375</v>
      </c>
      <c r="B53" s="1" t="s">
        <v>214</v>
      </c>
      <c r="C53" s="1" t="s">
        <v>10</v>
      </c>
      <c r="D53" s="4">
        <v>3</v>
      </c>
      <c r="E53" s="4">
        <v>1052</v>
      </c>
      <c r="F53" s="4">
        <v>-7.3168582879999997</v>
      </c>
      <c r="G53" s="2" t="s">
        <v>225</v>
      </c>
      <c r="H53" s="5">
        <v>1135.05</v>
      </c>
      <c r="I53" s="1" t="s">
        <v>8</v>
      </c>
      <c r="J53" s="24" t="s">
        <v>41</v>
      </c>
      <c r="M53" s="18">
        <f>ABS((D53*E53)-L53)</f>
        <v>3156</v>
      </c>
      <c r="N53" s="10" t="str">
        <f t="shared" si="0"/>
        <v>Unique</v>
      </c>
      <c r="P53" s="19"/>
    </row>
    <row r="54" spans="1:16" ht="27.65" customHeight="1" thickBot="1" x14ac:dyDescent="0.4">
      <c r="A54" s="6" t="s">
        <v>62</v>
      </c>
      <c r="B54" s="1" t="s">
        <v>20</v>
      </c>
      <c r="C54" s="1" t="s">
        <v>10</v>
      </c>
      <c r="D54" s="4">
        <v>50</v>
      </c>
      <c r="E54" s="4">
        <v>116</v>
      </c>
      <c r="F54" s="4">
        <v>-7.3408419199999999</v>
      </c>
      <c r="G54" s="2" t="s">
        <v>86</v>
      </c>
      <c r="H54" s="5">
        <v>125.19</v>
      </c>
      <c r="I54" s="1" t="s">
        <v>8</v>
      </c>
      <c r="J54" s="41"/>
      <c r="K54" s="17"/>
      <c r="L54" s="17"/>
      <c r="M54" s="17"/>
      <c r="N54" t="str">
        <f t="shared" si="0"/>
        <v>Unique</v>
      </c>
      <c r="O54"/>
      <c r="P54"/>
    </row>
    <row r="55" spans="1:16" ht="27.65" customHeight="1" thickBot="1" x14ac:dyDescent="0.4">
      <c r="A55" s="6" t="s">
        <v>62</v>
      </c>
      <c r="B55" s="1" t="s">
        <v>105</v>
      </c>
      <c r="C55" s="1" t="s">
        <v>10</v>
      </c>
      <c r="D55" s="4">
        <v>4</v>
      </c>
      <c r="E55" s="4">
        <v>1751</v>
      </c>
      <c r="F55" s="4">
        <v>-7.6963626779999998</v>
      </c>
      <c r="G55" s="2" t="s">
        <v>106</v>
      </c>
      <c r="H55" s="5">
        <v>1897</v>
      </c>
      <c r="I55" s="1" t="s">
        <v>8</v>
      </c>
      <c r="J55" s="41"/>
      <c r="K55" s="17"/>
      <c r="L55" s="17"/>
      <c r="M55" s="17"/>
      <c r="N55" t="str">
        <f t="shared" si="0"/>
        <v>Unique</v>
      </c>
      <c r="O55"/>
      <c r="P55"/>
    </row>
    <row r="56" spans="1:16" ht="27.65" customHeight="1" thickBot="1" x14ac:dyDescent="0.4">
      <c r="A56" s="6" t="s">
        <v>62</v>
      </c>
      <c r="B56" s="1" t="s">
        <v>20</v>
      </c>
      <c r="C56" s="1" t="s">
        <v>10</v>
      </c>
      <c r="D56" s="4">
        <v>200</v>
      </c>
      <c r="E56" s="4">
        <v>115.25</v>
      </c>
      <c r="F56" s="4">
        <v>-7.9399313039999999</v>
      </c>
      <c r="G56" s="2" t="s">
        <v>86</v>
      </c>
      <c r="H56" s="5">
        <v>125.19</v>
      </c>
      <c r="I56" s="1" t="s">
        <v>8</v>
      </c>
      <c r="J56" s="41"/>
      <c r="K56" s="17"/>
      <c r="L56" s="17"/>
      <c r="M56" s="17"/>
      <c r="N56" t="str">
        <f t="shared" si="0"/>
        <v>Unique</v>
      </c>
      <c r="O56"/>
      <c r="P56"/>
    </row>
    <row r="57" spans="1:16" ht="27.65" customHeight="1" thickBot="1" x14ac:dyDescent="0.4">
      <c r="A57" s="3">
        <v>46254.375</v>
      </c>
      <c r="B57" s="1" t="s">
        <v>33</v>
      </c>
      <c r="C57" s="1" t="s">
        <v>10</v>
      </c>
      <c r="D57" s="4">
        <v>7</v>
      </c>
      <c r="E57" s="4">
        <v>2230</v>
      </c>
      <c r="F57" s="4">
        <v>-8.1321578639999998</v>
      </c>
      <c r="G57" s="2" t="s">
        <v>84</v>
      </c>
      <c r="H57" s="5">
        <v>2427.4</v>
      </c>
      <c r="I57" s="1" t="s">
        <v>8</v>
      </c>
      <c r="J57" s="23" t="s">
        <v>55</v>
      </c>
      <c r="K57" s="17" t="s">
        <v>148</v>
      </c>
      <c r="L57" s="17"/>
      <c r="M57" s="17"/>
      <c r="N57" s="10" t="str">
        <f t="shared" si="0"/>
        <v>Unique</v>
      </c>
      <c r="O57"/>
      <c r="P57"/>
    </row>
    <row r="58" spans="1:16" ht="27.65" customHeight="1" thickBot="1" x14ac:dyDescent="0.4">
      <c r="A58" s="6" t="s">
        <v>62</v>
      </c>
      <c r="B58" s="1" t="s">
        <v>32</v>
      </c>
      <c r="C58" s="1" t="s">
        <v>10</v>
      </c>
      <c r="D58" s="4">
        <v>25</v>
      </c>
      <c r="E58" s="4">
        <v>836</v>
      </c>
      <c r="F58" s="4">
        <v>-8.3835616440000003</v>
      </c>
      <c r="G58" s="2" t="s">
        <v>85</v>
      </c>
      <c r="H58" s="5">
        <v>912.5</v>
      </c>
      <c r="I58" s="1" t="s">
        <v>8</v>
      </c>
      <c r="J58" s="41" t="s">
        <v>118</v>
      </c>
      <c r="K58" s="17"/>
      <c r="L58" s="17"/>
      <c r="M58" s="17"/>
      <c r="N58" t="str">
        <f t="shared" si="0"/>
        <v>Unique</v>
      </c>
      <c r="O58"/>
      <c r="P58"/>
    </row>
    <row r="59" spans="1:16" ht="15" customHeight="1" thickBot="1" x14ac:dyDescent="0.4">
      <c r="A59" s="6" t="s">
        <v>62</v>
      </c>
      <c r="B59" s="1" t="s">
        <v>31</v>
      </c>
      <c r="C59" s="1" t="s">
        <v>10</v>
      </c>
      <c r="D59" s="4">
        <v>10</v>
      </c>
      <c r="E59" s="4">
        <v>561</v>
      </c>
      <c r="F59" s="4">
        <v>-8.706265256</v>
      </c>
      <c r="G59" s="2" t="s">
        <v>94</v>
      </c>
      <c r="H59" s="5">
        <v>614.5</v>
      </c>
      <c r="I59" s="1" t="s">
        <v>8</v>
      </c>
      <c r="J59" s="41" t="s">
        <v>41</v>
      </c>
      <c r="K59" s="17"/>
      <c r="L59" s="17"/>
      <c r="M59" s="17"/>
      <c r="N59" t="str">
        <f t="shared" si="0"/>
        <v>Unique</v>
      </c>
      <c r="O59"/>
      <c r="P59"/>
    </row>
    <row r="60" spans="1:16" ht="27.65" customHeight="1" thickBot="1" x14ac:dyDescent="0.4">
      <c r="A60" s="6" t="s">
        <v>62</v>
      </c>
      <c r="B60" s="1" t="s">
        <v>109</v>
      </c>
      <c r="C60" s="1" t="s">
        <v>10</v>
      </c>
      <c r="D60" s="4">
        <v>2</v>
      </c>
      <c r="E60" s="4">
        <v>4456</v>
      </c>
      <c r="F60" s="4">
        <v>-9.3756355500000002</v>
      </c>
      <c r="G60" s="2" t="s">
        <v>110</v>
      </c>
      <c r="H60" s="5">
        <v>4917</v>
      </c>
      <c r="I60" s="1" t="s">
        <v>8</v>
      </c>
      <c r="J60" s="41"/>
      <c r="K60" s="17"/>
      <c r="L60" s="17"/>
      <c r="M60" s="17"/>
      <c r="N60" t="str">
        <f t="shared" si="0"/>
        <v>Unique</v>
      </c>
      <c r="O60"/>
      <c r="P60"/>
    </row>
    <row r="61" spans="1:16" ht="27.65" customHeight="1" thickBot="1" x14ac:dyDescent="0.4">
      <c r="A61" s="6" t="s">
        <v>62</v>
      </c>
      <c r="B61" s="1" t="s">
        <v>109</v>
      </c>
      <c r="C61" s="1" t="s">
        <v>10</v>
      </c>
      <c r="D61" s="4">
        <v>15</v>
      </c>
      <c r="E61" s="4">
        <v>4415</v>
      </c>
      <c r="F61" s="4">
        <v>-10.20947732</v>
      </c>
      <c r="G61" s="2" t="s">
        <v>110</v>
      </c>
      <c r="H61" s="5">
        <v>4917</v>
      </c>
      <c r="I61" s="1" t="s">
        <v>8</v>
      </c>
      <c r="J61" s="41"/>
      <c r="K61" s="17"/>
      <c r="L61" s="17"/>
      <c r="M61" s="17"/>
      <c r="N61" t="str">
        <f t="shared" si="0"/>
        <v>Unique</v>
      </c>
      <c r="O61"/>
      <c r="P61"/>
    </row>
    <row r="62" spans="1:16" ht="27.65" customHeight="1" thickBot="1" x14ac:dyDescent="0.4">
      <c r="A62" s="3">
        <v>46267.375</v>
      </c>
      <c r="B62" s="1" t="s">
        <v>34</v>
      </c>
      <c r="C62" s="1" t="s">
        <v>10</v>
      </c>
      <c r="D62" s="4">
        <v>1</v>
      </c>
      <c r="E62" s="4">
        <v>20050</v>
      </c>
      <c r="F62" s="4">
        <v>-10.290827739999999</v>
      </c>
      <c r="G62" s="2" t="s">
        <v>71</v>
      </c>
      <c r="H62" s="5">
        <v>22350</v>
      </c>
      <c r="I62" s="1" t="s">
        <v>8</v>
      </c>
      <c r="J62" s="24" t="s">
        <v>41</v>
      </c>
      <c r="K62" s="18" t="s">
        <v>237</v>
      </c>
      <c r="L62" s="18">
        <v>20350</v>
      </c>
      <c r="M62" s="18">
        <f>ABS((D62*E62)-L62)</f>
        <v>300</v>
      </c>
      <c r="N62" s="10" t="str">
        <f t="shared" si="0"/>
        <v>Unique</v>
      </c>
      <c r="O62"/>
      <c r="P62"/>
    </row>
    <row r="63" spans="1:16" ht="15" customHeight="1" thickBot="1" x14ac:dyDescent="0.4">
      <c r="A63" s="6" t="s">
        <v>62</v>
      </c>
      <c r="B63" s="1" t="s">
        <v>113</v>
      </c>
      <c r="C63" s="1" t="s">
        <v>10</v>
      </c>
      <c r="D63" s="4">
        <v>4</v>
      </c>
      <c r="E63" s="4">
        <v>701</v>
      </c>
      <c r="F63" s="4">
        <v>-11.265822780000001</v>
      </c>
      <c r="G63" s="2" t="s">
        <v>114</v>
      </c>
      <c r="H63" s="5">
        <v>790</v>
      </c>
      <c r="I63" s="1" t="s">
        <v>8</v>
      </c>
      <c r="J63" s="41" t="s">
        <v>41</v>
      </c>
      <c r="K63" s="17"/>
      <c r="L63" s="17"/>
      <c r="M63" s="17"/>
      <c r="N63" t="str">
        <f t="shared" si="0"/>
        <v>Unique</v>
      </c>
      <c r="O63"/>
      <c r="P63"/>
    </row>
    <row r="64" spans="1:16" ht="27.65" customHeight="1" thickBot="1" x14ac:dyDescent="0.4">
      <c r="A64" s="6" t="s">
        <v>62</v>
      </c>
      <c r="B64" s="1" t="s">
        <v>20</v>
      </c>
      <c r="C64" s="1" t="s">
        <v>10</v>
      </c>
      <c r="D64" s="4">
        <v>100</v>
      </c>
      <c r="E64" s="4">
        <v>111</v>
      </c>
      <c r="F64" s="4">
        <v>-11.33477115</v>
      </c>
      <c r="G64" s="2" t="s">
        <v>86</v>
      </c>
      <c r="H64" s="5">
        <v>125.19</v>
      </c>
      <c r="I64" s="1" t="s">
        <v>8</v>
      </c>
      <c r="J64" s="41"/>
      <c r="K64" s="17"/>
      <c r="L64" s="17"/>
      <c r="M64" s="17"/>
      <c r="N64" t="str">
        <f t="shared" si="0"/>
        <v>Unique</v>
      </c>
      <c r="O64"/>
      <c r="P64"/>
    </row>
    <row r="65" spans="1:16" ht="27.65" customHeight="1" thickBot="1" x14ac:dyDescent="0.4">
      <c r="A65" s="3">
        <v>46252.635416666664</v>
      </c>
      <c r="B65" s="1" t="s">
        <v>92</v>
      </c>
      <c r="C65" s="1" t="s">
        <v>10</v>
      </c>
      <c r="D65" s="4">
        <v>2</v>
      </c>
      <c r="E65" s="4">
        <v>2892</v>
      </c>
      <c r="F65" s="4">
        <v>-12.06786464</v>
      </c>
      <c r="G65" s="2" t="s">
        <v>93</v>
      </c>
      <c r="H65" s="5">
        <v>3288.9</v>
      </c>
      <c r="I65" s="1" t="s">
        <v>8</v>
      </c>
      <c r="J65" s="41"/>
      <c r="K65" s="17"/>
      <c r="L65" s="17"/>
      <c r="M65" s="17"/>
      <c r="N65" t="str">
        <f t="shared" si="0"/>
        <v>Unique</v>
      </c>
      <c r="O65"/>
      <c r="P65"/>
    </row>
    <row r="66" spans="1:16" ht="27.65" customHeight="1" thickBot="1" x14ac:dyDescent="0.4">
      <c r="A66" s="29">
        <v>46255</v>
      </c>
      <c r="B66" s="30" t="s">
        <v>34</v>
      </c>
      <c r="C66" s="30" t="s">
        <v>10</v>
      </c>
      <c r="D66" s="31">
        <v>1</v>
      </c>
      <c r="E66" s="31">
        <v>19550</v>
      </c>
      <c r="F66" s="4">
        <v>-12.52796421</v>
      </c>
      <c r="G66" s="2" t="s">
        <v>71</v>
      </c>
      <c r="H66" s="5">
        <v>22350</v>
      </c>
      <c r="I66" s="1" t="s">
        <v>8</v>
      </c>
      <c r="J66" s="44" t="s">
        <v>41</v>
      </c>
      <c r="K66" s="27" t="s">
        <v>149</v>
      </c>
      <c r="L66" s="27">
        <v>19992</v>
      </c>
      <c r="M66" s="27">
        <f>ABS((D66*E66)-L66)</f>
        <v>442</v>
      </c>
      <c r="N66" s="28" t="str">
        <f t="shared" ref="N66:N129" si="1">IF(COUNTIFS( $B$2:$B$767, B66, $C$2:$C$767, C66, $D$2:$D$767, D66, $E$2:$E$767, E66) &gt; 1, "Duplicate", "Unique")</f>
        <v>Unique</v>
      </c>
      <c r="O66"/>
      <c r="P66"/>
    </row>
    <row r="67" spans="1:16" ht="27.65" customHeight="1" thickBot="1" x14ac:dyDescent="0.4">
      <c r="A67" s="6" t="s">
        <v>62</v>
      </c>
      <c r="B67" s="1" t="s">
        <v>12</v>
      </c>
      <c r="C67" s="1" t="s">
        <v>10</v>
      </c>
      <c r="D67" s="4">
        <v>2</v>
      </c>
      <c r="E67" s="4">
        <v>4410</v>
      </c>
      <c r="F67" s="4">
        <v>-12.57805531</v>
      </c>
      <c r="G67" s="2" t="s">
        <v>98</v>
      </c>
      <c r="H67" s="5">
        <v>5044.5</v>
      </c>
      <c r="I67" s="1" t="s">
        <v>8</v>
      </c>
      <c r="J67" s="41"/>
      <c r="K67" s="17"/>
      <c r="L67" s="17"/>
      <c r="M67" s="17"/>
      <c r="N67" t="str">
        <f t="shared" si="1"/>
        <v>Unique</v>
      </c>
      <c r="O67"/>
      <c r="P67"/>
    </row>
    <row r="68" spans="1:16" s="26" customFormat="1" ht="27.65" customHeight="1" thickBot="1" x14ac:dyDescent="0.4">
      <c r="A68" s="6" t="s">
        <v>62</v>
      </c>
      <c r="B68" s="1" t="s">
        <v>12</v>
      </c>
      <c r="C68" s="1" t="s">
        <v>10</v>
      </c>
      <c r="D68" s="4">
        <v>1</v>
      </c>
      <c r="E68" s="4">
        <v>4364</v>
      </c>
      <c r="F68" s="4">
        <v>-13.48993954</v>
      </c>
      <c r="G68" s="2" t="s">
        <v>98</v>
      </c>
      <c r="H68" s="5">
        <v>5044.5</v>
      </c>
      <c r="I68" s="1" t="s">
        <v>8</v>
      </c>
      <c r="J68" s="42" t="s">
        <v>41</v>
      </c>
      <c r="K68" s="17"/>
      <c r="L68" s="17"/>
      <c r="M68" s="17"/>
      <c r="N68" t="str">
        <f t="shared" si="1"/>
        <v>Unique</v>
      </c>
      <c r="O68"/>
      <c r="P68"/>
    </row>
    <row r="69" spans="1:16" ht="27.65" customHeight="1" thickBot="1" x14ac:dyDescent="0.4">
      <c r="A69" s="6" t="s">
        <v>62</v>
      </c>
      <c r="B69" s="1" t="s">
        <v>34</v>
      </c>
      <c r="C69" s="1" t="s">
        <v>10</v>
      </c>
      <c r="D69" s="4">
        <v>1</v>
      </c>
      <c r="E69" s="4">
        <v>19052</v>
      </c>
      <c r="F69" s="4">
        <v>-14.75615213</v>
      </c>
      <c r="G69" s="2" t="s">
        <v>71</v>
      </c>
      <c r="H69" s="5">
        <v>22350</v>
      </c>
      <c r="I69" s="1" t="s">
        <v>8</v>
      </c>
      <c r="J69" s="41"/>
      <c r="K69" s="17"/>
      <c r="L69" s="17"/>
      <c r="M69" s="17"/>
      <c r="N69" t="str">
        <f t="shared" si="1"/>
        <v>Unique</v>
      </c>
      <c r="O69"/>
      <c r="P69"/>
    </row>
    <row r="70" spans="1:16" ht="27.65" customHeight="1" thickBot="1" x14ac:dyDescent="0.4">
      <c r="A70" s="6" t="s">
        <v>62</v>
      </c>
      <c r="B70" s="1" t="s">
        <v>100</v>
      </c>
      <c r="C70" s="1" t="s">
        <v>10</v>
      </c>
      <c r="D70" s="4">
        <v>25</v>
      </c>
      <c r="E70" s="4">
        <v>196</v>
      </c>
      <c r="F70" s="4">
        <v>-16.239316240000001</v>
      </c>
      <c r="G70" s="2" t="s">
        <v>101</v>
      </c>
      <c r="H70" s="5">
        <v>234</v>
      </c>
      <c r="I70" s="1" t="s">
        <v>8</v>
      </c>
      <c r="J70" s="41"/>
      <c r="K70" s="17"/>
      <c r="L70" s="17"/>
      <c r="M70" s="17"/>
      <c r="N70" t="str">
        <f t="shared" si="1"/>
        <v>Unique</v>
      </c>
      <c r="O70"/>
      <c r="P70"/>
    </row>
    <row r="71" spans="1:16" s="25" customFormat="1" ht="27.65" customHeight="1" thickBot="1" x14ac:dyDescent="0.4">
      <c r="A71" s="6" t="s">
        <v>62</v>
      </c>
      <c r="B71" s="1" t="s">
        <v>92</v>
      </c>
      <c r="C71" s="1" t="s">
        <v>10</v>
      </c>
      <c r="D71" s="4">
        <v>1</v>
      </c>
      <c r="E71" s="4">
        <v>2752</v>
      </c>
      <c r="F71" s="4">
        <v>-16.324607010000001</v>
      </c>
      <c r="G71" s="2" t="s">
        <v>93</v>
      </c>
      <c r="H71" s="5">
        <v>3288.9</v>
      </c>
      <c r="I71" s="1" t="s">
        <v>8</v>
      </c>
      <c r="J71" s="41"/>
      <c r="K71" s="17"/>
      <c r="L71" s="17"/>
      <c r="M71" s="17"/>
      <c r="N71" t="str">
        <f t="shared" si="1"/>
        <v>Unique</v>
      </c>
      <c r="O71"/>
      <c r="P71"/>
    </row>
    <row r="72" spans="1:16" ht="27.65" customHeight="1" thickBot="1" x14ac:dyDescent="0.4">
      <c r="A72" s="6" t="s">
        <v>62</v>
      </c>
      <c r="B72" s="1" t="s">
        <v>34</v>
      </c>
      <c r="C72" s="1" t="s">
        <v>10</v>
      </c>
      <c r="D72" s="4">
        <v>1</v>
      </c>
      <c r="E72" s="4">
        <v>18552</v>
      </c>
      <c r="F72" s="4">
        <v>-16.993288589999999</v>
      </c>
      <c r="G72" s="2" t="s">
        <v>71</v>
      </c>
      <c r="H72" s="5">
        <v>22350</v>
      </c>
      <c r="I72" s="1" t="s">
        <v>8</v>
      </c>
      <c r="J72" s="41"/>
      <c r="K72" s="17"/>
      <c r="L72" s="17"/>
      <c r="M72" s="17"/>
      <c r="N72" t="str">
        <f t="shared" si="1"/>
        <v>Unique</v>
      </c>
      <c r="O72"/>
      <c r="P72"/>
    </row>
    <row r="73" spans="1:16" ht="27.65" customHeight="1" thickBot="1" x14ac:dyDescent="0.4">
      <c r="A73" s="6" t="s">
        <v>62</v>
      </c>
      <c r="B73" s="1" t="s">
        <v>12</v>
      </c>
      <c r="C73" s="1" t="s">
        <v>10</v>
      </c>
      <c r="D73" s="4">
        <v>1</v>
      </c>
      <c r="E73" s="4">
        <v>4164</v>
      </c>
      <c r="F73" s="4">
        <v>-17.454653579999999</v>
      </c>
      <c r="G73" s="2" t="s">
        <v>98</v>
      </c>
      <c r="H73" s="5">
        <v>5044.5</v>
      </c>
      <c r="I73" s="1" t="s">
        <v>8</v>
      </c>
      <c r="J73" s="41"/>
      <c r="K73" s="17"/>
      <c r="L73" s="17"/>
      <c r="M73" s="17"/>
      <c r="N73" t="str">
        <f t="shared" si="1"/>
        <v>Unique</v>
      </c>
      <c r="O73"/>
      <c r="P73"/>
    </row>
    <row r="74" spans="1:16" ht="27.65" customHeight="1" thickBot="1" x14ac:dyDescent="0.4">
      <c r="A74" s="3">
        <v>46252.688194444447</v>
      </c>
      <c r="B74" s="1" t="s">
        <v>96</v>
      </c>
      <c r="C74" s="1" t="s">
        <v>10</v>
      </c>
      <c r="D74" s="4">
        <v>45</v>
      </c>
      <c r="E74" s="4">
        <v>136.15</v>
      </c>
      <c r="F74" s="4">
        <v>-18.055973519999998</v>
      </c>
      <c r="G74" s="2" t="s">
        <v>97</v>
      </c>
      <c r="H74" s="5">
        <v>166.15</v>
      </c>
      <c r="I74" s="1" t="s">
        <v>8</v>
      </c>
      <c r="J74" s="41"/>
      <c r="K74" s="17"/>
      <c r="L74" s="17"/>
      <c r="M74" s="17"/>
      <c r="N74" t="str">
        <f t="shared" si="1"/>
        <v>Unique</v>
      </c>
      <c r="O74"/>
      <c r="P74"/>
    </row>
    <row r="75" spans="1:16" ht="27.65" customHeight="1" thickBot="1" x14ac:dyDescent="0.4">
      <c r="A75" s="6" t="s">
        <v>62</v>
      </c>
      <c r="B75" s="1" t="s">
        <v>92</v>
      </c>
      <c r="C75" s="1" t="s">
        <v>10</v>
      </c>
      <c r="D75" s="4">
        <v>2</v>
      </c>
      <c r="E75" s="4">
        <v>2660</v>
      </c>
      <c r="F75" s="4">
        <v>-19.121894860000001</v>
      </c>
      <c r="G75" s="2" t="s">
        <v>93</v>
      </c>
      <c r="H75" s="5">
        <v>3288.9</v>
      </c>
      <c r="I75" s="1" t="s">
        <v>8</v>
      </c>
      <c r="J75" s="41"/>
      <c r="K75" s="17"/>
      <c r="L75" s="17"/>
      <c r="M75" s="17"/>
      <c r="N75" t="str">
        <f t="shared" si="1"/>
        <v>Unique</v>
      </c>
      <c r="O75"/>
      <c r="P75"/>
    </row>
    <row r="76" spans="1:16" ht="14.4" customHeight="1" thickBot="1" x14ac:dyDescent="0.4">
      <c r="A76" s="6" t="s">
        <v>62</v>
      </c>
      <c r="B76" s="1" t="s">
        <v>34</v>
      </c>
      <c r="C76" s="1" t="s">
        <v>10</v>
      </c>
      <c r="D76" s="4">
        <v>1</v>
      </c>
      <c r="E76" s="4">
        <v>18052</v>
      </c>
      <c r="F76" s="4">
        <v>-19.230425060000002</v>
      </c>
      <c r="G76" s="2" t="s">
        <v>71</v>
      </c>
      <c r="H76" s="5">
        <v>22350</v>
      </c>
      <c r="I76" s="1" t="s">
        <v>8</v>
      </c>
      <c r="J76" s="41"/>
      <c r="K76" s="17"/>
      <c r="L76" s="17"/>
      <c r="M76" s="17"/>
      <c r="N76" t="str">
        <f t="shared" si="1"/>
        <v>Unique</v>
      </c>
      <c r="O76"/>
      <c r="P76"/>
    </row>
    <row r="77" spans="1:16" ht="14.4" customHeight="1" thickBot="1" x14ac:dyDescent="0.4">
      <c r="A77" s="6" t="s">
        <v>62</v>
      </c>
      <c r="B77" s="1" t="s">
        <v>115</v>
      </c>
      <c r="C77" s="1" t="s">
        <v>10</v>
      </c>
      <c r="D77" s="4">
        <v>2</v>
      </c>
      <c r="E77" s="4">
        <v>660</v>
      </c>
      <c r="F77" s="4">
        <v>-20.318725100000002</v>
      </c>
      <c r="G77" s="2" t="s">
        <v>116</v>
      </c>
      <c r="H77" s="5">
        <v>828.3</v>
      </c>
      <c r="I77" s="1" t="s">
        <v>8</v>
      </c>
      <c r="J77" s="41"/>
      <c r="K77" s="17"/>
      <c r="L77" s="17"/>
      <c r="M77" s="17"/>
      <c r="N77" t="str">
        <f t="shared" si="1"/>
        <v>Unique</v>
      </c>
      <c r="O77"/>
      <c r="P77"/>
    </row>
    <row r="78" spans="1:16" ht="14.4" customHeight="1" thickBot="1" x14ac:dyDescent="0.4">
      <c r="A78" s="6" t="s">
        <v>62</v>
      </c>
      <c r="B78" s="1" t="s">
        <v>12</v>
      </c>
      <c r="C78" s="1" t="s">
        <v>10</v>
      </c>
      <c r="D78" s="4">
        <v>1</v>
      </c>
      <c r="E78" s="4">
        <v>4014</v>
      </c>
      <c r="F78" s="4">
        <v>-20.428189119999999</v>
      </c>
      <c r="G78" s="2" t="s">
        <v>98</v>
      </c>
      <c r="H78" s="5">
        <v>5044.5</v>
      </c>
      <c r="I78" s="1" t="s">
        <v>8</v>
      </c>
      <c r="J78" s="41"/>
      <c r="K78" s="17"/>
      <c r="L78" s="17"/>
      <c r="M78" s="17"/>
      <c r="N78" t="str">
        <f t="shared" si="1"/>
        <v>Unique</v>
      </c>
      <c r="O78"/>
      <c r="P78"/>
    </row>
    <row r="79" spans="1:16" s="25" customFormat="1" ht="14.4" hidden="1" customHeight="1" thickBot="1" x14ac:dyDescent="0.4">
      <c r="A79" s="3">
        <v>46304.375</v>
      </c>
      <c r="B79" s="1" t="s">
        <v>51</v>
      </c>
      <c r="C79" s="1" t="s">
        <v>7</v>
      </c>
      <c r="D79" s="4">
        <v>10</v>
      </c>
      <c r="E79" s="4">
        <v>907</v>
      </c>
      <c r="F79" s="4">
        <v>0.77777777780000001</v>
      </c>
      <c r="G79" s="2" t="s">
        <v>52</v>
      </c>
      <c r="H79" s="5">
        <v>900</v>
      </c>
      <c r="I79" s="1" t="s">
        <v>8</v>
      </c>
      <c r="J79" s="24" t="s">
        <v>117</v>
      </c>
      <c r="K79" s="18" t="s">
        <v>278</v>
      </c>
      <c r="L79" s="18">
        <v>35880</v>
      </c>
      <c r="M79" s="18">
        <f>ABS((D79*E79)-L79)</f>
        <v>26810</v>
      </c>
      <c r="N79" s="10" t="str">
        <f t="shared" si="1"/>
        <v>Unique</v>
      </c>
      <c r="O79" s="10"/>
      <c r="P79" s="10"/>
    </row>
    <row r="80" spans="1:16" ht="14.4" customHeight="1" thickBot="1" x14ac:dyDescent="0.4">
      <c r="A80" s="6" t="s">
        <v>62</v>
      </c>
      <c r="B80" s="1" t="s">
        <v>92</v>
      </c>
      <c r="C80" s="1" t="s">
        <v>10</v>
      </c>
      <c r="D80" s="4">
        <v>2</v>
      </c>
      <c r="E80" s="4">
        <v>2560</v>
      </c>
      <c r="F80" s="4">
        <v>-22.162425129999999</v>
      </c>
      <c r="G80" s="2" t="s">
        <v>93</v>
      </c>
      <c r="H80" s="5">
        <v>3288.9</v>
      </c>
      <c r="I80" s="1" t="s">
        <v>8</v>
      </c>
      <c r="J80" s="41"/>
      <c r="K80" s="17"/>
      <c r="L80" s="17"/>
      <c r="M80" s="17"/>
      <c r="N80" t="str">
        <f t="shared" si="1"/>
        <v>Unique</v>
      </c>
      <c r="O80"/>
      <c r="P80"/>
    </row>
    <row r="81" spans="1:16" s="35" customFormat="1" ht="14.4" hidden="1" customHeight="1" thickBot="1" x14ac:dyDescent="0.4">
      <c r="A81" s="36">
        <v>46267.375</v>
      </c>
      <c r="B81" s="37" t="s">
        <v>36</v>
      </c>
      <c r="C81" s="37" t="s">
        <v>7</v>
      </c>
      <c r="D81" s="38">
        <v>5</v>
      </c>
      <c r="E81" s="38">
        <v>1206</v>
      </c>
      <c r="F81" s="4">
        <v>1.19147508</v>
      </c>
      <c r="G81" s="2" t="s">
        <v>65</v>
      </c>
      <c r="H81" s="5">
        <v>1191.8</v>
      </c>
      <c r="I81" s="1" t="s">
        <v>8</v>
      </c>
      <c r="J81" s="32" t="s">
        <v>118</v>
      </c>
      <c r="K81" s="33" t="s">
        <v>232</v>
      </c>
      <c r="L81" s="33">
        <v>5755</v>
      </c>
      <c r="M81" s="33">
        <f>ABS((D81*E81)-L81)</f>
        <v>275</v>
      </c>
      <c r="N81" s="35" t="str">
        <f t="shared" si="1"/>
        <v>Duplicate</v>
      </c>
      <c r="O81" s="46" t="s">
        <v>252</v>
      </c>
      <c r="P81" s="10"/>
    </row>
    <row r="82" spans="1:16" s="35" customFormat="1" ht="14.4" hidden="1" customHeight="1" thickBot="1" x14ac:dyDescent="0.4">
      <c r="A82" s="36">
        <v>46267.375</v>
      </c>
      <c r="B82" s="37" t="s">
        <v>36</v>
      </c>
      <c r="C82" s="37" t="s">
        <v>7</v>
      </c>
      <c r="D82" s="38">
        <v>5</v>
      </c>
      <c r="E82" s="38">
        <v>1206</v>
      </c>
      <c r="F82" s="4">
        <v>1.19147508</v>
      </c>
      <c r="G82" s="2" t="s">
        <v>65</v>
      </c>
      <c r="H82" s="5">
        <v>1191.8</v>
      </c>
      <c r="I82" s="1" t="s">
        <v>8</v>
      </c>
      <c r="J82" s="32" t="s">
        <v>118</v>
      </c>
      <c r="K82" s="33" t="s">
        <v>236</v>
      </c>
      <c r="L82" s="33">
        <v>5805</v>
      </c>
      <c r="M82" s="33">
        <f>ABS((D82*E82)-L82)</f>
        <v>225</v>
      </c>
      <c r="N82" s="35" t="str">
        <f t="shared" si="1"/>
        <v>Duplicate</v>
      </c>
      <c r="O82" s="46" t="s">
        <v>252</v>
      </c>
      <c r="P82" s="10"/>
    </row>
    <row r="83" spans="1:16" ht="39" hidden="1" thickBot="1" x14ac:dyDescent="0.4">
      <c r="A83" s="3">
        <v>46275.375</v>
      </c>
      <c r="B83" s="1" t="s">
        <v>23</v>
      </c>
      <c r="C83" s="1" t="s">
        <v>7</v>
      </c>
      <c r="D83" s="4">
        <v>50</v>
      </c>
      <c r="E83" s="4">
        <v>214</v>
      </c>
      <c r="F83" s="4">
        <v>1.735203233</v>
      </c>
      <c r="G83" s="2" t="s">
        <v>70</v>
      </c>
      <c r="H83" s="5">
        <v>210.35</v>
      </c>
      <c r="I83" s="1" t="s">
        <v>8</v>
      </c>
      <c r="J83" s="24" t="s">
        <v>117</v>
      </c>
      <c r="K83" s="18" t="s">
        <v>277</v>
      </c>
      <c r="L83" s="18">
        <v>10400</v>
      </c>
      <c r="M83" s="18">
        <f>ABS((D83*E83)-L83)</f>
        <v>300</v>
      </c>
      <c r="N83" s="10" t="str">
        <f t="shared" si="1"/>
        <v>Unique</v>
      </c>
    </row>
    <row r="84" spans="1:16" ht="26.5" hidden="1" thickBot="1" x14ac:dyDescent="0.4">
      <c r="A84" s="3">
        <v>46276.375590277778</v>
      </c>
      <c r="B84" s="1" t="s">
        <v>89</v>
      </c>
      <c r="C84" s="1" t="s">
        <v>7</v>
      </c>
      <c r="D84" s="4">
        <v>1</v>
      </c>
      <c r="E84" s="4">
        <v>14298</v>
      </c>
      <c r="F84" s="4">
        <v>1.76820208</v>
      </c>
      <c r="G84" s="2" t="s">
        <v>90</v>
      </c>
      <c r="H84" s="5">
        <v>13460</v>
      </c>
      <c r="I84" s="1" t="s">
        <v>8</v>
      </c>
      <c r="J84" s="24" t="s">
        <v>118</v>
      </c>
      <c r="K84" s="18" t="s">
        <v>295</v>
      </c>
      <c r="L84" s="18">
        <v>13052</v>
      </c>
      <c r="M84" s="18">
        <f>ABS((D84*E84)-L84)</f>
        <v>1246</v>
      </c>
      <c r="N84" s="10" t="str">
        <f t="shared" si="1"/>
        <v>Unique</v>
      </c>
    </row>
    <row r="85" spans="1:16" ht="14.4" hidden="1" customHeight="1" thickBot="1" x14ac:dyDescent="0.4">
      <c r="A85" s="3">
        <v>46304.375</v>
      </c>
      <c r="B85" s="1" t="s">
        <v>51</v>
      </c>
      <c r="C85" s="1" t="s">
        <v>7</v>
      </c>
      <c r="D85" s="4">
        <v>10</v>
      </c>
      <c r="E85" s="4">
        <v>917</v>
      </c>
      <c r="F85" s="4">
        <v>1.888888889</v>
      </c>
      <c r="G85" s="2" t="s">
        <v>52</v>
      </c>
      <c r="H85" s="5">
        <v>900</v>
      </c>
      <c r="I85" s="1" t="s">
        <v>8</v>
      </c>
      <c r="J85" s="24" t="s">
        <v>117</v>
      </c>
      <c r="K85" s="18" t="s">
        <v>278</v>
      </c>
      <c r="L85" s="18">
        <v>35880</v>
      </c>
      <c r="M85" s="18">
        <f>ABS((D85*E85)-L85)</f>
        <v>26710</v>
      </c>
      <c r="N85" s="10" t="str">
        <f t="shared" si="1"/>
        <v>Unique</v>
      </c>
      <c r="O85" s="46" t="s">
        <v>252</v>
      </c>
    </row>
    <row r="86" spans="1:16" ht="14.4" customHeight="1" thickBot="1" x14ac:dyDescent="0.4">
      <c r="A86" s="6" t="s">
        <v>62</v>
      </c>
      <c r="B86" s="1" t="s">
        <v>12</v>
      </c>
      <c r="C86" s="1" t="s">
        <v>10</v>
      </c>
      <c r="D86" s="4">
        <v>1</v>
      </c>
      <c r="E86" s="4">
        <v>3914</v>
      </c>
      <c r="F86" s="4">
        <v>-22.410546140000001</v>
      </c>
      <c r="G86" s="2" t="s">
        <v>98</v>
      </c>
      <c r="H86" s="5">
        <v>5044.5</v>
      </c>
      <c r="I86" s="1" t="s">
        <v>8</v>
      </c>
      <c r="J86" s="42" t="s">
        <v>41</v>
      </c>
      <c r="K86" s="17"/>
      <c r="L86" s="17"/>
      <c r="M86" s="17"/>
      <c r="N86" t="str">
        <f t="shared" si="1"/>
        <v>Unique</v>
      </c>
      <c r="O86"/>
      <c r="P86"/>
    </row>
    <row r="87" spans="1:16" customFormat="1" ht="26.5" hidden="1" thickBot="1" x14ac:dyDescent="0.4">
      <c r="A87" s="11">
        <v>46252.635416666664</v>
      </c>
      <c r="B87" s="8" t="s">
        <v>74</v>
      </c>
      <c r="C87" s="8" t="s">
        <v>7</v>
      </c>
      <c r="D87" s="8">
        <v>5</v>
      </c>
      <c r="E87" s="8">
        <v>3482</v>
      </c>
      <c r="F87" s="4">
        <v>2.6896307660000001</v>
      </c>
      <c r="G87" s="2" t="s">
        <v>75</v>
      </c>
      <c r="H87" s="5">
        <v>3390.8</v>
      </c>
      <c r="I87" s="1" t="s">
        <v>8</v>
      </c>
      <c r="J87" s="40" t="s">
        <v>118</v>
      </c>
      <c r="K87" s="18"/>
      <c r="L87" s="18"/>
      <c r="M87" s="18"/>
      <c r="N87" s="10" t="str">
        <f t="shared" si="1"/>
        <v>Unique</v>
      </c>
      <c r="O87" s="46" t="s">
        <v>252</v>
      </c>
    </row>
    <row r="88" spans="1:16" customFormat="1" ht="26.5" hidden="1" thickBot="1" x14ac:dyDescent="0.4">
      <c r="A88" s="48">
        <v>46273.375</v>
      </c>
      <c r="B88" s="49" t="s">
        <v>49</v>
      </c>
      <c r="C88" s="49" t="s">
        <v>7</v>
      </c>
      <c r="D88" s="49">
        <v>5</v>
      </c>
      <c r="E88" s="49">
        <v>4047</v>
      </c>
      <c r="F88" s="4">
        <v>2.7626834589999998</v>
      </c>
      <c r="G88" s="2" t="s">
        <v>50</v>
      </c>
      <c r="H88" s="5">
        <v>3938.2</v>
      </c>
      <c r="I88" s="1" t="s">
        <v>8</v>
      </c>
      <c r="J88" s="33" t="s">
        <v>117</v>
      </c>
      <c r="K88" s="33" t="s">
        <v>266</v>
      </c>
      <c r="L88" s="33">
        <v>19730.5</v>
      </c>
      <c r="M88" s="33">
        <f t="shared" ref="M88:M102" si="2">ABS((D88*E88)-L88)</f>
        <v>504.5</v>
      </c>
      <c r="N88" s="35" t="str">
        <f t="shared" si="1"/>
        <v>Duplicate</v>
      </c>
      <c r="O88" s="46" t="s">
        <v>252</v>
      </c>
      <c r="P88" s="35"/>
    </row>
    <row r="89" spans="1:16" customFormat="1" ht="26.5" hidden="1" thickBot="1" x14ac:dyDescent="0.4">
      <c r="A89" s="36">
        <v>46274.375</v>
      </c>
      <c r="B89" s="37" t="s">
        <v>49</v>
      </c>
      <c r="C89" s="37" t="s">
        <v>7</v>
      </c>
      <c r="D89" s="38">
        <v>5</v>
      </c>
      <c r="E89" s="38">
        <v>4047</v>
      </c>
      <c r="F89" s="4">
        <v>2.7626834589999998</v>
      </c>
      <c r="G89" s="2" t="s">
        <v>50</v>
      </c>
      <c r="H89" s="5">
        <v>3938.2</v>
      </c>
      <c r="I89" s="1" t="s">
        <v>8</v>
      </c>
      <c r="J89" s="33" t="s">
        <v>117</v>
      </c>
      <c r="K89" s="33" t="s">
        <v>273</v>
      </c>
      <c r="L89" s="33">
        <v>19690</v>
      </c>
      <c r="M89" s="33">
        <f t="shared" si="2"/>
        <v>545</v>
      </c>
      <c r="N89" s="35" t="str">
        <f t="shared" si="1"/>
        <v>Duplicate</v>
      </c>
      <c r="O89" s="46" t="s">
        <v>252</v>
      </c>
      <c r="P89" s="35"/>
    </row>
    <row r="90" spans="1:16" customFormat="1" ht="39" hidden="1" thickBot="1" x14ac:dyDescent="0.4">
      <c r="A90" s="3">
        <v>46304.375</v>
      </c>
      <c r="B90" s="1" t="s">
        <v>51</v>
      </c>
      <c r="C90" s="1" t="s">
        <v>7</v>
      </c>
      <c r="D90" s="4">
        <v>10</v>
      </c>
      <c r="E90" s="4">
        <v>927</v>
      </c>
      <c r="F90" s="4">
        <v>3</v>
      </c>
      <c r="G90" s="2" t="s">
        <v>52</v>
      </c>
      <c r="H90" s="5">
        <v>900</v>
      </c>
      <c r="I90" s="1" t="s">
        <v>8</v>
      </c>
      <c r="J90" s="18" t="s">
        <v>117</v>
      </c>
      <c r="K90" s="18" t="s">
        <v>278</v>
      </c>
      <c r="L90" s="18">
        <v>35880</v>
      </c>
      <c r="M90" s="18">
        <f t="shared" si="2"/>
        <v>26610</v>
      </c>
      <c r="N90" s="10" t="str">
        <f t="shared" si="1"/>
        <v>Unique</v>
      </c>
      <c r="O90" s="10"/>
      <c r="P90" s="10"/>
    </row>
    <row r="91" spans="1:16" customFormat="1" ht="39" hidden="1" thickBot="1" x14ac:dyDescent="0.4">
      <c r="A91" s="3">
        <v>46265.375694444447</v>
      </c>
      <c r="B91" s="1" t="s">
        <v>36</v>
      </c>
      <c r="C91" s="1" t="s">
        <v>7</v>
      </c>
      <c r="D91" s="4">
        <v>5</v>
      </c>
      <c r="E91" s="4">
        <v>1236</v>
      </c>
      <c r="F91" s="4">
        <v>3.7086759520000001</v>
      </c>
      <c r="G91" s="2" t="s">
        <v>65</v>
      </c>
      <c r="H91" s="5">
        <v>1191.8</v>
      </c>
      <c r="I91" s="1" t="s">
        <v>8</v>
      </c>
      <c r="J91" s="18" t="s">
        <v>118</v>
      </c>
      <c r="K91" s="18" t="s">
        <v>210</v>
      </c>
      <c r="L91" s="18">
        <v>5905</v>
      </c>
      <c r="M91" s="18">
        <f t="shared" si="2"/>
        <v>275</v>
      </c>
      <c r="N91" t="str">
        <f t="shared" si="1"/>
        <v>Unique</v>
      </c>
      <c r="O91" s="10"/>
      <c r="P91" s="10"/>
    </row>
    <row r="92" spans="1:16" customFormat="1" ht="39" hidden="1" thickBot="1" x14ac:dyDescent="0.4">
      <c r="A92" s="36">
        <v>46262.375</v>
      </c>
      <c r="B92" s="37" t="s">
        <v>43</v>
      </c>
      <c r="C92" s="37" t="s">
        <v>7</v>
      </c>
      <c r="D92" s="38">
        <v>5</v>
      </c>
      <c r="E92" s="38">
        <v>747</v>
      </c>
      <c r="F92" s="4">
        <v>3.735592279</v>
      </c>
      <c r="G92" s="2" t="s">
        <v>44</v>
      </c>
      <c r="H92" s="5">
        <v>720.1</v>
      </c>
      <c r="I92" s="1" t="s">
        <v>8</v>
      </c>
      <c r="J92" s="33" t="s">
        <v>118</v>
      </c>
      <c r="K92" s="33" t="s">
        <v>195</v>
      </c>
      <c r="L92" s="33">
        <v>3560</v>
      </c>
      <c r="M92" s="33">
        <f t="shared" si="2"/>
        <v>175</v>
      </c>
      <c r="N92" s="35" t="str">
        <f t="shared" si="1"/>
        <v>Duplicate</v>
      </c>
      <c r="O92" s="46" t="s">
        <v>252</v>
      </c>
    </row>
    <row r="93" spans="1:16" customFormat="1" ht="39" hidden="1" thickBot="1" x14ac:dyDescent="0.4">
      <c r="A93" s="36">
        <v>46265.375694444447</v>
      </c>
      <c r="B93" s="37" t="s">
        <v>43</v>
      </c>
      <c r="C93" s="37" t="s">
        <v>7</v>
      </c>
      <c r="D93" s="38">
        <v>5</v>
      </c>
      <c r="E93" s="38">
        <v>747</v>
      </c>
      <c r="F93" s="4">
        <v>3.735592279</v>
      </c>
      <c r="G93" s="2" t="s">
        <v>44</v>
      </c>
      <c r="H93" s="5">
        <v>720.1</v>
      </c>
      <c r="I93" s="1" t="s">
        <v>8</v>
      </c>
      <c r="J93" s="33" t="s">
        <v>118</v>
      </c>
      <c r="K93" s="33" t="s">
        <v>212</v>
      </c>
      <c r="L93" s="33">
        <v>3510</v>
      </c>
      <c r="M93" s="33">
        <f t="shared" si="2"/>
        <v>225</v>
      </c>
      <c r="N93" s="34" t="str">
        <f t="shared" si="1"/>
        <v>Duplicate</v>
      </c>
      <c r="O93" s="46" t="s">
        <v>252</v>
      </c>
      <c r="P93" s="10"/>
    </row>
    <row r="94" spans="1:16" customFormat="1" ht="26.5" hidden="1" thickBot="1" x14ac:dyDescent="0.4">
      <c r="A94" s="3">
        <v>46276.375590277778</v>
      </c>
      <c r="B94" s="1" t="s">
        <v>17</v>
      </c>
      <c r="C94" s="1" t="s">
        <v>7</v>
      </c>
      <c r="D94" s="4">
        <v>25</v>
      </c>
      <c r="E94" s="4">
        <v>360</v>
      </c>
      <c r="F94" s="4">
        <v>3.7613488980000001</v>
      </c>
      <c r="G94" s="2" t="s">
        <v>77</v>
      </c>
      <c r="H94" s="5">
        <v>346.95</v>
      </c>
      <c r="I94" s="1" t="s">
        <v>8</v>
      </c>
      <c r="J94" s="18" t="s">
        <v>117</v>
      </c>
      <c r="K94" s="18" t="s">
        <v>298</v>
      </c>
      <c r="L94" s="18">
        <v>8700</v>
      </c>
      <c r="M94" s="18">
        <f t="shared" si="2"/>
        <v>300</v>
      </c>
      <c r="N94" s="10" t="str">
        <f t="shared" si="1"/>
        <v>Unique</v>
      </c>
      <c r="O94" s="10"/>
      <c r="P94" s="10"/>
    </row>
    <row r="95" spans="1:16" ht="39" hidden="1" thickBot="1" x14ac:dyDescent="0.4">
      <c r="A95" s="3">
        <v>46267.375</v>
      </c>
      <c r="B95" s="1" t="s">
        <v>82</v>
      </c>
      <c r="C95" s="1" t="s">
        <v>7</v>
      </c>
      <c r="D95" s="4">
        <v>2</v>
      </c>
      <c r="E95" s="4">
        <v>4290</v>
      </c>
      <c r="F95" s="4">
        <v>3.7986934429999999</v>
      </c>
      <c r="G95" s="2" t="s">
        <v>83</v>
      </c>
      <c r="H95" s="5">
        <v>4133</v>
      </c>
      <c r="I95" s="1" t="s">
        <v>8</v>
      </c>
      <c r="J95" s="18" t="s">
        <v>118</v>
      </c>
      <c r="K95" s="18" t="s">
        <v>231</v>
      </c>
      <c r="L95" s="18">
        <v>8220</v>
      </c>
      <c r="M95" s="18">
        <f t="shared" si="2"/>
        <v>360</v>
      </c>
      <c r="N95" s="10" t="str">
        <f t="shared" si="1"/>
        <v>Unique</v>
      </c>
      <c r="O95" s="46" t="s">
        <v>252</v>
      </c>
    </row>
    <row r="96" spans="1:16" s="35" customFormat="1" ht="26.5" hidden="1" thickBot="1" x14ac:dyDescent="0.4">
      <c r="A96" s="3">
        <v>46265.375694444447</v>
      </c>
      <c r="B96" s="1" t="s">
        <v>49</v>
      </c>
      <c r="C96" s="1" t="s">
        <v>7</v>
      </c>
      <c r="D96" s="4">
        <v>5</v>
      </c>
      <c r="E96" s="4">
        <v>4092</v>
      </c>
      <c r="F96" s="4">
        <v>3.905337464</v>
      </c>
      <c r="G96" s="2" t="s">
        <v>50</v>
      </c>
      <c r="H96" s="5">
        <v>3938.2</v>
      </c>
      <c r="I96" s="1" t="s">
        <v>8</v>
      </c>
      <c r="J96" s="18" t="s">
        <v>118</v>
      </c>
      <c r="K96" s="18" t="s">
        <v>211</v>
      </c>
      <c r="L96" s="18">
        <v>20010</v>
      </c>
      <c r="M96" s="18">
        <f t="shared" si="2"/>
        <v>450</v>
      </c>
      <c r="N96" t="str">
        <f t="shared" si="1"/>
        <v>Unique</v>
      </c>
      <c r="O96" s="10"/>
      <c r="P96"/>
    </row>
    <row r="97" spans="1:16" s="35" customFormat="1" ht="39" hidden="1" thickBot="1" x14ac:dyDescent="0.4">
      <c r="A97" s="11">
        <v>46273.375</v>
      </c>
      <c r="B97" s="8" t="s">
        <v>51</v>
      </c>
      <c r="C97" s="8" t="s">
        <v>7</v>
      </c>
      <c r="D97" s="8">
        <v>10</v>
      </c>
      <c r="E97" s="8">
        <v>937</v>
      </c>
      <c r="F97" s="4">
        <v>4.1111111109999996</v>
      </c>
      <c r="G97" s="2" t="s">
        <v>52</v>
      </c>
      <c r="H97" s="5">
        <v>900</v>
      </c>
      <c r="I97" s="1" t="s">
        <v>8</v>
      </c>
      <c r="J97" s="18" t="s">
        <v>156</v>
      </c>
      <c r="K97" s="18" t="s">
        <v>265</v>
      </c>
      <c r="L97" s="18">
        <v>9170</v>
      </c>
      <c r="M97" s="33">
        <f t="shared" si="2"/>
        <v>200</v>
      </c>
      <c r="N97" s="10" t="str">
        <f t="shared" si="1"/>
        <v>Unique</v>
      </c>
      <c r="O97" s="10"/>
      <c r="P97" s="10"/>
    </row>
    <row r="98" spans="1:16" s="35" customFormat="1" ht="39" hidden="1" thickBot="1" x14ac:dyDescent="0.4">
      <c r="A98" s="3">
        <v>46269.614583333336</v>
      </c>
      <c r="B98" s="1" t="s">
        <v>23</v>
      </c>
      <c r="C98" s="1" t="s">
        <v>7</v>
      </c>
      <c r="D98" s="4">
        <v>40</v>
      </c>
      <c r="E98" s="4">
        <v>219</v>
      </c>
      <c r="F98" s="4">
        <v>4.1121939620000001</v>
      </c>
      <c r="G98" s="2" t="s">
        <v>70</v>
      </c>
      <c r="H98" s="5">
        <v>210.35</v>
      </c>
      <c r="I98" s="1" t="s">
        <v>8</v>
      </c>
      <c r="J98" s="18" t="s">
        <v>117</v>
      </c>
      <c r="K98" s="18" t="s">
        <v>246</v>
      </c>
      <c r="L98" s="18">
        <v>8480</v>
      </c>
      <c r="M98" s="27">
        <f t="shared" si="2"/>
        <v>280</v>
      </c>
      <c r="N98" t="str">
        <f t="shared" si="1"/>
        <v>Unique</v>
      </c>
      <c r="O98" s="46" t="s">
        <v>252</v>
      </c>
      <c r="P98" s="10"/>
    </row>
    <row r="99" spans="1:16" s="35" customFormat="1" ht="26.5" hidden="1" thickBot="1" x14ac:dyDescent="0.4">
      <c r="A99" s="3">
        <v>46275.507638888892</v>
      </c>
      <c r="B99" s="1" t="s">
        <v>15</v>
      </c>
      <c r="C99" s="1" t="s">
        <v>7</v>
      </c>
      <c r="D99" s="4">
        <v>10</v>
      </c>
      <c r="E99" s="4">
        <v>2548</v>
      </c>
      <c r="F99" s="4">
        <v>4.127503065</v>
      </c>
      <c r="G99" s="2" t="s">
        <v>72</v>
      </c>
      <c r="H99" s="5">
        <v>2447</v>
      </c>
      <c r="I99" s="1" t="s">
        <v>8</v>
      </c>
      <c r="J99" s="18" t="s">
        <v>117</v>
      </c>
      <c r="K99" s="18" t="s">
        <v>279</v>
      </c>
      <c r="L99" s="18">
        <v>73800</v>
      </c>
      <c r="M99" s="18">
        <f t="shared" si="2"/>
        <v>48320</v>
      </c>
      <c r="N99" s="10" t="str">
        <f t="shared" si="1"/>
        <v>Unique</v>
      </c>
      <c r="O99" s="46" t="s">
        <v>252</v>
      </c>
      <c r="P99" s="10"/>
    </row>
    <row r="100" spans="1:16" ht="26.5" hidden="1" thickBot="1" x14ac:dyDescent="0.4">
      <c r="A100" s="3">
        <v>46260.375694444447</v>
      </c>
      <c r="B100" s="1" t="s">
        <v>49</v>
      </c>
      <c r="C100" s="1" t="s">
        <v>7</v>
      </c>
      <c r="D100" s="4">
        <v>5</v>
      </c>
      <c r="E100" s="4">
        <v>4112</v>
      </c>
      <c r="F100" s="4">
        <v>4.4131836880000002</v>
      </c>
      <c r="G100" s="2" t="s">
        <v>50</v>
      </c>
      <c r="H100" s="5">
        <v>3938.2</v>
      </c>
      <c r="I100" s="1" t="s">
        <v>8</v>
      </c>
      <c r="J100" s="18" t="s">
        <v>118</v>
      </c>
      <c r="K100" s="18" t="s">
        <v>173</v>
      </c>
      <c r="L100" s="18">
        <v>20260</v>
      </c>
      <c r="M100" s="18">
        <f t="shared" si="2"/>
        <v>300</v>
      </c>
      <c r="N100" t="str">
        <f t="shared" si="1"/>
        <v>Unique</v>
      </c>
      <c r="O100"/>
      <c r="P100" s="35"/>
    </row>
    <row r="101" spans="1:16" s="19" customFormat="1" ht="39" hidden="1" thickBot="1" x14ac:dyDescent="0.4">
      <c r="A101" s="3">
        <v>46274.414583333331</v>
      </c>
      <c r="B101" s="1" t="s">
        <v>12</v>
      </c>
      <c r="C101" s="1" t="s">
        <v>7</v>
      </c>
      <c r="D101" s="4">
        <v>2</v>
      </c>
      <c r="E101" s="4">
        <v>5274</v>
      </c>
      <c r="F101" s="4">
        <v>4.5495093669999997</v>
      </c>
      <c r="G101" s="2" t="s">
        <v>98</v>
      </c>
      <c r="H101" s="5">
        <v>5044.5</v>
      </c>
      <c r="I101" s="1" t="s">
        <v>8</v>
      </c>
      <c r="J101" s="18" t="s">
        <v>118</v>
      </c>
      <c r="K101" s="18" t="s">
        <v>268</v>
      </c>
      <c r="L101" s="18">
        <v>9902</v>
      </c>
      <c r="M101" s="18">
        <f t="shared" si="2"/>
        <v>646</v>
      </c>
      <c r="N101" s="10" t="str">
        <f t="shared" si="1"/>
        <v>Unique</v>
      </c>
      <c r="O101" s="46" t="s">
        <v>252</v>
      </c>
      <c r="P101" s="10"/>
    </row>
    <row r="102" spans="1:16" s="26" customFormat="1" ht="39" hidden="1" thickBot="1" x14ac:dyDescent="0.4">
      <c r="A102" s="3">
        <v>46275.375</v>
      </c>
      <c r="B102" s="1" t="s">
        <v>51</v>
      </c>
      <c r="C102" s="1" t="s">
        <v>7</v>
      </c>
      <c r="D102" s="4">
        <v>10</v>
      </c>
      <c r="E102" s="4">
        <v>942</v>
      </c>
      <c r="F102" s="4">
        <v>4.6666666670000003</v>
      </c>
      <c r="G102" s="2" t="s">
        <v>52</v>
      </c>
      <c r="H102" s="5">
        <v>900</v>
      </c>
      <c r="I102" s="1" t="s">
        <v>8</v>
      </c>
      <c r="J102" s="18" t="s">
        <v>117</v>
      </c>
      <c r="K102" s="18" t="s">
        <v>278</v>
      </c>
      <c r="L102" s="18">
        <v>35880</v>
      </c>
      <c r="M102" s="18">
        <f t="shared" si="2"/>
        <v>26460</v>
      </c>
      <c r="N102" s="10" t="str">
        <f t="shared" si="1"/>
        <v>Unique</v>
      </c>
      <c r="O102" s="10"/>
      <c r="P102" s="10"/>
    </row>
    <row r="103" spans="1:16" ht="26.5" hidden="1" thickBot="1" x14ac:dyDescent="0.4">
      <c r="A103" s="11">
        <v>46252.645138888889</v>
      </c>
      <c r="B103" s="8" t="s">
        <v>49</v>
      </c>
      <c r="C103" s="8" t="s">
        <v>7</v>
      </c>
      <c r="D103" s="8">
        <v>5</v>
      </c>
      <c r="E103" s="8">
        <v>4129</v>
      </c>
      <c r="F103" s="4">
        <v>4.8448529789999997</v>
      </c>
      <c r="G103" s="2" t="s">
        <v>50</v>
      </c>
      <c r="H103" s="5">
        <v>3938.2</v>
      </c>
      <c r="I103" s="1" t="s">
        <v>8</v>
      </c>
      <c r="J103" s="40"/>
      <c r="N103" s="10" t="str">
        <f t="shared" si="1"/>
        <v>Unique</v>
      </c>
    </row>
    <row r="104" spans="1:16" ht="26.5" hidden="1" thickBot="1" x14ac:dyDescent="0.4">
      <c r="A104" s="11">
        <v>46252.645138888889</v>
      </c>
      <c r="B104" s="8" t="s">
        <v>68</v>
      </c>
      <c r="C104" s="8" t="s">
        <v>7</v>
      </c>
      <c r="D104" s="8">
        <v>20</v>
      </c>
      <c r="E104" s="8">
        <v>424</v>
      </c>
      <c r="F104" s="4">
        <v>4.8596512919999997</v>
      </c>
      <c r="G104" s="2" t="s">
        <v>69</v>
      </c>
      <c r="H104" s="5">
        <v>404.35</v>
      </c>
      <c r="I104" s="1" t="s">
        <v>8</v>
      </c>
      <c r="J104" s="40"/>
      <c r="N104" s="10" t="str">
        <f t="shared" si="1"/>
        <v>Unique</v>
      </c>
      <c r="O104" s="46" t="s">
        <v>252</v>
      </c>
      <c r="P104"/>
    </row>
    <row r="105" spans="1:16" s="25" customFormat="1" ht="26.5" hidden="1" thickBot="1" x14ac:dyDescent="0.4">
      <c r="A105" s="3">
        <v>46261.375</v>
      </c>
      <c r="B105" s="1" t="s">
        <v>57</v>
      </c>
      <c r="C105" s="1" t="s">
        <v>7</v>
      </c>
      <c r="D105" s="4">
        <v>5</v>
      </c>
      <c r="E105" s="4">
        <v>2948</v>
      </c>
      <c r="F105" s="4">
        <v>4.8737104230000003</v>
      </c>
      <c r="G105" s="2" t="s">
        <v>58</v>
      </c>
      <c r="H105" s="5">
        <v>2811</v>
      </c>
      <c r="I105" s="1" t="s">
        <v>8</v>
      </c>
      <c r="J105" s="18" t="s">
        <v>117</v>
      </c>
      <c r="K105" s="18" t="s">
        <v>185</v>
      </c>
      <c r="L105" s="18">
        <v>14440</v>
      </c>
      <c r="M105" s="18">
        <f>ABS((D105*E105)-L105)</f>
        <v>300</v>
      </c>
      <c r="N105" s="10" t="str">
        <f t="shared" si="1"/>
        <v>Unique</v>
      </c>
      <c r="O105"/>
      <c r="P105" s="10"/>
    </row>
    <row r="106" spans="1:16" ht="26.5" hidden="1" thickBot="1" x14ac:dyDescent="0.4">
      <c r="A106" s="36">
        <v>46269.542361111111</v>
      </c>
      <c r="B106" s="37" t="s">
        <v>14</v>
      </c>
      <c r="C106" s="37" t="s">
        <v>7</v>
      </c>
      <c r="D106" s="38">
        <v>50</v>
      </c>
      <c r="E106" s="38">
        <v>330.4</v>
      </c>
      <c r="F106" s="4">
        <v>4.9055405619999997</v>
      </c>
      <c r="G106" s="2" t="s">
        <v>45</v>
      </c>
      <c r="H106" s="5">
        <v>314.95</v>
      </c>
      <c r="I106" s="1" t="s">
        <v>8</v>
      </c>
      <c r="J106" s="33" t="s">
        <v>118</v>
      </c>
      <c r="K106" s="33" t="s">
        <v>243</v>
      </c>
      <c r="L106" s="33">
        <v>16219.999999999998</v>
      </c>
      <c r="M106" s="33">
        <f>ABS((D106*E106)-L106)</f>
        <v>300.00000000000182</v>
      </c>
      <c r="N106" s="34" t="str">
        <f t="shared" si="1"/>
        <v>Unique</v>
      </c>
      <c r="O106" s="46" t="s">
        <v>252</v>
      </c>
      <c r="P106" s="35"/>
    </row>
    <row r="107" spans="1:16" ht="26.5" hidden="1" thickBot="1" x14ac:dyDescent="0.4">
      <c r="A107" s="36">
        <v>46272.530555555553</v>
      </c>
      <c r="B107" s="37" t="s">
        <v>14</v>
      </c>
      <c r="C107" s="37" t="s">
        <v>7</v>
      </c>
      <c r="D107" s="38">
        <v>20</v>
      </c>
      <c r="E107" s="38">
        <v>330.4</v>
      </c>
      <c r="F107" s="4">
        <v>4.9055405619999997</v>
      </c>
      <c r="G107" s="2" t="s">
        <v>45</v>
      </c>
      <c r="H107" s="5">
        <v>314.95</v>
      </c>
      <c r="I107" s="1" t="s">
        <v>8</v>
      </c>
      <c r="J107" s="35" t="s">
        <v>118</v>
      </c>
      <c r="K107" s="33" t="s">
        <v>253</v>
      </c>
      <c r="L107" s="33">
        <v>6334</v>
      </c>
      <c r="M107" s="33">
        <f>ABS((D107*E107)-L107)</f>
        <v>274</v>
      </c>
      <c r="N107" s="35" t="str">
        <f t="shared" si="1"/>
        <v>Unique</v>
      </c>
      <c r="O107" s="46" t="s">
        <v>252</v>
      </c>
      <c r="P107" s="35"/>
    </row>
    <row r="108" spans="1:16" ht="39" hidden="1" thickBot="1" x14ac:dyDescent="0.4">
      <c r="A108" s="36">
        <v>46260.556944444441</v>
      </c>
      <c r="B108" s="37" t="s">
        <v>36</v>
      </c>
      <c r="C108" s="37" t="s">
        <v>7</v>
      </c>
      <c r="D108" s="38">
        <v>5</v>
      </c>
      <c r="E108" s="38">
        <v>1251</v>
      </c>
      <c r="F108" s="4">
        <v>4.9672763890000002</v>
      </c>
      <c r="G108" s="2" t="s">
        <v>65</v>
      </c>
      <c r="H108" s="5">
        <v>1191.8</v>
      </c>
      <c r="I108" s="1" t="s">
        <v>8</v>
      </c>
      <c r="J108" s="33" t="s">
        <v>118</v>
      </c>
      <c r="K108" s="33" t="s">
        <v>167</v>
      </c>
      <c r="L108" s="33">
        <v>6105</v>
      </c>
      <c r="M108" s="33">
        <f>ABS((D108*E108)-L108)</f>
        <v>150</v>
      </c>
      <c r="N108" s="34" t="str">
        <f t="shared" si="1"/>
        <v>Duplicate</v>
      </c>
    </row>
    <row r="109" spans="1:16" s="25" customFormat="1" ht="39" hidden="1" thickBot="1" x14ac:dyDescent="0.4">
      <c r="A109" s="36">
        <v>46261.375</v>
      </c>
      <c r="B109" s="37" t="s">
        <v>36</v>
      </c>
      <c r="C109" s="37" t="s">
        <v>7</v>
      </c>
      <c r="D109" s="38">
        <v>5</v>
      </c>
      <c r="E109" s="38">
        <v>1251</v>
      </c>
      <c r="F109" s="4">
        <v>4.9672763890000002</v>
      </c>
      <c r="G109" s="2" t="s">
        <v>65</v>
      </c>
      <c r="H109" s="5">
        <v>1191.8</v>
      </c>
      <c r="I109" s="1" t="s">
        <v>8</v>
      </c>
      <c r="J109" s="33" t="s">
        <v>118</v>
      </c>
      <c r="K109" s="33" t="s">
        <v>181</v>
      </c>
      <c r="L109" s="33">
        <v>6005</v>
      </c>
      <c r="M109" s="33">
        <f>ABS((D109*E109)-L109)</f>
        <v>250</v>
      </c>
      <c r="N109" s="35" t="str">
        <f t="shared" si="1"/>
        <v>Duplicate</v>
      </c>
      <c r="O109" s="10"/>
      <c r="P109" s="10"/>
    </row>
    <row r="110" spans="1:16" ht="39" hidden="1" thickBot="1" x14ac:dyDescent="0.4">
      <c r="A110" s="8" t="s">
        <v>62</v>
      </c>
      <c r="B110" s="8" t="s">
        <v>119</v>
      </c>
      <c r="C110" s="8" t="s">
        <v>7</v>
      </c>
      <c r="D110" s="8">
        <v>15</v>
      </c>
      <c r="E110" s="8">
        <v>1090</v>
      </c>
      <c r="F110" s="4">
        <v>4.9792930750000002</v>
      </c>
      <c r="G110" s="2" t="s">
        <v>120</v>
      </c>
      <c r="H110" s="5">
        <v>1038.3</v>
      </c>
      <c r="I110" s="1" t="s">
        <v>8</v>
      </c>
      <c r="J110" s="40"/>
      <c r="N110" s="10" t="str">
        <f t="shared" si="1"/>
        <v>Unique</v>
      </c>
    </row>
    <row r="111" spans="1:16" ht="26.5" hidden="1" thickBot="1" x14ac:dyDescent="0.4">
      <c r="A111" s="3">
        <v>46274.375</v>
      </c>
      <c r="B111" s="1" t="s">
        <v>47</v>
      </c>
      <c r="C111" s="1" t="s">
        <v>7</v>
      </c>
      <c r="D111" s="4">
        <v>9</v>
      </c>
      <c r="E111" s="4">
        <v>2320</v>
      </c>
      <c r="F111" s="4">
        <v>5.0772227000000001</v>
      </c>
      <c r="G111" s="2" t="s">
        <v>48</v>
      </c>
      <c r="H111" s="5">
        <v>2207.9</v>
      </c>
      <c r="I111" s="1" t="s">
        <v>8</v>
      </c>
      <c r="J111" s="18" t="s">
        <v>117</v>
      </c>
      <c r="K111" s="18" t="s">
        <v>272</v>
      </c>
      <c r="L111" s="18">
        <v>20070</v>
      </c>
      <c r="M111" s="18">
        <f t="shared" ref="M111:M123" si="3">ABS((D111*E111)-L111)</f>
        <v>810</v>
      </c>
      <c r="N111" s="10" t="str">
        <f t="shared" si="1"/>
        <v>Unique</v>
      </c>
    </row>
    <row r="112" spans="1:16" ht="26.5" hidden="1" thickBot="1" x14ac:dyDescent="0.4">
      <c r="A112" s="3">
        <v>46272.375694444447</v>
      </c>
      <c r="B112" s="1" t="s">
        <v>63</v>
      </c>
      <c r="C112" s="1" t="s">
        <v>7</v>
      </c>
      <c r="D112" s="4">
        <v>15</v>
      </c>
      <c r="E112" s="4">
        <v>1048</v>
      </c>
      <c r="F112" s="4">
        <v>5.1997590850000002</v>
      </c>
      <c r="G112" s="2" t="s">
        <v>64</v>
      </c>
      <c r="H112" s="5">
        <v>996.2</v>
      </c>
      <c r="I112" s="1" t="s">
        <v>8</v>
      </c>
      <c r="J112" s="18" t="s">
        <v>117</v>
      </c>
      <c r="K112" s="18" t="s">
        <v>257</v>
      </c>
      <c r="L112" s="18">
        <v>15075</v>
      </c>
      <c r="M112" s="18">
        <f t="shared" si="3"/>
        <v>645</v>
      </c>
      <c r="N112" s="10" t="str">
        <f t="shared" si="1"/>
        <v>Unique</v>
      </c>
      <c r="O112" s="46" t="s">
        <v>252</v>
      </c>
    </row>
    <row r="113" spans="1:16" s="26" customFormat="1" ht="39" hidden="1" thickBot="1" x14ac:dyDescent="0.4">
      <c r="A113" s="11">
        <v>46273.375</v>
      </c>
      <c r="B113" s="8" t="s">
        <v>51</v>
      </c>
      <c r="C113" s="8" t="s">
        <v>7</v>
      </c>
      <c r="D113" s="8">
        <v>10</v>
      </c>
      <c r="E113" s="8">
        <v>947</v>
      </c>
      <c r="F113" s="4">
        <v>5.2222222220000001</v>
      </c>
      <c r="G113" s="2" t="s">
        <v>52</v>
      </c>
      <c r="H113" s="5">
        <v>900</v>
      </c>
      <c r="I113" s="1" t="s">
        <v>8</v>
      </c>
      <c r="J113" s="18" t="s">
        <v>156</v>
      </c>
      <c r="K113" s="18" t="s">
        <v>265</v>
      </c>
      <c r="L113" s="18">
        <v>9170</v>
      </c>
      <c r="M113" s="33">
        <f t="shared" si="3"/>
        <v>300</v>
      </c>
      <c r="N113" s="10" t="str">
        <f t="shared" si="1"/>
        <v>Unique</v>
      </c>
      <c r="O113" s="10"/>
      <c r="P113" s="10"/>
    </row>
    <row r="114" spans="1:16" ht="39" hidden="1" thickBot="1" x14ac:dyDescent="0.4">
      <c r="A114" s="3">
        <v>46262.375</v>
      </c>
      <c r="B114" s="1" t="s">
        <v>82</v>
      </c>
      <c r="C114" s="1" t="s">
        <v>7</v>
      </c>
      <c r="D114" s="4">
        <v>2</v>
      </c>
      <c r="E114" s="4">
        <v>4360</v>
      </c>
      <c r="F114" s="4">
        <v>5.4923784180000004</v>
      </c>
      <c r="G114" s="2" t="s">
        <v>83</v>
      </c>
      <c r="H114" s="5">
        <v>4133</v>
      </c>
      <c r="I114" s="1" t="s">
        <v>8</v>
      </c>
      <c r="J114" s="18" t="s">
        <v>118</v>
      </c>
      <c r="K114" s="18" t="s">
        <v>190</v>
      </c>
      <c r="L114" s="18">
        <v>8420</v>
      </c>
      <c r="M114" s="18">
        <f t="shared" si="3"/>
        <v>300</v>
      </c>
      <c r="N114" s="10" t="str">
        <f t="shared" si="1"/>
        <v>Unique</v>
      </c>
    </row>
    <row r="115" spans="1:16" ht="26.5" hidden="1" thickBot="1" x14ac:dyDescent="0.4">
      <c r="A115" s="3">
        <v>46276.375590277778</v>
      </c>
      <c r="B115" s="1" t="s">
        <v>66</v>
      </c>
      <c r="C115" s="1" t="s">
        <v>7</v>
      </c>
      <c r="D115" s="4">
        <v>10</v>
      </c>
      <c r="E115" s="4">
        <v>1172</v>
      </c>
      <c r="F115" s="4">
        <v>5.5855855859999997</v>
      </c>
      <c r="G115" s="2" t="s">
        <v>67</v>
      </c>
      <c r="H115" s="5">
        <v>1110</v>
      </c>
      <c r="I115" s="1" t="s">
        <v>8</v>
      </c>
      <c r="J115" s="18" t="s">
        <v>117</v>
      </c>
      <c r="K115" s="18" t="s">
        <v>296</v>
      </c>
      <c r="L115" s="18">
        <v>11320</v>
      </c>
      <c r="M115" s="18">
        <f t="shared" si="3"/>
        <v>400</v>
      </c>
      <c r="N115" s="10" t="str">
        <f t="shared" si="1"/>
        <v>Unique</v>
      </c>
    </row>
    <row r="116" spans="1:16" s="35" customFormat="1" ht="26.5" hidden="1" thickBot="1" x14ac:dyDescent="0.4">
      <c r="A116" s="3">
        <v>46267.375</v>
      </c>
      <c r="B116" s="1" t="s">
        <v>31</v>
      </c>
      <c r="C116" s="1" t="s">
        <v>7</v>
      </c>
      <c r="D116" s="4">
        <v>5</v>
      </c>
      <c r="E116" s="4">
        <v>649</v>
      </c>
      <c r="F116" s="4">
        <v>5.6143205859999998</v>
      </c>
      <c r="G116" s="2" t="s">
        <v>94</v>
      </c>
      <c r="H116" s="5">
        <v>614.5</v>
      </c>
      <c r="I116" s="1" t="s">
        <v>8</v>
      </c>
      <c r="J116" s="18" t="s">
        <v>118</v>
      </c>
      <c r="K116" s="18" t="s">
        <v>238</v>
      </c>
      <c r="L116" s="18">
        <v>3005</v>
      </c>
      <c r="M116" s="18">
        <f t="shared" si="3"/>
        <v>240</v>
      </c>
      <c r="N116" s="10" t="str">
        <f t="shared" si="1"/>
        <v>Unique</v>
      </c>
      <c r="O116" s="10"/>
      <c r="P116" s="26"/>
    </row>
    <row r="117" spans="1:16" s="35" customFormat="1" ht="39" hidden="1" thickBot="1" x14ac:dyDescent="0.4">
      <c r="A117" s="3">
        <v>46335.442361111112</v>
      </c>
      <c r="B117" s="1" t="s">
        <v>80</v>
      </c>
      <c r="C117" s="1" t="s">
        <v>7</v>
      </c>
      <c r="D117" s="4">
        <v>10</v>
      </c>
      <c r="E117" s="4">
        <v>1460</v>
      </c>
      <c r="F117" s="4">
        <v>5.7817707580000004</v>
      </c>
      <c r="G117" s="2" t="s">
        <v>81</v>
      </c>
      <c r="H117" s="5">
        <v>1380.2</v>
      </c>
      <c r="I117" s="1" t="s">
        <v>8</v>
      </c>
      <c r="J117" s="18" t="s">
        <v>117</v>
      </c>
      <c r="K117" s="18" t="s">
        <v>290</v>
      </c>
      <c r="L117" s="18">
        <v>14100</v>
      </c>
      <c r="M117" s="18">
        <f t="shared" si="3"/>
        <v>500</v>
      </c>
      <c r="N117" s="10" t="str">
        <f t="shared" si="1"/>
        <v>Unique</v>
      </c>
      <c r="O117" s="10"/>
      <c r="P117" s="10"/>
    </row>
    <row r="118" spans="1:16" ht="26.5" hidden="1" thickBot="1" x14ac:dyDescent="0.4">
      <c r="A118" s="3">
        <v>46275.507638888892</v>
      </c>
      <c r="B118" s="1" t="s">
        <v>15</v>
      </c>
      <c r="C118" s="1" t="s">
        <v>7</v>
      </c>
      <c r="D118" s="4">
        <v>10</v>
      </c>
      <c r="E118" s="4">
        <v>2590</v>
      </c>
      <c r="F118" s="4">
        <v>5.8438904779999996</v>
      </c>
      <c r="G118" s="2" t="s">
        <v>72</v>
      </c>
      <c r="H118" s="5">
        <v>2447</v>
      </c>
      <c r="I118" s="1" t="s">
        <v>8</v>
      </c>
      <c r="J118" s="18" t="s">
        <v>117</v>
      </c>
      <c r="K118" s="18" t="s">
        <v>279</v>
      </c>
      <c r="L118" s="18">
        <v>73800</v>
      </c>
      <c r="M118" s="18">
        <f t="shared" si="3"/>
        <v>47900</v>
      </c>
      <c r="N118" s="10" t="str">
        <f t="shared" si="1"/>
        <v>Unique</v>
      </c>
      <c r="O118" s="46" t="s">
        <v>252</v>
      </c>
    </row>
    <row r="119" spans="1:16" ht="39" hidden="1" thickBot="1" x14ac:dyDescent="0.4">
      <c r="A119" s="3">
        <v>46276.375613425924</v>
      </c>
      <c r="B119" s="1" t="s">
        <v>103</v>
      </c>
      <c r="C119" s="1" t="s">
        <v>7</v>
      </c>
      <c r="D119" s="4">
        <v>8</v>
      </c>
      <c r="E119" s="4">
        <v>2472</v>
      </c>
      <c r="F119" s="4">
        <v>5.9579939990000002</v>
      </c>
      <c r="G119" s="2" t="s">
        <v>104</v>
      </c>
      <c r="H119" s="5">
        <v>2333</v>
      </c>
      <c r="I119" s="1" t="s">
        <v>8</v>
      </c>
      <c r="J119" s="18" t="s">
        <v>117</v>
      </c>
      <c r="K119" s="18" t="s">
        <v>299</v>
      </c>
      <c r="L119" s="18">
        <v>18960</v>
      </c>
      <c r="M119" s="18">
        <f t="shared" si="3"/>
        <v>816</v>
      </c>
      <c r="N119" s="10" t="str">
        <f t="shared" si="1"/>
        <v>Unique</v>
      </c>
    </row>
    <row r="120" spans="1:16" ht="39" hidden="1" thickBot="1" x14ac:dyDescent="0.4">
      <c r="A120" s="3">
        <v>46275.375</v>
      </c>
      <c r="B120" s="1" t="s">
        <v>21</v>
      </c>
      <c r="C120" s="1" t="s">
        <v>7</v>
      </c>
      <c r="D120" s="4">
        <v>5</v>
      </c>
      <c r="E120" s="4">
        <v>710</v>
      </c>
      <c r="F120" s="4">
        <v>5.9859680549999998</v>
      </c>
      <c r="G120" s="2" t="s">
        <v>76</v>
      </c>
      <c r="H120" s="5">
        <v>669.9</v>
      </c>
      <c r="I120" s="1" t="s">
        <v>8</v>
      </c>
      <c r="J120" s="18" t="s">
        <v>118</v>
      </c>
      <c r="K120" s="18" t="s">
        <v>276</v>
      </c>
      <c r="L120" s="18">
        <v>3300</v>
      </c>
      <c r="M120" s="18">
        <f t="shared" si="3"/>
        <v>250</v>
      </c>
      <c r="N120" s="10" t="str">
        <f t="shared" si="1"/>
        <v>Unique</v>
      </c>
    </row>
    <row r="121" spans="1:16" ht="26.5" hidden="1" thickBot="1" x14ac:dyDescent="0.4">
      <c r="A121" s="3">
        <v>46266.375</v>
      </c>
      <c r="B121" s="1" t="s">
        <v>15</v>
      </c>
      <c r="C121" s="1" t="s">
        <v>7</v>
      </c>
      <c r="D121" s="4">
        <v>10</v>
      </c>
      <c r="E121" s="4">
        <v>2595</v>
      </c>
      <c r="F121" s="4">
        <v>6.0482223130000001</v>
      </c>
      <c r="G121" s="2" t="s">
        <v>72</v>
      </c>
      <c r="H121" s="5">
        <v>2447</v>
      </c>
      <c r="I121" s="1" t="s">
        <v>8</v>
      </c>
      <c r="J121" s="18" t="s">
        <v>118</v>
      </c>
      <c r="K121" s="18" t="s">
        <v>222</v>
      </c>
      <c r="L121" s="18">
        <v>25300</v>
      </c>
      <c r="M121" s="18">
        <f t="shared" si="3"/>
        <v>650</v>
      </c>
      <c r="N121" s="10" t="str">
        <f t="shared" si="1"/>
        <v>Unique</v>
      </c>
      <c r="O121" s="46" t="s">
        <v>252</v>
      </c>
    </row>
    <row r="122" spans="1:16" ht="26.5" hidden="1" thickBot="1" x14ac:dyDescent="0.4">
      <c r="A122" s="3">
        <v>46267.513888888891</v>
      </c>
      <c r="B122" s="1" t="s">
        <v>15</v>
      </c>
      <c r="C122" s="1" t="s">
        <v>7</v>
      </c>
      <c r="D122" s="4">
        <v>5</v>
      </c>
      <c r="E122" s="4">
        <v>2595</v>
      </c>
      <c r="F122" s="4">
        <v>6.0482223130000001</v>
      </c>
      <c r="G122" s="2" t="s">
        <v>72</v>
      </c>
      <c r="H122" s="5">
        <v>2447</v>
      </c>
      <c r="I122" s="1" t="s">
        <v>8</v>
      </c>
      <c r="J122" s="18" t="s">
        <v>118</v>
      </c>
      <c r="K122" s="18" t="s">
        <v>233</v>
      </c>
      <c r="L122" s="18">
        <v>12480</v>
      </c>
      <c r="M122" s="18">
        <f t="shared" si="3"/>
        <v>495</v>
      </c>
      <c r="N122" s="10" t="str">
        <f t="shared" si="1"/>
        <v>Unique</v>
      </c>
      <c r="O122" s="46" t="s">
        <v>252</v>
      </c>
    </row>
    <row r="123" spans="1:16" ht="26.5" hidden="1" thickBot="1" x14ac:dyDescent="0.4">
      <c r="A123" s="3">
        <v>46268.375</v>
      </c>
      <c r="B123" s="1" t="s">
        <v>14</v>
      </c>
      <c r="C123" s="1" t="s">
        <v>7</v>
      </c>
      <c r="D123" s="4">
        <v>100</v>
      </c>
      <c r="E123" s="4">
        <v>334</v>
      </c>
      <c r="F123" s="4">
        <v>6.0485791400000002</v>
      </c>
      <c r="G123" s="2" t="s">
        <v>45</v>
      </c>
      <c r="H123" s="5">
        <v>314.95</v>
      </c>
      <c r="I123" s="1" t="s">
        <v>8</v>
      </c>
      <c r="J123" s="18" t="s">
        <v>117</v>
      </c>
      <c r="K123" s="18" t="s">
        <v>240</v>
      </c>
      <c r="L123" s="18">
        <v>32200</v>
      </c>
      <c r="M123" s="18">
        <f t="shared" si="3"/>
        <v>1200</v>
      </c>
      <c r="N123" s="10" t="str">
        <f t="shared" si="1"/>
        <v>Unique</v>
      </c>
    </row>
    <row r="124" spans="1:16" ht="26.5" hidden="1" thickBot="1" x14ac:dyDescent="0.4">
      <c r="A124" s="11">
        <v>46252.645833333336</v>
      </c>
      <c r="B124" s="8" t="s">
        <v>49</v>
      </c>
      <c r="C124" s="8" t="s">
        <v>7</v>
      </c>
      <c r="D124" s="8">
        <v>5</v>
      </c>
      <c r="E124" s="8">
        <v>4177</v>
      </c>
      <c r="F124" s="4">
        <v>6.0636839169999996</v>
      </c>
      <c r="G124" s="2" t="s">
        <v>50</v>
      </c>
      <c r="H124" s="5">
        <v>3938.2</v>
      </c>
      <c r="I124" s="1" t="s">
        <v>8</v>
      </c>
      <c r="J124" s="40"/>
      <c r="N124" s="10" t="str">
        <f t="shared" si="1"/>
        <v>Unique</v>
      </c>
      <c r="O124" s="25"/>
    </row>
    <row r="125" spans="1:16" ht="26.5" hidden="1" thickBot="1" x14ac:dyDescent="0.4">
      <c r="A125" s="11">
        <v>46243.375</v>
      </c>
      <c r="B125" s="8" t="s">
        <v>9</v>
      </c>
      <c r="C125" s="8" t="s">
        <v>7</v>
      </c>
      <c r="D125" s="8">
        <v>90</v>
      </c>
      <c r="E125" s="8">
        <v>298</v>
      </c>
      <c r="F125" s="4">
        <v>6.0686954970000002</v>
      </c>
      <c r="G125" s="2" t="s">
        <v>95</v>
      </c>
      <c r="H125" s="5">
        <v>280.95</v>
      </c>
      <c r="I125" s="1" t="s">
        <v>8</v>
      </c>
      <c r="J125" s="18" t="s">
        <v>117</v>
      </c>
      <c r="K125" s="18" t="s">
        <v>263</v>
      </c>
      <c r="L125" s="18">
        <v>26109.000000000004</v>
      </c>
      <c r="M125" s="33">
        <f t="shared" ref="M125:M130" si="4">ABS((D125*E125)-L125)</f>
        <v>710.99999999999636</v>
      </c>
      <c r="N125" s="10" t="str">
        <f t="shared" si="1"/>
        <v>Unique</v>
      </c>
      <c r="O125" s="46" t="s">
        <v>252</v>
      </c>
      <c r="P125"/>
    </row>
    <row r="126" spans="1:16" ht="26.5" hidden="1" thickBot="1" x14ac:dyDescent="0.4">
      <c r="A126" s="11">
        <v>46243.375</v>
      </c>
      <c r="B126" s="8" t="s">
        <v>13</v>
      </c>
      <c r="C126" s="8" t="s">
        <v>7</v>
      </c>
      <c r="D126" s="8">
        <v>5</v>
      </c>
      <c r="E126" s="8">
        <v>1844</v>
      </c>
      <c r="F126" s="4">
        <v>6.098964327</v>
      </c>
      <c r="G126" s="2" t="s">
        <v>91</v>
      </c>
      <c r="H126" s="5">
        <v>1738</v>
      </c>
      <c r="I126" s="1" t="s">
        <v>8</v>
      </c>
      <c r="J126" s="18" t="s">
        <v>118</v>
      </c>
      <c r="K126" s="18" t="s">
        <v>262</v>
      </c>
      <c r="L126" s="18">
        <v>8570</v>
      </c>
      <c r="M126" s="33">
        <f t="shared" si="4"/>
        <v>650</v>
      </c>
      <c r="N126" s="10" t="str">
        <f t="shared" si="1"/>
        <v>Unique</v>
      </c>
      <c r="O126" s="46" t="s">
        <v>252</v>
      </c>
    </row>
    <row r="127" spans="1:16" ht="39" hidden="1" thickBot="1" x14ac:dyDescent="0.4">
      <c r="A127" s="3">
        <v>46267.375</v>
      </c>
      <c r="B127" s="1" t="s">
        <v>51</v>
      </c>
      <c r="C127" s="1" t="s">
        <v>7</v>
      </c>
      <c r="D127" s="4">
        <v>10</v>
      </c>
      <c r="E127" s="4">
        <v>957</v>
      </c>
      <c r="F127" s="4">
        <v>6.3333333329999997</v>
      </c>
      <c r="G127" s="2" t="s">
        <v>52</v>
      </c>
      <c r="H127" s="5">
        <v>900</v>
      </c>
      <c r="I127" s="1" t="s">
        <v>8</v>
      </c>
      <c r="J127" s="18" t="s">
        <v>117</v>
      </c>
      <c r="K127" s="18" t="s">
        <v>235</v>
      </c>
      <c r="L127" s="18">
        <v>9270</v>
      </c>
      <c r="M127" s="18">
        <f t="shared" si="4"/>
        <v>300</v>
      </c>
      <c r="N127" s="10" t="str">
        <f t="shared" si="1"/>
        <v>Unique</v>
      </c>
      <c r="P127" s="19"/>
    </row>
    <row r="128" spans="1:16" s="25" customFormat="1" ht="26.5" hidden="1" thickBot="1" x14ac:dyDescent="0.4">
      <c r="A128" s="3">
        <v>46266.375</v>
      </c>
      <c r="B128" s="1" t="s">
        <v>63</v>
      </c>
      <c r="C128" s="1" t="s">
        <v>7</v>
      </c>
      <c r="D128" s="4">
        <v>10</v>
      </c>
      <c r="E128" s="4">
        <v>1060</v>
      </c>
      <c r="F128" s="4">
        <v>6.4043364790000004</v>
      </c>
      <c r="G128" s="2" t="s">
        <v>64</v>
      </c>
      <c r="H128" s="5">
        <v>996.2</v>
      </c>
      <c r="I128" s="1" t="s">
        <v>8</v>
      </c>
      <c r="J128" s="18" t="s">
        <v>117</v>
      </c>
      <c r="K128" s="18" t="s">
        <v>220</v>
      </c>
      <c r="L128" s="18">
        <v>10300</v>
      </c>
      <c r="M128" s="18">
        <f t="shared" si="4"/>
        <v>300</v>
      </c>
      <c r="N128" s="10" t="str">
        <f t="shared" si="1"/>
        <v>Unique</v>
      </c>
      <c r="O128" s="10"/>
      <c r="P128" s="35"/>
    </row>
    <row r="129" spans="1:16" ht="39" hidden="1" thickBot="1" x14ac:dyDescent="0.4">
      <c r="A129" s="3">
        <v>46276.400173611109</v>
      </c>
      <c r="B129" s="1" t="s">
        <v>80</v>
      </c>
      <c r="C129" s="1" t="s">
        <v>7</v>
      </c>
      <c r="D129" s="4">
        <v>10</v>
      </c>
      <c r="E129" s="4">
        <v>1470</v>
      </c>
      <c r="F129" s="4">
        <v>6.5063034340000003</v>
      </c>
      <c r="G129" s="2" t="s">
        <v>81</v>
      </c>
      <c r="H129" s="5">
        <v>1380.2</v>
      </c>
      <c r="I129" s="1" t="s">
        <v>8</v>
      </c>
      <c r="J129" s="18" t="s">
        <v>117</v>
      </c>
      <c r="K129" s="18" t="s">
        <v>292</v>
      </c>
      <c r="L129" s="18">
        <v>14200</v>
      </c>
      <c r="M129" s="18">
        <f t="shared" si="4"/>
        <v>500</v>
      </c>
      <c r="N129" s="10" t="str">
        <f t="shared" si="1"/>
        <v>Unique</v>
      </c>
    </row>
    <row r="130" spans="1:16" ht="26.5" hidden="1" thickBot="1" x14ac:dyDescent="0.4">
      <c r="A130" s="3">
        <v>46265.375694444447</v>
      </c>
      <c r="B130" s="1" t="s">
        <v>15</v>
      </c>
      <c r="C130" s="1" t="s">
        <v>7</v>
      </c>
      <c r="D130" s="4">
        <v>10</v>
      </c>
      <c r="E130" s="4">
        <v>2608</v>
      </c>
      <c r="F130" s="4">
        <v>6.5794850839999999</v>
      </c>
      <c r="G130" s="2" t="s">
        <v>72</v>
      </c>
      <c r="H130" s="5">
        <v>2447</v>
      </c>
      <c r="I130" s="1" t="s">
        <v>8</v>
      </c>
      <c r="J130" s="18" t="s">
        <v>118</v>
      </c>
      <c r="K130" s="18" t="s">
        <v>207</v>
      </c>
      <c r="L130" s="18">
        <v>25780</v>
      </c>
      <c r="M130" s="18">
        <f t="shared" si="4"/>
        <v>300</v>
      </c>
      <c r="N130" t="str">
        <f t="shared" ref="N130:N193" si="5">IF(COUNTIFS( $B$2:$B$767, B130, $C$2:$C$767, C130, $D$2:$D$767, D130, $E$2:$E$767, E130) &gt; 1, "Duplicate", "Unique")</f>
        <v>Unique</v>
      </c>
      <c r="O130" s="46" t="s">
        <v>252</v>
      </c>
      <c r="P130"/>
    </row>
    <row r="131" spans="1:16" ht="26.5" hidden="1" thickBot="1" x14ac:dyDescent="0.4">
      <c r="A131" s="11">
        <v>46252.645138888889</v>
      </c>
      <c r="B131" s="8" t="s">
        <v>57</v>
      </c>
      <c r="C131" s="8" t="s">
        <v>7</v>
      </c>
      <c r="D131" s="8">
        <v>5</v>
      </c>
      <c r="E131" s="8">
        <v>2998</v>
      </c>
      <c r="F131" s="4">
        <v>6.6524368550000004</v>
      </c>
      <c r="G131" s="2" t="s">
        <v>58</v>
      </c>
      <c r="H131" s="5">
        <v>2811</v>
      </c>
      <c r="I131" s="1" t="s">
        <v>8</v>
      </c>
      <c r="J131" s="17" t="s">
        <v>117</v>
      </c>
      <c r="N131" s="10" t="str">
        <f t="shared" si="5"/>
        <v>Unique</v>
      </c>
    </row>
    <row r="132" spans="1:16" ht="39" hidden="1" thickBot="1" x14ac:dyDescent="0.4">
      <c r="A132" s="3">
        <v>46274.375</v>
      </c>
      <c r="B132" s="1" t="s">
        <v>103</v>
      </c>
      <c r="C132" s="1" t="s">
        <v>7</v>
      </c>
      <c r="D132" s="4">
        <v>7</v>
      </c>
      <c r="E132" s="4">
        <v>2494</v>
      </c>
      <c r="F132" s="4">
        <v>6.9009858550000001</v>
      </c>
      <c r="G132" s="2" t="s">
        <v>104</v>
      </c>
      <c r="H132" s="5">
        <v>2333</v>
      </c>
      <c r="I132" s="1" t="s">
        <v>8</v>
      </c>
      <c r="J132" s="18" t="s">
        <v>117</v>
      </c>
      <c r="K132" s="18" t="s">
        <v>270</v>
      </c>
      <c r="L132" s="18">
        <v>16807</v>
      </c>
      <c r="M132" s="18">
        <f>ABS((D132*E132)-L132)</f>
        <v>651</v>
      </c>
      <c r="N132" s="10" t="str">
        <f t="shared" si="5"/>
        <v>Unique</v>
      </c>
    </row>
    <row r="133" spans="1:16" ht="39" hidden="1" thickBot="1" x14ac:dyDescent="0.4">
      <c r="A133" s="3">
        <v>46274.375</v>
      </c>
      <c r="B133" s="1" t="s">
        <v>53</v>
      </c>
      <c r="C133" s="1" t="s">
        <v>7</v>
      </c>
      <c r="D133" s="4">
        <v>2</v>
      </c>
      <c r="E133" s="4">
        <v>2576</v>
      </c>
      <c r="F133" s="4">
        <v>6.9811869260000003</v>
      </c>
      <c r="G133" s="2" t="s">
        <v>54</v>
      </c>
      <c r="H133" s="5">
        <v>2407.9</v>
      </c>
      <c r="I133" s="1" t="s">
        <v>8</v>
      </c>
      <c r="J133" s="18" t="s">
        <v>118</v>
      </c>
      <c r="K133" s="18" t="s">
        <v>274</v>
      </c>
      <c r="L133" s="18">
        <v>4852</v>
      </c>
      <c r="M133" s="18">
        <f>ABS((D133*E133)-L133)</f>
        <v>300</v>
      </c>
      <c r="N133" s="10" t="str">
        <f t="shared" si="5"/>
        <v>Unique</v>
      </c>
    </row>
    <row r="134" spans="1:16" ht="26.5" hidden="1" thickBot="1" x14ac:dyDescent="0.4">
      <c r="A134" s="3">
        <v>46265.390277777777</v>
      </c>
      <c r="B134" s="1" t="s">
        <v>15</v>
      </c>
      <c r="C134" s="1" t="s">
        <v>7</v>
      </c>
      <c r="D134" s="4">
        <v>10</v>
      </c>
      <c r="E134" s="4">
        <v>2618</v>
      </c>
      <c r="F134" s="4">
        <v>6.988148754</v>
      </c>
      <c r="G134" s="2" t="s">
        <v>72</v>
      </c>
      <c r="H134" s="5">
        <v>2447</v>
      </c>
      <c r="I134" s="1" t="s">
        <v>8</v>
      </c>
      <c r="J134" s="18" t="s">
        <v>117</v>
      </c>
      <c r="K134" s="18" t="s">
        <v>204</v>
      </c>
      <c r="L134" s="18">
        <v>25530</v>
      </c>
      <c r="M134" s="18">
        <f>ABS((D134*E134)-L134)</f>
        <v>650</v>
      </c>
      <c r="N134" t="str">
        <f t="shared" si="5"/>
        <v>Unique</v>
      </c>
      <c r="O134"/>
      <c r="P134"/>
    </row>
    <row r="135" spans="1:16" ht="26.5" hidden="1" thickBot="1" x14ac:dyDescent="0.4">
      <c r="A135" s="3">
        <v>46267.425694444442</v>
      </c>
      <c r="B135" s="1" t="s">
        <v>35</v>
      </c>
      <c r="C135" s="1" t="s">
        <v>7</v>
      </c>
      <c r="D135" s="4">
        <v>20</v>
      </c>
      <c r="E135" s="4">
        <v>219.5</v>
      </c>
      <c r="F135" s="4">
        <v>7.1254270379999998</v>
      </c>
      <c r="G135" s="2" t="s">
        <v>42</v>
      </c>
      <c r="H135" s="5">
        <v>204.9</v>
      </c>
      <c r="I135" s="1" t="s">
        <v>8</v>
      </c>
      <c r="J135" s="18" t="s">
        <v>118</v>
      </c>
      <c r="K135" s="18" t="s">
        <v>226</v>
      </c>
      <c r="L135" s="18">
        <v>4120</v>
      </c>
      <c r="M135" s="18">
        <f>ABS((D135*E135)-L135)</f>
        <v>270</v>
      </c>
      <c r="N135" s="10" t="str">
        <f t="shared" si="5"/>
        <v>Unique</v>
      </c>
      <c r="O135" s="47" t="s">
        <v>252</v>
      </c>
    </row>
    <row r="136" spans="1:16" ht="26.5" hidden="1" thickBot="1" x14ac:dyDescent="0.4">
      <c r="A136" s="8" t="s">
        <v>62</v>
      </c>
      <c r="B136" s="8" t="s">
        <v>74</v>
      </c>
      <c r="C136" s="8" t="s">
        <v>7</v>
      </c>
      <c r="D136" s="8">
        <v>5</v>
      </c>
      <c r="E136" s="8">
        <v>3633</v>
      </c>
      <c r="F136" s="4">
        <v>7.1428571429999996</v>
      </c>
      <c r="G136" s="2" t="s">
        <v>75</v>
      </c>
      <c r="H136" s="5">
        <v>3390.8</v>
      </c>
      <c r="I136" s="1" t="s">
        <v>8</v>
      </c>
      <c r="J136" s="40"/>
      <c r="N136" s="10" t="str">
        <f t="shared" si="5"/>
        <v>Unique</v>
      </c>
    </row>
    <row r="137" spans="1:16" ht="39" hidden="1" thickBot="1" x14ac:dyDescent="0.4">
      <c r="A137" s="3">
        <v>46272.375694444447</v>
      </c>
      <c r="B137" s="1" t="s">
        <v>24</v>
      </c>
      <c r="C137" s="1" t="s">
        <v>7</v>
      </c>
      <c r="D137" s="4">
        <v>40</v>
      </c>
      <c r="E137" s="4">
        <v>448</v>
      </c>
      <c r="F137" s="4">
        <v>7.151399187</v>
      </c>
      <c r="G137" s="2" t="s">
        <v>56</v>
      </c>
      <c r="H137" s="5">
        <v>418.1</v>
      </c>
      <c r="I137" s="1" t="s">
        <v>8</v>
      </c>
      <c r="J137" s="18" t="s">
        <v>117</v>
      </c>
      <c r="K137" s="18" t="s">
        <v>258</v>
      </c>
      <c r="L137" s="18">
        <v>17040</v>
      </c>
      <c r="M137" s="18">
        <f>ABS((D137*E137)-L137)</f>
        <v>880</v>
      </c>
      <c r="N137" s="10" t="str">
        <f t="shared" si="5"/>
        <v>Unique</v>
      </c>
      <c r="O137" s="46" t="s">
        <v>252</v>
      </c>
    </row>
    <row r="138" spans="1:16" ht="39" hidden="1" thickBot="1" x14ac:dyDescent="0.4">
      <c r="A138" s="8" t="s">
        <v>62</v>
      </c>
      <c r="B138" s="8" t="s">
        <v>43</v>
      </c>
      <c r="C138" s="8" t="s">
        <v>7</v>
      </c>
      <c r="D138" s="8">
        <v>10</v>
      </c>
      <c r="E138" s="12">
        <v>773</v>
      </c>
      <c r="F138" s="4">
        <v>7.3462019160000001</v>
      </c>
      <c r="G138" s="2" t="s">
        <v>44</v>
      </c>
      <c r="H138" s="5">
        <v>720.1</v>
      </c>
      <c r="I138" s="1" t="s">
        <v>8</v>
      </c>
      <c r="J138" s="40" t="s">
        <v>118</v>
      </c>
      <c r="N138" s="10" t="str">
        <f t="shared" si="5"/>
        <v>Unique</v>
      </c>
    </row>
    <row r="139" spans="1:16" ht="26.5" hidden="1" thickBot="1" x14ac:dyDescent="0.4">
      <c r="A139" s="3">
        <v>46267.375</v>
      </c>
      <c r="B139" s="1" t="s">
        <v>78</v>
      </c>
      <c r="C139" s="1" t="s">
        <v>7</v>
      </c>
      <c r="D139" s="4">
        <v>3</v>
      </c>
      <c r="E139" s="4">
        <v>1460</v>
      </c>
      <c r="F139" s="4">
        <v>7.3529411759999999</v>
      </c>
      <c r="G139" s="2" t="s">
        <v>79</v>
      </c>
      <c r="H139" s="5">
        <v>1360</v>
      </c>
      <c r="I139" s="1" t="s">
        <v>8</v>
      </c>
      <c r="J139" s="18" t="s">
        <v>118</v>
      </c>
      <c r="K139" s="18" t="s">
        <v>230</v>
      </c>
      <c r="L139" s="18">
        <v>4080</v>
      </c>
      <c r="M139" s="18">
        <f t="shared" ref="M139:M144" si="6">ABS((D139*E139)-L139)</f>
        <v>300</v>
      </c>
      <c r="N139" s="10" t="str">
        <f t="shared" si="5"/>
        <v>Unique</v>
      </c>
    </row>
    <row r="140" spans="1:16" ht="39" hidden="1" thickBot="1" x14ac:dyDescent="0.4">
      <c r="A140" s="3">
        <v>46335.62777777778</v>
      </c>
      <c r="B140" s="1" t="s">
        <v>11</v>
      </c>
      <c r="C140" s="1" t="s">
        <v>7</v>
      </c>
      <c r="D140" s="4">
        <v>20</v>
      </c>
      <c r="E140" s="4">
        <v>284.5</v>
      </c>
      <c r="F140" s="4">
        <v>7.3636874649999999</v>
      </c>
      <c r="G140" s="2" t="s">
        <v>99</v>
      </c>
      <c r="H140" s="5">
        <v>266.85000000000002</v>
      </c>
      <c r="I140" s="1" t="s">
        <v>8</v>
      </c>
      <c r="J140" s="18" t="s">
        <v>118</v>
      </c>
      <c r="K140" s="18" t="s">
        <v>289</v>
      </c>
      <c r="L140" s="18">
        <v>5370</v>
      </c>
      <c r="M140" s="18">
        <f t="shared" si="6"/>
        <v>320</v>
      </c>
      <c r="N140" s="10" t="str">
        <f t="shared" si="5"/>
        <v>Unique</v>
      </c>
    </row>
    <row r="141" spans="1:16" ht="26.5" hidden="1" thickBot="1" x14ac:dyDescent="0.4">
      <c r="A141" s="50">
        <v>46273.385416666664</v>
      </c>
      <c r="B141" s="51" t="s">
        <v>25</v>
      </c>
      <c r="C141" s="51" t="s">
        <v>7</v>
      </c>
      <c r="D141" s="51">
        <v>500</v>
      </c>
      <c r="E141" s="51">
        <v>34.659999999999997</v>
      </c>
      <c r="F141" s="4">
        <v>7.4395536269999996</v>
      </c>
      <c r="G141" s="2" t="s">
        <v>46</v>
      </c>
      <c r="H141" s="5">
        <v>32.26</v>
      </c>
      <c r="I141" s="1" t="s">
        <v>8</v>
      </c>
      <c r="J141" s="54" t="s">
        <v>118</v>
      </c>
      <c r="K141" s="54" t="s">
        <v>264</v>
      </c>
      <c r="L141" s="54">
        <v>16580</v>
      </c>
      <c r="M141" s="54">
        <f t="shared" si="6"/>
        <v>750</v>
      </c>
      <c r="N141" s="25" t="str">
        <f t="shared" si="5"/>
        <v>Unique</v>
      </c>
      <c r="O141" s="25"/>
      <c r="P141" s="25" t="s">
        <v>267</v>
      </c>
    </row>
    <row r="142" spans="1:16" ht="26.5" hidden="1" thickBot="1" x14ac:dyDescent="0.4">
      <c r="A142" s="3">
        <v>46262.375</v>
      </c>
      <c r="B142" s="1" t="s">
        <v>63</v>
      </c>
      <c r="C142" s="1" t="s">
        <v>7</v>
      </c>
      <c r="D142" s="4">
        <v>10</v>
      </c>
      <c r="E142" s="4">
        <v>1071</v>
      </c>
      <c r="F142" s="4">
        <v>7.5085324230000001</v>
      </c>
      <c r="G142" s="2" t="s">
        <v>64</v>
      </c>
      <c r="H142" s="5">
        <v>996.2</v>
      </c>
      <c r="I142" s="1" t="s">
        <v>8</v>
      </c>
      <c r="J142" s="18" t="s">
        <v>118</v>
      </c>
      <c r="K142" s="18" t="s">
        <v>197</v>
      </c>
      <c r="L142" s="18">
        <v>10410</v>
      </c>
      <c r="M142" s="18">
        <f t="shared" si="6"/>
        <v>300</v>
      </c>
      <c r="N142" s="10" t="str">
        <f t="shared" si="5"/>
        <v>Unique</v>
      </c>
      <c r="O142" s="35"/>
    </row>
    <row r="143" spans="1:16" ht="26.5" hidden="1" thickBot="1" x14ac:dyDescent="0.4">
      <c r="A143" s="3">
        <v>46275.507638888892</v>
      </c>
      <c r="B143" s="1" t="s">
        <v>15</v>
      </c>
      <c r="C143" s="1" t="s">
        <v>7</v>
      </c>
      <c r="D143" s="4">
        <v>10</v>
      </c>
      <c r="E143" s="4">
        <v>2632</v>
      </c>
      <c r="F143" s="4">
        <v>7.5602778910000001</v>
      </c>
      <c r="G143" s="2" t="s">
        <v>72</v>
      </c>
      <c r="H143" s="5">
        <v>2447</v>
      </c>
      <c r="I143" s="1" t="s">
        <v>8</v>
      </c>
      <c r="J143" s="18" t="s">
        <v>117</v>
      </c>
      <c r="K143" s="18" t="s">
        <v>279</v>
      </c>
      <c r="L143" s="18">
        <v>73800</v>
      </c>
      <c r="M143" s="18">
        <f t="shared" si="6"/>
        <v>47480</v>
      </c>
      <c r="N143" s="10" t="str">
        <f t="shared" si="5"/>
        <v>Unique</v>
      </c>
    </row>
    <row r="144" spans="1:16" ht="26.5" hidden="1" thickBot="1" x14ac:dyDescent="0.4">
      <c r="A144" s="3">
        <v>46272.375694444447</v>
      </c>
      <c r="B144" s="1" t="s">
        <v>87</v>
      </c>
      <c r="C144" s="1" t="s">
        <v>7</v>
      </c>
      <c r="D144" s="4">
        <v>10</v>
      </c>
      <c r="E144" s="4">
        <v>1280</v>
      </c>
      <c r="F144" s="4">
        <v>7.5630252100000002</v>
      </c>
      <c r="G144" s="2" t="s">
        <v>88</v>
      </c>
      <c r="H144" s="5">
        <v>1190</v>
      </c>
      <c r="I144" s="1" t="s">
        <v>8</v>
      </c>
      <c r="J144" s="18" t="s">
        <v>117</v>
      </c>
      <c r="K144" s="18" t="s">
        <v>259</v>
      </c>
      <c r="L144" s="18">
        <v>12510</v>
      </c>
      <c r="M144" s="18">
        <f t="shared" si="6"/>
        <v>290</v>
      </c>
      <c r="N144" s="10" t="str">
        <f t="shared" si="5"/>
        <v>Unique</v>
      </c>
    </row>
    <row r="145" spans="1:16" ht="26.5" hidden="1" thickBot="1" x14ac:dyDescent="0.4">
      <c r="A145" s="8" t="s">
        <v>62</v>
      </c>
      <c r="B145" s="8" t="s">
        <v>68</v>
      </c>
      <c r="C145" s="8" t="s">
        <v>7</v>
      </c>
      <c r="D145" s="8">
        <v>10</v>
      </c>
      <c r="E145" s="8">
        <v>435</v>
      </c>
      <c r="F145" s="4">
        <v>7.5800667739999996</v>
      </c>
      <c r="G145" s="2" t="s">
        <v>69</v>
      </c>
      <c r="H145" s="5">
        <v>404.35</v>
      </c>
      <c r="I145" s="1" t="s">
        <v>8</v>
      </c>
      <c r="J145" s="40"/>
      <c r="N145" s="10" t="str">
        <f t="shared" si="5"/>
        <v>Unique</v>
      </c>
    </row>
    <row r="146" spans="1:16" ht="26.5" hidden="1" thickBot="1" x14ac:dyDescent="0.4">
      <c r="A146" s="36">
        <v>46267.461111111108</v>
      </c>
      <c r="B146" s="37" t="s">
        <v>14</v>
      </c>
      <c r="C146" s="37" t="s">
        <v>7</v>
      </c>
      <c r="D146" s="38">
        <v>100</v>
      </c>
      <c r="E146" s="38">
        <v>339</v>
      </c>
      <c r="F146" s="4">
        <v>7.6361327189999999</v>
      </c>
      <c r="G146" s="2" t="s">
        <v>45</v>
      </c>
      <c r="H146" s="5">
        <v>314.95</v>
      </c>
      <c r="I146" s="1" t="s">
        <v>8</v>
      </c>
      <c r="J146" s="33" t="s">
        <v>117</v>
      </c>
      <c r="K146" s="33" t="s">
        <v>227</v>
      </c>
      <c r="L146" s="33">
        <v>32900</v>
      </c>
      <c r="M146" s="33">
        <f t="shared" ref="M146:M158" si="7">ABS((D146*E146)-L146)</f>
        <v>1000</v>
      </c>
      <c r="N146" s="35" t="str">
        <f t="shared" si="5"/>
        <v>Duplicate</v>
      </c>
      <c r="O146" s="26"/>
    </row>
    <row r="147" spans="1:16" ht="26.5" hidden="1" thickBot="1" x14ac:dyDescent="0.4">
      <c r="A147" s="36">
        <v>46267.38958333333</v>
      </c>
      <c r="B147" s="37" t="s">
        <v>14</v>
      </c>
      <c r="C147" s="37" t="s">
        <v>7</v>
      </c>
      <c r="D147" s="38">
        <v>100</v>
      </c>
      <c r="E147" s="38">
        <v>339</v>
      </c>
      <c r="F147" s="4">
        <v>7.6361327189999999</v>
      </c>
      <c r="G147" s="2" t="s">
        <v>45</v>
      </c>
      <c r="H147" s="5">
        <v>314.95</v>
      </c>
      <c r="I147" s="1" t="s">
        <v>8</v>
      </c>
      <c r="J147" s="33" t="s">
        <v>117</v>
      </c>
      <c r="K147" s="33" t="s">
        <v>229</v>
      </c>
      <c r="L147" s="33">
        <v>33200</v>
      </c>
      <c r="M147" s="33">
        <f t="shared" si="7"/>
        <v>700</v>
      </c>
      <c r="N147" s="35" t="str">
        <f t="shared" si="5"/>
        <v>Duplicate</v>
      </c>
    </row>
    <row r="148" spans="1:16" s="35" customFormat="1" ht="26.5" hidden="1" thickBot="1" x14ac:dyDescent="0.4">
      <c r="A148" s="3">
        <v>46265.375694444447</v>
      </c>
      <c r="B148" s="1" t="s">
        <v>15</v>
      </c>
      <c r="C148" s="1" t="s">
        <v>7</v>
      </c>
      <c r="D148" s="4">
        <v>10</v>
      </c>
      <c r="E148" s="4">
        <v>2636</v>
      </c>
      <c r="F148" s="4">
        <v>7.7237433590000002</v>
      </c>
      <c r="G148" s="2" t="s">
        <v>72</v>
      </c>
      <c r="H148" s="5">
        <v>2447</v>
      </c>
      <c r="I148" s="1" t="s">
        <v>8</v>
      </c>
      <c r="J148" s="18" t="s">
        <v>117</v>
      </c>
      <c r="K148" s="18" t="s">
        <v>213</v>
      </c>
      <c r="L148" s="18">
        <v>26020</v>
      </c>
      <c r="M148" s="18">
        <f t="shared" si="7"/>
        <v>340</v>
      </c>
      <c r="N148" t="str">
        <f t="shared" si="5"/>
        <v>Unique</v>
      </c>
      <c r="O148" s="10"/>
      <c r="P148" s="10"/>
    </row>
    <row r="149" spans="1:16" ht="26.5" hidden="1" thickBot="1" x14ac:dyDescent="0.4">
      <c r="A149" s="3">
        <v>46274.375</v>
      </c>
      <c r="B149" s="1" t="s">
        <v>66</v>
      </c>
      <c r="C149" s="1" t="s">
        <v>7</v>
      </c>
      <c r="D149" s="4">
        <v>10</v>
      </c>
      <c r="E149" s="4">
        <v>1196</v>
      </c>
      <c r="F149" s="4">
        <v>7.7477477480000001</v>
      </c>
      <c r="G149" s="2" t="s">
        <v>67</v>
      </c>
      <c r="H149" s="5">
        <v>1110</v>
      </c>
      <c r="I149" s="1" t="s">
        <v>8</v>
      </c>
      <c r="J149" s="18" t="s">
        <v>117</v>
      </c>
      <c r="K149" s="18" t="s">
        <v>269</v>
      </c>
      <c r="L149" s="18">
        <v>11660</v>
      </c>
      <c r="M149" s="18">
        <f t="shared" si="7"/>
        <v>300</v>
      </c>
      <c r="N149" s="10" t="str">
        <f t="shared" si="5"/>
        <v>Unique</v>
      </c>
      <c r="O149" s="46" t="s">
        <v>252</v>
      </c>
    </row>
    <row r="150" spans="1:16" ht="39" hidden="1" thickBot="1" x14ac:dyDescent="0.4">
      <c r="A150" s="3">
        <v>46276.390462962961</v>
      </c>
      <c r="B150" s="1" t="s">
        <v>80</v>
      </c>
      <c r="C150" s="1" t="s">
        <v>7</v>
      </c>
      <c r="D150" s="4">
        <v>10</v>
      </c>
      <c r="E150" s="4">
        <v>1490</v>
      </c>
      <c r="F150" s="4">
        <v>7.9553687870000003</v>
      </c>
      <c r="G150" s="2" t="s">
        <v>81</v>
      </c>
      <c r="H150" s="5">
        <v>1380.2</v>
      </c>
      <c r="I150" s="1" t="s">
        <v>8</v>
      </c>
      <c r="J150" s="18" t="s">
        <v>117</v>
      </c>
      <c r="K150" s="18" t="s">
        <v>293</v>
      </c>
      <c r="L150" s="18">
        <v>14400</v>
      </c>
      <c r="M150" s="18">
        <f t="shared" si="7"/>
        <v>500</v>
      </c>
      <c r="N150" s="10" t="str">
        <f t="shared" si="5"/>
        <v>Unique</v>
      </c>
    </row>
    <row r="151" spans="1:16" ht="39" hidden="1" thickBot="1" x14ac:dyDescent="0.4">
      <c r="A151" s="3">
        <v>46269.643055555556</v>
      </c>
      <c r="B151" s="1" t="s">
        <v>12</v>
      </c>
      <c r="C151" s="1" t="s">
        <v>7</v>
      </c>
      <c r="D151" s="4">
        <v>1</v>
      </c>
      <c r="E151" s="4">
        <v>5448</v>
      </c>
      <c r="F151" s="4">
        <v>7.9988105860000003</v>
      </c>
      <c r="G151" s="2" t="s">
        <v>98</v>
      </c>
      <c r="H151" s="5">
        <v>5044.5</v>
      </c>
      <c r="I151" s="1" t="s">
        <v>8</v>
      </c>
      <c r="J151" s="18" t="s">
        <v>118</v>
      </c>
      <c r="K151" s="18" t="s">
        <v>244</v>
      </c>
      <c r="L151" s="18">
        <v>5180</v>
      </c>
      <c r="M151" s="27">
        <f t="shared" si="7"/>
        <v>268</v>
      </c>
      <c r="N151" t="str">
        <f t="shared" si="5"/>
        <v>Unique</v>
      </c>
    </row>
    <row r="152" spans="1:16" ht="26.5" hidden="1" thickBot="1" x14ac:dyDescent="0.4">
      <c r="A152" s="3">
        <v>46269.411111111112</v>
      </c>
      <c r="B152" s="1" t="s">
        <v>13</v>
      </c>
      <c r="C152" s="1" t="s">
        <v>7</v>
      </c>
      <c r="D152" s="4">
        <v>10</v>
      </c>
      <c r="E152" s="4">
        <v>1879</v>
      </c>
      <c r="F152" s="4">
        <v>8.1127733030000009</v>
      </c>
      <c r="G152" s="2" t="s">
        <v>91</v>
      </c>
      <c r="H152" s="5">
        <v>1738</v>
      </c>
      <c r="I152" s="1" t="s">
        <v>8</v>
      </c>
      <c r="J152" s="18" t="s">
        <v>118</v>
      </c>
      <c r="K152" s="18" t="s">
        <v>245</v>
      </c>
      <c r="L152" s="18">
        <v>18140</v>
      </c>
      <c r="M152" s="27">
        <f t="shared" si="7"/>
        <v>650</v>
      </c>
      <c r="N152" t="str">
        <f t="shared" si="5"/>
        <v>Unique</v>
      </c>
      <c r="O152" s="46" t="s">
        <v>252</v>
      </c>
    </row>
    <row r="153" spans="1:16" s="35" customFormat="1" ht="26.5" hidden="1" thickBot="1" x14ac:dyDescent="0.4">
      <c r="A153" s="3">
        <v>46262.463194444441</v>
      </c>
      <c r="B153" s="1" t="s">
        <v>15</v>
      </c>
      <c r="C153" s="1" t="s">
        <v>7</v>
      </c>
      <c r="D153" s="4">
        <v>10</v>
      </c>
      <c r="E153" s="4">
        <v>2648</v>
      </c>
      <c r="F153" s="4">
        <v>8.2141397630000004</v>
      </c>
      <c r="G153" s="2" t="s">
        <v>72</v>
      </c>
      <c r="H153" s="5">
        <v>2447</v>
      </c>
      <c r="I153" s="1" t="s">
        <v>8</v>
      </c>
      <c r="J153" s="18" t="s">
        <v>117</v>
      </c>
      <c r="K153" s="18" t="s">
        <v>193</v>
      </c>
      <c r="L153" s="18">
        <v>26180</v>
      </c>
      <c r="M153" s="18">
        <f t="shared" si="7"/>
        <v>300</v>
      </c>
      <c r="N153" s="10" t="str">
        <f t="shared" si="5"/>
        <v>Unique</v>
      </c>
      <c r="O153" s="10"/>
      <c r="P153" s="10"/>
    </row>
    <row r="154" spans="1:16" ht="26.5" hidden="1" thickBot="1" x14ac:dyDescent="0.4">
      <c r="A154" s="3">
        <v>46267.375</v>
      </c>
      <c r="B154" s="1" t="s">
        <v>14</v>
      </c>
      <c r="C154" s="1" t="s">
        <v>7</v>
      </c>
      <c r="D154" s="4">
        <v>50</v>
      </c>
      <c r="E154" s="4">
        <v>341</v>
      </c>
      <c r="F154" s="4">
        <v>8.2711541509999993</v>
      </c>
      <c r="G154" s="2" t="s">
        <v>45</v>
      </c>
      <c r="H154" s="5">
        <v>314.95</v>
      </c>
      <c r="I154" s="1" t="s">
        <v>8</v>
      </c>
      <c r="J154" s="18" t="s">
        <v>117</v>
      </c>
      <c r="K154" s="18" t="s">
        <v>234</v>
      </c>
      <c r="L154" s="18">
        <v>16755</v>
      </c>
      <c r="M154" s="18">
        <f t="shared" si="7"/>
        <v>295</v>
      </c>
      <c r="N154" s="10" t="str">
        <f t="shared" si="5"/>
        <v>Unique</v>
      </c>
    </row>
    <row r="155" spans="1:16" ht="26.5" hidden="1" thickBot="1" x14ac:dyDescent="0.4">
      <c r="A155" s="3">
        <v>46335.421527777777</v>
      </c>
      <c r="B155" s="1" t="s">
        <v>16</v>
      </c>
      <c r="C155" s="1" t="s">
        <v>7</v>
      </c>
      <c r="D155" s="4">
        <v>10</v>
      </c>
      <c r="E155" s="4">
        <v>884.9</v>
      </c>
      <c r="F155" s="4">
        <v>8.4502726880000001</v>
      </c>
      <c r="G155" s="2" t="s">
        <v>61</v>
      </c>
      <c r="H155" s="5">
        <v>815.95</v>
      </c>
      <c r="I155" s="1" t="s">
        <v>8</v>
      </c>
      <c r="J155" s="18" t="s">
        <v>118</v>
      </c>
      <c r="K155" s="18" t="s">
        <v>291</v>
      </c>
      <c r="L155" s="18">
        <v>8049</v>
      </c>
      <c r="M155" s="18">
        <f t="shared" si="7"/>
        <v>800</v>
      </c>
      <c r="N155" s="10" t="str">
        <f t="shared" si="5"/>
        <v>Unique</v>
      </c>
    </row>
    <row r="156" spans="1:16" ht="26.5" hidden="1" thickBot="1" x14ac:dyDescent="0.4">
      <c r="A156" s="3">
        <v>46261.375</v>
      </c>
      <c r="B156" s="1" t="s">
        <v>63</v>
      </c>
      <c r="C156" s="1" t="s">
        <v>7</v>
      </c>
      <c r="D156" s="4">
        <v>10</v>
      </c>
      <c r="E156" s="4">
        <v>1081</v>
      </c>
      <c r="F156" s="4">
        <v>8.5123469180000004</v>
      </c>
      <c r="G156" s="2" t="s">
        <v>64</v>
      </c>
      <c r="H156" s="5">
        <v>996.2</v>
      </c>
      <c r="I156" s="1" t="s">
        <v>8</v>
      </c>
      <c r="J156" s="18" t="s">
        <v>118</v>
      </c>
      <c r="K156" s="18" t="s">
        <v>186</v>
      </c>
      <c r="L156" s="18">
        <v>10510</v>
      </c>
      <c r="M156" s="18">
        <f t="shared" si="7"/>
        <v>300</v>
      </c>
      <c r="N156" s="10" t="str">
        <f t="shared" si="5"/>
        <v>Unique</v>
      </c>
    </row>
    <row r="157" spans="1:16" ht="26.5" hidden="1" thickBot="1" x14ac:dyDescent="0.4">
      <c r="A157" s="3">
        <v>46266.375694444447</v>
      </c>
      <c r="B157" s="1" t="s">
        <v>121</v>
      </c>
      <c r="C157" s="1" t="s">
        <v>7</v>
      </c>
      <c r="D157" s="4">
        <v>25</v>
      </c>
      <c r="E157" s="4">
        <v>772</v>
      </c>
      <c r="F157" s="4">
        <v>8.5260420329999995</v>
      </c>
      <c r="G157" s="2" t="s">
        <v>122</v>
      </c>
      <c r="H157" s="5">
        <v>711.35</v>
      </c>
      <c r="I157" s="1" t="s">
        <v>8</v>
      </c>
      <c r="J157" s="18" t="s">
        <v>117</v>
      </c>
      <c r="K157" s="18" t="s">
        <v>217</v>
      </c>
      <c r="L157" s="18">
        <v>18800</v>
      </c>
      <c r="M157" s="18">
        <f t="shared" si="7"/>
        <v>500</v>
      </c>
      <c r="N157" s="10" t="str">
        <f t="shared" si="5"/>
        <v>Unique</v>
      </c>
      <c r="O157" s="47" t="s">
        <v>252</v>
      </c>
    </row>
    <row r="158" spans="1:16" ht="39" hidden="1" thickBot="1" x14ac:dyDescent="0.4">
      <c r="A158" s="3">
        <v>46261.375694444447</v>
      </c>
      <c r="B158" s="1" t="s">
        <v>51</v>
      </c>
      <c r="C158" s="1" t="s">
        <v>7</v>
      </c>
      <c r="D158" s="4">
        <v>10</v>
      </c>
      <c r="E158" s="4">
        <v>977</v>
      </c>
      <c r="F158" s="4">
        <v>8.5555555559999998</v>
      </c>
      <c r="G158" s="2" t="s">
        <v>52</v>
      </c>
      <c r="H158" s="5">
        <v>900</v>
      </c>
      <c r="I158" s="1" t="s">
        <v>8</v>
      </c>
      <c r="J158" s="18" t="s">
        <v>117</v>
      </c>
      <c r="K158" s="18" t="s">
        <v>178</v>
      </c>
      <c r="L158" s="18">
        <v>9470</v>
      </c>
      <c r="M158" s="18">
        <f t="shared" si="7"/>
        <v>300</v>
      </c>
      <c r="N158" s="10" t="str">
        <f t="shared" si="5"/>
        <v>Unique</v>
      </c>
    </row>
    <row r="159" spans="1:16" ht="26.5" hidden="1" thickBot="1" x14ac:dyDescent="0.4">
      <c r="A159" s="11">
        <v>46252.6875</v>
      </c>
      <c r="B159" s="8" t="s">
        <v>9</v>
      </c>
      <c r="C159" s="8" t="s">
        <v>7</v>
      </c>
      <c r="D159" s="8">
        <v>50</v>
      </c>
      <c r="E159" s="8">
        <v>305</v>
      </c>
      <c r="F159" s="4">
        <v>8.560242036</v>
      </c>
      <c r="G159" s="2" t="s">
        <v>95</v>
      </c>
      <c r="H159" s="5">
        <v>280.95</v>
      </c>
      <c r="I159" s="1" t="s">
        <v>8</v>
      </c>
      <c r="J159" s="40" t="s">
        <v>118</v>
      </c>
      <c r="N159" s="10" t="str">
        <f t="shared" si="5"/>
        <v>Unique</v>
      </c>
    </row>
    <row r="160" spans="1:16" ht="26.5" hidden="1" thickBot="1" x14ac:dyDescent="0.4">
      <c r="A160" s="3">
        <v>46262.375</v>
      </c>
      <c r="B160" s="1" t="s">
        <v>15</v>
      </c>
      <c r="C160" s="1" t="s">
        <v>7</v>
      </c>
      <c r="D160" s="4">
        <v>10</v>
      </c>
      <c r="E160" s="4">
        <v>2660</v>
      </c>
      <c r="F160" s="4">
        <v>8.7045361670000005</v>
      </c>
      <c r="G160" s="2" t="s">
        <v>72</v>
      </c>
      <c r="H160" s="5">
        <v>2447</v>
      </c>
      <c r="I160" s="1" t="s">
        <v>8</v>
      </c>
      <c r="J160" s="18" t="s">
        <v>117</v>
      </c>
      <c r="K160" s="18" t="s">
        <v>196</v>
      </c>
      <c r="L160" s="18">
        <v>26300</v>
      </c>
      <c r="M160" s="18">
        <f>ABS((D160*E160)-L160)</f>
        <v>300</v>
      </c>
      <c r="N160" s="10" t="str">
        <f t="shared" si="5"/>
        <v>Unique</v>
      </c>
    </row>
    <row r="161" spans="1:16" ht="39" hidden="1" thickBot="1" x14ac:dyDescent="0.4">
      <c r="A161" s="51" t="s">
        <v>62</v>
      </c>
      <c r="B161" s="57" t="s">
        <v>23</v>
      </c>
      <c r="C161" s="51" t="s">
        <v>7</v>
      </c>
      <c r="D161" s="51">
        <v>40</v>
      </c>
      <c r="E161" s="58">
        <v>229</v>
      </c>
      <c r="F161" s="4">
        <v>8.8661754219999995</v>
      </c>
      <c r="G161" s="2" t="s">
        <v>70</v>
      </c>
      <c r="H161" s="5">
        <v>210.35</v>
      </c>
      <c r="I161" s="1" t="s">
        <v>8</v>
      </c>
      <c r="J161" s="59" t="s">
        <v>117</v>
      </c>
      <c r="K161" s="54"/>
      <c r="L161" s="54"/>
      <c r="M161" s="54"/>
      <c r="N161" s="25" t="str">
        <f t="shared" si="5"/>
        <v>Unique</v>
      </c>
      <c r="O161" s="25"/>
      <c r="P161" s="25" t="s">
        <v>267</v>
      </c>
    </row>
    <row r="162" spans="1:16" ht="26.5" hidden="1" thickBot="1" x14ac:dyDescent="0.4">
      <c r="A162" s="3">
        <v>46266.375</v>
      </c>
      <c r="B162" s="1" t="s">
        <v>87</v>
      </c>
      <c r="C162" s="1" t="s">
        <v>7</v>
      </c>
      <c r="D162" s="4">
        <v>10</v>
      </c>
      <c r="E162" s="4">
        <v>1296</v>
      </c>
      <c r="F162" s="4">
        <v>8.907563025</v>
      </c>
      <c r="G162" s="2" t="s">
        <v>88</v>
      </c>
      <c r="H162" s="5">
        <v>1190</v>
      </c>
      <c r="I162" s="1" t="s">
        <v>8</v>
      </c>
      <c r="J162" s="18" t="s">
        <v>117</v>
      </c>
      <c r="K162" s="18" t="s">
        <v>221</v>
      </c>
      <c r="L162" s="18">
        <v>12600</v>
      </c>
      <c r="M162" s="18">
        <f t="shared" ref="M162:M168" si="8">ABS((D162*E162)-L162)</f>
        <v>360</v>
      </c>
      <c r="N162" s="10" t="str">
        <f t="shared" si="5"/>
        <v>Unique</v>
      </c>
    </row>
    <row r="163" spans="1:16" ht="39" hidden="1" thickBot="1" x14ac:dyDescent="0.4">
      <c r="A163" s="3">
        <v>46274.375</v>
      </c>
      <c r="B163" s="1" t="s">
        <v>21</v>
      </c>
      <c r="C163" s="1" t="s">
        <v>7</v>
      </c>
      <c r="D163" s="4">
        <v>5</v>
      </c>
      <c r="E163" s="4">
        <v>730</v>
      </c>
      <c r="F163" s="4">
        <v>8.9714882819999993</v>
      </c>
      <c r="G163" s="2" t="s">
        <v>76</v>
      </c>
      <c r="H163" s="5">
        <v>669.9</v>
      </c>
      <c r="I163" s="1" t="s">
        <v>8</v>
      </c>
      <c r="J163" s="18" t="s">
        <v>118</v>
      </c>
      <c r="K163" s="18" t="s">
        <v>271</v>
      </c>
      <c r="L163" s="18">
        <v>3400</v>
      </c>
      <c r="M163" s="18">
        <f t="shared" si="8"/>
        <v>250</v>
      </c>
      <c r="N163" s="10" t="str">
        <f t="shared" si="5"/>
        <v>Unique</v>
      </c>
    </row>
    <row r="164" spans="1:16" s="35" customFormat="1" ht="39" hidden="1" thickBot="1" x14ac:dyDescent="0.4">
      <c r="A164" s="36">
        <v>46265.375694444447</v>
      </c>
      <c r="B164" s="37" t="s">
        <v>53</v>
      </c>
      <c r="C164" s="37" t="s">
        <v>7</v>
      </c>
      <c r="D164" s="38">
        <v>3</v>
      </c>
      <c r="E164" s="38">
        <v>2624</v>
      </c>
      <c r="F164" s="4">
        <v>8.9746251919999995</v>
      </c>
      <c r="G164" s="2" t="s">
        <v>54</v>
      </c>
      <c r="H164" s="5">
        <v>2407.9</v>
      </c>
      <c r="I164" s="1" t="s">
        <v>8</v>
      </c>
      <c r="J164" s="33" t="s">
        <v>118</v>
      </c>
      <c r="K164" s="33" t="s">
        <v>203</v>
      </c>
      <c r="L164" s="33">
        <v>7578</v>
      </c>
      <c r="M164" s="33">
        <f t="shared" si="8"/>
        <v>294</v>
      </c>
      <c r="N164" s="34" t="str">
        <f t="shared" si="5"/>
        <v>Duplicate</v>
      </c>
      <c r="O164" s="10"/>
      <c r="P164" s="10"/>
    </row>
    <row r="165" spans="1:16" ht="39" hidden="1" thickBot="1" x14ac:dyDescent="0.4">
      <c r="A165" s="36">
        <v>46266.375694444447</v>
      </c>
      <c r="B165" s="37" t="s">
        <v>53</v>
      </c>
      <c r="C165" s="37" t="s">
        <v>7</v>
      </c>
      <c r="D165" s="38">
        <v>3</v>
      </c>
      <c r="E165" s="38">
        <v>2624</v>
      </c>
      <c r="F165" s="4">
        <v>8.9746251919999995</v>
      </c>
      <c r="G165" s="2" t="s">
        <v>54</v>
      </c>
      <c r="H165" s="5">
        <v>2407.9</v>
      </c>
      <c r="I165" s="1" t="s">
        <v>8</v>
      </c>
      <c r="J165" s="33" t="s">
        <v>118</v>
      </c>
      <c r="K165" s="33" t="s">
        <v>218</v>
      </c>
      <c r="L165" s="33">
        <v>7578</v>
      </c>
      <c r="M165" s="33">
        <f t="shared" si="8"/>
        <v>294</v>
      </c>
      <c r="N165" s="35" t="str">
        <f t="shared" si="5"/>
        <v>Duplicate</v>
      </c>
    </row>
    <row r="166" spans="1:16" s="35" customFormat="1" ht="39" hidden="1" thickBot="1" x14ac:dyDescent="0.4">
      <c r="A166" s="61">
        <v>46267.424305555556</v>
      </c>
      <c r="B166" s="62" t="s">
        <v>53</v>
      </c>
      <c r="C166" s="62" t="s">
        <v>7</v>
      </c>
      <c r="D166" s="63">
        <v>2</v>
      </c>
      <c r="E166" s="63">
        <v>2624</v>
      </c>
      <c r="F166" s="63">
        <v>8.9746251919999995</v>
      </c>
      <c r="G166" s="64" t="s">
        <v>54</v>
      </c>
      <c r="H166" s="65">
        <v>2407.9</v>
      </c>
      <c r="I166" s="62" t="s">
        <v>8</v>
      </c>
      <c r="J166" s="33" t="s">
        <v>118</v>
      </c>
      <c r="K166" s="33" t="s">
        <v>228</v>
      </c>
      <c r="L166" s="33">
        <v>4968</v>
      </c>
      <c r="M166" s="33">
        <f t="shared" si="8"/>
        <v>280</v>
      </c>
      <c r="N166" s="35" t="str">
        <f t="shared" si="5"/>
        <v>Unique</v>
      </c>
    </row>
    <row r="167" spans="1:16" s="35" customFormat="1" ht="26.5" hidden="1" thickBot="1" x14ac:dyDescent="0.4">
      <c r="A167" s="61">
        <v>46272.451388888891</v>
      </c>
      <c r="B167" s="62" t="s">
        <v>13</v>
      </c>
      <c r="C167" s="62" t="s">
        <v>7</v>
      </c>
      <c r="D167" s="63">
        <v>5</v>
      </c>
      <c r="E167" s="63">
        <v>1894</v>
      </c>
      <c r="F167" s="63">
        <v>8.975834292</v>
      </c>
      <c r="G167" s="64" t="s">
        <v>91</v>
      </c>
      <c r="H167" s="65">
        <v>1738</v>
      </c>
      <c r="I167" s="62" t="s">
        <v>8</v>
      </c>
      <c r="J167" s="35" t="s">
        <v>118</v>
      </c>
      <c r="K167" s="33" t="s">
        <v>254</v>
      </c>
      <c r="L167" s="33">
        <v>8820</v>
      </c>
      <c r="M167" s="33">
        <f t="shared" si="8"/>
        <v>650</v>
      </c>
      <c r="N167" s="35" t="str">
        <f t="shared" si="5"/>
        <v>Unique</v>
      </c>
    </row>
    <row r="168" spans="1:16" s="35" customFormat="1" ht="26.5" hidden="1" thickBot="1" x14ac:dyDescent="0.4">
      <c r="A168" s="61">
        <v>46272.390972222223</v>
      </c>
      <c r="B168" s="62" t="s">
        <v>13</v>
      </c>
      <c r="C168" s="62" t="s">
        <v>7</v>
      </c>
      <c r="D168" s="63">
        <v>20</v>
      </c>
      <c r="E168" s="63">
        <v>1894</v>
      </c>
      <c r="F168" s="63">
        <v>8.975834292</v>
      </c>
      <c r="G168" s="64" t="s">
        <v>91</v>
      </c>
      <c r="H168" s="65">
        <v>1738</v>
      </c>
      <c r="I168" s="62" t="s">
        <v>8</v>
      </c>
      <c r="J168" s="35" t="s">
        <v>118</v>
      </c>
      <c r="K168" s="33" t="s">
        <v>255</v>
      </c>
      <c r="L168" s="33">
        <v>36946</v>
      </c>
      <c r="M168" s="33">
        <f t="shared" si="8"/>
        <v>934</v>
      </c>
      <c r="N168" s="35" t="str">
        <f t="shared" si="5"/>
        <v>Unique</v>
      </c>
    </row>
    <row r="169" spans="1:16" ht="26.5" hidden="1" thickBot="1" x14ac:dyDescent="0.4">
      <c r="A169" s="3">
        <v>46254.642361111109</v>
      </c>
      <c r="B169" s="1" t="s">
        <v>15</v>
      </c>
      <c r="C169" s="1" t="s">
        <v>7</v>
      </c>
      <c r="D169" s="4">
        <v>10</v>
      </c>
      <c r="E169" s="4">
        <v>2672</v>
      </c>
      <c r="F169" s="4">
        <v>9.1949325700000006</v>
      </c>
      <c r="G169" s="2" t="s">
        <v>72</v>
      </c>
      <c r="H169" s="5">
        <v>2447</v>
      </c>
      <c r="I169" s="1" t="s">
        <v>8</v>
      </c>
      <c r="J169" s="17" t="s">
        <v>117</v>
      </c>
      <c r="K169" s="17" t="s">
        <v>147</v>
      </c>
      <c r="L169" s="17"/>
      <c r="M169" s="17"/>
      <c r="N169" s="10" t="str">
        <f t="shared" si="5"/>
        <v>Unique</v>
      </c>
    </row>
    <row r="170" spans="1:16" ht="39" hidden="1" thickBot="1" x14ac:dyDescent="0.4">
      <c r="A170" s="11">
        <v>46252.635416666664</v>
      </c>
      <c r="B170" s="8" t="s">
        <v>126</v>
      </c>
      <c r="C170" s="66" t="s">
        <v>7</v>
      </c>
      <c r="D170" s="8">
        <v>6</v>
      </c>
      <c r="E170" s="8">
        <v>548</v>
      </c>
      <c r="F170" s="4">
        <v>9.3812375249999995</v>
      </c>
      <c r="G170" s="2" t="s">
        <v>127</v>
      </c>
      <c r="H170" s="5">
        <v>501</v>
      </c>
      <c r="I170" s="1" t="s">
        <v>8</v>
      </c>
      <c r="J170" s="40"/>
      <c r="N170" s="10" t="str">
        <f t="shared" si="5"/>
        <v>Unique</v>
      </c>
      <c r="O170" s="35"/>
    </row>
    <row r="171" spans="1:16" ht="26.5" hidden="1" thickBot="1" x14ac:dyDescent="0.4">
      <c r="A171" s="3">
        <v>46266.642361111109</v>
      </c>
      <c r="B171" s="1" t="s">
        <v>14</v>
      </c>
      <c r="C171" s="1" t="s">
        <v>7</v>
      </c>
      <c r="D171" s="4">
        <v>100</v>
      </c>
      <c r="E171" s="4">
        <v>344.5</v>
      </c>
      <c r="F171" s="4">
        <v>9.3824416569999993</v>
      </c>
      <c r="G171" s="2" t="s">
        <v>45</v>
      </c>
      <c r="H171" s="5">
        <v>314.95</v>
      </c>
      <c r="I171" s="1" t="s">
        <v>8</v>
      </c>
      <c r="J171" s="18" t="s">
        <v>117</v>
      </c>
      <c r="K171" s="18" t="s">
        <v>223</v>
      </c>
      <c r="L171" s="18">
        <v>33950</v>
      </c>
      <c r="M171" s="18">
        <f>ABS((D171*E171)-L171)</f>
        <v>500</v>
      </c>
      <c r="N171" s="10" t="str">
        <f t="shared" si="5"/>
        <v>Unique</v>
      </c>
    </row>
    <row r="172" spans="1:16" ht="39" hidden="1" thickBot="1" x14ac:dyDescent="0.4">
      <c r="A172" s="3">
        <v>46276.388252314813</v>
      </c>
      <c r="B172" s="1" t="s">
        <v>80</v>
      </c>
      <c r="C172" s="1" t="s">
        <v>7</v>
      </c>
      <c r="D172" s="4">
        <v>10</v>
      </c>
      <c r="E172" s="4">
        <v>1510</v>
      </c>
      <c r="F172" s="4">
        <v>9.4044341399999993</v>
      </c>
      <c r="G172" s="2" t="s">
        <v>81</v>
      </c>
      <c r="H172" s="5">
        <v>1380.2</v>
      </c>
      <c r="I172" s="1" t="s">
        <v>8</v>
      </c>
      <c r="J172" s="18" t="s">
        <v>117</v>
      </c>
      <c r="K172" s="18" t="s">
        <v>294</v>
      </c>
      <c r="L172" s="18">
        <v>14650</v>
      </c>
      <c r="M172" s="18">
        <f>ABS((D172*E172)-L172)</f>
        <v>450</v>
      </c>
      <c r="N172" s="10" t="str">
        <f t="shared" si="5"/>
        <v>Unique</v>
      </c>
    </row>
    <row r="173" spans="1:16" ht="26.5" hidden="1" thickBot="1" x14ac:dyDescent="0.4">
      <c r="A173" s="8" t="s">
        <v>62</v>
      </c>
      <c r="B173" s="8" t="s">
        <v>74</v>
      </c>
      <c r="C173" s="8" t="s">
        <v>7</v>
      </c>
      <c r="D173" s="8">
        <v>1</v>
      </c>
      <c r="E173" s="8">
        <v>3710</v>
      </c>
      <c r="F173" s="4">
        <v>9.4137076799999999</v>
      </c>
      <c r="G173" s="2" t="s">
        <v>75</v>
      </c>
      <c r="H173" s="5">
        <v>3390.8</v>
      </c>
      <c r="I173" s="1" t="s">
        <v>8</v>
      </c>
      <c r="J173" s="40" t="s">
        <v>118</v>
      </c>
      <c r="N173" s="10" t="str">
        <f t="shared" si="5"/>
        <v>Unique</v>
      </c>
    </row>
    <row r="174" spans="1:16" ht="39" hidden="1" thickBot="1" x14ac:dyDescent="0.4">
      <c r="A174" s="3">
        <v>46265.474999999999</v>
      </c>
      <c r="B174" s="1" t="s">
        <v>20</v>
      </c>
      <c r="C174" s="1" t="s">
        <v>7</v>
      </c>
      <c r="D174" s="4">
        <v>30</v>
      </c>
      <c r="E174" s="4">
        <v>137</v>
      </c>
      <c r="F174" s="4">
        <v>9.4336608359999996</v>
      </c>
      <c r="G174" s="2" t="s">
        <v>86</v>
      </c>
      <c r="H174" s="5">
        <v>125.19</v>
      </c>
      <c r="I174" s="1" t="s">
        <v>8</v>
      </c>
      <c r="J174" s="18" t="s">
        <v>118</v>
      </c>
      <c r="K174" s="18" t="s">
        <v>202</v>
      </c>
      <c r="L174" s="18">
        <v>3810</v>
      </c>
      <c r="M174" s="18">
        <f>ABS((D174*E174)-L174)</f>
        <v>300</v>
      </c>
      <c r="N174" t="str">
        <f t="shared" si="5"/>
        <v>Unique</v>
      </c>
    </row>
    <row r="175" spans="1:16" ht="26.5" hidden="1" thickBot="1" x14ac:dyDescent="0.4">
      <c r="A175" s="3">
        <v>46265.460416666669</v>
      </c>
      <c r="B175" s="1" t="s">
        <v>18</v>
      </c>
      <c r="C175" s="1" t="s">
        <v>7</v>
      </c>
      <c r="D175" s="4">
        <v>5</v>
      </c>
      <c r="E175" s="4">
        <v>1892</v>
      </c>
      <c r="F175" s="4">
        <v>9.4844048379999997</v>
      </c>
      <c r="G175" s="2" t="s">
        <v>102</v>
      </c>
      <c r="H175" s="5">
        <v>1728.1</v>
      </c>
      <c r="I175" s="1" t="s">
        <v>8</v>
      </c>
      <c r="J175" s="18" t="s">
        <v>118</v>
      </c>
      <c r="K175" s="18" t="s">
        <v>200</v>
      </c>
      <c r="L175" s="18">
        <v>8810</v>
      </c>
      <c r="M175" s="18">
        <f>ABS((D175*E175)-L175)</f>
        <v>650</v>
      </c>
      <c r="N175" t="str">
        <f t="shared" si="5"/>
        <v>Unique</v>
      </c>
      <c r="O175" s="46" t="s">
        <v>252</v>
      </c>
      <c r="P175" s="35"/>
    </row>
    <row r="176" spans="1:16" ht="39" hidden="1" thickBot="1" x14ac:dyDescent="0.4">
      <c r="A176" s="11">
        <v>46252.6875</v>
      </c>
      <c r="B176" s="8" t="s">
        <v>24</v>
      </c>
      <c r="C176" s="8" t="s">
        <v>7</v>
      </c>
      <c r="D176" s="8">
        <v>40</v>
      </c>
      <c r="E176" s="8">
        <v>458</v>
      </c>
      <c r="F176" s="4">
        <v>9.5431714900000006</v>
      </c>
      <c r="G176" s="2" t="s">
        <v>56</v>
      </c>
      <c r="H176" s="5">
        <v>418.1</v>
      </c>
      <c r="I176" s="1" t="s">
        <v>8</v>
      </c>
      <c r="J176" s="40" t="s">
        <v>117</v>
      </c>
      <c r="N176" s="10" t="str">
        <f t="shared" si="5"/>
        <v>Unique</v>
      </c>
    </row>
    <row r="177" spans="1:16" ht="26.5" hidden="1" thickBot="1" x14ac:dyDescent="0.4">
      <c r="A177" s="3">
        <v>46261.375694444447</v>
      </c>
      <c r="B177" s="1" t="s">
        <v>78</v>
      </c>
      <c r="C177" s="1" t="s">
        <v>7</v>
      </c>
      <c r="D177" s="4">
        <v>5</v>
      </c>
      <c r="E177" s="4">
        <v>1490</v>
      </c>
      <c r="F177" s="4">
        <v>9.5588235289999997</v>
      </c>
      <c r="G177" s="2" t="s">
        <v>79</v>
      </c>
      <c r="H177" s="5">
        <v>1360</v>
      </c>
      <c r="I177" s="1" t="s">
        <v>8</v>
      </c>
      <c r="J177" s="18" t="s">
        <v>118</v>
      </c>
      <c r="K177" s="18" t="s">
        <v>189</v>
      </c>
      <c r="L177" s="18">
        <v>7200</v>
      </c>
      <c r="M177" s="18">
        <f>ABS((D177*E177)-L177)</f>
        <v>250</v>
      </c>
      <c r="N177" s="10" t="str">
        <f t="shared" si="5"/>
        <v>Unique</v>
      </c>
    </row>
    <row r="178" spans="1:16" ht="26.5" hidden="1" thickBot="1" x14ac:dyDescent="0.4">
      <c r="A178" s="3">
        <v>46265.375694444447</v>
      </c>
      <c r="B178" s="1" t="s">
        <v>78</v>
      </c>
      <c r="C178" s="1" t="s">
        <v>7</v>
      </c>
      <c r="D178" s="4">
        <v>3</v>
      </c>
      <c r="E178" s="4">
        <v>1490</v>
      </c>
      <c r="F178" s="4">
        <v>9.5588235289999997</v>
      </c>
      <c r="G178" s="2" t="s">
        <v>79</v>
      </c>
      <c r="H178" s="5">
        <v>1360</v>
      </c>
      <c r="I178" s="1" t="s">
        <v>8</v>
      </c>
      <c r="J178" s="18" t="s">
        <v>118</v>
      </c>
      <c r="K178" s="18" t="s">
        <v>208</v>
      </c>
      <c r="L178" s="18">
        <v>4170</v>
      </c>
      <c r="M178" s="18">
        <f>ABS((D178*E178)-L178)</f>
        <v>300</v>
      </c>
      <c r="N178" t="str">
        <f t="shared" si="5"/>
        <v>Unique</v>
      </c>
    </row>
    <row r="179" spans="1:16" s="35" customFormat="1" ht="39" hidden="1" thickBot="1" x14ac:dyDescent="0.4">
      <c r="A179" s="8" t="s">
        <v>62</v>
      </c>
      <c r="B179" s="8" t="s">
        <v>43</v>
      </c>
      <c r="C179" s="8" t="s">
        <v>7</v>
      </c>
      <c r="D179" s="8">
        <v>5</v>
      </c>
      <c r="E179" s="12">
        <v>790</v>
      </c>
      <c r="F179" s="4">
        <v>9.7069851410000005</v>
      </c>
      <c r="G179" s="2" t="s">
        <v>44</v>
      </c>
      <c r="H179" s="5">
        <v>720.1</v>
      </c>
      <c r="I179" s="1" t="s">
        <v>8</v>
      </c>
      <c r="J179" s="40"/>
      <c r="K179" s="18"/>
      <c r="L179" s="18"/>
      <c r="M179" s="18"/>
      <c r="N179" s="10" t="str">
        <f t="shared" si="5"/>
        <v>Unique</v>
      </c>
      <c r="O179" s="10"/>
      <c r="P179" s="10"/>
    </row>
    <row r="180" spans="1:16" s="35" customFormat="1" ht="39" hidden="1" thickBot="1" x14ac:dyDescent="0.4">
      <c r="A180" s="3">
        <v>46260.554861111108</v>
      </c>
      <c r="B180" s="1" t="s">
        <v>12</v>
      </c>
      <c r="C180" s="1" t="s">
        <v>7</v>
      </c>
      <c r="D180" s="4">
        <v>1</v>
      </c>
      <c r="E180" s="4">
        <v>5540</v>
      </c>
      <c r="F180" s="4">
        <v>9.8225790459999995</v>
      </c>
      <c r="G180" s="2" t="s">
        <v>98</v>
      </c>
      <c r="H180" s="5">
        <v>5044.5</v>
      </c>
      <c r="I180" s="1" t="s">
        <v>8</v>
      </c>
      <c r="J180" s="18" t="s">
        <v>118</v>
      </c>
      <c r="K180" s="18" t="s">
        <v>168</v>
      </c>
      <c r="L180" s="18">
        <v>5290</v>
      </c>
      <c r="M180" s="18">
        <f>ABS((D180*E180)-L180)</f>
        <v>250</v>
      </c>
      <c r="N180" t="str">
        <f t="shared" si="5"/>
        <v>Unique</v>
      </c>
      <c r="O180" s="10"/>
      <c r="P180" s="10"/>
    </row>
    <row r="181" spans="1:16" ht="26.5" hidden="1" thickBot="1" x14ac:dyDescent="0.4">
      <c r="A181" s="11">
        <v>46252.6875</v>
      </c>
      <c r="B181" s="8" t="s">
        <v>15</v>
      </c>
      <c r="C181" s="8" t="s">
        <v>7</v>
      </c>
      <c r="D181" s="8">
        <v>10</v>
      </c>
      <c r="E181" s="8">
        <v>2696</v>
      </c>
      <c r="F181" s="4">
        <v>10.175725379999999</v>
      </c>
      <c r="G181" s="2" t="s">
        <v>72</v>
      </c>
      <c r="H181" s="5">
        <v>2447</v>
      </c>
      <c r="I181" s="1" t="s">
        <v>8</v>
      </c>
      <c r="J181" s="40" t="s">
        <v>156</v>
      </c>
      <c r="N181" s="10" t="str">
        <f t="shared" si="5"/>
        <v>Unique</v>
      </c>
    </row>
    <row r="182" spans="1:16" ht="26.5" hidden="1" thickBot="1" x14ac:dyDescent="0.4">
      <c r="A182" s="11">
        <v>46252.635416666664</v>
      </c>
      <c r="B182" s="8" t="s">
        <v>123</v>
      </c>
      <c r="C182" s="8" t="s">
        <v>7</v>
      </c>
      <c r="D182" s="8">
        <v>200</v>
      </c>
      <c r="E182" s="8">
        <v>89.3</v>
      </c>
      <c r="F182" s="4">
        <v>10.23330453</v>
      </c>
      <c r="G182" s="2" t="s">
        <v>124</v>
      </c>
      <c r="H182" s="5">
        <v>81.010000000000005</v>
      </c>
      <c r="I182" s="1" t="s">
        <v>8</v>
      </c>
      <c r="J182" s="18" t="s">
        <v>118</v>
      </c>
      <c r="N182" s="10" t="str">
        <f t="shared" si="5"/>
        <v>Unique</v>
      </c>
      <c r="O182" s="46" t="s">
        <v>252</v>
      </c>
    </row>
    <row r="183" spans="1:16" ht="39" hidden="1" thickBot="1" x14ac:dyDescent="0.4">
      <c r="A183" s="11">
        <v>46252.635416666664</v>
      </c>
      <c r="B183" s="8" t="s">
        <v>82</v>
      </c>
      <c r="C183" s="8" t="s">
        <v>7</v>
      </c>
      <c r="D183" s="8">
        <v>1</v>
      </c>
      <c r="E183" s="8">
        <v>4556</v>
      </c>
      <c r="F183" s="4">
        <v>10.23469635</v>
      </c>
      <c r="G183" s="2" t="s">
        <v>83</v>
      </c>
      <c r="H183" s="5">
        <v>4133</v>
      </c>
      <c r="I183" s="1" t="s">
        <v>8</v>
      </c>
      <c r="J183" s="21"/>
      <c r="N183" s="10" t="str">
        <f t="shared" si="5"/>
        <v>Unique</v>
      </c>
    </row>
    <row r="184" spans="1:16" ht="26.5" hidden="1" thickBot="1" x14ac:dyDescent="0.4">
      <c r="A184" s="3">
        <v>46266.375</v>
      </c>
      <c r="B184" s="1" t="s">
        <v>89</v>
      </c>
      <c r="C184" s="1" t="s">
        <v>7</v>
      </c>
      <c r="D184" s="4">
        <v>1</v>
      </c>
      <c r="E184" s="4">
        <v>14852</v>
      </c>
      <c r="F184" s="4">
        <v>10.34175334</v>
      </c>
      <c r="G184" s="2" t="s">
        <v>90</v>
      </c>
      <c r="H184" s="5">
        <v>13460</v>
      </c>
      <c r="I184" s="1" t="s">
        <v>8</v>
      </c>
      <c r="J184" s="18" t="s">
        <v>118</v>
      </c>
      <c r="K184" s="18" t="s">
        <v>224</v>
      </c>
      <c r="L184" s="18">
        <v>14552</v>
      </c>
      <c r="M184" s="18">
        <f>ABS((D184*E184)-L184)</f>
        <v>300</v>
      </c>
      <c r="N184" s="10" t="str">
        <f t="shared" si="5"/>
        <v>Unique</v>
      </c>
      <c r="O184" s="46" t="s">
        <v>252</v>
      </c>
      <c r="P184" s="35"/>
    </row>
    <row r="185" spans="1:16" s="35" customFormat="1" ht="26.5" hidden="1" thickBot="1" x14ac:dyDescent="0.4">
      <c r="A185" s="3">
        <v>46261.615277777775</v>
      </c>
      <c r="B185" s="1" t="s">
        <v>35</v>
      </c>
      <c r="C185" s="1" t="s">
        <v>7</v>
      </c>
      <c r="D185" s="4">
        <v>50</v>
      </c>
      <c r="E185" s="4">
        <v>226.3</v>
      </c>
      <c r="F185" s="4">
        <v>10.44411908</v>
      </c>
      <c r="G185" s="2" t="s">
        <v>42</v>
      </c>
      <c r="H185" s="5">
        <v>204.9</v>
      </c>
      <c r="I185" s="1" t="s">
        <v>8</v>
      </c>
      <c r="J185" s="18" t="s">
        <v>118</v>
      </c>
      <c r="K185" s="18" t="s">
        <v>177</v>
      </c>
      <c r="L185" s="18">
        <v>10814</v>
      </c>
      <c r="M185" s="18">
        <f>ABS((D185*E185)-L185)</f>
        <v>501</v>
      </c>
      <c r="N185" s="10" t="str">
        <f t="shared" si="5"/>
        <v>Unique</v>
      </c>
      <c r="O185" s="46" t="s">
        <v>252</v>
      </c>
      <c r="P185" s="10"/>
    </row>
    <row r="186" spans="1:16" ht="26.5" hidden="1" thickBot="1" x14ac:dyDescent="0.4">
      <c r="A186" s="8" t="s">
        <v>62</v>
      </c>
      <c r="B186" s="8" t="s">
        <v>133</v>
      </c>
      <c r="C186" s="8" t="s">
        <v>7</v>
      </c>
      <c r="D186" s="8">
        <v>150</v>
      </c>
      <c r="E186" s="8">
        <v>123.4</v>
      </c>
      <c r="F186" s="4">
        <v>10.46459583</v>
      </c>
      <c r="G186" s="2" t="s">
        <v>134</v>
      </c>
      <c r="H186" s="5">
        <v>111.71</v>
      </c>
      <c r="I186" s="1" t="s">
        <v>8</v>
      </c>
      <c r="J186" s="40" t="s">
        <v>117</v>
      </c>
      <c r="N186" s="10" t="str">
        <f t="shared" si="5"/>
        <v>Unique</v>
      </c>
    </row>
    <row r="187" spans="1:16" ht="26.5" hidden="1" thickBot="1" x14ac:dyDescent="0.4">
      <c r="A187" s="3">
        <v>46261.375</v>
      </c>
      <c r="B187" s="1" t="s">
        <v>14</v>
      </c>
      <c r="C187" s="1" t="s">
        <v>7</v>
      </c>
      <c r="D187" s="4">
        <v>100</v>
      </c>
      <c r="E187" s="4">
        <v>348</v>
      </c>
      <c r="F187" s="4">
        <v>10.493729160000001</v>
      </c>
      <c r="G187" s="2" t="s">
        <v>45</v>
      </c>
      <c r="H187" s="5">
        <v>314.95</v>
      </c>
      <c r="I187" s="1" t="s">
        <v>8</v>
      </c>
      <c r="J187" s="18" t="s">
        <v>117</v>
      </c>
      <c r="K187" s="18" t="s">
        <v>182</v>
      </c>
      <c r="L187" s="18">
        <v>34100</v>
      </c>
      <c r="M187" s="18">
        <f>ABS((D187*E187)-L187)</f>
        <v>700</v>
      </c>
      <c r="N187" s="10" t="str">
        <f t="shared" si="5"/>
        <v>Unique</v>
      </c>
      <c r="O187" s="35"/>
    </row>
    <row r="188" spans="1:16" ht="26.5" hidden="1" thickBot="1" x14ac:dyDescent="0.4">
      <c r="A188" s="3">
        <v>46272.375694444447</v>
      </c>
      <c r="B188" s="1" t="s">
        <v>16</v>
      </c>
      <c r="C188" s="1" t="s">
        <v>7</v>
      </c>
      <c r="D188" s="4">
        <v>5</v>
      </c>
      <c r="E188" s="4">
        <v>902</v>
      </c>
      <c r="F188" s="4">
        <v>10.54598934</v>
      </c>
      <c r="G188" s="2" t="s">
        <v>61</v>
      </c>
      <c r="H188" s="5">
        <v>815.95</v>
      </c>
      <c r="I188" s="1" t="s">
        <v>8</v>
      </c>
      <c r="J188" s="18" t="s">
        <v>118</v>
      </c>
      <c r="K188" s="18" t="s">
        <v>256</v>
      </c>
      <c r="L188" s="18">
        <v>4260</v>
      </c>
      <c r="M188" s="18">
        <f>ABS((D188*E188)-L188)</f>
        <v>250</v>
      </c>
      <c r="N188" s="10" t="str">
        <f t="shared" si="5"/>
        <v>Unique</v>
      </c>
      <c r="P188" s="35"/>
    </row>
    <row r="189" spans="1:16" ht="26.5" hidden="1" thickBot="1" x14ac:dyDescent="0.4">
      <c r="A189" s="3">
        <v>46260.425694444442</v>
      </c>
      <c r="B189" s="1" t="s">
        <v>13</v>
      </c>
      <c r="C189" s="1" t="s">
        <v>7</v>
      </c>
      <c r="D189" s="4">
        <v>20</v>
      </c>
      <c r="E189" s="4">
        <v>1924</v>
      </c>
      <c r="F189" s="4">
        <v>10.70195627</v>
      </c>
      <c r="G189" s="2" t="s">
        <v>91</v>
      </c>
      <c r="H189" s="5">
        <v>1738</v>
      </c>
      <c r="I189" s="1" t="s">
        <v>8</v>
      </c>
      <c r="J189" s="18" t="s">
        <v>118</v>
      </c>
      <c r="K189" s="18" t="s">
        <v>171</v>
      </c>
      <c r="L189" s="18">
        <v>37480</v>
      </c>
      <c r="M189" s="18">
        <f>ABS((D189*E189)-L189)</f>
        <v>1000</v>
      </c>
      <c r="N189" t="str">
        <f t="shared" si="5"/>
        <v>Unique</v>
      </c>
      <c r="P189" s="35"/>
    </row>
    <row r="190" spans="1:16" ht="39" hidden="1" thickBot="1" x14ac:dyDescent="0.4">
      <c r="A190" s="3">
        <v>46262.375</v>
      </c>
      <c r="B190" s="1" t="s">
        <v>59</v>
      </c>
      <c r="C190" s="1" t="s">
        <v>7</v>
      </c>
      <c r="D190" s="4">
        <v>4</v>
      </c>
      <c r="E190" s="4">
        <v>1146</v>
      </c>
      <c r="F190" s="4">
        <v>10.724637680000001</v>
      </c>
      <c r="G190" s="2" t="s">
        <v>60</v>
      </c>
      <c r="H190" s="5">
        <v>1035</v>
      </c>
      <c r="I190" s="1" t="s">
        <v>8</v>
      </c>
      <c r="J190" s="18" t="s">
        <v>117</v>
      </c>
      <c r="K190" s="18" t="s">
        <v>192</v>
      </c>
      <c r="L190" s="18">
        <v>4264</v>
      </c>
      <c r="M190" s="18">
        <f>ABS((D190*E190)-L190)</f>
        <v>320</v>
      </c>
      <c r="N190" s="10" t="str">
        <f t="shared" si="5"/>
        <v>Unique</v>
      </c>
    </row>
    <row r="191" spans="1:16" ht="39" hidden="1" thickBot="1" x14ac:dyDescent="0.4">
      <c r="A191" s="3">
        <v>46265.486111111109</v>
      </c>
      <c r="B191" s="1" t="s">
        <v>59</v>
      </c>
      <c r="C191" s="1" t="s">
        <v>7</v>
      </c>
      <c r="D191" s="4">
        <v>5</v>
      </c>
      <c r="E191" s="4">
        <v>1146</v>
      </c>
      <c r="F191" s="4">
        <v>10.724637680000001</v>
      </c>
      <c r="G191" s="2" t="s">
        <v>60</v>
      </c>
      <c r="H191" s="5">
        <v>1035</v>
      </c>
      <c r="I191" s="1" t="s">
        <v>8</v>
      </c>
      <c r="J191" s="18" t="s">
        <v>118</v>
      </c>
      <c r="K191" s="18" t="s">
        <v>199</v>
      </c>
      <c r="L191" s="18">
        <v>5282</v>
      </c>
      <c r="M191" s="18">
        <f>ABS((D191*E191)-L191)</f>
        <v>448</v>
      </c>
      <c r="N191" t="str">
        <f t="shared" si="5"/>
        <v>Unique</v>
      </c>
    </row>
    <row r="192" spans="1:16" ht="39" hidden="1" thickBot="1" x14ac:dyDescent="0.4">
      <c r="A192" s="11">
        <v>46252.635416666664</v>
      </c>
      <c r="B192" s="8" t="s">
        <v>51</v>
      </c>
      <c r="C192" s="8" t="s">
        <v>7</v>
      </c>
      <c r="D192" s="8">
        <v>10</v>
      </c>
      <c r="E192" s="8">
        <v>997</v>
      </c>
      <c r="F192" s="4">
        <v>10.777777779999999</v>
      </c>
      <c r="G192" s="2" t="s">
        <v>52</v>
      </c>
      <c r="H192" s="5">
        <v>900</v>
      </c>
      <c r="I192" s="1" t="s">
        <v>8</v>
      </c>
      <c r="J192" s="40" t="s">
        <v>117</v>
      </c>
      <c r="N192" s="10" t="str">
        <f t="shared" si="5"/>
        <v>Unique</v>
      </c>
    </row>
    <row r="193" spans="1:16" s="35" customFormat="1" ht="26.5" hidden="1" thickBot="1" x14ac:dyDescent="0.4">
      <c r="A193" s="3">
        <v>46261.375</v>
      </c>
      <c r="B193" s="1" t="s">
        <v>14</v>
      </c>
      <c r="C193" s="1" t="s">
        <v>7</v>
      </c>
      <c r="D193" s="4">
        <v>50</v>
      </c>
      <c r="E193" s="4">
        <v>349</v>
      </c>
      <c r="F193" s="4">
        <v>10.81123988</v>
      </c>
      <c r="G193" s="2" t="s">
        <v>45</v>
      </c>
      <c r="H193" s="5">
        <v>314.95</v>
      </c>
      <c r="I193" s="1" t="s">
        <v>8</v>
      </c>
      <c r="J193" s="18" t="s">
        <v>117</v>
      </c>
      <c r="K193" s="18" t="s">
        <v>184</v>
      </c>
      <c r="L193" s="18">
        <v>17150</v>
      </c>
      <c r="M193" s="18">
        <f>ABS((D193*E193)-L193)</f>
        <v>300</v>
      </c>
      <c r="N193" s="10" t="str">
        <f t="shared" si="5"/>
        <v>Unique</v>
      </c>
      <c r="O193" s="10"/>
      <c r="P193" s="10"/>
    </row>
    <row r="194" spans="1:16" ht="26.5" hidden="1" thickBot="1" x14ac:dyDescent="0.4">
      <c r="A194" s="11">
        <v>46252.635416666664</v>
      </c>
      <c r="B194" s="8" t="s">
        <v>47</v>
      </c>
      <c r="C194" s="8" t="s">
        <v>7</v>
      </c>
      <c r="D194" s="8">
        <v>8</v>
      </c>
      <c r="E194" s="8">
        <v>2448</v>
      </c>
      <c r="F194" s="4">
        <v>10.874586710000001</v>
      </c>
      <c r="G194" s="2" t="s">
        <v>48</v>
      </c>
      <c r="H194" s="5">
        <v>2207.9</v>
      </c>
      <c r="I194" s="1" t="s">
        <v>8</v>
      </c>
      <c r="J194" s="40"/>
      <c r="N194" s="10" t="str">
        <f t="shared" ref="N194:N257" si="9">IF(COUNTIFS( $B$2:$B$767, B194, $C$2:$C$767, C194, $D$2:$D$767, D194, $E$2:$E$767, E194) &gt; 1, "Duplicate", "Unique")</f>
        <v>Unique</v>
      </c>
    </row>
    <row r="195" spans="1:16" ht="39" hidden="1" thickBot="1" x14ac:dyDescent="0.4">
      <c r="A195" s="11">
        <v>46243.375</v>
      </c>
      <c r="B195" s="8" t="s">
        <v>11</v>
      </c>
      <c r="C195" s="8" t="s">
        <v>7</v>
      </c>
      <c r="D195" s="8">
        <v>20</v>
      </c>
      <c r="E195" s="8">
        <v>296</v>
      </c>
      <c r="F195" s="4">
        <v>10.92373993</v>
      </c>
      <c r="G195" s="2" t="s">
        <v>99</v>
      </c>
      <c r="H195" s="5">
        <v>266.85000000000002</v>
      </c>
      <c r="I195" s="1" t="s">
        <v>8</v>
      </c>
      <c r="J195" s="18" t="s">
        <v>118</v>
      </c>
      <c r="K195" s="18" t="s">
        <v>261</v>
      </c>
      <c r="L195" s="18">
        <v>5620</v>
      </c>
      <c r="M195" s="33">
        <f>ABS((D195*E195)-L195)</f>
        <v>300</v>
      </c>
      <c r="N195" s="10" t="str">
        <f t="shared" si="9"/>
        <v>Unique</v>
      </c>
      <c r="P195" s="26"/>
    </row>
    <row r="196" spans="1:16" ht="26.5" hidden="1" thickBot="1" x14ac:dyDescent="0.4">
      <c r="A196" s="3">
        <v>46265.375694444447</v>
      </c>
      <c r="B196" s="1" t="s">
        <v>87</v>
      </c>
      <c r="C196" s="1" t="s">
        <v>7</v>
      </c>
      <c r="D196" s="4">
        <v>10</v>
      </c>
      <c r="E196" s="4">
        <v>1320</v>
      </c>
      <c r="F196" s="4">
        <v>10.92436975</v>
      </c>
      <c r="G196" s="2" t="s">
        <v>88</v>
      </c>
      <c r="H196" s="5">
        <v>1190</v>
      </c>
      <c r="I196" s="1" t="s">
        <v>8</v>
      </c>
      <c r="J196" s="18" t="s">
        <v>117</v>
      </c>
      <c r="K196" s="18" t="s">
        <v>205</v>
      </c>
      <c r="L196" s="18">
        <v>12800</v>
      </c>
      <c r="M196" s="18">
        <f>ABS((D196*E196)-L196)</f>
        <v>400</v>
      </c>
      <c r="N196" t="str">
        <f t="shared" si="9"/>
        <v>Unique</v>
      </c>
    </row>
    <row r="197" spans="1:16" ht="26.5" hidden="1" thickBot="1" x14ac:dyDescent="0.4">
      <c r="A197" s="11">
        <v>46253.375</v>
      </c>
      <c r="B197" s="8" t="s">
        <v>31</v>
      </c>
      <c r="C197" s="8" t="s">
        <v>7</v>
      </c>
      <c r="D197" s="8">
        <v>5</v>
      </c>
      <c r="E197" s="8">
        <v>682</v>
      </c>
      <c r="F197" s="4">
        <v>10.984540279999999</v>
      </c>
      <c r="G197" s="2" t="s">
        <v>94</v>
      </c>
      <c r="H197" s="5">
        <v>614.5</v>
      </c>
      <c r="I197" s="1" t="s">
        <v>8</v>
      </c>
      <c r="J197" s="18" t="s">
        <v>118</v>
      </c>
      <c r="K197" s="18" t="s">
        <v>144</v>
      </c>
      <c r="N197" s="10" t="str">
        <f t="shared" si="9"/>
        <v>Unique</v>
      </c>
    </row>
    <row r="198" spans="1:16" s="35" customFormat="1" ht="39" hidden="1" thickBot="1" x14ac:dyDescent="0.4">
      <c r="A198" s="39">
        <v>46255</v>
      </c>
      <c r="B198" s="37" t="s">
        <v>19</v>
      </c>
      <c r="C198" s="37" t="s">
        <v>7</v>
      </c>
      <c r="D198" s="38">
        <v>20</v>
      </c>
      <c r="E198" s="38">
        <v>241</v>
      </c>
      <c r="F198" s="4">
        <v>11.03432389</v>
      </c>
      <c r="G198" s="2" t="s">
        <v>40</v>
      </c>
      <c r="H198" s="5">
        <v>217.05</v>
      </c>
      <c r="I198" s="1" t="s">
        <v>8</v>
      </c>
      <c r="J198" s="33" t="s">
        <v>118</v>
      </c>
      <c r="K198" s="33" t="s">
        <v>152</v>
      </c>
      <c r="L198" s="33">
        <v>4680</v>
      </c>
      <c r="M198" s="33">
        <f>ABS((D198*E198)-L198)</f>
        <v>140</v>
      </c>
      <c r="N198" s="35" t="str">
        <f t="shared" si="9"/>
        <v>Duplicate</v>
      </c>
      <c r="O198" s="10"/>
    </row>
    <row r="199" spans="1:16" s="35" customFormat="1" ht="39" hidden="1" thickBot="1" x14ac:dyDescent="0.4">
      <c r="A199" s="36">
        <v>46261.385416666664</v>
      </c>
      <c r="B199" s="37" t="s">
        <v>19</v>
      </c>
      <c r="C199" s="37" t="s">
        <v>7</v>
      </c>
      <c r="D199" s="38">
        <v>20</v>
      </c>
      <c r="E199" s="38">
        <v>241</v>
      </c>
      <c r="F199" s="4">
        <v>11.03432389</v>
      </c>
      <c r="G199" s="2" t="s">
        <v>40</v>
      </c>
      <c r="H199" s="5">
        <v>217.05</v>
      </c>
      <c r="I199" s="1" t="s">
        <v>8</v>
      </c>
      <c r="J199" s="33" t="s">
        <v>118</v>
      </c>
      <c r="K199" s="33" t="s">
        <v>180</v>
      </c>
      <c r="L199" s="33">
        <v>4520</v>
      </c>
      <c r="M199" s="33">
        <f>ABS((D199*E199)-L199)</f>
        <v>300</v>
      </c>
      <c r="N199" s="35" t="str">
        <f t="shared" si="9"/>
        <v>Duplicate</v>
      </c>
      <c r="O199" s="10"/>
      <c r="P199" s="10"/>
    </row>
    <row r="200" spans="1:16" ht="26.5" hidden="1" thickBot="1" x14ac:dyDescent="0.4">
      <c r="A200" s="11">
        <v>46252.6875</v>
      </c>
      <c r="B200" s="8" t="s">
        <v>15</v>
      </c>
      <c r="C200" s="8" t="s">
        <v>7</v>
      </c>
      <c r="D200" s="8">
        <v>10</v>
      </c>
      <c r="E200" s="8">
        <v>2720</v>
      </c>
      <c r="F200" s="4">
        <v>11.15651819</v>
      </c>
      <c r="G200" s="2" t="s">
        <v>72</v>
      </c>
      <c r="H200" s="5">
        <v>2447</v>
      </c>
      <c r="I200" s="1" t="s">
        <v>8</v>
      </c>
      <c r="J200" s="40" t="s">
        <v>117</v>
      </c>
      <c r="N200" s="10" t="str">
        <f t="shared" si="9"/>
        <v>Unique</v>
      </c>
    </row>
    <row r="201" spans="1:16" ht="39" hidden="1" thickBot="1" x14ac:dyDescent="0.4">
      <c r="A201" s="11">
        <v>46252.688194444447</v>
      </c>
      <c r="B201" s="8" t="s">
        <v>28</v>
      </c>
      <c r="C201" s="8" t="s">
        <v>7</v>
      </c>
      <c r="D201" s="8">
        <v>30</v>
      </c>
      <c r="E201" s="8">
        <v>930</v>
      </c>
      <c r="F201" s="4">
        <v>11.37724551</v>
      </c>
      <c r="G201" s="2" t="s">
        <v>125</v>
      </c>
      <c r="H201" s="5">
        <v>835</v>
      </c>
      <c r="I201" s="1" t="s">
        <v>8</v>
      </c>
      <c r="J201" s="40"/>
      <c r="N201" s="10" t="str">
        <f t="shared" si="9"/>
        <v>Unique</v>
      </c>
      <c r="P201" s="35"/>
    </row>
    <row r="202" spans="1:16" ht="26.5" hidden="1" thickBot="1" x14ac:dyDescent="0.4">
      <c r="A202" s="36">
        <v>46265.375694444447</v>
      </c>
      <c r="B202" s="37" t="s">
        <v>6</v>
      </c>
      <c r="C202" s="37" t="s">
        <v>7</v>
      </c>
      <c r="D202" s="38">
        <v>20</v>
      </c>
      <c r="E202" s="38">
        <v>291</v>
      </c>
      <c r="F202" s="4">
        <v>11.49425287</v>
      </c>
      <c r="G202" s="2" t="s">
        <v>130</v>
      </c>
      <c r="H202" s="5">
        <v>261</v>
      </c>
      <c r="I202" s="1" t="s">
        <v>8</v>
      </c>
      <c r="J202" s="33" t="s">
        <v>118</v>
      </c>
      <c r="K202" s="33" t="s">
        <v>209</v>
      </c>
      <c r="L202" s="33">
        <v>5520</v>
      </c>
      <c r="M202" s="33">
        <f>ABS((D202*E202)-L202)</f>
        <v>300</v>
      </c>
      <c r="N202" s="34" t="str">
        <f t="shared" si="9"/>
        <v>Unique</v>
      </c>
      <c r="O202" s="35"/>
    </row>
    <row r="203" spans="1:16" ht="26.5" hidden="1" thickBot="1" x14ac:dyDescent="0.4">
      <c r="A203" s="48">
        <v>46243.505555555559</v>
      </c>
      <c r="B203" s="49" t="s">
        <v>6</v>
      </c>
      <c r="C203" s="49" t="s">
        <v>7</v>
      </c>
      <c r="D203" s="49">
        <v>10</v>
      </c>
      <c r="E203" s="49">
        <v>291</v>
      </c>
      <c r="F203" s="4">
        <v>11.49425287</v>
      </c>
      <c r="G203" s="2" t="s">
        <v>130</v>
      </c>
      <c r="H203" s="5">
        <v>261</v>
      </c>
      <c r="I203" s="1" t="s">
        <v>8</v>
      </c>
      <c r="J203" s="33" t="s">
        <v>118</v>
      </c>
      <c r="K203" s="33" t="s">
        <v>260</v>
      </c>
      <c r="L203" s="33">
        <v>2657</v>
      </c>
      <c r="M203" s="33">
        <f>ABS((D203*E203)-L203)</f>
        <v>253</v>
      </c>
      <c r="N203" s="35" t="str">
        <f t="shared" si="9"/>
        <v>Unique</v>
      </c>
      <c r="O203" s="35"/>
    </row>
    <row r="204" spans="1:16" ht="39" hidden="1" thickBot="1" x14ac:dyDescent="0.4">
      <c r="A204" s="3">
        <v>46261.375694444447</v>
      </c>
      <c r="B204" s="1" t="s">
        <v>53</v>
      </c>
      <c r="C204" s="1" t="s">
        <v>7</v>
      </c>
      <c r="D204" s="4">
        <v>2</v>
      </c>
      <c r="E204" s="4">
        <v>2690</v>
      </c>
      <c r="F204" s="4">
        <v>11.71560281</v>
      </c>
      <c r="G204" s="2" t="s">
        <v>54</v>
      </c>
      <c r="H204" s="5">
        <v>2407.9</v>
      </c>
      <c r="I204" s="1" t="s">
        <v>8</v>
      </c>
      <c r="J204" s="18" t="s">
        <v>118</v>
      </c>
      <c r="K204" s="18" t="s">
        <v>179</v>
      </c>
      <c r="L204" s="18">
        <v>5120</v>
      </c>
      <c r="M204" s="18">
        <f>ABS((D204*E204)-L204)</f>
        <v>260</v>
      </c>
      <c r="N204" s="10" t="str">
        <f t="shared" si="9"/>
        <v>Unique</v>
      </c>
    </row>
    <row r="205" spans="1:16" ht="39" hidden="1" thickBot="1" x14ac:dyDescent="0.4">
      <c r="A205" s="8" t="s">
        <v>62</v>
      </c>
      <c r="B205" s="8" t="s">
        <v>21</v>
      </c>
      <c r="C205" s="8" t="s">
        <v>7</v>
      </c>
      <c r="D205" s="8">
        <v>11</v>
      </c>
      <c r="E205" s="12">
        <v>749</v>
      </c>
      <c r="F205" s="4">
        <v>11.8077325</v>
      </c>
      <c r="G205" s="2" t="s">
        <v>76</v>
      </c>
      <c r="H205" s="5">
        <v>669.9</v>
      </c>
      <c r="I205" s="1" t="s">
        <v>8</v>
      </c>
      <c r="J205" s="40" t="s">
        <v>198</v>
      </c>
      <c r="N205" s="10" t="str">
        <f t="shared" si="9"/>
        <v>Unique</v>
      </c>
    </row>
    <row r="206" spans="1:16" ht="26.5" hidden="1" thickBot="1" x14ac:dyDescent="0.4">
      <c r="A206" s="8" t="s">
        <v>62</v>
      </c>
      <c r="B206" s="8" t="s">
        <v>121</v>
      </c>
      <c r="C206" s="8" t="s">
        <v>7</v>
      </c>
      <c r="D206" s="8">
        <v>10</v>
      </c>
      <c r="E206" s="8">
        <v>796</v>
      </c>
      <c r="F206" s="4">
        <v>11.89990862</v>
      </c>
      <c r="G206" s="2" t="s">
        <v>122</v>
      </c>
      <c r="H206" s="5">
        <v>711.35</v>
      </c>
      <c r="I206" s="1" t="s">
        <v>8</v>
      </c>
      <c r="J206" s="40" t="s">
        <v>117</v>
      </c>
      <c r="N206" s="10" t="str">
        <f t="shared" si="9"/>
        <v>Unique</v>
      </c>
    </row>
    <row r="207" spans="1:16" ht="39" hidden="1" thickBot="1" x14ac:dyDescent="0.4">
      <c r="A207" s="8" t="s">
        <v>62</v>
      </c>
      <c r="B207" s="8" t="s">
        <v>24</v>
      </c>
      <c r="C207" s="8" t="s">
        <v>7</v>
      </c>
      <c r="D207" s="8">
        <v>5</v>
      </c>
      <c r="E207" s="8">
        <v>468</v>
      </c>
      <c r="F207" s="4">
        <v>11.93494379</v>
      </c>
      <c r="G207" s="2" t="s">
        <v>56</v>
      </c>
      <c r="H207" s="5">
        <v>418.1</v>
      </c>
      <c r="I207" s="1" t="s">
        <v>8</v>
      </c>
      <c r="J207" s="40" t="s">
        <v>118</v>
      </c>
      <c r="N207" s="10" t="str">
        <f t="shared" si="9"/>
        <v>Unique</v>
      </c>
    </row>
    <row r="208" spans="1:16" ht="39" hidden="1" thickBot="1" x14ac:dyDescent="0.4">
      <c r="A208" s="3">
        <v>46260.375</v>
      </c>
      <c r="B208" s="1" t="s">
        <v>24</v>
      </c>
      <c r="C208" s="1" t="s">
        <v>7</v>
      </c>
      <c r="D208" s="4">
        <v>40</v>
      </c>
      <c r="E208" s="4">
        <v>468</v>
      </c>
      <c r="F208" s="4">
        <v>11.93494379</v>
      </c>
      <c r="G208" s="2" t="s">
        <v>56</v>
      </c>
      <c r="H208" s="5">
        <v>418.1</v>
      </c>
      <c r="I208" s="1" t="s">
        <v>8</v>
      </c>
      <c r="J208" s="18" t="s">
        <v>118</v>
      </c>
      <c r="K208" s="18" t="s">
        <v>172</v>
      </c>
      <c r="L208" s="18">
        <v>17920</v>
      </c>
      <c r="M208" s="18">
        <f>ABS((D208*E208)-L208)</f>
        <v>800</v>
      </c>
      <c r="N208" t="str">
        <f t="shared" si="9"/>
        <v>Unique</v>
      </c>
    </row>
    <row r="209" spans="1:16" ht="26.5" hidden="1" thickBot="1" x14ac:dyDescent="0.4">
      <c r="A209" s="3">
        <v>46258.443055555559</v>
      </c>
      <c r="B209" s="1" t="s">
        <v>35</v>
      </c>
      <c r="C209" s="1" t="s">
        <v>7</v>
      </c>
      <c r="D209" s="4">
        <v>50</v>
      </c>
      <c r="E209" s="4">
        <v>229.5</v>
      </c>
      <c r="F209" s="4">
        <v>12.00585652</v>
      </c>
      <c r="G209" s="2" t="s">
        <v>42</v>
      </c>
      <c r="H209" s="5">
        <v>204.9</v>
      </c>
      <c r="I209" s="1" t="s">
        <v>8</v>
      </c>
      <c r="J209" s="18" t="s">
        <v>118</v>
      </c>
      <c r="K209" s="18" t="s">
        <v>159</v>
      </c>
      <c r="L209" s="18">
        <v>11175</v>
      </c>
      <c r="M209" s="18">
        <f>ABS((D209*E209)-L209)</f>
        <v>300</v>
      </c>
      <c r="N209" s="10" t="str">
        <f t="shared" si="9"/>
        <v>Unique</v>
      </c>
    </row>
    <row r="210" spans="1:16" ht="26.5" hidden="1" thickBot="1" x14ac:dyDescent="0.4">
      <c r="A210" s="3">
        <v>46259.375</v>
      </c>
      <c r="B210" s="1" t="s">
        <v>35</v>
      </c>
      <c r="C210" s="1" t="s">
        <v>7</v>
      </c>
      <c r="D210" s="4">
        <v>20</v>
      </c>
      <c r="E210" s="4">
        <v>229.5</v>
      </c>
      <c r="F210" s="4">
        <v>12.00585652</v>
      </c>
      <c r="G210" s="2" t="s">
        <v>42</v>
      </c>
      <c r="H210" s="5">
        <v>204.9</v>
      </c>
      <c r="I210" s="1" t="s">
        <v>8</v>
      </c>
      <c r="J210" s="18" t="s">
        <v>118</v>
      </c>
      <c r="K210" s="18" t="s">
        <v>165</v>
      </c>
      <c r="L210" s="18">
        <v>4402</v>
      </c>
      <c r="M210" s="18">
        <f>ABS((D210*E210)-L210)</f>
        <v>188</v>
      </c>
      <c r="N210" s="10" t="str">
        <f t="shared" si="9"/>
        <v>Unique</v>
      </c>
      <c r="P210" s="35"/>
    </row>
    <row r="211" spans="1:16" ht="26.5" hidden="1" thickBot="1" x14ac:dyDescent="0.4">
      <c r="A211" s="8" t="s">
        <v>62</v>
      </c>
      <c r="B211" s="8" t="s">
        <v>123</v>
      </c>
      <c r="C211" s="8" t="s">
        <v>7</v>
      </c>
      <c r="D211" s="8">
        <v>200</v>
      </c>
      <c r="E211" s="8">
        <v>90.75</v>
      </c>
      <c r="F211" s="4">
        <v>12.02320701</v>
      </c>
      <c r="G211" s="2" t="s">
        <v>124</v>
      </c>
      <c r="H211" s="5">
        <v>81.010000000000005</v>
      </c>
      <c r="I211" s="1" t="s">
        <v>8</v>
      </c>
      <c r="J211" s="40" t="s">
        <v>55</v>
      </c>
      <c r="N211" s="10" t="str">
        <f t="shared" si="9"/>
        <v>Unique</v>
      </c>
    </row>
    <row r="212" spans="1:16" ht="26.5" hidden="1" thickBot="1" x14ac:dyDescent="0.4">
      <c r="A212" s="11">
        <v>46253.375</v>
      </c>
      <c r="B212" s="8" t="s">
        <v>14</v>
      </c>
      <c r="C212" s="8" t="s">
        <v>7</v>
      </c>
      <c r="D212" s="8">
        <v>50</v>
      </c>
      <c r="E212" s="8">
        <v>353</v>
      </c>
      <c r="F212" s="4">
        <v>12.081282740000001</v>
      </c>
      <c r="G212" s="2" t="s">
        <v>45</v>
      </c>
      <c r="H212" s="5">
        <v>314.95</v>
      </c>
      <c r="I212" s="1" t="s">
        <v>8</v>
      </c>
      <c r="J212" s="40" t="s">
        <v>118</v>
      </c>
      <c r="K212" s="18" t="s">
        <v>145</v>
      </c>
      <c r="N212" s="10" t="str">
        <f t="shared" si="9"/>
        <v>Unique</v>
      </c>
    </row>
    <row r="213" spans="1:16" ht="26.5" hidden="1" thickBot="1" x14ac:dyDescent="0.4">
      <c r="A213" s="3">
        <v>46259.388194444444</v>
      </c>
      <c r="B213" s="1" t="s">
        <v>13</v>
      </c>
      <c r="C213" s="1" t="s">
        <v>7</v>
      </c>
      <c r="D213" s="4">
        <v>20</v>
      </c>
      <c r="E213" s="4">
        <v>1948</v>
      </c>
      <c r="F213" s="4">
        <v>12.08285386</v>
      </c>
      <c r="G213" s="2" t="s">
        <v>91</v>
      </c>
      <c r="H213" s="5">
        <v>1738</v>
      </c>
      <c r="I213" s="1" t="s">
        <v>8</v>
      </c>
      <c r="J213" s="18" t="s">
        <v>117</v>
      </c>
      <c r="K213" s="18" t="s">
        <v>164</v>
      </c>
      <c r="L213" s="18">
        <v>38020</v>
      </c>
      <c r="M213" s="18">
        <f>ABS((D213*E213)-L213)</f>
        <v>940</v>
      </c>
      <c r="N213" s="10" t="str">
        <f t="shared" si="9"/>
        <v>Unique</v>
      </c>
    </row>
    <row r="214" spans="1:16" ht="39" hidden="1" thickBot="1" x14ac:dyDescent="0.4">
      <c r="A214" s="3">
        <v>46276.375613425924</v>
      </c>
      <c r="B214" s="1" t="s">
        <v>80</v>
      </c>
      <c r="C214" s="1" t="s">
        <v>7</v>
      </c>
      <c r="D214" s="4">
        <v>10</v>
      </c>
      <c r="E214" s="4">
        <v>1548</v>
      </c>
      <c r="F214" s="4">
        <v>12.15765831</v>
      </c>
      <c r="G214" s="2" t="s">
        <v>81</v>
      </c>
      <c r="H214" s="5">
        <v>1380.2</v>
      </c>
      <c r="I214" s="1" t="s">
        <v>8</v>
      </c>
      <c r="J214" s="18" t="s">
        <v>117</v>
      </c>
      <c r="K214" s="18" t="s">
        <v>297</v>
      </c>
      <c r="L214" s="18">
        <v>15030</v>
      </c>
      <c r="M214" s="18">
        <f>ABS((D214*E214)-L214)</f>
        <v>450</v>
      </c>
      <c r="N214" s="10" t="str">
        <f t="shared" si="9"/>
        <v>Unique</v>
      </c>
    </row>
    <row r="215" spans="1:16" ht="26.5" hidden="1" thickBot="1" x14ac:dyDescent="0.4">
      <c r="A215" s="8" t="s">
        <v>62</v>
      </c>
      <c r="B215" s="8" t="s">
        <v>74</v>
      </c>
      <c r="C215" s="8" t="s">
        <v>7</v>
      </c>
      <c r="D215" s="8">
        <v>1</v>
      </c>
      <c r="E215" s="12">
        <v>3810</v>
      </c>
      <c r="F215" s="4">
        <v>12.362864220000001</v>
      </c>
      <c r="G215" s="2" t="s">
        <v>75</v>
      </c>
      <c r="H215" s="5">
        <v>3390.8</v>
      </c>
      <c r="I215" s="1" t="s">
        <v>8</v>
      </c>
      <c r="J215" s="40" t="s">
        <v>118</v>
      </c>
      <c r="N215" s="10" t="str">
        <f t="shared" si="9"/>
        <v>Unique</v>
      </c>
    </row>
    <row r="216" spans="1:16" ht="26.5" hidden="1" thickBot="1" x14ac:dyDescent="0.4">
      <c r="A216" s="3">
        <v>46266.375694444447</v>
      </c>
      <c r="B216" s="1" t="s">
        <v>66</v>
      </c>
      <c r="C216" s="1" t="s">
        <v>7</v>
      </c>
      <c r="D216" s="4">
        <v>5</v>
      </c>
      <c r="E216" s="4">
        <v>1248</v>
      </c>
      <c r="F216" s="4">
        <v>12.43243243</v>
      </c>
      <c r="G216" s="2" t="s">
        <v>67</v>
      </c>
      <c r="H216" s="5">
        <v>1110</v>
      </c>
      <c r="I216" s="1" t="s">
        <v>8</v>
      </c>
      <c r="J216" s="18" t="s">
        <v>117</v>
      </c>
      <c r="K216" s="18" t="s">
        <v>216</v>
      </c>
      <c r="L216" s="18">
        <v>5940</v>
      </c>
      <c r="M216" s="18">
        <f>ABS((D216*E216)-L216)</f>
        <v>300</v>
      </c>
      <c r="N216" s="10" t="str">
        <f t="shared" si="9"/>
        <v>Unique</v>
      </c>
    </row>
    <row r="217" spans="1:16" ht="39" hidden="1" thickBot="1" x14ac:dyDescent="0.4">
      <c r="A217" s="8" t="s">
        <v>62</v>
      </c>
      <c r="B217" s="8" t="s">
        <v>53</v>
      </c>
      <c r="C217" s="8" t="s">
        <v>7</v>
      </c>
      <c r="D217" s="8">
        <v>3</v>
      </c>
      <c r="E217" s="12">
        <v>2710</v>
      </c>
      <c r="F217" s="4">
        <v>12.54620208</v>
      </c>
      <c r="G217" s="2" t="s">
        <v>54</v>
      </c>
      <c r="H217" s="5">
        <v>2407.9</v>
      </c>
      <c r="I217" s="1" t="s">
        <v>8</v>
      </c>
      <c r="J217" s="40" t="s">
        <v>118</v>
      </c>
      <c r="N217" s="10" t="str">
        <f t="shared" si="9"/>
        <v>Unique</v>
      </c>
    </row>
    <row r="218" spans="1:16" ht="26.5" hidden="1" thickBot="1" x14ac:dyDescent="0.4">
      <c r="A218" s="3">
        <v>46262.375</v>
      </c>
      <c r="B218" s="1" t="s">
        <v>87</v>
      </c>
      <c r="C218" s="1" t="s">
        <v>7</v>
      </c>
      <c r="D218" s="4">
        <v>10</v>
      </c>
      <c r="E218" s="4">
        <v>1340</v>
      </c>
      <c r="F218" s="4">
        <v>12.605042020000001</v>
      </c>
      <c r="G218" s="2" t="s">
        <v>88</v>
      </c>
      <c r="H218" s="5">
        <v>1190</v>
      </c>
      <c r="I218" s="1" t="s">
        <v>8</v>
      </c>
      <c r="J218" s="18" t="s">
        <v>117</v>
      </c>
      <c r="K218" s="18" t="s">
        <v>191</v>
      </c>
      <c r="L218" s="18">
        <v>13030</v>
      </c>
      <c r="M218" s="18">
        <f>ABS((D218*E218)-L218)</f>
        <v>370</v>
      </c>
      <c r="N218" s="10" t="str">
        <f t="shared" si="9"/>
        <v>Unique</v>
      </c>
      <c r="P218" s="35"/>
    </row>
    <row r="219" spans="1:16" ht="26.5" hidden="1" thickBot="1" x14ac:dyDescent="0.4">
      <c r="A219" s="36">
        <v>46258.443749999999</v>
      </c>
      <c r="B219" s="37" t="s">
        <v>6</v>
      </c>
      <c r="C219" s="37" t="s">
        <v>7</v>
      </c>
      <c r="D219" s="38">
        <v>50</v>
      </c>
      <c r="E219" s="38">
        <v>294</v>
      </c>
      <c r="F219" s="4">
        <v>12.64367816</v>
      </c>
      <c r="G219" s="2" t="s">
        <v>130</v>
      </c>
      <c r="H219" s="5">
        <v>261</v>
      </c>
      <c r="I219" s="1" t="s">
        <v>8</v>
      </c>
      <c r="J219" s="33" t="s">
        <v>118</v>
      </c>
      <c r="K219" s="33" t="s">
        <v>158</v>
      </c>
      <c r="L219" s="33">
        <v>14172.5</v>
      </c>
      <c r="M219" s="33">
        <f>ABS((D219*E219)-L219)</f>
        <v>527.5</v>
      </c>
      <c r="N219" s="35" t="str">
        <f t="shared" si="9"/>
        <v>Unique</v>
      </c>
      <c r="O219" s="35"/>
      <c r="P219" s="35"/>
    </row>
    <row r="220" spans="1:16" ht="26.5" hidden="1" thickBot="1" x14ac:dyDescent="0.4">
      <c r="A220" s="48">
        <v>46253.4</v>
      </c>
      <c r="B220" s="49" t="s">
        <v>6</v>
      </c>
      <c r="C220" s="49" t="s">
        <v>7</v>
      </c>
      <c r="D220" s="49">
        <v>30</v>
      </c>
      <c r="E220" s="49">
        <v>294</v>
      </c>
      <c r="F220" s="4">
        <v>12.64367816</v>
      </c>
      <c r="G220" s="2" t="s">
        <v>130</v>
      </c>
      <c r="H220" s="5">
        <v>261</v>
      </c>
      <c r="I220" s="1" t="s">
        <v>8</v>
      </c>
      <c r="J220" s="60" t="s">
        <v>118</v>
      </c>
      <c r="K220" s="33" t="s">
        <v>143</v>
      </c>
      <c r="L220" s="33"/>
      <c r="M220" s="33"/>
      <c r="N220" s="35" t="str">
        <f t="shared" si="9"/>
        <v>Unique</v>
      </c>
      <c r="O220" s="35"/>
      <c r="P220" s="35"/>
    </row>
    <row r="221" spans="1:16" s="35" customFormat="1" ht="39" hidden="1" thickBot="1" x14ac:dyDescent="0.4">
      <c r="A221" s="9" t="s">
        <v>62</v>
      </c>
      <c r="B221" s="9" t="s">
        <v>119</v>
      </c>
      <c r="C221" s="9" t="s">
        <v>7</v>
      </c>
      <c r="D221" s="9">
        <v>7</v>
      </c>
      <c r="E221" s="12">
        <v>1170</v>
      </c>
      <c r="F221" s="4">
        <v>12.684195320000001</v>
      </c>
      <c r="G221" s="2" t="s">
        <v>120</v>
      </c>
      <c r="H221" s="5">
        <v>1038.3</v>
      </c>
      <c r="I221" s="1" t="s">
        <v>8</v>
      </c>
      <c r="J221" s="40"/>
      <c r="K221" s="18"/>
      <c r="L221" s="18"/>
      <c r="M221" s="18"/>
      <c r="N221" s="10" t="str">
        <f t="shared" si="9"/>
        <v>Unique</v>
      </c>
      <c r="O221" s="10"/>
      <c r="P221" s="10"/>
    </row>
    <row r="222" spans="1:16" ht="26.5" hidden="1" thickBot="1" x14ac:dyDescent="0.4">
      <c r="A222" s="3">
        <v>46268.375</v>
      </c>
      <c r="B222" s="1" t="s">
        <v>16</v>
      </c>
      <c r="C222" s="1" t="s">
        <v>7</v>
      </c>
      <c r="D222" s="4">
        <v>30</v>
      </c>
      <c r="E222" s="4">
        <v>920</v>
      </c>
      <c r="F222" s="4">
        <v>12.75200686</v>
      </c>
      <c r="G222" s="2" t="s">
        <v>61</v>
      </c>
      <c r="H222" s="5">
        <v>815.95</v>
      </c>
      <c r="I222" s="1" t="s">
        <v>8</v>
      </c>
      <c r="J222" s="18" t="s">
        <v>117</v>
      </c>
      <c r="K222" s="18" t="s">
        <v>239</v>
      </c>
      <c r="L222" s="18">
        <v>25800</v>
      </c>
      <c r="M222" s="18">
        <f>ABS((D222*E222)-L222)</f>
        <v>1800</v>
      </c>
      <c r="N222" s="10" t="str">
        <f t="shared" si="9"/>
        <v>Unique</v>
      </c>
    </row>
    <row r="223" spans="1:16" ht="26.5" hidden="1" thickBot="1" x14ac:dyDescent="0.4">
      <c r="A223" s="8" t="s">
        <v>62</v>
      </c>
      <c r="B223" s="8" t="s">
        <v>9</v>
      </c>
      <c r="C223" s="8" t="s">
        <v>7</v>
      </c>
      <c r="D223" s="8">
        <v>50</v>
      </c>
      <c r="E223" s="8">
        <v>317</v>
      </c>
      <c r="F223" s="4">
        <v>12.831464670000001</v>
      </c>
      <c r="G223" s="2" t="s">
        <v>95</v>
      </c>
      <c r="H223" s="5">
        <v>280.95</v>
      </c>
      <c r="I223" s="1" t="s">
        <v>8</v>
      </c>
      <c r="J223" s="40"/>
      <c r="N223" s="10" t="str">
        <f t="shared" si="9"/>
        <v>Unique</v>
      </c>
    </row>
    <row r="224" spans="1:16" ht="39" hidden="1" thickBot="1" x14ac:dyDescent="0.4">
      <c r="A224" s="3">
        <v>46259.375</v>
      </c>
      <c r="B224" s="1" t="s">
        <v>24</v>
      </c>
      <c r="C224" s="1" t="s">
        <v>7</v>
      </c>
      <c r="D224" s="4">
        <v>20</v>
      </c>
      <c r="E224" s="4">
        <v>472.5</v>
      </c>
      <c r="F224" s="4">
        <v>13.011241330000001</v>
      </c>
      <c r="G224" s="2" t="s">
        <v>56</v>
      </c>
      <c r="H224" s="5">
        <v>418.1</v>
      </c>
      <c r="I224" s="1" t="s">
        <v>8</v>
      </c>
      <c r="J224" s="40" t="s">
        <v>118</v>
      </c>
      <c r="K224" s="18" t="s">
        <v>163</v>
      </c>
      <c r="L224" s="18">
        <v>8800</v>
      </c>
      <c r="M224" s="18">
        <f>ABS((D224*E224)-L224)</f>
        <v>650</v>
      </c>
      <c r="N224" s="10" t="str">
        <f t="shared" si="9"/>
        <v>Unique</v>
      </c>
      <c r="O224" s="35"/>
    </row>
    <row r="225" spans="1:16" ht="26.5" hidden="1" thickBot="1" x14ac:dyDescent="0.4">
      <c r="A225" s="3">
        <v>46258.629861111112</v>
      </c>
      <c r="B225" s="1" t="s">
        <v>17</v>
      </c>
      <c r="C225" s="1" t="s">
        <v>7</v>
      </c>
      <c r="D225" s="4">
        <v>25</v>
      </c>
      <c r="E225" s="4">
        <v>392.5</v>
      </c>
      <c r="F225" s="4">
        <v>13.128692900000001</v>
      </c>
      <c r="G225" s="2" t="s">
        <v>77</v>
      </c>
      <c r="H225" s="5">
        <v>346.95</v>
      </c>
      <c r="I225" s="1" t="s">
        <v>8</v>
      </c>
      <c r="J225" s="18" t="s">
        <v>118</v>
      </c>
      <c r="K225" s="18" t="s">
        <v>157</v>
      </c>
      <c r="L225" s="18">
        <v>9312.5</v>
      </c>
      <c r="M225" s="18">
        <f>ABS((D225*E225)-L225)</f>
        <v>500</v>
      </c>
      <c r="N225" s="10" t="str">
        <f t="shared" si="9"/>
        <v>Unique</v>
      </c>
      <c r="O225" s="46" t="s">
        <v>252</v>
      </c>
    </row>
    <row r="226" spans="1:16" s="35" customFormat="1" ht="39" hidden="1" thickBot="1" x14ac:dyDescent="0.4">
      <c r="A226" s="8" t="s">
        <v>62</v>
      </c>
      <c r="B226" s="8" t="s">
        <v>135</v>
      </c>
      <c r="C226" s="8" t="s">
        <v>7</v>
      </c>
      <c r="D226" s="8">
        <v>5</v>
      </c>
      <c r="E226" s="8">
        <v>2190</v>
      </c>
      <c r="F226" s="4">
        <v>13.184143880000001</v>
      </c>
      <c r="G226" s="2" t="s">
        <v>136</v>
      </c>
      <c r="H226" s="5">
        <v>1934.9</v>
      </c>
      <c r="I226" s="1" t="s">
        <v>8</v>
      </c>
      <c r="J226" s="40" t="s">
        <v>118</v>
      </c>
      <c r="K226" s="18"/>
      <c r="L226" s="18"/>
      <c r="M226" s="18"/>
      <c r="N226" s="10" t="str">
        <f t="shared" si="9"/>
        <v>Unique</v>
      </c>
      <c r="P226" s="10"/>
    </row>
    <row r="227" spans="1:16" ht="26.5" hidden="1" thickBot="1" x14ac:dyDescent="0.4">
      <c r="A227" s="11">
        <v>46252.645138888889</v>
      </c>
      <c r="B227" s="8" t="s">
        <v>35</v>
      </c>
      <c r="C227" s="8" t="s">
        <v>7</v>
      </c>
      <c r="D227" s="8">
        <v>200</v>
      </c>
      <c r="E227" s="8">
        <v>232</v>
      </c>
      <c r="F227" s="4">
        <v>13.22596388</v>
      </c>
      <c r="G227" s="2" t="s">
        <v>42</v>
      </c>
      <c r="H227" s="5">
        <v>204.9</v>
      </c>
      <c r="I227" s="1" t="s">
        <v>8</v>
      </c>
      <c r="J227" s="17" t="s">
        <v>117</v>
      </c>
      <c r="N227" s="10" t="str">
        <f t="shared" si="9"/>
        <v>Unique</v>
      </c>
    </row>
    <row r="228" spans="1:16" ht="26.5" hidden="1" thickBot="1" x14ac:dyDescent="0.4">
      <c r="A228" s="8" t="s">
        <v>62</v>
      </c>
      <c r="B228" s="8" t="s">
        <v>123</v>
      </c>
      <c r="C228" s="8" t="s">
        <v>7</v>
      </c>
      <c r="D228" s="8">
        <v>200</v>
      </c>
      <c r="E228" s="8">
        <v>91.75</v>
      </c>
      <c r="F228" s="4">
        <v>13.25762252</v>
      </c>
      <c r="G228" s="2" t="s">
        <v>124</v>
      </c>
      <c r="H228" s="5">
        <v>81.010000000000005</v>
      </c>
      <c r="I228" s="1" t="s">
        <v>8</v>
      </c>
      <c r="J228" s="40"/>
      <c r="N228" s="10" t="str">
        <f t="shared" si="9"/>
        <v>Unique</v>
      </c>
    </row>
    <row r="229" spans="1:16" ht="26.5" hidden="1" thickBot="1" x14ac:dyDescent="0.4">
      <c r="A229" s="11">
        <v>46252.688194444447</v>
      </c>
      <c r="B229" s="8" t="s">
        <v>14</v>
      </c>
      <c r="C229" s="8" t="s">
        <v>7</v>
      </c>
      <c r="D229" s="8">
        <v>50</v>
      </c>
      <c r="E229" s="8">
        <v>357</v>
      </c>
      <c r="F229" s="4">
        <v>13.35132561</v>
      </c>
      <c r="G229" s="2" t="s">
        <v>45</v>
      </c>
      <c r="H229" s="5">
        <v>314.95</v>
      </c>
      <c r="I229" s="1" t="s">
        <v>8</v>
      </c>
      <c r="J229" s="40"/>
      <c r="N229" s="10" t="str">
        <f t="shared" si="9"/>
        <v>Unique</v>
      </c>
      <c r="O229" s="35"/>
    </row>
    <row r="230" spans="1:16" ht="39" hidden="1" thickBot="1" x14ac:dyDescent="0.4">
      <c r="A230" s="8" t="s">
        <v>62</v>
      </c>
      <c r="B230" s="8" t="s">
        <v>51</v>
      </c>
      <c r="C230" s="8" t="s">
        <v>7</v>
      </c>
      <c r="D230" s="8">
        <v>10</v>
      </c>
      <c r="E230" s="13">
        <v>1024</v>
      </c>
      <c r="F230" s="4">
        <v>13.777777779999999</v>
      </c>
      <c r="G230" s="2" t="s">
        <v>52</v>
      </c>
      <c r="H230" s="5">
        <v>900</v>
      </c>
      <c r="I230" s="1" t="s">
        <v>8</v>
      </c>
      <c r="J230" s="40" t="s">
        <v>118</v>
      </c>
      <c r="N230" s="10" t="str">
        <f t="shared" si="9"/>
        <v>Unique</v>
      </c>
    </row>
    <row r="231" spans="1:16" ht="26.5" hidden="1" thickBot="1" x14ac:dyDescent="0.4">
      <c r="A231" s="8" t="s">
        <v>62</v>
      </c>
      <c r="B231" s="8" t="s">
        <v>128</v>
      </c>
      <c r="C231" s="8" t="s">
        <v>7</v>
      </c>
      <c r="D231" s="8">
        <v>150</v>
      </c>
      <c r="E231" s="8">
        <v>129</v>
      </c>
      <c r="F231" s="4">
        <v>13.80679312</v>
      </c>
      <c r="G231" s="2" t="s">
        <v>129</v>
      </c>
      <c r="H231" s="5">
        <v>113.35</v>
      </c>
      <c r="I231" s="1" t="s">
        <v>8</v>
      </c>
      <c r="J231" s="40"/>
      <c r="N231" s="10" t="str">
        <f t="shared" si="9"/>
        <v>Unique</v>
      </c>
    </row>
    <row r="232" spans="1:16" ht="26.5" hidden="1" thickBot="1" x14ac:dyDescent="0.4">
      <c r="A232" s="3">
        <v>46261.375</v>
      </c>
      <c r="B232" s="1" t="s">
        <v>18</v>
      </c>
      <c r="C232" s="1" t="s">
        <v>7</v>
      </c>
      <c r="D232" s="4">
        <v>2</v>
      </c>
      <c r="E232" s="4">
        <v>1970</v>
      </c>
      <c r="F232" s="4">
        <v>13.998032520000001</v>
      </c>
      <c r="G232" s="2" t="s">
        <v>102</v>
      </c>
      <c r="H232" s="5">
        <v>1728.1</v>
      </c>
      <c r="I232" s="1" t="s">
        <v>8</v>
      </c>
      <c r="J232" s="18" t="s">
        <v>117</v>
      </c>
      <c r="K232" s="18" t="s">
        <v>183</v>
      </c>
      <c r="L232" s="18">
        <v>3680</v>
      </c>
      <c r="M232" s="18">
        <f>ABS((D232*E232)-L232)</f>
        <v>260</v>
      </c>
      <c r="N232" s="10" t="str">
        <f t="shared" si="9"/>
        <v>Unique</v>
      </c>
    </row>
    <row r="233" spans="1:16" ht="26.5" hidden="1" thickBot="1" x14ac:dyDescent="0.4">
      <c r="A233" s="8" t="s">
        <v>62</v>
      </c>
      <c r="B233" s="8" t="s">
        <v>9</v>
      </c>
      <c r="C233" s="8" t="s">
        <v>7</v>
      </c>
      <c r="D233" s="8">
        <v>40</v>
      </c>
      <c r="E233" s="8">
        <v>320.5</v>
      </c>
      <c r="F233" s="4">
        <v>14.07723794</v>
      </c>
      <c r="G233" s="2" t="s">
        <v>95</v>
      </c>
      <c r="H233" s="5">
        <v>280.95</v>
      </c>
      <c r="I233" s="1" t="s">
        <v>8</v>
      </c>
      <c r="J233" s="40"/>
      <c r="N233" s="10" t="str">
        <f t="shared" si="9"/>
        <v>Unique</v>
      </c>
    </row>
    <row r="234" spans="1:16" ht="39" hidden="1" thickBot="1" x14ac:dyDescent="0.4">
      <c r="A234" s="3">
        <v>46269.375</v>
      </c>
      <c r="B234" s="1" t="s">
        <v>22</v>
      </c>
      <c r="C234" s="1" t="s">
        <v>7</v>
      </c>
      <c r="D234" s="4">
        <v>5</v>
      </c>
      <c r="E234" s="4">
        <v>471</v>
      </c>
      <c r="F234" s="4">
        <v>14.08501877</v>
      </c>
      <c r="G234" s="2" t="s">
        <v>73</v>
      </c>
      <c r="H234" s="5">
        <v>412.85</v>
      </c>
      <c r="I234" s="1" t="s">
        <v>8</v>
      </c>
      <c r="J234" s="18" t="s">
        <v>118</v>
      </c>
      <c r="K234" s="18" t="s">
        <v>247</v>
      </c>
      <c r="L234" s="18">
        <v>2105</v>
      </c>
      <c r="M234" s="27">
        <f>ABS((D234*E234)-L234)</f>
        <v>250</v>
      </c>
      <c r="N234" t="str">
        <f t="shared" si="9"/>
        <v>Unique</v>
      </c>
    </row>
    <row r="235" spans="1:16" ht="26.5" hidden="1" thickBot="1" x14ac:dyDescent="0.4">
      <c r="A235" s="3">
        <v>46262.375</v>
      </c>
      <c r="B235" s="1" t="s">
        <v>87</v>
      </c>
      <c r="C235" s="1" t="s">
        <v>7</v>
      </c>
      <c r="D235" s="4">
        <v>10</v>
      </c>
      <c r="E235" s="4">
        <v>1360</v>
      </c>
      <c r="F235" s="4">
        <v>14.28571429</v>
      </c>
      <c r="G235" s="2" t="s">
        <v>88</v>
      </c>
      <c r="H235" s="5">
        <v>1190</v>
      </c>
      <c r="I235" s="1" t="s">
        <v>8</v>
      </c>
      <c r="J235" s="18" t="s">
        <v>117</v>
      </c>
      <c r="K235" s="18" t="s">
        <v>194</v>
      </c>
      <c r="L235" s="18">
        <v>13300</v>
      </c>
      <c r="M235" s="18">
        <f>ABS((D235*E235)-L235)</f>
        <v>300</v>
      </c>
      <c r="N235" s="10" t="str">
        <f t="shared" si="9"/>
        <v>Unique</v>
      </c>
    </row>
    <row r="236" spans="1:16" ht="39" hidden="1" thickBot="1" x14ac:dyDescent="0.4">
      <c r="A236" s="11">
        <v>46252.6875</v>
      </c>
      <c r="B236" s="8" t="s">
        <v>27</v>
      </c>
      <c r="C236" s="8" t="s">
        <v>7</v>
      </c>
      <c r="D236" s="8">
        <v>2</v>
      </c>
      <c r="E236" s="8">
        <v>3048</v>
      </c>
      <c r="F236" s="4">
        <v>14.58646617</v>
      </c>
      <c r="G236" s="2" t="s">
        <v>131</v>
      </c>
      <c r="H236" s="5">
        <v>2660</v>
      </c>
      <c r="I236" s="1" t="s">
        <v>8</v>
      </c>
      <c r="J236" s="40" t="s">
        <v>117</v>
      </c>
      <c r="N236" s="10" t="str">
        <f t="shared" si="9"/>
        <v>Unique</v>
      </c>
    </row>
    <row r="237" spans="1:16" ht="26.5" hidden="1" thickBot="1" x14ac:dyDescent="0.4">
      <c r="A237" s="11">
        <v>46252.688194444447</v>
      </c>
      <c r="B237" s="8" t="s">
        <v>14</v>
      </c>
      <c r="C237" s="8" t="s">
        <v>7</v>
      </c>
      <c r="D237" s="8">
        <v>50</v>
      </c>
      <c r="E237" s="8">
        <v>361</v>
      </c>
      <c r="F237" s="4">
        <v>14.62136847</v>
      </c>
      <c r="G237" s="2" t="s">
        <v>45</v>
      </c>
      <c r="H237" s="5">
        <v>314.95</v>
      </c>
      <c r="I237" s="1" t="s">
        <v>8</v>
      </c>
      <c r="J237" s="40"/>
      <c r="N237" s="10" t="str">
        <f t="shared" si="9"/>
        <v>Unique</v>
      </c>
    </row>
    <row r="238" spans="1:16" ht="39" hidden="1" thickBot="1" x14ac:dyDescent="0.4">
      <c r="A238" s="3">
        <v>46266.509722222225</v>
      </c>
      <c r="B238" s="1" t="s">
        <v>11</v>
      </c>
      <c r="C238" s="1" t="s">
        <v>7</v>
      </c>
      <c r="D238" s="4">
        <v>20</v>
      </c>
      <c r="E238" s="4">
        <v>306</v>
      </c>
      <c r="F238" s="4">
        <v>14.67116358</v>
      </c>
      <c r="G238" s="2" t="s">
        <v>99</v>
      </c>
      <c r="H238" s="5">
        <v>266.85000000000002</v>
      </c>
      <c r="I238" s="1" t="s">
        <v>8</v>
      </c>
      <c r="J238" s="18" t="s">
        <v>118</v>
      </c>
      <c r="K238" s="18" t="s">
        <v>215</v>
      </c>
      <c r="L238" s="18">
        <v>5820</v>
      </c>
      <c r="M238" s="18">
        <f>ABS((D238*E238)-L238)</f>
        <v>300</v>
      </c>
      <c r="N238" s="10" t="str">
        <f t="shared" si="9"/>
        <v>Unique</v>
      </c>
    </row>
    <row r="239" spans="1:16" ht="26.5" hidden="1" thickBot="1" x14ac:dyDescent="0.4">
      <c r="A239" s="11">
        <v>46252.635416666664</v>
      </c>
      <c r="B239" s="8" t="s">
        <v>35</v>
      </c>
      <c r="C239" s="8" t="s">
        <v>7</v>
      </c>
      <c r="D239" s="8">
        <v>200</v>
      </c>
      <c r="E239" s="8">
        <v>235</v>
      </c>
      <c r="F239" s="4">
        <v>14.69009273</v>
      </c>
      <c r="G239" s="2" t="s">
        <v>42</v>
      </c>
      <c r="H239" s="5">
        <v>204.9</v>
      </c>
      <c r="I239" s="1" t="s">
        <v>8</v>
      </c>
      <c r="J239" s="45" t="s">
        <v>55</v>
      </c>
      <c r="N239" s="10" t="str">
        <f t="shared" si="9"/>
        <v>Unique</v>
      </c>
    </row>
    <row r="240" spans="1:16" ht="26.5" hidden="1" thickBot="1" x14ac:dyDescent="0.4">
      <c r="A240" s="8" t="s">
        <v>62</v>
      </c>
      <c r="B240" s="8" t="s">
        <v>121</v>
      </c>
      <c r="C240" s="8" t="s">
        <v>7</v>
      </c>
      <c r="D240" s="8">
        <v>10</v>
      </c>
      <c r="E240" s="8">
        <v>816</v>
      </c>
      <c r="F240" s="4">
        <v>14.71146412</v>
      </c>
      <c r="G240" s="2" t="s">
        <v>122</v>
      </c>
      <c r="H240" s="5">
        <v>711.35</v>
      </c>
      <c r="I240" s="1" t="s">
        <v>8</v>
      </c>
      <c r="J240" s="40" t="s">
        <v>117</v>
      </c>
      <c r="N240" s="10" t="str">
        <f t="shared" si="9"/>
        <v>Unique</v>
      </c>
      <c r="P240" s="35"/>
    </row>
    <row r="241" spans="1:16" ht="26.5" hidden="1" thickBot="1" x14ac:dyDescent="0.4">
      <c r="A241" s="3">
        <v>46260.375</v>
      </c>
      <c r="B241" s="1" t="s">
        <v>13</v>
      </c>
      <c r="C241" s="1" t="s">
        <v>7</v>
      </c>
      <c r="D241" s="4">
        <v>5</v>
      </c>
      <c r="E241" s="4">
        <v>1994</v>
      </c>
      <c r="F241" s="4">
        <v>14.72957422</v>
      </c>
      <c r="G241" s="2" t="s">
        <v>91</v>
      </c>
      <c r="H241" s="5">
        <v>1738</v>
      </c>
      <c r="I241" s="1" t="s">
        <v>8</v>
      </c>
      <c r="J241" s="18" t="s">
        <v>118</v>
      </c>
      <c r="K241" s="18" t="s">
        <v>174</v>
      </c>
      <c r="L241" s="18">
        <v>9320</v>
      </c>
      <c r="M241" s="18">
        <f>ABS((D241*E241)-L241)</f>
        <v>650</v>
      </c>
      <c r="N241" t="str">
        <f t="shared" si="9"/>
        <v>Unique</v>
      </c>
      <c r="P241" s="35"/>
    </row>
    <row r="242" spans="1:16" ht="26.5" hidden="1" thickBot="1" x14ac:dyDescent="0.4">
      <c r="A242" s="8" t="s">
        <v>62</v>
      </c>
      <c r="B242" s="8" t="s">
        <v>6</v>
      </c>
      <c r="C242" s="8" t="s">
        <v>7</v>
      </c>
      <c r="D242" s="8">
        <v>120</v>
      </c>
      <c r="E242" s="8">
        <v>300.5</v>
      </c>
      <c r="F242" s="4">
        <v>15.134099620000001</v>
      </c>
      <c r="G242" s="2" t="s">
        <v>130</v>
      </c>
      <c r="H242" s="5">
        <v>261</v>
      </c>
      <c r="I242" s="1" t="s">
        <v>8</v>
      </c>
      <c r="J242" s="40" t="s">
        <v>118</v>
      </c>
      <c r="N242" s="10" t="str">
        <f t="shared" si="9"/>
        <v>Unique</v>
      </c>
    </row>
    <row r="243" spans="1:16" ht="26.5" hidden="1" thickBot="1" x14ac:dyDescent="0.4">
      <c r="A243" s="11">
        <v>46252.6875</v>
      </c>
      <c r="B243" s="8" t="s">
        <v>13</v>
      </c>
      <c r="C243" s="8" t="s">
        <v>7</v>
      </c>
      <c r="D243" s="8">
        <v>5</v>
      </c>
      <c r="E243" s="8">
        <v>2014</v>
      </c>
      <c r="F243" s="4">
        <v>15.880322209999999</v>
      </c>
      <c r="G243" s="2" t="s">
        <v>91</v>
      </c>
      <c r="H243" s="5">
        <v>1738</v>
      </c>
      <c r="I243" s="1" t="s">
        <v>8</v>
      </c>
      <c r="J243" s="40" t="s">
        <v>118</v>
      </c>
      <c r="N243" s="10" t="str">
        <f t="shared" si="9"/>
        <v>Unique</v>
      </c>
      <c r="O243" s="35"/>
    </row>
    <row r="244" spans="1:16" ht="26.5" hidden="1" thickBot="1" x14ac:dyDescent="0.4">
      <c r="A244" s="11">
        <v>46252.688194444447</v>
      </c>
      <c r="B244" s="8" t="s">
        <v>14</v>
      </c>
      <c r="C244" s="8" t="s">
        <v>7</v>
      </c>
      <c r="D244" s="8">
        <v>50</v>
      </c>
      <c r="E244" s="8">
        <v>365</v>
      </c>
      <c r="F244" s="4">
        <v>15.891411339999999</v>
      </c>
      <c r="G244" s="2" t="s">
        <v>45</v>
      </c>
      <c r="H244" s="5">
        <v>314.95</v>
      </c>
      <c r="I244" s="1" t="s">
        <v>8</v>
      </c>
      <c r="J244" s="40" t="s">
        <v>118</v>
      </c>
      <c r="N244" s="10" t="str">
        <f t="shared" si="9"/>
        <v>Unique</v>
      </c>
    </row>
    <row r="245" spans="1:16" s="35" customFormat="1" ht="26.5" hidden="1" thickBot="1" x14ac:dyDescent="0.4">
      <c r="A245" s="8" t="s">
        <v>62</v>
      </c>
      <c r="B245" s="8" t="s">
        <v>138</v>
      </c>
      <c r="C245" s="8" t="s">
        <v>7</v>
      </c>
      <c r="D245" s="8">
        <v>50</v>
      </c>
      <c r="E245" s="12">
        <v>480</v>
      </c>
      <c r="F245" s="4">
        <v>15.956033339999999</v>
      </c>
      <c r="G245" s="2" t="s">
        <v>139</v>
      </c>
      <c r="H245" s="5">
        <v>413.95</v>
      </c>
      <c r="I245" s="1" t="s">
        <v>8</v>
      </c>
      <c r="J245" s="40"/>
      <c r="K245" s="18"/>
      <c r="L245" s="18"/>
      <c r="M245" s="18"/>
      <c r="N245" s="10" t="str">
        <f t="shared" si="9"/>
        <v>Unique</v>
      </c>
      <c r="O245" s="10"/>
      <c r="P245" s="10"/>
    </row>
    <row r="246" spans="1:16" ht="26.5" hidden="1" thickBot="1" x14ac:dyDescent="0.4">
      <c r="A246" s="8" t="s">
        <v>62</v>
      </c>
      <c r="B246" s="8" t="s">
        <v>26</v>
      </c>
      <c r="C246" s="8" t="s">
        <v>7</v>
      </c>
      <c r="D246" s="8">
        <v>25</v>
      </c>
      <c r="E246" s="8">
        <v>199.9</v>
      </c>
      <c r="F246" s="4">
        <v>15.984914420000001</v>
      </c>
      <c r="G246" s="2" t="s">
        <v>132</v>
      </c>
      <c r="H246" s="5">
        <v>172.35</v>
      </c>
      <c r="I246" s="1" t="s">
        <v>8</v>
      </c>
      <c r="J246" s="40" t="s">
        <v>117</v>
      </c>
      <c r="N246" s="10" t="str">
        <f t="shared" si="9"/>
        <v>Unique</v>
      </c>
    </row>
    <row r="247" spans="1:16" ht="26.5" hidden="1" thickBot="1" x14ac:dyDescent="0.4">
      <c r="A247" s="3">
        <v>46265.415277777778</v>
      </c>
      <c r="B247" s="1" t="s">
        <v>16</v>
      </c>
      <c r="C247" s="1" t="s">
        <v>7</v>
      </c>
      <c r="D247" s="4">
        <v>5</v>
      </c>
      <c r="E247" s="4">
        <v>948</v>
      </c>
      <c r="F247" s="4">
        <v>16.183589680000001</v>
      </c>
      <c r="G247" s="2" t="s">
        <v>61</v>
      </c>
      <c r="H247" s="5">
        <v>815.95</v>
      </c>
      <c r="I247" s="1" t="s">
        <v>8</v>
      </c>
      <c r="J247" s="18" t="s">
        <v>118</v>
      </c>
      <c r="K247" s="18" t="s">
        <v>201</v>
      </c>
      <c r="L247" s="18">
        <v>4455</v>
      </c>
      <c r="M247" s="18">
        <f>ABS((D247*E247)-L247)</f>
        <v>285</v>
      </c>
      <c r="N247" t="str">
        <f t="shared" si="9"/>
        <v>Unique</v>
      </c>
    </row>
    <row r="248" spans="1:16" ht="26.5" hidden="1" thickBot="1" x14ac:dyDescent="0.4">
      <c r="A248" s="3">
        <v>46266.375</v>
      </c>
      <c r="B248" s="1" t="s">
        <v>16</v>
      </c>
      <c r="C248" s="1" t="s">
        <v>7</v>
      </c>
      <c r="D248" s="4">
        <v>11</v>
      </c>
      <c r="E248" s="4">
        <v>948</v>
      </c>
      <c r="F248" s="4">
        <v>16.183589680000001</v>
      </c>
      <c r="G248" s="2" t="s">
        <v>61</v>
      </c>
      <c r="H248" s="5">
        <v>815.95</v>
      </c>
      <c r="I248" s="1" t="s">
        <v>8</v>
      </c>
      <c r="J248" s="18" t="s">
        <v>117</v>
      </c>
      <c r="K248" s="18" t="s">
        <v>219</v>
      </c>
      <c r="L248" s="18">
        <v>9702</v>
      </c>
      <c r="M248" s="18">
        <f>ABS((D248*E248)-L248)</f>
        <v>726</v>
      </c>
      <c r="N248" s="10" t="str">
        <f t="shared" si="9"/>
        <v>Unique</v>
      </c>
    </row>
    <row r="249" spans="1:16" ht="26.5" hidden="1" thickBot="1" x14ac:dyDescent="0.4">
      <c r="A249" s="11">
        <v>46252.635416666664</v>
      </c>
      <c r="B249" s="8" t="s">
        <v>35</v>
      </c>
      <c r="C249" s="8" t="s">
        <v>7</v>
      </c>
      <c r="D249" s="8">
        <v>120</v>
      </c>
      <c r="E249" s="8">
        <v>238.2</v>
      </c>
      <c r="F249" s="4">
        <v>16.251830160000001</v>
      </c>
      <c r="G249" s="2" t="s">
        <v>42</v>
      </c>
      <c r="H249" s="5">
        <v>204.9</v>
      </c>
      <c r="I249" s="1" t="s">
        <v>8</v>
      </c>
      <c r="J249" s="40" t="s">
        <v>118</v>
      </c>
      <c r="K249" s="18" t="s">
        <v>146</v>
      </c>
      <c r="N249" s="10" t="str">
        <f t="shared" si="9"/>
        <v>Unique</v>
      </c>
    </row>
    <row r="250" spans="1:16" ht="26.5" hidden="1" thickBot="1" x14ac:dyDescent="0.4">
      <c r="A250" s="8" t="s">
        <v>62</v>
      </c>
      <c r="B250" s="8" t="s">
        <v>133</v>
      </c>
      <c r="C250" s="8" t="s">
        <v>7</v>
      </c>
      <c r="D250" s="8">
        <v>150</v>
      </c>
      <c r="E250" s="12">
        <v>129.9</v>
      </c>
      <c r="F250" s="4">
        <v>16.283233370000001</v>
      </c>
      <c r="G250" s="2" t="s">
        <v>134</v>
      </c>
      <c r="H250" s="5">
        <v>111.71</v>
      </c>
      <c r="I250" s="1" t="s">
        <v>8</v>
      </c>
      <c r="J250" s="40"/>
      <c r="N250" s="10" t="str">
        <f t="shared" si="9"/>
        <v>Unique</v>
      </c>
    </row>
    <row r="251" spans="1:16" ht="26.5" hidden="1" thickBot="1" x14ac:dyDescent="0.4">
      <c r="A251" s="8" t="s">
        <v>62</v>
      </c>
      <c r="B251" s="8" t="s">
        <v>35</v>
      </c>
      <c r="C251" s="8" t="s">
        <v>7</v>
      </c>
      <c r="D251" s="8">
        <v>200</v>
      </c>
      <c r="E251" s="8">
        <v>239</v>
      </c>
      <c r="F251" s="4">
        <v>16.642264520000001</v>
      </c>
      <c r="G251" s="2" t="s">
        <v>42</v>
      </c>
      <c r="H251" s="5">
        <v>204.9</v>
      </c>
      <c r="I251" s="1" t="s">
        <v>8</v>
      </c>
      <c r="J251" s="40"/>
      <c r="N251" s="10" t="str">
        <f t="shared" si="9"/>
        <v>Unique</v>
      </c>
    </row>
    <row r="252" spans="1:16" ht="39" hidden="1" thickBot="1" x14ac:dyDescent="0.4">
      <c r="A252" s="8" t="s">
        <v>62</v>
      </c>
      <c r="B252" s="8" t="s">
        <v>28</v>
      </c>
      <c r="C252" s="8" t="s">
        <v>7</v>
      </c>
      <c r="D252" s="8">
        <v>30</v>
      </c>
      <c r="E252" s="13">
        <v>974</v>
      </c>
      <c r="F252" s="4">
        <v>16.646706590000001</v>
      </c>
      <c r="G252" s="2" t="s">
        <v>125</v>
      </c>
      <c r="H252" s="5">
        <v>835</v>
      </c>
      <c r="I252" s="1" t="s">
        <v>8</v>
      </c>
      <c r="J252" s="40"/>
      <c r="N252" s="10" t="str">
        <f t="shared" si="9"/>
        <v>Unique</v>
      </c>
    </row>
    <row r="253" spans="1:16" ht="26.5" hidden="1" thickBot="1" x14ac:dyDescent="0.4">
      <c r="A253" s="3">
        <v>46260.375</v>
      </c>
      <c r="B253" s="1" t="s">
        <v>87</v>
      </c>
      <c r="C253" s="1" t="s">
        <v>7</v>
      </c>
      <c r="D253" s="4">
        <v>10</v>
      </c>
      <c r="E253" s="4">
        <v>1390</v>
      </c>
      <c r="F253" s="4">
        <v>16.806722690000001</v>
      </c>
      <c r="G253" s="2" t="s">
        <v>88</v>
      </c>
      <c r="H253" s="5">
        <v>1190</v>
      </c>
      <c r="I253" s="1" t="s">
        <v>8</v>
      </c>
      <c r="J253" s="18" t="s">
        <v>117</v>
      </c>
      <c r="K253" s="18" t="s">
        <v>175</v>
      </c>
      <c r="L253" s="18">
        <v>13600</v>
      </c>
      <c r="M253" s="18">
        <f>ABS((D253*E253)-L253)</f>
        <v>300</v>
      </c>
      <c r="N253" t="str">
        <f t="shared" si="9"/>
        <v>Unique</v>
      </c>
    </row>
    <row r="254" spans="1:16" s="35" customFormat="1" ht="39" hidden="1" thickBot="1" x14ac:dyDescent="0.4">
      <c r="A254" s="20">
        <v>46255</v>
      </c>
      <c r="B254" s="1" t="s">
        <v>20</v>
      </c>
      <c r="C254" s="1" t="s">
        <v>7</v>
      </c>
      <c r="D254" s="4">
        <v>20</v>
      </c>
      <c r="E254" s="4">
        <v>147</v>
      </c>
      <c r="F254" s="4">
        <v>17.421519289999999</v>
      </c>
      <c r="G254" s="2" t="s">
        <v>86</v>
      </c>
      <c r="H254" s="5">
        <v>125.19</v>
      </c>
      <c r="I254" s="1" t="s">
        <v>8</v>
      </c>
      <c r="J254" s="18" t="s">
        <v>55</v>
      </c>
      <c r="K254" s="18" t="s">
        <v>151</v>
      </c>
      <c r="L254" s="18">
        <v>2640</v>
      </c>
      <c r="M254" s="18">
        <f>ABS((D254*E254)-L254)</f>
        <v>300</v>
      </c>
      <c r="N254" s="10" t="str">
        <f t="shared" si="9"/>
        <v>Unique</v>
      </c>
      <c r="O254" s="10"/>
      <c r="P254" s="10"/>
    </row>
    <row r="255" spans="1:16" ht="26.5" hidden="1" thickBot="1" x14ac:dyDescent="0.4">
      <c r="A255" s="8" t="s">
        <v>62</v>
      </c>
      <c r="B255" s="8" t="s">
        <v>63</v>
      </c>
      <c r="C255" s="8" t="s">
        <v>7</v>
      </c>
      <c r="D255" s="8">
        <v>11</v>
      </c>
      <c r="E255" s="12">
        <v>1170</v>
      </c>
      <c r="F255" s="4">
        <v>17.446295920000001</v>
      </c>
      <c r="G255" s="2" t="s">
        <v>64</v>
      </c>
      <c r="H255" s="5">
        <v>996.2</v>
      </c>
      <c r="I255" s="1" t="s">
        <v>8</v>
      </c>
      <c r="J255" s="40"/>
      <c r="N255" s="10" t="str">
        <f t="shared" si="9"/>
        <v>Unique</v>
      </c>
    </row>
    <row r="256" spans="1:16" ht="26.5" hidden="1" thickBot="1" x14ac:dyDescent="0.4">
      <c r="A256" s="3">
        <v>46265.375694444447</v>
      </c>
      <c r="B256" s="1" t="s">
        <v>16</v>
      </c>
      <c r="C256" s="1" t="s">
        <v>7</v>
      </c>
      <c r="D256" s="4">
        <v>5</v>
      </c>
      <c r="E256" s="4">
        <v>961</v>
      </c>
      <c r="F256" s="4">
        <v>17.776824560000001</v>
      </c>
      <c r="G256" s="2" t="s">
        <v>61</v>
      </c>
      <c r="H256" s="5">
        <v>815.95</v>
      </c>
      <c r="I256" s="1" t="s">
        <v>8</v>
      </c>
      <c r="J256" s="18" t="s">
        <v>118</v>
      </c>
      <c r="K256" s="18" t="s">
        <v>206</v>
      </c>
      <c r="L256" s="18">
        <v>4530</v>
      </c>
      <c r="M256" s="18">
        <f>ABS((D256*E256)-L256)</f>
        <v>275</v>
      </c>
      <c r="N256" t="str">
        <f t="shared" si="9"/>
        <v>Unique</v>
      </c>
    </row>
    <row r="257" spans="1:16" ht="39" hidden="1" thickBot="1" x14ac:dyDescent="0.4">
      <c r="A257" s="8" t="s">
        <v>62</v>
      </c>
      <c r="B257" s="8" t="s">
        <v>28</v>
      </c>
      <c r="C257" s="8" t="s">
        <v>7</v>
      </c>
      <c r="D257" s="8">
        <v>5</v>
      </c>
      <c r="E257" s="12">
        <v>986</v>
      </c>
      <c r="F257" s="4">
        <v>18.083832340000001</v>
      </c>
      <c r="G257" s="2" t="s">
        <v>125</v>
      </c>
      <c r="H257" s="5">
        <v>835</v>
      </c>
      <c r="I257" s="1" t="s">
        <v>8</v>
      </c>
      <c r="J257" s="40"/>
      <c r="N257" s="10" t="str">
        <f t="shared" si="9"/>
        <v>Unique</v>
      </c>
    </row>
    <row r="258" spans="1:16" ht="26.5" hidden="1" thickBot="1" x14ac:dyDescent="0.4">
      <c r="A258" s="11">
        <v>46252.6875</v>
      </c>
      <c r="B258" s="8" t="s">
        <v>15</v>
      </c>
      <c r="C258" s="8" t="s">
        <v>7</v>
      </c>
      <c r="D258" s="8">
        <v>10</v>
      </c>
      <c r="E258" s="8">
        <v>2896</v>
      </c>
      <c r="F258" s="4">
        <v>18.348998770000001</v>
      </c>
      <c r="G258" s="2" t="s">
        <v>72</v>
      </c>
      <c r="H258" s="5">
        <v>2447</v>
      </c>
      <c r="I258" s="1" t="s">
        <v>8</v>
      </c>
      <c r="J258" s="40" t="s">
        <v>118</v>
      </c>
      <c r="N258" s="10" t="str">
        <f t="shared" ref="N258:N291" si="10">IF(COUNTIFS( $B$2:$B$767, B258, $C$2:$C$767, C258, $D$2:$D$767, D258, $E$2:$E$767, E258) &gt; 1, "Duplicate", "Unique")</f>
        <v>Unique</v>
      </c>
    </row>
    <row r="259" spans="1:16" ht="26.5" hidden="1" thickBot="1" x14ac:dyDescent="0.4">
      <c r="A259" s="8" t="s">
        <v>62</v>
      </c>
      <c r="B259" s="8" t="s">
        <v>14</v>
      </c>
      <c r="C259" s="8" t="s">
        <v>7</v>
      </c>
      <c r="D259" s="8">
        <v>17</v>
      </c>
      <c r="E259" s="8">
        <v>373</v>
      </c>
      <c r="F259" s="4">
        <v>18.431497060000002</v>
      </c>
      <c r="G259" s="2" t="s">
        <v>45</v>
      </c>
      <c r="H259" s="5">
        <v>314.95</v>
      </c>
      <c r="I259" s="1" t="s">
        <v>8</v>
      </c>
      <c r="J259" s="40"/>
      <c r="N259" s="10" t="str">
        <f t="shared" si="10"/>
        <v>Unique</v>
      </c>
    </row>
    <row r="260" spans="1:16" ht="26.5" hidden="1" thickBot="1" x14ac:dyDescent="0.4">
      <c r="A260" s="8" t="s">
        <v>62</v>
      </c>
      <c r="B260" s="8" t="s">
        <v>14</v>
      </c>
      <c r="C260" s="8" t="s">
        <v>7</v>
      </c>
      <c r="D260" s="8">
        <v>50</v>
      </c>
      <c r="E260" s="12">
        <v>373</v>
      </c>
      <c r="F260" s="4">
        <v>18.431497060000002</v>
      </c>
      <c r="G260" s="2" t="s">
        <v>45</v>
      </c>
      <c r="H260" s="5">
        <v>314.95</v>
      </c>
      <c r="I260" s="1" t="s">
        <v>8</v>
      </c>
      <c r="J260" s="40" t="s">
        <v>118</v>
      </c>
      <c r="N260" s="10" t="str">
        <f t="shared" si="10"/>
        <v>Unique</v>
      </c>
      <c r="O260" s="35"/>
    </row>
    <row r="261" spans="1:16" ht="26.5" hidden="1" thickBot="1" x14ac:dyDescent="0.4">
      <c r="A261" s="11">
        <v>46252.6875</v>
      </c>
      <c r="B261" s="8" t="s">
        <v>15</v>
      </c>
      <c r="C261" s="8" t="s">
        <v>7</v>
      </c>
      <c r="D261" s="8">
        <v>10</v>
      </c>
      <c r="E261" s="8">
        <v>2908</v>
      </c>
      <c r="F261" s="4">
        <v>18.83939518</v>
      </c>
      <c r="G261" s="2" t="s">
        <v>72</v>
      </c>
      <c r="H261" s="5">
        <v>2447</v>
      </c>
      <c r="I261" s="1" t="s">
        <v>8</v>
      </c>
      <c r="J261" s="40" t="s">
        <v>118</v>
      </c>
      <c r="N261" s="10" t="str">
        <f t="shared" si="10"/>
        <v>Unique</v>
      </c>
    </row>
    <row r="262" spans="1:16" ht="26.5" hidden="1" thickBot="1" x14ac:dyDescent="0.4">
      <c r="A262" s="3">
        <v>46260.634027777778</v>
      </c>
      <c r="B262" s="1" t="s">
        <v>29</v>
      </c>
      <c r="C262" s="1" t="s">
        <v>7</v>
      </c>
      <c r="D262" s="4">
        <v>5</v>
      </c>
      <c r="E262" s="4">
        <v>4148</v>
      </c>
      <c r="F262" s="4">
        <v>18.850462740000001</v>
      </c>
      <c r="G262" s="2" t="s">
        <v>137</v>
      </c>
      <c r="H262" s="5">
        <v>3490.1</v>
      </c>
      <c r="I262" s="1" t="s">
        <v>8</v>
      </c>
      <c r="J262" s="18" t="s">
        <v>118</v>
      </c>
      <c r="K262" s="18" t="s">
        <v>170</v>
      </c>
      <c r="L262" s="18">
        <v>20260</v>
      </c>
      <c r="M262" s="18">
        <f>ABS((D262*E262)-L262)</f>
        <v>480</v>
      </c>
      <c r="N262" t="str">
        <f t="shared" si="10"/>
        <v>Unique</v>
      </c>
    </row>
    <row r="263" spans="1:16" ht="26.5" hidden="1" thickBot="1" x14ac:dyDescent="0.4">
      <c r="A263" s="8" t="s">
        <v>62</v>
      </c>
      <c r="B263" s="8" t="s">
        <v>57</v>
      </c>
      <c r="C263" s="8" t="s">
        <v>7</v>
      </c>
      <c r="D263" s="8">
        <v>3</v>
      </c>
      <c r="E263" s="12">
        <v>3341</v>
      </c>
      <c r="F263" s="4">
        <v>18.854500179999999</v>
      </c>
      <c r="G263" s="2" t="s">
        <v>58</v>
      </c>
      <c r="H263" s="5">
        <v>2811</v>
      </c>
      <c r="I263" s="1" t="s">
        <v>8</v>
      </c>
      <c r="J263" s="40"/>
      <c r="N263" s="10" t="str">
        <f t="shared" si="10"/>
        <v>Unique</v>
      </c>
      <c r="P263" s="35"/>
    </row>
    <row r="264" spans="1:16" ht="39" hidden="1" thickBot="1" x14ac:dyDescent="0.4">
      <c r="A264" s="8" t="s">
        <v>62</v>
      </c>
      <c r="B264" s="8" t="s">
        <v>126</v>
      </c>
      <c r="C264" s="8" t="s">
        <v>7</v>
      </c>
      <c r="D264" s="8">
        <v>5</v>
      </c>
      <c r="E264" s="8">
        <v>596</v>
      </c>
      <c r="F264" s="4">
        <v>18.962075850000002</v>
      </c>
      <c r="G264" s="2" t="s">
        <v>127</v>
      </c>
      <c r="H264" s="5">
        <v>501</v>
      </c>
      <c r="I264" s="1" t="s">
        <v>8</v>
      </c>
      <c r="J264" s="40"/>
      <c r="N264" s="10" t="str">
        <f t="shared" si="10"/>
        <v>Unique</v>
      </c>
    </row>
    <row r="265" spans="1:16" ht="26.5" hidden="1" thickBot="1" x14ac:dyDescent="0.4">
      <c r="A265" s="8" t="s">
        <v>62</v>
      </c>
      <c r="B265" s="8" t="s">
        <v>6</v>
      </c>
      <c r="C265" s="8" t="s">
        <v>7</v>
      </c>
      <c r="D265" s="8">
        <v>100</v>
      </c>
      <c r="E265" s="8">
        <v>310.5</v>
      </c>
      <c r="F265" s="4">
        <v>18.96551724</v>
      </c>
      <c r="G265" s="2" t="s">
        <v>130</v>
      </c>
      <c r="H265" s="5">
        <v>261</v>
      </c>
      <c r="I265" s="1" t="s">
        <v>8</v>
      </c>
      <c r="J265" s="40" t="s">
        <v>118</v>
      </c>
      <c r="N265" s="10" t="str">
        <f t="shared" si="10"/>
        <v>Unique</v>
      </c>
    </row>
    <row r="266" spans="1:16" ht="26.5" hidden="1" thickBot="1" x14ac:dyDescent="0.4">
      <c r="A266" s="3">
        <v>46260.557638888888</v>
      </c>
      <c r="B266" s="1" t="s">
        <v>16</v>
      </c>
      <c r="C266" s="1" t="s">
        <v>7</v>
      </c>
      <c r="D266" s="4">
        <v>5</v>
      </c>
      <c r="E266" s="4">
        <v>971</v>
      </c>
      <c r="F266" s="4">
        <v>19.00238985</v>
      </c>
      <c r="G266" s="2" t="s">
        <v>61</v>
      </c>
      <c r="H266" s="5">
        <v>815.95</v>
      </c>
      <c r="I266" s="1" t="s">
        <v>8</v>
      </c>
      <c r="J266" s="18" t="s">
        <v>118</v>
      </c>
      <c r="K266" s="18" t="s">
        <v>166</v>
      </c>
      <c r="L266" s="18">
        <v>4605</v>
      </c>
      <c r="M266" s="18">
        <f>ABS((D266*E266)-L266)</f>
        <v>250</v>
      </c>
      <c r="N266" t="str">
        <f t="shared" si="10"/>
        <v>Unique</v>
      </c>
      <c r="P266" s="35"/>
    </row>
    <row r="267" spans="1:16" ht="26.5" hidden="1" thickBot="1" x14ac:dyDescent="0.4">
      <c r="A267" s="8" t="s">
        <v>62</v>
      </c>
      <c r="B267" s="8" t="s">
        <v>35</v>
      </c>
      <c r="C267" s="8" t="s">
        <v>7</v>
      </c>
      <c r="D267" s="8">
        <v>200</v>
      </c>
      <c r="E267" s="12">
        <v>244</v>
      </c>
      <c r="F267" s="4">
        <v>19.082479259999999</v>
      </c>
      <c r="G267" s="2" t="s">
        <v>42</v>
      </c>
      <c r="H267" s="5">
        <v>204.9</v>
      </c>
      <c r="I267" s="1" t="s">
        <v>8</v>
      </c>
      <c r="J267" s="40" t="s">
        <v>117</v>
      </c>
      <c r="N267" s="10" t="str">
        <f t="shared" si="10"/>
        <v>Unique</v>
      </c>
    </row>
    <row r="268" spans="1:16" ht="39" hidden="1" thickBot="1" x14ac:dyDescent="0.4">
      <c r="A268" s="8" t="s">
        <v>62</v>
      </c>
      <c r="B268" s="14" t="s">
        <v>28</v>
      </c>
      <c r="C268" s="8" t="s">
        <v>7</v>
      </c>
      <c r="D268" s="8">
        <v>40</v>
      </c>
      <c r="E268" s="15">
        <v>996</v>
      </c>
      <c r="F268" s="4">
        <v>19.28143713</v>
      </c>
      <c r="G268" s="2" t="s">
        <v>125</v>
      </c>
      <c r="H268" s="5">
        <v>835</v>
      </c>
      <c r="I268" s="1" t="s">
        <v>8</v>
      </c>
      <c r="J268" s="40" t="s">
        <v>118</v>
      </c>
      <c r="N268" s="10" t="str">
        <f t="shared" si="10"/>
        <v>Unique</v>
      </c>
    </row>
    <row r="269" spans="1:16" ht="26.5" hidden="1" thickBot="1" x14ac:dyDescent="0.4">
      <c r="A269" s="8" t="s">
        <v>62</v>
      </c>
      <c r="B269" s="8" t="s">
        <v>138</v>
      </c>
      <c r="C269" s="8" t="s">
        <v>7</v>
      </c>
      <c r="D269" s="8">
        <v>35</v>
      </c>
      <c r="E269" s="13">
        <v>494</v>
      </c>
      <c r="F269" s="4">
        <v>19.338084309999999</v>
      </c>
      <c r="G269" s="2" t="s">
        <v>139</v>
      </c>
      <c r="H269" s="5">
        <v>413.95</v>
      </c>
      <c r="I269" s="1" t="s">
        <v>8</v>
      </c>
      <c r="J269" s="40"/>
      <c r="N269" s="10" t="str">
        <f t="shared" si="10"/>
        <v>Unique</v>
      </c>
    </row>
    <row r="270" spans="1:16" ht="39" hidden="1" thickBot="1" x14ac:dyDescent="0.4">
      <c r="A270" s="3">
        <v>46260.550694444442</v>
      </c>
      <c r="B270" s="1" t="s">
        <v>103</v>
      </c>
      <c r="C270" s="1" t="s">
        <v>7</v>
      </c>
      <c r="D270" s="4">
        <v>2</v>
      </c>
      <c r="E270" s="4">
        <v>2787.9</v>
      </c>
      <c r="F270" s="4">
        <v>19.49849979</v>
      </c>
      <c r="G270" s="2" t="s">
        <v>104</v>
      </c>
      <c r="H270" s="5">
        <v>2333</v>
      </c>
      <c r="I270" s="1" t="s">
        <v>8</v>
      </c>
      <c r="J270" s="18" t="s">
        <v>118</v>
      </c>
      <c r="K270" s="18" t="s">
        <v>169</v>
      </c>
      <c r="L270" s="18">
        <v>5275.8</v>
      </c>
      <c r="M270" s="18">
        <f>ABS((D270*E270)-L270)</f>
        <v>300</v>
      </c>
      <c r="N270" t="str">
        <f t="shared" si="10"/>
        <v>Unique</v>
      </c>
    </row>
    <row r="271" spans="1:16" ht="26.5" hidden="1" thickBot="1" x14ac:dyDescent="0.4">
      <c r="A271" s="8" t="s">
        <v>62</v>
      </c>
      <c r="B271" s="8" t="s">
        <v>17</v>
      </c>
      <c r="C271" s="8" t="s">
        <v>7</v>
      </c>
      <c r="D271" s="8">
        <v>5</v>
      </c>
      <c r="E271" s="12">
        <v>416</v>
      </c>
      <c r="F271" s="4">
        <v>19.90200317</v>
      </c>
      <c r="G271" s="2" t="s">
        <v>77</v>
      </c>
      <c r="H271" s="5">
        <v>346.95</v>
      </c>
      <c r="I271" s="1" t="s">
        <v>8</v>
      </c>
      <c r="J271" s="40"/>
      <c r="N271" s="10" t="str">
        <f t="shared" si="10"/>
        <v>Unique</v>
      </c>
    </row>
    <row r="272" spans="1:16" ht="26.5" hidden="1" thickBot="1" x14ac:dyDescent="0.4">
      <c r="A272" s="8" t="s">
        <v>62</v>
      </c>
      <c r="B272" s="8" t="s">
        <v>128</v>
      </c>
      <c r="C272" s="8" t="s">
        <v>7</v>
      </c>
      <c r="D272" s="8">
        <v>150</v>
      </c>
      <c r="E272" s="12">
        <v>136</v>
      </c>
      <c r="F272" s="4">
        <v>19.98235554</v>
      </c>
      <c r="G272" s="2" t="s">
        <v>129</v>
      </c>
      <c r="H272" s="5">
        <v>113.35</v>
      </c>
      <c r="I272" s="1" t="s">
        <v>8</v>
      </c>
      <c r="J272" s="40"/>
      <c r="N272" s="10" t="str">
        <f t="shared" si="10"/>
        <v>Unique</v>
      </c>
    </row>
    <row r="273" spans="1:16" ht="39" hidden="1" thickBot="1" x14ac:dyDescent="0.4">
      <c r="A273" s="8" t="s">
        <v>62</v>
      </c>
      <c r="B273" s="8" t="s">
        <v>28</v>
      </c>
      <c r="C273" s="8" t="s">
        <v>7</v>
      </c>
      <c r="D273" s="8">
        <v>5</v>
      </c>
      <c r="E273" s="12">
        <v>1002</v>
      </c>
      <c r="F273" s="4">
        <v>20</v>
      </c>
      <c r="G273" s="2" t="s">
        <v>125</v>
      </c>
      <c r="H273" s="5">
        <v>835</v>
      </c>
      <c r="I273" s="1" t="s">
        <v>8</v>
      </c>
      <c r="J273" s="40"/>
      <c r="N273" s="10" t="str">
        <f t="shared" si="10"/>
        <v>Unique</v>
      </c>
      <c r="O273" s="35"/>
    </row>
    <row r="274" spans="1:16" ht="26.5" hidden="1" thickBot="1" x14ac:dyDescent="0.4">
      <c r="A274" s="8" t="s">
        <v>62</v>
      </c>
      <c r="B274" s="8" t="s">
        <v>6</v>
      </c>
      <c r="C274" s="8" t="s">
        <v>7</v>
      </c>
      <c r="D274" s="8">
        <v>100</v>
      </c>
      <c r="E274" s="13">
        <v>314</v>
      </c>
      <c r="F274" s="4">
        <v>20.306513410000001</v>
      </c>
      <c r="G274" s="2" t="s">
        <v>130</v>
      </c>
      <c r="H274" s="5">
        <v>261</v>
      </c>
      <c r="I274" s="1" t="s">
        <v>8</v>
      </c>
      <c r="J274" s="40"/>
      <c r="N274" s="10" t="str">
        <f t="shared" si="10"/>
        <v>Unique</v>
      </c>
    </row>
    <row r="275" spans="1:16" ht="26.5" hidden="1" thickBot="1" x14ac:dyDescent="0.4">
      <c r="A275" s="11">
        <v>46252.6875</v>
      </c>
      <c r="B275" s="8" t="s">
        <v>13</v>
      </c>
      <c r="C275" s="8" t="s">
        <v>7</v>
      </c>
      <c r="D275" s="8">
        <v>5</v>
      </c>
      <c r="E275" s="8">
        <v>2094</v>
      </c>
      <c r="F275" s="4">
        <v>20.483314150000002</v>
      </c>
      <c r="G275" s="2" t="s">
        <v>91</v>
      </c>
      <c r="H275" s="5">
        <v>1738</v>
      </c>
      <c r="I275" s="1" t="s">
        <v>8</v>
      </c>
      <c r="J275" s="40" t="s">
        <v>118</v>
      </c>
      <c r="N275" s="10" t="str">
        <f t="shared" si="10"/>
        <v>Unique</v>
      </c>
    </row>
    <row r="276" spans="1:16" ht="26.5" hidden="1" thickBot="1" x14ac:dyDescent="0.4">
      <c r="A276" s="8" t="s">
        <v>62</v>
      </c>
      <c r="B276" s="8" t="s">
        <v>35</v>
      </c>
      <c r="C276" s="8" t="s">
        <v>7</v>
      </c>
      <c r="D276" s="8">
        <v>200</v>
      </c>
      <c r="E276" s="12">
        <v>249</v>
      </c>
      <c r="F276" s="4">
        <v>21.522694000000001</v>
      </c>
      <c r="G276" s="2" t="s">
        <v>42</v>
      </c>
      <c r="H276" s="5">
        <v>204.9</v>
      </c>
      <c r="I276" s="1" t="s">
        <v>8</v>
      </c>
      <c r="J276" s="40"/>
      <c r="N276" s="10" t="str">
        <f t="shared" si="10"/>
        <v>Unique</v>
      </c>
    </row>
    <row r="277" spans="1:16" ht="39" hidden="1" thickBot="1" x14ac:dyDescent="0.4">
      <c r="A277" s="3">
        <v>46258.375694444447</v>
      </c>
      <c r="B277" s="1" t="s">
        <v>22</v>
      </c>
      <c r="C277" s="1" t="s">
        <v>7</v>
      </c>
      <c r="D277" s="4">
        <v>5</v>
      </c>
      <c r="E277" s="4">
        <v>502</v>
      </c>
      <c r="F277" s="4">
        <v>21.593799199999999</v>
      </c>
      <c r="G277" s="2" t="s">
        <v>73</v>
      </c>
      <c r="H277" s="5">
        <v>412.85</v>
      </c>
      <c r="I277" s="1" t="s">
        <v>8</v>
      </c>
      <c r="J277" s="18" t="s">
        <v>118</v>
      </c>
      <c r="K277" s="18" t="s">
        <v>160</v>
      </c>
      <c r="L277" s="18">
        <v>2260</v>
      </c>
      <c r="M277" s="18">
        <f>ABS((D277*E277)-L277)</f>
        <v>250</v>
      </c>
      <c r="N277" s="10" t="str">
        <f t="shared" si="10"/>
        <v>Unique</v>
      </c>
    </row>
    <row r="278" spans="1:16" ht="26.5" hidden="1" thickBot="1" x14ac:dyDescent="0.4">
      <c r="A278" s="8" t="s">
        <v>62</v>
      </c>
      <c r="B278" s="8" t="s">
        <v>14</v>
      </c>
      <c r="C278" s="8" t="s">
        <v>7</v>
      </c>
      <c r="D278" s="8">
        <v>50</v>
      </c>
      <c r="E278" s="12">
        <v>383</v>
      </c>
      <c r="F278" s="4">
        <v>21.606604220000001</v>
      </c>
      <c r="G278" s="2" t="s">
        <v>45</v>
      </c>
      <c r="H278" s="5">
        <v>314.95</v>
      </c>
      <c r="I278" s="1" t="s">
        <v>8</v>
      </c>
      <c r="J278" s="40"/>
      <c r="N278" s="10" t="str">
        <f t="shared" si="10"/>
        <v>Unique</v>
      </c>
    </row>
    <row r="279" spans="1:16" ht="26.5" hidden="1" thickBot="1" x14ac:dyDescent="0.4">
      <c r="A279" s="8" t="s">
        <v>62</v>
      </c>
      <c r="B279" s="8" t="s">
        <v>13</v>
      </c>
      <c r="C279" s="8" t="s">
        <v>7</v>
      </c>
      <c r="D279" s="8">
        <v>10</v>
      </c>
      <c r="E279" s="8">
        <v>2114</v>
      </c>
      <c r="F279" s="4">
        <v>21.634062140000001</v>
      </c>
      <c r="G279" s="2" t="s">
        <v>91</v>
      </c>
      <c r="H279" s="5">
        <v>1738</v>
      </c>
      <c r="I279" s="1" t="s">
        <v>8</v>
      </c>
      <c r="J279" s="40"/>
      <c r="N279" s="10" t="str">
        <f t="shared" si="10"/>
        <v>Unique</v>
      </c>
      <c r="P279" s="35"/>
    </row>
    <row r="280" spans="1:16" ht="26.5" hidden="1" thickBot="1" x14ac:dyDescent="0.4">
      <c r="A280" s="8" t="s">
        <v>62</v>
      </c>
      <c r="B280" s="8" t="s">
        <v>6</v>
      </c>
      <c r="C280" s="8" t="s">
        <v>7</v>
      </c>
      <c r="D280" s="8">
        <v>100</v>
      </c>
      <c r="E280" s="12">
        <v>318</v>
      </c>
      <c r="F280" s="4">
        <v>21.839080460000002</v>
      </c>
      <c r="G280" s="2" t="s">
        <v>130</v>
      </c>
      <c r="H280" s="5">
        <v>261</v>
      </c>
      <c r="I280" s="1" t="s">
        <v>8</v>
      </c>
      <c r="J280" s="40"/>
      <c r="N280" s="10" t="str">
        <f t="shared" si="10"/>
        <v>Unique</v>
      </c>
    </row>
    <row r="281" spans="1:16" ht="26.5" hidden="1" thickBot="1" x14ac:dyDescent="0.4">
      <c r="A281" s="8" t="s">
        <v>62</v>
      </c>
      <c r="B281" s="8" t="s">
        <v>26</v>
      </c>
      <c r="C281" s="8" t="s">
        <v>7</v>
      </c>
      <c r="D281" s="8">
        <v>25</v>
      </c>
      <c r="E281" s="8">
        <v>210</v>
      </c>
      <c r="F281" s="4">
        <v>21.845082680000001</v>
      </c>
      <c r="G281" s="2" t="s">
        <v>132</v>
      </c>
      <c r="H281" s="5">
        <v>172.35</v>
      </c>
      <c r="I281" s="1" t="s">
        <v>8</v>
      </c>
      <c r="J281" s="40"/>
      <c r="N281" s="10" t="str">
        <f t="shared" si="10"/>
        <v>Unique</v>
      </c>
    </row>
    <row r="282" spans="1:16" ht="26.5" hidden="1" thickBot="1" x14ac:dyDescent="0.4">
      <c r="A282" s="8" t="s">
        <v>62</v>
      </c>
      <c r="B282" s="8" t="s">
        <v>6</v>
      </c>
      <c r="C282" s="8" t="s">
        <v>7</v>
      </c>
      <c r="D282" s="8">
        <v>100</v>
      </c>
      <c r="E282" s="13">
        <v>319</v>
      </c>
      <c r="F282" s="4">
        <v>22.222222219999999</v>
      </c>
      <c r="G282" s="2" t="s">
        <v>130</v>
      </c>
      <c r="H282" s="5">
        <v>261</v>
      </c>
      <c r="I282" s="1" t="s">
        <v>8</v>
      </c>
      <c r="J282" s="40"/>
      <c r="N282" s="10" t="str">
        <f t="shared" si="10"/>
        <v>Unique</v>
      </c>
    </row>
    <row r="283" spans="1:16" ht="26.5" hidden="1" thickBot="1" x14ac:dyDescent="0.4">
      <c r="A283" s="8" t="s">
        <v>62</v>
      </c>
      <c r="B283" s="8" t="s">
        <v>6</v>
      </c>
      <c r="C283" s="8" t="s">
        <v>7</v>
      </c>
      <c r="D283" s="8">
        <v>150</v>
      </c>
      <c r="E283" s="12">
        <v>323</v>
      </c>
      <c r="F283" s="4">
        <v>23.75478927</v>
      </c>
      <c r="G283" s="2" t="s">
        <v>130</v>
      </c>
      <c r="H283" s="5">
        <v>261</v>
      </c>
      <c r="I283" s="1" t="s">
        <v>8</v>
      </c>
      <c r="J283" s="40" t="s">
        <v>118</v>
      </c>
      <c r="N283" s="10" t="str">
        <f t="shared" si="10"/>
        <v>Unique</v>
      </c>
    </row>
    <row r="284" spans="1:16" ht="26.5" hidden="1" thickBot="1" x14ac:dyDescent="0.4">
      <c r="A284" s="11">
        <v>46252.635416666664</v>
      </c>
      <c r="B284" s="8" t="s">
        <v>87</v>
      </c>
      <c r="C284" s="8" t="s">
        <v>7</v>
      </c>
      <c r="D284" s="8">
        <v>10</v>
      </c>
      <c r="E284" s="8">
        <v>1479</v>
      </c>
      <c r="F284" s="4">
        <v>24.285714290000001</v>
      </c>
      <c r="G284" s="2" t="s">
        <v>88</v>
      </c>
      <c r="H284" s="5">
        <v>1190</v>
      </c>
      <c r="I284" s="1" t="s">
        <v>8</v>
      </c>
      <c r="J284" s="40" t="s">
        <v>55</v>
      </c>
      <c r="N284" s="10" t="str">
        <f t="shared" si="10"/>
        <v>Unique</v>
      </c>
    </row>
    <row r="285" spans="1:16" ht="26.5" hidden="1" thickBot="1" x14ac:dyDescent="0.4">
      <c r="A285" s="8" t="s">
        <v>62</v>
      </c>
      <c r="B285" s="8" t="s">
        <v>17</v>
      </c>
      <c r="C285" s="8" t="s">
        <v>7</v>
      </c>
      <c r="D285" s="8">
        <v>5</v>
      </c>
      <c r="E285" s="12">
        <v>435</v>
      </c>
      <c r="F285" s="4">
        <v>25.378296580000001</v>
      </c>
      <c r="G285" s="2" t="s">
        <v>77</v>
      </c>
      <c r="H285" s="5">
        <v>346.95</v>
      </c>
      <c r="I285" s="1" t="s">
        <v>8</v>
      </c>
      <c r="J285" s="40" t="s">
        <v>118</v>
      </c>
      <c r="N285" s="10" t="str">
        <f t="shared" si="10"/>
        <v>Unique</v>
      </c>
    </row>
    <row r="286" spans="1:16" ht="26.5" hidden="1" thickBot="1" x14ac:dyDescent="0.4">
      <c r="A286" s="8" t="s">
        <v>62</v>
      </c>
      <c r="B286" s="8" t="s">
        <v>13</v>
      </c>
      <c r="C286" s="8" t="s">
        <v>7</v>
      </c>
      <c r="D286" s="8">
        <v>10</v>
      </c>
      <c r="E286" s="8">
        <v>2189</v>
      </c>
      <c r="F286" s="4">
        <v>25.949367089999999</v>
      </c>
      <c r="G286" s="2" t="s">
        <v>91</v>
      </c>
      <c r="H286" s="5">
        <v>1738</v>
      </c>
      <c r="I286" s="1" t="s">
        <v>8</v>
      </c>
      <c r="J286" s="40"/>
      <c r="N286" s="10" t="str">
        <f t="shared" si="10"/>
        <v>Unique</v>
      </c>
    </row>
    <row r="287" spans="1:16" ht="39" hidden="1" thickBot="1" x14ac:dyDescent="0.4">
      <c r="A287" s="3">
        <v>46259.532638888886</v>
      </c>
      <c r="B287" s="1" t="s">
        <v>96</v>
      </c>
      <c r="C287" s="1" t="s">
        <v>7</v>
      </c>
      <c r="D287" s="4">
        <v>5</v>
      </c>
      <c r="E287" s="4">
        <v>218</v>
      </c>
      <c r="F287" s="4">
        <v>31.2067409</v>
      </c>
      <c r="G287" s="2" t="s">
        <v>97</v>
      </c>
      <c r="H287" s="5">
        <v>166.15</v>
      </c>
      <c r="I287" s="1" t="s">
        <v>8</v>
      </c>
      <c r="J287" s="40" t="s">
        <v>118</v>
      </c>
      <c r="K287" s="18" t="s">
        <v>162</v>
      </c>
      <c r="L287" s="18">
        <v>840</v>
      </c>
      <c r="M287" s="18">
        <f>ABS((D287*E287)-L287)</f>
        <v>250</v>
      </c>
      <c r="N287" s="10" t="str">
        <f t="shared" si="10"/>
        <v>Unique</v>
      </c>
    </row>
    <row r="288" spans="1:16" ht="26.5" hidden="1" thickBot="1" x14ac:dyDescent="0.4">
      <c r="A288" s="8" t="s">
        <v>62</v>
      </c>
      <c r="B288" s="8" t="s">
        <v>13</v>
      </c>
      <c r="C288" s="8" t="s">
        <v>7</v>
      </c>
      <c r="D288" s="8">
        <v>20</v>
      </c>
      <c r="E288" s="8">
        <v>2310</v>
      </c>
      <c r="F288" s="4">
        <v>32.911392409999998</v>
      </c>
      <c r="G288" s="2" t="s">
        <v>91</v>
      </c>
      <c r="H288" s="5">
        <v>1738</v>
      </c>
      <c r="I288" s="1" t="s">
        <v>8</v>
      </c>
      <c r="J288" s="40"/>
      <c r="N288" s="10" t="str">
        <f t="shared" si="10"/>
        <v>Unique</v>
      </c>
    </row>
    <row r="289" spans="1:15" ht="26.5" hidden="1" thickBot="1" x14ac:dyDescent="0.4">
      <c r="A289" s="8" t="s">
        <v>62</v>
      </c>
      <c r="B289" s="8" t="s">
        <v>13</v>
      </c>
      <c r="C289" s="8" t="s">
        <v>7</v>
      </c>
      <c r="D289" s="8">
        <v>1</v>
      </c>
      <c r="E289" s="8">
        <v>2494</v>
      </c>
      <c r="F289" s="4">
        <v>43.498273879999999</v>
      </c>
      <c r="G289" s="2" t="s">
        <v>91</v>
      </c>
      <c r="H289" s="5">
        <v>1738</v>
      </c>
      <c r="I289" s="1" t="s">
        <v>8</v>
      </c>
      <c r="J289" s="40"/>
      <c r="N289" s="10" t="str">
        <f t="shared" si="10"/>
        <v>Unique</v>
      </c>
    </row>
    <row r="290" spans="1:15" ht="26.5" hidden="1" thickBot="1" x14ac:dyDescent="0.4">
      <c r="A290" s="11">
        <v>46251.506249999999</v>
      </c>
      <c r="B290" s="8" t="s">
        <v>13</v>
      </c>
      <c r="C290" s="8" t="s">
        <v>7</v>
      </c>
      <c r="D290" s="8">
        <v>3</v>
      </c>
      <c r="E290" s="8">
        <v>2494</v>
      </c>
      <c r="F290" s="4">
        <v>43.498273879999999</v>
      </c>
      <c r="G290" s="2" t="s">
        <v>91</v>
      </c>
      <c r="H290" s="5">
        <v>1738</v>
      </c>
      <c r="I290" s="1" t="s">
        <v>8</v>
      </c>
      <c r="J290" s="40"/>
      <c r="N290" s="10" t="str">
        <f t="shared" si="10"/>
        <v>Unique</v>
      </c>
      <c r="O290" s="35"/>
    </row>
    <row r="291" spans="1:15" ht="26.5" hidden="1" thickBot="1" x14ac:dyDescent="0.4">
      <c r="A291" s="8" t="s">
        <v>62</v>
      </c>
      <c r="B291" s="8" t="s">
        <v>141</v>
      </c>
      <c r="C291" s="8" t="s">
        <v>7</v>
      </c>
      <c r="D291" s="8">
        <v>23</v>
      </c>
      <c r="E291" s="12">
        <v>890</v>
      </c>
      <c r="F291" s="6" t="e">
        <v>#N/A</v>
      </c>
      <c r="G291" s="2" t="s">
        <v>142</v>
      </c>
      <c r="H291" s="7" t="e">
        <v>#N/A</v>
      </c>
      <c r="I291" s="1" t="s">
        <v>8</v>
      </c>
      <c r="J291" s="40"/>
      <c r="N291" s="10" t="str">
        <f t="shared" si="10"/>
        <v>Unique</v>
      </c>
    </row>
  </sheetData>
  <autoFilter ref="A1:P291" xr:uid="{00000000-0001-0000-0000-000000000000}">
    <filterColumn colId="2">
      <filters>
        <filter val="B"/>
      </filters>
    </filterColumn>
    <sortState xmlns:xlrd2="http://schemas.microsoft.com/office/spreadsheetml/2017/richdata2" ref="A2:P86">
      <sortCondition descending="1" ref="F1:F29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I2" sqref="I2:J12"/>
    </sheetView>
  </sheetViews>
  <sheetFormatPr defaultRowHeight="14.5" x14ac:dyDescent="0.35"/>
  <cols>
    <col min="1" max="1" width="27.08984375" customWidth="1"/>
    <col min="2" max="2" width="9.8164062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281</v>
      </c>
      <c r="B2" t="s">
        <v>11</v>
      </c>
      <c r="C2" t="s">
        <v>10</v>
      </c>
      <c r="D2">
        <v>20</v>
      </c>
      <c r="E2">
        <v>268.5</v>
      </c>
      <c r="F2" t="s">
        <v>30</v>
      </c>
      <c r="I2" t="str">
        <f>C2 &amp; " " &amp; D2 &amp; "*" &amp; E2 &amp; " :" &amp; A2</f>
        <v>B 20*268.5 :11 SEP 2026 03:04:39 PM</v>
      </c>
      <c r="J2">
        <f>D2*E2</f>
        <v>5370</v>
      </c>
      <c r="L2" t="str">
        <f t="shared" ref="L2:L17" si="0">IF(COUNTIFS( $B$2:$B$906, B2) &gt; 1, "Duplicate", "Unique")</f>
        <v>Unique</v>
      </c>
    </row>
    <row r="3" spans="1:12" x14ac:dyDescent="0.35">
      <c r="A3" t="s">
        <v>282</v>
      </c>
      <c r="B3" t="s">
        <v>80</v>
      </c>
      <c r="C3" t="s">
        <v>10</v>
      </c>
      <c r="D3">
        <v>10</v>
      </c>
      <c r="E3">
        <v>1410</v>
      </c>
      <c r="F3" t="s">
        <v>30</v>
      </c>
      <c r="I3" t="str">
        <f t="shared" ref="I3" si="1">C3 &amp; " " &amp; D3 &amp; "*" &amp; E3 &amp; " :" &amp; A3</f>
        <v>B 10*1410 :11 SEP 2026 10:37:54 AM</v>
      </c>
      <c r="J3">
        <f t="shared" ref="J3" si="2">D3*E3</f>
        <v>14100</v>
      </c>
      <c r="L3" t="str">
        <f t="shared" si="0"/>
        <v>Duplicate</v>
      </c>
    </row>
    <row r="4" spans="1:12" x14ac:dyDescent="0.35">
      <c r="A4" t="s">
        <v>283</v>
      </c>
      <c r="B4" t="s">
        <v>16</v>
      </c>
      <c r="C4" t="s">
        <v>10</v>
      </c>
      <c r="D4">
        <v>10</v>
      </c>
      <c r="E4">
        <v>804.9</v>
      </c>
      <c r="F4" t="s">
        <v>30</v>
      </c>
      <c r="I4" t="str">
        <f t="shared" ref="I4" si="3">C4 &amp; " " &amp; D4 &amp; "*" &amp; E4 &amp; " :" &amp; A4</f>
        <v>B 10*804.9 :11 SEP 2026 10:07:19 AM</v>
      </c>
      <c r="J4">
        <f t="shared" ref="J4" si="4">D4*E4</f>
        <v>8049</v>
      </c>
      <c r="L4" t="str">
        <f t="shared" si="0"/>
        <v>Unique</v>
      </c>
    </row>
    <row r="5" spans="1:12" x14ac:dyDescent="0.35">
      <c r="A5" t="s">
        <v>284</v>
      </c>
      <c r="B5" t="s">
        <v>80</v>
      </c>
      <c r="C5" t="s">
        <v>10</v>
      </c>
      <c r="D5">
        <v>10</v>
      </c>
      <c r="E5">
        <v>1420</v>
      </c>
      <c r="F5" t="s">
        <v>30</v>
      </c>
      <c r="I5" t="str">
        <f t="shared" ref="I5:I17" si="5">C5 &amp; " " &amp; D5 &amp; "*" &amp; E5 &amp; " :" &amp; A5</f>
        <v>B 10*1420 :11 SEP 2026 09:36:15 AM</v>
      </c>
      <c r="J5">
        <f t="shared" ref="J5:J17" si="6">D5*E5</f>
        <v>14200</v>
      </c>
      <c r="L5" t="str">
        <f t="shared" si="0"/>
        <v>Duplicate</v>
      </c>
    </row>
    <row r="6" spans="1:12" x14ac:dyDescent="0.35">
      <c r="A6" t="s">
        <v>285</v>
      </c>
      <c r="B6" t="s">
        <v>80</v>
      </c>
      <c r="C6" t="s">
        <v>10</v>
      </c>
      <c r="D6">
        <v>10</v>
      </c>
      <c r="E6">
        <v>1440</v>
      </c>
      <c r="F6" t="s">
        <v>30</v>
      </c>
      <c r="I6" t="str">
        <f t="shared" si="5"/>
        <v>B 10*1440 :11 SEP 2026 09:22:16 AM</v>
      </c>
      <c r="J6">
        <f t="shared" si="6"/>
        <v>14400</v>
      </c>
      <c r="L6" t="str">
        <f t="shared" si="0"/>
        <v>Duplicate</v>
      </c>
    </row>
    <row r="7" spans="1:12" x14ac:dyDescent="0.35">
      <c r="A7" t="s">
        <v>286</v>
      </c>
      <c r="B7" t="s">
        <v>80</v>
      </c>
      <c r="C7" t="s">
        <v>10</v>
      </c>
      <c r="D7">
        <v>10</v>
      </c>
      <c r="E7">
        <v>1465</v>
      </c>
      <c r="F7" t="s">
        <v>30</v>
      </c>
      <c r="I7" t="str">
        <f t="shared" si="5"/>
        <v>B 10*1465 :11 SEP 2026 09:19:05 AM</v>
      </c>
      <c r="J7">
        <f t="shared" si="6"/>
        <v>14650</v>
      </c>
      <c r="L7" t="str">
        <f t="shared" si="0"/>
        <v>Duplicate</v>
      </c>
    </row>
    <row r="8" spans="1:12" x14ac:dyDescent="0.35">
      <c r="A8" t="s">
        <v>287</v>
      </c>
      <c r="B8" t="s">
        <v>89</v>
      </c>
      <c r="C8" t="s">
        <v>10</v>
      </c>
      <c r="D8">
        <v>1</v>
      </c>
      <c r="E8">
        <v>13052</v>
      </c>
      <c r="F8" t="s">
        <v>30</v>
      </c>
      <c r="I8" t="str">
        <f t="shared" si="5"/>
        <v>B 1*13052 :11 SEP 2026 09:00:51 AM</v>
      </c>
      <c r="J8">
        <f t="shared" si="6"/>
        <v>13052</v>
      </c>
      <c r="L8" t="str">
        <f t="shared" si="0"/>
        <v>Unique</v>
      </c>
    </row>
    <row r="9" spans="1:12" x14ac:dyDescent="0.35">
      <c r="A9" t="s">
        <v>287</v>
      </c>
      <c r="B9" t="s">
        <v>66</v>
      </c>
      <c r="C9" t="s">
        <v>10</v>
      </c>
      <c r="D9">
        <v>10</v>
      </c>
      <c r="E9">
        <v>1132</v>
      </c>
      <c r="F9" t="s">
        <v>30</v>
      </c>
      <c r="I9" t="str">
        <f t="shared" si="5"/>
        <v>B 10*1132 :11 SEP 2026 09:00:51 AM</v>
      </c>
      <c r="J9">
        <f t="shared" si="6"/>
        <v>11320</v>
      </c>
      <c r="L9" t="str">
        <f t="shared" si="0"/>
        <v>Unique</v>
      </c>
    </row>
    <row r="10" spans="1:12" x14ac:dyDescent="0.35">
      <c r="A10" t="s">
        <v>288</v>
      </c>
      <c r="B10" t="s">
        <v>80</v>
      </c>
      <c r="C10" t="s">
        <v>10</v>
      </c>
      <c r="D10">
        <v>10</v>
      </c>
      <c r="E10">
        <v>1503</v>
      </c>
      <c r="F10" t="s">
        <v>30</v>
      </c>
      <c r="I10" t="str">
        <f t="shared" si="5"/>
        <v>B 10*1503 :11 SEP 2026 09:00:53 AM</v>
      </c>
      <c r="J10">
        <f t="shared" si="6"/>
        <v>15030</v>
      </c>
      <c r="L10" t="str">
        <f t="shared" si="0"/>
        <v>Duplicate</v>
      </c>
    </row>
    <row r="11" spans="1:12" x14ac:dyDescent="0.35">
      <c r="A11" t="s">
        <v>287</v>
      </c>
      <c r="B11" t="s">
        <v>17</v>
      </c>
      <c r="C11" t="s">
        <v>10</v>
      </c>
      <c r="D11">
        <v>25</v>
      </c>
      <c r="E11">
        <v>348</v>
      </c>
      <c r="F11" t="s">
        <v>30</v>
      </c>
      <c r="I11" t="str">
        <f t="shared" si="5"/>
        <v>B 25*348 :11 SEP 2026 09:00:51 AM</v>
      </c>
      <c r="J11">
        <f t="shared" si="6"/>
        <v>8700</v>
      </c>
      <c r="L11" t="str">
        <f t="shared" si="0"/>
        <v>Unique</v>
      </c>
    </row>
    <row r="12" spans="1:12" x14ac:dyDescent="0.35">
      <c r="A12" t="s">
        <v>288</v>
      </c>
      <c r="B12" t="s">
        <v>103</v>
      </c>
      <c r="C12" t="s">
        <v>10</v>
      </c>
      <c r="D12">
        <v>8</v>
      </c>
      <c r="E12">
        <v>2370</v>
      </c>
      <c r="F12" t="s">
        <v>30</v>
      </c>
      <c r="I12" t="str">
        <f t="shared" si="5"/>
        <v>B 8*2370 :11 SEP 2026 09:00:53 AM</v>
      </c>
      <c r="J12">
        <f t="shared" si="6"/>
        <v>18960</v>
      </c>
      <c r="L12" t="str">
        <f t="shared" si="0"/>
        <v>Unique</v>
      </c>
    </row>
    <row r="13" spans="1:12" x14ac:dyDescent="0.35">
      <c r="I13" t="str">
        <f t="shared" si="5"/>
        <v xml:space="preserve"> * :</v>
      </c>
      <c r="J13">
        <f t="shared" si="6"/>
        <v>0</v>
      </c>
      <c r="L13" t="str">
        <f t="shared" si="0"/>
        <v>Unique</v>
      </c>
    </row>
    <row r="14" spans="1:12" x14ac:dyDescent="0.35">
      <c r="I14" t="str">
        <f t="shared" si="5"/>
        <v xml:space="preserve"> * :</v>
      </c>
      <c r="J14">
        <f t="shared" si="6"/>
        <v>0</v>
      </c>
      <c r="L14" t="str">
        <f t="shared" si="0"/>
        <v>Unique</v>
      </c>
    </row>
    <row r="15" spans="1:12" x14ac:dyDescent="0.35">
      <c r="I15" t="str">
        <f t="shared" si="5"/>
        <v xml:space="preserve"> * :</v>
      </c>
      <c r="J15">
        <f t="shared" si="6"/>
        <v>0</v>
      </c>
      <c r="L15" t="str">
        <f t="shared" si="0"/>
        <v>Unique</v>
      </c>
    </row>
    <row r="16" spans="1:12" x14ac:dyDescent="0.35">
      <c r="I16" t="str">
        <f t="shared" si="5"/>
        <v xml:space="preserve"> * :</v>
      </c>
      <c r="J16">
        <f t="shared" si="6"/>
        <v>0</v>
      </c>
      <c r="L16" t="str">
        <f t="shared" si="0"/>
        <v>Unique</v>
      </c>
    </row>
    <row r="17" spans="9:12" x14ac:dyDescent="0.35">
      <c r="I17" t="str">
        <f t="shared" si="5"/>
        <v xml:space="preserve"> * :</v>
      </c>
      <c r="J17">
        <f t="shared" si="6"/>
        <v>0</v>
      </c>
      <c r="L17" t="str">
        <f t="shared" si="0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1C8C-02B4-40C2-9BFF-A03F8A1406FE}">
  <dimension ref="A1:P291"/>
  <sheetViews>
    <sheetView zoomScaleNormal="100" workbookViewId="0">
      <pane ySplit="1" topLeftCell="A287" activePane="bottomLeft" state="frozen"/>
      <selection pane="bottomLeft" activeCell="F297" sqref="F297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153</v>
      </c>
      <c r="L1" s="18" t="s">
        <v>154</v>
      </c>
      <c r="M1" s="18" t="s">
        <v>155</v>
      </c>
      <c r="O1" s="10" t="s">
        <v>251</v>
      </c>
    </row>
    <row r="2" spans="1:16" customFormat="1" ht="40.75" customHeight="1" thickBot="1" x14ac:dyDescent="0.4">
      <c r="A2" s="6" t="s">
        <v>62</v>
      </c>
      <c r="B2" s="1" t="s">
        <v>92</v>
      </c>
      <c r="C2" s="1" t="s">
        <v>10</v>
      </c>
      <c r="D2" s="4">
        <v>2</v>
      </c>
      <c r="E2" s="4">
        <v>2560</v>
      </c>
      <c r="F2" s="4">
        <v>-22.299450629999999</v>
      </c>
      <c r="G2" s="2" t="s">
        <v>93</v>
      </c>
      <c r="H2" s="5">
        <v>3294.7</v>
      </c>
      <c r="I2" s="1" t="s">
        <v>8</v>
      </c>
      <c r="J2" s="41"/>
      <c r="K2" s="17"/>
      <c r="L2" s="17"/>
      <c r="M2" s="17"/>
      <c r="N2" t="str">
        <f t="shared" ref="N2:N65" si="0">IF(COUNTIFS( $B$2:$B$767, B2, $C$2:$C$767, C2, $D$2:$D$767, D2, $E$2:$E$767, E2) &gt; 1, "Duplicate", "Unique")</f>
        <v>Unique</v>
      </c>
    </row>
    <row r="3" spans="1:16" customFormat="1" ht="27.65" customHeight="1" thickBot="1" x14ac:dyDescent="0.4">
      <c r="A3" s="6" t="s">
        <v>62</v>
      </c>
      <c r="B3" s="1" t="s">
        <v>12</v>
      </c>
      <c r="C3" s="1" t="s">
        <v>10</v>
      </c>
      <c r="D3" s="4">
        <v>1</v>
      </c>
      <c r="E3" s="4">
        <v>3914</v>
      </c>
      <c r="F3" s="4">
        <v>-21.985250149999999</v>
      </c>
      <c r="G3" s="2" t="s">
        <v>98</v>
      </c>
      <c r="H3" s="5">
        <v>5017</v>
      </c>
      <c r="I3" s="1" t="s">
        <v>8</v>
      </c>
      <c r="J3" s="42" t="s">
        <v>41</v>
      </c>
      <c r="K3" s="17"/>
      <c r="L3" s="17"/>
      <c r="M3" s="17"/>
      <c r="N3" t="str">
        <f t="shared" si="0"/>
        <v>Unique</v>
      </c>
    </row>
    <row r="4" spans="1:16" customFormat="1" ht="15" customHeight="1" thickBot="1" x14ac:dyDescent="0.4">
      <c r="A4" s="6" t="s">
        <v>62</v>
      </c>
      <c r="B4" s="1" t="s">
        <v>115</v>
      </c>
      <c r="C4" s="1" t="s">
        <v>10</v>
      </c>
      <c r="D4" s="4">
        <v>2</v>
      </c>
      <c r="E4" s="4">
        <v>660</v>
      </c>
      <c r="F4" s="4">
        <v>-20.390808759999999</v>
      </c>
      <c r="G4" s="2" t="s">
        <v>116</v>
      </c>
      <c r="H4" s="5">
        <v>829.05</v>
      </c>
      <c r="I4" s="1" t="s">
        <v>8</v>
      </c>
      <c r="J4" s="41"/>
      <c r="K4" s="17"/>
      <c r="L4" s="17"/>
      <c r="M4" s="17"/>
      <c r="N4" t="str">
        <f t="shared" si="0"/>
        <v>Unique</v>
      </c>
    </row>
    <row r="5" spans="1:16" customFormat="1" ht="15" customHeight="1" thickBot="1" x14ac:dyDescent="0.4">
      <c r="A5" s="6" t="s">
        <v>62</v>
      </c>
      <c r="B5" s="1" t="s">
        <v>12</v>
      </c>
      <c r="C5" s="1" t="s">
        <v>10</v>
      </c>
      <c r="D5" s="4">
        <v>1</v>
      </c>
      <c r="E5" s="4">
        <v>4014</v>
      </c>
      <c r="F5" s="4">
        <v>-19.992027109999999</v>
      </c>
      <c r="G5" s="2" t="s">
        <v>98</v>
      </c>
      <c r="H5" s="5">
        <v>5017</v>
      </c>
      <c r="I5" s="1" t="s">
        <v>8</v>
      </c>
      <c r="J5" s="41"/>
      <c r="K5" s="17"/>
      <c r="L5" s="17"/>
      <c r="M5" s="17"/>
      <c r="N5" t="str">
        <f t="shared" si="0"/>
        <v>Unique</v>
      </c>
    </row>
    <row r="6" spans="1:16" customFormat="1" ht="40.75" customHeight="1" thickBot="1" x14ac:dyDescent="0.4">
      <c r="A6" s="6" t="s">
        <v>62</v>
      </c>
      <c r="B6" s="1" t="s">
        <v>92</v>
      </c>
      <c r="C6" s="1" t="s">
        <v>10</v>
      </c>
      <c r="D6" s="4">
        <v>2</v>
      </c>
      <c r="E6" s="4">
        <v>2660</v>
      </c>
      <c r="F6" s="4">
        <v>-19.26427292</v>
      </c>
      <c r="G6" s="2" t="s">
        <v>93</v>
      </c>
      <c r="H6" s="5">
        <v>3294.7</v>
      </c>
      <c r="I6" s="1" t="s">
        <v>8</v>
      </c>
      <c r="J6" s="41"/>
      <c r="K6" s="17"/>
      <c r="L6" s="17"/>
      <c r="M6" s="17"/>
      <c r="N6" t="str">
        <f t="shared" si="0"/>
        <v>Unique</v>
      </c>
    </row>
    <row r="7" spans="1:16" customFormat="1" ht="27.65" customHeight="1" thickBot="1" x14ac:dyDescent="0.4">
      <c r="A7" s="6" t="s">
        <v>62</v>
      </c>
      <c r="B7" s="1" t="s">
        <v>34</v>
      </c>
      <c r="C7" s="1" t="s">
        <v>10</v>
      </c>
      <c r="D7" s="4">
        <v>1</v>
      </c>
      <c r="E7" s="4">
        <v>18052</v>
      </c>
      <c r="F7" s="4">
        <v>-19.212351760000001</v>
      </c>
      <c r="G7" s="2" t="s">
        <v>71</v>
      </c>
      <c r="H7" s="5">
        <v>22345</v>
      </c>
      <c r="I7" s="1" t="s">
        <v>8</v>
      </c>
      <c r="J7" s="41"/>
      <c r="K7" s="17"/>
      <c r="L7" s="17"/>
      <c r="M7" s="17"/>
      <c r="N7" t="str">
        <f t="shared" si="0"/>
        <v>Unique</v>
      </c>
    </row>
    <row r="8" spans="1:16" customFormat="1" ht="27.65" customHeight="1" thickBot="1" x14ac:dyDescent="0.4">
      <c r="A8" s="3">
        <v>46252.688194444447</v>
      </c>
      <c r="B8" s="1" t="s">
        <v>96</v>
      </c>
      <c r="C8" s="1" t="s">
        <v>10</v>
      </c>
      <c r="D8" s="4">
        <v>45</v>
      </c>
      <c r="E8" s="4">
        <v>136.15</v>
      </c>
      <c r="F8" s="4">
        <v>-17.424793789999999</v>
      </c>
      <c r="G8" s="2" t="s">
        <v>97</v>
      </c>
      <c r="H8" s="5">
        <v>164.88</v>
      </c>
      <c r="I8" s="1" t="s">
        <v>8</v>
      </c>
      <c r="J8" s="41"/>
      <c r="K8" s="17"/>
      <c r="L8" s="17"/>
      <c r="M8" s="17"/>
      <c r="N8" t="str">
        <f t="shared" si="0"/>
        <v>Unique</v>
      </c>
    </row>
    <row r="9" spans="1:16" customFormat="1" ht="27.65" customHeight="1" thickBot="1" x14ac:dyDescent="0.4">
      <c r="A9" s="6" t="s">
        <v>62</v>
      </c>
      <c r="B9" s="1" t="s">
        <v>12</v>
      </c>
      <c r="C9" s="1" t="s">
        <v>10</v>
      </c>
      <c r="D9" s="4">
        <v>1</v>
      </c>
      <c r="E9" s="4">
        <v>4164</v>
      </c>
      <c r="F9" s="4">
        <v>-17.00219255</v>
      </c>
      <c r="G9" s="2" t="s">
        <v>98</v>
      </c>
      <c r="H9" s="5">
        <v>5017</v>
      </c>
      <c r="I9" s="1" t="s">
        <v>8</v>
      </c>
      <c r="J9" s="41"/>
      <c r="K9" s="17"/>
      <c r="L9" s="17"/>
      <c r="M9" s="17"/>
      <c r="N9" t="str">
        <f t="shared" si="0"/>
        <v>Unique</v>
      </c>
    </row>
    <row r="10" spans="1:16" s="34" customFormat="1" ht="27.65" customHeight="1" thickBot="1" x14ac:dyDescent="0.4">
      <c r="A10" s="6" t="s">
        <v>62</v>
      </c>
      <c r="B10" s="1" t="s">
        <v>34</v>
      </c>
      <c r="C10" s="1" t="s">
        <v>10</v>
      </c>
      <c r="D10" s="4">
        <v>1</v>
      </c>
      <c r="E10" s="4">
        <v>18552</v>
      </c>
      <c r="F10" s="4">
        <v>-16.9747147</v>
      </c>
      <c r="G10" s="2" t="s">
        <v>71</v>
      </c>
      <c r="H10" s="5">
        <v>22345</v>
      </c>
      <c r="I10" s="1" t="s">
        <v>8</v>
      </c>
      <c r="J10" s="41"/>
      <c r="K10" s="17"/>
      <c r="L10" s="17"/>
      <c r="M10" s="17"/>
      <c r="N10" t="str">
        <f t="shared" si="0"/>
        <v>Unique</v>
      </c>
      <c r="O10"/>
      <c r="P10"/>
    </row>
    <row r="11" spans="1:16" customFormat="1" ht="15" customHeight="1" thickBot="1" x14ac:dyDescent="0.4">
      <c r="A11" s="6" t="s">
        <v>62</v>
      </c>
      <c r="B11" s="1" t="s">
        <v>92</v>
      </c>
      <c r="C11" s="1" t="s">
        <v>10</v>
      </c>
      <c r="D11" s="4">
        <v>1</v>
      </c>
      <c r="E11" s="4">
        <v>2752</v>
      </c>
      <c r="F11" s="4">
        <v>-16.47190943</v>
      </c>
      <c r="G11" s="2" t="s">
        <v>93</v>
      </c>
      <c r="H11" s="5">
        <v>3294.7</v>
      </c>
      <c r="I11" s="1" t="s">
        <v>8</v>
      </c>
      <c r="J11" s="41"/>
      <c r="K11" s="17"/>
      <c r="L11" s="17"/>
      <c r="M11" s="17"/>
      <c r="N11" t="str">
        <f t="shared" si="0"/>
        <v>Unique</v>
      </c>
    </row>
    <row r="12" spans="1:16" customFormat="1" ht="40.75" customHeight="1" thickBot="1" x14ac:dyDescent="0.4">
      <c r="A12" s="6" t="s">
        <v>62</v>
      </c>
      <c r="B12" s="1" t="s">
        <v>34</v>
      </c>
      <c r="C12" s="1" t="s">
        <v>10</v>
      </c>
      <c r="D12" s="4">
        <v>1</v>
      </c>
      <c r="E12" s="4">
        <v>19052</v>
      </c>
      <c r="F12" s="4">
        <v>-14.73707765</v>
      </c>
      <c r="G12" s="2" t="s">
        <v>71</v>
      </c>
      <c r="H12" s="5">
        <v>22345</v>
      </c>
      <c r="I12" s="1" t="s">
        <v>8</v>
      </c>
      <c r="J12" s="41"/>
      <c r="K12" s="17"/>
      <c r="L12" s="17"/>
      <c r="M12" s="17"/>
      <c r="N12" t="str">
        <f t="shared" si="0"/>
        <v>Unique</v>
      </c>
    </row>
    <row r="13" spans="1:16" customFormat="1" ht="27.65" customHeight="1" thickBot="1" x14ac:dyDescent="0.4">
      <c r="A13" s="6" t="s">
        <v>62</v>
      </c>
      <c r="B13" s="1" t="s">
        <v>100</v>
      </c>
      <c r="C13" s="1" t="s">
        <v>10</v>
      </c>
      <c r="D13" s="4">
        <v>25</v>
      </c>
      <c r="E13" s="4">
        <v>196</v>
      </c>
      <c r="F13" s="4">
        <v>-13.27433628</v>
      </c>
      <c r="G13" s="2" t="s">
        <v>101</v>
      </c>
      <c r="H13" s="5">
        <v>226</v>
      </c>
      <c r="I13" s="1" t="s">
        <v>8</v>
      </c>
      <c r="J13" s="41"/>
      <c r="K13" s="17"/>
      <c r="L13" s="17"/>
      <c r="M13" s="17"/>
      <c r="N13" t="str">
        <f t="shared" si="0"/>
        <v>Unique</v>
      </c>
    </row>
    <row r="14" spans="1:16" customFormat="1" ht="27.65" customHeight="1" thickBot="1" x14ac:dyDescent="0.4">
      <c r="A14" s="6" t="s">
        <v>62</v>
      </c>
      <c r="B14" s="1" t="s">
        <v>12</v>
      </c>
      <c r="C14" s="1" t="s">
        <v>10</v>
      </c>
      <c r="D14" s="4">
        <v>1</v>
      </c>
      <c r="E14" s="4">
        <v>4364</v>
      </c>
      <c r="F14" s="4">
        <v>-13.015746460000001</v>
      </c>
      <c r="G14" s="2" t="s">
        <v>98</v>
      </c>
      <c r="H14" s="5">
        <v>5017</v>
      </c>
      <c r="I14" s="1" t="s">
        <v>8</v>
      </c>
      <c r="J14" s="42" t="s">
        <v>41</v>
      </c>
      <c r="K14" s="17"/>
      <c r="L14" s="17"/>
      <c r="M14" s="17"/>
      <c r="N14" t="str">
        <f t="shared" si="0"/>
        <v>Unique</v>
      </c>
    </row>
    <row r="15" spans="1:16" customFormat="1" ht="27.65" customHeight="1" thickBot="1" x14ac:dyDescent="0.4">
      <c r="A15" s="6" t="s">
        <v>62</v>
      </c>
      <c r="B15" s="1" t="s">
        <v>113</v>
      </c>
      <c r="C15" s="1" t="s">
        <v>10</v>
      </c>
      <c r="D15" s="4">
        <v>4</v>
      </c>
      <c r="E15" s="4">
        <v>701</v>
      </c>
      <c r="F15" s="4">
        <v>-12.609861</v>
      </c>
      <c r="G15" s="2" t="s">
        <v>114</v>
      </c>
      <c r="H15" s="5">
        <v>802.15</v>
      </c>
      <c r="I15" s="1" t="s">
        <v>8</v>
      </c>
      <c r="J15" s="41" t="s">
        <v>41</v>
      </c>
      <c r="K15" s="17"/>
      <c r="L15" s="17"/>
      <c r="M15" s="17"/>
      <c r="N15" t="str">
        <f t="shared" si="0"/>
        <v>Unique</v>
      </c>
    </row>
    <row r="16" spans="1:16" customFormat="1" ht="27.65" customHeight="1" thickBot="1" x14ac:dyDescent="0.4">
      <c r="A16" s="29">
        <v>46255</v>
      </c>
      <c r="B16" s="30" t="s">
        <v>34</v>
      </c>
      <c r="C16" s="30" t="s">
        <v>10</v>
      </c>
      <c r="D16" s="31">
        <v>1</v>
      </c>
      <c r="E16" s="31">
        <v>19550</v>
      </c>
      <c r="F16" s="4">
        <v>-12.508391140000001</v>
      </c>
      <c r="G16" s="2" t="s">
        <v>71</v>
      </c>
      <c r="H16" s="5">
        <v>22345</v>
      </c>
      <c r="I16" s="1" t="s">
        <v>8</v>
      </c>
      <c r="J16" s="44" t="s">
        <v>41</v>
      </c>
      <c r="K16" s="27" t="s">
        <v>149</v>
      </c>
      <c r="L16" s="27">
        <v>19992</v>
      </c>
      <c r="M16" s="27">
        <f>ABS((D16*E16)-L16)</f>
        <v>442</v>
      </c>
      <c r="N16" s="28" t="str">
        <f t="shared" si="0"/>
        <v>Unique</v>
      </c>
    </row>
    <row r="17" spans="1:16" customFormat="1" ht="15" customHeight="1" thickBot="1" x14ac:dyDescent="0.4">
      <c r="A17" s="3">
        <v>46252.635416666664</v>
      </c>
      <c r="B17" s="1" t="s">
        <v>92</v>
      </c>
      <c r="C17" s="1" t="s">
        <v>10</v>
      </c>
      <c r="D17" s="4">
        <v>2</v>
      </c>
      <c r="E17" s="4">
        <v>2892</v>
      </c>
      <c r="F17" s="4">
        <v>-12.222660640000001</v>
      </c>
      <c r="G17" s="2" t="s">
        <v>93</v>
      </c>
      <c r="H17" s="5">
        <v>3294.7</v>
      </c>
      <c r="I17" s="1" t="s">
        <v>8</v>
      </c>
      <c r="J17" s="41"/>
      <c r="K17" s="17"/>
      <c r="L17" s="17"/>
      <c r="M17" s="17"/>
      <c r="N17" t="str">
        <f t="shared" si="0"/>
        <v>Unique</v>
      </c>
    </row>
    <row r="18" spans="1:16" customFormat="1" ht="27.65" customHeight="1" thickBot="1" x14ac:dyDescent="0.4">
      <c r="A18" s="6" t="s">
        <v>62</v>
      </c>
      <c r="B18" s="1" t="s">
        <v>12</v>
      </c>
      <c r="C18" s="1" t="s">
        <v>10</v>
      </c>
      <c r="D18" s="4">
        <v>2</v>
      </c>
      <c r="E18" s="4">
        <v>4410</v>
      </c>
      <c r="F18" s="4">
        <v>-12.09886386</v>
      </c>
      <c r="G18" s="2" t="s">
        <v>98</v>
      </c>
      <c r="H18" s="5">
        <v>5017</v>
      </c>
      <c r="I18" s="1" t="s">
        <v>8</v>
      </c>
      <c r="J18" s="41"/>
      <c r="K18" s="17"/>
      <c r="L18" s="17"/>
      <c r="M18" s="17"/>
      <c r="N18" t="str">
        <f t="shared" si="0"/>
        <v>Unique</v>
      </c>
    </row>
    <row r="19" spans="1:16" customFormat="1" ht="27.65" customHeight="1" thickBot="1" x14ac:dyDescent="0.4">
      <c r="A19" s="6" t="s">
        <v>62</v>
      </c>
      <c r="B19" s="1" t="s">
        <v>20</v>
      </c>
      <c r="C19" s="1" t="s">
        <v>10</v>
      </c>
      <c r="D19" s="4">
        <v>100</v>
      </c>
      <c r="E19" s="4">
        <v>111</v>
      </c>
      <c r="F19" s="4">
        <v>-12.086171390000001</v>
      </c>
      <c r="G19" s="2" t="s">
        <v>86</v>
      </c>
      <c r="H19" s="5">
        <v>126.26</v>
      </c>
      <c r="I19" s="1" t="s">
        <v>8</v>
      </c>
      <c r="J19" s="41"/>
      <c r="K19" s="17"/>
      <c r="L19" s="17"/>
      <c r="M19" s="17"/>
      <c r="N19" t="str">
        <f t="shared" si="0"/>
        <v>Unique</v>
      </c>
    </row>
    <row r="20" spans="1:16" customFormat="1" ht="27.65" customHeight="1" thickBot="1" x14ac:dyDescent="0.4">
      <c r="A20" s="6" t="s">
        <v>62</v>
      </c>
      <c r="B20" s="1" t="s">
        <v>109</v>
      </c>
      <c r="C20" s="1" t="s">
        <v>10</v>
      </c>
      <c r="D20" s="4">
        <v>15</v>
      </c>
      <c r="E20" s="4">
        <v>4415</v>
      </c>
      <c r="F20" s="4">
        <v>-10.29886832</v>
      </c>
      <c r="G20" s="2" t="s">
        <v>110</v>
      </c>
      <c r="H20" s="5">
        <v>4921.8999999999996</v>
      </c>
      <c r="I20" s="1" t="s">
        <v>8</v>
      </c>
      <c r="J20" s="41"/>
      <c r="K20" s="17"/>
      <c r="L20" s="17"/>
      <c r="M20" s="17"/>
      <c r="N20" t="str">
        <f t="shared" si="0"/>
        <v>Unique</v>
      </c>
    </row>
    <row r="21" spans="1:16" customFormat="1" ht="27.65" customHeight="1" thickBot="1" x14ac:dyDescent="0.4">
      <c r="A21" s="3">
        <v>46267.375</v>
      </c>
      <c r="B21" s="1" t="s">
        <v>34</v>
      </c>
      <c r="C21" s="1" t="s">
        <v>10</v>
      </c>
      <c r="D21" s="4">
        <v>1</v>
      </c>
      <c r="E21" s="4">
        <v>20050</v>
      </c>
      <c r="F21" s="4">
        <v>-10.27075408</v>
      </c>
      <c r="G21" s="2" t="s">
        <v>71</v>
      </c>
      <c r="H21" s="5">
        <v>22345</v>
      </c>
      <c r="I21" s="1" t="s">
        <v>8</v>
      </c>
      <c r="J21" s="24" t="s">
        <v>41</v>
      </c>
      <c r="K21" s="18" t="s">
        <v>237</v>
      </c>
      <c r="L21" s="18">
        <v>20350</v>
      </c>
      <c r="M21" s="18">
        <f>ABS((D21*E21)-L21)</f>
        <v>300</v>
      </c>
      <c r="N21" s="10" t="str">
        <f t="shared" si="0"/>
        <v>Unique</v>
      </c>
    </row>
    <row r="22" spans="1:16" customFormat="1" ht="15" customHeight="1" thickBot="1" x14ac:dyDescent="0.4">
      <c r="A22" s="6" t="s">
        <v>62</v>
      </c>
      <c r="B22" s="1" t="s">
        <v>11</v>
      </c>
      <c r="C22" s="1" t="s">
        <v>10</v>
      </c>
      <c r="D22" s="4">
        <v>10</v>
      </c>
      <c r="E22" s="4">
        <v>261</v>
      </c>
      <c r="F22" s="4">
        <v>-10.228898429999999</v>
      </c>
      <c r="G22" s="2" t="s">
        <v>99</v>
      </c>
      <c r="H22" s="5">
        <v>279.60000000000002</v>
      </c>
      <c r="I22" s="1" t="s">
        <v>8</v>
      </c>
      <c r="J22" s="41" t="s">
        <v>41</v>
      </c>
      <c r="K22" s="17"/>
      <c r="L22" s="17"/>
      <c r="M22" s="17"/>
      <c r="N22" t="str">
        <f t="shared" si="0"/>
        <v>Unique</v>
      </c>
      <c r="P22" s="34"/>
    </row>
    <row r="23" spans="1:16" customFormat="1" ht="27.65" customHeight="1" thickBot="1" x14ac:dyDescent="0.4">
      <c r="A23" s="6" t="s">
        <v>62</v>
      </c>
      <c r="B23" s="1" t="s">
        <v>109</v>
      </c>
      <c r="C23" s="1" t="s">
        <v>10</v>
      </c>
      <c r="D23" s="4">
        <v>2</v>
      </c>
      <c r="E23" s="4">
        <v>4456</v>
      </c>
      <c r="F23" s="4">
        <v>-9.465856681</v>
      </c>
      <c r="G23" s="2" t="s">
        <v>110</v>
      </c>
      <c r="H23" s="5">
        <v>4921.8999999999996</v>
      </c>
      <c r="I23" s="1" t="s">
        <v>8</v>
      </c>
      <c r="J23" s="41"/>
      <c r="K23" s="17"/>
      <c r="L23" s="17"/>
      <c r="M23" s="17"/>
      <c r="N23" t="str">
        <f t="shared" si="0"/>
        <v>Unique</v>
      </c>
    </row>
    <row r="24" spans="1:16" customFormat="1" ht="27.65" customHeight="1" thickBot="1" x14ac:dyDescent="0.4">
      <c r="A24" s="6" t="s">
        <v>62</v>
      </c>
      <c r="B24" s="1" t="s">
        <v>20</v>
      </c>
      <c r="C24" s="1" t="s">
        <v>10</v>
      </c>
      <c r="D24" s="4">
        <v>200</v>
      </c>
      <c r="E24" s="4">
        <v>115.25</v>
      </c>
      <c r="F24" s="4">
        <v>-8.7201013780000007</v>
      </c>
      <c r="G24" s="2" t="s">
        <v>86</v>
      </c>
      <c r="H24" s="5">
        <v>126.26</v>
      </c>
      <c r="I24" s="1" t="s">
        <v>8</v>
      </c>
      <c r="J24" s="41"/>
      <c r="K24" s="17"/>
      <c r="L24" s="17"/>
      <c r="M24" s="17"/>
      <c r="N24" t="str">
        <f t="shared" si="0"/>
        <v>Unique</v>
      </c>
    </row>
    <row r="25" spans="1:16" customFormat="1" ht="27.65" customHeight="1" thickBot="1" x14ac:dyDescent="0.4">
      <c r="A25" s="6" t="s">
        <v>62</v>
      </c>
      <c r="B25" s="1" t="s">
        <v>105</v>
      </c>
      <c r="C25" s="1" t="s">
        <v>10</v>
      </c>
      <c r="D25" s="4">
        <v>4</v>
      </c>
      <c r="E25" s="4">
        <v>1751</v>
      </c>
      <c r="F25" s="4">
        <v>-8.4205020919999995</v>
      </c>
      <c r="G25" s="2" t="s">
        <v>106</v>
      </c>
      <c r="H25" s="5">
        <v>1912</v>
      </c>
      <c r="I25" s="1" t="s">
        <v>8</v>
      </c>
      <c r="J25" s="41"/>
      <c r="K25" s="17"/>
      <c r="L25" s="17"/>
      <c r="M25" s="17"/>
      <c r="N25" t="str">
        <f t="shared" si="0"/>
        <v>Unique</v>
      </c>
    </row>
    <row r="26" spans="1:16" customFormat="1" ht="27.65" customHeight="1" thickBot="1" x14ac:dyDescent="0.4">
      <c r="A26" s="6" t="s">
        <v>62</v>
      </c>
      <c r="B26" s="1" t="s">
        <v>20</v>
      </c>
      <c r="C26" s="1" t="s">
        <v>10</v>
      </c>
      <c r="D26" s="4">
        <v>50</v>
      </c>
      <c r="E26" s="4">
        <v>116</v>
      </c>
      <c r="F26" s="4">
        <v>-8.1260890230000005</v>
      </c>
      <c r="G26" s="2" t="s">
        <v>86</v>
      </c>
      <c r="H26" s="5">
        <v>126.26</v>
      </c>
      <c r="I26" s="1" t="s">
        <v>8</v>
      </c>
      <c r="J26" s="41"/>
      <c r="K26" s="17"/>
      <c r="L26" s="17"/>
      <c r="M26" s="17"/>
      <c r="N26" t="str">
        <f t="shared" si="0"/>
        <v>Unique</v>
      </c>
    </row>
    <row r="27" spans="1:16" customFormat="1" ht="27.65" customHeight="1" thickBot="1" x14ac:dyDescent="0.4">
      <c r="A27" s="6" t="s">
        <v>62</v>
      </c>
      <c r="B27" s="1" t="s">
        <v>19</v>
      </c>
      <c r="C27" s="1" t="s">
        <v>10</v>
      </c>
      <c r="D27" s="4">
        <v>50</v>
      </c>
      <c r="E27" s="4">
        <v>206</v>
      </c>
      <c r="F27" s="4">
        <v>-7.9658669529999999</v>
      </c>
      <c r="G27" s="2" t="s">
        <v>40</v>
      </c>
      <c r="H27" s="5">
        <v>223.83</v>
      </c>
      <c r="I27" s="1" t="s">
        <v>8</v>
      </c>
      <c r="J27" s="41" t="s">
        <v>41</v>
      </c>
      <c r="K27" s="17"/>
      <c r="L27" s="17"/>
      <c r="M27" s="17"/>
      <c r="N27" t="str">
        <f t="shared" si="0"/>
        <v>Unique</v>
      </c>
    </row>
    <row r="28" spans="1:16" customFormat="1" ht="15" customHeight="1" thickBot="1" x14ac:dyDescent="0.4">
      <c r="A28" s="6" t="s">
        <v>62</v>
      </c>
      <c r="B28" s="1" t="s">
        <v>32</v>
      </c>
      <c r="C28" s="1" t="s">
        <v>10</v>
      </c>
      <c r="D28" s="4">
        <v>25</v>
      </c>
      <c r="E28" s="4">
        <v>836</v>
      </c>
      <c r="F28" s="4">
        <v>-7.9295154190000003</v>
      </c>
      <c r="G28" s="2" t="s">
        <v>85</v>
      </c>
      <c r="H28" s="5">
        <v>908</v>
      </c>
      <c r="I28" s="1" t="s">
        <v>8</v>
      </c>
      <c r="J28" s="41" t="s">
        <v>118</v>
      </c>
      <c r="K28" s="17"/>
      <c r="L28" s="17"/>
      <c r="M28" s="17"/>
      <c r="N28" t="str">
        <f t="shared" si="0"/>
        <v>Unique</v>
      </c>
    </row>
    <row r="29" spans="1:16" customFormat="1" ht="27.65" customHeight="1" thickBot="1" x14ac:dyDescent="0.4">
      <c r="A29" s="6" t="s">
        <v>62</v>
      </c>
      <c r="B29" s="1" t="s">
        <v>18</v>
      </c>
      <c r="C29" s="1" t="s">
        <v>10</v>
      </c>
      <c r="D29" s="4">
        <v>5</v>
      </c>
      <c r="E29" s="4">
        <v>1614</v>
      </c>
      <c r="F29" s="4">
        <v>-7.8241005140000004</v>
      </c>
      <c r="G29" s="2" t="s">
        <v>102</v>
      </c>
      <c r="H29" s="5">
        <v>1751</v>
      </c>
      <c r="I29" s="1" t="s">
        <v>8</v>
      </c>
      <c r="J29" s="22" t="s">
        <v>41</v>
      </c>
      <c r="K29" s="17"/>
      <c r="L29" s="17"/>
      <c r="M29" s="17"/>
      <c r="N29" t="str">
        <f t="shared" si="0"/>
        <v>Unique</v>
      </c>
    </row>
    <row r="30" spans="1:16" customFormat="1" ht="27.65" customHeight="1" thickBot="1" x14ac:dyDescent="0.4">
      <c r="A30" s="3">
        <v>46254.375</v>
      </c>
      <c r="B30" s="1" t="s">
        <v>33</v>
      </c>
      <c r="C30" s="1" t="s">
        <v>10</v>
      </c>
      <c r="D30" s="4">
        <v>7</v>
      </c>
      <c r="E30" s="4">
        <v>2230</v>
      </c>
      <c r="F30" s="4">
        <v>-7.4304690740000003</v>
      </c>
      <c r="G30" s="2" t="s">
        <v>84</v>
      </c>
      <c r="H30" s="5">
        <v>2409</v>
      </c>
      <c r="I30" s="1" t="s">
        <v>8</v>
      </c>
      <c r="J30" s="23" t="s">
        <v>55</v>
      </c>
      <c r="K30" s="17" t="s">
        <v>148</v>
      </c>
      <c r="L30" s="17"/>
      <c r="M30" s="17"/>
      <c r="N30" s="10" t="str">
        <f t="shared" si="0"/>
        <v>Unique</v>
      </c>
    </row>
    <row r="31" spans="1:16" customFormat="1" ht="15" customHeight="1" thickBot="1" x14ac:dyDescent="0.4">
      <c r="A31" s="3">
        <v>46031.4375</v>
      </c>
      <c r="B31" s="1" t="s">
        <v>214</v>
      </c>
      <c r="C31" s="1" t="s">
        <v>10</v>
      </c>
      <c r="D31" s="4">
        <v>3</v>
      </c>
      <c r="E31" s="4">
        <v>1052</v>
      </c>
      <c r="F31" s="4">
        <v>-7.3902900660000004</v>
      </c>
      <c r="G31" s="2" t="s">
        <v>225</v>
      </c>
      <c r="H31" s="5">
        <v>1135.95</v>
      </c>
      <c r="I31" s="1" t="s">
        <v>8</v>
      </c>
      <c r="J31" s="24" t="s">
        <v>41</v>
      </c>
      <c r="K31" s="18"/>
      <c r="L31" s="18"/>
      <c r="M31" s="18">
        <f>ABS((D31*E31)-L31)</f>
        <v>3156</v>
      </c>
      <c r="N31" s="10" t="str">
        <f t="shared" si="0"/>
        <v>Unique</v>
      </c>
      <c r="O31" s="10"/>
      <c r="P31" s="19"/>
    </row>
    <row r="32" spans="1:16" customFormat="1" ht="27.65" customHeight="1" thickBot="1" x14ac:dyDescent="0.4">
      <c r="A32" s="6" t="s">
        <v>62</v>
      </c>
      <c r="B32" s="1" t="s">
        <v>109</v>
      </c>
      <c r="C32" s="1" t="s">
        <v>10</v>
      </c>
      <c r="D32" s="4">
        <v>1</v>
      </c>
      <c r="E32" s="4">
        <v>4560</v>
      </c>
      <c r="F32" s="4">
        <v>-7.3528515409999997</v>
      </c>
      <c r="G32" s="2" t="s">
        <v>110</v>
      </c>
      <c r="H32" s="5">
        <v>4921.8999999999996</v>
      </c>
      <c r="I32" s="1" t="s">
        <v>8</v>
      </c>
      <c r="J32" s="41"/>
      <c r="K32" s="17"/>
      <c r="L32" s="17"/>
      <c r="M32" s="17"/>
      <c r="N32" t="str">
        <f t="shared" si="0"/>
        <v>Unique</v>
      </c>
    </row>
    <row r="33" spans="1:16" customFormat="1" ht="27.65" customHeight="1" thickBot="1" x14ac:dyDescent="0.4">
      <c r="A33" s="3">
        <v>46252.6875</v>
      </c>
      <c r="B33" s="1" t="s">
        <v>17</v>
      </c>
      <c r="C33" s="1" t="s">
        <v>10</v>
      </c>
      <c r="D33" s="4">
        <v>25</v>
      </c>
      <c r="E33" s="4">
        <v>326</v>
      </c>
      <c r="F33" s="4">
        <v>-7.0695553020000004</v>
      </c>
      <c r="G33" s="2" t="s">
        <v>77</v>
      </c>
      <c r="H33" s="5">
        <v>350.8</v>
      </c>
      <c r="I33" s="1" t="s">
        <v>8</v>
      </c>
      <c r="J33" s="41" t="s">
        <v>41</v>
      </c>
      <c r="K33" s="17"/>
      <c r="L33" s="17"/>
      <c r="M33" s="17"/>
      <c r="N33" t="str">
        <f t="shared" si="0"/>
        <v>Unique</v>
      </c>
    </row>
    <row r="34" spans="1:16" customFormat="1" ht="27.65" customHeight="1" thickBot="1" x14ac:dyDescent="0.4">
      <c r="A34" s="6" t="s">
        <v>62</v>
      </c>
      <c r="B34" s="1" t="s">
        <v>31</v>
      </c>
      <c r="C34" s="1" t="s">
        <v>10</v>
      </c>
      <c r="D34" s="4">
        <v>10</v>
      </c>
      <c r="E34" s="4">
        <v>561</v>
      </c>
      <c r="F34" s="4">
        <v>-6.9111424540000002</v>
      </c>
      <c r="G34" s="2" t="s">
        <v>94</v>
      </c>
      <c r="H34" s="5">
        <v>602.65</v>
      </c>
      <c r="I34" s="1" t="s">
        <v>8</v>
      </c>
      <c r="J34" s="41" t="s">
        <v>41</v>
      </c>
      <c r="K34" s="17"/>
      <c r="L34" s="17"/>
      <c r="M34" s="17"/>
      <c r="N34" t="str">
        <f t="shared" si="0"/>
        <v>Unique</v>
      </c>
    </row>
    <row r="35" spans="1:16" customFormat="1" ht="27.65" customHeight="1" thickBot="1" x14ac:dyDescent="0.4">
      <c r="A35" s="3">
        <v>46252.635416666664</v>
      </c>
      <c r="B35" s="1" t="s">
        <v>32</v>
      </c>
      <c r="C35" s="1" t="s">
        <v>10</v>
      </c>
      <c r="D35" s="4">
        <v>50</v>
      </c>
      <c r="E35" s="4">
        <v>850</v>
      </c>
      <c r="F35" s="4">
        <v>-6.3876651979999997</v>
      </c>
      <c r="G35" s="2" t="s">
        <v>85</v>
      </c>
      <c r="H35" s="5">
        <v>908</v>
      </c>
      <c r="I35" s="1" t="s">
        <v>8</v>
      </c>
      <c r="J35" s="42" t="s">
        <v>55</v>
      </c>
      <c r="K35" s="17"/>
      <c r="L35" s="17"/>
      <c r="M35" s="17"/>
      <c r="N35" t="str">
        <f t="shared" si="0"/>
        <v>Unique</v>
      </c>
      <c r="O35" s="10"/>
    </row>
    <row r="36" spans="1:16" customFormat="1" ht="27.65" customHeight="1" thickBot="1" x14ac:dyDescent="0.4">
      <c r="A36" s="6" t="s">
        <v>62</v>
      </c>
      <c r="B36" s="1" t="s">
        <v>111</v>
      </c>
      <c r="C36" s="1" t="s">
        <v>10</v>
      </c>
      <c r="D36" s="4">
        <v>7</v>
      </c>
      <c r="E36" s="4">
        <v>411</v>
      </c>
      <c r="F36" s="4">
        <v>-6.3354603459999996</v>
      </c>
      <c r="G36" s="2" t="s">
        <v>112</v>
      </c>
      <c r="H36" s="5">
        <v>438.8</v>
      </c>
      <c r="I36" s="1" t="s">
        <v>8</v>
      </c>
      <c r="J36" s="41"/>
      <c r="K36" s="17"/>
      <c r="L36" s="17"/>
      <c r="M36" s="17"/>
      <c r="N36" t="str">
        <f t="shared" si="0"/>
        <v>Unique</v>
      </c>
    </row>
    <row r="37" spans="1:16" customFormat="1" ht="27.65" customHeight="1" thickBot="1" x14ac:dyDescent="0.4">
      <c r="A37" s="6" t="s">
        <v>62</v>
      </c>
      <c r="B37" s="1" t="s">
        <v>12</v>
      </c>
      <c r="C37" s="1" t="s">
        <v>10</v>
      </c>
      <c r="D37" s="4">
        <v>3</v>
      </c>
      <c r="E37" s="4">
        <v>4710</v>
      </c>
      <c r="F37" s="4">
        <v>-6.119194738</v>
      </c>
      <c r="G37" s="2" t="s">
        <v>98</v>
      </c>
      <c r="H37" s="5">
        <v>5017</v>
      </c>
      <c r="I37" s="1" t="s">
        <v>8</v>
      </c>
      <c r="J37" s="41" t="s">
        <v>55</v>
      </c>
      <c r="K37" s="17"/>
      <c r="L37" s="17"/>
      <c r="M37" s="17"/>
      <c r="N37" t="str">
        <f t="shared" si="0"/>
        <v>Unique</v>
      </c>
    </row>
    <row r="38" spans="1:16" customFormat="1" ht="27.65" customHeight="1" thickBot="1" x14ac:dyDescent="0.4">
      <c r="A38" s="6" t="s">
        <v>62</v>
      </c>
      <c r="B38" s="1" t="s">
        <v>78</v>
      </c>
      <c r="C38" s="1" t="s">
        <v>10</v>
      </c>
      <c r="D38" s="4">
        <v>69</v>
      </c>
      <c r="E38" s="4">
        <v>1277</v>
      </c>
      <c r="F38" s="4">
        <v>-5.7564575649999998</v>
      </c>
      <c r="G38" s="2" t="s">
        <v>79</v>
      </c>
      <c r="H38" s="5">
        <v>1355</v>
      </c>
      <c r="I38" s="1" t="s">
        <v>8</v>
      </c>
      <c r="J38" s="41"/>
      <c r="K38" s="17"/>
      <c r="L38" s="17"/>
      <c r="M38" s="17"/>
      <c r="N38" t="str">
        <f t="shared" si="0"/>
        <v>Unique</v>
      </c>
    </row>
    <row r="39" spans="1:16" customFormat="1" ht="27.65" customHeight="1" thickBot="1" x14ac:dyDescent="0.4">
      <c r="A39" s="6" t="s">
        <v>62</v>
      </c>
      <c r="B39" s="1" t="s">
        <v>20</v>
      </c>
      <c r="C39" s="1" t="s">
        <v>10</v>
      </c>
      <c r="D39" s="4">
        <v>50</v>
      </c>
      <c r="E39" s="4">
        <v>119</v>
      </c>
      <c r="F39" s="4">
        <v>-5.7500396010000001</v>
      </c>
      <c r="G39" s="2" t="s">
        <v>86</v>
      </c>
      <c r="H39" s="5">
        <v>126.26</v>
      </c>
      <c r="I39" s="1" t="s">
        <v>8</v>
      </c>
      <c r="J39" s="41"/>
      <c r="K39" s="17"/>
      <c r="L39" s="17"/>
      <c r="M39" s="17"/>
      <c r="N39" t="str">
        <f t="shared" si="0"/>
        <v>Unique</v>
      </c>
      <c r="P39" s="10"/>
    </row>
    <row r="40" spans="1:16" customFormat="1" ht="27.65" customHeight="1" thickBot="1" x14ac:dyDescent="0.4">
      <c r="A40" s="3">
        <v>46258.601388888892</v>
      </c>
      <c r="B40" s="1" t="s">
        <v>33</v>
      </c>
      <c r="C40" s="1" t="s">
        <v>10</v>
      </c>
      <c r="D40" s="4">
        <v>3</v>
      </c>
      <c r="E40" s="4">
        <v>2271</v>
      </c>
      <c r="F40" s="4">
        <v>-5.7285180569999996</v>
      </c>
      <c r="G40" s="2" t="s">
        <v>84</v>
      </c>
      <c r="H40" s="5">
        <v>2409</v>
      </c>
      <c r="I40" s="1" t="s">
        <v>8</v>
      </c>
      <c r="J40" s="24" t="s">
        <v>55</v>
      </c>
      <c r="K40" s="18" t="s">
        <v>161</v>
      </c>
      <c r="L40" s="18">
        <v>7113</v>
      </c>
      <c r="M40" s="18">
        <f>ABS((D40*E40)-L40)</f>
        <v>300</v>
      </c>
      <c r="N40" s="10" t="str">
        <f t="shared" si="0"/>
        <v>Unique</v>
      </c>
    </row>
    <row r="41" spans="1:16" ht="40.75" customHeight="1" thickBot="1" x14ac:dyDescent="0.4">
      <c r="A41" s="6" t="s">
        <v>62</v>
      </c>
      <c r="B41" s="1" t="s">
        <v>109</v>
      </c>
      <c r="C41" s="1" t="s">
        <v>10</v>
      </c>
      <c r="D41" s="4">
        <v>1</v>
      </c>
      <c r="E41" s="4">
        <v>4640</v>
      </c>
      <c r="F41" s="4">
        <v>-5.7274629719999997</v>
      </c>
      <c r="G41" s="2" t="s">
        <v>110</v>
      </c>
      <c r="H41" s="5">
        <v>4921.8999999999996</v>
      </c>
      <c r="I41" s="1" t="s">
        <v>8</v>
      </c>
      <c r="J41" s="41"/>
      <c r="K41" s="17"/>
      <c r="L41" s="17"/>
      <c r="M41" s="17"/>
      <c r="N41" t="str">
        <f t="shared" si="0"/>
        <v>Unique</v>
      </c>
      <c r="P41"/>
    </row>
    <row r="42" spans="1:16" ht="40.75" customHeight="1" thickBot="1" x14ac:dyDescent="0.4">
      <c r="A42" s="3">
        <v>46121.375</v>
      </c>
      <c r="B42" s="1" t="s">
        <v>13</v>
      </c>
      <c r="C42" s="1" t="s">
        <v>10</v>
      </c>
      <c r="D42" s="4">
        <v>3</v>
      </c>
      <c r="E42" s="4">
        <v>1614</v>
      </c>
      <c r="F42" s="4">
        <v>-5.6691992989999997</v>
      </c>
      <c r="G42" s="2" t="s">
        <v>91</v>
      </c>
      <c r="H42" s="5">
        <v>1711</v>
      </c>
      <c r="I42" s="1" t="s">
        <v>8</v>
      </c>
      <c r="J42" s="24" t="s">
        <v>41</v>
      </c>
      <c r="K42" s="18" t="s">
        <v>249</v>
      </c>
      <c r="L42" s="18">
        <f>3*1794</f>
        <v>5382</v>
      </c>
      <c r="M42" s="18">
        <f>ABS((D42*E42)-L42)</f>
        <v>540</v>
      </c>
      <c r="N42" s="10" t="str">
        <f t="shared" si="0"/>
        <v>Unique</v>
      </c>
      <c r="O42"/>
      <c r="P42"/>
    </row>
    <row r="43" spans="1:16" ht="40.75" customHeight="1" thickBot="1" x14ac:dyDescent="0.4">
      <c r="A43" s="6" t="s">
        <v>62</v>
      </c>
      <c r="B43" s="1" t="s">
        <v>23</v>
      </c>
      <c r="C43" s="1" t="s">
        <v>10</v>
      </c>
      <c r="D43" s="4">
        <v>50</v>
      </c>
      <c r="E43" s="4">
        <v>196</v>
      </c>
      <c r="F43" s="4">
        <v>-5.3140096620000001</v>
      </c>
      <c r="G43" s="2" t="s">
        <v>70</v>
      </c>
      <c r="H43" s="5">
        <v>207</v>
      </c>
      <c r="I43" s="1" t="s">
        <v>8</v>
      </c>
      <c r="J43" s="41" t="s">
        <v>41</v>
      </c>
      <c r="K43" s="17"/>
      <c r="L43" s="17"/>
      <c r="M43" s="17"/>
      <c r="N43" t="str">
        <f t="shared" si="0"/>
        <v>Unique</v>
      </c>
      <c r="O43"/>
      <c r="P43"/>
    </row>
    <row r="44" spans="1:16" ht="15" customHeight="1" thickBot="1" x14ac:dyDescent="0.4">
      <c r="A44" s="6" t="s">
        <v>62</v>
      </c>
      <c r="B44" s="1" t="s">
        <v>19</v>
      </c>
      <c r="C44" s="1" t="s">
        <v>10</v>
      </c>
      <c r="D44" s="4">
        <v>50</v>
      </c>
      <c r="E44" s="4">
        <v>212</v>
      </c>
      <c r="F44" s="4">
        <v>-5.2852611359999999</v>
      </c>
      <c r="G44" s="2" t="s">
        <v>40</v>
      </c>
      <c r="H44" s="5">
        <v>223.83</v>
      </c>
      <c r="I44" s="1" t="s">
        <v>8</v>
      </c>
      <c r="J44" s="41" t="s">
        <v>41</v>
      </c>
      <c r="K44" s="17"/>
      <c r="L44" s="17"/>
      <c r="M44" s="17"/>
      <c r="N44" t="str">
        <f t="shared" si="0"/>
        <v>Unique</v>
      </c>
    </row>
    <row r="45" spans="1:16" ht="27.65" customHeight="1" thickBot="1" x14ac:dyDescent="0.4">
      <c r="A45" s="6" t="s">
        <v>62</v>
      </c>
      <c r="B45" s="1" t="s">
        <v>107</v>
      </c>
      <c r="C45" s="1" t="s">
        <v>10</v>
      </c>
      <c r="D45" s="4">
        <v>1</v>
      </c>
      <c r="E45" s="4">
        <v>6920</v>
      </c>
      <c r="F45" s="4">
        <v>-5.2054794519999996</v>
      </c>
      <c r="G45" s="2" t="s">
        <v>108</v>
      </c>
      <c r="H45" s="5">
        <v>7300</v>
      </c>
      <c r="I45" s="1" t="s">
        <v>8</v>
      </c>
      <c r="J45" s="22" t="s">
        <v>140</v>
      </c>
      <c r="K45" s="17"/>
      <c r="L45" s="17"/>
      <c r="M45" s="17"/>
      <c r="N45" t="str">
        <f t="shared" si="0"/>
        <v>Unique</v>
      </c>
      <c r="O45"/>
      <c r="P45"/>
    </row>
    <row r="46" spans="1:16" ht="27.65" customHeight="1" thickBot="1" x14ac:dyDescent="0.4">
      <c r="A46" s="3">
        <v>46252.6875</v>
      </c>
      <c r="B46" s="1" t="s">
        <v>18</v>
      </c>
      <c r="C46" s="1" t="s">
        <v>10</v>
      </c>
      <c r="D46" s="4">
        <v>10</v>
      </c>
      <c r="E46" s="4">
        <v>1666</v>
      </c>
      <c r="F46" s="4">
        <v>-4.8543689319999999</v>
      </c>
      <c r="G46" s="2" t="s">
        <v>102</v>
      </c>
      <c r="H46" s="5">
        <v>1751</v>
      </c>
      <c r="I46" s="1" t="s">
        <v>8</v>
      </c>
      <c r="J46" s="41" t="s">
        <v>55</v>
      </c>
      <c r="K46" s="17"/>
      <c r="L46" s="17"/>
      <c r="M46" s="17"/>
      <c r="N46" t="str">
        <f t="shared" si="0"/>
        <v>Unique</v>
      </c>
      <c r="O46"/>
      <c r="P46"/>
    </row>
    <row r="47" spans="1:16" ht="40.75" customHeight="1" thickBot="1" x14ac:dyDescent="0.4">
      <c r="A47" s="6" t="s">
        <v>62</v>
      </c>
      <c r="B47" s="1" t="s">
        <v>22</v>
      </c>
      <c r="C47" s="1" t="s">
        <v>10</v>
      </c>
      <c r="D47" s="4">
        <v>29</v>
      </c>
      <c r="E47" s="4">
        <v>401</v>
      </c>
      <c r="F47" s="4">
        <v>-4.5578959899999996</v>
      </c>
      <c r="G47" s="2" t="s">
        <v>73</v>
      </c>
      <c r="H47" s="5">
        <v>420.15</v>
      </c>
      <c r="I47" s="1" t="s">
        <v>8</v>
      </c>
      <c r="J47" s="22" t="s">
        <v>55</v>
      </c>
      <c r="K47" s="17"/>
      <c r="L47" s="17"/>
      <c r="M47" s="17"/>
      <c r="N47" t="str">
        <f t="shared" si="0"/>
        <v>Unique</v>
      </c>
      <c r="O47"/>
    </row>
    <row r="48" spans="1:16" ht="40.75" customHeight="1" thickBot="1" x14ac:dyDescent="0.4">
      <c r="A48" s="6" t="s">
        <v>62</v>
      </c>
      <c r="B48" s="1" t="s">
        <v>49</v>
      </c>
      <c r="C48" s="1" t="s">
        <v>10</v>
      </c>
      <c r="D48" s="4">
        <v>2</v>
      </c>
      <c r="E48" s="4">
        <v>3760</v>
      </c>
      <c r="F48" s="4">
        <v>-4.4472681070000002</v>
      </c>
      <c r="G48" s="2" t="s">
        <v>50</v>
      </c>
      <c r="H48" s="5">
        <v>3935</v>
      </c>
      <c r="I48" s="1" t="s">
        <v>8</v>
      </c>
      <c r="J48" s="41"/>
      <c r="K48" s="17"/>
      <c r="L48" s="17"/>
      <c r="M48" s="17"/>
      <c r="N48" t="str">
        <f t="shared" si="0"/>
        <v>Unique</v>
      </c>
      <c r="O48"/>
    </row>
    <row r="49" spans="1:16" ht="27.65" customHeight="1" thickBot="1" x14ac:dyDescent="0.4">
      <c r="A49" s="3">
        <v>46268.385416666664</v>
      </c>
      <c r="B49" s="1" t="s">
        <v>19</v>
      </c>
      <c r="C49" s="1" t="s">
        <v>10</v>
      </c>
      <c r="D49" s="4">
        <v>100</v>
      </c>
      <c r="E49" s="4">
        <v>214</v>
      </c>
      <c r="F49" s="4">
        <v>-4.3917258629999996</v>
      </c>
      <c r="G49" s="2" t="s">
        <v>40</v>
      </c>
      <c r="H49" s="5">
        <v>223.83</v>
      </c>
      <c r="I49" s="1" t="s">
        <v>8</v>
      </c>
      <c r="J49" s="24" t="s">
        <v>55</v>
      </c>
      <c r="K49" s="18" t="s">
        <v>242</v>
      </c>
      <c r="L49" s="18">
        <v>21900</v>
      </c>
      <c r="M49" s="18">
        <f>ABS((D49*E49)-L49)</f>
        <v>500</v>
      </c>
      <c r="N49" s="10" t="str">
        <f t="shared" si="0"/>
        <v>Unique</v>
      </c>
    </row>
    <row r="50" spans="1:16" ht="27.65" customHeight="1" thickBot="1" x14ac:dyDescent="0.4">
      <c r="A50" s="20">
        <v>46255</v>
      </c>
      <c r="B50" s="1" t="s">
        <v>17</v>
      </c>
      <c r="C50" s="1" t="s">
        <v>10</v>
      </c>
      <c r="D50" s="4">
        <v>25</v>
      </c>
      <c r="E50" s="4">
        <v>336</v>
      </c>
      <c r="F50" s="4">
        <v>-4.2189281640000003</v>
      </c>
      <c r="G50" s="2" t="s">
        <v>77</v>
      </c>
      <c r="H50" s="5">
        <v>350.8</v>
      </c>
      <c r="I50" s="1" t="s">
        <v>8</v>
      </c>
      <c r="J50" s="24" t="s">
        <v>55</v>
      </c>
      <c r="K50" s="18" t="s">
        <v>150</v>
      </c>
      <c r="L50" s="18">
        <v>8700</v>
      </c>
      <c r="M50" s="18">
        <f>ABS((D50*E50)-L50)</f>
        <v>300</v>
      </c>
      <c r="N50" s="10" t="str">
        <f t="shared" si="0"/>
        <v>Unique</v>
      </c>
      <c r="O50"/>
      <c r="P50"/>
    </row>
    <row r="51" spans="1:16" ht="27.65" customHeight="1" thickBot="1" x14ac:dyDescent="0.4">
      <c r="A51" s="3">
        <v>46261.375</v>
      </c>
      <c r="B51" s="1" t="s">
        <v>32</v>
      </c>
      <c r="C51" s="1" t="s">
        <v>10</v>
      </c>
      <c r="D51" s="4">
        <v>20</v>
      </c>
      <c r="E51" s="4">
        <v>870</v>
      </c>
      <c r="F51" s="4">
        <v>-4.1850220260000004</v>
      </c>
      <c r="G51" s="2" t="s">
        <v>85</v>
      </c>
      <c r="H51" s="5">
        <v>908</v>
      </c>
      <c r="I51" s="1" t="s">
        <v>8</v>
      </c>
      <c r="J51" s="24" t="s">
        <v>41</v>
      </c>
      <c r="K51" s="18" t="s">
        <v>188</v>
      </c>
      <c r="L51" s="18">
        <v>17700</v>
      </c>
      <c r="M51" s="18">
        <f>ABS((D51*E51)-L51)</f>
        <v>300</v>
      </c>
      <c r="N51" s="10" t="str">
        <f t="shared" si="0"/>
        <v>Unique</v>
      </c>
      <c r="P51" s="25"/>
    </row>
    <row r="52" spans="1:16" s="25" customFormat="1" ht="27.65" customHeight="1" thickBot="1" x14ac:dyDescent="0.4">
      <c r="A52" s="3">
        <v>46268.375</v>
      </c>
      <c r="B52" s="1" t="s">
        <v>32</v>
      </c>
      <c r="C52" s="1" t="s">
        <v>10</v>
      </c>
      <c r="D52" s="4">
        <v>20</v>
      </c>
      <c r="E52" s="4">
        <v>870.2</v>
      </c>
      <c r="F52" s="4">
        <v>-4.1629955949999999</v>
      </c>
      <c r="G52" s="2" t="s">
        <v>85</v>
      </c>
      <c r="H52" s="5">
        <v>908</v>
      </c>
      <c r="I52" s="1" t="s">
        <v>8</v>
      </c>
      <c r="J52" s="24" t="s">
        <v>55</v>
      </c>
      <c r="K52" s="18" t="s">
        <v>241</v>
      </c>
      <c r="L52" s="18">
        <v>17920</v>
      </c>
      <c r="M52" s="18">
        <f>ABS((D52*E52)-L52)</f>
        <v>516</v>
      </c>
      <c r="N52" s="10" t="str">
        <f t="shared" si="0"/>
        <v>Unique</v>
      </c>
      <c r="O52" s="10"/>
      <c r="P52" s="10"/>
    </row>
    <row r="53" spans="1:16" ht="27.65" customHeight="1" thickBot="1" x14ac:dyDescent="0.4">
      <c r="A53" s="3">
        <v>46252.635416666664</v>
      </c>
      <c r="B53" s="1" t="s">
        <v>36</v>
      </c>
      <c r="C53" s="1" t="s">
        <v>10</v>
      </c>
      <c r="D53" s="4">
        <v>5</v>
      </c>
      <c r="E53" s="4">
        <v>1132</v>
      </c>
      <c r="F53" s="4">
        <v>-4.0677966100000003</v>
      </c>
      <c r="G53" s="2" t="s">
        <v>65</v>
      </c>
      <c r="H53" s="5">
        <v>1180</v>
      </c>
      <c r="I53" s="1" t="s">
        <v>8</v>
      </c>
      <c r="J53" s="41" t="s">
        <v>41</v>
      </c>
      <c r="K53" s="17"/>
      <c r="L53" s="17"/>
      <c r="M53" s="17"/>
      <c r="N53" t="str">
        <f t="shared" si="0"/>
        <v>Unique</v>
      </c>
    </row>
    <row r="54" spans="1:16" ht="27.65" customHeight="1" thickBot="1" x14ac:dyDescent="0.4">
      <c r="A54" s="3">
        <v>46252.635416666664</v>
      </c>
      <c r="B54" s="1" t="s">
        <v>78</v>
      </c>
      <c r="C54" s="1" t="s">
        <v>10</v>
      </c>
      <c r="D54" s="4">
        <v>3</v>
      </c>
      <c r="E54" s="4">
        <v>1302</v>
      </c>
      <c r="F54" s="4">
        <v>-3.9114391140000002</v>
      </c>
      <c r="G54" s="2" t="s">
        <v>79</v>
      </c>
      <c r="H54" s="5">
        <v>1355</v>
      </c>
      <c r="I54" s="1" t="s">
        <v>8</v>
      </c>
      <c r="J54" s="41" t="s">
        <v>41</v>
      </c>
      <c r="K54" s="17"/>
      <c r="L54" s="17"/>
      <c r="M54" s="17"/>
      <c r="N54" t="str">
        <f t="shared" si="0"/>
        <v>Unique</v>
      </c>
      <c r="O54"/>
      <c r="P54"/>
    </row>
    <row r="55" spans="1:16" ht="27.65" customHeight="1" thickBot="1" x14ac:dyDescent="0.4">
      <c r="A55" s="3">
        <v>46252.688194444447</v>
      </c>
      <c r="B55" s="1" t="s">
        <v>21</v>
      </c>
      <c r="C55" s="1" t="s">
        <v>10</v>
      </c>
      <c r="D55" s="4">
        <v>5</v>
      </c>
      <c r="E55" s="4">
        <v>640</v>
      </c>
      <c r="F55" s="4">
        <v>-3.9039039039999999</v>
      </c>
      <c r="G55" s="2" t="s">
        <v>76</v>
      </c>
      <c r="H55" s="5">
        <v>666</v>
      </c>
      <c r="I55" s="1" t="s">
        <v>8</v>
      </c>
      <c r="J55" s="41" t="s">
        <v>41</v>
      </c>
      <c r="K55" s="17"/>
      <c r="L55" s="17"/>
      <c r="M55" s="17"/>
      <c r="N55" t="str">
        <f t="shared" si="0"/>
        <v>Unique</v>
      </c>
      <c r="O55"/>
      <c r="P55"/>
    </row>
    <row r="56" spans="1:16" ht="27.65" customHeight="1" thickBot="1" x14ac:dyDescent="0.4">
      <c r="A56" s="6" t="s">
        <v>62</v>
      </c>
      <c r="B56" s="1" t="s">
        <v>51</v>
      </c>
      <c r="C56" s="1" t="s">
        <v>10</v>
      </c>
      <c r="D56" s="4">
        <v>40</v>
      </c>
      <c r="E56" s="4">
        <v>862</v>
      </c>
      <c r="F56" s="4">
        <v>-3.9018952059999998</v>
      </c>
      <c r="G56" s="2" t="s">
        <v>52</v>
      </c>
      <c r="H56" s="5">
        <v>897</v>
      </c>
      <c r="I56" s="1" t="s">
        <v>8</v>
      </c>
      <c r="J56" s="41" t="s">
        <v>41</v>
      </c>
      <c r="K56" s="17"/>
      <c r="L56" s="17"/>
      <c r="M56" s="17"/>
      <c r="N56" t="str">
        <f t="shared" si="0"/>
        <v>Unique</v>
      </c>
      <c r="O56"/>
      <c r="P56"/>
    </row>
    <row r="57" spans="1:16" ht="27.65" customHeight="1" thickBot="1" x14ac:dyDescent="0.4">
      <c r="A57" s="6" t="s">
        <v>62</v>
      </c>
      <c r="B57" s="1" t="s">
        <v>25</v>
      </c>
      <c r="C57" s="1" t="s">
        <v>10</v>
      </c>
      <c r="D57" s="4">
        <v>200</v>
      </c>
      <c r="E57" s="4">
        <v>31.01</v>
      </c>
      <c r="F57" s="4">
        <v>-3.5158680769999999</v>
      </c>
      <c r="G57" s="2" t="s">
        <v>46</v>
      </c>
      <c r="H57" s="5">
        <v>32.14</v>
      </c>
      <c r="I57" s="1" t="s">
        <v>8</v>
      </c>
      <c r="J57" s="41" t="s">
        <v>55</v>
      </c>
      <c r="K57" s="17"/>
      <c r="L57" s="17"/>
      <c r="M57" s="17"/>
      <c r="N57" t="str">
        <f t="shared" si="0"/>
        <v>Unique</v>
      </c>
      <c r="O57" s="34"/>
      <c r="P57"/>
    </row>
    <row r="58" spans="1:16" ht="27.65" customHeight="1" thickBot="1" x14ac:dyDescent="0.4">
      <c r="A58" s="3">
        <v>46252.6875</v>
      </c>
      <c r="B58" s="1" t="s">
        <v>20</v>
      </c>
      <c r="C58" s="1" t="s">
        <v>10</v>
      </c>
      <c r="D58" s="4">
        <v>20</v>
      </c>
      <c r="E58" s="4">
        <v>122</v>
      </c>
      <c r="F58" s="4">
        <v>-3.3739901790000002</v>
      </c>
      <c r="G58" s="2" t="s">
        <v>86</v>
      </c>
      <c r="H58" s="5">
        <v>126.26</v>
      </c>
      <c r="I58" s="1" t="s">
        <v>8</v>
      </c>
      <c r="J58" s="42" t="s">
        <v>41</v>
      </c>
      <c r="K58" s="17"/>
      <c r="L58" s="17"/>
      <c r="M58" s="17"/>
      <c r="N58" t="str">
        <f t="shared" si="0"/>
        <v>Unique</v>
      </c>
    </row>
    <row r="59" spans="1:16" ht="15" customHeight="1" thickBot="1" x14ac:dyDescent="0.4">
      <c r="A59" s="3">
        <v>46252.635416666664</v>
      </c>
      <c r="B59" s="1" t="s">
        <v>36</v>
      </c>
      <c r="C59" s="1" t="s">
        <v>10</v>
      </c>
      <c r="D59" s="4">
        <v>5</v>
      </c>
      <c r="E59" s="4">
        <v>1142</v>
      </c>
      <c r="F59" s="4">
        <v>-3.220338983</v>
      </c>
      <c r="G59" s="2" t="s">
        <v>65</v>
      </c>
      <c r="H59" s="5">
        <v>1180</v>
      </c>
      <c r="I59" s="1" t="s">
        <v>8</v>
      </c>
      <c r="J59" s="22" t="s">
        <v>41</v>
      </c>
      <c r="K59" s="17"/>
      <c r="L59" s="17"/>
      <c r="M59" s="17"/>
      <c r="N59" t="str">
        <f t="shared" si="0"/>
        <v>Unique</v>
      </c>
    </row>
    <row r="60" spans="1:16" ht="27.65" customHeight="1" thickBot="1" x14ac:dyDescent="0.4">
      <c r="A60" s="6" t="s">
        <v>62</v>
      </c>
      <c r="B60" s="1" t="s">
        <v>49</v>
      </c>
      <c r="C60" s="1" t="s">
        <v>10</v>
      </c>
      <c r="D60" s="4">
        <v>3</v>
      </c>
      <c r="E60" s="4">
        <v>3810</v>
      </c>
      <c r="F60" s="4">
        <v>-3.1766200759999998</v>
      </c>
      <c r="G60" s="2" t="s">
        <v>50</v>
      </c>
      <c r="H60" s="5">
        <v>3935</v>
      </c>
      <c r="I60" s="1" t="s">
        <v>8</v>
      </c>
      <c r="J60" s="41"/>
      <c r="K60" s="17"/>
      <c r="L60" s="17"/>
      <c r="M60" s="17"/>
      <c r="N60" t="str">
        <f t="shared" si="0"/>
        <v>Unique</v>
      </c>
    </row>
    <row r="61" spans="1:16" ht="27.65" customHeight="1" thickBot="1" x14ac:dyDescent="0.4">
      <c r="A61" s="3">
        <v>46252.6875</v>
      </c>
      <c r="B61" s="1" t="s">
        <v>9</v>
      </c>
      <c r="C61" s="1" t="s">
        <v>10</v>
      </c>
      <c r="D61" s="4">
        <v>37</v>
      </c>
      <c r="E61" s="4">
        <v>277</v>
      </c>
      <c r="F61" s="4">
        <v>-3.0621172350000001</v>
      </c>
      <c r="G61" s="2" t="s">
        <v>95</v>
      </c>
      <c r="H61" s="5">
        <v>285.75</v>
      </c>
      <c r="I61" s="1" t="s">
        <v>8</v>
      </c>
      <c r="J61" s="41" t="s">
        <v>55</v>
      </c>
      <c r="K61" s="17"/>
      <c r="L61" s="17"/>
      <c r="M61" s="17"/>
      <c r="N61" t="str">
        <f t="shared" si="0"/>
        <v>Unique</v>
      </c>
      <c r="O61"/>
    </row>
    <row r="62" spans="1:16" ht="27.65" customHeight="1" thickBot="1" x14ac:dyDescent="0.4">
      <c r="A62" s="3">
        <v>46252.635416666664</v>
      </c>
      <c r="B62" s="1" t="s">
        <v>68</v>
      </c>
      <c r="C62" s="1" t="s">
        <v>10</v>
      </c>
      <c r="D62" s="4">
        <v>100</v>
      </c>
      <c r="E62" s="4">
        <v>391</v>
      </c>
      <c r="F62" s="4">
        <v>-2.9776674939999999</v>
      </c>
      <c r="G62" s="2" t="s">
        <v>69</v>
      </c>
      <c r="H62" s="5">
        <v>403</v>
      </c>
      <c r="I62" s="1" t="s">
        <v>8</v>
      </c>
      <c r="J62" s="41" t="s">
        <v>55</v>
      </c>
      <c r="K62" s="17"/>
      <c r="L62" s="17"/>
      <c r="M62" s="17"/>
      <c r="N62" t="str">
        <f t="shared" si="0"/>
        <v>Unique</v>
      </c>
    </row>
    <row r="63" spans="1:16" ht="15" customHeight="1" thickBot="1" x14ac:dyDescent="0.4">
      <c r="A63" s="6" t="s">
        <v>62</v>
      </c>
      <c r="B63" s="1" t="s">
        <v>23</v>
      </c>
      <c r="C63" s="1" t="s">
        <v>10</v>
      </c>
      <c r="D63" s="4">
        <v>50</v>
      </c>
      <c r="E63" s="4">
        <v>201</v>
      </c>
      <c r="F63" s="4">
        <v>-2.8985507250000002</v>
      </c>
      <c r="G63" s="2" t="s">
        <v>70</v>
      </c>
      <c r="H63" s="5">
        <v>207</v>
      </c>
      <c r="I63" s="1" t="s">
        <v>8</v>
      </c>
      <c r="J63" s="42" t="s">
        <v>41</v>
      </c>
      <c r="K63" s="17"/>
      <c r="L63" s="17"/>
      <c r="M63" s="17"/>
      <c r="N63" t="str">
        <f t="shared" si="0"/>
        <v>Unique</v>
      </c>
      <c r="O63"/>
      <c r="P63"/>
    </row>
    <row r="64" spans="1:16" ht="27.65" customHeight="1" thickBot="1" x14ac:dyDescent="0.4">
      <c r="A64" s="3">
        <v>46121.375</v>
      </c>
      <c r="B64" s="1" t="s">
        <v>13</v>
      </c>
      <c r="C64" s="1" t="s">
        <v>10</v>
      </c>
      <c r="D64" s="4">
        <v>5</v>
      </c>
      <c r="E64" s="4">
        <v>1664</v>
      </c>
      <c r="F64" s="4">
        <v>-2.7469316190000002</v>
      </c>
      <c r="G64" s="2" t="s">
        <v>91</v>
      </c>
      <c r="H64" s="5">
        <v>1711</v>
      </c>
      <c r="I64" s="1" t="s">
        <v>8</v>
      </c>
      <c r="J64" s="24" t="s">
        <v>41</v>
      </c>
      <c r="K64" s="18" t="s">
        <v>250</v>
      </c>
      <c r="L64" s="18">
        <f>5*1794</f>
        <v>8970</v>
      </c>
      <c r="M64" s="18">
        <f>ABS((D64*E64)-L64)</f>
        <v>650</v>
      </c>
      <c r="N64" s="10" t="str">
        <f t="shared" si="0"/>
        <v>Unique</v>
      </c>
      <c r="O64"/>
    </row>
    <row r="65" spans="1:16" ht="27.65" customHeight="1" thickBot="1" x14ac:dyDescent="0.4">
      <c r="A65" s="3">
        <v>46274.375</v>
      </c>
      <c r="B65" s="1" t="s">
        <v>119</v>
      </c>
      <c r="C65" s="1" t="s">
        <v>10</v>
      </c>
      <c r="D65" s="4">
        <v>15</v>
      </c>
      <c r="E65" s="4">
        <v>1005</v>
      </c>
      <c r="F65" s="4">
        <v>-2.7199690250000002</v>
      </c>
      <c r="G65" s="2" t="s">
        <v>120</v>
      </c>
      <c r="H65" s="5">
        <v>1033.0999999999999</v>
      </c>
      <c r="I65" s="1" t="s">
        <v>8</v>
      </c>
      <c r="J65" s="24" t="s">
        <v>55</v>
      </c>
      <c r="K65" s="18" t="s">
        <v>275</v>
      </c>
      <c r="L65" s="18">
        <v>15600</v>
      </c>
      <c r="M65" s="18">
        <f>ABS((D65*E65)-L65)</f>
        <v>525</v>
      </c>
      <c r="N65" s="10" t="str">
        <f t="shared" si="0"/>
        <v>Unique</v>
      </c>
    </row>
    <row r="66" spans="1:16" ht="27.65" customHeight="1" thickBot="1" x14ac:dyDescent="0.4">
      <c r="A66" s="6" t="s">
        <v>62</v>
      </c>
      <c r="B66" s="1" t="s">
        <v>82</v>
      </c>
      <c r="C66" s="1" t="s">
        <v>10</v>
      </c>
      <c r="D66" s="4">
        <v>2</v>
      </c>
      <c r="E66" s="4">
        <v>4010</v>
      </c>
      <c r="F66" s="4">
        <v>-2.669902913</v>
      </c>
      <c r="G66" s="2" t="s">
        <v>83</v>
      </c>
      <c r="H66" s="5">
        <v>4120</v>
      </c>
      <c r="I66" s="1" t="s">
        <v>8</v>
      </c>
      <c r="J66" s="41" t="s">
        <v>41</v>
      </c>
      <c r="K66" s="17"/>
      <c r="L66" s="17"/>
      <c r="M66" s="17"/>
      <c r="N66" t="str">
        <f t="shared" ref="N66:N129" si="1">IF(COUNTIFS( $B$2:$B$767, B66, $C$2:$C$767, C66, $D$2:$D$767, D66, $E$2:$E$767, E66) &gt; 1, "Duplicate", "Unique")</f>
        <v>Unique</v>
      </c>
    </row>
    <row r="67" spans="1:16" ht="27.65" customHeight="1" thickBot="1" x14ac:dyDescent="0.4">
      <c r="A67" s="6" t="s">
        <v>62</v>
      </c>
      <c r="B67" s="1" t="s">
        <v>49</v>
      </c>
      <c r="C67" s="1" t="s">
        <v>10</v>
      </c>
      <c r="D67" s="4">
        <v>2</v>
      </c>
      <c r="E67" s="4">
        <v>3830</v>
      </c>
      <c r="F67" s="4">
        <v>-2.6683608639999998</v>
      </c>
      <c r="G67" s="2" t="s">
        <v>50</v>
      </c>
      <c r="H67" s="5">
        <v>3935</v>
      </c>
      <c r="I67" s="1" t="s">
        <v>8</v>
      </c>
      <c r="J67" s="41"/>
      <c r="K67" s="17"/>
      <c r="L67" s="17"/>
      <c r="M67" s="17"/>
      <c r="N67" t="str">
        <f t="shared" si="1"/>
        <v>Unique</v>
      </c>
    </row>
    <row r="68" spans="1:16" s="26" customFormat="1" ht="27.65" customHeight="1" thickBot="1" x14ac:dyDescent="0.4">
      <c r="A68" s="3">
        <v>46260.375</v>
      </c>
      <c r="B68" s="1" t="s">
        <v>33</v>
      </c>
      <c r="C68" s="1" t="s">
        <v>10</v>
      </c>
      <c r="D68" s="4">
        <v>3</v>
      </c>
      <c r="E68" s="4">
        <v>2348</v>
      </c>
      <c r="F68" s="4">
        <v>-2.5321710249999998</v>
      </c>
      <c r="G68" s="2" t="s">
        <v>84</v>
      </c>
      <c r="H68" s="5">
        <v>2409</v>
      </c>
      <c r="I68" s="1" t="s">
        <v>8</v>
      </c>
      <c r="J68" s="24" t="s">
        <v>41</v>
      </c>
      <c r="K68" s="18" t="s">
        <v>176</v>
      </c>
      <c r="L68" s="18">
        <v>7344</v>
      </c>
      <c r="M68" s="18">
        <f>ABS((D68*E68)-L68)</f>
        <v>300</v>
      </c>
      <c r="N68" t="str">
        <f t="shared" si="1"/>
        <v>Unique</v>
      </c>
      <c r="O68" s="10"/>
      <c r="P68" s="10"/>
    </row>
    <row r="69" spans="1:16" ht="27.65" customHeight="1" thickBot="1" x14ac:dyDescent="0.4">
      <c r="A69" s="3">
        <v>46269.375</v>
      </c>
      <c r="B69" s="1" t="s">
        <v>74</v>
      </c>
      <c r="C69" s="1" t="s">
        <v>10</v>
      </c>
      <c r="D69" s="4">
        <v>2</v>
      </c>
      <c r="E69" s="4">
        <v>3210</v>
      </c>
      <c r="F69" s="4">
        <v>-2.3692934700000001</v>
      </c>
      <c r="G69" s="2" t="s">
        <v>75</v>
      </c>
      <c r="H69" s="5">
        <v>3287.9</v>
      </c>
      <c r="I69" s="1" t="s">
        <v>8</v>
      </c>
      <c r="J69" s="24" t="s">
        <v>41</v>
      </c>
      <c r="K69" s="18" t="s">
        <v>248</v>
      </c>
      <c r="L69" s="18">
        <v>6880</v>
      </c>
      <c r="M69" s="27">
        <f>ABS((D69*E69)-L69)</f>
        <v>460</v>
      </c>
      <c r="N69" t="str">
        <f t="shared" si="1"/>
        <v>Unique</v>
      </c>
      <c r="O69"/>
    </row>
    <row r="70" spans="1:16" ht="27.65" customHeight="1" thickBot="1" x14ac:dyDescent="0.4">
      <c r="A70" s="6" t="s">
        <v>62</v>
      </c>
      <c r="B70" s="1" t="s">
        <v>51</v>
      </c>
      <c r="C70" s="1" t="s">
        <v>10</v>
      </c>
      <c r="D70" s="4">
        <v>40</v>
      </c>
      <c r="E70" s="4">
        <v>878</v>
      </c>
      <c r="F70" s="4">
        <v>-2.1181716829999999</v>
      </c>
      <c r="G70" s="2" t="s">
        <v>52</v>
      </c>
      <c r="H70" s="5">
        <v>897</v>
      </c>
      <c r="I70" s="1" t="s">
        <v>8</v>
      </c>
      <c r="J70" s="41" t="s">
        <v>55</v>
      </c>
      <c r="K70" s="17"/>
      <c r="L70" s="17"/>
      <c r="M70" s="17"/>
      <c r="N70" t="str">
        <f t="shared" si="1"/>
        <v>Unique</v>
      </c>
    </row>
    <row r="71" spans="1:16" s="25" customFormat="1" ht="27.65" customHeight="1" thickBot="1" x14ac:dyDescent="0.4">
      <c r="A71" s="6" t="s">
        <v>62</v>
      </c>
      <c r="B71" s="1" t="s">
        <v>49</v>
      </c>
      <c r="C71" s="1" t="s">
        <v>10</v>
      </c>
      <c r="D71" s="4">
        <v>2</v>
      </c>
      <c r="E71" s="4">
        <v>3856</v>
      </c>
      <c r="F71" s="4">
        <v>-2.0076238879999999</v>
      </c>
      <c r="G71" s="2" t="s">
        <v>50</v>
      </c>
      <c r="H71" s="5">
        <v>3935</v>
      </c>
      <c r="I71" s="1" t="s">
        <v>8</v>
      </c>
      <c r="J71" s="41"/>
      <c r="K71" s="17"/>
      <c r="L71" s="17"/>
      <c r="M71" s="17"/>
      <c r="N71" t="str">
        <f t="shared" si="1"/>
        <v>Unique</v>
      </c>
      <c r="O71" s="19"/>
      <c r="P71" s="10"/>
    </row>
    <row r="72" spans="1:16" ht="27.65" customHeight="1" thickBot="1" x14ac:dyDescent="0.4">
      <c r="A72" s="3">
        <v>46252.6875</v>
      </c>
      <c r="B72" s="1" t="s">
        <v>23</v>
      </c>
      <c r="C72" s="1" t="s">
        <v>10</v>
      </c>
      <c r="D72" s="4">
        <v>50</v>
      </c>
      <c r="E72" s="4">
        <v>203.5</v>
      </c>
      <c r="F72" s="4">
        <v>-1.690821256</v>
      </c>
      <c r="G72" s="2" t="s">
        <v>70</v>
      </c>
      <c r="H72" s="5">
        <v>207</v>
      </c>
      <c r="I72" s="1" t="s">
        <v>8</v>
      </c>
      <c r="J72" s="42" t="s">
        <v>55</v>
      </c>
      <c r="K72" s="17"/>
      <c r="L72" s="17"/>
      <c r="M72" s="17"/>
      <c r="N72" t="str">
        <f t="shared" si="1"/>
        <v>Unique</v>
      </c>
      <c r="P72"/>
    </row>
    <row r="73" spans="1:16" ht="27.65" customHeight="1" thickBot="1" x14ac:dyDescent="0.4">
      <c r="A73" s="6" t="s">
        <v>62</v>
      </c>
      <c r="B73" s="1" t="s">
        <v>9</v>
      </c>
      <c r="C73" s="1" t="s">
        <v>10</v>
      </c>
      <c r="D73" s="4">
        <v>20</v>
      </c>
      <c r="E73" s="4">
        <v>281</v>
      </c>
      <c r="F73" s="4">
        <v>-1.662292213</v>
      </c>
      <c r="G73" s="2" t="s">
        <v>95</v>
      </c>
      <c r="H73" s="5">
        <v>285.75</v>
      </c>
      <c r="I73" s="1" t="s">
        <v>8</v>
      </c>
      <c r="J73" s="41" t="s">
        <v>41</v>
      </c>
      <c r="K73" s="17"/>
      <c r="L73" s="17"/>
      <c r="M73" s="17"/>
      <c r="N73" t="str">
        <f t="shared" si="1"/>
        <v>Unique</v>
      </c>
      <c r="P73" s="26"/>
    </row>
    <row r="74" spans="1:16" ht="27.65" customHeight="1" thickBot="1" x14ac:dyDescent="0.4">
      <c r="A74" s="6" t="s">
        <v>62</v>
      </c>
      <c r="B74" s="1" t="s">
        <v>49</v>
      </c>
      <c r="C74" s="1" t="s">
        <v>10</v>
      </c>
      <c r="D74" s="4">
        <v>5</v>
      </c>
      <c r="E74" s="4">
        <v>3888</v>
      </c>
      <c r="F74" s="4">
        <v>-1.1944091489999999</v>
      </c>
      <c r="G74" s="2" t="s">
        <v>50</v>
      </c>
      <c r="H74" s="5">
        <v>3935</v>
      </c>
      <c r="I74" s="1" t="s">
        <v>8</v>
      </c>
      <c r="J74" s="41"/>
      <c r="K74" s="17"/>
      <c r="L74" s="17"/>
      <c r="M74" s="17"/>
      <c r="N74" t="str">
        <f t="shared" si="1"/>
        <v>Unique</v>
      </c>
      <c r="O74" s="26"/>
    </row>
    <row r="75" spans="1:16" ht="27.65" customHeight="1" thickBot="1" x14ac:dyDescent="0.4">
      <c r="A75" s="3">
        <v>46261.375</v>
      </c>
      <c r="B75" s="1" t="s">
        <v>23</v>
      </c>
      <c r="C75" s="1" t="s">
        <v>10</v>
      </c>
      <c r="D75" s="4">
        <v>50</v>
      </c>
      <c r="E75" s="4">
        <v>205</v>
      </c>
      <c r="F75" s="4">
        <v>-0.96618357489999995</v>
      </c>
      <c r="G75" s="2" t="s">
        <v>70</v>
      </c>
      <c r="H75" s="5">
        <v>207</v>
      </c>
      <c r="I75" s="1" t="s">
        <v>8</v>
      </c>
      <c r="J75" s="24" t="s">
        <v>41</v>
      </c>
      <c r="K75" s="18" t="s">
        <v>187</v>
      </c>
      <c r="L75" s="18">
        <v>10550</v>
      </c>
      <c r="M75" s="18">
        <f>ABS((D75*E75)-L75)</f>
        <v>300</v>
      </c>
      <c r="N75" s="10" t="str">
        <f t="shared" si="1"/>
        <v>Unique</v>
      </c>
    </row>
    <row r="76" spans="1:16" ht="14.4" customHeight="1" thickBot="1" x14ac:dyDescent="0.4">
      <c r="A76" s="3">
        <v>46275.457662037035</v>
      </c>
      <c r="B76" s="1" t="s">
        <v>19</v>
      </c>
      <c r="C76" s="1" t="s">
        <v>10</v>
      </c>
      <c r="D76" s="4">
        <v>100</v>
      </c>
      <c r="E76" s="4">
        <v>222</v>
      </c>
      <c r="F76" s="4">
        <v>-0.81758477419999998</v>
      </c>
      <c r="G76" s="2" t="s">
        <v>40</v>
      </c>
      <c r="H76" s="5">
        <v>223.83</v>
      </c>
      <c r="I76" s="1" t="s">
        <v>8</v>
      </c>
      <c r="J76" s="24" t="s">
        <v>41</v>
      </c>
      <c r="K76" s="18" t="s">
        <v>280</v>
      </c>
      <c r="L76" s="18">
        <v>56375</v>
      </c>
      <c r="M76" s="18">
        <f>ABS((D76*E76)-L76)</f>
        <v>34175</v>
      </c>
      <c r="N76" s="10" t="str">
        <f t="shared" si="1"/>
        <v>Unique</v>
      </c>
    </row>
    <row r="77" spans="1:16" ht="14.4" customHeight="1" thickBot="1" x14ac:dyDescent="0.4">
      <c r="A77" s="3">
        <v>46252.645138888889</v>
      </c>
      <c r="B77" s="1" t="s">
        <v>68</v>
      </c>
      <c r="C77" s="1" t="s">
        <v>10</v>
      </c>
      <c r="D77" s="4">
        <v>10</v>
      </c>
      <c r="E77" s="4">
        <v>401</v>
      </c>
      <c r="F77" s="4">
        <v>-0.49627791560000001</v>
      </c>
      <c r="G77" s="2" t="s">
        <v>69</v>
      </c>
      <c r="H77" s="5">
        <v>403</v>
      </c>
      <c r="I77" s="1" t="s">
        <v>8</v>
      </c>
      <c r="J77" s="43" t="s">
        <v>41</v>
      </c>
      <c r="K77" s="17"/>
      <c r="L77" s="17"/>
      <c r="M77" s="17"/>
      <c r="N77" t="str">
        <f t="shared" si="1"/>
        <v>Unique</v>
      </c>
    </row>
    <row r="78" spans="1:16" ht="14.4" customHeight="1" thickBot="1" x14ac:dyDescent="0.4">
      <c r="A78" s="6" t="s">
        <v>62</v>
      </c>
      <c r="B78" s="1" t="s">
        <v>15</v>
      </c>
      <c r="C78" s="1" t="s">
        <v>10</v>
      </c>
      <c r="D78" s="4">
        <v>30</v>
      </c>
      <c r="E78" s="4">
        <v>2435</v>
      </c>
      <c r="F78" s="4">
        <v>-0.1230516817</v>
      </c>
      <c r="G78" s="2" t="s">
        <v>72</v>
      </c>
      <c r="H78" s="5">
        <v>2438</v>
      </c>
      <c r="I78" s="1" t="s">
        <v>8</v>
      </c>
      <c r="J78" s="41" t="s">
        <v>55</v>
      </c>
      <c r="K78" s="17"/>
      <c r="L78" s="17"/>
      <c r="M78" s="17"/>
      <c r="N78" t="str">
        <f t="shared" si="1"/>
        <v>Unique</v>
      </c>
    </row>
    <row r="79" spans="1:16" s="25" customFormat="1" ht="14.4" customHeight="1" thickBot="1" x14ac:dyDescent="0.4">
      <c r="A79" s="3">
        <v>46252.635416666664</v>
      </c>
      <c r="B79" s="1" t="s">
        <v>89</v>
      </c>
      <c r="C79" s="1" t="s">
        <v>10</v>
      </c>
      <c r="D79" s="4">
        <v>1</v>
      </c>
      <c r="E79" s="4">
        <v>13552</v>
      </c>
      <c r="F79" s="4">
        <v>1.0739856800000001</v>
      </c>
      <c r="G79" s="2" t="s">
        <v>90</v>
      </c>
      <c r="H79" s="5">
        <v>13408</v>
      </c>
      <c r="I79" s="1" t="s">
        <v>8</v>
      </c>
      <c r="J79" s="41" t="s">
        <v>41</v>
      </c>
      <c r="K79" s="17"/>
      <c r="L79" s="17"/>
      <c r="M79" s="17"/>
      <c r="N79" t="str">
        <f t="shared" si="1"/>
        <v>Unique</v>
      </c>
      <c r="O79" s="10"/>
      <c r="P79" s="10"/>
    </row>
    <row r="80" spans="1:16" ht="14.4" customHeight="1" thickBot="1" x14ac:dyDescent="0.4">
      <c r="A80" s="3">
        <v>46304.375</v>
      </c>
      <c r="B80" s="1" t="s">
        <v>51</v>
      </c>
      <c r="C80" s="1" t="s">
        <v>7</v>
      </c>
      <c r="D80" s="4">
        <v>10</v>
      </c>
      <c r="E80" s="4">
        <v>907</v>
      </c>
      <c r="F80" s="4">
        <v>1.1148272020000001</v>
      </c>
      <c r="G80" s="2" t="s">
        <v>52</v>
      </c>
      <c r="H80" s="5">
        <v>897</v>
      </c>
      <c r="I80" s="1" t="s">
        <v>8</v>
      </c>
      <c r="J80" s="24" t="s">
        <v>117</v>
      </c>
      <c r="K80" s="18" t="s">
        <v>278</v>
      </c>
      <c r="L80" s="18">
        <v>35880</v>
      </c>
      <c r="M80" s="18">
        <f>ABS((D80*E80)-L80)</f>
        <v>26810</v>
      </c>
      <c r="N80" s="10" t="str">
        <f t="shared" si="1"/>
        <v>Unique</v>
      </c>
    </row>
    <row r="81" spans="1:16" s="35" customFormat="1" ht="14.4" customHeight="1" thickBot="1" x14ac:dyDescent="0.4">
      <c r="A81" s="6" t="s">
        <v>62</v>
      </c>
      <c r="B81" s="1" t="s">
        <v>15</v>
      </c>
      <c r="C81" s="1" t="s">
        <v>10</v>
      </c>
      <c r="D81" s="4">
        <v>5</v>
      </c>
      <c r="E81" s="4">
        <v>2470</v>
      </c>
      <c r="F81" s="4">
        <v>1.3125512720000001</v>
      </c>
      <c r="G81" s="2" t="s">
        <v>72</v>
      </c>
      <c r="H81" s="5">
        <v>2438</v>
      </c>
      <c r="I81" s="1" t="s">
        <v>8</v>
      </c>
      <c r="J81" s="41" t="s">
        <v>41</v>
      </c>
      <c r="K81" s="17"/>
      <c r="L81" s="17"/>
      <c r="M81" s="17"/>
      <c r="N81" t="str">
        <f t="shared" si="1"/>
        <v>Unique</v>
      </c>
      <c r="O81" s="10"/>
      <c r="P81" s="25"/>
    </row>
    <row r="82" spans="1:16" s="35" customFormat="1" ht="14.4" customHeight="1" thickBot="1" x14ac:dyDescent="0.4">
      <c r="A82" s="36">
        <v>46267.375</v>
      </c>
      <c r="B82" s="37" t="s">
        <v>36</v>
      </c>
      <c r="C82" s="37" t="s">
        <v>7</v>
      </c>
      <c r="D82" s="38">
        <v>5</v>
      </c>
      <c r="E82" s="38">
        <v>1206</v>
      </c>
      <c r="F82" s="4">
        <v>2.203389831</v>
      </c>
      <c r="G82" s="2" t="s">
        <v>65</v>
      </c>
      <c r="H82" s="5">
        <v>1180</v>
      </c>
      <c r="I82" s="1" t="s">
        <v>8</v>
      </c>
      <c r="J82" s="32" t="s">
        <v>118</v>
      </c>
      <c r="K82" s="33" t="s">
        <v>232</v>
      </c>
      <c r="L82" s="33">
        <v>5755</v>
      </c>
      <c r="M82" s="33">
        <f t="shared" ref="M82:M99" si="2">ABS((D82*E82)-L82)</f>
        <v>275</v>
      </c>
      <c r="N82" s="35" t="str">
        <f t="shared" si="1"/>
        <v>Duplicate</v>
      </c>
      <c r="O82" s="46" t="s">
        <v>252</v>
      </c>
      <c r="P82" s="10"/>
    </row>
    <row r="83" spans="1:16" ht="39" thickBot="1" x14ac:dyDescent="0.4">
      <c r="A83" s="36">
        <v>46267.375</v>
      </c>
      <c r="B83" s="37" t="s">
        <v>36</v>
      </c>
      <c r="C83" s="37" t="s">
        <v>7</v>
      </c>
      <c r="D83" s="38">
        <v>5</v>
      </c>
      <c r="E83" s="38">
        <v>1206</v>
      </c>
      <c r="F83" s="4">
        <v>2.203389831</v>
      </c>
      <c r="G83" s="2" t="s">
        <v>65</v>
      </c>
      <c r="H83" s="5">
        <v>1180</v>
      </c>
      <c r="I83" s="1" t="s">
        <v>8</v>
      </c>
      <c r="J83" s="32" t="s">
        <v>118</v>
      </c>
      <c r="K83" s="33" t="s">
        <v>236</v>
      </c>
      <c r="L83" s="33">
        <v>5805</v>
      </c>
      <c r="M83" s="33">
        <f t="shared" si="2"/>
        <v>225</v>
      </c>
      <c r="N83" s="35" t="str">
        <f t="shared" si="1"/>
        <v>Duplicate</v>
      </c>
      <c r="O83" s="46" t="s">
        <v>252</v>
      </c>
    </row>
    <row r="84" spans="1:16" ht="39" thickBot="1" x14ac:dyDescent="0.4">
      <c r="A84" s="3">
        <v>46304.375</v>
      </c>
      <c r="B84" s="1" t="s">
        <v>51</v>
      </c>
      <c r="C84" s="1" t="s">
        <v>7</v>
      </c>
      <c r="D84" s="4">
        <v>10</v>
      </c>
      <c r="E84" s="4">
        <v>917</v>
      </c>
      <c r="F84" s="4">
        <v>2.2296544040000001</v>
      </c>
      <c r="G84" s="2" t="s">
        <v>52</v>
      </c>
      <c r="H84" s="5">
        <v>897</v>
      </c>
      <c r="I84" s="1" t="s">
        <v>8</v>
      </c>
      <c r="J84" s="24" t="s">
        <v>117</v>
      </c>
      <c r="K84" s="18" t="s">
        <v>278</v>
      </c>
      <c r="L84" s="18">
        <v>35880</v>
      </c>
      <c r="M84" s="18">
        <f t="shared" si="2"/>
        <v>26710</v>
      </c>
      <c r="N84" s="10" t="str">
        <f t="shared" si="1"/>
        <v>Unique</v>
      </c>
      <c r="O84" s="46" t="s">
        <v>252</v>
      </c>
    </row>
    <row r="85" spans="1:16" ht="14.4" customHeight="1" thickBot="1" x14ac:dyDescent="0.4">
      <c r="A85" s="48">
        <v>46273.375</v>
      </c>
      <c r="B85" s="49" t="s">
        <v>49</v>
      </c>
      <c r="C85" s="49" t="s">
        <v>7</v>
      </c>
      <c r="D85" s="49">
        <v>5</v>
      </c>
      <c r="E85" s="49">
        <v>4047</v>
      </c>
      <c r="F85" s="4">
        <v>2.8462515879999999</v>
      </c>
      <c r="G85" s="2" t="s">
        <v>50</v>
      </c>
      <c r="H85" s="5">
        <v>3935</v>
      </c>
      <c r="I85" s="1" t="s">
        <v>8</v>
      </c>
      <c r="J85" s="32" t="s">
        <v>117</v>
      </c>
      <c r="K85" s="33" t="s">
        <v>266</v>
      </c>
      <c r="L85" s="33">
        <v>19730.5</v>
      </c>
      <c r="M85" s="33">
        <f t="shared" si="2"/>
        <v>504.5</v>
      </c>
      <c r="N85" s="35" t="str">
        <f t="shared" si="1"/>
        <v>Duplicate</v>
      </c>
      <c r="O85" s="46" t="s">
        <v>252</v>
      </c>
      <c r="P85" s="35"/>
    </row>
    <row r="86" spans="1:16" ht="14.4" customHeight="1" thickBot="1" x14ac:dyDescent="0.4">
      <c r="A86" s="36">
        <v>46274.375</v>
      </c>
      <c r="B86" s="37" t="s">
        <v>49</v>
      </c>
      <c r="C86" s="37" t="s">
        <v>7</v>
      </c>
      <c r="D86" s="38">
        <v>5</v>
      </c>
      <c r="E86" s="38">
        <v>4047</v>
      </c>
      <c r="F86" s="4">
        <v>2.8462515879999999</v>
      </c>
      <c r="G86" s="2" t="s">
        <v>50</v>
      </c>
      <c r="H86" s="5">
        <v>3935</v>
      </c>
      <c r="I86" s="1" t="s">
        <v>8</v>
      </c>
      <c r="J86" s="32" t="s">
        <v>117</v>
      </c>
      <c r="K86" s="33" t="s">
        <v>273</v>
      </c>
      <c r="L86" s="33">
        <v>19690</v>
      </c>
      <c r="M86" s="33">
        <f t="shared" si="2"/>
        <v>545</v>
      </c>
      <c r="N86" s="35" t="str">
        <f t="shared" si="1"/>
        <v>Duplicate</v>
      </c>
      <c r="O86" s="46" t="s">
        <v>252</v>
      </c>
      <c r="P86" s="35"/>
    </row>
    <row r="87" spans="1:16" customFormat="1" ht="39" thickBot="1" x14ac:dyDescent="0.4">
      <c r="A87" s="3">
        <v>46304.375</v>
      </c>
      <c r="B87" s="1" t="s">
        <v>51</v>
      </c>
      <c r="C87" s="1" t="s">
        <v>7</v>
      </c>
      <c r="D87" s="4">
        <v>10</v>
      </c>
      <c r="E87" s="4">
        <v>927</v>
      </c>
      <c r="F87" s="4">
        <v>3.3444816049999999</v>
      </c>
      <c r="G87" s="2" t="s">
        <v>52</v>
      </c>
      <c r="H87" s="5">
        <v>897</v>
      </c>
      <c r="I87" s="1" t="s">
        <v>8</v>
      </c>
      <c r="J87" s="18" t="s">
        <v>117</v>
      </c>
      <c r="K87" s="18" t="s">
        <v>278</v>
      </c>
      <c r="L87" s="18">
        <v>35880</v>
      </c>
      <c r="M87" s="18">
        <f t="shared" si="2"/>
        <v>26610</v>
      </c>
      <c r="N87" s="10" t="str">
        <f t="shared" si="1"/>
        <v>Unique</v>
      </c>
      <c r="O87" s="10"/>
      <c r="P87" s="10"/>
    </row>
    <row r="88" spans="1:16" customFormat="1" ht="26.5" thickBot="1" x14ac:dyDescent="0.4">
      <c r="A88" s="3">
        <v>46274.375</v>
      </c>
      <c r="B88" s="1" t="s">
        <v>66</v>
      </c>
      <c r="C88" s="1" t="s">
        <v>7</v>
      </c>
      <c r="D88" s="4">
        <v>10</v>
      </c>
      <c r="E88" s="4">
        <v>1196</v>
      </c>
      <c r="F88" s="4">
        <v>3.3529208430000002</v>
      </c>
      <c r="G88" s="2" t="s">
        <v>67</v>
      </c>
      <c r="H88" s="5">
        <v>1157.2</v>
      </c>
      <c r="I88" s="1" t="s">
        <v>8</v>
      </c>
      <c r="J88" s="18" t="s">
        <v>117</v>
      </c>
      <c r="K88" s="18" t="s">
        <v>269</v>
      </c>
      <c r="L88" s="18">
        <v>11660</v>
      </c>
      <c r="M88" s="18">
        <f t="shared" si="2"/>
        <v>300</v>
      </c>
      <c r="N88" s="10" t="str">
        <f t="shared" si="1"/>
        <v>Unique</v>
      </c>
      <c r="O88" s="46" t="s">
        <v>252</v>
      </c>
      <c r="P88" s="10"/>
    </row>
    <row r="89" spans="1:16" customFormat="1" ht="39" thickBot="1" x14ac:dyDescent="0.4">
      <c r="A89" s="3">
        <v>46275.375636574077</v>
      </c>
      <c r="B89" s="1" t="s">
        <v>23</v>
      </c>
      <c r="C89" s="1" t="s">
        <v>7</v>
      </c>
      <c r="D89" s="4">
        <v>50</v>
      </c>
      <c r="E89" s="4">
        <v>214</v>
      </c>
      <c r="F89" s="4">
        <v>3.381642512</v>
      </c>
      <c r="G89" s="2" t="s">
        <v>70</v>
      </c>
      <c r="H89" s="5">
        <v>207</v>
      </c>
      <c r="I89" s="1" t="s">
        <v>8</v>
      </c>
      <c r="J89" s="18" t="s">
        <v>117</v>
      </c>
      <c r="K89" s="18" t="s">
        <v>277</v>
      </c>
      <c r="L89" s="18">
        <v>10400</v>
      </c>
      <c r="M89" s="18">
        <f t="shared" si="2"/>
        <v>300</v>
      </c>
      <c r="N89" s="10" t="str">
        <f t="shared" si="1"/>
        <v>Unique</v>
      </c>
      <c r="O89" s="10"/>
      <c r="P89" s="10"/>
    </row>
    <row r="90" spans="1:16" customFormat="1" ht="26.5" thickBot="1" x14ac:dyDescent="0.4">
      <c r="A90" s="3">
        <v>46265.375694444447</v>
      </c>
      <c r="B90" s="1" t="s">
        <v>49</v>
      </c>
      <c r="C90" s="1" t="s">
        <v>7</v>
      </c>
      <c r="D90" s="4">
        <v>5</v>
      </c>
      <c r="E90" s="4">
        <v>4092</v>
      </c>
      <c r="F90" s="4">
        <v>3.9898348160000001</v>
      </c>
      <c r="G90" s="2" t="s">
        <v>50</v>
      </c>
      <c r="H90" s="5">
        <v>3935</v>
      </c>
      <c r="I90" s="1" t="s">
        <v>8</v>
      </c>
      <c r="J90" s="18" t="s">
        <v>118</v>
      </c>
      <c r="K90" s="18" t="s">
        <v>211</v>
      </c>
      <c r="L90" s="18">
        <v>20010</v>
      </c>
      <c r="M90" s="18">
        <f t="shared" si="2"/>
        <v>450</v>
      </c>
      <c r="N90" t="str">
        <f t="shared" si="1"/>
        <v>Unique</v>
      </c>
      <c r="O90" s="10"/>
    </row>
    <row r="91" spans="1:16" customFormat="1" ht="39" thickBot="1" x14ac:dyDescent="0.4">
      <c r="A91" s="3">
        <v>46267.375</v>
      </c>
      <c r="B91" s="1" t="s">
        <v>82</v>
      </c>
      <c r="C91" s="1" t="s">
        <v>7</v>
      </c>
      <c r="D91" s="4">
        <v>2</v>
      </c>
      <c r="E91" s="4">
        <v>4290</v>
      </c>
      <c r="F91" s="4">
        <v>4.126213592</v>
      </c>
      <c r="G91" s="2" t="s">
        <v>83</v>
      </c>
      <c r="H91" s="5">
        <v>4120</v>
      </c>
      <c r="I91" s="1" t="s">
        <v>8</v>
      </c>
      <c r="J91" s="18" t="s">
        <v>118</v>
      </c>
      <c r="K91" s="18" t="s">
        <v>231</v>
      </c>
      <c r="L91" s="18">
        <v>8220</v>
      </c>
      <c r="M91" s="18">
        <f t="shared" si="2"/>
        <v>360</v>
      </c>
      <c r="N91" s="10" t="str">
        <f t="shared" si="1"/>
        <v>Unique</v>
      </c>
      <c r="O91" s="46" t="s">
        <v>252</v>
      </c>
      <c r="P91" s="10"/>
    </row>
    <row r="92" spans="1:16" customFormat="1" ht="39" thickBot="1" x14ac:dyDescent="0.4">
      <c r="A92" s="36">
        <v>46262.375</v>
      </c>
      <c r="B92" s="37" t="s">
        <v>43</v>
      </c>
      <c r="C92" s="37" t="s">
        <v>7</v>
      </c>
      <c r="D92" s="38">
        <v>5</v>
      </c>
      <c r="E92" s="38">
        <v>747</v>
      </c>
      <c r="F92" s="4">
        <v>4.169571887</v>
      </c>
      <c r="G92" s="2" t="s">
        <v>44</v>
      </c>
      <c r="H92" s="5">
        <v>717.1</v>
      </c>
      <c r="I92" s="1" t="s">
        <v>8</v>
      </c>
      <c r="J92" s="33" t="s">
        <v>118</v>
      </c>
      <c r="K92" s="33" t="s">
        <v>195</v>
      </c>
      <c r="L92" s="33">
        <v>3560</v>
      </c>
      <c r="M92" s="33">
        <f t="shared" si="2"/>
        <v>175</v>
      </c>
      <c r="N92" s="35" t="str">
        <f t="shared" si="1"/>
        <v>Duplicate</v>
      </c>
      <c r="O92" s="46" t="s">
        <v>252</v>
      </c>
    </row>
    <row r="93" spans="1:16" customFormat="1" ht="39" thickBot="1" x14ac:dyDescent="0.4">
      <c r="A93" s="36">
        <v>46265.375694444447</v>
      </c>
      <c r="B93" s="37" t="s">
        <v>43</v>
      </c>
      <c r="C93" s="37" t="s">
        <v>7</v>
      </c>
      <c r="D93" s="38">
        <v>5</v>
      </c>
      <c r="E93" s="38">
        <v>747</v>
      </c>
      <c r="F93" s="4">
        <v>4.169571887</v>
      </c>
      <c r="G93" s="2" t="s">
        <v>44</v>
      </c>
      <c r="H93" s="5">
        <v>717.1</v>
      </c>
      <c r="I93" s="1" t="s">
        <v>8</v>
      </c>
      <c r="J93" s="33" t="s">
        <v>118</v>
      </c>
      <c r="K93" s="33" t="s">
        <v>212</v>
      </c>
      <c r="L93" s="33">
        <v>3510</v>
      </c>
      <c r="M93" s="33">
        <f t="shared" si="2"/>
        <v>225</v>
      </c>
      <c r="N93" s="34" t="str">
        <f t="shared" si="1"/>
        <v>Duplicate</v>
      </c>
      <c r="O93" s="46" t="s">
        <v>252</v>
      </c>
      <c r="P93" s="10"/>
    </row>
    <row r="94" spans="1:16" customFormat="1" ht="26.5" thickBot="1" x14ac:dyDescent="0.4">
      <c r="A94" s="11">
        <v>46243.375</v>
      </c>
      <c r="B94" s="8" t="s">
        <v>9</v>
      </c>
      <c r="C94" s="8" t="s">
        <v>7</v>
      </c>
      <c r="D94" s="8">
        <v>90</v>
      </c>
      <c r="E94" s="8">
        <v>298</v>
      </c>
      <c r="F94" s="4">
        <v>4.2869641290000002</v>
      </c>
      <c r="G94" s="2" t="s">
        <v>95</v>
      </c>
      <c r="H94" s="5">
        <v>285.75</v>
      </c>
      <c r="I94" s="1" t="s">
        <v>8</v>
      </c>
      <c r="J94" s="18" t="s">
        <v>117</v>
      </c>
      <c r="K94" s="18" t="s">
        <v>263</v>
      </c>
      <c r="L94" s="18">
        <v>26109.000000000004</v>
      </c>
      <c r="M94" s="33">
        <f t="shared" si="2"/>
        <v>710.99999999999636</v>
      </c>
      <c r="N94" s="10" t="str">
        <f t="shared" si="1"/>
        <v>Unique</v>
      </c>
      <c r="O94" s="10" t="s">
        <v>252</v>
      </c>
    </row>
    <row r="95" spans="1:16" ht="26.5" thickBot="1" x14ac:dyDescent="0.4">
      <c r="A95" s="3">
        <v>46272.375694444447</v>
      </c>
      <c r="B95" s="1" t="s">
        <v>63</v>
      </c>
      <c r="C95" s="1" t="s">
        <v>7</v>
      </c>
      <c r="D95" s="4">
        <v>15</v>
      </c>
      <c r="E95" s="4">
        <v>1048</v>
      </c>
      <c r="F95" s="4">
        <v>4.3512894549999999</v>
      </c>
      <c r="G95" s="2" t="s">
        <v>64</v>
      </c>
      <c r="H95" s="5">
        <v>1004.3</v>
      </c>
      <c r="I95" s="1" t="s">
        <v>8</v>
      </c>
      <c r="J95" s="18" t="s">
        <v>117</v>
      </c>
      <c r="K95" s="18" t="s">
        <v>257</v>
      </c>
      <c r="L95" s="18">
        <v>15075</v>
      </c>
      <c r="M95" s="18">
        <f t="shared" si="2"/>
        <v>645</v>
      </c>
      <c r="N95" s="10" t="str">
        <f t="shared" si="1"/>
        <v>Unique</v>
      </c>
      <c r="O95" s="10" t="s">
        <v>252</v>
      </c>
    </row>
    <row r="96" spans="1:16" s="35" customFormat="1" ht="39" thickBot="1" x14ac:dyDescent="0.4">
      <c r="A96" s="11">
        <v>46273.375</v>
      </c>
      <c r="B96" s="8" t="s">
        <v>51</v>
      </c>
      <c r="C96" s="8" t="s">
        <v>7</v>
      </c>
      <c r="D96" s="8">
        <v>10</v>
      </c>
      <c r="E96" s="8">
        <v>937</v>
      </c>
      <c r="F96" s="4">
        <v>4.4593088070000002</v>
      </c>
      <c r="G96" s="2" t="s">
        <v>52</v>
      </c>
      <c r="H96" s="5">
        <v>897</v>
      </c>
      <c r="I96" s="1" t="s">
        <v>8</v>
      </c>
      <c r="J96" s="18" t="s">
        <v>156</v>
      </c>
      <c r="K96" s="18" t="s">
        <v>265</v>
      </c>
      <c r="L96" s="18">
        <v>9170</v>
      </c>
      <c r="M96" s="33">
        <f t="shared" si="2"/>
        <v>200</v>
      </c>
      <c r="N96" s="10" t="str">
        <f t="shared" si="1"/>
        <v>Unique</v>
      </c>
      <c r="O96" s="10"/>
      <c r="P96" s="10"/>
    </row>
    <row r="97" spans="1:16" s="35" customFormat="1" ht="26.5" thickBot="1" x14ac:dyDescent="0.4">
      <c r="A97" s="3">
        <v>46260.375694444447</v>
      </c>
      <c r="B97" s="1" t="s">
        <v>49</v>
      </c>
      <c r="C97" s="1" t="s">
        <v>7</v>
      </c>
      <c r="D97" s="4">
        <v>5</v>
      </c>
      <c r="E97" s="4">
        <v>4112</v>
      </c>
      <c r="F97" s="4">
        <v>4.4980940279999997</v>
      </c>
      <c r="G97" s="2" t="s">
        <v>50</v>
      </c>
      <c r="H97" s="5">
        <v>3935</v>
      </c>
      <c r="I97" s="1" t="s">
        <v>8</v>
      </c>
      <c r="J97" s="18" t="s">
        <v>118</v>
      </c>
      <c r="K97" s="18" t="s">
        <v>173</v>
      </c>
      <c r="L97" s="18">
        <v>20260</v>
      </c>
      <c r="M97" s="18">
        <f t="shared" si="2"/>
        <v>300</v>
      </c>
      <c r="N97" t="str">
        <f t="shared" si="1"/>
        <v>Unique</v>
      </c>
      <c r="O97"/>
    </row>
    <row r="98" spans="1:16" s="35" customFormat="1" ht="26.5" thickBot="1" x14ac:dyDescent="0.4">
      <c r="A98" s="3">
        <v>46275.508009259262</v>
      </c>
      <c r="B98" s="1" t="s">
        <v>15</v>
      </c>
      <c r="C98" s="1" t="s">
        <v>7</v>
      </c>
      <c r="D98" s="4">
        <v>10</v>
      </c>
      <c r="E98" s="4">
        <v>2548</v>
      </c>
      <c r="F98" s="4">
        <v>4.5118949959999997</v>
      </c>
      <c r="G98" s="2" t="s">
        <v>72</v>
      </c>
      <c r="H98" s="5">
        <v>2438</v>
      </c>
      <c r="I98" s="1" t="s">
        <v>8</v>
      </c>
      <c r="J98" s="18" t="s">
        <v>117</v>
      </c>
      <c r="K98" s="18" t="s">
        <v>279</v>
      </c>
      <c r="L98" s="18">
        <v>73800</v>
      </c>
      <c r="M98" s="18">
        <f t="shared" si="2"/>
        <v>48320</v>
      </c>
      <c r="N98" s="10" t="str">
        <f t="shared" si="1"/>
        <v>Unique</v>
      </c>
      <c r="O98" s="10" t="s">
        <v>252</v>
      </c>
      <c r="P98" s="10"/>
    </row>
    <row r="99" spans="1:16" s="35" customFormat="1" ht="39" thickBot="1" x14ac:dyDescent="0.4">
      <c r="A99" s="55">
        <v>46265.375694444447</v>
      </c>
      <c r="B99" s="53" t="s">
        <v>36</v>
      </c>
      <c r="C99" s="53" t="s">
        <v>7</v>
      </c>
      <c r="D99" s="52">
        <v>5</v>
      </c>
      <c r="E99" s="52">
        <v>1236</v>
      </c>
      <c r="F99" s="4">
        <v>4.7457627120000003</v>
      </c>
      <c r="G99" s="2" t="s">
        <v>65</v>
      </c>
      <c r="H99" s="5">
        <v>1180</v>
      </c>
      <c r="I99" s="1" t="s">
        <v>8</v>
      </c>
      <c r="J99" s="54" t="s">
        <v>118</v>
      </c>
      <c r="K99" s="54" t="s">
        <v>210</v>
      </c>
      <c r="L99" s="54">
        <v>5905</v>
      </c>
      <c r="M99" s="54">
        <f t="shared" si="2"/>
        <v>275</v>
      </c>
      <c r="N99" s="56" t="str">
        <f t="shared" si="1"/>
        <v>Unique</v>
      </c>
      <c r="O99" s="25"/>
      <c r="P99" s="25" t="s">
        <v>267</v>
      </c>
    </row>
    <row r="100" spans="1:16" ht="26.5" thickBot="1" x14ac:dyDescent="0.4">
      <c r="A100" s="11">
        <v>46252.645138888889</v>
      </c>
      <c r="B100" s="8" t="s">
        <v>49</v>
      </c>
      <c r="C100" s="8" t="s">
        <v>7</v>
      </c>
      <c r="D100" s="8">
        <v>5</v>
      </c>
      <c r="E100" s="8">
        <v>4129</v>
      </c>
      <c r="F100" s="4">
        <v>4.930114358</v>
      </c>
      <c r="G100" s="2" t="s">
        <v>50</v>
      </c>
      <c r="H100" s="5">
        <v>3935</v>
      </c>
      <c r="I100" s="1" t="s">
        <v>8</v>
      </c>
      <c r="J100" s="40"/>
      <c r="N100" s="10" t="str">
        <f t="shared" si="1"/>
        <v>Unique</v>
      </c>
    </row>
    <row r="101" spans="1:16" s="19" customFormat="1" ht="39" thickBot="1" x14ac:dyDescent="0.4">
      <c r="A101" s="3">
        <v>46274.375</v>
      </c>
      <c r="B101" s="1" t="s">
        <v>103</v>
      </c>
      <c r="C101" s="1" t="s">
        <v>7</v>
      </c>
      <c r="D101" s="4">
        <v>7</v>
      </c>
      <c r="E101" s="4">
        <v>2494</v>
      </c>
      <c r="F101" s="4">
        <v>5.010526316</v>
      </c>
      <c r="G101" s="2" t="s">
        <v>104</v>
      </c>
      <c r="H101" s="5">
        <v>2375</v>
      </c>
      <c r="I101" s="1" t="s">
        <v>8</v>
      </c>
      <c r="J101" s="18" t="s">
        <v>117</v>
      </c>
      <c r="K101" s="18" t="s">
        <v>270</v>
      </c>
      <c r="L101" s="18">
        <v>16807</v>
      </c>
      <c r="M101" s="18">
        <f>ABS((D101*E101)-L101)</f>
        <v>651</v>
      </c>
      <c r="N101" s="10" t="str">
        <f t="shared" si="1"/>
        <v>Unique</v>
      </c>
      <c r="O101" s="10"/>
      <c r="P101" s="10"/>
    </row>
    <row r="102" spans="1:16" s="26" customFormat="1" ht="39" thickBot="1" x14ac:dyDescent="0.4">
      <c r="A102" s="3">
        <v>46275.375625000001</v>
      </c>
      <c r="B102" s="1" t="s">
        <v>51</v>
      </c>
      <c r="C102" s="1" t="s">
        <v>7</v>
      </c>
      <c r="D102" s="4">
        <v>10</v>
      </c>
      <c r="E102" s="4">
        <v>942</v>
      </c>
      <c r="F102" s="4">
        <v>5.0167224079999997</v>
      </c>
      <c r="G102" s="2" t="s">
        <v>52</v>
      </c>
      <c r="H102" s="5">
        <v>897</v>
      </c>
      <c r="I102" s="1" t="s">
        <v>8</v>
      </c>
      <c r="J102" s="18" t="s">
        <v>117</v>
      </c>
      <c r="K102" s="18" t="s">
        <v>278</v>
      </c>
      <c r="L102" s="18">
        <v>35880</v>
      </c>
      <c r="M102" s="18">
        <f>ABS((D102*E102)-L102)</f>
        <v>26460</v>
      </c>
      <c r="N102" s="10" t="str">
        <f t="shared" si="1"/>
        <v>Unique</v>
      </c>
      <c r="O102" s="10"/>
      <c r="P102" s="10"/>
    </row>
    <row r="103" spans="1:16" ht="39" thickBot="1" x14ac:dyDescent="0.4">
      <c r="A103" s="3">
        <v>46274.414583333331</v>
      </c>
      <c r="B103" s="1" t="s">
        <v>12</v>
      </c>
      <c r="C103" s="1" t="s">
        <v>7</v>
      </c>
      <c r="D103" s="4">
        <v>2</v>
      </c>
      <c r="E103" s="4">
        <v>5274</v>
      </c>
      <c r="F103" s="4">
        <v>5.1225832169999999</v>
      </c>
      <c r="G103" s="2" t="s">
        <v>98</v>
      </c>
      <c r="H103" s="5">
        <v>5017</v>
      </c>
      <c r="I103" s="1" t="s">
        <v>8</v>
      </c>
      <c r="J103" s="18" t="s">
        <v>118</v>
      </c>
      <c r="K103" s="18" t="s">
        <v>268</v>
      </c>
      <c r="L103" s="18">
        <v>9902</v>
      </c>
      <c r="M103" s="18">
        <f>ABS((D103*E103)-L103)</f>
        <v>646</v>
      </c>
      <c r="N103" s="10" t="str">
        <f t="shared" si="1"/>
        <v>Unique</v>
      </c>
      <c r="O103" s="46" t="s">
        <v>252</v>
      </c>
    </row>
    <row r="104" spans="1:16" ht="26.5" thickBot="1" x14ac:dyDescent="0.4">
      <c r="A104" s="3">
        <v>46261.375</v>
      </c>
      <c r="B104" s="1" t="s">
        <v>57</v>
      </c>
      <c r="C104" s="1" t="s">
        <v>7</v>
      </c>
      <c r="D104" s="4">
        <v>5</v>
      </c>
      <c r="E104" s="4">
        <v>2948</v>
      </c>
      <c r="F104" s="4">
        <v>5.1355206850000004</v>
      </c>
      <c r="G104" s="2" t="s">
        <v>58</v>
      </c>
      <c r="H104" s="5">
        <v>2804</v>
      </c>
      <c r="I104" s="1" t="s">
        <v>8</v>
      </c>
      <c r="J104" s="18" t="s">
        <v>117</v>
      </c>
      <c r="K104" s="18" t="s">
        <v>185</v>
      </c>
      <c r="L104" s="18">
        <v>14440</v>
      </c>
      <c r="M104" s="18">
        <f>ABS((D104*E104)-L104)</f>
        <v>300</v>
      </c>
      <c r="N104" s="10" t="str">
        <f t="shared" si="1"/>
        <v>Unique</v>
      </c>
      <c r="O104"/>
    </row>
    <row r="105" spans="1:16" s="25" customFormat="1" ht="26.5" thickBot="1" x14ac:dyDescent="0.4">
      <c r="A105" s="11">
        <v>46252.645138888889</v>
      </c>
      <c r="B105" s="8" t="s">
        <v>68</v>
      </c>
      <c r="C105" s="8" t="s">
        <v>7</v>
      </c>
      <c r="D105" s="8">
        <v>20</v>
      </c>
      <c r="E105" s="8">
        <v>424</v>
      </c>
      <c r="F105" s="4">
        <v>5.210918114</v>
      </c>
      <c r="G105" s="2" t="s">
        <v>69</v>
      </c>
      <c r="H105" s="5">
        <v>403</v>
      </c>
      <c r="I105" s="1" t="s">
        <v>8</v>
      </c>
      <c r="J105" s="40"/>
      <c r="K105" s="18"/>
      <c r="L105" s="18"/>
      <c r="M105" s="18"/>
      <c r="N105" s="10" t="str">
        <f t="shared" si="1"/>
        <v>Unique</v>
      </c>
      <c r="O105" s="46" t="s">
        <v>252</v>
      </c>
      <c r="P105"/>
    </row>
    <row r="106" spans="1:16" ht="26.5" thickBot="1" x14ac:dyDescent="0.4">
      <c r="A106" s="3">
        <v>46274.375</v>
      </c>
      <c r="B106" s="1" t="s">
        <v>47</v>
      </c>
      <c r="C106" s="1" t="s">
        <v>7</v>
      </c>
      <c r="D106" s="4">
        <v>9</v>
      </c>
      <c r="E106" s="4">
        <v>2320</v>
      </c>
      <c r="F106" s="4">
        <v>5.4833136309999997</v>
      </c>
      <c r="G106" s="2" t="s">
        <v>48</v>
      </c>
      <c r="H106" s="5">
        <v>2199.4</v>
      </c>
      <c r="I106" s="1" t="s">
        <v>8</v>
      </c>
      <c r="J106" s="18" t="s">
        <v>117</v>
      </c>
      <c r="K106" s="18" t="s">
        <v>272</v>
      </c>
      <c r="L106" s="18">
        <v>20070</v>
      </c>
      <c r="M106" s="18">
        <f>ABS((D106*E106)-L106)</f>
        <v>810</v>
      </c>
      <c r="N106" s="10" t="str">
        <f t="shared" si="1"/>
        <v>Unique</v>
      </c>
    </row>
    <row r="107" spans="1:16" ht="39" thickBot="1" x14ac:dyDescent="0.4">
      <c r="A107" s="8" t="s">
        <v>62</v>
      </c>
      <c r="B107" s="8" t="s">
        <v>119</v>
      </c>
      <c r="C107" s="8" t="s">
        <v>7</v>
      </c>
      <c r="D107" s="8">
        <v>15</v>
      </c>
      <c r="E107" s="8">
        <v>1090</v>
      </c>
      <c r="F107" s="4">
        <v>5.5076952859999997</v>
      </c>
      <c r="G107" s="2" t="s">
        <v>120</v>
      </c>
      <c r="H107" s="5">
        <v>1033.0999999999999</v>
      </c>
      <c r="I107" s="1" t="s">
        <v>8</v>
      </c>
      <c r="J107" s="40"/>
      <c r="N107" s="10" t="str">
        <f t="shared" si="1"/>
        <v>Unique</v>
      </c>
    </row>
    <row r="108" spans="1:16" ht="26.5" thickBot="1" x14ac:dyDescent="0.4">
      <c r="A108" s="3">
        <v>46266.375</v>
      </c>
      <c r="B108" s="1" t="s">
        <v>63</v>
      </c>
      <c r="C108" s="1" t="s">
        <v>7</v>
      </c>
      <c r="D108" s="4">
        <v>10</v>
      </c>
      <c r="E108" s="4">
        <v>1060</v>
      </c>
      <c r="F108" s="4">
        <v>5.5461515480000001</v>
      </c>
      <c r="G108" s="2" t="s">
        <v>64</v>
      </c>
      <c r="H108" s="5">
        <v>1004.3</v>
      </c>
      <c r="I108" s="1" t="s">
        <v>8</v>
      </c>
      <c r="J108" s="18" t="s">
        <v>117</v>
      </c>
      <c r="K108" s="18" t="s">
        <v>220</v>
      </c>
      <c r="L108" s="18">
        <v>10300</v>
      </c>
      <c r="M108" s="18">
        <f>ABS((D108*E108)-L108)</f>
        <v>300</v>
      </c>
      <c r="N108" s="10" t="str">
        <f t="shared" si="1"/>
        <v>Unique</v>
      </c>
      <c r="P108" s="35"/>
    </row>
    <row r="109" spans="1:16" s="25" customFormat="1" ht="39" thickBot="1" x14ac:dyDescent="0.4">
      <c r="A109" s="11">
        <v>46273.375</v>
      </c>
      <c r="B109" s="8" t="s">
        <v>51</v>
      </c>
      <c r="C109" s="8" t="s">
        <v>7</v>
      </c>
      <c r="D109" s="8">
        <v>10</v>
      </c>
      <c r="E109" s="8">
        <v>947</v>
      </c>
      <c r="F109" s="4">
        <v>5.5741360090000001</v>
      </c>
      <c r="G109" s="2" t="s">
        <v>52</v>
      </c>
      <c r="H109" s="5">
        <v>897</v>
      </c>
      <c r="I109" s="1" t="s">
        <v>8</v>
      </c>
      <c r="J109" s="18" t="s">
        <v>156</v>
      </c>
      <c r="K109" s="18" t="s">
        <v>265</v>
      </c>
      <c r="L109" s="18">
        <v>9170</v>
      </c>
      <c r="M109" s="33">
        <f>ABS((D109*E109)-L109)</f>
        <v>300</v>
      </c>
      <c r="N109" s="10" t="str">
        <f t="shared" si="1"/>
        <v>Unique</v>
      </c>
      <c r="O109" s="10"/>
      <c r="P109" s="10"/>
    </row>
    <row r="110" spans="1:16" ht="39" thickBot="1" x14ac:dyDescent="0.4">
      <c r="A110" s="3">
        <v>46269.614583333336</v>
      </c>
      <c r="B110" s="1" t="s">
        <v>23</v>
      </c>
      <c r="C110" s="1" t="s">
        <v>7</v>
      </c>
      <c r="D110" s="4">
        <v>40</v>
      </c>
      <c r="E110" s="4">
        <v>219</v>
      </c>
      <c r="F110" s="4">
        <v>5.7971014490000004</v>
      </c>
      <c r="G110" s="2" t="s">
        <v>70</v>
      </c>
      <c r="H110" s="5">
        <v>207</v>
      </c>
      <c r="I110" s="1" t="s">
        <v>8</v>
      </c>
      <c r="J110" s="18" t="s">
        <v>117</v>
      </c>
      <c r="K110" s="18" t="s">
        <v>246</v>
      </c>
      <c r="L110" s="18">
        <v>8480</v>
      </c>
      <c r="M110" s="27">
        <f>ABS((D110*E110)-L110)</f>
        <v>280</v>
      </c>
      <c r="N110" t="str">
        <f t="shared" si="1"/>
        <v>Unique</v>
      </c>
      <c r="O110" s="46" t="s">
        <v>252</v>
      </c>
    </row>
    <row r="111" spans="1:16" ht="39" thickBot="1" x14ac:dyDescent="0.4">
      <c r="A111" s="3">
        <v>46262.375</v>
      </c>
      <c r="B111" s="1" t="s">
        <v>82</v>
      </c>
      <c r="C111" s="1" t="s">
        <v>7</v>
      </c>
      <c r="D111" s="4">
        <v>2</v>
      </c>
      <c r="E111" s="4">
        <v>4360</v>
      </c>
      <c r="F111" s="4">
        <v>5.8252427180000002</v>
      </c>
      <c r="G111" s="2" t="s">
        <v>83</v>
      </c>
      <c r="H111" s="5">
        <v>4120</v>
      </c>
      <c r="I111" s="1" t="s">
        <v>8</v>
      </c>
      <c r="J111" s="18" t="s">
        <v>118</v>
      </c>
      <c r="K111" s="18" t="s">
        <v>190</v>
      </c>
      <c r="L111" s="18">
        <v>8420</v>
      </c>
      <c r="M111" s="18">
        <f>ABS((D111*E111)-L111)</f>
        <v>300</v>
      </c>
      <c r="N111" s="10" t="str">
        <f t="shared" si="1"/>
        <v>Unique</v>
      </c>
    </row>
    <row r="112" spans="1:16" ht="39" thickBot="1" x14ac:dyDescent="0.4">
      <c r="A112" s="11">
        <v>46243.375</v>
      </c>
      <c r="B112" s="8" t="s">
        <v>11</v>
      </c>
      <c r="C112" s="8" t="s">
        <v>7</v>
      </c>
      <c r="D112" s="8">
        <v>20</v>
      </c>
      <c r="E112" s="8">
        <v>296</v>
      </c>
      <c r="F112" s="4">
        <v>5.8655221749999997</v>
      </c>
      <c r="G112" s="2" t="s">
        <v>99</v>
      </c>
      <c r="H112" s="5">
        <v>279.60000000000002</v>
      </c>
      <c r="I112" s="1" t="s">
        <v>8</v>
      </c>
      <c r="J112" s="18" t="s">
        <v>118</v>
      </c>
      <c r="K112" s="18" t="s">
        <v>261</v>
      </c>
      <c r="L112" s="18">
        <v>5620</v>
      </c>
      <c r="M112" s="33">
        <f>ABS((D112*E112)-L112)</f>
        <v>300</v>
      </c>
      <c r="N112" s="10" t="str">
        <f t="shared" si="1"/>
        <v>Unique</v>
      </c>
      <c r="P112" s="26"/>
    </row>
    <row r="113" spans="1:16" s="26" customFormat="1" ht="26.5" thickBot="1" x14ac:dyDescent="0.4">
      <c r="A113" s="11">
        <v>46252.635416666664</v>
      </c>
      <c r="B113" s="8" t="s">
        <v>74</v>
      </c>
      <c r="C113" s="8" t="s">
        <v>7</v>
      </c>
      <c r="D113" s="8">
        <v>5</v>
      </c>
      <c r="E113" s="8">
        <v>3482</v>
      </c>
      <c r="F113" s="4">
        <v>5.9034642169999998</v>
      </c>
      <c r="G113" s="2" t="s">
        <v>75</v>
      </c>
      <c r="H113" s="5">
        <v>3287.9</v>
      </c>
      <c r="I113" s="1" t="s">
        <v>8</v>
      </c>
      <c r="J113" s="40" t="s">
        <v>118</v>
      </c>
      <c r="K113" s="18"/>
      <c r="L113" s="18"/>
      <c r="M113" s="18"/>
      <c r="N113" s="10" t="str">
        <f t="shared" si="1"/>
        <v>Unique</v>
      </c>
      <c r="O113" s="46" t="s">
        <v>252</v>
      </c>
      <c r="P113"/>
    </row>
    <row r="114" spans="1:16" ht="39" thickBot="1" x14ac:dyDescent="0.4">
      <c r="A114" s="36">
        <v>46260.556944444441</v>
      </c>
      <c r="B114" s="37" t="s">
        <v>36</v>
      </c>
      <c r="C114" s="37" t="s">
        <v>7</v>
      </c>
      <c r="D114" s="38">
        <v>5</v>
      </c>
      <c r="E114" s="38">
        <v>1251</v>
      </c>
      <c r="F114" s="4">
        <v>6.0169491529999997</v>
      </c>
      <c r="G114" s="2" t="s">
        <v>65</v>
      </c>
      <c r="H114" s="5">
        <v>1180</v>
      </c>
      <c r="I114" s="1" t="s">
        <v>8</v>
      </c>
      <c r="J114" s="33" t="s">
        <v>118</v>
      </c>
      <c r="K114" s="33" t="s">
        <v>167</v>
      </c>
      <c r="L114" s="33">
        <v>6105</v>
      </c>
      <c r="M114" s="33">
        <f>ABS((D114*E114)-L114)</f>
        <v>150</v>
      </c>
      <c r="N114" s="34" t="str">
        <f t="shared" si="1"/>
        <v>Duplicate</v>
      </c>
    </row>
    <row r="115" spans="1:16" ht="39" thickBot="1" x14ac:dyDescent="0.4">
      <c r="A115" s="36">
        <v>46261.375</v>
      </c>
      <c r="B115" s="37" t="s">
        <v>36</v>
      </c>
      <c r="C115" s="37" t="s">
        <v>7</v>
      </c>
      <c r="D115" s="38">
        <v>5</v>
      </c>
      <c r="E115" s="38">
        <v>1251</v>
      </c>
      <c r="F115" s="4">
        <v>6.0169491529999997</v>
      </c>
      <c r="G115" s="2" t="s">
        <v>65</v>
      </c>
      <c r="H115" s="5">
        <v>1180</v>
      </c>
      <c r="I115" s="1" t="s">
        <v>8</v>
      </c>
      <c r="J115" s="33" t="s">
        <v>118</v>
      </c>
      <c r="K115" s="33" t="s">
        <v>181</v>
      </c>
      <c r="L115" s="33">
        <v>6005</v>
      </c>
      <c r="M115" s="33">
        <f>ABS((D115*E115)-L115)</f>
        <v>250</v>
      </c>
      <c r="N115" s="35" t="str">
        <f t="shared" si="1"/>
        <v>Duplicate</v>
      </c>
    </row>
    <row r="116" spans="1:16" s="35" customFormat="1" ht="26.5" thickBot="1" x14ac:dyDescent="0.4">
      <c r="A116" s="36">
        <v>46269.542361111111</v>
      </c>
      <c r="B116" s="37" t="s">
        <v>14</v>
      </c>
      <c r="C116" s="37" t="s">
        <v>7</v>
      </c>
      <c r="D116" s="38">
        <v>50</v>
      </c>
      <c r="E116" s="38">
        <v>330.4</v>
      </c>
      <c r="F116" s="4">
        <v>6.0844437310000004</v>
      </c>
      <c r="G116" s="2" t="s">
        <v>45</v>
      </c>
      <c r="H116" s="5">
        <v>311.45</v>
      </c>
      <c r="I116" s="1" t="s">
        <v>8</v>
      </c>
      <c r="J116" s="33" t="s">
        <v>118</v>
      </c>
      <c r="K116" s="33" t="s">
        <v>243</v>
      </c>
      <c r="L116" s="33">
        <v>16219.999999999998</v>
      </c>
      <c r="M116" s="33">
        <f>ABS((D116*E116)-L116)</f>
        <v>300.00000000000182</v>
      </c>
      <c r="N116" s="34" t="str">
        <f t="shared" si="1"/>
        <v>Unique</v>
      </c>
      <c r="O116" s="46" t="s">
        <v>252</v>
      </c>
    </row>
    <row r="117" spans="1:16" s="35" customFormat="1" ht="26.5" thickBot="1" x14ac:dyDescent="0.4">
      <c r="A117" s="36">
        <v>46272.530555555553</v>
      </c>
      <c r="B117" s="37" t="s">
        <v>14</v>
      </c>
      <c r="C117" s="37" t="s">
        <v>7</v>
      </c>
      <c r="D117" s="38">
        <v>20</v>
      </c>
      <c r="E117" s="38">
        <v>330.4</v>
      </c>
      <c r="F117" s="4">
        <v>6.0844437310000004</v>
      </c>
      <c r="G117" s="2" t="s">
        <v>45</v>
      </c>
      <c r="H117" s="5">
        <v>311.45</v>
      </c>
      <c r="I117" s="1" t="s">
        <v>8</v>
      </c>
      <c r="J117" s="35" t="s">
        <v>118</v>
      </c>
      <c r="K117" s="33" t="s">
        <v>253</v>
      </c>
      <c r="L117" s="33">
        <v>6334</v>
      </c>
      <c r="M117" s="33">
        <f>ABS((D117*E117)-L117)</f>
        <v>274</v>
      </c>
      <c r="N117" s="35" t="str">
        <f t="shared" si="1"/>
        <v>Unique</v>
      </c>
      <c r="O117" s="46" t="s">
        <v>252</v>
      </c>
    </row>
    <row r="118" spans="1:16" ht="26.5" thickBot="1" x14ac:dyDescent="0.4">
      <c r="A118" s="11">
        <v>46252.645833333336</v>
      </c>
      <c r="B118" s="8" t="s">
        <v>49</v>
      </c>
      <c r="C118" s="8" t="s">
        <v>7</v>
      </c>
      <c r="D118" s="8">
        <v>5</v>
      </c>
      <c r="E118" s="8">
        <v>4177</v>
      </c>
      <c r="F118" s="4">
        <v>6.1499364679999999</v>
      </c>
      <c r="G118" s="2" t="s">
        <v>50</v>
      </c>
      <c r="H118" s="5">
        <v>3935</v>
      </c>
      <c r="I118" s="1" t="s">
        <v>8</v>
      </c>
      <c r="J118" s="40"/>
      <c r="N118" s="10" t="str">
        <f t="shared" si="1"/>
        <v>Unique</v>
      </c>
      <c r="O118" s="25"/>
    </row>
    <row r="119" spans="1:16" ht="26.5" thickBot="1" x14ac:dyDescent="0.4">
      <c r="A119" s="3">
        <v>46275.508009259262</v>
      </c>
      <c r="B119" s="1" t="s">
        <v>15</v>
      </c>
      <c r="C119" s="1" t="s">
        <v>7</v>
      </c>
      <c r="D119" s="4">
        <v>10</v>
      </c>
      <c r="E119" s="4">
        <v>2590</v>
      </c>
      <c r="F119" s="4">
        <v>6.2346185399999996</v>
      </c>
      <c r="G119" s="2" t="s">
        <v>72</v>
      </c>
      <c r="H119" s="5">
        <v>2438</v>
      </c>
      <c r="I119" s="1" t="s">
        <v>8</v>
      </c>
      <c r="J119" s="18" t="s">
        <v>117</v>
      </c>
      <c r="K119" s="18" t="s">
        <v>279</v>
      </c>
      <c r="L119" s="18">
        <v>73800</v>
      </c>
      <c r="M119" s="18">
        <f t="shared" ref="M119:M125" si="3">ABS((D119*E119)-L119)</f>
        <v>47900</v>
      </c>
      <c r="N119" s="10" t="str">
        <f t="shared" si="1"/>
        <v>Unique</v>
      </c>
      <c r="O119" s="10" t="s">
        <v>252</v>
      </c>
    </row>
    <row r="120" spans="1:16" ht="39" thickBot="1" x14ac:dyDescent="0.4">
      <c r="A120" s="3">
        <v>46274.375</v>
      </c>
      <c r="B120" s="1" t="s">
        <v>53</v>
      </c>
      <c r="C120" s="1" t="s">
        <v>7</v>
      </c>
      <c r="D120" s="4">
        <v>2</v>
      </c>
      <c r="E120" s="4">
        <v>2576</v>
      </c>
      <c r="F120" s="4">
        <v>6.3583815030000004</v>
      </c>
      <c r="G120" s="2" t="s">
        <v>54</v>
      </c>
      <c r="H120" s="5">
        <v>2422</v>
      </c>
      <c r="I120" s="1" t="s">
        <v>8</v>
      </c>
      <c r="J120" s="18" t="s">
        <v>118</v>
      </c>
      <c r="K120" s="18" t="s">
        <v>274</v>
      </c>
      <c r="L120" s="18">
        <v>4852</v>
      </c>
      <c r="M120" s="18">
        <f t="shared" si="3"/>
        <v>300</v>
      </c>
      <c r="N120" s="10" t="str">
        <f t="shared" si="1"/>
        <v>Unique</v>
      </c>
    </row>
    <row r="121" spans="1:16" ht="26.5" thickBot="1" x14ac:dyDescent="0.4">
      <c r="A121" s="3">
        <v>46266.375</v>
      </c>
      <c r="B121" s="1" t="s">
        <v>15</v>
      </c>
      <c r="C121" s="1" t="s">
        <v>7</v>
      </c>
      <c r="D121" s="4">
        <v>10</v>
      </c>
      <c r="E121" s="4">
        <v>2595</v>
      </c>
      <c r="F121" s="4">
        <v>6.4397046759999998</v>
      </c>
      <c r="G121" s="2" t="s">
        <v>72</v>
      </c>
      <c r="H121" s="5">
        <v>2438</v>
      </c>
      <c r="I121" s="1" t="s">
        <v>8</v>
      </c>
      <c r="J121" s="18" t="s">
        <v>118</v>
      </c>
      <c r="K121" s="18" t="s">
        <v>222</v>
      </c>
      <c r="L121" s="18">
        <v>25300</v>
      </c>
      <c r="M121" s="18">
        <f t="shared" si="3"/>
        <v>650</v>
      </c>
      <c r="N121" s="10" t="str">
        <f t="shared" si="1"/>
        <v>Unique</v>
      </c>
      <c r="O121" s="46" t="s">
        <v>252</v>
      </c>
    </row>
    <row r="122" spans="1:16" ht="26.5" thickBot="1" x14ac:dyDescent="0.4">
      <c r="A122" s="3">
        <v>46267.513888888891</v>
      </c>
      <c r="B122" s="1" t="s">
        <v>15</v>
      </c>
      <c r="C122" s="1" t="s">
        <v>7</v>
      </c>
      <c r="D122" s="4">
        <v>5</v>
      </c>
      <c r="E122" s="4">
        <v>2595</v>
      </c>
      <c r="F122" s="4">
        <v>6.4397046759999998</v>
      </c>
      <c r="G122" s="2" t="s">
        <v>72</v>
      </c>
      <c r="H122" s="5">
        <v>2438</v>
      </c>
      <c r="I122" s="1" t="s">
        <v>8</v>
      </c>
      <c r="J122" s="18" t="s">
        <v>118</v>
      </c>
      <c r="K122" s="18" t="s">
        <v>233</v>
      </c>
      <c r="L122" s="18">
        <v>12480</v>
      </c>
      <c r="M122" s="18">
        <f t="shared" si="3"/>
        <v>495</v>
      </c>
      <c r="N122" s="10" t="str">
        <f t="shared" si="1"/>
        <v>Unique</v>
      </c>
      <c r="O122" s="46" t="s">
        <v>252</v>
      </c>
    </row>
    <row r="123" spans="1:16" ht="39" thickBot="1" x14ac:dyDescent="0.4">
      <c r="A123" s="3">
        <v>46275.375625000001</v>
      </c>
      <c r="B123" s="1" t="s">
        <v>21</v>
      </c>
      <c r="C123" s="1" t="s">
        <v>7</v>
      </c>
      <c r="D123" s="4">
        <v>5</v>
      </c>
      <c r="E123" s="4">
        <v>710</v>
      </c>
      <c r="F123" s="4">
        <v>6.6066066069999998</v>
      </c>
      <c r="G123" s="2" t="s">
        <v>76</v>
      </c>
      <c r="H123" s="5">
        <v>666</v>
      </c>
      <c r="I123" s="1" t="s">
        <v>8</v>
      </c>
      <c r="J123" s="18" t="s">
        <v>118</v>
      </c>
      <c r="K123" s="18" t="s">
        <v>276</v>
      </c>
      <c r="L123" s="18">
        <v>3300</v>
      </c>
      <c r="M123" s="18">
        <f t="shared" si="3"/>
        <v>250</v>
      </c>
      <c r="N123" s="10" t="str">
        <f t="shared" si="1"/>
        <v>Unique</v>
      </c>
    </row>
    <row r="124" spans="1:16" ht="26.5" thickBot="1" x14ac:dyDescent="0.4">
      <c r="A124" s="3">
        <v>46262.375</v>
      </c>
      <c r="B124" s="1" t="s">
        <v>63</v>
      </c>
      <c r="C124" s="1" t="s">
        <v>7</v>
      </c>
      <c r="D124" s="4">
        <v>10</v>
      </c>
      <c r="E124" s="4">
        <v>1071</v>
      </c>
      <c r="F124" s="4">
        <v>6.6414418</v>
      </c>
      <c r="G124" s="2" t="s">
        <v>64</v>
      </c>
      <c r="H124" s="5">
        <v>1004.3</v>
      </c>
      <c r="I124" s="1" t="s">
        <v>8</v>
      </c>
      <c r="J124" s="18" t="s">
        <v>118</v>
      </c>
      <c r="K124" s="18" t="s">
        <v>197</v>
      </c>
      <c r="L124" s="18">
        <v>10410</v>
      </c>
      <c r="M124" s="18">
        <f t="shared" si="3"/>
        <v>300</v>
      </c>
      <c r="N124" s="10" t="str">
        <f t="shared" si="1"/>
        <v>Unique</v>
      </c>
      <c r="O124" s="35"/>
    </row>
    <row r="125" spans="1:16" ht="39" thickBot="1" x14ac:dyDescent="0.4">
      <c r="A125" s="3">
        <v>46267.375</v>
      </c>
      <c r="B125" s="1" t="s">
        <v>51</v>
      </c>
      <c r="C125" s="1" t="s">
        <v>7</v>
      </c>
      <c r="D125" s="4">
        <v>10</v>
      </c>
      <c r="E125" s="4">
        <v>957</v>
      </c>
      <c r="F125" s="4">
        <v>6.6889632109999999</v>
      </c>
      <c r="G125" s="2" t="s">
        <v>52</v>
      </c>
      <c r="H125" s="5">
        <v>897</v>
      </c>
      <c r="I125" s="1" t="s">
        <v>8</v>
      </c>
      <c r="J125" s="18" t="s">
        <v>117</v>
      </c>
      <c r="K125" s="18" t="s">
        <v>235</v>
      </c>
      <c r="L125" s="18">
        <v>9270</v>
      </c>
      <c r="M125" s="18">
        <f t="shared" si="3"/>
        <v>300</v>
      </c>
      <c r="N125" s="10" t="str">
        <f t="shared" si="1"/>
        <v>Unique</v>
      </c>
      <c r="P125" s="19"/>
    </row>
    <row r="126" spans="1:16" ht="26.5" thickBot="1" x14ac:dyDescent="0.4">
      <c r="A126" s="11">
        <v>46252.6875</v>
      </c>
      <c r="B126" s="8" t="s">
        <v>9</v>
      </c>
      <c r="C126" s="8" t="s">
        <v>7</v>
      </c>
      <c r="D126" s="8">
        <v>50</v>
      </c>
      <c r="E126" s="8">
        <v>305</v>
      </c>
      <c r="F126" s="4">
        <v>6.7366579179999997</v>
      </c>
      <c r="G126" s="2" t="s">
        <v>95</v>
      </c>
      <c r="H126" s="5">
        <v>285.75</v>
      </c>
      <c r="I126" s="1" t="s">
        <v>8</v>
      </c>
      <c r="J126" s="40" t="s">
        <v>118</v>
      </c>
      <c r="N126" s="10" t="str">
        <f t="shared" si="1"/>
        <v>Unique</v>
      </c>
    </row>
    <row r="127" spans="1:16" ht="26.5" thickBot="1" x14ac:dyDescent="0.4">
      <c r="A127" s="3">
        <v>46267.425694444442</v>
      </c>
      <c r="B127" s="1" t="s">
        <v>35</v>
      </c>
      <c r="C127" s="1" t="s">
        <v>7</v>
      </c>
      <c r="D127" s="4">
        <v>20</v>
      </c>
      <c r="E127" s="4">
        <v>219.5</v>
      </c>
      <c r="F127" s="4">
        <v>6.8178500169999996</v>
      </c>
      <c r="G127" s="2" t="s">
        <v>42</v>
      </c>
      <c r="H127" s="5">
        <v>205.49</v>
      </c>
      <c r="I127" s="1" t="s">
        <v>8</v>
      </c>
      <c r="J127" s="18" t="s">
        <v>118</v>
      </c>
      <c r="K127" s="18" t="s">
        <v>226</v>
      </c>
      <c r="L127" s="18">
        <v>4120</v>
      </c>
      <c r="M127" s="18">
        <f>ABS((D127*E127)-L127)</f>
        <v>270</v>
      </c>
      <c r="N127" s="10" t="str">
        <f t="shared" si="1"/>
        <v>Unique</v>
      </c>
      <c r="O127" s="47" t="s">
        <v>252</v>
      </c>
    </row>
    <row r="128" spans="1:16" s="25" customFormat="1" ht="26.5" thickBot="1" x14ac:dyDescent="0.4">
      <c r="A128" s="11">
        <v>46252.645138888889</v>
      </c>
      <c r="B128" s="8" t="s">
        <v>57</v>
      </c>
      <c r="C128" s="8" t="s">
        <v>7</v>
      </c>
      <c r="D128" s="8">
        <v>5</v>
      </c>
      <c r="E128" s="8">
        <v>2998</v>
      </c>
      <c r="F128" s="4">
        <v>6.9186875890000001</v>
      </c>
      <c r="G128" s="2" t="s">
        <v>58</v>
      </c>
      <c r="H128" s="5">
        <v>2804</v>
      </c>
      <c r="I128" s="1" t="s">
        <v>8</v>
      </c>
      <c r="J128" s="17" t="s">
        <v>117</v>
      </c>
      <c r="K128" s="18"/>
      <c r="L128" s="18"/>
      <c r="M128" s="18"/>
      <c r="N128" s="10" t="str">
        <f t="shared" si="1"/>
        <v>Unique</v>
      </c>
      <c r="O128" s="10"/>
      <c r="P128" s="10"/>
    </row>
    <row r="129" spans="1:16" ht="26.5" thickBot="1" x14ac:dyDescent="0.4">
      <c r="A129" s="3">
        <v>46265.375694444447</v>
      </c>
      <c r="B129" s="1" t="s">
        <v>15</v>
      </c>
      <c r="C129" s="1" t="s">
        <v>7</v>
      </c>
      <c r="D129" s="4">
        <v>10</v>
      </c>
      <c r="E129" s="4">
        <v>2608</v>
      </c>
      <c r="F129" s="4">
        <v>6.9729286300000002</v>
      </c>
      <c r="G129" s="2" t="s">
        <v>72</v>
      </c>
      <c r="H129" s="5">
        <v>2438</v>
      </c>
      <c r="I129" s="1" t="s">
        <v>8</v>
      </c>
      <c r="J129" s="18" t="s">
        <v>118</v>
      </c>
      <c r="K129" s="18" t="s">
        <v>207</v>
      </c>
      <c r="L129" s="18">
        <v>25780</v>
      </c>
      <c r="M129" s="18">
        <f t="shared" ref="M129:M139" si="4">ABS((D129*E129)-L129)</f>
        <v>300</v>
      </c>
      <c r="N129" t="str">
        <f t="shared" si="1"/>
        <v>Unique</v>
      </c>
      <c r="O129" s="46" t="s">
        <v>252</v>
      </c>
      <c r="P129"/>
    </row>
    <row r="130" spans="1:16" ht="39" thickBot="1" x14ac:dyDescent="0.4">
      <c r="A130" s="3">
        <v>46272.375694444447</v>
      </c>
      <c r="B130" s="1" t="s">
        <v>24</v>
      </c>
      <c r="C130" s="1" t="s">
        <v>7</v>
      </c>
      <c r="D130" s="4">
        <v>40</v>
      </c>
      <c r="E130" s="4">
        <v>448</v>
      </c>
      <c r="F130" s="4">
        <v>7.1642148069999996</v>
      </c>
      <c r="G130" s="2" t="s">
        <v>56</v>
      </c>
      <c r="H130" s="5">
        <v>418.05</v>
      </c>
      <c r="I130" s="1" t="s">
        <v>8</v>
      </c>
      <c r="J130" s="18" t="s">
        <v>117</v>
      </c>
      <c r="K130" s="18" t="s">
        <v>258</v>
      </c>
      <c r="L130" s="18">
        <v>17040</v>
      </c>
      <c r="M130" s="18">
        <f t="shared" si="4"/>
        <v>880</v>
      </c>
      <c r="N130" s="10" t="str">
        <f t="shared" ref="N130:N193" si="5">IF(COUNTIFS( $B$2:$B$767, B130, $C$2:$C$767, C130, $D$2:$D$767, D130, $E$2:$E$767, E130) &gt; 1, "Duplicate", "Unique")</f>
        <v>Unique</v>
      </c>
      <c r="O130" s="46" t="s">
        <v>252</v>
      </c>
    </row>
    <row r="131" spans="1:16" ht="26.5" thickBot="1" x14ac:dyDescent="0.4">
      <c r="A131" s="3">
        <v>46268.375</v>
      </c>
      <c r="B131" s="1" t="s">
        <v>14</v>
      </c>
      <c r="C131" s="1" t="s">
        <v>7</v>
      </c>
      <c r="D131" s="4">
        <v>100</v>
      </c>
      <c r="E131" s="4">
        <v>334</v>
      </c>
      <c r="F131" s="4">
        <v>7.2403275000000002</v>
      </c>
      <c r="G131" s="2" t="s">
        <v>45</v>
      </c>
      <c r="H131" s="5">
        <v>311.45</v>
      </c>
      <c r="I131" s="1" t="s">
        <v>8</v>
      </c>
      <c r="J131" s="18" t="s">
        <v>117</v>
      </c>
      <c r="K131" s="18" t="s">
        <v>240</v>
      </c>
      <c r="L131" s="18">
        <v>32200</v>
      </c>
      <c r="M131" s="18">
        <f t="shared" si="4"/>
        <v>1200</v>
      </c>
      <c r="N131" s="10" t="str">
        <f t="shared" si="5"/>
        <v>Unique</v>
      </c>
    </row>
    <row r="132" spans="1:16" ht="26.5" thickBot="1" x14ac:dyDescent="0.4">
      <c r="A132" s="3">
        <v>46265.390277777777</v>
      </c>
      <c r="B132" s="1" t="s">
        <v>15</v>
      </c>
      <c r="C132" s="1" t="s">
        <v>7</v>
      </c>
      <c r="D132" s="4">
        <v>10</v>
      </c>
      <c r="E132" s="4">
        <v>2618</v>
      </c>
      <c r="F132" s="4">
        <v>7.3831009019999998</v>
      </c>
      <c r="G132" s="2" t="s">
        <v>72</v>
      </c>
      <c r="H132" s="5">
        <v>2438</v>
      </c>
      <c r="I132" s="1" t="s">
        <v>8</v>
      </c>
      <c r="J132" s="18" t="s">
        <v>117</v>
      </c>
      <c r="K132" s="18" t="s">
        <v>204</v>
      </c>
      <c r="L132" s="18">
        <v>25530</v>
      </c>
      <c r="M132" s="18">
        <f t="shared" si="4"/>
        <v>650</v>
      </c>
      <c r="N132" t="str">
        <f t="shared" si="5"/>
        <v>Unique</v>
      </c>
      <c r="O132"/>
      <c r="P132"/>
    </row>
    <row r="133" spans="1:16" ht="26.5" thickBot="1" x14ac:dyDescent="0.4">
      <c r="A133" s="3">
        <v>46272.375694444447</v>
      </c>
      <c r="B133" s="1" t="s">
        <v>87</v>
      </c>
      <c r="C133" s="1" t="s">
        <v>7</v>
      </c>
      <c r="D133" s="4">
        <v>10</v>
      </c>
      <c r="E133" s="4">
        <v>1280</v>
      </c>
      <c r="F133" s="4">
        <v>7.5268817200000004</v>
      </c>
      <c r="G133" s="2" t="s">
        <v>88</v>
      </c>
      <c r="H133" s="5">
        <v>1190.4000000000001</v>
      </c>
      <c r="I133" s="1" t="s">
        <v>8</v>
      </c>
      <c r="J133" s="18" t="s">
        <v>117</v>
      </c>
      <c r="K133" s="18" t="s">
        <v>259</v>
      </c>
      <c r="L133" s="18">
        <v>12510</v>
      </c>
      <c r="M133" s="18">
        <f t="shared" si="4"/>
        <v>290</v>
      </c>
      <c r="N133" s="10" t="str">
        <f t="shared" si="5"/>
        <v>Unique</v>
      </c>
    </row>
    <row r="134" spans="1:16" ht="26.5" thickBot="1" x14ac:dyDescent="0.4">
      <c r="A134" s="3">
        <v>46261.375</v>
      </c>
      <c r="B134" s="1" t="s">
        <v>63</v>
      </c>
      <c r="C134" s="1" t="s">
        <v>7</v>
      </c>
      <c r="D134" s="4">
        <v>10</v>
      </c>
      <c r="E134" s="4">
        <v>1081</v>
      </c>
      <c r="F134" s="4">
        <v>7.6371602110000003</v>
      </c>
      <c r="G134" s="2" t="s">
        <v>64</v>
      </c>
      <c r="H134" s="5">
        <v>1004.3</v>
      </c>
      <c r="I134" s="1" t="s">
        <v>8</v>
      </c>
      <c r="J134" s="18" t="s">
        <v>118</v>
      </c>
      <c r="K134" s="18" t="s">
        <v>186</v>
      </c>
      <c r="L134" s="18">
        <v>10510</v>
      </c>
      <c r="M134" s="18">
        <f t="shared" si="4"/>
        <v>300</v>
      </c>
      <c r="N134" s="10" t="str">
        <f t="shared" si="5"/>
        <v>Unique</v>
      </c>
    </row>
    <row r="135" spans="1:16" ht="39" thickBot="1" x14ac:dyDescent="0.4">
      <c r="A135" s="39">
        <v>46255</v>
      </c>
      <c r="B135" s="37" t="s">
        <v>19</v>
      </c>
      <c r="C135" s="37" t="s">
        <v>7</v>
      </c>
      <c r="D135" s="38">
        <v>20</v>
      </c>
      <c r="E135" s="38">
        <v>241</v>
      </c>
      <c r="F135" s="4">
        <v>7.6710003130000004</v>
      </c>
      <c r="G135" s="2" t="s">
        <v>40</v>
      </c>
      <c r="H135" s="5">
        <v>223.83</v>
      </c>
      <c r="I135" s="1" t="s">
        <v>8</v>
      </c>
      <c r="J135" s="33" t="s">
        <v>118</v>
      </c>
      <c r="K135" s="33" t="s">
        <v>152</v>
      </c>
      <c r="L135" s="33">
        <v>4680</v>
      </c>
      <c r="M135" s="33">
        <f t="shared" si="4"/>
        <v>140</v>
      </c>
      <c r="N135" s="35" t="str">
        <f t="shared" si="5"/>
        <v>Duplicate</v>
      </c>
      <c r="P135" s="35"/>
    </row>
    <row r="136" spans="1:16" ht="39" thickBot="1" x14ac:dyDescent="0.4">
      <c r="A136" s="36">
        <v>46261.385416666664</v>
      </c>
      <c r="B136" s="37" t="s">
        <v>19</v>
      </c>
      <c r="C136" s="37" t="s">
        <v>7</v>
      </c>
      <c r="D136" s="38">
        <v>20</v>
      </c>
      <c r="E136" s="38">
        <v>241</v>
      </c>
      <c r="F136" s="4">
        <v>7.6710003130000004</v>
      </c>
      <c r="G136" s="2" t="s">
        <v>40</v>
      </c>
      <c r="H136" s="5">
        <v>223.83</v>
      </c>
      <c r="I136" s="1" t="s">
        <v>8</v>
      </c>
      <c r="J136" s="33" t="s">
        <v>118</v>
      </c>
      <c r="K136" s="33" t="s">
        <v>180</v>
      </c>
      <c r="L136" s="33">
        <v>4520</v>
      </c>
      <c r="M136" s="33">
        <f t="shared" si="4"/>
        <v>300</v>
      </c>
      <c r="N136" s="35" t="str">
        <f t="shared" si="5"/>
        <v>Duplicate</v>
      </c>
    </row>
    <row r="137" spans="1:16" ht="26.5" thickBot="1" x14ac:dyDescent="0.4">
      <c r="A137" s="3">
        <v>46267.375</v>
      </c>
      <c r="B137" s="1" t="s">
        <v>31</v>
      </c>
      <c r="C137" s="1" t="s">
        <v>7</v>
      </c>
      <c r="D137" s="4">
        <v>5</v>
      </c>
      <c r="E137" s="4">
        <v>649</v>
      </c>
      <c r="F137" s="4">
        <v>7.6910312789999997</v>
      </c>
      <c r="G137" s="2" t="s">
        <v>94</v>
      </c>
      <c r="H137" s="5">
        <v>602.65</v>
      </c>
      <c r="I137" s="1" t="s">
        <v>8</v>
      </c>
      <c r="J137" s="18" t="s">
        <v>118</v>
      </c>
      <c r="K137" s="18" t="s">
        <v>238</v>
      </c>
      <c r="L137" s="18">
        <v>3005</v>
      </c>
      <c r="M137" s="18">
        <f t="shared" si="4"/>
        <v>240</v>
      </c>
      <c r="N137" s="10" t="str">
        <f t="shared" si="5"/>
        <v>Unique</v>
      </c>
      <c r="P137" s="26"/>
    </row>
    <row r="138" spans="1:16" ht="26.5" thickBot="1" x14ac:dyDescent="0.4">
      <c r="A138" s="3">
        <v>46267.375</v>
      </c>
      <c r="B138" s="1" t="s">
        <v>78</v>
      </c>
      <c r="C138" s="1" t="s">
        <v>7</v>
      </c>
      <c r="D138" s="4">
        <v>3</v>
      </c>
      <c r="E138" s="4">
        <v>1460</v>
      </c>
      <c r="F138" s="4">
        <v>7.7490774910000004</v>
      </c>
      <c r="G138" s="2" t="s">
        <v>79</v>
      </c>
      <c r="H138" s="5">
        <v>1355</v>
      </c>
      <c r="I138" s="1" t="s">
        <v>8</v>
      </c>
      <c r="J138" s="18" t="s">
        <v>118</v>
      </c>
      <c r="K138" s="18" t="s">
        <v>230</v>
      </c>
      <c r="L138" s="18">
        <v>4080</v>
      </c>
      <c r="M138" s="18">
        <f t="shared" si="4"/>
        <v>300</v>
      </c>
      <c r="N138" s="10" t="str">
        <f t="shared" si="5"/>
        <v>Unique</v>
      </c>
    </row>
    <row r="139" spans="1:16" ht="26.5" thickBot="1" x14ac:dyDescent="0.4">
      <c r="A139" s="11">
        <v>46243.375</v>
      </c>
      <c r="B139" s="8" t="s">
        <v>13</v>
      </c>
      <c r="C139" s="8" t="s">
        <v>7</v>
      </c>
      <c r="D139" s="8">
        <v>5</v>
      </c>
      <c r="E139" s="8">
        <v>1844</v>
      </c>
      <c r="F139" s="4">
        <v>7.7732320279999998</v>
      </c>
      <c r="G139" s="2" t="s">
        <v>91</v>
      </c>
      <c r="H139" s="5">
        <v>1711</v>
      </c>
      <c r="I139" s="1" t="s">
        <v>8</v>
      </c>
      <c r="J139" s="18" t="s">
        <v>118</v>
      </c>
      <c r="K139" s="18" t="s">
        <v>262</v>
      </c>
      <c r="L139" s="18">
        <v>8570</v>
      </c>
      <c r="M139" s="33">
        <f t="shared" si="4"/>
        <v>650</v>
      </c>
      <c r="N139" s="10" t="str">
        <f t="shared" si="5"/>
        <v>Unique</v>
      </c>
      <c r="O139" s="46" t="s">
        <v>252</v>
      </c>
    </row>
    <row r="140" spans="1:16" ht="39" thickBot="1" x14ac:dyDescent="0.4">
      <c r="A140" s="8" t="s">
        <v>62</v>
      </c>
      <c r="B140" s="8" t="s">
        <v>43</v>
      </c>
      <c r="C140" s="8" t="s">
        <v>7</v>
      </c>
      <c r="D140" s="8">
        <v>10</v>
      </c>
      <c r="E140" s="12">
        <v>773</v>
      </c>
      <c r="F140" s="4">
        <v>7.7952865710000001</v>
      </c>
      <c r="G140" s="2" t="s">
        <v>44</v>
      </c>
      <c r="H140" s="5">
        <v>717.1</v>
      </c>
      <c r="I140" s="1" t="s">
        <v>8</v>
      </c>
      <c r="J140" s="40" t="s">
        <v>118</v>
      </c>
      <c r="N140" s="10" t="str">
        <f t="shared" si="5"/>
        <v>Unique</v>
      </c>
    </row>
    <row r="141" spans="1:16" ht="26.5" thickBot="1" x14ac:dyDescent="0.4">
      <c r="A141" s="50">
        <v>46273.385416666664</v>
      </c>
      <c r="B141" s="51" t="s">
        <v>25</v>
      </c>
      <c r="C141" s="51" t="s">
        <v>7</v>
      </c>
      <c r="D141" s="51">
        <v>500</v>
      </c>
      <c r="E141" s="51">
        <v>34.659999999999997</v>
      </c>
      <c r="F141" s="4">
        <v>7.840696951</v>
      </c>
      <c r="G141" s="2" t="s">
        <v>46</v>
      </c>
      <c r="H141" s="5">
        <v>32.14</v>
      </c>
      <c r="I141" s="1" t="s">
        <v>8</v>
      </c>
      <c r="J141" s="54" t="s">
        <v>118</v>
      </c>
      <c r="K141" s="54" t="s">
        <v>264</v>
      </c>
      <c r="L141" s="54">
        <v>16580</v>
      </c>
      <c r="M141" s="54">
        <f>ABS((D141*E141)-L141)</f>
        <v>750</v>
      </c>
      <c r="N141" s="25" t="str">
        <f t="shared" si="5"/>
        <v>Unique</v>
      </c>
      <c r="O141" s="25"/>
      <c r="P141" s="25" t="s">
        <v>267</v>
      </c>
    </row>
    <row r="142" spans="1:16" ht="26.5" thickBot="1" x14ac:dyDescent="0.4">
      <c r="A142" s="3">
        <v>46266.375694444447</v>
      </c>
      <c r="B142" s="1" t="s">
        <v>66</v>
      </c>
      <c r="C142" s="1" t="s">
        <v>7</v>
      </c>
      <c r="D142" s="4">
        <v>5</v>
      </c>
      <c r="E142" s="4">
        <v>1248</v>
      </c>
      <c r="F142" s="4">
        <v>7.8465260969999999</v>
      </c>
      <c r="G142" s="2" t="s">
        <v>67</v>
      </c>
      <c r="H142" s="5">
        <v>1157.2</v>
      </c>
      <c r="I142" s="1" t="s">
        <v>8</v>
      </c>
      <c r="J142" s="18" t="s">
        <v>117</v>
      </c>
      <c r="K142" s="18" t="s">
        <v>216</v>
      </c>
      <c r="L142" s="18">
        <v>5940</v>
      </c>
      <c r="M142" s="18">
        <f>ABS((D142*E142)-L142)</f>
        <v>300</v>
      </c>
      <c r="N142" s="10" t="str">
        <f t="shared" si="5"/>
        <v>Unique</v>
      </c>
    </row>
    <row r="143" spans="1:16" ht="26.5" thickBot="1" x14ac:dyDescent="0.4">
      <c r="A143" s="8" t="s">
        <v>62</v>
      </c>
      <c r="B143" s="8" t="s">
        <v>68</v>
      </c>
      <c r="C143" s="8" t="s">
        <v>7</v>
      </c>
      <c r="D143" s="8">
        <v>10</v>
      </c>
      <c r="E143" s="8">
        <v>435</v>
      </c>
      <c r="F143" s="4">
        <v>7.9404466500000002</v>
      </c>
      <c r="G143" s="2" t="s">
        <v>69</v>
      </c>
      <c r="H143" s="5">
        <v>403</v>
      </c>
      <c r="I143" s="1" t="s">
        <v>8</v>
      </c>
      <c r="J143" s="40"/>
      <c r="N143" s="10" t="str">
        <f t="shared" si="5"/>
        <v>Unique</v>
      </c>
    </row>
    <row r="144" spans="1:16" ht="26.5" thickBot="1" x14ac:dyDescent="0.4">
      <c r="A144" s="3">
        <v>46275.508009259262</v>
      </c>
      <c r="B144" s="1" t="s">
        <v>15</v>
      </c>
      <c r="C144" s="1" t="s">
        <v>7</v>
      </c>
      <c r="D144" s="4">
        <v>10</v>
      </c>
      <c r="E144" s="4">
        <v>2632</v>
      </c>
      <c r="F144" s="4">
        <v>7.9573420840000004</v>
      </c>
      <c r="G144" s="2" t="s">
        <v>72</v>
      </c>
      <c r="H144" s="5">
        <v>2438</v>
      </c>
      <c r="I144" s="1" t="s">
        <v>8</v>
      </c>
      <c r="J144" s="18" t="s">
        <v>117</v>
      </c>
      <c r="K144" s="18" t="s">
        <v>279</v>
      </c>
      <c r="L144" s="18">
        <v>73800</v>
      </c>
      <c r="M144" s="18">
        <f t="shared" ref="M144:M153" si="6">ABS((D144*E144)-L144)</f>
        <v>47480</v>
      </c>
      <c r="N144" s="10" t="str">
        <f t="shared" si="5"/>
        <v>Unique</v>
      </c>
    </row>
    <row r="145" spans="1:16" ht="26.5" thickBot="1" x14ac:dyDescent="0.4">
      <c r="A145" s="3">
        <v>46265.460416666669</v>
      </c>
      <c r="B145" s="1" t="s">
        <v>18</v>
      </c>
      <c r="C145" s="1" t="s">
        <v>7</v>
      </c>
      <c r="D145" s="4">
        <v>5</v>
      </c>
      <c r="E145" s="4">
        <v>1892</v>
      </c>
      <c r="F145" s="4">
        <v>8.0525414049999995</v>
      </c>
      <c r="G145" s="2" t="s">
        <v>102</v>
      </c>
      <c r="H145" s="5">
        <v>1751</v>
      </c>
      <c r="I145" s="1" t="s">
        <v>8</v>
      </c>
      <c r="J145" s="18" t="s">
        <v>118</v>
      </c>
      <c r="K145" s="18" t="s">
        <v>200</v>
      </c>
      <c r="L145" s="18">
        <v>8810</v>
      </c>
      <c r="M145" s="18">
        <f t="shared" si="6"/>
        <v>650</v>
      </c>
      <c r="N145" t="str">
        <f t="shared" si="5"/>
        <v>Unique</v>
      </c>
      <c r="O145" s="46" t="s">
        <v>252</v>
      </c>
      <c r="P145" s="35"/>
    </row>
    <row r="146" spans="1:16" ht="26.5" thickBot="1" x14ac:dyDescent="0.4">
      <c r="A146" s="3">
        <v>46265.375694444447</v>
      </c>
      <c r="B146" s="1" t="s">
        <v>15</v>
      </c>
      <c r="C146" s="1" t="s">
        <v>7</v>
      </c>
      <c r="D146" s="4">
        <v>10</v>
      </c>
      <c r="E146" s="4">
        <v>2636</v>
      </c>
      <c r="F146" s="4">
        <v>8.1214109929999996</v>
      </c>
      <c r="G146" s="2" t="s">
        <v>72</v>
      </c>
      <c r="H146" s="5">
        <v>2438</v>
      </c>
      <c r="I146" s="1" t="s">
        <v>8</v>
      </c>
      <c r="J146" s="18" t="s">
        <v>117</v>
      </c>
      <c r="K146" s="18" t="s">
        <v>213</v>
      </c>
      <c r="L146" s="18">
        <v>26020</v>
      </c>
      <c r="M146" s="18">
        <f t="shared" si="6"/>
        <v>340</v>
      </c>
      <c r="N146" t="str">
        <f t="shared" si="5"/>
        <v>Unique</v>
      </c>
    </row>
    <row r="147" spans="1:16" ht="39" thickBot="1" x14ac:dyDescent="0.4">
      <c r="A147" s="36">
        <v>46265.375694444447</v>
      </c>
      <c r="B147" s="37" t="s">
        <v>53</v>
      </c>
      <c r="C147" s="37" t="s">
        <v>7</v>
      </c>
      <c r="D147" s="38">
        <v>3</v>
      </c>
      <c r="E147" s="38">
        <v>2624</v>
      </c>
      <c r="F147" s="4">
        <v>8.3402146990000006</v>
      </c>
      <c r="G147" s="2" t="s">
        <v>54</v>
      </c>
      <c r="H147" s="5">
        <v>2422</v>
      </c>
      <c r="I147" s="1" t="s">
        <v>8</v>
      </c>
      <c r="J147" s="33" t="s">
        <v>118</v>
      </c>
      <c r="K147" s="33" t="s">
        <v>203</v>
      </c>
      <c r="L147" s="33">
        <v>7578</v>
      </c>
      <c r="M147" s="33">
        <f t="shared" si="6"/>
        <v>294</v>
      </c>
      <c r="N147" s="34" t="str">
        <f t="shared" si="5"/>
        <v>Duplicate</v>
      </c>
    </row>
    <row r="148" spans="1:16" s="35" customFormat="1" ht="39" thickBot="1" x14ac:dyDescent="0.4">
      <c r="A148" s="36">
        <v>46266.375694444447</v>
      </c>
      <c r="B148" s="37" t="s">
        <v>53</v>
      </c>
      <c r="C148" s="37" t="s">
        <v>7</v>
      </c>
      <c r="D148" s="38">
        <v>3</v>
      </c>
      <c r="E148" s="38">
        <v>2624</v>
      </c>
      <c r="F148" s="4">
        <v>8.3402146990000006</v>
      </c>
      <c r="G148" s="2" t="s">
        <v>54</v>
      </c>
      <c r="H148" s="5">
        <v>2422</v>
      </c>
      <c r="I148" s="1" t="s">
        <v>8</v>
      </c>
      <c r="J148" s="33" t="s">
        <v>118</v>
      </c>
      <c r="K148" s="33" t="s">
        <v>218</v>
      </c>
      <c r="L148" s="33">
        <v>7578</v>
      </c>
      <c r="M148" s="33">
        <f t="shared" si="6"/>
        <v>294</v>
      </c>
      <c r="N148" s="35" t="str">
        <f t="shared" si="5"/>
        <v>Duplicate</v>
      </c>
      <c r="O148" s="10"/>
      <c r="P148" s="10"/>
    </row>
    <row r="149" spans="1:16" ht="39" thickBot="1" x14ac:dyDescent="0.4">
      <c r="A149" s="3">
        <v>46267.424305555556</v>
      </c>
      <c r="B149" s="1" t="s">
        <v>53</v>
      </c>
      <c r="C149" s="1" t="s">
        <v>7</v>
      </c>
      <c r="D149" s="4">
        <v>2</v>
      </c>
      <c r="E149" s="4">
        <v>2624</v>
      </c>
      <c r="F149" s="4">
        <v>8.3402146990000006</v>
      </c>
      <c r="G149" s="2" t="s">
        <v>54</v>
      </c>
      <c r="H149" s="5">
        <v>2422</v>
      </c>
      <c r="I149" s="1" t="s">
        <v>8</v>
      </c>
      <c r="J149" s="18" t="s">
        <v>118</v>
      </c>
      <c r="K149" s="18" t="s">
        <v>228</v>
      </c>
      <c r="L149" s="18">
        <v>4968</v>
      </c>
      <c r="M149" s="18">
        <f t="shared" si="6"/>
        <v>280</v>
      </c>
      <c r="N149" s="10" t="str">
        <f t="shared" si="5"/>
        <v>Unique</v>
      </c>
    </row>
    <row r="150" spans="1:16" ht="26.5" thickBot="1" x14ac:dyDescent="0.4">
      <c r="A150" s="3">
        <v>46266.375694444447</v>
      </c>
      <c r="B150" s="1" t="s">
        <v>121</v>
      </c>
      <c r="C150" s="1" t="s">
        <v>7</v>
      </c>
      <c r="D150" s="4">
        <v>25</v>
      </c>
      <c r="E150" s="4">
        <v>772</v>
      </c>
      <c r="F150" s="4">
        <v>8.4269662919999995</v>
      </c>
      <c r="G150" s="2" t="s">
        <v>122</v>
      </c>
      <c r="H150" s="5">
        <v>712</v>
      </c>
      <c r="I150" s="1" t="s">
        <v>8</v>
      </c>
      <c r="J150" s="18" t="s">
        <v>117</v>
      </c>
      <c r="K150" s="18" t="s">
        <v>217</v>
      </c>
      <c r="L150" s="18">
        <v>18800</v>
      </c>
      <c r="M150" s="18">
        <f t="shared" si="6"/>
        <v>500</v>
      </c>
      <c r="N150" s="10" t="str">
        <f t="shared" si="5"/>
        <v>Unique</v>
      </c>
      <c r="O150" s="47" t="s">
        <v>252</v>
      </c>
    </row>
    <row r="151" spans="1:16" ht="39" thickBot="1" x14ac:dyDescent="0.4">
      <c r="A151" s="3">
        <v>46265.474999999999</v>
      </c>
      <c r="B151" s="1" t="s">
        <v>20</v>
      </c>
      <c r="C151" s="1" t="s">
        <v>7</v>
      </c>
      <c r="D151" s="4">
        <v>30</v>
      </c>
      <c r="E151" s="4">
        <v>137</v>
      </c>
      <c r="F151" s="4">
        <v>8.5062569299999993</v>
      </c>
      <c r="G151" s="2" t="s">
        <v>86</v>
      </c>
      <c r="H151" s="5">
        <v>126.26</v>
      </c>
      <c r="I151" s="1" t="s">
        <v>8</v>
      </c>
      <c r="J151" s="18" t="s">
        <v>118</v>
      </c>
      <c r="K151" s="18" t="s">
        <v>202</v>
      </c>
      <c r="L151" s="18">
        <v>3810</v>
      </c>
      <c r="M151" s="18">
        <f t="shared" si="6"/>
        <v>300</v>
      </c>
      <c r="N151" t="str">
        <f t="shared" si="5"/>
        <v>Unique</v>
      </c>
    </row>
    <row r="152" spans="1:16" ht="39" thickBot="1" x14ac:dyDescent="0.4">
      <c r="A152" s="3">
        <v>46269.643055555556</v>
      </c>
      <c r="B152" s="1" t="s">
        <v>12</v>
      </c>
      <c r="C152" s="1" t="s">
        <v>7</v>
      </c>
      <c r="D152" s="4">
        <v>1</v>
      </c>
      <c r="E152" s="4">
        <v>5448</v>
      </c>
      <c r="F152" s="4">
        <v>8.5907913100000002</v>
      </c>
      <c r="G152" s="2" t="s">
        <v>98</v>
      </c>
      <c r="H152" s="5">
        <v>5017</v>
      </c>
      <c r="I152" s="1" t="s">
        <v>8</v>
      </c>
      <c r="J152" s="18" t="s">
        <v>118</v>
      </c>
      <c r="K152" s="18" t="s">
        <v>244</v>
      </c>
      <c r="L152" s="18">
        <v>5180</v>
      </c>
      <c r="M152" s="27">
        <f t="shared" si="6"/>
        <v>268</v>
      </c>
      <c r="N152" t="str">
        <f t="shared" si="5"/>
        <v>Unique</v>
      </c>
    </row>
    <row r="153" spans="1:16" s="35" customFormat="1" ht="26.5" thickBot="1" x14ac:dyDescent="0.4">
      <c r="A153" s="3">
        <v>46262.463194444441</v>
      </c>
      <c r="B153" s="1" t="s">
        <v>15</v>
      </c>
      <c r="C153" s="1" t="s">
        <v>7</v>
      </c>
      <c r="D153" s="4">
        <v>10</v>
      </c>
      <c r="E153" s="4">
        <v>2648</v>
      </c>
      <c r="F153" s="4">
        <v>8.6136177190000005</v>
      </c>
      <c r="G153" s="2" t="s">
        <v>72</v>
      </c>
      <c r="H153" s="5">
        <v>2438</v>
      </c>
      <c r="I153" s="1" t="s">
        <v>8</v>
      </c>
      <c r="J153" s="18" t="s">
        <v>117</v>
      </c>
      <c r="K153" s="18" t="s">
        <v>193</v>
      </c>
      <c r="L153" s="18">
        <v>26180</v>
      </c>
      <c r="M153" s="18">
        <f t="shared" si="6"/>
        <v>300</v>
      </c>
      <c r="N153" s="10" t="str">
        <f t="shared" si="5"/>
        <v>Unique</v>
      </c>
      <c r="O153" s="10"/>
      <c r="P153" s="10"/>
    </row>
    <row r="154" spans="1:16" ht="39" thickBot="1" x14ac:dyDescent="0.4">
      <c r="A154" s="11">
        <v>46252.635416666664</v>
      </c>
      <c r="B154" s="8" t="s">
        <v>126</v>
      </c>
      <c r="C154" s="8" t="s">
        <v>7</v>
      </c>
      <c r="D154" s="8">
        <v>6</v>
      </c>
      <c r="E154" s="8">
        <v>548</v>
      </c>
      <c r="F154" s="4">
        <v>8.7085895660000006</v>
      </c>
      <c r="G154" s="2" t="s">
        <v>127</v>
      </c>
      <c r="H154" s="5">
        <v>504.1</v>
      </c>
      <c r="I154" s="1" t="s">
        <v>8</v>
      </c>
      <c r="J154" s="40"/>
      <c r="N154" s="10" t="str">
        <f t="shared" si="5"/>
        <v>Unique</v>
      </c>
      <c r="O154" s="35"/>
    </row>
    <row r="155" spans="1:16" ht="26.5" thickBot="1" x14ac:dyDescent="0.4">
      <c r="A155" s="36">
        <v>46267.461111111108</v>
      </c>
      <c r="B155" s="37" t="s">
        <v>14</v>
      </c>
      <c r="C155" s="37" t="s">
        <v>7</v>
      </c>
      <c r="D155" s="38">
        <v>100</v>
      </c>
      <c r="E155" s="38">
        <v>339</v>
      </c>
      <c r="F155" s="4">
        <v>8.8457216249999995</v>
      </c>
      <c r="G155" s="2" t="s">
        <v>45</v>
      </c>
      <c r="H155" s="5">
        <v>311.45</v>
      </c>
      <c r="I155" s="1" t="s">
        <v>8</v>
      </c>
      <c r="J155" s="33" t="s">
        <v>117</v>
      </c>
      <c r="K155" s="33" t="s">
        <v>227</v>
      </c>
      <c r="L155" s="33">
        <v>32900</v>
      </c>
      <c r="M155" s="33">
        <f>ABS((D155*E155)-L155)</f>
        <v>1000</v>
      </c>
      <c r="N155" s="35" t="str">
        <f t="shared" si="5"/>
        <v>Duplicate</v>
      </c>
      <c r="O155" s="26"/>
    </row>
    <row r="156" spans="1:16" ht="26.5" thickBot="1" x14ac:dyDescent="0.4">
      <c r="A156" s="36">
        <v>46267.38958333333</v>
      </c>
      <c r="B156" s="37" t="s">
        <v>14</v>
      </c>
      <c r="C156" s="37" t="s">
        <v>7</v>
      </c>
      <c r="D156" s="38">
        <v>100</v>
      </c>
      <c r="E156" s="38">
        <v>339</v>
      </c>
      <c r="F156" s="4">
        <v>8.8457216249999995</v>
      </c>
      <c r="G156" s="2" t="s">
        <v>45</v>
      </c>
      <c r="H156" s="5">
        <v>311.45</v>
      </c>
      <c r="I156" s="1" t="s">
        <v>8</v>
      </c>
      <c r="J156" s="33" t="s">
        <v>117</v>
      </c>
      <c r="K156" s="33" t="s">
        <v>229</v>
      </c>
      <c r="L156" s="33">
        <v>33200</v>
      </c>
      <c r="M156" s="33">
        <f>ABS((D156*E156)-L156)</f>
        <v>700</v>
      </c>
      <c r="N156" s="35" t="str">
        <f t="shared" si="5"/>
        <v>Duplicate</v>
      </c>
    </row>
    <row r="157" spans="1:16" ht="26.5" thickBot="1" x14ac:dyDescent="0.4">
      <c r="A157" s="3">
        <v>46266.375</v>
      </c>
      <c r="B157" s="1" t="s">
        <v>87</v>
      </c>
      <c r="C157" s="1" t="s">
        <v>7</v>
      </c>
      <c r="D157" s="4">
        <v>10</v>
      </c>
      <c r="E157" s="4">
        <v>1296</v>
      </c>
      <c r="F157" s="4">
        <v>8.8709677419999995</v>
      </c>
      <c r="G157" s="2" t="s">
        <v>88</v>
      </c>
      <c r="H157" s="5">
        <v>1190.4000000000001</v>
      </c>
      <c r="I157" s="1" t="s">
        <v>8</v>
      </c>
      <c r="J157" s="18" t="s">
        <v>117</v>
      </c>
      <c r="K157" s="18" t="s">
        <v>221</v>
      </c>
      <c r="L157" s="18">
        <v>12600</v>
      </c>
      <c r="M157" s="18">
        <f>ABS((D157*E157)-L157)</f>
        <v>360</v>
      </c>
      <c r="N157" s="10" t="str">
        <f t="shared" si="5"/>
        <v>Unique</v>
      </c>
    </row>
    <row r="158" spans="1:16" ht="26.5" thickBot="1" x14ac:dyDescent="0.4">
      <c r="A158" s="8" t="s">
        <v>62</v>
      </c>
      <c r="B158" s="8" t="s">
        <v>133</v>
      </c>
      <c r="C158" s="8" t="s">
        <v>7</v>
      </c>
      <c r="D158" s="8">
        <v>150</v>
      </c>
      <c r="E158" s="8">
        <v>123.4</v>
      </c>
      <c r="F158" s="4">
        <v>8.8951641370000001</v>
      </c>
      <c r="G158" s="2" t="s">
        <v>134</v>
      </c>
      <c r="H158" s="5">
        <v>113.32</v>
      </c>
      <c r="I158" s="1" t="s">
        <v>8</v>
      </c>
      <c r="J158" s="40" t="s">
        <v>117</v>
      </c>
      <c r="N158" s="10" t="str">
        <f t="shared" si="5"/>
        <v>Unique</v>
      </c>
    </row>
    <row r="159" spans="1:16" ht="39" thickBot="1" x14ac:dyDescent="0.4">
      <c r="A159" s="3">
        <v>46261.375694444447</v>
      </c>
      <c r="B159" s="1" t="s">
        <v>51</v>
      </c>
      <c r="C159" s="1" t="s">
        <v>7</v>
      </c>
      <c r="D159" s="4">
        <v>10</v>
      </c>
      <c r="E159" s="4">
        <v>977</v>
      </c>
      <c r="F159" s="4">
        <v>8.9186176140000004</v>
      </c>
      <c r="G159" s="2" t="s">
        <v>52</v>
      </c>
      <c r="H159" s="5">
        <v>897</v>
      </c>
      <c r="I159" s="1" t="s">
        <v>8</v>
      </c>
      <c r="J159" s="18" t="s">
        <v>117</v>
      </c>
      <c r="K159" s="18" t="s">
        <v>178</v>
      </c>
      <c r="L159" s="18">
        <v>9470</v>
      </c>
      <c r="M159" s="18">
        <f>ABS((D159*E159)-L159)</f>
        <v>300</v>
      </c>
      <c r="N159" s="10" t="str">
        <f t="shared" si="5"/>
        <v>Unique</v>
      </c>
    </row>
    <row r="160" spans="1:16" ht="26.5" thickBot="1" x14ac:dyDescent="0.4">
      <c r="A160" s="3">
        <v>46262.375</v>
      </c>
      <c r="B160" s="1" t="s">
        <v>15</v>
      </c>
      <c r="C160" s="1" t="s">
        <v>7</v>
      </c>
      <c r="D160" s="4">
        <v>10</v>
      </c>
      <c r="E160" s="4">
        <v>2660</v>
      </c>
      <c r="F160" s="4">
        <v>9.1058244459999997</v>
      </c>
      <c r="G160" s="2" t="s">
        <v>72</v>
      </c>
      <c r="H160" s="5">
        <v>2438</v>
      </c>
      <c r="I160" s="1" t="s">
        <v>8</v>
      </c>
      <c r="J160" s="18" t="s">
        <v>117</v>
      </c>
      <c r="K160" s="18" t="s">
        <v>196</v>
      </c>
      <c r="L160" s="18">
        <v>26300</v>
      </c>
      <c r="M160" s="18">
        <f>ABS((D160*E160)-L160)</f>
        <v>300</v>
      </c>
      <c r="N160" s="10" t="str">
        <f t="shared" si="5"/>
        <v>Unique</v>
      </c>
    </row>
    <row r="161" spans="1:16" ht="39" thickBot="1" x14ac:dyDescent="0.4">
      <c r="A161" s="3">
        <v>46266.509722222225</v>
      </c>
      <c r="B161" s="1" t="s">
        <v>11</v>
      </c>
      <c r="C161" s="1" t="s">
        <v>7</v>
      </c>
      <c r="D161" s="4">
        <v>20</v>
      </c>
      <c r="E161" s="4">
        <v>306</v>
      </c>
      <c r="F161" s="4">
        <v>9.4420600859999997</v>
      </c>
      <c r="G161" s="2" t="s">
        <v>99</v>
      </c>
      <c r="H161" s="5">
        <v>279.60000000000002</v>
      </c>
      <c r="I161" s="1" t="s">
        <v>8</v>
      </c>
      <c r="J161" s="18" t="s">
        <v>118</v>
      </c>
      <c r="K161" s="18" t="s">
        <v>215</v>
      </c>
      <c r="L161" s="18">
        <v>5820</v>
      </c>
      <c r="M161" s="18">
        <f>ABS((D161*E161)-L161)</f>
        <v>300</v>
      </c>
      <c r="N161" s="10" t="str">
        <f t="shared" si="5"/>
        <v>Unique</v>
      </c>
    </row>
    <row r="162" spans="1:16" ht="26.5" thickBot="1" x14ac:dyDescent="0.4">
      <c r="A162" s="3">
        <v>46267.375</v>
      </c>
      <c r="B162" s="1" t="s">
        <v>14</v>
      </c>
      <c r="C162" s="1" t="s">
        <v>7</v>
      </c>
      <c r="D162" s="4">
        <v>50</v>
      </c>
      <c r="E162" s="4">
        <v>341</v>
      </c>
      <c r="F162" s="4">
        <v>9.4878792740000009</v>
      </c>
      <c r="G162" s="2" t="s">
        <v>45</v>
      </c>
      <c r="H162" s="5">
        <v>311.45</v>
      </c>
      <c r="I162" s="1" t="s">
        <v>8</v>
      </c>
      <c r="J162" s="18" t="s">
        <v>117</v>
      </c>
      <c r="K162" s="18" t="s">
        <v>234</v>
      </c>
      <c r="L162" s="18">
        <v>16755</v>
      </c>
      <c r="M162" s="18">
        <f>ABS((D162*E162)-L162)</f>
        <v>295</v>
      </c>
      <c r="N162" s="10" t="str">
        <f t="shared" si="5"/>
        <v>Unique</v>
      </c>
    </row>
    <row r="163" spans="1:16" ht="39" thickBot="1" x14ac:dyDescent="0.4">
      <c r="A163" s="11">
        <v>46252.6875</v>
      </c>
      <c r="B163" s="8" t="s">
        <v>24</v>
      </c>
      <c r="C163" s="8" t="s">
        <v>7</v>
      </c>
      <c r="D163" s="8">
        <v>40</v>
      </c>
      <c r="E163" s="8">
        <v>458</v>
      </c>
      <c r="F163" s="4">
        <v>9.5562731729999992</v>
      </c>
      <c r="G163" s="2" t="s">
        <v>56</v>
      </c>
      <c r="H163" s="5">
        <v>418.05</v>
      </c>
      <c r="I163" s="1" t="s">
        <v>8</v>
      </c>
      <c r="J163" s="40" t="s">
        <v>117</v>
      </c>
      <c r="N163" s="10" t="str">
        <f t="shared" si="5"/>
        <v>Unique</v>
      </c>
    </row>
    <row r="164" spans="1:16" s="35" customFormat="1" ht="26.5" thickBot="1" x14ac:dyDescent="0.4">
      <c r="A164" s="3">
        <v>46254.642361111109</v>
      </c>
      <c r="B164" s="1" t="s">
        <v>15</v>
      </c>
      <c r="C164" s="1" t="s">
        <v>7</v>
      </c>
      <c r="D164" s="4">
        <v>10</v>
      </c>
      <c r="E164" s="4">
        <v>2672</v>
      </c>
      <c r="F164" s="4">
        <v>9.5980311730000007</v>
      </c>
      <c r="G164" s="2" t="s">
        <v>72</v>
      </c>
      <c r="H164" s="5">
        <v>2438</v>
      </c>
      <c r="I164" s="1" t="s">
        <v>8</v>
      </c>
      <c r="J164" s="17" t="s">
        <v>117</v>
      </c>
      <c r="K164" s="17" t="s">
        <v>147</v>
      </c>
      <c r="L164" s="17"/>
      <c r="M164" s="17"/>
      <c r="N164" s="10" t="str">
        <f t="shared" si="5"/>
        <v>Unique</v>
      </c>
      <c r="O164" s="10"/>
      <c r="P164" s="10"/>
    </row>
    <row r="165" spans="1:16" ht="39" thickBot="1" x14ac:dyDescent="0.4">
      <c r="A165" s="3">
        <v>46274.375</v>
      </c>
      <c r="B165" s="1" t="s">
        <v>21</v>
      </c>
      <c r="C165" s="1" t="s">
        <v>7</v>
      </c>
      <c r="D165" s="4">
        <v>5</v>
      </c>
      <c r="E165" s="4">
        <v>730</v>
      </c>
      <c r="F165" s="4">
        <v>9.6096096099999997</v>
      </c>
      <c r="G165" s="2" t="s">
        <v>76</v>
      </c>
      <c r="H165" s="5">
        <v>666</v>
      </c>
      <c r="I165" s="1" t="s">
        <v>8</v>
      </c>
      <c r="J165" s="18" t="s">
        <v>118</v>
      </c>
      <c r="K165" s="18" t="s">
        <v>271</v>
      </c>
      <c r="L165" s="18">
        <v>3400</v>
      </c>
      <c r="M165" s="18">
        <f>ABS((D165*E165)-L165)</f>
        <v>250</v>
      </c>
      <c r="N165" s="10" t="str">
        <f t="shared" si="5"/>
        <v>Unique</v>
      </c>
    </row>
    <row r="166" spans="1:16" ht="26.5" thickBot="1" x14ac:dyDescent="0.4">
      <c r="A166" s="3">
        <v>46269.411111111112</v>
      </c>
      <c r="B166" s="1" t="s">
        <v>13</v>
      </c>
      <c r="C166" s="1" t="s">
        <v>7</v>
      </c>
      <c r="D166" s="4">
        <v>10</v>
      </c>
      <c r="E166" s="4">
        <v>1879</v>
      </c>
      <c r="F166" s="4">
        <v>9.8188194039999992</v>
      </c>
      <c r="G166" s="2" t="s">
        <v>91</v>
      </c>
      <c r="H166" s="5">
        <v>1711</v>
      </c>
      <c r="I166" s="1" t="s">
        <v>8</v>
      </c>
      <c r="J166" s="18" t="s">
        <v>118</v>
      </c>
      <c r="K166" s="18" t="s">
        <v>245</v>
      </c>
      <c r="L166" s="18">
        <v>18140</v>
      </c>
      <c r="M166" s="27">
        <f>ABS((D166*E166)-L166)</f>
        <v>650</v>
      </c>
      <c r="N166" t="str">
        <f t="shared" si="5"/>
        <v>Unique</v>
      </c>
      <c r="O166" s="46" t="s">
        <v>252</v>
      </c>
    </row>
    <row r="167" spans="1:16" ht="26.5" thickBot="1" x14ac:dyDescent="0.4">
      <c r="A167" s="3">
        <v>46261.375694444447</v>
      </c>
      <c r="B167" s="1" t="s">
        <v>78</v>
      </c>
      <c r="C167" s="1" t="s">
        <v>7</v>
      </c>
      <c r="D167" s="4">
        <v>5</v>
      </c>
      <c r="E167" s="4">
        <v>1490</v>
      </c>
      <c r="F167" s="4">
        <v>9.9630996310000004</v>
      </c>
      <c r="G167" s="2" t="s">
        <v>79</v>
      </c>
      <c r="H167" s="5">
        <v>1355</v>
      </c>
      <c r="I167" s="1" t="s">
        <v>8</v>
      </c>
      <c r="J167" s="18" t="s">
        <v>118</v>
      </c>
      <c r="K167" s="18" t="s">
        <v>189</v>
      </c>
      <c r="L167" s="18">
        <v>7200</v>
      </c>
      <c r="M167" s="18">
        <f>ABS((D167*E167)-L167)</f>
        <v>250</v>
      </c>
      <c r="N167" s="10" t="str">
        <f t="shared" si="5"/>
        <v>Unique</v>
      </c>
    </row>
    <row r="168" spans="1:16" ht="26.5" thickBot="1" x14ac:dyDescent="0.4">
      <c r="A168" s="3">
        <v>46265.375694444447</v>
      </c>
      <c r="B168" s="1" t="s">
        <v>78</v>
      </c>
      <c r="C168" s="1" t="s">
        <v>7</v>
      </c>
      <c r="D168" s="4">
        <v>3</v>
      </c>
      <c r="E168" s="4">
        <v>1490</v>
      </c>
      <c r="F168" s="4">
        <v>9.9630996310000004</v>
      </c>
      <c r="G168" s="2" t="s">
        <v>79</v>
      </c>
      <c r="H168" s="5">
        <v>1355</v>
      </c>
      <c r="I168" s="1" t="s">
        <v>8</v>
      </c>
      <c r="J168" s="18" t="s">
        <v>118</v>
      </c>
      <c r="K168" s="18" t="s">
        <v>208</v>
      </c>
      <c r="L168" s="18">
        <v>4170</v>
      </c>
      <c r="M168" s="18">
        <f>ABS((D168*E168)-L168)</f>
        <v>300</v>
      </c>
      <c r="N168" t="str">
        <f t="shared" si="5"/>
        <v>Unique</v>
      </c>
    </row>
    <row r="169" spans="1:16" ht="26.5" thickBot="1" x14ac:dyDescent="0.4">
      <c r="A169" s="3">
        <v>46261.615277777775</v>
      </c>
      <c r="B169" s="1" t="s">
        <v>35</v>
      </c>
      <c r="C169" s="1" t="s">
        <v>7</v>
      </c>
      <c r="D169" s="4">
        <v>50</v>
      </c>
      <c r="E169" s="4">
        <v>226.3</v>
      </c>
      <c r="F169" s="4">
        <v>10.12701348</v>
      </c>
      <c r="G169" s="2" t="s">
        <v>42</v>
      </c>
      <c r="H169" s="5">
        <v>205.49</v>
      </c>
      <c r="I169" s="1" t="s">
        <v>8</v>
      </c>
      <c r="J169" s="18" t="s">
        <v>118</v>
      </c>
      <c r="K169" s="18" t="s">
        <v>177</v>
      </c>
      <c r="L169" s="18">
        <v>10814</v>
      </c>
      <c r="M169" s="18">
        <f>ABS((D169*E169)-L169)</f>
        <v>501</v>
      </c>
      <c r="N169" s="10" t="str">
        <f t="shared" si="5"/>
        <v>Unique</v>
      </c>
      <c r="O169" s="46" t="s">
        <v>252</v>
      </c>
    </row>
    <row r="170" spans="1:16" ht="39" thickBot="1" x14ac:dyDescent="0.4">
      <c r="A170" s="8" t="s">
        <v>62</v>
      </c>
      <c r="B170" s="8" t="s">
        <v>43</v>
      </c>
      <c r="C170" s="8" t="s">
        <v>7</v>
      </c>
      <c r="D170" s="8">
        <v>5</v>
      </c>
      <c r="E170" s="12">
        <v>790</v>
      </c>
      <c r="F170" s="4">
        <v>10.16594617</v>
      </c>
      <c r="G170" s="2" t="s">
        <v>44</v>
      </c>
      <c r="H170" s="5">
        <v>717.1</v>
      </c>
      <c r="I170" s="1" t="s">
        <v>8</v>
      </c>
      <c r="J170" s="40"/>
      <c r="N170" s="10" t="str">
        <f t="shared" si="5"/>
        <v>Unique</v>
      </c>
    </row>
    <row r="171" spans="1:16" ht="26.5" thickBot="1" x14ac:dyDescent="0.4">
      <c r="A171" s="11">
        <v>46252.635416666664</v>
      </c>
      <c r="B171" s="8" t="s">
        <v>123</v>
      </c>
      <c r="C171" s="8" t="s">
        <v>7</v>
      </c>
      <c r="D171" s="8">
        <v>200</v>
      </c>
      <c r="E171" s="8">
        <v>89.3</v>
      </c>
      <c r="F171" s="4">
        <v>10.246913579999999</v>
      </c>
      <c r="G171" s="2" t="s">
        <v>124</v>
      </c>
      <c r="H171" s="5">
        <v>81</v>
      </c>
      <c r="I171" s="1" t="s">
        <v>8</v>
      </c>
      <c r="J171" s="18" t="s">
        <v>118</v>
      </c>
      <c r="N171" s="10" t="str">
        <f t="shared" si="5"/>
        <v>Unique</v>
      </c>
      <c r="O171" s="46" t="s">
        <v>252</v>
      </c>
    </row>
    <row r="172" spans="1:16" ht="26.5" thickBot="1" x14ac:dyDescent="0.4">
      <c r="A172" s="3">
        <v>46272.375694444447</v>
      </c>
      <c r="B172" s="1" t="s">
        <v>16</v>
      </c>
      <c r="C172" s="1" t="s">
        <v>7</v>
      </c>
      <c r="D172" s="4">
        <v>5</v>
      </c>
      <c r="E172" s="4">
        <v>902</v>
      </c>
      <c r="F172" s="4">
        <v>10.26220891</v>
      </c>
      <c r="G172" s="2" t="s">
        <v>61</v>
      </c>
      <c r="H172" s="5">
        <v>818.05</v>
      </c>
      <c r="I172" s="1" t="s">
        <v>8</v>
      </c>
      <c r="J172" s="18" t="s">
        <v>118</v>
      </c>
      <c r="K172" s="18" t="s">
        <v>256</v>
      </c>
      <c r="L172" s="18">
        <v>4260</v>
      </c>
      <c r="M172" s="18">
        <f>ABS((D172*E172)-L172)</f>
        <v>250</v>
      </c>
      <c r="N172" s="10" t="str">
        <f t="shared" si="5"/>
        <v>Unique</v>
      </c>
      <c r="P172" s="35"/>
    </row>
    <row r="173" spans="1:16" ht="39" thickBot="1" x14ac:dyDescent="0.4">
      <c r="A173" s="3">
        <v>46260.554861111108</v>
      </c>
      <c r="B173" s="1" t="s">
        <v>12</v>
      </c>
      <c r="C173" s="1" t="s">
        <v>7</v>
      </c>
      <c r="D173" s="4">
        <v>1</v>
      </c>
      <c r="E173" s="4">
        <v>5540</v>
      </c>
      <c r="F173" s="4">
        <v>10.42455651</v>
      </c>
      <c r="G173" s="2" t="s">
        <v>98</v>
      </c>
      <c r="H173" s="5">
        <v>5017</v>
      </c>
      <c r="I173" s="1" t="s">
        <v>8</v>
      </c>
      <c r="J173" s="18" t="s">
        <v>118</v>
      </c>
      <c r="K173" s="18" t="s">
        <v>168</v>
      </c>
      <c r="L173" s="18">
        <v>5290</v>
      </c>
      <c r="M173" s="18">
        <f>ABS((D173*E173)-L173)</f>
        <v>250</v>
      </c>
      <c r="N173" t="str">
        <f t="shared" si="5"/>
        <v>Unique</v>
      </c>
    </row>
    <row r="174" spans="1:16" ht="26.5" thickBot="1" x14ac:dyDescent="0.4">
      <c r="A174" s="8" t="s">
        <v>62</v>
      </c>
      <c r="B174" s="8" t="s">
        <v>74</v>
      </c>
      <c r="C174" s="8" t="s">
        <v>7</v>
      </c>
      <c r="D174" s="8">
        <v>5</v>
      </c>
      <c r="E174" s="8">
        <v>3633</v>
      </c>
      <c r="F174" s="4">
        <v>10.496061320000001</v>
      </c>
      <c r="G174" s="2" t="s">
        <v>75</v>
      </c>
      <c r="H174" s="5">
        <v>3287.9</v>
      </c>
      <c r="I174" s="1" t="s">
        <v>8</v>
      </c>
      <c r="J174" s="40"/>
      <c r="N174" s="10" t="str">
        <f t="shared" si="5"/>
        <v>Unique</v>
      </c>
    </row>
    <row r="175" spans="1:16" ht="39" thickBot="1" x14ac:dyDescent="0.4">
      <c r="A175" s="3">
        <v>46262.375</v>
      </c>
      <c r="B175" s="1" t="s">
        <v>59</v>
      </c>
      <c r="C175" s="1" t="s">
        <v>7</v>
      </c>
      <c r="D175" s="4">
        <v>4</v>
      </c>
      <c r="E175" s="4">
        <v>1146</v>
      </c>
      <c r="F175" s="4">
        <v>10.51108968</v>
      </c>
      <c r="G175" s="2" t="s">
        <v>60</v>
      </c>
      <c r="H175" s="5">
        <v>1037</v>
      </c>
      <c r="I175" s="1" t="s">
        <v>8</v>
      </c>
      <c r="J175" s="18" t="s">
        <v>117</v>
      </c>
      <c r="K175" s="18" t="s">
        <v>192</v>
      </c>
      <c r="L175" s="18">
        <v>4264</v>
      </c>
      <c r="M175" s="18">
        <f>ABS((D175*E175)-L175)</f>
        <v>320</v>
      </c>
      <c r="N175" s="10" t="str">
        <f t="shared" si="5"/>
        <v>Unique</v>
      </c>
    </row>
    <row r="176" spans="1:16" ht="39" thickBot="1" x14ac:dyDescent="0.4">
      <c r="A176" s="3">
        <v>46265.486111111109</v>
      </c>
      <c r="B176" s="1" t="s">
        <v>59</v>
      </c>
      <c r="C176" s="1" t="s">
        <v>7</v>
      </c>
      <c r="D176" s="4">
        <v>5</v>
      </c>
      <c r="E176" s="4">
        <v>1146</v>
      </c>
      <c r="F176" s="4">
        <v>10.51108968</v>
      </c>
      <c r="G176" s="2" t="s">
        <v>60</v>
      </c>
      <c r="H176" s="5">
        <v>1037</v>
      </c>
      <c r="I176" s="1" t="s">
        <v>8</v>
      </c>
      <c r="J176" s="18" t="s">
        <v>118</v>
      </c>
      <c r="K176" s="18" t="s">
        <v>199</v>
      </c>
      <c r="L176" s="18">
        <v>5282</v>
      </c>
      <c r="M176" s="18">
        <f>ABS((D176*E176)-L176)</f>
        <v>448</v>
      </c>
      <c r="N176" t="str">
        <f t="shared" si="5"/>
        <v>Unique</v>
      </c>
    </row>
    <row r="177" spans="1:16" ht="26.5" thickBot="1" x14ac:dyDescent="0.4">
      <c r="A177" s="11">
        <v>46252.6875</v>
      </c>
      <c r="B177" s="8" t="s">
        <v>15</v>
      </c>
      <c r="C177" s="8" t="s">
        <v>7</v>
      </c>
      <c r="D177" s="8">
        <v>10</v>
      </c>
      <c r="E177" s="8">
        <v>2696</v>
      </c>
      <c r="F177" s="4">
        <v>10.582444629999999</v>
      </c>
      <c r="G177" s="2" t="s">
        <v>72</v>
      </c>
      <c r="H177" s="5">
        <v>2438</v>
      </c>
      <c r="I177" s="1" t="s">
        <v>8</v>
      </c>
      <c r="J177" s="40" t="s">
        <v>156</v>
      </c>
      <c r="N177" s="10" t="str">
        <f t="shared" si="5"/>
        <v>Unique</v>
      </c>
    </row>
    <row r="178" spans="1:16" ht="39" thickBot="1" x14ac:dyDescent="0.4">
      <c r="A178" s="11">
        <v>46252.635416666664</v>
      </c>
      <c r="B178" s="8" t="s">
        <v>82</v>
      </c>
      <c r="C178" s="8" t="s">
        <v>7</v>
      </c>
      <c r="D178" s="8">
        <v>1</v>
      </c>
      <c r="E178" s="8">
        <v>4556</v>
      </c>
      <c r="F178" s="4">
        <v>10.58252427</v>
      </c>
      <c r="G178" s="2" t="s">
        <v>83</v>
      </c>
      <c r="H178" s="5">
        <v>4120</v>
      </c>
      <c r="I178" s="1" t="s">
        <v>8</v>
      </c>
      <c r="J178" s="40"/>
      <c r="N178" s="10" t="str">
        <f t="shared" si="5"/>
        <v>Unique</v>
      </c>
    </row>
    <row r="179" spans="1:16" s="35" customFormat="1" ht="26.5" thickBot="1" x14ac:dyDescent="0.4">
      <c r="A179" s="3">
        <v>46266.642361111109</v>
      </c>
      <c r="B179" s="1" t="s">
        <v>14</v>
      </c>
      <c r="C179" s="1" t="s">
        <v>7</v>
      </c>
      <c r="D179" s="4">
        <v>100</v>
      </c>
      <c r="E179" s="4">
        <v>344.5</v>
      </c>
      <c r="F179" s="4">
        <v>10.61165516</v>
      </c>
      <c r="G179" s="2" t="s">
        <v>45</v>
      </c>
      <c r="H179" s="5">
        <v>311.45</v>
      </c>
      <c r="I179" s="1" t="s">
        <v>8</v>
      </c>
      <c r="J179" s="18" t="s">
        <v>117</v>
      </c>
      <c r="K179" s="18" t="s">
        <v>223</v>
      </c>
      <c r="L179" s="18">
        <v>33950</v>
      </c>
      <c r="M179" s="18">
        <f>ABS((D179*E179)-L179)</f>
        <v>500</v>
      </c>
      <c r="N179" s="10" t="str">
        <f t="shared" si="5"/>
        <v>Unique</v>
      </c>
      <c r="O179" s="10"/>
      <c r="P179" s="10"/>
    </row>
    <row r="180" spans="1:16" s="35" customFormat="1" ht="39" thickBot="1" x14ac:dyDescent="0.4">
      <c r="A180" s="51" t="s">
        <v>62</v>
      </c>
      <c r="B180" s="57" t="s">
        <v>23</v>
      </c>
      <c r="C180" s="51" t="s">
        <v>7</v>
      </c>
      <c r="D180" s="51">
        <v>40</v>
      </c>
      <c r="E180" s="58">
        <v>229</v>
      </c>
      <c r="F180" s="4">
        <v>10.62801932</v>
      </c>
      <c r="G180" s="2" t="s">
        <v>70</v>
      </c>
      <c r="H180" s="5">
        <v>207</v>
      </c>
      <c r="I180" s="1" t="s">
        <v>8</v>
      </c>
      <c r="J180" s="59" t="s">
        <v>117</v>
      </c>
      <c r="K180" s="54"/>
      <c r="L180" s="54"/>
      <c r="M180" s="54"/>
      <c r="N180" s="25" t="str">
        <f t="shared" si="5"/>
        <v>Unique</v>
      </c>
      <c r="O180" s="25"/>
      <c r="P180" s="25" t="s">
        <v>267</v>
      </c>
    </row>
    <row r="181" spans="1:16" ht="26.5" thickBot="1" x14ac:dyDescent="0.4">
      <c r="A181" s="3">
        <v>46272.451388888891</v>
      </c>
      <c r="B181" s="1" t="s">
        <v>13</v>
      </c>
      <c r="C181" s="1" t="s">
        <v>7</v>
      </c>
      <c r="D181" s="4">
        <v>5</v>
      </c>
      <c r="E181" s="4">
        <v>1894</v>
      </c>
      <c r="F181" s="4">
        <v>10.69549971</v>
      </c>
      <c r="G181" s="2" t="s">
        <v>91</v>
      </c>
      <c r="H181" s="5">
        <v>1711</v>
      </c>
      <c r="I181" s="1" t="s">
        <v>8</v>
      </c>
      <c r="J181" s="10" t="s">
        <v>118</v>
      </c>
      <c r="K181" s="18" t="s">
        <v>254</v>
      </c>
      <c r="L181" s="18">
        <v>8820</v>
      </c>
      <c r="M181" s="18">
        <f t="shared" ref="M181:M186" si="7">ABS((D181*E181)-L181)</f>
        <v>650</v>
      </c>
      <c r="N181" s="10" t="str">
        <f t="shared" si="5"/>
        <v>Unique</v>
      </c>
    </row>
    <row r="182" spans="1:16" ht="26.5" thickBot="1" x14ac:dyDescent="0.4">
      <c r="A182" s="3">
        <v>46272.390972222223</v>
      </c>
      <c r="B182" s="1" t="s">
        <v>13</v>
      </c>
      <c r="C182" s="1" t="s">
        <v>7</v>
      </c>
      <c r="D182" s="4">
        <v>20</v>
      </c>
      <c r="E182" s="4">
        <v>1894</v>
      </c>
      <c r="F182" s="4">
        <v>10.69549971</v>
      </c>
      <c r="G182" s="2" t="s">
        <v>91</v>
      </c>
      <c r="H182" s="5">
        <v>1711</v>
      </c>
      <c r="I182" s="1" t="s">
        <v>8</v>
      </c>
      <c r="J182" s="10" t="s">
        <v>118</v>
      </c>
      <c r="K182" s="18" t="s">
        <v>255</v>
      </c>
      <c r="L182" s="18">
        <v>36946</v>
      </c>
      <c r="M182" s="18">
        <f t="shared" si="7"/>
        <v>934</v>
      </c>
      <c r="N182" s="10" t="str">
        <f t="shared" si="5"/>
        <v>Unique</v>
      </c>
    </row>
    <row r="183" spans="1:16" ht="26.5" thickBot="1" x14ac:dyDescent="0.4">
      <c r="A183" s="36">
        <v>46265.375694444447</v>
      </c>
      <c r="B183" s="37" t="s">
        <v>6</v>
      </c>
      <c r="C183" s="37" t="s">
        <v>7</v>
      </c>
      <c r="D183" s="38">
        <v>20</v>
      </c>
      <c r="E183" s="38">
        <v>291</v>
      </c>
      <c r="F183" s="4">
        <v>10.73059361</v>
      </c>
      <c r="G183" s="2" t="s">
        <v>130</v>
      </c>
      <c r="H183" s="5">
        <v>262.8</v>
      </c>
      <c r="I183" s="1" t="s">
        <v>8</v>
      </c>
      <c r="J183" s="32" t="s">
        <v>118</v>
      </c>
      <c r="K183" s="33" t="s">
        <v>209</v>
      </c>
      <c r="L183" s="33">
        <v>5520</v>
      </c>
      <c r="M183" s="33">
        <f t="shared" si="7"/>
        <v>300</v>
      </c>
      <c r="N183" s="34" t="str">
        <f t="shared" si="5"/>
        <v>Unique</v>
      </c>
      <c r="O183" s="35"/>
    </row>
    <row r="184" spans="1:16" ht="26.5" thickBot="1" x14ac:dyDescent="0.4">
      <c r="A184" s="48">
        <v>46243.505555555559</v>
      </c>
      <c r="B184" s="49" t="s">
        <v>6</v>
      </c>
      <c r="C184" s="49" t="s">
        <v>7</v>
      </c>
      <c r="D184" s="49">
        <v>10</v>
      </c>
      <c r="E184" s="49">
        <v>291</v>
      </c>
      <c r="F184" s="4">
        <v>10.73059361</v>
      </c>
      <c r="G184" s="2" t="s">
        <v>130</v>
      </c>
      <c r="H184" s="5">
        <v>262.8</v>
      </c>
      <c r="I184" s="1" t="s">
        <v>8</v>
      </c>
      <c r="J184" s="33" t="s">
        <v>118</v>
      </c>
      <c r="K184" s="33" t="s">
        <v>260</v>
      </c>
      <c r="L184" s="33">
        <v>2657</v>
      </c>
      <c r="M184" s="33">
        <f t="shared" si="7"/>
        <v>253</v>
      </c>
      <c r="N184" s="35" t="str">
        <f t="shared" si="5"/>
        <v>Unique</v>
      </c>
      <c r="O184" s="35"/>
    </row>
    <row r="185" spans="1:16" s="35" customFormat="1" ht="26.5" thickBot="1" x14ac:dyDescent="0.4">
      <c r="A185" s="3">
        <v>46266.375</v>
      </c>
      <c r="B185" s="1" t="s">
        <v>89</v>
      </c>
      <c r="C185" s="1" t="s">
        <v>7</v>
      </c>
      <c r="D185" s="4">
        <v>1</v>
      </c>
      <c r="E185" s="4">
        <v>14852</v>
      </c>
      <c r="F185" s="4">
        <v>10.76968974</v>
      </c>
      <c r="G185" s="2" t="s">
        <v>90</v>
      </c>
      <c r="H185" s="5">
        <v>13408</v>
      </c>
      <c r="I185" s="1" t="s">
        <v>8</v>
      </c>
      <c r="J185" s="18" t="s">
        <v>118</v>
      </c>
      <c r="K185" s="18" t="s">
        <v>224</v>
      </c>
      <c r="L185" s="18">
        <v>14552</v>
      </c>
      <c r="M185" s="18">
        <f t="shared" si="7"/>
        <v>300</v>
      </c>
      <c r="N185" s="10" t="str">
        <f t="shared" si="5"/>
        <v>Unique</v>
      </c>
      <c r="O185" s="46" t="s">
        <v>252</v>
      </c>
    </row>
    <row r="186" spans="1:16" ht="26.5" thickBot="1" x14ac:dyDescent="0.4">
      <c r="A186" s="3">
        <v>46265.375694444447</v>
      </c>
      <c r="B186" s="1" t="s">
        <v>87</v>
      </c>
      <c r="C186" s="1" t="s">
        <v>7</v>
      </c>
      <c r="D186" s="4">
        <v>10</v>
      </c>
      <c r="E186" s="4">
        <v>1320</v>
      </c>
      <c r="F186" s="4">
        <v>10.887096769999999</v>
      </c>
      <c r="G186" s="2" t="s">
        <v>88</v>
      </c>
      <c r="H186" s="5">
        <v>1190.4000000000001</v>
      </c>
      <c r="I186" s="1" t="s">
        <v>8</v>
      </c>
      <c r="J186" s="18" t="s">
        <v>117</v>
      </c>
      <c r="K186" s="18" t="s">
        <v>205</v>
      </c>
      <c r="L186" s="18">
        <v>12800</v>
      </c>
      <c r="M186" s="18">
        <f t="shared" si="7"/>
        <v>400</v>
      </c>
      <c r="N186" t="str">
        <f t="shared" si="5"/>
        <v>Unique</v>
      </c>
    </row>
    <row r="187" spans="1:16" ht="26.5" thickBot="1" x14ac:dyDescent="0.4">
      <c r="A187" s="8" t="s">
        <v>62</v>
      </c>
      <c r="B187" s="8" t="s">
        <v>9</v>
      </c>
      <c r="C187" s="8" t="s">
        <v>7</v>
      </c>
      <c r="D187" s="8">
        <v>50</v>
      </c>
      <c r="E187" s="8">
        <v>317</v>
      </c>
      <c r="F187" s="4">
        <v>10.93613298</v>
      </c>
      <c r="G187" s="2" t="s">
        <v>95</v>
      </c>
      <c r="H187" s="5">
        <v>285.75</v>
      </c>
      <c r="I187" s="1" t="s">
        <v>8</v>
      </c>
      <c r="J187" s="40"/>
      <c r="N187" s="10" t="str">
        <f t="shared" si="5"/>
        <v>Unique</v>
      </c>
    </row>
    <row r="188" spans="1:16" ht="39" thickBot="1" x14ac:dyDescent="0.4">
      <c r="A188" s="3">
        <v>46261.375694444447</v>
      </c>
      <c r="B188" s="1" t="s">
        <v>53</v>
      </c>
      <c r="C188" s="1" t="s">
        <v>7</v>
      </c>
      <c r="D188" s="4">
        <v>2</v>
      </c>
      <c r="E188" s="4">
        <v>2690</v>
      </c>
      <c r="F188" s="4">
        <v>11.065235339999999</v>
      </c>
      <c r="G188" s="2" t="s">
        <v>54</v>
      </c>
      <c r="H188" s="5">
        <v>2422</v>
      </c>
      <c r="I188" s="1" t="s">
        <v>8</v>
      </c>
      <c r="J188" s="18" t="s">
        <v>118</v>
      </c>
      <c r="K188" s="18" t="s">
        <v>179</v>
      </c>
      <c r="L188" s="18">
        <v>5120</v>
      </c>
      <c r="M188" s="18">
        <f>ABS((D188*E188)-L188)</f>
        <v>260</v>
      </c>
      <c r="N188" s="10" t="str">
        <f t="shared" si="5"/>
        <v>Unique</v>
      </c>
    </row>
    <row r="189" spans="1:16" ht="39" thickBot="1" x14ac:dyDescent="0.4">
      <c r="A189" s="11">
        <v>46252.635416666664</v>
      </c>
      <c r="B189" s="8" t="s">
        <v>51</v>
      </c>
      <c r="C189" s="8" t="s">
        <v>7</v>
      </c>
      <c r="D189" s="8">
        <v>10</v>
      </c>
      <c r="E189" s="8">
        <v>997</v>
      </c>
      <c r="F189" s="4">
        <v>11.14827202</v>
      </c>
      <c r="G189" s="2" t="s">
        <v>52</v>
      </c>
      <c r="H189" s="5">
        <v>897</v>
      </c>
      <c r="I189" s="1" t="s">
        <v>8</v>
      </c>
      <c r="J189" s="40" t="s">
        <v>117</v>
      </c>
      <c r="N189" s="10" t="str">
        <f t="shared" si="5"/>
        <v>Unique</v>
      </c>
    </row>
    <row r="190" spans="1:16" ht="26.5" thickBot="1" x14ac:dyDescent="0.4">
      <c r="A190" s="11">
        <v>46252.635416666664</v>
      </c>
      <c r="B190" s="8" t="s">
        <v>47</v>
      </c>
      <c r="C190" s="8" t="s">
        <v>7</v>
      </c>
      <c r="D190" s="8">
        <v>8</v>
      </c>
      <c r="E190" s="8">
        <v>2448</v>
      </c>
      <c r="F190" s="4">
        <v>11.303082659999999</v>
      </c>
      <c r="G190" s="2" t="s">
        <v>48</v>
      </c>
      <c r="H190" s="5">
        <v>2199.4</v>
      </c>
      <c r="I190" s="1" t="s">
        <v>8</v>
      </c>
      <c r="J190" s="40"/>
      <c r="N190" s="10" t="str">
        <f t="shared" si="5"/>
        <v>Unique</v>
      </c>
    </row>
    <row r="191" spans="1:16" ht="26.5" thickBot="1" x14ac:dyDescent="0.4">
      <c r="A191" s="11">
        <v>46252.6875</v>
      </c>
      <c r="B191" s="8" t="s">
        <v>15</v>
      </c>
      <c r="C191" s="8" t="s">
        <v>7</v>
      </c>
      <c r="D191" s="8">
        <v>10</v>
      </c>
      <c r="E191" s="8">
        <v>2720</v>
      </c>
      <c r="F191" s="4">
        <v>11.566858079999999</v>
      </c>
      <c r="G191" s="2" t="s">
        <v>72</v>
      </c>
      <c r="H191" s="5">
        <v>2438</v>
      </c>
      <c r="I191" s="1" t="s">
        <v>8</v>
      </c>
      <c r="J191" s="40" t="s">
        <v>117</v>
      </c>
      <c r="N191" s="10" t="str">
        <f t="shared" si="5"/>
        <v>Unique</v>
      </c>
    </row>
    <row r="192" spans="1:16" ht="39" thickBot="1" x14ac:dyDescent="0.4">
      <c r="A192" s="11">
        <v>46252.688194444447</v>
      </c>
      <c r="B192" s="8" t="s">
        <v>28</v>
      </c>
      <c r="C192" s="8" t="s">
        <v>7</v>
      </c>
      <c r="D192" s="8">
        <v>30</v>
      </c>
      <c r="E192" s="8">
        <v>930</v>
      </c>
      <c r="F192" s="4">
        <v>11.644657860000001</v>
      </c>
      <c r="G192" s="2" t="s">
        <v>125</v>
      </c>
      <c r="H192" s="5">
        <v>833</v>
      </c>
      <c r="I192" s="1" t="s">
        <v>8</v>
      </c>
      <c r="J192" s="40"/>
      <c r="N192" s="10" t="str">
        <f t="shared" si="5"/>
        <v>Unique</v>
      </c>
      <c r="P192" s="35"/>
    </row>
    <row r="193" spans="1:16" s="35" customFormat="1" ht="26.5" thickBot="1" x14ac:dyDescent="0.4">
      <c r="A193" s="3">
        <v>46258.443055555559</v>
      </c>
      <c r="B193" s="1" t="s">
        <v>35</v>
      </c>
      <c r="C193" s="1" t="s">
        <v>7</v>
      </c>
      <c r="D193" s="4">
        <v>50</v>
      </c>
      <c r="E193" s="4">
        <v>229.5</v>
      </c>
      <c r="F193" s="4">
        <v>11.68426687</v>
      </c>
      <c r="G193" s="2" t="s">
        <v>42</v>
      </c>
      <c r="H193" s="5">
        <v>205.49</v>
      </c>
      <c r="I193" s="1" t="s">
        <v>8</v>
      </c>
      <c r="J193" s="18" t="s">
        <v>118</v>
      </c>
      <c r="K193" s="18" t="s">
        <v>159</v>
      </c>
      <c r="L193" s="18">
        <v>11175</v>
      </c>
      <c r="M193" s="18">
        <f>ABS((D193*E193)-L193)</f>
        <v>300</v>
      </c>
      <c r="N193" s="10" t="str">
        <f t="shared" si="5"/>
        <v>Unique</v>
      </c>
      <c r="O193" s="10"/>
      <c r="P193" s="10"/>
    </row>
    <row r="194" spans="1:16" ht="26.5" thickBot="1" x14ac:dyDescent="0.4">
      <c r="A194" s="3">
        <v>46259.375</v>
      </c>
      <c r="B194" s="1" t="s">
        <v>35</v>
      </c>
      <c r="C194" s="1" t="s">
        <v>7</v>
      </c>
      <c r="D194" s="4">
        <v>20</v>
      </c>
      <c r="E194" s="4">
        <v>229.5</v>
      </c>
      <c r="F194" s="4">
        <v>11.68426687</v>
      </c>
      <c r="G194" s="2" t="s">
        <v>42</v>
      </c>
      <c r="H194" s="5">
        <v>205.49</v>
      </c>
      <c r="I194" s="1" t="s">
        <v>8</v>
      </c>
      <c r="J194" s="18" t="s">
        <v>118</v>
      </c>
      <c r="K194" s="18" t="s">
        <v>165</v>
      </c>
      <c r="L194" s="18">
        <v>4402</v>
      </c>
      <c r="M194" s="18">
        <f>ABS((D194*E194)-L194)</f>
        <v>188</v>
      </c>
      <c r="N194" s="10" t="str">
        <f t="shared" ref="N194:N257" si="8">IF(COUNTIFS( $B$2:$B$767, B194, $C$2:$C$767, C194, $D$2:$D$767, D194, $E$2:$E$767, E194) &gt; 1, "Duplicate", "Unique")</f>
        <v>Unique</v>
      </c>
      <c r="P194" s="35"/>
    </row>
    <row r="195" spans="1:16" ht="26.5" thickBot="1" x14ac:dyDescent="0.4">
      <c r="A195" s="3">
        <v>46261.375</v>
      </c>
      <c r="B195" s="1" t="s">
        <v>14</v>
      </c>
      <c r="C195" s="1" t="s">
        <v>7</v>
      </c>
      <c r="D195" s="4">
        <v>100</v>
      </c>
      <c r="E195" s="4">
        <v>348</v>
      </c>
      <c r="F195" s="4">
        <v>11.735431050000001</v>
      </c>
      <c r="G195" s="2" t="s">
        <v>45</v>
      </c>
      <c r="H195" s="5">
        <v>311.45</v>
      </c>
      <c r="I195" s="1" t="s">
        <v>8</v>
      </c>
      <c r="J195" s="18" t="s">
        <v>117</v>
      </c>
      <c r="K195" s="18" t="s">
        <v>182</v>
      </c>
      <c r="L195" s="18">
        <v>34100</v>
      </c>
      <c r="M195" s="18">
        <f>ABS((D195*E195)-L195)</f>
        <v>700</v>
      </c>
      <c r="N195" s="10" t="str">
        <f t="shared" si="8"/>
        <v>Unique</v>
      </c>
      <c r="O195" s="35"/>
    </row>
    <row r="196" spans="1:16" ht="26.5" thickBot="1" x14ac:dyDescent="0.4">
      <c r="A196" s="8" t="s">
        <v>62</v>
      </c>
      <c r="B196" s="8" t="s">
        <v>121</v>
      </c>
      <c r="C196" s="8" t="s">
        <v>7</v>
      </c>
      <c r="D196" s="8">
        <v>10</v>
      </c>
      <c r="E196" s="8">
        <v>796</v>
      </c>
      <c r="F196" s="4">
        <v>11.79775281</v>
      </c>
      <c r="G196" s="2" t="s">
        <v>122</v>
      </c>
      <c r="H196" s="5">
        <v>712</v>
      </c>
      <c r="I196" s="1" t="s">
        <v>8</v>
      </c>
      <c r="J196" s="40" t="s">
        <v>117</v>
      </c>
      <c r="N196" s="10" t="str">
        <f t="shared" si="8"/>
        <v>Unique</v>
      </c>
    </row>
    <row r="197" spans="1:16" ht="26.5" thickBot="1" x14ac:dyDescent="0.4">
      <c r="A197" s="36">
        <v>46258.443749999999</v>
      </c>
      <c r="B197" s="37" t="s">
        <v>6</v>
      </c>
      <c r="C197" s="37" t="s">
        <v>7</v>
      </c>
      <c r="D197" s="38">
        <v>50</v>
      </c>
      <c r="E197" s="38">
        <v>294</v>
      </c>
      <c r="F197" s="4">
        <v>11.87214612</v>
      </c>
      <c r="G197" s="2" t="s">
        <v>130</v>
      </c>
      <c r="H197" s="5">
        <v>262.8</v>
      </c>
      <c r="I197" s="1" t="s">
        <v>8</v>
      </c>
      <c r="J197" s="33" t="s">
        <v>118</v>
      </c>
      <c r="K197" s="33" t="s">
        <v>158</v>
      </c>
      <c r="L197" s="33">
        <v>14172.5</v>
      </c>
      <c r="M197" s="33">
        <f>ABS((D197*E197)-L197)</f>
        <v>527.5</v>
      </c>
      <c r="N197" s="35" t="str">
        <f t="shared" si="8"/>
        <v>Unique</v>
      </c>
      <c r="O197" s="35"/>
      <c r="P197" s="35"/>
    </row>
    <row r="198" spans="1:16" s="35" customFormat="1" ht="26.5" thickBot="1" x14ac:dyDescent="0.4">
      <c r="A198" s="48">
        <v>46253.4</v>
      </c>
      <c r="B198" s="49" t="s">
        <v>6</v>
      </c>
      <c r="C198" s="49" t="s">
        <v>7</v>
      </c>
      <c r="D198" s="49">
        <v>30</v>
      </c>
      <c r="E198" s="49">
        <v>294</v>
      </c>
      <c r="F198" s="4">
        <v>11.87214612</v>
      </c>
      <c r="G198" s="2" t="s">
        <v>130</v>
      </c>
      <c r="H198" s="5">
        <v>262.8</v>
      </c>
      <c r="I198" s="1" t="s">
        <v>8</v>
      </c>
      <c r="J198" s="60" t="s">
        <v>118</v>
      </c>
      <c r="K198" s="33" t="s">
        <v>143</v>
      </c>
      <c r="L198" s="33"/>
      <c r="M198" s="33"/>
      <c r="N198" s="35" t="str">
        <f t="shared" si="8"/>
        <v>Unique</v>
      </c>
    </row>
    <row r="199" spans="1:16" s="35" customFormat="1" ht="26.5" thickBot="1" x14ac:dyDescent="0.4">
      <c r="A199" s="3">
        <v>46258.629861111112</v>
      </c>
      <c r="B199" s="1" t="s">
        <v>17</v>
      </c>
      <c r="C199" s="1" t="s">
        <v>7</v>
      </c>
      <c r="D199" s="4">
        <v>25</v>
      </c>
      <c r="E199" s="4">
        <v>392.5</v>
      </c>
      <c r="F199" s="4">
        <v>11.88711517</v>
      </c>
      <c r="G199" s="2" t="s">
        <v>77</v>
      </c>
      <c r="H199" s="5">
        <v>350.8</v>
      </c>
      <c r="I199" s="1" t="s">
        <v>8</v>
      </c>
      <c r="J199" s="18" t="s">
        <v>118</v>
      </c>
      <c r="K199" s="18" t="s">
        <v>157</v>
      </c>
      <c r="L199" s="18">
        <v>9312.5</v>
      </c>
      <c r="M199" s="18">
        <f>ABS((D199*E199)-L199)</f>
        <v>500</v>
      </c>
      <c r="N199" s="10" t="str">
        <f t="shared" si="8"/>
        <v>Unique</v>
      </c>
      <c r="O199" s="46" t="s">
        <v>252</v>
      </c>
      <c r="P199" s="10"/>
    </row>
    <row r="200" spans="1:16" ht="39" thickBot="1" x14ac:dyDescent="0.4">
      <c r="A200" s="8" t="s">
        <v>62</v>
      </c>
      <c r="B200" s="8" t="s">
        <v>53</v>
      </c>
      <c r="C200" s="8" t="s">
        <v>7</v>
      </c>
      <c r="D200" s="8">
        <v>3</v>
      </c>
      <c r="E200" s="12">
        <v>2710</v>
      </c>
      <c r="F200" s="4">
        <v>11.890999170000001</v>
      </c>
      <c r="G200" s="2" t="s">
        <v>54</v>
      </c>
      <c r="H200" s="5">
        <v>2422</v>
      </c>
      <c r="I200" s="1" t="s">
        <v>8</v>
      </c>
      <c r="J200" s="40" t="s">
        <v>118</v>
      </c>
      <c r="N200" s="10" t="str">
        <f t="shared" si="8"/>
        <v>Unique</v>
      </c>
    </row>
    <row r="201" spans="1:16" ht="39" thickBot="1" x14ac:dyDescent="0.4">
      <c r="A201" s="8" t="s">
        <v>62</v>
      </c>
      <c r="B201" s="8" t="s">
        <v>24</v>
      </c>
      <c r="C201" s="8" t="s">
        <v>7</v>
      </c>
      <c r="D201" s="8">
        <v>5</v>
      </c>
      <c r="E201" s="8">
        <v>468</v>
      </c>
      <c r="F201" s="4">
        <v>11.94833154</v>
      </c>
      <c r="G201" s="2" t="s">
        <v>56</v>
      </c>
      <c r="H201" s="5">
        <v>418.05</v>
      </c>
      <c r="I201" s="1" t="s">
        <v>8</v>
      </c>
      <c r="J201" s="40" t="s">
        <v>118</v>
      </c>
      <c r="N201" s="10" t="str">
        <f t="shared" si="8"/>
        <v>Unique</v>
      </c>
    </row>
    <row r="202" spans="1:16" ht="39" thickBot="1" x14ac:dyDescent="0.4">
      <c r="A202" s="3">
        <v>46260.375</v>
      </c>
      <c r="B202" s="1" t="s">
        <v>24</v>
      </c>
      <c r="C202" s="1" t="s">
        <v>7</v>
      </c>
      <c r="D202" s="4">
        <v>40</v>
      </c>
      <c r="E202" s="4">
        <v>468</v>
      </c>
      <c r="F202" s="4">
        <v>11.94833154</v>
      </c>
      <c r="G202" s="2" t="s">
        <v>56</v>
      </c>
      <c r="H202" s="5">
        <v>418.05</v>
      </c>
      <c r="I202" s="1" t="s">
        <v>8</v>
      </c>
      <c r="J202" s="18" t="s">
        <v>118</v>
      </c>
      <c r="K202" s="18" t="s">
        <v>172</v>
      </c>
      <c r="L202" s="18">
        <v>17920</v>
      </c>
      <c r="M202" s="18">
        <f>ABS((D202*E202)-L202)</f>
        <v>800</v>
      </c>
      <c r="N202" t="str">
        <f t="shared" si="8"/>
        <v>Unique</v>
      </c>
    </row>
    <row r="203" spans="1:16" ht="26.5" thickBot="1" x14ac:dyDescent="0.4">
      <c r="A203" s="8" t="s">
        <v>62</v>
      </c>
      <c r="B203" s="8" t="s">
        <v>128</v>
      </c>
      <c r="C203" s="8" t="s">
        <v>7</v>
      </c>
      <c r="D203" s="8">
        <v>150</v>
      </c>
      <c r="E203" s="8">
        <v>129</v>
      </c>
      <c r="F203" s="4">
        <v>11.9694471</v>
      </c>
      <c r="G203" s="2" t="s">
        <v>129</v>
      </c>
      <c r="H203" s="5">
        <v>115.21</v>
      </c>
      <c r="I203" s="1" t="s">
        <v>8</v>
      </c>
      <c r="J203" s="40"/>
      <c r="N203" s="10" t="str">
        <f t="shared" si="8"/>
        <v>Unique</v>
      </c>
    </row>
    <row r="204" spans="1:16" ht="26.5" thickBot="1" x14ac:dyDescent="0.4">
      <c r="A204" s="8" t="s">
        <v>62</v>
      </c>
      <c r="B204" s="8" t="s">
        <v>123</v>
      </c>
      <c r="C204" s="8" t="s">
        <v>7</v>
      </c>
      <c r="D204" s="8">
        <v>200</v>
      </c>
      <c r="E204" s="8">
        <v>90.75</v>
      </c>
      <c r="F204" s="4">
        <v>12.03703704</v>
      </c>
      <c r="G204" s="2" t="s">
        <v>124</v>
      </c>
      <c r="H204" s="5">
        <v>81</v>
      </c>
      <c r="I204" s="1" t="s">
        <v>8</v>
      </c>
      <c r="J204" s="40" t="s">
        <v>55</v>
      </c>
      <c r="N204" s="10" t="str">
        <f t="shared" si="8"/>
        <v>Unique</v>
      </c>
    </row>
    <row r="205" spans="1:16" ht="26.5" thickBot="1" x14ac:dyDescent="0.4">
      <c r="A205" s="3">
        <v>46261.375</v>
      </c>
      <c r="B205" s="1" t="s">
        <v>14</v>
      </c>
      <c r="C205" s="1" t="s">
        <v>7</v>
      </c>
      <c r="D205" s="4">
        <v>50</v>
      </c>
      <c r="E205" s="4">
        <v>349</v>
      </c>
      <c r="F205" s="4">
        <v>12.056509869999999</v>
      </c>
      <c r="G205" s="2" t="s">
        <v>45</v>
      </c>
      <c r="H205" s="5">
        <v>311.45</v>
      </c>
      <c r="I205" s="1" t="s">
        <v>8</v>
      </c>
      <c r="J205" s="18" t="s">
        <v>117</v>
      </c>
      <c r="K205" s="18" t="s">
        <v>184</v>
      </c>
      <c r="L205" s="18">
        <v>17150</v>
      </c>
      <c r="M205" s="18">
        <f>ABS((D205*E205)-L205)</f>
        <v>300</v>
      </c>
      <c r="N205" s="10" t="str">
        <f t="shared" si="8"/>
        <v>Unique</v>
      </c>
    </row>
    <row r="206" spans="1:16" ht="39" thickBot="1" x14ac:dyDescent="0.4">
      <c r="A206" s="3">
        <v>46269.375</v>
      </c>
      <c r="B206" s="1" t="s">
        <v>22</v>
      </c>
      <c r="C206" s="1" t="s">
        <v>7</v>
      </c>
      <c r="D206" s="4">
        <v>5</v>
      </c>
      <c r="E206" s="4">
        <v>471</v>
      </c>
      <c r="F206" s="4">
        <v>12.10282042</v>
      </c>
      <c r="G206" s="2" t="s">
        <v>73</v>
      </c>
      <c r="H206" s="5">
        <v>420.15</v>
      </c>
      <c r="I206" s="1" t="s">
        <v>8</v>
      </c>
      <c r="J206" s="18" t="s">
        <v>118</v>
      </c>
      <c r="K206" s="18" t="s">
        <v>247</v>
      </c>
      <c r="L206" s="18">
        <v>2105</v>
      </c>
      <c r="M206" s="27">
        <f>ABS((D206*E206)-L206)</f>
        <v>250</v>
      </c>
      <c r="N206" t="str">
        <f t="shared" si="8"/>
        <v>Unique</v>
      </c>
    </row>
    <row r="207" spans="1:16" ht="26.5" thickBot="1" x14ac:dyDescent="0.4">
      <c r="A207" s="8" t="s">
        <v>62</v>
      </c>
      <c r="B207" s="8" t="s">
        <v>9</v>
      </c>
      <c r="C207" s="8" t="s">
        <v>7</v>
      </c>
      <c r="D207" s="8">
        <v>40</v>
      </c>
      <c r="E207" s="8">
        <v>320.5</v>
      </c>
      <c r="F207" s="4">
        <v>12.160979879999999</v>
      </c>
      <c r="G207" s="2" t="s">
        <v>95</v>
      </c>
      <c r="H207" s="5">
        <v>285.75</v>
      </c>
      <c r="I207" s="1" t="s">
        <v>8</v>
      </c>
      <c r="J207" s="40"/>
      <c r="N207" s="10" t="str">
        <f t="shared" si="8"/>
        <v>Unique</v>
      </c>
    </row>
    <row r="208" spans="1:16" ht="26.5" thickBot="1" x14ac:dyDescent="0.4">
      <c r="A208" s="3">
        <v>46260.425694444442</v>
      </c>
      <c r="B208" s="1" t="s">
        <v>13</v>
      </c>
      <c r="C208" s="1" t="s">
        <v>7</v>
      </c>
      <c r="D208" s="4">
        <v>20</v>
      </c>
      <c r="E208" s="4">
        <v>1924</v>
      </c>
      <c r="F208" s="4">
        <v>12.44886032</v>
      </c>
      <c r="G208" s="2" t="s">
        <v>91</v>
      </c>
      <c r="H208" s="5">
        <v>1711</v>
      </c>
      <c r="I208" s="1" t="s">
        <v>8</v>
      </c>
      <c r="J208" s="18" t="s">
        <v>118</v>
      </c>
      <c r="K208" s="18" t="s">
        <v>171</v>
      </c>
      <c r="L208" s="18">
        <v>37480</v>
      </c>
      <c r="M208" s="18">
        <f>ABS((D208*E208)-L208)</f>
        <v>1000</v>
      </c>
      <c r="N208" t="str">
        <f t="shared" si="8"/>
        <v>Unique</v>
      </c>
      <c r="P208" s="35"/>
    </row>
    <row r="209" spans="1:16" ht="39" thickBot="1" x14ac:dyDescent="0.4">
      <c r="A209" s="8" t="s">
        <v>62</v>
      </c>
      <c r="B209" s="8" t="s">
        <v>21</v>
      </c>
      <c r="C209" s="8" t="s">
        <v>7</v>
      </c>
      <c r="D209" s="8">
        <v>11</v>
      </c>
      <c r="E209" s="12">
        <v>749</v>
      </c>
      <c r="F209" s="4">
        <v>12.462462459999999</v>
      </c>
      <c r="G209" s="2" t="s">
        <v>76</v>
      </c>
      <c r="H209" s="5">
        <v>666</v>
      </c>
      <c r="I209" s="1" t="s">
        <v>8</v>
      </c>
      <c r="J209" s="40" t="s">
        <v>198</v>
      </c>
      <c r="N209" s="10" t="str">
        <f t="shared" si="8"/>
        <v>Unique</v>
      </c>
    </row>
    <row r="210" spans="1:16" ht="26.5" thickBot="1" x14ac:dyDescent="0.4">
      <c r="A210" s="3">
        <v>46268.375</v>
      </c>
      <c r="B210" s="1" t="s">
        <v>16</v>
      </c>
      <c r="C210" s="1" t="s">
        <v>7</v>
      </c>
      <c r="D210" s="4">
        <v>30</v>
      </c>
      <c r="E210" s="4">
        <v>920</v>
      </c>
      <c r="F210" s="4">
        <v>12.46256341</v>
      </c>
      <c r="G210" s="2" t="s">
        <v>61</v>
      </c>
      <c r="H210" s="5">
        <v>818.05</v>
      </c>
      <c r="I210" s="1" t="s">
        <v>8</v>
      </c>
      <c r="J210" s="18" t="s">
        <v>117</v>
      </c>
      <c r="K210" s="18" t="s">
        <v>239</v>
      </c>
      <c r="L210" s="18">
        <v>25800</v>
      </c>
      <c r="M210" s="18">
        <f>ABS((D210*E210)-L210)</f>
        <v>1800</v>
      </c>
      <c r="N210" s="10" t="str">
        <f t="shared" si="8"/>
        <v>Unique</v>
      </c>
    </row>
    <row r="211" spans="1:16" ht="26.5" thickBot="1" x14ac:dyDescent="0.4">
      <c r="A211" s="3">
        <v>46261.375</v>
      </c>
      <c r="B211" s="1" t="s">
        <v>18</v>
      </c>
      <c r="C211" s="1" t="s">
        <v>7</v>
      </c>
      <c r="D211" s="4">
        <v>2</v>
      </c>
      <c r="E211" s="4">
        <v>1970</v>
      </c>
      <c r="F211" s="4">
        <v>12.50713878</v>
      </c>
      <c r="G211" s="2" t="s">
        <v>102</v>
      </c>
      <c r="H211" s="5">
        <v>1751</v>
      </c>
      <c r="I211" s="1" t="s">
        <v>8</v>
      </c>
      <c r="J211" s="18" t="s">
        <v>117</v>
      </c>
      <c r="K211" s="18" t="s">
        <v>183</v>
      </c>
      <c r="L211" s="18">
        <v>3680</v>
      </c>
      <c r="M211" s="18">
        <f>ABS((D211*E211)-L211)</f>
        <v>260</v>
      </c>
      <c r="N211" s="10" t="str">
        <f t="shared" si="8"/>
        <v>Unique</v>
      </c>
    </row>
    <row r="212" spans="1:16" ht="26.5" thickBot="1" x14ac:dyDescent="0.4">
      <c r="A212" s="3">
        <v>46262.375</v>
      </c>
      <c r="B212" s="1" t="s">
        <v>87</v>
      </c>
      <c r="C212" s="1" t="s">
        <v>7</v>
      </c>
      <c r="D212" s="4">
        <v>10</v>
      </c>
      <c r="E212" s="4">
        <v>1340</v>
      </c>
      <c r="F212" s="4">
        <v>12.5672043</v>
      </c>
      <c r="G212" s="2" t="s">
        <v>88</v>
      </c>
      <c r="H212" s="5">
        <v>1190.4000000000001</v>
      </c>
      <c r="I212" s="1" t="s">
        <v>8</v>
      </c>
      <c r="J212" s="18" t="s">
        <v>117</v>
      </c>
      <c r="K212" s="18" t="s">
        <v>191</v>
      </c>
      <c r="L212" s="18">
        <v>13030</v>
      </c>
      <c r="M212" s="18">
        <f>ABS((D212*E212)-L212)</f>
        <v>370</v>
      </c>
      <c r="N212" s="10" t="str">
        <f t="shared" si="8"/>
        <v>Unique</v>
      </c>
      <c r="P212" s="35"/>
    </row>
    <row r="213" spans="1:16" ht="26.5" thickBot="1" x14ac:dyDescent="0.4">
      <c r="A213" s="8" t="s">
        <v>62</v>
      </c>
      <c r="B213" s="8" t="s">
        <v>74</v>
      </c>
      <c r="C213" s="8" t="s">
        <v>7</v>
      </c>
      <c r="D213" s="8">
        <v>1</v>
      </c>
      <c r="E213" s="8">
        <v>3710</v>
      </c>
      <c r="F213" s="4">
        <v>12.837981689999999</v>
      </c>
      <c r="G213" s="2" t="s">
        <v>75</v>
      </c>
      <c r="H213" s="5">
        <v>3287.9</v>
      </c>
      <c r="I213" s="1" t="s">
        <v>8</v>
      </c>
      <c r="J213" s="40" t="s">
        <v>118</v>
      </c>
      <c r="N213" s="10" t="str">
        <f t="shared" si="8"/>
        <v>Unique</v>
      </c>
    </row>
    <row r="214" spans="1:16" ht="26.5" thickBot="1" x14ac:dyDescent="0.4">
      <c r="A214" s="11">
        <v>46252.645138888889</v>
      </c>
      <c r="B214" s="8" t="s">
        <v>35</v>
      </c>
      <c r="C214" s="8" t="s">
        <v>7</v>
      </c>
      <c r="D214" s="8">
        <v>200</v>
      </c>
      <c r="E214" s="8">
        <v>232</v>
      </c>
      <c r="F214" s="4">
        <v>12.900871090000001</v>
      </c>
      <c r="G214" s="2" t="s">
        <v>42</v>
      </c>
      <c r="H214" s="5">
        <v>205.49</v>
      </c>
      <c r="I214" s="1" t="s">
        <v>8</v>
      </c>
      <c r="J214" s="17" t="s">
        <v>117</v>
      </c>
      <c r="N214" s="10" t="str">
        <f t="shared" si="8"/>
        <v>Unique</v>
      </c>
    </row>
    <row r="215" spans="1:16" ht="39" thickBot="1" x14ac:dyDescent="0.4">
      <c r="A215" s="3">
        <v>46259.375</v>
      </c>
      <c r="B215" s="1" t="s">
        <v>24</v>
      </c>
      <c r="C215" s="1" t="s">
        <v>7</v>
      </c>
      <c r="D215" s="4">
        <v>20</v>
      </c>
      <c r="E215" s="4">
        <v>472.5</v>
      </c>
      <c r="F215" s="4">
        <v>13.0247578</v>
      </c>
      <c r="G215" s="2" t="s">
        <v>56</v>
      </c>
      <c r="H215" s="5">
        <v>418.05</v>
      </c>
      <c r="I215" s="1" t="s">
        <v>8</v>
      </c>
      <c r="J215" s="40" t="s">
        <v>118</v>
      </c>
      <c r="K215" s="18" t="s">
        <v>163</v>
      </c>
      <c r="L215" s="18">
        <v>8800</v>
      </c>
      <c r="M215" s="18">
        <f>ABS((D215*E215)-L215)</f>
        <v>650</v>
      </c>
      <c r="N215" s="10" t="str">
        <f t="shared" si="8"/>
        <v>Unique</v>
      </c>
      <c r="O215" s="35"/>
    </row>
    <row r="216" spans="1:16" ht="39" thickBot="1" x14ac:dyDescent="0.4">
      <c r="A216" s="8" t="s">
        <v>62</v>
      </c>
      <c r="B216" s="8" t="s">
        <v>135</v>
      </c>
      <c r="C216" s="8" t="s">
        <v>7</v>
      </c>
      <c r="D216" s="8">
        <v>5</v>
      </c>
      <c r="E216" s="8">
        <v>2190</v>
      </c>
      <c r="F216" s="4">
        <v>13.02642444</v>
      </c>
      <c r="G216" s="2" t="s">
        <v>136</v>
      </c>
      <c r="H216" s="5">
        <v>1937.6</v>
      </c>
      <c r="I216" s="1" t="s">
        <v>8</v>
      </c>
      <c r="J216" s="40" t="s">
        <v>118</v>
      </c>
      <c r="N216" s="10" t="str">
        <f t="shared" si="8"/>
        <v>Unique</v>
      </c>
      <c r="O216" s="35"/>
    </row>
    <row r="217" spans="1:16" ht="26.5" thickBot="1" x14ac:dyDescent="0.4">
      <c r="A217" s="11">
        <v>46253.375</v>
      </c>
      <c r="B217" s="8" t="s">
        <v>31</v>
      </c>
      <c r="C217" s="8" t="s">
        <v>7</v>
      </c>
      <c r="D217" s="8">
        <v>5</v>
      </c>
      <c r="E217" s="8">
        <v>682</v>
      </c>
      <c r="F217" s="4">
        <v>13.16684643</v>
      </c>
      <c r="G217" s="2" t="s">
        <v>94</v>
      </c>
      <c r="H217" s="5">
        <v>602.65</v>
      </c>
      <c r="I217" s="1" t="s">
        <v>8</v>
      </c>
      <c r="J217" s="18" t="s">
        <v>118</v>
      </c>
      <c r="K217" s="18" t="s">
        <v>144</v>
      </c>
      <c r="N217" s="10" t="str">
        <f t="shared" si="8"/>
        <v>Unique</v>
      </c>
    </row>
    <row r="218" spans="1:16" ht="39" thickBot="1" x14ac:dyDescent="0.4">
      <c r="A218" s="9" t="s">
        <v>62</v>
      </c>
      <c r="B218" s="9" t="s">
        <v>119</v>
      </c>
      <c r="C218" s="9" t="s">
        <v>7</v>
      </c>
      <c r="D218" s="9">
        <v>7</v>
      </c>
      <c r="E218" s="12">
        <v>1170</v>
      </c>
      <c r="F218" s="4">
        <v>13.25137934</v>
      </c>
      <c r="G218" s="2" t="s">
        <v>120</v>
      </c>
      <c r="H218" s="5">
        <v>1033.0999999999999</v>
      </c>
      <c r="I218" s="1" t="s">
        <v>8</v>
      </c>
      <c r="J218" s="40"/>
      <c r="N218" s="10" t="str">
        <f t="shared" si="8"/>
        <v>Unique</v>
      </c>
    </row>
    <row r="219" spans="1:16" ht="26.5" thickBot="1" x14ac:dyDescent="0.4">
      <c r="A219" s="8" t="s">
        <v>62</v>
      </c>
      <c r="B219" s="8" t="s">
        <v>123</v>
      </c>
      <c r="C219" s="8" t="s">
        <v>7</v>
      </c>
      <c r="D219" s="8">
        <v>200</v>
      </c>
      <c r="E219" s="8">
        <v>91.75</v>
      </c>
      <c r="F219" s="4">
        <v>13.27160494</v>
      </c>
      <c r="G219" s="2" t="s">
        <v>124</v>
      </c>
      <c r="H219" s="5">
        <v>81</v>
      </c>
      <c r="I219" s="1" t="s">
        <v>8</v>
      </c>
      <c r="J219" s="40"/>
      <c r="N219" s="10" t="str">
        <f t="shared" si="8"/>
        <v>Unique</v>
      </c>
    </row>
    <row r="220" spans="1:16" ht="26.5" thickBot="1" x14ac:dyDescent="0.4">
      <c r="A220" s="11">
        <v>46253.375</v>
      </c>
      <c r="B220" s="8" t="s">
        <v>14</v>
      </c>
      <c r="C220" s="8" t="s">
        <v>7</v>
      </c>
      <c r="D220" s="8">
        <v>50</v>
      </c>
      <c r="E220" s="8">
        <v>353</v>
      </c>
      <c r="F220" s="4">
        <v>13.34082517</v>
      </c>
      <c r="G220" s="2" t="s">
        <v>45</v>
      </c>
      <c r="H220" s="5">
        <v>311.45</v>
      </c>
      <c r="I220" s="1" t="s">
        <v>8</v>
      </c>
      <c r="J220" s="40" t="s">
        <v>118</v>
      </c>
      <c r="K220" s="18" t="s">
        <v>145</v>
      </c>
      <c r="N220" s="10" t="str">
        <f t="shared" si="8"/>
        <v>Unique</v>
      </c>
    </row>
    <row r="221" spans="1:16" s="35" customFormat="1" ht="39" thickBot="1" x14ac:dyDescent="0.4">
      <c r="A221" s="11">
        <v>46252.6875</v>
      </c>
      <c r="B221" s="8" t="s">
        <v>27</v>
      </c>
      <c r="C221" s="8" t="s">
        <v>7</v>
      </c>
      <c r="D221" s="8">
        <v>2</v>
      </c>
      <c r="E221" s="8">
        <v>3048</v>
      </c>
      <c r="F221" s="4">
        <v>13.81628081</v>
      </c>
      <c r="G221" s="2" t="s">
        <v>131</v>
      </c>
      <c r="H221" s="5">
        <v>2678</v>
      </c>
      <c r="I221" s="1" t="s">
        <v>8</v>
      </c>
      <c r="J221" s="40" t="s">
        <v>117</v>
      </c>
      <c r="K221" s="18"/>
      <c r="L221" s="18"/>
      <c r="M221" s="18"/>
      <c r="N221" s="10" t="str">
        <f t="shared" si="8"/>
        <v>Unique</v>
      </c>
      <c r="O221" s="10"/>
      <c r="P221" s="10"/>
    </row>
    <row r="222" spans="1:16" ht="26.5" thickBot="1" x14ac:dyDescent="0.4">
      <c r="A222" s="3">
        <v>46259.388194444444</v>
      </c>
      <c r="B222" s="1" t="s">
        <v>13</v>
      </c>
      <c r="C222" s="1" t="s">
        <v>7</v>
      </c>
      <c r="D222" s="4">
        <v>20</v>
      </c>
      <c r="E222" s="4">
        <v>1948</v>
      </c>
      <c r="F222" s="4">
        <v>13.8515488</v>
      </c>
      <c r="G222" s="2" t="s">
        <v>91</v>
      </c>
      <c r="H222" s="5">
        <v>1711</v>
      </c>
      <c r="I222" s="1" t="s">
        <v>8</v>
      </c>
      <c r="J222" s="18" t="s">
        <v>117</v>
      </c>
      <c r="K222" s="18" t="s">
        <v>164</v>
      </c>
      <c r="L222" s="18">
        <v>38020</v>
      </c>
      <c r="M222" s="18">
        <f>ABS((D222*E222)-L222)</f>
        <v>940</v>
      </c>
      <c r="N222" s="10" t="str">
        <f t="shared" si="8"/>
        <v>Unique</v>
      </c>
    </row>
    <row r="223" spans="1:16" ht="39" thickBot="1" x14ac:dyDescent="0.4">
      <c r="A223" s="8" t="s">
        <v>62</v>
      </c>
      <c r="B223" s="8" t="s">
        <v>51</v>
      </c>
      <c r="C223" s="8" t="s">
        <v>7</v>
      </c>
      <c r="D223" s="8">
        <v>10</v>
      </c>
      <c r="E223" s="13">
        <v>1024</v>
      </c>
      <c r="F223" s="4">
        <v>14.158305459999999</v>
      </c>
      <c r="G223" s="2" t="s">
        <v>52</v>
      </c>
      <c r="H223" s="5">
        <v>897</v>
      </c>
      <c r="I223" s="1" t="s">
        <v>8</v>
      </c>
      <c r="J223" s="40" t="s">
        <v>118</v>
      </c>
      <c r="N223" s="10" t="str">
        <f t="shared" si="8"/>
        <v>Unique</v>
      </c>
    </row>
    <row r="224" spans="1:16" ht="26.5" thickBot="1" x14ac:dyDescent="0.4">
      <c r="A224" s="3">
        <v>46262.375</v>
      </c>
      <c r="B224" s="1" t="s">
        <v>87</v>
      </c>
      <c r="C224" s="1" t="s">
        <v>7</v>
      </c>
      <c r="D224" s="4">
        <v>10</v>
      </c>
      <c r="E224" s="4">
        <v>1360</v>
      </c>
      <c r="F224" s="4">
        <v>14.247311829999999</v>
      </c>
      <c r="G224" s="2" t="s">
        <v>88</v>
      </c>
      <c r="H224" s="5">
        <v>1190.4000000000001</v>
      </c>
      <c r="I224" s="1" t="s">
        <v>8</v>
      </c>
      <c r="J224" s="18" t="s">
        <v>117</v>
      </c>
      <c r="K224" s="18" t="s">
        <v>194</v>
      </c>
      <c r="L224" s="18">
        <v>13300</v>
      </c>
      <c r="M224" s="18">
        <f>ABS((D224*E224)-L224)</f>
        <v>300</v>
      </c>
      <c r="N224" s="10" t="str">
        <f t="shared" si="8"/>
        <v>Unique</v>
      </c>
    </row>
    <row r="225" spans="1:16" ht="26.5" thickBot="1" x14ac:dyDescent="0.4">
      <c r="A225" s="8" t="s">
        <v>62</v>
      </c>
      <c r="B225" s="8" t="s">
        <v>6</v>
      </c>
      <c r="C225" s="8" t="s">
        <v>7</v>
      </c>
      <c r="D225" s="8">
        <v>120</v>
      </c>
      <c r="E225" s="8">
        <v>300.5</v>
      </c>
      <c r="F225" s="4">
        <v>14.345509890000001</v>
      </c>
      <c r="G225" s="2" t="s">
        <v>130</v>
      </c>
      <c r="H225" s="5">
        <v>262.8</v>
      </c>
      <c r="I225" s="1" t="s">
        <v>8</v>
      </c>
      <c r="J225" s="40" t="s">
        <v>118</v>
      </c>
      <c r="N225" s="10" t="str">
        <f t="shared" si="8"/>
        <v>Unique</v>
      </c>
    </row>
    <row r="226" spans="1:16" s="35" customFormat="1" ht="26.5" thickBot="1" x14ac:dyDescent="0.4">
      <c r="A226" s="11">
        <v>46252.635416666664</v>
      </c>
      <c r="B226" s="8" t="s">
        <v>35</v>
      </c>
      <c r="C226" s="8" t="s">
        <v>7</v>
      </c>
      <c r="D226" s="8">
        <v>200</v>
      </c>
      <c r="E226" s="8">
        <v>235</v>
      </c>
      <c r="F226" s="4">
        <v>14.360796150000001</v>
      </c>
      <c r="G226" s="2" t="s">
        <v>42</v>
      </c>
      <c r="H226" s="5">
        <v>205.49</v>
      </c>
      <c r="I226" s="1" t="s">
        <v>8</v>
      </c>
      <c r="J226" s="45" t="s">
        <v>55</v>
      </c>
      <c r="K226" s="18"/>
      <c r="L226" s="18"/>
      <c r="M226" s="18"/>
      <c r="N226" s="10" t="str">
        <f t="shared" si="8"/>
        <v>Unique</v>
      </c>
      <c r="O226" s="10"/>
      <c r="P226" s="10"/>
    </row>
    <row r="227" spans="1:16" ht="26.5" thickBot="1" x14ac:dyDescent="0.4">
      <c r="A227" s="8" t="s">
        <v>62</v>
      </c>
      <c r="B227" s="8" t="s">
        <v>121</v>
      </c>
      <c r="C227" s="8" t="s">
        <v>7</v>
      </c>
      <c r="D227" s="8">
        <v>10</v>
      </c>
      <c r="E227" s="8">
        <v>816</v>
      </c>
      <c r="F227" s="4">
        <v>14.606741570000001</v>
      </c>
      <c r="G227" s="2" t="s">
        <v>122</v>
      </c>
      <c r="H227" s="5">
        <v>712</v>
      </c>
      <c r="I227" s="1" t="s">
        <v>8</v>
      </c>
      <c r="J227" s="40" t="s">
        <v>117</v>
      </c>
      <c r="N227" s="10" t="str">
        <f t="shared" si="8"/>
        <v>Unique</v>
      </c>
      <c r="P227" s="35"/>
    </row>
    <row r="228" spans="1:16" ht="26.5" thickBot="1" x14ac:dyDescent="0.4">
      <c r="A228" s="11">
        <v>46252.688194444447</v>
      </c>
      <c r="B228" s="8" t="s">
        <v>14</v>
      </c>
      <c r="C228" s="8" t="s">
        <v>7</v>
      </c>
      <c r="D228" s="8">
        <v>50</v>
      </c>
      <c r="E228" s="8">
        <v>357</v>
      </c>
      <c r="F228" s="4">
        <v>14.62514047</v>
      </c>
      <c r="G228" s="2" t="s">
        <v>45</v>
      </c>
      <c r="H228" s="5">
        <v>311.45</v>
      </c>
      <c r="I228" s="1" t="s">
        <v>8</v>
      </c>
      <c r="J228" s="40"/>
      <c r="N228" s="10" t="str">
        <f t="shared" si="8"/>
        <v>Unique</v>
      </c>
      <c r="O228" s="35"/>
    </row>
    <row r="229" spans="1:16" ht="26.5" thickBot="1" x14ac:dyDescent="0.4">
      <c r="A229" s="8" t="s">
        <v>62</v>
      </c>
      <c r="B229" s="8" t="s">
        <v>133</v>
      </c>
      <c r="C229" s="8" t="s">
        <v>7</v>
      </c>
      <c r="D229" s="8">
        <v>150</v>
      </c>
      <c r="E229" s="12">
        <v>129.9</v>
      </c>
      <c r="F229" s="4">
        <v>14.631133070000001</v>
      </c>
      <c r="G229" s="2" t="s">
        <v>134</v>
      </c>
      <c r="H229" s="5">
        <v>113.32</v>
      </c>
      <c r="I229" s="1" t="s">
        <v>8</v>
      </c>
      <c r="J229" s="40"/>
      <c r="N229" s="10" t="str">
        <f t="shared" si="8"/>
        <v>Unique</v>
      </c>
    </row>
    <row r="230" spans="1:16" ht="26.5" thickBot="1" x14ac:dyDescent="0.4">
      <c r="A230" s="8" t="s">
        <v>62</v>
      </c>
      <c r="B230" s="8" t="s">
        <v>26</v>
      </c>
      <c r="C230" s="8" t="s">
        <v>7</v>
      </c>
      <c r="D230" s="8">
        <v>25</v>
      </c>
      <c r="E230" s="8">
        <v>199.9</v>
      </c>
      <c r="F230" s="4">
        <v>14.88505747</v>
      </c>
      <c r="G230" s="2" t="s">
        <v>132</v>
      </c>
      <c r="H230" s="5">
        <v>174</v>
      </c>
      <c r="I230" s="1" t="s">
        <v>8</v>
      </c>
      <c r="J230" s="40" t="s">
        <v>117</v>
      </c>
      <c r="N230" s="10" t="str">
        <f t="shared" si="8"/>
        <v>Unique</v>
      </c>
    </row>
    <row r="231" spans="1:16" ht="26.5" thickBot="1" x14ac:dyDescent="0.4">
      <c r="A231" s="8" t="s">
        <v>62</v>
      </c>
      <c r="B231" s="8" t="s">
        <v>74</v>
      </c>
      <c r="C231" s="8" t="s">
        <v>7</v>
      </c>
      <c r="D231" s="8">
        <v>1</v>
      </c>
      <c r="E231" s="12">
        <v>3810</v>
      </c>
      <c r="F231" s="4">
        <v>15.879436719999999</v>
      </c>
      <c r="G231" s="2" t="s">
        <v>75</v>
      </c>
      <c r="H231" s="5">
        <v>3287.9</v>
      </c>
      <c r="I231" s="1" t="s">
        <v>8</v>
      </c>
      <c r="J231" s="40" t="s">
        <v>118</v>
      </c>
      <c r="N231" s="10" t="str">
        <f t="shared" si="8"/>
        <v>Unique</v>
      </c>
    </row>
    <row r="232" spans="1:16" ht="26.5" thickBot="1" x14ac:dyDescent="0.4">
      <c r="A232" s="3">
        <v>46265.415277777778</v>
      </c>
      <c r="B232" s="1" t="s">
        <v>16</v>
      </c>
      <c r="C232" s="1" t="s">
        <v>7</v>
      </c>
      <c r="D232" s="4">
        <v>5</v>
      </c>
      <c r="E232" s="4">
        <v>948</v>
      </c>
      <c r="F232" s="4">
        <v>15.885337079999999</v>
      </c>
      <c r="G232" s="2" t="s">
        <v>61</v>
      </c>
      <c r="H232" s="5">
        <v>818.05</v>
      </c>
      <c r="I232" s="1" t="s">
        <v>8</v>
      </c>
      <c r="J232" s="18" t="s">
        <v>118</v>
      </c>
      <c r="K232" s="18" t="s">
        <v>201</v>
      </c>
      <c r="L232" s="18">
        <v>4455</v>
      </c>
      <c r="M232" s="18">
        <f>ABS((D232*E232)-L232)</f>
        <v>285</v>
      </c>
      <c r="N232" t="str">
        <f t="shared" si="8"/>
        <v>Unique</v>
      </c>
    </row>
    <row r="233" spans="1:16" ht="26.5" thickBot="1" x14ac:dyDescent="0.4">
      <c r="A233" s="3">
        <v>46266.375</v>
      </c>
      <c r="B233" s="1" t="s">
        <v>16</v>
      </c>
      <c r="C233" s="1" t="s">
        <v>7</v>
      </c>
      <c r="D233" s="4">
        <v>11</v>
      </c>
      <c r="E233" s="4">
        <v>948</v>
      </c>
      <c r="F233" s="4">
        <v>15.885337079999999</v>
      </c>
      <c r="G233" s="2" t="s">
        <v>61</v>
      </c>
      <c r="H233" s="5">
        <v>818.05</v>
      </c>
      <c r="I233" s="1" t="s">
        <v>8</v>
      </c>
      <c r="J233" s="18" t="s">
        <v>117</v>
      </c>
      <c r="K233" s="18" t="s">
        <v>219</v>
      </c>
      <c r="L233" s="18">
        <v>9702</v>
      </c>
      <c r="M233" s="18">
        <f>ABS((D233*E233)-L233)</f>
        <v>726</v>
      </c>
      <c r="N233" s="10" t="str">
        <f t="shared" si="8"/>
        <v>Unique</v>
      </c>
    </row>
    <row r="234" spans="1:16" ht="26.5" thickBot="1" x14ac:dyDescent="0.4">
      <c r="A234" s="11">
        <v>46252.688194444447</v>
      </c>
      <c r="B234" s="8" t="s">
        <v>14</v>
      </c>
      <c r="C234" s="8" t="s">
        <v>7</v>
      </c>
      <c r="D234" s="8">
        <v>50</v>
      </c>
      <c r="E234" s="8">
        <v>361</v>
      </c>
      <c r="F234" s="4">
        <v>15.909455769999999</v>
      </c>
      <c r="G234" s="2" t="s">
        <v>45</v>
      </c>
      <c r="H234" s="5">
        <v>311.45</v>
      </c>
      <c r="I234" s="1" t="s">
        <v>8</v>
      </c>
      <c r="J234" s="40"/>
      <c r="N234" s="10" t="str">
        <f t="shared" si="8"/>
        <v>Unique</v>
      </c>
    </row>
    <row r="235" spans="1:16" ht="26.5" thickBot="1" x14ac:dyDescent="0.4">
      <c r="A235" s="11">
        <v>46252.635416666664</v>
      </c>
      <c r="B235" s="8" t="s">
        <v>35</v>
      </c>
      <c r="C235" s="8" t="s">
        <v>7</v>
      </c>
      <c r="D235" s="8">
        <v>120</v>
      </c>
      <c r="E235" s="8">
        <v>238.2</v>
      </c>
      <c r="F235" s="4">
        <v>15.91804954</v>
      </c>
      <c r="G235" s="2" t="s">
        <v>42</v>
      </c>
      <c r="H235" s="5">
        <v>205.49</v>
      </c>
      <c r="I235" s="1" t="s">
        <v>8</v>
      </c>
      <c r="J235" s="40" t="s">
        <v>118</v>
      </c>
      <c r="K235" s="18" t="s">
        <v>146</v>
      </c>
      <c r="N235" s="10" t="str">
        <f t="shared" si="8"/>
        <v>Unique</v>
      </c>
    </row>
    <row r="236" spans="1:16" ht="26.5" thickBot="1" x14ac:dyDescent="0.4">
      <c r="A236" s="8" t="s">
        <v>62</v>
      </c>
      <c r="B236" s="8" t="s">
        <v>35</v>
      </c>
      <c r="C236" s="8" t="s">
        <v>7</v>
      </c>
      <c r="D236" s="8">
        <v>200</v>
      </c>
      <c r="E236" s="8">
        <v>239</v>
      </c>
      <c r="F236" s="4">
        <v>16.30736289</v>
      </c>
      <c r="G236" s="2" t="s">
        <v>42</v>
      </c>
      <c r="H236" s="5">
        <v>205.49</v>
      </c>
      <c r="I236" s="1" t="s">
        <v>8</v>
      </c>
      <c r="J236" s="40"/>
      <c r="N236" s="10" t="str">
        <f t="shared" si="8"/>
        <v>Unique</v>
      </c>
    </row>
    <row r="237" spans="1:16" ht="39" thickBot="1" x14ac:dyDescent="0.4">
      <c r="A237" s="20">
        <v>46255</v>
      </c>
      <c r="B237" s="1" t="s">
        <v>20</v>
      </c>
      <c r="C237" s="1" t="s">
        <v>7</v>
      </c>
      <c r="D237" s="4">
        <v>20</v>
      </c>
      <c r="E237" s="4">
        <v>147</v>
      </c>
      <c r="F237" s="4">
        <v>16.42642167</v>
      </c>
      <c r="G237" s="2" t="s">
        <v>86</v>
      </c>
      <c r="H237" s="5">
        <v>126.26</v>
      </c>
      <c r="I237" s="1" t="s">
        <v>8</v>
      </c>
      <c r="J237" s="18" t="s">
        <v>55</v>
      </c>
      <c r="K237" s="18" t="s">
        <v>151</v>
      </c>
      <c r="L237" s="18">
        <v>2640</v>
      </c>
      <c r="M237" s="18">
        <f>ABS((D237*E237)-L237)</f>
        <v>300</v>
      </c>
      <c r="N237" s="10" t="str">
        <f t="shared" si="8"/>
        <v>Unique</v>
      </c>
    </row>
    <row r="238" spans="1:16" ht="26.5" thickBot="1" x14ac:dyDescent="0.4">
      <c r="A238" s="8" t="s">
        <v>62</v>
      </c>
      <c r="B238" s="8" t="s">
        <v>63</v>
      </c>
      <c r="C238" s="8" t="s">
        <v>7</v>
      </c>
      <c r="D238" s="8">
        <v>11</v>
      </c>
      <c r="E238" s="12">
        <v>1170</v>
      </c>
      <c r="F238" s="4">
        <v>16.49905407</v>
      </c>
      <c r="G238" s="2" t="s">
        <v>64</v>
      </c>
      <c r="H238" s="5">
        <v>1004.3</v>
      </c>
      <c r="I238" s="1" t="s">
        <v>8</v>
      </c>
      <c r="J238" s="40"/>
      <c r="N238" s="10" t="str">
        <f t="shared" si="8"/>
        <v>Unique</v>
      </c>
    </row>
    <row r="239" spans="1:16" ht="26.5" thickBot="1" x14ac:dyDescent="0.4">
      <c r="A239" s="3">
        <v>46260.375</v>
      </c>
      <c r="B239" s="1" t="s">
        <v>13</v>
      </c>
      <c r="C239" s="1" t="s">
        <v>7</v>
      </c>
      <c r="D239" s="4">
        <v>5</v>
      </c>
      <c r="E239" s="4">
        <v>1994</v>
      </c>
      <c r="F239" s="4">
        <v>16.540035069999998</v>
      </c>
      <c r="G239" s="2" t="s">
        <v>91</v>
      </c>
      <c r="H239" s="5">
        <v>1711</v>
      </c>
      <c r="I239" s="1" t="s">
        <v>8</v>
      </c>
      <c r="J239" s="18" t="s">
        <v>118</v>
      </c>
      <c r="K239" s="18" t="s">
        <v>174</v>
      </c>
      <c r="L239" s="18">
        <v>9320</v>
      </c>
      <c r="M239" s="18">
        <f>ABS((D239*E239)-L239)</f>
        <v>650</v>
      </c>
      <c r="N239" t="str">
        <f t="shared" si="8"/>
        <v>Unique</v>
      </c>
      <c r="P239" s="35"/>
    </row>
    <row r="240" spans="1:16" ht="26.5" thickBot="1" x14ac:dyDescent="0.4">
      <c r="A240" s="3">
        <v>46260.375</v>
      </c>
      <c r="B240" s="1" t="s">
        <v>87</v>
      </c>
      <c r="C240" s="1" t="s">
        <v>7</v>
      </c>
      <c r="D240" s="4">
        <v>10</v>
      </c>
      <c r="E240" s="4">
        <v>1390</v>
      </c>
      <c r="F240" s="4">
        <v>16.767473119999998</v>
      </c>
      <c r="G240" s="2" t="s">
        <v>88</v>
      </c>
      <c r="H240" s="5">
        <v>1190.4000000000001</v>
      </c>
      <c r="I240" s="1" t="s">
        <v>8</v>
      </c>
      <c r="J240" s="18" t="s">
        <v>117</v>
      </c>
      <c r="K240" s="18" t="s">
        <v>175</v>
      </c>
      <c r="L240" s="18">
        <v>13600</v>
      </c>
      <c r="M240" s="18">
        <f>ABS((D240*E240)-L240)</f>
        <v>300</v>
      </c>
      <c r="N240" t="str">
        <f t="shared" si="8"/>
        <v>Unique</v>
      </c>
    </row>
    <row r="241" spans="1:16" ht="39" thickBot="1" x14ac:dyDescent="0.4">
      <c r="A241" s="8" t="s">
        <v>62</v>
      </c>
      <c r="B241" s="8" t="s">
        <v>28</v>
      </c>
      <c r="C241" s="8" t="s">
        <v>7</v>
      </c>
      <c r="D241" s="8">
        <v>30</v>
      </c>
      <c r="E241" s="13">
        <v>974</v>
      </c>
      <c r="F241" s="4">
        <v>16.92677071</v>
      </c>
      <c r="G241" s="2" t="s">
        <v>125</v>
      </c>
      <c r="H241" s="5">
        <v>833</v>
      </c>
      <c r="I241" s="1" t="s">
        <v>8</v>
      </c>
      <c r="J241" s="40"/>
      <c r="N241" s="10" t="str">
        <f t="shared" si="8"/>
        <v>Unique</v>
      </c>
    </row>
    <row r="242" spans="1:16" ht="26.5" thickBot="1" x14ac:dyDescent="0.4">
      <c r="A242" s="11">
        <v>46252.688194444447</v>
      </c>
      <c r="B242" s="8" t="s">
        <v>14</v>
      </c>
      <c r="C242" s="8" t="s">
        <v>7</v>
      </c>
      <c r="D242" s="8">
        <v>50</v>
      </c>
      <c r="E242" s="8">
        <v>365</v>
      </c>
      <c r="F242" s="4">
        <v>17.19377107</v>
      </c>
      <c r="G242" s="2" t="s">
        <v>45</v>
      </c>
      <c r="H242" s="5">
        <v>311.45</v>
      </c>
      <c r="I242" s="1" t="s">
        <v>8</v>
      </c>
      <c r="J242" s="40" t="s">
        <v>118</v>
      </c>
      <c r="N242" s="10" t="str">
        <f t="shared" si="8"/>
        <v>Unique</v>
      </c>
    </row>
    <row r="243" spans="1:16" ht="26.5" thickBot="1" x14ac:dyDescent="0.4">
      <c r="A243" s="8" t="s">
        <v>62</v>
      </c>
      <c r="B243" s="8" t="s">
        <v>138</v>
      </c>
      <c r="C243" s="8" t="s">
        <v>7</v>
      </c>
      <c r="D243" s="8">
        <v>50</v>
      </c>
      <c r="E243" s="12">
        <v>480</v>
      </c>
      <c r="F243" s="4">
        <v>17.359413199999999</v>
      </c>
      <c r="G243" s="2" t="s">
        <v>139</v>
      </c>
      <c r="H243" s="5">
        <v>409</v>
      </c>
      <c r="I243" s="1" t="s">
        <v>8</v>
      </c>
      <c r="J243" s="40"/>
      <c r="N243" s="10" t="str">
        <f t="shared" si="8"/>
        <v>Unique</v>
      </c>
    </row>
    <row r="244" spans="1:16" ht="39" thickBot="1" x14ac:dyDescent="0.4">
      <c r="A244" s="3">
        <v>46260.550694444442</v>
      </c>
      <c r="B244" s="1" t="s">
        <v>103</v>
      </c>
      <c r="C244" s="1" t="s">
        <v>7</v>
      </c>
      <c r="D244" s="4">
        <v>2</v>
      </c>
      <c r="E244" s="4">
        <v>2787.9</v>
      </c>
      <c r="F244" s="4">
        <v>17.385263160000001</v>
      </c>
      <c r="G244" s="2" t="s">
        <v>104</v>
      </c>
      <c r="H244" s="5">
        <v>2375</v>
      </c>
      <c r="I244" s="1" t="s">
        <v>8</v>
      </c>
      <c r="J244" s="18" t="s">
        <v>118</v>
      </c>
      <c r="K244" s="18" t="s">
        <v>169</v>
      </c>
      <c r="L244" s="18">
        <v>5275.8</v>
      </c>
      <c r="M244" s="18">
        <f>ABS((D244*E244)-L244)</f>
        <v>300</v>
      </c>
      <c r="N244" t="str">
        <f t="shared" si="8"/>
        <v>Unique</v>
      </c>
    </row>
    <row r="245" spans="1:16" s="35" customFormat="1" ht="26.5" thickBot="1" x14ac:dyDescent="0.4">
      <c r="A245" s="3">
        <v>46265.375694444447</v>
      </c>
      <c r="B245" s="1" t="s">
        <v>16</v>
      </c>
      <c r="C245" s="1" t="s">
        <v>7</v>
      </c>
      <c r="D245" s="4">
        <v>5</v>
      </c>
      <c r="E245" s="4">
        <v>961</v>
      </c>
      <c r="F245" s="4">
        <v>17.474481999999998</v>
      </c>
      <c r="G245" s="2" t="s">
        <v>61</v>
      </c>
      <c r="H245" s="5">
        <v>818.05</v>
      </c>
      <c r="I245" s="1" t="s">
        <v>8</v>
      </c>
      <c r="J245" s="18" t="s">
        <v>118</v>
      </c>
      <c r="K245" s="18" t="s">
        <v>206</v>
      </c>
      <c r="L245" s="18">
        <v>4530</v>
      </c>
      <c r="M245" s="18">
        <f>ABS((D245*E245)-L245)</f>
        <v>275</v>
      </c>
      <c r="N245" t="str">
        <f t="shared" si="8"/>
        <v>Unique</v>
      </c>
      <c r="O245" s="10"/>
      <c r="P245" s="10"/>
    </row>
    <row r="246" spans="1:16" ht="26.5" thickBot="1" x14ac:dyDescent="0.4">
      <c r="A246" s="11">
        <v>46252.6875</v>
      </c>
      <c r="B246" s="8" t="s">
        <v>13</v>
      </c>
      <c r="C246" s="8" t="s">
        <v>7</v>
      </c>
      <c r="D246" s="8">
        <v>5</v>
      </c>
      <c r="E246" s="8">
        <v>2014</v>
      </c>
      <c r="F246" s="4">
        <v>17.708942140000001</v>
      </c>
      <c r="G246" s="2" t="s">
        <v>91</v>
      </c>
      <c r="H246" s="5">
        <v>1711</v>
      </c>
      <c r="I246" s="1" t="s">
        <v>8</v>
      </c>
      <c r="J246" s="40" t="s">
        <v>118</v>
      </c>
      <c r="N246" s="10" t="str">
        <f t="shared" si="8"/>
        <v>Unique</v>
      </c>
      <c r="O246" s="35"/>
    </row>
    <row r="247" spans="1:16" ht="26.5" thickBot="1" x14ac:dyDescent="0.4">
      <c r="A247" s="8" t="s">
        <v>62</v>
      </c>
      <c r="B247" s="8" t="s">
        <v>128</v>
      </c>
      <c r="C247" s="8" t="s">
        <v>7</v>
      </c>
      <c r="D247" s="8">
        <v>150</v>
      </c>
      <c r="E247" s="12">
        <v>136</v>
      </c>
      <c r="F247" s="4">
        <v>18.04530857</v>
      </c>
      <c r="G247" s="2" t="s">
        <v>129</v>
      </c>
      <c r="H247" s="5">
        <v>115.21</v>
      </c>
      <c r="I247" s="1" t="s">
        <v>8</v>
      </c>
      <c r="J247" s="40"/>
      <c r="N247" s="10" t="str">
        <f t="shared" si="8"/>
        <v>Unique</v>
      </c>
    </row>
    <row r="248" spans="1:16" ht="26.5" thickBot="1" x14ac:dyDescent="0.4">
      <c r="A248" s="8" t="s">
        <v>62</v>
      </c>
      <c r="B248" s="8" t="s">
        <v>6</v>
      </c>
      <c r="C248" s="8" t="s">
        <v>7</v>
      </c>
      <c r="D248" s="8">
        <v>100</v>
      </c>
      <c r="E248" s="8">
        <v>310.5</v>
      </c>
      <c r="F248" s="4">
        <v>18.150684930000001</v>
      </c>
      <c r="G248" s="2" t="s">
        <v>130</v>
      </c>
      <c r="H248" s="5">
        <v>262.8</v>
      </c>
      <c r="I248" s="1" t="s">
        <v>8</v>
      </c>
      <c r="J248" s="40" t="s">
        <v>118</v>
      </c>
      <c r="N248" s="10" t="str">
        <f t="shared" si="8"/>
        <v>Unique</v>
      </c>
    </row>
    <row r="249" spans="1:16" ht="39" thickBot="1" x14ac:dyDescent="0.4">
      <c r="A249" s="8" t="s">
        <v>62</v>
      </c>
      <c r="B249" s="8" t="s">
        <v>126</v>
      </c>
      <c r="C249" s="8" t="s">
        <v>7</v>
      </c>
      <c r="D249" s="8">
        <v>5</v>
      </c>
      <c r="E249" s="8">
        <v>596</v>
      </c>
      <c r="F249" s="4">
        <v>18.230509820000002</v>
      </c>
      <c r="G249" s="2" t="s">
        <v>127</v>
      </c>
      <c r="H249" s="5">
        <v>504.1</v>
      </c>
      <c r="I249" s="1" t="s">
        <v>8</v>
      </c>
      <c r="J249" s="40"/>
      <c r="N249" s="10" t="str">
        <f t="shared" si="8"/>
        <v>Unique</v>
      </c>
    </row>
    <row r="250" spans="1:16" ht="39" thickBot="1" x14ac:dyDescent="0.4">
      <c r="A250" s="8" t="s">
        <v>62</v>
      </c>
      <c r="B250" s="8" t="s">
        <v>28</v>
      </c>
      <c r="C250" s="8" t="s">
        <v>7</v>
      </c>
      <c r="D250" s="8">
        <v>5</v>
      </c>
      <c r="E250" s="12">
        <v>986</v>
      </c>
      <c r="F250" s="4">
        <v>18.367346940000001</v>
      </c>
      <c r="G250" s="2" t="s">
        <v>125</v>
      </c>
      <c r="H250" s="5">
        <v>833</v>
      </c>
      <c r="I250" s="1" t="s">
        <v>8</v>
      </c>
      <c r="J250" s="40"/>
      <c r="N250" s="10" t="str">
        <f t="shared" si="8"/>
        <v>Unique</v>
      </c>
    </row>
    <row r="251" spans="1:16" ht="26.5" thickBot="1" x14ac:dyDescent="0.4">
      <c r="A251" s="8" t="s">
        <v>62</v>
      </c>
      <c r="B251" s="8" t="s">
        <v>17</v>
      </c>
      <c r="C251" s="8" t="s">
        <v>7</v>
      </c>
      <c r="D251" s="8">
        <v>5</v>
      </c>
      <c r="E251" s="12">
        <v>416</v>
      </c>
      <c r="F251" s="4">
        <v>18.58608894</v>
      </c>
      <c r="G251" s="2" t="s">
        <v>77</v>
      </c>
      <c r="H251" s="5">
        <v>350.8</v>
      </c>
      <c r="I251" s="1" t="s">
        <v>8</v>
      </c>
      <c r="J251" s="40"/>
      <c r="N251" s="10" t="str">
        <f t="shared" si="8"/>
        <v>Unique</v>
      </c>
    </row>
    <row r="252" spans="1:16" ht="26.5" thickBot="1" x14ac:dyDescent="0.4">
      <c r="A252" s="3">
        <v>46260.557638888888</v>
      </c>
      <c r="B252" s="1" t="s">
        <v>16</v>
      </c>
      <c r="C252" s="1" t="s">
        <v>7</v>
      </c>
      <c r="D252" s="4">
        <v>5</v>
      </c>
      <c r="E252" s="4">
        <v>971</v>
      </c>
      <c r="F252" s="4">
        <v>18.69690117</v>
      </c>
      <c r="G252" s="2" t="s">
        <v>61</v>
      </c>
      <c r="H252" s="5">
        <v>818.05</v>
      </c>
      <c r="I252" s="1" t="s">
        <v>8</v>
      </c>
      <c r="J252" s="18" t="s">
        <v>118</v>
      </c>
      <c r="K252" s="18" t="s">
        <v>166</v>
      </c>
      <c r="L252" s="18">
        <v>4605</v>
      </c>
      <c r="M252" s="18">
        <f>ABS((D252*E252)-L252)</f>
        <v>250</v>
      </c>
      <c r="N252" t="str">
        <f t="shared" si="8"/>
        <v>Unique</v>
      </c>
      <c r="P252" s="35"/>
    </row>
    <row r="253" spans="1:16" ht="26.5" thickBot="1" x14ac:dyDescent="0.4">
      <c r="A253" s="3">
        <v>46260.634027777778</v>
      </c>
      <c r="B253" s="1" t="s">
        <v>29</v>
      </c>
      <c r="C253" s="1" t="s">
        <v>7</v>
      </c>
      <c r="D253" s="4">
        <v>5</v>
      </c>
      <c r="E253" s="4">
        <v>4148</v>
      </c>
      <c r="F253" s="4">
        <v>18.717801949999998</v>
      </c>
      <c r="G253" s="2" t="s">
        <v>137</v>
      </c>
      <c r="H253" s="5">
        <v>3494</v>
      </c>
      <c r="I253" s="1" t="s">
        <v>8</v>
      </c>
      <c r="J253" s="18" t="s">
        <v>118</v>
      </c>
      <c r="K253" s="18" t="s">
        <v>170</v>
      </c>
      <c r="L253" s="18">
        <v>20260</v>
      </c>
      <c r="M253" s="18">
        <f>ABS((D253*E253)-L253)</f>
        <v>480</v>
      </c>
      <c r="N253" t="str">
        <f t="shared" si="8"/>
        <v>Unique</v>
      </c>
    </row>
    <row r="254" spans="1:16" s="35" customFormat="1" ht="26.5" thickBot="1" x14ac:dyDescent="0.4">
      <c r="A254" s="8" t="s">
        <v>62</v>
      </c>
      <c r="B254" s="8" t="s">
        <v>35</v>
      </c>
      <c r="C254" s="8" t="s">
        <v>7</v>
      </c>
      <c r="D254" s="8">
        <v>200</v>
      </c>
      <c r="E254" s="12">
        <v>244</v>
      </c>
      <c r="F254" s="4">
        <v>18.740571320000001</v>
      </c>
      <c r="G254" s="2" t="s">
        <v>42</v>
      </c>
      <c r="H254" s="5">
        <v>205.49</v>
      </c>
      <c r="I254" s="1" t="s">
        <v>8</v>
      </c>
      <c r="J254" s="40" t="s">
        <v>117</v>
      </c>
      <c r="K254" s="18"/>
      <c r="L254" s="18"/>
      <c r="M254" s="18"/>
      <c r="N254" s="10" t="str">
        <f t="shared" si="8"/>
        <v>Unique</v>
      </c>
      <c r="O254" s="10"/>
      <c r="P254" s="10"/>
    </row>
    <row r="255" spans="1:16" ht="26.5" thickBot="1" x14ac:dyDescent="0.4">
      <c r="A255" s="8" t="s">
        <v>62</v>
      </c>
      <c r="B255" s="8" t="s">
        <v>57</v>
      </c>
      <c r="C255" s="8" t="s">
        <v>7</v>
      </c>
      <c r="D255" s="8">
        <v>3</v>
      </c>
      <c r="E255" s="12">
        <v>3341</v>
      </c>
      <c r="F255" s="4">
        <v>19.15121255</v>
      </c>
      <c r="G255" s="2" t="s">
        <v>58</v>
      </c>
      <c r="H255" s="5">
        <v>2804</v>
      </c>
      <c r="I255" s="1" t="s">
        <v>8</v>
      </c>
      <c r="J255" s="40"/>
      <c r="N255" s="10" t="str">
        <f t="shared" si="8"/>
        <v>Unique</v>
      </c>
      <c r="P255" s="35"/>
    </row>
    <row r="256" spans="1:16" ht="39" thickBot="1" x14ac:dyDescent="0.4">
      <c r="A256" s="3">
        <v>46258.375694444447</v>
      </c>
      <c r="B256" s="1" t="s">
        <v>22</v>
      </c>
      <c r="C256" s="1" t="s">
        <v>7</v>
      </c>
      <c r="D256" s="4">
        <v>5</v>
      </c>
      <c r="E256" s="4">
        <v>502</v>
      </c>
      <c r="F256" s="4">
        <v>19.481137690000001</v>
      </c>
      <c r="G256" s="2" t="s">
        <v>73</v>
      </c>
      <c r="H256" s="5">
        <v>420.15</v>
      </c>
      <c r="I256" s="1" t="s">
        <v>8</v>
      </c>
      <c r="J256" s="18" t="s">
        <v>118</v>
      </c>
      <c r="K256" s="18" t="s">
        <v>160</v>
      </c>
      <c r="L256" s="18">
        <v>2260</v>
      </c>
      <c r="M256" s="18">
        <f>ABS((D256*E256)-L256)</f>
        <v>250</v>
      </c>
      <c r="N256" s="10" t="str">
        <f t="shared" si="8"/>
        <v>Unique</v>
      </c>
    </row>
    <row r="257" spans="1:16" ht="26.5" thickBot="1" x14ac:dyDescent="0.4">
      <c r="A257" s="8" t="s">
        <v>62</v>
      </c>
      <c r="B257" s="8" t="s">
        <v>6</v>
      </c>
      <c r="C257" s="8" t="s">
        <v>7</v>
      </c>
      <c r="D257" s="8">
        <v>100</v>
      </c>
      <c r="E257" s="13">
        <v>314</v>
      </c>
      <c r="F257" s="4">
        <v>19.482496189999999</v>
      </c>
      <c r="G257" s="2" t="s">
        <v>130</v>
      </c>
      <c r="H257" s="5">
        <v>262.8</v>
      </c>
      <c r="I257" s="1" t="s">
        <v>8</v>
      </c>
      <c r="J257" s="40"/>
      <c r="N257" s="10" t="str">
        <f t="shared" si="8"/>
        <v>Unique</v>
      </c>
    </row>
    <row r="258" spans="1:16" ht="39" thickBot="1" x14ac:dyDescent="0.4">
      <c r="A258" s="8" t="s">
        <v>62</v>
      </c>
      <c r="B258" s="14" t="s">
        <v>28</v>
      </c>
      <c r="C258" s="8" t="s">
        <v>7</v>
      </c>
      <c r="D258" s="8">
        <v>40</v>
      </c>
      <c r="E258" s="15">
        <v>996</v>
      </c>
      <c r="F258" s="4">
        <v>19.567827130000001</v>
      </c>
      <c r="G258" s="2" t="s">
        <v>125</v>
      </c>
      <c r="H258" s="5">
        <v>833</v>
      </c>
      <c r="I258" s="1" t="s">
        <v>8</v>
      </c>
      <c r="J258" s="40" t="s">
        <v>118</v>
      </c>
      <c r="N258" s="10" t="str">
        <f t="shared" ref="N258:N291" si="9">IF(COUNTIFS( $B$2:$B$767, B258, $C$2:$C$767, C258, $D$2:$D$767, D258, $E$2:$E$767, E258) &gt; 1, "Duplicate", "Unique")</f>
        <v>Unique</v>
      </c>
    </row>
    <row r="259" spans="1:16" ht="26.5" thickBot="1" x14ac:dyDescent="0.4">
      <c r="A259" s="8" t="s">
        <v>62</v>
      </c>
      <c r="B259" s="8" t="s">
        <v>14</v>
      </c>
      <c r="C259" s="8" t="s">
        <v>7</v>
      </c>
      <c r="D259" s="8">
        <v>17</v>
      </c>
      <c r="E259" s="8">
        <v>373</v>
      </c>
      <c r="F259" s="4">
        <v>19.762401669999999</v>
      </c>
      <c r="G259" s="2" t="s">
        <v>45</v>
      </c>
      <c r="H259" s="5">
        <v>311.45</v>
      </c>
      <c r="I259" s="1" t="s">
        <v>8</v>
      </c>
      <c r="J259" s="40"/>
      <c r="N259" s="10" t="str">
        <f t="shared" si="9"/>
        <v>Unique</v>
      </c>
    </row>
    <row r="260" spans="1:16" ht="26.5" thickBot="1" x14ac:dyDescent="0.4">
      <c r="A260" s="8" t="s">
        <v>62</v>
      </c>
      <c r="B260" s="8" t="s">
        <v>14</v>
      </c>
      <c r="C260" s="8" t="s">
        <v>7</v>
      </c>
      <c r="D260" s="8">
        <v>50</v>
      </c>
      <c r="E260" s="12">
        <v>373</v>
      </c>
      <c r="F260" s="4">
        <v>19.762401669999999</v>
      </c>
      <c r="G260" s="2" t="s">
        <v>45</v>
      </c>
      <c r="H260" s="5">
        <v>311.45</v>
      </c>
      <c r="I260" s="1" t="s">
        <v>8</v>
      </c>
      <c r="J260" s="40" t="s">
        <v>118</v>
      </c>
      <c r="N260" s="10" t="str">
        <f t="shared" si="9"/>
        <v>Unique</v>
      </c>
      <c r="O260" s="35"/>
    </row>
    <row r="261" spans="1:16" ht="39" thickBot="1" x14ac:dyDescent="0.4">
      <c r="A261" s="8" t="s">
        <v>62</v>
      </c>
      <c r="B261" s="8" t="s">
        <v>28</v>
      </c>
      <c r="C261" s="8" t="s">
        <v>7</v>
      </c>
      <c r="D261" s="8">
        <v>5</v>
      </c>
      <c r="E261" s="12">
        <v>1002</v>
      </c>
      <c r="F261" s="4">
        <v>20.288115250000001</v>
      </c>
      <c r="G261" s="2" t="s">
        <v>125</v>
      </c>
      <c r="H261" s="5">
        <v>833</v>
      </c>
      <c r="I261" s="1" t="s">
        <v>8</v>
      </c>
      <c r="J261" s="40"/>
      <c r="N261" s="10" t="str">
        <f t="shared" si="9"/>
        <v>Unique</v>
      </c>
      <c r="O261" s="35"/>
    </row>
    <row r="262" spans="1:16" ht="26.5" thickBot="1" x14ac:dyDescent="0.4">
      <c r="A262" s="8" t="s">
        <v>62</v>
      </c>
      <c r="B262" s="8" t="s">
        <v>26</v>
      </c>
      <c r="C262" s="8" t="s">
        <v>7</v>
      </c>
      <c r="D262" s="8">
        <v>25</v>
      </c>
      <c r="E262" s="8">
        <v>210</v>
      </c>
      <c r="F262" s="4">
        <v>20.689655170000002</v>
      </c>
      <c r="G262" s="2" t="s">
        <v>132</v>
      </c>
      <c r="H262" s="5">
        <v>174</v>
      </c>
      <c r="I262" s="1" t="s">
        <v>8</v>
      </c>
      <c r="J262" s="40"/>
      <c r="N262" s="10" t="str">
        <f t="shared" si="9"/>
        <v>Unique</v>
      </c>
    </row>
    <row r="263" spans="1:16" ht="26.5" thickBot="1" x14ac:dyDescent="0.4">
      <c r="A263" s="8" t="s">
        <v>62</v>
      </c>
      <c r="B263" s="8" t="s">
        <v>138</v>
      </c>
      <c r="C263" s="8" t="s">
        <v>7</v>
      </c>
      <c r="D263" s="8">
        <v>35</v>
      </c>
      <c r="E263" s="13">
        <v>494</v>
      </c>
      <c r="F263" s="4">
        <v>20.782396089999999</v>
      </c>
      <c r="G263" s="2" t="s">
        <v>139</v>
      </c>
      <c r="H263" s="5">
        <v>409</v>
      </c>
      <c r="I263" s="1" t="s">
        <v>8</v>
      </c>
      <c r="J263" s="40"/>
      <c r="N263" s="10" t="str">
        <f t="shared" si="9"/>
        <v>Unique</v>
      </c>
    </row>
    <row r="264" spans="1:16" ht="26.5" thickBot="1" x14ac:dyDescent="0.4">
      <c r="A264" s="8" t="s">
        <v>62</v>
      </c>
      <c r="B264" s="8" t="s">
        <v>6</v>
      </c>
      <c r="C264" s="8" t="s">
        <v>7</v>
      </c>
      <c r="D264" s="8">
        <v>100</v>
      </c>
      <c r="E264" s="12">
        <v>318</v>
      </c>
      <c r="F264" s="4">
        <v>21.00456621</v>
      </c>
      <c r="G264" s="2" t="s">
        <v>130</v>
      </c>
      <c r="H264" s="5">
        <v>262.8</v>
      </c>
      <c r="I264" s="1" t="s">
        <v>8</v>
      </c>
      <c r="J264" s="40"/>
      <c r="N264" s="10" t="str">
        <f t="shared" si="9"/>
        <v>Unique</v>
      </c>
    </row>
    <row r="265" spans="1:16" ht="26.5" thickBot="1" x14ac:dyDescent="0.4">
      <c r="A265" s="8" t="s">
        <v>62</v>
      </c>
      <c r="B265" s="8" t="s">
        <v>35</v>
      </c>
      <c r="C265" s="8" t="s">
        <v>7</v>
      </c>
      <c r="D265" s="8">
        <v>200</v>
      </c>
      <c r="E265" s="12">
        <v>249</v>
      </c>
      <c r="F265" s="4">
        <v>21.173779750000001</v>
      </c>
      <c r="G265" s="2" t="s">
        <v>42</v>
      </c>
      <c r="H265" s="5">
        <v>205.49</v>
      </c>
      <c r="I265" s="1" t="s">
        <v>8</v>
      </c>
      <c r="J265" s="40"/>
      <c r="N265" s="10" t="str">
        <f t="shared" si="9"/>
        <v>Unique</v>
      </c>
    </row>
    <row r="266" spans="1:16" ht="26.5" thickBot="1" x14ac:dyDescent="0.4">
      <c r="A266" s="8" t="s">
        <v>62</v>
      </c>
      <c r="B266" s="8" t="s">
        <v>6</v>
      </c>
      <c r="C266" s="8" t="s">
        <v>7</v>
      </c>
      <c r="D266" s="8">
        <v>100</v>
      </c>
      <c r="E266" s="13">
        <v>319</v>
      </c>
      <c r="F266" s="4">
        <v>21.38508371</v>
      </c>
      <c r="G266" s="2" t="s">
        <v>130</v>
      </c>
      <c r="H266" s="5">
        <v>262.8</v>
      </c>
      <c r="I266" s="1" t="s">
        <v>8</v>
      </c>
      <c r="J266" s="40"/>
      <c r="N266" s="10" t="str">
        <f t="shared" si="9"/>
        <v>Unique</v>
      </c>
    </row>
    <row r="267" spans="1:16" ht="26.5" thickBot="1" x14ac:dyDescent="0.4">
      <c r="A267" s="11">
        <v>46252.6875</v>
      </c>
      <c r="B267" s="8" t="s">
        <v>13</v>
      </c>
      <c r="C267" s="8" t="s">
        <v>7</v>
      </c>
      <c r="D267" s="8">
        <v>5</v>
      </c>
      <c r="E267" s="8">
        <v>2094</v>
      </c>
      <c r="F267" s="4">
        <v>22.38457043</v>
      </c>
      <c r="G267" s="2" t="s">
        <v>91</v>
      </c>
      <c r="H267" s="5">
        <v>1711</v>
      </c>
      <c r="I267" s="1" t="s">
        <v>8</v>
      </c>
      <c r="J267" s="40" t="s">
        <v>118</v>
      </c>
      <c r="N267" s="10" t="str">
        <f t="shared" si="9"/>
        <v>Unique</v>
      </c>
    </row>
    <row r="268" spans="1:16" ht="26.5" thickBot="1" x14ac:dyDescent="0.4">
      <c r="A268" s="8" t="s">
        <v>62</v>
      </c>
      <c r="B268" s="8" t="s">
        <v>6</v>
      </c>
      <c r="C268" s="8" t="s">
        <v>7</v>
      </c>
      <c r="D268" s="8">
        <v>150</v>
      </c>
      <c r="E268" s="12">
        <v>323</v>
      </c>
      <c r="F268" s="4">
        <v>22.907153730000001</v>
      </c>
      <c r="G268" s="2" t="s">
        <v>130</v>
      </c>
      <c r="H268" s="5">
        <v>262.8</v>
      </c>
      <c r="I268" s="1" t="s">
        <v>8</v>
      </c>
      <c r="J268" s="40" t="s">
        <v>118</v>
      </c>
      <c r="N268" s="10" t="str">
        <f t="shared" si="9"/>
        <v>Unique</v>
      </c>
    </row>
    <row r="269" spans="1:16" ht="26.5" thickBot="1" x14ac:dyDescent="0.4">
      <c r="A269" s="8" t="s">
        <v>62</v>
      </c>
      <c r="B269" s="8" t="s">
        <v>14</v>
      </c>
      <c r="C269" s="8" t="s">
        <v>7</v>
      </c>
      <c r="D269" s="8">
        <v>50</v>
      </c>
      <c r="E269" s="12">
        <v>383</v>
      </c>
      <c r="F269" s="4">
        <v>22.973189919999999</v>
      </c>
      <c r="G269" s="2" t="s">
        <v>45</v>
      </c>
      <c r="H269" s="5">
        <v>311.45</v>
      </c>
      <c r="I269" s="1" t="s">
        <v>8</v>
      </c>
      <c r="J269" s="40"/>
      <c r="N269" s="10" t="str">
        <f t="shared" si="9"/>
        <v>Unique</v>
      </c>
    </row>
    <row r="270" spans="1:16" ht="26.5" thickBot="1" x14ac:dyDescent="0.4">
      <c r="A270" s="8" t="s">
        <v>62</v>
      </c>
      <c r="B270" s="8" t="s">
        <v>13</v>
      </c>
      <c r="C270" s="8" t="s">
        <v>7</v>
      </c>
      <c r="D270" s="8">
        <v>10</v>
      </c>
      <c r="E270" s="8">
        <v>2114</v>
      </c>
      <c r="F270" s="4">
        <v>23.5534775</v>
      </c>
      <c r="G270" s="2" t="s">
        <v>91</v>
      </c>
      <c r="H270" s="5">
        <v>1711</v>
      </c>
      <c r="I270" s="1" t="s">
        <v>8</v>
      </c>
      <c r="J270" s="40"/>
      <c r="N270" s="10" t="str">
        <f t="shared" si="9"/>
        <v>Unique</v>
      </c>
      <c r="P270" s="35"/>
    </row>
    <row r="271" spans="1:16" ht="26.5" thickBot="1" x14ac:dyDescent="0.4">
      <c r="A271" s="8" t="s">
        <v>62</v>
      </c>
      <c r="B271" s="8" t="s">
        <v>17</v>
      </c>
      <c r="C271" s="8" t="s">
        <v>7</v>
      </c>
      <c r="D271" s="8">
        <v>5</v>
      </c>
      <c r="E271" s="12">
        <v>435</v>
      </c>
      <c r="F271" s="4">
        <v>24.002280500000001</v>
      </c>
      <c r="G271" s="2" t="s">
        <v>77</v>
      </c>
      <c r="H271" s="5">
        <v>350.8</v>
      </c>
      <c r="I271" s="1" t="s">
        <v>8</v>
      </c>
      <c r="J271" s="40" t="s">
        <v>118</v>
      </c>
      <c r="N271" s="10" t="str">
        <f t="shared" si="9"/>
        <v>Unique</v>
      </c>
    </row>
    <row r="272" spans="1:16" ht="26.5" thickBot="1" x14ac:dyDescent="0.4">
      <c r="A272" s="11">
        <v>46252.635416666664</v>
      </c>
      <c r="B272" s="8" t="s">
        <v>87</v>
      </c>
      <c r="C272" s="8" t="s">
        <v>7</v>
      </c>
      <c r="D272" s="8">
        <v>10</v>
      </c>
      <c r="E272" s="8">
        <v>1479</v>
      </c>
      <c r="F272" s="4">
        <v>24.24395161</v>
      </c>
      <c r="G272" s="2" t="s">
        <v>88</v>
      </c>
      <c r="H272" s="5">
        <v>1190.4000000000001</v>
      </c>
      <c r="I272" s="1" t="s">
        <v>8</v>
      </c>
      <c r="J272" s="40" t="s">
        <v>55</v>
      </c>
      <c r="N272" s="10" t="str">
        <f t="shared" si="9"/>
        <v>Unique</v>
      </c>
    </row>
    <row r="273" spans="1:15" ht="26.5" thickBot="1" x14ac:dyDescent="0.4">
      <c r="A273" s="8" t="s">
        <v>62</v>
      </c>
      <c r="B273" s="8" t="s">
        <v>13</v>
      </c>
      <c r="C273" s="8" t="s">
        <v>7</v>
      </c>
      <c r="D273" s="8">
        <v>10</v>
      </c>
      <c r="E273" s="8">
        <v>2189</v>
      </c>
      <c r="F273" s="4">
        <v>27.936879019999999</v>
      </c>
      <c r="G273" s="2" t="s">
        <v>91</v>
      </c>
      <c r="H273" s="5">
        <v>1711</v>
      </c>
      <c r="I273" s="1" t="s">
        <v>8</v>
      </c>
      <c r="J273" s="40"/>
      <c r="N273" s="10" t="str">
        <f t="shared" si="9"/>
        <v>Unique</v>
      </c>
    </row>
    <row r="274" spans="1:15" ht="39" thickBot="1" x14ac:dyDescent="0.4">
      <c r="A274" s="3">
        <v>46259.532638888886</v>
      </c>
      <c r="B274" s="1" t="s">
        <v>96</v>
      </c>
      <c r="C274" s="1" t="s">
        <v>7</v>
      </c>
      <c r="D274" s="4">
        <v>5</v>
      </c>
      <c r="E274" s="4">
        <v>218</v>
      </c>
      <c r="F274" s="4">
        <v>32.217370209999999</v>
      </c>
      <c r="G274" s="2" t="s">
        <v>97</v>
      </c>
      <c r="H274" s="5">
        <v>164.88</v>
      </c>
      <c r="I274" s="1" t="s">
        <v>8</v>
      </c>
      <c r="J274" s="40" t="s">
        <v>118</v>
      </c>
      <c r="K274" s="18" t="s">
        <v>162</v>
      </c>
      <c r="L274" s="18">
        <v>840</v>
      </c>
      <c r="M274" s="18">
        <f>ABS((D274*E274)-L274)</f>
        <v>250</v>
      </c>
      <c r="N274" s="10" t="str">
        <f t="shared" si="9"/>
        <v>Unique</v>
      </c>
    </row>
    <row r="275" spans="1:15" ht="26.5" thickBot="1" x14ac:dyDescent="0.4">
      <c r="A275" s="8" t="s">
        <v>62</v>
      </c>
      <c r="B275" s="8" t="s">
        <v>13</v>
      </c>
      <c r="C275" s="8" t="s">
        <v>7</v>
      </c>
      <c r="D275" s="8">
        <v>20</v>
      </c>
      <c r="E275" s="8">
        <v>2310</v>
      </c>
      <c r="F275" s="4">
        <v>35.008766799999997</v>
      </c>
      <c r="G275" s="2" t="s">
        <v>91</v>
      </c>
      <c r="H275" s="5">
        <v>1711</v>
      </c>
      <c r="I275" s="1" t="s">
        <v>8</v>
      </c>
      <c r="J275" s="40"/>
      <c r="N275" s="10" t="str">
        <f t="shared" si="9"/>
        <v>Unique</v>
      </c>
    </row>
    <row r="276" spans="1:15" ht="26.5" thickBot="1" x14ac:dyDescent="0.4">
      <c r="A276" s="8" t="s">
        <v>62</v>
      </c>
      <c r="B276" s="8" t="s">
        <v>13</v>
      </c>
      <c r="C276" s="8" t="s">
        <v>7</v>
      </c>
      <c r="D276" s="8">
        <v>1</v>
      </c>
      <c r="E276" s="8">
        <v>2494</v>
      </c>
      <c r="F276" s="4">
        <v>45.762711860000003</v>
      </c>
      <c r="G276" s="2" t="s">
        <v>91</v>
      </c>
      <c r="H276" s="5">
        <v>1711</v>
      </c>
      <c r="I276" s="1" t="s">
        <v>8</v>
      </c>
      <c r="J276" s="40"/>
      <c r="N276" s="10" t="str">
        <f t="shared" si="9"/>
        <v>Unique</v>
      </c>
    </row>
    <row r="277" spans="1:15" ht="26.5" thickBot="1" x14ac:dyDescent="0.4">
      <c r="A277" s="11">
        <v>46251.506249999999</v>
      </c>
      <c r="B277" s="8" t="s">
        <v>13</v>
      </c>
      <c r="C277" s="8" t="s">
        <v>7</v>
      </c>
      <c r="D277" s="8">
        <v>3</v>
      </c>
      <c r="E277" s="8">
        <v>2494</v>
      </c>
      <c r="F277" s="4">
        <v>45.762711860000003</v>
      </c>
      <c r="G277" s="2" t="s">
        <v>91</v>
      </c>
      <c r="H277" s="5">
        <v>1711</v>
      </c>
      <c r="I277" s="1" t="s">
        <v>8</v>
      </c>
      <c r="J277" s="40"/>
      <c r="N277" s="10" t="str">
        <f t="shared" si="9"/>
        <v>Unique</v>
      </c>
      <c r="O277" s="35"/>
    </row>
    <row r="278" spans="1:15" ht="26.5" thickBot="1" x14ac:dyDescent="0.4">
      <c r="A278" s="8" t="s">
        <v>62</v>
      </c>
      <c r="B278" s="8" t="s">
        <v>141</v>
      </c>
      <c r="C278" s="8" t="s">
        <v>7</v>
      </c>
      <c r="D278" s="8">
        <v>23</v>
      </c>
      <c r="E278" s="12">
        <v>890</v>
      </c>
      <c r="F278" s="6" t="e">
        <v>#N/A</v>
      </c>
      <c r="G278" s="2" t="s">
        <v>142</v>
      </c>
      <c r="H278" s="7" t="e">
        <v>#N/A</v>
      </c>
      <c r="I278" s="1" t="s">
        <v>8</v>
      </c>
      <c r="J278" s="40"/>
      <c r="N278" s="10" t="str">
        <f t="shared" si="9"/>
        <v>Unique</v>
      </c>
    </row>
    <row r="279" spans="1:15" ht="26.5" thickBot="1" x14ac:dyDescent="0.4">
      <c r="A279" s="11">
        <v>46252.6875</v>
      </c>
      <c r="B279" s="8" t="s">
        <v>15</v>
      </c>
      <c r="C279" s="8" t="s">
        <v>7</v>
      </c>
      <c r="D279" s="8">
        <v>10</v>
      </c>
      <c r="E279" s="8">
        <v>2896</v>
      </c>
      <c r="F279" s="4">
        <v>10.582444629999999</v>
      </c>
      <c r="G279" s="2" t="s">
        <v>72</v>
      </c>
      <c r="H279" s="5">
        <v>2438</v>
      </c>
      <c r="I279" s="1" t="s">
        <v>8</v>
      </c>
      <c r="J279" s="40" t="s">
        <v>118</v>
      </c>
      <c r="N279" s="10" t="str">
        <f t="shared" si="9"/>
        <v>Unique</v>
      </c>
    </row>
    <row r="280" spans="1:15" ht="26.5" thickBot="1" x14ac:dyDescent="0.4">
      <c r="A280" s="11">
        <v>46252.6875</v>
      </c>
      <c r="B280" s="8" t="s">
        <v>15</v>
      </c>
      <c r="C280" s="8" t="s">
        <v>7</v>
      </c>
      <c r="D280" s="8">
        <v>10</v>
      </c>
      <c r="E280" s="8">
        <v>2908</v>
      </c>
      <c r="F280" s="4">
        <v>10.582444629999999</v>
      </c>
      <c r="G280" s="2" t="s">
        <v>72</v>
      </c>
      <c r="H280" s="5">
        <v>2438</v>
      </c>
      <c r="I280" s="1" t="s">
        <v>8</v>
      </c>
      <c r="J280" s="40" t="s">
        <v>118</v>
      </c>
      <c r="N280" s="10" t="str">
        <f t="shared" si="9"/>
        <v>Unique</v>
      </c>
    </row>
    <row r="281" spans="1:15" x14ac:dyDescent="0.35">
      <c r="A281" t="s">
        <v>281</v>
      </c>
      <c r="B281" t="s">
        <v>11</v>
      </c>
      <c r="C281" t="s">
        <v>7</v>
      </c>
      <c r="D281">
        <v>20</v>
      </c>
      <c r="E281">
        <v>286.5</v>
      </c>
      <c r="F281"/>
      <c r="J281" s="18" t="s">
        <v>118</v>
      </c>
      <c r="K281" s="18" t="s">
        <v>289</v>
      </c>
      <c r="L281" s="18">
        <v>5370</v>
      </c>
      <c r="M281" s="18">
        <f>ABS((D281*E281)-L281)</f>
        <v>360</v>
      </c>
      <c r="N281" s="10" t="str">
        <f t="shared" si="9"/>
        <v>Unique</v>
      </c>
    </row>
    <row r="282" spans="1:15" x14ac:dyDescent="0.35">
      <c r="A282" t="s">
        <v>282</v>
      </c>
      <c r="B282" t="s">
        <v>80</v>
      </c>
      <c r="C282" t="s">
        <v>7</v>
      </c>
      <c r="D282">
        <v>10</v>
      </c>
      <c r="E282">
        <v>1460</v>
      </c>
      <c r="F282"/>
      <c r="J282" s="18" t="s">
        <v>117</v>
      </c>
      <c r="K282" s="18" t="s">
        <v>290</v>
      </c>
      <c r="L282" s="18">
        <v>14100</v>
      </c>
      <c r="M282" s="18">
        <f t="shared" ref="M282:M291" si="10">ABS((D282*E282)-L282)</f>
        <v>500</v>
      </c>
      <c r="N282" s="10" t="str">
        <f t="shared" si="9"/>
        <v>Unique</v>
      </c>
    </row>
    <row r="283" spans="1:15" x14ac:dyDescent="0.35">
      <c r="A283" t="s">
        <v>283</v>
      </c>
      <c r="B283" t="s">
        <v>16</v>
      </c>
      <c r="C283" t="s">
        <v>7</v>
      </c>
      <c r="D283">
        <v>10</v>
      </c>
      <c r="E283">
        <v>884.9</v>
      </c>
      <c r="F283"/>
      <c r="J283" s="18" t="s">
        <v>118</v>
      </c>
      <c r="K283" s="18" t="s">
        <v>291</v>
      </c>
      <c r="L283" s="18">
        <v>8049</v>
      </c>
      <c r="M283" s="18">
        <f t="shared" si="10"/>
        <v>800</v>
      </c>
      <c r="N283" s="10" t="str">
        <f t="shared" si="9"/>
        <v>Unique</v>
      </c>
    </row>
    <row r="284" spans="1:15" x14ac:dyDescent="0.35">
      <c r="A284" t="s">
        <v>284</v>
      </c>
      <c r="B284" t="s">
        <v>80</v>
      </c>
      <c r="C284" t="s">
        <v>7</v>
      </c>
      <c r="D284">
        <v>10</v>
      </c>
      <c r="E284">
        <v>1470</v>
      </c>
      <c r="F284"/>
      <c r="J284" s="18" t="s">
        <v>117</v>
      </c>
      <c r="K284" s="18" t="s">
        <v>292</v>
      </c>
      <c r="L284" s="18">
        <v>14200</v>
      </c>
      <c r="M284" s="18">
        <f t="shared" si="10"/>
        <v>500</v>
      </c>
      <c r="N284" s="10" t="str">
        <f t="shared" si="9"/>
        <v>Unique</v>
      </c>
    </row>
    <row r="285" spans="1:15" x14ac:dyDescent="0.35">
      <c r="A285" t="s">
        <v>285</v>
      </c>
      <c r="B285" t="s">
        <v>80</v>
      </c>
      <c r="C285" t="s">
        <v>7</v>
      </c>
      <c r="D285">
        <v>10</v>
      </c>
      <c r="E285">
        <v>1490</v>
      </c>
      <c r="F285"/>
      <c r="J285" s="18" t="s">
        <v>117</v>
      </c>
      <c r="K285" s="18" t="s">
        <v>293</v>
      </c>
      <c r="L285" s="18">
        <v>14400</v>
      </c>
      <c r="M285" s="18">
        <f t="shared" si="10"/>
        <v>500</v>
      </c>
      <c r="N285" s="10" t="str">
        <f t="shared" si="9"/>
        <v>Unique</v>
      </c>
    </row>
    <row r="286" spans="1:15" x14ac:dyDescent="0.35">
      <c r="A286" t="s">
        <v>286</v>
      </c>
      <c r="B286" t="s">
        <v>80</v>
      </c>
      <c r="C286" t="s">
        <v>7</v>
      </c>
      <c r="D286">
        <v>10</v>
      </c>
      <c r="E286">
        <v>1510</v>
      </c>
      <c r="F286"/>
      <c r="J286" s="18" t="s">
        <v>117</v>
      </c>
      <c r="K286" s="18" t="s">
        <v>294</v>
      </c>
      <c r="L286" s="18">
        <v>14650</v>
      </c>
      <c r="M286" s="18">
        <f t="shared" si="10"/>
        <v>450</v>
      </c>
      <c r="N286" s="10" t="str">
        <f t="shared" si="9"/>
        <v>Unique</v>
      </c>
    </row>
    <row r="287" spans="1:15" x14ac:dyDescent="0.35">
      <c r="A287" t="s">
        <v>287</v>
      </c>
      <c r="B287" t="s">
        <v>89</v>
      </c>
      <c r="C287" t="s">
        <v>7</v>
      </c>
      <c r="D287">
        <v>1</v>
      </c>
      <c r="E287">
        <v>13698</v>
      </c>
      <c r="F287"/>
      <c r="J287" s="18" t="s">
        <v>118</v>
      </c>
      <c r="K287" s="18" t="s">
        <v>295</v>
      </c>
      <c r="L287" s="18">
        <v>13052</v>
      </c>
      <c r="M287" s="18">
        <f t="shared" si="10"/>
        <v>646</v>
      </c>
      <c r="N287" s="10" t="str">
        <f t="shared" si="9"/>
        <v>Unique</v>
      </c>
    </row>
    <row r="288" spans="1:15" x14ac:dyDescent="0.35">
      <c r="A288" t="s">
        <v>287</v>
      </c>
      <c r="B288" t="s">
        <v>66</v>
      </c>
      <c r="C288" t="s">
        <v>7</v>
      </c>
      <c r="D288">
        <v>10</v>
      </c>
      <c r="E288">
        <v>1172</v>
      </c>
      <c r="F288"/>
      <c r="J288" s="18" t="s">
        <v>117</v>
      </c>
      <c r="K288" s="18" t="s">
        <v>296</v>
      </c>
      <c r="L288" s="18">
        <v>11320</v>
      </c>
      <c r="M288" s="18">
        <f t="shared" si="10"/>
        <v>400</v>
      </c>
      <c r="N288" s="10" t="str">
        <f t="shared" si="9"/>
        <v>Unique</v>
      </c>
    </row>
    <row r="289" spans="1:14" x14ac:dyDescent="0.35">
      <c r="A289" t="s">
        <v>288</v>
      </c>
      <c r="B289" t="s">
        <v>80</v>
      </c>
      <c r="C289" t="s">
        <v>7</v>
      </c>
      <c r="D289">
        <v>10</v>
      </c>
      <c r="E289">
        <v>1548</v>
      </c>
      <c r="F289"/>
      <c r="J289" s="18" t="s">
        <v>117</v>
      </c>
      <c r="K289" s="18" t="s">
        <v>297</v>
      </c>
      <c r="L289" s="18">
        <v>15030</v>
      </c>
      <c r="M289" s="18">
        <f t="shared" si="10"/>
        <v>450</v>
      </c>
      <c r="N289" s="10" t="str">
        <f t="shared" si="9"/>
        <v>Unique</v>
      </c>
    </row>
    <row r="290" spans="1:14" x14ac:dyDescent="0.35">
      <c r="A290" t="s">
        <v>287</v>
      </c>
      <c r="B290" t="s">
        <v>17</v>
      </c>
      <c r="C290" t="s">
        <v>7</v>
      </c>
      <c r="D290">
        <v>25</v>
      </c>
      <c r="E290">
        <v>360</v>
      </c>
      <c r="F290"/>
      <c r="J290" s="18" t="s">
        <v>117</v>
      </c>
      <c r="K290" s="18" t="s">
        <v>298</v>
      </c>
      <c r="L290" s="18">
        <v>8700</v>
      </c>
      <c r="M290" s="18">
        <f t="shared" si="10"/>
        <v>300</v>
      </c>
      <c r="N290" s="10" t="str">
        <f t="shared" si="9"/>
        <v>Unique</v>
      </c>
    </row>
    <row r="291" spans="1:14" x14ac:dyDescent="0.35">
      <c r="A291" t="s">
        <v>288</v>
      </c>
      <c r="B291" t="s">
        <v>103</v>
      </c>
      <c r="C291" t="s">
        <v>7</v>
      </c>
      <c r="D291">
        <v>8</v>
      </c>
      <c r="E291">
        <v>2472</v>
      </c>
      <c r="F291"/>
      <c r="J291" s="18" t="s">
        <v>117</v>
      </c>
      <c r="K291" s="18" t="s">
        <v>299</v>
      </c>
      <c r="L291" s="18">
        <v>18960</v>
      </c>
      <c r="M291" s="18">
        <f t="shared" si="10"/>
        <v>816</v>
      </c>
      <c r="N291" s="10" t="str">
        <f t="shared" si="9"/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2026-09-15T07:27:41Z</dcterms:modified>
</cp:coreProperties>
</file>