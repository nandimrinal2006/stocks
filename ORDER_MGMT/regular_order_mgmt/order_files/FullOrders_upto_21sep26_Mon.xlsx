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A3D90EF5-4135-4E3E-BA14-A53D13DA465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</sheets>
  <definedNames>
    <definedName name="_xlnm._FilterDatabase" localSheetId="0" hidden="1">Sheet1!$A$1:$P$301</definedName>
    <definedName name="_xlnm._FilterDatabase" localSheetId="1" hidden="1">Sheet2!$A$1:$L$8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96" i="1" l="1"/>
  <c r="N297" i="1"/>
  <c r="N298" i="1"/>
  <c r="N299" i="1"/>
  <c r="N300" i="1"/>
  <c r="N301" i="1"/>
  <c r="M298" i="1"/>
  <c r="M299" i="1"/>
  <c r="M300" i="1"/>
  <c r="M301" i="1"/>
  <c r="M297" i="1"/>
  <c r="N70" i="1"/>
  <c r="N68" i="1"/>
  <c r="N64" i="1"/>
  <c r="N2" i="1"/>
  <c r="N14" i="1"/>
  <c r="N34" i="1"/>
  <c r="N22" i="1"/>
  <c r="N15" i="1"/>
  <c r="N16" i="1"/>
  <c r="M14" i="1"/>
  <c r="M34" i="1"/>
  <c r="M22" i="1"/>
  <c r="M15" i="1"/>
  <c r="M16" i="1"/>
  <c r="M2" i="1"/>
  <c r="N18" i="1"/>
  <c r="N26" i="1"/>
  <c r="M26" i="1"/>
  <c r="M18" i="1"/>
  <c r="N51" i="1"/>
  <c r="M51" i="1"/>
  <c r="N88" i="1"/>
  <c r="N63" i="1"/>
  <c r="N137" i="1"/>
  <c r="N89" i="1"/>
  <c r="N185" i="1"/>
  <c r="N78" i="1"/>
  <c r="N123" i="1"/>
  <c r="N117" i="1"/>
  <c r="M63" i="1"/>
  <c r="M137" i="1"/>
  <c r="M89" i="1"/>
  <c r="M185" i="1"/>
  <c r="M78" i="1"/>
  <c r="M123" i="1"/>
  <c r="M117" i="1"/>
  <c r="M88" i="1"/>
  <c r="N83" i="1"/>
  <c r="M83" i="1"/>
  <c r="N101" i="1"/>
  <c r="N175" i="1"/>
  <c r="N107" i="1"/>
  <c r="N136" i="1"/>
  <c r="N112" i="1"/>
  <c r="N87" i="1"/>
  <c r="N109" i="1"/>
  <c r="N120" i="1"/>
  <c r="M175" i="1"/>
  <c r="M107" i="1"/>
  <c r="M136" i="1"/>
  <c r="M112" i="1"/>
  <c r="M87" i="1"/>
  <c r="M109" i="1"/>
  <c r="M120" i="1"/>
  <c r="M101" i="1"/>
  <c r="N108" i="1"/>
  <c r="N132" i="1"/>
  <c r="N202" i="1"/>
  <c r="N143" i="1"/>
  <c r="N166" i="1"/>
  <c r="N195" i="1"/>
  <c r="N84" i="1"/>
  <c r="N91" i="1"/>
  <c r="N233" i="1"/>
  <c r="N94" i="1"/>
  <c r="N183" i="1"/>
  <c r="M132" i="1"/>
  <c r="M202" i="1"/>
  <c r="M143" i="1"/>
  <c r="M166" i="1"/>
  <c r="M195" i="1"/>
  <c r="M84" i="1"/>
  <c r="M91" i="1"/>
  <c r="M233" i="1"/>
  <c r="M94" i="1"/>
  <c r="M183" i="1"/>
  <c r="M108" i="1"/>
  <c r="N279" i="1"/>
  <c r="N276" i="1"/>
  <c r="N145" i="1"/>
  <c r="M145" i="1"/>
  <c r="N119" i="1"/>
  <c r="M119" i="1"/>
  <c r="M9" i="1"/>
  <c r="N9" i="1"/>
  <c r="N122" i="1"/>
  <c r="N79" i="1"/>
  <c r="N179" i="1"/>
  <c r="M79" i="1"/>
  <c r="M179" i="1"/>
  <c r="M122" i="1"/>
  <c r="N232" i="1"/>
  <c r="N116" i="1"/>
  <c r="N199" i="1"/>
  <c r="N172" i="1"/>
  <c r="N93" i="1"/>
  <c r="N124" i="1"/>
  <c r="N37" i="1"/>
  <c r="M116" i="1"/>
  <c r="M199" i="1"/>
  <c r="M172" i="1"/>
  <c r="M93" i="1"/>
  <c r="M124" i="1"/>
  <c r="M37" i="1"/>
  <c r="M232" i="1"/>
  <c r="N81" i="1"/>
  <c r="M81" i="1"/>
  <c r="M90" i="1"/>
  <c r="N90" i="1"/>
  <c r="M177" i="1" l="1"/>
  <c r="M121" i="1"/>
  <c r="M144" i="1"/>
  <c r="M152" i="1"/>
  <c r="M92" i="1"/>
  <c r="M174" i="1"/>
  <c r="N174" i="1"/>
  <c r="N177" i="1"/>
  <c r="N121" i="1"/>
  <c r="N144" i="1"/>
  <c r="N152" i="1"/>
  <c r="N92" i="1"/>
  <c r="M169" i="1"/>
  <c r="M170" i="1"/>
  <c r="M228" i="1"/>
  <c r="M114" i="1"/>
  <c r="M182" i="1"/>
  <c r="M165" i="1"/>
  <c r="N169" i="1"/>
  <c r="N170" i="1"/>
  <c r="N228" i="1"/>
  <c r="N114" i="1"/>
  <c r="N182" i="1"/>
  <c r="N165" i="1"/>
  <c r="L50" i="1"/>
  <c r="M50" i="1" s="1"/>
  <c r="N50" i="1"/>
  <c r="N257" i="1"/>
  <c r="N153" i="1"/>
  <c r="N102" i="1"/>
  <c r="N161" i="1"/>
  <c r="N11" i="1"/>
  <c r="M257" i="1"/>
  <c r="M153" i="1"/>
  <c r="M102" i="1"/>
  <c r="M161" i="1"/>
  <c r="M11" i="1"/>
  <c r="N244" i="1"/>
  <c r="N71" i="1"/>
  <c r="N36" i="1"/>
  <c r="M71" i="1"/>
  <c r="M36" i="1"/>
  <c r="M244" i="1"/>
  <c r="M35" i="1"/>
  <c r="N35" i="1"/>
  <c r="M100" i="1"/>
  <c r="N100" i="1"/>
  <c r="M76" i="1"/>
  <c r="N76" i="1"/>
  <c r="M158" i="1"/>
  <c r="N158" i="1"/>
  <c r="M125" i="1"/>
  <c r="N125" i="1"/>
  <c r="M96" i="1"/>
  <c r="N96" i="1"/>
  <c r="M111" i="1"/>
  <c r="N111" i="1"/>
  <c r="M80" i="1"/>
  <c r="N80" i="1"/>
  <c r="M98" i="1"/>
  <c r="N98" i="1"/>
  <c r="M149" i="1"/>
  <c r="N149" i="1"/>
  <c r="M85" i="1"/>
  <c r="N85" i="1"/>
  <c r="M103" i="1"/>
  <c r="N103" i="1"/>
  <c r="M99" i="1"/>
  <c r="N99" i="1"/>
  <c r="N225" i="1"/>
  <c r="N31" i="1"/>
  <c r="N191" i="1"/>
  <c r="N155" i="1"/>
  <c r="N157" i="1"/>
  <c r="N270" i="1"/>
  <c r="N127" i="1"/>
  <c r="N190" i="1"/>
  <c r="N148" i="1"/>
  <c r="N97" i="1"/>
  <c r="N209" i="1"/>
  <c r="M31" i="1"/>
  <c r="M191" i="1"/>
  <c r="M155" i="1"/>
  <c r="M157" i="1"/>
  <c r="M270" i="1"/>
  <c r="M127" i="1"/>
  <c r="M190" i="1"/>
  <c r="M148" i="1"/>
  <c r="M97" i="1"/>
  <c r="M209" i="1"/>
  <c r="M225" i="1"/>
  <c r="N240" i="1"/>
  <c r="M220" i="1"/>
  <c r="M269" i="1"/>
  <c r="M154" i="1"/>
  <c r="M156" i="1"/>
  <c r="M163" i="1"/>
  <c r="M219" i="1"/>
  <c r="M277" i="1"/>
  <c r="M159" i="1"/>
  <c r="M141" i="1"/>
  <c r="M173" i="1"/>
  <c r="M131" i="1"/>
  <c r="M105" i="1"/>
  <c r="M74" i="1"/>
  <c r="M181" i="1"/>
  <c r="M197" i="1"/>
  <c r="N197" i="1"/>
  <c r="N220" i="1"/>
  <c r="N269" i="1"/>
  <c r="N154" i="1"/>
  <c r="N156" i="1"/>
  <c r="N163" i="1"/>
  <c r="N219" i="1"/>
  <c r="N277" i="1"/>
  <c r="N159" i="1"/>
  <c r="N141" i="1"/>
  <c r="N173" i="1"/>
  <c r="N131" i="1"/>
  <c r="N105" i="1"/>
  <c r="N74" i="1"/>
  <c r="N181" i="1"/>
  <c r="I3" i="5"/>
  <c r="J3" i="5"/>
  <c r="L3" i="5"/>
  <c r="I4" i="5"/>
  <c r="J4" i="5"/>
  <c r="L4" i="5"/>
  <c r="I5" i="5"/>
  <c r="J5" i="5"/>
  <c r="L5" i="5"/>
  <c r="I6" i="5"/>
  <c r="J6" i="5"/>
  <c r="L6" i="5"/>
  <c r="I7" i="5"/>
  <c r="J7" i="5"/>
  <c r="L7" i="5"/>
  <c r="I8" i="5"/>
  <c r="J8" i="5"/>
  <c r="L8" i="5"/>
  <c r="I9" i="5"/>
  <c r="J9" i="5"/>
  <c r="L9" i="5"/>
  <c r="I10" i="5"/>
  <c r="J10" i="5"/>
  <c r="L10" i="5"/>
  <c r="I11" i="5"/>
  <c r="J11" i="5"/>
  <c r="L11" i="5"/>
  <c r="I12" i="5"/>
  <c r="J12" i="5"/>
  <c r="L12" i="5"/>
  <c r="M95" i="1"/>
  <c r="M237" i="1"/>
  <c r="M196" i="1"/>
  <c r="M186" i="1"/>
  <c r="M247" i="1"/>
  <c r="M73" i="1"/>
  <c r="M198" i="1"/>
  <c r="M146" i="1"/>
  <c r="N95" i="1"/>
  <c r="N237" i="1"/>
  <c r="N196" i="1"/>
  <c r="N186" i="1"/>
  <c r="N247" i="1"/>
  <c r="N73" i="1"/>
  <c r="N198" i="1"/>
  <c r="N146" i="1"/>
  <c r="N142" i="1"/>
  <c r="N140" i="1"/>
  <c r="N130" i="1"/>
  <c r="N203" i="1"/>
  <c r="N139" i="1"/>
  <c r="N151" i="1"/>
  <c r="N110" i="1"/>
  <c r="N258" i="1"/>
  <c r="N115" i="1"/>
  <c r="N106" i="1"/>
  <c r="N162" i="1"/>
  <c r="N17" i="1"/>
  <c r="M140" i="1"/>
  <c r="M130" i="1"/>
  <c r="M203" i="1"/>
  <c r="M139" i="1"/>
  <c r="M151" i="1"/>
  <c r="M110" i="1"/>
  <c r="M258" i="1"/>
  <c r="M115" i="1"/>
  <c r="M106" i="1"/>
  <c r="M162" i="1"/>
  <c r="M17" i="1"/>
  <c r="M142" i="1"/>
  <c r="M287" i="1" l="1"/>
  <c r="M261" i="1"/>
  <c r="M201" i="1"/>
  <c r="M242" i="1"/>
  <c r="M113" i="1"/>
  <c r="M243" i="1"/>
  <c r="M264" i="1"/>
  <c r="M21" i="1"/>
  <c r="M150" i="1"/>
  <c r="M268" i="1"/>
  <c r="M284" i="1"/>
  <c r="N284" i="1"/>
  <c r="N150" i="1"/>
  <c r="N268" i="1"/>
  <c r="N287" i="1"/>
  <c r="N261" i="1"/>
  <c r="N201" i="1"/>
  <c r="N242" i="1"/>
  <c r="N113" i="1"/>
  <c r="N243" i="1"/>
  <c r="N264" i="1"/>
  <c r="N21" i="1"/>
  <c r="M291" i="1"/>
  <c r="M245" i="1"/>
  <c r="M217" i="1"/>
  <c r="M168" i="1"/>
  <c r="N291" i="1"/>
  <c r="N245" i="1"/>
  <c r="N217" i="1"/>
  <c r="N168" i="1"/>
  <c r="M230" i="1"/>
  <c r="M193" i="1"/>
  <c r="M167" i="1"/>
  <c r="M246" i="1"/>
  <c r="M41" i="1"/>
  <c r="N41" i="1"/>
  <c r="N246" i="1"/>
  <c r="N167" i="1"/>
  <c r="N193" i="1"/>
  <c r="N230" i="1"/>
  <c r="M138" i="1" l="1"/>
  <c r="M254" i="1"/>
  <c r="J2" i="5"/>
  <c r="I2" i="5"/>
  <c r="L2" i="5"/>
  <c r="N138" i="1"/>
  <c r="N254" i="1"/>
  <c r="N204" i="1" l="1"/>
  <c r="N54" i="1"/>
  <c r="N7" i="1"/>
  <c r="N29" i="1"/>
  <c r="N43" i="1"/>
  <c r="N44" i="1"/>
  <c r="N24" i="1"/>
  <c r="N27" i="1"/>
  <c r="N19" i="1"/>
  <c r="N8" i="1"/>
  <c r="N39" i="1"/>
  <c r="N48" i="1"/>
  <c r="N65" i="1"/>
  <c r="N55" i="1"/>
  <c r="N56" i="1"/>
  <c r="N10" i="1"/>
  <c r="N12" i="1"/>
  <c r="N4" i="1"/>
  <c r="N13" i="1"/>
  <c r="N75" i="1"/>
  <c r="N42" i="1"/>
  <c r="N57" i="1"/>
  <c r="N20" i="1"/>
  <c r="N47" i="1"/>
  <c r="N180" i="1"/>
  <c r="N58" i="1"/>
  <c r="N25" i="1"/>
  <c r="N53" i="1"/>
  <c r="N23" i="1"/>
  <c r="N3" i="1"/>
  <c r="N33" i="1"/>
  <c r="N59" i="1"/>
  <c r="N32" i="1"/>
  <c r="N61" i="1"/>
  <c r="N5" i="1"/>
  <c r="N69" i="1"/>
  <c r="N40" i="1"/>
  <c r="N30" i="1"/>
  <c r="N45" i="1"/>
  <c r="N6" i="1"/>
  <c r="N66" i="1"/>
  <c r="N49" i="1"/>
  <c r="N60" i="1"/>
  <c r="N72" i="1"/>
  <c r="N62" i="1"/>
  <c r="N52" i="1"/>
  <c r="N67" i="1"/>
  <c r="N82" i="1"/>
  <c r="N38" i="1"/>
  <c r="N46" i="1"/>
  <c r="N28" i="1"/>
  <c r="N77" i="1"/>
  <c r="N216" i="1"/>
  <c r="N227" i="1"/>
  <c r="N129" i="1"/>
  <c r="N118" i="1"/>
  <c r="N215" i="1"/>
  <c r="N147" i="1"/>
  <c r="N135" i="1"/>
  <c r="N187" i="1"/>
  <c r="N126" i="1"/>
  <c r="N189" i="1"/>
  <c r="N171" i="1"/>
  <c r="N184" i="1"/>
  <c r="N208" i="1"/>
  <c r="N164" i="1"/>
  <c r="N231" i="1"/>
  <c r="N160" i="1"/>
  <c r="N192" i="1"/>
  <c r="N205" i="1"/>
  <c r="N207" i="1"/>
  <c r="N260" i="1"/>
  <c r="N133" i="1"/>
  <c r="N211" i="1"/>
  <c r="N178" i="1"/>
  <c r="N252" i="1"/>
  <c r="N229" i="1"/>
  <c r="N235" i="1"/>
  <c r="N289" i="1"/>
  <c r="N238" i="1"/>
  <c r="N226" i="1"/>
  <c r="N234" i="1"/>
  <c r="N188" i="1"/>
  <c r="N239" i="1"/>
  <c r="N221" i="1"/>
  <c r="N222" i="1"/>
  <c r="N210" i="1"/>
  <c r="N255" i="1"/>
  <c r="N241" i="1"/>
  <c r="N104" i="1"/>
  <c r="N86" i="1"/>
  <c r="N218" i="1"/>
  <c r="N213" i="1"/>
  <c r="N248" i="1"/>
  <c r="N250" i="1"/>
  <c r="N224" i="1"/>
  <c r="N251" i="1"/>
  <c r="N266" i="1"/>
  <c r="N176" i="1"/>
  <c r="N223" i="1"/>
  <c r="N134" i="1"/>
  <c r="N206" i="1"/>
  <c r="N278" i="1"/>
  <c r="N249" i="1"/>
  <c r="N286" i="1"/>
  <c r="N265" i="1"/>
  <c r="N275" i="1"/>
  <c r="N262" i="1"/>
  <c r="N283" i="1"/>
  <c r="N281" i="1"/>
  <c r="N256" i="1"/>
  <c r="N271" i="1"/>
  <c r="N236" i="1"/>
  <c r="N285" i="1"/>
  <c r="N253" i="1"/>
  <c r="N267" i="1"/>
  <c r="N263" i="1"/>
  <c r="N214" i="1"/>
  <c r="N280" i="1"/>
  <c r="N272" i="1"/>
  <c r="N290" i="1"/>
  <c r="N273" i="1"/>
  <c r="N259" i="1"/>
  <c r="N200" i="1"/>
  <c r="N282" i="1"/>
  <c r="N292" i="1"/>
  <c r="N274" i="1"/>
  <c r="N288" i="1"/>
  <c r="N293" i="1"/>
  <c r="N294" i="1"/>
  <c r="N295" i="1"/>
  <c r="N194" i="1"/>
  <c r="N212" i="1"/>
  <c r="N128" i="1"/>
</calcChain>
</file>

<file path=xl/sharedStrings.xml><?xml version="1.0" encoding="utf-8"?>
<sst xmlns="http://schemas.openxmlformats.org/spreadsheetml/2006/main" count="1777" uniqueCount="321">
  <si>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</si>
  <si>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</si>
  <si>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</si>
  <si>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</si>
  <si>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</si>
  <si>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</si>
  <si>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</si>
  <si>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</si>
  <si>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</si>
  <si>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</si>
  <si>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</si>
  <si>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</si>
  <si>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</si>
  <si>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</si>
  <si>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</si>
  <si>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</si>
  <si>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</si>
  <si>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</si>
  <si>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</si>
  <si>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</si>
  <si>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</si>
  <si>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</si>
  <si>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</si>
  <si>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</si>
  <si>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</si>
  <si>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</si>
  <si>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</si>
  <si>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</si>
  <si>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</si>
  <si>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</si>
  <si>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Executed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</si>
  <si>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</si>
  <si>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</si>
  <si>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</si>
  <si>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</si>
  <si>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</si>
  <si>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</si>
  <si>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</si>
  <si>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</si>
  <si>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</si>
  <si>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</si>
  <si>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</si>
  <si>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</si>
  <si>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</si>
  <si>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</si>
  <si>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</si>
  <si>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</si>
  <si>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</si>
  <si>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</si>
  <si>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</si>
  <si>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</si>
  <si>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</si>
  <si>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</si>
  <si>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</si>
  <si>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</si>
  <si>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</si>
  <si>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</si>
  <si>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</si>
  <si>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</si>
  <si>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</si>
  <si>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</si>
  <si>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</si>
  <si>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</si>
  <si>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</si>
  <si>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</si>
  <si>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</si>
  <si>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</si>
  <si>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</si>
  <si>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</si>
  <si>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</si>
  <si>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</si>
  <si>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</si>
  <si>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</si>
  <si>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</si>
  <si>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</si>
  <si>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</si>
  <si>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</si>
  <si>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</si>
  <si>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</si>
  <si>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</si>
  <si>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</si>
  <si>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</si>
  <si>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</si>
  <si>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</si>
  <si>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</si>
  <si>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</si>
  <si>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</si>
  <si>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</si>
  <si>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</si>
  <si>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</si>
  <si>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</si>
  <si>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</si>
  <si>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</si>
  <si>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</si>
  <si>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</si>
  <si>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</si>
  <si>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</si>
  <si>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</si>
  <si>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</si>
  <si>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</si>
  <si>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</si>
  <si>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</si>
  <si>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</si>
  <si>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</si>
  <si>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</si>
  <si>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</si>
  <si>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</si>
  <si>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</si>
  <si>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</si>
  <si>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</si>
  <si>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</si>
  <si>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</si>
  <si>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</si>
  <si>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</si>
  <si>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</si>
  <si>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</si>
  <si>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</si>
  <si>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</si>
  <si>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</si>
  <si>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</si>
  <si>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</si>
  <si>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</si>
  <si>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</si>
  <si>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</si>
  <si>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</si>
  <si>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</si>
  <si>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</si>
  <si>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</si>
  <si>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</si>
  <si>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</si>
  <si>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</si>
  <si>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</si>
  <si>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</si>
  <si>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</si>
  <si>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</si>
  <si>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</si>
  <si>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</si>
  <si>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</si>
  <si>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</si>
  <si>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</si>
  <si>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</si>
  <si>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</si>
  <si>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</si>
  <si>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</si>
  <si>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5*632 :19 AUG 2026 09:00:50 AM</t>
  </si>
  <si>
    <t>B 50*344 :19 AUG 2026 09:00:50 AM</t>
  </si>
  <si>
    <t>B 10*223 :19 AUG 2026 09:00:48 AM</t>
  </si>
  <si>
    <t>B 10*2620 :20 AUG 2026 03:25:59 PM</t>
  </si>
  <si>
    <t>S 7*2324 :20 AUG 2026 09:00:50 AM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</si>
  <si>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</si>
  <si>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</si>
  <si>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</si>
  <si>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</si>
  <si>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</si>
  <si>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</si>
  <si>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</si>
  <si>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</si>
  <si>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</si>
  <si>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</si>
  <si>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S 3*2371 :24 AUG 2026 02:26:59 PM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</si>
  <si>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</si>
  <si>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</si>
  <si>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</si>
  <si>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</si>
  <si>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</si>
  <si>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</si>
  <si>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</si>
  <si>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</si>
  <si>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</si>
  <si>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</si>
  <si>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</si>
  <si>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</si>
  <si>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</si>
  <si>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</si>
  <si>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S 3*2448 :26 AUG 2026 09:00:49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</si>
  <si>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</si>
  <si>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</si>
  <si>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</si>
  <si>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</si>
  <si>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</si>
  <si>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</si>
  <si>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</si>
  <si>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</si>
  <si>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5*2888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</si>
  <si>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</si>
  <si>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</si>
  <si>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</si>
  <si>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</si>
  <si>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</si>
  <si>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</si>
  <si>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</si>
  <si>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</si>
  <si>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</si>
  <si>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5*712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</si>
  <si>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</si>
  <si>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</si>
  <si>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</si>
  <si>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</si>
  <si>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</si>
  <si>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</si>
  <si>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</si>
  <si>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</si>
  <si>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</si>
  <si>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</si>
  <si>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</si>
  <si>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</si>
  <si>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</si>
  <si>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</si>
  <si>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</si>
  <si>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</si>
  <si>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5*702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</si>
  <si>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</si>
  <si>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</si>
  <si>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</si>
  <si>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</si>
  <si>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</si>
  <si>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</si>
  <si>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</si>
  <si>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</si>
  <si>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</si>
  <si>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</si>
  <si>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</si>
  <si>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</si>
  <si>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</si>
  <si>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</si>
  <si>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</si>
  <si>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</si>
  <si>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</si>
  <si>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</si>
  <si>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</si>
  <si>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</si>
  <si>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</si>
  <si>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</si>
  <si>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</si>
  <si>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</si>
  <si>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5*601 :02 SEP 2026 09:00:47 AM</t>
  </si>
  <si>
    <t>B 30*860 :03 SEP 2026 09:00:49 AM</t>
  </si>
  <si>
    <t>B 100*322 :03 SEP 2026 09:00:47 AM</t>
  </si>
  <si>
    <t>S 100*219 :03 SEP 2026 09:15:08 AM</t>
  </si>
  <si>
    <t>B 1*5180 :04 SEP 2026 03:26:46 PM</t>
  </si>
  <si>
    <t>B 10*1814 :04 SEP 2026 09:52:27 AM</t>
  </si>
  <si>
    <t>B 40*212 :04 SEP 2026 02:45:11 PM</t>
  </si>
  <si>
    <t>B 5*421 :04 SEP 2026 09:00:48 AM</t>
  </si>
  <si>
    <t>S 2*3440 :04 SEP 2026 09:00:45 AM</t>
  </si>
  <si>
    <t>S 3*1794 :04 SEP 2026 09:00:46 AM</t>
  </si>
  <si>
    <t>GTD</t>
  </si>
  <si>
    <t>Y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</si>
  <si>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</si>
  <si>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</si>
  <si>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</si>
  <si>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</si>
  <si>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</si>
  <si>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</si>
  <si>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</si>
  <si>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</si>
  <si>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</si>
  <si>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90*290.1 :08 SEP 2026 09:00:52 AM</t>
  </si>
  <si>
    <t>B 500*33.16 :08 SEP 2026 09:15:08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</si>
  <si>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</si>
  <si>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</si>
  <si>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</si>
  <si>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</si>
  <si>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</si>
  <si>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7*2401 :09 SEP 2026 09:00:56 AM</t>
  </si>
  <si>
    <t>B 5*680 :09 SEP 2026 09:00:56 AM</t>
  </si>
  <si>
    <t>B 5*3938 :09 SEP 2026 09:00:56 AM</t>
  </si>
  <si>
    <t>B 2*2426 :09 SEP 2026 09:00:56 AM</t>
  </si>
  <si>
    <t>S 15*1040 :09 SEP 2026 09:00:49 AM</t>
  </si>
  <si>
    <t>B 5*660 :10 SEP 2026 09:00:54 AM</t>
  </si>
  <si>
    <t>B 50*208 :10 SEP 2026 09:00:55 AM</t>
  </si>
  <si>
    <t>B 30*2460 :10 SEP 2026 12:11:32 PM</t>
  </si>
  <si>
    <t>S 250*225.5 :10 SEP 2026 10:59:02 AM</t>
  </si>
  <si>
    <t>B 20*268.5 :11 SEP 2026 03:04:39 PM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</si>
  <si>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</si>
  <si>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</si>
  <si>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</si>
  <si>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</si>
  <si>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</si>
  <si>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1*13052 :11 SEP 2026 09:00:51 AM</t>
  </si>
  <si>
    <t>B 10*1132 :11 SEP 2026 09:00:51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</si>
  <si>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</si>
  <si>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</si>
  <si>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</si>
  <si>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</si>
  <si>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</si>
  <si>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5*579.85 :15 SEP 2026 01:51:51 PM</t>
  </si>
  <si>
    <t>B 5*4690 :15 SEP 2026 01:49:41 PM</t>
  </si>
  <si>
    <t>B 100*393 :15 SEP 2026 10:27:31 AM</t>
  </si>
  <si>
    <t>B 5*1664 :15 SEP 2026 09:01:19 AM</t>
  </si>
  <si>
    <t>B 10*261 :15 SEP 2026 09:01:20 AM</t>
  </si>
  <si>
    <t>B 37*277 :15 SEP 2026 09:01:19 AM</t>
  </si>
  <si>
    <t>KANOHAREQ</t>
  </si>
  <si>
    <t>B 5*1117 :16 SEP 2026 10:38:49 AM</t>
  </si>
  <si>
    <t>S 23*780 :16 SEP 2026 10:00:11 AM</t>
  </si>
  <si>
    <t>B 1*4410 :16 SEP 2026 09:40:57 AM</t>
  </si>
  <si>
    <t>B 5*1146 :16 SEP 2026 09:20:41 AM</t>
  </si>
  <si>
    <t>B 9*2230 :16 SEP 2026 09:04:59 AM</t>
  </si>
  <si>
    <t>B 1*4640 :16 SEP 2026 09:02:25 AM</t>
  </si>
  <si>
    <t>B 10*1650 :16 SEP 2026 09:00:59 AM</t>
  </si>
  <si>
    <t>B 1*19300 :16 SEP 2026 09:00:56 AM</t>
  </si>
  <si>
    <t>NSE:KANOHAR</t>
  </si>
  <si>
    <t>S 50*211 :46282.4436226852</t>
  </si>
  <si>
    <t>S 40*898 :46282.4167939815</t>
  </si>
  <si>
    <t>ESDSEQ</t>
  </si>
  <si>
    <t>B 2*1564.55 :18 SEP 2026 01:46:39 PM</t>
  </si>
  <si>
    <t>S 10*927 :18 SEP 2026 09:00:42 AM</t>
  </si>
  <si>
    <t>S 20*896 :18 SEP 2026 09:00:42 AM</t>
  </si>
  <si>
    <t>S 25*348 :18 SEP 2026 09:00:42 AM</t>
  </si>
  <si>
    <t>S 10*907 :18 SEP 2026 09:00:42 AM</t>
  </si>
  <si>
    <t>S 10*917 :18 SEP 2026 09:00:15 AM</t>
  </si>
  <si>
    <t>NSE:ESDS</t>
  </si>
  <si>
    <t>21 SEP 2026 12:39:17 PM</t>
  </si>
  <si>
    <t>21 SEP 2026 11:14:00 AM</t>
  </si>
  <si>
    <t>21 SEP 2026 09:01:06 AM</t>
  </si>
  <si>
    <t>21 SEP 2026 09:00:24 AM</t>
  </si>
  <si>
    <t>21 SEP 2026 09:00:15 AM</t>
  </si>
  <si>
    <t>S 1*4724 :21 SEP 2026 12:39:17 PM</t>
  </si>
  <si>
    <t>B 2*3183.6 :21 SEP 2026 11:14:00 AM</t>
  </si>
  <si>
    <t>B 30*897 :21 SEP 2026 09:01:06 AM</t>
  </si>
  <si>
    <t>S 5*1794 :21 SEP 2026 09:00:24 AM</t>
  </si>
  <si>
    <t>S 10*747 :21 SEP 2026 09:00:15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</si>
</sst>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8" borderId="1" xfId="0" applyFill="1" applyBorder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/>
    <xf numFmtId="0" fontId="0" fillId="8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15" fontId="1" fillId="9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10" borderId="0" xfId="0" applyFill="1" applyAlignment="1">
      <alignment horizontal="center" vertical="top"/>
    </xf>
    <xf numFmtId="0" fontId="0" fillId="10" borderId="0" xfId="0" applyFill="1"/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22" fontId="1" fillId="3" borderId="1" xfId="0" applyNumberFormat="1" applyFont="1" applyFill="1" applyBorder="1" applyAlignment="1">
      <alignment horizontal="center" vertical="top" wrapText="1"/>
    </xf>
    <xf numFmtId="0" fontId="1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5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 wrapText="1"/>
    </xf>
    <xf numFmtId="0" fontId="0" fillId="8" borderId="0" xfId="0" applyFill="1" applyAlignment="1">
      <alignment horizontal="left" vertical="top" wrapText="1"/>
    </xf>
    <xf numFmtId="0" fontId="2" fillId="0" borderId="0" xfId="0" applyFont="1" applyAlignment="1">
      <alignment horizontal="left" wrapText="1"/>
    </xf>
    <xf numFmtId="0" fontId="1" fillId="8" borderId="1" xfId="0" applyFont="1" applyFill="1" applyBorder="1" applyAlignment="1">
      <alignment horizontal="center" vertical="top" wrapText="1"/>
    </xf>
    <xf numFmtId="0" fontId="1" fillId="8" borderId="1" xfId="0" applyFont="1" applyFill="1" applyBorder="1" applyAlignment="1">
      <alignment horizontal="right" wrapText="1"/>
    </xf>
    <xf numFmtId="0" fontId="2" fillId="8" borderId="1" xfId="0" applyFont="1" applyFill="1" applyBorder="1" applyAlignment="1">
      <alignment wrapText="1"/>
    </xf>
    <xf numFmtId="0" fontId="2" fillId="8" borderId="1" xfId="0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22" fontId="1" fillId="8" borderId="1" xfId="0" applyNumberFormat="1" applyFont="1" applyFill="1" applyBorder="1" applyAlignment="1">
      <alignment horizontal="center" vertical="top" wrapText="1"/>
    </xf>
    <xf numFmtId="22" fontId="1" fillId="3" borderId="1" xfId="0" applyNumberFormat="1" applyFont="1" applyFill="1" applyBorder="1" applyAlignment="1">
      <alignment horizontal="right"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 applyAlignment="1">
      <alignment horizontal="right" wrapText="1"/>
    </xf>
    <xf numFmtId="0" fontId="2" fillId="3" borderId="1" xfId="0" applyFont="1" applyFill="1" applyBorder="1" applyAlignment="1">
      <alignment wrapText="1"/>
    </xf>
    <xf numFmtId="0" fontId="2" fillId="3" borderId="1" xfId="0" applyFont="1" applyFill="1" applyBorder="1" applyAlignment="1">
      <alignment horizontal="right" wrapText="1"/>
    </xf>
    <xf numFmtId="0" fontId="1" fillId="0" borderId="0" xfId="0" applyFont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01"/>
  <sheetViews>
    <sheetView tabSelected="1" zoomScaleNormal="100" workbookViewId="0">
      <pane ySplit="1" topLeftCell="A157" activePane="bottomLeft" state="frozen"/>
      <selection pane="bottomLeft" sqref="A1:XFD1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8" customWidth="1"/>
    <col min="11" max="11" width="19" style="18" customWidth="1"/>
    <col min="12" max="13" width="8.90625" style="18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37</v>
      </c>
      <c r="G1" s="2" t="s">
        <v>38</v>
      </c>
      <c r="H1" s="2" t="s">
        <v>39</v>
      </c>
      <c r="I1" s="1" t="s">
        <v>5</v>
      </c>
      <c r="J1" s="21" t="s">
        <v>140</v>
      </c>
      <c r="K1" s="16" t="s">
        <v>151</v>
      </c>
      <c r="L1" s="18" t="s">
        <v>152</v>
      </c>
      <c r="M1" s="18" t="s">
        <v>153</v>
      </c>
      <c r="O1" s="10" t="s">
        <v>245</v>
      </c>
    </row>
    <row r="2" spans="1:16" customFormat="1" ht="40.75" customHeight="1" thickBot="1" x14ac:dyDescent="0.4">
      <c r="A2" s="3">
        <v>46283.574062500003</v>
      </c>
      <c r="B2" s="1" t="s">
        <v>303</v>
      </c>
      <c r="C2" s="1" t="s">
        <v>7</v>
      </c>
      <c r="D2" s="4">
        <v>2</v>
      </c>
      <c r="E2" s="4">
        <v>1715</v>
      </c>
      <c r="F2" s="4">
        <v>9.6161835670000002</v>
      </c>
      <c r="G2" s="2" t="s">
        <v>310</v>
      </c>
      <c r="H2" s="5">
        <v>1564.55</v>
      </c>
      <c r="I2" s="1" t="s">
        <v>8</v>
      </c>
      <c r="J2" s="24" t="s">
        <v>118</v>
      </c>
      <c r="K2" s="18" t="s">
        <v>304</v>
      </c>
      <c r="L2" s="18">
        <v>3129.1</v>
      </c>
      <c r="M2" s="18">
        <f>ABS((D2*E2)-L2)</f>
        <v>300.90000000000009</v>
      </c>
      <c r="N2" s="10" t="str">
        <f t="shared" ref="N2:N33" si="0">IF(COUNTIFS( $B$2:$B$734, B2, $C$2:$C$734, C2, $D$2:$D$734, D2, $E$2:$E$734, E2) &gt; 1, "Duplicate", "Unique")</f>
        <v>Unique</v>
      </c>
      <c r="O2" s="10"/>
      <c r="P2" s="10"/>
    </row>
    <row r="3" spans="1:16" customFormat="1" ht="27.65" customHeight="1" thickBot="1" x14ac:dyDescent="0.4">
      <c r="A3" s="6" t="s">
        <v>62</v>
      </c>
      <c r="B3" s="1" t="s">
        <v>15</v>
      </c>
      <c r="C3" s="1" t="s">
        <v>10</v>
      </c>
      <c r="D3" s="4">
        <v>5</v>
      </c>
      <c r="E3" s="4">
        <v>2470</v>
      </c>
      <c r="F3" s="4">
        <v>2.8309741879999999</v>
      </c>
      <c r="G3" s="2" t="s">
        <v>72</v>
      </c>
      <c r="H3" s="5">
        <v>2402</v>
      </c>
      <c r="I3" s="1" t="s">
        <v>8</v>
      </c>
      <c r="J3" s="37" t="s">
        <v>41</v>
      </c>
      <c r="K3" s="17"/>
      <c r="L3" s="17"/>
      <c r="M3" s="17"/>
      <c r="N3" t="str">
        <f t="shared" si="0"/>
        <v>Unique</v>
      </c>
      <c r="O3" s="10"/>
      <c r="P3" s="25"/>
    </row>
    <row r="4" spans="1:16" customFormat="1" ht="15" customHeight="1" thickBot="1" x14ac:dyDescent="0.4">
      <c r="A4" s="6" t="s">
        <v>62</v>
      </c>
      <c r="B4" s="1" t="s">
        <v>9</v>
      </c>
      <c r="C4" s="1" t="s">
        <v>10</v>
      </c>
      <c r="D4" s="4">
        <v>20</v>
      </c>
      <c r="E4" s="4">
        <v>281</v>
      </c>
      <c r="F4" s="4">
        <v>1.572383879</v>
      </c>
      <c r="G4" s="2" t="s">
        <v>95</v>
      </c>
      <c r="H4" s="5">
        <v>276.64999999999998</v>
      </c>
      <c r="I4" s="1" t="s">
        <v>8</v>
      </c>
      <c r="J4" s="37" t="s">
        <v>41</v>
      </c>
      <c r="K4" s="17"/>
      <c r="L4" s="17"/>
      <c r="M4" s="17"/>
      <c r="N4" t="str">
        <f t="shared" si="0"/>
        <v>Unique</v>
      </c>
      <c r="O4" s="10"/>
      <c r="P4" s="26"/>
    </row>
    <row r="5" spans="1:16" customFormat="1" ht="15" customHeight="1" thickBot="1" x14ac:dyDescent="0.4">
      <c r="A5" s="6" t="s">
        <v>62</v>
      </c>
      <c r="B5" s="1" t="s">
        <v>15</v>
      </c>
      <c r="C5" s="1" t="s">
        <v>10</v>
      </c>
      <c r="D5" s="4">
        <v>30</v>
      </c>
      <c r="E5" s="4">
        <v>2435</v>
      </c>
      <c r="F5" s="4">
        <v>1.3738551210000001</v>
      </c>
      <c r="G5" s="2" t="s">
        <v>72</v>
      </c>
      <c r="H5" s="5">
        <v>2402</v>
      </c>
      <c r="I5" s="1" t="s">
        <v>8</v>
      </c>
      <c r="J5" s="37" t="s">
        <v>55</v>
      </c>
      <c r="K5" s="17"/>
      <c r="L5" s="17"/>
      <c r="M5" s="17"/>
      <c r="N5" t="str">
        <f t="shared" si="0"/>
        <v>Unique</v>
      </c>
      <c r="O5" s="10"/>
      <c r="P5" s="10"/>
    </row>
    <row r="6" spans="1:16" customFormat="1" ht="40.75" customHeight="1" thickBot="1" x14ac:dyDescent="0.4">
      <c r="A6" s="6" t="s">
        <v>62</v>
      </c>
      <c r="B6" s="1" t="s">
        <v>12</v>
      </c>
      <c r="C6" s="1" t="s">
        <v>10</v>
      </c>
      <c r="D6" s="4">
        <v>3</v>
      </c>
      <c r="E6" s="4">
        <v>4710</v>
      </c>
      <c r="F6" s="4">
        <v>1.2358946799999999</v>
      </c>
      <c r="G6" s="2" t="s">
        <v>98</v>
      </c>
      <c r="H6" s="5">
        <v>4652.5</v>
      </c>
      <c r="I6" s="1" t="s">
        <v>8</v>
      </c>
      <c r="J6" s="37" t="s">
        <v>55</v>
      </c>
      <c r="K6" s="17"/>
      <c r="L6" s="17"/>
      <c r="M6" s="17"/>
      <c r="N6" t="str">
        <f t="shared" si="0"/>
        <v>Unique</v>
      </c>
    </row>
    <row r="7" spans="1:16" customFormat="1" ht="27.65" customHeight="1" thickBot="1" x14ac:dyDescent="0.4">
      <c r="A7" s="3">
        <v>46252.645138888889</v>
      </c>
      <c r="B7" s="1" t="s">
        <v>68</v>
      </c>
      <c r="C7" s="1" t="s">
        <v>10</v>
      </c>
      <c r="D7" s="4">
        <v>10</v>
      </c>
      <c r="E7" s="4">
        <v>401</v>
      </c>
      <c r="F7" s="4">
        <v>0.98212037269999997</v>
      </c>
      <c r="G7" s="2" t="s">
        <v>69</v>
      </c>
      <c r="H7" s="5">
        <v>397.1</v>
      </c>
      <c r="I7" s="1" t="s">
        <v>8</v>
      </c>
      <c r="J7" s="39" t="s">
        <v>41</v>
      </c>
      <c r="K7" s="17"/>
      <c r="L7" s="17"/>
      <c r="M7" s="17"/>
      <c r="N7" t="str">
        <f t="shared" si="0"/>
        <v>Unique</v>
      </c>
      <c r="O7" s="10"/>
      <c r="P7" s="10"/>
    </row>
    <row r="8" spans="1:16" customFormat="1" ht="27.65" customHeight="1" thickBot="1" x14ac:dyDescent="0.4">
      <c r="A8" s="6" t="s">
        <v>62</v>
      </c>
      <c r="B8" s="1" t="s">
        <v>49</v>
      </c>
      <c r="C8" s="1" t="s">
        <v>10</v>
      </c>
      <c r="D8" s="4">
        <v>5</v>
      </c>
      <c r="E8" s="4">
        <v>3888</v>
      </c>
      <c r="F8" s="4">
        <v>-0.21814448859999999</v>
      </c>
      <c r="G8" s="2" t="s">
        <v>50</v>
      </c>
      <c r="H8" s="5">
        <v>3896.5</v>
      </c>
      <c r="I8" s="1" t="s">
        <v>8</v>
      </c>
      <c r="J8" s="37"/>
      <c r="K8" s="17"/>
      <c r="L8" s="17"/>
      <c r="M8" s="17"/>
      <c r="N8" t="str">
        <f t="shared" si="0"/>
        <v>Unique</v>
      </c>
      <c r="O8" s="26"/>
      <c r="P8" s="10"/>
    </row>
    <row r="9" spans="1:16" customFormat="1" ht="15" customHeight="1" thickBot="1" x14ac:dyDescent="0.4">
      <c r="A9" s="3">
        <v>46275.457638888889</v>
      </c>
      <c r="B9" s="1" t="s">
        <v>19</v>
      </c>
      <c r="C9" s="1" t="s">
        <v>10</v>
      </c>
      <c r="D9" s="4">
        <v>100</v>
      </c>
      <c r="E9" s="4">
        <v>222</v>
      </c>
      <c r="F9" s="4">
        <v>-1.0033444819999999</v>
      </c>
      <c r="G9" s="2" t="s">
        <v>40</v>
      </c>
      <c r="H9" s="5">
        <v>224.25</v>
      </c>
      <c r="I9" s="1" t="s">
        <v>8</v>
      </c>
      <c r="J9" s="24" t="s">
        <v>41</v>
      </c>
      <c r="K9" s="18" t="s">
        <v>271</v>
      </c>
      <c r="L9" s="18">
        <v>56375</v>
      </c>
      <c r="M9" s="18">
        <f>ABS((D9*E9)-L9)</f>
        <v>34175</v>
      </c>
      <c r="N9" s="10" t="str">
        <f t="shared" si="0"/>
        <v>Unique</v>
      </c>
      <c r="O9" s="10"/>
      <c r="P9" s="10"/>
    </row>
    <row r="10" spans="1:16" customFormat="1" ht="15" customHeight="1" thickBot="1" x14ac:dyDescent="0.4">
      <c r="A10" s="6" t="s">
        <v>62</v>
      </c>
      <c r="B10" s="1" t="s">
        <v>49</v>
      </c>
      <c r="C10" s="1" t="s">
        <v>10</v>
      </c>
      <c r="D10" s="4">
        <v>2</v>
      </c>
      <c r="E10" s="4">
        <v>3856</v>
      </c>
      <c r="F10" s="4">
        <v>-1.039394328</v>
      </c>
      <c r="G10" s="2" t="s">
        <v>50</v>
      </c>
      <c r="H10" s="5">
        <v>3896.5</v>
      </c>
      <c r="I10" s="1" t="s">
        <v>8</v>
      </c>
      <c r="J10" s="37"/>
      <c r="K10" s="17"/>
      <c r="L10" s="17"/>
      <c r="M10" s="17"/>
      <c r="N10" t="str">
        <f t="shared" si="0"/>
        <v>Unique</v>
      </c>
      <c r="O10" s="19"/>
      <c r="P10" s="10"/>
    </row>
    <row r="11" spans="1:16" customFormat="1" ht="27.65" customHeight="1" thickBot="1" x14ac:dyDescent="0.4">
      <c r="A11" s="3">
        <v>46269.375</v>
      </c>
      <c r="B11" s="1" t="s">
        <v>74</v>
      </c>
      <c r="C11" s="1" t="s">
        <v>10</v>
      </c>
      <c r="D11" s="4">
        <v>2</v>
      </c>
      <c r="E11" s="4">
        <v>3210</v>
      </c>
      <c r="F11" s="4">
        <v>-1.291512915</v>
      </c>
      <c r="G11" s="2" t="s">
        <v>75</v>
      </c>
      <c r="H11" s="5">
        <v>3252</v>
      </c>
      <c r="I11" s="1" t="s">
        <v>8</v>
      </c>
      <c r="J11" s="24" t="s">
        <v>41</v>
      </c>
      <c r="K11" s="18" t="s">
        <v>243</v>
      </c>
      <c r="L11" s="18">
        <v>6880</v>
      </c>
      <c r="M11" s="27">
        <f>ABS((D11*E11)-L11)</f>
        <v>460</v>
      </c>
      <c r="N11" t="str">
        <f t="shared" si="0"/>
        <v>Unique</v>
      </c>
      <c r="P11" s="10"/>
    </row>
    <row r="12" spans="1:16" customFormat="1" ht="27.65" customHeight="1" thickBot="1" x14ac:dyDescent="0.4">
      <c r="A12" s="6" t="s">
        <v>62</v>
      </c>
      <c r="B12" s="1" t="s">
        <v>34</v>
      </c>
      <c r="C12" s="1" t="s">
        <v>10</v>
      </c>
      <c r="D12" s="4">
        <v>1</v>
      </c>
      <c r="E12" s="4">
        <v>18552</v>
      </c>
      <c r="F12" s="4">
        <v>-1.476367499</v>
      </c>
      <c r="G12" s="2" t="s">
        <v>71</v>
      </c>
      <c r="H12" s="5">
        <v>18830</v>
      </c>
      <c r="I12" s="1" t="s">
        <v>8</v>
      </c>
      <c r="J12" s="37"/>
      <c r="K12" s="17"/>
      <c r="L12" s="17"/>
      <c r="M12" s="17"/>
      <c r="N12" t="str">
        <f t="shared" si="0"/>
        <v>Unique</v>
      </c>
    </row>
    <row r="13" spans="1:16" customFormat="1" ht="27.65" customHeight="1" thickBot="1" x14ac:dyDescent="0.4">
      <c r="A13" s="6" t="s">
        <v>62</v>
      </c>
      <c r="B13" s="1" t="s">
        <v>49</v>
      </c>
      <c r="C13" s="1" t="s">
        <v>10</v>
      </c>
      <c r="D13" s="4">
        <v>2</v>
      </c>
      <c r="E13" s="4">
        <v>3830</v>
      </c>
      <c r="F13" s="4">
        <v>-1.7066598230000001</v>
      </c>
      <c r="G13" s="2" t="s">
        <v>50</v>
      </c>
      <c r="H13" s="5">
        <v>3896.5</v>
      </c>
      <c r="I13" s="1" t="s">
        <v>8</v>
      </c>
      <c r="J13" s="37"/>
      <c r="K13" s="17"/>
      <c r="L13" s="17"/>
      <c r="M13" s="17"/>
      <c r="N13" t="str">
        <f t="shared" si="0"/>
        <v>Unique</v>
      </c>
      <c r="O13" s="10"/>
      <c r="P13" s="10"/>
    </row>
    <row r="14" spans="1:16" customFormat="1" ht="15" customHeight="1" thickBot="1" x14ac:dyDescent="0.4">
      <c r="A14" s="32">
        <v>46283.375486111108</v>
      </c>
      <c r="B14" s="33" t="s">
        <v>51</v>
      </c>
      <c r="C14" s="33" t="s">
        <v>10</v>
      </c>
      <c r="D14" s="34">
        <v>10</v>
      </c>
      <c r="E14" s="34">
        <v>897</v>
      </c>
      <c r="F14" s="4">
        <v>-1.908250861</v>
      </c>
      <c r="G14" s="2" t="s">
        <v>52</v>
      </c>
      <c r="H14" s="5">
        <v>914.45</v>
      </c>
      <c r="I14" s="1" t="s">
        <v>8</v>
      </c>
      <c r="J14" s="28" t="s">
        <v>55</v>
      </c>
      <c r="K14" s="29" t="s">
        <v>305</v>
      </c>
      <c r="L14" s="29">
        <v>9270</v>
      </c>
      <c r="M14" s="29">
        <f>ABS((D14*E14)-L14)</f>
        <v>300</v>
      </c>
      <c r="N14" s="31" t="str">
        <f t="shared" si="0"/>
        <v>Duplicate</v>
      </c>
      <c r="O14" s="31"/>
      <c r="P14" s="31"/>
    </row>
    <row r="15" spans="1:16" customFormat="1" ht="27.65" customHeight="1" thickBot="1" x14ac:dyDescent="0.4">
      <c r="A15" s="32">
        <v>46283.375486111108</v>
      </c>
      <c r="B15" s="33" t="s">
        <v>51</v>
      </c>
      <c r="C15" s="33" t="s">
        <v>10</v>
      </c>
      <c r="D15" s="34">
        <v>10</v>
      </c>
      <c r="E15" s="34">
        <v>897</v>
      </c>
      <c r="F15" s="4">
        <v>-1.908250861</v>
      </c>
      <c r="G15" s="2" t="s">
        <v>52</v>
      </c>
      <c r="H15" s="5">
        <v>914.45</v>
      </c>
      <c r="I15" s="1" t="s">
        <v>8</v>
      </c>
      <c r="J15" s="28" t="s">
        <v>55</v>
      </c>
      <c r="K15" s="29" t="s">
        <v>308</v>
      </c>
      <c r="L15" s="29">
        <v>9070</v>
      </c>
      <c r="M15" s="29">
        <f>ABS((D15*E15)-L15)</f>
        <v>100</v>
      </c>
      <c r="N15" s="31" t="str">
        <f t="shared" si="0"/>
        <v>Duplicate</v>
      </c>
      <c r="O15" s="31"/>
      <c r="P15" s="31"/>
    </row>
    <row r="16" spans="1:16" customFormat="1" ht="27.65" customHeight="1" thickBot="1" x14ac:dyDescent="0.4">
      <c r="A16" s="32">
        <v>46283.375173611108</v>
      </c>
      <c r="B16" s="33" t="s">
        <v>51</v>
      </c>
      <c r="C16" s="33" t="s">
        <v>10</v>
      </c>
      <c r="D16" s="34">
        <v>10</v>
      </c>
      <c r="E16" s="34">
        <v>897</v>
      </c>
      <c r="F16" s="4">
        <v>-1.908250861</v>
      </c>
      <c r="G16" s="2" t="s">
        <v>52</v>
      </c>
      <c r="H16" s="5">
        <v>914.45</v>
      </c>
      <c r="I16" s="1" t="s">
        <v>8</v>
      </c>
      <c r="J16" s="28" t="s">
        <v>55</v>
      </c>
      <c r="K16" s="29" t="s">
        <v>309</v>
      </c>
      <c r="L16" s="29">
        <v>9170</v>
      </c>
      <c r="M16" s="29">
        <f>ABS((D16*E16)-L16)</f>
        <v>200</v>
      </c>
      <c r="N16" s="31" t="str">
        <f t="shared" si="0"/>
        <v>Duplicate</v>
      </c>
      <c r="O16" s="31"/>
      <c r="P16" s="31"/>
    </row>
    <row r="17" spans="1:16" customFormat="1" ht="27.65" customHeight="1" thickBot="1" x14ac:dyDescent="0.4">
      <c r="A17" s="3">
        <v>46261.375</v>
      </c>
      <c r="B17" s="1" t="s">
        <v>23</v>
      </c>
      <c r="C17" s="1" t="s">
        <v>10</v>
      </c>
      <c r="D17" s="4">
        <v>50</v>
      </c>
      <c r="E17" s="4">
        <v>205</v>
      </c>
      <c r="F17" s="4">
        <v>-2.0544672720000001</v>
      </c>
      <c r="G17" s="2" t="s">
        <v>70</v>
      </c>
      <c r="H17" s="5">
        <v>209.3</v>
      </c>
      <c r="I17" s="1" t="s">
        <v>8</v>
      </c>
      <c r="J17" s="24" t="s">
        <v>41</v>
      </c>
      <c r="K17" s="18" t="s">
        <v>185</v>
      </c>
      <c r="L17" s="18">
        <v>10550</v>
      </c>
      <c r="M17" s="18">
        <f>ABS((D17*E17)-L17)</f>
        <v>300</v>
      </c>
      <c r="N17" s="10" t="str">
        <f t="shared" si="0"/>
        <v>Duplicate</v>
      </c>
      <c r="O17" s="10"/>
      <c r="P17" s="10"/>
    </row>
    <row r="18" spans="1:16" customFormat="1" ht="15" customHeight="1" thickBot="1" x14ac:dyDescent="0.4">
      <c r="A18" s="3">
        <v>46282.443055555559</v>
      </c>
      <c r="B18" s="1" t="s">
        <v>23</v>
      </c>
      <c r="C18" s="1" t="s">
        <v>10</v>
      </c>
      <c r="D18" s="4">
        <v>50</v>
      </c>
      <c r="E18" s="4">
        <v>205</v>
      </c>
      <c r="F18" s="4">
        <v>-2.0544672720000001</v>
      </c>
      <c r="G18" s="2" t="s">
        <v>70</v>
      </c>
      <c r="H18" s="5">
        <v>209.3</v>
      </c>
      <c r="I18" s="1" t="s">
        <v>8</v>
      </c>
      <c r="J18" s="24" t="s">
        <v>55</v>
      </c>
      <c r="K18" s="18" t="s">
        <v>301</v>
      </c>
      <c r="L18" s="18">
        <v>10550</v>
      </c>
      <c r="M18" s="18">
        <f>ABS((D18*E18)-L18)</f>
        <v>300</v>
      </c>
      <c r="N18" t="str">
        <f t="shared" si="0"/>
        <v>Duplicate</v>
      </c>
      <c r="O18" s="10"/>
      <c r="P18" s="10"/>
    </row>
    <row r="19" spans="1:16" customFormat="1" ht="27.65" customHeight="1" thickBot="1" x14ac:dyDescent="0.4">
      <c r="A19" s="3">
        <v>46252.635416666664</v>
      </c>
      <c r="B19" s="1" t="s">
        <v>36</v>
      </c>
      <c r="C19" s="1" t="s">
        <v>10</v>
      </c>
      <c r="D19" s="4">
        <v>5</v>
      </c>
      <c r="E19" s="4">
        <v>1132</v>
      </c>
      <c r="F19" s="4">
        <v>-2.0591797889999999</v>
      </c>
      <c r="G19" s="2" t="s">
        <v>65</v>
      </c>
      <c r="H19" s="5">
        <v>1155.8</v>
      </c>
      <c r="I19" s="1" t="s">
        <v>8</v>
      </c>
      <c r="J19" s="37" t="s">
        <v>41</v>
      </c>
      <c r="K19" s="17"/>
      <c r="L19" s="17"/>
      <c r="M19" s="17"/>
      <c r="N19" t="str">
        <f t="shared" si="0"/>
        <v>Unique</v>
      </c>
      <c r="O19" s="10"/>
      <c r="P19" s="10"/>
    </row>
    <row r="20" spans="1:16" customFormat="1" ht="27.65" customHeight="1" thickBot="1" x14ac:dyDescent="0.4">
      <c r="A20" s="6" t="s">
        <v>62</v>
      </c>
      <c r="B20" s="1" t="s">
        <v>49</v>
      </c>
      <c r="C20" s="1" t="s">
        <v>10</v>
      </c>
      <c r="D20" s="4">
        <v>3</v>
      </c>
      <c r="E20" s="4">
        <v>3810</v>
      </c>
      <c r="F20" s="4">
        <v>-2.2199409729999999</v>
      </c>
      <c r="G20" s="2" t="s">
        <v>50</v>
      </c>
      <c r="H20" s="5">
        <v>3896.5</v>
      </c>
      <c r="I20" s="1" t="s">
        <v>8</v>
      </c>
      <c r="J20" s="37"/>
      <c r="K20" s="17"/>
      <c r="L20" s="17"/>
      <c r="M20" s="17"/>
      <c r="N20" t="str">
        <f t="shared" si="0"/>
        <v>Unique</v>
      </c>
      <c r="O20" s="10"/>
      <c r="P20" s="10"/>
    </row>
    <row r="21" spans="1:16" customFormat="1" ht="27.65" customHeight="1" thickBot="1" x14ac:dyDescent="0.4">
      <c r="A21" s="3">
        <v>46260.375</v>
      </c>
      <c r="B21" s="1" t="s">
        <v>33</v>
      </c>
      <c r="C21" s="1" t="s">
        <v>10</v>
      </c>
      <c r="D21" s="4">
        <v>3</v>
      </c>
      <c r="E21" s="4">
        <v>2348</v>
      </c>
      <c r="F21" s="4">
        <v>-2.6089841969999998</v>
      </c>
      <c r="G21" s="2" t="s">
        <v>84</v>
      </c>
      <c r="H21" s="5">
        <v>2410.9</v>
      </c>
      <c r="I21" s="1" t="s">
        <v>8</v>
      </c>
      <c r="J21" s="24" t="s">
        <v>41</v>
      </c>
      <c r="K21" s="18" t="s">
        <v>174</v>
      </c>
      <c r="L21" s="18">
        <v>7344</v>
      </c>
      <c r="M21" s="18">
        <f>ABS((D21*E21)-L21)</f>
        <v>300</v>
      </c>
      <c r="N21" t="str">
        <f t="shared" si="0"/>
        <v>Unique</v>
      </c>
      <c r="O21" s="10"/>
      <c r="P21" s="10"/>
    </row>
    <row r="22" spans="1:16" customFormat="1" ht="27.65" customHeight="1" thickBot="1" x14ac:dyDescent="0.4">
      <c r="A22" s="3">
        <v>46283.375486111108</v>
      </c>
      <c r="B22" s="1" t="s">
        <v>17</v>
      </c>
      <c r="C22" s="1" t="s">
        <v>10</v>
      </c>
      <c r="D22" s="4">
        <v>25</v>
      </c>
      <c r="E22" s="4">
        <v>336</v>
      </c>
      <c r="F22" s="4">
        <v>-2.9742997400000002</v>
      </c>
      <c r="G22" s="2" t="s">
        <v>77</v>
      </c>
      <c r="H22" s="5">
        <v>346.3</v>
      </c>
      <c r="I22" s="1" t="s">
        <v>8</v>
      </c>
      <c r="J22" s="24" t="s">
        <v>55</v>
      </c>
      <c r="K22" s="18" t="s">
        <v>307</v>
      </c>
      <c r="L22" s="18">
        <v>8700</v>
      </c>
      <c r="M22" s="18">
        <f>ABS((D22*E22)-L22)</f>
        <v>300</v>
      </c>
      <c r="N22" s="10" t="str">
        <f t="shared" si="0"/>
        <v>Unique</v>
      </c>
      <c r="O22" s="10"/>
      <c r="P22" s="10"/>
    </row>
    <row r="23" spans="1:16" customFormat="1" ht="27.65" customHeight="1" thickBot="1" x14ac:dyDescent="0.4">
      <c r="A23" s="6" t="s">
        <v>62</v>
      </c>
      <c r="B23" s="1" t="s">
        <v>25</v>
      </c>
      <c r="C23" s="1" t="s">
        <v>10</v>
      </c>
      <c r="D23" s="4">
        <v>200</v>
      </c>
      <c r="E23" s="4">
        <v>31.01</v>
      </c>
      <c r="F23" s="4">
        <v>-3.09375</v>
      </c>
      <c r="G23" s="2" t="s">
        <v>46</v>
      </c>
      <c r="H23" s="5">
        <v>32</v>
      </c>
      <c r="I23" s="1" t="s">
        <v>8</v>
      </c>
      <c r="J23" s="37" t="s">
        <v>55</v>
      </c>
      <c r="K23" s="17"/>
      <c r="L23" s="17"/>
      <c r="M23" s="17"/>
      <c r="N23" t="str">
        <f t="shared" si="0"/>
        <v>Unique</v>
      </c>
      <c r="O23" s="30"/>
    </row>
    <row r="24" spans="1:16" customFormat="1" ht="27.65" customHeight="1" thickBot="1" x14ac:dyDescent="0.4">
      <c r="A24" s="3">
        <v>46252.6875</v>
      </c>
      <c r="B24" s="1" t="s">
        <v>20</v>
      </c>
      <c r="C24" s="1" t="s">
        <v>10</v>
      </c>
      <c r="D24" s="4">
        <v>20</v>
      </c>
      <c r="E24" s="4">
        <v>122</v>
      </c>
      <c r="F24" s="4">
        <v>-3.481012658</v>
      </c>
      <c r="G24" s="2" t="s">
        <v>86</v>
      </c>
      <c r="H24" s="5">
        <v>126.4</v>
      </c>
      <c r="I24" s="1" t="s">
        <v>8</v>
      </c>
      <c r="J24" s="38" t="s">
        <v>41</v>
      </c>
      <c r="K24" s="17"/>
      <c r="L24" s="17"/>
      <c r="M24" s="17"/>
      <c r="N24" t="str">
        <f t="shared" si="0"/>
        <v>Unique</v>
      </c>
      <c r="O24" s="10"/>
      <c r="P24" s="10"/>
    </row>
    <row r="25" spans="1:16" customFormat="1" ht="27.65" customHeight="1" thickBot="1" x14ac:dyDescent="0.4">
      <c r="A25" s="6" t="s">
        <v>62</v>
      </c>
      <c r="B25" s="1" t="s">
        <v>49</v>
      </c>
      <c r="C25" s="1" t="s">
        <v>10</v>
      </c>
      <c r="D25" s="4">
        <v>2</v>
      </c>
      <c r="E25" s="4">
        <v>3760</v>
      </c>
      <c r="F25" s="4">
        <v>-3.503143847</v>
      </c>
      <c r="G25" s="2" t="s">
        <v>50</v>
      </c>
      <c r="H25" s="5">
        <v>3896.5</v>
      </c>
      <c r="I25" s="1" t="s">
        <v>8</v>
      </c>
      <c r="J25" s="37"/>
      <c r="K25" s="17"/>
      <c r="L25" s="17"/>
      <c r="M25" s="17"/>
      <c r="N25" t="str">
        <f t="shared" si="0"/>
        <v>Unique</v>
      </c>
      <c r="P25" s="10"/>
    </row>
    <row r="26" spans="1:16" ht="40.75" customHeight="1" thickBot="1" x14ac:dyDescent="0.4">
      <c r="A26" s="3">
        <v>46282.416666666664</v>
      </c>
      <c r="B26" s="1" t="s">
        <v>51</v>
      </c>
      <c r="C26" s="1" t="s">
        <v>10</v>
      </c>
      <c r="D26" s="4">
        <v>40</v>
      </c>
      <c r="E26" s="4">
        <v>880</v>
      </c>
      <c r="F26" s="4">
        <v>-3.7672918150000001</v>
      </c>
      <c r="G26" s="2" t="s">
        <v>52</v>
      </c>
      <c r="H26" s="5">
        <v>914.45</v>
      </c>
      <c r="I26" s="1" t="s">
        <v>8</v>
      </c>
      <c r="J26" s="24" t="s">
        <v>55</v>
      </c>
      <c r="K26" s="18" t="s">
        <v>302</v>
      </c>
      <c r="L26" s="18">
        <v>35920</v>
      </c>
      <c r="M26" s="18">
        <f>ABS((D26*E26)-L26)</f>
        <v>720</v>
      </c>
      <c r="N26" t="str">
        <f t="shared" si="0"/>
        <v>Unique</v>
      </c>
    </row>
    <row r="27" spans="1:16" ht="40.75" customHeight="1" thickBot="1" x14ac:dyDescent="0.4">
      <c r="A27" s="6" t="s">
        <v>62</v>
      </c>
      <c r="B27" s="1" t="s">
        <v>23</v>
      </c>
      <c r="C27" s="1" t="s">
        <v>10</v>
      </c>
      <c r="D27" s="4">
        <v>50</v>
      </c>
      <c r="E27" s="4">
        <v>201</v>
      </c>
      <c r="F27" s="4">
        <v>-3.9655996180000002</v>
      </c>
      <c r="G27" s="2" t="s">
        <v>70</v>
      </c>
      <c r="H27" s="5">
        <v>209.3</v>
      </c>
      <c r="I27" s="1" t="s">
        <v>8</v>
      </c>
      <c r="J27" s="38" t="s">
        <v>41</v>
      </c>
      <c r="K27" s="17"/>
      <c r="L27" s="17"/>
      <c r="M27" s="17"/>
      <c r="N27" t="str">
        <f t="shared" si="0"/>
        <v>Unique</v>
      </c>
      <c r="O27"/>
      <c r="P27"/>
    </row>
    <row r="28" spans="1:16" ht="40.75" customHeight="1" thickBot="1" x14ac:dyDescent="0.4">
      <c r="A28" s="6" t="s">
        <v>62</v>
      </c>
      <c r="B28" s="1" t="s">
        <v>18</v>
      </c>
      <c r="C28" s="1" t="s">
        <v>10</v>
      </c>
      <c r="D28" s="4">
        <v>5</v>
      </c>
      <c r="E28" s="4">
        <v>1614</v>
      </c>
      <c r="F28" s="4">
        <v>-4.0428061829999997</v>
      </c>
      <c r="G28" s="2" t="s">
        <v>102</v>
      </c>
      <c r="H28" s="5">
        <v>1682</v>
      </c>
      <c r="I28" s="1" t="s">
        <v>8</v>
      </c>
      <c r="J28" s="22" t="s">
        <v>41</v>
      </c>
      <c r="K28" s="17"/>
      <c r="L28" s="17"/>
      <c r="M28" s="17"/>
      <c r="N28" t="str">
        <f t="shared" si="0"/>
        <v>Unique</v>
      </c>
      <c r="O28"/>
      <c r="P28"/>
    </row>
    <row r="29" spans="1:16" ht="15" customHeight="1" thickBot="1" x14ac:dyDescent="0.4">
      <c r="A29" s="3">
        <v>46252.688194444447</v>
      </c>
      <c r="B29" s="1" t="s">
        <v>21</v>
      </c>
      <c r="C29" s="1" t="s">
        <v>10</v>
      </c>
      <c r="D29" s="4">
        <v>5</v>
      </c>
      <c r="E29" s="4">
        <v>640</v>
      </c>
      <c r="F29" s="4">
        <v>-4.1198501869999999</v>
      </c>
      <c r="G29" s="2" t="s">
        <v>76</v>
      </c>
      <c r="H29" s="5">
        <v>667.5</v>
      </c>
      <c r="I29" s="1" t="s">
        <v>8</v>
      </c>
      <c r="J29" s="37" t="s">
        <v>41</v>
      </c>
      <c r="K29" s="17"/>
      <c r="L29" s="17"/>
      <c r="M29" s="17"/>
      <c r="N29" t="str">
        <f t="shared" si="0"/>
        <v>Unique</v>
      </c>
      <c r="O29"/>
      <c r="P29"/>
    </row>
    <row r="30" spans="1:16" ht="27.65" customHeight="1" thickBot="1" x14ac:dyDescent="0.4">
      <c r="A30" s="6" t="s">
        <v>62</v>
      </c>
      <c r="B30" s="1" t="s">
        <v>34</v>
      </c>
      <c r="C30" s="1" t="s">
        <v>10</v>
      </c>
      <c r="D30" s="4">
        <v>1</v>
      </c>
      <c r="E30" s="4">
        <v>18052</v>
      </c>
      <c r="F30" s="4">
        <v>-4.1317047269999998</v>
      </c>
      <c r="G30" s="2" t="s">
        <v>71</v>
      </c>
      <c r="H30" s="5">
        <v>18830</v>
      </c>
      <c r="I30" s="1" t="s">
        <v>8</v>
      </c>
      <c r="J30" s="37"/>
      <c r="K30" s="17"/>
      <c r="L30" s="17"/>
      <c r="M30" s="17"/>
      <c r="N30" t="str">
        <f t="shared" si="0"/>
        <v>Unique</v>
      </c>
      <c r="O30"/>
      <c r="P30"/>
    </row>
    <row r="31" spans="1:16" ht="40.75" customHeight="1" thickBot="1" x14ac:dyDescent="0.4">
      <c r="A31" s="3">
        <v>46031.4375</v>
      </c>
      <c r="B31" s="1" t="s">
        <v>212</v>
      </c>
      <c r="C31" s="1" t="s">
        <v>10</v>
      </c>
      <c r="D31" s="4">
        <v>3</v>
      </c>
      <c r="E31" s="4">
        <v>1052</v>
      </c>
      <c r="F31" s="4">
        <v>-4.163250433</v>
      </c>
      <c r="G31" s="2" t="s">
        <v>223</v>
      </c>
      <c r="H31" s="5">
        <v>1097.7</v>
      </c>
      <c r="I31" s="1" t="s">
        <v>8</v>
      </c>
      <c r="J31" s="24" t="s">
        <v>41</v>
      </c>
      <c r="M31" s="18">
        <f>ABS((D31*E31)-L31)</f>
        <v>3156</v>
      </c>
      <c r="N31" s="10" t="str">
        <f t="shared" si="0"/>
        <v>Unique</v>
      </c>
      <c r="P31" s="19"/>
    </row>
    <row r="32" spans="1:16" ht="40.75" customHeight="1" thickBot="1" x14ac:dyDescent="0.4">
      <c r="A32" s="6" t="s">
        <v>62</v>
      </c>
      <c r="B32" s="1" t="s">
        <v>107</v>
      </c>
      <c r="C32" s="1" t="s">
        <v>10</v>
      </c>
      <c r="D32" s="4">
        <v>1</v>
      </c>
      <c r="E32" s="4">
        <v>6920</v>
      </c>
      <c r="F32" s="4">
        <v>-4.3075433869999999</v>
      </c>
      <c r="G32" s="2" t="s">
        <v>108</v>
      </c>
      <c r="H32" s="5">
        <v>7231.5</v>
      </c>
      <c r="I32" s="1" t="s">
        <v>8</v>
      </c>
      <c r="J32" s="22" t="s">
        <v>140</v>
      </c>
      <c r="K32" s="17"/>
      <c r="L32" s="17"/>
      <c r="M32" s="17"/>
      <c r="N32" t="str">
        <f t="shared" si="0"/>
        <v>Unique</v>
      </c>
      <c r="O32"/>
      <c r="P32"/>
    </row>
    <row r="33" spans="1:16" ht="27.65" customHeight="1" thickBot="1" x14ac:dyDescent="0.4">
      <c r="A33" s="6" t="s">
        <v>62</v>
      </c>
      <c r="B33" s="1" t="s">
        <v>82</v>
      </c>
      <c r="C33" s="1" t="s">
        <v>10</v>
      </c>
      <c r="D33" s="4">
        <v>1</v>
      </c>
      <c r="E33" s="4">
        <v>4010</v>
      </c>
      <c r="F33" s="4">
        <v>-4.341603053</v>
      </c>
      <c r="G33" s="2" t="s">
        <v>83</v>
      </c>
      <c r="H33" s="5">
        <v>4192</v>
      </c>
      <c r="I33" s="1" t="s">
        <v>8</v>
      </c>
      <c r="J33" s="37" t="s">
        <v>41</v>
      </c>
      <c r="K33" s="17"/>
      <c r="L33" s="17"/>
      <c r="M33" s="17"/>
      <c r="N33" t="str">
        <f t="shared" si="0"/>
        <v>Unique</v>
      </c>
    </row>
    <row r="34" spans="1:16" ht="27.65" customHeight="1" thickBot="1" x14ac:dyDescent="0.4">
      <c r="A34" s="3">
        <v>46283.375486111108</v>
      </c>
      <c r="B34" s="1" t="s">
        <v>32</v>
      </c>
      <c r="C34" s="1" t="s">
        <v>10</v>
      </c>
      <c r="D34" s="4">
        <v>20</v>
      </c>
      <c r="E34" s="4">
        <v>870.2</v>
      </c>
      <c r="F34" s="4">
        <v>-4.3526049679999996</v>
      </c>
      <c r="G34" s="2" t="s">
        <v>85</v>
      </c>
      <c r="H34" s="5">
        <v>909.8</v>
      </c>
      <c r="I34" s="1" t="s">
        <v>8</v>
      </c>
      <c r="J34" s="24" t="s">
        <v>55</v>
      </c>
      <c r="K34" s="18" t="s">
        <v>306</v>
      </c>
      <c r="L34" s="18">
        <v>17920</v>
      </c>
      <c r="M34" s="18">
        <f>ABS((D34*E34)-L34)</f>
        <v>516</v>
      </c>
      <c r="N34" s="10" t="str">
        <f t="shared" ref="N34:N69" si="1">IF(COUNTIFS( $B$2:$B$734, B34, $C$2:$C$734, C34, $D$2:$D$734, D34, $E$2:$E$734, E34) &gt; 1, "Duplicate", "Unique")</f>
        <v>Unique</v>
      </c>
    </row>
    <row r="35" spans="1:16" ht="27.65" customHeight="1" thickBot="1" x14ac:dyDescent="0.4">
      <c r="A35" s="3">
        <v>46261.375</v>
      </c>
      <c r="B35" s="1" t="s">
        <v>32</v>
      </c>
      <c r="C35" s="1" t="s">
        <v>10</v>
      </c>
      <c r="D35" s="4">
        <v>20</v>
      </c>
      <c r="E35" s="4">
        <v>870</v>
      </c>
      <c r="F35" s="4">
        <v>-4.3745878210000004</v>
      </c>
      <c r="G35" s="2" t="s">
        <v>85</v>
      </c>
      <c r="H35" s="5">
        <v>909.8</v>
      </c>
      <c r="I35" s="1" t="s">
        <v>8</v>
      </c>
      <c r="J35" s="24" t="s">
        <v>41</v>
      </c>
      <c r="K35" s="18" t="s">
        <v>186</v>
      </c>
      <c r="L35" s="18">
        <v>17700</v>
      </c>
      <c r="M35" s="18">
        <f>ABS((D35*E35)-L35)</f>
        <v>300</v>
      </c>
      <c r="N35" s="10" t="str">
        <f t="shared" si="1"/>
        <v>Unique</v>
      </c>
      <c r="P35" s="25"/>
    </row>
    <row r="36" spans="1:16" s="25" customFormat="1" ht="27.65" customHeight="1" thickBot="1" x14ac:dyDescent="0.4">
      <c r="A36" s="3">
        <v>46268.385416666664</v>
      </c>
      <c r="B36" s="1" t="s">
        <v>19</v>
      </c>
      <c r="C36" s="1" t="s">
        <v>10</v>
      </c>
      <c r="D36" s="4">
        <v>100</v>
      </c>
      <c r="E36" s="4">
        <v>214</v>
      </c>
      <c r="F36" s="4">
        <v>-4.5707915269999999</v>
      </c>
      <c r="G36" s="2" t="s">
        <v>40</v>
      </c>
      <c r="H36" s="5">
        <v>224.25</v>
      </c>
      <c r="I36" s="1" t="s">
        <v>8</v>
      </c>
      <c r="J36" s="24" t="s">
        <v>55</v>
      </c>
      <c r="K36" s="18" t="s">
        <v>238</v>
      </c>
      <c r="L36" s="18">
        <v>21900</v>
      </c>
      <c r="M36" s="18">
        <f>ABS((D36*E36)-L36)</f>
        <v>500</v>
      </c>
      <c r="N36" s="10" t="str">
        <f t="shared" si="1"/>
        <v>Unique</v>
      </c>
      <c r="O36" s="10"/>
      <c r="P36" s="10"/>
    </row>
    <row r="37" spans="1:16" ht="27.65" customHeight="1" thickBot="1" x14ac:dyDescent="0.4">
      <c r="A37" s="3">
        <v>46274.375</v>
      </c>
      <c r="B37" s="1" t="s">
        <v>119</v>
      </c>
      <c r="C37" s="1" t="s">
        <v>10</v>
      </c>
      <c r="D37" s="4">
        <v>15</v>
      </c>
      <c r="E37" s="4">
        <v>1005</v>
      </c>
      <c r="F37" s="4">
        <v>-4.7393364929999997</v>
      </c>
      <c r="G37" s="2" t="s">
        <v>120</v>
      </c>
      <c r="H37" s="5">
        <v>1055</v>
      </c>
      <c r="I37" s="1" t="s">
        <v>8</v>
      </c>
      <c r="J37" s="24" t="s">
        <v>55</v>
      </c>
      <c r="K37" s="18" t="s">
        <v>267</v>
      </c>
      <c r="L37" s="18">
        <v>15600</v>
      </c>
      <c r="M37" s="18">
        <f>ABS((D37*E37)-L37)</f>
        <v>525</v>
      </c>
      <c r="N37" s="10" t="str">
        <f t="shared" si="1"/>
        <v>Unique</v>
      </c>
    </row>
    <row r="38" spans="1:16" ht="27.65" customHeight="1" thickBot="1" x14ac:dyDescent="0.4">
      <c r="A38" s="6" t="s">
        <v>62</v>
      </c>
      <c r="B38" s="1" t="s">
        <v>12</v>
      </c>
      <c r="C38" s="1" t="s">
        <v>10</v>
      </c>
      <c r="D38" s="4">
        <v>2</v>
      </c>
      <c r="E38" s="4">
        <v>4410</v>
      </c>
      <c r="F38" s="4">
        <v>-5.2122514779999998</v>
      </c>
      <c r="G38" s="2" t="s">
        <v>98</v>
      </c>
      <c r="H38" s="5">
        <v>4652.5</v>
      </c>
      <c r="I38" s="1" t="s">
        <v>8</v>
      </c>
      <c r="J38" s="37"/>
      <c r="K38" s="17"/>
      <c r="L38" s="17"/>
      <c r="M38" s="17"/>
      <c r="N38" t="str">
        <f t="shared" si="1"/>
        <v>Unique</v>
      </c>
      <c r="O38"/>
      <c r="P38"/>
    </row>
    <row r="39" spans="1:16" ht="27.65" customHeight="1" thickBot="1" x14ac:dyDescent="0.4">
      <c r="A39" s="6" t="s">
        <v>62</v>
      </c>
      <c r="B39" s="1" t="s">
        <v>19</v>
      </c>
      <c r="C39" s="1" t="s">
        <v>10</v>
      </c>
      <c r="D39" s="4">
        <v>50</v>
      </c>
      <c r="E39" s="4">
        <v>212</v>
      </c>
      <c r="F39" s="4">
        <v>-5.4626532890000004</v>
      </c>
      <c r="G39" s="2" t="s">
        <v>40</v>
      </c>
      <c r="H39" s="5">
        <v>224.25</v>
      </c>
      <c r="I39" s="1" t="s">
        <v>8</v>
      </c>
      <c r="J39" s="37" t="s">
        <v>41</v>
      </c>
      <c r="K39" s="17"/>
      <c r="L39" s="17"/>
      <c r="M39" s="17"/>
      <c r="N39" t="str">
        <f t="shared" si="1"/>
        <v>Unique</v>
      </c>
    </row>
    <row r="40" spans="1:16" ht="27.65" customHeight="1" thickBot="1" x14ac:dyDescent="0.4">
      <c r="A40" s="6" t="s">
        <v>62</v>
      </c>
      <c r="B40" s="1" t="s">
        <v>51</v>
      </c>
      <c r="C40" s="1" t="s">
        <v>10</v>
      </c>
      <c r="D40" s="4">
        <v>40</v>
      </c>
      <c r="E40" s="4">
        <v>862</v>
      </c>
      <c r="F40" s="4">
        <v>-5.7356881189999998</v>
      </c>
      <c r="G40" s="2" t="s">
        <v>52</v>
      </c>
      <c r="H40" s="5">
        <v>914.45</v>
      </c>
      <c r="I40" s="1" t="s">
        <v>8</v>
      </c>
      <c r="J40" s="37" t="s">
        <v>55</v>
      </c>
      <c r="K40" s="17"/>
      <c r="L40" s="17"/>
      <c r="M40" s="17"/>
      <c r="N40" t="str">
        <f t="shared" si="1"/>
        <v>Unique</v>
      </c>
      <c r="O40"/>
      <c r="P40"/>
    </row>
    <row r="41" spans="1:16" ht="27.65" customHeight="1" thickBot="1" x14ac:dyDescent="0.4">
      <c r="A41" s="3">
        <v>46258.601388888892</v>
      </c>
      <c r="B41" s="1" t="s">
        <v>33</v>
      </c>
      <c r="C41" s="1" t="s">
        <v>10</v>
      </c>
      <c r="D41" s="4">
        <v>3</v>
      </c>
      <c r="E41" s="4">
        <v>2271</v>
      </c>
      <c r="F41" s="4">
        <v>-5.8028122279999996</v>
      </c>
      <c r="G41" s="2" t="s">
        <v>84</v>
      </c>
      <c r="H41" s="5">
        <v>2410.9</v>
      </c>
      <c r="I41" s="1" t="s">
        <v>8</v>
      </c>
      <c r="J41" s="24" t="s">
        <v>55</v>
      </c>
      <c r="K41" s="18" t="s">
        <v>159</v>
      </c>
      <c r="L41" s="18">
        <v>7113</v>
      </c>
      <c r="M41" s="18">
        <f>ABS((D41*E41)-L41)</f>
        <v>300</v>
      </c>
      <c r="N41" s="10" t="str">
        <f t="shared" si="1"/>
        <v>Unique</v>
      </c>
      <c r="O41"/>
      <c r="P41"/>
    </row>
    <row r="42" spans="1:16" ht="27.65" customHeight="1" thickBot="1" x14ac:dyDescent="0.4">
      <c r="A42" s="6" t="s">
        <v>62</v>
      </c>
      <c r="B42" s="1" t="s">
        <v>20</v>
      </c>
      <c r="C42" s="1" t="s">
        <v>10</v>
      </c>
      <c r="D42" s="4">
        <v>50</v>
      </c>
      <c r="E42" s="4">
        <v>119</v>
      </c>
      <c r="F42" s="4">
        <v>-5.8544303800000002</v>
      </c>
      <c r="G42" s="2" t="s">
        <v>86</v>
      </c>
      <c r="H42" s="5">
        <v>126.4</v>
      </c>
      <c r="I42" s="1" t="s">
        <v>8</v>
      </c>
      <c r="J42" s="37"/>
      <c r="K42" s="17"/>
      <c r="L42" s="17"/>
      <c r="M42" s="17"/>
      <c r="N42" t="str">
        <f t="shared" si="1"/>
        <v>Unique</v>
      </c>
      <c r="O42"/>
    </row>
    <row r="43" spans="1:16" ht="15" customHeight="1" thickBot="1" x14ac:dyDescent="0.4">
      <c r="A43" s="3">
        <v>46252.6875</v>
      </c>
      <c r="B43" s="1" t="s">
        <v>17</v>
      </c>
      <c r="C43" s="1" t="s">
        <v>10</v>
      </c>
      <c r="D43" s="4">
        <v>25</v>
      </c>
      <c r="E43" s="4">
        <v>326</v>
      </c>
      <c r="F43" s="4">
        <v>-5.8619693909999997</v>
      </c>
      <c r="G43" s="2" t="s">
        <v>77</v>
      </c>
      <c r="H43" s="5">
        <v>346.3</v>
      </c>
      <c r="I43" s="1" t="s">
        <v>8</v>
      </c>
      <c r="J43" s="37" t="s">
        <v>41</v>
      </c>
      <c r="K43" s="17"/>
      <c r="L43" s="17"/>
      <c r="M43" s="17"/>
      <c r="N43" t="str">
        <f t="shared" si="1"/>
        <v>Unique</v>
      </c>
      <c r="O43"/>
      <c r="P43"/>
    </row>
    <row r="44" spans="1:16" ht="27.65" customHeight="1" thickBot="1" x14ac:dyDescent="0.4">
      <c r="A44" s="3">
        <v>46252.635416666664</v>
      </c>
      <c r="B44" s="1" t="s">
        <v>78</v>
      </c>
      <c r="C44" s="1" t="s">
        <v>10</v>
      </c>
      <c r="D44" s="4">
        <v>3</v>
      </c>
      <c r="E44" s="4">
        <v>1302</v>
      </c>
      <c r="F44" s="4">
        <v>-5.9927797829999996</v>
      </c>
      <c r="G44" s="2" t="s">
        <v>79</v>
      </c>
      <c r="H44" s="5">
        <v>1385</v>
      </c>
      <c r="I44" s="1" t="s">
        <v>8</v>
      </c>
      <c r="J44" s="37" t="s">
        <v>41</v>
      </c>
      <c r="K44" s="17"/>
      <c r="L44" s="17"/>
      <c r="M44" s="17"/>
      <c r="N44" t="str">
        <f t="shared" si="1"/>
        <v>Unique</v>
      </c>
      <c r="O44"/>
      <c r="P44"/>
    </row>
    <row r="45" spans="1:16" ht="27.65" customHeight="1" thickBot="1" x14ac:dyDescent="0.4">
      <c r="A45" s="6" t="s">
        <v>62</v>
      </c>
      <c r="B45" s="1" t="s">
        <v>109</v>
      </c>
      <c r="C45" s="1" t="s">
        <v>10</v>
      </c>
      <c r="D45" s="4">
        <v>1</v>
      </c>
      <c r="E45" s="4">
        <v>4560</v>
      </c>
      <c r="F45" s="4">
        <v>-6.1747700659999998</v>
      </c>
      <c r="G45" s="2" t="s">
        <v>110</v>
      </c>
      <c r="H45" s="5">
        <v>4860.1000000000004</v>
      </c>
      <c r="I45" s="1" t="s">
        <v>8</v>
      </c>
      <c r="J45" s="37"/>
      <c r="K45" s="17"/>
      <c r="L45" s="17"/>
      <c r="M45" s="17"/>
      <c r="N45" t="str">
        <f t="shared" si="1"/>
        <v>Unique</v>
      </c>
      <c r="O45"/>
      <c r="P45"/>
    </row>
    <row r="46" spans="1:16" ht="27.65" customHeight="1" thickBot="1" x14ac:dyDescent="0.4">
      <c r="A46" s="6" t="s">
        <v>62</v>
      </c>
      <c r="B46" s="1" t="s">
        <v>12</v>
      </c>
      <c r="C46" s="1" t="s">
        <v>10</v>
      </c>
      <c r="D46" s="4">
        <v>1</v>
      </c>
      <c r="E46" s="4">
        <v>4364</v>
      </c>
      <c r="F46" s="4">
        <v>-6.2009672220000001</v>
      </c>
      <c r="G46" s="2" t="s">
        <v>98</v>
      </c>
      <c r="H46" s="5">
        <v>4652.5</v>
      </c>
      <c r="I46" s="1" t="s">
        <v>8</v>
      </c>
      <c r="J46" s="38" t="s">
        <v>41</v>
      </c>
      <c r="K46" s="17"/>
      <c r="L46" s="17"/>
      <c r="M46" s="17"/>
      <c r="N46" t="str">
        <f t="shared" si="1"/>
        <v>Unique</v>
      </c>
      <c r="O46"/>
      <c r="P46"/>
    </row>
    <row r="47" spans="1:16" ht="15" customHeight="1" thickBot="1" x14ac:dyDescent="0.4">
      <c r="A47" s="6" t="s">
        <v>62</v>
      </c>
      <c r="B47" s="1" t="s">
        <v>23</v>
      </c>
      <c r="C47" s="1" t="s">
        <v>10</v>
      </c>
      <c r="D47" s="4">
        <v>50</v>
      </c>
      <c r="E47" s="4">
        <v>196</v>
      </c>
      <c r="F47" s="4">
        <v>-6.3545150499999998</v>
      </c>
      <c r="G47" s="2" t="s">
        <v>70</v>
      </c>
      <c r="H47" s="5">
        <v>209.3</v>
      </c>
      <c r="I47" s="1" t="s">
        <v>8</v>
      </c>
      <c r="J47" s="37" t="s">
        <v>41</v>
      </c>
      <c r="K47" s="17"/>
      <c r="L47" s="17"/>
      <c r="M47" s="17"/>
      <c r="N47" t="str">
        <f t="shared" si="1"/>
        <v>Unique</v>
      </c>
      <c r="O47"/>
      <c r="P47"/>
    </row>
    <row r="48" spans="1:16" ht="27.65" customHeight="1" thickBot="1" x14ac:dyDescent="0.4">
      <c r="A48" s="3">
        <v>46252.635416666664</v>
      </c>
      <c r="B48" s="1" t="s">
        <v>32</v>
      </c>
      <c r="C48" s="1" t="s">
        <v>10</v>
      </c>
      <c r="D48" s="4">
        <v>50</v>
      </c>
      <c r="E48" s="4">
        <v>850</v>
      </c>
      <c r="F48" s="4">
        <v>-6.5728731590000002</v>
      </c>
      <c r="G48" s="2" t="s">
        <v>85</v>
      </c>
      <c r="H48" s="5">
        <v>909.8</v>
      </c>
      <c r="I48" s="1" t="s">
        <v>8</v>
      </c>
      <c r="J48" s="38" t="s">
        <v>55</v>
      </c>
      <c r="K48" s="17"/>
      <c r="L48" s="17"/>
      <c r="M48" s="17"/>
      <c r="N48" t="str">
        <f t="shared" si="1"/>
        <v>Unique</v>
      </c>
      <c r="P48"/>
    </row>
    <row r="49" spans="1:16" ht="27.65" customHeight="1" thickBot="1" x14ac:dyDescent="0.4">
      <c r="A49" s="6" t="s">
        <v>62</v>
      </c>
      <c r="B49" s="1" t="s">
        <v>111</v>
      </c>
      <c r="C49" s="1" t="s">
        <v>10</v>
      </c>
      <c r="D49" s="4">
        <v>7</v>
      </c>
      <c r="E49" s="4">
        <v>411</v>
      </c>
      <c r="F49" s="4">
        <v>-6.6651527189999999</v>
      </c>
      <c r="G49" s="2" t="s">
        <v>112</v>
      </c>
      <c r="H49" s="5">
        <v>440.35</v>
      </c>
      <c r="I49" s="1" t="s">
        <v>8</v>
      </c>
      <c r="J49" s="37"/>
      <c r="K49" s="17"/>
      <c r="L49" s="17"/>
      <c r="M49" s="17"/>
      <c r="N49" t="str">
        <f t="shared" si="1"/>
        <v>Unique</v>
      </c>
      <c r="O49"/>
      <c r="P49"/>
    </row>
    <row r="50" spans="1:16" ht="27.65" customHeight="1" thickBot="1" x14ac:dyDescent="0.4">
      <c r="A50" s="3">
        <v>46121.375</v>
      </c>
      <c r="B50" s="1" t="s">
        <v>13</v>
      </c>
      <c r="C50" s="1" t="s">
        <v>10</v>
      </c>
      <c r="D50" s="4">
        <v>3</v>
      </c>
      <c r="E50" s="4">
        <v>1614</v>
      </c>
      <c r="F50" s="4">
        <v>-6.9204152250000002</v>
      </c>
      <c r="G50" s="2" t="s">
        <v>91</v>
      </c>
      <c r="H50" s="5">
        <v>1734</v>
      </c>
      <c r="I50" s="1" t="s">
        <v>8</v>
      </c>
      <c r="J50" s="24" t="s">
        <v>41</v>
      </c>
      <c r="K50" s="18" t="s">
        <v>244</v>
      </c>
      <c r="L50" s="18">
        <f>3*1794</f>
        <v>5382</v>
      </c>
      <c r="M50" s="18">
        <f>ABS((D50*E50)-L50)</f>
        <v>540</v>
      </c>
      <c r="N50" s="10" t="str">
        <f t="shared" si="1"/>
        <v>Unique</v>
      </c>
      <c r="O50"/>
      <c r="P50"/>
    </row>
    <row r="51" spans="1:16" s="26" customFormat="1" ht="27.65" customHeight="1" thickBot="1" x14ac:dyDescent="0.4">
      <c r="A51" s="3">
        <v>46281.416666666664</v>
      </c>
      <c r="B51" s="1" t="s">
        <v>291</v>
      </c>
      <c r="C51" s="1" t="s">
        <v>10</v>
      </c>
      <c r="D51" s="4">
        <v>10</v>
      </c>
      <c r="E51" s="4">
        <v>726</v>
      </c>
      <c r="F51" s="4">
        <v>-7.3979591840000003</v>
      </c>
      <c r="G51" s="2" t="s">
        <v>300</v>
      </c>
      <c r="H51" s="5">
        <v>784</v>
      </c>
      <c r="I51" s="1" t="s">
        <v>8</v>
      </c>
      <c r="J51" s="24" t="s">
        <v>41</v>
      </c>
      <c r="K51" s="18" t="s">
        <v>293</v>
      </c>
      <c r="L51" s="18">
        <v>17940</v>
      </c>
      <c r="M51" s="18">
        <f>ABS((D51*E51)-L51)</f>
        <v>10680</v>
      </c>
      <c r="N51" s="10" t="str">
        <f t="shared" si="1"/>
        <v>Unique</v>
      </c>
      <c r="O51" s="10"/>
      <c r="P51" s="10"/>
    </row>
    <row r="52" spans="1:16" ht="27.65" customHeight="1" thickBot="1" x14ac:dyDescent="0.4">
      <c r="A52" s="6" t="s">
        <v>62</v>
      </c>
      <c r="B52" s="1" t="s">
        <v>22</v>
      </c>
      <c r="C52" s="1" t="s">
        <v>10</v>
      </c>
      <c r="D52" s="4">
        <v>29</v>
      </c>
      <c r="E52" s="4">
        <v>401</v>
      </c>
      <c r="F52" s="4">
        <v>-7.4650974960000003</v>
      </c>
      <c r="G52" s="2" t="s">
        <v>73</v>
      </c>
      <c r="H52" s="5">
        <v>433.35</v>
      </c>
      <c r="I52" s="1" t="s">
        <v>8</v>
      </c>
      <c r="J52" s="22" t="s">
        <v>55</v>
      </c>
      <c r="K52" s="17"/>
      <c r="L52" s="17"/>
      <c r="M52" s="17"/>
      <c r="N52" t="str">
        <f t="shared" si="1"/>
        <v>Unique</v>
      </c>
      <c r="O52"/>
    </row>
    <row r="53" spans="1:16" ht="27.65" customHeight="1" thickBot="1" x14ac:dyDescent="0.4">
      <c r="A53" s="6" t="s">
        <v>62</v>
      </c>
      <c r="B53" s="1" t="s">
        <v>105</v>
      </c>
      <c r="C53" s="1" t="s">
        <v>10</v>
      </c>
      <c r="D53" s="4">
        <v>4</v>
      </c>
      <c r="E53" s="4">
        <v>1751</v>
      </c>
      <c r="F53" s="4">
        <v>-7.4768824309999999</v>
      </c>
      <c r="G53" s="2" t="s">
        <v>106</v>
      </c>
      <c r="H53" s="5">
        <v>1892.5</v>
      </c>
      <c r="I53" s="1" t="s">
        <v>8</v>
      </c>
      <c r="J53" s="37"/>
      <c r="K53" s="17"/>
      <c r="L53" s="17"/>
      <c r="M53" s="17"/>
      <c r="N53" t="str">
        <f t="shared" si="1"/>
        <v>Unique</v>
      </c>
      <c r="O53"/>
      <c r="P53"/>
    </row>
    <row r="54" spans="1:16" s="25" customFormat="1" ht="27.65" customHeight="1" thickBot="1" x14ac:dyDescent="0.4">
      <c r="A54" s="3">
        <v>46254.375</v>
      </c>
      <c r="B54" s="1" t="s">
        <v>33</v>
      </c>
      <c r="C54" s="1" t="s">
        <v>10</v>
      </c>
      <c r="D54" s="4">
        <v>7</v>
      </c>
      <c r="E54" s="4">
        <v>2230</v>
      </c>
      <c r="F54" s="4">
        <v>-7.5034219589999998</v>
      </c>
      <c r="G54" s="2" t="s">
        <v>84</v>
      </c>
      <c r="H54" s="5">
        <v>2410.9</v>
      </c>
      <c r="I54" s="1" t="s">
        <v>8</v>
      </c>
      <c r="J54" s="23" t="s">
        <v>55</v>
      </c>
      <c r="K54" s="17" t="s">
        <v>148</v>
      </c>
      <c r="L54" s="17"/>
      <c r="M54" s="17"/>
      <c r="N54" s="10" t="str">
        <f t="shared" si="1"/>
        <v>Unique</v>
      </c>
      <c r="O54"/>
      <c r="P54"/>
    </row>
    <row r="55" spans="1:16" ht="27.65" customHeight="1" thickBot="1" x14ac:dyDescent="0.4">
      <c r="A55" s="6" t="s">
        <v>62</v>
      </c>
      <c r="B55" s="1" t="s">
        <v>78</v>
      </c>
      <c r="C55" s="1" t="s">
        <v>10</v>
      </c>
      <c r="D55" s="4">
        <v>69</v>
      </c>
      <c r="E55" s="4">
        <v>1277</v>
      </c>
      <c r="F55" s="4">
        <v>-7.7978339349999999</v>
      </c>
      <c r="G55" s="2" t="s">
        <v>79</v>
      </c>
      <c r="H55" s="5">
        <v>1385</v>
      </c>
      <c r="I55" s="1" t="s">
        <v>8</v>
      </c>
      <c r="J55" s="37"/>
      <c r="K55" s="17"/>
      <c r="L55" s="17"/>
      <c r="M55" s="17"/>
      <c r="N55" t="str">
        <f t="shared" si="1"/>
        <v>Unique</v>
      </c>
      <c r="O55"/>
      <c r="P55"/>
    </row>
    <row r="56" spans="1:16" ht="27.65" customHeight="1" thickBot="1" x14ac:dyDescent="0.4">
      <c r="A56" s="6" t="s">
        <v>62</v>
      </c>
      <c r="B56" s="1" t="s">
        <v>31</v>
      </c>
      <c r="C56" s="1" t="s">
        <v>10</v>
      </c>
      <c r="D56" s="4">
        <v>10</v>
      </c>
      <c r="E56" s="4">
        <v>561</v>
      </c>
      <c r="F56" s="4">
        <v>-7.8666447689999996</v>
      </c>
      <c r="G56" s="2" t="s">
        <v>94</v>
      </c>
      <c r="H56" s="5">
        <v>608.9</v>
      </c>
      <c r="I56" s="1" t="s">
        <v>8</v>
      </c>
      <c r="J56" s="37" t="s">
        <v>41</v>
      </c>
      <c r="K56" s="17"/>
      <c r="L56" s="17"/>
      <c r="M56" s="17"/>
      <c r="N56" t="str">
        <f t="shared" si="1"/>
        <v>Unique</v>
      </c>
      <c r="O56"/>
      <c r="P56"/>
    </row>
    <row r="57" spans="1:16" ht="27.65" customHeight="1" thickBot="1" x14ac:dyDescent="0.4">
      <c r="A57" s="6" t="s">
        <v>62</v>
      </c>
      <c r="B57" s="1" t="s">
        <v>32</v>
      </c>
      <c r="C57" s="1" t="s">
        <v>10</v>
      </c>
      <c r="D57" s="4">
        <v>25</v>
      </c>
      <c r="E57" s="4">
        <v>836</v>
      </c>
      <c r="F57" s="4">
        <v>-8.1116728949999999</v>
      </c>
      <c r="G57" s="2" t="s">
        <v>85</v>
      </c>
      <c r="H57" s="5">
        <v>909.8</v>
      </c>
      <c r="I57" s="1" t="s">
        <v>8</v>
      </c>
      <c r="J57" s="37" t="s">
        <v>118</v>
      </c>
      <c r="K57" s="17"/>
      <c r="L57" s="17"/>
      <c r="M57" s="17"/>
      <c r="N57" t="str">
        <f t="shared" si="1"/>
        <v>Unique</v>
      </c>
      <c r="O57"/>
      <c r="P57"/>
    </row>
    <row r="58" spans="1:16" ht="27.65" customHeight="1" thickBot="1" x14ac:dyDescent="0.4">
      <c r="A58" s="6" t="s">
        <v>62</v>
      </c>
      <c r="B58" s="1" t="s">
        <v>19</v>
      </c>
      <c r="C58" s="1" t="s">
        <v>10</v>
      </c>
      <c r="D58" s="4">
        <v>50</v>
      </c>
      <c r="E58" s="4">
        <v>206</v>
      </c>
      <c r="F58" s="4">
        <v>-8.1382385730000006</v>
      </c>
      <c r="G58" s="2" t="s">
        <v>40</v>
      </c>
      <c r="H58" s="5">
        <v>224.25</v>
      </c>
      <c r="I58" s="1" t="s">
        <v>8</v>
      </c>
      <c r="J58" s="37" t="s">
        <v>41</v>
      </c>
      <c r="K58" s="17"/>
      <c r="L58" s="17"/>
      <c r="M58" s="17"/>
      <c r="N58" t="str">
        <f t="shared" si="1"/>
        <v>Unique</v>
      </c>
      <c r="O58"/>
      <c r="P58"/>
    </row>
    <row r="59" spans="1:16" ht="14.4" customHeight="1" thickBot="1" x14ac:dyDescent="0.4">
      <c r="A59" s="6" t="s">
        <v>62</v>
      </c>
      <c r="B59" s="1" t="s">
        <v>20</v>
      </c>
      <c r="C59" s="1" t="s">
        <v>10</v>
      </c>
      <c r="D59" s="4">
        <v>50</v>
      </c>
      <c r="E59" s="4">
        <v>116</v>
      </c>
      <c r="F59" s="4">
        <v>-8.2278481009999993</v>
      </c>
      <c r="G59" s="2" t="s">
        <v>86</v>
      </c>
      <c r="H59" s="5">
        <v>126.4</v>
      </c>
      <c r="I59" s="1" t="s">
        <v>8</v>
      </c>
      <c r="J59" s="37"/>
      <c r="K59" s="17"/>
      <c r="L59" s="17"/>
      <c r="M59" s="17"/>
      <c r="N59" t="str">
        <f t="shared" si="1"/>
        <v>Unique</v>
      </c>
      <c r="O59"/>
      <c r="P59"/>
    </row>
    <row r="60" spans="1:16" ht="14.4" customHeight="1" thickBot="1" x14ac:dyDescent="0.4">
      <c r="A60" s="6" t="s">
        <v>62</v>
      </c>
      <c r="B60" s="1" t="s">
        <v>109</v>
      </c>
      <c r="C60" s="1" t="s">
        <v>10</v>
      </c>
      <c r="D60" s="4">
        <v>2</v>
      </c>
      <c r="E60" s="4">
        <v>4456</v>
      </c>
      <c r="F60" s="4">
        <v>-8.3146437320000004</v>
      </c>
      <c r="G60" s="2" t="s">
        <v>110</v>
      </c>
      <c r="H60" s="5">
        <v>4860.1000000000004</v>
      </c>
      <c r="I60" s="1" t="s">
        <v>8</v>
      </c>
      <c r="J60" s="37"/>
      <c r="K60" s="17"/>
      <c r="L60" s="17"/>
      <c r="M60" s="17"/>
      <c r="N60" t="str">
        <f t="shared" si="1"/>
        <v>Unique</v>
      </c>
      <c r="O60"/>
      <c r="P60"/>
    </row>
    <row r="61" spans="1:16" ht="14.4" customHeight="1" thickBot="1" x14ac:dyDescent="0.4">
      <c r="A61" s="6" t="s">
        <v>62</v>
      </c>
      <c r="B61" s="1" t="s">
        <v>20</v>
      </c>
      <c r="C61" s="1" t="s">
        <v>10</v>
      </c>
      <c r="D61" s="4">
        <v>200</v>
      </c>
      <c r="E61" s="4">
        <v>115.25</v>
      </c>
      <c r="F61" s="4">
        <v>-8.8212025319999992</v>
      </c>
      <c r="G61" s="2" t="s">
        <v>86</v>
      </c>
      <c r="H61" s="5">
        <v>126.4</v>
      </c>
      <c r="I61" s="1" t="s">
        <v>8</v>
      </c>
      <c r="J61" s="37"/>
      <c r="K61" s="17"/>
      <c r="L61" s="17"/>
      <c r="M61" s="17"/>
      <c r="N61" t="str">
        <f t="shared" si="1"/>
        <v>Unique</v>
      </c>
      <c r="O61"/>
      <c r="P61"/>
    </row>
    <row r="62" spans="1:16" s="25" customFormat="1" ht="14.4" customHeight="1" thickBot="1" x14ac:dyDescent="0.4">
      <c r="A62" s="6" t="s">
        <v>62</v>
      </c>
      <c r="B62" s="1" t="s">
        <v>109</v>
      </c>
      <c r="C62" s="1" t="s">
        <v>10</v>
      </c>
      <c r="D62" s="4">
        <v>15</v>
      </c>
      <c r="E62" s="4">
        <v>4415</v>
      </c>
      <c r="F62" s="4">
        <v>-9.1582477729999994</v>
      </c>
      <c r="G62" s="2" t="s">
        <v>110</v>
      </c>
      <c r="H62" s="5">
        <v>4860.1000000000004</v>
      </c>
      <c r="I62" s="1" t="s">
        <v>8</v>
      </c>
      <c r="J62" s="37"/>
      <c r="K62" s="17"/>
      <c r="L62" s="17"/>
      <c r="M62" s="17"/>
      <c r="N62" t="str">
        <f t="shared" si="1"/>
        <v>Unique</v>
      </c>
      <c r="O62"/>
      <c r="P62"/>
    </row>
    <row r="63" spans="1:16" s="31" customFormat="1" ht="14.4" customHeight="1" thickBot="1" x14ac:dyDescent="0.4">
      <c r="A63" s="3">
        <v>46281.416666666664</v>
      </c>
      <c r="B63" s="1" t="s">
        <v>291</v>
      </c>
      <c r="C63" s="1" t="s">
        <v>10</v>
      </c>
      <c r="D63" s="4">
        <v>10</v>
      </c>
      <c r="E63" s="4">
        <v>706</v>
      </c>
      <c r="F63" s="4">
        <v>-9.9489795920000006</v>
      </c>
      <c r="G63" s="2" t="s">
        <v>300</v>
      </c>
      <c r="H63" s="5">
        <v>784</v>
      </c>
      <c r="I63" s="1" t="s">
        <v>8</v>
      </c>
      <c r="J63" s="24" t="s">
        <v>41</v>
      </c>
      <c r="K63" s="18" t="s">
        <v>293</v>
      </c>
      <c r="L63" s="18">
        <v>17940</v>
      </c>
      <c r="M63" s="18">
        <f>ABS((D63*E63)-L63)</f>
        <v>10880</v>
      </c>
      <c r="N63" s="10" t="str">
        <f t="shared" si="1"/>
        <v>Unique</v>
      </c>
      <c r="O63" s="10"/>
      <c r="P63" s="10"/>
    </row>
    <row r="64" spans="1:16" ht="39" thickBot="1" x14ac:dyDescent="0.4">
      <c r="A64" s="6" t="s">
        <v>62</v>
      </c>
      <c r="B64" s="1" t="s">
        <v>12</v>
      </c>
      <c r="C64" s="1" t="s">
        <v>10</v>
      </c>
      <c r="D64" s="4">
        <v>1</v>
      </c>
      <c r="E64" s="4">
        <v>4164</v>
      </c>
      <c r="F64" s="4">
        <v>-10.499731329999999</v>
      </c>
      <c r="G64" s="2" t="s">
        <v>98</v>
      </c>
      <c r="H64" s="5">
        <v>4652.5</v>
      </c>
      <c r="I64" s="1" t="s">
        <v>8</v>
      </c>
      <c r="J64" s="37"/>
      <c r="K64" s="17"/>
      <c r="L64" s="17"/>
      <c r="M64" s="17"/>
      <c r="N64" t="str">
        <f t="shared" si="1"/>
        <v>Unique</v>
      </c>
      <c r="O64"/>
      <c r="P64"/>
    </row>
    <row r="65" spans="1:16" ht="14.4" customHeight="1" thickBot="1" x14ac:dyDescent="0.4">
      <c r="A65" s="3">
        <v>46252.635416666664</v>
      </c>
      <c r="B65" s="1" t="s">
        <v>92</v>
      </c>
      <c r="C65" s="1" t="s">
        <v>10</v>
      </c>
      <c r="D65" s="4">
        <v>2</v>
      </c>
      <c r="E65" s="4">
        <v>2892</v>
      </c>
      <c r="F65" s="4">
        <v>-11.27745736</v>
      </c>
      <c r="G65" s="2" t="s">
        <v>93</v>
      </c>
      <c r="H65" s="5">
        <v>3259.6</v>
      </c>
      <c r="I65" s="1" t="s">
        <v>8</v>
      </c>
      <c r="J65" s="37"/>
      <c r="K65" s="17"/>
      <c r="L65" s="17"/>
      <c r="M65" s="17"/>
      <c r="N65" t="str">
        <f t="shared" si="1"/>
        <v>Unique</v>
      </c>
      <c r="O65"/>
      <c r="P65"/>
    </row>
    <row r="66" spans="1:16" customFormat="1" ht="39" thickBot="1" x14ac:dyDescent="0.4">
      <c r="A66" s="6" t="s">
        <v>62</v>
      </c>
      <c r="B66" s="1" t="s">
        <v>20</v>
      </c>
      <c r="C66" s="1" t="s">
        <v>10</v>
      </c>
      <c r="D66" s="4">
        <v>100</v>
      </c>
      <c r="E66" s="4">
        <v>111</v>
      </c>
      <c r="F66" s="4">
        <v>-12.183544299999999</v>
      </c>
      <c r="G66" s="2" t="s">
        <v>86</v>
      </c>
      <c r="H66" s="5">
        <v>126.4</v>
      </c>
      <c r="I66" s="1" t="s">
        <v>8</v>
      </c>
      <c r="J66" s="52"/>
      <c r="K66" s="17"/>
      <c r="L66" s="17"/>
      <c r="M66" s="17"/>
      <c r="N66" t="str">
        <f t="shared" si="1"/>
        <v>Unique</v>
      </c>
    </row>
    <row r="67" spans="1:16" customFormat="1" ht="39" thickBot="1" x14ac:dyDescent="0.4">
      <c r="A67" s="6" t="s">
        <v>62</v>
      </c>
      <c r="B67" s="1" t="s">
        <v>113</v>
      </c>
      <c r="C67" s="1" t="s">
        <v>10</v>
      </c>
      <c r="D67" s="4">
        <v>4</v>
      </c>
      <c r="E67" s="4">
        <v>701</v>
      </c>
      <c r="F67" s="4">
        <v>-13.45144762</v>
      </c>
      <c r="G67" s="2" t="s">
        <v>114</v>
      </c>
      <c r="H67" s="5">
        <v>809.95</v>
      </c>
      <c r="I67" s="1" t="s">
        <v>8</v>
      </c>
      <c r="J67" s="52" t="s">
        <v>41</v>
      </c>
      <c r="K67" s="17"/>
      <c r="L67" s="17"/>
      <c r="M67" s="17"/>
      <c r="N67" t="str">
        <f t="shared" si="1"/>
        <v>Unique</v>
      </c>
    </row>
    <row r="68" spans="1:16" customFormat="1" ht="39" thickBot="1" x14ac:dyDescent="0.4">
      <c r="A68" s="6" t="s">
        <v>62</v>
      </c>
      <c r="B68" s="1" t="s">
        <v>12</v>
      </c>
      <c r="C68" s="1" t="s">
        <v>10</v>
      </c>
      <c r="D68" s="4">
        <v>1</v>
      </c>
      <c r="E68" s="4">
        <v>4014</v>
      </c>
      <c r="F68" s="4">
        <v>-13.72380441</v>
      </c>
      <c r="G68" s="2" t="s">
        <v>98</v>
      </c>
      <c r="H68" s="5">
        <v>4652.5</v>
      </c>
      <c r="I68" s="1" t="s">
        <v>8</v>
      </c>
      <c r="J68" s="52"/>
      <c r="K68" s="17"/>
      <c r="L68" s="17"/>
      <c r="M68" s="17"/>
      <c r="N68" t="str">
        <f t="shared" si="1"/>
        <v>Unique</v>
      </c>
    </row>
    <row r="69" spans="1:16" customFormat="1" ht="26.5" thickBot="1" x14ac:dyDescent="0.4">
      <c r="A69" s="6" t="s">
        <v>62</v>
      </c>
      <c r="B69" s="1" t="s">
        <v>92</v>
      </c>
      <c r="C69" s="1" t="s">
        <v>10</v>
      </c>
      <c r="D69" s="4">
        <v>1</v>
      </c>
      <c r="E69" s="4">
        <v>2752</v>
      </c>
      <c r="F69" s="4">
        <v>-15.57246288</v>
      </c>
      <c r="G69" s="2" t="s">
        <v>93</v>
      </c>
      <c r="H69" s="5">
        <v>3259.6</v>
      </c>
      <c r="I69" s="1" t="s">
        <v>8</v>
      </c>
      <c r="J69" s="52" t="s">
        <v>41</v>
      </c>
      <c r="K69" s="17"/>
      <c r="L69" s="17"/>
      <c r="M69" s="17"/>
      <c r="N69" t="str">
        <f t="shared" si="1"/>
        <v>Unique</v>
      </c>
    </row>
    <row r="70" spans="1:16" customFormat="1" ht="39" thickBot="1" x14ac:dyDescent="0.4">
      <c r="A70" s="6" t="s">
        <v>62</v>
      </c>
      <c r="B70" s="1" t="s">
        <v>12</v>
      </c>
      <c r="C70" s="1" t="s">
        <v>10</v>
      </c>
      <c r="D70" s="4">
        <v>1</v>
      </c>
      <c r="E70" s="4">
        <v>3914</v>
      </c>
      <c r="F70" s="4">
        <v>-15.873186459999999</v>
      </c>
      <c r="G70" s="2" t="s">
        <v>98</v>
      </c>
      <c r="H70" s="5">
        <v>4652.5</v>
      </c>
      <c r="I70" s="1" t="s">
        <v>8</v>
      </c>
      <c r="J70" s="64" t="s">
        <v>41</v>
      </c>
      <c r="K70" s="17"/>
      <c r="L70" s="17"/>
      <c r="M70" s="17"/>
      <c r="N70" t="str">
        <f t="shared" ref="N70" si="2">IF(COUNTIFS( $B$2:$B$734, B70, $C$2:$C$734, C70, $D$2:$D$734, D70, $E$2:$E$734, E70) &gt; 1, "Duplicate", "Unique")</f>
        <v>Unique</v>
      </c>
    </row>
    <row r="71" spans="1:16" customFormat="1" ht="26.5" thickBot="1" x14ac:dyDescent="0.4">
      <c r="A71" s="3">
        <v>46268.375</v>
      </c>
      <c r="B71" s="1" t="s">
        <v>14</v>
      </c>
      <c r="C71" s="1" t="s">
        <v>7</v>
      </c>
      <c r="D71" s="4">
        <v>100</v>
      </c>
      <c r="E71" s="4">
        <v>334</v>
      </c>
      <c r="F71" s="4">
        <v>1.0742926310000001</v>
      </c>
      <c r="G71" s="2" t="s">
        <v>45</v>
      </c>
      <c r="H71" s="5">
        <v>330.45</v>
      </c>
      <c r="I71" s="1" t="s">
        <v>8</v>
      </c>
      <c r="J71" s="18" t="s">
        <v>117</v>
      </c>
      <c r="K71" s="18" t="s">
        <v>237</v>
      </c>
      <c r="L71" s="18">
        <v>32200</v>
      </c>
      <c r="M71" s="18">
        <f>ABS((D71*E71)-L71)</f>
        <v>1200</v>
      </c>
      <c r="N71" s="10" t="str">
        <f t="shared" ref="N71:N134" si="3">IF(COUNTIFS( $B$2:$B$734, B71, $C$2:$C$734, C71, $D$2:$D$734, D71, $E$2:$E$734, E71) &gt; 1, "Duplicate", "Unique")</f>
        <v>Unique</v>
      </c>
      <c r="O71" s="10"/>
      <c r="P71" s="10"/>
    </row>
    <row r="72" spans="1:16" customFormat="1" ht="26.5" thickBot="1" x14ac:dyDescent="0.4">
      <c r="A72" s="6" t="s">
        <v>62</v>
      </c>
      <c r="B72" s="1" t="s">
        <v>92</v>
      </c>
      <c r="C72" s="1" t="s">
        <v>10</v>
      </c>
      <c r="D72" s="4">
        <v>2</v>
      </c>
      <c r="E72" s="4">
        <v>2660</v>
      </c>
      <c r="F72" s="4">
        <v>-18.394895080000001</v>
      </c>
      <c r="G72" s="2" t="s">
        <v>93</v>
      </c>
      <c r="H72" s="5">
        <v>3259.6</v>
      </c>
      <c r="I72" s="1" t="s">
        <v>8</v>
      </c>
      <c r="J72" s="52"/>
      <c r="K72" s="17"/>
      <c r="L72" s="17"/>
      <c r="M72" s="17"/>
      <c r="N72" t="str">
        <f t="shared" si="3"/>
        <v>Unique</v>
      </c>
    </row>
    <row r="73" spans="1:16" ht="39" thickBot="1" x14ac:dyDescent="0.4">
      <c r="A73" s="32">
        <v>46262.375</v>
      </c>
      <c r="B73" s="33" t="s">
        <v>43</v>
      </c>
      <c r="C73" s="33" t="s">
        <v>7</v>
      </c>
      <c r="D73" s="34">
        <v>5</v>
      </c>
      <c r="E73" s="34">
        <v>747</v>
      </c>
      <c r="F73" s="4">
        <v>1.349976257</v>
      </c>
      <c r="G73" s="2" t="s">
        <v>44</v>
      </c>
      <c r="H73" s="5">
        <v>737.05</v>
      </c>
      <c r="I73" s="1" t="s">
        <v>8</v>
      </c>
      <c r="J73" s="29" t="s">
        <v>118</v>
      </c>
      <c r="K73" s="29" t="s">
        <v>193</v>
      </c>
      <c r="L73" s="29">
        <v>3560</v>
      </c>
      <c r="M73" s="29">
        <f>ABS((D73*E73)-L73)</f>
        <v>175</v>
      </c>
      <c r="N73" s="31" t="str">
        <f t="shared" si="3"/>
        <v>Duplicate</v>
      </c>
      <c r="O73" s="41" t="s">
        <v>246</v>
      </c>
      <c r="P73"/>
    </row>
    <row r="74" spans="1:16" s="31" customFormat="1" ht="39" thickBot="1" x14ac:dyDescent="0.4">
      <c r="A74" s="32">
        <v>46265.375694444447</v>
      </c>
      <c r="B74" s="33" t="s">
        <v>43</v>
      </c>
      <c r="C74" s="33" t="s">
        <v>7</v>
      </c>
      <c r="D74" s="34">
        <v>5</v>
      </c>
      <c r="E74" s="34">
        <v>747</v>
      </c>
      <c r="F74" s="4">
        <v>1.349976257</v>
      </c>
      <c r="G74" s="2" t="s">
        <v>44</v>
      </c>
      <c r="H74" s="5">
        <v>737.05</v>
      </c>
      <c r="I74" s="1" t="s">
        <v>8</v>
      </c>
      <c r="J74" s="29" t="s">
        <v>118</v>
      </c>
      <c r="K74" s="29" t="s">
        <v>210</v>
      </c>
      <c r="L74" s="29">
        <v>3510</v>
      </c>
      <c r="M74" s="29">
        <f>ABS((D74*E74)-L74)</f>
        <v>225</v>
      </c>
      <c r="N74" s="30" t="str">
        <f t="shared" si="3"/>
        <v>Duplicate</v>
      </c>
      <c r="O74" s="41" t="s">
        <v>246</v>
      </c>
      <c r="P74" s="10"/>
    </row>
    <row r="75" spans="1:16" s="31" customFormat="1" ht="39" thickBot="1" x14ac:dyDescent="0.4">
      <c r="A75" s="3">
        <v>46252.688194444447</v>
      </c>
      <c r="B75" s="1" t="s">
        <v>96</v>
      </c>
      <c r="C75" s="1" t="s">
        <v>10</v>
      </c>
      <c r="D75" s="4">
        <v>45</v>
      </c>
      <c r="E75" s="4">
        <v>136.15</v>
      </c>
      <c r="F75" s="4">
        <v>-18.958333329999999</v>
      </c>
      <c r="G75" s="2" t="s">
        <v>97</v>
      </c>
      <c r="H75" s="5">
        <v>168</v>
      </c>
      <c r="I75" s="1" t="s">
        <v>8</v>
      </c>
      <c r="J75" s="52" t="s">
        <v>55</v>
      </c>
      <c r="K75" s="17"/>
      <c r="L75" s="17"/>
      <c r="M75" s="17"/>
      <c r="N75" t="str">
        <f t="shared" si="3"/>
        <v>Unique</v>
      </c>
      <c r="O75"/>
      <c r="P75"/>
    </row>
    <row r="76" spans="1:16" ht="26.5" thickBot="1" x14ac:dyDescent="0.4">
      <c r="A76" s="3">
        <v>46267.461111111108</v>
      </c>
      <c r="B76" s="1" t="s">
        <v>14</v>
      </c>
      <c r="C76" s="1" t="s">
        <v>7</v>
      </c>
      <c r="D76" s="4">
        <v>100</v>
      </c>
      <c r="E76" s="4">
        <v>339</v>
      </c>
      <c r="F76" s="4">
        <v>1.3769102740000001</v>
      </c>
      <c r="G76" s="2" t="s">
        <v>45</v>
      </c>
      <c r="H76" s="5">
        <v>330.45</v>
      </c>
      <c r="I76" s="1" t="s">
        <v>8</v>
      </c>
      <c r="J76" s="18" t="s">
        <v>117</v>
      </c>
      <c r="K76" s="18" t="s">
        <v>225</v>
      </c>
      <c r="L76" s="18">
        <v>32900</v>
      </c>
      <c r="M76" s="18">
        <f>ABS((D76*E76)-L76)</f>
        <v>1000</v>
      </c>
      <c r="N76" s="10" t="str">
        <f t="shared" si="3"/>
        <v>Unique</v>
      </c>
    </row>
    <row r="77" spans="1:16" s="31" customFormat="1" ht="39" thickBot="1" x14ac:dyDescent="0.4">
      <c r="A77" s="6" t="s">
        <v>62</v>
      </c>
      <c r="B77" s="1" t="s">
        <v>115</v>
      </c>
      <c r="C77" s="1" t="s">
        <v>10</v>
      </c>
      <c r="D77" s="4">
        <v>2</v>
      </c>
      <c r="E77" s="4">
        <v>660</v>
      </c>
      <c r="F77" s="4">
        <v>-19.712912840000001</v>
      </c>
      <c r="G77" s="2" t="s">
        <v>116</v>
      </c>
      <c r="H77" s="5">
        <v>822.05</v>
      </c>
      <c r="I77" s="1" t="s">
        <v>8</v>
      </c>
      <c r="J77" s="52" t="s">
        <v>41</v>
      </c>
      <c r="K77" s="17"/>
      <c r="L77" s="17"/>
      <c r="M77" s="17"/>
      <c r="N77" t="str">
        <f t="shared" si="3"/>
        <v>Unique</v>
      </c>
      <c r="O77"/>
      <c r="P77"/>
    </row>
    <row r="78" spans="1:16" s="26" customFormat="1" ht="26.5" thickBot="1" x14ac:dyDescent="0.4">
      <c r="A78" s="3">
        <v>46281.376388888886</v>
      </c>
      <c r="B78" s="1" t="s">
        <v>109</v>
      </c>
      <c r="C78" s="1" t="s">
        <v>7</v>
      </c>
      <c r="D78" s="4">
        <v>1</v>
      </c>
      <c r="E78" s="4">
        <v>4940</v>
      </c>
      <c r="F78" s="4">
        <v>1.6439990950000001</v>
      </c>
      <c r="G78" s="2" t="s">
        <v>110</v>
      </c>
      <c r="H78" s="5">
        <v>4860.1000000000004</v>
      </c>
      <c r="I78" s="1" t="s">
        <v>8</v>
      </c>
      <c r="J78" s="18" t="s">
        <v>118</v>
      </c>
      <c r="K78" s="18" t="s">
        <v>297</v>
      </c>
      <c r="L78" s="18">
        <v>4640</v>
      </c>
      <c r="M78" s="18">
        <f>ABS((D78*E78)-L78)</f>
        <v>300</v>
      </c>
      <c r="N78" s="10" t="str">
        <f t="shared" si="3"/>
        <v>Unique</v>
      </c>
      <c r="O78" s="10"/>
      <c r="P78" s="10"/>
    </row>
    <row r="79" spans="1:16" ht="39" thickBot="1" x14ac:dyDescent="0.4">
      <c r="A79" s="3">
        <v>46275.375</v>
      </c>
      <c r="B79" s="1" t="s">
        <v>23</v>
      </c>
      <c r="C79" s="1" t="s">
        <v>7</v>
      </c>
      <c r="D79" s="4">
        <v>50</v>
      </c>
      <c r="E79" s="4">
        <v>214</v>
      </c>
      <c r="F79" s="4">
        <v>2.245580506</v>
      </c>
      <c r="G79" s="2" t="s">
        <v>70</v>
      </c>
      <c r="H79" s="5">
        <v>209.3</v>
      </c>
      <c r="I79" s="1" t="s">
        <v>8</v>
      </c>
      <c r="J79" s="18" t="s">
        <v>117</v>
      </c>
      <c r="K79" s="18" t="s">
        <v>269</v>
      </c>
      <c r="L79" s="18">
        <v>10400</v>
      </c>
      <c r="M79" s="18">
        <f>ABS((D79*E79)-L79)</f>
        <v>300</v>
      </c>
      <c r="N79" s="10" t="str">
        <f t="shared" si="3"/>
        <v>Unique</v>
      </c>
    </row>
    <row r="80" spans="1:16" ht="39" thickBot="1" x14ac:dyDescent="0.4">
      <c r="A80" s="3">
        <v>46267.375</v>
      </c>
      <c r="B80" s="1" t="s">
        <v>82</v>
      </c>
      <c r="C80" s="1" t="s">
        <v>7</v>
      </c>
      <c r="D80" s="4">
        <v>2</v>
      </c>
      <c r="E80" s="4">
        <v>4290</v>
      </c>
      <c r="F80" s="4">
        <v>2.3377862600000001</v>
      </c>
      <c r="G80" s="2" t="s">
        <v>83</v>
      </c>
      <c r="H80" s="5">
        <v>4192</v>
      </c>
      <c r="I80" s="1" t="s">
        <v>8</v>
      </c>
      <c r="J80" s="18" t="s">
        <v>118</v>
      </c>
      <c r="K80" s="18" t="s">
        <v>229</v>
      </c>
      <c r="L80" s="18">
        <v>8220</v>
      </c>
      <c r="M80" s="18">
        <f>ABS((D80*E80)-L80)</f>
        <v>360</v>
      </c>
      <c r="N80" s="10" t="str">
        <f t="shared" si="3"/>
        <v>Unique</v>
      </c>
      <c r="O80" s="41" t="s">
        <v>246</v>
      </c>
    </row>
    <row r="81" spans="1:16" ht="39" thickBot="1" x14ac:dyDescent="0.4">
      <c r="A81" s="11">
        <v>46273.375</v>
      </c>
      <c r="B81" s="8" t="s">
        <v>51</v>
      </c>
      <c r="C81" s="8" t="s">
        <v>7</v>
      </c>
      <c r="D81" s="8">
        <v>10</v>
      </c>
      <c r="E81" s="8">
        <v>937</v>
      </c>
      <c r="F81" s="4">
        <v>2.4659631470000001</v>
      </c>
      <c r="G81" s="2" t="s">
        <v>52</v>
      </c>
      <c r="H81" s="5">
        <v>914.45</v>
      </c>
      <c r="I81" s="1" t="s">
        <v>8</v>
      </c>
      <c r="J81" s="18" t="s">
        <v>154</v>
      </c>
      <c r="K81" s="18" t="s">
        <v>258</v>
      </c>
      <c r="L81" s="18">
        <v>9170</v>
      </c>
      <c r="M81" s="29">
        <f>ABS((D81*E81)-L81)</f>
        <v>200</v>
      </c>
      <c r="N81" s="10" t="str">
        <f t="shared" si="3"/>
        <v>Unique</v>
      </c>
      <c r="O81" s="41" t="s">
        <v>246</v>
      </c>
    </row>
    <row r="82" spans="1:16" ht="26.5" thickBot="1" x14ac:dyDescent="0.4">
      <c r="A82" s="6" t="s">
        <v>62</v>
      </c>
      <c r="B82" s="1" t="s">
        <v>92</v>
      </c>
      <c r="C82" s="1" t="s">
        <v>10</v>
      </c>
      <c r="D82" s="4">
        <v>2</v>
      </c>
      <c r="E82" s="4">
        <v>2560</v>
      </c>
      <c r="F82" s="4">
        <v>-21.462756169999999</v>
      </c>
      <c r="G82" s="2" t="s">
        <v>93</v>
      </c>
      <c r="H82" s="5">
        <v>3259.6</v>
      </c>
      <c r="I82" s="1" t="s">
        <v>8</v>
      </c>
      <c r="J82" s="52" t="s">
        <v>41</v>
      </c>
      <c r="K82" s="17"/>
      <c r="L82" s="17"/>
      <c r="M82" s="17"/>
      <c r="N82" t="str">
        <f t="shared" si="3"/>
        <v>Unique</v>
      </c>
      <c r="O82"/>
      <c r="P82"/>
    </row>
    <row r="83" spans="1:16" ht="26.5" thickBot="1" x14ac:dyDescent="0.4">
      <c r="A83" s="3">
        <v>46280.435416666667</v>
      </c>
      <c r="B83" s="1" t="s">
        <v>68</v>
      </c>
      <c r="C83" s="1" t="s">
        <v>7</v>
      </c>
      <c r="D83" s="4">
        <v>50</v>
      </c>
      <c r="E83" s="4">
        <v>409</v>
      </c>
      <c r="F83" s="4">
        <v>2.9967262649999999</v>
      </c>
      <c r="G83" s="2" t="s">
        <v>69</v>
      </c>
      <c r="H83" s="5">
        <v>397.1</v>
      </c>
      <c r="I83" s="1" t="s">
        <v>8</v>
      </c>
      <c r="J83" s="18" t="s">
        <v>117</v>
      </c>
      <c r="K83" s="18" t="s">
        <v>287</v>
      </c>
      <c r="L83" s="18">
        <v>39300</v>
      </c>
      <c r="M83" s="18">
        <f>ABS((D83*E83)-L83)</f>
        <v>18850</v>
      </c>
      <c r="N83" s="10" t="str">
        <f t="shared" si="3"/>
        <v>Unique</v>
      </c>
    </row>
    <row r="84" spans="1:16" ht="26.5" thickBot="1" x14ac:dyDescent="0.4">
      <c r="A84" s="3">
        <v>46276.375</v>
      </c>
      <c r="B84" s="1" t="s">
        <v>89</v>
      </c>
      <c r="C84" s="1" t="s">
        <v>7</v>
      </c>
      <c r="D84" s="4">
        <v>1</v>
      </c>
      <c r="E84" s="4">
        <v>13698</v>
      </c>
      <c r="F84" s="4">
        <v>3.1708970399999998</v>
      </c>
      <c r="G84" s="2" t="s">
        <v>90</v>
      </c>
      <c r="H84" s="5">
        <v>13277</v>
      </c>
      <c r="I84" s="1" t="s">
        <v>8</v>
      </c>
      <c r="J84" s="18" t="s">
        <v>118</v>
      </c>
      <c r="K84" s="18" t="s">
        <v>278</v>
      </c>
      <c r="L84" s="18">
        <v>13052</v>
      </c>
      <c r="M84" s="18">
        <f>ABS((D84*E84)-L84)</f>
        <v>646</v>
      </c>
      <c r="N84" s="10" t="str">
        <f t="shared" si="3"/>
        <v>Unique</v>
      </c>
    </row>
    <row r="85" spans="1:16" ht="26.5" thickBot="1" x14ac:dyDescent="0.4">
      <c r="A85" s="3">
        <v>46267.375</v>
      </c>
      <c r="B85" s="1" t="s">
        <v>14</v>
      </c>
      <c r="C85" s="1" t="s">
        <v>7</v>
      </c>
      <c r="D85" s="4">
        <v>50</v>
      </c>
      <c r="E85" s="4">
        <v>341</v>
      </c>
      <c r="F85" s="4">
        <v>3.1926161300000002</v>
      </c>
      <c r="G85" s="2" t="s">
        <v>45</v>
      </c>
      <c r="H85" s="5">
        <v>330.45</v>
      </c>
      <c r="I85" s="1" t="s">
        <v>8</v>
      </c>
      <c r="J85" s="18" t="s">
        <v>117</v>
      </c>
      <c r="K85" s="18" t="s">
        <v>232</v>
      </c>
      <c r="L85" s="18">
        <v>16755</v>
      </c>
      <c r="M85" s="18">
        <f>ABS((D85*E85)-L85)</f>
        <v>295</v>
      </c>
      <c r="N85" s="10" t="str">
        <f t="shared" si="3"/>
        <v>Unique</v>
      </c>
    </row>
    <row r="86" spans="1:16" s="26" customFormat="1" ht="39" thickBot="1" x14ac:dyDescent="0.4">
      <c r="A86" s="8" t="s">
        <v>62</v>
      </c>
      <c r="B86" s="8" t="s">
        <v>119</v>
      </c>
      <c r="C86" s="8" t="s">
        <v>7</v>
      </c>
      <c r="D86" s="8">
        <v>15</v>
      </c>
      <c r="E86" s="8">
        <v>1090</v>
      </c>
      <c r="F86" s="4">
        <v>3.3175355450000001</v>
      </c>
      <c r="G86" s="2" t="s">
        <v>120</v>
      </c>
      <c r="H86" s="5">
        <v>1055</v>
      </c>
      <c r="I86" s="1" t="s">
        <v>8</v>
      </c>
      <c r="J86" s="36"/>
      <c r="K86" s="18"/>
      <c r="L86" s="18"/>
      <c r="M86" s="18"/>
      <c r="N86" s="10" t="str">
        <f t="shared" si="3"/>
        <v>Unique</v>
      </c>
      <c r="O86" s="10"/>
      <c r="P86" s="10"/>
    </row>
    <row r="87" spans="1:16" ht="26.5" thickBot="1" x14ac:dyDescent="0.4">
      <c r="A87" s="3">
        <v>46280.375694444447</v>
      </c>
      <c r="B87" s="1" t="s">
        <v>13</v>
      </c>
      <c r="C87" s="1" t="s">
        <v>7</v>
      </c>
      <c r="D87" s="4">
        <v>5</v>
      </c>
      <c r="E87" s="4">
        <v>1794</v>
      </c>
      <c r="F87" s="4">
        <v>3.460207612</v>
      </c>
      <c r="G87" s="2" t="s">
        <v>91</v>
      </c>
      <c r="H87" s="5">
        <v>1734</v>
      </c>
      <c r="I87" s="1" t="s">
        <v>8</v>
      </c>
      <c r="J87" s="18" t="s">
        <v>118</v>
      </c>
      <c r="K87" s="18" t="s">
        <v>288</v>
      </c>
      <c r="L87" s="18">
        <v>8320</v>
      </c>
      <c r="M87" s="18">
        <f t="shared" ref="M87:M103" si="4">ABS((D87*E87)-L87)</f>
        <v>650</v>
      </c>
      <c r="N87" s="10" t="str">
        <f t="shared" si="3"/>
        <v>Duplicate</v>
      </c>
      <c r="O87" s="41" t="s">
        <v>246</v>
      </c>
    </row>
    <row r="88" spans="1:16" ht="39" thickBot="1" x14ac:dyDescent="0.4">
      <c r="A88" s="32">
        <v>46281.443055555559</v>
      </c>
      <c r="B88" s="33" t="s">
        <v>36</v>
      </c>
      <c r="C88" s="33" t="s">
        <v>7</v>
      </c>
      <c r="D88" s="34">
        <v>5</v>
      </c>
      <c r="E88" s="34">
        <v>1196</v>
      </c>
      <c r="F88" s="4">
        <v>3.4781103999999998</v>
      </c>
      <c r="G88" s="2" t="s">
        <v>65</v>
      </c>
      <c r="H88" s="5">
        <v>1155.8</v>
      </c>
      <c r="I88" s="1" t="s">
        <v>8</v>
      </c>
      <c r="J88" s="29" t="s">
        <v>118</v>
      </c>
      <c r="K88" s="29" t="s">
        <v>292</v>
      </c>
      <c r="L88" s="29">
        <v>5585</v>
      </c>
      <c r="M88" s="29">
        <f t="shared" si="4"/>
        <v>395</v>
      </c>
      <c r="N88" s="31" t="str">
        <f t="shared" si="3"/>
        <v>Duplicate</v>
      </c>
      <c r="O88" s="41" t="s">
        <v>246</v>
      </c>
      <c r="P88" s="31"/>
    </row>
    <row r="89" spans="1:16" s="31" customFormat="1" ht="39" thickBot="1" x14ac:dyDescent="0.4">
      <c r="A89" s="32">
        <v>46281.388888888891</v>
      </c>
      <c r="B89" s="33" t="s">
        <v>36</v>
      </c>
      <c r="C89" s="33" t="s">
        <v>7</v>
      </c>
      <c r="D89" s="34">
        <v>5</v>
      </c>
      <c r="E89" s="34">
        <v>1196</v>
      </c>
      <c r="F89" s="4">
        <v>3.4781103999999998</v>
      </c>
      <c r="G89" s="2" t="s">
        <v>65</v>
      </c>
      <c r="H89" s="5">
        <v>1155.8</v>
      </c>
      <c r="I89" s="1" t="s">
        <v>8</v>
      </c>
      <c r="J89" s="29" t="s">
        <v>118</v>
      </c>
      <c r="K89" s="29" t="s">
        <v>295</v>
      </c>
      <c r="L89" s="29">
        <v>5730</v>
      </c>
      <c r="M89" s="29">
        <f t="shared" si="4"/>
        <v>250</v>
      </c>
      <c r="N89" s="31" t="str">
        <f t="shared" si="3"/>
        <v>Duplicate</v>
      </c>
      <c r="O89" s="41" t="s">
        <v>246</v>
      </c>
    </row>
    <row r="90" spans="1:16" s="31" customFormat="1" ht="39" thickBot="1" x14ac:dyDescent="0.4">
      <c r="A90" s="11">
        <v>46273.375</v>
      </c>
      <c r="B90" s="8" t="s">
        <v>51</v>
      </c>
      <c r="C90" s="8" t="s">
        <v>7</v>
      </c>
      <c r="D90" s="8">
        <v>10</v>
      </c>
      <c r="E90" s="8">
        <v>947</v>
      </c>
      <c r="F90" s="4">
        <v>3.5595166489999999</v>
      </c>
      <c r="G90" s="2" t="s">
        <v>52</v>
      </c>
      <c r="H90" s="5">
        <v>914.45</v>
      </c>
      <c r="I90" s="1" t="s">
        <v>8</v>
      </c>
      <c r="J90" s="18" t="s">
        <v>154</v>
      </c>
      <c r="K90" s="18" t="s">
        <v>258</v>
      </c>
      <c r="L90" s="18">
        <v>9170</v>
      </c>
      <c r="M90" s="29">
        <f t="shared" si="4"/>
        <v>300</v>
      </c>
      <c r="N90" s="10" t="str">
        <f t="shared" si="3"/>
        <v>Unique</v>
      </c>
      <c r="O90" s="10"/>
      <c r="P90" s="10"/>
    </row>
    <row r="91" spans="1:16" ht="26.5" thickBot="1" x14ac:dyDescent="0.4">
      <c r="A91" s="3">
        <v>46276.375</v>
      </c>
      <c r="B91" s="1" t="s">
        <v>66</v>
      </c>
      <c r="C91" s="1" t="s">
        <v>7</v>
      </c>
      <c r="D91" s="4">
        <v>10</v>
      </c>
      <c r="E91" s="4">
        <v>1172</v>
      </c>
      <c r="F91" s="4">
        <v>3.7076364919999998</v>
      </c>
      <c r="G91" s="2" t="s">
        <v>67</v>
      </c>
      <c r="H91" s="5">
        <v>1130.0999999999999</v>
      </c>
      <c r="I91" s="1" t="s">
        <v>8</v>
      </c>
      <c r="J91" s="18" t="s">
        <v>117</v>
      </c>
      <c r="K91" s="18" t="s">
        <v>279</v>
      </c>
      <c r="L91" s="18">
        <v>11320</v>
      </c>
      <c r="M91" s="18">
        <f t="shared" si="4"/>
        <v>400</v>
      </c>
      <c r="N91" s="10" t="str">
        <f t="shared" si="3"/>
        <v>Unique</v>
      </c>
    </row>
    <row r="92" spans="1:16" ht="26.5" thickBot="1" x14ac:dyDescent="0.4">
      <c r="A92" s="43">
        <v>46273.375</v>
      </c>
      <c r="B92" s="44" t="s">
        <v>49</v>
      </c>
      <c r="C92" s="44" t="s">
        <v>7</v>
      </c>
      <c r="D92" s="44">
        <v>5</v>
      </c>
      <c r="E92" s="44">
        <v>4047</v>
      </c>
      <c r="F92" s="4">
        <v>3.8624406520000001</v>
      </c>
      <c r="G92" s="2" t="s">
        <v>50</v>
      </c>
      <c r="H92" s="5">
        <v>3896.5</v>
      </c>
      <c r="I92" s="1" t="s">
        <v>8</v>
      </c>
      <c r="J92" s="29" t="s">
        <v>117</v>
      </c>
      <c r="K92" s="29" t="s">
        <v>259</v>
      </c>
      <c r="L92" s="29">
        <v>19730.5</v>
      </c>
      <c r="M92" s="29">
        <f t="shared" si="4"/>
        <v>504.5</v>
      </c>
      <c r="N92" s="31" t="str">
        <f t="shared" si="3"/>
        <v>Duplicate</v>
      </c>
      <c r="O92" s="41" t="s">
        <v>246</v>
      </c>
      <c r="P92" s="31"/>
    </row>
    <row r="93" spans="1:16" ht="26.5" thickBot="1" x14ac:dyDescent="0.4">
      <c r="A93" s="32">
        <v>46274.375</v>
      </c>
      <c r="B93" s="33" t="s">
        <v>49</v>
      </c>
      <c r="C93" s="33" t="s">
        <v>7</v>
      </c>
      <c r="D93" s="34">
        <v>5</v>
      </c>
      <c r="E93" s="34">
        <v>4047</v>
      </c>
      <c r="F93" s="4">
        <v>3.8624406520000001</v>
      </c>
      <c r="G93" s="2" t="s">
        <v>50</v>
      </c>
      <c r="H93" s="5">
        <v>3896.5</v>
      </c>
      <c r="I93" s="1" t="s">
        <v>8</v>
      </c>
      <c r="J93" s="29" t="s">
        <v>117</v>
      </c>
      <c r="K93" s="29" t="s">
        <v>265</v>
      </c>
      <c r="L93" s="29">
        <v>19690</v>
      </c>
      <c r="M93" s="29">
        <f t="shared" si="4"/>
        <v>545</v>
      </c>
      <c r="N93" s="31" t="str">
        <f t="shared" si="3"/>
        <v>Duplicate</v>
      </c>
      <c r="O93" s="41" t="s">
        <v>246</v>
      </c>
      <c r="P93" s="31"/>
    </row>
    <row r="94" spans="1:16" ht="26.5" thickBot="1" x14ac:dyDescent="0.4">
      <c r="A94" s="3">
        <v>46276.375</v>
      </c>
      <c r="B94" s="1" t="s">
        <v>17</v>
      </c>
      <c r="C94" s="1" t="s">
        <v>7</v>
      </c>
      <c r="D94" s="4">
        <v>25</v>
      </c>
      <c r="E94" s="4">
        <v>360</v>
      </c>
      <c r="F94" s="4">
        <v>3.956107421</v>
      </c>
      <c r="G94" s="2" t="s">
        <v>77</v>
      </c>
      <c r="H94" s="5">
        <v>346.3</v>
      </c>
      <c r="I94" s="1" t="s">
        <v>8</v>
      </c>
      <c r="J94" s="18" t="s">
        <v>117</v>
      </c>
      <c r="K94" s="18" t="s">
        <v>281</v>
      </c>
      <c r="L94" s="18">
        <v>8700</v>
      </c>
      <c r="M94" s="18">
        <f t="shared" si="4"/>
        <v>300</v>
      </c>
      <c r="N94" s="10" t="str">
        <f t="shared" si="3"/>
        <v>Unique</v>
      </c>
    </row>
    <row r="95" spans="1:16" s="25" customFormat="1" ht="39" thickBot="1" x14ac:dyDescent="0.4">
      <c r="A95" s="59">
        <v>46262.375</v>
      </c>
      <c r="B95" s="60" t="s">
        <v>82</v>
      </c>
      <c r="C95" s="60" t="s">
        <v>7</v>
      </c>
      <c r="D95" s="61">
        <v>2</v>
      </c>
      <c r="E95" s="61">
        <v>4360</v>
      </c>
      <c r="F95" s="61">
        <v>4.007633588</v>
      </c>
      <c r="G95" s="62" t="s">
        <v>83</v>
      </c>
      <c r="H95" s="63">
        <v>4192</v>
      </c>
      <c r="I95" s="60" t="s">
        <v>8</v>
      </c>
      <c r="J95" s="47" t="s">
        <v>118</v>
      </c>
      <c r="K95" s="47" t="s">
        <v>188</v>
      </c>
      <c r="L95" s="47">
        <v>8420</v>
      </c>
      <c r="M95" s="47">
        <f t="shared" si="4"/>
        <v>300</v>
      </c>
      <c r="N95" s="25" t="str">
        <f t="shared" si="3"/>
        <v>Unique</v>
      </c>
      <c r="P95" s="25" t="s">
        <v>260</v>
      </c>
    </row>
    <row r="96" spans="1:16" ht="26.5" thickBot="1" x14ac:dyDescent="0.4">
      <c r="A96" s="3">
        <v>46267.38958333333</v>
      </c>
      <c r="B96" s="1" t="s">
        <v>14</v>
      </c>
      <c r="C96" s="1" t="s">
        <v>7</v>
      </c>
      <c r="D96" s="4">
        <v>100</v>
      </c>
      <c r="E96" s="4">
        <v>344</v>
      </c>
      <c r="F96" s="4">
        <v>4.2517778789999996</v>
      </c>
      <c r="G96" s="2" t="s">
        <v>45</v>
      </c>
      <c r="H96" s="5">
        <v>330.45</v>
      </c>
      <c r="I96" s="1" t="s">
        <v>8</v>
      </c>
      <c r="J96" s="18" t="s">
        <v>117</v>
      </c>
      <c r="K96" s="18" t="s">
        <v>227</v>
      </c>
      <c r="L96" s="18">
        <v>33200</v>
      </c>
      <c r="M96" s="18">
        <f t="shared" si="4"/>
        <v>1200</v>
      </c>
      <c r="N96" s="10" t="str">
        <f t="shared" si="3"/>
        <v>Unique</v>
      </c>
    </row>
    <row r="97" spans="1:16" ht="26.5" thickBot="1" x14ac:dyDescent="0.4">
      <c r="A97" s="3">
        <v>46266.642361111109</v>
      </c>
      <c r="B97" s="1" t="s">
        <v>14</v>
      </c>
      <c r="C97" s="1" t="s">
        <v>7</v>
      </c>
      <c r="D97" s="4">
        <v>100</v>
      </c>
      <c r="E97" s="4">
        <v>348</v>
      </c>
      <c r="F97" s="4">
        <v>4.2517778789999996</v>
      </c>
      <c r="G97" s="2" t="s">
        <v>45</v>
      </c>
      <c r="H97" s="5">
        <v>330.45</v>
      </c>
      <c r="I97" s="1" t="s">
        <v>8</v>
      </c>
      <c r="J97" s="18" t="s">
        <v>117</v>
      </c>
      <c r="K97" s="18" t="s">
        <v>221</v>
      </c>
      <c r="L97" s="18">
        <v>33950</v>
      </c>
      <c r="M97" s="18">
        <f t="shared" si="4"/>
        <v>850</v>
      </c>
      <c r="N97" s="10" t="str">
        <f t="shared" si="3"/>
        <v>Unique</v>
      </c>
    </row>
    <row r="98" spans="1:16" ht="39" thickBot="1" x14ac:dyDescent="0.4">
      <c r="A98" s="32">
        <v>46267.375</v>
      </c>
      <c r="B98" s="33" t="s">
        <v>36</v>
      </c>
      <c r="C98" s="33" t="s">
        <v>7</v>
      </c>
      <c r="D98" s="34">
        <v>5</v>
      </c>
      <c r="E98" s="34">
        <v>1206</v>
      </c>
      <c r="F98" s="4">
        <v>4.3433119920000003</v>
      </c>
      <c r="G98" s="2" t="s">
        <v>65</v>
      </c>
      <c r="H98" s="5">
        <v>1155.8</v>
      </c>
      <c r="I98" s="1" t="s">
        <v>8</v>
      </c>
      <c r="J98" s="29" t="s">
        <v>118</v>
      </c>
      <c r="K98" s="29" t="s">
        <v>230</v>
      </c>
      <c r="L98" s="29">
        <v>5755</v>
      </c>
      <c r="M98" s="29">
        <f t="shared" si="4"/>
        <v>275</v>
      </c>
      <c r="N98" s="31" t="str">
        <f t="shared" si="3"/>
        <v>Duplicate</v>
      </c>
    </row>
    <row r="99" spans="1:16" ht="39" thickBot="1" x14ac:dyDescent="0.4">
      <c r="A99" s="32">
        <v>46267.375</v>
      </c>
      <c r="B99" s="33" t="s">
        <v>36</v>
      </c>
      <c r="C99" s="33" t="s">
        <v>7</v>
      </c>
      <c r="D99" s="34">
        <v>5</v>
      </c>
      <c r="E99" s="34">
        <v>1206</v>
      </c>
      <c r="F99" s="4">
        <v>4.3433119920000003</v>
      </c>
      <c r="G99" s="2" t="s">
        <v>65</v>
      </c>
      <c r="H99" s="5">
        <v>1155.8</v>
      </c>
      <c r="I99" s="1" t="s">
        <v>8</v>
      </c>
      <c r="J99" s="29" t="s">
        <v>118</v>
      </c>
      <c r="K99" s="29" t="s">
        <v>234</v>
      </c>
      <c r="L99" s="29">
        <v>5805</v>
      </c>
      <c r="M99" s="29">
        <f t="shared" si="4"/>
        <v>225</v>
      </c>
      <c r="N99" s="31" t="str">
        <f t="shared" si="3"/>
        <v>Duplicate</v>
      </c>
    </row>
    <row r="100" spans="1:16" ht="26.5" thickBot="1" x14ac:dyDescent="0.4">
      <c r="A100" s="32">
        <v>46267.425694444442</v>
      </c>
      <c r="B100" s="33" t="s">
        <v>35</v>
      </c>
      <c r="C100" s="33" t="s">
        <v>7</v>
      </c>
      <c r="D100" s="34">
        <v>20</v>
      </c>
      <c r="E100" s="34">
        <v>219.5</v>
      </c>
      <c r="F100" s="4">
        <v>4.4293258480000004</v>
      </c>
      <c r="G100" s="2" t="s">
        <v>42</v>
      </c>
      <c r="H100" s="5">
        <v>210.19</v>
      </c>
      <c r="I100" s="1" t="s">
        <v>8</v>
      </c>
      <c r="J100" s="29" t="s">
        <v>118</v>
      </c>
      <c r="K100" s="29" t="s">
        <v>224</v>
      </c>
      <c r="L100" s="29">
        <v>4120</v>
      </c>
      <c r="M100" s="29">
        <f t="shared" si="4"/>
        <v>270</v>
      </c>
      <c r="N100" s="31" t="str">
        <f t="shared" si="3"/>
        <v>Unique</v>
      </c>
      <c r="O100" s="30" t="s">
        <v>246</v>
      </c>
      <c r="P100" s="31"/>
    </row>
    <row r="101" spans="1:16" s="25" customFormat="1" ht="26.5" thickBot="1" x14ac:dyDescent="0.4">
      <c r="A101" s="32">
        <v>46280.593055555553</v>
      </c>
      <c r="B101" s="33" t="s">
        <v>35</v>
      </c>
      <c r="C101" s="33" t="s">
        <v>7</v>
      </c>
      <c r="D101" s="34">
        <v>10</v>
      </c>
      <c r="E101" s="34">
        <v>219.5</v>
      </c>
      <c r="F101" s="4">
        <v>4.4293258480000004</v>
      </c>
      <c r="G101" s="2" t="s">
        <v>42</v>
      </c>
      <c r="H101" s="5">
        <v>210.19</v>
      </c>
      <c r="I101" s="1" t="s">
        <v>8</v>
      </c>
      <c r="J101" s="29" t="s">
        <v>118</v>
      </c>
      <c r="K101" s="29" t="s">
        <v>283</v>
      </c>
      <c r="L101" s="29">
        <v>2006.3999999999999</v>
      </c>
      <c r="M101" s="29">
        <f t="shared" si="4"/>
        <v>188.60000000000014</v>
      </c>
      <c r="N101" s="31" t="str">
        <f t="shared" si="3"/>
        <v>Unique</v>
      </c>
      <c r="O101" s="30" t="s">
        <v>246</v>
      </c>
      <c r="P101" s="31"/>
    </row>
    <row r="102" spans="1:16" ht="39" thickBot="1" x14ac:dyDescent="0.4">
      <c r="A102" s="3">
        <v>46269.614583333336</v>
      </c>
      <c r="B102" s="1" t="s">
        <v>23</v>
      </c>
      <c r="C102" s="1" t="s">
        <v>7</v>
      </c>
      <c r="D102" s="4">
        <v>40</v>
      </c>
      <c r="E102" s="4">
        <v>219</v>
      </c>
      <c r="F102" s="4">
        <v>4.6344959389999998</v>
      </c>
      <c r="G102" s="2" t="s">
        <v>70</v>
      </c>
      <c r="H102" s="5">
        <v>209.3</v>
      </c>
      <c r="I102" s="1" t="s">
        <v>8</v>
      </c>
      <c r="J102" s="18" t="s">
        <v>117</v>
      </c>
      <c r="K102" s="18" t="s">
        <v>241</v>
      </c>
      <c r="L102" s="18">
        <v>8480</v>
      </c>
      <c r="M102" s="27">
        <f t="shared" si="4"/>
        <v>280</v>
      </c>
      <c r="N102" t="str">
        <f t="shared" si="3"/>
        <v>Unique</v>
      </c>
      <c r="O102" s="41" t="s">
        <v>246</v>
      </c>
    </row>
    <row r="103" spans="1:16" ht="39" thickBot="1" x14ac:dyDescent="0.4">
      <c r="A103" s="3">
        <v>46267.375</v>
      </c>
      <c r="B103" s="1" t="s">
        <v>51</v>
      </c>
      <c r="C103" s="1" t="s">
        <v>7</v>
      </c>
      <c r="D103" s="4">
        <v>10</v>
      </c>
      <c r="E103" s="4">
        <v>957</v>
      </c>
      <c r="F103" s="4">
        <v>4.6530701509999997</v>
      </c>
      <c r="G103" s="2" t="s">
        <v>52</v>
      </c>
      <c r="H103" s="5">
        <v>914.45</v>
      </c>
      <c r="I103" s="1" t="s">
        <v>8</v>
      </c>
      <c r="J103" s="18" t="s">
        <v>117</v>
      </c>
      <c r="K103" s="18" t="s">
        <v>233</v>
      </c>
      <c r="L103" s="18">
        <v>9270</v>
      </c>
      <c r="M103" s="18">
        <f t="shared" si="4"/>
        <v>300</v>
      </c>
      <c r="N103" s="10" t="str">
        <f t="shared" si="3"/>
        <v>Unique</v>
      </c>
      <c r="P103" s="19"/>
    </row>
    <row r="104" spans="1:16" ht="39" thickBot="1" x14ac:dyDescent="0.4">
      <c r="A104" s="8" t="s">
        <v>62</v>
      </c>
      <c r="B104" s="8" t="s">
        <v>43</v>
      </c>
      <c r="C104" s="8" t="s">
        <v>7</v>
      </c>
      <c r="D104" s="8">
        <v>10</v>
      </c>
      <c r="E104" s="12">
        <v>773</v>
      </c>
      <c r="F104" s="4">
        <v>4.8775524050000003</v>
      </c>
      <c r="G104" s="2" t="s">
        <v>44</v>
      </c>
      <c r="H104" s="5">
        <v>737.05</v>
      </c>
      <c r="I104" s="1" t="s">
        <v>8</v>
      </c>
      <c r="J104" s="36" t="s">
        <v>118</v>
      </c>
      <c r="N104" s="10" t="str">
        <f t="shared" si="3"/>
        <v>Unique</v>
      </c>
    </row>
    <row r="105" spans="1:16" ht="26.5" thickBot="1" x14ac:dyDescent="0.4">
      <c r="A105" s="3">
        <v>46265.375694444447</v>
      </c>
      <c r="B105" s="1" t="s">
        <v>49</v>
      </c>
      <c r="C105" s="1" t="s">
        <v>7</v>
      </c>
      <c r="D105" s="4">
        <v>5</v>
      </c>
      <c r="E105" s="4">
        <v>4092</v>
      </c>
      <c r="F105" s="4">
        <v>5.0173232390000004</v>
      </c>
      <c r="G105" s="2" t="s">
        <v>50</v>
      </c>
      <c r="H105" s="5">
        <v>3896.5</v>
      </c>
      <c r="I105" s="1" t="s">
        <v>8</v>
      </c>
      <c r="J105" s="18" t="s">
        <v>118</v>
      </c>
      <c r="K105" s="18" t="s">
        <v>209</v>
      </c>
      <c r="L105" s="18">
        <v>20010</v>
      </c>
      <c r="M105" s="18">
        <f t="shared" ref="M105:M117" si="5">ABS((D105*E105)-L105)</f>
        <v>450</v>
      </c>
      <c r="N105" t="str">
        <f t="shared" si="3"/>
        <v>Unique</v>
      </c>
      <c r="P105"/>
    </row>
    <row r="106" spans="1:16" ht="26.5" thickBot="1" x14ac:dyDescent="0.4">
      <c r="A106" s="3">
        <v>46261.375</v>
      </c>
      <c r="B106" s="1" t="s">
        <v>57</v>
      </c>
      <c r="C106" s="1" t="s">
        <v>7</v>
      </c>
      <c r="D106" s="4">
        <v>5</v>
      </c>
      <c r="E106" s="4">
        <v>2948</v>
      </c>
      <c r="F106" s="4">
        <v>5.0568404549999997</v>
      </c>
      <c r="G106" s="2" t="s">
        <v>58</v>
      </c>
      <c r="H106" s="5">
        <v>2806.1</v>
      </c>
      <c r="I106" s="1" t="s">
        <v>8</v>
      </c>
      <c r="J106" s="18" t="s">
        <v>117</v>
      </c>
      <c r="K106" s="18" t="s">
        <v>183</v>
      </c>
      <c r="L106" s="18">
        <v>14440</v>
      </c>
      <c r="M106" s="18">
        <f t="shared" si="5"/>
        <v>300</v>
      </c>
      <c r="N106" s="10" t="str">
        <f t="shared" si="3"/>
        <v>Unique</v>
      </c>
      <c r="O106"/>
    </row>
    <row r="107" spans="1:16" ht="26.5" thickBot="1" x14ac:dyDescent="0.4">
      <c r="A107" s="3">
        <v>46280.57708333333</v>
      </c>
      <c r="B107" s="1" t="s">
        <v>31</v>
      </c>
      <c r="C107" s="1" t="s">
        <v>7</v>
      </c>
      <c r="D107" s="4">
        <v>5</v>
      </c>
      <c r="E107" s="4">
        <v>640</v>
      </c>
      <c r="F107" s="4">
        <v>5.1075710299999999</v>
      </c>
      <c r="G107" s="2" t="s">
        <v>94</v>
      </c>
      <c r="H107" s="5">
        <v>608.9</v>
      </c>
      <c r="I107" s="1" t="s">
        <v>8</v>
      </c>
      <c r="J107" s="18" t="s">
        <v>118</v>
      </c>
      <c r="K107" s="18" t="s">
        <v>285</v>
      </c>
      <c r="L107" s="18">
        <v>2899.25</v>
      </c>
      <c r="M107" s="18">
        <f t="shared" si="5"/>
        <v>300.75</v>
      </c>
      <c r="N107" s="10" t="str">
        <f t="shared" si="3"/>
        <v>Unique</v>
      </c>
    </row>
    <row r="108" spans="1:16" s="31" customFormat="1" ht="39" thickBot="1" x14ac:dyDescent="0.4">
      <c r="A108" s="32">
        <v>46335.62777777778</v>
      </c>
      <c r="B108" s="33" t="s">
        <v>11</v>
      </c>
      <c r="C108" s="33" t="s">
        <v>7</v>
      </c>
      <c r="D108" s="34">
        <v>20</v>
      </c>
      <c r="E108" s="34">
        <v>284.5</v>
      </c>
      <c r="F108" s="4">
        <v>5.2144970410000004</v>
      </c>
      <c r="G108" s="2" t="s">
        <v>99</v>
      </c>
      <c r="H108" s="5">
        <v>270.39999999999998</v>
      </c>
      <c r="I108" s="1" t="s">
        <v>8</v>
      </c>
      <c r="J108" s="29" t="s">
        <v>118</v>
      </c>
      <c r="K108" s="29" t="s">
        <v>272</v>
      </c>
      <c r="L108" s="29">
        <v>5370</v>
      </c>
      <c r="M108" s="29">
        <f t="shared" si="5"/>
        <v>320</v>
      </c>
      <c r="N108" s="31" t="str">
        <f t="shared" si="3"/>
        <v>Unique</v>
      </c>
    </row>
    <row r="109" spans="1:16" s="31" customFormat="1" ht="39" thickBot="1" x14ac:dyDescent="0.4">
      <c r="A109" s="32">
        <v>46280.375694444447</v>
      </c>
      <c r="B109" s="33" t="s">
        <v>11</v>
      </c>
      <c r="C109" s="33" t="s">
        <v>7</v>
      </c>
      <c r="D109" s="34">
        <v>10</v>
      </c>
      <c r="E109" s="34">
        <v>284.5</v>
      </c>
      <c r="F109" s="4">
        <v>5.2144970410000004</v>
      </c>
      <c r="G109" s="2" t="s">
        <v>99</v>
      </c>
      <c r="H109" s="5">
        <v>270.39999999999998</v>
      </c>
      <c r="I109" s="1" t="s">
        <v>8</v>
      </c>
      <c r="J109" s="29" t="s">
        <v>118</v>
      </c>
      <c r="K109" s="29" t="s">
        <v>289</v>
      </c>
      <c r="L109" s="29">
        <v>2610</v>
      </c>
      <c r="M109" s="29">
        <f t="shared" si="5"/>
        <v>235</v>
      </c>
      <c r="N109" s="31" t="str">
        <f t="shared" si="3"/>
        <v>Unique</v>
      </c>
    </row>
    <row r="110" spans="1:16" s="31" customFormat="1" ht="26.5" thickBot="1" x14ac:dyDescent="0.4">
      <c r="A110" s="3">
        <v>46261.375</v>
      </c>
      <c r="B110" s="1" t="s">
        <v>14</v>
      </c>
      <c r="C110" s="1" t="s">
        <v>7</v>
      </c>
      <c r="D110" s="4">
        <v>100</v>
      </c>
      <c r="E110" s="4">
        <v>358</v>
      </c>
      <c r="F110" s="4">
        <v>5.3109396279999999</v>
      </c>
      <c r="G110" s="2" t="s">
        <v>45</v>
      </c>
      <c r="H110" s="5">
        <v>330.45</v>
      </c>
      <c r="I110" s="1" t="s">
        <v>8</v>
      </c>
      <c r="J110" s="18" t="s">
        <v>117</v>
      </c>
      <c r="K110" s="18" t="s">
        <v>180</v>
      </c>
      <c r="L110" s="18">
        <v>34100</v>
      </c>
      <c r="M110" s="18">
        <f t="shared" si="5"/>
        <v>1700</v>
      </c>
      <c r="N110" s="10" t="str">
        <f t="shared" si="3"/>
        <v>Unique</v>
      </c>
      <c r="P110" s="10"/>
    </row>
    <row r="111" spans="1:16" ht="26.5" thickBot="1" x14ac:dyDescent="0.4">
      <c r="A111" s="3">
        <v>46267.375</v>
      </c>
      <c r="B111" s="1" t="s">
        <v>78</v>
      </c>
      <c r="C111" s="1" t="s">
        <v>7</v>
      </c>
      <c r="D111" s="4">
        <v>3</v>
      </c>
      <c r="E111" s="4">
        <v>1460</v>
      </c>
      <c r="F111" s="4">
        <v>5.4151624549999999</v>
      </c>
      <c r="G111" s="2" t="s">
        <v>79</v>
      </c>
      <c r="H111" s="5">
        <v>1385</v>
      </c>
      <c r="I111" s="1" t="s">
        <v>8</v>
      </c>
      <c r="J111" s="18" t="s">
        <v>118</v>
      </c>
      <c r="K111" s="18" t="s">
        <v>228</v>
      </c>
      <c r="L111" s="18">
        <v>4080</v>
      </c>
      <c r="M111" s="18">
        <f t="shared" si="5"/>
        <v>300</v>
      </c>
      <c r="N111" s="10" t="str">
        <f t="shared" si="3"/>
        <v>Unique</v>
      </c>
    </row>
    <row r="112" spans="1:16" ht="26.5" thickBot="1" x14ac:dyDescent="0.4">
      <c r="A112" s="3">
        <v>46280.435416666667</v>
      </c>
      <c r="B112" s="1" t="s">
        <v>68</v>
      </c>
      <c r="C112" s="1" t="s">
        <v>7</v>
      </c>
      <c r="D112" s="4">
        <v>50</v>
      </c>
      <c r="E112" s="4">
        <v>419</v>
      </c>
      <c r="F112" s="4">
        <v>5.5149836309999998</v>
      </c>
      <c r="G112" s="2" t="s">
        <v>69</v>
      </c>
      <c r="H112" s="5">
        <v>397.1</v>
      </c>
      <c r="I112" s="1" t="s">
        <v>8</v>
      </c>
      <c r="J112" s="18" t="s">
        <v>117</v>
      </c>
      <c r="K112" s="18" t="s">
        <v>287</v>
      </c>
      <c r="L112" s="18">
        <v>39300</v>
      </c>
      <c r="M112" s="18">
        <f t="shared" si="5"/>
        <v>18350</v>
      </c>
      <c r="N112" s="10" t="str">
        <f t="shared" si="3"/>
        <v>Unique</v>
      </c>
    </row>
    <row r="113" spans="1:16" ht="26.5" thickBot="1" x14ac:dyDescent="0.4">
      <c r="A113" s="3">
        <v>46260.375694444447</v>
      </c>
      <c r="B113" s="1" t="s">
        <v>49</v>
      </c>
      <c r="C113" s="1" t="s">
        <v>7</v>
      </c>
      <c r="D113" s="4">
        <v>5</v>
      </c>
      <c r="E113" s="4">
        <v>4112</v>
      </c>
      <c r="F113" s="4">
        <v>5.5306043889999996</v>
      </c>
      <c r="G113" s="2" t="s">
        <v>50</v>
      </c>
      <c r="H113" s="5">
        <v>3896.5</v>
      </c>
      <c r="I113" s="1" t="s">
        <v>8</v>
      </c>
      <c r="J113" s="18" t="s">
        <v>118</v>
      </c>
      <c r="K113" s="18" t="s">
        <v>171</v>
      </c>
      <c r="L113" s="18">
        <v>20260</v>
      </c>
      <c r="M113" s="18">
        <f t="shared" si="5"/>
        <v>300</v>
      </c>
      <c r="N113" t="str">
        <f t="shared" si="3"/>
        <v>Unique</v>
      </c>
      <c r="O113"/>
      <c r="P113" s="31"/>
    </row>
    <row r="114" spans="1:16" ht="26.5" thickBot="1" x14ac:dyDescent="0.4">
      <c r="A114" s="3">
        <v>46272.375694444447</v>
      </c>
      <c r="B114" s="1" t="s">
        <v>63</v>
      </c>
      <c r="C114" s="1" t="s">
        <v>7</v>
      </c>
      <c r="D114" s="4">
        <v>15</v>
      </c>
      <c r="E114" s="4">
        <v>1048</v>
      </c>
      <c r="F114" s="4">
        <v>5.5706658610000002</v>
      </c>
      <c r="G114" s="2" t="s">
        <v>64</v>
      </c>
      <c r="H114" s="5">
        <v>992.7</v>
      </c>
      <c r="I114" s="1" t="s">
        <v>8</v>
      </c>
      <c r="J114" s="18" t="s">
        <v>117</v>
      </c>
      <c r="K114" s="18" t="s">
        <v>250</v>
      </c>
      <c r="L114" s="18">
        <v>15075</v>
      </c>
      <c r="M114" s="18">
        <f t="shared" si="5"/>
        <v>645</v>
      </c>
      <c r="N114" s="10" t="str">
        <f t="shared" si="3"/>
        <v>Unique</v>
      </c>
      <c r="O114" s="41" t="s">
        <v>246</v>
      </c>
    </row>
    <row r="115" spans="1:16" ht="26.5" thickBot="1" x14ac:dyDescent="0.4">
      <c r="A115" s="3">
        <v>46261.375</v>
      </c>
      <c r="B115" s="1" t="s">
        <v>14</v>
      </c>
      <c r="C115" s="1" t="s">
        <v>7</v>
      </c>
      <c r="D115" s="4">
        <v>50</v>
      </c>
      <c r="E115" s="4">
        <v>349</v>
      </c>
      <c r="F115" s="4">
        <v>5.6135572700000003</v>
      </c>
      <c r="G115" s="2" t="s">
        <v>45</v>
      </c>
      <c r="H115" s="5">
        <v>330.45</v>
      </c>
      <c r="I115" s="1" t="s">
        <v>8</v>
      </c>
      <c r="J115" s="18" t="s">
        <v>117</v>
      </c>
      <c r="K115" s="18" t="s">
        <v>182</v>
      </c>
      <c r="L115" s="18">
        <v>17150</v>
      </c>
      <c r="M115" s="18">
        <f t="shared" si="5"/>
        <v>300</v>
      </c>
      <c r="N115" s="10" t="str">
        <f t="shared" si="3"/>
        <v>Unique</v>
      </c>
    </row>
    <row r="116" spans="1:16" ht="26.5" thickBot="1" x14ac:dyDescent="0.4">
      <c r="A116" s="3">
        <v>46274.375</v>
      </c>
      <c r="B116" s="1" t="s">
        <v>66</v>
      </c>
      <c r="C116" s="1" t="s">
        <v>7</v>
      </c>
      <c r="D116" s="4">
        <v>10</v>
      </c>
      <c r="E116" s="4">
        <v>1196</v>
      </c>
      <c r="F116" s="4">
        <v>5.8313423589999998</v>
      </c>
      <c r="G116" s="2" t="s">
        <v>67</v>
      </c>
      <c r="H116" s="5">
        <v>1130.0999999999999</v>
      </c>
      <c r="I116" s="1" t="s">
        <v>8</v>
      </c>
      <c r="J116" s="18" t="s">
        <v>117</v>
      </c>
      <c r="K116" s="18" t="s">
        <v>262</v>
      </c>
      <c r="L116" s="18">
        <v>11660</v>
      </c>
      <c r="M116" s="18">
        <f t="shared" si="5"/>
        <v>300</v>
      </c>
      <c r="N116" s="10" t="str">
        <f t="shared" si="3"/>
        <v>Unique</v>
      </c>
      <c r="O116" s="41" t="s">
        <v>246</v>
      </c>
    </row>
    <row r="117" spans="1:16" ht="39" thickBot="1" x14ac:dyDescent="0.4">
      <c r="A117" s="3">
        <v>46281.375</v>
      </c>
      <c r="B117" s="1" t="s">
        <v>34</v>
      </c>
      <c r="C117" s="1" t="s">
        <v>7</v>
      </c>
      <c r="D117" s="4">
        <v>1</v>
      </c>
      <c r="E117" s="4">
        <v>19950</v>
      </c>
      <c r="F117" s="4">
        <v>5.9479553899999997</v>
      </c>
      <c r="G117" s="2" t="s">
        <v>71</v>
      </c>
      <c r="H117" s="5">
        <v>18830</v>
      </c>
      <c r="I117" s="1" t="s">
        <v>8</v>
      </c>
      <c r="J117" s="18" t="s">
        <v>118</v>
      </c>
      <c r="K117" s="18" t="s">
        <v>299</v>
      </c>
      <c r="L117" s="18">
        <v>19300</v>
      </c>
      <c r="M117" s="18">
        <f t="shared" si="5"/>
        <v>650</v>
      </c>
      <c r="N117" s="10" t="str">
        <f t="shared" si="3"/>
        <v>Unique</v>
      </c>
    </row>
    <row r="118" spans="1:16" ht="26.5" thickBot="1" x14ac:dyDescent="0.4">
      <c r="A118" s="11">
        <v>46252.645138888889</v>
      </c>
      <c r="B118" s="8" t="s">
        <v>49</v>
      </c>
      <c r="C118" s="8" t="s">
        <v>7</v>
      </c>
      <c r="D118" s="8">
        <v>5</v>
      </c>
      <c r="E118" s="8">
        <v>4129</v>
      </c>
      <c r="F118" s="4">
        <v>5.9668933659999999</v>
      </c>
      <c r="G118" s="2" t="s">
        <v>50</v>
      </c>
      <c r="H118" s="5">
        <v>3896.5</v>
      </c>
      <c r="I118" s="1" t="s">
        <v>8</v>
      </c>
      <c r="J118" s="36"/>
      <c r="N118" s="10" t="str">
        <f t="shared" si="3"/>
        <v>Unique</v>
      </c>
    </row>
    <row r="119" spans="1:16" ht="26.5" thickBot="1" x14ac:dyDescent="0.4">
      <c r="A119" s="3">
        <v>46275.507638888892</v>
      </c>
      <c r="B119" s="1" t="s">
        <v>15</v>
      </c>
      <c r="C119" s="1" t="s">
        <v>7</v>
      </c>
      <c r="D119" s="4">
        <v>10</v>
      </c>
      <c r="E119" s="4">
        <v>2548</v>
      </c>
      <c r="F119" s="4">
        <v>6.0782681099999998</v>
      </c>
      <c r="G119" s="2" t="s">
        <v>72</v>
      </c>
      <c r="H119" s="5">
        <v>2402</v>
      </c>
      <c r="I119" s="1" t="s">
        <v>8</v>
      </c>
      <c r="J119" s="18" t="s">
        <v>117</v>
      </c>
      <c r="K119" s="18" t="s">
        <v>270</v>
      </c>
      <c r="L119" s="18">
        <v>73800</v>
      </c>
      <c r="M119" s="18">
        <f t="shared" ref="M119:M125" si="6">ABS((D119*E119)-L119)</f>
        <v>48320</v>
      </c>
      <c r="N119" s="10" t="str">
        <f t="shared" si="3"/>
        <v>Unique</v>
      </c>
      <c r="O119" s="41" t="s">
        <v>246</v>
      </c>
    </row>
    <row r="120" spans="1:16" ht="26.5" thickBot="1" x14ac:dyDescent="0.4">
      <c r="A120" s="3">
        <v>46280.375694444447</v>
      </c>
      <c r="B120" s="1" t="s">
        <v>9</v>
      </c>
      <c r="C120" s="1" t="s">
        <v>7</v>
      </c>
      <c r="D120" s="4">
        <v>50</v>
      </c>
      <c r="E120" s="4">
        <v>294</v>
      </c>
      <c r="F120" s="4">
        <v>6.2714621360000002</v>
      </c>
      <c r="G120" s="2" t="s">
        <v>95</v>
      </c>
      <c r="H120" s="5">
        <v>276.64999999999998</v>
      </c>
      <c r="I120" s="1" t="s">
        <v>8</v>
      </c>
      <c r="J120" s="18" t="s">
        <v>117</v>
      </c>
      <c r="K120" s="18" t="s">
        <v>290</v>
      </c>
      <c r="L120" s="18">
        <v>10249</v>
      </c>
      <c r="M120" s="18">
        <f t="shared" si="6"/>
        <v>4451</v>
      </c>
      <c r="N120" s="10" t="str">
        <f t="shared" si="3"/>
        <v>Unique</v>
      </c>
      <c r="O120" s="41" t="s">
        <v>246</v>
      </c>
    </row>
    <row r="121" spans="1:16" s="31" customFormat="1" ht="26.5" thickBot="1" x14ac:dyDescent="0.4">
      <c r="A121" s="11">
        <v>46243.375</v>
      </c>
      <c r="B121" s="8" t="s">
        <v>13</v>
      </c>
      <c r="C121" s="8" t="s">
        <v>7</v>
      </c>
      <c r="D121" s="8">
        <v>5</v>
      </c>
      <c r="E121" s="8">
        <v>1844</v>
      </c>
      <c r="F121" s="4">
        <v>6.3437139560000002</v>
      </c>
      <c r="G121" s="2" t="s">
        <v>91</v>
      </c>
      <c r="H121" s="5">
        <v>1734</v>
      </c>
      <c r="I121" s="1" t="s">
        <v>8</v>
      </c>
      <c r="J121" s="18" t="s">
        <v>118</v>
      </c>
      <c r="K121" s="18" t="s">
        <v>255</v>
      </c>
      <c r="L121" s="18">
        <v>8570</v>
      </c>
      <c r="M121" s="29">
        <f t="shared" si="6"/>
        <v>650</v>
      </c>
      <c r="N121" s="10" t="str">
        <f t="shared" si="3"/>
        <v>Unique</v>
      </c>
      <c r="O121" s="41" t="s">
        <v>246</v>
      </c>
      <c r="P121" s="10"/>
    </row>
    <row r="122" spans="1:16" ht="39" thickBot="1" x14ac:dyDescent="0.4">
      <c r="A122" s="3">
        <v>46275.375</v>
      </c>
      <c r="B122" s="1" t="s">
        <v>21</v>
      </c>
      <c r="C122" s="1" t="s">
        <v>7</v>
      </c>
      <c r="D122" s="4">
        <v>5</v>
      </c>
      <c r="E122" s="4">
        <v>710</v>
      </c>
      <c r="F122" s="4">
        <v>6.367041199</v>
      </c>
      <c r="G122" s="2" t="s">
        <v>76</v>
      </c>
      <c r="H122" s="5">
        <v>667.5</v>
      </c>
      <c r="I122" s="1" t="s">
        <v>8</v>
      </c>
      <c r="J122" s="18" t="s">
        <v>118</v>
      </c>
      <c r="K122" s="18" t="s">
        <v>268</v>
      </c>
      <c r="L122" s="18">
        <v>3300</v>
      </c>
      <c r="M122" s="18">
        <f t="shared" si="6"/>
        <v>250</v>
      </c>
      <c r="N122" s="10" t="str">
        <f t="shared" si="3"/>
        <v>Unique</v>
      </c>
    </row>
    <row r="123" spans="1:16" ht="26.5" thickBot="1" x14ac:dyDescent="0.4">
      <c r="A123" s="3">
        <v>46281.375</v>
      </c>
      <c r="B123" s="1" t="s">
        <v>18</v>
      </c>
      <c r="C123" s="1" t="s">
        <v>7</v>
      </c>
      <c r="D123" s="4">
        <v>10</v>
      </c>
      <c r="E123" s="4">
        <v>1790</v>
      </c>
      <c r="F123" s="4">
        <v>6.4209274670000003</v>
      </c>
      <c r="G123" s="2" t="s">
        <v>102</v>
      </c>
      <c r="H123" s="5">
        <v>1682</v>
      </c>
      <c r="I123" s="1" t="s">
        <v>8</v>
      </c>
      <c r="J123" s="18" t="s">
        <v>117</v>
      </c>
      <c r="K123" s="18" t="s">
        <v>298</v>
      </c>
      <c r="L123" s="18">
        <v>16500</v>
      </c>
      <c r="M123" s="18">
        <f t="shared" si="6"/>
        <v>1400</v>
      </c>
      <c r="N123" s="10" t="str">
        <f t="shared" si="3"/>
        <v>Unique</v>
      </c>
      <c r="O123" s="41" t="s">
        <v>246</v>
      </c>
    </row>
    <row r="124" spans="1:16" ht="39" thickBot="1" x14ac:dyDescent="0.4">
      <c r="A124" s="3">
        <v>46274.375</v>
      </c>
      <c r="B124" s="1" t="s">
        <v>53</v>
      </c>
      <c r="C124" s="1" t="s">
        <v>7</v>
      </c>
      <c r="D124" s="4">
        <v>2</v>
      </c>
      <c r="E124" s="4">
        <v>2576</v>
      </c>
      <c r="F124" s="4">
        <v>6.4682785699999998</v>
      </c>
      <c r="G124" s="2" t="s">
        <v>54</v>
      </c>
      <c r="H124" s="5">
        <v>2419.5</v>
      </c>
      <c r="I124" s="1" t="s">
        <v>8</v>
      </c>
      <c r="J124" s="18" t="s">
        <v>118</v>
      </c>
      <c r="K124" s="18" t="s">
        <v>266</v>
      </c>
      <c r="L124" s="18">
        <v>4852</v>
      </c>
      <c r="M124" s="18">
        <f t="shared" si="6"/>
        <v>300</v>
      </c>
      <c r="N124" s="10" t="str">
        <f t="shared" si="3"/>
        <v>Unique</v>
      </c>
    </row>
    <row r="125" spans="1:16" ht="26.5" thickBot="1" x14ac:dyDescent="0.4">
      <c r="A125" s="3">
        <v>46267.375</v>
      </c>
      <c r="B125" s="1" t="s">
        <v>31</v>
      </c>
      <c r="C125" s="1" t="s">
        <v>7</v>
      </c>
      <c r="D125" s="4">
        <v>5</v>
      </c>
      <c r="E125" s="4">
        <v>649</v>
      </c>
      <c r="F125" s="4">
        <v>6.5856462469999997</v>
      </c>
      <c r="G125" s="2" t="s">
        <v>94</v>
      </c>
      <c r="H125" s="5">
        <v>608.9</v>
      </c>
      <c r="I125" s="1" t="s">
        <v>8</v>
      </c>
      <c r="J125" s="18" t="s">
        <v>118</v>
      </c>
      <c r="K125" s="18" t="s">
        <v>235</v>
      </c>
      <c r="L125" s="18">
        <v>3005</v>
      </c>
      <c r="M125" s="18">
        <f t="shared" si="6"/>
        <v>240</v>
      </c>
      <c r="N125" s="10" t="str">
        <f t="shared" si="3"/>
        <v>Unique</v>
      </c>
      <c r="P125" s="26"/>
    </row>
    <row r="126" spans="1:16" s="31" customFormat="1" ht="26.5" thickBot="1" x14ac:dyDescent="0.4">
      <c r="A126" s="11">
        <v>46252.645138888889</v>
      </c>
      <c r="B126" s="8" t="s">
        <v>68</v>
      </c>
      <c r="C126" s="8" t="s">
        <v>7</v>
      </c>
      <c r="D126" s="8">
        <v>20</v>
      </c>
      <c r="E126" s="8">
        <v>424</v>
      </c>
      <c r="F126" s="4">
        <v>6.7741123139999999</v>
      </c>
      <c r="G126" s="2" t="s">
        <v>69</v>
      </c>
      <c r="H126" s="5">
        <v>397.1</v>
      </c>
      <c r="I126" s="1" t="s">
        <v>8</v>
      </c>
      <c r="J126" s="36"/>
      <c r="K126" s="18"/>
      <c r="L126" s="18"/>
      <c r="M126" s="18"/>
      <c r="N126" s="10" t="str">
        <f t="shared" si="3"/>
        <v>Unique</v>
      </c>
      <c r="O126" s="41" t="s">
        <v>246</v>
      </c>
      <c r="P126"/>
    </row>
    <row r="127" spans="1:16" ht="26.5" thickBot="1" x14ac:dyDescent="0.4">
      <c r="A127" s="3">
        <v>46266.375</v>
      </c>
      <c r="B127" s="1" t="s">
        <v>63</v>
      </c>
      <c r="C127" s="1" t="s">
        <v>7</v>
      </c>
      <c r="D127" s="4">
        <v>10</v>
      </c>
      <c r="E127" s="4">
        <v>1060</v>
      </c>
      <c r="F127" s="4">
        <v>6.779490279</v>
      </c>
      <c r="G127" s="2" t="s">
        <v>64</v>
      </c>
      <c r="H127" s="5">
        <v>992.7</v>
      </c>
      <c r="I127" s="1" t="s">
        <v>8</v>
      </c>
      <c r="J127" s="18" t="s">
        <v>117</v>
      </c>
      <c r="K127" s="18" t="s">
        <v>218</v>
      </c>
      <c r="L127" s="18">
        <v>10300</v>
      </c>
      <c r="M127" s="18">
        <f>ABS((D127*E127)-L127)</f>
        <v>300</v>
      </c>
      <c r="N127" s="10" t="str">
        <f t="shared" si="3"/>
        <v>Unique</v>
      </c>
      <c r="P127" s="31"/>
    </row>
    <row r="128" spans="1:16" ht="26.5" thickBot="1" x14ac:dyDescent="0.4">
      <c r="A128" s="11">
        <v>46253.375</v>
      </c>
      <c r="B128" s="8" t="s">
        <v>14</v>
      </c>
      <c r="C128" s="8" t="s">
        <v>7</v>
      </c>
      <c r="D128" s="8">
        <v>50</v>
      </c>
      <c r="E128" s="8">
        <v>353</v>
      </c>
      <c r="F128" s="4">
        <v>6.8240278410000004</v>
      </c>
      <c r="G128" s="2" t="s">
        <v>45</v>
      </c>
      <c r="H128" s="5">
        <v>330.45</v>
      </c>
      <c r="I128" s="1" t="s">
        <v>8</v>
      </c>
      <c r="J128" s="36" t="s">
        <v>118</v>
      </c>
      <c r="K128" s="18" t="s">
        <v>145</v>
      </c>
      <c r="N128" s="10" t="str">
        <f t="shared" si="3"/>
        <v>Unique</v>
      </c>
    </row>
    <row r="129" spans="1:16" ht="26.5" thickBot="1" x14ac:dyDescent="0.4">
      <c r="A129" s="11">
        <v>46252.645138888889</v>
      </c>
      <c r="B129" s="8" t="s">
        <v>57</v>
      </c>
      <c r="C129" s="8" t="s">
        <v>7</v>
      </c>
      <c r="D129" s="8">
        <v>5</v>
      </c>
      <c r="E129" s="8">
        <v>2998</v>
      </c>
      <c r="F129" s="4">
        <v>6.8386728909999999</v>
      </c>
      <c r="G129" s="2" t="s">
        <v>58</v>
      </c>
      <c r="H129" s="5">
        <v>2806.1</v>
      </c>
      <c r="I129" s="1" t="s">
        <v>8</v>
      </c>
      <c r="J129" s="17" t="s">
        <v>117</v>
      </c>
      <c r="N129" s="10" t="str">
        <f t="shared" si="3"/>
        <v>Unique</v>
      </c>
    </row>
    <row r="130" spans="1:16" ht="39" thickBot="1" x14ac:dyDescent="0.4">
      <c r="A130" s="3">
        <v>46261.375694444447</v>
      </c>
      <c r="B130" s="1" t="s">
        <v>51</v>
      </c>
      <c r="C130" s="1" t="s">
        <v>7</v>
      </c>
      <c r="D130" s="4">
        <v>10</v>
      </c>
      <c r="E130" s="4">
        <v>977</v>
      </c>
      <c r="F130" s="4">
        <v>6.8401771560000002</v>
      </c>
      <c r="G130" s="2" t="s">
        <v>52</v>
      </c>
      <c r="H130" s="5">
        <v>914.45</v>
      </c>
      <c r="I130" s="1" t="s">
        <v>8</v>
      </c>
      <c r="J130" s="18" t="s">
        <v>117</v>
      </c>
      <c r="K130" s="18" t="s">
        <v>176</v>
      </c>
      <c r="L130" s="18">
        <v>9470</v>
      </c>
      <c r="M130" s="18">
        <f>ABS((D130*E130)-L130)</f>
        <v>300</v>
      </c>
      <c r="N130" s="10" t="str">
        <f t="shared" si="3"/>
        <v>Unique</v>
      </c>
    </row>
    <row r="131" spans="1:16" ht="39" thickBot="1" x14ac:dyDescent="0.4">
      <c r="A131" s="3">
        <v>46265.375694444447</v>
      </c>
      <c r="B131" s="1" t="s">
        <v>36</v>
      </c>
      <c r="C131" s="1" t="s">
        <v>7</v>
      </c>
      <c r="D131" s="4">
        <v>5</v>
      </c>
      <c r="E131" s="4">
        <v>1236</v>
      </c>
      <c r="F131" s="4">
        <v>6.9389167680000003</v>
      </c>
      <c r="G131" s="2" t="s">
        <v>65</v>
      </c>
      <c r="H131" s="5">
        <v>1155.8</v>
      </c>
      <c r="I131" s="1" t="s">
        <v>8</v>
      </c>
      <c r="J131" s="18" t="s">
        <v>118</v>
      </c>
      <c r="K131" s="18" t="s">
        <v>208</v>
      </c>
      <c r="L131" s="18">
        <v>5905</v>
      </c>
      <c r="M131" s="18">
        <f>ABS((D131*E131)-L131)</f>
        <v>275</v>
      </c>
      <c r="N131" t="str">
        <f t="shared" si="3"/>
        <v>Unique</v>
      </c>
    </row>
    <row r="132" spans="1:16" ht="39" thickBot="1" x14ac:dyDescent="0.4">
      <c r="A132" s="3">
        <v>46335.442361111112</v>
      </c>
      <c r="B132" s="1" t="s">
        <v>80</v>
      </c>
      <c r="C132" s="1" t="s">
        <v>7</v>
      </c>
      <c r="D132" s="4">
        <v>10</v>
      </c>
      <c r="E132" s="4">
        <v>1460</v>
      </c>
      <c r="F132" s="4">
        <v>6.9597069600000001</v>
      </c>
      <c r="G132" s="2" t="s">
        <v>81</v>
      </c>
      <c r="H132" s="5">
        <v>1365</v>
      </c>
      <c r="I132" s="1" t="s">
        <v>8</v>
      </c>
      <c r="J132" s="18" t="s">
        <v>117</v>
      </c>
      <c r="K132" s="18" t="s">
        <v>273</v>
      </c>
      <c r="L132" s="18">
        <v>14100</v>
      </c>
      <c r="M132" s="18">
        <f>ABS((D132*E132)-L132)</f>
        <v>500</v>
      </c>
      <c r="N132" s="10" t="str">
        <f t="shared" si="3"/>
        <v>Unique</v>
      </c>
    </row>
    <row r="133" spans="1:16" ht="26.5" thickBot="1" x14ac:dyDescent="0.4">
      <c r="A133" s="11">
        <v>46252.635416666664</v>
      </c>
      <c r="B133" s="8" t="s">
        <v>74</v>
      </c>
      <c r="C133" s="8" t="s">
        <v>7</v>
      </c>
      <c r="D133" s="8">
        <v>5</v>
      </c>
      <c r="E133" s="8">
        <v>3482</v>
      </c>
      <c r="F133" s="4">
        <v>7.0725707260000004</v>
      </c>
      <c r="G133" s="2" t="s">
        <v>75</v>
      </c>
      <c r="H133" s="5">
        <v>3252</v>
      </c>
      <c r="I133" s="1" t="s">
        <v>8</v>
      </c>
      <c r="J133" s="36" t="s">
        <v>118</v>
      </c>
      <c r="N133" s="10" t="str">
        <f t="shared" si="3"/>
        <v>Unique</v>
      </c>
      <c r="O133" s="41" t="s">
        <v>246</v>
      </c>
      <c r="P133"/>
    </row>
    <row r="134" spans="1:16" ht="39" thickBot="1" x14ac:dyDescent="0.4">
      <c r="A134" s="8" t="s">
        <v>62</v>
      </c>
      <c r="B134" s="8" t="s">
        <v>43</v>
      </c>
      <c r="C134" s="8" t="s">
        <v>7</v>
      </c>
      <c r="D134" s="8">
        <v>5</v>
      </c>
      <c r="E134" s="12">
        <v>790</v>
      </c>
      <c r="F134" s="4">
        <v>7.1840445019999999</v>
      </c>
      <c r="G134" s="2" t="s">
        <v>44</v>
      </c>
      <c r="H134" s="5">
        <v>737.05</v>
      </c>
      <c r="I134" s="1" t="s">
        <v>8</v>
      </c>
      <c r="J134" s="36"/>
      <c r="N134" s="10" t="str">
        <f t="shared" si="3"/>
        <v>Unique</v>
      </c>
    </row>
    <row r="135" spans="1:16" ht="26.5" thickBot="1" x14ac:dyDescent="0.4">
      <c r="A135" s="11">
        <v>46252.645833333336</v>
      </c>
      <c r="B135" s="8" t="s">
        <v>49</v>
      </c>
      <c r="C135" s="8" t="s">
        <v>7</v>
      </c>
      <c r="D135" s="8">
        <v>5</v>
      </c>
      <c r="E135" s="8">
        <v>4177</v>
      </c>
      <c r="F135" s="4">
        <v>7.198768125</v>
      </c>
      <c r="G135" s="2" t="s">
        <v>50</v>
      </c>
      <c r="H135" s="5">
        <v>3896.5</v>
      </c>
      <c r="I135" s="1" t="s">
        <v>8</v>
      </c>
      <c r="J135" s="36"/>
      <c r="N135" s="10" t="str">
        <f t="shared" ref="N135:N198" si="7">IF(COUNTIFS( $B$2:$B$734, B135, $C$2:$C$734, C135, $D$2:$D$734, D135, $E$2:$E$734, E135) &gt; 1, "Duplicate", "Unique")</f>
        <v>Unique</v>
      </c>
      <c r="O135" s="25"/>
    </row>
    <row r="136" spans="1:16" ht="39" thickBot="1" x14ac:dyDescent="0.4">
      <c r="A136" s="3">
        <v>46280.575694444444</v>
      </c>
      <c r="B136" s="1" t="s">
        <v>12</v>
      </c>
      <c r="C136" s="1" t="s">
        <v>7</v>
      </c>
      <c r="D136" s="4">
        <v>5</v>
      </c>
      <c r="E136" s="4">
        <v>4890</v>
      </c>
      <c r="F136" s="4">
        <v>7.2541644280000002</v>
      </c>
      <c r="G136" s="2" t="s">
        <v>98</v>
      </c>
      <c r="H136" s="5">
        <v>4652.5</v>
      </c>
      <c r="I136" s="1" t="s">
        <v>8</v>
      </c>
      <c r="J136" s="18" t="s">
        <v>118</v>
      </c>
      <c r="K136" s="18" t="s">
        <v>286</v>
      </c>
      <c r="L136" s="18">
        <v>23450</v>
      </c>
      <c r="M136" s="18">
        <f t="shared" ref="M136:M146" si="8">ABS((D136*E136)-L136)</f>
        <v>1000</v>
      </c>
      <c r="N136" s="10" t="str">
        <f t="shared" si="7"/>
        <v>Unique</v>
      </c>
      <c r="O136" s="41" t="s">
        <v>246</v>
      </c>
    </row>
    <row r="137" spans="1:16" s="31" customFormat="1" ht="39" thickBot="1" x14ac:dyDescent="0.4">
      <c r="A137" s="3">
        <v>46281.402777777781</v>
      </c>
      <c r="B137" s="1" t="s">
        <v>12</v>
      </c>
      <c r="C137" s="1" t="s">
        <v>7</v>
      </c>
      <c r="D137" s="4">
        <v>1</v>
      </c>
      <c r="E137" s="4">
        <v>4724</v>
      </c>
      <c r="F137" s="4">
        <v>7.2541644280000002</v>
      </c>
      <c r="G137" s="2" t="s">
        <v>98</v>
      </c>
      <c r="H137" s="5">
        <v>4652.5</v>
      </c>
      <c r="I137" s="1" t="s">
        <v>8</v>
      </c>
      <c r="J137" s="18" t="s">
        <v>118</v>
      </c>
      <c r="K137" s="18" t="s">
        <v>294</v>
      </c>
      <c r="L137" s="18">
        <v>4410</v>
      </c>
      <c r="M137" s="18">
        <f t="shared" si="8"/>
        <v>314</v>
      </c>
      <c r="N137" s="10" t="str">
        <f t="shared" si="7"/>
        <v>Duplicate</v>
      </c>
      <c r="O137" s="10"/>
      <c r="P137" s="10"/>
    </row>
    <row r="138" spans="1:16" ht="39" thickBot="1" x14ac:dyDescent="0.4">
      <c r="A138" s="35">
        <v>46255</v>
      </c>
      <c r="B138" s="33" t="s">
        <v>19</v>
      </c>
      <c r="C138" s="33" t="s">
        <v>7</v>
      </c>
      <c r="D138" s="34">
        <v>20</v>
      </c>
      <c r="E138" s="34">
        <v>241</v>
      </c>
      <c r="F138" s="4">
        <v>7.4693422519999997</v>
      </c>
      <c r="G138" s="2" t="s">
        <v>40</v>
      </c>
      <c r="H138" s="5">
        <v>224.25</v>
      </c>
      <c r="I138" s="1" t="s">
        <v>8</v>
      </c>
      <c r="J138" s="29" t="s">
        <v>118</v>
      </c>
      <c r="K138" s="29" t="s">
        <v>150</v>
      </c>
      <c r="L138" s="29">
        <v>4680</v>
      </c>
      <c r="M138" s="29">
        <f t="shared" si="8"/>
        <v>140</v>
      </c>
      <c r="N138" s="31" t="str">
        <f t="shared" si="7"/>
        <v>Duplicate</v>
      </c>
      <c r="P138" s="31"/>
    </row>
    <row r="139" spans="1:16" s="31" customFormat="1" ht="39" thickBot="1" x14ac:dyDescent="0.4">
      <c r="A139" s="32">
        <v>46261.385416666664</v>
      </c>
      <c r="B139" s="33" t="s">
        <v>19</v>
      </c>
      <c r="C139" s="33" t="s">
        <v>7</v>
      </c>
      <c r="D139" s="34">
        <v>20</v>
      </c>
      <c r="E139" s="34">
        <v>241</v>
      </c>
      <c r="F139" s="4">
        <v>7.4693422519999997</v>
      </c>
      <c r="G139" s="2" t="s">
        <v>40</v>
      </c>
      <c r="H139" s="5">
        <v>224.25</v>
      </c>
      <c r="I139" s="1" t="s">
        <v>8</v>
      </c>
      <c r="J139" s="29" t="s">
        <v>118</v>
      </c>
      <c r="K139" s="29" t="s">
        <v>178</v>
      </c>
      <c r="L139" s="29">
        <v>4520</v>
      </c>
      <c r="M139" s="29">
        <f t="shared" si="8"/>
        <v>300</v>
      </c>
      <c r="N139" s="31" t="str">
        <f t="shared" si="7"/>
        <v>Duplicate</v>
      </c>
      <c r="O139" s="10"/>
      <c r="P139" s="10"/>
    </row>
    <row r="140" spans="1:16" s="31" customFormat="1" ht="26.5" thickBot="1" x14ac:dyDescent="0.4">
      <c r="A140" s="3">
        <v>46261.375694444447</v>
      </c>
      <c r="B140" s="1" t="s">
        <v>78</v>
      </c>
      <c r="C140" s="1" t="s">
        <v>7</v>
      </c>
      <c r="D140" s="4">
        <v>5</v>
      </c>
      <c r="E140" s="4">
        <v>1490</v>
      </c>
      <c r="F140" s="4">
        <v>7.5812274369999999</v>
      </c>
      <c r="G140" s="2" t="s">
        <v>79</v>
      </c>
      <c r="H140" s="5">
        <v>1385</v>
      </c>
      <c r="I140" s="1" t="s">
        <v>8</v>
      </c>
      <c r="J140" s="18" t="s">
        <v>118</v>
      </c>
      <c r="K140" s="18" t="s">
        <v>187</v>
      </c>
      <c r="L140" s="18">
        <v>7200</v>
      </c>
      <c r="M140" s="18">
        <f t="shared" si="8"/>
        <v>250</v>
      </c>
      <c r="N140" s="10" t="str">
        <f t="shared" si="7"/>
        <v>Unique</v>
      </c>
      <c r="O140" s="10"/>
      <c r="P140" s="10"/>
    </row>
    <row r="141" spans="1:16" s="31" customFormat="1" ht="26.5" thickBot="1" x14ac:dyDescent="0.4">
      <c r="A141" s="3">
        <v>46265.375694444447</v>
      </c>
      <c r="B141" s="1" t="s">
        <v>78</v>
      </c>
      <c r="C141" s="1" t="s">
        <v>7</v>
      </c>
      <c r="D141" s="4">
        <v>3</v>
      </c>
      <c r="E141" s="4">
        <v>1490</v>
      </c>
      <c r="F141" s="4">
        <v>7.5812274369999999</v>
      </c>
      <c r="G141" s="2" t="s">
        <v>79</v>
      </c>
      <c r="H141" s="5">
        <v>1385</v>
      </c>
      <c r="I141" s="1" t="s">
        <v>8</v>
      </c>
      <c r="J141" s="18" t="s">
        <v>118</v>
      </c>
      <c r="K141" s="18" t="s">
        <v>206</v>
      </c>
      <c r="L141" s="18">
        <v>4170</v>
      </c>
      <c r="M141" s="18">
        <f t="shared" si="8"/>
        <v>300</v>
      </c>
      <c r="N141" t="str">
        <f t="shared" si="7"/>
        <v>Unique</v>
      </c>
      <c r="O141" s="10"/>
      <c r="P141" s="10"/>
    </row>
    <row r="142" spans="1:16" ht="26.5" thickBot="1" x14ac:dyDescent="0.4">
      <c r="A142" s="3">
        <v>46261.615277777775</v>
      </c>
      <c r="B142" s="1" t="s">
        <v>35</v>
      </c>
      <c r="C142" s="1" t="s">
        <v>7</v>
      </c>
      <c r="D142" s="4">
        <v>50</v>
      </c>
      <c r="E142" s="4">
        <v>226.3</v>
      </c>
      <c r="F142" s="4">
        <v>7.6644940290000001</v>
      </c>
      <c r="G142" s="2" t="s">
        <v>42</v>
      </c>
      <c r="H142" s="5">
        <v>210.19</v>
      </c>
      <c r="I142" s="1" t="s">
        <v>8</v>
      </c>
      <c r="J142" s="18" t="s">
        <v>118</v>
      </c>
      <c r="K142" s="18" t="s">
        <v>175</v>
      </c>
      <c r="L142" s="18">
        <v>10814</v>
      </c>
      <c r="M142" s="18">
        <f t="shared" si="8"/>
        <v>501</v>
      </c>
      <c r="N142" s="10" t="str">
        <f t="shared" si="7"/>
        <v>Unique</v>
      </c>
      <c r="O142" s="41" t="s">
        <v>246</v>
      </c>
    </row>
    <row r="143" spans="1:16" ht="39" thickBot="1" x14ac:dyDescent="0.4">
      <c r="A143" s="3">
        <v>46276.4</v>
      </c>
      <c r="B143" s="1" t="s">
        <v>80</v>
      </c>
      <c r="C143" s="1" t="s">
        <v>7</v>
      </c>
      <c r="D143" s="4">
        <v>10</v>
      </c>
      <c r="E143" s="4">
        <v>1470</v>
      </c>
      <c r="F143" s="4">
        <v>7.692307692</v>
      </c>
      <c r="G143" s="2" t="s">
        <v>81</v>
      </c>
      <c r="H143" s="5">
        <v>1365</v>
      </c>
      <c r="I143" s="1" t="s">
        <v>8</v>
      </c>
      <c r="J143" s="18" t="s">
        <v>117</v>
      </c>
      <c r="K143" s="18" t="s">
        <v>275</v>
      </c>
      <c r="L143" s="18">
        <v>14200</v>
      </c>
      <c r="M143" s="18">
        <f t="shared" si="8"/>
        <v>500</v>
      </c>
      <c r="N143" s="10" t="str">
        <f t="shared" si="7"/>
        <v>Unique</v>
      </c>
    </row>
    <row r="144" spans="1:16" ht="26.5" thickBot="1" x14ac:dyDescent="0.4">
      <c r="A144" s="11">
        <v>46243.375</v>
      </c>
      <c r="B144" s="8" t="s">
        <v>9</v>
      </c>
      <c r="C144" s="8" t="s">
        <v>7</v>
      </c>
      <c r="D144" s="8">
        <v>90</v>
      </c>
      <c r="E144" s="8">
        <v>298</v>
      </c>
      <c r="F144" s="4">
        <v>7.7173323690000002</v>
      </c>
      <c r="G144" s="2" t="s">
        <v>95</v>
      </c>
      <c r="H144" s="5">
        <v>276.64999999999998</v>
      </c>
      <c r="I144" s="1" t="s">
        <v>8</v>
      </c>
      <c r="J144" s="18" t="s">
        <v>117</v>
      </c>
      <c r="K144" s="18" t="s">
        <v>256</v>
      </c>
      <c r="L144" s="18">
        <v>26109.000000000004</v>
      </c>
      <c r="M144" s="29">
        <f t="shared" si="8"/>
        <v>710.99999999999636</v>
      </c>
      <c r="N144" s="10" t="str">
        <f t="shared" si="7"/>
        <v>Unique</v>
      </c>
      <c r="P144"/>
    </row>
    <row r="145" spans="1:16" ht="26.5" thickBot="1" x14ac:dyDescent="0.4">
      <c r="A145" s="3">
        <v>46275.507638888892</v>
      </c>
      <c r="B145" s="1" t="s">
        <v>15</v>
      </c>
      <c r="C145" s="1" t="s">
        <v>7</v>
      </c>
      <c r="D145" s="4">
        <v>10</v>
      </c>
      <c r="E145" s="4">
        <v>2590</v>
      </c>
      <c r="F145" s="4">
        <v>7.8268109910000003</v>
      </c>
      <c r="G145" s="2" t="s">
        <v>72</v>
      </c>
      <c r="H145" s="5">
        <v>2402</v>
      </c>
      <c r="I145" s="1" t="s">
        <v>8</v>
      </c>
      <c r="J145" s="18" t="s">
        <v>117</v>
      </c>
      <c r="K145" s="18" t="s">
        <v>270</v>
      </c>
      <c r="L145" s="18">
        <v>73800</v>
      </c>
      <c r="M145" s="18">
        <f t="shared" si="8"/>
        <v>47900</v>
      </c>
      <c r="N145" s="10" t="str">
        <f t="shared" si="7"/>
        <v>Unique</v>
      </c>
      <c r="O145" s="41" t="s">
        <v>246</v>
      </c>
    </row>
    <row r="146" spans="1:16" ht="26.5" thickBot="1" x14ac:dyDescent="0.4">
      <c r="A146" s="3">
        <v>46262.375</v>
      </c>
      <c r="B146" s="1" t="s">
        <v>63</v>
      </c>
      <c r="C146" s="1" t="s">
        <v>7</v>
      </c>
      <c r="D146" s="4">
        <v>10</v>
      </c>
      <c r="E146" s="4">
        <v>1071</v>
      </c>
      <c r="F146" s="4">
        <v>7.8875793290000003</v>
      </c>
      <c r="G146" s="2" t="s">
        <v>64</v>
      </c>
      <c r="H146" s="5">
        <v>992.7</v>
      </c>
      <c r="I146" s="1" t="s">
        <v>8</v>
      </c>
      <c r="J146" s="18" t="s">
        <v>118</v>
      </c>
      <c r="K146" s="18" t="s">
        <v>195</v>
      </c>
      <c r="L146" s="18">
        <v>10410</v>
      </c>
      <c r="M146" s="18">
        <f t="shared" si="8"/>
        <v>300</v>
      </c>
      <c r="N146" s="10" t="str">
        <f t="shared" si="7"/>
        <v>Unique</v>
      </c>
      <c r="O146" s="31"/>
    </row>
    <row r="147" spans="1:16" ht="26.5" thickBot="1" x14ac:dyDescent="0.4">
      <c r="A147" s="11">
        <v>46252.688194444447</v>
      </c>
      <c r="B147" s="8" t="s">
        <v>14</v>
      </c>
      <c r="C147" s="8" t="s">
        <v>7</v>
      </c>
      <c r="D147" s="8">
        <v>50</v>
      </c>
      <c r="E147" s="8">
        <v>357</v>
      </c>
      <c r="F147" s="4">
        <v>8.0344984109999995</v>
      </c>
      <c r="G147" s="2" t="s">
        <v>45</v>
      </c>
      <c r="H147" s="5">
        <v>330.45</v>
      </c>
      <c r="I147" s="1" t="s">
        <v>8</v>
      </c>
      <c r="J147" s="36"/>
      <c r="N147" s="10" t="str">
        <f t="shared" si="7"/>
        <v>Unique</v>
      </c>
      <c r="O147" s="31"/>
    </row>
    <row r="148" spans="1:16" ht="26.5" thickBot="1" x14ac:dyDescent="0.4">
      <c r="A148" s="3">
        <v>46266.375</v>
      </c>
      <c r="B148" s="1" t="s">
        <v>15</v>
      </c>
      <c r="C148" s="1" t="s">
        <v>7</v>
      </c>
      <c r="D148" s="4">
        <v>10</v>
      </c>
      <c r="E148" s="4">
        <v>2595</v>
      </c>
      <c r="F148" s="4">
        <v>8.0349708579999994</v>
      </c>
      <c r="G148" s="2" t="s">
        <v>72</v>
      </c>
      <c r="H148" s="5">
        <v>2402</v>
      </c>
      <c r="I148" s="1" t="s">
        <v>8</v>
      </c>
      <c r="J148" s="18" t="s">
        <v>118</v>
      </c>
      <c r="K148" s="18" t="s">
        <v>220</v>
      </c>
      <c r="L148" s="18">
        <v>25300</v>
      </c>
      <c r="M148" s="18">
        <f t="shared" ref="M148:M159" si="9">ABS((D148*E148)-L148)</f>
        <v>650</v>
      </c>
      <c r="N148" s="10" t="str">
        <f t="shared" si="7"/>
        <v>Unique</v>
      </c>
      <c r="O148" s="41" t="s">
        <v>246</v>
      </c>
    </row>
    <row r="149" spans="1:16" ht="26.5" thickBot="1" x14ac:dyDescent="0.4">
      <c r="A149" s="3">
        <v>46267.513888888891</v>
      </c>
      <c r="B149" s="1" t="s">
        <v>15</v>
      </c>
      <c r="C149" s="1" t="s">
        <v>7</v>
      </c>
      <c r="D149" s="4">
        <v>5</v>
      </c>
      <c r="E149" s="4">
        <v>2595</v>
      </c>
      <c r="F149" s="4">
        <v>8.0349708579999994</v>
      </c>
      <c r="G149" s="2" t="s">
        <v>72</v>
      </c>
      <c r="H149" s="5">
        <v>2402</v>
      </c>
      <c r="I149" s="1" t="s">
        <v>8</v>
      </c>
      <c r="J149" s="18" t="s">
        <v>118</v>
      </c>
      <c r="K149" s="18" t="s">
        <v>231</v>
      </c>
      <c r="L149" s="18">
        <v>12480</v>
      </c>
      <c r="M149" s="18">
        <f t="shared" si="9"/>
        <v>495</v>
      </c>
      <c r="N149" s="10" t="str">
        <f t="shared" si="7"/>
        <v>Unique</v>
      </c>
      <c r="O149" s="41" t="s">
        <v>246</v>
      </c>
    </row>
    <row r="150" spans="1:16" ht="39" thickBot="1" x14ac:dyDescent="0.4">
      <c r="A150" s="32">
        <v>46260.556944444441</v>
      </c>
      <c r="B150" s="33" t="s">
        <v>36</v>
      </c>
      <c r="C150" s="33" t="s">
        <v>7</v>
      </c>
      <c r="D150" s="34">
        <v>5</v>
      </c>
      <c r="E150" s="34">
        <v>1251</v>
      </c>
      <c r="F150" s="4">
        <v>8.2367191559999995</v>
      </c>
      <c r="G150" s="2" t="s">
        <v>65</v>
      </c>
      <c r="H150" s="5">
        <v>1155.8</v>
      </c>
      <c r="I150" s="1" t="s">
        <v>8</v>
      </c>
      <c r="J150" s="29" t="s">
        <v>118</v>
      </c>
      <c r="K150" s="29" t="s">
        <v>165</v>
      </c>
      <c r="L150" s="29">
        <v>6105</v>
      </c>
      <c r="M150" s="29">
        <f t="shared" si="9"/>
        <v>150</v>
      </c>
      <c r="N150" s="30" t="str">
        <f t="shared" si="7"/>
        <v>Duplicate</v>
      </c>
    </row>
    <row r="151" spans="1:16" ht="39" thickBot="1" x14ac:dyDescent="0.4">
      <c r="A151" s="32">
        <v>46261.375</v>
      </c>
      <c r="B151" s="33" t="s">
        <v>36</v>
      </c>
      <c r="C151" s="33" t="s">
        <v>7</v>
      </c>
      <c r="D151" s="34">
        <v>5</v>
      </c>
      <c r="E151" s="34">
        <v>1251</v>
      </c>
      <c r="F151" s="4">
        <v>8.2367191559999995</v>
      </c>
      <c r="G151" s="2" t="s">
        <v>65</v>
      </c>
      <c r="H151" s="5">
        <v>1155.8</v>
      </c>
      <c r="I151" s="1" t="s">
        <v>8</v>
      </c>
      <c r="J151" s="29" t="s">
        <v>118</v>
      </c>
      <c r="K151" s="29" t="s">
        <v>179</v>
      </c>
      <c r="L151" s="29">
        <v>6005</v>
      </c>
      <c r="M151" s="29">
        <f t="shared" si="9"/>
        <v>250</v>
      </c>
      <c r="N151" s="31" t="str">
        <f t="shared" si="7"/>
        <v>Duplicate</v>
      </c>
    </row>
    <row r="152" spans="1:16" s="31" customFormat="1" ht="26.5" thickBot="1" x14ac:dyDescent="0.4">
      <c r="A152" s="45">
        <v>46273.385416666664</v>
      </c>
      <c r="B152" s="46" t="s">
        <v>25</v>
      </c>
      <c r="C152" s="46" t="s">
        <v>7</v>
      </c>
      <c r="D152" s="46">
        <v>500</v>
      </c>
      <c r="E152" s="46">
        <v>34.659999999999997</v>
      </c>
      <c r="F152" s="4">
        <v>8.3125</v>
      </c>
      <c r="G152" s="2" t="s">
        <v>46</v>
      </c>
      <c r="H152" s="5">
        <v>32</v>
      </c>
      <c r="I152" s="1" t="s">
        <v>8</v>
      </c>
      <c r="J152" s="47" t="s">
        <v>118</v>
      </c>
      <c r="K152" s="47" t="s">
        <v>257</v>
      </c>
      <c r="L152" s="47">
        <v>16580</v>
      </c>
      <c r="M152" s="47">
        <f t="shared" si="9"/>
        <v>750</v>
      </c>
      <c r="N152" s="25" t="str">
        <f t="shared" si="7"/>
        <v>Unique</v>
      </c>
      <c r="O152" s="25"/>
      <c r="P152" s="25" t="s">
        <v>260</v>
      </c>
    </row>
    <row r="153" spans="1:16" s="31" customFormat="1" ht="26.5" thickBot="1" x14ac:dyDescent="0.4">
      <c r="A153" s="3">
        <v>46269.411111111112</v>
      </c>
      <c r="B153" s="1" t="s">
        <v>13</v>
      </c>
      <c r="C153" s="1" t="s">
        <v>7</v>
      </c>
      <c r="D153" s="4">
        <v>10</v>
      </c>
      <c r="E153" s="4">
        <v>1879</v>
      </c>
      <c r="F153" s="4">
        <v>8.3621683969999996</v>
      </c>
      <c r="G153" s="2" t="s">
        <v>91</v>
      </c>
      <c r="H153" s="5">
        <v>1734</v>
      </c>
      <c r="I153" s="1" t="s">
        <v>8</v>
      </c>
      <c r="J153" s="18" t="s">
        <v>118</v>
      </c>
      <c r="K153" s="18" t="s">
        <v>240</v>
      </c>
      <c r="L153" s="18">
        <v>18140</v>
      </c>
      <c r="M153" s="27">
        <f t="shared" si="9"/>
        <v>650</v>
      </c>
      <c r="N153" t="str">
        <f t="shared" si="7"/>
        <v>Unique</v>
      </c>
      <c r="O153" s="10"/>
      <c r="P153" s="10"/>
    </row>
    <row r="154" spans="1:16" ht="39" thickBot="1" x14ac:dyDescent="0.4">
      <c r="A154" s="3">
        <v>46265.474999999999</v>
      </c>
      <c r="B154" s="1" t="s">
        <v>20</v>
      </c>
      <c r="C154" s="1" t="s">
        <v>7</v>
      </c>
      <c r="D154" s="4">
        <v>30</v>
      </c>
      <c r="E154" s="4">
        <v>137</v>
      </c>
      <c r="F154" s="4">
        <v>8.3860759490000003</v>
      </c>
      <c r="G154" s="2" t="s">
        <v>86</v>
      </c>
      <c r="H154" s="5">
        <v>126.4</v>
      </c>
      <c r="I154" s="1" t="s">
        <v>8</v>
      </c>
      <c r="J154" s="18" t="s">
        <v>118</v>
      </c>
      <c r="K154" s="18" t="s">
        <v>200</v>
      </c>
      <c r="L154" s="18">
        <v>3810</v>
      </c>
      <c r="M154" s="18">
        <f t="shared" si="9"/>
        <v>300</v>
      </c>
      <c r="N154" t="str">
        <f t="shared" si="7"/>
        <v>Unique</v>
      </c>
    </row>
    <row r="155" spans="1:16" ht="26.5" thickBot="1" x14ac:dyDescent="0.4">
      <c r="A155" s="3">
        <v>46266.375694444447</v>
      </c>
      <c r="B155" s="1" t="s">
        <v>121</v>
      </c>
      <c r="C155" s="1" t="s">
        <v>7</v>
      </c>
      <c r="D155" s="4">
        <v>25</v>
      </c>
      <c r="E155" s="4">
        <v>772</v>
      </c>
      <c r="F155" s="4">
        <v>8.4269662919999995</v>
      </c>
      <c r="G155" s="2" t="s">
        <v>122</v>
      </c>
      <c r="H155" s="5">
        <v>712</v>
      </c>
      <c r="I155" s="1" t="s">
        <v>8</v>
      </c>
      <c r="J155" s="18" t="s">
        <v>117</v>
      </c>
      <c r="K155" s="18" t="s">
        <v>215</v>
      </c>
      <c r="L155" s="18">
        <v>18800</v>
      </c>
      <c r="M155" s="18">
        <f t="shared" si="9"/>
        <v>500</v>
      </c>
      <c r="N155" s="10" t="str">
        <f t="shared" si="7"/>
        <v>Unique</v>
      </c>
      <c r="O155" s="42" t="s">
        <v>246</v>
      </c>
    </row>
    <row r="156" spans="1:16" ht="39" thickBot="1" x14ac:dyDescent="0.4">
      <c r="A156" s="32">
        <v>46265.375694444447</v>
      </c>
      <c r="B156" s="33" t="s">
        <v>53</v>
      </c>
      <c r="C156" s="33" t="s">
        <v>7</v>
      </c>
      <c r="D156" s="34">
        <v>3</v>
      </c>
      <c r="E156" s="34">
        <v>2624</v>
      </c>
      <c r="F156" s="4">
        <v>8.452159537</v>
      </c>
      <c r="G156" s="2" t="s">
        <v>54</v>
      </c>
      <c r="H156" s="5">
        <v>2419.5</v>
      </c>
      <c r="I156" s="1" t="s">
        <v>8</v>
      </c>
      <c r="J156" s="28" t="s">
        <v>118</v>
      </c>
      <c r="K156" s="29" t="s">
        <v>201</v>
      </c>
      <c r="L156" s="29">
        <v>7578</v>
      </c>
      <c r="M156" s="29">
        <f t="shared" si="9"/>
        <v>294</v>
      </c>
      <c r="N156" s="30" t="str">
        <f t="shared" si="7"/>
        <v>Duplicate</v>
      </c>
    </row>
    <row r="157" spans="1:16" ht="39" thickBot="1" x14ac:dyDescent="0.4">
      <c r="A157" s="32">
        <v>46266.375694444447</v>
      </c>
      <c r="B157" s="33" t="s">
        <v>53</v>
      </c>
      <c r="C157" s="33" t="s">
        <v>7</v>
      </c>
      <c r="D157" s="34">
        <v>3</v>
      </c>
      <c r="E157" s="34">
        <v>2624</v>
      </c>
      <c r="F157" s="4">
        <v>8.452159537</v>
      </c>
      <c r="G157" s="2" t="s">
        <v>54</v>
      </c>
      <c r="H157" s="5">
        <v>2419.5</v>
      </c>
      <c r="I157" s="1" t="s">
        <v>8</v>
      </c>
      <c r="J157" s="29" t="s">
        <v>118</v>
      </c>
      <c r="K157" s="29" t="s">
        <v>216</v>
      </c>
      <c r="L157" s="29">
        <v>7578</v>
      </c>
      <c r="M157" s="29">
        <f t="shared" si="9"/>
        <v>294</v>
      </c>
      <c r="N157" s="31" t="str">
        <f t="shared" si="7"/>
        <v>Duplicate</v>
      </c>
    </row>
    <row r="158" spans="1:16" s="31" customFormat="1" ht="39" thickBot="1" x14ac:dyDescent="0.4">
      <c r="A158" s="32">
        <v>46267.424305555556</v>
      </c>
      <c r="B158" s="33" t="s">
        <v>53</v>
      </c>
      <c r="C158" s="33" t="s">
        <v>7</v>
      </c>
      <c r="D158" s="34">
        <v>2</v>
      </c>
      <c r="E158" s="34">
        <v>2624</v>
      </c>
      <c r="F158" s="4">
        <v>8.452159537</v>
      </c>
      <c r="G158" s="2" t="s">
        <v>54</v>
      </c>
      <c r="H158" s="5">
        <v>2419.5</v>
      </c>
      <c r="I158" s="1" t="s">
        <v>8</v>
      </c>
      <c r="J158" s="29" t="s">
        <v>118</v>
      </c>
      <c r="K158" s="29" t="s">
        <v>226</v>
      </c>
      <c r="L158" s="29">
        <v>4968</v>
      </c>
      <c r="M158" s="29">
        <f t="shared" si="9"/>
        <v>280</v>
      </c>
      <c r="N158" s="31" t="str">
        <f t="shared" si="7"/>
        <v>Unique</v>
      </c>
    </row>
    <row r="159" spans="1:16" ht="26.5" thickBot="1" x14ac:dyDescent="0.4">
      <c r="A159" s="3">
        <v>46265.375694444447</v>
      </c>
      <c r="B159" s="1" t="s">
        <v>15</v>
      </c>
      <c r="C159" s="1" t="s">
        <v>7</v>
      </c>
      <c r="D159" s="4">
        <v>10</v>
      </c>
      <c r="E159" s="4">
        <v>2608</v>
      </c>
      <c r="F159" s="4">
        <v>8.5761865109999995</v>
      </c>
      <c r="G159" s="2" t="s">
        <v>72</v>
      </c>
      <c r="H159" s="5">
        <v>2402</v>
      </c>
      <c r="I159" s="1" t="s">
        <v>8</v>
      </c>
      <c r="J159" s="18" t="s">
        <v>118</v>
      </c>
      <c r="K159" s="18" t="s">
        <v>205</v>
      </c>
      <c r="L159" s="18">
        <v>25780</v>
      </c>
      <c r="M159" s="18">
        <f t="shared" si="9"/>
        <v>300</v>
      </c>
      <c r="N159" t="str">
        <f t="shared" si="7"/>
        <v>Unique</v>
      </c>
      <c r="O159" s="41" t="s">
        <v>246</v>
      </c>
      <c r="P159"/>
    </row>
    <row r="160" spans="1:16" ht="39" thickBot="1" x14ac:dyDescent="0.4">
      <c r="A160" s="11">
        <v>46252.635416666664</v>
      </c>
      <c r="B160" s="8" t="s">
        <v>82</v>
      </c>
      <c r="C160" s="8" t="s">
        <v>7</v>
      </c>
      <c r="D160" s="8">
        <v>1</v>
      </c>
      <c r="E160" s="8">
        <v>4556</v>
      </c>
      <c r="F160" s="4">
        <v>8.6832061070000002</v>
      </c>
      <c r="G160" s="2" t="s">
        <v>83</v>
      </c>
      <c r="H160" s="5">
        <v>4192</v>
      </c>
      <c r="I160" s="1" t="s">
        <v>8</v>
      </c>
      <c r="J160" s="36"/>
      <c r="N160" s="10" t="str">
        <f t="shared" si="7"/>
        <v>Unique</v>
      </c>
    </row>
    <row r="161" spans="1:16" ht="39" thickBot="1" x14ac:dyDescent="0.4">
      <c r="A161" s="3">
        <v>46269.375</v>
      </c>
      <c r="B161" s="1" t="s">
        <v>22</v>
      </c>
      <c r="C161" s="1" t="s">
        <v>7</v>
      </c>
      <c r="D161" s="4">
        <v>5</v>
      </c>
      <c r="E161" s="4">
        <v>471</v>
      </c>
      <c r="F161" s="4">
        <v>8.6881273799999992</v>
      </c>
      <c r="G161" s="2" t="s">
        <v>73</v>
      </c>
      <c r="H161" s="5">
        <v>433.35</v>
      </c>
      <c r="I161" s="1" t="s">
        <v>8</v>
      </c>
      <c r="J161" s="18" t="s">
        <v>118</v>
      </c>
      <c r="K161" s="18" t="s">
        <v>242</v>
      </c>
      <c r="L161" s="18">
        <v>2105</v>
      </c>
      <c r="M161" s="27">
        <f>ABS((D161*E161)-L161)</f>
        <v>250</v>
      </c>
      <c r="N161" t="str">
        <f t="shared" si="7"/>
        <v>Unique</v>
      </c>
    </row>
    <row r="162" spans="1:16" ht="26.5" thickBot="1" x14ac:dyDescent="0.4">
      <c r="A162" s="3">
        <v>46261.375</v>
      </c>
      <c r="B162" s="1" t="s">
        <v>63</v>
      </c>
      <c r="C162" s="1" t="s">
        <v>7</v>
      </c>
      <c r="D162" s="4">
        <v>10</v>
      </c>
      <c r="E162" s="4">
        <v>1081</v>
      </c>
      <c r="F162" s="4">
        <v>8.8949330109999991</v>
      </c>
      <c r="G162" s="2" t="s">
        <v>64</v>
      </c>
      <c r="H162" s="5">
        <v>992.7</v>
      </c>
      <c r="I162" s="1" t="s">
        <v>8</v>
      </c>
      <c r="J162" s="18" t="s">
        <v>118</v>
      </c>
      <c r="K162" s="18" t="s">
        <v>184</v>
      </c>
      <c r="L162" s="18">
        <v>10510</v>
      </c>
      <c r="M162" s="18">
        <f>ABS((D162*E162)-L162)</f>
        <v>300</v>
      </c>
      <c r="N162" s="10" t="str">
        <f t="shared" si="7"/>
        <v>Unique</v>
      </c>
    </row>
    <row r="163" spans="1:16" ht="26.5" thickBot="1" x14ac:dyDescent="0.4">
      <c r="A163" s="3">
        <v>46265.390277777777</v>
      </c>
      <c r="B163" s="1" t="s">
        <v>15</v>
      </c>
      <c r="C163" s="1" t="s">
        <v>7</v>
      </c>
      <c r="D163" s="4">
        <v>10</v>
      </c>
      <c r="E163" s="4">
        <v>2618</v>
      </c>
      <c r="F163" s="4">
        <v>8.9925062449999995</v>
      </c>
      <c r="G163" s="2" t="s">
        <v>72</v>
      </c>
      <c r="H163" s="5">
        <v>2402</v>
      </c>
      <c r="I163" s="1" t="s">
        <v>8</v>
      </c>
      <c r="J163" s="18" t="s">
        <v>117</v>
      </c>
      <c r="K163" s="18" t="s">
        <v>202</v>
      </c>
      <c r="L163" s="18">
        <v>25530</v>
      </c>
      <c r="M163" s="18">
        <f>ABS((D163*E163)-L163)</f>
        <v>650</v>
      </c>
      <c r="N163" t="str">
        <f t="shared" si="7"/>
        <v>Unique</v>
      </c>
      <c r="O163"/>
      <c r="P163"/>
    </row>
    <row r="164" spans="1:16" ht="39" thickBot="1" x14ac:dyDescent="0.4">
      <c r="A164" s="11">
        <v>46252.635416666664</v>
      </c>
      <c r="B164" s="8" t="s">
        <v>51</v>
      </c>
      <c r="C164" s="8" t="s">
        <v>7</v>
      </c>
      <c r="D164" s="8">
        <v>10</v>
      </c>
      <c r="E164" s="8">
        <v>997</v>
      </c>
      <c r="F164" s="4">
        <v>9.0272841600000007</v>
      </c>
      <c r="G164" s="2" t="s">
        <v>52</v>
      </c>
      <c r="H164" s="5">
        <v>914.45</v>
      </c>
      <c r="I164" s="1" t="s">
        <v>8</v>
      </c>
      <c r="J164" s="36" t="s">
        <v>117</v>
      </c>
      <c r="N164" s="10" t="str">
        <f t="shared" si="7"/>
        <v>Unique</v>
      </c>
    </row>
    <row r="165" spans="1:16" ht="26.5" thickBot="1" x14ac:dyDescent="0.4">
      <c r="A165" s="3">
        <v>46272.375694444447</v>
      </c>
      <c r="B165" s="1" t="s">
        <v>87</v>
      </c>
      <c r="C165" s="1" t="s">
        <v>7</v>
      </c>
      <c r="D165" s="4">
        <v>10</v>
      </c>
      <c r="E165" s="4">
        <v>1280</v>
      </c>
      <c r="F165" s="4">
        <v>9.0289608179999998</v>
      </c>
      <c r="G165" s="2" t="s">
        <v>88</v>
      </c>
      <c r="H165" s="5">
        <v>1174</v>
      </c>
      <c r="I165" s="1" t="s">
        <v>8</v>
      </c>
      <c r="J165" s="18" t="s">
        <v>117</v>
      </c>
      <c r="K165" s="18" t="s">
        <v>252</v>
      </c>
      <c r="L165" s="18">
        <v>12510</v>
      </c>
      <c r="M165" s="18">
        <f t="shared" ref="M165:M170" si="10">ABS((D165*E165)-L165)</f>
        <v>290</v>
      </c>
      <c r="N165" s="10" t="str">
        <f t="shared" si="7"/>
        <v>Unique</v>
      </c>
    </row>
    <row r="166" spans="1:16" s="31" customFormat="1" ht="39" thickBot="1" x14ac:dyDescent="0.4">
      <c r="A166" s="3">
        <v>46276.390277777777</v>
      </c>
      <c r="B166" s="1" t="s">
        <v>80</v>
      </c>
      <c r="C166" s="1" t="s">
        <v>7</v>
      </c>
      <c r="D166" s="4">
        <v>10</v>
      </c>
      <c r="E166" s="4">
        <v>1490</v>
      </c>
      <c r="F166" s="4">
        <v>9.1575091579999999</v>
      </c>
      <c r="G166" s="2" t="s">
        <v>81</v>
      </c>
      <c r="H166" s="5">
        <v>1365</v>
      </c>
      <c r="I166" s="1" t="s">
        <v>8</v>
      </c>
      <c r="J166" s="18" t="s">
        <v>117</v>
      </c>
      <c r="K166" s="18" t="s">
        <v>276</v>
      </c>
      <c r="L166" s="18">
        <v>14400</v>
      </c>
      <c r="M166" s="18">
        <f t="shared" si="10"/>
        <v>500</v>
      </c>
      <c r="N166" s="10" t="str">
        <f t="shared" si="7"/>
        <v>Unique</v>
      </c>
      <c r="O166" s="10"/>
      <c r="P166" s="10"/>
    </row>
    <row r="167" spans="1:16" ht="26.5" thickBot="1" x14ac:dyDescent="0.4">
      <c r="A167" s="32">
        <v>46258.443055555559</v>
      </c>
      <c r="B167" s="33" t="s">
        <v>35</v>
      </c>
      <c r="C167" s="33" t="s">
        <v>7</v>
      </c>
      <c r="D167" s="34">
        <v>50</v>
      </c>
      <c r="E167" s="34">
        <v>229.5</v>
      </c>
      <c r="F167" s="4">
        <v>9.1869261140000003</v>
      </c>
      <c r="G167" s="2" t="s">
        <v>42</v>
      </c>
      <c r="H167" s="5">
        <v>210.19</v>
      </c>
      <c r="I167" s="1" t="s">
        <v>8</v>
      </c>
      <c r="J167" s="29" t="s">
        <v>118</v>
      </c>
      <c r="K167" s="29" t="s">
        <v>157</v>
      </c>
      <c r="L167" s="29">
        <v>11175</v>
      </c>
      <c r="M167" s="29">
        <f t="shared" si="10"/>
        <v>300</v>
      </c>
      <c r="N167" s="31" t="str">
        <f t="shared" si="7"/>
        <v>Unique</v>
      </c>
      <c r="O167" s="31"/>
      <c r="P167" s="31"/>
    </row>
    <row r="168" spans="1:16" ht="26.5" thickBot="1" x14ac:dyDescent="0.4">
      <c r="A168" s="32">
        <v>46259.375</v>
      </c>
      <c r="B168" s="33" t="s">
        <v>35</v>
      </c>
      <c r="C168" s="33" t="s">
        <v>7</v>
      </c>
      <c r="D168" s="34">
        <v>20</v>
      </c>
      <c r="E168" s="34">
        <v>229.5</v>
      </c>
      <c r="F168" s="4">
        <v>9.1869261140000003</v>
      </c>
      <c r="G168" s="2" t="s">
        <v>42</v>
      </c>
      <c r="H168" s="5">
        <v>210.19</v>
      </c>
      <c r="I168" s="1" t="s">
        <v>8</v>
      </c>
      <c r="J168" s="29" t="s">
        <v>118</v>
      </c>
      <c r="K168" s="29" t="s">
        <v>163</v>
      </c>
      <c r="L168" s="29">
        <v>4402</v>
      </c>
      <c r="M168" s="29">
        <f t="shared" si="10"/>
        <v>188</v>
      </c>
      <c r="N168" s="31" t="str">
        <f t="shared" si="7"/>
        <v>Unique</v>
      </c>
      <c r="O168" s="31"/>
      <c r="P168" s="31"/>
    </row>
    <row r="169" spans="1:16" ht="26.5" thickBot="1" x14ac:dyDescent="0.4">
      <c r="A169" s="32">
        <v>46272.451388888891</v>
      </c>
      <c r="B169" s="33" t="s">
        <v>13</v>
      </c>
      <c r="C169" s="33" t="s">
        <v>7</v>
      </c>
      <c r="D169" s="34">
        <v>5</v>
      </c>
      <c r="E169" s="34">
        <v>1894</v>
      </c>
      <c r="F169" s="4">
        <v>9.2272203000000008</v>
      </c>
      <c r="G169" s="2" t="s">
        <v>91</v>
      </c>
      <c r="H169" s="5">
        <v>1734</v>
      </c>
      <c r="I169" s="1" t="s">
        <v>8</v>
      </c>
      <c r="J169" s="31" t="s">
        <v>118</v>
      </c>
      <c r="K169" s="29" t="s">
        <v>247</v>
      </c>
      <c r="L169" s="29">
        <v>8820</v>
      </c>
      <c r="M169" s="29">
        <f t="shared" si="10"/>
        <v>650</v>
      </c>
      <c r="N169" s="31" t="str">
        <f t="shared" si="7"/>
        <v>Unique</v>
      </c>
      <c r="O169" s="31"/>
      <c r="P169" s="31"/>
    </row>
    <row r="170" spans="1:16" ht="26.5" thickBot="1" x14ac:dyDescent="0.4">
      <c r="A170" s="32">
        <v>46272.390972222223</v>
      </c>
      <c r="B170" s="33" t="s">
        <v>13</v>
      </c>
      <c r="C170" s="33" t="s">
        <v>7</v>
      </c>
      <c r="D170" s="34">
        <v>20</v>
      </c>
      <c r="E170" s="34">
        <v>1894</v>
      </c>
      <c r="F170" s="4">
        <v>9.2272203000000008</v>
      </c>
      <c r="G170" s="2" t="s">
        <v>91</v>
      </c>
      <c r="H170" s="5">
        <v>1734</v>
      </c>
      <c r="I170" s="1" t="s">
        <v>8</v>
      </c>
      <c r="J170" s="31" t="s">
        <v>118</v>
      </c>
      <c r="K170" s="29" t="s">
        <v>248</v>
      </c>
      <c r="L170" s="29">
        <v>36946</v>
      </c>
      <c r="M170" s="29">
        <f t="shared" si="10"/>
        <v>934</v>
      </c>
      <c r="N170" s="31" t="str">
        <f t="shared" si="7"/>
        <v>Unique</v>
      </c>
      <c r="O170" s="31"/>
      <c r="P170" s="31"/>
    </row>
    <row r="171" spans="1:16" s="31" customFormat="1" ht="26.5" thickBot="1" x14ac:dyDescent="0.4">
      <c r="A171" s="11">
        <v>46252.688194444447</v>
      </c>
      <c r="B171" s="8" t="s">
        <v>14</v>
      </c>
      <c r="C171" s="8" t="s">
        <v>7</v>
      </c>
      <c r="D171" s="8">
        <v>50</v>
      </c>
      <c r="E171" s="8">
        <v>361</v>
      </c>
      <c r="F171" s="4">
        <v>9.2449689819999996</v>
      </c>
      <c r="G171" s="2" t="s">
        <v>45</v>
      </c>
      <c r="H171" s="5">
        <v>330.45</v>
      </c>
      <c r="I171" s="1" t="s">
        <v>8</v>
      </c>
      <c r="J171" s="36"/>
      <c r="K171" s="18"/>
      <c r="L171" s="18"/>
      <c r="M171" s="18"/>
      <c r="N171" s="10" t="str">
        <f t="shared" si="7"/>
        <v>Unique</v>
      </c>
      <c r="O171" s="10"/>
      <c r="P171" s="10"/>
    </row>
    <row r="172" spans="1:16" s="31" customFormat="1" ht="39" thickBot="1" x14ac:dyDescent="0.4">
      <c r="A172" s="3">
        <v>46274.375</v>
      </c>
      <c r="B172" s="1" t="s">
        <v>21</v>
      </c>
      <c r="C172" s="1" t="s">
        <v>7</v>
      </c>
      <c r="D172" s="4">
        <v>5</v>
      </c>
      <c r="E172" s="4">
        <v>730</v>
      </c>
      <c r="F172" s="4">
        <v>9.3632958800000008</v>
      </c>
      <c r="G172" s="2" t="s">
        <v>76</v>
      </c>
      <c r="H172" s="5">
        <v>667.5</v>
      </c>
      <c r="I172" s="1" t="s">
        <v>8</v>
      </c>
      <c r="J172" s="18" t="s">
        <v>118</v>
      </c>
      <c r="K172" s="18" t="s">
        <v>264</v>
      </c>
      <c r="L172" s="18">
        <v>3400</v>
      </c>
      <c r="M172" s="18">
        <f>ABS((D172*E172)-L172)</f>
        <v>250</v>
      </c>
      <c r="N172" s="10" t="str">
        <f t="shared" si="7"/>
        <v>Unique</v>
      </c>
      <c r="O172" s="10"/>
      <c r="P172" s="10"/>
    </row>
    <row r="173" spans="1:16" ht="26.5" thickBot="1" x14ac:dyDescent="0.4">
      <c r="A173" s="32">
        <v>46265.375694444447</v>
      </c>
      <c r="B173" s="33" t="s">
        <v>6</v>
      </c>
      <c r="C173" s="33" t="s">
        <v>7</v>
      </c>
      <c r="D173" s="34">
        <v>20</v>
      </c>
      <c r="E173" s="34">
        <v>291</v>
      </c>
      <c r="F173" s="4">
        <v>9.3984962410000001</v>
      </c>
      <c r="G173" s="2" t="s">
        <v>130</v>
      </c>
      <c r="H173" s="5">
        <v>266</v>
      </c>
      <c r="I173" s="1" t="s">
        <v>8</v>
      </c>
      <c r="J173" s="29" t="s">
        <v>118</v>
      </c>
      <c r="K173" s="29" t="s">
        <v>207</v>
      </c>
      <c r="L173" s="29">
        <v>5520</v>
      </c>
      <c r="M173" s="29">
        <f>ABS((D173*E173)-L173)</f>
        <v>300</v>
      </c>
      <c r="N173" s="30" t="str">
        <f t="shared" si="7"/>
        <v>Unique</v>
      </c>
      <c r="O173" s="41" t="s">
        <v>246</v>
      </c>
    </row>
    <row r="174" spans="1:16" ht="26.5" thickBot="1" x14ac:dyDescent="0.4">
      <c r="A174" s="43">
        <v>46243.505555555559</v>
      </c>
      <c r="B174" s="44" t="s">
        <v>6</v>
      </c>
      <c r="C174" s="44" t="s">
        <v>7</v>
      </c>
      <c r="D174" s="44">
        <v>10</v>
      </c>
      <c r="E174" s="44">
        <v>291</v>
      </c>
      <c r="F174" s="4">
        <v>9.3984962410000001</v>
      </c>
      <c r="G174" s="2" t="s">
        <v>130</v>
      </c>
      <c r="H174" s="5">
        <v>266</v>
      </c>
      <c r="I174" s="1" t="s">
        <v>8</v>
      </c>
      <c r="J174" s="29" t="s">
        <v>118</v>
      </c>
      <c r="K174" s="29" t="s">
        <v>253</v>
      </c>
      <c r="L174" s="29">
        <v>2657</v>
      </c>
      <c r="M174" s="29">
        <f>ABS((D174*E174)-L174)</f>
        <v>253</v>
      </c>
      <c r="N174" s="31" t="str">
        <f t="shared" si="7"/>
        <v>Duplicate</v>
      </c>
      <c r="O174" s="41" t="s">
        <v>246</v>
      </c>
    </row>
    <row r="175" spans="1:16" ht="26.5" thickBot="1" x14ac:dyDescent="0.4">
      <c r="A175" s="32">
        <v>46280.588194444441</v>
      </c>
      <c r="B175" s="33" t="s">
        <v>6</v>
      </c>
      <c r="C175" s="33" t="s">
        <v>7</v>
      </c>
      <c r="D175" s="34">
        <v>10</v>
      </c>
      <c r="E175" s="34">
        <v>291</v>
      </c>
      <c r="F175" s="4">
        <v>9.3984962410000001</v>
      </c>
      <c r="G175" s="2" t="s">
        <v>130</v>
      </c>
      <c r="H175" s="5">
        <v>266</v>
      </c>
      <c r="I175" s="1" t="s">
        <v>8</v>
      </c>
      <c r="J175" s="51" t="s">
        <v>118</v>
      </c>
      <c r="K175" s="29" t="s">
        <v>284</v>
      </c>
      <c r="L175" s="29">
        <v>2554.5</v>
      </c>
      <c r="M175" s="29">
        <f>ABS((D175*E175)-L175)</f>
        <v>355.5</v>
      </c>
      <c r="N175" s="31" t="str">
        <f t="shared" si="7"/>
        <v>Duplicate</v>
      </c>
      <c r="O175" s="41" t="s">
        <v>246</v>
      </c>
      <c r="P175" s="31"/>
    </row>
    <row r="176" spans="1:16" ht="39" thickBot="1" x14ac:dyDescent="0.4">
      <c r="A176" s="46" t="s">
        <v>62</v>
      </c>
      <c r="B176" s="48" t="s">
        <v>23</v>
      </c>
      <c r="C176" s="46" t="s">
        <v>7</v>
      </c>
      <c r="D176" s="46">
        <v>40</v>
      </c>
      <c r="E176" s="49">
        <v>229</v>
      </c>
      <c r="F176" s="4">
        <v>9.4123268039999992</v>
      </c>
      <c r="G176" s="2" t="s">
        <v>70</v>
      </c>
      <c r="H176" s="5">
        <v>209.3</v>
      </c>
      <c r="I176" s="1" t="s">
        <v>8</v>
      </c>
      <c r="J176" s="50" t="s">
        <v>117</v>
      </c>
      <c r="K176" s="47"/>
      <c r="L176" s="47"/>
      <c r="M176" s="47"/>
      <c r="N176" s="25" t="str">
        <f t="shared" si="7"/>
        <v>Unique</v>
      </c>
      <c r="O176" s="25"/>
      <c r="P176" s="25" t="s">
        <v>260</v>
      </c>
    </row>
    <row r="177" spans="1:16" ht="39" thickBot="1" x14ac:dyDescent="0.4">
      <c r="A177" s="11">
        <v>46243.375</v>
      </c>
      <c r="B177" s="8" t="s">
        <v>11</v>
      </c>
      <c r="C177" s="8" t="s">
        <v>7</v>
      </c>
      <c r="D177" s="8">
        <v>20</v>
      </c>
      <c r="E177" s="8">
        <v>296</v>
      </c>
      <c r="F177" s="4">
        <v>9.4674556209999992</v>
      </c>
      <c r="G177" s="2" t="s">
        <v>99</v>
      </c>
      <c r="H177" s="5">
        <v>270.39999999999998</v>
      </c>
      <c r="I177" s="1" t="s">
        <v>8</v>
      </c>
      <c r="J177" s="18" t="s">
        <v>118</v>
      </c>
      <c r="K177" s="18" t="s">
        <v>254</v>
      </c>
      <c r="L177" s="18">
        <v>5620</v>
      </c>
      <c r="M177" s="29">
        <f>ABS((D177*E177)-L177)</f>
        <v>300</v>
      </c>
      <c r="N177" s="10" t="str">
        <f t="shared" si="7"/>
        <v>Unique</v>
      </c>
      <c r="P177" s="26"/>
    </row>
    <row r="178" spans="1:16" ht="26.5" thickBot="1" x14ac:dyDescent="0.4">
      <c r="A178" s="8" t="s">
        <v>62</v>
      </c>
      <c r="B178" s="8" t="s">
        <v>68</v>
      </c>
      <c r="C178" s="8" t="s">
        <v>7</v>
      </c>
      <c r="D178" s="8">
        <v>10</v>
      </c>
      <c r="E178" s="8">
        <v>435</v>
      </c>
      <c r="F178" s="4">
        <v>9.5441954169999992</v>
      </c>
      <c r="G178" s="2" t="s">
        <v>69</v>
      </c>
      <c r="H178" s="5">
        <v>397.1</v>
      </c>
      <c r="I178" s="1" t="s">
        <v>8</v>
      </c>
      <c r="J178" s="36"/>
      <c r="N178" s="10" t="str">
        <f t="shared" si="7"/>
        <v>Unique</v>
      </c>
    </row>
    <row r="179" spans="1:16" ht="26.5" thickBot="1" x14ac:dyDescent="0.4">
      <c r="A179" s="3">
        <v>46275.507638888892</v>
      </c>
      <c r="B179" s="1" t="s">
        <v>15</v>
      </c>
      <c r="C179" s="1" t="s">
        <v>7</v>
      </c>
      <c r="D179" s="4">
        <v>10</v>
      </c>
      <c r="E179" s="4">
        <v>2632</v>
      </c>
      <c r="F179" s="4">
        <v>9.5753538720000009</v>
      </c>
      <c r="G179" s="2" t="s">
        <v>72</v>
      </c>
      <c r="H179" s="5">
        <v>2402</v>
      </c>
      <c r="I179" s="1" t="s">
        <v>8</v>
      </c>
      <c r="J179" s="18" t="s">
        <v>117</v>
      </c>
      <c r="K179" s="18" t="s">
        <v>270</v>
      </c>
      <c r="L179" s="18">
        <v>73800</v>
      </c>
      <c r="M179" s="18">
        <f>ABS((D179*E179)-L179)</f>
        <v>47480</v>
      </c>
      <c r="N179" s="10" t="str">
        <f t="shared" si="7"/>
        <v>Unique</v>
      </c>
    </row>
    <row r="180" spans="1:16" ht="26.5" thickBot="1" x14ac:dyDescent="0.4">
      <c r="A180" s="6" t="s">
        <v>62</v>
      </c>
      <c r="B180" s="1" t="s">
        <v>100</v>
      </c>
      <c r="C180" s="1" t="s">
        <v>10</v>
      </c>
      <c r="D180" s="4">
        <v>25</v>
      </c>
      <c r="E180" s="4">
        <v>196</v>
      </c>
      <c r="F180" s="4">
        <v>-21.565488819999999</v>
      </c>
      <c r="G180" s="2" t="s">
        <v>101</v>
      </c>
      <c r="H180" s="5">
        <v>249.89</v>
      </c>
      <c r="I180" s="1" t="s">
        <v>8</v>
      </c>
      <c r="J180" s="52" t="s">
        <v>41</v>
      </c>
      <c r="K180" s="17"/>
      <c r="L180" s="17"/>
      <c r="M180" s="17"/>
      <c r="N180" t="str">
        <f t="shared" si="7"/>
        <v>Unique</v>
      </c>
      <c r="O180"/>
      <c r="P180"/>
    </row>
    <row r="181" spans="1:16" ht="26.5" thickBot="1" x14ac:dyDescent="0.4">
      <c r="A181" s="3">
        <v>46265.375694444447</v>
      </c>
      <c r="B181" s="1" t="s">
        <v>15</v>
      </c>
      <c r="C181" s="1" t="s">
        <v>7</v>
      </c>
      <c r="D181" s="4">
        <v>10</v>
      </c>
      <c r="E181" s="4">
        <v>2636</v>
      </c>
      <c r="F181" s="4">
        <v>9.7418817650000005</v>
      </c>
      <c r="G181" s="2" t="s">
        <v>72</v>
      </c>
      <c r="H181" s="5">
        <v>2402</v>
      </c>
      <c r="I181" s="1" t="s">
        <v>8</v>
      </c>
      <c r="J181" s="18" t="s">
        <v>117</v>
      </c>
      <c r="K181" s="18" t="s">
        <v>211</v>
      </c>
      <c r="L181" s="18">
        <v>26020</v>
      </c>
      <c r="M181" s="18">
        <f>ABS((D181*E181)-L181)</f>
        <v>340</v>
      </c>
      <c r="N181" t="str">
        <f t="shared" si="7"/>
        <v>Unique</v>
      </c>
    </row>
    <row r="182" spans="1:16" s="31" customFormat="1" ht="39" thickBot="1" x14ac:dyDescent="0.4">
      <c r="A182" s="3">
        <v>46272.375694444447</v>
      </c>
      <c r="B182" s="1" t="s">
        <v>24</v>
      </c>
      <c r="C182" s="1" t="s">
        <v>7</v>
      </c>
      <c r="D182" s="4">
        <v>40</v>
      </c>
      <c r="E182" s="4">
        <v>448</v>
      </c>
      <c r="F182" s="4">
        <v>9.7635673159999996</v>
      </c>
      <c r="G182" s="2" t="s">
        <v>56</v>
      </c>
      <c r="H182" s="5">
        <v>408.15</v>
      </c>
      <c r="I182" s="1" t="s">
        <v>8</v>
      </c>
      <c r="J182" s="18" t="s">
        <v>117</v>
      </c>
      <c r="K182" s="18" t="s">
        <v>251</v>
      </c>
      <c r="L182" s="18">
        <v>17040</v>
      </c>
      <c r="M182" s="18">
        <f>ABS((D182*E182)-L182)</f>
        <v>880</v>
      </c>
      <c r="N182" s="10" t="str">
        <f t="shared" si="7"/>
        <v>Unique</v>
      </c>
      <c r="O182" s="41" t="s">
        <v>246</v>
      </c>
      <c r="P182" s="10"/>
    </row>
    <row r="183" spans="1:16" s="31" customFormat="1" ht="39" thickBot="1" x14ac:dyDescent="0.4">
      <c r="A183" s="3">
        <v>46276.375</v>
      </c>
      <c r="B183" s="1" t="s">
        <v>103</v>
      </c>
      <c r="C183" s="1" t="s">
        <v>7</v>
      </c>
      <c r="D183" s="4">
        <v>8</v>
      </c>
      <c r="E183" s="4">
        <v>2472</v>
      </c>
      <c r="F183" s="4">
        <v>9.7690941389999999</v>
      </c>
      <c r="G183" s="2" t="s">
        <v>104</v>
      </c>
      <c r="H183" s="5">
        <v>2252</v>
      </c>
      <c r="I183" s="1" t="s">
        <v>8</v>
      </c>
      <c r="J183" s="18" t="s">
        <v>117</v>
      </c>
      <c r="K183" s="18" t="s">
        <v>282</v>
      </c>
      <c r="L183" s="18">
        <v>18960</v>
      </c>
      <c r="M183" s="18">
        <f>ABS((D183*E183)-L183)</f>
        <v>816</v>
      </c>
      <c r="N183" s="10" t="str">
        <f t="shared" si="7"/>
        <v>Unique</v>
      </c>
      <c r="O183" s="10"/>
      <c r="P183" s="10"/>
    </row>
    <row r="184" spans="1:16" ht="26.5" thickBot="1" x14ac:dyDescent="0.4">
      <c r="A184" s="11">
        <v>46252.635416666664</v>
      </c>
      <c r="B184" s="8" t="s">
        <v>123</v>
      </c>
      <c r="C184" s="8" t="s">
        <v>7</v>
      </c>
      <c r="D184" s="8">
        <v>200</v>
      </c>
      <c r="E184" s="8">
        <v>89.3</v>
      </c>
      <c r="F184" s="4">
        <v>10.192497530000001</v>
      </c>
      <c r="G184" s="2" t="s">
        <v>124</v>
      </c>
      <c r="H184" s="5">
        <v>81.040000000000006</v>
      </c>
      <c r="I184" s="1" t="s">
        <v>8</v>
      </c>
      <c r="J184" s="18" t="s">
        <v>118</v>
      </c>
      <c r="N184" s="10" t="str">
        <f t="shared" si="7"/>
        <v>Unique</v>
      </c>
      <c r="O184" s="41" t="s">
        <v>246</v>
      </c>
    </row>
    <row r="185" spans="1:16" ht="26.5" thickBot="1" x14ac:dyDescent="0.4">
      <c r="A185" s="3">
        <v>46281.37777777778</v>
      </c>
      <c r="B185" s="1" t="s">
        <v>47</v>
      </c>
      <c r="C185" s="1" t="s">
        <v>7</v>
      </c>
      <c r="D185" s="4">
        <v>9</v>
      </c>
      <c r="E185" s="4">
        <v>2320</v>
      </c>
      <c r="F185" s="4">
        <v>10.21901278</v>
      </c>
      <c r="G185" s="2" t="s">
        <v>48</v>
      </c>
      <c r="H185" s="5">
        <v>2104.9</v>
      </c>
      <c r="I185" s="1" t="s">
        <v>8</v>
      </c>
      <c r="J185" s="18" t="s">
        <v>117</v>
      </c>
      <c r="K185" s="18" t="s">
        <v>296</v>
      </c>
      <c r="L185" s="18">
        <v>20070</v>
      </c>
      <c r="M185" s="18">
        <f>ABS((D185*E185)-L185)</f>
        <v>810</v>
      </c>
      <c r="N185" s="10" t="str">
        <f t="shared" si="7"/>
        <v>Unique</v>
      </c>
    </row>
    <row r="186" spans="1:16" ht="26.5" thickBot="1" x14ac:dyDescent="0.4">
      <c r="A186" s="3">
        <v>46262.463194444441</v>
      </c>
      <c r="B186" s="1" t="s">
        <v>15</v>
      </c>
      <c r="C186" s="1" t="s">
        <v>7</v>
      </c>
      <c r="D186" s="4">
        <v>10</v>
      </c>
      <c r="E186" s="4">
        <v>2648</v>
      </c>
      <c r="F186" s="4">
        <v>10.24146545</v>
      </c>
      <c r="G186" s="2" t="s">
        <v>72</v>
      </c>
      <c r="H186" s="5">
        <v>2402</v>
      </c>
      <c r="I186" s="1" t="s">
        <v>8</v>
      </c>
      <c r="J186" s="18" t="s">
        <v>117</v>
      </c>
      <c r="K186" s="18" t="s">
        <v>191</v>
      </c>
      <c r="L186" s="18">
        <v>26180</v>
      </c>
      <c r="M186" s="18">
        <f>ABS((D186*E186)-L186)</f>
        <v>300</v>
      </c>
      <c r="N186" s="10" t="str">
        <f t="shared" si="7"/>
        <v>Unique</v>
      </c>
    </row>
    <row r="187" spans="1:16" ht="26.5" thickBot="1" x14ac:dyDescent="0.4">
      <c r="A187" s="11">
        <v>46252.6875</v>
      </c>
      <c r="B187" s="8" t="s">
        <v>9</v>
      </c>
      <c r="C187" s="8" t="s">
        <v>7</v>
      </c>
      <c r="D187" s="8">
        <v>50</v>
      </c>
      <c r="E187" s="8">
        <v>305</v>
      </c>
      <c r="F187" s="4">
        <v>10.24760528</v>
      </c>
      <c r="G187" s="2" t="s">
        <v>95</v>
      </c>
      <c r="H187" s="5">
        <v>276.64999999999998</v>
      </c>
      <c r="I187" s="1" t="s">
        <v>8</v>
      </c>
      <c r="J187" s="36" t="s">
        <v>118</v>
      </c>
      <c r="N187" s="10" t="str">
        <f t="shared" si="7"/>
        <v>Unique</v>
      </c>
    </row>
    <row r="188" spans="1:16" ht="26.5" thickBot="1" x14ac:dyDescent="0.4">
      <c r="A188" s="8" t="s">
        <v>62</v>
      </c>
      <c r="B188" s="8" t="s">
        <v>133</v>
      </c>
      <c r="C188" s="8" t="s">
        <v>7</v>
      </c>
      <c r="D188" s="8">
        <v>150</v>
      </c>
      <c r="E188" s="8">
        <v>123.4</v>
      </c>
      <c r="F188" s="4">
        <v>10.29674651</v>
      </c>
      <c r="G188" s="2" t="s">
        <v>134</v>
      </c>
      <c r="H188" s="5">
        <v>111.88</v>
      </c>
      <c r="I188" s="1" t="s">
        <v>8</v>
      </c>
      <c r="J188" s="36" t="s">
        <v>117</v>
      </c>
      <c r="N188" s="10" t="str">
        <f t="shared" si="7"/>
        <v>Unique</v>
      </c>
    </row>
    <row r="189" spans="1:16" ht="26.5" thickBot="1" x14ac:dyDescent="0.4">
      <c r="A189" s="11">
        <v>46252.645138888889</v>
      </c>
      <c r="B189" s="8" t="s">
        <v>35</v>
      </c>
      <c r="C189" s="8" t="s">
        <v>7</v>
      </c>
      <c r="D189" s="8">
        <v>200</v>
      </c>
      <c r="E189" s="8">
        <v>232</v>
      </c>
      <c r="F189" s="4">
        <v>10.37632618</v>
      </c>
      <c r="G189" s="2" t="s">
        <v>42</v>
      </c>
      <c r="H189" s="5">
        <v>210.19</v>
      </c>
      <c r="I189" s="1" t="s">
        <v>8</v>
      </c>
      <c r="J189" s="17" t="s">
        <v>117</v>
      </c>
      <c r="N189" s="10" t="str">
        <f t="shared" si="7"/>
        <v>Unique</v>
      </c>
    </row>
    <row r="190" spans="1:16" ht="26.5" thickBot="1" x14ac:dyDescent="0.4">
      <c r="A190" s="3">
        <v>46266.375</v>
      </c>
      <c r="B190" s="1" t="s">
        <v>87</v>
      </c>
      <c r="C190" s="1" t="s">
        <v>7</v>
      </c>
      <c r="D190" s="4">
        <v>10</v>
      </c>
      <c r="E190" s="4">
        <v>1296</v>
      </c>
      <c r="F190" s="4">
        <v>10.391822830000001</v>
      </c>
      <c r="G190" s="2" t="s">
        <v>88</v>
      </c>
      <c r="H190" s="5">
        <v>1174</v>
      </c>
      <c r="I190" s="1" t="s">
        <v>8</v>
      </c>
      <c r="J190" s="18" t="s">
        <v>117</v>
      </c>
      <c r="K190" s="18" t="s">
        <v>219</v>
      </c>
      <c r="L190" s="18">
        <v>12600</v>
      </c>
      <c r="M190" s="18">
        <f>ABS((D190*E190)-L190)</f>
        <v>360</v>
      </c>
      <c r="N190" s="10" t="str">
        <f t="shared" si="7"/>
        <v>Unique</v>
      </c>
    </row>
    <row r="191" spans="1:16" ht="26.5" thickBot="1" x14ac:dyDescent="0.4">
      <c r="A191" s="3">
        <v>46266.375694444447</v>
      </c>
      <c r="B191" s="1" t="s">
        <v>66</v>
      </c>
      <c r="C191" s="1" t="s">
        <v>7</v>
      </c>
      <c r="D191" s="4">
        <v>5</v>
      </c>
      <c r="E191" s="4">
        <v>1248</v>
      </c>
      <c r="F191" s="4">
        <v>10.432705070000001</v>
      </c>
      <c r="G191" s="2" t="s">
        <v>67</v>
      </c>
      <c r="H191" s="5">
        <v>1130.0999999999999</v>
      </c>
      <c r="I191" s="1" t="s">
        <v>8</v>
      </c>
      <c r="J191" s="18" t="s">
        <v>117</v>
      </c>
      <c r="K191" s="18" t="s">
        <v>214</v>
      </c>
      <c r="L191" s="18">
        <v>5940</v>
      </c>
      <c r="M191" s="18">
        <f>ABS((D191*E191)-L191)</f>
        <v>300</v>
      </c>
      <c r="N191" s="10" t="str">
        <f t="shared" si="7"/>
        <v>Unique</v>
      </c>
    </row>
    <row r="192" spans="1:16" ht="26.5" thickBot="1" x14ac:dyDescent="0.4">
      <c r="A192" s="11">
        <v>46252.688194444447</v>
      </c>
      <c r="B192" s="8" t="s">
        <v>14</v>
      </c>
      <c r="C192" s="8" t="s">
        <v>7</v>
      </c>
      <c r="D192" s="8">
        <v>50</v>
      </c>
      <c r="E192" s="8">
        <v>365</v>
      </c>
      <c r="F192" s="4">
        <v>10.455439549999999</v>
      </c>
      <c r="G192" s="2" t="s">
        <v>45</v>
      </c>
      <c r="H192" s="5">
        <v>330.45</v>
      </c>
      <c r="I192" s="1" t="s">
        <v>8</v>
      </c>
      <c r="J192" s="36" t="s">
        <v>118</v>
      </c>
      <c r="N192" s="10" t="str">
        <f t="shared" si="7"/>
        <v>Unique</v>
      </c>
    </row>
    <row r="193" spans="1:16" ht="26.5" thickBot="1" x14ac:dyDescent="0.4">
      <c r="A193" s="32">
        <v>46258.443749999999</v>
      </c>
      <c r="B193" s="33" t="s">
        <v>6</v>
      </c>
      <c r="C193" s="33" t="s">
        <v>7</v>
      </c>
      <c r="D193" s="34">
        <v>50</v>
      </c>
      <c r="E193" s="34">
        <v>294</v>
      </c>
      <c r="F193" s="4">
        <v>10.52631579</v>
      </c>
      <c r="G193" s="2" t="s">
        <v>130</v>
      </c>
      <c r="H193" s="5">
        <v>266</v>
      </c>
      <c r="I193" s="1" t="s">
        <v>8</v>
      </c>
      <c r="J193" s="29" t="s">
        <v>118</v>
      </c>
      <c r="K193" s="29" t="s">
        <v>156</v>
      </c>
      <c r="L193" s="29">
        <v>14172.5</v>
      </c>
      <c r="M193" s="29">
        <f>ABS((D193*E193)-L193)</f>
        <v>527.5</v>
      </c>
      <c r="N193" s="31" t="str">
        <f t="shared" si="7"/>
        <v>Unique</v>
      </c>
      <c r="O193" s="31"/>
      <c r="P193" s="31"/>
    </row>
    <row r="194" spans="1:16" s="31" customFormat="1" ht="26.5" thickBot="1" x14ac:dyDescent="0.4">
      <c r="A194" s="43">
        <v>46253.4</v>
      </c>
      <c r="B194" s="44" t="s">
        <v>6</v>
      </c>
      <c r="C194" s="44" t="s">
        <v>7</v>
      </c>
      <c r="D194" s="44">
        <v>30</v>
      </c>
      <c r="E194" s="44">
        <v>294</v>
      </c>
      <c r="F194" s="4">
        <v>10.52631579</v>
      </c>
      <c r="G194" s="2" t="s">
        <v>130</v>
      </c>
      <c r="H194" s="5">
        <v>266</v>
      </c>
      <c r="I194" s="1" t="s">
        <v>8</v>
      </c>
      <c r="J194" s="51" t="s">
        <v>118</v>
      </c>
      <c r="K194" s="29" t="s">
        <v>143</v>
      </c>
      <c r="L194" s="29"/>
      <c r="M194" s="29"/>
      <c r="N194" s="31" t="str">
        <f t="shared" si="7"/>
        <v>Unique</v>
      </c>
    </row>
    <row r="195" spans="1:16" ht="39" thickBot="1" x14ac:dyDescent="0.4">
      <c r="A195" s="3">
        <v>46276.388194444444</v>
      </c>
      <c r="B195" s="1" t="s">
        <v>80</v>
      </c>
      <c r="C195" s="1" t="s">
        <v>7</v>
      </c>
      <c r="D195" s="4">
        <v>10</v>
      </c>
      <c r="E195" s="4">
        <v>1510</v>
      </c>
      <c r="F195" s="4">
        <v>10.622710619999999</v>
      </c>
      <c r="G195" s="2" t="s">
        <v>81</v>
      </c>
      <c r="H195" s="5">
        <v>1365</v>
      </c>
      <c r="I195" s="1" t="s">
        <v>8</v>
      </c>
      <c r="J195" s="18" t="s">
        <v>117</v>
      </c>
      <c r="K195" s="18" t="s">
        <v>277</v>
      </c>
      <c r="L195" s="18">
        <v>14650</v>
      </c>
      <c r="M195" s="18">
        <f>ABS((D195*E195)-L195)</f>
        <v>450</v>
      </c>
      <c r="N195" s="10" t="str">
        <f t="shared" si="7"/>
        <v>Unique</v>
      </c>
    </row>
    <row r="196" spans="1:16" ht="39" thickBot="1" x14ac:dyDescent="0.4">
      <c r="A196" s="3">
        <v>46262.375</v>
      </c>
      <c r="B196" s="1" t="s">
        <v>59</v>
      </c>
      <c r="C196" s="1" t="s">
        <v>7</v>
      </c>
      <c r="D196" s="4">
        <v>4</v>
      </c>
      <c r="E196" s="4">
        <v>1146</v>
      </c>
      <c r="F196" s="4">
        <v>10.73533675</v>
      </c>
      <c r="G196" s="2" t="s">
        <v>60</v>
      </c>
      <c r="H196" s="5">
        <v>1034.9000000000001</v>
      </c>
      <c r="I196" s="1" t="s">
        <v>8</v>
      </c>
      <c r="J196" s="18" t="s">
        <v>117</v>
      </c>
      <c r="K196" s="18" t="s">
        <v>190</v>
      </c>
      <c r="L196" s="18">
        <v>4264</v>
      </c>
      <c r="M196" s="18">
        <f>ABS((D196*E196)-L196)</f>
        <v>320</v>
      </c>
      <c r="N196" s="10" t="str">
        <f t="shared" si="7"/>
        <v>Unique</v>
      </c>
    </row>
    <row r="197" spans="1:16" ht="39" thickBot="1" x14ac:dyDescent="0.4">
      <c r="A197" s="3">
        <v>46265.486111111109</v>
      </c>
      <c r="B197" s="1" t="s">
        <v>59</v>
      </c>
      <c r="C197" s="1" t="s">
        <v>7</v>
      </c>
      <c r="D197" s="4">
        <v>5</v>
      </c>
      <c r="E197" s="4">
        <v>1146</v>
      </c>
      <c r="F197" s="4">
        <v>10.73533675</v>
      </c>
      <c r="G197" s="2" t="s">
        <v>60</v>
      </c>
      <c r="H197" s="5">
        <v>1034.9000000000001</v>
      </c>
      <c r="I197" s="1" t="s">
        <v>8</v>
      </c>
      <c r="J197" s="18" t="s">
        <v>118</v>
      </c>
      <c r="K197" s="18" t="s">
        <v>197</v>
      </c>
      <c r="L197" s="18">
        <v>5282</v>
      </c>
      <c r="M197" s="18">
        <f>ABS((D197*E197)-L197)</f>
        <v>448</v>
      </c>
      <c r="N197" t="str">
        <f t="shared" si="7"/>
        <v>Unique</v>
      </c>
    </row>
    <row r="198" spans="1:16" ht="26.5" thickBot="1" x14ac:dyDescent="0.4">
      <c r="A198" s="3">
        <v>46262.375</v>
      </c>
      <c r="B198" s="1" t="s">
        <v>15</v>
      </c>
      <c r="C198" s="1" t="s">
        <v>7</v>
      </c>
      <c r="D198" s="4">
        <v>10</v>
      </c>
      <c r="E198" s="4">
        <v>2660</v>
      </c>
      <c r="F198" s="4">
        <v>10.74104913</v>
      </c>
      <c r="G198" s="2" t="s">
        <v>72</v>
      </c>
      <c r="H198" s="5">
        <v>2402</v>
      </c>
      <c r="I198" s="1" t="s">
        <v>8</v>
      </c>
      <c r="J198" s="18" t="s">
        <v>117</v>
      </c>
      <c r="K198" s="18" t="s">
        <v>194</v>
      </c>
      <c r="L198" s="18">
        <v>26300</v>
      </c>
      <c r="M198" s="18">
        <f>ABS((D198*E198)-L198)</f>
        <v>300</v>
      </c>
      <c r="N198" s="10" t="str">
        <f t="shared" si="7"/>
        <v>Unique</v>
      </c>
    </row>
    <row r="199" spans="1:16" s="31" customFormat="1" ht="39" thickBot="1" x14ac:dyDescent="0.4">
      <c r="A199" s="3">
        <v>46274.375</v>
      </c>
      <c r="B199" s="1" t="s">
        <v>103</v>
      </c>
      <c r="C199" s="1" t="s">
        <v>7</v>
      </c>
      <c r="D199" s="4">
        <v>7</v>
      </c>
      <c r="E199" s="4">
        <v>2494</v>
      </c>
      <c r="F199" s="4">
        <v>10.746003549999999</v>
      </c>
      <c r="G199" s="2" t="s">
        <v>104</v>
      </c>
      <c r="H199" s="5">
        <v>2252</v>
      </c>
      <c r="I199" s="1" t="s">
        <v>8</v>
      </c>
      <c r="J199" s="18" t="s">
        <v>117</v>
      </c>
      <c r="K199" s="18" t="s">
        <v>263</v>
      </c>
      <c r="L199" s="18">
        <v>16807</v>
      </c>
      <c r="M199" s="18">
        <f>ABS((D199*E199)-L199)</f>
        <v>651</v>
      </c>
      <c r="N199" s="10" t="str">
        <f t="shared" ref="N199:N262" si="11">IF(COUNTIFS( $B$2:$B$734, B199, $C$2:$C$734, C199, $D$2:$D$734, D199, $E$2:$E$734, E199) &gt; 1, "Duplicate", "Unique")</f>
        <v>Unique</v>
      </c>
      <c r="O199" s="10"/>
      <c r="P199" s="10"/>
    </row>
    <row r="200" spans="1:16" ht="39" thickBot="1" x14ac:dyDescent="0.4">
      <c r="A200" s="9" t="s">
        <v>62</v>
      </c>
      <c r="B200" s="9" t="s">
        <v>119</v>
      </c>
      <c r="C200" s="9" t="s">
        <v>7</v>
      </c>
      <c r="D200" s="9">
        <v>7</v>
      </c>
      <c r="E200" s="12">
        <v>1170</v>
      </c>
      <c r="F200" s="4">
        <v>10.90047393</v>
      </c>
      <c r="G200" s="2" t="s">
        <v>120</v>
      </c>
      <c r="H200" s="5">
        <v>1055</v>
      </c>
      <c r="I200" s="1" t="s">
        <v>8</v>
      </c>
      <c r="J200" s="36"/>
      <c r="N200" s="10" t="str">
        <f t="shared" si="11"/>
        <v>Unique</v>
      </c>
    </row>
    <row r="201" spans="1:16" ht="26.5" thickBot="1" x14ac:dyDescent="0.4">
      <c r="A201" s="3">
        <v>46260.425694444442</v>
      </c>
      <c r="B201" s="1" t="s">
        <v>13</v>
      </c>
      <c r="C201" s="1" t="s">
        <v>7</v>
      </c>
      <c r="D201" s="4">
        <v>20</v>
      </c>
      <c r="E201" s="4">
        <v>1924</v>
      </c>
      <c r="F201" s="4">
        <v>10.95732411</v>
      </c>
      <c r="G201" s="2" t="s">
        <v>91</v>
      </c>
      <c r="H201" s="5">
        <v>1734</v>
      </c>
      <c r="I201" s="1" t="s">
        <v>8</v>
      </c>
      <c r="J201" s="18" t="s">
        <v>118</v>
      </c>
      <c r="K201" s="18" t="s">
        <v>169</v>
      </c>
      <c r="L201" s="18">
        <v>37480</v>
      </c>
      <c r="M201" s="18">
        <f>ABS((D201*E201)-L201)</f>
        <v>1000</v>
      </c>
      <c r="N201" t="str">
        <f t="shared" si="11"/>
        <v>Unique</v>
      </c>
      <c r="P201" s="31"/>
    </row>
    <row r="202" spans="1:16" ht="26.5" thickBot="1" x14ac:dyDescent="0.4">
      <c r="A202" s="3">
        <v>46335.421527777777</v>
      </c>
      <c r="B202" s="1" t="s">
        <v>16</v>
      </c>
      <c r="C202" s="1" t="s">
        <v>7</v>
      </c>
      <c r="D202" s="4">
        <v>10</v>
      </c>
      <c r="E202" s="4">
        <v>884.9</v>
      </c>
      <c r="F202" s="4">
        <v>11.16834171</v>
      </c>
      <c r="G202" s="2" t="s">
        <v>61</v>
      </c>
      <c r="H202" s="5">
        <v>796</v>
      </c>
      <c r="I202" s="1" t="s">
        <v>8</v>
      </c>
      <c r="J202" s="18" t="s">
        <v>118</v>
      </c>
      <c r="K202" s="18" t="s">
        <v>274</v>
      </c>
      <c r="L202" s="18">
        <v>8049</v>
      </c>
      <c r="M202" s="18">
        <f>ABS((D202*E202)-L202)</f>
        <v>800</v>
      </c>
      <c r="N202" s="10" t="str">
        <f t="shared" si="11"/>
        <v>Unique</v>
      </c>
      <c r="O202" s="41" t="s">
        <v>246</v>
      </c>
    </row>
    <row r="203" spans="1:16" ht="39" thickBot="1" x14ac:dyDescent="0.4">
      <c r="A203" s="3">
        <v>46261.375694444447</v>
      </c>
      <c r="B203" s="1" t="s">
        <v>53</v>
      </c>
      <c r="C203" s="1" t="s">
        <v>7</v>
      </c>
      <c r="D203" s="4">
        <v>2</v>
      </c>
      <c r="E203" s="4">
        <v>2690</v>
      </c>
      <c r="F203" s="4">
        <v>11.179995870000001</v>
      </c>
      <c r="G203" s="2" t="s">
        <v>54</v>
      </c>
      <c r="H203" s="5">
        <v>2419.5</v>
      </c>
      <c r="I203" s="1" t="s">
        <v>8</v>
      </c>
      <c r="J203" s="18" t="s">
        <v>118</v>
      </c>
      <c r="K203" s="18" t="s">
        <v>177</v>
      </c>
      <c r="L203" s="18">
        <v>5120</v>
      </c>
      <c r="M203" s="18">
        <f>ABS((D203*E203)-L203)</f>
        <v>260</v>
      </c>
      <c r="N203" s="10" t="str">
        <f t="shared" si="11"/>
        <v>Unique</v>
      </c>
    </row>
    <row r="204" spans="1:16" ht="26.5" thickBot="1" x14ac:dyDescent="0.4">
      <c r="A204" s="3">
        <v>46254.642361111109</v>
      </c>
      <c r="B204" s="1" t="s">
        <v>15</v>
      </c>
      <c r="C204" s="1" t="s">
        <v>7</v>
      </c>
      <c r="D204" s="4">
        <v>10</v>
      </c>
      <c r="E204" s="4">
        <v>2672</v>
      </c>
      <c r="F204" s="4">
        <v>11.240632809999999</v>
      </c>
      <c r="G204" s="2" t="s">
        <v>72</v>
      </c>
      <c r="H204" s="5">
        <v>2402</v>
      </c>
      <c r="I204" s="1" t="s">
        <v>8</v>
      </c>
      <c r="J204" s="17" t="s">
        <v>117</v>
      </c>
      <c r="K204" s="17" t="s">
        <v>147</v>
      </c>
      <c r="L204" s="17"/>
      <c r="M204" s="17"/>
      <c r="N204" s="10" t="str">
        <f t="shared" si="11"/>
        <v>Unique</v>
      </c>
    </row>
    <row r="205" spans="1:16" ht="39" thickBot="1" x14ac:dyDescent="0.4">
      <c r="A205" s="11">
        <v>46252.635416666664</v>
      </c>
      <c r="B205" s="8" t="s">
        <v>126</v>
      </c>
      <c r="C205" s="44" t="s">
        <v>7</v>
      </c>
      <c r="D205" s="8">
        <v>6</v>
      </c>
      <c r="E205" s="8">
        <v>548</v>
      </c>
      <c r="F205" s="4">
        <v>11.33685494</v>
      </c>
      <c r="G205" s="2" t="s">
        <v>127</v>
      </c>
      <c r="H205" s="5">
        <v>492.2</v>
      </c>
      <c r="I205" s="1" t="s">
        <v>8</v>
      </c>
      <c r="J205" s="36"/>
      <c r="N205" s="10" t="str">
        <f t="shared" si="11"/>
        <v>Unique</v>
      </c>
      <c r="O205" s="31"/>
    </row>
    <row r="206" spans="1:16" ht="26.5" thickBot="1" x14ac:dyDescent="0.4">
      <c r="A206" s="8" t="s">
        <v>62</v>
      </c>
      <c r="B206" s="8" t="s">
        <v>74</v>
      </c>
      <c r="C206" s="8" t="s">
        <v>7</v>
      </c>
      <c r="D206" s="8">
        <v>5</v>
      </c>
      <c r="E206" s="8">
        <v>3633</v>
      </c>
      <c r="F206" s="4">
        <v>11.71586716</v>
      </c>
      <c r="G206" s="2" t="s">
        <v>75</v>
      </c>
      <c r="H206" s="5">
        <v>3252</v>
      </c>
      <c r="I206" s="1" t="s">
        <v>8</v>
      </c>
      <c r="J206" s="36"/>
      <c r="N206" s="10" t="str">
        <f t="shared" si="11"/>
        <v>Unique</v>
      </c>
    </row>
    <row r="207" spans="1:16" ht="26.5" thickBot="1" x14ac:dyDescent="0.4">
      <c r="A207" s="8" t="s">
        <v>62</v>
      </c>
      <c r="B207" s="8" t="s">
        <v>121</v>
      </c>
      <c r="C207" s="8" t="s">
        <v>7</v>
      </c>
      <c r="D207" s="8">
        <v>10</v>
      </c>
      <c r="E207" s="8">
        <v>796</v>
      </c>
      <c r="F207" s="4">
        <v>11.79775281</v>
      </c>
      <c r="G207" s="2" t="s">
        <v>122</v>
      </c>
      <c r="H207" s="5">
        <v>712</v>
      </c>
      <c r="I207" s="1" t="s">
        <v>8</v>
      </c>
      <c r="J207" s="36" t="s">
        <v>117</v>
      </c>
      <c r="N207" s="10" t="str">
        <f t="shared" si="11"/>
        <v>Unique</v>
      </c>
    </row>
    <row r="208" spans="1:16" ht="26.5" thickBot="1" x14ac:dyDescent="0.4">
      <c r="A208" s="11">
        <v>46252.635416666664</v>
      </c>
      <c r="B208" s="8" t="s">
        <v>35</v>
      </c>
      <c r="C208" s="8" t="s">
        <v>7</v>
      </c>
      <c r="D208" s="8">
        <v>200</v>
      </c>
      <c r="E208" s="8">
        <v>235</v>
      </c>
      <c r="F208" s="4">
        <v>11.80360626</v>
      </c>
      <c r="G208" s="2" t="s">
        <v>42</v>
      </c>
      <c r="H208" s="5">
        <v>210.19</v>
      </c>
      <c r="I208" s="1" t="s">
        <v>8</v>
      </c>
      <c r="J208" s="40" t="s">
        <v>55</v>
      </c>
      <c r="N208" s="10" t="str">
        <f t="shared" si="11"/>
        <v>Unique</v>
      </c>
    </row>
    <row r="209" spans="1:16" ht="26.5" thickBot="1" x14ac:dyDescent="0.4">
      <c r="A209" s="3">
        <v>46266.375</v>
      </c>
      <c r="B209" s="1" t="s">
        <v>89</v>
      </c>
      <c r="C209" s="1" t="s">
        <v>7</v>
      </c>
      <c r="D209" s="4">
        <v>1</v>
      </c>
      <c r="E209" s="4">
        <v>14852</v>
      </c>
      <c r="F209" s="4">
        <v>11.86261957</v>
      </c>
      <c r="G209" s="2" t="s">
        <v>90</v>
      </c>
      <c r="H209" s="5">
        <v>13277</v>
      </c>
      <c r="I209" s="1" t="s">
        <v>8</v>
      </c>
      <c r="J209" s="18" t="s">
        <v>118</v>
      </c>
      <c r="K209" s="18" t="s">
        <v>222</v>
      </c>
      <c r="L209" s="18">
        <v>14552</v>
      </c>
      <c r="M209" s="18">
        <f>ABS((D209*E209)-L209)</f>
        <v>300</v>
      </c>
      <c r="N209" s="10" t="str">
        <f t="shared" si="11"/>
        <v>Unique</v>
      </c>
      <c r="O209" s="41" t="s">
        <v>246</v>
      </c>
      <c r="P209" s="31"/>
    </row>
    <row r="210" spans="1:16" ht="39" thickBot="1" x14ac:dyDescent="0.4">
      <c r="A210" s="8" t="s">
        <v>62</v>
      </c>
      <c r="B210" s="8" t="s">
        <v>51</v>
      </c>
      <c r="C210" s="8" t="s">
        <v>7</v>
      </c>
      <c r="D210" s="8">
        <v>10</v>
      </c>
      <c r="E210" s="13">
        <v>1024</v>
      </c>
      <c r="F210" s="4">
        <v>11.979878619999999</v>
      </c>
      <c r="G210" s="2" t="s">
        <v>52</v>
      </c>
      <c r="H210" s="5">
        <v>914.45</v>
      </c>
      <c r="I210" s="1" t="s">
        <v>8</v>
      </c>
      <c r="J210" s="36" t="s">
        <v>118</v>
      </c>
      <c r="N210" s="10" t="str">
        <f t="shared" si="11"/>
        <v>Unique</v>
      </c>
    </row>
    <row r="211" spans="1:16" ht="26.5" thickBot="1" x14ac:dyDescent="0.4">
      <c r="A211" s="8" t="s">
        <v>62</v>
      </c>
      <c r="B211" s="8" t="s">
        <v>123</v>
      </c>
      <c r="C211" s="8" t="s">
        <v>7</v>
      </c>
      <c r="D211" s="8">
        <v>200</v>
      </c>
      <c r="E211" s="8">
        <v>90.75</v>
      </c>
      <c r="F211" s="4">
        <v>11.981737409999999</v>
      </c>
      <c r="G211" s="2" t="s">
        <v>124</v>
      </c>
      <c r="H211" s="5">
        <v>81.040000000000006</v>
      </c>
      <c r="I211" s="1" t="s">
        <v>8</v>
      </c>
      <c r="J211" s="36" t="s">
        <v>55</v>
      </c>
      <c r="N211" s="10" t="str">
        <f t="shared" si="11"/>
        <v>Unique</v>
      </c>
    </row>
    <row r="212" spans="1:16" ht="26.5" thickBot="1" x14ac:dyDescent="0.4">
      <c r="A212" s="11">
        <v>46253.375</v>
      </c>
      <c r="B212" s="8" t="s">
        <v>31</v>
      </c>
      <c r="C212" s="8" t="s">
        <v>7</v>
      </c>
      <c r="D212" s="8">
        <v>5</v>
      </c>
      <c r="E212" s="8">
        <v>682</v>
      </c>
      <c r="F212" s="4">
        <v>12.005255379999999</v>
      </c>
      <c r="G212" s="2" t="s">
        <v>94</v>
      </c>
      <c r="H212" s="5">
        <v>608.9</v>
      </c>
      <c r="I212" s="1" t="s">
        <v>8</v>
      </c>
      <c r="J212" s="18" t="s">
        <v>118</v>
      </c>
      <c r="K212" s="18" t="s">
        <v>144</v>
      </c>
      <c r="N212" s="10" t="str">
        <f t="shared" si="11"/>
        <v>Unique</v>
      </c>
    </row>
    <row r="213" spans="1:16" ht="39" thickBot="1" x14ac:dyDescent="0.4">
      <c r="A213" s="8" t="s">
        <v>62</v>
      </c>
      <c r="B213" s="8" t="s">
        <v>53</v>
      </c>
      <c r="C213" s="8" t="s">
        <v>7</v>
      </c>
      <c r="D213" s="8">
        <v>3</v>
      </c>
      <c r="E213" s="12">
        <v>2710</v>
      </c>
      <c r="F213" s="4">
        <v>12.00661294</v>
      </c>
      <c r="G213" s="2" t="s">
        <v>54</v>
      </c>
      <c r="H213" s="5">
        <v>2419.5</v>
      </c>
      <c r="I213" s="1" t="s">
        <v>8</v>
      </c>
      <c r="J213" s="36" t="s">
        <v>118</v>
      </c>
      <c r="N213" s="10" t="str">
        <f t="shared" si="11"/>
        <v>Unique</v>
      </c>
    </row>
    <row r="214" spans="1:16" ht="39" thickBot="1" x14ac:dyDescent="0.4">
      <c r="A214" s="8" t="s">
        <v>62</v>
      </c>
      <c r="B214" s="8" t="s">
        <v>21</v>
      </c>
      <c r="C214" s="8" t="s">
        <v>7</v>
      </c>
      <c r="D214" s="8">
        <v>11</v>
      </c>
      <c r="E214" s="12">
        <v>749</v>
      </c>
      <c r="F214" s="4">
        <v>12.20973783</v>
      </c>
      <c r="G214" s="2" t="s">
        <v>76</v>
      </c>
      <c r="H214" s="5">
        <v>667.5</v>
      </c>
      <c r="I214" s="1" t="s">
        <v>8</v>
      </c>
      <c r="J214" s="36" t="s">
        <v>196</v>
      </c>
      <c r="N214" s="10" t="str">
        <f t="shared" si="11"/>
        <v>Unique</v>
      </c>
    </row>
    <row r="215" spans="1:16" ht="39" thickBot="1" x14ac:dyDescent="0.4">
      <c r="A215" s="11">
        <v>46252.6875</v>
      </c>
      <c r="B215" s="8" t="s">
        <v>24</v>
      </c>
      <c r="C215" s="8" t="s">
        <v>7</v>
      </c>
      <c r="D215" s="8">
        <v>40</v>
      </c>
      <c r="E215" s="8">
        <v>458</v>
      </c>
      <c r="F215" s="4">
        <v>12.21364694</v>
      </c>
      <c r="G215" s="2" t="s">
        <v>56</v>
      </c>
      <c r="H215" s="5">
        <v>408.15</v>
      </c>
      <c r="I215" s="1" t="s">
        <v>8</v>
      </c>
      <c r="J215" s="36" t="s">
        <v>117</v>
      </c>
      <c r="N215" s="10" t="str">
        <f t="shared" si="11"/>
        <v>Unique</v>
      </c>
    </row>
    <row r="216" spans="1:16" ht="26.5" thickBot="1" x14ac:dyDescent="0.4">
      <c r="A216" s="11">
        <v>46252.6875</v>
      </c>
      <c r="B216" s="8" t="s">
        <v>15</v>
      </c>
      <c r="C216" s="8" t="s">
        <v>7</v>
      </c>
      <c r="D216" s="8">
        <v>10</v>
      </c>
      <c r="E216" s="8">
        <v>2696</v>
      </c>
      <c r="F216" s="4">
        <v>12.239800170000001</v>
      </c>
      <c r="G216" s="2" t="s">
        <v>72</v>
      </c>
      <c r="H216" s="5">
        <v>2402</v>
      </c>
      <c r="I216" s="1" t="s">
        <v>8</v>
      </c>
      <c r="J216" s="36" t="s">
        <v>154</v>
      </c>
      <c r="N216" s="10" t="str">
        <f t="shared" si="11"/>
        <v>Unique</v>
      </c>
    </row>
    <row r="217" spans="1:16" ht="26.5" thickBot="1" x14ac:dyDescent="0.4">
      <c r="A217" s="3">
        <v>46259.388194444444</v>
      </c>
      <c r="B217" s="1" t="s">
        <v>13</v>
      </c>
      <c r="C217" s="1" t="s">
        <v>7</v>
      </c>
      <c r="D217" s="4">
        <v>20</v>
      </c>
      <c r="E217" s="4">
        <v>1948</v>
      </c>
      <c r="F217" s="4">
        <v>12.34140715</v>
      </c>
      <c r="G217" s="2" t="s">
        <v>91</v>
      </c>
      <c r="H217" s="5">
        <v>1734</v>
      </c>
      <c r="I217" s="1" t="s">
        <v>8</v>
      </c>
      <c r="J217" s="18" t="s">
        <v>117</v>
      </c>
      <c r="K217" s="18" t="s">
        <v>162</v>
      </c>
      <c r="L217" s="18">
        <v>38020</v>
      </c>
      <c r="M217" s="18">
        <f>ABS((D217*E217)-L217)</f>
        <v>940</v>
      </c>
      <c r="N217" s="10" t="str">
        <f t="shared" si="11"/>
        <v>Unique</v>
      </c>
    </row>
    <row r="218" spans="1:16" s="31" customFormat="1" ht="39" thickBot="1" x14ac:dyDescent="0.4">
      <c r="A218" s="8" t="s">
        <v>62</v>
      </c>
      <c r="B218" s="8" t="s">
        <v>135</v>
      </c>
      <c r="C218" s="8" t="s">
        <v>7</v>
      </c>
      <c r="D218" s="8">
        <v>5</v>
      </c>
      <c r="E218" s="8">
        <v>2190</v>
      </c>
      <c r="F218" s="4">
        <v>12.411456729999999</v>
      </c>
      <c r="G218" s="2" t="s">
        <v>136</v>
      </c>
      <c r="H218" s="5">
        <v>1948.2</v>
      </c>
      <c r="I218" s="1" t="s">
        <v>8</v>
      </c>
      <c r="J218" s="36" t="s">
        <v>118</v>
      </c>
      <c r="K218" s="18"/>
      <c r="L218" s="18"/>
      <c r="M218" s="18"/>
      <c r="N218" s="10" t="str">
        <f t="shared" si="11"/>
        <v>Unique</v>
      </c>
      <c r="P218" s="10"/>
    </row>
    <row r="219" spans="1:16" ht="26.5" thickBot="1" x14ac:dyDescent="0.4">
      <c r="A219" s="3">
        <v>46265.375694444447</v>
      </c>
      <c r="B219" s="1" t="s">
        <v>87</v>
      </c>
      <c r="C219" s="1" t="s">
        <v>7</v>
      </c>
      <c r="D219" s="4">
        <v>10</v>
      </c>
      <c r="E219" s="4">
        <v>1320</v>
      </c>
      <c r="F219" s="4">
        <v>12.436115839999999</v>
      </c>
      <c r="G219" s="2" t="s">
        <v>88</v>
      </c>
      <c r="H219" s="5">
        <v>1174</v>
      </c>
      <c r="I219" s="1" t="s">
        <v>8</v>
      </c>
      <c r="J219" s="18" t="s">
        <v>117</v>
      </c>
      <c r="K219" s="18" t="s">
        <v>203</v>
      </c>
      <c r="L219" s="18">
        <v>12800</v>
      </c>
      <c r="M219" s="18">
        <f>ABS((D219*E219)-L219)</f>
        <v>400</v>
      </c>
      <c r="N219" t="str">
        <f t="shared" si="11"/>
        <v>Unique</v>
      </c>
    </row>
    <row r="220" spans="1:16" ht="26.5" thickBot="1" x14ac:dyDescent="0.4">
      <c r="A220" s="3">
        <v>46265.460416666669</v>
      </c>
      <c r="B220" s="1" t="s">
        <v>18</v>
      </c>
      <c r="C220" s="1" t="s">
        <v>7</v>
      </c>
      <c r="D220" s="4">
        <v>5</v>
      </c>
      <c r="E220" s="4">
        <v>1892</v>
      </c>
      <c r="F220" s="4">
        <v>12.48513674</v>
      </c>
      <c r="G220" s="2" t="s">
        <v>102</v>
      </c>
      <c r="H220" s="5">
        <v>1682</v>
      </c>
      <c r="I220" s="1" t="s">
        <v>8</v>
      </c>
      <c r="J220" s="18" t="s">
        <v>118</v>
      </c>
      <c r="K220" s="18" t="s">
        <v>198</v>
      </c>
      <c r="L220" s="18">
        <v>8810</v>
      </c>
      <c r="M220" s="18">
        <f>ABS((D220*E220)-L220)</f>
        <v>650</v>
      </c>
      <c r="N220" t="str">
        <f t="shared" si="11"/>
        <v>Unique</v>
      </c>
      <c r="P220" s="31"/>
    </row>
    <row r="221" spans="1:16" ht="26.5" thickBot="1" x14ac:dyDescent="0.4">
      <c r="A221" s="8" t="s">
        <v>62</v>
      </c>
      <c r="B221" s="8" t="s">
        <v>14</v>
      </c>
      <c r="C221" s="8" t="s">
        <v>7</v>
      </c>
      <c r="D221" s="8">
        <v>17</v>
      </c>
      <c r="E221" s="8">
        <v>373</v>
      </c>
      <c r="F221" s="4">
        <v>12.87638069</v>
      </c>
      <c r="G221" s="2" t="s">
        <v>45</v>
      </c>
      <c r="H221" s="5">
        <v>330.45</v>
      </c>
      <c r="I221" s="1" t="s">
        <v>8</v>
      </c>
      <c r="J221" s="36"/>
      <c r="N221" s="10" t="str">
        <f t="shared" si="11"/>
        <v>Unique</v>
      </c>
    </row>
    <row r="222" spans="1:16" ht="26.5" thickBot="1" x14ac:dyDescent="0.4">
      <c r="A222" s="8" t="s">
        <v>62</v>
      </c>
      <c r="B222" s="8" t="s">
        <v>14</v>
      </c>
      <c r="C222" s="8" t="s">
        <v>7</v>
      </c>
      <c r="D222" s="8">
        <v>50</v>
      </c>
      <c r="E222" s="12">
        <v>373</v>
      </c>
      <c r="F222" s="4">
        <v>12.87638069</v>
      </c>
      <c r="G222" s="2" t="s">
        <v>45</v>
      </c>
      <c r="H222" s="5">
        <v>330.45</v>
      </c>
      <c r="I222" s="1" t="s">
        <v>8</v>
      </c>
      <c r="J222" s="36" t="s">
        <v>118</v>
      </c>
      <c r="N222" s="10" t="str">
        <f t="shared" si="11"/>
        <v>Unique</v>
      </c>
      <c r="O222" s="31"/>
    </row>
    <row r="223" spans="1:16" ht="26.5" thickBot="1" x14ac:dyDescent="0.4">
      <c r="A223" s="8" t="s">
        <v>62</v>
      </c>
      <c r="B223" s="8" t="s">
        <v>138</v>
      </c>
      <c r="C223" s="8" t="s">
        <v>7</v>
      </c>
      <c r="D223" s="8">
        <v>50</v>
      </c>
      <c r="E223" s="12">
        <v>480</v>
      </c>
      <c r="F223" s="4">
        <v>12.94117647</v>
      </c>
      <c r="G223" s="2" t="s">
        <v>139</v>
      </c>
      <c r="H223" s="5">
        <v>425</v>
      </c>
      <c r="I223" s="1" t="s">
        <v>8</v>
      </c>
      <c r="J223" s="36"/>
      <c r="N223" s="10" t="str">
        <f t="shared" si="11"/>
        <v>Unique</v>
      </c>
    </row>
    <row r="224" spans="1:16" ht="26.5" thickBot="1" x14ac:dyDescent="0.4">
      <c r="A224" s="8" t="s">
        <v>62</v>
      </c>
      <c r="B224" s="8" t="s">
        <v>6</v>
      </c>
      <c r="C224" s="8" t="s">
        <v>7</v>
      </c>
      <c r="D224" s="8">
        <v>120</v>
      </c>
      <c r="E224" s="8">
        <v>300.5</v>
      </c>
      <c r="F224" s="4">
        <v>12.96992481</v>
      </c>
      <c r="G224" s="2" t="s">
        <v>130</v>
      </c>
      <c r="H224" s="5">
        <v>266</v>
      </c>
      <c r="I224" s="1" t="s">
        <v>8</v>
      </c>
      <c r="J224" s="36" t="s">
        <v>118</v>
      </c>
      <c r="N224" s="10" t="str">
        <f t="shared" si="11"/>
        <v>Unique</v>
      </c>
    </row>
    <row r="225" spans="1:16" ht="39" thickBot="1" x14ac:dyDescent="0.4">
      <c r="A225" s="3">
        <v>46266.509722222225</v>
      </c>
      <c r="B225" s="1" t="s">
        <v>11</v>
      </c>
      <c r="C225" s="1" t="s">
        <v>7</v>
      </c>
      <c r="D225" s="4">
        <v>20</v>
      </c>
      <c r="E225" s="4">
        <v>306</v>
      </c>
      <c r="F225" s="4">
        <v>13.16568047</v>
      </c>
      <c r="G225" s="2" t="s">
        <v>99</v>
      </c>
      <c r="H225" s="5">
        <v>270.39999999999998</v>
      </c>
      <c r="I225" s="1" t="s">
        <v>8</v>
      </c>
      <c r="J225" s="18" t="s">
        <v>118</v>
      </c>
      <c r="K225" s="18" t="s">
        <v>213</v>
      </c>
      <c r="L225" s="18">
        <v>5820</v>
      </c>
      <c r="M225" s="18">
        <f>ABS((D225*E225)-L225)</f>
        <v>300</v>
      </c>
      <c r="N225" s="10" t="str">
        <f t="shared" si="11"/>
        <v>Unique</v>
      </c>
    </row>
    <row r="226" spans="1:16" ht="26.5" thickBot="1" x14ac:dyDescent="0.4">
      <c r="A226" s="8" t="s">
        <v>62</v>
      </c>
      <c r="B226" s="8" t="s">
        <v>123</v>
      </c>
      <c r="C226" s="8" t="s">
        <v>7</v>
      </c>
      <c r="D226" s="8">
        <v>200</v>
      </c>
      <c r="E226" s="8">
        <v>91.75</v>
      </c>
      <c r="F226" s="4">
        <v>13.215695950000001</v>
      </c>
      <c r="G226" s="2" t="s">
        <v>124</v>
      </c>
      <c r="H226" s="5">
        <v>81.040000000000006</v>
      </c>
      <c r="I226" s="1" t="s">
        <v>8</v>
      </c>
      <c r="J226" s="36"/>
      <c r="N226" s="10" t="str">
        <f t="shared" si="11"/>
        <v>Unique</v>
      </c>
    </row>
    <row r="227" spans="1:16" s="31" customFormat="1" ht="26.5" thickBot="1" x14ac:dyDescent="0.4">
      <c r="A227" s="11">
        <v>46252.6875</v>
      </c>
      <c r="B227" s="8" t="s">
        <v>15</v>
      </c>
      <c r="C227" s="8" t="s">
        <v>7</v>
      </c>
      <c r="D227" s="8">
        <v>10</v>
      </c>
      <c r="E227" s="8">
        <v>2720</v>
      </c>
      <c r="F227" s="4">
        <v>13.23896753</v>
      </c>
      <c r="G227" s="2" t="s">
        <v>72</v>
      </c>
      <c r="H227" s="5">
        <v>2402</v>
      </c>
      <c r="I227" s="1" t="s">
        <v>8</v>
      </c>
      <c r="J227" s="36" t="s">
        <v>117</v>
      </c>
      <c r="K227" s="18"/>
      <c r="L227" s="18"/>
      <c r="M227" s="18"/>
      <c r="N227" s="10" t="str">
        <f t="shared" si="11"/>
        <v>Unique</v>
      </c>
      <c r="O227" s="10"/>
      <c r="P227" s="10"/>
    </row>
    <row r="228" spans="1:16" ht="26.5" thickBot="1" x14ac:dyDescent="0.4">
      <c r="A228" s="3">
        <v>46272.375694444447</v>
      </c>
      <c r="B228" s="1" t="s">
        <v>16</v>
      </c>
      <c r="C228" s="1" t="s">
        <v>7</v>
      </c>
      <c r="D228" s="4">
        <v>5</v>
      </c>
      <c r="E228" s="4">
        <v>902</v>
      </c>
      <c r="F228" s="4">
        <v>13.316582909999999</v>
      </c>
      <c r="G228" s="2" t="s">
        <v>61</v>
      </c>
      <c r="H228" s="5">
        <v>796</v>
      </c>
      <c r="I228" s="1" t="s">
        <v>8</v>
      </c>
      <c r="J228" s="18" t="s">
        <v>118</v>
      </c>
      <c r="K228" s="18" t="s">
        <v>249</v>
      </c>
      <c r="L228" s="18">
        <v>4260</v>
      </c>
      <c r="M228" s="18">
        <f>ABS((D228*E228)-L228)</f>
        <v>250</v>
      </c>
      <c r="N228" s="10" t="str">
        <f t="shared" si="11"/>
        <v>Unique</v>
      </c>
      <c r="P228" s="31"/>
    </row>
    <row r="229" spans="1:16" ht="26.5" thickBot="1" x14ac:dyDescent="0.4">
      <c r="A229" s="11">
        <v>46252.635416666664</v>
      </c>
      <c r="B229" s="8" t="s">
        <v>35</v>
      </c>
      <c r="C229" s="8" t="s">
        <v>7</v>
      </c>
      <c r="D229" s="8">
        <v>120</v>
      </c>
      <c r="E229" s="8">
        <v>238.2</v>
      </c>
      <c r="F229" s="4">
        <v>13.326038349999999</v>
      </c>
      <c r="G229" s="2" t="s">
        <v>42</v>
      </c>
      <c r="H229" s="5">
        <v>210.19</v>
      </c>
      <c r="I229" s="1" t="s">
        <v>8</v>
      </c>
      <c r="J229" s="36" t="s">
        <v>118</v>
      </c>
      <c r="K229" s="18" t="s">
        <v>146</v>
      </c>
      <c r="N229" s="10" t="str">
        <f t="shared" si="11"/>
        <v>Unique</v>
      </c>
    </row>
    <row r="230" spans="1:16" ht="26.5" thickBot="1" x14ac:dyDescent="0.4">
      <c r="A230" s="3">
        <v>46258.629861111112</v>
      </c>
      <c r="B230" s="1" t="s">
        <v>17</v>
      </c>
      <c r="C230" s="1" t="s">
        <v>7</v>
      </c>
      <c r="D230" s="4">
        <v>25</v>
      </c>
      <c r="E230" s="4">
        <v>392.5</v>
      </c>
      <c r="F230" s="4">
        <v>13.341033789999999</v>
      </c>
      <c r="G230" s="2" t="s">
        <v>77</v>
      </c>
      <c r="H230" s="5">
        <v>346.3</v>
      </c>
      <c r="I230" s="1" t="s">
        <v>8</v>
      </c>
      <c r="J230" s="18" t="s">
        <v>118</v>
      </c>
      <c r="K230" s="18" t="s">
        <v>155</v>
      </c>
      <c r="L230" s="18">
        <v>9312.5</v>
      </c>
      <c r="M230" s="18">
        <f>ABS((D230*E230)-L230)</f>
        <v>500</v>
      </c>
      <c r="N230" s="10" t="str">
        <f t="shared" si="11"/>
        <v>Unique</v>
      </c>
      <c r="O230" s="41" t="s">
        <v>246</v>
      </c>
    </row>
    <row r="231" spans="1:16" ht="39" thickBot="1" x14ac:dyDescent="0.4">
      <c r="A231" s="11">
        <v>46252.688194444447</v>
      </c>
      <c r="B231" s="8" t="s">
        <v>28</v>
      </c>
      <c r="C231" s="8" t="s">
        <v>7</v>
      </c>
      <c r="D231" s="8">
        <v>30</v>
      </c>
      <c r="E231" s="8">
        <v>930</v>
      </c>
      <c r="F231" s="4">
        <v>13.34552102</v>
      </c>
      <c r="G231" s="2" t="s">
        <v>125</v>
      </c>
      <c r="H231" s="5">
        <v>820.5</v>
      </c>
      <c r="I231" s="1" t="s">
        <v>8</v>
      </c>
      <c r="J231" s="36"/>
      <c r="N231" s="10" t="str">
        <f t="shared" si="11"/>
        <v>Unique</v>
      </c>
      <c r="P231" s="31"/>
    </row>
    <row r="232" spans="1:16" ht="39" thickBot="1" x14ac:dyDescent="0.4">
      <c r="A232" s="3">
        <v>46274.414583333331</v>
      </c>
      <c r="B232" s="1" t="s">
        <v>12</v>
      </c>
      <c r="C232" s="1" t="s">
        <v>7</v>
      </c>
      <c r="D232" s="4">
        <v>2</v>
      </c>
      <c r="E232" s="4">
        <v>5274</v>
      </c>
      <c r="F232" s="4">
        <v>13.358409460000001</v>
      </c>
      <c r="G232" s="2" t="s">
        <v>98</v>
      </c>
      <c r="H232" s="5">
        <v>4652.5</v>
      </c>
      <c r="I232" s="1" t="s">
        <v>8</v>
      </c>
      <c r="J232" s="18" t="s">
        <v>118</v>
      </c>
      <c r="K232" s="18" t="s">
        <v>261</v>
      </c>
      <c r="L232" s="18">
        <v>9902</v>
      </c>
      <c r="M232" s="18">
        <f>ABS((D232*E232)-L232)</f>
        <v>646</v>
      </c>
      <c r="N232" s="10" t="str">
        <f t="shared" si="11"/>
        <v>Unique</v>
      </c>
      <c r="O232" s="41" t="s">
        <v>246</v>
      </c>
    </row>
    <row r="233" spans="1:16" ht="39" thickBot="1" x14ac:dyDescent="0.4">
      <c r="A233" s="3">
        <v>46276.375</v>
      </c>
      <c r="B233" s="1" t="s">
        <v>80</v>
      </c>
      <c r="C233" s="1" t="s">
        <v>7</v>
      </c>
      <c r="D233" s="4">
        <v>10</v>
      </c>
      <c r="E233" s="4">
        <v>1548</v>
      </c>
      <c r="F233" s="4">
        <v>13.406593409999999</v>
      </c>
      <c r="G233" s="2" t="s">
        <v>81</v>
      </c>
      <c r="H233" s="5">
        <v>1365</v>
      </c>
      <c r="I233" s="1" t="s">
        <v>8</v>
      </c>
      <c r="J233" s="18" t="s">
        <v>117</v>
      </c>
      <c r="K233" s="18" t="s">
        <v>280</v>
      </c>
      <c r="L233" s="18">
        <v>15030</v>
      </c>
      <c r="M233" s="18">
        <f>ABS((D233*E233)-L233)</f>
        <v>450</v>
      </c>
      <c r="N233" s="10" t="str">
        <f t="shared" si="11"/>
        <v>Unique</v>
      </c>
    </row>
    <row r="234" spans="1:16" ht="26.5" thickBot="1" x14ac:dyDescent="0.4">
      <c r="A234" s="8" t="s">
        <v>62</v>
      </c>
      <c r="B234" s="8" t="s">
        <v>26</v>
      </c>
      <c r="C234" s="8" t="s">
        <v>7</v>
      </c>
      <c r="D234" s="8">
        <v>25</v>
      </c>
      <c r="E234" s="8">
        <v>199.9</v>
      </c>
      <c r="F234" s="4">
        <v>13.42487517</v>
      </c>
      <c r="G234" s="2" t="s">
        <v>132</v>
      </c>
      <c r="H234" s="5">
        <v>176.24</v>
      </c>
      <c r="I234" s="1" t="s">
        <v>8</v>
      </c>
      <c r="J234" s="36" t="s">
        <v>117</v>
      </c>
      <c r="N234" s="10" t="str">
        <f t="shared" si="11"/>
        <v>Unique</v>
      </c>
    </row>
    <row r="235" spans="1:16" ht="26.5" thickBot="1" x14ac:dyDescent="0.4">
      <c r="A235" s="8" t="s">
        <v>62</v>
      </c>
      <c r="B235" s="8" t="s">
        <v>35</v>
      </c>
      <c r="C235" s="8" t="s">
        <v>7</v>
      </c>
      <c r="D235" s="8">
        <v>200</v>
      </c>
      <c r="E235" s="8">
        <v>239</v>
      </c>
      <c r="F235" s="4">
        <v>13.70664637</v>
      </c>
      <c r="G235" s="2" t="s">
        <v>42</v>
      </c>
      <c r="H235" s="5">
        <v>210.19</v>
      </c>
      <c r="I235" s="1" t="s">
        <v>8</v>
      </c>
      <c r="J235" s="36" t="s">
        <v>117</v>
      </c>
      <c r="N235" s="10" t="str">
        <f t="shared" si="11"/>
        <v>Unique</v>
      </c>
    </row>
    <row r="236" spans="1:16" ht="26.5" thickBot="1" x14ac:dyDescent="0.4">
      <c r="A236" s="8" t="s">
        <v>62</v>
      </c>
      <c r="B236" s="8" t="s">
        <v>74</v>
      </c>
      <c r="C236" s="8" t="s">
        <v>7</v>
      </c>
      <c r="D236" s="8">
        <v>1</v>
      </c>
      <c r="E236" s="8">
        <v>3710</v>
      </c>
      <c r="F236" s="4">
        <v>14.083640839999999</v>
      </c>
      <c r="G236" s="2" t="s">
        <v>75</v>
      </c>
      <c r="H236" s="5">
        <v>3252</v>
      </c>
      <c r="I236" s="1" t="s">
        <v>8</v>
      </c>
      <c r="J236" s="36" t="s">
        <v>118</v>
      </c>
      <c r="N236" s="10" t="str">
        <f t="shared" si="11"/>
        <v>Unique</v>
      </c>
    </row>
    <row r="237" spans="1:16" ht="26.5" thickBot="1" x14ac:dyDescent="0.4">
      <c r="A237" s="3">
        <v>46262.375</v>
      </c>
      <c r="B237" s="1" t="s">
        <v>87</v>
      </c>
      <c r="C237" s="1" t="s">
        <v>7</v>
      </c>
      <c r="D237" s="4">
        <v>10</v>
      </c>
      <c r="E237" s="4">
        <v>1340</v>
      </c>
      <c r="F237" s="4">
        <v>14.139693360000001</v>
      </c>
      <c r="G237" s="2" t="s">
        <v>88</v>
      </c>
      <c r="H237" s="5">
        <v>1174</v>
      </c>
      <c r="I237" s="1" t="s">
        <v>8</v>
      </c>
      <c r="J237" s="18" t="s">
        <v>117</v>
      </c>
      <c r="K237" s="18" t="s">
        <v>189</v>
      </c>
      <c r="L237" s="18">
        <v>13030</v>
      </c>
      <c r="M237" s="18">
        <f>ABS((D237*E237)-L237)</f>
        <v>370</v>
      </c>
      <c r="N237" s="10" t="str">
        <f t="shared" si="11"/>
        <v>Unique</v>
      </c>
      <c r="P237" s="31"/>
    </row>
    <row r="238" spans="1:16" ht="39" thickBot="1" x14ac:dyDescent="0.4">
      <c r="A238" s="11">
        <v>46252.6875</v>
      </c>
      <c r="B238" s="8" t="s">
        <v>27</v>
      </c>
      <c r="C238" s="8" t="s">
        <v>7</v>
      </c>
      <c r="D238" s="8">
        <v>2</v>
      </c>
      <c r="E238" s="8">
        <v>3048</v>
      </c>
      <c r="F238" s="4">
        <v>14.50037566</v>
      </c>
      <c r="G238" s="2" t="s">
        <v>131</v>
      </c>
      <c r="H238" s="5">
        <v>2662</v>
      </c>
      <c r="I238" s="1" t="s">
        <v>8</v>
      </c>
      <c r="J238" s="36" t="s">
        <v>117</v>
      </c>
      <c r="N238" s="10" t="str">
        <f t="shared" si="11"/>
        <v>Unique</v>
      </c>
    </row>
    <row r="239" spans="1:16" ht="26.5" thickBot="1" x14ac:dyDescent="0.4">
      <c r="A239" s="8" t="s">
        <v>62</v>
      </c>
      <c r="B239" s="8" t="s">
        <v>9</v>
      </c>
      <c r="C239" s="8" t="s">
        <v>7</v>
      </c>
      <c r="D239" s="8">
        <v>50</v>
      </c>
      <c r="E239" s="8">
        <v>317</v>
      </c>
      <c r="F239" s="4">
        <v>14.585215979999999</v>
      </c>
      <c r="G239" s="2" t="s">
        <v>95</v>
      </c>
      <c r="H239" s="5">
        <v>276.64999999999998</v>
      </c>
      <c r="I239" s="1" t="s">
        <v>8</v>
      </c>
      <c r="J239" s="36"/>
      <c r="N239" s="10" t="str">
        <f t="shared" si="11"/>
        <v>Unique</v>
      </c>
    </row>
    <row r="240" spans="1:16" ht="26.5" thickBot="1" x14ac:dyDescent="0.4">
      <c r="A240" s="8" t="s">
        <v>62</v>
      </c>
      <c r="B240" s="8" t="s">
        <v>121</v>
      </c>
      <c r="C240" s="8" t="s">
        <v>7</v>
      </c>
      <c r="D240" s="8">
        <v>10</v>
      </c>
      <c r="E240" s="8">
        <v>816</v>
      </c>
      <c r="F240" s="4">
        <v>14.606741570000001</v>
      </c>
      <c r="G240" s="2" t="s">
        <v>122</v>
      </c>
      <c r="H240" s="5">
        <v>712</v>
      </c>
      <c r="I240" s="1" t="s">
        <v>8</v>
      </c>
      <c r="J240" s="36" t="s">
        <v>117</v>
      </c>
      <c r="N240" s="10" t="str">
        <f t="shared" si="11"/>
        <v>Unique</v>
      </c>
      <c r="P240" s="31"/>
    </row>
    <row r="241" spans="1:16" ht="39" thickBot="1" x14ac:dyDescent="0.4">
      <c r="A241" s="8" t="s">
        <v>62</v>
      </c>
      <c r="B241" s="8" t="s">
        <v>24</v>
      </c>
      <c r="C241" s="8" t="s">
        <v>7</v>
      </c>
      <c r="D241" s="8">
        <v>5</v>
      </c>
      <c r="E241" s="8">
        <v>468</v>
      </c>
      <c r="F241" s="4">
        <v>14.66372657</v>
      </c>
      <c r="G241" s="2" t="s">
        <v>56</v>
      </c>
      <c r="H241" s="5">
        <v>408.15</v>
      </c>
      <c r="I241" s="1" t="s">
        <v>8</v>
      </c>
      <c r="J241" s="36" t="s">
        <v>118</v>
      </c>
      <c r="N241" s="10" t="str">
        <f t="shared" si="11"/>
        <v>Unique</v>
      </c>
    </row>
    <row r="242" spans="1:16" ht="39" thickBot="1" x14ac:dyDescent="0.4">
      <c r="A242" s="3">
        <v>46260.375</v>
      </c>
      <c r="B242" s="1" t="s">
        <v>24</v>
      </c>
      <c r="C242" s="1" t="s">
        <v>7</v>
      </c>
      <c r="D242" s="4">
        <v>40</v>
      </c>
      <c r="E242" s="4">
        <v>468</v>
      </c>
      <c r="F242" s="4">
        <v>14.66372657</v>
      </c>
      <c r="G242" s="2" t="s">
        <v>56</v>
      </c>
      <c r="H242" s="5">
        <v>408.15</v>
      </c>
      <c r="I242" s="1" t="s">
        <v>8</v>
      </c>
      <c r="J242" s="18" t="s">
        <v>118</v>
      </c>
      <c r="K242" s="18" t="s">
        <v>170</v>
      </c>
      <c r="L242" s="18">
        <v>17920</v>
      </c>
      <c r="M242" s="18">
        <f t="shared" ref="M242:M247" si="12">ABS((D242*E242)-L242)</f>
        <v>800</v>
      </c>
      <c r="N242" t="str">
        <f t="shared" si="11"/>
        <v>Unique</v>
      </c>
    </row>
    <row r="243" spans="1:16" ht="26.5" thickBot="1" x14ac:dyDescent="0.4">
      <c r="A243" s="3">
        <v>46260.375</v>
      </c>
      <c r="B243" s="1" t="s">
        <v>13</v>
      </c>
      <c r="C243" s="1" t="s">
        <v>7</v>
      </c>
      <c r="D243" s="4">
        <v>5</v>
      </c>
      <c r="E243" s="4">
        <v>1994</v>
      </c>
      <c r="F243" s="4">
        <v>14.99423299</v>
      </c>
      <c r="G243" s="2" t="s">
        <v>91</v>
      </c>
      <c r="H243" s="5">
        <v>1734</v>
      </c>
      <c r="I243" s="1" t="s">
        <v>8</v>
      </c>
      <c r="J243" s="18" t="s">
        <v>118</v>
      </c>
      <c r="K243" s="18" t="s">
        <v>172</v>
      </c>
      <c r="L243" s="18">
        <v>9320</v>
      </c>
      <c r="M243" s="18">
        <f t="shared" si="12"/>
        <v>650</v>
      </c>
      <c r="N243" t="str">
        <f t="shared" si="11"/>
        <v>Unique</v>
      </c>
      <c r="P243" s="31"/>
    </row>
    <row r="244" spans="1:16" ht="26.5" thickBot="1" x14ac:dyDescent="0.4">
      <c r="A244" s="3">
        <v>46268.375</v>
      </c>
      <c r="B244" s="1" t="s">
        <v>16</v>
      </c>
      <c r="C244" s="1" t="s">
        <v>7</v>
      </c>
      <c r="D244" s="4">
        <v>30</v>
      </c>
      <c r="E244" s="4">
        <v>920</v>
      </c>
      <c r="F244" s="4">
        <v>15.577889450000001</v>
      </c>
      <c r="G244" s="2" t="s">
        <v>61</v>
      </c>
      <c r="H244" s="5">
        <v>796</v>
      </c>
      <c r="I244" s="1" t="s">
        <v>8</v>
      </c>
      <c r="J244" s="18" t="s">
        <v>117</v>
      </c>
      <c r="K244" s="18" t="s">
        <v>236</v>
      </c>
      <c r="L244" s="18">
        <v>25800</v>
      </c>
      <c r="M244" s="18">
        <f t="shared" si="12"/>
        <v>1800</v>
      </c>
      <c r="N244" s="10" t="str">
        <f t="shared" si="11"/>
        <v>Unique</v>
      </c>
    </row>
    <row r="245" spans="1:16" ht="39" thickBot="1" x14ac:dyDescent="0.4">
      <c r="A245" s="3">
        <v>46259.375</v>
      </c>
      <c r="B245" s="1" t="s">
        <v>24</v>
      </c>
      <c r="C245" s="1" t="s">
        <v>7</v>
      </c>
      <c r="D245" s="4">
        <v>20</v>
      </c>
      <c r="E245" s="4">
        <v>472.5</v>
      </c>
      <c r="F245" s="4">
        <v>15.7662624</v>
      </c>
      <c r="G245" s="2" t="s">
        <v>56</v>
      </c>
      <c r="H245" s="5">
        <v>408.15</v>
      </c>
      <c r="I245" s="1" t="s">
        <v>8</v>
      </c>
      <c r="J245" s="36" t="s">
        <v>118</v>
      </c>
      <c r="K245" s="18" t="s">
        <v>161</v>
      </c>
      <c r="L245" s="18">
        <v>8800</v>
      </c>
      <c r="M245" s="18">
        <f t="shared" si="12"/>
        <v>650</v>
      </c>
      <c r="N245" s="10" t="str">
        <f t="shared" si="11"/>
        <v>Unique</v>
      </c>
      <c r="O245" s="31"/>
    </row>
    <row r="246" spans="1:16" ht="39" thickBot="1" x14ac:dyDescent="0.4">
      <c r="A246" s="3">
        <v>46258.375694444447</v>
      </c>
      <c r="B246" s="1" t="s">
        <v>22</v>
      </c>
      <c r="C246" s="1" t="s">
        <v>7</v>
      </c>
      <c r="D246" s="4">
        <v>5</v>
      </c>
      <c r="E246" s="4">
        <v>502</v>
      </c>
      <c r="F246" s="4">
        <v>15.8416984</v>
      </c>
      <c r="G246" s="2" t="s">
        <v>73</v>
      </c>
      <c r="H246" s="5">
        <v>433.35</v>
      </c>
      <c r="I246" s="1" t="s">
        <v>8</v>
      </c>
      <c r="J246" s="18" t="s">
        <v>118</v>
      </c>
      <c r="K246" s="18" t="s">
        <v>158</v>
      </c>
      <c r="L246" s="18">
        <v>2260</v>
      </c>
      <c r="M246" s="18">
        <f t="shared" si="12"/>
        <v>250</v>
      </c>
      <c r="N246" s="10" t="str">
        <f t="shared" si="11"/>
        <v>Unique</v>
      </c>
    </row>
    <row r="247" spans="1:16" ht="26.5" thickBot="1" x14ac:dyDescent="0.4">
      <c r="A247" s="3">
        <v>46262.375</v>
      </c>
      <c r="B247" s="1" t="s">
        <v>87</v>
      </c>
      <c r="C247" s="1" t="s">
        <v>7</v>
      </c>
      <c r="D247" s="4">
        <v>10</v>
      </c>
      <c r="E247" s="4">
        <v>1360</v>
      </c>
      <c r="F247" s="4">
        <v>15.84327087</v>
      </c>
      <c r="G247" s="2" t="s">
        <v>88</v>
      </c>
      <c r="H247" s="5">
        <v>1174</v>
      </c>
      <c r="I247" s="1" t="s">
        <v>8</v>
      </c>
      <c r="J247" s="18" t="s">
        <v>117</v>
      </c>
      <c r="K247" s="18" t="s">
        <v>192</v>
      </c>
      <c r="L247" s="18">
        <v>13300</v>
      </c>
      <c r="M247" s="18">
        <f t="shared" si="12"/>
        <v>300</v>
      </c>
      <c r="N247" s="10" t="str">
        <f t="shared" si="11"/>
        <v>Unique</v>
      </c>
    </row>
    <row r="248" spans="1:16" ht="26.5" thickBot="1" x14ac:dyDescent="0.4">
      <c r="A248" s="8" t="s">
        <v>62</v>
      </c>
      <c r="B248" s="8" t="s">
        <v>9</v>
      </c>
      <c r="C248" s="8" t="s">
        <v>7</v>
      </c>
      <c r="D248" s="8">
        <v>40</v>
      </c>
      <c r="E248" s="8">
        <v>320.5</v>
      </c>
      <c r="F248" s="4">
        <v>15.850352429999999</v>
      </c>
      <c r="G248" s="2" t="s">
        <v>95</v>
      </c>
      <c r="H248" s="5">
        <v>276.64999999999998</v>
      </c>
      <c r="I248" s="1" t="s">
        <v>8</v>
      </c>
      <c r="J248" s="36"/>
      <c r="N248" s="10" t="str">
        <f t="shared" si="11"/>
        <v>Unique</v>
      </c>
    </row>
    <row r="249" spans="1:16" ht="26.5" thickBot="1" x14ac:dyDescent="0.4">
      <c r="A249" s="8" t="s">
        <v>62</v>
      </c>
      <c r="B249" s="8" t="s">
        <v>14</v>
      </c>
      <c r="C249" s="8" t="s">
        <v>7</v>
      </c>
      <c r="D249" s="8">
        <v>50</v>
      </c>
      <c r="E249" s="12">
        <v>383</v>
      </c>
      <c r="F249" s="4">
        <v>15.902557120000001</v>
      </c>
      <c r="G249" s="2" t="s">
        <v>45</v>
      </c>
      <c r="H249" s="5">
        <v>330.45</v>
      </c>
      <c r="I249" s="1" t="s">
        <v>8</v>
      </c>
      <c r="J249" s="36"/>
      <c r="N249" s="10" t="str">
        <f t="shared" si="11"/>
        <v>Unique</v>
      </c>
    </row>
    <row r="250" spans="1:16" ht="26.5" thickBot="1" x14ac:dyDescent="0.4">
      <c r="A250" s="8" t="s">
        <v>62</v>
      </c>
      <c r="B250" s="8" t="s">
        <v>35</v>
      </c>
      <c r="C250" s="8" t="s">
        <v>7</v>
      </c>
      <c r="D250" s="8">
        <v>200</v>
      </c>
      <c r="E250" s="12">
        <v>244</v>
      </c>
      <c r="F250" s="4">
        <v>16.0854465</v>
      </c>
      <c r="G250" s="2" t="s">
        <v>42</v>
      </c>
      <c r="H250" s="5">
        <v>210.19</v>
      </c>
      <c r="I250" s="1" t="s">
        <v>8</v>
      </c>
      <c r="J250" s="36" t="s">
        <v>117</v>
      </c>
      <c r="N250" s="10" t="str">
        <f t="shared" si="11"/>
        <v>Unique</v>
      </c>
    </row>
    <row r="251" spans="1:16" ht="26.5" thickBot="1" x14ac:dyDescent="0.4">
      <c r="A251" s="8" t="s">
        <v>62</v>
      </c>
      <c r="B251" s="8" t="s">
        <v>133</v>
      </c>
      <c r="C251" s="8" t="s">
        <v>7</v>
      </c>
      <c r="D251" s="8">
        <v>150</v>
      </c>
      <c r="E251" s="12">
        <v>129.9</v>
      </c>
      <c r="F251" s="4">
        <v>16.10654272</v>
      </c>
      <c r="G251" s="2" t="s">
        <v>134</v>
      </c>
      <c r="H251" s="5">
        <v>111.88</v>
      </c>
      <c r="I251" s="1" t="s">
        <v>8</v>
      </c>
      <c r="J251" s="36"/>
      <c r="N251" s="10" t="str">
        <f t="shared" si="11"/>
        <v>Unique</v>
      </c>
    </row>
    <row r="252" spans="1:16" ht="26.5" thickBot="1" x14ac:dyDescent="0.4">
      <c r="A252" s="11">
        <v>46252.6875</v>
      </c>
      <c r="B252" s="8" t="s">
        <v>13</v>
      </c>
      <c r="C252" s="8" t="s">
        <v>7</v>
      </c>
      <c r="D252" s="8">
        <v>5</v>
      </c>
      <c r="E252" s="8">
        <v>2014</v>
      </c>
      <c r="F252" s="4">
        <v>16.147635520000001</v>
      </c>
      <c r="G252" s="2" t="s">
        <v>91</v>
      </c>
      <c r="H252" s="5">
        <v>1734</v>
      </c>
      <c r="I252" s="1" t="s">
        <v>8</v>
      </c>
      <c r="J252" s="36" t="s">
        <v>118</v>
      </c>
      <c r="N252" s="10" t="str">
        <f t="shared" si="11"/>
        <v>Unique</v>
      </c>
      <c r="O252" s="31"/>
    </row>
    <row r="253" spans="1:16" ht="26.5" thickBot="1" x14ac:dyDescent="0.4">
      <c r="A253" s="8" t="s">
        <v>62</v>
      </c>
      <c r="B253" s="8" t="s">
        <v>138</v>
      </c>
      <c r="C253" s="8" t="s">
        <v>7</v>
      </c>
      <c r="D253" s="8">
        <v>35</v>
      </c>
      <c r="E253" s="13">
        <v>494</v>
      </c>
      <c r="F253" s="4">
        <v>16.235294119999999</v>
      </c>
      <c r="G253" s="2" t="s">
        <v>139</v>
      </c>
      <c r="H253" s="5">
        <v>425</v>
      </c>
      <c r="I253" s="1" t="s">
        <v>8</v>
      </c>
      <c r="J253" s="36"/>
      <c r="N253" s="10" t="str">
        <f t="shared" si="11"/>
        <v>Unique</v>
      </c>
    </row>
    <row r="254" spans="1:16" ht="39" thickBot="1" x14ac:dyDescent="0.4">
      <c r="A254" s="20">
        <v>46255</v>
      </c>
      <c r="B254" s="1" t="s">
        <v>20</v>
      </c>
      <c r="C254" s="1" t="s">
        <v>7</v>
      </c>
      <c r="D254" s="4">
        <v>20</v>
      </c>
      <c r="E254" s="4">
        <v>147</v>
      </c>
      <c r="F254" s="4">
        <v>16.297468349999999</v>
      </c>
      <c r="G254" s="2" t="s">
        <v>86</v>
      </c>
      <c r="H254" s="5">
        <v>126.4</v>
      </c>
      <c r="I254" s="1" t="s">
        <v>8</v>
      </c>
      <c r="J254" s="18" t="s">
        <v>55</v>
      </c>
      <c r="K254" s="18" t="s">
        <v>149</v>
      </c>
      <c r="L254" s="18">
        <v>2640</v>
      </c>
      <c r="M254" s="18">
        <f>ABS((D254*E254)-L254)</f>
        <v>300</v>
      </c>
      <c r="N254" s="10" t="str">
        <f t="shared" si="11"/>
        <v>Unique</v>
      </c>
    </row>
    <row r="255" spans="1:16" ht="26.5" thickBot="1" x14ac:dyDescent="0.4">
      <c r="A255" s="11">
        <v>46252.635416666664</v>
      </c>
      <c r="B255" s="8" t="s">
        <v>47</v>
      </c>
      <c r="C255" s="8" t="s">
        <v>7</v>
      </c>
      <c r="D255" s="8">
        <v>8</v>
      </c>
      <c r="E255" s="8">
        <v>2448</v>
      </c>
      <c r="F255" s="4">
        <v>16.300061759999998</v>
      </c>
      <c r="G255" s="2" t="s">
        <v>48</v>
      </c>
      <c r="H255" s="5">
        <v>2104.9</v>
      </c>
      <c r="I255" s="1" t="s">
        <v>8</v>
      </c>
      <c r="J255" s="36"/>
      <c r="N255" s="10" t="str">
        <f t="shared" si="11"/>
        <v>Unique</v>
      </c>
    </row>
    <row r="256" spans="1:16" ht="26.5" thickBot="1" x14ac:dyDescent="0.4">
      <c r="A256" s="8" t="s">
        <v>62</v>
      </c>
      <c r="B256" s="8" t="s">
        <v>6</v>
      </c>
      <c r="C256" s="8" t="s">
        <v>7</v>
      </c>
      <c r="D256" s="8">
        <v>100</v>
      </c>
      <c r="E256" s="8">
        <v>310.5</v>
      </c>
      <c r="F256" s="4">
        <v>16.729323310000002</v>
      </c>
      <c r="G256" s="2" t="s">
        <v>130</v>
      </c>
      <c r="H256" s="5">
        <v>266</v>
      </c>
      <c r="I256" s="1" t="s">
        <v>8</v>
      </c>
      <c r="J256" s="36" t="s">
        <v>118</v>
      </c>
      <c r="N256" s="10" t="str">
        <f t="shared" si="11"/>
        <v>Unique</v>
      </c>
    </row>
    <row r="257" spans="1:16" ht="39" thickBot="1" x14ac:dyDescent="0.4">
      <c r="A257" s="3">
        <v>46269.643055555556</v>
      </c>
      <c r="B257" s="1" t="s">
        <v>12</v>
      </c>
      <c r="C257" s="1" t="s">
        <v>7</v>
      </c>
      <c r="D257" s="4">
        <v>1</v>
      </c>
      <c r="E257" s="4">
        <v>5448</v>
      </c>
      <c r="F257" s="4">
        <v>17.098334229999999</v>
      </c>
      <c r="G257" s="2" t="s">
        <v>98</v>
      </c>
      <c r="H257" s="5">
        <v>4652.5</v>
      </c>
      <c r="I257" s="1" t="s">
        <v>8</v>
      </c>
      <c r="J257" s="18" t="s">
        <v>118</v>
      </c>
      <c r="K257" s="18" t="s">
        <v>239</v>
      </c>
      <c r="L257" s="18">
        <v>5180</v>
      </c>
      <c r="M257" s="27">
        <f>ABS((D257*E257)-L257)</f>
        <v>268</v>
      </c>
      <c r="N257" t="str">
        <f t="shared" si="11"/>
        <v>Unique</v>
      </c>
    </row>
    <row r="258" spans="1:16" ht="26.5" thickBot="1" x14ac:dyDescent="0.4">
      <c r="A258" s="3">
        <v>46261.375</v>
      </c>
      <c r="B258" s="1" t="s">
        <v>18</v>
      </c>
      <c r="C258" s="1" t="s">
        <v>7</v>
      </c>
      <c r="D258" s="4">
        <v>2</v>
      </c>
      <c r="E258" s="4">
        <v>1970</v>
      </c>
      <c r="F258" s="4">
        <v>17.122473249999999</v>
      </c>
      <c r="G258" s="2" t="s">
        <v>102</v>
      </c>
      <c r="H258" s="5">
        <v>1682</v>
      </c>
      <c r="I258" s="1" t="s">
        <v>8</v>
      </c>
      <c r="J258" s="18" t="s">
        <v>117</v>
      </c>
      <c r="K258" s="18" t="s">
        <v>181</v>
      </c>
      <c r="L258" s="18">
        <v>3680</v>
      </c>
      <c r="M258" s="18">
        <f>ABS((D258*E258)-L258)</f>
        <v>260</v>
      </c>
      <c r="N258" s="10" t="str">
        <f t="shared" si="11"/>
        <v>Unique</v>
      </c>
    </row>
    <row r="259" spans="1:16" ht="26.5" thickBot="1" x14ac:dyDescent="0.4">
      <c r="A259" s="8" t="s">
        <v>62</v>
      </c>
      <c r="B259" s="8" t="s">
        <v>74</v>
      </c>
      <c r="C259" s="8" t="s">
        <v>7</v>
      </c>
      <c r="D259" s="8">
        <v>1</v>
      </c>
      <c r="E259" s="12">
        <v>3810</v>
      </c>
      <c r="F259" s="4">
        <v>17.158671590000001</v>
      </c>
      <c r="G259" s="2" t="s">
        <v>75</v>
      </c>
      <c r="H259" s="5">
        <v>3252</v>
      </c>
      <c r="I259" s="1" t="s">
        <v>8</v>
      </c>
      <c r="J259" s="36" t="s">
        <v>118</v>
      </c>
      <c r="N259" s="10" t="str">
        <f t="shared" si="11"/>
        <v>Unique</v>
      </c>
    </row>
    <row r="260" spans="1:16" ht="26.5" thickBot="1" x14ac:dyDescent="0.4">
      <c r="A260" s="8" t="s">
        <v>62</v>
      </c>
      <c r="B260" s="8" t="s">
        <v>128</v>
      </c>
      <c r="C260" s="8" t="s">
        <v>7</v>
      </c>
      <c r="D260" s="8">
        <v>150</v>
      </c>
      <c r="E260" s="8">
        <v>129</v>
      </c>
      <c r="F260" s="4">
        <v>17.304719469999998</v>
      </c>
      <c r="G260" s="2" t="s">
        <v>129</v>
      </c>
      <c r="H260" s="5">
        <v>109.97</v>
      </c>
      <c r="I260" s="1" t="s">
        <v>8</v>
      </c>
      <c r="J260" s="36"/>
      <c r="N260" s="10" t="str">
        <f t="shared" si="11"/>
        <v>Unique</v>
      </c>
    </row>
    <row r="261" spans="1:16" ht="26.5" thickBot="1" x14ac:dyDescent="0.4">
      <c r="A261" s="3">
        <v>46260.634027777778</v>
      </c>
      <c r="B261" s="1" t="s">
        <v>29</v>
      </c>
      <c r="C261" s="1" t="s">
        <v>7</v>
      </c>
      <c r="D261" s="4">
        <v>5</v>
      </c>
      <c r="E261" s="4">
        <v>4148</v>
      </c>
      <c r="F261" s="4">
        <v>17.51706944</v>
      </c>
      <c r="G261" s="2" t="s">
        <v>137</v>
      </c>
      <c r="H261" s="5">
        <v>3529.7</v>
      </c>
      <c r="I261" s="1" t="s">
        <v>8</v>
      </c>
      <c r="J261" s="18" t="s">
        <v>118</v>
      </c>
      <c r="K261" s="18" t="s">
        <v>168</v>
      </c>
      <c r="L261" s="18">
        <v>20260</v>
      </c>
      <c r="M261" s="18">
        <f>ABS((D261*E261)-L261)</f>
        <v>480</v>
      </c>
      <c r="N261" t="str">
        <f t="shared" si="11"/>
        <v>Unique</v>
      </c>
    </row>
    <row r="262" spans="1:16" ht="26.5" thickBot="1" x14ac:dyDescent="0.4">
      <c r="A262" s="8" t="s">
        <v>62</v>
      </c>
      <c r="B262" s="8" t="s">
        <v>63</v>
      </c>
      <c r="C262" s="8" t="s">
        <v>7</v>
      </c>
      <c r="D262" s="8">
        <v>11</v>
      </c>
      <c r="E262" s="12">
        <v>1170</v>
      </c>
      <c r="F262" s="4">
        <v>17.86038078</v>
      </c>
      <c r="G262" s="2" t="s">
        <v>64</v>
      </c>
      <c r="H262" s="5">
        <v>992.7</v>
      </c>
      <c r="I262" s="1" t="s">
        <v>8</v>
      </c>
      <c r="J262" s="36"/>
      <c r="N262" s="10" t="str">
        <f t="shared" si="11"/>
        <v>Unique</v>
      </c>
    </row>
    <row r="263" spans="1:16" ht="26.5" thickBot="1" x14ac:dyDescent="0.4">
      <c r="A263" s="8" t="s">
        <v>62</v>
      </c>
      <c r="B263" s="8" t="s">
        <v>6</v>
      </c>
      <c r="C263" s="8" t="s">
        <v>7</v>
      </c>
      <c r="D263" s="8">
        <v>100</v>
      </c>
      <c r="E263" s="13">
        <v>314</v>
      </c>
      <c r="F263" s="4">
        <v>18.04511278</v>
      </c>
      <c r="G263" s="2" t="s">
        <v>130</v>
      </c>
      <c r="H263" s="5">
        <v>266</v>
      </c>
      <c r="I263" s="1" t="s">
        <v>8</v>
      </c>
      <c r="J263" s="36"/>
      <c r="N263" s="10" t="str">
        <f t="shared" ref="N263:N301" si="13">IF(COUNTIFS( $B$2:$B$734, B263, $C$2:$C$734, C263, $D$2:$D$734, D263, $E$2:$E$734, E263) &gt; 1, "Duplicate", "Unique")</f>
        <v>Unique</v>
      </c>
    </row>
    <row r="264" spans="1:16" ht="26.5" thickBot="1" x14ac:dyDescent="0.4">
      <c r="A264" s="3">
        <v>46260.375</v>
      </c>
      <c r="B264" s="1" t="s">
        <v>87</v>
      </c>
      <c r="C264" s="1" t="s">
        <v>7</v>
      </c>
      <c r="D264" s="4">
        <v>10</v>
      </c>
      <c r="E264" s="4">
        <v>1390</v>
      </c>
      <c r="F264" s="4">
        <v>18.398637140000002</v>
      </c>
      <c r="G264" s="2" t="s">
        <v>88</v>
      </c>
      <c r="H264" s="5">
        <v>1174</v>
      </c>
      <c r="I264" s="1" t="s">
        <v>8</v>
      </c>
      <c r="J264" s="18" t="s">
        <v>117</v>
      </c>
      <c r="K264" s="18" t="s">
        <v>173</v>
      </c>
      <c r="L264" s="18">
        <v>13600</v>
      </c>
      <c r="M264" s="18">
        <f>ABS((D264*E264)-L264)</f>
        <v>300</v>
      </c>
      <c r="N264" t="str">
        <f t="shared" si="13"/>
        <v>Unique</v>
      </c>
    </row>
    <row r="265" spans="1:16" s="31" customFormat="1" ht="26.5" thickBot="1" x14ac:dyDescent="0.4">
      <c r="A265" s="8" t="s">
        <v>62</v>
      </c>
      <c r="B265" s="8" t="s">
        <v>35</v>
      </c>
      <c r="C265" s="8" t="s">
        <v>7</v>
      </c>
      <c r="D265" s="8">
        <v>200</v>
      </c>
      <c r="E265" s="12">
        <v>249</v>
      </c>
      <c r="F265" s="4">
        <v>18.464246630000002</v>
      </c>
      <c r="G265" s="2" t="s">
        <v>42</v>
      </c>
      <c r="H265" s="5">
        <v>210.19</v>
      </c>
      <c r="I265" s="1" t="s">
        <v>8</v>
      </c>
      <c r="J265" s="36" t="s">
        <v>117</v>
      </c>
      <c r="K265" s="18"/>
      <c r="L265" s="18"/>
      <c r="M265" s="18"/>
      <c r="N265" s="10" t="str">
        <f t="shared" si="13"/>
        <v>Unique</v>
      </c>
      <c r="O265" s="10"/>
      <c r="P265" s="10"/>
    </row>
    <row r="266" spans="1:16" s="31" customFormat="1" ht="39" thickBot="1" x14ac:dyDescent="0.4">
      <c r="A266" s="8" t="s">
        <v>62</v>
      </c>
      <c r="B266" s="8" t="s">
        <v>28</v>
      </c>
      <c r="C266" s="8" t="s">
        <v>7</v>
      </c>
      <c r="D266" s="8">
        <v>30</v>
      </c>
      <c r="E266" s="13">
        <v>974</v>
      </c>
      <c r="F266" s="4">
        <v>18.708104809999998</v>
      </c>
      <c r="G266" s="2" t="s">
        <v>125</v>
      </c>
      <c r="H266" s="5">
        <v>820.5</v>
      </c>
      <c r="I266" s="1" t="s">
        <v>8</v>
      </c>
      <c r="J266" s="36"/>
      <c r="K266" s="18"/>
      <c r="L266" s="18"/>
      <c r="M266" s="18"/>
      <c r="N266" s="10" t="str">
        <f t="shared" si="13"/>
        <v>Unique</v>
      </c>
      <c r="O266" s="10"/>
      <c r="P266" s="10"/>
    </row>
    <row r="267" spans="1:16" ht="26.5" thickBot="1" x14ac:dyDescent="0.4">
      <c r="A267" s="8" t="s">
        <v>62</v>
      </c>
      <c r="B267" s="8" t="s">
        <v>57</v>
      </c>
      <c r="C267" s="8" t="s">
        <v>7</v>
      </c>
      <c r="D267" s="8">
        <v>3</v>
      </c>
      <c r="E267" s="12">
        <v>3341</v>
      </c>
      <c r="F267" s="4">
        <v>19.062043410000001</v>
      </c>
      <c r="G267" s="2" t="s">
        <v>58</v>
      </c>
      <c r="H267" s="5">
        <v>2806.1</v>
      </c>
      <c r="I267" s="1" t="s">
        <v>8</v>
      </c>
      <c r="J267" s="36"/>
      <c r="N267" s="10" t="str">
        <f t="shared" si="13"/>
        <v>Unique</v>
      </c>
      <c r="P267" s="31"/>
    </row>
    <row r="268" spans="1:16" ht="39" thickBot="1" x14ac:dyDescent="0.4">
      <c r="A268" s="3">
        <v>46260.554861111108</v>
      </c>
      <c r="B268" s="1" t="s">
        <v>12</v>
      </c>
      <c r="C268" s="1" t="s">
        <v>7</v>
      </c>
      <c r="D268" s="4">
        <v>1</v>
      </c>
      <c r="E268" s="4">
        <v>5540</v>
      </c>
      <c r="F268" s="4">
        <v>19.07576572</v>
      </c>
      <c r="G268" s="2" t="s">
        <v>98</v>
      </c>
      <c r="H268" s="5">
        <v>4652.5</v>
      </c>
      <c r="I268" s="1" t="s">
        <v>8</v>
      </c>
      <c r="J268" s="18" t="s">
        <v>118</v>
      </c>
      <c r="K268" s="18" t="s">
        <v>166</v>
      </c>
      <c r="L268" s="18">
        <v>5290</v>
      </c>
      <c r="M268" s="18">
        <f>ABS((D268*E268)-L268)</f>
        <v>250</v>
      </c>
      <c r="N268" t="str">
        <f t="shared" si="13"/>
        <v>Unique</v>
      </c>
    </row>
    <row r="269" spans="1:16" ht="26.5" thickBot="1" x14ac:dyDescent="0.4">
      <c r="A269" s="3">
        <v>46265.415277777778</v>
      </c>
      <c r="B269" s="1" t="s">
        <v>16</v>
      </c>
      <c r="C269" s="1" t="s">
        <v>7</v>
      </c>
      <c r="D269" s="4">
        <v>5</v>
      </c>
      <c r="E269" s="4">
        <v>948</v>
      </c>
      <c r="F269" s="4">
        <v>19.095477389999999</v>
      </c>
      <c r="G269" s="2" t="s">
        <v>61</v>
      </c>
      <c r="H269" s="5">
        <v>796</v>
      </c>
      <c r="I269" s="1" t="s">
        <v>8</v>
      </c>
      <c r="J269" s="18" t="s">
        <v>118</v>
      </c>
      <c r="K269" s="18" t="s">
        <v>199</v>
      </c>
      <c r="L269" s="18">
        <v>4455</v>
      </c>
      <c r="M269" s="18">
        <f>ABS((D269*E269)-L269)</f>
        <v>285</v>
      </c>
      <c r="N269" t="str">
        <f t="shared" si="13"/>
        <v>Unique</v>
      </c>
    </row>
    <row r="270" spans="1:16" ht="26.5" thickBot="1" x14ac:dyDescent="0.4">
      <c r="A270" s="3">
        <v>46266.375</v>
      </c>
      <c r="B270" s="1" t="s">
        <v>16</v>
      </c>
      <c r="C270" s="1" t="s">
        <v>7</v>
      </c>
      <c r="D270" s="4">
        <v>11</v>
      </c>
      <c r="E270" s="4">
        <v>948</v>
      </c>
      <c r="F270" s="4">
        <v>19.095477389999999</v>
      </c>
      <c r="G270" s="2" t="s">
        <v>61</v>
      </c>
      <c r="H270" s="5">
        <v>796</v>
      </c>
      <c r="I270" s="1" t="s">
        <v>8</v>
      </c>
      <c r="J270" s="18" t="s">
        <v>117</v>
      </c>
      <c r="K270" s="18" t="s">
        <v>217</v>
      </c>
      <c r="L270" s="18">
        <v>9702</v>
      </c>
      <c r="M270" s="18">
        <f>ABS((D270*E270)-L270)</f>
        <v>726</v>
      </c>
      <c r="N270" s="10" t="str">
        <f t="shared" si="13"/>
        <v>Unique</v>
      </c>
    </row>
    <row r="271" spans="1:16" ht="26.5" thickBot="1" x14ac:dyDescent="0.4">
      <c r="A271" s="8" t="s">
        <v>62</v>
      </c>
      <c r="B271" s="8" t="s">
        <v>26</v>
      </c>
      <c r="C271" s="8" t="s">
        <v>7</v>
      </c>
      <c r="D271" s="8">
        <v>25</v>
      </c>
      <c r="E271" s="8">
        <v>210</v>
      </c>
      <c r="F271" s="4">
        <v>19.15569678</v>
      </c>
      <c r="G271" s="2" t="s">
        <v>132</v>
      </c>
      <c r="H271" s="5">
        <v>176.24</v>
      </c>
      <c r="I271" s="1" t="s">
        <v>8</v>
      </c>
      <c r="J271" s="36"/>
      <c r="N271" s="10" t="str">
        <f t="shared" si="13"/>
        <v>Unique</v>
      </c>
    </row>
    <row r="272" spans="1:16" ht="26.5" thickBot="1" x14ac:dyDescent="0.4">
      <c r="A272" s="8" t="s">
        <v>62</v>
      </c>
      <c r="B272" s="8" t="s">
        <v>6</v>
      </c>
      <c r="C272" s="8" t="s">
        <v>7</v>
      </c>
      <c r="D272" s="8">
        <v>100</v>
      </c>
      <c r="E272" s="12">
        <v>318</v>
      </c>
      <c r="F272" s="4">
        <v>19.54887218</v>
      </c>
      <c r="G272" s="2" t="s">
        <v>130</v>
      </c>
      <c r="H272" s="5">
        <v>266</v>
      </c>
      <c r="I272" s="1" t="s">
        <v>8</v>
      </c>
      <c r="J272" s="36"/>
      <c r="N272" s="10" t="str">
        <f t="shared" si="13"/>
        <v>Unique</v>
      </c>
    </row>
    <row r="273" spans="1:16" ht="26.5" thickBot="1" x14ac:dyDescent="0.4">
      <c r="A273" s="8" t="s">
        <v>62</v>
      </c>
      <c r="B273" s="8" t="s">
        <v>6</v>
      </c>
      <c r="C273" s="8" t="s">
        <v>7</v>
      </c>
      <c r="D273" s="8">
        <v>100</v>
      </c>
      <c r="E273" s="13">
        <v>319</v>
      </c>
      <c r="F273" s="4">
        <v>19.924812029999998</v>
      </c>
      <c r="G273" s="2" t="s">
        <v>130</v>
      </c>
      <c r="H273" s="5">
        <v>266</v>
      </c>
      <c r="I273" s="1" t="s">
        <v>8</v>
      </c>
      <c r="J273" s="36"/>
      <c r="N273" s="10" t="str">
        <f t="shared" si="13"/>
        <v>Unique</v>
      </c>
    </row>
    <row r="274" spans="1:16" ht="26.5" thickBot="1" x14ac:dyDescent="0.4">
      <c r="A274" s="8" t="s">
        <v>62</v>
      </c>
      <c r="B274" s="8" t="s">
        <v>17</v>
      </c>
      <c r="C274" s="8" t="s">
        <v>7</v>
      </c>
      <c r="D274" s="8">
        <v>5</v>
      </c>
      <c r="E274" s="12">
        <v>416</v>
      </c>
      <c r="F274" s="4">
        <v>20.12705746</v>
      </c>
      <c r="G274" s="2" t="s">
        <v>77</v>
      </c>
      <c r="H274" s="5">
        <v>346.3</v>
      </c>
      <c r="I274" s="1" t="s">
        <v>8</v>
      </c>
      <c r="J274" s="36"/>
      <c r="N274" s="10" t="str">
        <f t="shared" si="13"/>
        <v>Unique</v>
      </c>
    </row>
    <row r="275" spans="1:16" ht="39" thickBot="1" x14ac:dyDescent="0.4">
      <c r="A275" s="8" t="s">
        <v>62</v>
      </c>
      <c r="B275" s="8" t="s">
        <v>28</v>
      </c>
      <c r="C275" s="8" t="s">
        <v>7</v>
      </c>
      <c r="D275" s="8">
        <v>5</v>
      </c>
      <c r="E275" s="12">
        <v>986</v>
      </c>
      <c r="F275" s="4">
        <v>20.170627669999998</v>
      </c>
      <c r="G275" s="2" t="s">
        <v>125</v>
      </c>
      <c r="H275" s="5">
        <v>820.5</v>
      </c>
      <c r="I275" s="1" t="s">
        <v>8</v>
      </c>
      <c r="J275" s="36"/>
      <c r="N275" s="10" t="str">
        <f t="shared" si="13"/>
        <v>Unique</v>
      </c>
    </row>
    <row r="276" spans="1:16" ht="26.5" thickBot="1" x14ac:dyDescent="0.4">
      <c r="A276" s="11">
        <v>46252.6875</v>
      </c>
      <c r="B276" s="8" t="s">
        <v>15</v>
      </c>
      <c r="C276" s="8" t="s">
        <v>7</v>
      </c>
      <c r="D276" s="8">
        <v>10</v>
      </c>
      <c r="E276" s="8">
        <v>2896</v>
      </c>
      <c r="F276" s="4">
        <v>20.566194840000001</v>
      </c>
      <c r="G276" s="2" t="s">
        <v>72</v>
      </c>
      <c r="H276" s="5">
        <v>2402</v>
      </c>
      <c r="I276" s="1" t="s">
        <v>8</v>
      </c>
      <c r="J276" s="36" t="s">
        <v>118</v>
      </c>
      <c r="N276" s="10" t="str">
        <f t="shared" si="13"/>
        <v>Unique</v>
      </c>
    </row>
    <row r="277" spans="1:16" ht="26.5" thickBot="1" x14ac:dyDescent="0.4">
      <c r="A277" s="3">
        <v>46265.375694444447</v>
      </c>
      <c r="B277" s="1" t="s">
        <v>16</v>
      </c>
      <c r="C277" s="1" t="s">
        <v>7</v>
      </c>
      <c r="D277" s="4">
        <v>5</v>
      </c>
      <c r="E277" s="4">
        <v>961</v>
      </c>
      <c r="F277" s="4">
        <v>20.728643219999999</v>
      </c>
      <c r="G277" s="2" t="s">
        <v>61</v>
      </c>
      <c r="H277" s="5">
        <v>796</v>
      </c>
      <c r="I277" s="1" t="s">
        <v>8</v>
      </c>
      <c r="J277" s="18" t="s">
        <v>118</v>
      </c>
      <c r="K277" s="18" t="s">
        <v>204</v>
      </c>
      <c r="L277" s="18">
        <v>4530</v>
      </c>
      <c r="M277" s="18">
        <f>ABS((D277*E277)-L277)</f>
        <v>275</v>
      </c>
      <c r="N277" t="str">
        <f t="shared" si="13"/>
        <v>Unique</v>
      </c>
    </row>
    <row r="278" spans="1:16" s="31" customFormat="1" ht="26.5" thickBot="1" x14ac:dyDescent="0.4">
      <c r="A278" s="11">
        <v>46252.6875</v>
      </c>
      <c r="B278" s="8" t="s">
        <v>13</v>
      </c>
      <c r="C278" s="8" t="s">
        <v>7</v>
      </c>
      <c r="D278" s="8">
        <v>5</v>
      </c>
      <c r="E278" s="8">
        <v>2094</v>
      </c>
      <c r="F278" s="4">
        <v>20.761245670000001</v>
      </c>
      <c r="G278" s="2" t="s">
        <v>91</v>
      </c>
      <c r="H278" s="5">
        <v>1734</v>
      </c>
      <c r="I278" s="1" t="s">
        <v>8</v>
      </c>
      <c r="J278" s="36" t="s">
        <v>118</v>
      </c>
      <c r="K278" s="18"/>
      <c r="L278" s="18"/>
      <c r="M278" s="18"/>
      <c r="N278" s="10" t="str">
        <f t="shared" si="13"/>
        <v>Unique</v>
      </c>
      <c r="O278" s="10"/>
      <c r="P278" s="10"/>
    </row>
    <row r="279" spans="1:16" ht="26.5" thickBot="1" x14ac:dyDescent="0.4">
      <c r="A279" s="11">
        <v>46252.6875</v>
      </c>
      <c r="B279" s="8" t="s">
        <v>15</v>
      </c>
      <c r="C279" s="8" t="s">
        <v>7</v>
      </c>
      <c r="D279" s="8">
        <v>10</v>
      </c>
      <c r="E279" s="8">
        <v>2908</v>
      </c>
      <c r="F279" s="4">
        <v>21.065778519999999</v>
      </c>
      <c r="G279" s="2" t="s">
        <v>72</v>
      </c>
      <c r="H279" s="5">
        <v>2402</v>
      </c>
      <c r="I279" s="1" t="s">
        <v>8</v>
      </c>
      <c r="J279" s="36" t="s">
        <v>118</v>
      </c>
      <c r="N279" s="10" t="str">
        <f t="shared" si="13"/>
        <v>Unique</v>
      </c>
    </row>
    <row r="280" spans="1:16" ht="39" thickBot="1" x14ac:dyDescent="0.4">
      <c r="A280" s="8" t="s">
        <v>62</v>
      </c>
      <c r="B280" s="8" t="s">
        <v>126</v>
      </c>
      <c r="C280" s="8" t="s">
        <v>7</v>
      </c>
      <c r="D280" s="8">
        <v>5</v>
      </c>
      <c r="E280" s="8">
        <v>596</v>
      </c>
      <c r="F280" s="4">
        <v>21.088988220000001</v>
      </c>
      <c r="G280" s="2" t="s">
        <v>127</v>
      </c>
      <c r="H280" s="5">
        <v>492.2</v>
      </c>
      <c r="I280" s="1" t="s">
        <v>8</v>
      </c>
      <c r="J280" s="36"/>
      <c r="N280" s="10" t="str">
        <f t="shared" si="13"/>
        <v>Unique</v>
      </c>
    </row>
    <row r="281" spans="1:16" ht="39" thickBot="1" x14ac:dyDescent="0.4">
      <c r="A281" s="8" t="s">
        <v>62</v>
      </c>
      <c r="B281" s="14" t="s">
        <v>28</v>
      </c>
      <c r="C281" s="8" t="s">
        <v>7</v>
      </c>
      <c r="D281" s="8">
        <v>40</v>
      </c>
      <c r="E281" s="15">
        <v>996</v>
      </c>
      <c r="F281" s="4">
        <v>21.38939671</v>
      </c>
      <c r="G281" s="2" t="s">
        <v>125</v>
      </c>
      <c r="H281" s="5">
        <v>820.5</v>
      </c>
      <c r="I281" s="1" t="s">
        <v>8</v>
      </c>
      <c r="J281" s="36" t="s">
        <v>118</v>
      </c>
      <c r="N281" s="10" t="str">
        <f t="shared" si="13"/>
        <v>Unique</v>
      </c>
    </row>
    <row r="282" spans="1:16" s="31" customFormat="1" ht="26.5" thickBot="1" x14ac:dyDescent="0.4">
      <c r="A282" s="8" t="s">
        <v>62</v>
      </c>
      <c r="B282" s="8" t="s">
        <v>6</v>
      </c>
      <c r="C282" s="8" t="s">
        <v>7</v>
      </c>
      <c r="D282" s="8">
        <v>150</v>
      </c>
      <c r="E282" s="12">
        <v>323</v>
      </c>
      <c r="F282" s="4">
        <v>21.428571430000002</v>
      </c>
      <c r="G282" s="2" t="s">
        <v>130</v>
      </c>
      <c r="H282" s="5">
        <v>266</v>
      </c>
      <c r="I282" s="1" t="s">
        <v>8</v>
      </c>
      <c r="J282" s="36" t="s">
        <v>118</v>
      </c>
      <c r="K282" s="18"/>
      <c r="L282" s="18"/>
      <c r="M282" s="18"/>
      <c r="N282" s="10" t="str">
        <f t="shared" si="13"/>
        <v>Unique</v>
      </c>
      <c r="O282" s="10"/>
      <c r="P282" s="10"/>
    </row>
    <row r="283" spans="1:16" ht="26.5" thickBot="1" x14ac:dyDescent="0.4">
      <c r="A283" s="8" t="s">
        <v>62</v>
      </c>
      <c r="B283" s="8" t="s">
        <v>13</v>
      </c>
      <c r="C283" s="8" t="s">
        <v>7</v>
      </c>
      <c r="D283" s="8">
        <v>10</v>
      </c>
      <c r="E283" s="8">
        <v>2114</v>
      </c>
      <c r="F283" s="4">
        <v>21.914648209999999</v>
      </c>
      <c r="G283" s="2" t="s">
        <v>91</v>
      </c>
      <c r="H283" s="5">
        <v>1734</v>
      </c>
      <c r="I283" s="1" t="s">
        <v>8</v>
      </c>
      <c r="J283" s="36"/>
      <c r="N283" s="10" t="str">
        <f t="shared" si="13"/>
        <v>Unique</v>
      </c>
      <c r="P283" s="31"/>
    </row>
    <row r="284" spans="1:16" ht="26.5" thickBot="1" x14ac:dyDescent="0.4">
      <c r="A284" s="3">
        <v>46260.557638888888</v>
      </c>
      <c r="B284" s="1" t="s">
        <v>16</v>
      </c>
      <c r="C284" s="1" t="s">
        <v>7</v>
      </c>
      <c r="D284" s="4">
        <v>5</v>
      </c>
      <c r="E284" s="4">
        <v>971</v>
      </c>
      <c r="F284" s="4">
        <v>21.984924620000001</v>
      </c>
      <c r="G284" s="2" t="s">
        <v>61</v>
      </c>
      <c r="H284" s="5">
        <v>796</v>
      </c>
      <c r="I284" s="1" t="s">
        <v>8</v>
      </c>
      <c r="J284" s="18" t="s">
        <v>118</v>
      </c>
      <c r="K284" s="18" t="s">
        <v>164</v>
      </c>
      <c r="L284" s="18">
        <v>4605</v>
      </c>
      <c r="M284" s="18">
        <f>ABS((D284*E284)-L284)</f>
        <v>250</v>
      </c>
      <c r="N284" t="str">
        <f t="shared" si="13"/>
        <v>Unique</v>
      </c>
      <c r="P284" s="31"/>
    </row>
    <row r="285" spans="1:16" ht="39" thickBot="1" x14ac:dyDescent="0.4">
      <c r="A285" s="8" t="s">
        <v>62</v>
      </c>
      <c r="B285" s="8" t="s">
        <v>28</v>
      </c>
      <c r="C285" s="8" t="s">
        <v>7</v>
      </c>
      <c r="D285" s="8">
        <v>5</v>
      </c>
      <c r="E285" s="12">
        <v>1002</v>
      </c>
      <c r="F285" s="4">
        <v>22.12065814</v>
      </c>
      <c r="G285" s="2" t="s">
        <v>125</v>
      </c>
      <c r="H285" s="5">
        <v>820.5</v>
      </c>
      <c r="I285" s="1" t="s">
        <v>8</v>
      </c>
      <c r="J285" s="36"/>
      <c r="N285" s="10" t="str">
        <f t="shared" si="13"/>
        <v>Unique</v>
      </c>
      <c r="O285" s="31"/>
    </row>
    <row r="286" spans="1:16" ht="26.5" thickBot="1" x14ac:dyDescent="0.4">
      <c r="A286" s="8" t="s">
        <v>62</v>
      </c>
      <c r="B286" s="8" t="s">
        <v>128</v>
      </c>
      <c r="C286" s="8" t="s">
        <v>7</v>
      </c>
      <c r="D286" s="8">
        <v>150</v>
      </c>
      <c r="E286" s="12">
        <v>136</v>
      </c>
      <c r="F286" s="4">
        <v>23.670091840000001</v>
      </c>
      <c r="G286" s="2" t="s">
        <v>129</v>
      </c>
      <c r="H286" s="5">
        <v>109.97</v>
      </c>
      <c r="I286" s="1" t="s">
        <v>8</v>
      </c>
      <c r="J286" s="36"/>
      <c r="N286" s="10" t="str">
        <f t="shared" si="13"/>
        <v>Unique</v>
      </c>
    </row>
    <row r="287" spans="1:16" s="31" customFormat="1" ht="39" thickBot="1" x14ac:dyDescent="0.4">
      <c r="A287" s="3">
        <v>46260.550694444442</v>
      </c>
      <c r="B287" s="1" t="s">
        <v>103</v>
      </c>
      <c r="C287" s="1" t="s">
        <v>7</v>
      </c>
      <c r="D287" s="4">
        <v>2</v>
      </c>
      <c r="E287" s="4">
        <v>2787.9</v>
      </c>
      <c r="F287" s="4">
        <v>23.796625219999999</v>
      </c>
      <c r="G287" s="2" t="s">
        <v>104</v>
      </c>
      <c r="H287" s="5">
        <v>2252</v>
      </c>
      <c r="I287" s="1" t="s">
        <v>8</v>
      </c>
      <c r="J287" s="18" t="s">
        <v>118</v>
      </c>
      <c r="K287" s="18" t="s">
        <v>167</v>
      </c>
      <c r="L287" s="18">
        <v>5275.8</v>
      </c>
      <c r="M287" s="18">
        <f>ABS((D287*E287)-L287)</f>
        <v>300</v>
      </c>
      <c r="N287" t="str">
        <f t="shared" si="13"/>
        <v>Unique</v>
      </c>
      <c r="O287" s="10"/>
      <c r="P287" s="10"/>
    </row>
    <row r="288" spans="1:16" s="31" customFormat="1" ht="26.5" thickBot="1" x14ac:dyDescent="0.4">
      <c r="A288" s="8" t="s">
        <v>62</v>
      </c>
      <c r="B288" s="8" t="s">
        <v>17</v>
      </c>
      <c r="C288" s="8" t="s">
        <v>7</v>
      </c>
      <c r="D288" s="8">
        <v>5</v>
      </c>
      <c r="E288" s="12">
        <v>435</v>
      </c>
      <c r="F288" s="4">
        <v>25.613629799999998</v>
      </c>
      <c r="G288" s="2" t="s">
        <v>77</v>
      </c>
      <c r="H288" s="5">
        <v>346.3</v>
      </c>
      <c r="I288" s="1" t="s">
        <v>8</v>
      </c>
      <c r="J288" s="36" t="s">
        <v>118</v>
      </c>
      <c r="K288" s="18"/>
      <c r="L288" s="18"/>
      <c r="M288" s="18"/>
      <c r="N288" s="10" t="str">
        <f t="shared" si="13"/>
        <v>Unique</v>
      </c>
      <c r="O288" s="10"/>
      <c r="P288" s="10"/>
    </row>
    <row r="289" spans="1:16" ht="26.5" thickBot="1" x14ac:dyDescent="0.4">
      <c r="A289" s="11">
        <v>46252.635416666664</v>
      </c>
      <c r="B289" s="8" t="s">
        <v>87</v>
      </c>
      <c r="C289" s="8" t="s">
        <v>7</v>
      </c>
      <c r="D289" s="8">
        <v>10</v>
      </c>
      <c r="E289" s="8">
        <v>1479</v>
      </c>
      <c r="F289" s="4">
        <v>25.979557069999998</v>
      </c>
      <c r="G289" s="2" t="s">
        <v>88</v>
      </c>
      <c r="H289" s="5">
        <v>1174</v>
      </c>
      <c r="I289" s="1" t="s">
        <v>8</v>
      </c>
      <c r="J289" s="36" t="s">
        <v>55</v>
      </c>
      <c r="N289" s="10" t="str">
        <f t="shared" si="13"/>
        <v>Unique</v>
      </c>
    </row>
    <row r="290" spans="1:16" ht="26.5" thickBot="1" x14ac:dyDescent="0.4">
      <c r="A290" s="8" t="s">
        <v>62</v>
      </c>
      <c r="B290" s="8" t="s">
        <v>13</v>
      </c>
      <c r="C290" s="8" t="s">
        <v>7</v>
      </c>
      <c r="D290" s="8">
        <v>10</v>
      </c>
      <c r="E290" s="8">
        <v>2189</v>
      </c>
      <c r="F290" s="4">
        <v>26.239907729999999</v>
      </c>
      <c r="G290" s="2" t="s">
        <v>91</v>
      </c>
      <c r="H290" s="5">
        <v>1734</v>
      </c>
      <c r="I290" s="1" t="s">
        <v>8</v>
      </c>
      <c r="J290" s="36"/>
      <c r="N290" s="10" t="str">
        <f t="shared" si="13"/>
        <v>Unique</v>
      </c>
    </row>
    <row r="291" spans="1:16" s="31" customFormat="1" ht="39" thickBot="1" x14ac:dyDescent="0.4">
      <c r="A291" s="3">
        <v>46259.532638888886</v>
      </c>
      <c r="B291" s="1" t="s">
        <v>96</v>
      </c>
      <c r="C291" s="1" t="s">
        <v>7</v>
      </c>
      <c r="D291" s="4">
        <v>5</v>
      </c>
      <c r="E291" s="4">
        <v>218</v>
      </c>
      <c r="F291" s="4">
        <v>29.76190476</v>
      </c>
      <c r="G291" s="2" t="s">
        <v>97</v>
      </c>
      <c r="H291" s="5">
        <v>168</v>
      </c>
      <c r="I291" s="1" t="s">
        <v>8</v>
      </c>
      <c r="J291" s="36" t="s">
        <v>118</v>
      </c>
      <c r="K291" s="18" t="s">
        <v>160</v>
      </c>
      <c r="L291" s="18">
        <v>840</v>
      </c>
      <c r="M291" s="18">
        <f>ABS((D291*E291)-L291)</f>
        <v>250</v>
      </c>
      <c r="N291" s="10" t="str">
        <f t="shared" si="13"/>
        <v>Unique</v>
      </c>
      <c r="O291" s="10"/>
      <c r="P291" s="10"/>
    </row>
    <row r="292" spans="1:16" ht="26.5" thickBot="1" x14ac:dyDescent="0.4">
      <c r="A292" s="8" t="s">
        <v>62</v>
      </c>
      <c r="B292" s="8" t="s">
        <v>13</v>
      </c>
      <c r="C292" s="8" t="s">
        <v>7</v>
      </c>
      <c r="D292" s="8">
        <v>20</v>
      </c>
      <c r="E292" s="8">
        <v>2310</v>
      </c>
      <c r="F292" s="4">
        <v>33.217993079999999</v>
      </c>
      <c r="G292" s="2" t="s">
        <v>91</v>
      </c>
      <c r="H292" s="5">
        <v>1734</v>
      </c>
      <c r="I292" s="1" t="s">
        <v>8</v>
      </c>
      <c r="J292" s="36"/>
      <c r="N292" s="10" t="str">
        <f t="shared" si="13"/>
        <v>Unique</v>
      </c>
    </row>
    <row r="293" spans="1:16" ht="26.5" thickBot="1" x14ac:dyDescent="0.4">
      <c r="A293" s="53" t="s">
        <v>62</v>
      </c>
      <c r="B293" s="53" t="s">
        <v>13</v>
      </c>
      <c r="C293" s="53" t="s">
        <v>7</v>
      </c>
      <c r="D293" s="53">
        <v>1</v>
      </c>
      <c r="E293" s="53">
        <v>2494</v>
      </c>
      <c r="F293" s="54">
        <v>43.829296419999999</v>
      </c>
      <c r="G293" s="55" t="s">
        <v>91</v>
      </c>
      <c r="H293" s="56">
        <v>1734</v>
      </c>
      <c r="I293" s="57" t="s">
        <v>8</v>
      </c>
      <c r="J293" s="51" t="s">
        <v>118</v>
      </c>
      <c r="K293" s="29"/>
      <c r="L293" s="29"/>
      <c r="M293" s="29"/>
      <c r="N293" s="31" t="str">
        <f t="shared" si="13"/>
        <v>Unique</v>
      </c>
      <c r="O293" s="31"/>
      <c r="P293" s="31"/>
    </row>
    <row r="294" spans="1:16" s="31" customFormat="1" ht="26.5" thickBot="1" x14ac:dyDescent="0.4">
      <c r="A294" s="58">
        <v>46251.506249999999</v>
      </c>
      <c r="B294" s="53" t="s">
        <v>13</v>
      </c>
      <c r="C294" s="53" t="s">
        <v>7</v>
      </c>
      <c r="D294" s="53">
        <v>3</v>
      </c>
      <c r="E294" s="53">
        <v>2494</v>
      </c>
      <c r="F294" s="54">
        <v>43.829296419999999</v>
      </c>
      <c r="G294" s="55" t="s">
        <v>91</v>
      </c>
      <c r="H294" s="56">
        <v>1734</v>
      </c>
      <c r="I294" s="57" t="s">
        <v>8</v>
      </c>
      <c r="J294" s="51" t="s">
        <v>118</v>
      </c>
      <c r="K294" s="29"/>
      <c r="L294" s="29"/>
      <c r="M294" s="29"/>
      <c r="N294" s="31" t="str">
        <f t="shared" si="13"/>
        <v>Unique</v>
      </c>
    </row>
    <row r="295" spans="1:16" s="31" customFormat="1" ht="26.5" thickBot="1" x14ac:dyDescent="0.4">
      <c r="A295" s="8" t="s">
        <v>62</v>
      </c>
      <c r="B295" s="8" t="s">
        <v>141</v>
      </c>
      <c r="C295" s="8" t="s">
        <v>7</v>
      </c>
      <c r="D295" s="8">
        <v>23</v>
      </c>
      <c r="E295" s="12">
        <v>890</v>
      </c>
      <c r="F295" s="6" t="e">
        <v>#N/A</v>
      </c>
      <c r="G295" s="2" t="s">
        <v>142</v>
      </c>
      <c r="H295" s="7" t="e">
        <v>#N/A</v>
      </c>
      <c r="I295" s="1" t="s">
        <v>8</v>
      </c>
      <c r="J295" s="36" t="s">
        <v>117</v>
      </c>
      <c r="K295" s="18"/>
      <c r="L295" s="18"/>
      <c r="M295" s="18"/>
      <c r="N295" s="10" t="str">
        <f t="shared" si="13"/>
        <v>Unique</v>
      </c>
      <c r="O295" s="10"/>
      <c r="P295" s="10"/>
    </row>
    <row r="296" spans="1:16" x14ac:dyDescent="0.35">
      <c r="A296" t="s">
        <v>0</v>
      </c>
      <c r="B296" t="s">
        <v>1</v>
      </c>
      <c r="C296" t="s">
        <v>2</v>
      </c>
      <c r="D296" t="s">
        <v>3</v>
      </c>
      <c r="E296" t="s">
        <v>4</v>
      </c>
      <c r="F296" t="s">
        <v>5</v>
      </c>
      <c r="N296" s="10" t="str">
        <f t="shared" si="13"/>
        <v>Unique</v>
      </c>
    </row>
    <row r="297" spans="1:16" x14ac:dyDescent="0.35">
      <c r="A297" t="s">
        <v>311</v>
      </c>
      <c r="B297" t="s">
        <v>12</v>
      </c>
      <c r="C297" t="s">
        <v>7</v>
      </c>
      <c r="D297">
        <v>1</v>
      </c>
      <c r="E297">
        <v>4724</v>
      </c>
      <c r="F297" t="s">
        <v>30</v>
      </c>
      <c r="K297" s="18" t="s">
        <v>316</v>
      </c>
      <c r="L297" s="18">
        <v>4724</v>
      </c>
      <c r="M297" s="18">
        <f>ABS((D297*E297)-L297)</f>
        <v>0</v>
      </c>
      <c r="N297" s="10" t="str">
        <f t="shared" si="13"/>
        <v>Duplicate</v>
      </c>
    </row>
    <row r="298" spans="1:16" x14ac:dyDescent="0.35">
      <c r="A298" t="s">
        <v>312</v>
      </c>
      <c r="B298" t="s">
        <v>74</v>
      </c>
      <c r="C298" t="s">
        <v>10</v>
      </c>
      <c r="D298">
        <v>2</v>
      </c>
      <c r="E298">
        <v>3183.6</v>
      </c>
      <c r="F298" t="s">
        <v>30</v>
      </c>
      <c r="K298" s="18" t="s">
        <v>317</v>
      </c>
      <c r="L298" s="18">
        <v>6367.2</v>
      </c>
      <c r="M298" s="18">
        <f t="shared" ref="M298:M301" si="14">ABS((D298*E298)-L298)</f>
        <v>0</v>
      </c>
      <c r="N298" s="10" t="str">
        <f t="shared" si="13"/>
        <v>Unique</v>
      </c>
    </row>
    <row r="299" spans="1:16" x14ac:dyDescent="0.35">
      <c r="A299" t="s">
        <v>313</v>
      </c>
      <c r="B299" t="s">
        <v>51</v>
      </c>
      <c r="C299" t="s">
        <v>10</v>
      </c>
      <c r="D299">
        <v>30</v>
      </c>
      <c r="E299">
        <v>897</v>
      </c>
      <c r="F299" t="s">
        <v>30</v>
      </c>
      <c r="K299" s="18" t="s">
        <v>318</v>
      </c>
      <c r="L299" s="18">
        <v>26910</v>
      </c>
      <c r="M299" s="18">
        <f t="shared" si="14"/>
        <v>0</v>
      </c>
      <c r="N299" s="10" t="str">
        <f t="shared" si="13"/>
        <v>Unique</v>
      </c>
    </row>
    <row r="300" spans="1:16" x14ac:dyDescent="0.35">
      <c r="A300" t="s">
        <v>314</v>
      </c>
      <c r="B300" t="s">
        <v>13</v>
      </c>
      <c r="C300" t="s">
        <v>7</v>
      </c>
      <c r="D300">
        <v>5</v>
      </c>
      <c r="E300">
        <v>1794</v>
      </c>
      <c r="F300" t="s">
        <v>30</v>
      </c>
      <c r="K300" s="18" t="s">
        <v>319</v>
      </c>
      <c r="L300" s="18">
        <v>8970</v>
      </c>
      <c r="M300" s="18">
        <f t="shared" si="14"/>
        <v>0</v>
      </c>
      <c r="N300" s="10" t="str">
        <f t="shared" si="13"/>
        <v>Duplicate</v>
      </c>
    </row>
    <row r="301" spans="1:16" x14ac:dyDescent="0.35">
      <c r="A301" t="s">
        <v>315</v>
      </c>
      <c r="B301" t="s">
        <v>43</v>
      </c>
      <c r="C301" t="s">
        <v>7</v>
      </c>
      <c r="D301">
        <v>10</v>
      </c>
      <c r="E301">
        <v>747</v>
      </c>
      <c r="F301" t="s">
        <v>30</v>
      </c>
      <c r="K301" s="18" t="s">
        <v>320</v>
      </c>
      <c r="L301" s="18">
        <v>7470</v>
      </c>
      <c r="M301" s="18">
        <f t="shared" si="14"/>
        <v>0</v>
      </c>
      <c r="N301" s="10" t="str">
        <f t="shared" si="13"/>
        <v>Unique</v>
      </c>
    </row>
  </sheetData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2"/>
  <sheetViews>
    <sheetView workbookViewId="0">
      <selection activeCell="I2" sqref="I2:J6"/>
    </sheetView>
  </sheetViews>
  <sheetFormatPr defaultRowHeight="14.5" x14ac:dyDescent="0.35"/>
  <cols>
    <col min="1" max="1" width="19.54296875" customWidth="1"/>
    <col min="2" max="2" width="14.6328125" customWidth="1"/>
    <col min="9" max="9" width="15.453125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2" x14ac:dyDescent="0.35">
      <c r="A2" t="s">
        <v>311</v>
      </c>
      <c r="B2" t="s">
        <v>12</v>
      </c>
      <c r="C2" t="s">
        <v>7</v>
      </c>
      <c r="D2">
        <v>1</v>
      </c>
      <c r="E2">
        <v>4724</v>
      </c>
      <c r="F2" t="s">
        <v>30</v>
      </c>
      <c r="I2" t="str">
        <f>C2 &amp; " " &amp; D2 &amp; "*" &amp; E2 &amp; " :" &amp; A2</f>
        <v>S 1*4724 :21 SEP 2026 12:39:17 PM</v>
      </c>
      <c r="J2">
        <f>D2*E2</f>
        <v>4724</v>
      </c>
      <c r="L2" t="str">
        <f t="shared" ref="L2:L12" si="0">IF(COUNTIFS( $B$2:$B$901, B2) &gt; 1, "Duplicate", "Unique")</f>
        <v>Unique</v>
      </c>
    </row>
    <row r="3" spans="1:12" x14ac:dyDescent="0.35">
      <c r="A3" t="s">
        <v>312</v>
      </c>
      <c r="B3" t="s">
        <v>74</v>
      </c>
      <c r="C3" t="s">
        <v>10</v>
      </c>
      <c r="D3">
        <v>2</v>
      </c>
      <c r="E3">
        <v>3183.6</v>
      </c>
      <c r="F3" t="s">
        <v>30</v>
      </c>
      <c r="I3" t="str">
        <f t="shared" ref="I3:I12" si="1">C3 &amp; " " &amp; D3 &amp; "*" &amp; E3 &amp; " :" &amp; A3</f>
        <v>B 2*3183.6 :21 SEP 2026 11:14:00 AM</v>
      </c>
      <c r="J3">
        <f t="shared" ref="J3:J12" si="2">D3*E3</f>
        <v>6367.2</v>
      </c>
      <c r="L3" t="str">
        <f t="shared" si="0"/>
        <v>Unique</v>
      </c>
    </row>
    <row r="4" spans="1:12" x14ac:dyDescent="0.35">
      <c r="A4" t="s">
        <v>313</v>
      </c>
      <c r="B4" t="s">
        <v>51</v>
      </c>
      <c r="C4" t="s">
        <v>10</v>
      </c>
      <c r="D4">
        <v>30</v>
      </c>
      <c r="E4">
        <v>897</v>
      </c>
      <c r="F4" t="s">
        <v>30</v>
      </c>
      <c r="I4" t="str">
        <f t="shared" si="1"/>
        <v>B 30*897 :21 SEP 2026 09:01:06 AM</v>
      </c>
      <c r="J4">
        <f t="shared" si="2"/>
        <v>26910</v>
      </c>
      <c r="L4" t="str">
        <f t="shared" si="0"/>
        <v>Unique</v>
      </c>
    </row>
    <row r="5" spans="1:12" x14ac:dyDescent="0.35">
      <c r="A5" t="s">
        <v>314</v>
      </c>
      <c r="B5" t="s">
        <v>13</v>
      </c>
      <c r="C5" t="s">
        <v>7</v>
      </c>
      <c r="D5">
        <v>5</v>
      </c>
      <c r="E5">
        <v>1794</v>
      </c>
      <c r="F5" t="s">
        <v>30</v>
      </c>
      <c r="I5" t="str">
        <f t="shared" si="1"/>
        <v>S 5*1794 :21 SEP 2026 09:00:24 AM</v>
      </c>
      <c r="J5">
        <f t="shared" si="2"/>
        <v>8970</v>
      </c>
      <c r="L5" t="str">
        <f t="shared" si="0"/>
        <v>Unique</v>
      </c>
    </row>
    <row r="6" spans="1:12" x14ac:dyDescent="0.35">
      <c r="A6" t="s">
        <v>315</v>
      </c>
      <c r="B6" t="s">
        <v>43</v>
      </c>
      <c r="C6" t="s">
        <v>7</v>
      </c>
      <c r="D6">
        <v>10</v>
      </c>
      <c r="E6">
        <v>747</v>
      </c>
      <c r="F6" t="s">
        <v>30</v>
      </c>
      <c r="I6" t="str">
        <f t="shared" si="1"/>
        <v>S 10*747 :21 SEP 2026 09:00:15 AM</v>
      </c>
      <c r="J6">
        <f t="shared" si="2"/>
        <v>7470</v>
      </c>
      <c r="L6" t="str">
        <f t="shared" si="0"/>
        <v>Unique</v>
      </c>
    </row>
    <row r="7" spans="1:12" x14ac:dyDescent="0.35">
      <c r="I7" t="str">
        <f t="shared" si="1"/>
        <v xml:space="preserve"> * :</v>
      </c>
      <c r="J7">
        <f t="shared" si="2"/>
        <v>0</v>
      </c>
      <c r="L7" t="str">
        <f t="shared" si="0"/>
        <v>Unique</v>
      </c>
    </row>
    <row r="8" spans="1:12" x14ac:dyDescent="0.35">
      <c r="I8" t="str">
        <f t="shared" si="1"/>
        <v xml:space="preserve"> * :</v>
      </c>
      <c r="J8">
        <f t="shared" si="2"/>
        <v>0</v>
      </c>
      <c r="L8" t="str">
        <f t="shared" si="0"/>
        <v>Unique</v>
      </c>
    </row>
    <row r="9" spans="1:12" x14ac:dyDescent="0.35">
      <c r="I9" t="str">
        <f t="shared" si="1"/>
        <v xml:space="preserve"> * :</v>
      </c>
      <c r="J9">
        <f t="shared" si="2"/>
        <v>0</v>
      </c>
      <c r="L9" t="str">
        <f t="shared" si="0"/>
        <v>Unique</v>
      </c>
    </row>
    <row r="10" spans="1:12" x14ac:dyDescent="0.35">
      <c r="I10" t="str">
        <f t="shared" si="1"/>
        <v xml:space="preserve"> * :</v>
      </c>
      <c r="J10">
        <f t="shared" si="2"/>
        <v>0</v>
      </c>
      <c r="L10" t="str">
        <f t="shared" si="0"/>
        <v>Unique</v>
      </c>
    </row>
    <row r="11" spans="1:12" x14ac:dyDescent="0.35">
      <c r="I11" t="str">
        <f t="shared" si="1"/>
        <v xml:space="preserve"> * :</v>
      </c>
      <c r="J11">
        <f t="shared" si="2"/>
        <v>0</v>
      </c>
      <c r="L11" t="str">
        <f t="shared" si="0"/>
        <v>Unique</v>
      </c>
    </row>
    <row r="12" spans="1:12" x14ac:dyDescent="0.35">
      <c r="I12" t="str">
        <f t="shared" si="1"/>
        <v xml:space="preserve"> * :</v>
      </c>
      <c r="J12">
        <f t="shared" si="2"/>
        <v>0</v>
      </c>
      <c r="L12" t="str">
        <f t="shared" si="0"/>
        <v>Unique</v>
      </c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2026-09-21T14:06:54Z</dcterms:modified>
</cp:coreProperties>
</file>