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58856CD6-C6AC-4F11-9B8D-70FCF4220C5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Sheet1!$A$1:$O$283</definedName>
    <definedName name="_xlnm._FilterDatabase" localSheetId="2" hidden="1">'Sheet1 (2)'!$A$1:$O$283</definedName>
    <definedName name="_xlnm._FilterDatabase" localSheetId="1" hidden="1">Sheet2!$A$1:$L$22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3" i="11" l="1"/>
  <c r="M283" i="11"/>
  <c r="N282" i="11"/>
  <c r="M282" i="11"/>
  <c r="N281" i="11"/>
  <c r="M281" i="11"/>
  <c r="N280" i="11"/>
  <c r="M280" i="11"/>
  <c r="N279" i="11"/>
  <c r="M279" i="11"/>
  <c r="N278" i="11"/>
  <c r="M278" i="11"/>
  <c r="N277" i="11"/>
  <c r="M277" i="11"/>
  <c r="N276" i="11"/>
  <c r="M276" i="11"/>
  <c r="N275" i="11"/>
  <c r="M275" i="11"/>
  <c r="N274" i="11"/>
  <c r="M274" i="11"/>
  <c r="N273" i="11"/>
  <c r="M273" i="11"/>
  <c r="N272" i="11"/>
  <c r="M272" i="11"/>
  <c r="N271" i="11"/>
  <c r="M271" i="11"/>
  <c r="N270" i="11"/>
  <c r="M270" i="11"/>
  <c r="N269" i="11"/>
  <c r="M269" i="11"/>
  <c r="N268" i="11"/>
  <c r="M268" i="11"/>
  <c r="N267" i="11"/>
  <c r="M267" i="11"/>
  <c r="N266" i="11"/>
  <c r="M266" i="11"/>
  <c r="N265" i="11"/>
  <c r="M265" i="11"/>
  <c r="N264" i="11"/>
  <c r="M264" i="11"/>
  <c r="N263" i="11"/>
  <c r="M263" i="11"/>
  <c r="N262" i="11"/>
  <c r="M262" i="11"/>
  <c r="N261" i="11"/>
  <c r="N260" i="11"/>
  <c r="N259" i="11"/>
  <c r="M259" i="11"/>
  <c r="N258" i="11"/>
  <c r="M258" i="11"/>
  <c r="N257" i="11"/>
  <c r="M257" i="11"/>
  <c r="N256" i="11"/>
  <c r="M256" i="11"/>
  <c r="N255" i="11"/>
  <c r="M255" i="11"/>
  <c r="N254" i="11"/>
  <c r="M254" i="11"/>
  <c r="N253" i="11"/>
  <c r="M253" i="11"/>
  <c r="N252" i="11"/>
  <c r="M252" i="11"/>
  <c r="N251" i="11"/>
  <c r="M251" i="11"/>
  <c r="N250" i="11"/>
  <c r="N249" i="11"/>
  <c r="M249" i="11"/>
  <c r="N248" i="11"/>
  <c r="M248" i="11"/>
  <c r="N247" i="11"/>
  <c r="M247" i="11"/>
  <c r="N246" i="11"/>
  <c r="M246" i="11"/>
  <c r="N245" i="11"/>
  <c r="N244" i="11"/>
  <c r="M244" i="11"/>
  <c r="N243" i="11"/>
  <c r="M243" i="11"/>
  <c r="N242" i="11"/>
  <c r="N241" i="11"/>
  <c r="M241" i="11"/>
  <c r="N240" i="11"/>
  <c r="M240" i="11"/>
  <c r="N239" i="11"/>
  <c r="M239" i="11"/>
  <c r="N238" i="11"/>
  <c r="M238" i="11"/>
  <c r="N237" i="11"/>
  <c r="M237" i="11"/>
  <c r="N236" i="11"/>
  <c r="N235" i="11"/>
  <c r="M235" i="11"/>
  <c r="N234" i="11"/>
  <c r="N233" i="11"/>
  <c r="N232" i="11"/>
  <c r="N231" i="11"/>
  <c r="M231" i="11"/>
  <c r="N230" i="11"/>
  <c r="M230" i="11"/>
  <c r="N229" i="11"/>
  <c r="N228" i="11"/>
  <c r="M228" i="11"/>
  <c r="N227" i="11"/>
  <c r="M227" i="11"/>
  <c r="N226" i="11"/>
  <c r="N225" i="11"/>
  <c r="N224" i="11"/>
  <c r="N223" i="11"/>
  <c r="M223" i="11"/>
  <c r="N222" i="11"/>
  <c r="N221" i="11"/>
  <c r="M221" i="11"/>
  <c r="N220" i="11"/>
  <c r="N219" i="11"/>
  <c r="M219" i="11"/>
  <c r="N218" i="11"/>
  <c r="N217" i="11"/>
  <c r="N216" i="11"/>
  <c r="N215" i="11"/>
  <c r="N214" i="11"/>
  <c r="M214" i="11"/>
  <c r="N213" i="11"/>
  <c r="N212" i="11"/>
  <c r="N211" i="11"/>
  <c r="N210" i="11"/>
  <c r="N209" i="11"/>
  <c r="M209" i="11"/>
  <c r="N208" i="11"/>
  <c r="N207" i="11"/>
  <c r="M207" i="11"/>
  <c r="N206" i="11"/>
  <c r="M206" i="11"/>
  <c r="N205" i="11"/>
  <c r="M205" i="11"/>
  <c r="N204" i="11"/>
  <c r="N203" i="11"/>
  <c r="M203" i="11"/>
  <c r="N202" i="11"/>
  <c r="N201" i="11"/>
  <c r="M201" i="11"/>
  <c r="N200" i="11"/>
  <c r="N199" i="11"/>
  <c r="M199" i="11"/>
  <c r="N198" i="11"/>
  <c r="M198" i="11"/>
  <c r="N197" i="11"/>
  <c r="N196" i="11"/>
  <c r="N195" i="11"/>
  <c r="N194" i="11"/>
  <c r="N193" i="11"/>
  <c r="M193" i="11"/>
  <c r="N192" i="11"/>
  <c r="M192" i="11"/>
  <c r="N191" i="11"/>
  <c r="M191" i="11"/>
  <c r="N190" i="11"/>
  <c r="M190" i="11"/>
  <c r="N189" i="11"/>
  <c r="N188" i="11"/>
  <c r="M188" i="11"/>
  <c r="N187" i="11"/>
  <c r="M187" i="11"/>
  <c r="N186" i="11"/>
  <c r="M186" i="11"/>
  <c r="N185" i="11"/>
  <c r="M185" i="11"/>
  <c r="N184" i="11"/>
  <c r="M184" i="11"/>
  <c r="N183" i="11"/>
  <c r="N182" i="11"/>
  <c r="N181" i="11"/>
  <c r="N180" i="11"/>
  <c r="N179" i="11"/>
  <c r="M179" i="11"/>
  <c r="N178" i="11"/>
  <c r="N177" i="11"/>
  <c r="M177" i="11"/>
  <c r="N176" i="11"/>
  <c r="M176" i="11"/>
  <c r="N175" i="11"/>
  <c r="N174" i="11"/>
  <c r="M174" i="11"/>
  <c r="N173" i="11"/>
  <c r="M173" i="11"/>
  <c r="N172" i="11"/>
  <c r="N171" i="11"/>
  <c r="M171" i="11"/>
  <c r="N170" i="11"/>
  <c r="N169" i="11"/>
  <c r="N168" i="11"/>
  <c r="N167" i="11"/>
  <c r="N166" i="11"/>
  <c r="N165" i="11"/>
  <c r="N164" i="11"/>
  <c r="N163" i="11"/>
  <c r="N162" i="11"/>
  <c r="M162" i="11"/>
  <c r="N161" i="11"/>
  <c r="M161" i="11"/>
  <c r="N160" i="11"/>
  <c r="M160" i="11"/>
  <c r="N159" i="11"/>
  <c r="N158" i="11"/>
  <c r="N157" i="11"/>
  <c r="N156" i="11"/>
  <c r="N155" i="11"/>
  <c r="N154" i="11"/>
  <c r="M154" i="11"/>
  <c r="N153" i="11"/>
  <c r="N152" i="11"/>
  <c r="M152" i="11"/>
  <c r="N151" i="11"/>
  <c r="M151" i="11"/>
  <c r="N150" i="11"/>
  <c r="N149" i="11"/>
  <c r="N148" i="11"/>
  <c r="N147" i="11"/>
  <c r="N146" i="11"/>
  <c r="N145" i="11"/>
  <c r="N144" i="11"/>
  <c r="N143" i="11"/>
  <c r="N142" i="11"/>
  <c r="M142" i="11"/>
  <c r="N141" i="11"/>
  <c r="N140" i="11"/>
  <c r="N139" i="11"/>
  <c r="N138" i="11"/>
  <c r="M138" i="11"/>
  <c r="N137" i="11"/>
  <c r="M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M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M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M67" i="11"/>
  <c r="N66" i="11"/>
  <c r="N65" i="11"/>
  <c r="N64" i="11"/>
  <c r="N63" i="11"/>
  <c r="N62" i="11"/>
  <c r="N61" i="11"/>
  <c r="N60" i="11"/>
  <c r="N59" i="11"/>
  <c r="N58" i="11"/>
  <c r="N57" i="11"/>
  <c r="N56" i="11"/>
  <c r="M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M34" i="11"/>
  <c r="N33" i="11"/>
  <c r="N32" i="11"/>
  <c r="N31" i="11"/>
  <c r="N30" i="11"/>
  <c r="N29" i="11"/>
  <c r="M29" i="11"/>
  <c r="N28" i="11"/>
  <c r="N27" i="11"/>
  <c r="N26" i="11"/>
  <c r="N25" i="11"/>
  <c r="N24" i="11"/>
  <c r="M24" i="11"/>
  <c r="N23" i="11"/>
  <c r="N22" i="11"/>
  <c r="M22" i="11"/>
  <c r="N21" i="11"/>
  <c r="N20" i="11"/>
  <c r="M20" i="11"/>
  <c r="N19" i="11"/>
  <c r="N18" i="11"/>
  <c r="N17" i="11"/>
  <c r="N16" i="11"/>
  <c r="N15" i="11"/>
  <c r="M15" i="11"/>
  <c r="N14" i="11"/>
  <c r="N13" i="11"/>
  <c r="N12" i="11"/>
  <c r="M12" i="11"/>
  <c r="N11" i="11"/>
  <c r="N10" i="11"/>
  <c r="N9" i="11"/>
  <c r="M9" i="11"/>
  <c r="N8" i="11"/>
  <c r="M8" i="11"/>
  <c r="N7" i="11"/>
  <c r="N6" i="11"/>
  <c r="N5" i="11"/>
  <c r="N4" i="11"/>
  <c r="M4" i="11"/>
  <c r="N3" i="11"/>
  <c r="M3" i="11"/>
  <c r="N2" i="11"/>
  <c r="M2" i="11"/>
  <c r="M267" i="1"/>
  <c r="N267" i="1"/>
  <c r="N263" i="1"/>
  <c r="N264" i="1"/>
  <c r="N265" i="1"/>
  <c r="N266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M264" i="1"/>
  <c r="M265" i="1"/>
  <c r="M266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63" i="1"/>
  <c r="N260" i="1"/>
  <c r="M4" i="1"/>
  <c r="N4" i="1"/>
  <c r="M186" i="1"/>
  <c r="M227" i="1"/>
  <c r="M205" i="1"/>
  <c r="M228" i="1"/>
  <c r="M214" i="1"/>
  <c r="M256" i="1"/>
  <c r="M193" i="1"/>
  <c r="M203" i="1"/>
  <c r="M246" i="1"/>
  <c r="M237" i="1"/>
  <c r="M243" i="1"/>
  <c r="M257" i="1"/>
  <c r="M238" i="1"/>
  <c r="M192" i="1"/>
  <c r="M259" i="1"/>
  <c r="M207" i="1"/>
  <c r="M223" i="1"/>
  <c r="M255" i="1"/>
  <c r="M258" i="1"/>
  <c r="M231" i="1"/>
  <c r="M249" i="1"/>
  <c r="M22" i="1"/>
  <c r="M2" i="1"/>
  <c r="M3" i="1"/>
  <c r="M191" i="1"/>
  <c r="N191" i="1"/>
  <c r="N186" i="1"/>
  <c r="N227" i="1"/>
  <c r="N205" i="1"/>
  <c r="N228" i="1"/>
  <c r="N214" i="1"/>
  <c r="N256" i="1"/>
  <c r="N193" i="1"/>
  <c r="N203" i="1"/>
  <c r="N246" i="1"/>
  <c r="N237" i="1"/>
  <c r="N243" i="1"/>
  <c r="N257" i="1"/>
  <c r="N238" i="1"/>
  <c r="N192" i="1"/>
  <c r="N259" i="1"/>
  <c r="N207" i="1"/>
  <c r="N223" i="1"/>
  <c r="N255" i="1"/>
  <c r="N258" i="1"/>
  <c r="N231" i="1"/>
  <c r="N249" i="1"/>
  <c r="N22" i="1"/>
  <c r="N2" i="1"/>
  <c r="N3" i="1"/>
  <c r="I5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M67" i="1"/>
  <c r="M262" i="1"/>
  <c r="M221" i="1"/>
  <c r="M171" i="1"/>
  <c r="M190" i="1"/>
  <c r="M244" i="1"/>
  <c r="M199" i="1"/>
  <c r="M230" i="1"/>
  <c r="M239" i="1"/>
  <c r="M248" i="1"/>
  <c r="N67" i="1"/>
  <c r="N262" i="1"/>
  <c r="N221" i="1"/>
  <c r="N171" i="1"/>
  <c r="N190" i="1"/>
  <c r="N244" i="1"/>
  <c r="N199" i="1"/>
  <c r="N230" i="1"/>
  <c r="N239" i="1"/>
  <c r="N248" i="1"/>
  <c r="N188" i="1"/>
  <c r="N206" i="1"/>
  <c r="N247" i="1"/>
  <c r="N219" i="1"/>
  <c r="N185" i="1"/>
  <c r="N177" i="1"/>
  <c r="N241" i="1"/>
  <c r="N253" i="1"/>
  <c r="N162" i="1"/>
  <c r="N251" i="1"/>
  <c r="N252" i="1"/>
  <c r="N235" i="1"/>
  <c r="N12" i="1"/>
  <c r="N20" i="1"/>
  <c r="N34" i="1"/>
  <c r="N8" i="1"/>
  <c r="M206" i="1"/>
  <c r="M247" i="1"/>
  <c r="M219" i="1"/>
  <c r="M185" i="1"/>
  <c r="M177" i="1"/>
  <c r="M241" i="1"/>
  <c r="M253" i="1"/>
  <c r="M162" i="1"/>
  <c r="M251" i="1"/>
  <c r="M252" i="1"/>
  <c r="M235" i="1"/>
  <c r="M12" i="1"/>
  <c r="M20" i="1"/>
  <c r="M34" i="1"/>
  <c r="M8" i="1"/>
  <c r="M188" i="1"/>
  <c r="M160" i="1" l="1"/>
  <c r="M151" i="1"/>
  <c r="M161" i="1"/>
  <c r="M201" i="1"/>
  <c r="M254" i="1"/>
  <c r="M138" i="1"/>
  <c r="M176" i="1"/>
  <c r="M56" i="1"/>
  <c r="M15" i="1"/>
  <c r="M240" i="1"/>
  <c r="M198" i="1"/>
  <c r="M179" i="1"/>
  <c r="N179" i="1"/>
  <c r="N240" i="1"/>
  <c r="N198" i="1"/>
  <c r="N160" i="1"/>
  <c r="N151" i="1"/>
  <c r="N161" i="1"/>
  <c r="N201" i="1"/>
  <c r="N254" i="1"/>
  <c r="N138" i="1"/>
  <c r="N176" i="1"/>
  <c r="N56" i="1"/>
  <c r="N15" i="1"/>
  <c r="J5" i="5"/>
  <c r="L5" i="5"/>
  <c r="I6" i="5"/>
  <c r="J6" i="5"/>
  <c r="L6" i="5"/>
  <c r="I7" i="5"/>
  <c r="J7" i="5"/>
  <c r="L7" i="5"/>
  <c r="M119" i="1"/>
  <c r="M187" i="1"/>
  <c r="M152" i="1"/>
  <c r="M174" i="1"/>
  <c r="N119" i="1"/>
  <c r="N187" i="1"/>
  <c r="N152" i="1"/>
  <c r="N174" i="1"/>
  <c r="I3" i="5"/>
  <c r="J3" i="5"/>
  <c r="I4" i="5"/>
  <c r="J4" i="5"/>
  <c r="L3" i="5"/>
  <c r="L4" i="5"/>
  <c r="M154" i="1"/>
  <c r="M209" i="1"/>
  <c r="M173" i="1"/>
  <c r="M142" i="1"/>
  <c r="M84" i="1"/>
  <c r="M24" i="1"/>
  <c r="N24" i="1"/>
  <c r="N84" i="1"/>
  <c r="N142" i="1"/>
  <c r="N173" i="1"/>
  <c r="N209" i="1"/>
  <c r="N154" i="1"/>
  <c r="M9" i="1" l="1"/>
  <c r="M29" i="1"/>
  <c r="M184" i="1"/>
  <c r="M137" i="1"/>
  <c r="J2" i="5"/>
  <c r="I2" i="5"/>
  <c r="L2" i="5"/>
  <c r="N29" i="1"/>
  <c r="N9" i="1"/>
  <c r="N184" i="1"/>
  <c r="N137" i="1"/>
  <c r="N233" i="1" l="1"/>
  <c r="N96" i="1"/>
  <c r="N18" i="1"/>
  <c r="N32" i="1"/>
  <c r="N27" i="1"/>
  <c r="N14" i="1"/>
  <c r="N46" i="1"/>
  <c r="N13" i="1"/>
  <c r="N47" i="1"/>
  <c r="N5" i="1"/>
  <c r="N7" i="1"/>
  <c r="N10" i="1"/>
  <c r="N90" i="1"/>
  <c r="N6" i="1"/>
  <c r="N73" i="1"/>
  <c r="N74" i="1"/>
  <c r="N58" i="1"/>
  <c r="N40" i="1"/>
  <c r="N37" i="1"/>
  <c r="N38" i="1"/>
  <c r="N63" i="1"/>
  <c r="N21" i="1"/>
  <c r="N68" i="1"/>
  <c r="N61" i="1"/>
  <c r="N19" i="1"/>
  <c r="N49" i="1"/>
  <c r="N79" i="1"/>
  <c r="N44" i="1"/>
  <c r="N60" i="1"/>
  <c r="N23" i="1"/>
  <c r="N102" i="1"/>
  <c r="N11" i="1"/>
  <c r="N87" i="1"/>
  <c r="N93" i="1"/>
  <c r="N43" i="1"/>
  <c r="N35" i="1"/>
  <c r="N57" i="1"/>
  <c r="N16" i="1"/>
  <c r="N52" i="1"/>
  <c r="N65" i="1"/>
  <c r="N48" i="1"/>
  <c r="N45" i="1"/>
  <c r="N108" i="1"/>
  <c r="N70" i="1"/>
  <c r="N76" i="1"/>
  <c r="N62" i="1"/>
  <c r="N31" i="1"/>
  <c r="N59" i="1"/>
  <c r="N64" i="1"/>
  <c r="N54" i="1"/>
  <c r="N83" i="1"/>
  <c r="N71" i="1"/>
  <c r="N39" i="1"/>
  <c r="N80" i="1"/>
  <c r="N86" i="1"/>
  <c r="N17" i="1"/>
  <c r="N30" i="1"/>
  <c r="N69" i="1"/>
  <c r="N98" i="1"/>
  <c r="N55" i="1"/>
  <c r="N81" i="1"/>
  <c r="N95" i="1"/>
  <c r="N28" i="1"/>
  <c r="N75" i="1"/>
  <c r="N99" i="1"/>
  <c r="N78" i="1"/>
  <c r="N36" i="1"/>
  <c r="N88" i="1"/>
  <c r="N26" i="1"/>
  <c r="N72" i="1"/>
  <c r="N50" i="1"/>
  <c r="N25" i="1"/>
  <c r="N94" i="1"/>
  <c r="N42" i="1"/>
  <c r="N51" i="1"/>
  <c r="N107" i="1"/>
  <c r="N92" i="1"/>
  <c r="N41" i="1"/>
  <c r="N97" i="1"/>
  <c r="N53" i="1"/>
  <c r="N89" i="1"/>
  <c r="N101" i="1"/>
  <c r="N100" i="1"/>
  <c r="N77" i="1"/>
  <c r="N110" i="1"/>
  <c r="N104" i="1"/>
  <c r="N82" i="1"/>
  <c r="N85" i="1"/>
  <c r="N103" i="1"/>
  <c r="N113" i="1"/>
  <c r="N66" i="1"/>
  <c r="N105" i="1"/>
  <c r="N106" i="1"/>
  <c r="N91" i="1"/>
  <c r="N109" i="1"/>
  <c r="N111" i="1"/>
  <c r="N112" i="1"/>
  <c r="N114" i="1"/>
  <c r="N224" i="1"/>
  <c r="N215" i="1"/>
  <c r="N232" i="1"/>
  <c r="N250" i="1"/>
  <c r="N229" i="1"/>
  <c r="N225" i="1"/>
  <c r="N234" i="1"/>
  <c r="N220" i="1"/>
  <c r="N245" i="1"/>
  <c r="N165" i="1"/>
  <c r="N212" i="1"/>
  <c r="N196" i="1"/>
  <c r="N158" i="1"/>
  <c r="N226" i="1"/>
  <c r="N202" i="1"/>
  <c r="N217" i="1"/>
  <c r="N195" i="1"/>
  <c r="N204" i="1"/>
  <c r="N261" i="1"/>
  <c r="N183" i="1"/>
  <c r="N213" i="1"/>
  <c r="N178" i="1"/>
  <c r="N216" i="1"/>
  <c r="N130" i="1"/>
  <c r="N147" i="1"/>
  <c r="N145" i="1"/>
  <c r="N133" i="1"/>
  <c r="N222" i="1"/>
  <c r="N168" i="1"/>
  <c r="N156" i="1"/>
  <c r="N194" i="1"/>
  <c r="N242" i="1"/>
  <c r="N172" i="1"/>
  <c r="N169" i="1"/>
  <c r="N170" i="1"/>
  <c r="N189" i="1"/>
  <c r="N218" i="1"/>
  <c r="N200" i="1"/>
  <c r="N182" i="1"/>
  <c r="N181" i="1"/>
  <c r="N175" i="1"/>
  <c r="N211" i="1"/>
  <c r="N163" i="1"/>
  <c r="N132" i="1"/>
  <c r="N180" i="1"/>
  <c r="N149" i="1"/>
  <c r="N159" i="1"/>
  <c r="N197" i="1"/>
  <c r="N128" i="1"/>
  <c r="N166" i="1"/>
  <c r="N164" i="1"/>
  <c r="N123" i="1"/>
  <c r="N153" i="1"/>
  <c r="N144" i="1"/>
  <c r="N126" i="1"/>
  <c r="N148" i="1"/>
  <c r="N155" i="1"/>
  <c r="N122" i="1"/>
  <c r="N143" i="1"/>
  <c r="N157" i="1"/>
  <c r="N127" i="1"/>
  <c r="N150" i="1"/>
  <c r="N140" i="1"/>
  <c r="N124" i="1"/>
  <c r="N135" i="1"/>
  <c r="N146" i="1"/>
  <c r="N208" i="1"/>
  <c r="N136" i="1"/>
  <c r="N141" i="1"/>
  <c r="N120" i="1"/>
  <c r="N139" i="1"/>
  <c r="N134" i="1"/>
  <c r="N131" i="1"/>
  <c r="N129" i="1"/>
  <c r="N118" i="1"/>
  <c r="N125" i="1"/>
  <c r="N121" i="1"/>
  <c r="N116" i="1"/>
  <c r="N117" i="1"/>
  <c r="N115" i="1"/>
  <c r="N210" i="1"/>
  <c r="N167" i="1"/>
  <c r="N236" i="1"/>
  <c r="N33" i="1"/>
</calcChain>
</file>

<file path=xl/sharedStrings.xml><?xml version="1.0" encoding="utf-8"?>
<sst xmlns="http://schemas.openxmlformats.org/spreadsheetml/2006/main" count="3145" uniqueCount="273">
  <si>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</si>
  <si>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</si>
  <si>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</si>
  <si>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</si>
  <si>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</si>
  <si>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</si>
  <si>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</si>
  <si>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</si>
  <si>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</si>
  <si>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</si>
  <si>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</si>
  <si>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</si>
  <si>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</si>
  <si>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</si>
  <si>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</si>
  <si>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</si>
  <si>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</si>
  <si>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</si>
  <si>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</si>
  <si>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</si>
  <si>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</si>
  <si>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</si>
  <si>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</si>
  <si>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</si>
  <si>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</si>
  <si>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</si>
  <si>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</si>
  <si>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</si>
  <si>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</si>
  <si>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</si>
  <si>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</si>
  <si>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</si>
  <si>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</si>
  <si>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</si>
  <si>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</si>
  <si>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</si>
  <si>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</si>
  <si>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</si>
  <si>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</si>
  <si>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</si>
  <si>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</si>
  <si>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</si>
  <si>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</si>
  <si>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</si>
  <si>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</si>
  <si>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</si>
  <si>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</si>
  <si>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</si>
  <si>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</si>
  <si>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</si>
  <si>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</si>
  <si>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</si>
  <si>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</si>
  <si>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</si>
  <si>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</si>
  <si>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</si>
  <si>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</si>
  <si>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</si>
  <si>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</si>
  <si>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</si>
  <si>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</si>
  <si>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</si>
  <si>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</si>
  <si>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</si>
  <si>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</si>
  <si>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</si>
  <si>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</si>
  <si>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</si>
  <si>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</si>
  <si>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</si>
  <si>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</si>
  <si>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</si>
  <si>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</si>
  <si>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</si>
  <si>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</si>
  <si>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</si>
  <si>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</si>
  <si>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</si>
  <si>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</si>
  <si>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</si>
  <si>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</si>
  <si>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</si>
  <si>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</si>
  <si>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</si>
  <si>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</si>
  <si>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</si>
  <si>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</si>
  <si>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</si>
  <si>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</si>
  <si>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</si>
  <si>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</si>
  <si>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</si>
  <si>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</si>
  <si>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</si>
  <si>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</si>
  <si>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</si>
  <si>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</si>
  <si>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</si>
  <si>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</si>
  <si>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</si>
  <si>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</si>
  <si>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</si>
  <si>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</si>
  <si>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</si>
  <si>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</si>
  <si>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</si>
  <si>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</si>
  <si>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</si>
  <si>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</si>
  <si>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</si>
  <si>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</si>
  <si>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</si>
  <si>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</si>
  <si>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</si>
  <si>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</si>
  <si>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</si>
  <si>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</si>
  <si>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</si>
  <si>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</si>
  <si>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</si>
  <si>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</si>
  <si>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</si>
  <si>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</si>
  <si>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</si>
  <si>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</si>
  <si>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</si>
  <si>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</si>
  <si>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</si>
  <si>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</si>
  <si>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</si>
  <si>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</si>
  <si>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</si>
  <si>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</si>
  <si>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</si>
  <si>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</si>
  <si>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</si>
  <si>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</si>
  <si>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</si>
  <si>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</si>
  <si>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</si>
  <si>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</si>
  <si>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</si>
  <si>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</si>
  <si>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</si>
  <si>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</si>
  <si>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</si>
  <si>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</si>
  <si>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</si>
  <si>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</si>
  <si>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</si>
  <si>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</si>
  <si>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</si>
  <si>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</si>
  <si>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</si>
  <si>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</si>
  <si>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</si>
  <si>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</si>
  <si>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</si>
  <si>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</si>
  <si>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</si>
  <si>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</si>
  <si>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</si>
  <si>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</si>
  <si>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</si>
  <si>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</si>
  <si>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</si>
  <si>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</si>
  <si>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</si>
  <si>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</si>
  <si>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</si>
  <si>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</si>
  <si>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</si>
  <si>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</si>
  <si>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</si>
  <si>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</si>
  <si>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</si>
  <si>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</si>
  <si>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</si>
  <si>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</si>
  <si>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</si>
  <si>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3/7*1424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</si>
  <si>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</si>
  <si>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</si>
  <si>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</si>
  <si>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</si>
  <si>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</si>
  <si>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</si>
  <si>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</si>
  <si>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</si>
  <si>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</si>
  <si>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</si>
  <si>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</si>
  <si>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</si>
  <si>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</si>
  <si>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</si>
  <si>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</si>
  <si>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</si>
  <si>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</si>
  <si>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</si>
  <si>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</si>
  <si>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</si>
  <si>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</si>
  <si>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</si>
  <si>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</si>
  <si>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</si>
  <si>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</si>
  <si>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</si>
  <si>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</si>
  <si>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</si>
  <si>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OLECTRAEQ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</si>
  <si>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</si>
  <si>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</si>
  <si>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</si>
  <si>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</si>
  <si>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</si>
  <si>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</si>
  <si>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</si>
  <si>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</si>
  <si>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</si>
  <si>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</si>
  <si>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90*290.5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</si>
  <si>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</si>
  <si>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</si>
  <si>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</si>
  <si>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</si>
  <si>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</si>
  <si>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</si>
  <si>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</si>
  <si>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</si>
  <si>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</si>
  <si>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</si>
  <si>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</si>
  <si>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S 15*1040 :31 AUG 2026 09:01:11 AM</t>
  </si>
  <si>
    <t>S 100*344.5 :31 AUG 2026 09:01:12 AM</t>
  </si>
  <si>
    <t>B 250*221.53 : IN 3 STEPS: 31 AUG 2026 09:25:44 AM</t>
  </si>
  <si>
    <t>NSE:OLECTRA</t>
  </si>
  <si>
    <t>01 SEP 2026 12:14:15 PM</t>
  </si>
  <si>
    <t>SYMBIOTECEQ</t>
  </si>
  <si>
    <t>01 SEP 2026 10:53:35 AM</t>
  </si>
  <si>
    <t>01 SEP 2026 10:30:49 AM</t>
  </si>
  <si>
    <t>01 SEP 2026 09:31:06 AM</t>
  </si>
  <si>
    <t>01 SEP 2026 09:01:08 AM</t>
  </si>
  <si>
    <t>01 SEP 2026 09:01:03 AM</t>
  </si>
  <si>
    <t>01 SEP 2026 09:01:00 AM</t>
  </si>
  <si>
    <t>01 SEP 2026 09:01:01 AM</t>
  </si>
  <si>
    <t>01 SEP 2026 09:00:59 AM</t>
  </si>
  <si>
    <t>01 SEP 2026 09:00:57 AM</t>
  </si>
  <si>
    <t>01 SEP 2026 09:00:58 AM</t>
  </si>
  <si>
    <t>01 SEP 2026 03:25:36 PM</t>
  </si>
  <si>
    <t>01 SEP 2026 09:00:56 AM</t>
  </si>
  <si>
    <t>01 SEP 2026 09:00:55 AM</t>
  </si>
  <si>
    <t>01 SEP 2026 09:00:45 AM</t>
  </si>
  <si>
    <t>B 20*291 :01 SEP 2026 12:14:15 PM</t>
  </si>
  <si>
    <t>B 3*1614 :01 SEP 2026 10:53:35 AM</t>
  </si>
  <si>
    <t>B 10*1260 :01 SEP 2026 09:31:06 AM</t>
  </si>
  <si>
    <t>S 5*649 :01 SEP 2026 09:01:08 AM</t>
  </si>
  <si>
    <t>B 5*1188 :01 SEP 2026 09:01:03 AM</t>
  </si>
  <si>
    <t>B 25*752 :01 SEP 2026 09:01:03 AM</t>
  </si>
  <si>
    <t>B 5*1664 :01 SEP 2026 09:01:00 AM</t>
  </si>
  <si>
    <t>B 3*2526 :01 SEP 2026 09:01:01 AM</t>
  </si>
  <si>
    <t>B 10*1251 :01 SEP 2026 09:00:59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</si>
  <si>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</si>
  <si>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</si>
  <si>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</si>
  <si>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</si>
  <si>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</si>
  <si>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</si>
  <si>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1*20050 :01 SEP 2026 09:00:55 AM</t>
  </si>
  <si>
    <t>B 15*1005 :01 SEP 2026 09:00:55 AM</t>
  </si>
  <si>
    <t>S 5*647 :01 SEP 2026 09:00:45 AM</t>
  </si>
  <si>
    <t>S 25*360 :01 SEP 2026 09:00:45 AM</t>
  </si>
  <si>
    <t>S 40*219 :01 SEP 2026 09:00:45 AM</t>
  </si>
  <si>
    <t>NSE:SYMBIOTEC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</si>
</sst>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3"/>
  <sheetViews>
    <sheetView tabSelected="1" topLeftCell="A269" zoomScaleNormal="100" workbookViewId="0">
      <selection sqref="A1:I28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154</v>
      </c>
      <c r="L1" s="20" t="s">
        <v>155</v>
      </c>
      <c r="M1" s="20" t="s">
        <v>156</v>
      </c>
    </row>
    <row r="2" spans="1:15" customFormat="1" ht="27.65" customHeight="1" thickBot="1" x14ac:dyDescent="0.4">
      <c r="A2" s="3">
        <v>46265.375694444447</v>
      </c>
      <c r="B2" s="1" t="s">
        <v>119</v>
      </c>
      <c r="C2" s="1" t="s">
        <v>10</v>
      </c>
      <c r="D2" s="4">
        <v>15</v>
      </c>
      <c r="E2" s="4">
        <v>1010</v>
      </c>
      <c r="F2" s="4">
        <v>0.69790628119999998</v>
      </c>
      <c r="G2" s="2" t="s">
        <v>120</v>
      </c>
      <c r="H2" s="5">
        <v>1003</v>
      </c>
      <c r="I2" s="1" t="s">
        <v>8</v>
      </c>
      <c r="J2" s="29" t="s">
        <v>55</v>
      </c>
      <c r="K2" s="20" t="s">
        <v>232</v>
      </c>
      <c r="L2" s="20">
        <v>15600</v>
      </c>
      <c r="M2" s="20">
        <f>ABS((D2*E2)-L2)</f>
        <v>450</v>
      </c>
      <c r="N2" t="str">
        <f>IF(COUNTIFS( $B$2:$B$842, B2, $C$2:$C$842, C2, $D$2:$D$842, D2, $E$2:$E$842, E2) &gt; 1, "Duplicate", "Unique")</f>
        <v>Unique</v>
      </c>
      <c r="O2" s="20"/>
    </row>
    <row r="3" spans="1:15" customFormat="1" ht="27.65" customHeight="1" thickBot="1" x14ac:dyDescent="0.4">
      <c r="A3" s="3">
        <v>46265.375694444447</v>
      </c>
      <c r="B3" s="1" t="s">
        <v>14</v>
      </c>
      <c r="C3" s="1" t="s">
        <v>10</v>
      </c>
      <c r="D3" s="4">
        <v>100</v>
      </c>
      <c r="E3" s="4">
        <v>337</v>
      </c>
      <c r="F3" s="4">
        <v>-0.73637702500000002</v>
      </c>
      <c r="G3" s="2" t="s">
        <v>45</v>
      </c>
      <c r="H3" s="5">
        <v>339.5</v>
      </c>
      <c r="I3" s="1" t="s">
        <v>8</v>
      </c>
      <c r="J3" s="29" t="s">
        <v>55</v>
      </c>
      <c r="K3" s="20" t="s">
        <v>233</v>
      </c>
      <c r="L3" s="20">
        <v>34450</v>
      </c>
      <c r="M3" s="20">
        <f>ABS((D3*E3)-L3)</f>
        <v>750</v>
      </c>
      <c r="N3" t="str">
        <f>IF(COUNTIFS( $B$2:$B$842, B3, $C$2:$C$842, C3, $D$2:$D$842, D3, $E$2:$E$842, E3) &gt; 1, "Duplicate", "Unique")</f>
        <v>Unique</v>
      </c>
      <c r="O3" s="20"/>
    </row>
    <row r="4" spans="1:15" customFormat="1" ht="15" customHeight="1" thickBot="1" x14ac:dyDescent="0.4">
      <c r="A4" s="3">
        <v>46258.459722222222</v>
      </c>
      <c r="B4" s="1" t="s">
        <v>14</v>
      </c>
      <c r="C4" s="1" t="s">
        <v>10</v>
      </c>
      <c r="D4" s="4">
        <v>50</v>
      </c>
      <c r="E4" s="4">
        <v>335.1</v>
      </c>
      <c r="F4" s="4">
        <v>-1.296023564</v>
      </c>
      <c r="G4" s="2" t="s">
        <v>45</v>
      </c>
      <c r="H4" s="5">
        <v>339.5</v>
      </c>
      <c r="I4" s="1" t="s">
        <v>8</v>
      </c>
      <c r="J4" s="29" t="s">
        <v>55</v>
      </c>
      <c r="K4" s="20" t="s">
        <v>159</v>
      </c>
      <c r="L4" s="20">
        <v>17050</v>
      </c>
      <c r="M4" s="20">
        <f>ABS((D4*E4)-L4)</f>
        <v>295</v>
      </c>
      <c r="N4" s="12" t="str">
        <f>IF(COUNTIFS( $B$2:$B$842, B4, $C$2:$C$842, C4, $D$2:$D$842, D4, $E$2:$E$842, E4) &gt; 1, "Duplicate", "Unique")</f>
        <v>Unique</v>
      </c>
      <c r="O4" s="20"/>
    </row>
    <row r="5" spans="1:15" customFormat="1" ht="27.65" customHeight="1" thickBot="1" x14ac:dyDescent="0.4">
      <c r="A5" s="6" t="s">
        <v>62</v>
      </c>
      <c r="B5" s="1" t="s">
        <v>49</v>
      </c>
      <c r="C5" s="1" t="s">
        <v>10</v>
      </c>
      <c r="D5" s="4">
        <v>5</v>
      </c>
      <c r="E5" s="4">
        <v>3952</v>
      </c>
      <c r="F5" s="4">
        <v>-1.1752938230000001</v>
      </c>
      <c r="G5" s="2" t="s">
        <v>50</v>
      </c>
      <c r="H5" s="5">
        <v>3999</v>
      </c>
      <c r="I5" s="1" t="s">
        <v>8</v>
      </c>
      <c r="J5" s="24" t="s">
        <v>55</v>
      </c>
      <c r="K5" s="19"/>
      <c r="L5" s="19"/>
      <c r="M5" s="19"/>
      <c r="N5" t="str">
        <f>IF(COUNTIFS( $B$2:$B$842, B5, $C$2:$C$842, C5, $D$2:$D$842, D5, $E$2:$E$842, E5) &gt; 1, "Duplicate", "Unique")</f>
        <v>Unique</v>
      </c>
      <c r="O5" s="19"/>
    </row>
    <row r="6" spans="1:15" customFormat="1" ht="27.65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3938</v>
      </c>
      <c r="F6" s="4">
        <v>-1.525381345</v>
      </c>
      <c r="G6" s="2" t="s">
        <v>50</v>
      </c>
      <c r="H6" s="5">
        <v>3999</v>
      </c>
      <c r="I6" s="1" t="s">
        <v>8</v>
      </c>
      <c r="J6" s="25"/>
      <c r="K6" s="19"/>
      <c r="L6" s="19"/>
      <c r="M6" s="19"/>
      <c r="N6" t="str">
        <f>IF(COUNTIFS( $B$2:$B$842, B6, $C$2:$C$842, C6, $D$2:$D$842, D6, $E$2:$E$842, E6) &gt; 1, "Duplicate", "Unique")</f>
        <v>Unique</v>
      </c>
      <c r="O6" s="19"/>
    </row>
    <row r="7" spans="1:15" customFormat="1" ht="40.75" customHeight="1" thickBot="1" x14ac:dyDescent="0.4">
      <c r="A7" s="3">
        <v>46252.645833333336</v>
      </c>
      <c r="B7" s="1" t="s">
        <v>74</v>
      </c>
      <c r="C7" s="1" t="s">
        <v>10</v>
      </c>
      <c r="D7" s="4">
        <v>2</v>
      </c>
      <c r="E7" s="4">
        <v>3210</v>
      </c>
      <c r="F7" s="4">
        <v>-0.77279752700000004</v>
      </c>
      <c r="G7" s="2" t="s">
        <v>75</v>
      </c>
      <c r="H7" s="5">
        <v>3235</v>
      </c>
      <c r="I7" s="1" t="s">
        <v>8</v>
      </c>
      <c r="J7" s="24" t="s">
        <v>55</v>
      </c>
      <c r="K7" s="19"/>
      <c r="L7" s="19"/>
      <c r="M7" s="19"/>
      <c r="N7" t="str">
        <f>IF(COUNTIFS( $B$2:$B$842, B7, $C$2:$C$842, C7, $D$2:$D$842, D7, $E$2:$E$842, E7) &gt; 1, "Duplicate", "Unique")</f>
        <v>Unique</v>
      </c>
      <c r="O7" s="19"/>
    </row>
    <row r="8" spans="1:15" customFormat="1" ht="27.65" customHeight="1" thickBot="1" x14ac:dyDescent="0.4">
      <c r="A8" s="3">
        <v>46261.375</v>
      </c>
      <c r="B8" s="1" t="s">
        <v>32</v>
      </c>
      <c r="C8" s="1" t="s">
        <v>10</v>
      </c>
      <c r="D8" s="4">
        <v>20</v>
      </c>
      <c r="E8" s="4">
        <v>870</v>
      </c>
      <c r="F8" s="4">
        <v>-2.060114826</v>
      </c>
      <c r="G8" s="2" t="s">
        <v>85</v>
      </c>
      <c r="H8" s="5">
        <v>888.3</v>
      </c>
      <c r="I8" s="1" t="s">
        <v>8</v>
      </c>
      <c r="J8" s="29" t="s">
        <v>41</v>
      </c>
      <c r="K8" s="20" t="s">
        <v>196</v>
      </c>
      <c r="L8" s="20">
        <v>17700</v>
      </c>
      <c r="M8" s="20">
        <f>ABS((D8*E8)-L8)</f>
        <v>300</v>
      </c>
      <c r="N8" s="12" t="str">
        <f>IF(COUNTIFS( $B$2:$B$842, B8, $C$2:$C$842, C8, $D$2:$D$842, D8, $E$2:$E$842, E8) &gt; 1, "Duplicate", "Unique")</f>
        <v>Unique</v>
      </c>
      <c r="O8" s="20"/>
    </row>
    <row r="9" spans="1:15" customFormat="1" ht="27.65" customHeight="1" thickBot="1" x14ac:dyDescent="0.4">
      <c r="A9" s="43">
        <v>46255</v>
      </c>
      <c r="B9" s="44" t="s">
        <v>34</v>
      </c>
      <c r="C9" s="44" t="s">
        <v>10</v>
      </c>
      <c r="D9" s="45">
        <v>1</v>
      </c>
      <c r="E9" s="45">
        <v>19652</v>
      </c>
      <c r="F9" s="4">
        <v>-1.6662496870000001</v>
      </c>
      <c r="G9" s="2" t="s">
        <v>71</v>
      </c>
      <c r="H9" s="5">
        <v>19985</v>
      </c>
      <c r="I9" s="1" t="s">
        <v>8</v>
      </c>
      <c r="J9" s="40" t="s">
        <v>41</v>
      </c>
      <c r="K9" s="41" t="s">
        <v>150</v>
      </c>
      <c r="L9" s="41">
        <v>19992</v>
      </c>
      <c r="M9" s="41">
        <f>ABS((D9*E9)-L9)</f>
        <v>340</v>
      </c>
      <c r="N9" s="42" t="str">
        <f>IF(COUNTIFS( $B$2:$B$842, B9, $C$2:$C$842, C9, $D$2:$D$842, D9, $E$2:$E$842, E9) &gt; 1, "Duplicate", "Unique")</f>
        <v>Unique</v>
      </c>
      <c r="O9" s="41"/>
    </row>
    <row r="10" spans="1:15" customFormat="1" ht="27.65" customHeight="1" thickBot="1" x14ac:dyDescent="0.4">
      <c r="A10" s="3">
        <v>46252.645833333336</v>
      </c>
      <c r="B10" s="1" t="s">
        <v>51</v>
      </c>
      <c r="C10" s="1" t="s">
        <v>10</v>
      </c>
      <c r="D10" s="4">
        <v>10</v>
      </c>
      <c r="E10" s="4">
        <v>927</v>
      </c>
      <c r="F10" s="4">
        <v>-1.256923732</v>
      </c>
      <c r="G10" s="2" t="s">
        <v>52</v>
      </c>
      <c r="H10" s="5">
        <v>938.8</v>
      </c>
      <c r="I10" s="1" t="s">
        <v>8</v>
      </c>
      <c r="J10" s="25"/>
      <c r="K10" s="19"/>
      <c r="L10" s="19"/>
      <c r="M10" s="19"/>
      <c r="N10" t="str">
        <f>IF(COUNTIFS( $B$2:$B$842, B10, $C$2:$C$842, C10, $D$2:$D$842, D10, $E$2:$E$842, E10) &gt; 1, "Duplicate", "Unique")</f>
        <v>Unique</v>
      </c>
      <c r="O10" s="19"/>
    </row>
    <row r="11" spans="1:15" customFormat="1" ht="27.65" customHeight="1" thickBot="1" x14ac:dyDescent="0.4">
      <c r="A11" s="6" t="s">
        <v>62</v>
      </c>
      <c r="B11" s="1" t="s">
        <v>14</v>
      </c>
      <c r="C11" s="1" t="s">
        <v>10</v>
      </c>
      <c r="D11" s="4">
        <v>100</v>
      </c>
      <c r="E11" s="4">
        <v>331</v>
      </c>
      <c r="F11" s="4">
        <v>-2.5036818850000002</v>
      </c>
      <c r="G11" s="2" t="s">
        <v>45</v>
      </c>
      <c r="H11" s="5">
        <v>339.5</v>
      </c>
      <c r="I11" s="1" t="s">
        <v>8</v>
      </c>
      <c r="J11" s="25" t="s">
        <v>55</v>
      </c>
      <c r="K11" s="19"/>
      <c r="L11" s="19"/>
      <c r="M11" s="19"/>
      <c r="N11" t="str">
        <f>IF(COUNTIFS( $B$2:$B$842, B11, $C$2:$C$842, C11, $D$2:$D$842, D11, $E$2:$E$842, E11) &gt; 1, "Duplicate", "Unique")</f>
        <v>Unique</v>
      </c>
      <c r="O11" s="19"/>
    </row>
    <row r="12" spans="1:15" customFormat="1" ht="27.65" customHeight="1" thickBot="1" x14ac:dyDescent="0.4">
      <c r="A12" s="3">
        <v>46261.375</v>
      </c>
      <c r="B12" s="1" t="s">
        <v>23</v>
      </c>
      <c r="C12" s="1" t="s">
        <v>10</v>
      </c>
      <c r="D12" s="4">
        <v>50</v>
      </c>
      <c r="E12" s="4">
        <v>208</v>
      </c>
      <c r="F12" s="4">
        <v>-3.3052856679999998</v>
      </c>
      <c r="G12" s="2" t="s">
        <v>70</v>
      </c>
      <c r="H12" s="5">
        <v>215.11</v>
      </c>
      <c r="I12" s="1" t="s">
        <v>8</v>
      </c>
      <c r="J12" s="29" t="s">
        <v>55</v>
      </c>
      <c r="K12" s="20" t="s">
        <v>193</v>
      </c>
      <c r="L12" s="20">
        <v>10700</v>
      </c>
      <c r="M12" s="20">
        <f>ABS((D12*E12)-L12)</f>
        <v>300</v>
      </c>
      <c r="N12" s="12" t="str">
        <f>IF(COUNTIFS( $B$2:$B$842, B12, $C$2:$C$842, C12, $D$2:$D$842, D12, $E$2:$E$842, E12) &gt; 1, "Duplicate", "Unique")</f>
        <v>Unique</v>
      </c>
      <c r="O12" s="20"/>
    </row>
    <row r="13" spans="1:15" customFormat="1" ht="27.65" customHeight="1" thickBot="1" x14ac:dyDescent="0.4">
      <c r="A13" s="3">
        <v>46252.645138888889</v>
      </c>
      <c r="B13" s="1" t="s">
        <v>68</v>
      </c>
      <c r="C13" s="1" t="s">
        <v>10</v>
      </c>
      <c r="D13" s="4">
        <v>10</v>
      </c>
      <c r="E13" s="4">
        <v>401</v>
      </c>
      <c r="F13" s="4">
        <v>-2.314250914</v>
      </c>
      <c r="G13" s="2" t="s">
        <v>69</v>
      </c>
      <c r="H13" s="5">
        <v>410.5</v>
      </c>
      <c r="I13" s="1" t="s">
        <v>8</v>
      </c>
      <c r="J13" s="27" t="s">
        <v>118</v>
      </c>
      <c r="K13" s="19"/>
      <c r="L13" s="19"/>
      <c r="M13" s="19"/>
      <c r="N13" t="str">
        <f>IF(COUNTIFS( $B$2:$B$842, B13, $C$2:$C$842, C13, $D$2:$D$842, D13, $E$2:$E$842, E13) &gt; 1, "Duplicate", "Unique")</f>
        <v>Unique</v>
      </c>
      <c r="O13" s="19"/>
    </row>
    <row r="14" spans="1:15" customFormat="1" ht="27.65" customHeight="1" thickBot="1" x14ac:dyDescent="0.4">
      <c r="A14" s="3">
        <v>46252.6875</v>
      </c>
      <c r="B14" s="1" t="s">
        <v>24</v>
      </c>
      <c r="C14" s="1" t="s">
        <v>10</v>
      </c>
      <c r="D14" s="4">
        <v>40</v>
      </c>
      <c r="E14" s="4">
        <v>426</v>
      </c>
      <c r="F14" s="4">
        <v>-3.7614368009999999</v>
      </c>
      <c r="G14" s="2" t="s">
        <v>56</v>
      </c>
      <c r="H14" s="5">
        <v>442.65</v>
      </c>
      <c r="I14" s="1" t="s">
        <v>8</v>
      </c>
      <c r="J14" s="25" t="s">
        <v>55</v>
      </c>
      <c r="K14" s="19"/>
      <c r="L14" s="19"/>
      <c r="M14" s="19"/>
      <c r="N14" t="str">
        <f>IF(COUNTIFS( $B$2:$B$842, B14, $C$2:$C$842, C14, $D$2:$D$842, D14, $E$2:$E$842, E14) &gt; 1, "Duplicate", "Unique")</f>
        <v>Unique</v>
      </c>
      <c r="O14" s="19"/>
    </row>
    <row r="15" spans="1:15" customFormat="1" ht="15" customHeight="1" thickBot="1" x14ac:dyDescent="0.4">
      <c r="A15" s="3">
        <v>46260.375</v>
      </c>
      <c r="B15" s="1" t="s">
        <v>78</v>
      </c>
      <c r="C15" s="1" t="s">
        <v>10</v>
      </c>
      <c r="D15" s="4">
        <v>3</v>
      </c>
      <c r="E15" s="4">
        <v>1360</v>
      </c>
      <c r="F15" s="4">
        <v>-2.228612509</v>
      </c>
      <c r="G15" s="2" t="s">
        <v>79</v>
      </c>
      <c r="H15" s="5">
        <v>1391</v>
      </c>
      <c r="I15" s="1" t="s">
        <v>8</v>
      </c>
      <c r="J15" s="29" t="s">
        <v>41</v>
      </c>
      <c r="K15" s="20" t="s">
        <v>180</v>
      </c>
      <c r="L15" s="20">
        <v>9968</v>
      </c>
      <c r="M15" s="20">
        <f>ABS((D15*E15)-L15)</f>
        <v>5888</v>
      </c>
      <c r="N15" t="str">
        <f>IF(COUNTIFS( $B$2:$B$842, B15, $C$2:$C$842, C15, $D$2:$D$842, D15, $E$2:$E$842, E15) &gt; 1, "Duplicate", "Unique")</f>
        <v>Unique</v>
      </c>
      <c r="O15" s="20"/>
    </row>
    <row r="16" spans="1:15" customFormat="1" ht="27.65" customHeight="1" thickBot="1" x14ac:dyDescent="0.4">
      <c r="A16" s="6" t="s">
        <v>62</v>
      </c>
      <c r="B16" s="1" t="s">
        <v>9</v>
      </c>
      <c r="C16" s="1" t="s">
        <v>10</v>
      </c>
      <c r="D16" s="4">
        <v>20</v>
      </c>
      <c r="E16" s="4">
        <v>281</v>
      </c>
      <c r="F16" s="4">
        <v>-2.8186062600000001</v>
      </c>
      <c r="G16" s="2" t="s">
        <v>95</v>
      </c>
      <c r="H16" s="5">
        <v>289.14999999999998</v>
      </c>
      <c r="I16" s="1" t="s">
        <v>8</v>
      </c>
      <c r="J16" s="25"/>
      <c r="K16" s="19"/>
      <c r="L16" s="19"/>
      <c r="M16" s="19"/>
      <c r="N16" t="str">
        <f>IF(COUNTIFS( $B$2:$B$842, B16, $C$2:$C$842, C16, $D$2:$D$842, D16, $E$2:$E$842, E16) &gt; 1, "Duplicate", "Unique")</f>
        <v>Unique</v>
      </c>
      <c r="O16" s="19"/>
    </row>
    <row r="17" spans="1:15" customFormat="1" ht="15" customHeight="1" thickBot="1" x14ac:dyDescent="0.4">
      <c r="A17" s="6" t="s">
        <v>62</v>
      </c>
      <c r="B17" s="1" t="s">
        <v>15</v>
      </c>
      <c r="C17" s="1" t="s">
        <v>10</v>
      </c>
      <c r="D17" s="4">
        <v>5</v>
      </c>
      <c r="E17" s="4">
        <v>2490</v>
      </c>
      <c r="F17" s="4">
        <v>-1.6587677729999999</v>
      </c>
      <c r="G17" s="2" t="s">
        <v>72</v>
      </c>
      <c r="H17" s="5">
        <v>2532</v>
      </c>
      <c r="I17" s="1" t="s">
        <v>8</v>
      </c>
      <c r="J17" s="25"/>
      <c r="K17" s="19"/>
      <c r="L17" s="19"/>
      <c r="M17" s="19"/>
      <c r="N17" t="str">
        <f>IF(COUNTIFS( $B$2:$B$842, B17, $C$2:$C$842, C17, $D$2:$D$842, D17, $E$2:$E$842, E17) &gt; 1, "Duplicate", "Unique")</f>
        <v>Unique</v>
      </c>
      <c r="O17" s="19"/>
    </row>
    <row r="18" spans="1:15" customFormat="1" ht="27.65" customHeight="1" thickBot="1" x14ac:dyDescent="0.4">
      <c r="A18" s="3">
        <v>46252.6875</v>
      </c>
      <c r="B18" s="1" t="s">
        <v>25</v>
      </c>
      <c r="C18" s="1" t="s">
        <v>10</v>
      </c>
      <c r="D18" s="4">
        <v>500</v>
      </c>
      <c r="E18" s="4">
        <v>33.159999999999997</v>
      </c>
      <c r="F18" s="4">
        <v>-4.849354376</v>
      </c>
      <c r="G18" s="2" t="s">
        <v>46</v>
      </c>
      <c r="H18" s="5">
        <v>34.85</v>
      </c>
      <c r="I18" s="1" t="s">
        <v>8</v>
      </c>
      <c r="J18" s="25"/>
      <c r="K18" s="19"/>
      <c r="L18" s="19"/>
      <c r="M18" s="19"/>
      <c r="N18" t="str">
        <f>IF(COUNTIFS( $B$2:$B$842, B18, $C$2:$C$842, C18, $D$2:$D$842, D18, $E$2:$E$842, E18) &gt; 1, "Duplicate", "Unique")</f>
        <v>Unique</v>
      </c>
      <c r="O18" s="19"/>
    </row>
    <row r="19" spans="1:15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5</v>
      </c>
      <c r="E19" s="4">
        <v>3888</v>
      </c>
      <c r="F19" s="4">
        <v>-2.775693923</v>
      </c>
      <c r="G19" s="2" t="s">
        <v>50</v>
      </c>
      <c r="H19" s="5">
        <v>3999</v>
      </c>
      <c r="I19" s="1" t="s">
        <v>8</v>
      </c>
      <c r="J19" s="25"/>
      <c r="K19" s="19"/>
      <c r="L19" s="19"/>
      <c r="M19" s="19"/>
      <c r="N19" t="str">
        <f>IF(COUNTIFS( $B$2:$B$842, B19, $C$2:$C$842, C19, $D$2:$D$842, D19, $E$2:$E$842, E19) &gt; 1, "Duplicate", "Unique")</f>
        <v>Unique</v>
      </c>
      <c r="O19" s="19"/>
    </row>
    <row r="20" spans="1:15" customFormat="1" ht="15" customHeight="1" thickBot="1" x14ac:dyDescent="0.4">
      <c r="A20" s="3">
        <v>46261.375</v>
      </c>
      <c r="B20" s="1" t="s">
        <v>32</v>
      </c>
      <c r="C20" s="1" t="s">
        <v>10</v>
      </c>
      <c r="D20" s="4">
        <v>20</v>
      </c>
      <c r="E20" s="4">
        <v>861</v>
      </c>
      <c r="F20" s="4">
        <v>-3.0732860519999998</v>
      </c>
      <c r="G20" s="2" t="s">
        <v>85</v>
      </c>
      <c r="H20" s="5">
        <v>888.3</v>
      </c>
      <c r="I20" s="1" t="s">
        <v>8</v>
      </c>
      <c r="J20" s="29" t="s">
        <v>55</v>
      </c>
      <c r="K20" s="20" t="s">
        <v>194</v>
      </c>
      <c r="L20" s="20">
        <v>17920</v>
      </c>
      <c r="M20" s="20">
        <f>ABS((D20*E20)-L20)</f>
        <v>700</v>
      </c>
      <c r="N20" s="12" t="str">
        <f>IF(COUNTIFS( $B$2:$B$842, B20, $C$2:$C$842, C20, $D$2:$D$842, D20, $E$2:$E$842, E20) &gt; 1, "Duplicate", "Unique")</f>
        <v>Unique</v>
      </c>
      <c r="O20" s="20"/>
    </row>
    <row r="21" spans="1:15" customFormat="1" ht="15" customHeight="1" thickBot="1" x14ac:dyDescent="0.4">
      <c r="A21" s="3">
        <v>46252.635416666664</v>
      </c>
      <c r="B21" s="1" t="s">
        <v>51</v>
      </c>
      <c r="C21" s="1" t="s">
        <v>10</v>
      </c>
      <c r="D21" s="4">
        <v>20</v>
      </c>
      <c r="E21" s="4">
        <v>917</v>
      </c>
      <c r="F21" s="4">
        <v>-2.3221133360000001</v>
      </c>
      <c r="G21" s="2" t="s">
        <v>52</v>
      </c>
      <c r="H21" s="5">
        <v>938.8</v>
      </c>
      <c r="I21" s="1" t="s">
        <v>8</v>
      </c>
      <c r="J21" s="26" t="s">
        <v>117</v>
      </c>
      <c r="K21" s="19"/>
      <c r="L21" s="19"/>
      <c r="M21" s="19"/>
      <c r="N21" t="str">
        <f>IF(COUNTIFS( $B$2:$B$842, B21, $C$2:$C$842, C21, $D$2:$D$842, D21, $E$2:$E$842, E21) &gt; 1, "Duplicate", "Unique")</f>
        <v>Unique</v>
      </c>
      <c r="O21" s="19"/>
    </row>
    <row r="22" spans="1:15" customFormat="1" ht="15" customHeight="1" thickBot="1" x14ac:dyDescent="0.4">
      <c r="A22" s="3">
        <v>46265.375694444447</v>
      </c>
      <c r="B22" s="1" t="s">
        <v>21</v>
      </c>
      <c r="C22" s="1" t="s">
        <v>10</v>
      </c>
      <c r="D22" s="4">
        <v>5</v>
      </c>
      <c r="E22" s="4">
        <v>680</v>
      </c>
      <c r="F22" s="4">
        <v>-3.3679124630000001</v>
      </c>
      <c r="G22" s="2" t="s">
        <v>76</v>
      </c>
      <c r="H22" s="5">
        <v>703.7</v>
      </c>
      <c r="I22" s="1" t="s">
        <v>8</v>
      </c>
      <c r="J22" s="29" t="s">
        <v>41</v>
      </c>
      <c r="K22" s="20" t="s">
        <v>231</v>
      </c>
      <c r="L22" s="20">
        <v>3650</v>
      </c>
      <c r="M22" s="20">
        <f>ABS((D22*E22)-L22)</f>
        <v>250</v>
      </c>
      <c r="N22" t="str">
        <f>IF(COUNTIFS( $B$2:$B$842, B22, $C$2:$C$842, C22, $D$2:$D$842, D22, $E$2:$E$842, E22) &gt; 1, "Duplicate", "Unique")</f>
        <v>Unique</v>
      </c>
      <c r="O22" s="20"/>
    </row>
    <row r="23" spans="1:15" customFormat="1" ht="40.75" customHeight="1" thickBot="1" x14ac:dyDescent="0.4">
      <c r="A23" s="6" t="s">
        <v>62</v>
      </c>
      <c r="B23" s="1" t="s">
        <v>63</v>
      </c>
      <c r="C23" s="1" t="s">
        <v>10</v>
      </c>
      <c r="D23" s="4">
        <v>15</v>
      </c>
      <c r="E23" s="4">
        <v>1005</v>
      </c>
      <c r="F23" s="4">
        <v>-2.4177104570000001</v>
      </c>
      <c r="G23" s="2" t="s">
        <v>64</v>
      </c>
      <c r="H23" s="5">
        <v>1029.9000000000001</v>
      </c>
      <c r="I23" s="1" t="s">
        <v>8</v>
      </c>
      <c r="J23" s="25"/>
      <c r="K23" s="19"/>
      <c r="L23" s="19"/>
      <c r="M23" s="19"/>
      <c r="N23" t="str">
        <f>IF(COUNTIFS( $B$2:$B$842, B23, $C$2:$C$842, C23, $D$2:$D$842, D23, $E$2:$E$842, E23) &gt; 1, "Duplicate", "Unique")</f>
        <v>Unique</v>
      </c>
      <c r="O23" s="19"/>
    </row>
    <row r="24" spans="1:15" customFormat="1" ht="27.65" customHeight="1" thickBot="1" x14ac:dyDescent="0.4">
      <c r="A24" s="3">
        <v>46258.375694444447</v>
      </c>
      <c r="B24" s="1" t="s">
        <v>80</v>
      </c>
      <c r="C24" s="1" t="s">
        <v>10</v>
      </c>
      <c r="D24" s="4">
        <v>10</v>
      </c>
      <c r="E24" s="4">
        <v>1452</v>
      </c>
      <c r="F24" s="4">
        <v>-1.2244897960000001</v>
      </c>
      <c r="G24" s="2" t="s">
        <v>81</v>
      </c>
      <c r="H24" s="5">
        <v>1470</v>
      </c>
      <c r="I24" s="1" t="s">
        <v>8</v>
      </c>
      <c r="J24" s="29" t="s">
        <v>55</v>
      </c>
      <c r="K24" s="20" t="s">
        <v>164</v>
      </c>
      <c r="L24" s="20">
        <v>15100</v>
      </c>
      <c r="M24" s="20">
        <f>ABS((D24*E24)-L24)</f>
        <v>580</v>
      </c>
      <c r="N24" s="12" t="str">
        <f>IF(COUNTIFS( $B$2:$B$842, B24, $C$2:$C$842, C24, $D$2:$D$842, D24, $E$2:$E$842, E24) &gt; 1, "Duplicate", "Unique")</f>
        <v>Unique</v>
      </c>
      <c r="O24" s="20"/>
    </row>
    <row r="25" spans="1:15" customFormat="1" ht="15" customHeight="1" thickBot="1" x14ac:dyDescent="0.4">
      <c r="A25" s="6" t="s">
        <v>62</v>
      </c>
      <c r="B25" s="1" t="s">
        <v>109</v>
      </c>
      <c r="C25" s="1" t="s">
        <v>10</v>
      </c>
      <c r="D25" s="4">
        <v>1</v>
      </c>
      <c r="E25" s="4">
        <v>4640</v>
      </c>
      <c r="F25" s="4">
        <v>-3.3131902480000002</v>
      </c>
      <c r="G25" s="2" t="s">
        <v>110</v>
      </c>
      <c r="H25" s="5">
        <v>4799</v>
      </c>
      <c r="I25" s="1" t="s">
        <v>8</v>
      </c>
      <c r="J25" s="25"/>
      <c r="K25" s="19"/>
      <c r="L25" s="19"/>
      <c r="M25" s="19"/>
      <c r="N25" t="str">
        <f>IF(COUNTIFS( $B$2:$B$842, B25, $C$2:$C$842, C25, $D$2:$D$842, D25, $E$2:$E$842, E25) &gt; 1, "Duplicate", "Unique")</f>
        <v>Unique</v>
      </c>
      <c r="O25" s="19"/>
    </row>
    <row r="26" spans="1:15" customFormat="1" ht="27.65" customHeight="1" thickBot="1" x14ac:dyDescent="0.4">
      <c r="A26" s="6" t="s">
        <v>62</v>
      </c>
      <c r="B26" s="1" t="s">
        <v>16</v>
      </c>
      <c r="C26" s="1" t="s">
        <v>10</v>
      </c>
      <c r="D26" s="4">
        <v>30</v>
      </c>
      <c r="E26" s="4">
        <v>860</v>
      </c>
      <c r="F26" s="4">
        <v>-2.389194711</v>
      </c>
      <c r="G26" s="2" t="s">
        <v>61</v>
      </c>
      <c r="H26" s="5">
        <v>881.05</v>
      </c>
      <c r="I26" s="1" t="s">
        <v>8</v>
      </c>
      <c r="J26" s="25"/>
      <c r="K26" s="19"/>
      <c r="L26" s="19"/>
      <c r="M26" s="19"/>
      <c r="N26" t="str">
        <f>IF(COUNTIFS( $B$2:$B$842, B26, $C$2:$C$842, C26, $D$2:$D$842, D26, $E$2:$E$842, E26) &gt; 1, "Duplicate", "Unique")</f>
        <v>Unique</v>
      </c>
      <c r="O26" s="19"/>
    </row>
    <row r="27" spans="1:15" customFormat="1" ht="27.65" customHeight="1" thickBot="1" x14ac:dyDescent="0.4">
      <c r="A27" s="3">
        <v>46252.645833333336</v>
      </c>
      <c r="B27" s="1" t="s">
        <v>53</v>
      </c>
      <c r="C27" s="1" t="s">
        <v>10</v>
      </c>
      <c r="D27" s="4">
        <v>2</v>
      </c>
      <c r="E27" s="4">
        <v>2460</v>
      </c>
      <c r="F27" s="4">
        <v>-3.1114612049999999</v>
      </c>
      <c r="G27" s="2" t="s">
        <v>54</v>
      </c>
      <c r="H27" s="5">
        <v>2539</v>
      </c>
      <c r="I27" s="1" t="s">
        <v>8</v>
      </c>
      <c r="J27" s="27" t="s">
        <v>41</v>
      </c>
      <c r="K27" s="19"/>
      <c r="L27" s="19"/>
      <c r="M27" s="19"/>
      <c r="N27" t="str">
        <f>IF(COUNTIFS( $B$2:$B$842, B27, $C$2:$C$842, C27, $D$2:$D$842, D27, $E$2:$E$842, E27) &gt; 1, "Duplicate", "Unique")</f>
        <v>Unique</v>
      </c>
      <c r="O27" s="19"/>
    </row>
    <row r="28" spans="1:15" customFormat="1" ht="40.75" customHeight="1" thickBot="1" x14ac:dyDescent="0.4">
      <c r="A28" s="6" t="s">
        <v>62</v>
      </c>
      <c r="B28" s="1" t="s">
        <v>15</v>
      </c>
      <c r="C28" s="1" t="s">
        <v>10</v>
      </c>
      <c r="D28" s="4">
        <v>5</v>
      </c>
      <c r="E28" s="4">
        <v>2470</v>
      </c>
      <c r="F28" s="4">
        <v>-2.4486571879999999</v>
      </c>
      <c r="G28" s="2" t="s">
        <v>72</v>
      </c>
      <c r="H28" s="5">
        <v>2532</v>
      </c>
      <c r="I28" s="1" t="s">
        <v>8</v>
      </c>
      <c r="J28" s="25"/>
      <c r="K28" s="19"/>
      <c r="L28" s="19"/>
      <c r="M28" s="19"/>
      <c r="N28" t="str">
        <f>IF(COUNTIFS( $B$2:$B$842, B28, $C$2:$C$842, C28, $D$2:$D$842, D28, $E$2:$E$842, E28) &gt; 1, "Duplicate", "Unique")</f>
        <v>Unique</v>
      </c>
      <c r="O28" s="19"/>
    </row>
    <row r="29" spans="1:15" customFormat="1" ht="27.65" customHeight="1" thickBot="1" x14ac:dyDescent="0.4">
      <c r="A29" s="22">
        <v>46255</v>
      </c>
      <c r="B29" s="1" t="s">
        <v>17</v>
      </c>
      <c r="C29" s="1" t="s">
        <v>10</v>
      </c>
      <c r="D29" s="4">
        <v>25</v>
      </c>
      <c r="E29" s="4">
        <v>336</v>
      </c>
      <c r="F29" s="4">
        <v>-4.2735042740000004</v>
      </c>
      <c r="G29" s="2" t="s">
        <v>77</v>
      </c>
      <c r="H29" s="5">
        <v>351</v>
      </c>
      <c r="I29" s="1" t="s">
        <v>8</v>
      </c>
      <c r="J29" s="29" t="s">
        <v>55</v>
      </c>
      <c r="K29" s="20" t="s">
        <v>151</v>
      </c>
      <c r="L29" s="20">
        <v>8700</v>
      </c>
      <c r="M29" s="20">
        <f>ABS((D29*E29)-L29)</f>
        <v>300</v>
      </c>
      <c r="N29" s="12" t="str">
        <f>IF(COUNTIFS( $B$2:$B$842, B29, $C$2:$C$842, C29, $D$2:$D$842, D29, $E$2:$E$842, E29) &gt; 1, "Duplicate", "Unique")</f>
        <v>Unique</v>
      </c>
      <c r="O29" s="20"/>
    </row>
    <row r="30" spans="1:15" customFormat="1" ht="27.65" customHeight="1" thickBot="1" x14ac:dyDescent="0.4">
      <c r="A30" s="6" t="s">
        <v>62</v>
      </c>
      <c r="B30" s="1" t="s">
        <v>103</v>
      </c>
      <c r="C30" s="1" t="s">
        <v>10</v>
      </c>
      <c r="D30" s="4">
        <v>7</v>
      </c>
      <c r="E30" s="4">
        <v>2401</v>
      </c>
      <c r="F30" s="4">
        <v>-3.0290791600000002</v>
      </c>
      <c r="G30" s="2" t="s">
        <v>104</v>
      </c>
      <c r="H30" s="5">
        <v>2476</v>
      </c>
      <c r="I30" s="1" t="s">
        <v>8</v>
      </c>
      <c r="J30" s="25"/>
      <c r="K30" s="19"/>
      <c r="L30" s="19"/>
      <c r="M30" s="19"/>
      <c r="N30" t="str">
        <f>IF(COUNTIFS( $B$2:$B$842, B30, $C$2:$C$842, C30, $D$2:$D$842, D30, $E$2:$E$842, E30) &gt; 1, "Duplicate", "Unique")</f>
        <v>Unique</v>
      </c>
      <c r="O30" s="19"/>
    </row>
    <row r="31" spans="1:15" customFormat="1" ht="27.65" customHeight="1" thickBot="1" x14ac:dyDescent="0.4">
      <c r="A31" s="6" t="s">
        <v>62</v>
      </c>
      <c r="B31" s="1" t="s">
        <v>14</v>
      </c>
      <c r="C31" s="1" t="s">
        <v>10</v>
      </c>
      <c r="D31" s="4">
        <v>100</v>
      </c>
      <c r="E31" s="4">
        <v>327</v>
      </c>
      <c r="F31" s="4">
        <v>-3.681885125</v>
      </c>
      <c r="G31" s="2" t="s">
        <v>45</v>
      </c>
      <c r="H31" s="5">
        <v>339.5</v>
      </c>
      <c r="I31" s="1" t="s">
        <v>8</v>
      </c>
      <c r="J31" s="25"/>
      <c r="K31" s="19"/>
      <c r="L31" s="19"/>
      <c r="M31" s="19"/>
      <c r="N31" t="str">
        <f>IF(COUNTIFS( $B$2:$B$842, B31, $C$2:$C$842, C31, $D$2:$D$842, D31, $E$2:$E$842, E31) &gt; 1, "Duplicate", "Unique")</f>
        <v>Unique</v>
      </c>
      <c r="O31" s="19"/>
    </row>
    <row r="32" spans="1:15" customFormat="1" ht="15" customHeight="1" thickBot="1" x14ac:dyDescent="0.4">
      <c r="A32" s="3">
        <v>46252.645138888889</v>
      </c>
      <c r="B32" s="1" t="s">
        <v>47</v>
      </c>
      <c r="C32" s="1" t="s">
        <v>10</v>
      </c>
      <c r="D32" s="4">
        <v>9</v>
      </c>
      <c r="E32" s="4">
        <v>2230</v>
      </c>
      <c r="F32" s="4">
        <v>-5.3480475380000003</v>
      </c>
      <c r="G32" s="2" t="s">
        <v>48</v>
      </c>
      <c r="H32" s="5">
        <v>2356</v>
      </c>
      <c r="I32" s="1" t="s">
        <v>8</v>
      </c>
      <c r="J32" s="25"/>
      <c r="K32" s="19"/>
      <c r="L32" s="19"/>
      <c r="M32" s="19"/>
      <c r="N32" t="str">
        <f>IF(COUNTIFS( $B$2:$B$842, B32, $C$2:$C$842, C32, $D$2:$D$842, D32, $E$2:$E$842, E32) &gt; 1, "Duplicate", "Unique")</f>
        <v>Unique</v>
      </c>
      <c r="O32" s="19"/>
    </row>
    <row r="33" spans="1:15" customFormat="1" ht="27.65" customHeight="1" thickBot="1" x14ac:dyDescent="0.4">
      <c r="A33" s="3">
        <v>46253.375</v>
      </c>
      <c r="B33" s="1" t="s">
        <v>36</v>
      </c>
      <c r="C33" s="1" t="s">
        <v>10</v>
      </c>
      <c r="D33" s="4">
        <v>5</v>
      </c>
      <c r="E33" s="4">
        <v>1161</v>
      </c>
      <c r="F33" s="4">
        <v>-0.93011349089999995</v>
      </c>
      <c r="G33" s="2" t="s">
        <v>65</v>
      </c>
      <c r="H33" s="5">
        <v>1171.9000000000001</v>
      </c>
      <c r="I33" s="1" t="s">
        <v>8</v>
      </c>
      <c r="J33" s="25" t="s">
        <v>41</v>
      </c>
      <c r="K33" s="19" t="s">
        <v>147</v>
      </c>
      <c r="L33" s="19"/>
      <c r="M33" s="19"/>
      <c r="N33" t="str">
        <f>IF(COUNTIFS( $B$2:$B$842, B33, $C$2:$C$842, C33, $D$2:$D$842, D33, $E$2:$E$842, E33) &gt; 1, "Duplicate", "Unique")</f>
        <v>Unique</v>
      </c>
      <c r="O33" s="19"/>
    </row>
    <row r="34" spans="1:15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-4.6999209710000001</v>
      </c>
      <c r="G34" s="2" t="s">
        <v>70</v>
      </c>
      <c r="H34" s="5">
        <v>215.11</v>
      </c>
      <c r="I34" s="1" t="s">
        <v>8</v>
      </c>
      <c r="J34" s="29" t="s">
        <v>41</v>
      </c>
      <c r="K34" s="20" t="s">
        <v>195</v>
      </c>
      <c r="L34" s="20">
        <v>10550</v>
      </c>
      <c r="M34" s="20">
        <f>ABS((D34*E34)-L34)</f>
        <v>300</v>
      </c>
      <c r="N34" s="12" t="str">
        <f>IF(COUNTIFS( $B$2:$B$842, B34, $C$2:$C$842, C34, $D$2:$D$842, D34, $E$2:$E$842, E34) &gt; 1, "Duplicate", "Unique")</f>
        <v>Unique</v>
      </c>
      <c r="O34" s="20"/>
    </row>
    <row r="35" spans="1:15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3856</v>
      </c>
      <c r="F35" s="4">
        <v>-3.5758939729999999</v>
      </c>
      <c r="G35" s="2" t="s">
        <v>50</v>
      </c>
      <c r="H35" s="5">
        <v>3999</v>
      </c>
      <c r="I35" s="1" t="s">
        <v>8</v>
      </c>
      <c r="J35" s="25"/>
      <c r="K35" s="19"/>
      <c r="L35" s="19"/>
      <c r="M35" s="19"/>
      <c r="N35" t="str">
        <f>IF(COUNTIFS( $B$2:$B$842, B35, $C$2:$C$842, C35, $D$2:$D$842, D35, $E$2:$E$842, E35) &gt; 1, "Duplicate", "Unique")</f>
        <v>Unique</v>
      </c>
      <c r="O35" s="19"/>
    </row>
    <row r="36" spans="1:15" customFormat="1" ht="27.65" customHeight="1" thickBot="1" x14ac:dyDescent="0.4">
      <c r="A36" s="6" t="s">
        <v>62</v>
      </c>
      <c r="B36" s="1" t="s">
        <v>15</v>
      </c>
      <c r="C36" s="1" t="s">
        <v>10</v>
      </c>
      <c r="D36" s="4">
        <v>30</v>
      </c>
      <c r="E36" s="4">
        <v>2460</v>
      </c>
      <c r="F36" s="4">
        <v>-2.843601896</v>
      </c>
      <c r="G36" s="2" t="s">
        <v>72</v>
      </c>
      <c r="H36" s="5">
        <v>2532</v>
      </c>
      <c r="I36" s="1" t="s">
        <v>8</v>
      </c>
      <c r="J36" s="25"/>
      <c r="K36" s="19"/>
      <c r="L36" s="19"/>
      <c r="M36" s="19"/>
      <c r="N36" t="str">
        <f>IF(COUNTIFS( $B$2:$B$842, B36, $C$2:$C$842, C36, $D$2:$D$842, D36, $E$2:$E$842, E36) &gt; 1, "Duplicate", "Unique")</f>
        <v>Unique</v>
      </c>
      <c r="O36" s="19"/>
    </row>
    <row r="37" spans="1:15" customFormat="1" ht="15" customHeight="1" thickBot="1" x14ac:dyDescent="0.4">
      <c r="A37" s="6" t="s">
        <v>62</v>
      </c>
      <c r="B37" s="1" t="s">
        <v>19</v>
      </c>
      <c r="C37" s="1" t="s">
        <v>10</v>
      </c>
      <c r="D37" s="4">
        <v>150</v>
      </c>
      <c r="E37" s="4">
        <v>214</v>
      </c>
      <c r="F37" s="4">
        <v>-1.744719927</v>
      </c>
      <c r="G37" s="2" t="s">
        <v>40</v>
      </c>
      <c r="H37" s="5">
        <v>217.8</v>
      </c>
      <c r="I37" s="1" t="s">
        <v>8</v>
      </c>
      <c r="J37" s="25" t="s">
        <v>55</v>
      </c>
      <c r="K37" s="19"/>
      <c r="L37" s="19"/>
      <c r="M37" s="19"/>
      <c r="N37" t="str">
        <f>IF(COUNTIFS( $B$2:$B$842, B37, $C$2:$C$842, C37, $D$2:$D$842, D37, $E$2:$E$842, E37) &gt; 1, "Duplicate", "Unique")</f>
        <v>Unique</v>
      </c>
      <c r="O37" s="19"/>
    </row>
    <row r="38" spans="1:15" customFormat="1" ht="15" customHeight="1" thickBot="1" x14ac:dyDescent="0.4">
      <c r="A38" s="3">
        <v>46252.6875</v>
      </c>
      <c r="B38" s="1" t="s">
        <v>20</v>
      </c>
      <c r="C38" s="1" t="s">
        <v>10</v>
      </c>
      <c r="D38" s="4">
        <v>50</v>
      </c>
      <c r="E38" s="4">
        <v>122</v>
      </c>
      <c r="F38" s="4">
        <v>-2.7888446220000001</v>
      </c>
      <c r="G38" s="2" t="s">
        <v>86</v>
      </c>
      <c r="H38" s="5">
        <v>125.5</v>
      </c>
      <c r="I38" s="1" t="s">
        <v>8</v>
      </c>
      <c r="J38" s="26" t="s">
        <v>41</v>
      </c>
      <c r="K38" s="19"/>
      <c r="L38" s="19"/>
      <c r="M38" s="19"/>
      <c r="N38" t="str">
        <f>IF(COUNTIFS( $B$2:$B$842, B38, $C$2:$C$842, C38, $D$2:$D$842, D38, $E$2:$E$842, E38) &gt; 1, "Duplicate", "Unique")</f>
        <v>Unique</v>
      </c>
      <c r="O38" s="19"/>
    </row>
    <row r="39" spans="1:15" customFormat="1" ht="40.75" customHeight="1" thickBot="1" x14ac:dyDescent="0.4">
      <c r="A39" s="3">
        <v>46252.6875</v>
      </c>
      <c r="B39" s="1" t="s">
        <v>9</v>
      </c>
      <c r="C39" s="1" t="s">
        <v>10</v>
      </c>
      <c r="D39" s="4">
        <v>37</v>
      </c>
      <c r="E39" s="4">
        <v>277</v>
      </c>
      <c r="F39" s="4">
        <v>-4.2019712949999999</v>
      </c>
      <c r="G39" s="2" t="s">
        <v>95</v>
      </c>
      <c r="H39" s="5">
        <v>289.14999999999998</v>
      </c>
      <c r="I39" s="1" t="s">
        <v>8</v>
      </c>
      <c r="J39" s="25" t="s">
        <v>55</v>
      </c>
      <c r="K39" s="19"/>
      <c r="L39" s="19"/>
      <c r="M39" s="19"/>
      <c r="N39" t="str">
        <f>IF(COUNTIFS( $B$2:$B$842, B39, $C$2:$C$842, C39, $D$2:$D$842, D39, $E$2:$E$842, E39) &gt; 1, "Duplicate", "Unique")</f>
        <v>Unique</v>
      </c>
      <c r="O39" s="19"/>
    </row>
    <row r="40" spans="1:15" customFormat="1" ht="27.65" customHeight="1" thickBot="1" x14ac:dyDescent="0.4">
      <c r="A40" s="3">
        <v>46252.635416666664</v>
      </c>
      <c r="B40" s="1" t="s">
        <v>80</v>
      </c>
      <c r="C40" s="1" t="s">
        <v>10</v>
      </c>
      <c r="D40" s="4">
        <v>10</v>
      </c>
      <c r="E40" s="4">
        <v>1440</v>
      </c>
      <c r="F40" s="4">
        <v>-2.0408163269999999</v>
      </c>
      <c r="G40" s="2" t="s">
        <v>81</v>
      </c>
      <c r="H40" s="5">
        <v>1470</v>
      </c>
      <c r="I40" s="1" t="s">
        <v>8</v>
      </c>
      <c r="J40" s="25"/>
      <c r="K40" s="19"/>
      <c r="L40" s="19"/>
      <c r="M40" s="19"/>
      <c r="N40" t="str">
        <f>IF(COUNTIFS( $B$2:$B$842, B40, $C$2:$C$842, C40, $D$2:$D$842, D40, $E$2:$E$842, E40) &gt; 1, "Duplicate", "Unique")</f>
        <v>Unique</v>
      </c>
      <c r="O40" s="19"/>
    </row>
    <row r="41" spans="1:15" customFormat="1" ht="27.65" customHeight="1" thickBot="1" x14ac:dyDescent="0.4">
      <c r="A41" s="6" t="s">
        <v>62</v>
      </c>
      <c r="B41" s="1" t="s">
        <v>22</v>
      </c>
      <c r="C41" s="1" t="s">
        <v>10</v>
      </c>
      <c r="D41" s="4">
        <v>5</v>
      </c>
      <c r="E41" s="4">
        <v>419</v>
      </c>
      <c r="F41" s="4">
        <v>-4.1189931350000002</v>
      </c>
      <c r="G41" s="2" t="s">
        <v>73</v>
      </c>
      <c r="H41" s="5">
        <v>437</v>
      </c>
      <c r="I41" s="1" t="s">
        <v>8</v>
      </c>
      <c r="J41" s="25"/>
      <c r="K41" s="19"/>
      <c r="L41" s="19"/>
      <c r="M41" s="19"/>
      <c r="N41" t="str">
        <f>IF(COUNTIFS( $B$2:$B$842, B41, $C$2:$C$842, C41, $D$2:$D$842, D41, $E$2:$E$842, E41) &gt; 1, "Duplicate", "Unique")</f>
        <v>Unique</v>
      </c>
      <c r="O41" s="19"/>
    </row>
    <row r="42" spans="1:15" customFormat="1" ht="27.65" customHeight="1" thickBot="1" x14ac:dyDescent="0.4">
      <c r="A42" s="6" t="s">
        <v>62</v>
      </c>
      <c r="B42" s="1" t="s">
        <v>16</v>
      </c>
      <c r="C42" s="1" t="s">
        <v>10</v>
      </c>
      <c r="D42" s="4">
        <v>5</v>
      </c>
      <c r="E42" s="4">
        <v>852</v>
      </c>
      <c r="F42" s="4">
        <v>-3.2972022019999998</v>
      </c>
      <c r="G42" s="2" t="s">
        <v>61</v>
      </c>
      <c r="H42" s="5">
        <v>881.05</v>
      </c>
      <c r="I42" s="1" t="s">
        <v>8</v>
      </c>
      <c r="J42" s="25"/>
      <c r="K42" s="19"/>
      <c r="L42" s="19"/>
      <c r="M42" s="19"/>
      <c r="N42" t="str">
        <f>IF(COUNTIFS( $B$2:$B$842, B42, $C$2:$C$842, C42, $D$2:$D$842, D42, $E$2:$E$842, E42) &gt; 1, "Duplicate", "Unique")</f>
        <v>Unique</v>
      </c>
      <c r="O42" s="19"/>
    </row>
    <row r="43" spans="1:15" customFormat="1" ht="27.65" customHeight="1" thickBot="1" x14ac:dyDescent="0.4">
      <c r="A43" s="6" t="s">
        <v>62</v>
      </c>
      <c r="B43" s="1" t="s">
        <v>51</v>
      </c>
      <c r="C43" s="1" t="s">
        <v>10</v>
      </c>
      <c r="D43" s="4">
        <v>10</v>
      </c>
      <c r="E43" s="4">
        <v>907</v>
      </c>
      <c r="F43" s="4">
        <v>-3.3873029400000001</v>
      </c>
      <c r="G43" s="2" t="s">
        <v>52</v>
      </c>
      <c r="H43" s="5">
        <v>938.8</v>
      </c>
      <c r="I43" s="1" t="s">
        <v>8</v>
      </c>
      <c r="J43" s="25"/>
      <c r="K43" s="19"/>
      <c r="L43" s="19"/>
      <c r="M43" s="19"/>
      <c r="N43" t="str">
        <f>IF(COUNTIFS( $B$2:$B$842, B43, $C$2:$C$842, C43, $D$2:$D$842, D43, $E$2:$E$842, E43) &gt; 1, "Duplicate", "Unique")</f>
        <v>Unique</v>
      </c>
      <c r="O43" s="19"/>
    </row>
    <row r="44" spans="1:15" s="52" customFormat="1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-4.3116064390000002</v>
      </c>
      <c r="G44" s="2" t="s">
        <v>85</v>
      </c>
      <c r="H44" s="5">
        <v>888.3</v>
      </c>
      <c r="I44" s="1" t="s">
        <v>8</v>
      </c>
      <c r="J44" s="26" t="s">
        <v>55</v>
      </c>
      <c r="K44" s="19"/>
      <c r="L44" s="19"/>
      <c r="M44" s="19"/>
      <c r="N44" t="str">
        <f>IF(COUNTIFS( $B$2:$B$842, B44, $C$2:$C$842, C44, $D$2:$D$842, D44, $E$2:$E$842, E44) &gt; 1, "Duplicate", "Unique")</f>
        <v>Unique</v>
      </c>
      <c r="O44" s="19"/>
    </row>
    <row r="45" spans="1:15" customFormat="1" ht="15" customHeight="1" thickBot="1" x14ac:dyDescent="0.4">
      <c r="A45" s="6" t="s">
        <v>62</v>
      </c>
      <c r="B45" s="1" t="s">
        <v>49</v>
      </c>
      <c r="C45" s="1" t="s">
        <v>10</v>
      </c>
      <c r="D45" s="4">
        <v>2</v>
      </c>
      <c r="E45" s="4">
        <v>3830</v>
      </c>
      <c r="F45" s="4">
        <v>-4.2260565139999997</v>
      </c>
      <c r="G45" s="2" t="s">
        <v>50</v>
      </c>
      <c r="H45" s="5">
        <v>3999</v>
      </c>
      <c r="I45" s="1" t="s">
        <v>8</v>
      </c>
      <c r="J45" s="25"/>
      <c r="K45" s="19"/>
      <c r="L45" s="19"/>
      <c r="M45" s="19"/>
      <c r="N45" t="str">
        <f>IF(COUNTIFS( $B$2:$B$842, B45, $C$2:$C$842, C45, $D$2:$D$842, D45, $E$2:$E$842, E45) &gt; 1, "Duplicate", "Unique")</f>
        <v>Unique</v>
      </c>
      <c r="O45" s="19"/>
    </row>
    <row r="46" spans="1:15" customFormat="1" ht="40.75" customHeight="1" thickBot="1" x14ac:dyDescent="0.4">
      <c r="A46" s="3">
        <v>46252.645138888889</v>
      </c>
      <c r="B46" s="1" t="s">
        <v>36</v>
      </c>
      <c r="C46" s="1" t="s">
        <v>10</v>
      </c>
      <c r="D46" s="4">
        <v>5</v>
      </c>
      <c r="E46" s="4">
        <v>1151</v>
      </c>
      <c r="F46" s="4">
        <v>-1.78342862</v>
      </c>
      <c r="G46" s="2" t="s">
        <v>65</v>
      </c>
      <c r="H46" s="5">
        <v>1171.9000000000001</v>
      </c>
      <c r="I46" s="1" t="s">
        <v>8</v>
      </c>
      <c r="J46" s="27" t="s">
        <v>41</v>
      </c>
      <c r="K46" s="19"/>
      <c r="L46" s="19"/>
      <c r="M46" s="19"/>
      <c r="N46" t="str">
        <f>IF(COUNTIFS( $B$2:$B$842, B46, $C$2:$C$842, C46, $D$2:$D$842, D46, $E$2:$E$842, E46) &gt; 1, "Duplicate", "Unique")</f>
        <v>Unique</v>
      </c>
      <c r="O46" s="19"/>
    </row>
    <row r="47" spans="1:15" customFormat="1" ht="15" customHeight="1" thickBot="1" x14ac:dyDescent="0.4">
      <c r="A47" s="3">
        <v>46252.6875</v>
      </c>
      <c r="B47" s="1" t="s">
        <v>23</v>
      </c>
      <c r="C47" s="1" t="s">
        <v>10</v>
      </c>
      <c r="D47" s="4">
        <v>50</v>
      </c>
      <c r="E47" s="4">
        <v>203.5</v>
      </c>
      <c r="F47" s="4">
        <v>-5.3972386219999997</v>
      </c>
      <c r="G47" s="2" t="s">
        <v>70</v>
      </c>
      <c r="H47" s="5">
        <v>215.11</v>
      </c>
      <c r="I47" s="1" t="s">
        <v>8</v>
      </c>
      <c r="J47" s="26" t="s">
        <v>55</v>
      </c>
      <c r="K47" s="19"/>
      <c r="L47" s="19"/>
      <c r="M47" s="19"/>
      <c r="N47" t="str">
        <f>IF(COUNTIFS( $B$2:$B$842, B47, $C$2:$C$842, C47, $D$2:$D$842, D47, $E$2:$E$842, E47) &gt; 1, "Duplicate", "Unique")</f>
        <v>Unique</v>
      </c>
      <c r="O47" s="19"/>
    </row>
    <row r="48" spans="1:15" customFormat="1" ht="27.65" customHeight="1" thickBot="1" x14ac:dyDescent="0.4">
      <c r="A48" s="6" t="s">
        <v>62</v>
      </c>
      <c r="B48" s="1" t="s">
        <v>82</v>
      </c>
      <c r="C48" s="1" t="s">
        <v>10</v>
      </c>
      <c r="D48" s="4">
        <v>2</v>
      </c>
      <c r="E48" s="4">
        <v>4110</v>
      </c>
      <c r="F48" s="4">
        <v>-2.2127052109999998</v>
      </c>
      <c r="G48" s="2" t="s">
        <v>83</v>
      </c>
      <c r="H48" s="5">
        <v>4203</v>
      </c>
      <c r="I48" s="1" t="s">
        <v>8</v>
      </c>
      <c r="J48" s="25"/>
      <c r="K48" s="19"/>
      <c r="L48" s="19"/>
      <c r="M48" s="19"/>
      <c r="N48" t="str">
        <f>IF(COUNTIFS( $B$2:$B$842, B48, $C$2:$C$842, C48, $D$2:$D$842, D48, $E$2:$E$842, E48) &gt; 1, "Duplicate", "Unique")</f>
        <v>Unique</v>
      </c>
      <c r="O48" s="19"/>
    </row>
    <row r="49" spans="1:15" customFormat="1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-2.662993572</v>
      </c>
      <c r="G49" s="2" t="s">
        <v>40</v>
      </c>
      <c r="H49" s="5">
        <v>217.8</v>
      </c>
      <c r="I49" s="1" t="s">
        <v>8</v>
      </c>
      <c r="J49" s="25" t="s">
        <v>41</v>
      </c>
      <c r="K49" s="19"/>
      <c r="L49" s="19"/>
      <c r="M49" s="19"/>
      <c r="N49" t="str">
        <f>IF(COUNTIFS( $B$2:$B$842, B49, $C$2:$C$842, C49, $D$2:$D$842, D49, $E$2:$E$842, E49) &gt; 1, "Duplicate", "Unique")</f>
        <v>Unique</v>
      </c>
      <c r="O49" s="19"/>
    </row>
    <row r="50" spans="1:15" customFormat="1" ht="27.65" customHeight="1" thickBot="1" x14ac:dyDescent="0.4">
      <c r="A50" s="6" t="s">
        <v>62</v>
      </c>
      <c r="B50" s="1" t="s">
        <v>103</v>
      </c>
      <c r="C50" s="1" t="s">
        <v>10</v>
      </c>
      <c r="D50" s="4">
        <v>8</v>
      </c>
      <c r="E50" s="4">
        <v>2370</v>
      </c>
      <c r="F50" s="4">
        <v>-4.2810985459999999</v>
      </c>
      <c r="G50" s="2" t="s">
        <v>104</v>
      </c>
      <c r="H50" s="5">
        <v>2476</v>
      </c>
      <c r="I50" s="1" t="s">
        <v>8</v>
      </c>
      <c r="J50" s="25"/>
      <c r="K50" s="19"/>
      <c r="L50" s="19"/>
      <c r="M50" s="19"/>
      <c r="N50" t="str">
        <f>IF(COUNTIFS( $B$2:$B$842, B50, $C$2:$C$842, C50, $D$2:$D$842, D50, $E$2:$E$842, E50) &gt; 1, "Duplicate", "Unique")</f>
        <v>Unique</v>
      </c>
      <c r="O50" s="19"/>
    </row>
    <row r="51" spans="1:15" customFormat="1" ht="27.65" customHeight="1" thickBot="1" x14ac:dyDescent="0.4">
      <c r="A51" s="6" t="s">
        <v>62</v>
      </c>
      <c r="B51" s="1" t="s">
        <v>15</v>
      </c>
      <c r="C51" s="1" t="s">
        <v>10</v>
      </c>
      <c r="D51" s="4">
        <v>30</v>
      </c>
      <c r="E51" s="4">
        <v>2435</v>
      </c>
      <c r="F51" s="4">
        <v>-3.8309636650000001</v>
      </c>
      <c r="G51" s="2" t="s">
        <v>72</v>
      </c>
      <c r="H51" s="5">
        <v>2532</v>
      </c>
      <c r="I51" s="1" t="s">
        <v>8</v>
      </c>
      <c r="J51" s="25"/>
      <c r="K51" s="19"/>
      <c r="L51" s="19"/>
      <c r="M51" s="19"/>
      <c r="N51" t="str">
        <f>IF(COUNTIFS( $B$2:$B$842, B51, $C$2:$C$842, C51, $D$2:$D$842, D51, $E$2:$E$842, E51) &gt; 1, "Duplicate", "Unique")</f>
        <v>Unique</v>
      </c>
      <c r="O51" s="19"/>
    </row>
    <row r="52" spans="1:15" customFormat="1" ht="27.65" customHeight="1" thickBot="1" x14ac:dyDescent="0.4">
      <c r="A52" s="3">
        <v>46252.635416666664</v>
      </c>
      <c r="B52" s="1" t="s">
        <v>68</v>
      </c>
      <c r="C52" s="1" t="s">
        <v>10</v>
      </c>
      <c r="D52" s="4">
        <v>100</v>
      </c>
      <c r="E52" s="4">
        <v>391</v>
      </c>
      <c r="F52" s="4">
        <v>-4.7503045070000001</v>
      </c>
      <c r="G52" s="2" t="s">
        <v>69</v>
      </c>
      <c r="H52" s="5">
        <v>410.5</v>
      </c>
      <c r="I52" s="1" t="s">
        <v>8</v>
      </c>
      <c r="J52" s="25" t="s">
        <v>55</v>
      </c>
      <c r="K52" s="19"/>
      <c r="L52" s="19"/>
      <c r="M52" s="19"/>
      <c r="N52" t="str">
        <f>IF(COUNTIFS( $B$2:$B$842, B52, $C$2:$C$842, C52, $D$2:$D$842, D52, $E$2:$E$842, E52) &gt; 1, "Duplicate", "Unique")</f>
        <v>Unique</v>
      </c>
      <c r="O52" s="19"/>
    </row>
    <row r="53" spans="1:15" customFormat="1" ht="15" customHeight="1" thickBot="1" x14ac:dyDescent="0.4">
      <c r="A53" s="6" t="s">
        <v>62</v>
      </c>
      <c r="B53" s="1" t="s">
        <v>109</v>
      </c>
      <c r="C53" s="1" t="s">
        <v>10</v>
      </c>
      <c r="D53" s="4">
        <v>1</v>
      </c>
      <c r="E53" s="4">
        <v>4560</v>
      </c>
      <c r="F53" s="4">
        <v>-4.980204209</v>
      </c>
      <c r="G53" s="2" t="s">
        <v>110</v>
      </c>
      <c r="H53" s="5">
        <v>4799</v>
      </c>
      <c r="I53" s="1" t="s">
        <v>8</v>
      </c>
      <c r="J53" s="25"/>
      <c r="K53" s="19"/>
      <c r="L53" s="19"/>
      <c r="M53" s="19"/>
      <c r="N53" t="str">
        <f>IF(COUNTIFS( $B$2:$B$842, B53, $C$2:$C$842, C53, $D$2:$D$842, D53, $E$2:$E$842, E53) &gt; 1, "Duplicate", "Unique")</f>
        <v>Unique</v>
      </c>
      <c r="O53" s="19"/>
    </row>
    <row r="54" spans="1:15" customFormat="1" ht="27.65" customHeight="1" thickBot="1" x14ac:dyDescent="0.4">
      <c r="A54" s="6" t="s">
        <v>62</v>
      </c>
      <c r="B54" s="1" t="s">
        <v>49</v>
      </c>
      <c r="C54" s="1" t="s">
        <v>10</v>
      </c>
      <c r="D54" s="4">
        <v>3</v>
      </c>
      <c r="E54" s="4">
        <v>3810</v>
      </c>
      <c r="F54" s="4">
        <v>-4.7261815450000002</v>
      </c>
      <c r="G54" s="2" t="s">
        <v>50</v>
      </c>
      <c r="H54" s="5">
        <v>3999</v>
      </c>
      <c r="I54" s="1" t="s">
        <v>8</v>
      </c>
      <c r="J54" s="25"/>
      <c r="K54" s="19"/>
      <c r="L54" s="19"/>
      <c r="M54" s="19"/>
      <c r="N54" t="str">
        <f>IF(COUNTIFS( $B$2:$B$842, B54, $C$2:$C$842, C54, $D$2:$D$842, D54, $E$2:$E$842, E54) &gt; 1, "Duplicate", "Unique")</f>
        <v>Unique</v>
      </c>
      <c r="O54" s="19"/>
    </row>
    <row r="55" spans="1:15" customFormat="1" ht="27.65" customHeight="1" thickBot="1" x14ac:dyDescent="0.4">
      <c r="A55" s="6" t="s">
        <v>62</v>
      </c>
      <c r="B55" s="1" t="s">
        <v>14</v>
      </c>
      <c r="C55" s="1" t="s">
        <v>10</v>
      </c>
      <c r="D55" s="4">
        <v>100</v>
      </c>
      <c r="E55" s="4">
        <v>322</v>
      </c>
      <c r="F55" s="4">
        <v>-5.1546391749999998</v>
      </c>
      <c r="G55" s="2" t="s">
        <v>45</v>
      </c>
      <c r="H55" s="5">
        <v>339.5</v>
      </c>
      <c r="I55" s="1" t="s">
        <v>8</v>
      </c>
      <c r="J55" s="25"/>
      <c r="K55" s="19"/>
      <c r="L55" s="19"/>
      <c r="M55" s="19"/>
      <c r="N55" t="str">
        <f>IF(COUNTIFS( $B$2:$B$842, B55, $C$2:$C$842, C55, $D$2:$D$842, D55, $E$2:$E$842, E55) &gt; 1, "Duplicate", "Unique")</f>
        <v>Unique</v>
      </c>
      <c r="O55" s="19"/>
    </row>
    <row r="56" spans="1:15" customFormat="1" ht="27.65" customHeight="1" thickBot="1" x14ac:dyDescent="0.4">
      <c r="A56" s="3">
        <v>46260.375</v>
      </c>
      <c r="B56" s="1" t="s">
        <v>33</v>
      </c>
      <c r="C56" s="1" t="s">
        <v>10</v>
      </c>
      <c r="D56" s="4">
        <v>3</v>
      </c>
      <c r="E56" s="4">
        <v>2348</v>
      </c>
      <c r="F56" s="4">
        <v>-4.3584521379999996</v>
      </c>
      <c r="G56" s="2" t="s">
        <v>84</v>
      </c>
      <c r="H56" s="5">
        <v>2455</v>
      </c>
      <c r="I56" s="1" t="s">
        <v>8</v>
      </c>
      <c r="J56" s="29" t="s">
        <v>41</v>
      </c>
      <c r="K56" s="20" t="s">
        <v>179</v>
      </c>
      <c r="L56" s="20">
        <v>7344</v>
      </c>
      <c r="M56" s="20">
        <f>ABS((D56*E56)-L56)</f>
        <v>300</v>
      </c>
      <c r="N56" t="str">
        <f>IF(COUNTIFS( $B$2:$B$842, B56, $C$2:$C$842, C56, $D$2:$D$842, D56, $E$2:$E$842, E56) &gt; 1, "Duplicate", "Unique")</f>
        <v>Unique</v>
      </c>
      <c r="O56" s="20"/>
    </row>
    <row r="57" spans="1:15" customFormat="1" ht="27.65" customHeight="1" thickBot="1" x14ac:dyDescent="0.4">
      <c r="A57" s="6" t="s">
        <v>62</v>
      </c>
      <c r="B57" s="1" t="s">
        <v>34</v>
      </c>
      <c r="C57" s="1" t="s">
        <v>10</v>
      </c>
      <c r="D57" s="4">
        <v>1</v>
      </c>
      <c r="E57" s="4">
        <v>19052</v>
      </c>
      <c r="F57" s="4">
        <v>-4.668501376</v>
      </c>
      <c r="G57" s="2" t="s">
        <v>71</v>
      </c>
      <c r="H57" s="5">
        <v>19985</v>
      </c>
      <c r="I57" s="1" t="s">
        <v>8</v>
      </c>
      <c r="J57" s="25"/>
      <c r="K57" s="19"/>
      <c r="L57" s="19"/>
      <c r="M57" s="19"/>
      <c r="N57" t="str">
        <f>IF(COUNTIFS( $B$2:$B$842, B57, $C$2:$C$842, C57, $D$2:$D$842, D57, $E$2:$E$842, E57) &gt; 1, "Duplicate", "Unique")</f>
        <v>Unique</v>
      </c>
      <c r="O57" s="19"/>
    </row>
    <row r="58" spans="1:15" customFormat="1" ht="15" customHeight="1" thickBot="1" x14ac:dyDescent="0.4">
      <c r="A58" s="3">
        <v>46252.635416666664</v>
      </c>
      <c r="B58" s="1" t="s">
        <v>36</v>
      </c>
      <c r="C58" s="1" t="s">
        <v>10</v>
      </c>
      <c r="D58" s="4">
        <v>5</v>
      </c>
      <c r="E58" s="4">
        <v>1142</v>
      </c>
      <c r="F58" s="4">
        <v>-2.5514122370000001</v>
      </c>
      <c r="G58" s="2" t="s">
        <v>65</v>
      </c>
      <c r="H58" s="5">
        <v>1171.9000000000001</v>
      </c>
      <c r="I58" s="1" t="s">
        <v>8</v>
      </c>
      <c r="J58" s="24" t="s">
        <v>41</v>
      </c>
      <c r="K58" s="19"/>
      <c r="L58" s="19"/>
      <c r="M58" s="19"/>
      <c r="N58" t="str">
        <f>IF(COUNTIFS( $B$2:$B$842, B58, $C$2:$C$842, C58, $D$2:$D$842, D58, $E$2:$E$842, E58) &gt; 1, "Duplicate", "Unique")</f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51</v>
      </c>
      <c r="C59" s="1" t="s">
        <v>10</v>
      </c>
      <c r="D59" s="4">
        <v>40</v>
      </c>
      <c r="E59" s="4">
        <v>897</v>
      </c>
      <c r="F59" s="4">
        <v>-4.4524925440000001</v>
      </c>
      <c r="G59" s="2" t="s">
        <v>52</v>
      </c>
      <c r="H59" s="5">
        <v>938.8</v>
      </c>
      <c r="I59" s="1" t="s">
        <v>8</v>
      </c>
      <c r="J59" s="25"/>
      <c r="K59" s="19"/>
      <c r="L59" s="19"/>
      <c r="M59" s="19"/>
      <c r="N59" t="str">
        <f>IF(COUNTIFS( $B$2:$B$842, B59, $C$2:$C$842, C59, $D$2:$D$842, D59, $E$2:$E$842, E59) &gt; 1, "Duplicate", "Unique")</f>
        <v>Unique</v>
      </c>
      <c r="O59" s="19"/>
    </row>
    <row r="60" spans="1:15" customFormat="1" ht="15" customHeight="1" thickBot="1" x14ac:dyDescent="0.4">
      <c r="A60" s="3">
        <v>46252.635416666664</v>
      </c>
      <c r="B60" s="1" t="s">
        <v>80</v>
      </c>
      <c r="C60" s="1" t="s">
        <v>10</v>
      </c>
      <c r="D60" s="4">
        <v>10</v>
      </c>
      <c r="E60" s="4">
        <v>1420</v>
      </c>
      <c r="F60" s="4">
        <v>-3.4013605440000001</v>
      </c>
      <c r="G60" s="2" t="s">
        <v>81</v>
      </c>
      <c r="H60" s="5">
        <v>1470</v>
      </c>
      <c r="I60" s="1" t="s">
        <v>8</v>
      </c>
      <c r="J60" s="25"/>
      <c r="K60" s="19"/>
      <c r="L60" s="19"/>
      <c r="M60" s="19"/>
      <c r="N60" t="str">
        <f>IF(COUNTIFS( $B$2:$B$842, B60, $C$2:$C$842, C60, $D$2:$D$842, D60, $E$2:$E$842, E60) &gt; 1, "Duplicate", "Unique")</f>
        <v>Unique</v>
      </c>
      <c r="O60" s="19"/>
    </row>
    <row r="61" spans="1:15" customFormat="1" ht="27.65" customHeight="1" thickBot="1" x14ac:dyDescent="0.4">
      <c r="A61" s="6" t="s">
        <v>62</v>
      </c>
      <c r="B61" s="1" t="s">
        <v>66</v>
      </c>
      <c r="C61" s="1" t="s">
        <v>10</v>
      </c>
      <c r="D61" s="4">
        <v>10</v>
      </c>
      <c r="E61" s="4">
        <v>1166</v>
      </c>
      <c r="F61" s="4">
        <v>-2.9465623440000002</v>
      </c>
      <c r="G61" s="2" t="s">
        <v>67</v>
      </c>
      <c r="H61" s="5">
        <v>1201.4000000000001</v>
      </c>
      <c r="I61" s="1" t="s">
        <v>8</v>
      </c>
      <c r="J61" s="25"/>
      <c r="K61" s="19"/>
      <c r="L61" s="19"/>
      <c r="M61" s="19"/>
      <c r="N61" t="str">
        <f>IF(COUNTIFS( $B$2:$B$842, B61, $C$2:$C$842, C61, $D$2:$D$842, D61, $E$2:$E$842, E61) &gt; 1, "Duplicate", "Unique")</f>
        <v>Unique</v>
      </c>
      <c r="O61" s="19"/>
    </row>
    <row r="62" spans="1:15" customFormat="1" ht="27.65" customHeight="1" thickBot="1" x14ac:dyDescent="0.4">
      <c r="A62" s="6" t="s">
        <v>62</v>
      </c>
      <c r="B62" s="1" t="s">
        <v>32</v>
      </c>
      <c r="C62" s="1" t="s">
        <v>10</v>
      </c>
      <c r="D62" s="4">
        <v>5</v>
      </c>
      <c r="E62" s="4">
        <v>838</v>
      </c>
      <c r="F62" s="4">
        <v>-5.6625014069999997</v>
      </c>
      <c r="G62" s="2" t="s">
        <v>85</v>
      </c>
      <c r="H62" s="5">
        <v>888.3</v>
      </c>
      <c r="I62" s="1" t="s">
        <v>8</v>
      </c>
      <c r="J62" s="25"/>
      <c r="K62" s="19"/>
      <c r="L62" s="19"/>
      <c r="M62" s="19"/>
      <c r="N62" t="str">
        <f>IF(COUNTIFS( $B$2:$B$842, B62, $C$2:$C$842, C62, $D$2:$D$842, D62, $E$2:$E$842, E62) &gt; 1, "Duplicate", "Unique")</f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23</v>
      </c>
      <c r="C63" s="1" t="s">
        <v>10</v>
      </c>
      <c r="D63" s="4">
        <v>50</v>
      </c>
      <c r="E63" s="4">
        <v>201</v>
      </c>
      <c r="F63" s="4">
        <v>-6.5594347080000004</v>
      </c>
      <c r="G63" s="2" t="s">
        <v>70</v>
      </c>
      <c r="H63" s="5">
        <v>215.11</v>
      </c>
      <c r="I63" s="1" t="s">
        <v>8</v>
      </c>
      <c r="J63" s="26" t="s">
        <v>41</v>
      </c>
      <c r="K63" s="19"/>
      <c r="L63" s="19"/>
      <c r="M63" s="19"/>
      <c r="N63" t="str">
        <f>IF(COUNTIFS( $B$2:$B$842, B63, $C$2:$C$842, C63, $D$2:$D$842, D63, $E$2:$E$842, E63) &gt; 1, "Duplicate", "Unique")</f>
        <v>Unique</v>
      </c>
      <c r="O63" s="19"/>
    </row>
    <row r="64" spans="1:15" customFormat="1" ht="27.65" customHeight="1" thickBot="1" x14ac:dyDescent="0.4">
      <c r="A64" s="6" t="s">
        <v>62</v>
      </c>
      <c r="B64" s="1" t="s">
        <v>32</v>
      </c>
      <c r="C64" s="1" t="s">
        <v>10</v>
      </c>
      <c r="D64" s="4">
        <v>25</v>
      </c>
      <c r="E64" s="4">
        <v>836</v>
      </c>
      <c r="F64" s="4">
        <v>-5.8876505689999998</v>
      </c>
      <c r="G64" s="2" t="s">
        <v>85</v>
      </c>
      <c r="H64" s="5">
        <v>888.3</v>
      </c>
      <c r="I64" s="1" t="s">
        <v>8</v>
      </c>
      <c r="J64" s="25"/>
      <c r="K64" s="19"/>
      <c r="L64" s="19"/>
      <c r="M64" s="19"/>
      <c r="N64" t="str">
        <f>IF(COUNTIFS( $B$2:$B$842, B64, $C$2:$C$842, C64, $D$2:$D$842, D64, $E$2:$E$842, E64) &gt; 1, "Duplicate", "Unique")</f>
        <v>Unique</v>
      </c>
      <c r="O64" s="19"/>
    </row>
    <row r="65" spans="1:15" customFormat="1" ht="15" customHeight="1" thickBot="1" x14ac:dyDescent="0.4">
      <c r="A65" s="3">
        <v>46252.635416666664</v>
      </c>
      <c r="B65" s="1" t="s">
        <v>80</v>
      </c>
      <c r="C65" s="1" t="s">
        <v>10</v>
      </c>
      <c r="D65" s="4">
        <v>10</v>
      </c>
      <c r="E65" s="4">
        <v>1410</v>
      </c>
      <c r="F65" s="4">
        <v>-4.0816326529999998</v>
      </c>
      <c r="G65" s="2" t="s">
        <v>81</v>
      </c>
      <c r="H65" s="5">
        <v>1470</v>
      </c>
      <c r="I65" s="1" t="s">
        <v>8</v>
      </c>
      <c r="J65" s="25"/>
      <c r="K65" s="19"/>
      <c r="L65" s="19"/>
      <c r="M65" s="19"/>
      <c r="N65" t="str">
        <f>IF(COUNTIFS( $B$2:$B$842, B65, $C$2:$C$842, C65, $D$2:$D$842, D65, $E$2:$E$842, E65) &gt; 1, "Duplicate", "Unique")</f>
        <v>Unique</v>
      </c>
      <c r="O65" s="19"/>
    </row>
    <row r="66" spans="1:15" customFormat="1" ht="27.65" customHeight="1" thickBot="1" x14ac:dyDescent="0.4">
      <c r="A66" s="3">
        <v>46252.6875</v>
      </c>
      <c r="B66" s="1" t="s">
        <v>18</v>
      </c>
      <c r="C66" s="1" t="s">
        <v>10</v>
      </c>
      <c r="D66" s="4">
        <v>10</v>
      </c>
      <c r="E66" s="4">
        <v>1666</v>
      </c>
      <c r="F66" s="4">
        <v>-6.4044943820000002</v>
      </c>
      <c r="G66" s="2" t="s">
        <v>102</v>
      </c>
      <c r="H66" s="5">
        <v>1780</v>
      </c>
      <c r="I66" s="1" t="s">
        <v>8</v>
      </c>
      <c r="J66" s="25" t="s">
        <v>55</v>
      </c>
      <c r="K66" s="19"/>
      <c r="L66" s="19"/>
      <c r="M66" s="19"/>
      <c r="N66" t="str">
        <f>IF(COUNTIFS( $B$2:$B$842, B66, $C$2:$C$842, C66, $D$2:$D$842, D66, $E$2:$E$842, E66) &gt; 1, "Duplicate", "Unique")</f>
        <v>Unique</v>
      </c>
      <c r="O66" s="19"/>
    </row>
    <row r="67" spans="1:15" customFormat="1" ht="27.65" customHeight="1" thickBot="1" x14ac:dyDescent="0.4">
      <c r="A67" s="3">
        <v>46262.457638888889</v>
      </c>
      <c r="B67" s="1" t="s">
        <v>21</v>
      </c>
      <c r="C67" s="1" t="s">
        <v>10</v>
      </c>
      <c r="D67" s="4">
        <v>5</v>
      </c>
      <c r="E67" s="4">
        <v>660</v>
      </c>
      <c r="F67" s="4">
        <v>-6.2100326839999997</v>
      </c>
      <c r="G67" s="2" t="s">
        <v>76</v>
      </c>
      <c r="H67" s="5">
        <v>703.7</v>
      </c>
      <c r="I67" s="1" t="s">
        <v>8</v>
      </c>
      <c r="J67" s="29" t="s">
        <v>41</v>
      </c>
      <c r="K67" s="20" t="s">
        <v>198</v>
      </c>
      <c r="L67" s="20">
        <v>3522.75</v>
      </c>
      <c r="M67" s="20">
        <f>ABS((D67*E67)-L67)</f>
        <v>222.75</v>
      </c>
      <c r="N67" s="12" t="str">
        <f>IF(COUNTIFS( $B$2:$B$842, B67, $C$2:$C$842, C67, $D$2:$D$842, D67, $E$2:$E$842, E67) &gt; 1, "Duplicate", "Unique")</f>
        <v>Unique</v>
      </c>
      <c r="O67" s="20"/>
    </row>
    <row r="68" spans="1:15" customFormat="1" ht="27.65" customHeight="1" thickBot="1" x14ac:dyDescent="0.4">
      <c r="A68" s="3">
        <v>46252.635416666664</v>
      </c>
      <c r="B68" s="1" t="s">
        <v>36</v>
      </c>
      <c r="C68" s="1" t="s">
        <v>10</v>
      </c>
      <c r="D68" s="4">
        <v>5</v>
      </c>
      <c r="E68" s="4">
        <v>1132</v>
      </c>
      <c r="F68" s="4">
        <v>-3.4047273659999999</v>
      </c>
      <c r="G68" s="2" t="s">
        <v>65</v>
      </c>
      <c r="H68" s="5">
        <v>1171.9000000000001</v>
      </c>
      <c r="I68" s="1" t="s">
        <v>8</v>
      </c>
      <c r="J68" s="25"/>
      <c r="K68" s="19"/>
      <c r="L68" s="19"/>
      <c r="M68" s="19"/>
      <c r="N68" t="str">
        <f>IF(COUNTIFS( $B$2:$B$842, B68, $C$2:$C$842, C68, $D$2:$D$842, D68, $E$2:$E$842, E68) &gt; 1, "Duplicate", "Unique")</f>
        <v>Unique</v>
      </c>
      <c r="O68" s="19"/>
    </row>
    <row r="69" spans="1:15" customFormat="1" ht="15" customHeight="1" thickBot="1" x14ac:dyDescent="0.4">
      <c r="A69" s="6" t="s">
        <v>62</v>
      </c>
      <c r="B69" s="1" t="s">
        <v>49</v>
      </c>
      <c r="C69" s="1" t="s">
        <v>10</v>
      </c>
      <c r="D69" s="4">
        <v>2</v>
      </c>
      <c r="E69" s="4">
        <v>3760</v>
      </c>
      <c r="F69" s="4">
        <v>-5.9764941240000002</v>
      </c>
      <c r="G69" s="2" t="s">
        <v>50</v>
      </c>
      <c r="H69" s="5">
        <v>3999</v>
      </c>
      <c r="I69" s="1" t="s">
        <v>8</v>
      </c>
      <c r="J69" s="25"/>
      <c r="K69" s="19"/>
      <c r="L69" s="19"/>
      <c r="M69" s="19"/>
      <c r="N69" t="str">
        <f>IF(COUNTIFS( $B$2:$B$842, B69, $C$2:$C$842, C69, $D$2:$D$842, D69, $E$2:$E$842, E69) &gt; 1, "Duplicate", "Unique")</f>
        <v>Unique</v>
      </c>
      <c r="O69" s="19"/>
    </row>
    <row r="70" spans="1:15" customFormat="1" ht="27.65" customHeight="1" thickBot="1" x14ac:dyDescent="0.4">
      <c r="A70" s="6" t="s">
        <v>62</v>
      </c>
      <c r="B70" s="1" t="s">
        <v>20</v>
      </c>
      <c r="C70" s="1" t="s">
        <v>10</v>
      </c>
      <c r="D70" s="4">
        <v>50</v>
      </c>
      <c r="E70" s="4">
        <v>119</v>
      </c>
      <c r="F70" s="4">
        <v>-5.1792828689999997</v>
      </c>
      <c r="G70" s="2" t="s">
        <v>86</v>
      </c>
      <c r="H70" s="5">
        <v>125.5</v>
      </c>
      <c r="I70" s="1" t="s">
        <v>8</v>
      </c>
      <c r="J70" s="25"/>
      <c r="K70" s="19"/>
      <c r="L70" s="19"/>
      <c r="M70" s="19"/>
      <c r="N70" t="str">
        <f>IF(COUNTIFS( $B$2:$B$842, B70, $C$2:$C$842, C70, $D$2:$D$842, D70, $E$2:$E$842, E70) &gt; 1, "Duplicate", "Unique")</f>
        <v>Unique</v>
      </c>
      <c r="O70" s="19"/>
    </row>
    <row r="71" spans="1:15" customFormat="1" ht="15" customHeight="1" thickBot="1" x14ac:dyDescent="0.4">
      <c r="A71" s="6" t="s">
        <v>62</v>
      </c>
      <c r="B71" s="1" t="s">
        <v>100</v>
      </c>
      <c r="C71" s="1" t="s">
        <v>10</v>
      </c>
      <c r="D71" s="4">
        <v>25</v>
      </c>
      <c r="E71" s="4">
        <v>196</v>
      </c>
      <c r="F71" s="4">
        <v>-7.1090047390000004</v>
      </c>
      <c r="G71" s="2" t="s">
        <v>101</v>
      </c>
      <c r="H71" s="5">
        <v>211</v>
      </c>
      <c r="I71" s="1" t="s">
        <v>8</v>
      </c>
      <c r="J71" s="25"/>
      <c r="K71" s="19"/>
      <c r="L71" s="19"/>
      <c r="M71" s="19"/>
      <c r="N71" t="str">
        <f>IF(COUNTIFS( $B$2:$B$842, B71, $C$2:$C$842, C71, $D$2:$D$842, D71, $E$2:$E$842, E71) &gt; 1, "Duplicate", "Unique")</f>
        <v>Unique</v>
      </c>
      <c r="O71" s="19"/>
    </row>
    <row r="72" spans="1:15" customFormat="1" ht="27.65" customHeight="1" thickBot="1" x14ac:dyDescent="0.4">
      <c r="A72" s="6" t="s">
        <v>62</v>
      </c>
      <c r="B72" s="1" t="s">
        <v>107</v>
      </c>
      <c r="C72" s="1" t="s">
        <v>10</v>
      </c>
      <c r="D72" s="4">
        <v>1</v>
      </c>
      <c r="E72" s="4">
        <v>6920</v>
      </c>
      <c r="F72" s="4">
        <v>-6.423258959</v>
      </c>
      <c r="G72" s="2" t="s">
        <v>108</v>
      </c>
      <c r="H72" s="5">
        <v>7395</v>
      </c>
      <c r="I72" s="1" t="s">
        <v>8</v>
      </c>
      <c r="J72" s="24" t="s">
        <v>140</v>
      </c>
      <c r="K72" s="19"/>
      <c r="L72" s="19"/>
      <c r="M72" s="19"/>
      <c r="N72" t="str">
        <f>IF(COUNTIFS( $B$2:$B$842, B72, $C$2:$C$842, C72, $D$2:$D$842, D72, $E$2:$E$842, E72) &gt; 1, "Duplicate", "Unique")</f>
        <v>Unique</v>
      </c>
      <c r="O72" s="19"/>
    </row>
    <row r="73" spans="1:15" customFormat="1" ht="27.65" customHeight="1" thickBot="1" x14ac:dyDescent="0.4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-7.1225071230000001</v>
      </c>
      <c r="G73" s="2" t="s">
        <v>77</v>
      </c>
      <c r="H73" s="5">
        <v>351</v>
      </c>
      <c r="I73" s="1" t="s">
        <v>8</v>
      </c>
      <c r="J73" s="25"/>
      <c r="K73" s="19"/>
      <c r="L73" s="19"/>
      <c r="M73" s="19"/>
      <c r="N73" t="str">
        <f>IF(COUNTIFS( $B$2:$B$842, B73, $C$2:$C$842, C73, $D$2:$D$842, D73, $E$2:$E$842, E73) &gt; 1, "Duplicate", "Unique")</f>
        <v>Unique</v>
      </c>
      <c r="O73" s="19"/>
    </row>
    <row r="74" spans="1:15" customFormat="1" ht="27.65" customHeight="1" thickBot="1" x14ac:dyDescent="0.4">
      <c r="A74" s="3">
        <v>46252.635416666664</v>
      </c>
      <c r="B74" s="1" t="s">
        <v>78</v>
      </c>
      <c r="C74" s="1" t="s">
        <v>10</v>
      </c>
      <c r="D74" s="4">
        <v>3</v>
      </c>
      <c r="E74" s="4">
        <v>1302</v>
      </c>
      <c r="F74" s="4">
        <v>-6.3982746229999998</v>
      </c>
      <c r="G74" s="2" t="s">
        <v>79</v>
      </c>
      <c r="H74" s="5">
        <v>1391</v>
      </c>
      <c r="I74" s="1" t="s">
        <v>8</v>
      </c>
      <c r="J74" s="25"/>
      <c r="K74" s="19"/>
      <c r="L74" s="19"/>
      <c r="M74" s="19"/>
      <c r="N74" t="str">
        <f>IF(COUNTIFS( $B$2:$B$842, B74, $C$2:$C$842, C74, $D$2:$D$842, D74, $E$2:$E$842, E74) &gt; 1, "Duplicate", "Unique")</f>
        <v>Unique</v>
      </c>
      <c r="O74" s="19"/>
    </row>
    <row r="75" spans="1:15" customFormat="1" ht="27.65" customHeight="1" thickBot="1" x14ac:dyDescent="0.4">
      <c r="A75" s="6" t="s">
        <v>62</v>
      </c>
      <c r="B75" s="1" t="s">
        <v>82</v>
      </c>
      <c r="C75" s="1" t="s">
        <v>10</v>
      </c>
      <c r="D75" s="4">
        <v>2</v>
      </c>
      <c r="E75" s="4">
        <v>4010</v>
      </c>
      <c r="F75" s="4">
        <v>-4.5919581249999997</v>
      </c>
      <c r="G75" s="2" t="s">
        <v>83</v>
      </c>
      <c r="H75" s="5">
        <v>4203</v>
      </c>
      <c r="I75" s="1" t="s">
        <v>8</v>
      </c>
      <c r="J75" s="25"/>
      <c r="K75" s="19"/>
      <c r="L75" s="19"/>
      <c r="M75" s="19"/>
      <c r="N75" t="str">
        <f>IF(COUNTIFS( $B$2:$B$842, B75, $C$2:$C$842, C75, $D$2:$D$842, D75, $E$2:$E$842, E75) &gt; 1, "Duplicate", "Unique")</f>
        <v>Unique</v>
      </c>
      <c r="O75" s="19"/>
    </row>
    <row r="76" spans="1:15" customFormat="1" ht="27.65" customHeight="1" thickBot="1" x14ac:dyDescent="0.4">
      <c r="A76" s="3">
        <v>46252.6875</v>
      </c>
      <c r="B76" s="1" t="s">
        <v>11</v>
      </c>
      <c r="C76" s="1" t="s">
        <v>10</v>
      </c>
      <c r="D76" s="4">
        <v>60</v>
      </c>
      <c r="E76" s="4">
        <v>271</v>
      </c>
      <c r="F76" s="4">
        <v>-7.1917808220000001</v>
      </c>
      <c r="G76" s="2" t="s">
        <v>99</v>
      </c>
      <c r="H76" s="5">
        <v>292</v>
      </c>
      <c r="I76" s="1" t="s">
        <v>8</v>
      </c>
      <c r="J76" s="25"/>
      <c r="K76" s="19"/>
      <c r="L76" s="19"/>
      <c r="M76" s="19"/>
      <c r="N76" t="str">
        <f>IF(COUNTIFS( $B$2:$B$842, B76, $C$2:$C$842, C76, $D$2:$D$842, D76, $E$2:$E$842, E76) &gt; 1, "Duplicate", "Unique")</f>
        <v>Unique</v>
      </c>
      <c r="O76" s="19"/>
    </row>
    <row r="77" spans="1:15" customFormat="1" ht="27.65" customHeight="1" thickBot="1" x14ac:dyDescent="0.4">
      <c r="A77" s="6" t="s">
        <v>62</v>
      </c>
      <c r="B77" s="1" t="s">
        <v>109</v>
      </c>
      <c r="C77" s="1" t="s">
        <v>10</v>
      </c>
      <c r="D77" s="4">
        <v>2</v>
      </c>
      <c r="E77" s="4">
        <v>4456</v>
      </c>
      <c r="F77" s="4">
        <v>-7.1473223590000003</v>
      </c>
      <c r="G77" s="2" t="s">
        <v>110</v>
      </c>
      <c r="H77" s="5">
        <v>4799</v>
      </c>
      <c r="I77" s="1" t="s">
        <v>8</v>
      </c>
      <c r="J77" s="25"/>
      <c r="K77" s="19"/>
      <c r="L77" s="19"/>
      <c r="M77" s="19"/>
      <c r="N77" t="str">
        <f>IF(COUNTIFS( $B$2:$B$842, B77, $C$2:$C$842, C77, $D$2:$D$842, D77, $E$2:$E$842, E77) &gt; 1, "Duplicate", "Unique")</f>
        <v>Unique</v>
      </c>
      <c r="O77" s="19"/>
    </row>
    <row r="78" spans="1:15" customFormat="1" ht="27.65" customHeight="1" thickBot="1" x14ac:dyDescent="0.4">
      <c r="A78" s="6" t="s">
        <v>62</v>
      </c>
      <c r="B78" s="1" t="s">
        <v>51</v>
      </c>
      <c r="C78" s="1" t="s">
        <v>10</v>
      </c>
      <c r="D78" s="4">
        <v>40</v>
      </c>
      <c r="E78" s="4">
        <v>878</v>
      </c>
      <c r="F78" s="4">
        <v>-6.4763527910000001</v>
      </c>
      <c r="G78" s="2" t="s">
        <v>52</v>
      </c>
      <c r="H78" s="5">
        <v>938.8</v>
      </c>
      <c r="I78" s="1" t="s">
        <v>8</v>
      </c>
      <c r="J78" s="25"/>
      <c r="K78" s="19"/>
      <c r="L78" s="19"/>
      <c r="M78" s="19"/>
      <c r="N78" t="str">
        <f>IF(COUNTIFS( $B$2:$B$842, B78, $C$2:$C$842, C78, $D$2:$D$842, D78, $E$2:$E$842, E78) &gt; 1, "Duplicate", "Unique")</f>
        <v>Unique</v>
      </c>
      <c r="O78" s="19"/>
    </row>
    <row r="79" spans="1:15" customFormat="1" ht="27.65" customHeight="1" thickBot="1" x14ac:dyDescent="0.4">
      <c r="A79" s="3">
        <v>46252.635416666664</v>
      </c>
      <c r="B79" s="1" t="s">
        <v>89</v>
      </c>
      <c r="C79" s="1" t="s">
        <v>10</v>
      </c>
      <c r="D79" s="4">
        <v>1</v>
      </c>
      <c r="E79" s="4">
        <v>13552</v>
      </c>
      <c r="F79" s="4">
        <v>-6.5379310339999996</v>
      </c>
      <c r="G79" s="2" t="s">
        <v>90</v>
      </c>
      <c r="H79" s="5">
        <v>14500</v>
      </c>
      <c r="I79" s="1" t="s">
        <v>8</v>
      </c>
      <c r="J79" s="25"/>
      <c r="K79" s="19"/>
      <c r="L79" s="19"/>
      <c r="M79" s="19"/>
      <c r="N79" t="str">
        <f>IF(COUNTIFS( $B$2:$B$842, B79, $C$2:$C$842, C79, $D$2:$D$842, D79, $E$2:$E$842, E79) &gt; 1, "Duplicate", "Unique")</f>
        <v>Unique</v>
      </c>
      <c r="O79" s="19"/>
    </row>
    <row r="80" spans="1:15" customFormat="1" ht="27.65" customHeight="1" thickBot="1" x14ac:dyDescent="0.4">
      <c r="A80" s="6" t="s">
        <v>62</v>
      </c>
      <c r="B80" s="1" t="s">
        <v>19</v>
      </c>
      <c r="C80" s="1" t="s">
        <v>10</v>
      </c>
      <c r="D80" s="4">
        <v>50</v>
      </c>
      <c r="E80" s="4">
        <v>206</v>
      </c>
      <c r="F80" s="4">
        <v>-5.4178145090000003</v>
      </c>
      <c r="G80" s="2" t="s">
        <v>40</v>
      </c>
      <c r="H80" s="5">
        <v>217.8</v>
      </c>
      <c r="I80" s="1" t="s">
        <v>8</v>
      </c>
      <c r="J80" s="25" t="s">
        <v>41</v>
      </c>
      <c r="K80" s="19"/>
      <c r="L80" s="19"/>
      <c r="M80" s="19"/>
      <c r="N80" t="str">
        <f>IF(COUNTIFS( $B$2:$B$842, B80, $C$2:$C$842, C80, $D$2:$D$842, D80, $E$2:$E$842, E80) &gt; 1, "Duplicate", "Unique")</f>
        <v>Unique</v>
      </c>
      <c r="O80" s="19"/>
    </row>
    <row r="81" spans="1:15" customFormat="1" ht="27.65" customHeight="1" thickBot="1" x14ac:dyDescent="0.4">
      <c r="A81" s="6" t="s">
        <v>62</v>
      </c>
      <c r="B81" s="1" t="s">
        <v>34</v>
      </c>
      <c r="C81" s="1" t="s">
        <v>10</v>
      </c>
      <c r="D81" s="4">
        <v>1</v>
      </c>
      <c r="E81" s="4">
        <v>18552</v>
      </c>
      <c r="F81" s="4">
        <v>-7.1703777830000002</v>
      </c>
      <c r="G81" s="2" t="s">
        <v>71</v>
      </c>
      <c r="H81" s="5">
        <v>19985</v>
      </c>
      <c r="I81" s="1" t="s">
        <v>8</v>
      </c>
      <c r="J81" s="25"/>
      <c r="K81" s="19"/>
      <c r="L81" s="19"/>
      <c r="M81" s="19"/>
      <c r="N81" t="str">
        <f>IF(COUNTIFS( $B$2:$B$842, B81, $C$2:$C$842, C81, $D$2:$D$842, D81, $E$2:$E$842, E81) &gt; 1, "Duplicate", "Unique")</f>
        <v>Unique</v>
      </c>
      <c r="O81" s="19"/>
    </row>
    <row r="82" spans="1:15" customFormat="1" ht="27.65" customHeight="1" thickBot="1" x14ac:dyDescent="0.4">
      <c r="A82" s="6" t="s">
        <v>62</v>
      </c>
      <c r="B82" s="1" t="s">
        <v>109</v>
      </c>
      <c r="C82" s="1" t="s">
        <v>10</v>
      </c>
      <c r="D82" s="4">
        <v>15</v>
      </c>
      <c r="E82" s="4">
        <v>4415</v>
      </c>
      <c r="F82" s="4">
        <v>-8.0016670140000006</v>
      </c>
      <c r="G82" s="2" t="s">
        <v>110</v>
      </c>
      <c r="H82" s="5">
        <v>4799</v>
      </c>
      <c r="I82" s="1" t="s">
        <v>8</v>
      </c>
      <c r="J82" s="25"/>
      <c r="K82" s="19"/>
      <c r="L82" s="19"/>
      <c r="M82" s="19"/>
      <c r="N82" t="str">
        <f>IF(COUNTIFS( $B$2:$B$842, B82, $C$2:$C$842, C82, $D$2:$D$842, D82, $E$2:$E$842, E82) &gt; 1, "Duplicate", "Unique")</f>
        <v>Unique</v>
      </c>
      <c r="O82" s="19"/>
    </row>
    <row r="83" spans="1:15" ht="15" customHeight="1" thickBot="1" x14ac:dyDescent="0.4">
      <c r="A83" s="6" t="s">
        <v>62</v>
      </c>
      <c r="B83" s="1" t="s">
        <v>23</v>
      </c>
      <c r="C83" s="1" t="s">
        <v>10</v>
      </c>
      <c r="D83" s="4">
        <v>50</v>
      </c>
      <c r="E83" s="4">
        <v>196</v>
      </c>
      <c r="F83" s="4">
        <v>-8.8838268790000008</v>
      </c>
      <c r="G83" s="2" t="s">
        <v>70</v>
      </c>
      <c r="H83" s="5">
        <v>215.11</v>
      </c>
      <c r="I83" s="1" t="s">
        <v>8</v>
      </c>
      <c r="J83" s="25"/>
      <c r="K83" s="19"/>
      <c r="L83" s="19"/>
      <c r="M83" s="19"/>
      <c r="N83" t="str">
        <f>IF(COUNTIFS( $B$2:$B$842, B83, $C$2:$C$842, C83, $D$2:$D$842, D83, $E$2:$E$842, E83) &gt; 1, "Duplicate", "Unique")</f>
        <v>Unique</v>
      </c>
      <c r="O83" s="19"/>
    </row>
    <row r="84" spans="1:15" ht="27.65" customHeight="1" thickBot="1" x14ac:dyDescent="0.4">
      <c r="A84" s="3">
        <v>46258.601388888892</v>
      </c>
      <c r="B84" s="1" t="s">
        <v>33</v>
      </c>
      <c r="C84" s="1" t="s">
        <v>10</v>
      </c>
      <c r="D84" s="4">
        <v>3</v>
      </c>
      <c r="E84" s="4">
        <v>2271</v>
      </c>
      <c r="F84" s="4">
        <v>-7.4949083500000002</v>
      </c>
      <c r="G84" s="2" t="s">
        <v>84</v>
      </c>
      <c r="H84" s="5">
        <v>2455</v>
      </c>
      <c r="I84" s="1" t="s">
        <v>8</v>
      </c>
      <c r="J84" s="29" t="s">
        <v>55</v>
      </c>
      <c r="K84" s="20" t="s">
        <v>163</v>
      </c>
      <c r="L84" s="20">
        <v>7113</v>
      </c>
      <c r="M84" s="20">
        <f>ABS((D84*E84)-L84)</f>
        <v>300</v>
      </c>
      <c r="N84" s="12" t="str">
        <f>IF(COUNTIFS( $B$2:$B$842, B84, $C$2:$C$842, C84, $D$2:$D$842, D84, $E$2:$E$842, E84) &gt; 1, "Duplicate", "Unique")</f>
        <v>Unique</v>
      </c>
    </row>
    <row r="85" spans="1:15" ht="40.75" customHeight="1" thickBot="1" x14ac:dyDescent="0.4">
      <c r="A85" s="6" t="s">
        <v>62</v>
      </c>
      <c r="B85" s="1" t="s">
        <v>22</v>
      </c>
      <c r="C85" s="1" t="s">
        <v>10</v>
      </c>
      <c r="D85" s="4">
        <v>29</v>
      </c>
      <c r="E85" s="4">
        <v>401</v>
      </c>
      <c r="F85" s="4">
        <v>-8.2379862700000004</v>
      </c>
      <c r="G85" s="2" t="s">
        <v>73</v>
      </c>
      <c r="H85" s="5">
        <v>437</v>
      </c>
      <c r="I85" s="1" t="s">
        <v>8</v>
      </c>
      <c r="J85" s="24" t="s">
        <v>55</v>
      </c>
      <c r="K85" s="19"/>
      <c r="L85" s="19"/>
      <c r="M85" s="19"/>
      <c r="N85" t="str">
        <f>IF(COUNTIFS( $B$2:$B$842, B85, $C$2:$C$842, C85, $D$2:$D$842, D85, $E$2:$E$842, E85) &gt; 1, "Duplicate", "Unique")</f>
        <v>Unique</v>
      </c>
      <c r="O85" s="19"/>
    </row>
    <row r="86" spans="1:15" ht="40.75" customHeight="1" thickBot="1" x14ac:dyDescent="0.4">
      <c r="A86" s="6" t="s">
        <v>62</v>
      </c>
      <c r="B86" s="1" t="s">
        <v>66</v>
      </c>
      <c r="C86" s="1" t="s">
        <v>10</v>
      </c>
      <c r="D86" s="4">
        <v>10</v>
      </c>
      <c r="E86" s="4">
        <v>1132</v>
      </c>
      <c r="F86" s="4">
        <v>-5.7765939739999999</v>
      </c>
      <c r="G86" s="2" t="s">
        <v>67</v>
      </c>
      <c r="H86" s="5">
        <v>1201.4000000000001</v>
      </c>
      <c r="I86" s="1" t="s">
        <v>8</v>
      </c>
      <c r="J86" s="25"/>
      <c r="K86" s="19"/>
      <c r="L86" s="19"/>
      <c r="M86" s="19"/>
      <c r="N86" t="str">
        <f>IF(COUNTIFS( $B$2:$B$842, B86, $C$2:$C$842, C86, $D$2:$D$842, D86, $E$2:$E$842, E86) &gt; 1, "Duplicate", "Unique")</f>
        <v>Unique</v>
      </c>
      <c r="O86" s="19"/>
    </row>
    <row r="87" spans="1:15" ht="16.25" customHeight="1" thickBot="1" x14ac:dyDescent="0.4">
      <c r="A87" s="6" t="s">
        <v>62</v>
      </c>
      <c r="B87" s="1" t="s">
        <v>78</v>
      </c>
      <c r="C87" s="1" t="s">
        <v>10</v>
      </c>
      <c r="D87" s="4">
        <v>69</v>
      </c>
      <c r="E87" s="4">
        <v>1277</v>
      </c>
      <c r="F87" s="4">
        <v>-8.1955427749999998</v>
      </c>
      <c r="G87" s="2" t="s">
        <v>79</v>
      </c>
      <c r="H87" s="5">
        <v>1391</v>
      </c>
      <c r="I87" s="1" t="s">
        <v>8</v>
      </c>
      <c r="J87" s="25"/>
      <c r="K87" s="19"/>
      <c r="L87" s="19"/>
      <c r="M87" s="19"/>
      <c r="N87" t="str">
        <f>IF(COUNTIFS( $B$2:$B$842, B87, $C$2:$C$842, C87, $D$2:$D$842, D87, $E$2:$E$842, E87) &gt; 1, "Duplicate", "Unique")</f>
        <v>Unique</v>
      </c>
      <c r="O87" s="19"/>
    </row>
    <row r="88" spans="1:15" ht="40.75" customHeight="1" thickBot="1" x14ac:dyDescent="0.4">
      <c r="A88" s="6" t="s">
        <v>62</v>
      </c>
      <c r="B88" s="1" t="s">
        <v>20</v>
      </c>
      <c r="C88" s="1" t="s">
        <v>10</v>
      </c>
      <c r="D88" s="4">
        <v>50</v>
      </c>
      <c r="E88" s="4">
        <v>116</v>
      </c>
      <c r="F88" s="4">
        <v>-7.5697211160000002</v>
      </c>
      <c r="G88" s="2" t="s">
        <v>86</v>
      </c>
      <c r="H88" s="5">
        <v>125.5</v>
      </c>
      <c r="I88" s="1" t="s">
        <v>8</v>
      </c>
      <c r="J88" s="25"/>
      <c r="K88" s="19"/>
      <c r="L88" s="19"/>
      <c r="M88" s="19"/>
      <c r="N88" t="str">
        <f>IF(COUNTIFS( $B$2:$B$842, B88, $C$2:$C$842, C88, $D$2:$D$842, D88, $E$2:$E$842, E88) &gt; 1, "Duplicate", "Unique")</f>
        <v>Unique</v>
      </c>
      <c r="O88" s="19"/>
    </row>
    <row r="89" spans="1:15" ht="15" customHeight="1" thickBot="1" x14ac:dyDescent="0.4">
      <c r="A89" s="6" t="s">
        <v>62</v>
      </c>
      <c r="B89" s="1" t="s">
        <v>12</v>
      </c>
      <c r="C89" s="1" t="s">
        <v>10</v>
      </c>
      <c r="D89" s="4">
        <v>3</v>
      </c>
      <c r="E89" s="4">
        <v>4710</v>
      </c>
      <c r="F89" s="4">
        <v>-8.5791925469999999</v>
      </c>
      <c r="G89" s="2" t="s">
        <v>98</v>
      </c>
      <c r="H89" s="5">
        <v>5152</v>
      </c>
      <c r="I89" s="1" t="s">
        <v>8</v>
      </c>
      <c r="J89" s="25"/>
      <c r="K89" s="19"/>
      <c r="L89" s="19"/>
      <c r="M89" s="19"/>
      <c r="N89" t="str">
        <f>IF(COUNTIFS( $B$2:$B$842, B89, $C$2:$C$842, C89, $D$2:$D$842, D89, $E$2:$E$842, E89) &gt; 1, "Duplicate", "Unique")</f>
        <v>Unique</v>
      </c>
      <c r="O89" s="19"/>
    </row>
    <row r="90" spans="1:15" ht="27.65" customHeight="1" thickBot="1" x14ac:dyDescent="0.4">
      <c r="A90" s="3">
        <v>46252.688194444447</v>
      </c>
      <c r="B90" s="1" t="s">
        <v>21</v>
      </c>
      <c r="C90" s="1" t="s">
        <v>10</v>
      </c>
      <c r="D90" s="4">
        <v>5</v>
      </c>
      <c r="E90" s="4">
        <v>640</v>
      </c>
      <c r="F90" s="4">
        <v>-9.0521529059999999</v>
      </c>
      <c r="G90" s="2" t="s">
        <v>76</v>
      </c>
      <c r="H90" s="5">
        <v>703.7</v>
      </c>
      <c r="I90" s="1" t="s">
        <v>8</v>
      </c>
      <c r="J90" s="25"/>
      <c r="K90" s="19"/>
      <c r="L90" s="19"/>
      <c r="M90" s="19"/>
      <c r="N90" t="str">
        <f>IF(COUNTIFS( $B$2:$B$842, B90, $C$2:$C$842, C90, $D$2:$D$842, D90, $E$2:$E$842, E90) &gt; 1, "Duplicate", "Unique")</f>
        <v>Unique</v>
      </c>
      <c r="O90" s="19"/>
    </row>
    <row r="91" spans="1:15" ht="27.65" customHeight="1" thickBot="1" x14ac:dyDescent="0.4">
      <c r="A91" s="6" t="s">
        <v>62</v>
      </c>
      <c r="B91" s="1" t="s">
        <v>18</v>
      </c>
      <c r="C91" s="1" t="s">
        <v>10</v>
      </c>
      <c r="D91" s="4">
        <v>5</v>
      </c>
      <c r="E91" s="4">
        <v>1614</v>
      </c>
      <c r="F91" s="4">
        <v>-9.3258426970000006</v>
      </c>
      <c r="G91" s="2" t="s">
        <v>102</v>
      </c>
      <c r="H91" s="5">
        <v>1780</v>
      </c>
      <c r="I91" s="1" t="s">
        <v>8</v>
      </c>
      <c r="J91" s="24" t="s">
        <v>41</v>
      </c>
      <c r="K91" s="19"/>
      <c r="L91" s="19"/>
      <c r="M91" s="19"/>
      <c r="N91" t="str">
        <f>IF(COUNTIFS( $B$2:$B$842, B91, $C$2:$C$842, C91, $D$2:$D$842, D91, $E$2:$E$842, E91) &gt; 1, "Duplicate", "Unique")</f>
        <v>Unique</v>
      </c>
      <c r="O91" s="19"/>
    </row>
    <row r="92" spans="1:15" ht="40.75" customHeight="1" thickBot="1" x14ac:dyDescent="0.4">
      <c r="A92" s="6" t="s">
        <v>62</v>
      </c>
      <c r="B92" s="1" t="s">
        <v>51</v>
      </c>
      <c r="C92" s="1" t="s">
        <v>10</v>
      </c>
      <c r="D92" s="4">
        <v>40</v>
      </c>
      <c r="E92" s="4">
        <v>862</v>
      </c>
      <c r="F92" s="4">
        <v>-8.1806561569999996</v>
      </c>
      <c r="G92" s="2" t="s">
        <v>52</v>
      </c>
      <c r="H92" s="5">
        <v>938.8</v>
      </c>
      <c r="I92" s="1" t="s">
        <v>8</v>
      </c>
      <c r="J92" s="25" t="s">
        <v>41</v>
      </c>
      <c r="K92" s="19"/>
      <c r="L92" s="19"/>
      <c r="M92" s="19"/>
      <c r="N92" t="str">
        <f>IF(COUNTIFS( $B$2:$B$842, B92, $C$2:$C$842, C92, $D$2:$D$842, D92, $E$2:$E$842, E92) &gt; 1, "Duplicate", "Unique")</f>
        <v>Unique</v>
      </c>
      <c r="O92" s="19"/>
    </row>
    <row r="93" spans="1:15" ht="40.75" customHeight="1" thickBot="1" x14ac:dyDescent="0.4">
      <c r="A93" s="6" t="s">
        <v>62</v>
      </c>
      <c r="B93" s="1" t="s">
        <v>31</v>
      </c>
      <c r="C93" s="1" t="s">
        <v>10</v>
      </c>
      <c r="D93" s="4">
        <v>10</v>
      </c>
      <c r="E93" s="4">
        <v>561</v>
      </c>
      <c r="F93" s="4">
        <v>-9.5161290320000003</v>
      </c>
      <c r="G93" s="2" t="s">
        <v>94</v>
      </c>
      <c r="H93" s="5">
        <v>620</v>
      </c>
      <c r="I93" s="1" t="s">
        <v>8</v>
      </c>
      <c r="J93" s="25"/>
      <c r="K93" s="19"/>
      <c r="L93" s="19"/>
      <c r="M93" s="19"/>
      <c r="N93" t="str">
        <f>IF(COUNTIFS( $B$2:$B$842, B93, $C$2:$C$842, C93, $D$2:$D$842, D93, $E$2:$E$842, E93) &gt; 1, "Duplicate", "Unique")</f>
        <v>Unique</v>
      </c>
      <c r="O93" s="19"/>
    </row>
    <row r="94" spans="1:15" ht="27.65" customHeight="1" thickBot="1" x14ac:dyDescent="0.4">
      <c r="A94" s="6" t="s">
        <v>62</v>
      </c>
      <c r="B94" s="1" t="s">
        <v>20</v>
      </c>
      <c r="C94" s="1" t="s">
        <v>10</v>
      </c>
      <c r="D94" s="4">
        <v>200</v>
      </c>
      <c r="E94" s="4">
        <v>115.25</v>
      </c>
      <c r="F94" s="4">
        <v>-8.1673306770000007</v>
      </c>
      <c r="G94" s="2" t="s">
        <v>86</v>
      </c>
      <c r="H94" s="5">
        <v>125.5</v>
      </c>
      <c r="I94" s="1" t="s">
        <v>8</v>
      </c>
      <c r="J94" s="25"/>
      <c r="K94" s="19"/>
      <c r="L94" s="19"/>
      <c r="M94" s="19"/>
      <c r="N94" t="str">
        <f>IF(COUNTIFS( $B$2:$B$842, B94, $C$2:$C$842, C94, $D$2:$D$842, D94, $E$2:$E$842, E94) &gt; 1, "Duplicate", "Unique")</f>
        <v>Unique</v>
      </c>
      <c r="O94" s="19"/>
    </row>
    <row r="95" spans="1:15" ht="27.65" customHeight="1" thickBot="1" x14ac:dyDescent="0.4">
      <c r="A95" s="6" t="s">
        <v>62</v>
      </c>
      <c r="B95" s="1" t="s">
        <v>25</v>
      </c>
      <c r="C95" s="1" t="s">
        <v>10</v>
      </c>
      <c r="D95" s="4">
        <v>200</v>
      </c>
      <c r="E95" s="4">
        <v>31.01</v>
      </c>
      <c r="F95" s="4">
        <v>-11.01865136</v>
      </c>
      <c r="G95" s="2" t="s">
        <v>46</v>
      </c>
      <c r="H95" s="5">
        <v>34.85</v>
      </c>
      <c r="I95" s="1" t="s">
        <v>8</v>
      </c>
      <c r="J95" s="25"/>
      <c r="K95" s="19"/>
      <c r="L95" s="19"/>
      <c r="M95" s="19"/>
      <c r="N95" t="str">
        <f>IF(COUNTIFS( $B$2:$B$842, B95, $C$2:$C$842, C95, $D$2:$D$842, D95, $E$2:$E$842, E95) &gt; 1, "Duplicate", "Unique")</f>
        <v>Unique</v>
      </c>
      <c r="O95" s="19"/>
    </row>
    <row r="96" spans="1:15" ht="27.65" customHeight="1" thickBot="1" x14ac:dyDescent="0.4">
      <c r="A96" s="3">
        <v>46254.375</v>
      </c>
      <c r="B96" s="1" t="s">
        <v>33</v>
      </c>
      <c r="C96" s="1" t="s">
        <v>10</v>
      </c>
      <c r="D96" s="4">
        <v>7</v>
      </c>
      <c r="E96" s="4">
        <v>2230</v>
      </c>
      <c r="F96" s="4">
        <v>-9.1649694499999992</v>
      </c>
      <c r="G96" s="2" t="s">
        <v>84</v>
      </c>
      <c r="H96" s="5">
        <v>2455</v>
      </c>
      <c r="I96" s="1" t="s">
        <v>8</v>
      </c>
      <c r="J96" s="28" t="s">
        <v>55</v>
      </c>
      <c r="K96" s="19" t="s">
        <v>149</v>
      </c>
      <c r="L96" s="19"/>
      <c r="M96" s="19"/>
      <c r="N96" s="12" t="str">
        <f>IF(COUNTIFS( $B$2:$B$842, B96, $C$2:$C$842, C96, $D$2:$D$842, D96, $E$2:$E$842, E96) &gt; 1, "Duplicate", "Unique")</f>
        <v>Unique</v>
      </c>
      <c r="O96" s="19"/>
    </row>
    <row r="97" spans="1:15" s="30" customFormat="1" ht="27.65" customHeight="1" thickBot="1" x14ac:dyDescent="0.4">
      <c r="A97" s="6" t="s">
        <v>62</v>
      </c>
      <c r="B97" s="1" t="s">
        <v>34</v>
      </c>
      <c r="C97" s="1" t="s">
        <v>10</v>
      </c>
      <c r="D97" s="4">
        <v>1</v>
      </c>
      <c r="E97" s="4">
        <v>18052</v>
      </c>
      <c r="F97" s="4">
        <v>-9.6722541910000004</v>
      </c>
      <c r="G97" s="2" t="s">
        <v>71</v>
      </c>
      <c r="H97" s="5">
        <v>19985</v>
      </c>
      <c r="I97" s="1" t="s">
        <v>8</v>
      </c>
      <c r="J97" s="25"/>
      <c r="K97" s="19"/>
      <c r="L97" s="19"/>
      <c r="M97" s="19"/>
      <c r="N97" t="str">
        <f>IF(COUNTIFS( $B$2:$B$842, B97, $C$2:$C$842, C97, $D$2:$D$842, D97, $E$2:$E$842, E97) &gt; 1, "Duplicate", "Unique")</f>
        <v>Unique</v>
      </c>
      <c r="O97" s="19"/>
    </row>
    <row r="98" spans="1:15" ht="27.65" customHeight="1" thickBot="1" x14ac:dyDescent="0.4">
      <c r="A98" s="6" t="s">
        <v>62</v>
      </c>
      <c r="B98" s="1" t="s">
        <v>105</v>
      </c>
      <c r="C98" s="1" t="s">
        <v>10</v>
      </c>
      <c r="D98" s="4">
        <v>4</v>
      </c>
      <c r="E98" s="4">
        <v>1751</v>
      </c>
      <c r="F98" s="4">
        <v>-7.8032855940000001</v>
      </c>
      <c r="G98" s="2" t="s">
        <v>106</v>
      </c>
      <c r="H98" s="5">
        <v>1899.2</v>
      </c>
      <c r="I98" s="1" t="s">
        <v>8</v>
      </c>
      <c r="J98" s="25"/>
      <c r="K98" s="19"/>
      <c r="L98" s="19"/>
      <c r="M98" s="19"/>
      <c r="N98" t="str">
        <f>IF(COUNTIFS( $B$2:$B$842, B98, $C$2:$C$842, C98, $D$2:$D$842, D98, $E$2:$E$842, E98) &gt; 1, "Duplicate", "Unique")</f>
        <v>Unique</v>
      </c>
      <c r="O98" s="19"/>
    </row>
    <row r="99" spans="1:15" ht="15" customHeight="1" thickBot="1" x14ac:dyDescent="0.4">
      <c r="A99" s="6" t="s">
        <v>62</v>
      </c>
      <c r="B99" s="1" t="s">
        <v>89</v>
      </c>
      <c r="C99" s="1" t="s">
        <v>10</v>
      </c>
      <c r="D99" s="4">
        <v>1</v>
      </c>
      <c r="E99" s="4">
        <v>13052</v>
      </c>
      <c r="F99" s="4">
        <v>-9.9862068970000006</v>
      </c>
      <c r="G99" s="2" t="s">
        <v>90</v>
      </c>
      <c r="H99" s="5">
        <v>14500</v>
      </c>
      <c r="I99" s="1" t="s">
        <v>8</v>
      </c>
      <c r="J99" s="25"/>
      <c r="K99" s="19"/>
      <c r="L99" s="19"/>
      <c r="M99" s="19"/>
      <c r="N99" t="str">
        <f>IF(COUNTIFS( $B$2:$B$842, B99, $C$2:$C$842, C99, $D$2:$D$842, D99, $E$2:$E$842, E99) &gt; 1, "Duplicate", "Unique")</f>
        <v>Unique</v>
      </c>
      <c r="O99" s="19"/>
    </row>
    <row r="100" spans="1:15" ht="27.65" customHeight="1" thickBot="1" x14ac:dyDescent="0.4">
      <c r="A100" s="6" t="s">
        <v>62</v>
      </c>
      <c r="B100" s="1" t="s">
        <v>111</v>
      </c>
      <c r="C100" s="1" t="s">
        <v>10</v>
      </c>
      <c r="D100" s="4">
        <v>7</v>
      </c>
      <c r="E100" s="4">
        <v>411</v>
      </c>
      <c r="F100" s="4">
        <v>-11.43195776</v>
      </c>
      <c r="G100" s="2" t="s">
        <v>112</v>
      </c>
      <c r="H100" s="5">
        <v>464.05</v>
      </c>
      <c r="I100" s="1" t="s">
        <v>8</v>
      </c>
      <c r="J100" s="25"/>
      <c r="K100" s="19"/>
      <c r="L100" s="19"/>
      <c r="M100" s="19"/>
      <c r="N100" t="str">
        <f>IF(COUNTIFS( $B$2:$B$842, B100, $C$2:$C$842, C100, $D$2:$D$842, D100, $E$2:$E$842, E100) &gt; 1, "Duplicate", "Unique")</f>
        <v>Unique</v>
      </c>
      <c r="O100" s="19"/>
    </row>
    <row r="101" spans="1:15" ht="27.65" customHeight="1" thickBot="1" x14ac:dyDescent="0.4">
      <c r="A101" s="6" t="s">
        <v>62</v>
      </c>
      <c r="B101" s="1" t="s">
        <v>20</v>
      </c>
      <c r="C101" s="1" t="s">
        <v>10</v>
      </c>
      <c r="D101" s="4">
        <v>100</v>
      </c>
      <c r="E101" s="4">
        <v>111</v>
      </c>
      <c r="F101" s="4">
        <v>-11.55378486</v>
      </c>
      <c r="G101" s="2" t="s">
        <v>86</v>
      </c>
      <c r="H101" s="5">
        <v>125.5</v>
      </c>
      <c r="I101" s="1" t="s">
        <v>8</v>
      </c>
      <c r="J101" s="25"/>
      <c r="K101" s="19"/>
      <c r="L101" s="19"/>
      <c r="M101" s="19"/>
      <c r="N101" t="str">
        <f>IF(COUNTIFS( $B$2:$B$842, B101, $C$2:$C$842, C101, $D$2:$D$842, D101, $E$2:$E$842, E101) &gt; 1, "Duplicate", "Unique")</f>
        <v>Unique</v>
      </c>
      <c r="O101" s="19"/>
    </row>
    <row r="102" spans="1:15" ht="27.65" customHeight="1" thickBot="1" x14ac:dyDescent="0.4">
      <c r="A102" s="3">
        <v>46252.635416666664</v>
      </c>
      <c r="B102" s="1" t="s">
        <v>92</v>
      </c>
      <c r="C102" s="1" t="s">
        <v>10</v>
      </c>
      <c r="D102" s="4">
        <v>2</v>
      </c>
      <c r="E102" s="4">
        <v>2892</v>
      </c>
      <c r="F102" s="4">
        <v>-12.469733659999999</v>
      </c>
      <c r="G102" s="2" t="s">
        <v>93</v>
      </c>
      <c r="H102" s="5">
        <v>3304</v>
      </c>
      <c r="I102" s="1" t="s">
        <v>8</v>
      </c>
      <c r="J102" s="25"/>
      <c r="K102" s="19"/>
      <c r="L102" s="19"/>
      <c r="M102" s="19"/>
      <c r="N102" t="str">
        <f>IF(COUNTIFS( $B$2:$B$842, B102, $C$2:$C$842, C102, $D$2:$D$842, D102, $E$2:$E$842, E102) &gt; 1, "Duplicate", "Unique")</f>
        <v>Unique</v>
      </c>
      <c r="O102" s="19"/>
    </row>
    <row r="103" spans="1:15" ht="27.65" customHeight="1" thickBot="1" x14ac:dyDescent="0.4">
      <c r="A103" s="6" t="s">
        <v>62</v>
      </c>
      <c r="B103" s="1" t="s">
        <v>113</v>
      </c>
      <c r="C103" s="1" t="s">
        <v>10</v>
      </c>
      <c r="D103" s="4">
        <v>4</v>
      </c>
      <c r="E103" s="4">
        <v>701</v>
      </c>
      <c r="F103" s="4">
        <v>-12.91925466</v>
      </c>
      <c r="G103" s="2" t="s">
        <v>114</v>
      </c>
      <c r="H103" s="5">
        <v>805</v>
      </c>
      <c r="I103" s="1" t="s">
        <v>8</v>
      </c>
      <c r="J103" s="25" t="s">
        <v>41</v>
      </c>
      <c r="K103" s="19"/>
      <c r="L103" s="19"/>
      <c r="M103" s="19"/>
      <c r="N103" t="str">
        <f>IF(COUNTIFS( $B$2:$B$842, B103, $C$2:$C$842, C103, $D$2:$D$842, D103, $E$2:$E$842, E103) &gt; 1, "Duplicate", "Unique")</f>
        <v>Unique</v>
      </c>
      <c r="O103" s="19"/>
    </row>
    <row r="104" spans="1:15" ht="27.65" customHeight="1" thickBot="1" x14ac:dyDescent="0.4">
      <c r="A104" s="6" t="s">
        <v>62</v>
      </c>
      <c r="B104" s="1" t="s">
        <v>11</v>
      </c>
      <c r="C104" s="1" t="s">
        <v>10</v>
      </c>
      <c r="D104" s="4">
        <v>10</v>
      </c>
      <c r="E104" s="4">
        <v>251</v>
      </c>
      <c r="F104" s="4">
        <v>-14.041095889999999</v>
      </c>
      <c r="G104" s="2" t="s">
        <v>99</v>
      </c>
      <c r="H104" s="5">
        <v>292</v>
      </c>
      <c r="I104" s="1" t="s">
        <v>8</v>
      </c>
      <c r="J104" s="25"/>
      <c r="K104" s="19"/>
      <c r="L104" s="19"/>
      <c r="M104" s="19"/>
      <c r="N104" t="str">
        <f>IF(COUNTIFS( $B$2:$B$842, B104, $C$2:$C$842, C104, $D$2:$D$842, D104, $E$2:$E$842, E104) &gt; 1, "Duplicate", "Unique")</f>
        <v>Unique</v>
      </c>
      <c r="O104" s="19"/>
    </row>
    <row r="105" spans="1:15" ht="15" customHeight="1" thickBot="1" x14ac:dyDescent="0.4">
      <c r="A105" s="6" t="s">
        <v>62</v>
      </c>
      <c r="B105" s="1" t="s">
        <v>12</v>
      </c>
      <c r="C105" s="1" t="s">
        <v>10</v>
      </c>
      <c r="D105" s="4">
        <v>2</v>
      </c>
      <c r="E105" s="4">
        <v>4410</v>
      </c>
      <c r="F105" s="4">
        <v>-14.40217391</v>
      </c>
      <c r="G105" s="2" t="s">
        <v>98</v>
      </c>
      <c r="H105" s="5">
        <v>5152</v>
      </c>
      <c r="I105" s="1" t="s">
        <v>8</v>
      </c>
      <c r="J105" s="25"/>
      <c r="K105" s="19"/>
      <c r="L105" s="19"/>
      <c r="M105" s="19"/>
      <c r="N105" t="str">
        <f>IF(COUNTIFS( $B$2:$B$842, B105, $C$2:$C$842, C105, $D$2:$D$842, D105, $E$2:$E$842, E105) &gt; 1, "Duplicate", "Unique")</f>
        <v>Unique</v>
      </c>
      <c r="O105" s="19"/>
    </row>
    <row r="106" spans="1:15" ht="27.65" customHeight="1" thickBot="1" x14ac:dyDescent="0.4">
      <c r="A106" s="6" t="s">
        <v>62</v>
      </c>
      <c r="B106" s="1" t="s">
        <v>12</v>
      </c>
      <c r="C106" s="1" t="s">
        <v>10</v>
      </c>
      <c r="D106" s="4">
        <v>1</v>
      </c>
      <c r="E106" s="4">
        <v>4364</v>
      </c>
      <c r="F106" s="4">
        <v>-15.295031059999999</v>
      </c>
      <c r="G106" s="2" t="s">
        <v>98</v>
      </c>
      <c r="H106" s="5">
        <v>5152</v>
      </c>
      <c r="I106" s="1" t="s">
        <v>8</v>
      </c>
      <c r="J106" s="26" t="s">
        <v>41</v>
      </c>
      <c r="K106" s="19"/>
      <c r="L106" s="19"/>
      <c r="M106" s="19"/>
      <c r="N106" t="str">
        <f>IF(COUNTIFS( $B$2:$B$842, B106, $C$2:$C$842, C106, $D$2:$D$842, D106, $E$2:$E$842, E106) &gt; 1, "Duplicate", "Unique")</f>
        <v>Unique</v>
      </c>
    </row>
    <row r="107" spans="1:15" s="21" customFormat="1" ht="27.65" customHeight="1" thickBot="1" x14ac:dyDescent="0.4">
      <c r="A107" s="6" t="s">
        <v>62</v>
      </c>
      <c r="B107" s="1" t="s">
        <v>92</v>
      </c>
      <c r="C107" s="1" t="s">
        <v>10</v>
      </c>
      <c r="D107" s="4">
        <v>1</v>
      </c>
      <c r="E107" s="4">
        <v>2752</v>
      </c>
      <c r="F107" s="4">
        <v>-16.707021789999999</v>
      </c>
      <c r="G107" s="2" t="s">
        <v>93</v>
      </c>
      <c r="H107" s="5">
        <v>3304</v>
      </c>
      <c r="I107" s="1" t="s">
        <v>8</v>
      </c>
      <c r="J107" s="25"/>
      <c r="K107" s="19"/>
      <c r="L107" s="19"/>
      <c r="M107" s="19"/>
      <c r="N107" t="str">
        <f>IF(COUNTIFS( $B$2:$B$842, B107, $C$2:$C$842, C107, $D$2:$D$842, D107, $E$2:$E$842, E107) &gt; 1, "Duplicate", "Unique")</f>
        <v>Unique</v>
      </c>
      <c r="O107" s="19"/>
    </row>
    <row r="108" spans="1:15" ht="27.65" customHeight="1" thickBot="1" x14ac:dyDescent="0.4">
      <c r="A108" s="3">
        <v>46252.688194444447</v>
      </c>
      <c r="B108" s="1" t="s">
        <v>96</v>
      </c>
      <c r="C108" s="1" t="s">
        <v>10</v>
      </c>
      <c r="D108" s="4">
        <v>45</v>
      </c>
      <c r="E108" s="4">
        <v>136.15</v>
      </c>
      <c r="F108" s="4">
        <v>-18.958333329999999</v>
      </c>
      <c r="G108" s="2" t="s">
        <v>97</v>
      </c>
      <c r="H108" s="5">
        <v>168</v>
      </c>
      <c r="I108" s="1" t="s">
        <v>8</v>
      </c>
      <c r="J108" s="25"/>
      <c r="K108" s="19"/>
      <c r="L108" s="19"/>
      <c r="M108" s="19"/>
      <c r="N108" t="str">
        <f>IF(COUNTIFS( $B$2:$B$842, B108, $C$2:$C$842, C108, $D$2:$D$842, D108, $E$2:$E$842, E108) &gt; 1, "Duplicate", "Unique")</f>
        <v>Unique</v>
      </c>
      <c r="O108" s="19"/>
    </row>
    <row r="109" spans="1:15" ht="27.65" customHeight="1" thickBot="1" x14ac:dyDescent="0.4">
      <c r="A109" s="6" t="s">
        <v>62</v>
      </c>
      <c r="B109" s="1" t="s">
        <v>12</v>
      </c>
      <c r="C109" s="1" t="s">
        <v>10</v>
      </c>
      <c r="D109" s="4">
        <v>1</v>
      </c>
      <c r="E109" s="4">
        <v>4164</v>
      </c>
      <c r="F109" s="4">
        <v>-19.177018629999999</v>
      </c>
      <c r="G109" s="2" t="s">
        <v>98</v>
      </c>
      <c r="H109" s="5">
        <v>5152</v>
      </c>
      <c r="I109" s="1" t="s">
        <v>8</v>
      </c>
      <c r="J109" s="25"/>
      <c r="K109" s="19"/>
      <c r="L109" s="19"/>
      <c r="M109" s="19"/>
      <c r="N109" t="str">
        <f>IF(COUNTIFS( $B$2:$B$842, B109, $C$2:$C$842, C109, $D$2:$D$842, D109, $E$2:$E$842, E109) &gt; 1, "Duplicate", "Unique")</f>
        <v>Unique</v>
      </c>
    </row>
    <row r="110" spans="1:15" ht="15" customHeight="1" thickBot="1" x14ac:dyDescent="0.4">
      <c r="A110" s="6" t="s">
        <v>62</v>
      </c>
      <c r="B110" s="1" t="s">
        <v>92</v>
      </c>
      <c r="C110" s="1" t="s">
        <v>10</v>
      </c>
      <c r="D110" s="4">
        <v>2</v>
      </c>
      <c r="E110" s="4">
        <v>2660</v>
      </c>
      <c r="F110" s="4">
        <v>-19.491525419999999</v>
      </c>
      <c r="G110" s="2" t="s">
        <v>93</v>
      </c>
      <c r="H110" s="5">
        <v>3304</v>
      </c>
      <c r="I110" s="1" t="s">
        <v>8</v>
      </c>
      <c r="J110" s="25"/>
      <c r="K110" s="19"/>
      <c r="L110" s="19"/>
      <c r="M110" s="19"/>
      <c r="N110" t="str">
        <f>IF(COUNTIFS( $B$2:$B$842, B110, $C$2:$C$842, C110, $D$2:$D$842, D110, $E$2:$E$842, E110) &gt; 1, "Duplicate", "Unique")</f>
        <v>Unique</v>
      </c>
      <c r="O110" s="19"/>
    </row>
    <row r="111" spans="1:15" ht="27.65" customHeight="1" thickBot="1" x14ac:dyDescent="0.4">
      <c r="A111" s="6" t="s">
        <v>62</v>
      </c>
      <c r="B111" s="1" t="s">
        <v>115</v>
      </c>
      <c r="C111" s="1" t="s">
        <v>10</v>
      </c>
      <c r="D111" s="4">
        <v>2</v>
      </c>
      <c r="E111" s="4">
        <v>660</v>
      </c>
      <c r="F111" s="4">
        <v>-23.69942197</v>
      </c>
      <c r="G111" s="2" t="s">
        <v>116</v>
      </c>
      <c r="H111" s="5">
        <v>865</v>
      </c>
      <c r="I111" s="1" t="s">
        <v>8</v>
      </c>
      <c r="J111" s="25"/>
      <c r="K111" s="19"/>
      <c r="L111" s="19"/>
      <c r="M111" s="19"/>
      <c r="N111" t="str">
        <f>IF(COUNTIFS( $B$2:$B$842, B111, $C$2:$C$842, C111, $D$2:$D$842, D111, $E$2:$E$842, E111) &gt; 1, "Duplicate", "Unique")</f>
        <v>Unique</v>
      </c>
    </row>
    <row r="112" spans="1:15" ht="27.65" customHeight="1" thickBot="1" x14ac:dyDescent="0.4">
      <c r="A112" s="6" t="s">
        <v>62</v>
      </c>
      <c r="B112" s="1" t="s">
        <v>12</v>
      </c>
      <c r="C112" s="1" t="s">
        <v>10</v>
      </c>
      <c r="D112" s="4">
        <v>1</v>
      </c>
      <c r="E112" s="4">
        <v>4014</v>
      </c>
      <c r="F112" s="4">
        <v>-22.08850932</v>
      </c>
      <c r="G112" s="2" t="s">
        <v>98</v>
      </c>
      <c r="H112" s="5">
        <v>5152</v>
      </c>
      <c r="I112" s="1" t="s">
        <v>8</v>
      </c>
      <c r="J112" s="25"/>
      <c r="K112" s="19"/>
      <c r="L112" s="19"/>
      <c r="M112" s="19"/>
      <c r="N112" t="str">
        <f>IF(COUNTIFS( $B$2:$B$842, B112, $C$2:$C$842, C112, $D$2:$D$842, D112, $E$2:$E$842, E112) &gt; 1, "Duplicate", "Unique")</f>
        <v>Unique</v>
      </c>
    </row>
    <row r="113" spans="1:15" ht="27.65" customHeight="1" thickBot="1" x14ac:dyDescent="0.4">
      <c r="A113" s="6" t="s">
        <v>62</v>
      </c>
      <c r="B113" s="1" t="s">
        <v>92</v>
      </c>
      <c r="C113" s="1" t="s">
        <v>10</v>
      </c>
      <c r="D113" s="4">
        <v>2</v>
      </c>
      <c r="E113" s="4">
        <v>2560</v>
      </c>
      <c r="F113" s="4">
        <v>-22.51815981</v>
      </c>
      <c r="G113" s="2" t="s">
        <v>93</v>
      </c>
      <c r="H113" s="5">
        <v>3304</v>
      </c>
      <c r="I113" s="1" t="s">
        <v>8</v>
      </c>
      <c r="J113" s="25"/>
      <c r="K113" s="19"/>
      <c r="L113" s="19"/>
      <c r="M113" s="19"/>
      <c r="N113" t="str">
        <f>IF(COUNTIFS( $B$2:$B$842, B113, $C$2:$C$842, C113, $D$2:$D$842, D113, $E$2:$E$842, E113) &gt; 1, "Duplicate", "Unique")</f>
        <v>Unique</v>
      </c>
      <c r="O113" s="19"/>
    </row>
    <row r="114" spans="1:15" ht="15" customHeight="1" thickBot="1" x14ac:dyDescent="0.4">
      <c r="A114" s="6" t="s">
        <v>62</v>
      </c>
      <c r="B114" s="1" t="s">
        <v>12</v>
      </c>
      <c r="C114" s="1" t="s">
        <v>10</v>
      </c>
      <c r="D114" s="4">
        <v>1</v>
      </c>
      <c r="E114" s="4">
        <v>3914</v>
      </c>
      <c r="F114" s="4">
        <v>-24.02950311</v>
      </c>
      <c r="G114" s="2" t="s">
        <v>98</v>
      </c>
      <c r="H114" s="5">
        <v>5152</v>
      </c>
      <c r="I114" s="1" t="s">
        <v>8</v>
      </c>
      <c r="J114" s="26" t="s">
        <v>41</v>
      </c>
      <c r="K114" s="19"/>
      <c r="L114" s="19"/>
      <c r="M114" s="19"/>
      <c r="N114" t="str">
        <f>IF(COUNTIFS( $B$2:$B$842, B114, $C$2:$C$842, C114, $D$2:$D$842, D114, $E$2:$E$842, E114) &gt; 1, "Duplicate", "Unique")</f>
        <v>Unique</v>
      </c>
    </row>
    <row r="115" spans="1:15" ht="27.65" customHeight="1" thickBot="1" x14ac:dyDescent="0.4">
      <c r="A115" s="10" t="s">
        <v>62</v>
      </c>
      <c r="B115" s="10" t="s">
        <v>141</v>
      </c>
      <c r="C115" s="10" t="s">
        <v>7</v>
      </c>
      <c r="D115" s="10">
        <v>23</v>
      </c>
      <c r="E115" s="14">
        <v>890</v>
      </c>
      <c r="F115" s="6" t="e">
        <v>#N/A</v>
      </c>
      <c r="G115" s="2" t="s">
        <v>142</v>
      </c>
      <c r="H115" s="9" t="e">
        <v>#N/A</v>
      </c>
      <c r="I115" s="1" t="s">
        <v>8</v>
      </c>
      <c r="J115" s="23"/>
      <c r="N115" s="12" t="str">
        <f>IF(COUNTIFS( $B$2:$B$842, B115, $C$2:$C$842, C115, $D$2:$D$842, D115, $E$2:$E$842, E115) &gt; 1, "Duplicate", "Unique")</f>
        <v>Unique</v>
      </c>
      <c r="O115" s="19"/>
    </row>
    <row r="116" spans="1:15" ht="27.65" customHeight="1" thickBot="1" x14ac:dyDescent="0.4">
      <c r="A116" s="10" t="s">
        <v>62</v>
      </c>
      <c r="B116" s="10" t="s">
        <v>13</v>
      </c>
      <c r="C116" s="10" t="s">
        <v>7</v>
      </c>
      <c r="D116" s="10">
        <v>1</v>
      </c>
      <c r="E116" s="10">
        <v>2494</v>
      </c>
      <c r="F116" s="4">
        <v>51.243177680000002</v>
      </c>
      <c r="G116" s="2" t="s">
        <v>91</v>
      </c>
      <c r="H116" s="5">
        <v>1649</v>
      </c>
      <c r="I116" s="1" t="s">
        <v>8</v>
      </c>
      <c r="J116" s="23"/>
      <c r="N116" s="12" t="str">
        <f>IF(COUNTIFS( $B$2:$B$842, B116, $C$2:$C$842, C116, $D$2:$D$842, D116, $E$2:$E$842, E116) &gt; 1, "Duplicate", "Unique")</f>
        <v>Unique</v>
      </c>
      <c r="O116" s="19"/>
    </row>
    <row r="117" spans="1:15" ht="27.65" customHeight="1" thickBot="1" x14ac:dyDescent="0.4">
      <c r="A117" s="13">
        <v>46251.506249999999</v>
      </c>
      <c r="B117" s="10" t="s">
        <v>13</v>
      </c>
      <c r="C117" s="10" t="s">
        <v>7</v>
      </c>
      <c r="D117" s="10">
        <v>3</v>
      </c>
      <c r="E117" s="10">
        <v>2494</v>
      </c>
      <c r="F117" s="4">
        <v>51.243177680000002</v>
      </c>
      <c r="G117" s="2" t="s">
        <v>91</v>
      </c>
      <c r="H117" s="5">
        <v>1649</v>
      </c>
      <c r="I117" s="1" t="s">
        <v>8</v>
      </c>
      <c r="J117" s="23"/>
      <c r="N117" s="12" t="str">
        <f>IF(COUNTIFS( $B$2:$B$842, B117, $C$2:$C$842, C117, $D$2:$D$842, D117, $E$2:$E$842, E117) &gt; 1, "Duplicate", "Unique")</f>
        <v>Unique</v>
      </c>
      <c r="O117" s="19"/>
    </row>
    <row r="118" spans="1:15" s="39" customFormat="1" ht="27.65" customHeight="1" thickBot="1" x14ac:dyDescent="0.4">
      <c r="A118" s="10" t="s">
        <v>62</v>
      </c>
      <c r="B118" s="10" t="s">
        <v>13</v>
      </c>
      <c r="C118" s="10" t="s">
        <v>7</v>
      </c>
      <c r="D118" s="10">
        <v>20</v>
      </c>
      <c r="E118" s="10">
        <v>2310</v>
      </c>
      <c r="F118" s="4">
        <v>40.08489994</v>
      </c>
      <c r="G118" s="2" t="s">
        <v>91</v>
      </c>
      <c r="H118" s="5">
        <v>1649</v>
      </c>
      <c r="I118" s="1" t="s">
        <v>8</v>
      </c>
      <c r="J118" s="23"/>
      <c r="K118" s="20"/>
      <c r="L118" s="20"/>
      <c r="M118" s="20"/>
      <c r="N118" s="12" t="str">
        <f>IF(COUNTIFS( $B$2:$B$842, B118, $C$2:$C$842, C118, $D$2:$D$842, D118, $E$2:$E$842, E118) &gt; 1, "Duplicate", "Unique")</f>
        <v>Unique</v>
      </c>
      <c r="O118" s="19"/>
    </row>
    <row r="119" spans="1:15" ht="27.65" customHeight="1" thickBot="1" x14ac:dyDescent="0.4">
      <c r="A119" s="3">
        <v>46259.532638888886</v>
      </c>
      <c r="B119" s="1" t="s">
        <v>96</v>
      </c>
      <c r="C119" s="1" t="s">
        <v>7</v>
      </c>
      <c r="D119" s="4">
        <v>5</v>
      </c>
      <c r="E119" s="4">
        <v>218</v>
      </c>
      <c r="F119" s="4">
        <v>29.76190476</v>
      </c>
      <c r="G119" s="2" t="s">
        <v>97</v>
      </c>
      <c r="H119" s="5">
        <v>168</v>
      </c>
      <c r="I119" s="1" t="s">
        <v>8</v>
      </c>
      <c r="J119" s="23" t="s">
        <v>118</v>
      </c>
      <c r="K119" s="20" t="s">
        <v>165</v>
      </c>
      <c r="L119" s="20">
        <v>840</v>
      </c>
      <c r="M119" s="20">
        <f>ABS((D119*E119)-L119)</f>
        <v>250</v>
      </c>
      <c r="N119" s="12" t="str">
        <f>IF(COUNTIFS( $B$2:$B$842, B119, $C$2:$C$842, C119, $D$2:$D$842, D119, $E$2:$E$842, E119) &gt; 1, "Duplicate", "Unique")</f>
        <v>Unique</v>
      </c>
    </row>
    <row r="120" spans="1:15" ht="27.65" customHeight="1" thickBot="1" x14ac:dyDescent="0.4">
      <c r="A120" s="10" t="s">
        <v>62</v>
      </c>
      <c r="B120" s="10" t="s">
        <v>13</v>
      </c>
      <c r="C120" s="10" t="s">
        <v>7</v>
      </c>
      <c r="D120" s="10">
        <v>10</v>
      </c>
      <c r="E120" s="10">
        <v>2189</v>
      </c>
      <c r="F120" s="4">
        <v>32.747119470000001</v>
      </c>
      <c r="G120" s="2" t="s">
        <v>91</v>
      </c>
      <c r="H120" s="5">
        <v>1649</v>
      </c>
      <c r="I120" s="1" t="s">
        <v>8</v>
      </c>
      <c r="J120" s="23"/>
      <c r="N120" s="12" t="str">
        <f>IF(COUNTIFS( $B$2:$B$842, B120, $C$2:$C$842, C120, $D$2:$D$842, D120, $E$2:$E$842, E120) &gt; 1, "Duplicate", "Unique")</f>
        <v>Unique</v>
      </c>
      <c r="O120" s="19"/>
    </row>
    <row r="121" spans="1:15" ht="27.65" customHeight="1" thickBot="1" x14ac:dyDescent="0.4">
      <c r="A121" s="10" t="s">
        <v>62</v>
      </c>
      <c r="B121" s="10" t="s">
        <v>17</v>
      </c>
      <c r="C121" s="10" t="s">
        <v>7</v>
      </c>
      <c r="D121" s="10">
        <v>5</v>
      </c>
      <c r="E121" s="14">
        <v>435</v>
      </c>
      <c r="F121" s="4">
        <v>23.931623930000001</v>
      </c>
      <c r="G121" s="2" t="s">
        <v>77</v>
      </c>
      <c r="H121" s="5">
        <v>351</v>
      </c>
      <c r="I121" s="1" t="s">
        <v>8</v>
      </c>
      <c r="J121" s="23" t="s">
        <v>118</v>
      </c>
      <c r="N121" s="12" t="str">
        <f>IF(COUNTIFS( $B$2:$B$842, B121, $C$2:$C$842, C121, $D$2:$D$842, D121, $E$2:$E$842, E121) &gt; 1, "Duplicate", "Unique")</f>
        <v>Unique</v>
      </c>
      <c r="O121" s="19"/>
    </row>
    <row r="122" spans="1:15" ht="40.75" customHeight="1" thickBot="1" x14ac:dyDescent="0.4">
      <c r="A122" s="10" t="s">
        <v>62</v>
      </c>
      <c r="B122" s="10" t="s">
        <v>13</v>
      </c>
      <c r="C122" s="10" t="s">
        <v>7</v>
      </c>
      <c r="D122" s="10">
        <v>10</v>
      </c>
      <c r="E122" s="10">
        <v>2114</v>
      </c>
      <c r="F122" s="4">
        <v>28.198908429999999</v>
      </c>
      <c r="G122" s="2" t="s">
        <v>91</v>
      </c>
      <c r="H122" s="5">
        <v>1649</v>
      </c>
      <c r="I122" s="1" t="s">
        <v>8</v>
      </c>
      <c r="J122" s="23"/>
      <c r="N122" s="12" t="str">
        <f>IF(COUNTIFS( $B$2:$B$842, B122, $C$2:$C$842, C122, $D$2:$D$842, D122, $E$2:$E$842, E122) &gt; 1, "Duplicate", "Unique")</f>
        <v>Unique</v>
      </c>
    </row>
    <row r="123" spans="1:15" ht="15" customHeight="1" thickBot="1" x14ac:dyDescent="0.4">
      <c r="A123" s="13">
        <v>46252.6875</v>
      </c>
      <c r="B123" s="10" t="s">
        <v>13</v>
      </c>
      <c r="C123" s="10" t="s">
        <v>7</v>
      </c>
      <c r="D123" s="10">
        <v>5</v>
      </c>
      <c r="E123" s="10">
        <v>2094</v>
      </c>
      <c r="F123" s="4">
        <v>26.986052149999999</v>
      </c>
      <c r="G123" s="2" t="s">
        <v>91</v>
      </c>
      <c r="H123" s="5">
        <v>1649</v>
      </c>
      <c r="I123" s="1" t="s">
        <v>8</v>
      </c>
      <c r="J123" s="23" t="s">
        <v>118</v>
      </c>
      <c r="N123" s="12" t="str">
        <f>IF(COUNTIFS( $B$2:$B$842, B123, $C$2:$C$842, C123, $D$2:$D$842, D123, $E$2:$E$842, E123) &gt; 1, "Duplicate", "Unique")</f>
        <v>Unique</v>
      </c>
    </row>
    <row r="124" spans="1:15" ht="27.65" customHeight="1" thickBot="1" x14ac:dyDescent="0.4">
      <c r="A124" s="10" t="s">
        <v>62</v>
      </c>
      <c r="B124" s="10" t="s">
        <v>138</v>
      </c>
      <c r="C124" s="10" t="s">
        <v>7</v>
      </c>
      <c r="D124" s="10">
        <v>35</v>
      </c>
      <c r="E124" s="15">
        <v>494</v>
      </c>
      <c r="F124" s="4">
        <v>21.137812650000001</v>
      </c>
      <c r="G124" s="2" t="s">
        <v>139</v>
      </c>
      <c r="H124" s="5">
        <v>407.8</v>
      </c>
      <c r="I124" s="1" t="s">
        <v>8</v>
      </c>
      <c r="J124" s="23"/>
      <c r="N124" s="12" t="str">
        <f>IF(COUNTIFS( $B$2:$B$842, B124, $C$2:$C$842, C124, $D$2:$D$842, D124, $E$2:$E$842, E124) &gt; 1, "Duplicate", "Unique")</f>
        <v>Unique</v>
      </c>
      <c r="O124" s="12"/>
    </row>
    <row r="125" spans="1:15" ht="27.65" customHeight="1" thickBot="1" x14ac:dyDescent="0.4">
      <c r="A125" s="10" t="s">
        <v>62</v>
      </c>
      <c r="B125" s="10" t="s">
        <v>17</v>
      </c>
      <c r="C125" s="10" t="s">
        <v>7</v>
      </c>
      <c r="D125" s="10">
        <v>5</v>
      </c>
      <c r="E125" s="14">
        <v>416</v>
      </c>
      <c r="F125" s="4">
        <v>18.518518520000001</v>
      </c>
      <c r="G125" s="2" t="s">
        <v>77</v>
      </c>
      <c r="H125" s="5">
        <v>351</v>
      </c>
      <c r="I125" s="1" t="s">
        <v>8</v>
      </c>
      <c r="J125" s="23"/>
      <c r="N125" s="12" t="str">
        <f>IF(COUNTIFS( $B$2:$B$842, B125, $C$2:$C$842, C125, $D$2:$D$842, D125, $E$2:$E$842, E125) &gt; 1, "Duplicate", "Unique")</f>
        <v>Unique</v>
      </c>
      <c r="O125" s="19"/>
    </row>
    <row r="126" spans="1:15" s="30" customFormat="1" ht="27.65" customHeight="1" thickBot="1" x14ac:dyDescent="0.4">
      <c r="A126" s="10" t="s">
        <v>62</v>
      </c>
      <c r="B126" s="10" t="s">
        <v>35</v>
      </c>
      <c r="C126" s="10" t="s">
        <v>7</v>
      </c>
      <c r="D126" s="10">
        <v>200</v>
      </c>
      <c r="E126" s="14">
        <v>249</v>
      </c>
      <c r="F126" s="4">
        <v>19.49323352</v>
      </c>
      <c r="G126" s="2" t="s">
        <v>42</v>
      </c>
      <c r="H126" s="5">
        <v>208.38</v>
      </c>
      <c r="I126" s="1" t="s">
        <v>8</v>
      </c>
      <c r="J126" s="23"/>
      <c r="K126" s="20"/>
      <c r="L126" s="20"/>
      <c r="M126" s="20"/>
      <c r="N126" s="12" t="str">
        <f>IF(COUNTIFS( $B$2:$B$842, B126, $C$2:$C$842, C126, $D$2:$D$842, D126, $E$2:$E$842, E126) &gt; 1, "Duplicate", "Unique")</f>
        <v>Unique</v>
      </c>
      <c r="O126" s="12"/>
    </row>
    <row r="127" spans="1:15" ht="27.65" customHeight="1" thickBot="1" x14ac:dyDescent="0.4">
      <c r="A127" s="10" t="s">
        <v>62</v>
      </c>
      <c r="B127" s="10" t="s">
        <v>26</v>
      </c>
      <c r="C127" s="10" t="s">
        <v>7</v>
      </c>
      <c r="D127" s="10">
        <v>25</v>
      </c>
      <c r="E127" s="10">
        <v>210</v>
      </c>
      <c r="F127" s="4">
        <v>16.835428950000001</v>
      </c>
      <c r="G127" s="2" t="s">
        <v>132</v>
      </c>
      <c r="H127" s="5">
        <v>179.74</v>
      </c>
      <c r="I127" s="1" t="s">
        <v>8</v>
      </c>
      <c r="J127" s="23"/>
      <c r="N127" s="12" t="str">
        <f>IF(COUNTIFS( $B$2:$B$842, B127, $C$2:$C$842, C127, $D$2:$D$842, D127, $E$2:$E$842, E127) &gt; 1, "Duplicate", "Unique")</f>
        <v>Unique</v>
      </c>
      <c r="O127" s="12"/>
    </row>
    <row r="128" spans="1:15" ht="27.65" customHeight="1" thickBot="1" x14ac:dyDescent="0.4">
      <c r="A128" s="10" t="s">
        <v>62</v>
      </c>
      <c r="B128" s="10" t="s">
        <v>138</v>
      </c>
      <c r="C128" s="10" t="s">
        <v>7</v>
      </c>
      <c r="D128" s="10">
        <v>50</v>
      </c>
      <c r="E128" s="14">
        <v>480</v>
      </c>
      <c r="F128" s="4">
        <v>17.704757229999998</v>
      </c>
      <c r="G128" s="2" t="s">
        <v>139</v>
      </c>
      <c r="H128" s="5">
        <v>407.8</v>
      </c>
      <c r="I128" s="1" t="s">
        <v>8</v>
      </c>
      <c r="J128" s="23"/>
      <c r="N128" s="12" t="str">
        <f>IF(COUNTIFS( $B$2:$B$842, B128, $C$2:$C$842, C128, $D$2:$D$842, D128, $E$2:$E$842, E128) &gt; 1, "Duplicate", "Unique")</f>
        <v>Unique</v>
      </c>
      <c r="O128" s="12"/>
    </row>
    <row r="129" spans="1:15" ht="16.25" customHeight="1" thickBot="1" x14ac:dyDescent="0.4">
      <c r="A129" s="10" t="s">
        <v>62</v>
      </c>
      <c r="B129" s="10" t="s">
        <v>6</v>
      </c>
      <c r="C129" s="10" t="s">
        <v>7</v>
      </c>
      <c r="D129" s="10">
        <v>150</v>
      </c>
      <c r="E129" s="14">
        <v>323</v>
      </c>
      <c r="F129" s="4">
        <v>16.4803462</v>
      </c>
      <c r="G129" s="2" t="s">
        <v>130</v>
      </c>
      <c r="H129" s="5">
        <v>277.3</v>
      </c>
      <c r="I129" s="1" t="s">
        <v>8</v>
      </c>
      <c r="J129" s="23" t="s">
        <v>118</v>
      </c>
      <c r="N129" s="12" t="str">
        <f>IF(COUNTIFS( $B$2:$B$842, B129, $C$2:$C$842, C129, $D$2:$D$842, D129, $E$2:$E$842, E129) &gt; 1, "Duplicate", "Unique")</f>
        <v>Unique</v>
      </c>
    </row>
    <row r="130" spans="1:15" s="53" customFormat="1" ht="27.65" customHeight="1" thickBot="1" x14ac:dyDescent="0.4">
      <c r="A130" s="13">
        <v>46252.6875</v>
      </c>
      <c r="B130" s="10" t="s">
        <v>13</v>
      </c>
      <c r="C130" s="10" t="s">
        <v>7</v>
      </c>
      <c r="D130" s="10">
        <v>5</v>
      </c>
      <c r="E130" s="10">
        <v>2014</v>
      </c>
      <c r="F130" s="4">
        <v>22.134627049999999</v>
      </c>
      <c r="G130" s="2" t="s">
        <v>91</v>
      </c>
      <c r="H130" s="5">
        <v>1649</v>
      </c>
      <c r="I130" s="1" t="s">
        <v>8</v>
      </c>
      <c r="J130" s="23" t="s">
        <v>118</v>
      </c>
      <c r="K130" s="20"/>
      <c r="L130" s="20"/>
      <c r="M130" s="20"/>
      <c r="N130" s="12" t="str">
        <f>IF(COUNTIFS( $B$2:$B$842, B130, $C$2:$C$842, C130, $D$2:$D$842, D130, $E$2:$E$842, E130) &gt; 1, "Duplicate", "Unique")</f>
        <v>Unique</v>
      </c>
      <c r="O130" s="12"/>
    </row>
    <row r="131" spans="1:15" ht="27.65" customHeight="1" thickBot="1" x14ac:dyDescent="0.4">
      <c r="A131" s="11" t="s">
        <v>62</v>
      </c>
      <c r="B131" s="11" t="s">
        <v>119</v>
      </c>
      <c r="C131" s="11" t="s">
        <v>7</v>
      </c>
      <c r="D131" s="11">
        <v>7</v>
      </c>
      <c r="E131" s="14">
        <v>1170</v>
      </c>
      <c r="F131" s="4">
        <v>16.650049849999998</v>
      </c>
      <c r="G131" s="2" t="s">
        <v>120</v>
      </c>
      <c r="H131" s="5">
        <v>1003</v>
      </c>
      <c r="I131" s="1" t="s">
        <v>8</v>
      </c>
      <c r="J131" s="23"/>
      <c r="N131" s="12" t="str">
        <f>IF(COUNTIFS( $B$2:$B$842, B131, $C$2:$C$842, C131, $D$2:$D$842, D131, $E$2:$E$842, E131) &gt; 1, "Duplicate", "Unique")</f>
        <v>Unique</v>
      </c>
      <c r="O131" s="19"/>
    </row>
    <row r="132" spans="1:15" ht="27.65" customHeight="1" thickBot="1" x14ac:dyDescent="0.4">
      <c r="A132" s="10" t="s">
        <v>62</v>
      </c>
      <c r="B132" s="10" t="s">
        <v>35</v>
      </c>
      <c r="C132" s="10" t="s">
        <v>7</v>
      </c>
      <c r="D132" s="10">
        <v>200</v>
      </c>
      <c r="E132" s="14">
        <v>244</v>
      </c>
      <c r="F132" s="4">
        <v>17.093771</v>
      </c>
      <c r="G132" s="2" t="s">
        <v>42</v>
      </c>
      <c r="H132" s="5">
        <v>208.38</v>
      </c>
      <c r="I132" s="1" t="s">
        <v>8</v>
      </c>
      <c r="J132" s="23" t="s">
        <v>117</v>
      </c>
      <c r="N132" s="12" t="str">
        <f>IF(COUNTIFS( $B$2:$B$842, B132, $C$2:$C$842, C132, $D$2:$D$842, D132, $E$2:$E$842, E132) &gt; 1, "Duplicate", "Unique")</f>
        <v>Unique</v>
      </c>
      <c r="O132" s="12"/>
    </row>
    <row r="133" spans="1:15" ht="27.65" customHeight="1" thickBot="1" x14ac:dyDescent="0.4">
      <c r="A133" s="13">
        <v>46252.635416666664</v>
      </c>
      <c r="B133" s="10" t="s">
        <v>87</v>
      </c>
      <c r="C133" s="10" t="s">
        <v>7</v>
      </c>
      <c r="D133" s="10">
        <v>10</v>
      </c>
      <c r="E133" s="10">
        <v>1479</v>
      </c>
      <c r="F133" s="4">
        <v>18.272690919999999</v>
      </c>
      <c r="G133" s="2" t="s">
        <v>88</v>
      </c>
      <c r="H133" s="5">
        <v>1250.5</v>
      </c>
      <c r="I133" s="1" t="s">
        <v>8</v>
      </c>
      <c r="J133" s="23" t="s">
        <v>55</v>
      </c>
      <c r="N133" s="12" t="str">
        <f>IF(COUNTIFS( $B$2:$B$842, B133, $C$2:$C$842, C133, $D$2:$D$842, D133, $E$2:$E$842, E133) &gt; 1, "Duplicate", "Unique")</f>
        <v>Unique</v>
      </c>
      <c r="O133" s="12"/>
    </row>
    <row r="134" spans="1:15" ht="27.65" customHeight="1" thickBot="1" x14ac:dyDescent="0.4">
      <c r="A134" s="10" t="s">
        <v>62</v>
      </c>
      <c r="B134" s="10" t="s">
        <v>74</v>
      </c>
      <c r="C134" s="10" t="s">
        <v>7</v>
      </c>
      <c r="D134" s="10">
        <v>1</v>
      </c>
      <c r="E134" s="14">
        <v>3810</v>
      </c>
      <c r="F134" s="4">
        <v>17.774343120000001</v>
      </c>
      <c r="G134" s="2" t="s">
        <v>75</v>
      </c>
      <c r="H134" s="5">
        <v>3235</v>
      </c>
      <c r="I134" s="1" t="s">
        <v>8</v>
      </c>
      <c r="J134" s="23" t="s">
        <v>118</v>
      </c>
      <c r="N134" s="12" t="str">
        <f>IF(COUNTIFS( $B$2:$B$842, B134, $C$2:$C$842, C134, $D$2:$D$842, D134, $E$2:$E$842, E134) &gt; 1, "Duplicate", "Unique")</f>
        <v>Unique</v>
      </c>
      <c r="O134" s="19"/>
    </row>
    <row r="135" spans="1:15" ht="14.4" customHeight="1" thickBot="1" x14ac:dyDescent="0.4">
      <c r="A135" s="10" t="s">
        <v>62</v>
      </c>
      <c r="B135" s="10" t="s">
        <v>57</v>
      </c>
      <c r="C135" s="10" t="s">
        <v>7</v>
      </c>
      <c r="D135" s="10">
        <v>3</v>
      </c>
      <c r="E135" s="14">
        <v>3341</v>
      </c>
      <c r="F135" s="4">
        <v>16.9613163</v>
      </c>
      <c r="G135" s="2" t="s">
        <v>58</v>
      </c>
      <c r="H135" s="5">
        <v>2856.5</v>
      </c>
      <c r="I135" s="1" t="s">
        <v>8</v>
      </c>
      <c r="J135" s="23"/>
      <c r="N135" s="12" t="str">
        <f>IF(COUNTIFS( $B$2:$B$842, B135, $C$2:$C$842, C135, $D$2:$D$842, D135, $E$2:$E$842, E135) &gt; 1, "Duplicate", "Unique")</f>
        <v>Unique</v>
      </c>
      <c r="O135" s="12"/>
    </row>
    <row r="136" spans="1:15" ht="15.65" customHeight="1" thickBot="1" x14ac:dyDescent="0.4">
      <c r="A136" s="10" t="s">
        <v>62</v>
      </c>
      <c r="B136" s="10" t="s">
        <v>126</v>
      </c>
      <c r="C136" s="10" t="s">
        <v>7</v>
      </c>
      <c r="D136" s="10">
        <v>5</v>
      </c>
      <c r="E136" s="10">
        <v>596</v>
      </c>
      <c r="F136" s="4">
        <v>16.179337230000002</v>
      </c>
      <c r="G136" s="2" t="s">
        <v>127</v>
      </c>
      <c r="H136" s="5">
        <v>513</v>
      </c>
      <c r="I136" s="1" t="s">
        <v>8</v>
      </c>
      <c r="J136" s="23"/>
      <c r="N136" s="12" t="str">
        <f>IF(COUNTIFS( $B$2:$B$842, B136, $C$2:$C$842, C136, $D$2:$D$842, D136, $E$2:$E$842, E136) &gt; 1, "Duplicate", "Unique")</f>
        <v>Unique</v>
      </c>
    </row>
    <row r="137" spans="1:15" ht="14.4" customHeight="1" thickBot="1" x14ac:dyDescent="0.4">
      <c r="A137" s="22">
        <v>46255</v>
      </c>
      <c r="B137" s="1" t="s">
        <v>20</v>
      </c>
      <c r="C137" s="1" t="s">
        <v>7</v>
      </c>
      <c r="D137" s="4">
        <v>20</v>
      </c>
      <c r="E137" s="4">
        <v>147</v>
      </c>
      <c r="F137" s="4">
        <v>17.131474099999998</v>
      </c>
      <c r="G137" s="2" t="s">
        <v>86</v>
      </c>
      <c r="H137" s="5">
        <v>125.5</v>
      </c>
      <c r="I137" s="1" t="s">
        <v>8</v>
      </c>
      <c r="J137" s="29" t="s">
        <v>55</v>
      </c>
      <c r="K137" s="20" t="s">
        <v>152</v>
      </c>
      <c r="L137" s="20">
        <v>2640</v>
      </c>
      <c r="M137" s="20">
        <f>ABS((D137*E137)-L137)</f>
        <v>300</v>
      </c>
      <c r="N137" s="12" t="str">
        <f>IF(COUNTIFS( $B$2:$B$842, B137, $C$2:$C$842, C137, $D$2:$D$842, D137, $E$2:$E$842, E137) &gt; 1, "Duplicate", "Unique")</f>
        <v>Unique</v>
      </c>
    </row>
    <row r="138" spans="1:15" ht="14.4" customHeight="1" thickBot="1" x14ac:dyDescent="0.4">
      <c r="A138" s="3">
        <v>46260.375</v>
      </c>
      <c r="B138" s="1" t="s">
        <v>13</v>
      </c>
      <c r="C138" s="1" t="s">
        <v>7</v>
      </c>
      <c r="D138" s="4">
        <v>5</v>
      </c>
      <c r="E138" s="4">
        <v>1994</v>
      </c>
      <c r="F138" s="4">
        <v>20.921770769999998</v>
      </c>
      <c r="G138" s="2" t="s">
        <v>91</v>
      </c>
      <c r="H138" s="5">
        <v>1649</v>
      </c>
      <c r="I138" s="1" t="s">
        <v>8</v>
      </c>
      <c r="J138" s="29" t="s">
        <v>118</v>
      </c>
      <c r="K138" s="20" t="s">
        <v>177</v>
      </c>
      <c r="L138" s="20">
        <v>9320</v>
      </c>
      <c r="M138" s="20">
        <f>ABS((D138*E138)-L138)</f>
        <v>650</v>
      </c>
      <c r="N138" t="str">
        <f>IF(COUNTIFS( $B$2:$B$842, B138, $C$2:$C$842, C138, $D$2:$D$842, D138, $E$2:$E$842, E138) &gt; 1, "Duplicate", "Unique")</f>
        <v>Unique</v>
      </c>
    </row>
    <row r="139" spans="1:15" ht="15.65" customHeight="1" thickBot="1" x14ac:dyDescent="0.4">
      <c r="A139" s="10" t="s">
        <v>62</v>
      </c>
      <c r="B139" s="10" t="s">
        <v>6</v>
      </c>
      <c r="C139" s="10" t="s">
        <v>7</v>
      </c>
      <c r="D139" s="10">
        <v>100</v>
      </c>
      <c r="E139" s="15">
        <v>319</v>
      </c>
      <c r="F139" s="4">
        <v>15.03786513</v>
      </c>
      <c r="G139" s="2" t="s">
        <v>130</v>
      </c>
      <c r="H139" s="5">
        <v>277.3</v>
      </c>
      <c r="I139" s="1" t="s">
        <v>8</v>
      </c>
      <c r="J139" s="23"/>
      <c r="N139" s="12" t="str">
        <f>IF(COUNTIFS( $B$2:$B$842, B139, $C$2:$C$842, C139, $D$2:$D$842, D139, $E$2:$E$842, E139) &gt; 1, "Duplicate", "Unique")</f>
        <v>Unique</v>
      </c>
      <c r="O139" s="12"/>
    </row>
    <row r="140" spans="1:15" ht="14.4" customHeight="1" thickBot="1" x14ac:dyDescent="0.4">
      <c r="A140" s="10" t="s">
        <v>62</v>
      </c>
      <c r="B140" s="10" t="s">
        <v>28</v>
      </c>
      <c r="C140" s="10" t="s">
        <v>7</v>
      </c>
      <c r="D140" s="10">
        <v>5</v>
      </c>
      <c r="E140" s="14">
        <v>1002</v>
      </c>
      <c r="F140" s="4">
        <v>16.241299300000001</v>
      </c>
      <c r="G140" s="2" t="s">
        <v>125</v>
      </c>
      <c r="H140" s="5">
        <v>862</v>
      </c>
      <c r="I140" s="1" t="s">
        <v>8</v>
      </c>
      <c r="J140" s="23"/>
      <c r="N140" s="12" t="str">
        <f>IF(COUNTIFS( $B$2:$B$842, B140, $C$2:$C$842, C140, $D$2:$D$842, D140, $E$2:$E$842, E140) &gt; 1, "Duplicate", "Unique")</f>
        <v>Unique</v>
      </c>
    </row>
    <row r="141" spans="1:15" ht="14.4" customHeight="1" thickBot="1" x14ac:dyDescent="0.4">
      <c r="A141" s="10" t="s">
        <v>62</v>
      </c>
      <c r="B141" s="10" t="s">
        <v>6</v>
      </c>
      <c r="C141" s="10" t="s">
        <v>7</v>
      </c>
      <c r="D141" s="10">
        <v>100</v>
      </c>
      <c r="E141" s="14">
        <v>318</v>
      </c>
      <c r="F141" s="4">
        <v>14.67724486</v>
      </c>
      <c r="G141" s="2" t="s">
        <v>130</v>
      </c>
      <c r="H141" s="5">
        <v>277.3</v>
      </c>
      <c r="I141" s="1" t="s">
        <v>8</v>
      </c>
      <c r="J141" s="23"/>
      <c r="N141" s="12" t="str">
        <f>IF(COUNTIFS( $B$2:$B$842, B141, $C$2:$C$842, C141, $D$2:$D$842, D141, $E$2:$E$842, E141) &gt; 1, "Duplicate", "Unique")</f>
        <v>Unique</v>
      </c>
      <c r="O141" s="12"/>
    </row>
    <row r="142" spans="1:15" ht="14.4" customHeight="1" thickBot="1" x14ac:dyDescent="0.4">
      <c r="A142" s="3">
        <v>46258.375694444447</v>
      </c>
      <c r="B142" s="1" t="s">
        <v>22</v>
      </c>
      <c r="C142" s="1" t="s">
        <v>7</v>
      </c>
      <c r="D142" s="4">
        <v>5</v>
      </c>
      <c r="E142" s="4">
        <v>502</v>
      </c>
      <c r="F142" s="4">
        <v>14.87414188</v>
      </c>
      <c r="G142" s="2" t="s">
        <v>73</v>
      </c>
      <c r="H142" s="5">
        <v>437</v>
      </c>
      <c r="I142" s="1" t="s">
        <v>8</v>
      </c>
      <c r="J142" s="29" t="s">
        <v>118</v>
      </c>
      <c r="K142" s="20" t="s">
        <v>162</v>
      </c>
      <c r="L142" s="20">
        <v>2260</v>
      </c>
      <c r="M142" s="20">
        <f>ABS((D142*E142)-L142)</f>
        <v>250</v>
      </c>
      <c r="N142" s="12" t="str">
        <f>IF(COUNTIFS( $B$2:$B$842, B142, $C$2:$C$842, C142, $D$2:$D$842, D142, $E$2:$E$842, E142) &gt; 1, "Duplicate", "Unique")</f>
        <v>Unique</v>
      </c>
    </row>
    <row r="143" spans="1:15" ht="14.4" customHeight="1" thickBot="1" x14ac:dyDescent="0.4">
      <c r="A143" s="10" t="s">
        <v>62</v>
      </c>
      <c r="B143" s="16" t="s">
        <v>28</v>
      </c>
      <c r="C143" s="10" t="s">
        <v>7</v>
      </c>
      <c r="D143" s="10">
        <v>40</v>
      </c>
      <c r="E143" s="17">
        <v>996</v>
      </c>
      <c r="F143" s="4">
        <v>15.545243620000001</v>
      </c>
      <c r="G143" s="2" t="s">
        <v>125</v>
      </c>
      <c r="H143" s="5">
        <v>862</v>
      </c>
      <c r="I143" s="1" t="s">
        <v>8</v>
      </c>
      <c r="J143" s="23" t="s">
        <v>118</v>
      </c>
      <c r="N143" s="12" t="str">
        <f>IF(COUNTIFS( $B$2:$B$842, B143, $C$2:$C$842, C143, $D$2:$D$842, D143, $E$2:$E$842, E143) &gt; 1, "Duplicate", "Unique")</f>
        <v>Unique</v>
      </c>
      <c r="O143" s="12"/>
    </row>
    <row r="144" spans="1:15" ht="14.4" customHeight="1" thickBot="1" x14ac:dyDescent="0.4">
      <c r="A144" s="10" t="s">
        <v>62</v>
      </c>
      <c r="B144" s="10" t="s">
        <v>128</v>
      </c>
      <c r="C144" s="10" t="s">
        <v>7</v>
      </c>
      <c r="D144" s="10">
        <v>150</v>
      </c>
      <c r="E144" s="14">
        <v>136</v>
      </c>
      <c r="F144" s="4">
        <v>13.950565559999999</v>
      </c>
      <c r="G144" s="2" t="s">
        <v>129</v>
      </c>
      <c r="H144" s="5">
        <v>119.35</v>
      </c>
      <c r="I144" s="1" t="s">
        <v>8</v>
      </c>
      <c r="J144" s="23"/>
      <c r="N144" s="12" t="str">
        <f>IF(COUNTIFS( $B$2:$B$842, B144, $C$2:$C$842, C144, $D$2:$D$842, D144, $E$2:$E$842, E144) &gt; 1, "Duplicate", "Unique")</f>
        <v>Unique</v>
      </c>
      <c r="O144" s="12"/>
    </row>
    <row r="145" spans="1:15" ht="14.4" customHeight="1" thickBot="1" x14ac:dyDescent="0.4">
      <c r="A145" s="10" t="s">
        <v>62</v>
      </c>
      <c r="B145" s="10" t="s">
        <v>35</v>
      </c>
      <c r="C145" s="10" t="s">
        <v>7</v>
      </c>
      <c r="D145" s="10">
        <v>200</v>
      </c>
      <c r="E145" s="10">
        <v>239</v>
      </c>
      <c r="F145" s="4">
        <v>14.694308469999999</v>
      </c>
      <c r="G145" s="2" t="s">
        <v>42</v>
      </c>
      <c r="H145" s="5">
        <v>208.38</v>
      </c>
      <c r="I145" s="1" t="s">
        <v>8</v>
      </c>
      <c r="J145" s="23"/>
      <c r="N145" s="12" t="str">
        <f>IF(COUNTIFS( $B$2:$B$842, B145, $C$2:$C$842, C145, $D$2:$D$842, D145, $E$2:$E$842, E145) &gt; 1, "Duplicate", "Unique")</f>
        <v>Unique</v>
      </c>
    </row>
    <row r="146" spans="1:15" s="30" customFormat="1" ht="15" thickBot="1" x14ac:dyDescent="0.4">
      <c r="A146" s="10" t="s">
        <v>62</v>
      </c>
      <c r="B146" s="10" t="s">
        <v>6</v>
      </c>
      <c r="C146" s="10" t="s">
        <v>7</v>
      </c>
      <c r="D146" s="10">
        <v>100</v>
      </c>
      <c r="E146" s="15">
        <v>314</v>
      </c>
      <c r="F146" s="4">
        <v>13.234763790000001</v>
      </c>
      <c r="G146" s="2" t="s">
        <v>130</v>
      </c>
      <c r="H146" s="5">
        <v>277.3</v>
      </c>
      <c r="I146" s="1" t="s">
        <v>8</v>
      </c>
      <c r="J146" s="23"/>
      <c r="K146" s="20"/>
      <c r="L146" s="20"/>
      <c r="M146" s="20"/>
      <c r="N146" s="12" t="str">
        <f>IF(COUNTIFS( $B$2:$B$842, B146, $C$2:$C$842, C146, $D$2:$D$842, D146, $E$2:$E$842, E146) &gt; 1, "Duplicate", "Unique")</f>
        <v>Unique</v>
      </c>
      <c r="O146" s="12"/>
    </row>
    <row r="147" spans="1:15" ht="15" thickBot="1" x14ac:dyDescent="0.4">
      <c r="A147" s="13">
        <v>46252.635416666664</v>
      </c>
      <c r="B147" s="10" t="s">
        <v>35</v>
      </c>
      <c r="C147" s="10" t="s">
        <v>7</v>
      </c>
      <c r="D147" s="10">
        <v>120</v>
      </c>
      <c r="E147" s="10">
        <v>238.2</v>
      </c>
      <c r="F147" s="4">
        <v>14.31039447</v>
      </c>
      <c r="G147" s="2" t="s">
        <v>42</v>
      </c>
      <c r="H147" s="5">
        <v>208.38</v>
      </c>
      <c r="I147" s="1" t="s">
        <v>8</v>
      </c>
      <c r="J147" s="23" t="s">
        <v>118</v>
      </c>
      <c r="K147" s="20" t="s">
        <v>146</v>
      </c>
      <c r="N147" s="12" t="str">
        <f>IF(COUNTIFS( $B$2:$B$842, B147, $C$2:$C$842, C147, $D$2:$D$842, D147, $E$2:$E$842, E147) &gt; 1, "Duplicate", "Unique")</f>
        <v>Unique</v>
      </c>
    </row>
    <row r="148" spans="1:15" ht="14.4" customHeight="1" thickBot="1" x14ac:dyDescent="0.4">
      <c r="A148" s="10" t="s">
        <v>62</v>
      </c>
      <c r="B148" s="10" t="s">
        <v>28</v>
      </c>
      <c r="C148" s="10" t="s">
        <v>7</v>
      </c>
      <c r="D148" s="10">
        <v>5</v>
      </c>
      <c r="E148" s="14">
        <v>986</v>
      </c>
      <c r="F148" s="4">
        <v>14.385150810000001</v>
      </c>
      <c r="G148" s="2" t="s">
        <v>125</v>
      </c>
      <c r="H148" s="5">
        <v>862</v>
      </c>
      <c r="I148" s="1" t="s">
        <v>8</v>
      </c>
      <c r="J148" s="23"/>
      <c r="N148" s="12" t="str">
        <f>IF(COUNTIFS( $B$2:$B$842, B148, $C$2:$C$842, C148, $D$2:$D$842, D148, $E$2:$E$842, E148) &gt; 1, "Duplicate", "Unique")</f>
        <v>Unique</v>
      </c>
      <c r="O148" s="12"/>
    </row>
    <row r="149" spans="1:15" ht="14.4" customHeight="1" thickBot="1" x14ac:dyDescent="0.4">
      <c r="A149" s="10" t="s">
        <v>62</v>
      </c>
      <c r="B149" s="10" t="s">
        <v>133</v>
      </c>
      <c r="C149" s="10" t="s">
        <v>7</v>
      </c>
      <c r="D149" s="10">
        <v>150</v>
      </c>
      <c r="E149" s="14">
        <v>129.9</v>
      </c>
      <c r="F149" s="4">
        <v>13.74781086</v>
      </c>
      <c r="G149" s="2" t="s">
        <v>134</v>
      </c>
      <c r="H149" s="5">
        <v>114.2</v>
      </c>
      <c r="I149" s="1" t="s">
        <v>8</v>
      </c>
      <c r="J149" s="23"/>
      <c r="N149" s="12" t="str">
        <f>IF(COUNTIFS( $B$2:$B$842, B149, $C$2:$C$842, C149, $D$2:$D$842, D149, $E$2:$E$842, E149) &gt; 1, "Duplicate", "Unique")</f>
        <v>Unique</v>
      </c>
      <c r="O149" s="12"/>
    </row>
    <row r="150" spans="1:15" customFormat="1" ht="15" thickBot="1" x14ac:dyDescent="0.4">
      <c r="A150" s="10" t="s">
        <v>62</v>
      </c>
      <c r="B150" s="10" t="s">
        <v>74</v>
      </c>
      <c r="C150" s="10" t="s">
        <v>7</v>
      </c>
      <c r="D150" s="10">
        <v>1</v>
      </c>
      <c r="E150" s="10">
        <v>3710</v>
      </c>
      <c r="F150" s="4">
        <v>14.68315301</v>
      </c>
      <c r="G150" s="2" t="s">
        <v>75</v>
      </c>
      <c r="H150" s="5">
        <v>3235</v>
      </c>
      <c r="I150" s="1" t="s">
        <v>8</v>
      </c>
      <c r="J150" s="58" t="s">
        <v>118</v>
      </c>
      <c r="K150" s="20"/>
      <c r="L150" s="20"/>
      <c r="M150" s="20"/>
      <c r="N150" s="12" t="str">
        <f>IF(COUNTIFS( $B$2:$B$842, B150, $C$2:$C$842, C150, $D$2:$D$842, D150, $E$2:$E$842, E150) &gt; 1, "Duplicate", "Unique")</f>
        <v>Unique</v>
      </c>
      <c r="O150" s="12"/>
    </row>
    <row r="151" spans="1:15" customFormat="1" ht="15" thickBot="1" x14ac:dyDescent="0.4">
      <c r="A151" s="31">
        <v>46260.634027777778</v>
      </c>
      <c r="B151" s="7" t="s">
        <v>29</v>
      </c>
      <c r="C151" s="7" t="s">
        <v>7</v>
      </c>
      <c r="D151" s="8">
        <v>5</v>
      </c>
      <c r="E151" s="8">
        <v>4148</v>
      </c>
      <c r="F151" s="4">
        <v>15.21902169</v>
      </c>
      <c r="G151" s="2" t="s">
        <v>137</v>
      </c>
      <c r="H151" s="5">
        <v>3600.1</v>
      </c>
      <c r="I151" s="1" t="s">
        <v>8</v>
      </c>
      <c r="J151" s="32" t="s">
        <v>118</v>
      </c>
      <c r="K151" s="32" t="s">
        <v>173</v>
      </c>
      <c r="L151" s="32">
        <v>20260</v>
      </c>
      <c r="M151" s="32">
        <f>ABS((D151*E151)-L151)</f>
        <v>480</v>
      </c>
      <c r="N151" s="33" t="str">
        <f>IF(COUNTIFS( $B$2:$B$842, B151, $C$2:$C$842, C151, $D$2:$D$842, D151, $E$2:$E$842, E151) &gt; 1, "Duplicate", "Unique")</f>
        <v>Unique</v>
      </c>
      <c r="O151" s="32" t="s">
        <v>181</v>
      </c>
    </row>
    <row r="152" spans="1:15" customFormat="1" ht="15" thickBot="1" x14ac:dyDescent="0.4">
      <c r="A152" s="3">
        <v>46259.388194444444</v>
      </c>
      <c r="B152" s="1" t="s">
        <v>13</v>
      </c>
      <c r="C152" s="1" t="s">
        <v>7</v>
      </c>
      <c r="D152" s="4">
        <v>20</v>
      </c>
      <c r="E152" s="4">
        <v>1948</v>
      </c>
      <c r="F152" s="4">
        <v>18.132201330000001</v>
      </c>
      <c r="G152" s="2" t="s">
        <v>91</v>
      </c>
      <c r="H152" s="5">
        <v>1649</v>
      </c>
      <c r="I152" s="1" t="s">
        <v>8</v>
      </c>
      <c r="J152" s="20" t="s">
        <v>117</v>
      </c>
      <c r="K152" s="20" t="s">
        <v>167</v>
      </c>
      <c r="L152" s="20">
        <v>38020</v>
      </c>
      <c r="M152" s="20">
        <f>ABS((D152*E152)-L152)</f>
        <v>940</v>
      </c>
      <c r="N152" s="12" t="str">
        <f>IF(COUNTIFS( $B$2:$B$842, B152, $C$2:$C$842, C152, $D$2:$D$842, D152, $E$2:$E$842, E152) &gt; 1, "Duplicate", "Unique")</f>
        <v>Unique</v>
      </c>
      <c r="O152" s="20"/>
    </row>
    <row r="153" spans="1:15" customFormat="1" ht="15" thickBot="1" x14ac:dyDescent="0.4">
      <c r="A153" s="10" t="s">
        <v>62</v>
      </c>
      <c r="B153" s="10" t="s">
        <v>14</v>
      </c>
      <c r="C153" s="10" t="s">
        <v>7</v>
      </c>
      <c r="D153" s="10">
        <v>50</v>
      </c>
      <c r="E153" s="14">
        <v>383</v>
      </c>
      <c r="F153" s="4">
        <v>12.812960240000001</v>
      </c>
      <c r="G153" s="2" t="s">
        <v>45</v>
      </c>
      <c r="H153" s="5">
        <v>339.5</v>
      </c>
      <c r="I153" s="1" t="s">
        <v>8</v>
      </c>
      <c r="J153" s="58"/>
      <c r="K153" s="20"/>
      <c r="L153" s="20"/>
      <c r="M153" s="20"/>
      <c r="N153" s="12" t="str">
        <f>IF(COUNTIFS( $B$2:$B$842, B153, $C$2:$C$842, C153, $D$2:$D$842, D153, $E$2:$E$842, E153) &gt; 1, "Duplicate", "Unique")</f>
        <v>Unique</v>
      </c>
      <c r="O153" s="20"/>
    </row>
    <row r="154" spans="1:15" customFormat="1" ht="15" thickBot="1" x14ac:dyDescent="0.4">
      <c r="A154" s="3">
        <v>46258.629861111112</v>
      </c>
      <c r="B154" s="1" t="s">
        <v>17</v>
      </c>
      <c r="C154" s="1" t="s">
        <v>7</v>
      </c>
      <c r="D154" s="4">
        <v>25</v>
      </c>
      <c r="E154" s="4">
        <v>392.5</v>
      </c>
      <c r="F154" s="4">
        <v>11.823361820000001</v>
      </c>
      <c r="G154" s="2" t="s">
        <v>77</v>
      </c>
      <c r="H154" s="5">
        <v>351</v>
      </c>
      <c r="I154" s="1" t="s">
        <v>8</v>
      </c>
      <c r="J154" s="20" t="s">
        <v>118</v>
      </c>
      <c r="K154" s="20" t="s">
        <v>158</v>
      </c>
      <c r="L154" s="20">
        <v>9312.5</v>
      </c>
      <c r="M154" s="20">
        <f>ABS((D154*E154)-L154)</f>
        <v>500</v>
      </c>
      <c r="N154" s="12" t="str">
        <f>IF(COUNTIFS( $B$2:$B$842, B154, $C$2:$C$842, C154, $D$2:$D$842, D154, $E$2:$E$842, E154) &gt; 1, "Duplicate", "Unique")</f>
        <v>Unique</v>
      </c>
      <c r="O154" s="20"/>
    </row>
    <row r="155" spans="1:15" customFormat="1" ht="15" thickBot="1" x14ac:dyDescent="0.4">
      <c r="A155" s="10" t="s">
        <v>62</v>
      </c>
      <c r="B155" s="10" t="s">
        <v>63</v>
      </c>
      <c r="C155" s="10" t="s">
        <v>7</v>
      </c>
      <c r="D155" s="10">
        <v>11</v>
      </c>
      <c r="E155" s="14">
        <v>1170</v>
      </c>
      <c r="F155" s="4">
        <v>13.603262450000001</v>
      </c>
      <c r="G155" s="2" t="s">
        <v>64</v>
      </c>
      <c r="H155" s="5">
        <v>1029.9000000000001</v>
      </c>
      <c r="I155" s="1" t="s">
        <v>8</v>
      </c>
      <c r="J155" s="58"/>
      <c r="K155" s="20"/>
      <c r="L155" s="20"/>
      <c r="M155" s="20"/>
      <c r="N155" s="12" t="str">
        <f>IF(COUNTIFS( $B$2:$B$842, B155, $C$2:$C$842, C155, $D$2:$D$842, D155, $E$2:$E$842, E155) &gt; 1, "Duplicate", "Unique")</f>
        <v>Unique</v>
      </c>
      <c r="O155" s="12"/>
    </row>
    <row r="156" spans="1:15" customFormat="1" ht="15" thickBot="1" x14ac:dyDescent="0.4">
      <c r="A156" s="10" t="s">
        <v>62</v>
      </c>
      <c r="B156" s="10" t="s">
        <v>26</v>
      </c>
      <c r="C156" s="10" t="s">
        <v>7</v>
      </c>
      <c r="D156" s="10">
        <v>25</v>
      </c>
      <c r="E156" s="10">
        <v>199.9</v>
      </c>
      <c r="F156" s="4">
        <v>11.216201180000001</v>
      </c>
      <c r="G156" s="2" t="s">
        <v>132</v>
      </c>
      <c r="H156" s="5">
        <v>179.74</v>
      </c>
      <c r="I156" s="1" t="s">
        <v>8</v>
      </c>
      <c r="J156" s="58" t="s">
        <v>117</v>
      </c>
      <c r="K156" s="20"/>
      <c r="L156" s="20"/>
      <c r="M156" s="20"/>
      <c r="N156" s="12" t="str">
        <f>IF(COUNTIFS( $B$2:$B$842, B156, $C$2:$C$842, C156, $D$2:$D$842, D156, $E$2:$E$842, E156) &gt; 1, "Duplicate", "Unique")</f>
        <v>Unique</v>
      </c>
      <c r="O156" s="12"/>
    </row>
    <row r="157" spans="1:15" customFormat="1" ht="15" thickBot="1" x14ac:dyDescent="0.4">
      <c r="A157" s="10" t="s">
        <v>62</v>
      </c>
      <c r="B157" s="10" t="s">
        <v>6</v>
      </c>
      <c r="C157" s="10" t="s">
        <v>7</v>
      </c>
      <c r="D157" s="10">
        <v>100</v>
      </c>
      <c r="E157" s="10">
        <v>310.5</v>
      </c>
      <c r="F157" s="4">
        <v>11.972592860000001</v>
      </c>
      <c r="G157" s="2" t="s">
        <v>130</v>
      </c>
      <c r="H157" s="5">
        <v>277.3</v>
      </c>
      <c r="I157" s="1" t="s">
        <v>8</v>
      </c>
      <c r="J157" s="58" t="s">
        <v>118</v>
      </c>
      <c r="K157" s="20"/>
      <c r="L157" s="20"/>
      <c r="M157" s="20"/>
      <c r="N157" s="12" t="str">
        <f>IF(COUNTIFS( $B$2:$B$842, B157, $C$2:$C$842, C157, $D$2:$D$842, D157, $E$2:$E$842, E157) &gt; 1, "Duplicate", "Unique")</f>
        <v>Unique</v>
      </c>
      <c r="O157" s="12"/>
    </row>
    <row r="158" spans="1:15" ht="15" thickBot="1" x14ac:dyDescent="0.4">
      <c r="A158" s="13">
        <v>46252.635416666664</v>
      </c>
      <c r="B158" s="10" t="s">
        <v>35</v>
      </c>
      <c r="C158" s="10" t="s">
        <v>7</v>
      </c>
      <c r="D158" s="10">
        <v>200</v>
      </c>
      <c r="E158" s="10">
        <v>235</v>
      </c>
      <c r="F158" s="4">
        <v>12.77473846</v>
      </c>
      <c r="G158" s="2" t="s">
        <v>42</v>
      </c>
      <c r="H158" s="5">
        <v>208.38</v>
      </c>
      <c r="I158" s="1" t="s">
        <v>8</v>
      </c>
      <c r="J158" s="59" t="s">
        <v>55</v>
      </c>
      <c r="N158" s="12" t="str">
        <f>IF(COUNTIFS( $B$2:$B$842, B158, $C$2:$C$842, C158, $D$2:$D$842, D158, $E$2:$E$842, E158) &gt; 1, "Duplicate", "Unique")</f>
        <v>Unique</v>
      </c>
    </row>
    <row r="159" spans="1:15" s="53" customFormat="1" ht="15" thickBot="1" x14ac:dyDescent="0.4">
      <c r="A159" s="10" t="s">
        <v>62</v>
      </c>
      <c r="B159" s="10" t="s">
        <v>28</v>
      </c>
      <c r="C159" s="10" t="s">
        <v>7</v>
      </c>
      <c r="D159" s="10">
        <v>30</v>
      </c>
      <c r="E159" s="15">
        <v>974</v>
      </c>
      <c r="F159" s="4">
        <v>12.99303944</v>
      </c>
      <c r="G159" s="2" t="s">
        <v>125</v>
      </c>
      <c r="H159" s="5">
        <v>862</v>
      </c>
      <c r="I159" s="1" t="s">
        <v>8</v>
      </c>
      <c r="J159" s="58"/>
      <c r="K159" s="20"/>
      <c r="L159" s="20"/>
      <c r="M159" s="20"/>
      <c r="N159" s="12" t="str">
        <f>IF(COUNTIFS( $B$2:$B$842, B159, $C$2:$C$842, C159, $D$2:$D$842, D159, $E$2:$E$842, E159) &gt; 1, "Duplicate", "Unique")</f>
        <v>Unique</v>
      </c>
      <c r="O159" s="12"/>
    </row>
    <row r="160" spans="1:15" s="53" customFormat="1" ht="15" thickBot="1" x14ac:dyDescent="0.4">
      <c r="A160" s="3">
        <v>46260.550694444442</v>
      </c>
      <c r="B160" s="1" t="s">
        <v>103</v>
      </c>
      <c r="C160" s="1" t="s">
        <v>7</v>
      </c>
      <c r="D160" s="4">
        <v>2</v>
      </c>
      <c r="E160" s="4">
        <v>2787.9</v>
      </c>
      <c r="F160" s="4">
        <v>12.59693053</v>
      </c>
      <c r="G160" s="2" t="s">
        <v>104</v>
      </c>
      <c r="H160" s="5">
        <v>2476</v>
      </c>
      <c r="I160" s="1" t="s">
        <v>8</v>
      </c>
      <c r="J160" s="20" t="s">
        <v>118</v>
      </c>
      <c r="K160" s="20" t="s">
        <v>172</v>
      </c>
      <c r="L160" s="20">
        <v>5275.8</v>
      </c>
      <c r="M160" s="20">
        <f>ABS((D160*E160)-L160)</f>
        <v>300</v>
      </c>
      <c r="N160" t="str">
        <f>IF(COUNTIFS( $B$2:$B$842, B160, $C$2:$C$842, C160, $D$2:$D$842, D160, $E$2:$E$842, E160) &gt; 1, "Duplicate", "Unique")</f>
        <v>Unique</v>
      </c>
      <c r="O160" s="20"/>
    </row>
    <row r="161" spans="1:15" ht="15" thickBot="1" x14ac:dyDescent="0.4">
      <c r="A161" s="34">
        <v>46260.425694444442</v>
      </c>
      <c r="B161" s="35" t="s">
        <v>13</v>
      </c>
      <c r="C161" s="35" t="s">
        <v>7</v>
      </c>
      <c r="D161" s="36">
        <v>20</v>
      </c>
      <c r="E161" s="36">
        <v>1924</v>
      </c>
      <c r="F161" s="4">
        <v>16.676773799999999</v>
      </c>
      <c r="G161" s="2" t="s">
        <v>91</v>
      </c>
      <c r="H161" s="5">
        <v>1649</v>
      </c>
      <c r="I161" s="1" t="s">
        <v>8</v>
      </c>
      <c r="J161" s="37" t="s">
        <v>118</v>
      </c>
      <c r="K161" s="37" t="s">
        <v>174</v>
      </c>
      <c r="L161" s="37">
        <v>37480</v>
      </c>
      <c r="M161" s="37">
        <f>ABS((D161*E161)-L161)</f>
        <v>1000</v>
      </c>
      <c r="N161" s="38" t="str">
        <f>IF(COUNTIFS( $B$2:$B$842, B161, $C$2:$C$842, C161, $D$2:$D$842, D161, $E$2:$E$842, E161) &gt; 1, "Duplicate", "Unique")</f>
        <v>Unique</v>
      </c>
      <c r="O161" s="37"/>
    </row>
    <row r="162" spans="1:15" ht="15" thickBot="1" x14ac:dyDescent="0.4">
      <c r="A162" s="3">
        <v>46261.375</v>
      </c>
      <c r="B162" s="1" t="s">
        <v>18</v>
      </c>
      <c r="C162" s="1" t="s">
        <v>7</v>
      </c>
      <c r="D162" s="4">
        <v>2</v>
      </c>
      <c r="E162" s="4">
        <v>1970</v>
      </c>
      <c r="F162" s="4">
        <v>10.674157299999999</v>
      </c>
      <c r="G162" s="2" t="s">
        <v>102</v>
      </c>
      <c r="H162" s="5">
        <v>1780</v>
      </c>
      <c r="I162" s="1" t="s">
        <v>8</v>
      </c>
      <c r="J162" s="20" t="s">
        <v>117</v>
      </c>
      <c r="K162" s="20" t="s">
        <v>189</v>
      </c>
      <c r="L162" s="20">
        <v>3680</v>
      </c>
      <c r="M162" s="20">
        <f>ABS((D162*E162)-L162)</f>
        <v>260</v>
      </c>
      <c r="N162" s="12" t="str">
        <f>IF(COUNTIFS( $B$2:$B$842, B162, $C$2:$C$842, C162, $D$2:$D$842, D162, $E$2:$E$842, E162) &gt; 1, "Duplicate", "Unique")</f>
        <v>Unique</v>
      </c>
    </row>
    <row r="163" spans="1:15" ht="15" thickBot="1" x14ac:dyDescent="0.4">
      <c r="A163" s="10" t="s">
        <v>62</v>
      </c>
      <c r="B163" s="10" t="s">
        <v>9</v>
      </c>
      <c r="C163" s="10" t="s">
        <v>7</v>
      </c>
      <c r="D163" s="10">
        <v>40</v>
      </c>
      <c r="E163" s="10">
        <v>320.5</v>
      </c>
      <c r="F163" s="4">
        <v>10.842123470000001</v>
      </c>
      <c r="G163" s="2" t="s">
        <v>95</v>
      </c>
      <c r="H163" s="5">
        <v>289.14999999999998</v>
      </c>
      <c r="I163" s="1" t="s">
        <v>8</v>
      </c>
      <c r="J163" s="58"/>
      <c r="N163" s="12" t="str">
        <f>IF(COUNTIFS( $B$2:$B$842, B163, $C$2:$C$842, C163, $D$2:$D$842, D163, $E$2:$E$842, E163) &gt; 1, "Duplicate", "Unique")</f>
        <v>Unique</v>
      </c>
      <c r="O163" s="12"/>
    </row>
    <row r="164" spans="1:15" s="21" customFormat="1" ht="15" thickBot="1" x14ac:dyDescent="0.4">
      <c r="A164" s="10" t="s">
        <v>62</v>
      </c>
      <c r="B164" s="10" t="s">
        <v>74</v>
      </c>
      <c r="C164" s="10" t="s">
        <v>7</v>
      </c>
      <c r="D164" s="10">
        <v>5</v>
      </c>
      <c r="E164" s="10">
        <v>3633</v>
      </c>
      <c r="F164" s="4">
        <v>12.30293663</v>
      </c>
      <c r="G164" s="2" t="s">
        <v>75</v>
      </c>
      <c r="H164" s="5">
        <v>3235</v>
      </c>
      <c r="I164" s="1" t="s">
        <v>8</v>
      </c>
      <c r="J164" s="58"/>
      <c r="K164" s="20"/>
      <c r="L164" s="20"/>
      <c r="M164" s="20"/>
      <c r="N164" s="12" t="str">
        <f>IF(COUNTIFS( $B$2:$B$842, B164, $C$2:$C$842, C164, $D$2:$D$842, D164, $E$2:$E$842, E164) &gt; 1, "Duplicate", "Unique")</f>
        <v>Unique</v>
      </c>
      <c r="O164" s="12"/>
    </row>
    <row r="165" spans="1:15" s="39" customFormat="1" ht="15" thickBot="1" x14ac:dyDescent="0.4">
      <c r="A165" s="13">
        <v>46252.645138888889</v>
      </c>
      <c r="B165" s="10" t="s">
        <v>35</v>
      </c>
      <c r="C165" s="10" t="s">
        <v>7</v>
      </c>
      <c r="D165" s="10">
        <v>200</v>
      </c>
      <c r="E165" s="10">
        <v>232</v>
      </c>
      <c r="F165" s="4">
        <v>11.335060950000001</v>
      </c>
      <c r="G165" s="2" t="s">
        <v>42</v>
      </c>
      <c r="H165" s="5">
        <v>208.38</v>
      </c>
      <c r="I165" s="1" t="s">
        <v>8</v>
      </c>
      <c r="J165" s="19" t="s">
        <v>117</v>
      </c>
      <c r="K165" s="20"/>
      <c r="L165" s="20"/>
      <c r="M165" s="20"/>
      <c r="N165" s="12" t="str">
        <f>IF(COUNTIFS( $B$2:$B$842, B165, $C$2:$C$842, C165, $D$2:$D$842, D165, $E$2:$E$842, E165) &gt; 1, "Duplicate", "Unique")</f>
        <v>Unique</v>
      </c>
      <c r="O165" s="20"/>
    </row>
    <row r="166" spans="1:15" ht="15" thickBot="1" x14ac:dyDescent="0.4">
      <c r="A166" s="10" t="s">
        <v>62</v>
      </c>
      <c r="B166" s="10" t="s">
        <v>43</v>
      </c>
      <c r="C166" s="10" t="s">
        <v>7</v>
      </c>
      <c r="D166" s="10">
        <v>5</v>
      </c>
      <c r="E166" s="14">
        <v>790</v>
      </c>
      <c r="F166" s="4">
        <v>10.42773274</v>
      </c>
      <c r="G166" s="2" t="s">
        <v>44</v>
      </c>
      <c r="H166" s="5">
        <v>715.4</v>
      </c>
      <c r="I166" s="1" t="s">
        <v>8</v>
      </c>
      <c r="J166" s="58"/>
      <c r="N166" s="12" t="str">
        <f>IF(COUNTIFS( $B$2:$B$842, B166, $C$2:$C$842, C166, $D$2:$D$842, D166, $E$2:$E$842, E166) &gt; 1, "Duplicate", "Unique")</f>
        <v>Unique</v>
      </c>
      <c r="O166" s="12"/>
    </row>
    <row r="167" spans="1:15" ht="15" thickBot="1" x14ac:dyDescent="0.4">
      <c r="A167" s="13">
        <v>46253.375</v>
      </c>
      <c r="B167" s="10" t="s">
        <v>31</v>
      </c>
      <c r="C167" s="10" t="s">
        <v>7</v>
      </c>
      <c r="D167" s="10">
        <v>5</v>
      </c>
      <c r="E167" s="10">
        <v>682</v>
      </c>
      <c r="F167" s="4">
        <v>10</v>
      </c>
      <c r="G167" s="2" t="s">
        <v>94</v>
      </c>
      <c r="H167" s="5">
        <v>620</v>
      </c>
      <c r="I167" s="1" t="s">
        <v>8</v>
      </c>
      <c r="J167" s="58"/>
      <c r="K167" s="20" t="s">
        <v>144</v>
      </c>
      <c r="N167" s="12" t="str">
        <f>IF(COUNTIFS( $B$2:$B$842, B167, $C$2:$C$842, C167, $D$2:$D$842, D167, $E$2:$E$842, E167) &gt; 1, "Duplicate", "Unique")</f>
        <v>Unique</v>
      </c>
      <c r="O167" s="12"/>
    </row>
    <row r="168" spans="1:15" ht="15" thickBot="1" x14ac:dyDescent="0.4">
      <c r="A168" s="10" t="s">
        <v>62</v>
      </c>
      <c r="B168" s="10" t="s">
        <v>123</v>
      </c>
      <c r="C168" s="10" t="s">
        <v>7</v>
      </c>
      <c r="D168" s="10">
        <v>200</v>
      </c>
      <c r="E168" s="10">
        <v>91.75</v>
      </c>
      <c r="F168" s="4">
        <v>11.29306162</v>
      </c>
      <c r="G168" s="2" t="s">
        <v>124</v>
      </c>
      <c r="H168" s="5">
        <v>82.44</v>
      </c>
      <c r="I168" s="1" t="s">
        <v>8</v>
      </c>
      <c r="J168" s="58"/>
      <c r="N168" s="12" t="str">
        <f>IF(COUNTIFS( $B$2:$B$842, B168, $C$2:$C$842, C168, $D$2:$D$842, D168, $E$2:$E$842, E168) &gt; 1, "Duplicate", "Unique")</f>
        <v>Unique</v>
      </c>
      <c r="O168" s="12"/>
    </row>
    <row r="169" spans="1:15" ht="15" thickBot="1" x14ac:dyDescent="0.4">
      <c r="A169" s="10" t="s">
        <v>62</v>
      </c>
      <c r="B169" s="10" t="s">
        <v>14</v>
      </c>
      <c r="C169" s="10" t="s">
        <v>7</v>
      </c>
      <c r="D169" s="10">
        <v>17</v>
      </c>
      <c r="E169" s="10">
        <v>373</v>
      </c>
      <c r="F169" s="4">
        <v>9.8674521350000006</v>
      </c>
      <c r="G169" s="2" t="s">
        <v>45</v>
      </c>
      <c r="H169" s="5">
        <v>339.5</v>
      </c>
      <c r="I169" s="1" t="s">
        <v>8</v>
      </c>
      <c r="J169" s="58"/>
      <c r="N169" s="12" t="str">
        <f>IF(COUNTIFS( $B$2:$B$842, B169, $C$2:$C$842, C169, $D$2:$D$842, D169, $E$2:$E$842, E169) &gt; 1, "Duplicate", "Unique")</f>
        <v>Unique</v>
      </c>
      <c r="O169" s="12"/>
    </row>
    <row r="170" spans="1:15" ht="15" thickBot="1" x14ac:dyDescent="0.4">
      <c r="A170" s="10" t="s">
        <v>62</v>
      </c>
      <c r="B170" s="10" t="s">
        <v>14</v>
      </c>
      <c r="C170" s="10" t="s">
        <v>7</v>
      </c>
      <c r="D170" s="10">
        <v>50</v>
      </c>
      <c r="E170" s="14">
        <v>373</v>
      </c>
      <c r="F170" s="4">
        <v>9.8674521350000006</v>
      </c>
      <c r="G170" s="2" t="s">
        <v>45</v>
      </c>
      <c r="H170" s="5">
        <v>339.5</v>
      </c>
      <c r="I170" s="1" t="s">
        <v>8</v>
      </c>
      <c r="J170" s="58" t="s">
        <v>118</v>
      </c>
      <c r="N170" s="12" t="str">
        <f>IF(COUNTIFS( $B$2:$B$842, B170, $C$2:$C$842, C170, $D$2:$D$842, D170, $E$2:$E$842, E170) &gt; 1, "Duplicate", "Unique")</f>
        <v>Unique</v>
      </c>
      <c r="O170" s="12"/>
    </row>
    <row r="171" spans="1:15" ht="15" thickBot="1" x14ac:dyDescent="0.4">
      <c r="A171" s="3">
        <v>46262.375</v>
      </c>
      <c r="B171" s="1" t="s">
        <v>13</v>
      </c>
      <c r="C171" s="1" t="s">
        <v>7</v>
      </c>
      <c r="D171" s="4">
        <v>5</v>
      </c>
      <c r="E171" s="4">
        <v>1894</v>
      </c>
      <c r="F171" s="4">
        <v>14.85748939</v>
      </c>
      <c r="G171" s="2" t="s">
        <v>91</v>
      </c>
      <c r="H171" s="5">
        <v>1649</v>
      </c>
      <c r="I171" s="1" t="s">
        <v>8</v>
      </c>
      <c r="J171" s="20" t="s">
        <v>118</v>
      </c>
      <c r="K171" s="20" t="s">
        <v>201</v>
      </c>
      <c r="L171" s="20">
        <v>8820</v>
      </c>
      <c r="M171" s="20">
        <f>ABS((D171*E171)-L171)</f>
        <v>650</v>
      </c>
      <c r="N171" s="12" t="str">
        <f>IF(COUNTIFS( $B$2:$B$842, B171, $C$2:$C$842, C171, $D$2:$D$842, D171, $E$2:$E$842, E171) &gt; 1, "Duplicate", "Unique")</f>
        <v>Unique</v>
      </c>
    </row>
    <row r="172" spans="1:15" ht="15" thickBot="1" x14ac:dyDescent="0.4">
      <c r="A172" s="10" t="s">
        <v>62</v>
      </c>
      <c r="B172" s="10" t="s">
        <v>9</v>
      </c>
      <c r="C172" s="10" t="s">
        <v>7</v>
      </c>
      <c r="D172" s="10">
        <v>50</v>
      </c>
      <c r="E172" s="10">
        <v>317</v>
      </c>
      <c r="F172" s="4">
        <v>9.6316790589999997</v>
      </c>
      <c r="G172" s="2" t="s">
        <v>95</v>
      </c>
      <c r="H172" s="5">
        <v>289.14999999999998</v>
      </c>
      <c r="I172" s="1" t="s">
        <v>8</v>
      </c>
      <c r="J172" s="58"/>
      <c r="N172" s="12" t="str">
        <f>IF(COUNTIFS( $B$2:$B$842, B172, $C$2:$C$842, C172, $D$2:$D$842, D172, $E$2:$E$842, E172) &gt; 1, "Duplicate", "Unique")</f>
        <v>Unique</v>
      </c>
      <c r="O172" s="12"/>
    </row>
    <row r="173" spans="1:15" ht="15" thickBot="1" x14ac:dyDescent="0.4">
      <c r="A173" s="3">
        <v>46258.443055555559</v>
      </c>
      <c r="B173" s="1" t="s">
        <v>35</v>
      </c>
      <c r="C173" s="1" t="s">
        <v>7</v>
      </c>
      <c r="D173" s="4">
        <v>50</v>
      </c>
      <c r="E173" s="4">
        <v>229.5</v>
      </c>
      <c r="F173" s="4">
        <v>10.135329690000001</v>
      </c>
      <c r="G173" s="2" t="s">
        <v>42</v>
      </c>
      <c r="H173" s="5">
        <v>208.38</v>
      </c>
      <c r="I173" s="1" t="s">
        <v>8</v>
      </c>
      <c r="J173" s="20" t="s">
        <v>118</v>
      </c>
      <c r="K173" s="20" t="s">
        <v>161</v>
      </c>
      <c r="L173" s="20">
        <v>11175</v>
      </c>
      <c r="M173" s="20">
        <f>ABS((D173*E173)-L173)</f>
        <v>300</v>
      </c>
      <c r="N173" s="12" t="str">
        <f>IF(COUNTIFS( $B$2:$B$842, B173, $C$2:$C$842, C173, $D$2:$D$842, D173, $E$2:$E$842, E173) &gt; 1, "Duplicate", "Unique")</f>
        <v>Unique</v>
      </c>
    </row>
    <row r="174" spans="1:15" ht="15" thickBot="1" x14ac:dyDescent="0.4">
      <c r="A174" s="3">
        <v>46259.375</v>
      </c>
      <c r="B174" s="1" t="s">
        <v>35</v>
      </c>
      <c r="C174" s="1" t="s">
        <v>7</v>
      </c>
      <c r="D174" s="4">
        <v>20</v>
      </c>
      <c r="E174" s="4">
        <v>229.5</v>
      </c>
      <c r="F174" s="4">
        <v>10.135329690000001</v>
      </c>
      <c r="G174" s="2" t="s">
        <v>42</v>
      </c>
      <c r="H174" s="5">
        <v>208.38</v>
      </c>
      <c r="I174" s="1" t="s">
        <v>8</v>
      </c>
      <c r="J174" s="20" t="s">
        <v>118</v>
      </c>
      <c r="K174" s="20" t="s">
        <v>168</v>
      </c>
      <c r="L174" s="20">
        <v>4402</v>
      </c>
      <c r="M174" s="20">
        <f>ABS((D174*E174)-L174)</f>
        <v>188</v>
      </c>
      <c r="N174" s="12" t="str">
        <f>IF(COUNTIFS( $B$2:$B$842, B174, $C$2:$C$842, C174, $D$2:$D$842, D174, $E$2:$E$842, E174) &gt; 1, "Duplicate", "Unique")</f>
        <v>Unique</v>
      </c>
    </row>
    <row r="175" spans="1:15" ht="15" thickBot="1" x14ac:dyDescent="0.4">
      <c r="A175" s="10" t="s">
        <v>62</v>
      </c>
      <c r="B175" s="10" t="s">
        <v>135</v>
      </c>
      <c r="C175" s="10" t="s">
        <v>7</v>
      </c>
      <c r="D175" s="10">
        <v>5</v>
      </c>
      <c r="E175" s="10">
        <v>2190</v>
      </c>
      <c r="F175" s="4">
        <v>10.305228169999999</v>
      </c>
      <c r="G175" s="2" t="s">
        <v>136</v>
      </c>
      <c r="H175" s="5">
        <v>1985.4</v>
      </c>
      <c r="I175" s="1" t="s">
        <v>8</v>
      </c>
      <c r="J175" s="58" t="s">
        <v>118</v>
      </c>
      <c r="N175" s="12" t="str">
        <f>IF(COUNTIFS( $B$2:$B$842, B175, $C$2:$C$842, C175, $D$2:$D$842, D175, $E$2:$E$842, E175) &gt; 1, "Duplicate", "Unique")</f>
        <v>Unique</v>
      </c>
      <c r="O175" s="12"/>
    </row>
    <row r="176" spans="1:15" ht="15" thickBot="1" x14ac:dyDescent="0.4">
      <c r="A176" s="3">
        <v>46260.375</v>
      </c>
      <c r="B176" s="1" t="s">
        <v>87</v>
      </c>
      <c r="C176" s="1" t="s">
        <v>7</v>
      </c>
      <c r="D176" s="4">
        <v>10</v>
      </c>
      <c r="E176" s="4">
        <v>1390</v>
      </c>
      <c r="F176" s="4">
        <v>11.15553778</v>
      </c>
      <c r="G176" s="2" t="s">
        <v>88</v>
      </c>
      <c r="H176" s="5">
        <v>1250.5</v>
      </c>
      <c r="I176" s="1" t="s">
        <v>8</v>
      </c>
      <c r="J176" s="20" t="s">
        <v>117</v>
      </c>
      <c r="K176" s="20" t="s">
        <v>178</v>
      </c>
      <c r="L176" s="20">
        <v>13600</v>
      </c>
      <c r="M176" s="20">
        <f>ABS((D176*E176)-L176)</f>
        <v>300</v>
      </c>
      <c r="N176" t="str">
        <f>IF(COUNTIFS( $B$2:$B$842, B176, $C$2:$C$842, C176, $D$2:$D$842, D176, $E$2:$E$842, E176) &gt; 1, "Duplicate", "Unique")</f>
        <v>Unique</v>
      </c>
    </row>
    <row r="177" spans="1:15" ht="15" thickBot="1" x14ac:dyDescent="0.4">
      <c r="A177" s="3">
        <v>46261.488888888889</v>
      </c>
      <c r="B177" s="1" t="s">
        <v>13</v>
      </c>
      <c r="C177" s="1" t="s">
        <v>7</v>
      </c>
      <c r="D177" s="4">
        <v>10</v>
      </c>
      <c r="E177" s="4">
        <v>1884</v>
      </c>
      <c r="F177" s="4">
        <v>14.251061249999999</v>
      </c>
      <c r="G177" s="2" t="s">
        <v>91</v>
      </c>
      <c r="H177" s="5">
        <v>1649</v>
      </c>
      <c r="I177" s="1" t="s">
        <v>8</v>
      </c>
      <c r="J177" s="20" t="s">
        <v>118</v>
      </c>
      <c r="K177" s="20" t="s">
        <v>186</v>
      </c>
      <c r="L177" s="20">
        <v>18140</v>
      </c>
      <c r="M177" s="20">
        <f>ABS((D177*E177)-L177)</f>
        <v>700</v>
      </c>
      <c r="N177" s="12" t="str">
        <f>IF(COUNTIFS( $B$2:$B$842, B177, $C$2:$C$842, C177, $D$2:$D$842, D177, $E$2:$E$842, E177) &gt; 1, "Duplicate", "Unique")</f>
        <v>Unique</v>
      </c>
    </row>
    <row r="178" spans="1:15" ht="15" thickBot="1" x14ac:dyDescent="0.4">
      <c r="A178" s="10" t="s">
        <v>62</v>
      </c>
      <c r="B178" s="10" t="s">
        <v>123</v>
      </c>
      <c r="C178" s="10" t="s">
        <v>7</v>
      </c>
      <c r="D178" s="10">
        <v>200</v>
      </c>
      <c r="E178" s="10">
        <v>90.75</v>
      </c>
      <c r="F178" s="4">
        <v>10.08005822</v>
      </c>
      <c r="G178" s="2" t="s">
        <v>124</v>
      </c>
      <c r="H178" s="5">
        <v>82.44</v>
      </c>
      <c r="I178" s="1" t="s">
        <v>8</v>
      </c>
      <c r="J178" s="58" t="s">
        <v>55</v>
      </c>
      <c r="N178" s="12" t="str">
        <f>IF(COUNTIFS( $B$2:$B$842, B178, $C$2:$C$842, C178, $D$2:$D$842, D178, $E$2:$E$842, E178) &gt; 1, "Duplicate", "Unique")</f>
        <v>Unique</v>
      </c>
    </row>
    <row r="179" spans="1:15" ht="15" thickBot="1" x14ac:dyDescent="0.4">
      <c r="A179" s="3">
        <v>46260.557638888888</v>
      </c>
      <c r="B179" s="1" t="s">
        <v>16</v>
      </c>
      <c r="C179" s="1" t="s">
        <v>7</v>
      </c>
      <c r="D179" s="4">
        <v>5</v>
      </c>
      <c r="E179" s="4">
        <v>971</v>
      </c>
      <c r="F179" s="4">
        <v>10.20940923</v>
      </c>
      <c r="G179" s="2" t="s">
        <v>61</v>
      </c>
      <c r="H179" s="5">
        <v>881.05</v>
      </c>
      <c r="I179" s="1" t="s">
        <v>8</v>
      </c>
      <c r="J179" s="20" t="s">
        <v>118</v>
      </c>
      <c r="K179" s="20" t="s">
        <v>169</v>
      </c>
      <c r="L179" s="20">
        <v>4605</v>
      </c>
      <c r="M179" s="20">
        <f>ABS((D179*E179)-L179)</f>
        <v>250</v>
      </c>
      <c r="N179" t="str">
        <f>IF(COUNTIFS( $B$2:$B$842, B179, $C$2:$C$842, C179, $D$2:$D$842, D179, $E$2:$E$842, E179) &gt; 1, "Duplicate", "Unique")</f>
        <v>Unique</v>
      </c>
    </row>
    <row r="180" spans="1:15" ht="15" thickBot="1" x14ac:dyDescent="0.4">
      <c r="A180" s="10" t="s">
        <v>62</v>
      </c>
      <c r="B180" s="10" t="s">
        <v>6</v>
      </c>
      <c r="C180" s="10" t="s">
        <v>7</v>
      </c>
      <c r="D180" s="10">
        <v>120</v>
      </c>
      <c r="E180" s="10">
        <v>300.5</v>
      </c>
      <c r="F180" s="4">
        <v>8.3663901910000007</v>
      </c>
      <c r="G180" s="2" t="s">
        <v>130</v>
      </c>
      <c r="H180" s="5">
        <v>277.3</v>
      </c>
      <c r="I180" s="1" t="s">
        <v>8</v>
      </c>
      <c r="J180" s="58" t="s">
        <v>118</v>
      </c>
      <c r="N180" s="12" t="str">
        <f>IF(COUNTIFS( $B$2:$B$842, B180, $C$2:$C$842, C180, $D$2:$D$842, D180, $E$2:$E$842, E180) &gt; 1, "Duplicate", "Unique")</f>
        <v>Unique</v>
      </c>
      <c r="O180" s="12"/>
    </row>
    <row r="181" spans="1:15" ht="15" thickBot="1" x14ac:dyDescent="0.4">
      <c r="A181" s="10" t="s">
        <v>62</v>
      </c>
      <c r="B181" s="10" t="s">
        <v>119</v>
      </c>
      <c r="C181" s="10" t="s">
        <v>7</v>
      </c>
      <c r="D181" s="10">
        <v>15</v>
      </c>
      <c r="E181" s="10">
        <v>1090</v>
      </c>
      <c r="F181" s="4">
        <v>8.6739780660000001</v>
      </c>
      <c r="G181" s="2" t="s">
        <v>120</v>
      </c>
      <c r="H181" s="5">
        <v>1003</v>
      </c>
      <c r="I181" s="1" t="s">
        <v>8</v>
      </c>
      <c r="J181" s="58"/>
      <c r="N181" s="12" t="str">
        <f>IF(COUNTIFS( $B$2:$B$842, B181, $C$2:$C$842, C181, $D$2:$D$842, D181, $E$2:$E$842, E181) &gt; 1, "Duplicate", "Unique")</f>
        <v>Unique</v>
      </c>
      <c r="O181" s="12"/>
    </row>
    <row r="182" spans="1:15" ht="15" thickBot="1" x14ac:dyDescent="0.4">
      <c r="A182" s="10" t="s">
        <v>62</v>
      </c>
      <c r="B182" s="10" t="s">
        <v>43</v>
      </c>
      <c r="C182" s="10" t="s">
        <v>7</v>
      </c>
      <c r="D182" s="10">
        <v>10</v>
      </c>
      <c r="E182" s="14">
        <v>773</v>
      </c>
      <c r="F182" s="4">
        <v>8.0514397540000004</v>
      </c>
      <c r="G182" s="2" t="s">
        <v>44</v>
      </c>
      <c r="H182" s="5">
        <v>715.4</v>
      </c>
      <c r="I182" s="1" t="s">
        <v>8</v>
      </c>
      <c r="J182" s="58" t="s">
        <v>118</v>
      </c>
      <c r="N182" s="12" t="str">
        <f>IF(COUNTIFS( $B$2:$B$842, B182, $C$2:$C$842, C182, $D$2:$D$842, D182, $E$2:$E$842, E182) &gt; 1, "Duplicate", "Unique")</f>
        <v>Unique</v>
      </c>
      <c r="O182" s="12"/>
    </row>
    <row r="183" spans="1:15" ht="15" thickBot="1" x14ac:dyDescent="0.4">
      <c r="A183" s="10" t="s">
        <v>62</v>
      </c>
      <c r="B183" s="10" t="s">
        <v>128</v>
      </c>
      <c r="C183" s="10" t="s">
        <v>7</v>
      </c>
      <c r="D183" s="10">
        <v>150</v>
      </c>
      <c r="E183" s="10">
        <v>129</v>
      </c>
      <c r="F183" s="4">
        <v>8.0854629239999998</v>
      </c>
      <c r="G183" s="2" t="s">
        <v>129</v>
      </c>
      <c r="H183" s="5">
        <v>119.35</v>
      </c>
      <c r="I183" s="1" t="s">
        <v>8</v>
      </c>
      <c r="J183" s="58"/>
      <c r="N183" s="12" t="str">
        <f>IF(COUNTIFS( $B$2:$B$842, B183, $C$2:$C$842, C183, $D$2:$D$842, D183, $E$2:$E$842, E183) &gt; 1, "Duplicate", "Unique")</f>
        <v>Unique</v>
      </c>
    </row>
    <row r="184" spans="1:15" ht="15" thickBot="1" x14ac:dyDescent="0.4">
      <c r="A184" s="57">
        <v>46255</v>
      </c>
      <c r="B184" s="55" t="s">
        <v>19</v>
      </c>
      <c r="C184" s="55" t="s">
        <v>7</v>
      </c>
      <c r="D184" s="56">
        <v>20</v>
      </c>
      <c r="E184" s="56">
        <v>241</v>
      </c>
      <c r="F184" s="4">
        <v>10.65197429</v>
      </c>
      <c r="G184" s="2" t="s">
        <v>40</v>
      </c>
      <c r="H184" s="5">
        <v>217.8</v>
      </c>
      <c r="I184" s="1" t="s">
        <v>8</v>
      </c>
      <c r="J184" s="51" t="s">
        <v>55</v>
      </c>
      <c r="K184" s="51" t="s">
        <v>153</v>
      </c>
      <c r="L184" s="51">
        <v>4680</v>
      </c>
      <c r="M184" s="51">
        <f>ABS((D184*E184)-L184)</f>
        <v>140</v>
      </c>
      <c r="N184" s="53" t="str">
        <f>IF(COUNTIFS( $B$2:$B$842, B184, $C$2:$C$842, C184, $D$2:$D$842, D184, $E$2:$E$842, E184) &gt; 1, "Duplicate", "Unique")</f>
        <v>Duplicate</v>
      </c>
      <c r="O184" s="51"/>
    </row>
    <row r="185" spans="1:15" ht="15" thickBot="1" x14ac:dyDescent="0.4">
      <c r="A185" s="54">
        <v>46261.385416666664</v>
      </c>
      <c r="B185" s="55" t="s">
        <v>19</v>
      </c>
      <c r="C185" s="55" t="s">
        <v>7</v>
      </c>
      <c r="D185" s="56">
        <v>20</v>
      </c>
      <c r="E185" s="56">
        <v>241</v>
      </c>
      <c r="F185" s="4">
        <v>10.65197429</v>
      </c>
      <c r="G185" s="2" t="s">
        <v>40</v>
      </c>
      <c r="H185" s="5">
        <v>217.8</v>
      </c>
      <c r="I185" s="1" t="s">
        <v>8</v>
      </c>
      <c r="J185" s="51" t="s">
        <v>118</v>
      </c>
      <c r="K185" s="51" t="s">
        <v>185</v>
      </c>
      <c r="L185" s="51">
        <v>4520</v>
      </c>
      <c r="M185" s="51">
        <f>ABS((D185*E185)-L185)</f>
        <v>300</v>
      </c>
      <c r="N185" s="53" t="str">
        <f>IF(COUNTIFS( $B$2:$B$842, B185, $C$2:$C$842, C185, $D$2:$D$842, D185, $E$2:$E$842, E185) &gt; 1, "Duplicate", "Unique")</f>
        <v>Duplicate</v>
      </c>
      <c r="O185" s="51"/>
    </row>
    <row r="186" spans="1:15" ht="15" thickBot="1" x14ac:dyDescent="0.4">
      <c r="A186" s="3">
        <v>46265.482638888891</v>
      </c>
      <c r="B186" s="1" t="s">
        <v>209</v>
      </c>
      <c r="C186" s="1" t="s">
        <v>7</v>
      </c>
      <c r="D186" s="4">
        <v>5</v>
      </c>
      <c r="E186" s="4">
        <v>1377</v>
      </c>
      <c r="F186" s="4">
        <v>10.248198560000001</v>
      </c>
      <c r="G186" s="2" t="s">
        <v>235</v>
      </c>
      <c r="H186" s="5">
        <v>1249</v>
      </c>
      <c r="I186" s="1" t="s">
        <v>8</v>
      </c>
      <c r="J186" s="20" t="s">
        <v>118</v>
      </c>
      <c r="K186" s="20" t="s">
        <v>211</v>
      </c>
      <c r="L186" s="20">
        <v>6385</v>
      </c>
      <c r="M186" s="20">
        <f>ABS((D186*E186)-L186)</f>
        <v>500</v>
      </c>
      <c r="N186" t="str">
        <f>IF(COUNTIFS( $B$2:$B$842, B186, $C$2:$C$842, C186, $D$2:$D$842, D186, $E$2:$E$842, E186) &gt; 1, "Duplicate", "Unique")</f>
        <v>Unique</v>
      </c>
    </row>
    <row r="187" spans="1:15" ht="15" thickBot="1" x14ac:dyDescent="0.4">
      <c r="A187" s="31">
        <v>46259.375</v>
      </c>
      <c r="B187" s="7" t="s">
        <v>24</v>
      </c>
      <c r="C187" s="7" t="s">
        <v>7</v>
      </c>
      <c r="D187" s="8">
        <v>20</v>
      </c>
      <c r="E187" s="8">
        <v>472.5</v>
      </c>
      <c r="F187" s="4">
        <v>6.7434767879999997</v>
      </c>
      <c r="G187" s="2" t="s">
        <v>56</v>
      </c>
      <c r="H187" s="5">
        <v>442.65</v>
      </c>
      <c r="I187" s="1" t="s">
        <v>8</v>
      </c>
      <c r="J187" s="60" t="s">
        <v>118</v>
      </c>
      <c r="K187" s="32" t="s">
        <v>166</v>
      </c>
      <c r="L187" s="32">
        <v>8800</v>
      </c>
      <c r="M187" s="32">
        <f>ABS((D187*E187)-L187)</f>
        <v>650</v>
      </c>
      <c r="N187" s="30" t="str">
        <f>IF(COUNTIFS( $B$2:$B$842, B187, $C$2:$C$842, C187, $D$2:$D$842, D187, $E$2:$E$842, E187) &gt; 1, "Duplicate", "Unique")</f>
        <v>Unique</v>
      </c>
      <c r="O187" s="32" t="s">
        <v>181</v>
      </c>
    </row>
    <row r="188" spans="1:15" ht="15" thickBot="1" x14ac:dyDescent="0.4">
      <c r="A188" s="3">
        <v>46261.615277777775</v>
      </c>
      <c r="B188" s="1" t="s">
        <v>35</v>
      </c>
      <c r="C188" s="1" t="s">
        <v>7</v>
      </c>
      <c r="D188" s="4">
        <v>50</v>
      </c>
      <c r="E188" s="4">
        <v>226.3</v>
      </c>
      <c r="F188" s="4">
        <v>8.5996736729999999</v>
      </c>
      <c r="G188" s="2" t="s">
        <v>42</v>
      </c>
      <c r="H188" s="5">
        <v>208.38</v>
      </c>
      <c r="I188" s="1" t="s">
        <v>8</v>
      </c>
      <c r="J188" s="20" t="s">
        <v>118</v>
      </c>
      <c r="K188" s="20" t="s">
        <v>182</v>
      </c>
      <c r="L188" s="20">
        <v>10814</v>
      </c>
      <c r="M188" s="20">
        <f>ABS((D188*E188)-L188)</f>
        <v>501</v>
      </c>
      <c r="N188" s="12" t="str">
        <f>IF(COUNTIFS( $B$2:$B$842, B188, $C$2:$C$842, C188, $D$2:$D$842, D188, $E$2:$E$842, E188) &gt; 1, "Duplicate", "Unique")</f>
        <v>Unique</v>
      </c>
    </row>
    <row r="189" spans="1:15" ht="15" thickBot="1" x14ac:dyDescent="0.4">
      <c r="A189" s="10" t="s">
        <v>62</v>
      </c>
      <c r="B189" s="10" t="s">
        <v>51</v>
      </c>
      <c r="C189" s="10" t="s">
        <v>7</v>
      </c>
      <c r="D189" s="10">
        <v>10</v>
      </c>
      <c r="E189" s="15">
        <v>1024</v>
      </c>
      <c r="F189" s="4">
        <v>9.0754154239999991</v>
      </c>
      <c r="G189" s="2" t="s">
        <v>52</v>
      </c>
      <c r="H189" s="5">
        <v>938.8</v>
      </c>
      <c r="I189" s="1" t="s">
        <v>8</v>
      </c>
      <c r="J189" s="58" t="s">
        <v>118</v>
      </c>
      <c r="N189" s="12" t="str">
        <f>IF(COUNTIFS( $B$2:$B$842, B189, $C$2:$C$842, C189, $D$2:$D$842, D189, $E$2:$E$842, E189) &gt; 1, "Duplicate", "Unique")</f>
        <v>Unique</v>
      </c>
      <c r="O189" s="12"/>
    </row>
    <row r="190" spans="1:15" ht="15" thickBot="1" x14ac:dyDescent="0.4">
      <c r="A190" s="3">
        <v>46262.375</v>
      </c>
      <c r="B190" s="1" t="s">
        <v>59</v>
      </c>
      <c r="C190" s="1" t="s">
        <v>7</v>
      </c>
      <c r="D190" s="4">
        <v>4</v>
      </c>
      <c r="E190" s="4">
        <v>1146</v>
      </c>
      <c r="F190" s="4">
        <v>9.2781539049999999</v>
      </c>
      <c r="G190" s="2" t="s">
        <v>60</v>
      </c>
      <c r="H190" s="5">
        <v>1048.7</v>
      </c>
      <c r="I190" s="1" t="s">
        <v>8</v>
      </c>
      <c r="J190" s="20" t="s">
        <v>117</v>
      </c>
      <c r="K190" s="20" t="s">
        <v>202</v>
      </c>
      <c r="L190" s="20">
        <v>4264</v>
      </c>
      <c r="M190" s="20">
        <f>ABS((D190*E190)-L190)</f>
        <v>320</v>
      </c>
      <c r="N190" s="12" t="str">
        <f>IF(COUNTIFS( $B$2:$B$842, B190, $C$2:$C$842, C190, $D$2:$D$842, D190, $E$2:$E$842, E190) &gt; 1, "Duplicate", "Unique")</f>
        <v>Unique</v>
      </c>
    </row>
    <row r="191" spans="1:15" ht="15" thickBot="1" x14ac:dyDescent="0.4">
      <c r="A191" s="3">
        <v>46265.486111111109</v>
      </c>
      <c r="B191" s="1" t="s">
        <v>59</v>
      </c>
      <c r="C191" s="1" t="s">
        <v>7</v>
      </c>
      <c r="D191" s="4">
        <v>5</v>
      </c>
      <c r="E191" s="4">
        <v>1146</v>
      </c>
      <c r="F191" s="4">
        <v>9.2781539049999999</v>
      </c>
      <c r="G191" s="2" t="s">
        <v>60</v>
      </c>
      <c r="H191" s="5">
        <v>1048.7</v>
      </c>
      <c r="I191" s="1" t="s">
        <v>8</v>
      </c>
      <c r="J191" s="20" t="s">
        <v>118</v>
      </c>
      <c r="K191" s="20" t="s">
        <v>210</v>
      </c>
      <c r="L191" s="20">
        <v>5282</v>
      </c>
      <c r="M191" s="20">
        <f>ABS((D191*E191)-L191)</f>
        <v>448</v>
      </c>
      <c r="N191" t="str">
        <f>IF(COUNTIFS( $B$2:$B$842, B191, $C$2:$C$842, C191, $D$2:$D$842, D191, $E$2:$E$842, E191) &gt; 1, "Duplicate", "Unique")</f>
        <v>Unique</v>
      </c>
    </row>
    <row r="192" spans="1:15" ht="15" thickBot="1" x14ac:dyDescent="0.4">
      <c r="A192" s="3">
        <v>46265.375694444447</v>
      </c>
      <c r="B192" s="1" t="s">
        <v>16</v>
      </c>
      <c r="C192" s="1" t="s">
        <v>7</v>
      </c>
      <c r="D192" s="4">
        <v>5</v>
      </c>
      <c r="E192" s="4">
        <v>961</v>
      </c>
      <c r="F192" s="4">
        <v>9.0743998640000001</v>
      </c>
      <c r="G192" s="2" t="s">
        <v>61</v>
      </c>
      <c r="H192" s="5">
        <v>881.05</v>
      </c>
      <c r="I192" s="1" t="s">
        <v>8</v>
      </c>
      <c r="J192" s="20" t="s">
        <v>41</v>
      </c>
      <c r="K192" s="20" t="s">
        <v>223</v>
      </c>
      <c r="L192" s="20">
        <v>4530</v>
      </c>
      <c r="M192" s="20">
        <f>ABS((D192*E192)-L192)</f>
        <v>275</v>
      </c>
      <c r="N192" t="str">
        <f>IF(COUNTIFS( $B$2:$B$842, B192, $C$2:$C$842, C192, $D$2:$D$842, D192, $E$2:$E$842, E192) &gt; 1, "Duplicate", "Unique")</f>
        <v>Unique</v>
      </c>
    </row>
    <row r="193" spans="1:15" ht="15" thickBot="1" x14ac:dyDescent="0.4">
      <c r="A193" s="3">
        <v>46265.474999999999</v>
      </c>
      <c r="B193" s="1" t="s">
        <v>20</v>
      </c>
      <c r="C193" s="1" t="s">
        <v>7</v>
      </c>
      <c r="D193" s="4">
        <v>30</v>
      </c>
      <c r="E193" s="4">
        <v>137</v>
      </c>
      <c r="F193" s="4">
        <v>9.1633466139999999</v>
      </c>
      <c r="G193" s="2" t="s">
        <v>86</v>
      </c>
      <c r="H193" s="5">
        <v>125.5</v>
      </c>
      <c r="I193" s="1" t="s">
        <v>8</v>
      </c>
      <c r="J193" s="20" t="s">
        <v>41</v>
      </c>
      <c r="K193" s="20" t="s">
        <v>216</v>
      </c>
      <c r="L193" s="20">
        <v>3810</v>
      </c>
      <c r="M193" s="20">
        <f>ABS((D193*E193)-L193)</f>
        <v>300</v>
      </c>
      <c r="N193" t="str">
        <f>IF(COUNTIFS( $B$2:$B$842, B193, $C$2:$C$842, C193, $D$2:$D$842, D193, $E$2:$E$842, E193) &gt; 1, "Duplicate", "Unique")</f>
        <v>Unique</v>
      </c>
    </row>
    <row r="194" spans="1:15" ht="15" thickBot="1" x14ac:dyDescent="0.4">
      <c r="A194" s="10" t="s">
        <v>62</v>
      </c>
      <c r="B194" s="10" t="s">
        <v>133</v>
      </c>
      <c r="C194" s="10" t="s">
        <v>7</v>
      </c>
      <c r="D194" s="10">
        <v>150</v>
      </c>
      <c r="E194" s="10">
        <v>123.4</v>
      </c>
      <c r="F194" s="4">
        <v>8.0560420320000006</v>
      </c>
      <c r="G194" s="2" t="s">
        <v>134</v>
      </c>
      <c r="H194" s="5">
        <v>114.2</v>
      </c>
      <c r="I194" s="1" t="s">
        <v>8</v>
      </c>
      <c r="J194" s="58" t="s">
        <v>117</v>
      </c>
      <c r="N194" s="12" t="str">
        <f>IF(COUNTIFS( $B$2:$B$842, B194, $C$2:$C$842, C194, $D$2:$D$842, D194, $E$2:$E$842, E194) &gt; 1, "Duplicate", "Unique")</f>
        <v>Unique</v>
      </c>
      <c r="O194" s="12"/>
    </row>
    <row r="195" spans="1:15" ht="15" thickBot="1" x14ac:dyDescent="0.4">
      <c r="A195" s="13">
        <v>46252.688194444447</v>
      </c>
      <c r="B195" s="10" t="s">
        <v>14</v>
      </c>
      <c r="C195" s="10" t="s">
        <v>7</v>
      </c>
      <c r="D195" s="10">
        <v>50</v>
      </c>
      <c r="E195" s="10">
        <v>365</v>
      </c>
      <c r="F195" s="4">
        <v>7.5110456550000002</v>
      </c>
      <c r="G195" s="2" t="s">
        <v>45</v>
      </c>
      <c r="H195" s="5">
        <v>339.5</v>
      </c>
      <c r="I195" s="1" t="s">
        <v>8</v>
      </c>
      <c r="J195" s="58" t="s">
        <v>118</v>
      </c>
      <c r="N195" s="12" t="str">
        <f>IF(COUNTIFS( $B$2:$B$842, B195, $C$2:$C$842, C195, $D$2:$D$842, D195, $E$2:$E$842, E195) &gt; 1, "Duplicate", "Unique")</f>
        <v>Unique</v>
      </c>
      <c r="O195" s="12"/>
    </row>
    <row r="196" spans="1:15" ht="15" thickBot="1" x14ac:dyDescent="0.4">
      <c r="A196" s="13">
        <v>46252.635416666664</v>
      </c>
      <c r="B196" s="10" t="s">
        <v>123</v>
      </c>
      <c r="C196" s="10" t="s">
        <v>7</v>
      </c>
      <c r="D196" s="10">
        <v>200</v>
      </c>
      <c r="E196" s="10">
        <v>89.3</v>
      </c>
      <c r="F196" s="4">
        <v>8.3212032990000004</v>
      </c>
      <c r="G196" s="2" t="s">
        <v>124</v>
      </c>
      <c r="H196" s="5">
        <v>82.44</v>
      </c>
      <c r="I196" s="1" t="s">
        <v>8</v>
      </c>
      <c r="J196" s="20" t="s">
        <v>118</v>
      </c>
      <c r="N196" s="12" t="str">
        <f>IF(COUNTIFS( $B$2:$B$842, B196, $C$2:$C$842, C196, $D$2:$D$842, D196, $E$2:$E$842, E196) &gt; 1, "Duplicate", "Unique")</f>
        <v>Unique</v>
      </c>
    </row>
    <row r="197" spans="1:15" ht="15" thickBot="1" x14ac:dyDescent="0.4">
      <c r="A197" s="10" t="s">
        <v>62</v>
      </c>
      <c r="B197" s="16" t="s">
        <v>23</v>
      </c>
      <c r="C197" s="10" t="s">
        <v>7</v>
      </c>
      <c r="D197" s="10">
        <v>40</v>
      </c>
      <c r="E197" s="17">
        <v>229</v>
      </c>
      <c r="F197" s="4">
        <v>6.4571614520000002</v>
      </c>
      <c r="G197" s="2" t="s">
        <v>70</v>
      </c>
      <c r="H197" s="5">
        <v>215.11</v>
      </c>
      <c r="I197" s="1" t="s">
        <v>8</v>
      </c>
      <c r="J197" s="58" t="s">
        <v>117</v>
      </c>
      <c r="N197" s="12" t="str">
        <f>IF(COUNTIFS( $B$2:$B$842, B197, $C$2:$C$842, C197, $D$2:$D$842, D197, $E$2:$E$842, E197) &gt; 1, "Duplicate", "Unique")</f>
        <v>Unique</v>
      </c>
      <c r="O197" s="12"/>
    </row>
    <row r="198" spans="1:15" ht="15" thickBot="1" x14ac:dyDescent="0.4">
      <c r="A198" s="3">
        <v>46260.554861111108</v>
      </c>
      <c r="B198" s="1" t="s">
        <v>12</v>
      </c>
      <c r="C198" s="1" t="s">
        <v>7</v>
      </c>
      <c r="D198" s="4">
        <v>1</v>
      </c>
      <c r="E198" s="4">
        <v>5540</v>
      </c>
      <c r="F198" s="4">
        <v>7.5310559010000002</v>
      </c>
      <c r="G198" s="2" t="s">
        <v>98</v>
      </c>
      <c r="H198" s="5">
        <v>5152</v>
      </c>
      <c r="I198" s="1" t="s">
        <v>8</v>
      </c>
      <c r="J198" s="20" t="s">
        <v>118</v>
      </c>
      <c r="K198" s="20" t="s">
        <v>171</v>
      </c>
      <c r="L198" s="20">
        <v>5290</v>
      </c>
      <c r="M198" s="20">
        <f>ABS((D198*E198)-L198)</f>
        <v>250</v>
      </c>
      <c r="N198" t="str">
        <f>IF(COUNTIFS( $B$2:$B$842, B198, $C$2:$C$842, C198, $D$2:$D$842, D198, $E$2:$E$842, E198) &gt; 1, "Duplicate", "Unique")</f>
        <v>Unique</v>
      </c>
    </row>
    <row r="199" spans="1:15" ht="1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8.7564974010000007</v>
      </c>
      <c r="G199" s="2" t="s">
        <v>88</v>
      </c>
      <c r="H199" s="5">
        <v>1250.5</v>
      </c>
      <c r="I199" s="1" t="s">
        <v>8</v>
      </c>
      <c r="J199" s="20" t="s">
        <v>117</v>
      </c>
      <c r="K199" s="20" t="s">
        <v>204</v>
      </c>
      <c r="L199" s="20">
        <v>13300</v>
      </c>
      <c r="M199" s="20">
        <f>ABS((D199*E199)-L199)</f>
        <v>300</v>
      </c>
      <c r="N199" s="12" t="str">
        <f>IF(COUNTIFS( $B$2:$B$842, B199, $C$2:$C$842, C199, $D$2:$D$842, D199, $E$2:$E$842, E199) &gt; 1, "Duplicate", "Unique")</f>
        <v>Unique</v>
      </c>
    </row>
    <row r="200" spans="1:15" ht="15" thickBot="1" x14ac:dyDescent="0.4">
      <c r="A200" s="10" t="s">
        <v>62</v>
      </c>
      <c r="B200" s="10" t="s">
        <v>24</v>
      </c>
      <c r="C200" s="10" t="s">
        <v>7</v>
      </c>
      <c r="D200" s="10">
        <v>5</v>
      </c>
      <c r="E200" s="10">
        <v>468</v>
      </c>
      <c r="F200" s="4">
        <v>5.7268722470000002</v>
      </c>
      <c r="G200" s="2" t="s">
        <v>56</v>
      </c>
      <c r="H200" s="5">
        <v>442.65</v>
      </c>
      <c r="I200" s="1" t="s">
        <v>8</v>
      </c>
      <c r="J200" s="58" t="s">
        <v>118</v>
      </c>
      <c r="N200" s="12" t="str">
        <f>IF(COUNTIFS( $B$2:$B$842, B200, $C$2:$C$842, C200, $D$2:$D$842, D200, $E$2:$E$842, E200) &gt; 1, "Duplicate", "Unique")</f>
        <v>Unique</v>
      </c>
      <c r="O200" s="12"/>
    </row>
    <row r="201" spans="1:15" ht="15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5.7268722470000002</v>
      </c>
      <c r="G201" s="2" t="s">
        <v>56</v>
      </c>
      <c r="H201" s="5">
        <v>442.65</v>
      </c>
      <c r="I201" s="1" t="s">
        <v>8</v>
      </c>
      <c r="J201" s="20" t="s">
        <v>118</v>
      </c>
      <c r="K201" s="20" t="s">
        <v>175</v>
      </c>
      <c r="L201" s="20">
        <v>17920</v>
      </c>
      <c r="M201" s="20">
        <f>ABS((D201*E201)-L201)</f>
        <v>800</v>
      </c>
      <c r="N201" t="str">
        <f>IF(COUNTIFS( $B$2:$B$842, B201, $C$2:$C$842, C201, $D$2:$D$842, D201, $E$2:$E$842, E201) &gt; 1, "Duplicate", "Unique")</f>
        <v>Unique</v>
      </c>
    </row>
    <row r="202" spans="1:15" ht="15" thickBot="1" x14ac:dyDescent="0.4">
      <c r="A202" s="13">
        <v>46252.688194444447</v>
      </c>
      <c r="B202" s="10" t="s">
        <v>28</v>
      </c>
      <c r="C202" s="10" t="s">
        <v>7</v>
      </c>
      <c r="D202" s="10">
        <v>30</v>
      </c>
      <c r="E202" s="10">
        <v>930</v>
      </c>
      <c r="F202" s="4">
        <v>7.8886310899999996</v>
      </c>
      <c r="G202" s="2" t="s">
        <v>125</v>
      </c>
      <c r="H202" s="5">
        <v>862</v>
      </c>
      <c r="I202" s="1" t="s">
        <v>8</v>
      </c>
      <c r="J202" s="58"/>
      <c r="N202" s="12" t="str">
        <f>IF(COUNTIFS( $B$2:$B$842, B202, $C$2:$C$842, C202, $D$2:$D$842, D202, $E$2:$E$842, E202) &gt; 1, "Duplicate", "Unique")</f>
        <v>Unique</v>
      </c>
      <c r="O202" s="12"/>
    </row>
    <row r="203" spans="1:15" ht="15" thickBot="1" x14ac:dyDescent="0.4">
      <c r="A203" s="3">
        <v>46265.461805555555</v>
      </c>
      <c r="B203" s="1" t="s">
        <v>13</v>
      </c>
      <c r="C203" s="1" t="s">
        <v>7</v>
      </c>
      <c r="D203" s="4">
        <v>5</v>
      </c>
      <c r="E203" s="4">
        <v>1844</v>
      </c>
      <c r="F203" s="4">
        <v>11.825348699999999</v>
      </c>
      <c r="G203" s="2" t="s">
        <v>91</v>
      </c>
      <c r="H203" s="5">
        <v>1649</v>
      </c>
      <c r="I203" s="1" t="s">
        <v>8</v>
      </c>
      <c r="J203" s="20" t="s">
        <v>118</v>
      </c>
      <c r="K203" s="20" t="s">
        <v>217</v>
      </c>
      <c r="L203" s="20">
        <v>8570</v>
      </c>
      <c r="M203" s="20">
        <f>ABS((D203*E203)-L203)</f>
        <v>650</v>
      </c>
      <c r="N203" t="str">
        <f>IF(COUNTIFS( $B$2:$B$842, B203, $C$2:$C$842, C203, $D$2:$D$842, D203, $E$2:$E$842, E203) &gt; 1, "Duplicate", "Unique")</f>
        <v>Unique</v>
      </c>
    </row>
    <row r="204" spans="1:15" ht="15" thickBot="1" x14ac:dyDescent="0.4">
      <c r="A204" s="13">
        <v>46252.635416666664</v>
      </c>
      <c r="B204" s="10" t="s">
        <v>126</v>
      </c>
      <c r="C204" s="10" t="s">
        <v>7</v>
      </c>
      <c r="D204" s="10">
        <v>6</v>
      </c>
      <c r="E204" s="10">
        <v>548</v>
      </c>
      <c r="F204" s="4">
        <v>6.8226120860000004</v>
      </c>
      <c r="G204" s="2" t="s">
        <v>127</v>
      </c>
      <c r="H204" s="5">
        <v>513</v>
      </c>
      <c r="I204" s="1" t="s">
        <v>8</v>
      </c>
      <c r="J204" s="58"/>
      <c r="N204" s="12" t="str">
        <f>IF(COUNTIFS( $B$2:$B$842, B204, $C$2:$C$842, C204, $D$2:$D$842, D204, $E$2:$E$842, E204) &gt; 1, "Duplicate", "Unique")</f>
        <v>Unique</v>
      </c>
      <c r="O204" s="12"/>
    </row>
    <row r="205" spans="1:15" ht="15" thickBot="1" x14ac:dyDescent="0.4">
      <c r="A205" s="3">
        <v>46265.460416666669</v>
      </c>
      <c r="B205" s="1" t="s">
        <v>18</v>
      </c>
      <c r="C205" s="1" t="s">
        <v>7</v>
      </c>
      <c r="D205" s="4">
        <v>5</v>
      </c>
      <c r="E205" s="4">
        <v>1892</v>
      </c>
      <c r="F205" s="4">
        <v>6.2921348310000003</v>
      </c>
      <c r="G205" s="2" t="s">
        <v>102</v>
      </c>
      <c r="H205" s="5">
        <v>1780</v>
      </c>
      <c r="I205" s="1" t="s">
        <v>8</v>
      </c>
      <c r="J205" s="20" t="s">
        <v>118</v>
      </c>
      <c r="K205" s="20" t="s">
        <v>213</v>
      </c>
      <c r="L205" s="20">
        <v>8810</v>
      </c>
      <c r="M205" s="20">
        <f>ABS((D205*E205)-L205)</f>
        <v>650</v>
      </c>
      <c r="N205" t="str">
        <f>IF(COUNTIFS( $B$2:$B$842, B205, $C$2:$C$842, C205, $D$2:$D$842, D205, $E$2:$E$842, E205) &gt; 1, "Duplicate", "Unique")</f>
        <v>Unique</v>
      </c>
    </row>
    <row r="206" spans="1:15" ht="15" thickBot="1" x14ac:dyDescent="0.4">
      <c r="A206" s="3">
        <v>46261.375694444447</v>
      </c>
      <c r="B206" s="1" t="s">
        <v>78</v>
      </c>
      <c r="C206" s="1" t="s">
        <v>7</v>
      </c>
      <c r="D206" s="4">
        <v>5</v>
      </c>
      <c r="E206" s="4">
        <v>1490</v>
      </c>
      <c r="F206" s="4">
        <v>7.1171818839999998</v>
      </c>
      <c r="G206" s="2" t="s">
        <v>79</v>
      </c>
      <c r="H206" s="5">
        <v>1391</v>
      </c>
      <c r="I206" s="1" t="s">
        <v>8</v>
      </c>
      <c r="J206" s="20" t="s">
        <v>118</v>
      </c>
      <c r="K206" s="20" t="s">
        <v>197</v>
      </c>
      <c r="L206" s="20">
        <v>7200</v>
      </c>
      <c r="M206" s="20">
        <f>ABS((D206*E206)-L206)</f>
        <v>250</v>
      </c>
      <c r="N206" s="12" t="str">
        <f>IF(COUNTIFS( $B$2:$B$842, B206, $C$2:$C$842, C206, $D$2:$D$842, D206, $E$2:$E$842, E206) &gt; 1, "Duplicate", "Unique")</f>
        <v>Unique</v>
      </c>
    </row>
    <row r="207" spans="1:15" ht="15" thickBot="1" x14ac:dyDescent="0.4">
      <c r="A207" s="3">
        <v>46265.375694444447</v>
      </c>
      <c r="B207" s="1" t="s">
        <v>78</v>
      </c>
      <c r="C207" s="1" t="s">
        <v>7</v>
      </c>
      <c r="D207" s="4">
        <v>3</v>
      </c>
      <c r="E207" s="4">
        <v>1490</v>
      </c>
      <c r="F207" s="4">
        <v>7.1171818839999998</v>
      </c>
      <c r="G207" s="2" t="s">
        <v>79</v>
      </c>
      <c r="H207" s="5">
        <v>1391</v>
      </c>
      <c r="I207" s="1" t="s">
        <v>8</v>
      </c>
      <c r="J207" s="20" t="s">
        <v>118</v>
      </c>
      <c r="K207" s="20" t="s">
        <v>225</v>
      </c>
      <c r="L207" s="20">
        <v>4170</v>
      </c>
      <c r="M207" s="20">
        <f>ABS((D207*E207)-L207)</f>
        <v>300</v>
      </c>
      <c r="N207" t="str">
        <f>IF(COUNTIFS( $B$2:$B$842, B207, $C$2:$C$842, C207, $D$2:$D$842, D207, $E$2:$E$842, E207) &gt; 1, "Duplicate", "Unique")</f>
        <v>Unique</v>
      </c>
    </row>
    <row r="208" spans="1:15" ht="29.5" thickBot="1" x14ac:dyDescent="0.4">
      <c r="A208" s="10" t="s">
        <v>62</v>
      </c>
      <c r="B208" s="10" t="s">
        <v>21</v>
      </c>
      <c r="C208" s="10" t="s">
        <v>7</v>
      </c>
      <c r="D208" s="10">
        <v>11</v>
      </c>
      <c r="E208" s="14">
        <v>749</v>
      </c>
      <c r="F208" s="4">
        <v>6.4374023019999997</v>
      </c>
      <c r="G208" s="2" t="s">
        <v>76</v>
      </c>
      <c r="H208" s="5">
        <v>703.7</v>
      </c>
      <c r="I208" s="1" t="s">
        <v>8</v>
      </c>
      <c r="J208" s="58" t="s">
        <v>208</v>
      </c>
      <c r="N208" s="12" t="str">
        <f>IF(COUNTIFS( $B$2:$B$842, B208, $C$2:$C$842, C208, $D$2:$D$842, D208, $E$2:$E$842, E208) &gt; 1, "Duplicate", "Unique")</f>
        <v>Unique</v>
      </c>
      <c r="O208" s="12"/>
    </row>
    <row r="209" spans="1:15" ht="15" thickBot="1" x14ac:dyDescent="0.4">
      <c r="A209" s="3">
        <v>46258.443749999999</v>
      </c>
      <c r="B209" s="1" t="s">
        <v>6</v>
      </c>
      <c r="C209" s="1" t="s">
        <v>7</v>
      </c>
      <c r="D209" s="4">
        <v>50</v>
      </c>
      <c r="E209" s="4">
        <v>294</v>
      </c>
      <c r="F209" s="4">
        <v>6.0223584570000002</v>
      </c>
      <c r="G209" s="2" t="s">
        <v>130</v>
      </c>
      <c r="H209" s="5">
        <v>277.3</v>
      </c>
      <c r="I209" s="1" t="s">
        <v>8</v>
      </c>
      <c r="J209" s="20" t="s">
        <v>118</v>
      </c>
      <c r="K209" s="20" t="s">
        <v>160</v>
      </c>
      <c r="L209" s="20">
        <v>14172.5</v>
      </c>
      <c r="M209" s="20">
        <f>ABS((D209*E209)-L209)</f>
        <v>527.5</v>
      </c>
      <c r="N209" s="12" t="str">
        <f>IF(COUNTIFS( $B$2:$B$842, B209, $C$2:$C$842, C209, $D$2:$D$842, D209, $E$2:$E$842, E209) &gt; 1, "Duplicate", "Unique")</f>
        <v>Unique</v>
      </c>
    </row>
    <row r="210" spans="1:15" ht="15" thickBot="1" x14ac:dyDescent="0.4">
      <c r="A210" s="13">
        <v>46253.4</v>
      </c>
      <c r="B210" s="10" t="s">
        <v>6</v>
      </c>
      <c r="C210" s="10" t="s">
        <v>7</v>
      </c>
      <c r="D210" s="10">
        <v>30</v>
      </c>
      <c r="E210" s="10">
        <v>294</v>
      </c>
      <c r="F210" s="4">
        <v>6.0223584570000002</v>
      </c>
      <c r="G210" s="2" t="s">
        <v>130</v>
      </c>
      <c r="H210" s="5">
        <v>277.3</v>
      </c>
      <c r="I210" s="1" t="s">
        <v>8</v>
      </c>
      <c r="J210" s="58" t="s">
        <v>118</v>
      </c>
      <c r="K210" s="20" t="s">
        <v>143</v>
      </c>
      <c r="N210" s="12" t="str">
        <f>IF(COUNTIFS( $B$2:$B$842, B210, $C$2:$C$842, C210, $D$2:$D$842, D210, $E$2:$E$842, E210) &gt; 1, "Duplicate", "Unique")</f>
        <v>Unique</v>
      </c>
    </row>
    <row r="211" spans="1:15" ht="15" thickBot="1" x14ac:dyDescent="0.4">
      <c r="A211" s="10" t="s">
        <v>62</v>
      </c>
      <c r="B211" s="10" t="s">
        <v>53</v>
      </c>
      <c r="C211" s="10" t="s">
        <v>7</v>
      </c>
      <c r="D211" s="10">
        <v>3</v>
      </c>
      <c r="E211" s="14">
        <v>2710</v>
      </c>
      <c r="F211" s="4">
        <v>6.7349350140000004</v>
      </c>
      <c r="G211" s="2" t="s">
        <v>54</v>
      </c>
      <c r="H211" s="5">
        <v>2539</v>
      </c>
      <c r="I211" s="1" t="s">
        <v>8</v>
      </c>
      <c r="J211" s="58" t="s">
        <v>118</v>
      </c>
      <c r="N211" s="12" t="str">
        <f>IF(COUNTIFS( $B$2:$B$842, B211, $C$2:$C$842, C211, $D$2:$D$842, D211, $E$2:$E$842, E211) &gt; 1, "Duplicate", "Unique")</f>
        <v>Unique</v>
      </c>
    </row>
    <row r="212" spans="1:15" ht="15" thickBot="1" x14ac:dyDescent="0.4">
      <c r="A212" s="13">
        <v>46252.688194444447</v>
      </c>
      <c r="B212" s="10" t="s">
        <v>14</v>
      </c>
      <c r="C212" s="10" t="s">
        <v>7</v>
      </c>
      <c r="D212" s="10">
        <v>50</v>
      </c>
      <c r="E212" s="10">
        <v>361</v>
      </c>
      <c r="F212" s="4">
        <v>6.332842415</v>
      </c>
      <c r="G212" s="2" t="s">
        <v>45</v>
      </c>
      <c r="H212" s="5">
        <v>339.5</v>
      </c>
      <c r="I212" s="1" t="s">
        <v>8</v>
      </c>
      <c r="J212" s="58"/>
      <c r="N212" s="12" t="str">
        <f>IF(COUNTIFS( $B$2:$B$842, B212, $C$2:$C$842, C212, $D$2:$D$842, D212, $E$2:$E$842, E212) &gt; 1, "Duplicate", "Unique")</f>
        <v>Unique</v>
      </c>
      <c r="O212" s="12"/>
    </row>
    <row r="213" spans="1:15" ht="15" thickBot="1" x14ac:dyDescent="0.4">
      <c r="A213" s="13">
        <v>46252.635416666664</v>
      </c>
      <c r="B213" s="10" t="s">
        <v>74</v>
      </c>
      <c r="C213" s="10" t="s">
        <v>7</v>
      </c>
      <c r="D213" s="10">
        <v>5</v>
      </c>
      <c r="E213" s="10">
        <v>3482</v>
      </c>
      <c r="F213" s="4">
        <v>7.6352395670000002</v>
      </c>
      <c r="G213" s="2" t="s">
        <v>75</v>
      </c>
      <c r="H213" s="5">
        <v>3235</v>
      </c>
      <c r="I213" s="1" t="s">
        <v>8</v>
      </c>
      <c r="J213" s="58" t="s">
        <v>118</v>
      </c>
      <c r="N213" s="12" t="str">
        <f>IF(COUNTIFS( $B$2:$B$842, B213, $C$2:$C$842, C213, $D$2:$D$842, D213, $E$2:$E$842, E213) &gt; 1, "Duplicate", "Unique")</f>
        <v>Unique</v>
      </c>
      <c r="O213" s="12"/>
    </row>
    <row r="214" spans="1:15" ht="15" thickBot="1" x14ac:dyDescent="0.4">
      <c r="A214" s="3">
        <v>46265.415277777778</v>
      </c>
      <c r="B214" s="1" t="s">
        <v>16</v>
      </c>
      <c r="C214" s="1" t="s">
        <v>7</v>
      </c>
      <c r="D214" s="4">
        <v>5</v>
      </c>
      <c r="E214" s="4">
        <v>946</v>
      </c>
      <c r="F214" s="4">
        <v>7.371885818</v>
      </c>
      <c r="G214" s="2" t="s">
        <v>61</v>
      </c>
      <c r="H214" s="5">
        <v>881.05</v>
      </c>
      <c r="I214" s="1" t="s">
        <v>8</v>
      </c>
      <c r="J214" s="20" t="s">
        <v>41</v>
      </c>
      <c r="K214" s="20" t="s">
        <v>215</v>
      </c>
      <c r="L214" s="20">
        <v>4455</v>
      </c>
      <c r="M214" s="20">
        <f>ABS((D214*E214)-L214)</f>
        <v>275</v>
      </c>
      <c r="N214" t="str">
        <f>IF(COUNTIFS( $B$2:$B$842, B214, $C$2:$C$842, C214, $D$2:$D$842, D214, $E$2:$E$842, E214) &gt; 1, "Duplicate", "Unique")</f>
        <v>Unique</v>
      </c>
    </row>
    <row r="215" spans="1:15" ht="15" thickBot="1" x14ac:dyDescent="0.4">
      <c r="A215" s="13">
        <v>46252.6875</v>
      </c>
      <c r="B215" s="10" t="s">
        <v>15</v>
      </c>
      <c r="C215" s="10" t="s">
        <v>7</v>
      </c>
      <c r="D215" s="10">
        <v>10</v>
      </c>
      <c r="E215" s="10">
        <v>2720</v>
      </c>
      <c r="F215" s="4">
        <v>7.4249605059999997</v>
      </c>
      <c r="G215" s="2" t="s">
        <v>72</v>
      </c>
      <c r="H215" s="5">
        <v>2532</v>
      </c>
      <c r="I215" s="1" t="s">
        <v>8</v>
      </c>
      <c r="J215" s="58"/>
      <c r="N215" s="12" t="str">
        <f>IF(COUNTIFS( $B$2:$B$842, B215, $C$2:$C$842, C215, $D$2:$D$842, D215, $E$2:$E$842, E215) &gt; 1, "Duplicate", "Unique")</f>
        <v>Unique</v>
      </c>
    </row>
    <row r="216" spans="1:15" ht="15" thickBot="1" x14ac:dyDescent="0.4">
      <c r="A216" s="10" t="s">
        <v>62</v>
      </c>
      <c r="B216" s="10" t="s">
        <v>68</v>
      </c>
      <c r="C216" s="10" t="s">
        <v>7</v>
      </c>
      <c r="D216" s="10">
        <v>10</v>
      </c>
      <c r="E216" s="10">
        <v>435</v>
      </c>
      <c r="F216" s="4">
        <v>5.9683313030000003</v>
      </c>
      <c r="G216" s="2" t="s">
        <v>69</v>
      </c>
      <c r="H216" s="5">
        <v>410.5</v>
      </c>
      <c r="I216" s="1" t="s">
        <v>8</v>
      </c>
      <c r="J216" s="58"/>
      <c r="N216" s="12" t="str">
        <f>IF(COUNTIFS( $B$2:$B$842, B216, $C$2:$C$842, C216, $D$2:$D$842, D216, $E$2:$E$842, E216) &gt; 1, "Duplicate", "Unique")</f>
        <v>Unique</v>
      </c>
      <c r="O216" s="12"/>
    </row>
    <row r="217" spans="1:15" ht="15" thickBot="1" x14ac:dyDescent="0.4">
      <c r="A217" s="13">
        <v>46252.635416666664</v>
      </c>
      <c r="B217" s="10" t="s">
        <v>82</v>
      </c>
      <c r="C217" s="10" t="s">
        <v>7</v>
      </c>
      <c r="D217" s="10">
        <v>1</v>
      </c>
      <c r="E217" s="10">
        <v>4556</v>
      </c>
      <c r="F217" s="4">
        <v>8.3987627880000009</v>
      </c>
      <c r="G217" s="2" t="s">
        <v>83</v>
      </c>
      <c r="H217" s="5">
        <v>4203</v>
      </c>
      <c r="I217" s="1" t="s">
        <v>8</v>
      </c>
      <c r="J217" s="58"/>
      <c r="N217" s="12" t="str">
        <f>IF(COUNTIFS( $B$2:$B$842, B217, $C$2:$C$842, C217, $D$2:$D$842, D217, $E$2:$E$842, E217) &gt; 1, "Duplicate", "Unique")</f>
        <v>Unique</v>
      </c>
    </row>
    <row r="218" spans="1:15" ht="15" thickBot="1" x14ac:dyDescent="0.4">
      <c r="A218" s="13">
        <v>46252.635416666664</v>
      </c>
      <c r="B218" s="10" t="s">
        <v>47</v>
      </c>
      <c r="C218" s="10" t="s">
        <v>7</v>
      </c>
      <c r="D218" s="10">
        <v>8</v>
      </c>
      <c r="E218" s="10">
        <v>2448</v>
      </c>
      <c r="F218" s="4">
        <v>3.904923599</v>
      </c>
      <c r="G218" s="2" t="s">
        <v>48</v>
      </c>
      <c r="H218" s="5">
        <v>2356</v>
      </c>
      <c r="I218" s="1" t="s">
        <v>8</v>
      </c>
      <c r="J218" s="58"/>
      <c r="N218" s="12" t="str">
        <f>IF(COUNTIFS( $B$2:$B$842, B218, $C$2:$C$842, C218, $D$2:$D$842, D218, $E$2:$E$842, E218) &gt; 1, "Duplicate", "Unique")</f>
        <v>Unique</v>
      </c>
      <c r="O218" s="12"/>
    </row>
    <row r="219" spans="1:15" ht="15" thickBot="1" x14ac:dyDescent="0.4">
      <c r="A219" s="3">
        <v>46261.375694444447</v>
      </c>
      <c r="B219" s="1" t="s">
        <v>53</v>
      </c>
      <c r="C219" s="1" t="s">
        <v>7</v>
      </c>
      <c r="D219" s="4">
        <v>2</v>
      </c>
      <c r="E219" s="4">
        <v>2690</v>
      </c>
      <c r="F219" s="4">
        <v>5.9472233159999996</v>
      </c>
      <c r="G219" s="2" t="s">
        <v>54</v>
      </c>
      <c r="H219" s="5">
        <v>2539</v>
      </c>
      <c r="I219" s="1" t="s">
        <v>8</v>
      </c>
      <c r="J219" s="20" t="s">
        <v>118</v>
      </c>
      <c r="K219" s="20" t="s">
        <v>184</v>
      </c>
      <c r="L219" s="20">
        <v>5120</v>
      </c>
      <c r="M219" s="20">
        <f>ABS((D219*E219)-L219)</f>
        <v>260</v>
      </c>
      <c r="N219" s="12" t="str">
        <f>IF(COUNTIFS( $B$2:$B$842, B219, $C$2:$C$842, C219, $D$2:$D$842, D219, $E$2:$E$842, E219) &gt; 1, "Duplicate", "Unique")</f>
        <v>Unique</v>
      </c>
    </row>
    <row r="220" spans="1:15" ht="15" thickBot="1" x14ac:dyDescent="0.4">
      <c r="A220" s="13">
        <v>46252.6875</v>
      </c>
      <c r="B220" s="10" t="s">
        <v>9</v>
      </c>
      <c r="C220" s="10" t="s">
        <v>7</v>
      </c>
      <c r="D220" s="10">
        <v>50</v>
      </c>
      <c r="E220" s="10">
        <v>305</v>
      </c>
      <c r="F220" s="4">
        <v>5.4815839530000003</v>
      </c>
      <c r="G220" s="2" t="s">
        <v>95</v>
      </c>
      <c r="H220" s="5">
        <v>289.14999999999998</v>
      </c>
      <c r="I220" s="1" t="s">
        <v>8</v>
      </c>
      <c r="J220" s="58" t="s">
        <v>55</v>
      </c>
      <c r="N220" s="12" t="str">
        <f>IF(COUNTIFS( $B$2:$B$842, B220, $C$2:$C$842, C220, $D$2:$D$842, D220, $E$2:$E$842, E220) &gt; 1, "Duplicate", "Unique")</f>
        <v>Unique</v>
      </c>
    </row>
    <row r="221" spans="1:15" ht="15" thickBot="1" x14ac:dyDescent="0.4">
      <c r="A221" s="3">
        <v>46262.375</v>
      </c>
      <c r="B221" s="1" t="s">
        <v>87</v>
      </c>
      <c r="C221" s="1" t="s">
        <v>7</v>
      </c>
      <c r="D221" s="4">
        <v>10</v>
      </c>
      <c r="E221" s="4">
        <v>1340</v>
      </c>
      <c r="F221" s="4">
        <v>7.1571371450000001</v>
      </c>
      <c r="G221" s="2" t="s">
        <v>88</v>
      </c>
      <c r="H221" s="5">
        <v>1250.5</v>
      </c>
      <c r="I221" s="1" t="s">
        <v>8</v>
      </c>
      <c r="J221" s="20" t="s">
        <v>117</v>
      </c>
      <c r="K221" s="20" t="s">
        <v>200</v>
      </c>
      <c r="L221" s="20">
        <v>13030</v>
      </c>
      <c r="M221" s="20">
        <f>ABS((D221*E221)-L221)</f>
        <v>370</v>
      </c>
      <c r="N221" s="12" t="str">
        <f>IF(COUNTIFS( $B$2:$B$842, B221, $C$2:$C$842, C221, $D$2:$D$842, D221, $E$2:$E$842, E221) &gt; 1, "Duplicate", "Unique")</f>
        <v>Unique</v>
      </c>
    </row>
    <row r="222" spans="1:15" ht="15" thickBot="1" x14ac:dyDescent="0.4">
      <c r="A222" s="13">
        <v>46252.6875</v>
      </c>
      <c r="B222" s="10" t="s">
        <v>27</v>
      </c>
      <c r="C222" s="10" t="s">
        <v>7</v>
      </c>
      <c r="D222" s="10">
        <v>2</v>
      </c>
      <c r="E222" s="10">
        <v>3048</v>
      </c>
      <c r="F222" s="4">
        <v>6.2020905920000002</v>
      </c>
      <c r="G222" s="2" t="s">
        <v>131</v>
      </c>
      <c r="H222" s="5">
        <v>2870</v>
      </c>
      <c r="I222" s="1" t="s">
        <v>8</v>
      </c>
      <c r="J222" s="58" t="s">
        <v>41</v>
      </c>
      <c r="N222" s="12" t="str">
        <f>IF(COUNTIFS( $B$2:$B$842, B222, $C$2:$C$842, C222, $D$2:$D$842, D222, $E$2:$E$842, E222) &gt; 1, "Duplicate", "Unique")</f>
        <v>Unique</v>
      </c>
      <c r="O222" s="12"/>
    </row>
    <row r="223" spans="1:15" ht="15" thickBot="1" x14ac:dyDescent="0.4">
      <c r="A223" s="3">
        <v>46265.375694444447</v>
      </c>
      <c r="B223" s="1" t="s">
        <v>6</v>
      </c>
      <c r="C223" s="1" t="s">
        <v>7</v>
      </c>
      <c r="D223" s="4">
        <v>20</v>
      </c>
      <c r="E223" s="4">
        <v>291</v>
      </c>
      <c r="F223" s="4">
        <v>4.9404976559999998</v>
      </c>
      <c r="G223" s="2" t="s">
        <v>130</v>
      </c>
      <c r="H223" s="5">
        <v>277.3</v>
      </c>
      <c r="I223" s="1" t="s">
        <v>8</v>
      </c>
      <c r="J223" s="20" t="s">
        <v>118</v>
      </c>
      <c r="K223" s="20" t="s">
        <v>226</v>
      </c>
      <c r="L223" s="20">
        <v>5520</v>
      </c>
      <c r="M223" s="20">
        <f>ABS((D223*E223)-L223)</f>
        <v>300</v>
      </c>
      <c r="N223" t="str">
        <f>IF(COUNTIFS( $B$2:$B$842, B223, $C$2:$C$842, C223, $D$2:$D$842, D223, $E$2:$E$842, E223) &gt; 1, "Duplicate", "Unique")</f>
        <v>Unique</v>
      </c>
    </row>
    <row r="224" spans="1:15" ht="15" thickBot="1" x14ac:dyDescent="0.4">
      <c r="A224" s="13">
        <v>46252.6875</v>
      </c>
      <c r="B224" s="10" t="s">
        <v>15</v>
      </c>
      <c r="C224" s="10" t="s">
        <v>7</v>
      </c>
      <c r="D224" s="10">
        <v>10</v>
      </c>
      <c r="E224" s="10">
        <v>2696</v>
      </c>
      <c r="F224" s="4">
        <v>6.4770932070000002</v>
      </c>
      <c r="G224" s="2" t="s">
        <v>72</v>
      </c>
      <c r="H224" s="5">
        <v>2532</v>
      </c>
      <c r="I224" s="1" t="s">
        <v>8</v>
      </c>
      <c r="J224" s="58" t="s">
        <v>157</v>
      </c>
      <c r="N224" s="12" t="str">
        <f>IF(COUNTIFS( $B$2:$B$842, B224, $C$2:$C$842, C224, $D$2:$D$842, D224, $E$2:$E$842, E224) &gt; 1, "Duplicate", "Unique")</f>
        <v>Unique</v>
      </c>
    </row>
    <row r="225" spans="1:15" ht="15" thickBot="1" x14ac:dyDescent="0.4">
      <c r="A225" s="13">
        <v>46252.688194444447</v>
      </c>
      <c r="B225" s="10" t="s">
        <v>14</v>
      </c>
      <c r="C225" s="10" t="s">
        <v>7</v>
      </c>
      <c r="D225" s="10">
        <v>50</v>
      </c>
      <c r="E225" s="10">
        <v>357</v>
      </c>
      <c r="F225" s="4">
        <v>5.1546391749999998</v>
      </c>
      <c r="G225" s="2" t="s">
        <v>45</v>
      </c>
      <c r="H225" s="5">
        <v>339.5</v>
      </c>
      <c r="I225" s="1" t="s">
        <v>8</v>
      </c>
      <c r="J225" s="58"/>
      <c r="N225" s="12" t="str">
        <f>IF(COUNTIFS( $B$2:$B$842, B225, $C$2:$C$842, C225, $D$2:$D$842, D225, $E$2:$E$842, E225) &gt; 1, "Duplicate", "Unique")</f>
        <v>Unique</v>
      </c>
      <c r="O225" s="12"/>
    </row>
    <row r="226" spans="1:15" ht="15" thickBot="1" x14ac:dyDescent="0.4">
      <c r="A226" s="13">
        <v>46252.635416666664</v>
      </c>
      <c r="B226" s="10" t="s">
        <v>51</v>
      </c>
      <c r="C226" s="10" t="s">
        <v>7</v>
      </c>
      <c r="D226" s="10">
        <v>10</v>
      </c>
      <c r="E226" s="10">
        <v>997</v>
      </c>
      <c r="F226" s="4">
        <v>6.1994034940000002</v>
      </c>
      <c r="G226" s="2" t="s">
        <v>52</v>
      </c>
      <c r="H226" s="5">
        <v>938.8</v>
      </c>
      <c r="I226" s="1" t="s">
        <v>8</v>
      </c>
      <c r="J226" s="58" t="s">
        <v>41</v>
      </c>
      <c r="N226" s="12" t="str">
        <f>IF(COUNTIFS( $B$2:$B$842, B226, $C$2:$C$842, C226, $D$2:$D$842, D226, $E$2:$E$842, E226) &gt; 1, "Duplicate", "Unique")</f>
        <v>Unique</v>
      </c>
    </row>
    <row r="227" spans="1:15" ht="15" thickBot="1" x14ac:dyDescent="0.4">
      <c r="A227" s="3">
        <v>46265.463194444441</v>
      </c>
      <c r="B227" s="1" t="s">
        <v>12</v>
      </c>
      <c r="C227" s="1" t="s">
        <v>7</v>
      </c>
      <c r="D227" s="4">
        <v>1</v>
      </c>
      <c r="E227" s="4">
        <v>5424</v>
      </c>
      <c r="F227" s="4">
        <v>5.2795031059999999</v>
      </c>
      <c r="G227" s="2" t="s">
        <v>98</v>
      </c>
      <c r="H227" s="5">
        <v>5152</v>
      </c>
      <c r="I227" s="1" t="s">
        <v>8</v>
      </c>
      <c r="J227" s="20" t="s">
        <v>118</v>
      </c>
      <c r="K227" s="20" t="s">
        <v>212</v>
      </c>
      <c r="L227" s="20">
        <v>5154</v>
      </c>
      <c r="M227" s="20">
        <f>ABS((D227*E227)-L227)</f>
        <v>270</v>
      </c>
      <c r="N227" t="str">
        <f>IF(COUNTIFS( $B$2:$B$842, B227, $C$2:$C$842, C227, $D$2:$D$842, D227, $E$2:$E$842, E227) &gt; 1, "Duplicate", "Unique")</f>
        <v>Unique</v>
      </c>
    </row>
    <row r="228" spans="1:15" ht="15" thickBot="1" x14ac:dyDescent="0.4">
      <c r="A228" s="3">
        <v>46265.456944444442</v>
      </c>
      <c r="B228" s="1" t="s">
        <v>29</v>
      </c>
      <c r="C228" s="1" t="s">
        <v>7</v>
      </c>
      <c r="D228" s="4">
        <v>5</v>
      </c>
      <c r="E228" s="4">
        <v>3846</v>
      </c>
      <c r="F228" s="4">
        <v>6.8303658230000002</v>
      </c>
      <c r="G228" s="2" t="s">
        <v>137</v>
      </c>
      <c r="H228" s="5">
        <v>3600.1</v>
      </c>
      <c r="I228" s="1" t="s">
        <v>8</v>
      </c>
      <c r="J228" s="20" t="s">
        <v>117</v>
      </c>
      <c r="K228" s="20" t="s">
        <v>214</v>
      </c>
      <c r="L228" s="20">
        <v>18530</v>
      </c>
      <c r="M228" s="20">
        <f>ABS((D228*E228)-L228)</f>
        <v>700</v>
      </c>
      <c r="N228" t="str">
        <f>IF(COUNTIFS( $B$2:$B$842, B228, $C$2:$C$842, C228, $D$2:$D$842, D228, $E$2:$E$842, E228) &gt; 1, "Duplicate", "Unique")</f>
        <v>Unique</v>
      </c>
    </row>
    <row r="229" spans="1:15" ht="15" thickBot="1" x14ac:dyDescent="0.4">
      <c r="A229" s="13">
        <v>46252.6875</v>
      </c>
      <c r="B229" s="10" t="s">
        <v>24</v>
      </c>
      <c r="C229" s="10" t="s">
        <v>7</v>
      </c>
      <c r="D229" s="10">
        <v>40</v>
      </c>
      <c r="E229" s="10">
        <v>458</v>
      </c>
      <c r="F229" s="4">
        <v>3.467751045</v>
      </c>
      <c r="G229" s="2" t="s">
        <v>56</v>
      </c>
      <c r="H229" s="5">
        <v>442.65</v>
      </c>
      <c r="I229" s="1" t="s">
        <v>8</v>
      </c>
      <c r="J229" s="58" t="s">
        <v>117</v>
      </c>
      <c r="N229" s="12" t="str">
        <f>IF(COUNTIFS( $B$2:$B$842, B229, $C$2:$C$842, C229, $D$2:$D$842, D229, $E$2:$E$842, E229) &gt; 1, "Duplicate", "Unique")</f>
        <v>Unique</v>
      </c>
    </row>
    <row r="230" spans="1:15" ht="15" thickBot="1" x14ac:dyDescent="0.4">
      <c r="A230" s="54">
        <v>46262.375</v>
      </c>
      <c r="B230" s="55" t="s">
        <v>43</v>
      </c>
      <c r="C230" s="55" t="s">
        <v>7</v>
      </c>
      <c r="D230" s="56">
        <v>5</v>
      </c>
      <c r="E230" s="56">
        <v>747</v>
      </c>
      <c r="F230" s="4">
        <v>4.4171093089999998</v>
      </c>
      <c r="G230" s="2" t="s">
        <v>44</v>
      </c>
      <c r="H230" s="5">
        <v>715.4</v>
      </c>
      <c r="I230" s="1" t="s">
        <v>8</v>
      </c>
      <c r="J230" s="51" t="s">
        <v>118</v>
      </c>
      <c r="K230" s="51" t="s">
        <v>205</v>
      </c>
      <c r="L230" s="51">
        <v>3560</v>
      </c>
      <c r="M230" s="51">
        <f>ABS((D230*E230)-L230)</f>
        <v>175</v>
      </c>
      <c r="N230" s="53" t="str">
        <f>IF(COUNTIFS( $B$2:$B$842, B230, $C$2:$C$842, C230, $D$2:$D$842, D230, $E$2:$E$842, E230) &gt; 1, "Duplicate", "Unique")</f>
        <v>Duplicate</v>
      </c>
      <c r="O230" s="51"/>
    </row>
    <row r="231" spans="1:15" ht="15" thickBot="1" x14ac:dyDescent="0.4">
      <c r="A231" s="54">
        <v>46265.375694444447</v>
      </c>
      <c r="B231" s="55" t="s">
        <v>43</v>
      </c>
      <c r="C231" s="55" t="s">
        <v>7</v>
      </c>
      <c r="D231" s="56">
        <v>5</v>
      </c>
      <c r="E231" s="56">
        <v>747</v>
      </c>
      <c r="F231" s="4">
        <v>4.4171093089999998</v>
      </c>
      <c r="G231" s="2" t="s">
        <v>44</v>
      </c>
      <c r="H231" s="5">
        <v>715.4</v>
      </c>
      <c r="I231" s="1" t="s">
        <v>8</v>
      </c>
      <c r="J231" s="51" t="s">
        <v>118</v>
      </c>
      <c r="K231" s="51" t="s">
        <v>229</v>
      </c>
      <c r="L231" s="51">
        <v>3510</v>
      </c>
      <c r="M231" s="51">
        <f>ABS((D231*E231)-L231)</f>
        <v>225</v>
      </c>
      <c r="N231" s="52" t="str">
        <f>IF(COUNTIFS( $B$2:$B$842, B231, $C$2:$C$842, C231, $D$2:$D$842, D231, $E$2:$E$842, E231) &gt; 1, "Duplicate", "Unique")</f>
        <v>Duplicate</v>
      </c>
      <c r="O231" s="51"/>
    </row>
    <row r="232" spans="1:15" ht="15" thickBot="1" x14ac:dyDescent="0.4">
      <c r="A232" s="13">
        <v>46252.645138888889</v>
      </c>
      <c r="B232" s="10" t="s">
        <v>57</v>
      </c>
      <c r="C232" s="10" t="s">
        <v>7</v>
      </c>
      <c r="D232" s="10">
        <v>5</v>
      </c>
      <c r="E232" s="10">
        <v>2998</v>
      </c>
      <c r="F232" s="4">
        <v>4.9536145630000004</v>
      </c>
      <c r="G232" s="2" t="s">
        <v>58</v>
      </c>
      <c r="H232" s="5">
        <v>2856.5</v>
      </c>
      <c r="I232" s="1" t="s">
        <v>8</v>
      </c>
      <c r="J232" s="19" t="s">
        <v>117</v>
      </c>
      <c r="N232" s="12" t="str">
        <f>IF(COUNTIFS( $B$2:$B$842, B232, $C$2:$C$842, C232, $D$2:$D$842, D232, $E$2:$E$842, E232) &gt; 1, "Duplicate", "Unique")</f>
        <v>Unique</v>
      </c>
    </row>
    <row r="233" spans="1:15" ht="15" thickBot="1" x14ac:dyDescent="0.4">
      <c r="A233" s="3">
        <v>46254.642361111109</v>
      </c>
      <c r="B233" s="1" t="s">
        <v>15</v>
      </c>
      <c r="C233" s="1" t="s">
        <v>7</v>
      </c>
      <c r="D233" s="4">
        <v>10</v>
      </c>
      <c r="E233" s="4">
        <v>2672</v>
      </c>
      <c r="F233" s="4">
        <v>5.5292259079999999</v>
      </c>
      <c r="G233" s="2" t="s">
        <v>72</v>
      </c>
      <c r="H233" s="5">
        <v>2532</v>
      </c>
      <c r="I233" s="1" t="s">
        <v>8</v>
      </c>
      <c r="J233" s="19" t="s">
        <v>117</v>
      </c>
      <c r="K233" s="19" t="s">
        <v>148</v>
      </c>
      <c r="L233" s="19"/>
      <c r="M233" s="19"/>
      <c r="N233" s="12" t="str">
        <f>IF(COUNTIFS( $B$2:$B$842, B233, $C$2:$C$842, C233, $D$2:$D$842, D233, $E$2:$E$842, E233) &gt; 1, "Duplicate", "Unique")</f>
        <v>Unique</v>
      </c>
    </row>
    <row r="234" spans="1:15" ht="15" thickBot="1" x14ac:dyDescent="0.4">
      <c r="A234" s="13">
        <v>46252.645833333336</v>
      </c>
      <c r="B234" s="10" t="s">
        <v>49</v>
      </c>
      <c r="C234" s="10" t="s">
        <v>7</v>
      </c>
      <c r="D234" s="10">
        <v>5</v>
      </c>
      <c r="E234" s="10">
        <v>4177</v>
      </c>
      <c r="F234" s="4">
        <v>4.4511127779999997</v>
      </c>
      <c r="G234" s="2" t="s">
        <v>50</v>
      </c>
      <c r="H234" s="5">
        <v>3999</v>
      </c>
      <c r="I234" s="1" t="s">
        <v>8</v>
      </c>
      <c r="J234" s="58"/>
      <c r="N234" s="12" t="str">
        <f>IF(COUNTIFS( $B$2:$B$842, B234, $C$2:$C$842, C234, $D$2:$D$842, D234, $E$2:$E$842, E234) &gt; 1, "Duplicate", "Unique")</f>
        <v>Unique</v>
      </c>
    </row>
    <row r="235" spans="1:15" ht="15" thickBot="1" x14ac:dyDescent="0.4">
      <c r="A235" s="3">
        <v>46261.375</v>
      </c>
      <c r="B235" s="1" t="s">
        <v>63</v>
      </c>
      <c r="C235" s="1" t="s">
        <v>7</v>
      </c>
      <c r="D235" s="4">
        <v>10</v>
      </c>
      <c r="E235" s="4">
        <v>1081</v>
      </c>
      <c r="F235" s="4">
        <v>4.961646762</v>
      </c>
      <c r="G235" s="2" t="s">
        <v>64</v>
      </c>
      <c r="H235" s="5">
        <v>1029.9000000000001</v>
      </c>
      <c r="I235" s="1" t="s">
        <v>8</v>
      </c>
      <c r="J235" s="20" t="s">
        <v>118</v>
      </c>
      <c r="K235" s="20" t="s">
        <v>192</v>
      </c>
      <c r="L235" s="20">
        <v>10510</v>
      </c>
      <c r="M235" s="20">
        <f>ABS((D235*E235)-L235)</f>
        <v>300</v>
      </c>
      <c r="N235" s="12" t="str">
        <f>IF(COUNTIFS( $B$2:$B$842, B235, $C$2:$C$842, C235, $D$2:$D$842, D235, $E$2:$E$842, E235) &gt; 1, "Duplicate", "Unique")</f>
        <v>Unique</v>
      </c>
    </row>
    <row r="236" spans="1:15" ht="15" thickBot="1" x14ac:dyDescent="0.4">
      <c r="A236" s="13">
        <v>46253.375</v>
      </c>
      <c r="B236" s="10" t="s">
        <v>14</v>
      </c>
      <c r="C236" s="10" t="s">
        <v>7</v>
      </c>
      <c r="D236" s="10">
        <v>50</v>
      </c>
      <c r="E236" s="10">
        <v>353</v>
      </c>
      <c r="F236" s="4">
        <v>3.976435935</v>
      </c>
      <c r="G236" s="2" t="s">
        <v>45</v>
      </c>
      <c r="H236" s="5">
        <v>339.5</v>
      </c>
      <c r="I236" s="1" t="s">
        <v>8</v>
      </c>
      <c r="J236" s="58" t="s">
        <v>118</v>
      </c>
      <c r="K236" s="20" t="s">
        <v>145</v>
      </c>
      <c r="N236" s="12" t="str">
        <f>IF(COUNTIFS( $B$2:$B$842, B236, $C$2:$C$842, C236, $D$2:$D$842, D236, $E$2:$E$842, E236) &gt; 1, "Duplicate", "Unique")</f>
        <v>Unique</v>
      </c>
    </row>
    <row r="237" spans="1:15" s="53" customFormat="1" ht="15" thickBot="1" x14ac:dyDescent="0.4">
      <c r="A237" s="54">
        <v>46265.375694444447</v>
      </c>
      <c r="B237" s="55" t="s">
        <v>53</v>
      </c>
      <c r="C237" s="55" t="s">
        <v>7</v>
      </c>
      <c r="D237" s="56">
        <v>3</v>
      </c>
      <c r="E237" s="56">
        <v>2624</v>
      </c>
      <c r="F237" s="4">
        <v>3.3477747139999998</v>
      </c>
      <c r="G237" s="2" t="s">
        <v>54</v>
      </c>
      <c r="H237" s="5">
        <v>2539</v>
      </c>
      <c r="I237" s="1" t="s">
        <v>8</v>
      </c>
      <c r="J237" s="51" t="s">
        <v>118</v>
      </c>
      <c r="K237" s="51" t="s">
        <v>219</v>
      </c>
      <c r="L237" s="51">
        <v>7578</v>
      </c>
      <c r="M237" s="51">
        <f>ABS((D237*E237)-L237)</f>
        <v>294</v>
      </c>
      <c r="N237" s="52" t="str">
        <f>IF(COUNTIFS( $B$2:$B$842, B237, $C$2:$C$842, C237, $D$2:$D$842, D237, $E$2:$E$842, E237) &gt; 1, "Duplicate", "Unique")</f>
        <v>Duplicate</v>
      </c>
      <c r="O237" s="51"/>
    </row>
    <row r="238" spans="1:15" ht="15" thickBot="1" x14ac:dyDescent="0.4">
      <c r="A238" s="3">
        <v>46265.375694444447</v>
      </c>
      <c r="B238" s="1" t="s">
        <v>87</v>
      </c>
      <c r="C238" s="1" t="s">
        <v>7</v>
      </c>
      <c r="D238" s="4">
        <v>10</v>
      </c>
      <c r="E238" s="4">
        <v>1320</v>
      </c>
      <c r="F238" s="4">
        <v>5.5577768890000003</v>
      </c>
      <c r="G238" s="2" t="s">
        <v>88</v>
      </c>
      <c r="H238" s="5">
        <v>1250.5</v>
      </c>
      <c r="I238" s="1" t="s">
        <v>8</v>
      </c>
      <c r="J238" s="20" t="s">
        <v>117</v>
      </c>
      <c r="K238" s="20" t="s">
        <v>222</v>
      </c>
      <c r="L238" s="20">
        <v>12800</v>
      </c>
      <c r="M238" s="20">
        <f>ABS((D238*E238)-L238)</f>
        <v>400</v>
      </c>
      <c r="N238" t="str">
        <f>IF(COUNTIFS( $B$2:$B$842, B238, $C$2:$C$842, C238, $D$2:$D$842, D238, $E$2:$E$842, E238) &gt; 1, "Duplicate", "Unique")</f>
        <v>Unique</v>
      </c>
    </row>
    <row r="239" spans="1:15" ht="15" thickBot="1" x14ac:dyDescent="0.4">
      <c r="A239" s="3">
        <v>46262.375</v>
      </c>
      <c r="B239" s="1" t="s">
        <v>15</v>
      </c>
      <c r="C239" s="1" t="s">
        <v>7</v>
      </c>
      <c r="D239" s="4">
        <v>10</v>
      </c>
      <c r="E239" s="4">
        <v>2660</v>
      </c>
      <c r="F239" s="4">
        <v>5.0552922589999998</v>
      </c>
      <c r="G239" s="2" t="s">
        <v>72</v>
      </c>
      <c r="H239" s="5">
        <v>2532</v>
      </c>
      <c r="I239" s="1" t="s">
        <v>8</v>
      </c>
      <c r="J239" s="20" t="s">
        <v>117</v>
      </c>
      <c r="K239" s="20" t="s">
        <v>206</v>
      </c>
      <c r="L239" s="20">
        <v>26300</v>
      </c>
      <c r="M239" s="20">
        <f>ABS((D239*E239)-L239)</f>
        <v>300</v>
      </c>
      <c r="N239" s="12" t="str">
        <f>IF(COUNTIFS( $B$2:$B$842, B239, $C$2:$C$842, C239, $D$2:$D$842, D239, $E$2:$E$842, E239) &gt; 1, "Duplicate", "Unique")</f>
        <v>Unique</v>
      </c>
    </row>
    <row r="240" spans="1:15" ht="15" thickBot="1" x14ac:dyDescent="0.4">
      <c r="A240" s="54">
        <v>46260.556944444441</v>
      </c>
      <c r="B240" s="55" t="s">
        <v>36</v>
      </c>
      <c r="C240" s="55" t="s">
        <v>7</v>
      </c>
      <c r="D240" s="56">
        <v>5</v>
      </c>
      <c r="E240" s="56">
        <v>1251</v>
      </c>
      <c r="F240" s="4">
        <v>6.749722673</v>
      </c>
      <c r="G240" s="2" t="s">
        <v>65</v>
      </c>
      <c r="H240" s="5">
        <v>1171.9000000000001</v>
      </c>
      <c r="I240" s="1" t="s">
        <v>8</v>
      </c>
      <c r="J240" s="51" t="s">
        <v>118</v>
      </c>
      <c r="K240" s="51" t="s">
        <v>170</v>
      </c>
      <c r="L240" s="51">
        <v>6105</v>
      </c>
      <c r="M240" s="51">
        <f>ABS((D240*E240)-L240)</f>
        <v>150</v>
      </c>
      <c r="N240" s="52" t="str">
        <f>IF(COUNTIFS( $B$2:$B$842, B240, $C$2:$C$842, C240, $D$2:$D$842, D240, $E$2:$E$842, E240) &gt; 1, "Duplicate", "Unique")</f>
        <v>Duplicate</v>
      </c>
      <c r="O240" s="51"/>
    </row>
    <row r="241" spans="1:15" ht="15" thickBot="1" x14ac:dyDescent="0.4">
      <c r="A241" s="54">
        <v>46261.375</v>
      </c>
      <c r="B241" s="55" t="s">
        <v>36</v>
      </c>
      <c r="C241" s="55" t="s">
        <v>7</v>
      </c>
      <c r="D241" s="56">
        <v>5</v>
      </c>
      <c r="E241" s="56">
        <v>1251</v>
      </c>
      <c r="F241" s="4">
        <v>6.749722673</v>
      </c>
      <c r="G241" s="2" t="s">
        <v>65</v>
      </c>
      <c r="H241" s="5">
        <v>1171.9000000000001</v>
      </c>
      <c r="I241" s="1" t="s">
        <v>8</v>
      </c>
      <c r="J241" s="51" t="s">
        <v>118</v>
      </c>
      <c r="K241" s="51" t="s">
        <v>187</v>
      </c>
      <c r="L241" s="51">
        <v>6005</v>
      </c>
      <c r="M241" s="51">
        <f>ABS((D241*E241)-L241)</f>
        <v>250</v>
      </c>
      <c r="N241" s="53" t="str">
        <f>IF(COUNTIFS( $B$2:$B$842, B241, $C$2:$C$842, C241, $D$2:$D$842, D241, $E$2:$E$842, E241) &gt; 1, "Duplicate", "Unique")</f>
        <v>Duplicate</v>
      </c>
      <c r="O241" s="51"/>
    </row>
    <row r="242" spans="1:15" ht="15" thickBot="1" x14ac:dyDescent="0.4">
      <c r="A242" s="13">
        <v>46252.635416666664</v>
      </c>
      <c r="B242" s="10" t="s">
        <v>121</v>
      </c>
      <c r="C242" s="10" t="s">
        <v>7</v>
      </c>
      <c r="D242" s="10">
        <v>20</v>
      </c>
      <c r="E242" s="10">
        <v>816</v>
      </c>
      <c r="F242" s="4">
        <v>8.3809270819999995</v>
      </c>
      <c r="G242" s="2" t="s">
        <v>122</v>
      </c>
      <c r="H242" s="5">
        <v>752.9</v>
      </c>
      <c r="I242" s="1" t="s">
        <v>8</v>
      </c>
      <c r="J242" s="58" t="s">
        <v>118</v>
      </c>
      <c r="N242" s="12" t="str">
        <f>IF(COUNTIFS( $B$2:$B$842, B242, $C$2:$C$842, C242, $D$2:$D$842, D242, $E$2:$E$842, E242) &gt; 1, "Duplicate", "Unique")</f>
        <v>Unique</v>
      </c>
      <c r="O242" s="12"/>
    </row>
    <row r="243" spans="1:15" ht="15" thickBot="1" x14ac:dyDescent="0.4">
      <c r="A243" s="3">
        <v>46265.375694444447</v>
      </c>
      <c r="B243" s="1" t="s">
        <v>9</v>
      </c>
      <c r="C243" s="1" t="s">
        <v>7</v>
      </c>
      <c r="D243" s="4">
        <v>90</v>
      </c>
      <c r="E243" s="4">
        <v>299</v>
      </c>
      <c r="F243" s="4">
        <v>3.4065363999999998</v>
      </c>
      <c r="G243" s="2" t="s">
        <v>95</v>
      </c>
      <c r="H243" s="5">
        <v>289.14999999999998</v>
      </c>
      <c r="I243" s="1" t="s">
        <v>8</v>
      </c>
      <c r="J243" s="20" t="s">
        <v>117</v>
      </c>
      <c r="K243" s="20" t="s">
        <v>220</v>
      </c>
      <c r="L243" s="20">
        <v>26145</v>
      </c>
      <c r="M243" s="20">
        <f>ABS((D243*E243)-L243)</f>
        <v>765</v>
      </c>
      <c r="N243" t="str">
        <f>IF(COUNTIFS( $B$2:$B$842, B243, $C$2:$C$842, C243, $D$2:$D$842, D243, $E$2:$E$842, E243) &gt; 1, "Duplicate", "Unique")</f>
        <v>Unique</v>
      </c>
    </row>
    <row r="244" spans="1:15" ht="15" thickBot="1" x14ac:dyDescent="0.4">
      <c r="A244" s="3">
        <v>46262.463194444441</v>
      </c>
      <c r="B244" s="1" t="s">
        <v>15</v>
      </c>
      <c r="C244" s="1" t="s">
        <v>7</v>
      </c>
      <c r="D244" s="4">
        <v>10</v>
      </c>
      <c r="E244" s="4">
        <v>2648</v>
      </c>
      <c r="F244" s="4">
        <v>4.5813586099999997</v>
      </c>
      <c r="G244" s="2" t="s">
        <v>72</v>
      </c>
      <c r="H244" s="5">
        <v>2532</v>
      </c>
      <c r="I244" s="1" t="s">
        <v>8</v>
      </c>
      <c r="J244" s="20" t="s">
        <v>117</v>
      </c>
      <c r="K244" s="20" t="s">
        <v>203</v>
      </c>
      <c r="L244" s="20">
        <v>26180</v>
      </c>
      <c r="M244" s="20">
        <f>ABS((D244*E244)-L244)</f>
        <v>300</v>
      </c>
      <c r="N244" s="12" t="str">
        <f>IF(COUNTIFS( $B$2:$B$842, B244, $C$2:$C$842, C244, $D$2:$D$842, D244, $E$2:$E$842, E244) &gt; 1, "Duplicate", "Unique")</f>
        <v>Unique</v>
      </c>
    </row>
    <row r="245" spans="1:15" ht="15" thickBot="1" x14ac:dyDescent="0.4">
      <c r="A245" s="13">
        <v>46252.645138888889</v>
      </c>
      <c r="B245" s="10" t="s">
        <v>68</v>
      </c>
      <c r="C245" s="10" t="s">
        <v>7</v>
      </c>
      <c r="D245" s="10">
        <v>20</v>
      </c>
      <c r="E245" s="10">
        <v>424</v>
      </c>
      <c r="F245" s="4">
        <v>3.2886723510000002</v>
      </c>
      <c r="G245" s="2" t="s">
        <v>69</v>
      </c>
      <c r="H245" s="5">
        <v>410.5</v>
      </c>
      <c r="I245" s="1" t="s">
        <v>8</v>
      </c>
      <c r="J245" s="58"/>
      <c r="N245" s="12" t="str">
        <f>IF(COUNTIFS( $B$2:$B$842, B245, $C$2:$C$842, C245, $D$2:$D$842, D245, $E$2:$E$842, E245) &gt; 1, "Duplicate", "Unique")</f>
        <v>Unique</v>
      </c>
    </row>
    <row r="246" spans="1:15" ht="15" thickBot="1" x14ac:dyDescent="0.4">
      <c r="A246" s="3">
        <v>46265.466666666667</v>
      </c>
      <c r="B246" s="1" t="s">
        <v>80</v>
      </c>
      <c r="C246" s="1" t="s">
        <v>7</v>
      </c>
      <c r="D246" s="4">
        <v>10</v>
      </c>
      <c r="E246" s="4">
        <v>1548</v>
      </c>
      <c r="F246" s="4">
        <v>5.3061224490000001</v>
      </c>
      <c r="G246" s="2" t="s">
        <v>81</v>
      </c>
      <c r="H246" s="5">
        <v>1470</v>
      </c>
      <c r="I246" s="1" t="s">
        <v>8</v>
      </c>
      <c r="J246" s="20" t="s">
        <v>117</v>
      </c>
      <c r="K246" s="20" t="s">
        <v>218</v>
      </c>
      <c r="L246" s="20">
        <v>15050</v>
      </c>
      <c r="M246" s="20">
        <f>ABS((D246*E246)-L246)</f>
        <v>430</v>
      </c>
      <c r="N246" t="str">
        <f>IF(COUNTIFS( $B$2:$B$842, B246, $C$2:$C$842, C246, $D$2:$D$842, D246, $E$2:$E$842, E246) &gt; 1, "Duplicate", "Unique")</f>
        <v>Unique</v>
      </c>
    </row>
    <row r="247" spans="1:15" ht="15" thickBot="1" x14ac:dyDescent="0.4">
      <c r="A247" s="3">
        <v>46261.375694444447</v>
      </c>
      <c r="B247" s="1" t="s">
        <v>51</v>
      </c>
      <c r="C247" s="1" t="s">
        <v>7</v>
      </c>
      <c r="D247" s="4">
        <v>10</v>
      </c>
      <c r="E247" s="4">
        <v>977</v>
      </c>
      <c r="F247" s="4">
        <v>4.0690242860000003</v>
      </c>
      <c r="G247" s="2" t="s">
        <v>52</v>
      </c>
      <c r="H247" s="5">
        <v>938.8</v>
      </c>
      <c r="I247" s="1" t="s">
        <v>8</v>
      </c>
      <c r="J247" s="20" t="s">
        <v>117</v>
      </c>
      <c r="K247" s="20" t="s">
        <v>183</v>
      </c>
      <c r="L247" s="20">
        <v>9470</v>
      </c>
      <c r="M247" s="20">
        <f>ABS((D247*E247)-L247)</f>
        <v>300</v>
      </c>
      <c r="N247" s="12" t="str">
        <f>IF(COUNTIFS( $B$2:$B$842, B247, $C$2:$C$842, C247, $D$2:$D$842, D247, $E$2:$E$842, E247) &gt; 1, "Duplicate", "Unique")</f>
        <v>Unique</v>
      </c>
    </row>
    <row r="248" spans="1:15" ht="15" thickBot="1" x14ac:dyDescent="0.4">
      <c r="A248" s="3">
        <v>46262.375</v>
      </c>
      <c r="B248" s="1" t="s">
        <v>63</v>
      </c>
      <c r="C248" s="1" t="s">
        <v>7</v>
      </c>
      <c r="D248" s="4">
        <v>10</v>
      </c>
      <c r="E248" s="4">
        <v>1071</v>
      </c>
      <c r="F248" s="4">
        <v>3.9906787069999998</v>
      </c>
      <c r="G248" s="2" t="s">
        <v>64</v>
      </c>
      <c r="H248" s="5">
        <v>1029.9000000000001</v>
      </c>
      <c r="I248" s="1" t="s">
        <v>8</v>
      </c>
      <c r="J248" s="20" t="s">
        <v>118</v>
      </c>
      <c r="K248" s="20" t="s">
        <v>207</v>
      </c>
      <c r="L248" s="20">
        <v>10410</v>
      </c>
      <c r="M248" s="20">
        <f>ABS((D248*E248)-L248)</f>
        <v>300</v>
      </c>
      <c r="N248" s="12" t="str">
        <f>IF(COUNTIFS( $B$2:$B$842, B248, $C$2:$C$842, C248, $D$2:$D$842, D248, $E$2:$E$842, E248) &gt; 1, "Duplicate", "Unique")</f>
        <v>Unique</v>
      </c>
    </row>
    <row r="249" spans="1:15" ht="15" thickBot="1" x14ac:dyDescent="0.4">
      <c r="A249" s="3">
        <v>46265.375694444447</v>
      </c>
      <c r="B249" s="1" t="s">
        <v>15</v>
      </c>
      <c r="C249" s="1" t="s">
        <v>7</v>
      </c>
      <c r="D249" s="4">
        <v>10</v>
      </c>
      <c r="E249" s="4">
        <v>2636</v>
      </c>
      <c r="F249" s="4">
        <v>4.1074249610000004</v>
      </c>
      <c r="G249" s="2" t="s">
        <v>72</v>
      </c>
      <c r="H249" s="5">
        <v>2532</v>
      </c>
      <c r="I249" s="1" t="s">
        <v>8</v>
      </c>
      <c r="J249" s="20" t="s">
        <v>117</v>
      </c>
      <c r="K249" s="20" t="s">
        <v>230</v>
      </c>
      <c r="L249" s="20">
        <v>26020</v>
      </c>
      <c r="M249" s="20">
        <f>ABS((D249*E249)-L249)</f>
        <v>340</v>
      </c>
      <c r="N249" t="str">
        <f>IF(COUNTIFS( $B$2:$B$842, B249, $C$2:$C$842, C249, $D$2:$D$842, D249, $E$2:$E$842, E249) &gt; 1, "Duplicate", "Unique")</f>
        <v>Unique</v>
      </c>
    </row>
    <row r="250" spans="1:15" ht="15" thickBot="1" x14ac:dyDescent="0.4">
      <c r="A250" s="13">
        <v>46252.645138888889</v>
      </c>
      <c r="B250" s="10" t="s">
        <v>49</v>
      </c>
      <c r="C250" s="10" t="s">
        <v>7</v>
      </c>
      <c r="D250" s="10">
        <v>5</v>
      </c>
      <c r="E250" s="10">
        <v>4129</v>
      </c>
      <c r="F250" s="4">
        <v>3.2508127029999998</v>
      </c>
      <c r="G250" s="2" t="s">
        <v>50</v>
      </c>
      <c r="H250" s="5">
        <v>3999</v>
      </c>
      <c r="I250" s="1" t="s">
        <v>8</v>
      </c>
      <c r="J250" s="58"/>
      <c r="N250" s="12" t="str">
        <f>IF(COUNTIFS( $B$2:$B$842, B250, $C$2:$C$842, C250, $D$2:$D$842, D250, $E$2:$E$842, E250) &gt; 1, "Duplicate", "Unique")</f>
        <v>Unique</v>
      </c>
    </row>
    <row r="251" spans="1:15" ht="15" thickBot="1" x14ac:dyDescent="0.4">
      <c r="A251" s="3">
        <v>46261.375</v>
      </c>
      <c r="B251" s="1" t="s">
        <v>14</v>
      </c>
      <c r="C251" s="1" t="s">
        <v>7</v>
      </c>
      <c r="D251" s="4">
        <v>50</v>
      </c>
      <c r="E251" s="4">
        <v>349</v>
      </c>
      <c r="F251" s="4">
        <v>2.7982326949999998</v>
      </c>
      <c r="G251" s="2" t="s">
        <v>45</v>
      </c>
      <c r="H251" s="5">
        <v>339.5</v>
      </c>
      <c r="I251" s="1" t="s">
        <v>8</v>
      </c>
      <c r="J251" s="20" t="s">
        <v>117</v>
      </c>
      <c r="K251" s="20" t="s">
        <v>190</v>
      </c>
      <c r="L251" s="20">
        <v>17150</v>
      </c>
      <c r="M251" s="20">
        <f t="shared" ref="M251:M259" si="0">ABS((D251*E251)-L251)</f>
        <v>300</v>
      </c>
      <c r="N251" s="12" t="str">
        <f>IF(COUNTIFS( $B$2:$B$842, B251, $C$2:$C$842, C251, $D$2:$D$842, D251, $E$2:$E$842, E251) &gt; 1, "Duplicate", "Unique")</f>
        <v>Unique</v>
      </c>
    </row>
    <row r="252" spans="1:15" ht="15" thickBot="1" x14ac:dyDescent="0.4">
      <c r="A252" s="3">
        <v>46261.375</v>
      </c>
      <c r="B252" s="1" t="s">
        <v>57</v>
      </c>
      <c r="C252" s="1" t="s">
        <v>7</v>
      </c>
      <c r="D252" s="4">
        <v>5</v>
      </c>
      <c r="E252" s="4">
        <v>2948</v>
      </c>
      <c r="F252" s="4">
        <v>3.203220725</v>
      </c>
      <c r="G252" s="2" t="s">
        <v>58</v>
      </c>
      <c r="H252" s="5">
        <v>2856.5</v>
      </c>
      <c r="I252" s="1" t="s">
        <v>8</v>
      </c>
      <c r="J252" s="20" t="s">
        <v>117</v>
      </c>
      <c r="K252" s="20" t="s">
        <v>191</v>
      </c>
      <c r="L252" s="20">
        <v>14440</v>
      </c>
      <c r="M252" s="20">
        <f t="shared" si="0"/>
        <v>300</v>
      </c>
      <c r="N252" s="12" t="str">
        <f>IF(COUNTIFS( $B$2:$B$842, B252, $C$2:$C$842, C252, $D$2:$D$842, D252, $E$2:$E$842, E252) &gt; 1, "Duplicate", "Unique")</f>
        <v>Unique</v>
      </c>
    </row>
    <row r="253" spans="1:15" ht="15" thickBot="1" x14ac:dyDescent="0.4">
      <c r="A253" s="3">
        <v>46261.375</v>
      </c>
      <c r="B253" s="1" t="s">
        <v>14</v>
      </c>
      <c r="C253" s="1" t="s">
        <v>7</v>
      </c>
      <c r="D253" s="4">
        <v>100</v>
      </c>
      <c r="E253" s="4">
        <v>348</v>
      </c>
      <c r="F253" s="4">
        <v>2.5036818850000002</v>
      </c>
      <c r="G253" s="2" t="s">
        <v>45</v>
      </c>
      <c r="H253" s="5">
        <v>339.5</v>
      </c>
      <c r="I253" s="1" t="s">
        <v>8</v>
      </c>
      <c r="J253" s="20" t="s">
        <v>117</v>
      </c>
      <c r="K253" s="20" t="s">
        <v>188</v>
      </c>
      <c r="L253" s="20">
        <v>34100</v>
      </c>
      <c r="M253" s="20">
        <f t="shared" si="0"/>
        <v>700</v>
      </c>
      <c r="N253" s="12" t="str">
        <f>IF(COUNTIFS( $B$2:$B$842, B253, $C$2:$C$842, C253, $D$2:$D$842, D253, $E$2:$E$842, E253) &gt; 1, "Duplicate", "Unique")</f>
        <v>Unique</v>
      </c>
    </row>
    <row r="254" spans="1:15" ht="15" thickBot="1" x14ac:dyDescent="0.4">
      <c r="A254" s="3">
        <v>46260.375694444447</v>
      </c>
      <c r="B254" s="1" t="s">
        <v>49</v>
      </c>
      <c r="C254" s="1" t="s">
        <v>7</v>
      </c>
      <c r="D254" s="4">
        <v>5</v>
      </c>
      <c r="E254" s="4">
        <v>4112</v>
      </c>
      <c r="F254" s="4">
        <v>2.8257064270000001</v>
      </c>
      <c r="G254" s="2" t="s">
        <v>50</v>
      </c>
      <c r="H254" s="5">
        <v>3999</v>
      </c>
      <c r="I254" s="1" t="s">
        <v>8</v>
      </c>
      <c r="J254" s="20" t="s">
        <v>118</v>
      </c>
      <c r="K254" s="20" t="s">
        <v>176</v>
      </c>
      <c r="L254" s="20">
        <v>20260</v>
      </c>
      <c r="M254" s="20">
        <f t="shared" si="0"/>
        <v>300</v>
      </c>
      <c r="N254" t="str">
        <f>IF(COUNTIFS( $B$2:$B$842, B254, $C$2:$C$842, C254, $D$2:$D$842, D254, $E$2:$E$842, E254) &gt; 1, "Duplicate", "Unique")</f>
        <v>Unique</v>
      </c>
    </row>
    <row r="255" spans="1:15" ht="15" thickBot="1" x14ac:dyDescent="0.4">
      <c r="A255" s="3">
        <v>46265.375694444447</v>
      </c>
      <c r="B255" s="1" t="s">
        <v>36</v>
      </c>
      <c r="C255" s="1" t="s">
        <v>7</v>
      </c>
      <c r="D255" s="4">
        <v>5</v>
      </c>
      <c r="E255" s="4">
        <v>1236</v>
      </c>
      <c r="F255" s="4">
        <v>5.4697499790000004</v>
      </c>
      <c r="G255" s="2" t="s">
        <v>65</v>
      </c>
      <c r="H255" s="5">
        <v>1171.9000000000001</v>
      </c>
      <c r="I255" s="1" t="s">
        <v>8</v>
      </c>
      <c r="J255" s="51" t="s">
        <v>118</v>
      </c>
      <c r="K255" s="20" t="s">
        <v>227</v>
      </c>
      <c r="L255" s="20">
        <v>5905</v>
      </c>
      <c r="M255" s="20">
        <f t="shared" si="0"/>
        <v>275</v>
      </c>
      <c r="N255" t="str">
        <f>IF(COUNTIFS( $B$2:$B$842, B255, $C$2:$C$842, C255, $D$2:$D$842, D255, $E$2:$E$842, E255) &gt; 1, "Duplicate", "Unique")</f>
        <v>Unique</v>
      </c>
    </row>
    <row r="256" spans="1:15" ht="15" thickBot="1" x14ac:dyDescent="0.4">
      <c r="A256" s="3">
        <v>46265.392361111109</v>
      </c>
      <c r="B256" s="1" t="s">
        <v>19</v>
      </c>
      <c r="C256" s="1" t="s">
        <v>7</v>
      </c>
      <c r="D256" s="4">
        <v>250</v>
      </c>
      <c r="E256" s="4">
        <v>227.8</v>
      </c>
      <c r="F256" s="4">
        <v>4.5913682280000003</v>
      </c>
      <c r="G256" s="2" t="s">
        <v>40</v>
      </c>
      <c r="H256" s="5">
        <v>217.8</v>
      </c>
      <c r="I256" s="1" t="s">
        <v>8</v>
      </c>
      <c r="J256" s="29" t="s">
        <v>118</v>
      </c>
      <c r="K256" s="20" t="s">
        <v>234</v>
      </c>
      <c r="L256" s="20">
        <v>55382.5</v>
      </c>
      <c r="M256" s="20">
        <f t="shared" si="0"/>
        <v>1567.5</v>
      </c>
      <c r="N256" t="str">
        <f>IF(COUNTIFS( $B$2:$B$842, B256, $C$2:$C$842, C256, $D$2:$D$842, D256, $E$2:$E$842, E256) &gt; 1, "Duplicate", "Unique")</f>
        <v>Unique</v>
      </c>
    </row>
    <row r="257" spans="1:15" ht="15" thickBot="1" x14ac:dyDescent="0.4">
      <c r="A257" s="3">
        <v>46265.390277777777</v>
      </c>
      <c r="B257" s="1" t="s">
        <v>15</v>
      </c>
      <c r="C257" s="1" t="s">
        <v>7</v>
      </c>
      <c r="D257" s="4">
        <v>10</v>
      </c>
      <c r="E257" s="4">
        <v>2618</v>
      </c>
      <c r="F257" s="4">
        <v>3.3965244870000002</v>
      </c>
      <c r="G257" s="2" t="s">
        <v>72</v>
      </c>
      <c r="H257" s="5">
        <v>2532</v>
      </c>
      <c r="I257" s="1" t="s">
        <v>8</v>
      </c>
      <c r="J257" s="20" t="s">
        <v>117</v>
      </c>
      <c r="K257" s="20" t="s">
        <v>221</v>
      </c>
      <c r="L257" s="20">
        <v>25530</v>
      </c>
      <c r="M257" s="20">
        <f t="shared" si="0"/>
        <v>650</v>
      </c>
      <c r="N257" t="str">
        <f>IF(COUNTIFS( $B$2:$B$842, B257, $C$2:$C$842, C257, $D$2:$D$842, D257, $E$2:$E$842, E257) &gt; 1, "Duplicate", "Unique")</f>
        <v>Unique</v>
      </c>
    </row>
    <row r="258" spans="1:15" s="53" customFormat="1" ht="15" thickBot="1" x14ac:dyDescent="0.4">
      <c r="A258" s="3">
        <v>46265.375694444447</v>
      </c>
      <c r="B258" s="1" t="s">
        <v>49</v>
      </c>
      <c r="C258" s="1" t="s">
        <v>7</v>
      </c>
      <c r="D258" s="4">
        <v>5</v>
      </c>
      <c r="E258" s="4">
        <v>4092</v>
      </c>
      <c r="F258" s="4">
        <v>2.3255813949999999</v>
      </c>
      <c r="G258" s="2" t="s">
        <v>50</v>
      </c>
      <c r="H258" s="5">
        <v>3999</v>
      </c>
      <c r="I258" s="1" t="s">
        <v>8</v>
      </c>
      <c r="J258" s="20" t="s">
        <v>118</v>
      </c>
      <c r="K258" s="20" t="s">
        <v>228</v>
      </c>
      <c r="L258" s="20">
        <v>20010</v>
      </c>
      <c r="M258" s="20">
        <f t="shared" si="0"/>
        <v>450</v>
      </c>
      <c r="N258" t="str">
        <f>IF(COUNTIFS( $B$2:$B$842, B258, $C$2:$C$842, C258, $D$2:$D$842, D258, $E$2:$E$842, E258) &gt; 1, "Duplicate", "Unique")</f>
        <v>Unique</v>
      </c>
      <c r="O258" s="20"/>
    </row>
    <row r="259" spans="1:15" ht="15" thickBot="1" x14ac:dyDescent="0.4">
      <c r="A259" s="3">
        <v>46265.375694444447</v>
      </c>
      <c r="B259" s="1" t="s">
        <v>15</v>
      </c>
      <c r="C259" s="1" t="s">
        <v>7</v>
      </c>
      <c r="D259" s="4">
        <v>10</v>
      </c>
      <c r="E259" s="4">
        <v>2608</v>
      </c>
      <c r="F259" s="4">
        <v>3.0015797790000001</v>
      </c>
      <c r="G259" s="2" t="s">
        <v>72</v>
      </c>
      <c r="H259" s="5">
        <v>2532</v>
      </c>
      <c r="I259" s="1" t="s">
        <v>8</v>
      </c>
      <c r="J259" s="20" t="s">
        <v>118</v>
      </c>
      <c r="K259" s="20" t="s">
        <v>224</v>
      </c>
      <c r="L259" s="20">
        <v>25780</v>
      </c>
      <c r="M259" s="20">
        <f t="shared" si="0"/>
        <v>300</v>
      </c>
      <c r="N259" t="str">
        <f>IF(COUNTIFS( $B$2:$B$842, B259, $C$2:$C$842, C259, $D$2:$D$842, D259, $E$2:$E$842, E259) &gt; 1, "Duplicate", "Unique")</f>
        <v>Unique</v>
      </c>
    </row>
    <row r="260" spans="1:15" ht="15" thickBot="1" x14ac:dyDescent="0.4">
      <c r="A260" s="10" t="s">
        <v>62</v>
      </c>
      <c r="B260" s="10" t="s">
        <v>121</v>
      </c>
      <c r="C260" s="10" t="s">
        <v>7</v>
      </c>
      <c r="D260" s="10">
        <v>10</v>
      </c>
      <c r="E260" s="10">
        <v>816</v>
      </c>
      <c r="F260" s="4">
        <v>8.3809270819999995</v>
      </c>
      <c r="G260" s="2" t="s">
        <v>122</v>
      </c>
      <c r="H260" s="5">
        <v>752.9</v>
      </c>
      <c r="I260" s="1" t="s">
        <v>8</v>
      </c>
      <c r="J260" s="58" t="s">
        <v>117</v>
      </c>
      <c r="N260" s="12" t="str">
        <f>IF(COUNTIFS( $B$2:$B$842, B260, $C$2:$C$842, C260, $D$2:$D$842, D260, $E$2:$E$842,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121</v>
      </c>
      <c r="C261" s="10" t="s">
        <v>7</v>
      </c>
      <c r="D261" s="10">
        <v>10</v>
      </c>
      <c r="E261" s="10">
        <v>796</v>
      </c>
      <c r="F261" s="4">
        <v>5.7245318100000002</v>
      </c>
      <c r="G261" s="2" t="s">
        <v>122</v>
      </c>
      <c r="H261" s="5">
        <v>752.9</v>
      </c>
      <c r="I261" s="1" t="s">
        <v>8</v>
      </c>
      <c r="J261" s="58" t="s">
        <v>117</v>
      </c>
      <c r="N261" s="12" t="str">
        <f>IF(COUNTIFS( $B$2:$B$842, B261, $C$2:$C$842, C261, $D$2:$D$842, D261, $E$2:$E$842, E261) &gt; 1, "Duplicate", "Unique")</f>
        <v>Unique</v>
      </c>
      <c r="O261" s="12"/>
    </row>
    <row r="262" spans="1:15" ht="15" thickBot="1" x14ac:dyDescent="0.4">
      <c r="A262" s="3">
        <v>46262.375</v>
      </c>
      <c r="B262" s="1" t="s">
        <v>82</v>
      </c>
      <c r="C262" s="1" t="s">
        <v>7</v>
      </c>
      <c r="D262" s="4">
        <v>2</v>
      </c>
      <c r="E262" s="4">
        <v>4360</v>
      </c>
      <c r="F262" s="4">
        <v>3.7354270760000001</v>
      </c>
      <c r="G262" s="2" t="s">
        <v>83</v>
      </c>
      <c r="H262" s="5">
        <v>4203</v>
      </c>
      <c r="I262" s="1" t="s">
        <v>8</v>
      </c>
      <c r="J262" s="20" t="s">
        <v>118</v>
      </c>
      <c r="K262" s="20" t="s">
        <v>199</v>
      </c>
      <c r="L262" s="20">
        <v>8420</v>
      </c>
      <c r="M262" s="20">
        <f>ABS((D262*E262)-L262)</f>
        <v>300</v>
      </c>
      <c r="N262" s="12" t="str">
        <f>IF(COUNTIFS( $B$2:$B$842, B262, $C$2:$C$842, C262, $D$2:$D$842, D262, $E$2:$E$842, E262) &gt; 1, "Duplicate", "Unique")</f>
        <v>Unique</v>
      </c>
    </row>
    <row r="263" spans="1:15" ht="15" thickBot="1" x14ac:dyDescent="0.4">
      <c r="A263" s="3">
        <v>46266.509895833333</v>
      </c>
      <c r="B263" s="1" t="s">
        <v>11</v>
      </c>
      <c r="C263" s="1" t="s">
        <v>7</v>
      </c>
      <c r="D263" s="4">
        <v>20</v>
      </c>
      <c r="E263" s="4">
        <v>306</v>
      </c>
      <c r="F263" s="4">
        <v>4.7945205480000004</v>
      </c>
      <c r="G263" s="2" t="s">
        <v>99</v>
      </c>
      <c r="H263" s="5">
        <v>292</v>
      </c>
      <c r="I263" s="1" t="s">
        <v>8</v>
      </c>
      <c r="J263" s="20" t="s">
        <v>118</v>
      </c>
      <c r="K263" s="20" t="s">
        <v>252</v>
      </c>
      <c r="L263" s="20">
        <v>5820</v>
      </c>
      <c r="M263" s="20">
        <f>ABS((D263*E263)-L263)</f>
        <v>300</v>
      </c>
      <c r="N263" s="12" t="str">
        <f>IF(COUNTIFS( $B$2:$B$842, B263, $C$2:$C$842, C263, $D$2:$D$842, D263, $E$2:$E$842, E263) &gt; 1, "Duplicate", "Unique")</f>
        <v>Unique</v>
      </c>
    </row>
    <row r="264" spans="1:15" ht="15" thickBot="1" x14ac:dyDescent="0.4">
      <c r="A264" s="3">
        <v>46266.453877314816</v>
      </c>
      <c r="B264" s="1" t="s">
        <v>13</v>
      </c>
      <c r="C264" s="1" t="s">
        <v>7</v>
      </c>
      <c r="D264" s="4">
        <v>3</v>
      </c>
      <c r="E264" s="4">
        <v>1794</v>
      </c>
      <c r="F264" s="4">
        <v>8.7932080050000003</v>
      </c>
      <c r="G264" s="2" t="s">
        <v>91</v>
      </c>
      <c r="H264" s="5">
        <v>1649</v>
      </c>
      <c r="I264" s="1" t="s">
        <v>8</v>
      </c>
      <c r="J264" s="20" t="s">
        <v>118</v>
      </c>
      <c r="K264" s="20" t="s">
        <v>253</v>
      </c>
      <c r="L264" s="20">
        <v>4842</v>
      </c>
      <c r="M264" s="20">
        <f t="shared" ref="M264:M283" si="1">ABS((D264*E264)-L264)</f>
        <v>540</v>
      </c>
      <c r="N264" s="12" t="str">
        <f>IF(COUNTIFS( $B$2:$B$842, B264, $C$2:$C$842, C264, $D$2:$D$842, D264, $E$2:$E$842, E264) &gt; 1, "Duplicate", "Unique")</f>
        <v>Unique</v>
      </c>
    </row>
    <row r="265" spans="1:15" ht="15" thickBot="1" x14ac:dyDescent="0.4">
      <c r="A265" s="3">
        <v>46266.438067129631</v>
      </c>
      <c r="B265" s="1" t="s">
        <v>237</v>
      </c>
      <c r="C265" s="1" t="s">
        <v>7</v>
      </c>
      <c r="D265" s="4">
        <v>3</v>
      </c>
      <c r="E265" s="4">
        <v>1052</v>
      </c>
      <c r="F265" s="6" t="e">
        <v>#N/A</v>
      </c>
      <c r="G265" s="2" t="s">
        <v>272</v>
      </c>
      <c r="H265" s="9" t="e">
        <v>#N/A</v>
      </c>
      <c r="I265" s="1" t="s">
        <v>8</v>
      </c>
      <c r="J265" s="20" t="s">
        <v>41</v>
      </c>
      <c r="M265" s="20">
        <f t="shared" si="1"/>
        <v>3156</v>
      </c>
      <c r="N265" s="12" t="str">
        <f>IF(COUNTIFS( $B$2:$B$842, B265, $C$2:$C$842, C265, $D$2:$D$842, D265, $E$2:$E$842, E265) &gt; 1, "Duplicate", "Unique")</f>
        <v>Unique</v>
      </c>
    </row>
    <row r="266" spans="1:15" s="53" customFormat="1" ht="15" thickBot="1" x14ac:dyDescent="0.4">
      <c r="A266" s="54">
        <v>46266.396597222221</v>
      </c>
      <c r="B266" s="55" t="s">
        <v>87</v>
      </c>
      <c r="C266" s="55" t="s">
        <v>7</v>
      </c>
      <c r="D266" s="56">
        <v>10</v>
      </c>
      <c r="E266" s="56">
        <v>1280</v>
      </c>
      <c r="F266" s="4">
        <v>2.3590563769999999</v>
      </c>
      <c r="G266" s="2" t="s">
        <v>88</v>
      </c>
      <c r="H266" s="5">
        <v>1250.5</v>
      </c>
      <c r="I266" s="1" t="s">
        <v>8</v>
      </c>
      <c r="J266" s="51" t="s">
        <v>117</v>
      </c>
      <c r="K266" s="51" t="s">
        <v>254</v>
      </c>
      <c r="L266" s="51">
        <v>12600</v>
      </c>
      <c r="M266" s="51">
        <f t="shared" si="1"/>
        <v>200</v>
      </c>
      <c r="N266" s="53" t="str">
        <f>IF(COUNTIFS( $B$2:$B$842, B266, $C$2:$C$842, C266, $D$2:$D$842, D266, $E$2:$E$842, E266) &gt; 1, "Duplicate", "Unique")</f>
        <v>Duplicate</v>
      </c>
      <c r="O266" s="51"/>
    </row>
    <row r="267" spans="1:15" ht="15" thickBot="1" x14ac:dyDescent="0.4">
      <c r="A267" s="3">
        <v>46266.375787037039</v>
      </c>
      <c r="B267" s="1" t="s">
        <v>31</v>
      </c>
      <c r="C267" s="1" t="s">
        <v>10</v>
      </c>
      <c r="D267" s="4">
        <v>5</v>
      </c>
      <c r="E267" s="4">
        <v>601</v>
      </c>
      <c r="F267" s="4">
        <v>-3.0645161289999998</v>
      </c>
      <c r="G267" s="2" t="s">
        <v>94</v>
      </c>
      <c r="H267" s="5">
        <v>620</v>
      </c>
      <c r="I267" s="1" t="s">
        <v>8</v>
      </c>
      <c r="J267" s="20" t="s">
        <v>41</v>
      </c>
      <c r="K267" s="20" t="s">
        <v>255</v>
      </c>
      <c r="L267" s="20">
        <v>3245</v>
      </c>
      <c r="M267" s="20">
        <f t="shared" si="1"/>
        <v>240</v>
      </c>
      <c r="N267" s="12" t="str">
        <f>IF(COUNTIFS( $B$2:$B$842, B267, $C$2:$C$842, C267, $D$2:$D$842, D267, $E$2:$E$842, E267) &gt; 1, "Duplicate", "Unique")</f>
        <v>Duplicate</v>
      </c>
    </row>
    <row r="268" spans="1:15" ht="15" thickBot="1" x14ac:dyDescent="0.4">
      <c r="A268" s="3">
        <v>46266.37572916667</v>
      </c>
      <c r="B268" s="1" t="s">
        <v>66</v>
      </c>
      <c r="C268" s="1" t="s">
        <v>7</v>
      </c>
      <c r="D268" s="4">
        <v>5</v>
      </c>
      <c r="E268" s="4">
        <v>1248</v>
      </c>
      <c r="F268" s="4">
        <v>3.8788080570000001</v>
      </c>
      <c r="G268" s="2" t="s">
        <v>67</v>
      </c>
      <c r="H268" s="5">
        <v>1201.4000000000001</v>
      </c>
      <c r="I268" s="1" t="s">
        <v>8</v>
      </c>
      <c r="J268" s="20" t="s">
        <v>117</v>
      </c>
      <c r="K268" s="20" t="s">
        <v>256</v>
      </c>
      <c r="L268" s="20">
        <v>5940</v>
      </c>
      <c r="M268" s="20">
        <f t="shared" si="1"/>
        <v>300</v>
      </c>
      <c r="N268" s="12" t="str">
        <f>IF(COUNTIFS( $B$2:$B$842, B268, $C$2:$C$842, C268, $D$2:$D$842, D268, $E$2:$E$842, E268) &gt; 1, "Duplicate", "Unique")</f>
        <v>Unique</v>
      </c>
    </row>
    <row r="269" spans="1:15" ht="15" thickBot="1" x14ac:dyDescent="0.4">
      <c r="A269" s="3">
        <v>46266.37572916667</v>
      </c>
      <c r="B269" s="1" t="s">
        <v>121</v>
      </c>
      <c r="C269" s="1" t="s">
        <v>7</v>
      </c>
      <c r="D269" s="4">
        <v>25</v>
      </c>
      <c r="E269" s="4">
        <v>772</v>
      </c>
      <c r="F269" s="4">
        <v>2.536857484</v>
      </c>
      <c r="G269" s="2" t="s">
        <v>122</v>
      </c>
      <c r="H269" s="5">
        <v>752.9</v>
      </c>
      <c r="I269" s="1" t="s">
        <v>8</v>
      </c>
      <c r="J269" s="20" t="s">
        <v>117</v>
      </c>
      <c r="K269" s="20" t="s">
        <v>257</v>
      </c>
      <c r="L269" s="20">
        <v>18800</v>
      </c>
      <c r="M269" s="20">
        <f t="shared" si="1"/>
        <v>500</v>
      </c>
      <c r="N269" s="12" t="str">
        <f>IF(COUNTIFS( $B$2:$B$842, B269, $C$2:$C$842, C269, $D$2:$D$842, D269, $E$2:$E$842, E269) &gt; 1, "Duplicate", "Unique")</f>
        <v>Unique</v>
      </c>
    </row>
    <row r="270" spans="1:15" ht="15" thickBot="1" x14ac:dyDescent="0.4">
      <c r="A270" s="3">
        <v>46266.375694444447</v>
      </c>
      <c r="B270" s="1" t="s">
        <v>13</v>
      </c>
      <c r="C270" s="1" t="s">
        <v>7</v>
      </c>
      <c r="D270" s="4">
        <v>5</v>
      </c>
      <c r="E270" s="4">
        <v>1794</v>
      </c>
      <c r="F270" s="4">
        <v>8.7932080050000003</v>
      </c>
      <c r="G270" s="2" t="s">
        <v>91</v>
      </c>
      <c r="H270" s="5">
        <v>1649</v>
      </c>
      <c r="I270" s="1" t="s">
        <v>8</v>
      </c>
      <c r="J270" s="20" t="s">
        <v>118</v>
      </c>
      <c r="K270" s="20" t="s">
        <v>258</v>
      </c>
      <c r="L270" s="20">
        <v>8320</v>
      </c>
      <c r="M270" s="20">
        <f t="shared" si="1"/>
        <v>650</v>
      </c>
      <c r="N270" s="12" t="str">
        <f>IF(COUNTIFS( $B$2:$B$842, B270, $C$2:$C$842, C270, $D$2:$D$842, D270, $E$2:$E$842, E270) &gt; 1, "Duplicate", "Unique")</f>
        <v>Unique</v>
      </c>
    </row>
    <row r="271" spans="1:15" s="53" customFormat="1" ht="15" thickBot="1" x14ac:dyDescent="0.4">
      <c r="A271" s="54">
        <v>46266.375706018516</v>
      </c>
      <c r="B271" s="55" t="s">
        <v>53</v>
      </c>
      <c r="C271" s="55" t="s">
        <v>7</v>
      </c>
      <c r="D271" s="56">
        <v>3</v>
      </c>
      <c r="E271" s="56">
        <v>2624</v>
      </c>
      <c r="F271" s="4">
        <v>3.3477747139999998</v>
      </c>
      <c r="G271" s="2" t="s">
        <v>54</v>
      </c>
      <c r="H271" s="5">
        <v>2539</v>
      </c>
      <c r="I271" s="1" t="s">
        <v>8</v>
      </c>
      <c r="J271" s="51" t="s">
        <v>118</v>
      </c>
      <c r="K271" s="51" t="s">
        <v>259</v>
      </c>
      <c r="L271" s="51">
        <v>7578</v>
      </c>
      <c r="M271" s="51">
        <f t="shared" si="1"/>
        <v>294</v>
      </c>
      <c r="N271" s="53" t="str">
        <f>IF(COUNTIFS( $B$2:$B$842, B271, $C$2:$C$842, C271, $D$2:$D$842, D271, $E$2:$E$842, E271) &gt; 1, "Duplicate", "Unique")</f>
        <v>Duplicate</v>
      </c>
      <c r="O271" s="51"/>
    </row>
    <row r="272" spans="1:15" s="53" customFormat="1" ht="15" thickBot="1" x14ac:dyDescent="0.4">
      <c r="A272" s="54">
        <v>46266.37568287037</v>
      </c>
      <c r="B272" s="55" t="s">
        <v>87</v>
      </c>
      <c r="C272" s="55" t="s">
        <v>7</v>
      </c>
      <c r="D272" s="56">
        <v>10</v>
      </c>
      <c r="E272" s="56">
        <v>1280</v>
      </c>
      <c r="F272" s="4">
        <v>2.3590563769999999</v>
      </c>
      <c r="G272" s="2" t="s">
        <v>88</v>
      </c>
      <c r="H272" s="5">
        <v>1250.5</v>
      </c>
      <c r="I272" s="1" t="s">
        <v>8</v>
      </c>
      <c r="J272" s="51" t="s">
        <v>117</v>
      </c>
      <c r="K272" s="51" t="s">
        <v>260</v>
      </c>
      <c r="L272" s="51">
        <v>12510</v>
      </c>
      <c r="M272" s="51">
        <f t="shared" si="1"/>
        <v>290</v>
      </c>
      <c r="N272" s="53" t="str">
        <f>IF(COUNTIFS( $B$2:$B$842, B272, $C$2:$C$842, C272, $D$2:$D$842, D272, $E$2:$E$842, E272) &gt; 1, "Duplicate", "Unique")</f>
        <v>Duplicate</v>
      </c>
      <c r="O272" s="51"/>
    </row>
    <row r="273" spans="1:14" ht="15" thickBot="1" x14ac:dyDescent="0.4">
      <c r="A273" s="3">
        <v>46266.375659722224</v>
      </c>
      <c r="B273" s="1" t="s">
        <v>16</v>
      </c>
      <c r="C273" s="1" t="s">
        <v>7</v>
      </c>
      <c r="D273" s="4">
        <v>11</v>
      </c>
      <c r="E273" s="4">
        <v>948</v>
      </c>
      <c r="F273" s="4">
        <v>7.5988876909999998</v>
      </c>
      <c r="G273" s="2" t="s">
        <v>61</v>
      </c>
      <c r="H273" s="5">
        <v>881.05</v>
      </c>
      <c r="I273" s="1" t="s">
        <v>8</v>
      </c>
      <c r="J273" s="20" t="s">
        <v>117</v>
      </c>
      <c r="K273" s="20" t="s">
        <v>261</v>
      </c>
      <c r="L273" s="20">
        <v>9702</v>
      </c>
      <c r="M273" s="20">
        <f t="shared" si="1"/>
        <v>726</v>
      </c>
      <c r="N273" s="12" t="str">
        <f>IF(COUNTIFS( $B$2:$B$842, B273, $C$2:$C$842, C273, $D$2:$D$842, D273, $E$2:$E$842, E273) &gt; 1, "Duplicate", "Unique")</f>
        <v>Unique</v>
      </c>
    </row>
    <row r="274" spans="1:14" ht="15" thickBot="1" x14ac:dyDescent="0.4">
      <c r="A274" s="3">
        <v>46266.37568287037</v>
      </c>
      <c r="B274" s="1" t="s">
        <v>63</v>
      </c>
      <c r="C274" s="1" t="s">
        <v>7</v>
      </c>
      <c r="D274" s="4">
        <v>10</v>
      </c>
      <c r="E274" s="4">
        <v>1060</v>
      </c>
      <c r="F274" s="4">
        <v>2.922613846</v>
      </c>
      <c r="G274" s="2" t="s">
        <v>64</v>
      </c>
      <c r="H274" s="5">
        <v>1029.9000000000001</v>
      </c>
      <c r="I274" s="1" t="s">
        <v>8</v>
      </c>
      <c r="J274" s="20" t="s">
        <v>117</v>
      </c>
      <c r="K274" s="20" t="s">
        <v>262</v>
      </c>
      <c r="L274" s="20">
        <v>10300</v>
      </c>
      <c r="M274" s="20">
        <f t="shared" si="1"/>
        <v>300</v>
      </c>
      <c r="N274" s="12" t="str">
        <f>IF(COUNTIFS( $B$2:$B$842, B274, $C$2:$C$842, C274, $D$2:$D$842, D274, $E$2:$E$842, E274) &gt; 1, "Duplicate", "Unique")</f>
        <v>Unique</v>
      </c>
    </row>
    <row r="275" spans="1:14" ht="15" thickBot="1" x14ac:dyDescent="0.4">
      <c r="A275" s="3">
        <v>46266.375659722224</v>
      </c>
      <c r="B275" s="1" t="s">
        <v>87</v>
      </c>
      <c r="C275" s="1" t="s">
        <v>7</v>
      </c>
      <c r="D275" s="4">
        <v>10</v>
      </c>
      <c r="E275" s="4">
        <v>1296</v>
      </c>
      <c r="F275" s="4">
        <v>3.6385445820000002</v>
      </c>
      <c r="G275" s="2" t="s">
        <v>88</v>
      </c>
      <c r="H275" s="5">
        <v>1250.5</v>
      </c>
      <c r="I275" s="1" t="s">
        <v>8</v>
      </c>
      <c r="J275" s="20" t="s">
        <v>117</v>
      </c>
      <c r="K275" s="20" t="s">
        <v>263</v>
      </c>
      <c r="L275" s="20">
        <v>12600</v>
      </c>
      <c r="M275" s="20">
        <f t="shared" si="1"/>
        <v>360</v>
      </c>
      <c r="N275" s="12" t="str">
        <f>IF(COUNTIFS( $B$2:$B$842, B275, $C$2:$C$842, C275, $D$2:$D$842, D275, $E$2:$E$842, E275) &gt; 1, "Duplicate", "Unique")</f>
        <v>Unique</v>
      </c>
    </row>
    <row r="276" spans="1:14" ht="15" thickBot="1" x14ac:dyDescent="0.4">
      <c r="A276" s="3">
        <v>46266.375671296293</v>
      </c>
      <c r="B276" s="1" t="s">
        <v>15</v>
      </c>
      <c r="C276" s="1" t="s">
        <v>7</v>
      </c>
      <c r="D276" s="4">
        <v>10</v>
      </c>
      <c r="E276" s="4">
        <v>2595</v>
      </c>
      <c r="F276" s="4">
        <v>2.4881516590000001</v>
      </c>
      <c r="G276" s="2" t="s">
        <v>72</v>
      </c>
      <c r="H276" s="5">
        <v>2532</v>
      </c>
      <c r="I276" s="1" t="s">
        <v>8</v>
      </c>
      <c r="J276" s="20" t="s">
        <v>118</v>
      </c>
      <c r="K276" s="20" t="s">
        <v>264</v>
      </c>
      <c r="L276" s="20">
        <v>25300</v>
      </c>
      <c r="M276" s="20">
        <f t="shared" si="1"/>
        <v>650</v>
      </c>
      <c r="N276" s="12" t="str">
        <f>IF(COUNTIFS( $B$2:$B$842, B276, $C$2:$C$842, C276, $D$2:$D$842, D276, $E$2:$E$842, E276) &gt; 1, "Duplicate", "Unique")</f>
        <v>Unique</v>
      </c>
    </row>
    <row r="277" spans="1:14" ht="15" thickBot="1" x14ac:dyDescent="0.4">
      <c r="A277" s="3">
        <v>46266.642777777779</v>
      </c>
      <c r="B277" s="1" t="s">
        <v>14</v>
      </c>
      <c r="C277" s="1" t="s">
        <v>7</v>
      </c>
      <c r="D277" s="4">
        <v>100</v>
      </c>
      <c r="E277" s="4">
        <v>344.5</v>
      </c>
      <c r="F277" s="4">
        <v>1.47275405</v>
      </c>
      <c r="G277" s="2" t="s">
        <v>45</v>
      </c>
      <c r="H277" s="5">
        <v>339.5</v>
      </c>
      <c r="I277" s="1" t="s">
        <v>8</v>
      </c>
      <c r="J277" s="20" t="s">
        <v>117</v>
      </c>
      <c r="K277" s="20" t="s">
        <v>265</v>
      </c>
      <c r="L277" s="20">
        <v>33950</v>
      </c>
      <c r="M277" s="20">
        <f t="shared" si="1"/>
        <v>500</v>
      </c>
      <c r="N277" s="12" t="str">
        <f>IF(COUNTIFS( $B$2:$B$842, B277, $C$2:$C$842, C277, $D$2:$D$842, D277, $E$2:$E$842, E277) &gt; 1, "Duplicate", "Unique")</f>
        <v>Unique</v>
      </c>
    </row>
    <row r="278" spans="1:14" ht="15" thickBot="1" x14ac:dyDescent="0.4">
      <c r="A278" s="3">
        <v>46266.375648148147</v>
      </c>
      <c r="B278" s="1" t="s">
        <v>89</v>
      </c>
      <c r="C278" s="1" t="s">
        <v>7</v>
      </c>
      <c r="D278" s="4">
        <v>1</v>
      </c>
      <c r="E278" s="4">
        <v>14852</v>
      </c>
      <c r="F278" s="4">
        <v>2.4275862070000001</v>
      </c>
      <c r="G278" s="2" t="s">
        <v>90</v>
      </c>
      <c r="H278" s="5">
        <v>14500</v>
      </c>
      <c r="I278" s="1" t="s">
        <v>8</v>
      </c>
      <c r="J278" s="20" t="s">
        <v>118</v>
      </c>
      <c r="K278" s="20" t="s">
        <v>266</v>
      </c>
      <c r="L278" s="20">
        <v>14552</v>
      </c>
      <c r="M278" s="20">
        <f t="shared" si="1"/>
        <v>300</v>
      </c>
      <c r="N278" s="12" t="str">
        <f>IF(COUNTIFS( $B$2:$B$842, B278, $C$2:$C$842, C278, $D$2:$D$842, D278, $E$2:$E$842, E278) &gt; 1, "Duplicate", "Unique")</f>
        <v>Unique</v>
      </c>
    </row>
    <row r="279" spans="1:14" ht="15" thickBot="1" x14ac:dyDescent="0.4">
      <c r="A279" s="3">
        <v>46266.375636574077</v>
      </c>
      <c r="B279" s="1" t="s">
        <v>34</v>
      </c>
      <c r="C279" s="1" t="s">
        <v>7</v>
      </c>
      <c r="D279" s="4">
        <v>1</v>
      </c>
      <c r="E279" s="4">
        <v>20350</v>
      </c>
      <c r="F279" s="4">
        <v>1.826369777</v>
      </c>
      <c r="G279" s="2" t="s">
        <v>71</v>
      </c>
      <c r="H279" s="5">
        <v>19985</v>
      </c>
      <c r="I279" s="1" t="s">
        <v>8</v>
      </c>
      <c r="J279" s="20" t="s">
        <v>118</v>
      </c>
      <c r="K279" s="20" t="s">
        <v>267</v>
      </c>
      <c r="L279" s="20">
        <v>20050</v>
      </c>
      <c r="M279" s="20">
        <f t="shared" si="1"/>
        <v>300</v>
      </c>
      <c r="N279" s="12" t="str">
        <f>IF(COUNTIFS( $B$2:$B$842, B279, $C$2:$C$842, C279, $D$2:$D$842, D279, $E$2:$E$842, E279) &gt; 1, "Duplicate", "Unique")</f>
        <v>Unique</v>
      </c>
    </row>
    <row r="280" spans="1:14" ht="15" thickBot="1" x14ac:dyDescent="0.4">
      <c r="A280" s="3">
        <v>46266.375636574077</v>
      </c>
      <c r="B280" s="1" t="s">
        <v>119</v>
      </c>
      <c r="C280" s="1" t="s">
        <v>7</v>
      </c>
      <c r="D280" s="4">
        <v>15</v>
      </c>
      <c r="E280" s="4">
        <v>1040</v>
      </c>
      <c r="F280" s="4">
        <v>3.6889332000000001</v>
      </c>
      <c r="G280" s="2" t="s">
        <v>120</v>
      </c>
      <c r="H280" s="5">
        <v>1003</v>
      </c>
      <c r="I280" s="1" t="s">
        <v>8</v>
      </c>
      <c r="J280" s="20" t="s">
        <v>117</v>
      </c>
      <c r="K280" s="20" t="s">
        <v>268</v>
      </c>
      <c r="L280" s="20">
        <v>15075</v>
      </c>
      <c r="M280" s="20">
        <f t="shared" si="1"/>
        <v>525</v>
      </c>
      <c r="N280" s="12" t="str">
        <f>IF(COUNTIFS( $B$2:$B$842, B280, $C$2:$C$842, C280, $D$2:$D$842, D280, $E$2:$E$842, E280) &gt; 1, "Duplicate", "Unique")</f>
        <v>Unique</v>
      </c>
    </row>
    <row r="281" spans="1:14" ht="15" thickBot="1" x14ac:dyDescent="0.4">
      <c r="A281" s="3">
        <v>46266.375520833331</v>
      </c>
      <c r="B281" s="1" t="s">
        <v>31</v>
      </c>
      <c r="C281" s="1" t="s">
        <v>10</v>
      </c>
      <c r="D281" s="4">
        <v>5</v>
      </c>
      <c r="E281" s="4">
        <v>601</v>
      </c>
      <c r="F281" s="4">
        <v>-3.0645161289999998</v>
      </c>
      <c r="G281" s="2" t="s">
        <v>94</v>
      </c>
      <c r="H281" s="5">
        <v>620</v>
      </c>
      <c r="I281" s="1" t="s">
        <v>8</v>
      </c>
      <c r="J281" s="20" t="s">
        <v>55</v>
      </c>
      <c r="K281" s="20" t="s">
        <v>269</v>
      </c>
      <c r="L281" s="20">
        <v>3235</v>
      </c>
      <c r="M281" s="20">
        <f t="shared" si="1"/>
        <v>230</v>
      </c>
      <c r="N281" s="12" t="str">
        <f>IF(COUNTIFS( $B$2:$B$842, B281, $C$2:$C$842, C281, $D$2:$D$842, D281, $E$2:$E$842, E281) &gt; 1, "Duplicate", "Unique")</f>
        <v>Duplicate</v>
      </c>
    </row>
    <row r="282" spans="1:14" ht="15" thickBot="1" x14ac:dyDescent="0.4">
      <c r="A282" s="3">
        <v>46266.375520833331</v>
      </c>
      <c r="B282" s="1" t="s">
        <v>17</v>
      </c>
      <c r="C282" s="1" t="s">
        <v>10</v>
      </c>
      <c r="D282" s="4">
        <v>25</v>
      </c>
      <c r="E282" s="4">
        <v>348</v>
      </c>
      <c r="F282" s="4">
        <v>-0.85470085470000001</v>
      </c>
      <c r="G282" s="2" t="s">
        <v>77</v>
      </c>
      <c r="H282" s="5">
        <v>351</v>
      </c>
      <c r="I282" s="1" t="s">
        <v>8</v>
      </c>
      <c r="J282" s="20" t="s">
        <v>55</v>
      </c>
      <c r="K282" s="20" t="s">
        <v>270</v>
      </c>
      <c r="L282" s="20">
        <v>9000</v>
      </c>
      <c r="M282" s="20">
        <f t="shared" si="1"/>
        <v>300</v>
      </c>
      <c r="N282" s="12" t="str">
        <f>IF(COUNTIFS( $B$2:$B$842, B282, $C$2:$C$842, C282, $D$2:$D$842, D282, $E$2:$E$842, E282) &gt; 1, "Duplicate", "Unique")</f>
        <v>Unique</v>
      </c>
    </row>
    <row r="283" spans="1:14" ht="15" thickBot="1" x14ac:dyDescent="0.4">
      <c r="A283" s="3">
        <v>46266.375520833331</v>
      </c>
      <c r="B283" s="1" t="s">
        <v>23</v>
      </c>
      <c r="C283" s="1" t="s">
        <v>10</v>
      </c>
      <c r="D283" s="4">
        <v>40</v>
      </c>
      <c r="E283" s="4">
        <v>211</v>
      </c>
      <c r="F283" s="4">
        <v>-1.910650365</v>
      </c>
      <c r="G283" s="2" t="s">
        <v>70</v>
      </c>
      <c r="H283" s="5">
        <v>215.11</v>
      </c>
      <c r="I283" s="1" t="s">
        <v>8</v>
      </c>
      <c r="J283" s="20" t="s">
        <v>55</v>
      </c>
      <c r="K283" s="20" t="s">
        <v>271</v>
      </c>
      <c r="L283" s="20">
        <v>8760</v>
      </c>
      <c r="M283" s="20">
        <f t="shared" si="1"/>
        <v>320</v>
      </c>
      <c r="N283" s="12" t="str">
        <f>IF(COUNTIFS( $B$2:$B$842, B283, $C$2:$C$842, C283, $D$2:$D$842, D283, $E$2:$E$842, E283) &gt; 1, "Duplicate", "Unique")</f>
        <v>Unique</v>
      </c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topLeftCell="A13" workbookViewId="0">
      <selection activeCell="I2" sqref="I2:J22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236</v>
      </c>
      <c r="B2" t="s">
        <v>11</v>
      </c>
      <c r="C2" t="s">
        <v>10</v>
      </c>
      <c r="D2">
        <v>20</v>
      </c>
      <c r="E2">
        <v>291</v>
      </c>
      <c r="F2" t="s">
        <v>30</v>
      </c>
      <c r="I2" t="str">
        <f>C2 &amp; " " &amp; D2 &amp; "*" &amp; E2 &amp; " :" &amp; A2</f>
        <v>B 20*291 :01 SEP 2026 12:14:15 PM</v>
      </c>
      <c r="J2">
        <f>D2*E2</f>
        <v>5820</v>
      </c>
      <c r="L2" t="str">
        <f>IF(COUNTIFS( $B$2:$B$910, B2) &gt; 1, "Duplicate", "Unique")</f>
        <v>Unique</v>
      </c>
    </row>
    <row r="3" spans="1:12" x14ac:dyDescent="0.35">
      <c r="A3" t="s">
        <v>238</v>
      </c>
      <c r="B3" t="s">
        <v>13</v>
      </c>
      <c r="C3" t="s">
        <v>10</v>
      </c>
      <c r="D3">
        <v>3</v>
      </c>
      <c r="E3">
        <v>1614</v>
      </c>
      <c r="F3" t="s">
        <v>30</v>
      </c>
      <c r="I3" t="str">
        <f t="shared" ref="I3:I4" si="0">C3 &amp; " " &amp; D3 &amp; "*" &amp; E3 &amp; " :" &amp; A3</f>
        <v>B 3*1614 :01 SEP 2026 10:53:35 AM</v>
      </c>
      <c r="J3">
        <f t="shared" ref="J3:J4" si="1">D3*E3</f>
        <v>4842</v>
      </c>
      <c r="L3" t="str">
        <f>IF(COUNTIFS( $B$2:$B$910, B3) &gt; 1, "Duplicate", "Unique")</f>
        <v>Duplicate</v>
      </c>
    </row>
    <row r="4" spans="1:12" x14ac:dyDescent="0.35">
      <c r="A4" t="s">
        <v>239</v>
      </c>
      <c r="B4" t="s">
        <v>237</v>
      </c>
      <c r="C4" t="s">
        <v>7</v>
      </c>
      <c r="D4">
        <v>15</v>
      </c>
      <c r="E4">
        <v>1020</v>
      </c>
      <c r="F4" t="s">
        <v>30</v>
      </c>
      <c r="I4" t="str">
        <f t="shared" si="0"/>
        <v>S 15*1020 :01 SEP 2026 10:30:49 AM</v>
      </c>
      <c r="J4">
        <f t="shared" si="1"/>
        <v>15300</v>
      </c>
      <c r="L4" t="str">
        <f>IF(COUNTIFS( $B$2:$B$910, B4) &gt; 1, "Duplicate", "Unique")</f>
        <v>Unique</v>
      </c>
    </row>
    <row r="5" spans="1:12" x14ac:dyDescent="0.35">
      <c r="A5" t="s">
        <v>240</v>
      </c>
      <c r="B5" t="s">
        <v>87</v>
      </c>
      <c r="C5" t="s">
        <v>10</v>
      </c>
      <c r="D5">
        <v>10</v>
      </c>
      <c r="E5">
        <v>1260</v>
      </c>
      <c r="F5" t="s">
        <v>30</v>
      </c>
      <c r="I5" t="str">
        <f>C5 &amp; " " &amp; D5 &amp; "*" &amp; E5 &amp; " :" &amp; A5</f>
        <v>B 10*1260 :01 SEP 2026 09:31:06 AM</v>
      </c>
      <c r="J5">
        <f t="shared" ref="J5:J7" si="2">D5*E5</f>
        <v>12600</v>
      </c>
      <c r="L5" t="str">
        <f>IF(COUNTIFS( $B$2:$B$910, B5) &gt; 1, "Duplicate", "Unique")</f>
        <v>Duplicate</v>
      </c>
    </row>
    <row r="6" spans="1:12" x14ac:dyDescent="0.35">
      <c r="A6" t="s">
        <v>241</v>
      </c>
      <c r="B6" t="s">
        <v>31</v>
      </c>
      <c r="C6" t="s">
        <v>7</v>
      </c>
      <c r="D6">
        <v>5</v>
      </c>
      <c r="E6">
        <v>649</v>
      </c>
      <c r="F6" t="s">
        <v>30</v>
      </c>
      <c r="I6" t="str">
        <f t="shared" ref="I6:I7" si="3">C6 &amp; " " &amp; D6 &amp; "*" &amp; E6 &amp; " :" &amp; A6</f>
        <v>S 5*649 :01 SEP 2026 09:01:08 AM</v>
      </c>
      <c r="J6">
        <f t="shared" si="2"/>
        <v>3245</v>
      </c>
      <c r="L6" t="str">
        <f>IF(COUNTIFS( $B$2:$B$910, B6) &gt; 1, "Duplicate", "Unique")</f>
        <v>Duplicate</v>
      </c>
    </row>
    <row r="7" spans="1:12" x14ac:dyDescent="0.35">
      <c r="A7" t="s">
        <v>242</v>
      </c>
      <c r="B7" t="s">
        <v>66</v>
      </c>
      <c r="C7" t="s">
        <v>10</v>
      </c>
      <c r="D7">
        <v>5</v>
      </c>
      <c r="E7">
        <v>1188</v>
      </c>
      <c r="F7" t="s">
        <v>30</v>
      </c>
      <c r="I7" t="str">
        <f t="shared" si="3"/>
        <v>B 5*1188 :01 SEP 2026 09:01:03 AM</v>
      </c>
      <c r="J7">
        <f t="shared" si="2"/>
        <v>5940</v>
      </c>
      <c r="L7" t="str">
        <f>IF(COUNTIFS( $B$2:$B$910, B7) &gt; 1, "Duplicate", "Unique")</f>
        <v>Unique</v>
      </c>
    </row>
    <row r="8" spans="1:12" x14ac:dyDescent="0.35">
      <c r="A8" t="s">
        <v>242</v>
      </c>
      <c r="B8" t="s">
        <v>121</v>
      </c>
      <c r="C8" t="s">
        <v>10</v>
      </c>
      <c r="D8">
        <v>25</v>
      </c>
      <c r="E8">
        <v>752</v>
      </c>
      <c r="F8" t="s">
        <v>30</v>
      </c>
      <c r="I8" t="str">
        <f t="shared" ref="I8:I22" si="4">C8 &amp; " " &amp; D8 &amp; "*" &amp; E8 &amp; " :" &amp; A8</f>
        <v>B 25*752 :01 SEP 2026 09:01:03 AM</v>
      </c>
      <c r="J8">
        <f t="shared" ref="J8:J22" si="5">D8*E8</f>
        <v>18800</v>
      </c>
      <c r="L8" t="str">
        <f>IF(COUNTIFS( $B$2:$B$910, B8) &gt; 1, "Duplicate", "Unique")</f>
        <v>Unique</v>
      </c>
    </row>
    <row r="9" spans="1:12" x14ac:dyDescent="0.35">
      <c r="A9" t="s">
        <v>243</v>
      </c>
      <c r="B9" t="s">
        <v>13</v>
      </c>
      <c r="C9" t="s">
        <v>10</v>
      </c>
      <c r="D9">
        <v>5</v>
      </c>
      <c r="E9">
        <v>1664</v>
      </c>
      <c r="F9" t="s">
        <v>30</v>
      </c>
      <c r="I9" t="str">
        <f t="shared" si="4"/>
        <v>B 5*1664 :01 SEP 2026 09:01:00 AM</v>
      </c>
      <c r="J9">
        <f t="shared" si="5"/>
        <v>8320</v>
      </c>
      <c r="L9" t="str">
        <f>IF(COUNTIFS( $B$2:$B$910, B9) &gt; 1, "Duplicate", "Unique")</f>
        <v>Duplicate</v>
      </c>
    </row>
    <row r="10" spans="1:12" x14ac:dyDescent="0.35">
      <c r="A10" t="s">
        <v>244</v>
      </c>
      <c r="B10" t="s">
        <v>53</v>
      </c>
      <c r="C10" t="s">
        <v>10</v>
      </c>
      <c r="D10">
        <v>3</v>
      </c>
      <c r="E10">
        <v>2526</v>
      </c>
      <c r="F10" t="s">
        <v>30</v>
      </c>
      <c r="I10" t="str">
        <f t="shared" si="4"/>
        <v>B 3*2526 :01 SEP 2026 09:01:01 AM</v>
      </c>
      <c r="J10">
        <f t="shared" si="5"/>
        <v>7578</v>
      </c>
      <c r="L10" t="str">
        <f>IF(COUNTIFS( $B$2:$B$910, B10) &gt; 1, "Duplicate", "Unique")</f>
        <v>Unique</v>
      </c>
    </row>
    <row r="11" spans="1:12" x14ac:dyDescent="0.35">
      <c r="A11" t="s">
        <v>245</v>
      </c>
      <c r="B11" t="s">
        <v>87</v>
      </c>
      <c r="C11" t="s">
        <v>10</v>
      </c>
      <c r="D11">
        <v>10</v>
      </c>
      <c r="E11">
        <v>1251</v>
      </c>
      <c r="F11" t="s">
        <v>30</v>
      </c>
      <c r="I11" t="str">
        <f t="shared" si="4"/>
        <v>B 10*1251 :01 SEP 2026 09:00:59 AM</v>
      </c>
      <c r="J11">
        <f t="shared" si="5"/>
        <v>12510</v>
      </c>
      <c r="L11" t="str">
        <f>IF(COUNTIFS( $B$2:$B$910, B11) &gt; 1, "Duplicate", "Unique")</f>
        <v>Duplicate</v>
      </c>
    </row>
    <row r="12" spans="1:12" x14ac:dyDescent="0.35">
      <c r="A12" t="s">
        <v>246</v>
      </c>
      <c r="B12" t="s">
        <v>16</v>
      </c>
      <c r="C12" t="s">
        <v>10</v>
      </c>
      <c r="D12">
        <v>11</v>
      </c>
      <c r="E12">
        <v>882</v>
      </c>
      <c r="F12" t="s">
        <v>30</v>
      </c>
      <c r="I12" t="str">
        <f t="shared" si="4"/>
        <v>B 11*882 :01 SEP 2026 09:00:57 AM</v>
      </c>
      <c r="J12">
        <f t="shared" si="5"/>
        <v>9702</v>
      </c>
      <c r="L12" t="str">
        <f>IF(COUNTIFS( $B$2:$B$910, B12) &gt; 1, "Duplicate", "Unique")</f>
        <v>Unique</v>
      </c>
    </row>
    <row r="13" spans="1:12" x14ac:dyDescent="0.35">
      <c r="A13" t="s">
        <v>245</v>
      </c>
      <c r="B13" t="s">
        <v>63</v>
      </c>
      <c r="C13" t="s">
        <v>10</v>
      </c>
      <c r="D13">
        <v>10</v>
      </c>
      <c r="E13">
        <v>1030</v>
      </c>
      <c r="F13" t="s">
        <v>30</v>
      </c>
      <c r="I13" t="str">
        <f t="shared" si="4"/>
        <v>B 10*1030 :01 SEP 2026 09:00:59 AM</v>
      </c>
      <c r="J13">
        <f t="shared" si="5"/>
        <v>10300</v>
      </c>
      <c r="L13" t="str">
        <f>IF(COUNTIFS( $B$2:$B$910, B13) &gt; 1, "Duplicate", "Unique")</f>
        <v>Unique</v>
      </c>
    </row>
    <row r="14" spans="1:12" x14ac:dyDescent="0.35">
      <c r="A14" t="s">
        <v>246</v>
      </c>
      <c r="B14" t="s">
        <v>87</v>
      </c>
      <c r="C14" t="s">
        <v>10</v>
      </c>
      <c r="D14">
        <v>10</v>
      </c>
      <c r="E14">
        <v>1260</v>
      </c>
      <c r="F14" t="s">
        <v>30</v>
      </c>
      <c r="I14" t="str">
        <f t="shared" si="4"/>
        <v>B 10*1260 :01 SEP 2026 09:00:57 AM</v>
      </c>
      <c r="J14">
        <f t="shared" si="5"/>
        <v>12600</v>
      </c>
      <c r="L14" t="str">
        <f>IF(COUNTIFS( $B$2:$B$910, B14) &gt; 1, "Duplicate", "Unique")</f>
        <v>Duplicate</v>
      </c>
    </row>
    <row r="15" spans="1:12" x14ac:dyDescent="0.35">
      <c r="A15" t="s">
        <v>247</v>
      </c>
      <c r="B15" t="s">
        <v>15</v>
      </c>
      <c r="C15" t="s">
        <v>10</v>
      </c>
      <c r="D15">
        <v>10</v>
      </c>
      <c r="E15">
        <v>2530</v>
      </c>
      <c r="F15" t="s">
        <v>30</v>
      </c>
      <c r="I15" t="str">
        <f t="shared" si="4"/>
        <v>B 10*2530 :01 SEP 2026 09:00:58 AM</v>
      </c>
      <c r="J15">
        <f t="shared" si="5"/>
        <v>25300</v>
      </c>
      <c r="L15" t="str">
        <f>IF(COUNTIFS( $B$2:$B$910, B15) &gt; 1, "Duplicate", "Unique")</f>
        <v>Unique</v>
      </c>
    </row>
    <row r="16" spans="1:12" x14ac:dyDescent="0.35">
      <c r="A16" t="s">
        <v>248</v>
      </c>
      <c r="B16" t="s">
        <v>14</v>
      </c>
      <c r="C16" t="s">
        <v>10</v>
      </c>
      <c r="D16">
        <v>100</v>
      </c>
      <c r="E16">
        <v>339.5</v>
      </c>
      <c r="F16" t="s">
        <v>30</v>
      </c>
      <c r="I16" t="str">
        <f t="shared" si="4"/>
        <v>B 100*339.5 :01 SEP 2026 03:25:36 PM</v>
      </c>
      <c r="J16">
        <f t="shared" si="5"/>
        <v>33950</v>
      </c>
      <c r="L16" t="str">
        <f>IF(COUNTIFS( $B$2:$B$910, B16) &gt; 1, "Duplicate", "Unique")</f>
        <v>Unique</v>
      </c>
    </row>
    <row r="17" spans="1:12" x14ac:dyDescent="0.35">
      <c r="A17" t="s">
        <v>249</v>
      </c>
      <c r="B17" t="s">
        <v>89</v>
      </c>
      <c r="C17" t="s">
        <v>10</v>
      </c>
      <c r="D17">
        <v>1</v>
      </c>
      <c r="E17">
        <v>14552</v>
      </c>
      <c r="F17" t="s">
        <v>30</v>
      </c>
      <c r="I17" t="str">
        <f t="shared" si="4"/>
        <v>B 1*14552 :01 SEP 2026 09:00:56 AM</v>
      </c>
      <c r="J17">
        <f t="shared" si="5"/>
        <v>14552</v>
      </c>
      <c r="L17" t="str">
        <f>IF(COUNTIFS( $B$2:$B$910, B17) &gt; 1, "Duplicate", "Unique")</f>
        <v>Unique</v>
      </c>
    </row>
    <row r="18" spans="1:12" x14ac:dyDescent="0.35">
      <c r="A18" t="s">
        <v>250</v>
      </c>
      <c r="B18" t="s">
        <v>34</v>
      </c>
      <c r="C18" t="s">
        <v>10</v>
      </c>
      <c r="D18">
        <v>1</v>
      </c>
      <c r="E18">
        <v>20050</v>
      </c>
      <c r="F18" t="s">
        <v>30</v>
      </c>
      <c r="I18" t="str">
        <f t="shared" si="4"/>
        <v>B 1*20050 :01 SEP 2026 09:00:55 AM</v>
      </c>
      <c r="J18">
        <f t="shared" si="5"/>
        <v>20050</v>
      </c>
      <c r="L18" t="str">
        <f>IF(COUNTIFS( $B$2:$B$910, B18) &gt; 1, "Duplicate", "Unique")</f>
        <v>Unique</v>
      </c>
    </row>
    <row r="19" spans="1:12" x14ac:dyDescent="0.35">
      <c r="A19" t="s">
        <v>250</v>
      </c>
      <c r="B19" t="s">
        <v>119</v>
      </c>
      <c r="C19" t="s">
        <v>10</v>
      </c>
      <c r="D19">
        <v>15</v>
      </c>
      <c r="E19">
        <v>1005</v>
      </c>
      <c r="F19" t="s">
        <v>30</v>
      </c>
      <c r="I19" t="str">
        <f t="shared" si="4"/>
        <v>B 15*1005 :01 SEP 2026 09:00:55 AM</v>
      </c>
      <c r="J19">
        <f t="shared" si="5"/>
        <v>15075</v>
      </c>
      <c r="L19" t="str">
        <f>IF(COUNTIFS( $B$2:$B$910, B19) &gt; 1, "Duplicate", "Unique")</f>
        <v>Unique</v>
      </c>
    </row>
    <row r="20" spans="1:12" x14ac:dyDescent="0.35">
      <c r="A20" t="s">
        <v>251</v>
      </c>
      <c r="B20" t="s">
        <v>31</v>
      </c>
      <c r="C20" t="s">
        <v>7</v>
      </c>
      <c r="D20">
        <v>5</v>
      </c>
      <c r="E20">
        <v>647</v>
      </c>
      <c r="F20" t="s">
        <v>30</v>
      </c>
      <c r="I20" t="str">
        <f t="shared" si="4"/>
        <v>S 5*647 :01 SEP 2026 09:00:45 AM</v>
      </c>
      <c r="J20">
        <f t="shared" si="5"/>
        <v>3235</v>
      </c>
      <c r="L20" t="str">
        <f>IF(COUNTIFS( $B$2:$B$910, B20) &gt; 1, "Duplicate", "Unique")</f>
        <v>Duplicate</v>
      </c>
    </row>
    <row r="21" spans="1:12" x14ac:dyDescent="0.35">
      <c r="A21" t="s">
        <v>251</v>
      </c>
      <c r="B21" t="s">
        <v>17</v>
      </c>
      <c r="C21" t="s">
        <v>7</v>
      </c>
      <c r="D21">
        <v>25</v>
      </c>
      <c r="E21">
        <v>360</v>
      </c>
      <c r="F21" t="s">
        <v>30</v>
      </c>
      <c r="I21" t="str">
        <f t="shared" si="4"/>
        <v>S 25*360 :01 SEP 2026 09:00:45 AM</v>
      </c>
      <c r="J21">
        <f t="shared" si="5"/>
        <v>9000</v>
      </c>
      <c r="L21" t="str">
        <f>IF(COUNTIFS( $B$2:$B$910, B21) &gt; 1, "Duplicate", "Unique")</f>
        <v>Unique</v>
      </c>
    </row>
    <row r="22" spans="1:12" x14ac:dyDescent="0.35">
      <c r="A22" t="s">
        <v>251</v>
      </c>
      <c r="B22" t="s">
        <v>23</v>
      </c>
      <c r="C22" t="s">
        <v>7</v>
      </c>
      <c r="D22">
        <v>40</v>
      </c>
      <c r="E22">
        <v>219</v>
      </c>
      <c r="F22" t="s">
        <v>30</v>
      </c>
      <c r="I22" t="str">
        <f t="shared" si="4"/>
        <v>S 40*219 :01 SEP 2026 09:00:45 AM</v>
      </c>
      <c r="J22">
        <f t="shared" si="5"/>
        <v>8760</v>
      </c>
      <c r="L22" t="str">
        <f>IF(COUNTIFS( $B$2:$B$910, B22)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8756-7E45-4883-A534-646C1CD43206}">
  <dimension ref="A1:O283"/>
  <sheetViews>
    <sheetView topLeftCell="A255" zoomScaleNormal="100" workbookViewId="0">
      <selection activeCell="I265" sqref="I265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154</v>
      </c>
      <c r="L1" s="20" t="s">
        <v>155</v>
      </c>
      <c r="M1" s="20" t="s">
        <v>156</v>
      </c>
    </row>
    <row r="2" spans="1:15" customFormat="1" ht="27.65" customHeight="1" thickBot="1" x14ac:dyDescent="0.4">
      <c r="A2" s="3">
        <v>46265.375821759262</v>
      </c>
      <c r="B2" s="1" t="s">
        <v>119</v>
      </c>
      <c r="C2" s="1" t="s">
        <v>10</v>
      </c>
      <c r="D2" s="4">
        <v>15</v>
      </c>
      <c r="E2" s="4">
        <v>1010</v>
      </c>
      <c r="F2" s="4">
        <v>0.49751243779999998</v>
      </c>
      <c r="G2" s="2" t="s">
        <v>120</v>
      </c>
      <c r="H2" s="5">
        <v>1005</v>
      </c>
      <c r="I2" s="1" t="s">
        <v>8</v>
      </c>
      <c r="J2" s="29" t="s">
        <v>55</v>
      </c>
      <c r="K2" s="20" t="s">
        <v>232</v>
      </c>
      <c r="L2" s="20">
        <v>15600</v>
      </c>
      <c r="M2" s="20">
        <f>ABS((D2*E2)-L2)</f>
        <v>450</v>
      </c>
      <c r="N2" t="str">
        <f>IF(COUNTIFS( $B$2:$B$842, B2, $C$2:$C$842, C2, $D$2:$D$842, D2, $E$2:$E$842, E2) &gt; 1, "Duplicate", "Unique")</f>
        <v>Unique</v>
      </c>
      <c r="O2" s="20"/>
    </row>
    <row r="3" spans="1:15" customFormat="1" ht="27.65" customHeight="1" thickBot="1" x14ac:dyDescent="0.4">
      <c r="A3" s="3">
        <v>46265.375833333332</v>
      </c>
      <c r="B3" s="1" t="s">
        <v>14</v>
      </c>
      <c r="C3" s="1" t="s">
        <v>10</v>
      </c>
      <c r="D3" s="4">
        <v>100</v>
      </c>
      <c r="E3" s="4">
        <v>337</v>
      </c>
      <c r="F3" s="4">
        <v>-1.027900147</v>
      </c>
      <c r="G3" s="2" t="s">
        <v>45</v>
      </c>
      <c r="H3" s="5">
        <v>340.5</v>
      </c>
      <c r="I3" s="1" t="s">
        <v>8</v>
      </c>
      <c r="J3" s="29" t="s">
        <v>55</v>
      </c>
      <c r="K3" s="20" t="s">
        <v>233</v>
      </c>
      <c r="L3" s="20">
        <v>34450</v>
      </c>
      <c r="M3" s="20">
        <f>ABS((D3*E3)-L3)</f>
        <v>750</v>
      </c>
      <c r="N3" t="str">
        <f>IF(COUNTIFS( $B$2:$B$842, B3, $C$2:$C$842, C3, $D$2:$D$842, D3, $E$2:$E$842, E3) &gt; 1, "Duplicate", "Unique")</f>
        <v>Unique</v>
      </c>
      <c r="O3" s="20"/>
    </row>
    <row r="4" spans="1:15" customFormat="1" ht="15" customHeight="1" thickBot="1" x14ac:dyDescent="0.4">
      <c r="A4" s="3">
        <v>46258.459722222222</v>
      </c>
      <c r="B4" s="1" t="s">
        <v>14</v>
      </c>
      <c r="C4" s="1" t="s">
        <v>10</v>
      </c>
      <c r="D4" s="4">
        <v>50</v>
      </c>
      <c r="E4" s="4">
        <v>335.1</v>
      </c>
      <c r="F4" s="4">
        <v>-1.5859030839999999</v>
      </c>
      <c r="G4" s="2" t="s">
        <v>45</v>
      </c>
      <c r="H4" s="5">
        <v>340.5</v>
      </c>
      <c r="I4" s="1" t="s">
        <v>8</v>
      </c>
      <c r="J4" s="29" t="s">
        <v>55</v>
      </c>
      <c r="K4" s="20" t="s">
        <v>159</v>
      </c>
      <c r="L4" s="20">
        <v>17050</v>
      </c>
      <c r="M4" s="20">
        <f>ABS((D4*E4)-L4)</f>
        <v>295</v>
      </c>
      <c r="N4" s="12" t="str">
        <f>IF(COUNTIFS( $B$2:$B$842, B4, $C$2:$C$842, C4, $D$2:$D$842, D4, $E$2:$E$842, E4) &gt; 1, "Duplicate", "Unique")</f>
        <v>Unique</v>
      </c>
      <c r="O4" s="20"/>
    </row>
    <row r="5" spans="1:15" customFormat="1" ht="27.65" customHeight="1" thickBot="1" x14ac:dyDescent="0.4">
      <c r="A5" s="6" t="s">
        <v>62</v>
      </c>
      <c r="B5" s="1" t="s">
        <v>49</v>
      </c>
      <c r="C5" s="1" t="s">
        <v>10</v>
      </c>
      <c r="D5" s="4">
        <v>5</v>
      </c>
      <c r="E5" s="4">
        <v>3952</v>
      </c>
      <c r="F5" s="4">
        <v>-1.813664596</v>
      </c>
      <c r="G5" s="2" t="s">
        <v>50</v>
      </c>
      <c r="H5" s="5">
        <v>4025</v>
      </c>
      <c r="I5" s="1" t="s">
        <v>8</v>
      </c>
      <c r="J5" s="24" t="s">
        <v>55</v>
      </c>
      <c r="K5" s="19"/>
      <c r="L5" s="19"/>
      <c r="M5" s="19"/>
      <c r="N5" t="str">
        <f>IF(COUNTIFS( $B$2:$B$842, B5, $C$2:$C$842, C5, $D$2:$D$842, D5, $E$2:$E$842, E5) &gt; 1, "Duplicate", "Unique")</f>
        <v>Unique</v>
      </c>
      <c r="O5" s="19"/>
    </row>
    <row r="6" spans="1:15" customFormat="1" ht="27.65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3938</v>
      </c>
      <c r="F6" s="4">
        <v>-2.1614906829999998</v>
      </c>
      <c r="G6" s="2" t="s">
        <v>50</v>
      </c>
      <c r="H6" s="5">
        <v>4025</v>
      </c>
      <c r="I6" s="1" t="s">
        <v>8</v>
      </c>
      <c r="J6" s="25"/>
      <c r="K6" s="19"/>
      <c r="L6" s="19"/>
      <c r="M6" s="19"/>
      <c r="N6" t="str">
        <f>IF(COUNTIFS( $B$2:$B$842, B6, $C$2:$C$842, C6, $D$2:$D$842, D6, $E$2:$E$842, E6) &gt; 1, "Duplicate", "Unique")</f>
        <v>Unique</v>
      </c>
      <c r="O6" s="19"/>
    </row>
    <row r="7" spans="1:15" customFormat="1" ht="40.75" customHeight="1" thickBot="1" x14ac:dyDescent="0.4">
      <c r="A7" s="3">
        <v>46252.645833333336</v>
      </c>
      <c r="B7" s="1" t="s">
        <v>74</v>
      </c>
      <c r="C7" s="1" t="s">
        <v>10</v>
      </c>
      <c r="D7" s="4">
        <v>2</v>
      </c>
      <c r="E7" s="4">
        <v>3210</v>
      </c>
      <c r="F7" s="4">
        <v>-2.2831050230000001</v>
      </c>
      <c r="G7" s="2" t="s">
        <v>75</v>
      </c>
      <c r="H7" s="5">
        <v>3285</v>
      </c>
      <c r="I7" s="1" t="s">
        <v>8</v>
      </c>
      <c r="J7" s="24" t="s">
        <v>55</v>
      </c>
      <c r="K7" s="19"/>
      <c r="L7" s="19"/>
      <c r="M7" s="19"/>
      <c r="N7" t="str">
        <f>IF(COUNTIFS( $B$2:$B$842, B7, $C$2:$C$842, C7, $D$2:$D$842, D7, $E$2:$E$842, E7) &gt; 1, "Duplicate", "Unique")</f>
        <v>Unique</v>
      </c>
      <c r="O7" s="19"/>
    </row>
    <row r="8" spans="1:15" customFormat="1" ht="27.65" customHeight="1" thickBot="1" x14ac:dyDescent="0.4">
      <c r="A8" s="3">
        <v>46261.375</v>
      </c>
      <c r="B8" s="1" t="s">
        <v>32</v>
      </c>
      <c r="C8" s="1" t="s">
        <v>10</v>
      </c>
      <c r="D8" s="4">
        <v>20</v>
      </c>
      <c r="E8" s="4">
        <v>870</v>
      </c>
      <c r="F8" s="4">
        <v>-2.4007179719999998</v>
      </c>
      <c r="G8" s="2" t="s">
        <v>85</v>
      </c>
      <c r="H8" s="5">
        <v>891.4</v>
      </c>
      <c r="I8" s="1" t="s">
        <v>8</v>
      </c>
      <c r="J8" s="29" t="s">
        <v>41</v>
      </c>
      <c r="K8" s="20" t="s">
        <v>196</v>
      </c>
      <c r="L8" s="20">
        <v>17700</v>
      </c>
      <c r="M8" s="20">
        <f>ABS((D8*E8)-L8)</f>
        <v>300</v>
      </c>
      <c r="N8" s="12" t="str">
        <f>IF(COUNTIFS( $B$2:$B$842, B8, $C$2:$C$842, C8, $D$2:$D$842, D8, $E$2:$E$842, E8) &gt; 1, "Duplicate", "Unique")</f>
        <v>Unique</v>
      </c>
      <c r="O8" s="20"/>
    </row>
    <row r="9" spans="1:15" customFormat="1" ht="27.65" customHeight="1" thickBot="1" x14ac:dyDescent="0.4">
      <c r="A9" s="43">
        <v>46255</v>
      </c>
      <c r="B9" s="44" t="s">
        <v>34</v>
      </c>
      <c r="C9" s="44" t="s">
        <v>10</v>
      </c>
      <c r="D9" s="45">
        <v>1</v>
      </c>
      <c r="E9" s="45">
        <v>19652</v>
      </c>
      <c r="F9" s="4">
        <v>-2.5101696599999999</v>
      </c>
      <c r="G9" s="2" t="s">
        <v>71</v>
      </c>
      <c r="H9" s="5">
        <v>20158</v>
      </c>
      <c r="I9" s="1" t="s">
        <v>8</v>
      </c>
      <c r="J9" s="40" t="s">
        <v>41</v>
      </c>
      <c r="K9" s="41" t="s">
        <v>150</v>
      </c>
      <c r="L9" s="41">
        <v>19992</v>
      </c>
      <c r="M9" s="41">
        <f>ABS((D9*E9)-L9)</f>
        <v>340</v>
      </c>
      <c r="N9" s="42" t="str">
        <f>IF(COUNTIFS( $B$2:$B$842, B9, $C$2:$C$842, C9, $D$2:$D$842, D9, $E$2:$E$842, E9) &gt; 1, "Duplicate", "Unique")</f>
        <v>Unique</v>
      </c>
      <c r="O9" s="41"/>
    </row>
    <row r="10" spans="1:15" customFormat="1" ht="27.65" customHeight="1" thickBot="1" x14ac:dyDescent="0.4">
      <c r="A10" s="3">
        <v>46252.645833333336</v>
      </c>
      <c r="B10" s="1" t="s">
        <v>51</v>
      </c>
      <c r="C10" s="1" t="s">
        <v>10</v>
      </c>
      <c r="D10" s="4">
        <v>10</v>
      </c>
      <c r="E10" s="4">
        <v>927</v>
      </c>
      <c r="F10" s="4">
        <v>-2.5236593059999999</v>
      </c>
      <c r="G10" s="2" t="s">
        <v>52</v>
      </c>
      <c r="H10" s="5">
        <v>951</v>
      </c>
      <c r="I10" s="1" t="s">
        <v>8</v>
      </c>
      <c r="J10" s="25"/>
      <c r="K10" s="19"/>
      <c r="L10" s="19"/>
      <c r="M10" s="19"/>
      <c r="N10" t="str">
        <f>IF(COUNTIFS( $B$2:$B$842, B10, $C$2:$C$842, C10, $D$2:$D$842, D10, $E$2:$E$842, E10) &gt; 1, "Duplicate", "Unique")</f>
        <v>Unique</v>
      </c>
      <c r="O10" s="19"/>
    </row>
    <row r="11" spans="1:15" customFormat="1" ht="27.65" customHeight="1" thickBot="1" x14ac:dyDescent="0.4">
      <c r="A11" s="6" t="s">
        <v>62</v>
      </c>
      <c r="B11" s="1" t="s">
        <v>14</v>
      </c>
      <c r="C11" s="1" t="s">
        <v>10</v>
      </c>
      <c r="D11" s="4">
        <v>100</v>
      </c>
      <c r="E11" s="4">
        <v>331</v>
      </c>
      <c r="F11" s="4">
        <v>-2.790014684</v>
      </c>
      <c r="G11" s="2" t="s">
        <v>45</v>
      </c>
      <c r="H11" s="5">
        <v>340.5</v>
      </c>
      <c r="I11" s="1" t="s">
        <v>8</v>
      </c>
      <c r="J11" s="25" t="s">
        <v>55</v>
      </c>
      <c r="K11" s="19"/>
      <c r="L11" s="19"/>
      <c r="M11" s="19"/>
      <c r="N11" t="str">
        <f>IF(COUNTIFS( $B$2:$B$842, B11, $C$2:$C$842, C11, $D$2:$D$842, D11, $E$2:$E$842, E11) &gt; 1, "Duplicate", "Unique")</f>
        <v>Unique</v>
      </c>
      <c r="O11" s="19"/>
    </row>
    <row r="12" spans="1:15" customFormat="1" ht="27.65" customHeight="1" thickBot="1" x14ac:dyDescent="0.4">
      <c r="A12" s="3">
        <v>46261.375</v>
      </c>
      <c r="B12" s="1" t="s">
        <v>23</v>
      </c>
      <c r="C12" s="1" t="s">
        <v>10</v>
      </c>
      <c r="D12" s="4">
        <v>50</v>
      </c>
      <c r="E12" s="4">
        <v>208</v>
      </c>
      <c r="F12" s="4">
        <v>-2.7946537060000001</v>
      </c>
      <c r="G12" s="2" t="s">
        <v>70</v>
      </c>
      <c r="H12" s="5">
        <v>213.98</v>
      </c>
      <c r="I12" s="1" t="s">
        <v>8</v>
      </c>
      <c r="J12" s="29" t="s">
        <v>55</v>
      </c>
      <c r="K12" s="20" t="s">
        <v>193</v>
      </c>
      <c r="L12" s="20">
        <v>10700</v>
      </c>
      <c r="M12" s="20">
        <f>ABS((D12*E12)-L12)</f>
        <v>300</v>
      </c>
      <c r="N12" s="12" t="str">
        <f>IF(COUNTIFS( $B$2:$B$842, B12, $C$2:$C$842, C12, $D$2:$D$842, D12, $E$2:$E$842, E12) &gt; 1, "Duplicate", "Unique")</f>
        <v>Unique</v>
      </c>
      <c r="O12" s="20"/>
    </row>
    <row r="13" spans="1:15" customFormat="1" ht="27.65" customHeight="1" thickBot="1" x14ac:dyDescent="0.4">
      <c r="A13" s="3">
        <v>46252.645138888889</v>
      </c>
      <c r="B13" s="1" t="s">
        <v>68</v>
      </c>
      <c r="C13" s="1" t="s">
        <v>10</v>
      </c>
      <c r="D13" s="4">
        <v>10</v>
      </c>
      <c r="E13" s="4">
        <v>401</v>
      </c>
      <c r="F13" s="4">
        <v>-2.8114396510000002</v>
      </c>
      <c r="G13" s="2" t="s">
        <v>69</v>
      </c>
      <c r="H13" s="5">
        <v>412.6</v>
      </c>
      <c r="I13" s="1" t="s">
        <v>8</v>
      </c>
      <c r="J13" s="27" t="s">
        <v>118</v>
      </c>
      <c r="K13" s="19"/>
      <c r="L13" s="19"/>
      <c r="M13" s="19"/>
      <c r="N13" t="str">
        <f>IF(COUNTIFS( $B$2:$B$842, B13, $C$2:$C$842, C13, $D$2:$D$842, D13, $E$2:$E$842, E13) &gt; 1, "Duplicate", "Unique")</f>
        <v>Unique</v>
      </c>
      <c r="O13" s="19"/>
    </row>
    <row r="14" spans="1:15" customFormat="1" ht="27.65" customHeight="1" thickBot="1" x14ac:dyDescent="0.4">
      <c r="A14" s="3">
        <v>46252.6875</v>
      </c>
      <c r="B14" s="1" t="s">
        <v>24</v>
      </c>
      <c r="C14" s="1" t="s">
        <v>10</v>
      </c>
      <c r="D14" s="4">
        <v>40</v>
      </c>
      <c r="E14" s="4">
        <v>426</v>
      </c>
      <c r="F14" s="4">
        <v>-2.8395484089999998</v>
      </c>
      <c r="G14" s="2" t="s">
        <v>56</v>
      </c>
      <c r="H14" s="5">
        <v>438.45</v>
      </c>
      <c r="I14" s="1" t="s">
        <v>8</v>
      </c>
      <c r="J14" s="25" t="s">
        <v>55</v>
      </c>
      <c r="K14" s="19"/>
      <c r="L14" s="19"/>
      <c r="M14" s="19"/>
      <c r="N14" t="str">
        <f>IF(COUNTIFS( $B$2:$B$842, B14, $C$2:$C$842, C14, $D$2:$D$842, D14, $E$2:$E$842, E14) &gt; 1, "Duplicate", "Unique")</f>
        <v>Unique</v>
      </c>
      <c r="O14" s="19"/>
    </row>
    <row r="15" spans="1:15" customFormat="1" ht="15" customHeight="1" thickBot="1" x14ac:dyDescent="0.4">
      <c r="A15" s="3">
        <v>46260.375</v>
      </c>
      <c r="B15" s="1" t="s">
        <v>78</v>
      </c>
      <c r="C15" s="1" t="s">
        <v>10</v>
      </c>
      <c r="D15" s="4">
        <v>3</v>
      </c>
      <c r="E15" s="4">
        <v>1360</v>
      </c>
      <c r="F15" s="4">
        <v>-2.9957203990000001</v>
      </c>
      <c r="G15" s="2" t="s">
        <v>79</v>
      </c>
      <c r="H15" s="5">
        <v>1402</v>
      </c>
      <c r="I15" s="1" t="s">
        <v>8</v>
      </c>
      <c r="J15" s="29" t="s">
        <v>41</v>
      </c>
      <c r="K15" s="20" t="s">
        <v>180</v>
      </c>
      <c r="L15" s="20">
        <v>9968</v>
      </c>
      <c r="M15" s="20">
        <f>ABS((D15*E15)-L15)</f>
        <v>5888</v>
      </c>
      <c r="N15" t="str">
        <f>IF(COUNTIFS( $B$2:$B$842, B15, $C$2:$C$842, C15, $D$2:$D$842, D15, $E$2:$E$842, E15) &gt; 1, "Duplicate", "Unique")</f>
        <v>Unique</v>
      </c>
      <c r="O15" s="20"/>
    </row>
    <row r="16" spans="1:15" customFormat="1" ht="27.65" customHeight="1" thickBot="1" x14ac:dyDescent="0.4">
      <c r="A16" s="6" t="s">
        <v>62</v>
      </c>
      <c r="B16" s="1" t="s">
        <v>9</v>
      </c>
      <c r="C16" s="1" t="s">
        <v>10</v>
      </c>
      <c r="D16" s="4">
        <v>20</v>
      </c>
      <c r="E16" s="4">
        <v>281</v>
      </c>
      <c r="F16" s="4">
        <v>-3.0198446940000001</v>
      </c>
      <c r="G16" s="2" t="s">
        <v>95</v>
      </c>
      <c r="H16" s="5">
        <v>289.75</v>
      </c>
      <c r="I16" s="1" t="s">
        <v>8</v>
      </c>
      <c r="J16" s="25"/>
      <c r="K16" s="19"/>
      <c r="L16" s="19"/>
      <c r="M16" s="19"/>
      <c r="N16" t="str">
        <f>IF(COUNTIFS( $B$2:$B$842, B16, $C$2:$C$842, C16, $D$2:$D$842, D16, $E$2:$E$842, E16) &gt; 1, "Duplicate", "Unique")</f>
        <v>Unique</v>
      </c>
      <c r="O16" s="19"/>
    </row>
    <row r="17" spans="1:15" customFormat="1" ht="15" customHeight="1" thickBot="1" x14ac:dyDescent="0.4">
      <c r="A17" s="6" t="s">
        <v>62</v>
      </c>
      <c r="B17" s="1" t="s">
        <v>15</v>
      </c>
      <c r="C17" s="1" t="s">
        <v>10</v>
      </c>
      <c r="D17" s="4">
        <v>5</v>
      </c>
      <c r="E17" s="4">
        <v>2490</v>
      </c>
      <c r="F17" s="4">
        <v>-3.0336072280000002</v>
      </c>
      <c r="G17" s="2" t="s">
        <v>72</v>
      </c>
      <c r="H17" s="5">
        <v>2567.9</v>
      </c>
      <c r="I17" s="1" t="s">
        <v>8</v>
      </c>
      <c r="J17" s="25"/>
      <c r="K17" s="19"/>
      <c r="L17" s="19"/>
      <c r="M17" s="19"/>
      <c r="N17" t="str">
        <f>IF(COUNTIFS( $B$2:$B$842, B17, $C$2:$C$842, C17, $D$2:$D$842, D17, $E$2:$E$842, E17) &gt; 1, "Duplicate", "Unique")</f>
        <v>Unique</v>
      </c>
      <c r="O17" s="19"/>
    </row>
    <row r="18" spans="1:15" customFormat="1" ht="27.65" customHeight="1" thickBot="1" x14ac:dyDescent="0.4">
      <c r="A18" s="3">
        <v>46252.6875</v>
      </c>
      <c r="B18" s="1" t="s">
        <v>25</v>
      </c>
      <c r="C18" s="1" t="s">
        <v>10</v>
      </c>
      <c r="D18" s="4">
        <v>500</v>
      </c>
      <c r="E18" s="4">
        <v>33.159999999999997</v>
      </c>
      <c r="F18" s="4">
        <v>-3.3236151600000001</v>
      </c>
      <c r="G18" s="2" t="s">
        <v>46</v>
      </c>
      <c r="H18" s="5">
        <v>34.299999999999997</v>
      </c>
      <c r="I18" s="1" t="s">
        <v>8</v>
      </c>
      <c r="J18" s="25"/>
      <c r="K18" s="19"/>
      <c r="L18" s="19"/>
      <c r="M18" s="19"/>
      <c r="N18" t="str">
        <f>IF(COUNTIFS( $B$2:$B$842, B18, $C$2:$C$842, C18, $D$2:$D$842, D18, $E$2:$E$842, E18) &gt; 1, "Duplicate", "Unique")</f>
        <v>Unique</v>
      </c>
      <c r="O18" s="19"/>
    </row>
    <row r="19" spans="1:15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5</v>
      </c>
      <c r="E19" s="4">
        <v>3888</v>
      </c>
      <c r="F19" s="4">
        <v>-3.4037267080000002</v>
      </c>
      <c r="G19" s="2" t="s">
        <v>50</v>
      </c>
      <c r="H19" s="5">
        <v>4025</v>
      </c>
      <c r="I19" s="1" t="s">
        <v>8</v>
      </c>
      <c r="J19" s="25"/>
      <c r="K19" s="19"/>
      <c r="L19" s="19"/>
      <c r="M19" s="19"/>
      <c r="N19" t="str">
        <f>IF(COUNTIFS( $B$2:$B$842, B19, $C$2:$C$842, C19, $D$2:$D$842, D19, $E$2:$E$842, E19) &gt; 1, "Duplicate", "Unique")</f>
        <v>Unique</v>
      </c>
      <c r="O19" s="19"/>
    </row>
    <row r="20" spans="1:15" customFormat="1" ht="15" customHeight="1" thickBot="1" x14ac:dyDescent="0.4">
      <c r="A20" s="3">
        <v>46261.375</v>
      </c>
      <c r="B20" s="1" t="s">
        <v>32</v>
      </c>
      <c r="C20" s="1" t="s">
        <v>10</v>
      </c>
      <c r="D20" s="4">
        <v>20</v>
      </c>
      <c r="E20" s="4">
        <v>861</v>
      </c>
      <c r="F20" s="4">
        <v>-3.4103657169999999</v>
      </c>
      <c r="G20" s="2" t="s">
        <v>85</v>
      </c>
      <c r="H20" s="5">
        <v>891.4</v>
      </c>
      <c r="I20" s="1" t="s">
        <v>8</v>
      </c>
      <c r="J20" s="29" t="s">
        <v>55</v>
      </c>
      <c r="K20" s="20" t="s">
        <v>194</v>
      </c>
      <c r="L20" s="20">
        <v>17920</v>
      </c>
      <c r="M20" s="20">
        <f>ABS((D20*E20)-L20)</f>
        <v>700</v>
      </c>
      <c r="N20" s="12" t="str">
        <f>IF(COUNTIFS( $B$2:$B$842, B20, $C$2:$C$842, C20, $D$2:$D$842, D20, $E$2:$E$842, E20) &gt; 1, "Duplicate", "Unique")</f>
        <v>Unique</v>
      </c>
      <c r="O20" s="20"/>
    </row>
    <row r="21" spans="1:15" customFormat="1" ht="15" customHeight="1" thickBot="1" x14ac:dyDescent="0.4">
      <c r="A21" s="3">
        <v>46252.635416666664</v>
      </c>
      <c r="B21" s="1" t="s">
        <v>51</v>
      </c>
      <c r="C21" s="1" t="s">
        <v>10</v>
      </c>
      <c r="D21" s="4">
        <v>20</v>
      </c>
      <c r="E21" s="4">
        <v>917</v>
      </c>
      <c r="F21" s="4">
        <v>-3.5751840170000002</v>
      </c>
      <c r="G21" s="2" t="s">
        <v>52</v>
      </c>
      <c r="H21" s="5">
        <v>951</v>
      </c>
      <c r="I21" s="1" t="s">
        <v>8</v>
      </c>
      <c r="J21" s="26" t="s">
        <v>117</v>
      </c>
      <c r="K21" s="19"/>
      <c r="L21" s="19"/>
      <c r="M21" s="19"/>
      <c r="N21" t="str">
        <f>IF(COUNTIFS( $B$2:$B$842, B21, $C$2:$C$842, C21, $D$2:$D$842, D21, $E$2:$E$842, E21) &gt; 1, "Duplicate", "Unique")</f>
        <v>Unique</v>
      </c>
      <c r="O21" s="19"/>
    </row>
    <row r="22" spans="1:15" customFormat="1" ht="15" customHeight="1" thickBot="1" x14ac:dyDescent="0.4">
      <c r="A22" s="3">
        <v>46265.375844907408</v>
      </c>
      <c r="B22" s="1" t="s">
        <v>21</v>
      </c>
      <c r="C22" s="1" t="s">
        <v>10</v>
      </c>
      <c r="D22" s="4">
        <v>5</v>
      </c>
      <c r="E22" s="4">
        <v>680</v>
      </c>
      <c r="F22" s="4">
        <v>-3.5871260459999998</v>
      </c>
      <c r="G22" s="2" t="s">
        <v>76</v>
      </c>
      <c r="H22" s="5">
        <v>705.3</v>
      </c>
      <c r="I22" s="1" t="s">
        <v>8</v>
      </c>
      <c r="J22" s="29" t="s">
        <v>41</v>
      </c>
      <c r="K22" s="20" t="s">
        <v>231</v>
      </c>
      <c r="L22" s="20">
        <v>3650</v>
      </c>
      <c r="M22" s="20">
        <f>ABS((D22*E22)-L22)</f>
        <v>250</v>
      </c>
      <c r="N22" t="str">
        <f>IF(COUNTIFS( $B$2:$B$842, B22, $C$2:$C$842, C22, $D$2:$D$842, D22, $E$2:$E$842, E22) &gt; 1, "Duplicate", "Unique")</f>
        <v>Unique</v>
      </c>
      <c r="O22" s="20"/>
    </row>
    <row r="23" spans="1:15" customFormat="1" ht="40.75" customHeight="1" thickBot="1" x14ac:dyDescent="0.4">
      <c r="A23" s="6" t="s">
        <v>62</v>
      </c>
      <c r="B23" s="1" t="s">
        <v>63</v>
      </c>
      <c r="C23" s="1" t="s">
        <v>10</v>
      </c>
      <c r="D23" s="4">
        <v>15</v>
      </c>
      <c r="E23" s="4">
        <v>1005</v>
      </c>
      <c r="F23" s="4">
        <v>-3.5971223019999998</v>
      </c>
      <c r="G23" s="2" t="s">
        <v>64</v>
      </c>
      <c r="H23" s="5">
        <v>1042.5</v>
      </c>
      <c r="I23" s="1" t="s">
        <v>8</v>
      </c>
      <c r="J23" s="25"/>
      <c r="K23" s="19"/>
      <c r="L23" s="19"/>
      <c r="M23" s="19"/>
      <c r="N23" t="str">
        <f>IF(COUNTIFS( $B$2:$B$842, B23, $C$2:$C$842, C23, $D$2:$D$842, D23, $E$2:$E$842, E23) &gt; 1, "Duplicate", "Unique")</f>
        <v>Unique</v>
      </c>
      <c r="O23" s="19"/>
    </row>
    <row r="24" spans="1:15" customFormat="1" ht="27.65" customHeight="1" thickBot="1" x14ac:dyDescent="0.4">
      <c r="A24" s="3">
        <v>46258.375694444447</v>
      </c>
      <c r="B24" s="1" t="s">
        <v>80</v>
      </c>
      <c r="C24" s="1" t="s">
        <v>10</v>
      </c>
      <c r="D24" s="4">
        <v>10</v>
      </c>
      <c r="E24" s="4">
        <v>1452</v>
      </c>
      <c r="F24" s="4">
        <v>-3.61125863</v>
      </c>
      <c r="G24" s="2" t="s">
        <v>81</v>
      </c>
      <c r="H24" s="5">
        <v>1506.4</v>
      </c>
      <c r="I24" s="1" t="s">
        <v>8</v>
      </c>
      <c r="J24" s="29" t="s">
        <v>55</v>
      </c>
      <c r="K24" s="20" t="s">
        <v>164</v>
      </c>
      <c r="L24" s="20">
        <v>15100</v>
      </c>
      <c r="M24" s="20">
        <f>ABS((D24*E24)-L24)</f>
        <v>580</v>
      </c>
      <c r="N24" s="12" t="str">
        <f>IF(COUNTIFS( $B$2:$B$842, B24, $C$2:$C$842, C24, $D$2:$D$842, D24, $E$2:$E$842, E24) &gt; 1, "Duplicate", "Unique")</f>
        <v>Unique</v>
      </c>
      <c r="O24" s="20"/>
    </row>
    <row r="25" spans="1:15" customFormat="1" ht="15" customHeight="1" thickBot="1" x14ac:dyDescent="0.4">
      <c r="A25" s="6" t="s">
        <v>62</v>
      </c>
      <c r="B25" s="1" t="s">
        <v>109</v>
      </c>
      <c r="C25" s="1" t="s">
        <v>10</v>
      </c>
      <c r="D25" s="4">
        <v>1</v>
      </c>
      <c r="E25" s="4">
        <v>4640</v>
      </c>
      <c r="F25" s="4">
        <v>-3.6344755969999998</v>
      </c>
      <c r="G25" s="2" t="s">
        <v>110</v>
      </c>
      <c r="H25" s="5">
        <v>4815</v>
      </c>
      <c r="I25" s="1" t="s">
        <v>8</v>
      </c>
      <c r="J25" s="25"/>
      <c r="K25" s="19"/>
      <c r="L25" s="19"/>
      <c r="M25" s="19"/>
      <c r="N25" t="str">
        <f>IF(COUNTIFS( $B$2:$B$842, B25, $C$2:$C$842, C25, $D$2:$D$842, D25, $E$2:$E$842, E25) &gt; 1, "Duplicate", "Unique")</f>
        <v>Unique</v>
      </c>
      <c r="O25" s="19"/>
    </row>
    <row r="26" spans="1:15" customFormat="1" ht="27.65" customHeight="1" thickBot="1" x14ac:dyDescent="0.4">
      <c r="A26" s="6" t="s">
        <v>62</v>
      </c>
      <c r="B26" s="1" t="s">
        <v>16</v>
      </c>
      <c r="C26" s="1" t="s">
        <v>10</v>
      </c>
      <c r="D26" s="4">
        <v>30</v>
      </c>
      <c r="E26" s="4">
        <v>860</v>
      </c>
      <c r="F26" s="4">
        <v>-3.695408735</v>
      </c>
      <c r="G26" s="2" t="s">
        <v>61</v>
      </c>
      <c r="H26" s="5">
        <v>893</v>
      </c>
      <c r="I26" s="1" t="s">
        <v>8</v>
      </c>
      <c r="J26" s="25"/>
      <c r="K26" s="19"/>
      <c r="L26" s="19"/>
      <c r="M26" s="19"/>
      <c r="N26" t="str">
        <f>IF(COUNTIFS( $B$2:$B$842, B26, $C$2:$C$842, C26, $D$2:$D$842, D26, $E$2:$E$842, E26) &gt; 1, "Duplicate", "Unique")</f>
        <v>Unique</v>
      </c>
      <c r="O26" s="19"/>
    </row>
    <row r="27" spans="1:15" customFormat="1" ht="27.65" customHeight="1" thickBot="1" x14ac:dyDescent="0.4">
      <c r="A27" s="3">
        <v>46252.645833333336</v>
      </c>
      <c r="B27" s="1" t="s">
        <v>53</v>
      </c>
      <c r="C27" s="1" t="s">
        <v>10</v>
      </c>
      <c r="D27" s="4">
        <v>2</v>
      </c>
      <c r="E27" s="4">
        <v>2460</v>
      </c>
      <c r="F27" s="4">
        <v>-3.7332707209999998</v>
      </c>
      <c r="G27" s="2" t="s">
        <v>54</v>
      </c>
      <c r="H27" s="5">
        <v>2555.4</v>
      </c>
      <c r="I27" s="1" t="s">
        <v>8</v>
      </c>
      <c r="J27" s="27" t="s">
        <v>41</v>
      </c>
      <c r="K27" s="19"/>
      <c r="L27" s="19"/>
      <c r="M27" s="19"/>
      <c r="N27" t="str">
        <f>IF(COUNTIFS( $B$2:$B$842, B27, $C$2:$C$842, C27, $D$2:$D$842, D27, $E$2:$E$842, E27) &gt; 1, "Duplicate", "Unique")</f>
        <v>Unique</v>
      </c>
      <c r="O27" s="19"/>
    </row>
    <row r="28" spans="1:15" customFormat="1" ht="40.75" customHeight="1" thickBot="1" x14ac:dyDescent="0.4">
      <c r="A28" s="6" t="s">
        <v>62</v>
      </c>
      <c r="B28" s="1" t="s">
        <v>15</v>
      </c>
      <c r="C28" s="1" t="s">
        <v>10</v>
      </c>
      <c r="D28" s="4">
        <v>5</v>
      </c>
      <c r="E28" s="4">
        <v>2470</v>
      </c>
      <c r="F28" s="4">
        <v>-3.812453756</v>
      </c>
      <c r="G28" s="2" t="s">
        <v>72</v>
      </c>
      <c r="H28" s="5">
        <v>2567.9</v>
      </c>
      <c r="I28" s="1" t="s">
        <v>8</v>
      </c>
      <c r="J28" s="25"/>
      <c r="K28" s="19"/>
      <c r="L28" s="19"/>
      <c r="M28" s="19"/>
      <c r="N28" t="str">
        <f>IF(COUNTIFS( $B$2:$B$842, B28, $C$2:$C$842, C28, $D$2:$D$842, D28, $E$2:$E$842, E28) &gt; 1, "Duplicate", "Unique")</f>
        <v>Unique</v>
      </c>
      <c r="O28" s="19"/>
    </row>
    <row r="29" spans="1:15" customFormat="1" ht="27.65" customHeight="1" thickBot="1" x14ac:dyDescent="0.4">
      <c r="A29" s="22">
        <v>46255</v>
      </c>
      <c r="B29" s="1" t="s">
        <v>17</v>
      </c>
      <c r="C29" s="1" t="s">
        <v>10</v>
      </c>
      <c r="D29" s="4">
        <v>25</v>
      </c>
      <c r="E29" s="4">
        <v>336</v>
      </c>
      <c r="F29" s="4">
        <v>-3.8626609439999999</v>
      </c>
      <c r="G29" s="2" t="s">
        <v>77</v>
      </c>
      <c r="H29" s="5">
        <v>349.5</v>
      </c>
      <c r="I29" s="1" t="s">
        <v>8</v>
      </c>
      <c r="J29" s="29" t="s">
        <v>55</v>
      </c>
      <c r="K29" s="20" t="s">
        <v>151</v>
      </c>
      <c r="L29" s="20">
        <v>8700</v>
      </c>
      <c r="M29" s="20">
        <f>ABS((D29*E29)-L29)</f>
        <v>300</v>
      </c>
      <c r="N29" s="12" t="str">
        <f>IF(COUNTIFS( $B$2:$B$842, B29, $C$2:$C$842, C29, $D$2:$D$842, D29, $E$2:$E$842, E29) &gt; 1, "Duplicate", "Unique")</f>
        <v>Unique</v>
      </c>
      <c r="O29" s="20"/>
    </row>
    <row r="30" spans="1:15" customFormat="1" ht="27.65" customHeight="1" thickBot="1" x14ac:dyDescent="0.4">
      <c r="A30" s="6" t="s">
        <v>62</v>
      </c>
      <c r="B30" s="1" t="s">
        <v>103</v>
      </c>
      <c r="C30" s="1" t="s">
        <v>10</v>
      </c>
      <c r="D30" s="4">
        <v>7</v>
      </c>
      <c r="E30" s="4">
        <v>2401</v>
      </c>
      <c r="F30" s="4">
        <v>-3.8754103610000001</v>
      </c>
      <c r="G30" s="2" t="s">
        <v>104</v>
      </c>
      <c r="H30" s="5">
        <v>2497.8000000000002</v>
      </c>
      <c r="I30" s="1" t="s">
        <v>8</v>
      </c>
      <c r="J30" s="25"/>
      <c r="K30" s="19"/>
      <c r="L30" s="19"/>
      <c r="M30" s="19"/>
      <c r="N30" t="str">
        <f>IF(COUNTIFS( $B$2:$B$842, B30, $C$2:$C$842, C30, $D$2:$D$842, D30, $E$2:$E$842, E30) &gt; 1, "Duplicate", "Unique")</f>
        <v>Unique</v>
      </c>
      <c r="O30" s="19"/>
    </row>
    <row r="31" spans="1:15" customFormat="1" ht="27.65" customHeight="1" thickBot="1" x14ac:dyDescent="0.4">
      <c r="A31" s="6" t="s">
        <v>62</v>
      </c>
      <c r="B31" s="1" t="s">
        <v>14</v>
      </c>
      <c r="C31" s="1" t="s">
        <v>10</v>
      </c>
      <c r="D31" s="4">
        <v>100</v>
      </c>
      <c r="E31" s="4">
        <v>327</v>
      </c>
      <c r="F31" s="4">
        <v>-3.9647577090000001</v>
      </c>
      <c r="G31" s="2" t="s">
        <v>45</v>
      </c>
      <c r="H31" s="5">
        <v>340.5</v>
      </c>
      <c r="I31" s="1" t="s">
        <v>8</v>
      </c>
      <c r="J31" s="25"/>
      <c r="K31" s="19"/>
      <c r="L31" s="19"/>
      <c r="M31" s="19"/>
      <c r="N31" t="str">
        <f>IF(COUNTIFS( $B$2:$B$842, B31, $C$2:$C$842, C31, $D$2:$D$842, D31, $E$2:$E$842, E31) &gt; 1, "Duplicate", "Unique")</f>
        <v>Unique</v>
      </c>
      <c r="O31" s="19"/>
    </row>
    <row r="32" spans="1:15" customFormat="1" ht="15" customHeight="1" thickBot="1" x14ac:dyDescent="0.4">
      <c r="A32" s="3">
        <v>46252.645138888889</v>
      </c>
      <c r="B32" s="1" t="s">
        <v>47</v>
      </c>
      <c r="C32" s="1" t="s">
        <v>10</v>
      </c>
      <c r="D32" s="4">
        <v>9</v>
      </c>
      <c r="E32" s="4">
        <v>2230</v>
      </c>
      <c r="F32" s="4">
        <v>-4.0034438229999996</v>
      </c>
      <c r="G32" s="2" t="s">
        <v>48</v>
      </c>
      <c r="H32" s="5">
        <v>2323</v>
      </c>
      <c r="I32" s="1" t="s">
        <v>8</v>
      </c>
      <c r="J32" s="25"/>
      <c r="K32" s="19"/>
      <c r="L32" s="19"/>
      <c r="M32" s="19"/>
      <c r="N32" t="str">
        <f>IF(COUNTIFS( $B$2:$B$842, B32, $C$2:$C$842, C32, $D$2:$D$842, D32, $E$2:$E$842, E32) &gt; 1, "Duplicate", "Unique")</f>
        <v>Unique</v>
      </c>
      <c r="O32" s="19"/>
    </row>
    <row r="33" spans="1:15" customFormat="1" ht="27.65" customHeight="1" thickBot="1" x14ac:dyDescent="0.4">
      <c r="A33" s="3">
        <v>46253.375</v>
      </c>
      <c r="B33" s="1" t="s">
        <v>36</v>
      </c>
      <c r="C33" s="1" t="s">
        <v>10</v>
      </c>
      <c r="D33" s="4">
        <v>5</v>
      </c>
      <c r="E33" s="4">
        <v>1161</v>
      </c>
      <c r="F33" s="4">
        <v>-4.049586777</v>
      </c>
      <c r="G33" s="2" t="s">
        <v>65</v>
      </c>
      <c r="H33" s="5">
        <v>1210</v>
      </c>
      <c r="I33" s="1" t="s">
        <v>8</v>
      </c>
      <c r="J33" s="25" t="s">
        <v>41</v>
      </c>
      <c r="K33" s="19" t="s">
        <v>147</v>
      </c>
      <c r="L33" s="19"/>
      <c r="M33" s="19"/>
      <c r="N33" t="str">
        <f>IF(COUNTIFS( $B$2:$B$842, B33, $C$2:$C$842, C33, $D$2:$D$842, D33, $E$2:$E$842, E33) &gt; 1, "Duplicate", "Unique")</f>
        <v>Unique</v>
      </c>
      <c r="O33" s="19"/>
    </row>
    <row r="34" spans="1:15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-4.1966538929999997</v>
      </c>
      <c r="G34" s="2" t="s">
        <v>70</v>
      </c>
      <c r="H34" s="5">
        <v>213.98</v>
      </c>
      <c r="I34" s="1" t="s">
        <v>8</v>
      </c>
      <c r="J34" s="29" t="s">
        <v>41</v>
      </c>
      <c r="K34" s="20" t="s">
        <v>195</v>
      </c>
      <c r="L34" s="20">
        <v>10550</v>
      </c>
      <c r="M34" s="20">
        <f>ABS((D34*E34)-L34)</f>
        <v>300</v>
      </c>
      <c r="N34" s="12" t="str">
        <f>IF(COUNTIFS( $B$2:$B$842, B34, $C$2:$C$842, C34, $D$2:$D$842, D34, $E$2:$E$842, E34) &gt; 1, "Duplicate", "Unique")</f>
        <v>Unique</v>
      </c>
      <c r="O34" s="20"/>
    </row>
    <row r="35" spans="1:15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3856</v>
      </c>
      <c r="F35" s="4">
        <v>-4.1987577639999998</v>
      </c>
      <c r="G35" s="2" t="s">
        <v>50</v>
      </c>
      <c r="H35" s="5">
        <v>4025</v>
      </c>
      <c r="I35" s="1" t="s">
        <v>8</v>
      </c>
      <c r="J35" s="25"/>
      <c r="K35" s="19"/>
      <c r="L35" s="19"/>
      <c r="M35" s="19"/>
      <c r="N35" t="str">
        <f>IF(COUNTIFS( $B$2:$B$842, B35, $C$2:$C$842, C35, $D$2:$D$842, D35, $E$2:$E$842, E35) &gt; 1, "Duplicate", "Unique")</f>
        <v>Unique</v>
      </c>
      <c r="O35" s="19"/>
    </row>
    <row r="36" spans="1:15" customFormat="1" ht="27.65" customHeight="1" thickBot="1" x14ac:dyDescent="0.4">
      <c r="A36" s="6" t="s">
        <v>62</v>
      </c>
      <c r="B36" s="1" t="s">
        <v>15</v>
      </c>
      <c r="C36" s="1" t="s">
        <v>10</v>
      </c>
      <c r="D36" s="4">
        <v>30</v>
      </c>
      <c r="E36" s="4">
        <v>2460</v>
      </c>
      <c r="F36" s="4">
        <v>-4.2018770200000004</v>
      </c>
      <c r="G36" s="2" t="s">
        <v>72</v>
      </c>
      <c r="H36" s="5">
        <v>2567.9</v>
      </c>
      <c r="I36" s="1" t="s">
        <v>8</v>
      </c>
      <c r="J36" s="25"/>
      <c r="K36" s="19"/>
      <c r="L36" s="19"/>
      <c r="M36" s="19"/>
      <c r="N36" t="str">
        <f>IF(COUNTIFS( $B$2:$B$842, B36, $C$2:$C$842, C36, $D$2:$D$842, D36, $E$2:$E$842, E36) &gt; 1, "Duplicate", "Unique")</f>
        <v>Unique</v>
      </c>
      <c r="O36" s="19"/>
    </row>
    <row r="37" spans="1:15" customFormat="1" ht="15" customHeight="1" thickBot="1" x14ac:dyDescent="0.4">
      <c r="A37" s="6" t="s">
        <v>62</v>
      </c>
      <c r="B37" s="1" t="s">
        <v>19</v>
      </c>
      <c r="C37" s="1" t="s">
        <v>10</v>
      </c>
      <c r="D37" s="4">
        <v>150</v>
      </c>
      <c r="E37" s="4">
        <v>214</v>
      </c>
      <c r="F37" s="4">
        <v>-4.2162742819999997</v>
      </c>
      <c r="G37" s="2" t="s">
        <v>40</v>
      </c>
      <c r="H37" s="5">
        <v>223.42</v>
      </c>
      <c r="I37" s="1" t="s">
        <v>8</v>
      </c>
      <c r="J37" s="25" t="s">
        <v>55</v>
      </c>
      <c r="K37" s="19"/>
      <c r="L37" s="19"/>
      <c r="M37" s="19"/>
      <c r="N37" t="str">
        <f>IF(COUNTIFS( $B$2:$B$842, B37, $C$2:$C$842, C37, $D$2:$D$842, D37, $E$2:$E$842, E37) &gt; 1, "Duplicate", "Unique")</f>
        <v>Unique</v>
      </c>
      <c r="O37" s="19"/>
    </row>
    <row r="38" spans="1:15" customFormat="1" ht="15" customHeight="1" thickBot="1" x14ac:dyDescent="0.4">
      <c r="A38" s="3">
        <v>46252.6875</v>
      </c>
      <c r="B38" s="1" t="s">
        <v>20</v>
      </c>
      <c r="C38" s="1" t="s">
        <v>10</v>
      </c>
      <c r="D38" s="4">
        <v>50</v>
      </c>
      <c r="E38" s="4">
        <v>122</v>
      </c>
      <c r="F38" s="4">
        <v>-4.27618674</v>
      </c>
      <c r="G38" s="2" t="s">
        <v>86</v>
      </c>
      <c r="H38" s="5">
        <v>127.45</v>
      </c>
      <c r="I38" s="1" t="s">
        <v>8</v>
      </c>
      <c r="J38" s="26" t="s">
        <v>41</v>
      </c>
      <c r="K38" s="19"/>
      <c r="L38" s="19"/>
      <c r="M38" s="19"/>
      <c r="N38" t="str">
        <f>IF(COUNTIFS( $B$2:$B$842, B38, $C$2:$C$842, C38, $D$2:$D$842, D38, $E$2:$E$842, E38) &gt; 1, "Duplicate", "Unique")</f>
        <v>Unique</v>
      </c>
      <c r="O38" s="19"/>
    </row>
    <row r="39" spans="1:15" customFormat="1" ht="40.75" customHeight="1" thickBot="1" x14ac:dyDescent="0.4">
      <c r="A39" s="3">
        <v>46252.6875</v>
      </c>
      <c r="B39" s="1" t="s">
        <v>9</v>
      </c>
      <c r="C39" s="1" t="s">
        <v>10</v>
      </c>
      <c r="D39" s="4">
        <v>37</v>
      </c>
      <c r="E39" s="4">
        <v>277</v>
      </c>
      <c r="F39" s="4">
        <v>-4.4003451250000003</v>
      </c>
      <c r="G39" s="2" t="s">
        <v>95</v>
      </c>
      <c r="H39" s="5">
        <v>289.75</v>
      </c>
      <c r="I39" s="1" t="s">
        <v>8</v>
      </c>
      <c r="J39" s="25" t="s">
        <v>55</v>
      </c>
      <c r="K39" s="19"/>
      <c r="L39" s="19"/>
      <c r="M39" s="19"/>
      <c r="N39" t="str">
        <f>IF(COUNTIFS( $B$2:$B$842, B39, $C$2:$C$842, C39, $D$2:$D$842, D39, $E$2:$E$842, E39) &gt; 1, "Duplicate", "Unique")</f>
        <v>Unique</v>
      </c>
      <c r="O39" s="19"/>
    </row>
    <row r="40" spans="1:15" customFormat="1" ht="27.65" customHeight="1" thickBot="1" x14ac:dyDescent="0.4">
      <c r="A40" s="3">
        <v>46252.635416666664</v>
      </c>
      <c r="B40" s="1" t="s">
        <v>80</v>
      </c>
      <c r="C40" s="1" t="s">
        <v>10</v>
      </c>
      <c r="D40" s="4">
        <v>10</v>
      </c>
      <c r="E40" s="4">
        <v>1440</v>
      </c>
      <c r="F40" s="4">
        <v>-4.4078597979999996</v>
      </c>
      <c r="G40" s="2" t="s">
        <v>81</v>
      </c>
      <c r="H40" s="5">
        <v>1506.4</v>
      </c>
      <c r="I40" s="1" t="s">
        <v>8</v>
      </c>
      <c r="J40" s="25"/>
      <c r="K40" s="19"/>
      <c r="L40" s="19"/>
      <c r="M40" s="19"/>
      <c r="N40" t="str">
        <f>IF(COUNTIFS( $B$2:$B$842, B40, $C$2:$C$842, C40, $D$2:$D$842, D40, $E$2:$E$842, E40) &gt; 1, "Duplicate", "Unique")</f>
        <v>Unique</v>
      </c>
      <c r="O40" s="19"/>
    </row>
    <row r="41" spans="1:15" customFormat="1" ht="27.65" customHeight="1" thickBot="1" x14ac:dyDescent="0.4">
      <c r="A41" s="6" t="s">
        <v>62</v>
      </c>
      <c r="B41" s="1" t="s">
        <v>22</v>
      </c>
      <c r="C41" s="1" t="s">
        <v>10</v>
      </c>
      <c r="D41" s="4">
        <v>5</v>
      </c>
      <c r="E41" s="4">
        <v>419</v>
      </c>
      <c r="F41" s="4">
        <v>-4.5775449779999997</v>
      </c>
      <c r="G41" s="2" t="s">
        <v>73</v>
      </c>
      <c r="H41" s="5">
        <v>439.1</v>
      </c>
      <c r="I41" s="1" t="s">
        <v>8</v>
      </c>
      <c r="J41" s="25"/>
      <c r="K41" s="19"/>
      <c r="L41" s="19"/>
      <c r="M41" s="19"/>
      <c r="N41" t="str">
        <f>IF(COUNTIFS( $B$2:$B$842, B41, $C$2:$C$842, C41, $D$2:$D$842, D41, $E$2:$E$842, E41) &gt; 1, "Duplicate", "Unique")</f>
        <v>Unique</v>
      </c>
      <c r="O41" s="19"/>
    </row>
    <row r="42" spans="1:15" customFormat="1" ht="27.65" customHeight="1" thickBot="1" x14ac:dyDescent="0.4">
      <c r="A42" s="6" t="s">
        <v>62</v>
      </c>
      <c r="B42" s="1" t="s">
        <v>16</v>
      </c>
      <c r="C42" s="1" t="s">
        <v>10</v>
      </c>
      <c r="D42" s="4">
        <v>5</v>
      </c>
      <c r="E42" s="4">
        <v>852</v>
      </c>
      <c r="F42" s="4">
        <v>-4.591265398</v>
      </c>
      <c r="G42" s="2" t="s">
        <v>61</v>
      </c>
      <c r="H42" s="5">
        <v>893</v>
      </c>
      <c r="I42" s="1" t="s">
        <v>8</v>
      </c>
      <c r="J42" s="25"/>
      <c r="K42" s="19"/>
      <c r="L42" s="19"/>
      <c r="M42" s="19"/>
      <c r="N42" t="str">
        <f>IF(COUNTIFS( $B$2:$B$842, B42, $C$2:$C$842, C42, $D$2:$D$842, D42, $E$2:$E$842, E42) &gt; 1, "Duplicate", "Unique")</f>
        <v>Unique</v>
      </c>
      <c r="O42" s="19"/>
    </row>
    <row r="43" spans="1:15" customFormat="1" ht="27.65" customHeight="1" thickBot="1" x14ac:dyDescent="0.4">
      <c r="A43" s="6" t="s">
        <v>62</v>
      </c>
      <c r="B43" s="1" t="s">
        <v>51</v>
      </c>
      <c r="C43" s="1" t="s">
        <v>10</v>
      </c>
      <c r="D43" s="4">
        <v>10</v>
      </c>
      <c r="E43" s="4">
        <v>907</v>
      </c>
      <c r="F43" s="4">
        <v>-4.6267087279999997</v>
      </c>
      <c r="G43" s="2" t="s">
        <v>52</v>
      </c>
      <c r="H43" s="5">
        <v>951</v>
      </c>
      <c r="I43" s="1" t="s">
        <v>8</v>
      </c>
      <c r="J43" s="25"/>
      <c r="K43" s="19"/>
      <c r="L43" s="19"/>
      <c r="M43" s="19"/>
      <c r="N43" t="str">
        <f>IF(COUNTIFS( $B$2:$B$842, B43, $C$2:$C$842, C43, $D$2:$D$842, D43, $E$2:$E$842, E43) &gt; 1, "Duplicate", "Unique")</f>
        <v>Unique</v>
      </c>
      <c r="O43" s="19"/>
    </row>
    <row r="44" spans="1:15" s="52" customFormat="1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-4.6443796280000003</v>
      </c>
      <c r="G44" s="2" t="s">
        <v>85</v>
      </c>
      <c r="H44" s="5">
        <v>891.4</v>
      </c>
      <c r="I44" s="1" t="s">
        <v>8</v>
      </c>
      <c r="J44" s="26" t="s">
        <v>55</v>
      </c>
      <c r="K44" s="19"/>
      <c r="L44" s="19"/>
      <c r="M44" s="19"/>
      <c r="N44" t="str">
        <f>IF(COUNTIFS( $B$2:$B$842, B44, $C$2:$C$842, C44, $D$2:$D$842, D44, $E$2:$E$842, E44) &gt; 1, "Duplicate", "Unique")</f>
        <v>Unique</v>
      </c>
      <c r="O44" s="19"/>
    </row>
    <row r="45" spans="1:15" customFormat="1" ht="15" customHeight="1" thickBot="1" x14ac:dyDescent="0.4">
      <c r="A45" s="6" t="s">
        <v>62</v>
      </c>
      <c r="B45" s="1" t="s">
        <v>49</v>
      </c>
      <c r="C45" s="1" t="s">
        <v>10</v>
      </c>
      <c r="D45" s="4">
        <v>2</v>
      </c>
      <c r="E45" s="4">
        <v>3830</v>
      </c>
      <c r="F45" s="4">
        <v>-4.844720497</v>
      </c>
      <c r="G45" s="2" t="s">
        <v>50</v>
      </c>
      <c r="H45" s="5">
        <v>4025</v>
      </c>
      <c r="I45" s="1" t="s">
        <v>8</v>
      </c>
      <c r="J45" s="25"/>
      <c r="K45" s="19"/>
      <c r="L45" s="19"/>
      <c r="M45" s="19"/>
      <c r="N45" t="str">
        <f>IF(COUNTIFS( $B$2:$B$842, B45, $C$2:$C$842, C45, $D$2:$D$842, D45, $E$2:$E$842, E45) &gt; 1, "Duplicate", "Unique")</f>
        <v>Unique</v>
      </c>
      <c r="O45" s="19"/>
    </row>
    <row r="46" spans="1:15" customFormat="1" ht="40.75" customHeight="1" thickBot="1" x14ac:dyDescent="0.4">
      <c r="A46" s="3">
        <v>46252.645138888889</v>
      </c>
      <c r="B46" s="1" t="s">
        <v>36</v>
      </c>
      <c r="C46" s="1" t="s">
        <v>10</v>
      </c>
      <c r="D46" s="4">
        <v>5</v>
      </c>
      <c r="E46" s="4">
        <v>1151</v>
      </c>
      <c r="F46" s="4">
        <v>-4.876033058</v>
      </c>
      <c r="G46" s="2" t="s">
        <v>65</v>
      </c>
      <c r="H46" s="5">
        <v>1210</v>
      </c>
      <c r="I46" s="1" t="s">
        <v>8</v>
      </c>
      <c r="J46" s="27" t="s">
        <v>41</v>
      </c>
      <c r="K46" s="19"/>
      <c r="L46" s="19"/>
      <c r="M46" s="19"/>
      <c r="N46" t="str">
        <f>IF(COUNTIFS( $B$2:$B$842, B46, $C$2:$C$842, C46, $D$2:$D$842, D46, $E$2:$E$842, E46) &gt; 1, "Duplicate", "Unique")</f>
        <v>Unique</v>
      </c>
      <c r="O46" s="19"/>
    </row>
    <row r="47" spans="1:15" customFormat="1" ht="15" customHeight="1" thickBot="1" x14ac:dyDescent="0.4">
      <c r="A47" s="3">
        <v>46252.6875</v>
      </c>
      <c r="B47" s="1" t="s">
        <v>23</v>
      </c>
      <c r="C47" s="1" t="s">
        <v>10</v>
      </c>
      <c r="D47" s="4">
        <v>50</v>
      </c>
      <c r="E47" s="4">
        <v>203.5</v>
      </c>
      <c r="F47" s="4">
        <v>-4.8976539859999999</v>
      </c>
      <c r="G47" s="2" t="s">
        <v>70</v>
      </c>
      <c r="H47" s="5">
        <v>213.98</v>
      </c>
      <c r="I47" s="1" t="s">
        <v>8</v>
      </c>
      <c r="J47" s="26" t="s">
        <v>55</v>
      </c>
      <c r="K47" s="19"/>
      <c r="L47" s="19"/>
      <c r="M47" s="19"/>
      <c r="N47" t="str">
        <f>IF(COUNTIFS( $B$2:$B$842, B47, $C$2:$C$842, C47, $D$2:$D$842, D47, $E$2:$E$842, E47) &gt; 1, "Duplicate", "Unique")</f>
        <v>Unique</v>
      </c>
      <c r="O47" s="19"/>
    </row>
    <row r="48" spans="1:15" customFormat="1" ht="27.65" customHeight="1" thickBot="1" x14ac:dyDescent="0.4">
      <c r="A48" s="6" t="s">
        <v>62</v>
      </c>
      <c r="B48" s="1" t="s">
        <v>82</v>
      </c>
      <c r="C48" s="1" t="s">
        <v>10</v>
      </c>
      <c r="D48" s="4">
        <v>2</v>
      </c>
      <c r="E48" s="4">
        <v>4110</v>
      </c>
      <c r="F48" s="4">
        <v>-4.9051365110000003</v>
      </c>
      <c r="G48" s="2" t="s">
        <v>83</v>
      </c>
      <c r="H48" s="5">
        <v>4322</v>
      </c>
      <c r="I48" s="1" t="s">
        <v>8</v>
      </c>
      <c r="J48" s="25"/>
      <c r="K48" s="19"/>
      <c r="L48" s="19"/>
      <c r="M48" s="19"/>
      <c r="N48" t="str">
        <f>IF(COUNTIFS( $B$2:$B$842, B48, $C$2:$C$842, C48, $D$2:$D$842, D48, $E$2:$E$842, E48) &gt; 1, "Duplicate", "Unique")</f>
        <v>Unique</v>
      </c>
      <c r="O48" s="19"/>
    </row>
    <row r="49" spans="1:15" customFormat="1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-5.1114492880000002</v>
      </c>
      <c r="G49" s="2" t="s">
        <v>40</v>
      </c>
      <c r="H49" s="5">
        <v>223.42</v>
      </c>
      <c r="I49" s="1" t="s">
        <v>8</v>
      </c>
      <c r="J49" s="25" t="s">
        <v>41</v>
      </c>
      <c r="K49" s="19"/>
      <c r="L49" s="19"/>
      <c r="M49" s="19"/>
      <c r="N49" t="str">
        <f>IF(COUNTIFS( $B$2:$B$842, B49, $C$2:$C$842, C49, $D$2:$D$842, D49, $E$2:$E$842, E49) &gt; 1, "Duplicate", "Unique")</f>
        <v>Unique</v>
      </c>
      <c r="O49" s="19"/>
    </row>
    <row r="50" spans="1:15" customFormat="1" ht="27.65" customHeight="1" thickBot="1" x14ac:dyDescent="0.4">
      <c r="A50" s="6" t="s">
        <v>62</v>
      </c>
      <c r="B50" s="1" t="s">
        <v>103</v>
      </c>
      <c r="C50" s="1" t="s">
        <v>10</v>
      </c>
      <c r="D50" s="4">
        <v>8</v>
      </c>
      <c r="E50" s="4">
        <v>2370</v>
      </c>
      <c r="F50" s="4">
        <v>-5.1165025220000002</v>
      </c>
      <c r="G50" s="2" t="s">
        <v>104</v>
      </c>
      <c r="H50" s="5">
        <v>2497.8000000000002</v>
      </c>
      <c r="I50" s="1" t="s">
        <v>8</v>
      </c>
      <c r="J50" s="25"/>
      <c r="K50" s="19"/>
      <c r="L50" s="19"/>
      <c r="M50" s="19"/>
      <c r="N50" t="str">
        <f>IF(COUNTIFS( $B$2:$B$842, B50, $C$2:$C$842, C50, $D$2:$D$842, D50, $E$2:$E$842, E50) &gt; 1, "Duplicate", "Unique")</f>
        <v>Unique</v>
      </c>
      <c r="O50" s="19"/>
    </row>
    <row r="51" spans="1:15" customFormat="1" ht="27.65" customHeight="1" thickBot="1" x14ac:dyDescent="0.4">
      <c r="A51" s="6" t="s">
        <v>62</v>
      </c>
      <c r="B51" s="1" t="s">
        <v>15</v>
      </c>
      <c r="C51" s="1" t="s">
        <v>10</v>
      </c>
      <c r="D51" s="4">
        <v>30</v>
      </c>
      <c r="E51" s="4">
        <v>2435</v>
      </c>
      <c r="F51" s="4">
        <v>-5.17543518</v>
      </c>
      <c r="G51" s="2" t="s">
        <v>72</v>
      </c>
      <c r="H51" s="5">
        <v>2567.9</v>
      </c>
      <c r="I51" s="1" t="s">
        <v>8</v>
      </c>
      <c r="J51" s="25"/>
      <c r="K51" s="19"/>
      <c r="L51" s="19"/>
      <c r="M51" s="19"/>
      <c r="N51" t="str">
        <f>IF(COUNTIFS( $B$2:$B$842, B51, $C$2:$C$842, C51, $D$2:$D$842, D51, $E$2:$E$842, E51) &gt; 1, "Duplicate", "Unique")</f>
        <v>Unique</v>
      </c>
      <c r="O51" s="19"/>
    </row>
    <row r="52" spans="1:15" customFormat="1" ht="27.65" customHeight="1" thickBot="1" x14ac:dyDescent="0.4">
      <c r="A52" s="3">
        <v>46252.635416666664</v>
      </c>
      <c r="B52" s="1" t="s">
        <v>68</v>
      </c>
      <c r="C52" s="1" t="s">
        <v>10</v>
      </c>
      <c r="D52" s="4">
        <v>100</v>
      </c>
      <c r="E52" s="4">
        <v>391</v>
      </c>
      <c r="F52" s="4">
        <v>-5.2350945229999999</v>
      </c>
      <c r="G52" s="2" t="s">
        <v>69</v>
      </c>
      <c r="H52" s="5">
        <v>412.6</v>
      </c>
      <c r="I52" s="1" t="s">
        <v>8</v>
      </c>
      <c r="J52" s="25" t="s">
        <v>55</v>
      </c>
      <c r="K52" s="19"/>
      <c r="L52" s="19"/>
      <c r="M52" s="19"/>
      <c r="N52" t="str">
        <f>IF(COUNTIFS( $B$2:$B$842, B52, $C$2:$C$842, C52, $D$2:$D$842, D52, $E$2:$E$842, E52) &gt; 1, "Duplicate", "Unique")</f>
        <v>Unique</v>
      </c>
      <c r="O52" s="19"/>
    </row>
    <row r="53" spans="1:15" customFormat="1" ht="15" customHeight="1" thickBot="1" x14ac:dyDescent="0.4">
      <c r="A53" s="6" t="s">
        <v>62</v>
      </c>
      <c r="B53" s="1" t="s">
        <v>109</v>
      </c>
      <c r="C53" s="1" t="s">
        <v>10</v>
      </c>
      <c r="D53" s="4">
        <v>1</v>
      </c>
      <c r="E53" s="4">
        <v>4560</v>
      </c>
      <c r="F53" s="4">
        <v>-5.295950156</v>
      </c>
      <c r="G53" s="2" t="s">
        <v>110</v>
      </c>
      <c r="H53" s="5">
        <v>4815</v>
      </c>
      <c r="I53" s="1" t="s">
        <v>8</v>
      </c>
      <c r="J53" s="25"/>
      <c r="K53" s="19"/>
      <c r="L53" s="19"/>
      <c r="M53" s="19"/>
      <c r="N53" t="str">
        <f>IF(COUNTIFS( $B$2:$B$842, B53, $C$2:$C$842, C53, $D$2:$D$842, D53, $E$2:$E$842, E53) &gt; 1, "Duplicate", "Unique")</f>
        <v>Unique</v>
      </c>
      <c r="O53" s="19"/>
    </row>
    <row r="54" spans="1:15" customFormat="1" ht="27.65" customHeight="1" thickBot="1" x14ac:dyDescent="0.4">
      <c r="A54" s="6" t="s">
        <v>62</v>
      </c>
      <c r="B54" s="1" t="s">
        <v>49</v>
      </c>
      <c r="C54" s="1" t="s">
        <v>10</v>
      </c>
      <c r="D54" s="4">
        <v>3</v>
      </c>
      <c r="E54" s="4">
        <v>3810</v>
      </c>
      <c r="F54" s="4">
        <v>-5.3416149070000003</v>
      </c>
      <c r="G54" s="2" t="s">
        <v>50</v>
      </c>
      <c r="H54" s="5">
        <v>4025</v>
      </c>
      <c r="I54" s="1" t="s">
        <v>8</v>
      </c>
      <c r="J54" s="25"/>
      <c r="K54" s="19"/>
      <c r="L54" s="19"/>
      <c r="M54" s="19"/>
      <c r="N54" t="str">
        <f>IF(COUNTIFS( $B$2:$B$842, B54, $C$2:$C$842, C54, $D$2:$D$842, D54, $E$2:$E$842, E54) &gt; 1, "Duplicate", "Unique")</f>
        <v>Unique</v>
      </c>
      <c r="O54" s="19"/>
    </row>
    <row r="55" spans="1:15" customFormat="1" ht="27.65" customHeight="1" thickBot="1" x14ac:dyDescent="0.4">
      <c r="A55" s="6" t="s">
        <v>62</v>
      </c>
      <c r="B55" s="1" t="s">
        <v>14</v>
      </c>
      <c r="C55" s="1" t="s">
        <v>10</v>
      </c>
      <c r="D55" s="4">
        <v>100</v>
      </c>
      <c r="E55" s="4">
        <v>322</v>
      </c>
      <c r="F55" s="4">
        <v>-5.4331864899999998</v>
      </c>
      <c r="G55" s="2" t="s">
        <v>45</v>
      </c>
      <c r="H55" s="5">
        <v>340.5</v>
      </c>
      <c r="I55" s="1" t="s">
        <v>8</v>
      </c>
      <c r="J55" s="25"/>
      <c r="K55" s="19"/>
      <c r="L55" s="19"/>
      <c r="M55" s="19"/>
      <c r="N55" t="str">
        <f>IF(COUNTIFS( $B$2:$B$842, B55, $C$2:$C$842, C55, $D$2:$D$842, D55, $E$2:$E$842, E55) &gt; 1, "Duplicate", "Unique")</f>
        <v>Unique</v>
      </c>
      <c r="O55" s="19"/>
    </row>
    <row r="56" spans="1:15" customFormat="1" ht="27.65" customHeight="1" thickBot="1" x14ac:dyDescent="0.4">
      <c r="A56" s="3">
        <v>46260.375</v>
      </c>
      <c r="B56" s="1" t="s">
        <v>33</v>
      </c>
      <c r="C56" s="1" t="s">
        <v>10</v>
      </c>
      <c r="D56" s="4">
        <v>3</v>
      </c>
      <c r="E56" s="4">
        <v>2348</v>
      </c>
      <c r="F56" s="4">
        <v>-5.4560096639999998</v>
      </c>
      <c r="G56" s="2" t="s">
        <v>84</v>
      </c>
      <c r="H56" s="5">
        <v>2483.5</v>
      </c>
      <c r="I56" s="1" t="s">
        <v>8</v>
      </c>
      <c r="J56" s="29" t="s">
        <v>41</v>
      </c>
      <c r="K56" s="20" t="s">
        <v>179</v>
      </c>
      <c r="L56" s="20">
        <v>7344</v>
      </c>
      <c r="M56" s="20">
        <f>ABS((D56*E56)-L56)</f>
        <v>300</v>
      </c>
      <c r="N56" t="str">
        <f>IF(COUNTIFS( $B$2:$B$842, B56, $C$2:$C$842, C56, $D$2:$D$842, D56, $E$2:$E$842, E56) &gt; 1, "Duplicate", "Unique")</f>
        <v>Unique</v>
      </c>
      <c r="O56" s="20"/>
    </row>
    <row r="57" spans="1:15" customFormat="1" ht="27.65" customHeight="1" thickBot="1" x14ac:dyDescent="0.4">
      <c r="A57" s="6" t="s">
        <v>62</v>
      </c>
      <c r="B57" s="1" t="s">
        <v>34</v>
      </c>
      <c r="C57" s="1" t="s">
        <v>10</v>
      </c>
      <c r="D57" s="4">
        <v>1</v>
      </c>
      <c r="E57" s="4">
        <v>19052</v>
      </c>
      <c r="F57" s="4">
        <v>-5.4866554220000001</v>
      </c>
      <c r="G57" s="2" t="s">
        <v>71</v>
      </c>
      <c r="H57" s="5">
        <v>20158</v>
      </c>
      <c r="I57" s="1" t="s">
        <v>8</v>
      </c>
      <c r="J57" s="25"/>
      <c r="K57" s="19"/>
      <c r="L57" s="19"/>
      <c r="M57" s="19"/>
      <c r="N57" t="str">
        <f>IF(COUNTIFS( $B$2:$B$842, B57, $C$2:$C$842, C57, $D$2:$D$842, D57, $E$2:$E$842, E57) &gt; 1, "Duplicate", "Unique")</f>
        <v>Unique</v>
      </c>
      <c r="O57" s="19"/>
    </row>
    <row r="58" spans="1:15" customFormat="1" ht="15" customHeight="1" thickBot="1" x14ac:dyDescent="0.4">
      <c r="A58" s="3">
        <v>46252.635416666664</v>
      </c>
      <c r="B58" s="1" t="s">
        <v>36</v>
      </c>
      <c r="C58" s="1" t="s">
        <v>10</v>
      </c>
      <c r="D58" s="4">
        <v>5</v>
      </c>
      <c r="E58" s="4">
        <v>1142</v>
      </c>
      <c r="F58" s="4">
        <v>-5.6198347110000002</v>
      </c>
      <c r="G58" s="2" t="s">
        <v>65</v>
      </c>
      <c r="H58" s="5">
        <v>1210</v>
      </c>
      <c r="I58" s="1" t="s">
        <v>8</v>
      </c>
      <c r="J58" s="24" t="s">
        <v>41</v>
      </c>
      <c r="K58" s="19"/>
      <c r="L58" s="19"/>
      <c r="M58" s="19"/>
      <c r="N58" t="str">
        <f>IF(COUNTIFS( $B$2:$B$842, B58, $C$2:$C$842, C58, $D$2:$D$842, D58, $E$2:$E$842, E58) &gt; 1, "Duplicate", "Unique")</f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51</v>
      </c>
      <c r="C59" s="1" t="s">
        <v>10</v>
      </c>
      <c r="D59" s="4">
        <v>40</v>
      </c>
      <c r="E59" s="4">
        <v>897</v>
      </c>
      <c r="F59" s="4">
        <v>-5.6782334380000004</v>
      </c>
      <c r="G59" s="2" t="s">
        <v>52</v>
      </c>
      <c r="H59" s="5">
        <v>951</v>
      </c>
      <c r="I59" s="1" t="s">
        <v>8</v>
      </c>
      <c r="J59" s="25"/>
      <c r="K59" s="19"/>
      <c r="L59" s="19"/>
      <c r="M59" s="19"/>
      <c r="N59" t="str">
        <f>IF(COUNTIFS( $B$2:$B$842, B59, $C$2:$C$842, C59, $D$2:$D$842, D59, $E$2:$E$842, E59) &gt; 1, "Duplicate", "Unique")</f>
        <v>Unique</v>
      </c>
      <c r="O59" s="19"/>
    </row>
    <row r="60" spans="1:15" customFormat="1" ht="15" customHeight="1" thickBot="1" x14ac:dyDescent="0.4">
      <c r="A60" s="3">
        <v>46252.635416666664</v>
      </c>
      <c r="B60" s="1" t="s">
        <v>80</v>
      </c>
      <c r="C60" s="1" t="s">
        <v>10</v>
      </c>
      <c r="D60" s="4">
        <v>10</v>
      </c>
      <c r="E60" s="4">
        <v>1420</v>
      </c>
      <c r="F60" s="4">
        <v>-5.7355284119999999</v>
      </c>
      <c r="G60" s="2" t="s">
        <v>81</v>
      </c>
      <c r="H60" s="5">
        <v>1506.4</v>
      </c>
      <c r="I60" s="1" t="s">
        <v>8</v>
      </c>
      <c r="J60" s="25"/>
      <c r="K60" s="19"/>
      <c r="L60" s="19"/>
      <c r="M60" s="19"/>
      <c r="N60" t="str">
        <f>IF(COUNTIFS( $B$2:$B$842, B60, $C$2:$C$842, C60, $D$2:$D$842, D60, $E$2:$E$842, E60) &gt; 1, "Duplicate", "Unique")</f>
        <v>Unique</v>
      </c>
      <c r="O60" s="19"/>
    </row>
    <row r="61" spans="1:15" customFormat="1" ht="27.65" customHeight="1" thickBot="1" x14ac:dyDescent="0.4">
      <c r="A61" s="6" t="s">
        <v>62</v>
      </c>
      <c r="B61" s="1" t="s">
        <v>66</v>
      </c>
      <c r="C61" s="1" t="s">
        <v>10</v>
      </c>
      <c r="D61" s="4">
        <v>10</v>
      </c>
      <c r="E61" s="4">
        <v>1166</v>
      </c>
      <c r="F61" s="4">
        <v>-5.960158077</v>
      </c>
      <c r="G61" s="2" t="s">
        <v>67</v>
      </c>
      <c r="H61" s="5">
        <v>1239.9000000000001</v>
      </c>
      <c r="I61" s="1" t="s">
        <v>8</v>
      </c>
      <c r="J61" s="25"/>
      <c r="K61" s="19"/>
      <c r="L61" s="19"/>
      <c r="M61" s="19"/>
      <c r="N61" t="str">
        <f>IF(COUNTIFS( $B$2:$B$842, B61, $C$2:$C$842, C61, $D$2:$D$842, D61, $E$2:$E$842, E61) &gt; 1, "Duplicate", "Unique")</f>
        <v>Unique</v>
      </c>
      <c r="O61" s="19"/>
    </row>
    <row r="62" spans="1:15" customFormat="1" ht="27.65" customHeight="1" thickBot="1" x14ac:dyDescent="0.4">
      <c r="A62" s="6" t="s">
        <v>62</v>
      </c>
      <c r="B62" s="1" t="s">
        <v>32</v>
      </c>
      <c r="C62" s="1" t="s">
        <v>10</v>
      </c>
      <c r="D62" s="4">
        <v>5</v>
      </c>
      <c r="E62" s="4">
        <v>838</v>
      </c>
      <c r="F62" s="4">
        <v>-5.9905766209999998</v>
      </c>
      <c r="G62" s="2" t="s">
        <v>85</v>
      </c>
      <c r="H62" s="5">
        <v>891.4</v>
      </c>
      <c r="I62" s="1" t="s">
        <v>8</v>
      </c>
      <c r="J62" s="25"/>
      <c r="K62" s="19"/>
      <c r="L62" s="19"/>
      <c r="M62" s="19"/>
      <c r="N62" t="str">
        <f>IF(COUNTIFS( $B$2:$B$842, B62, $C$2:$C$842, C62, $D$2:$D$842, D62, $E$2:$E$842, E62) &gt; 1, "Duplicate", "Unique")</f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23</v>
      </c>
      <c r="C63" s="1" t="s">
        <v>10</v>
      </c>
      <c r="D63" s="4">
        <v>50</v>
      </c>
      <c r="E63" s="4">
        <v>201</v>
      </c>
      <c r="F63" s="4">
        <v>-6.065987475</v>
      </c>
      <c r="G63" s="2" t="s">
        <v>70</v>
      </c>
      <c r="H63" s="5">
        <v>213.98</v>
      </c>
      <c r="I63" s="1" t="s">
        <v>8</v>
      </c>
      <c r="J63" s="26" t="s">
        <v>41</v>
      </c>
      <c r="K63" s="19"/>
      <c r="L63" s="19"/>
      <c r="M63" s="19"/>
      <c r="N63" t="str">
        <f>IF(COUNTIFS( $B$2:$B$842, B63, $C$2:$C$842, C63, $D$2:$D$842, D63, $E$2:$E$842, E63) &gt; 1, "Duplicate", "Unique")</f>
        <v>Unique</v>
      </c>
      <c r="O63" s="19"/>
    </row>
    <row r="64" spans="1:15" customFormat="1" ht="27.65" customHeight="1" thickBot="1" x14ac:dyDescent="0.4">
      <c r="A64" s="6" t="s">
        <v>62</v>
      </c>
      <c r="B64" s="1" t="s">
        <v>32</v>
      </c>
      <c r="C64" s="1" t="s">
        <v>10</v>
      </c>
      <c r="D64" s="4">
        <v>25</v>
      </c>
      <c r="E64" s="4">
        <v>836</v>
      </c>
      <c r="F64" s="4">
        <v>-6.214942787</v>
      </c>
      <c r="G64" s="2" t="s">
        <v>85</v>
      </c>
      <c r="H64" s="5">
        <v>891.4</v>
      </c>
      <c r="I64" s="1" t="s">
        <v>8</v>
      </c>
      <c r="J64" s="25"/>
      <c r="K64" s="19"/>
      <c r="L64" s="19"/>
      <c r="M64" s="19"/>
      <c r="N64" t="str">
        <f>IF(COUNTIFS( $B$2:$B$842, B64, $C$2:$C$842, C64, $D$2:$D$842, D64, $E$2:$E$842, E64) &gt; 1, "Duplicate", "Unique")</f>
        <v>Unique</v>
      </c>
      <c r="O64" s="19"/>
    </row>
    <row r="65" spans="1:15" customFormat="1" ht="15" customHeight="1" thickBot="1" x14ac:dyDescent="0.4">
      <c r="A65" s="3">
        <v>46252.635416666664</v>
      </c>
      <c r="B65" s="1" t="s">
        <v>80</v>
      </c>
      <c r="C65" s="1" t="s">
        <v>10</v>
      </c>
      <c r="D65" s="4">
        <v>10</v>
      </c>
      <c r="E65" s="4">
        <v>1410</v>
      </c>
      <c r="F65" s="4">
        <v>-6.399362719</v>
      </c>
      <c r="G65" s="2" t="s">
        <v>81</v>
      </c>
      <c r="H65" s="5">
        <v>1506.4</v>
      </c>
      <c r="I65" s="1" t="s">
        <v>8</v>
      </c>
      <c r="J65" s="25"/>
      <c r="K65" s="19"/>
      <c r="L65" s="19"/>
      <c r="M65" s="19"/>
      <c r="N65" t="str">
        <f>IF(COUNTIFS( $B$2:$B$842, B65, $C$2:$C$842, C65, $D$2:$D$842, D65, $E$2:$E$842, E65) &gt; 1, "Duplicate", "Unique")</f>
        <v>Unique</v>
      </c>
      <c r="O65" s="19"/>
    </row>
    <row r="66" spans="1:15" customFormat="1" ht="27.65" customHeight="1" thickBot="1" x14ac:dyDescent="0.4">
      <c r="A66" s="3">
        <v>46252.6875</v>
      </c>
      <c r="B66" s="1" t="s">
        <v>18</v>
      </c>
      <c r="C66" s="1" t="s">
        <v>10</v>
      </c>
      <c r="D66" s="4">
        <v>10</v>
      </c>
      <c r="E66" s="4">
        <v>1666</v>
      </c>
      <c r="F66" s="4">
        <v>-6.4044943820000002</v>
      </c>
      <c r="G66" s="2" t="s">
        <v>102</v>
      </c>
      <c r="H66" s="5">
        <v>1780</v>
      </c>
      <c r="I66" s="1" t="s">
        <v>8</v>
      </c>
      <c r="J66" s="25" t="s">
        <v>55</v>
      </c>
      <c r="K66" s="19"/>
      <c r="L66" s="19"/>
      <c r="M66" s="19"/>
      <c r="N66" t="str">
        <f>IF(COUNTIFS( $B$2:$B$842, B66, $C$2:$C$842, C66, $D$2:$D$842, D66, $E$2:$E$842, E66) &gt; 1, "Duplicate", "Unique")</f>
        <v>Unique</v>
      </c>
      <c r="O66" s="19"/>
    </row>
    <row r="67" spans="1:15" customFormat="1" ht="27.65" customHeight="1" thickBot="1" x14ac:dyDescent="0.4">
      <c r="A67" s="3">
        <v>46262.457638888889</v>
      </c>
      <c r="B67" s="1" t="s">
        <v>21</v>
      </c>
      <c r="C67" s="1" t="s">
        <v>10</v>
      </c>
      <c r="D67" s="4">
        <v>5</v>
      </c>
      <c r="E67" s="4">
        <v>660</v>
      </c>
      <c r="F67" s="4">
        <v>-6.4227988089999997</v>
      </c>
      <c r="G67" s="2" t="s">
        <v>76</v>
      </c>
      <c r="H67" s="5">
        <v>705.3</v>
      </c>
      <c r="I67" s="1" t="s">
        <v>8</v>
      </c>
      <c r="J67" s="29" t="s">
        <v>41</v>
      </c>
      <c r="K67" s="20" t="s">
        <v>198</v>
      </c>
      <c r="L67" s="20">
        <v>3522.75</v>
      </c>
      <c r="M67" s="20">
        <f>ABS((D67*E67)-L67)</f>
        <v>222.75</v>
      </c>
      <c r="N67" s="12" t="str">
        <f>IF(COUNTIFS( $B$2:$B$842, B67, $C$2:$C$842, C67, $D$2:$D$842, D67, $E$2:$E$842, E67) &gt; 1, "Duplicate", "Unique")</f>
        <v>Unique</v>
      </c>
      <c r="O67" s="20"/>
    </row>
    <row r="68" spans="1:15" customFormat="1" ht="27.65" customHeight="1" thickBot="1" x14ac:dyDescent="0.4">
      <c r="A68" s="3">
        <v>46252.635416666664</v>
      </c>
      <c r="B68" s="1" t="s">
        <v>36</v>
      </c>
      <c r="C68" s="1" t="s">
        <v>10</v>
      </c>
      <c r="D68" s="4">
        <v>5</v>
      </c>
      <c r="E68" s="4">
        <v>1132</v>
      </c>
      <c r="F68" s="4">
        <v>-6.4462809920000002</v>
      </c>
      <c r="G68" s="2" t="s">
        <v>65</v>
      </c>
      <c r="H68" s="5">
        <v>1210</v>
      </c>
      <c r="I68" s="1" t="s">
        <v>8</v>
      </c>
      <c r="J68" s="25"/>
      <c r="K68" s="19"/>
      <c r="L68" s="19"/>
      <c r="M68" s="19"/>
      <c r="N68" t="str">
        <f>IF(COUNTIFS( $B$2:$B$842, B68, $C$2:$C$842, C68, $D$2:$D$842, D68, $E$2:$E$842, E68) &gt; 1, "Duplicate", "Unique")</f>
        <v>Unique</v>
      </c>
      <c r="O68" s="19"/>
    </row>
    <row r="69" spans="1:15" customFormat="1" ht="15" customHeight="1" thickBot="1" x14ac:dyDescent="0.4">
      <c r="A69" s="6" t="s">
        <v>62</v>
      </c>
      <c r="B69" s="1" t="s">
        <v>49</v>
      </c>
      <c r="C69" s="1" t="s">
        <v>10</v>
      </c>
      <c r="D69" s="4">
        <v>2</v>
      </c>
      <c r="E69" s="4">
        <v>3760</v>
      </c>
      <c r="F69" s="4">
        <v>-6.5838509319999998</v>
      </c>
      <c r="G69" s="2" t="s">
        <v>50</v>
      </c>
      <c r="H69" s="5">
        <v>4025</v>
      </c>
      <c r="I69" s="1" t="s">
        <v>8</v>
      </c>
      <c r="J69" s="25"/>
      <c r="K69" s="19"/>
      <c r="L69" s="19"/>
      <c r="M69" s="19"/>
      <c r="N69" t="str">
        <f>IF(COUNTIFS( $B$2:$B$842, B69, $C$2:$C$842, C69, $D$2:$D$842, D69, $E$2:$E$842, E69) &gt; 1, "Duplicate", "Unique")</f>
        <v>Unique</v>
      </c>
      <c r="O69" s="19"/>
    </row>
    <row r="70" spans="1:15" customFormat="1" ht="27.65" customHeight="1" thickBot="1" x14ac:dyDescent="0.4">
      <c r="A70" s="6" t="s">
        <v>62</v>
      </c>
      <c r="B70" s="1" t="s">
        <v>20</v>
      </c>
      <c r="C70" s="1" t="s">
        <v>10</v>
      </c>
      <c r="D70" s="4">
        <v>50</v>
      </c>
      <c r="E70" s="4">
        <v>119</v>
      </c>
      <c r="F70" s="4">
        <v>-6.6300509999999999</v>
      </c>
      <c r="G70" s="2" t="s">
        <v>86</v>
      </c>
      <c r="H70" s="5">
        <v>127.45</v>
      </c>
      <c r="I70" s="1" t="s">
        <v>8</v>
      </c>
      <c r="J70" s="25"/>
      <c r="K70" s="19"/>
      <c r="L70" s="19"/>
      <c r="M70" s="19"/>
      <c r="N70" t="str">
        <f>IF(COUNTIFS( $B$2:$B$842, B70, $C$2:$C$842, C70, $D$2:$D$842, D70, $E$2:$E$842, E70) &gt; 1, "Duplicate", "Unique")</f>
        <v>Unique</v>
      </c>
      <c r="O70" s="19"/>
    </row>
    <row r="71" spans="1:15" customFormat="1" ht="15" customHeight="1" thickBot="1" x14ac:dyDescent="0.4">
      <c r="A71" s="6" t="s">
        <v>62</v>
      </c>
      <c r="B71" s="1" t="s">
        <v>100</v>
      </c>
      <c r="C71" s="1" t="s">
        <v>10</v>
      </c>
      <c r="D71" s="4">
        <v>25</v>
      </c>
      <c r="E71" s="4">
        <v>196</v>
      </c>
      <c r="F71" s="4">
        <v>-6.6444391520000003</v>
      </c>
      <c r="G71" s="2" t="s">
        <v>101</v>
      </c>
      <c r="H71" s="5">
        <v>209.95</v>
      </c>
      <c r="I71" s="1" t="s">
        <v>8</v>
      </c>
      <c r="J71" s="25"/>
      <c r="K71" s="19"/>
      <c r="L71" s="19"/>
      <c r="M71" s="19"/>
      <c r="N71" t="str">
        <f>IF(COUNTIFS( $B$2:$B$842, B71, $C$2:$C$842, C71, $D$2:$D$842, D71, $E$2:$E$842, E71) &gt; 1, "Duplicate", "Unique")</f>
        <v>Unique</v>
      </c>
      <c r="O71" s="19"/>
    </row>
    <row r="72" spans="1:15" customFormat="1" ht="27.65" customHeight="1" thickBot="1" x14ac:dyDescent="0.4">
      <c r="A72" s="6" t="s">
        <v>62</v>
      </c>
      <c r="B72" s="1" t="s">
        <v>107</v>
      </c>
      <c r="C72" s="1" t="s">
        <v>10</v>
      </c>
      <c r="D72" s="4">
        <v>1</v>
      </c>
      <c r="E72" s="4">
        <v>6920</v>
      </c>
      <c r="F72" s="4">
        <v>-6.7071115600000004</v>
      </c>
      <c r="G72" s="2" t="s">
        <v>108</v>
      </c>
      <c r="H72" s="5">
        <v>7417.5</v>
      </c>
      <c r="I72" s="1" t="s">
        <v>8</v>
      </c>
      <c r="J72" s="24" t="s">
        <v>140</v>
      </c>
      <c r="K72" s="19"/>
      <c r="L72" s="19"/>
      <c r="M72" s="19"/>
      <c r="N72" t="str">
        <f>IF(COUNTIFS( $B$2:$B$842, B72, $C$2:$C$842, C72, $D$2:$D$842, D72, $E$2:$E$842, E72) &gt; 1, "Duplicate", "Unique")</f>
        <v>Unique</v>
      </c>
      <c r="O72" s="19"/>
    </row>
    <row r="73" spans="1:15" customFormat="1" ht="27.65" customHeight="1" thickBot="1" x14ac:dyDescent="0.4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-6.7238912729999996</v>
      </c>
      <c r="G73" s="2" t="s">
        <v>77</v>
      </c>
      <c r="H73" s="5">
        <v>349.5</v>
      </c>
      <c r="I73" s="1" t="s">
        <v>8</v>
      </c>
      <c r="J73" s="25"/>
      <c r="K73" s="19"/>
      <c r="L73" s="19"/>
      <c r="M73" s="19"/>
      <c r="N73" t="str">
        <f>IF(COUNTIFS( $B$2:$B$842, B73, $C$2:$C$842, C73, $D$2:$D$842, D73, $E$2:$E$842, E73) &gt; 1, "Duplicate", "Unique")</f>
        <v>Unique</v>
      </c>
      <c r="O73" s="19"/>
    </row>
    <row r="74" spans="1:15" customFormat="1" ht="27.65" customHeight="1" thickBot="1" x14ac:dyDescent="0.4">
      <c r="A74" s="3">
        <v>46252.635416666664</v>
      </c>
      <c r="B74" s="1" t="s">
        <v>78</v>
      </c>
      <c r="C74" s="1" t="s">
        <v>10</v>
      </c>
      <c r="D74" s="4">
        <v>3</v>
      </c>
      <c r="E74" s="4">
        <v>1302</v>
      </c>
      <c r="F74" s="4">
        <v>-7.1326676180000002</v>
      </c>
      <c r="G74" s="2" t="s">
        <v>79</v>
      </c>
      <c r="H74" s="5">
        <v>1402</v>
      </c>
      <c r="I74" s="1" t="s">
        <v>8</v>
      </c>
      <c r="J74" s="25"/>
      <c r="K74" s="19"/>
      <c r="L74" s="19"/>
      <c r="M74" s="19"/>
      <c r="N74" t="str">
        <f>IF(COUNTIFS( $B$2:$B$842, B74, $C$2:$C$842, C74, $D$2:$D$842, D74, $E$2:$E$842, E74) &gt; 1, "Duplicate", "Unique")</f>
        <v>Unique</v>
      </c>
      <c r="O74" s="19"/>
    </row>
    <row r="75" spans="1:15" customFormat="1" ht="27.65" customHeight="1" thickBot="1" x14ac:dyDescent="0.4">
      <c r="A75" s="6" t="s">
        <v>62</v>
      </c>
      <c r="B75" s="1" t="s">
        <v>82</v>
      </c>
      <c r="C75" s="1" t="s">
        <v>10</v>
      </c>
      <c r="D75" s="4">
        <v>2</v>
      </c>
      <c r="E75" s="4">
        <v>4010</v>
      </c>
      <c r="F75" s="4">
        <v>-7.2188801480000002</v>
      </c>
      <c r="G75" s="2" t="s">
        <v>83</v>
      </c>
      <c r="H75" s="5">
        <v>4322</v>
      </c>
      <c r="I75" s="1" t="s">
        <v>8</v>
      </c>
      <c r="J75" s="25"/>
      <c r="K75" s="19"/>
      <c r="L75" s="19"/>
      <c r="M75" s="19"/>
      <c r="N75" t="str">
        <f>IF(COUNTIFS( $B$2:$B$842, B75, $C$2:$C$842, C75, $D$2:$D$842, D75, $E$2:$E$842, E75) &gt; 1, "Duplicate", "Unique")</f>
        <v>Unique</v>
      </c>
      <c r="O75" s="19"/>
    </row>
    <row r="76" spans="1:15" customFormat="1" ht="27.65" customHeight="1" thickBot="1" x14ac:dyDescent="0.4">
      <c r="A76" s="3">
        <v>46252.6875</v>
      </c>
      <c r="B76" s="1" t="s">
        <v>11</v>
      </c>
      <c r="C76" s="1" t="s">
        <v>10</v>
      </c>
      <c r="D76" s="4">
        <v>60</v>
      </c>
      <c r="E76" s="4">
        <v>271</v>
      </c>
      <c r="F76" s="4">
        <v>-7.3504273500000004</v>
      </c>
      <c r="G76" s="2" t="s">
        <v>99</v>
      </c>
      <c r="H76" s="5">
        <v>292.5</v>
      </c>
      <c r="I76" s="1" t="s">
        <v>8</v>
      </c>
      <c r="J76" s="25"/>
      <c r="K76" s="19"/>
      <c r="L76" s="19"/>
      <c r="M76" s="19"/>
      <c r="N76" t="str">
        <f>IF(COUNTIFS( $B$2:$B$842, B76, $C$2:$C$842, C76, $D$2:$D$842, D76, $E$2:$E$842, E76) &gt; 1, "Duplicate", "Unique")</f>
        <v>Unique</v>
      </c>
      <c r="O76" s="19"/>
    </row>
    <row r="77" spans="1:15" customFormat="1" ht="27.65" customHeight="1" thickBot="1" x14ac:dyDescent="0.4">
      <c r="A77" s="6" t="s">
        <v>62</v>
      </c>
      <c r="B77" s="1" t="s">
        <v>109</v>
      </c>
      <c r="C77" s="1" t="s">
        <v>10</v>
      </c>
      <c r="D77" s="4">
        <v>2</v>
      </c>
      <c r="E77" s="4">
        <v>4456</v>
      </c>
      <c r="F77" s="4">
        <v>-7.4558670820000001</v>
      </c>
      <c r="G77" s="2" t="s">
        <v>110</v>
      </c>
      <c r="H77" s="5">
        <v>4815</v>
      </c>
      <c r="I77" s="1" t="s">
        <v>8</v>
      </c>
      <c r="J77" s="25"/>
      <c r="K77" s="19"/>
      <c r="L77" s="19"/>
      <c r="M77" s="19"/>
      <c r="N77" t="str">
        <f>IF(COUNTIFS( $B$2:$B$842, B77, $C$2:$C$842, C77, $D$2:$D$842, D77, $E$2:$E$842, E77) &gt; 1, "Duplicate", "Unique")</f>
        <v>Unique</v>
      </c>
      <c r="O77" s="19"/>
    </row>
    <row r="78" spans="1:15" customFormat="1" ht="27.65" customHeight="1" thickBot="1" x14ac:dyDescent="0.4">
      <c r="A78" s="6" t="s">
        <v>62</v>
      </c>
      <c r="B78" s="1" t="s">
        <v>51</v>
      </c>
      <c r="C78" s="1" t="s">
        <v>10</v>
      </c>
      <c r="D78" s="4">
        <v>40</v>
      </c>
      <c r="E78" s="4">
        <v>878</v>
      </c>
      <c r="F78" s="4">
        <v>-7.6761303889999999</v>
      </c>
      <c r="G78" s="2" t="s">
        <v>52</v>
      </c>
      <c r="H78" s="5">
        <v>951</v>
      </c>
      <c r="I78" s="1" t="s">
        <v>8</v>
      </c>
      <c r="J78" s="25"/>
      <c r="K78" s="19"/>
      <c r="L78" s="19"/>
      <c r="M78" s="19"/>
      <c r="N78" t="str">
        <f>IF(COUNTIFS( $B$2:$B$842, B78, $C$2:$C$842, C78, $D$2:$D$842, D78, $E$2:$E$842, E78) &gt; 1, "Duplicate", "Unique")</f>
        <v>Unique</v>
      </c>
      <c r="O78" s="19"/>
    </row>
    <row r="79" spans="1:15" customFormat="1" ht="27.65" customHeight="1" thickBot="1" x14ac:dyDescent="0.4">
      <c r="A79" s="3">
        <v>46252.635416666664</v>
      </c>
      <c r="B79" s="1" t="s">
        <v>89</v>
      </c>
      <c r="C79" s="1" t="s">
        <v>10</v>
      </c>
      <c r="D79" s="4">
        <v>1</v>
      </c>
      <c r="E79" s="4">
        <v>13552</v>
      </c>
      <c r="F79" s="4">
        <v>-7.734204793</v>
      </c>
      <c r="G79" s="2" t="s">
        <v>90</v>
      </c>
      <c r="H79" s="5">
        <v>14688</v>
      </c>
      <c r="I79" s="1" t="s">
        <v>8</v>
      </c>
      <c r="J79" s="25"/>
      <c r="K79" s="19"/>
      <c r="L79" s="19"/>
      <c r="M79" s="19"/>
      <c r="N79" t="str">
        <f>IF(COUNTIFS( $B$2:$B$842, B79, $C$2:$C$842, C79, $D$2:$D$842, D79, $E$2:$E$842, E79) &gt; 1, "Duplicate", "Unique")</f>
        <v>Unique</v>
      </c>
      <c r="O79" s="19"/>
    </row>
    <row r="80" spans="1:15" customFormat="1" ht="27.65" customHeight="1" thickBot="1" x14ac:dyDescent="0.4">
      <c r="A80" s="6" t="s">
        <v>62</v>
      </c>
      <c r="B80" s="1" t="s">
        <v>19</v>
      </c>
      <c r="C80" s="1" t="s">
        <v>10</v>
      </c>
      <c r="D80" s="4">
        <v>50</v>
      </c>
      <c r="E80" s="4">
        <v>206</v>
      </c>
      <c r="F80" s="4">
        <v>-7.7969743080000002</v>
      </c>
      <c r="G80" s="2" t="s">
        <v>40</v>
      </c>
      <c r="H80" s="5">
        <v>223.42</v>
      </c>
      <c r="I80" s="1" t="s">
        <v>8</v>
      </c>
      <c r="J80" s="25" t="s">
        <v>41</v>
      </c>
      <c r="K80" s="19"/>
      <c r="L80" s="19"/>
      <c r="M80" s="19"/>
      <c r="N80" t="str">
        <f>IF(COUNTIFS( $B$2:$B$842, B80, $C$2:$C$842, C80, $D$2:$D$842, D80, $E$2:$E$842, E80) &gt; 1, "Duplicate", "Unique")</f>
        <v>Unique</v>
      </c>
      <c r="O80" s="19"/>
    </row>
    <row r="81" spans="1:15" customFormat="1" ht="27.65" customHeight="1" thickBot="1" x14ac:dyDescent="0.4">
      <c r="A81" s="6" t="s">
        <v>62</v>
      </c>
      <c r="B81" s="1" t="s">
        <v>34</v>
      </c>
      <c r="C81" s="1" t="s">
        <v>10</v>
      </c>
      <c r="D81" s="4">
        <v>1</v>
      </c>
      <c r="E81" s="4">
        <v>18552</v>
      </c>
      <c r="F81" s="4">
        <v>-7.9670602239999999</v>
      </c>
      <c r="G81" s="2" t="s">
        <v>71</v>
      </c>
      <c r="H81" s="5">
        <v>20158</v>
      </c>
      <c r="I81" s="1" t="s">
        <v>8</v>
      </c>
      <c r="J81" s="25"/>
      <c r="K81" s="19"/>
      <c r="L81" s="19"/>
      <c r="M81" s="19"/>
      <c r="N81" t="str">
        <f>IF(COUNTIFS( $B$2:$B$842, B81, $C$2:$C$842, C81, $D$2:$D$842, D81, $E$2:$E$842, E81) &gt; 1, "Duplicate", "Unique")</f>
        <v>Unique</v>
      </c>
      <c r="O81" s="19"/>
    </row>
    <row r="82" spans="1:15" customFormat="1" ht="27.65" customHeight="1" thickBot="1" x14ac:dyDescent="0.4">
      <c r="A82" s="6" t="s">
        <v>62</v>
      </c>
      <c r="B82" s="1" t="s">
        <v>109</v>
      </c>
      <c r="C82" s="1" t="s">
        <v>10</v>
      </c>
      <c r="D82" s="4">
        <v>15</v>
      </c>
      <c r="E82" s="4">
        <v>4415</v>
      </c>
      <c r="F82" s="4">
        <v>-8.3073727930000008</v>
      </c>
      <c r="G82" s="2" t="s">
        <v>110</v>
      </c>
      <c r="H82" s="5">
        <v>4815</v>
      </c>
      <c r="I82" s="1" t="s">
        <v>8</v>
      </c>
      <c r="J82" s="25"/>
      <c r="K82" s="19"/>
      <c r="L82" s="19"/>
      <c r="M82" s="19"/>
      <c r="N82" t="str">
        <f>IF(COUNTIFS( $B$2:$B$842, B82, $C$2:$C$842, C82, $D$2:$D$842, D82, $E$2:$E$842, E82) &gt; 1, "Duplicate", "Unique")</f>
        <v>Unique</v>
      </c>
      <c r="O82" s="19"/>
    </row>
    <row r="83" spans="1:15" ht="15" customHeight="1" thickBot="1" x14ac:dyDescent="0.4">
      <c r="A83" s="6" t="s">
        <v>62</v>
      </c>
      <c r="B83" s="1" t="s">
        <v>23</v>
      </c>
      <c r="C83" s="1" t="s">
        <v>10</v>
      </c>
      <c r="D83" s="4">
        <v>50</v>
      </c>
      <c r="E83" s="4">
        <v>196</v>
      </c>
      <c r="F83" s="4">
        <v>-8.4026544540000003</v>
      </c>
      <c r="G83" s="2" t="s">
        <v>70</v>
      </c>
      <c r="H83" s="5">
        <v>213.98</v>
      </c>
      <c r="I83" s="1" t="s">
        <v>8</v>
      </c>
      <c r="J83" s="25"/>
      <c r="K83" s="19"/>
      <c r="L83" s="19"/>
      <c r="M83" s="19"/>
      <c r="N83" t="str">
        <f>IF(COUNTIFS( $B$2:$B$842, B83, $C$2:$C$842, C83, $D$2:$D$842, D83, $E$2:$E$842, E83) &gt; 1, "Duplicate", "Unique")</f>
        <v>Unique</v>
      </c>
      <c r="O83" s="19"/>
    </row>
    <row r="84" spans="1:15" ht="27.65" customHeight="1" thickBot="1" x14ac:dyDescent="0.4">
      <c r="A84" s="3">
        <v>46258.601388888892</v>
      </c>
      <c r="B84" s="1" t="s">
        <v>33</v>
      </c>
      <c r="C84" s="1" t="s">
        <v>10</v>
      </c>
      <c r="D84" s="4">
        <v>3</v>
      </c>
      <c r="E84" s="4">
        <v>2271</v>
      </c>
      <c r="F84" s="4">
        <v>-8.5564727200000004</v>
      </c>
      <c r="G84" s="2" t="s">
        <v>84</v>
      </c>
      <c r="H84" s="5">
        <v>2483.5</v>
      </c>
      <c r="I84" s="1" t="s">
        <v>8</v>
      </c>
      <c r="J84" s="29" t="s">
        <v>55</v>
      </c>
      <c r="K84" s="20" t="s">
        <v>163</v>
      </c>
      <c r="L84" s="20">
        <v>7113</v>
      </c>
      <c r="M84" s="20">
        <f>ABS((D84*E84)-L84)</f>
        <v>300</v>
      </c>
      <c r="N84" s="12" t="str">
        <f>IF(COUNTIFS( $B$2:$B$842, B84, $C$2:$C$842, C84, $D$2:$D$842, D84, $E$2:$E$842, E84) &gt; 1, "Duplicate", "Unique")</f>
        <v>Unique</v>
      </c>
    </row>
    <row r="85" spans="1:15" ht="40.75" customHeight="1" thickBot="1" x14ac:dyDescent="0.4">
      <c r="A85" s="6" t="s">
        <v>62</v>
      </c>
      <c r="B85" s="1" t="s">
        <v>22</v>
      </c>
      <c r="C85" s="1" t="s">
        <v>10</v>
      </c>
      <c r="D85" s="4">
        <v>29</v>
      </c>
      <c r="E85" s="4">
        <v>401</v>
      </c>
      <c r="F85" s="4">
        <v>-8.6768389890000002</v>
      </c>
      <c r="G85" s="2" t="s">
        <v>73</v>
      </c>
      <c r="H85" s="5">
        <v>439.1</v>
      </c>
      <c r="I85" s="1" t="s">
        <v>8</v>
      </c>
      <c r="J85" s="24" t="s">
        <v>55</v>
      </c>
      <c r="K85" s="19"/>
      <c r="L85" s="19"/>
      <c r="M85" s="19"/>
      <c r="N85" t="str">
        <f>IF(COUNTIFS( $B$2:$B$842, B85, $C$2:$C$842, C85, $D$2:$D$842, D85, $E$2:$E$842, E85) &gt; 1, "Duplicate", "Unique")</f>
        <v>Unique</v>
      </c>
      <c r="O85" s="19"/>
    </row>
    <row r="86" spans="1:15" ht="40.75" customHeight="1" thickBot="1" x14ac:dyDescent="0.4">
      <c r="A86" s="6" t="s">
        <v>62</v>
      </c>
      <c r="B86" s="1" t="s">
        <v>66</v>
      </c>
      <c r="C86" s="1" t="s">
        <v>10</v>
      </c>
      <c r="D86" s="4">
        <v>10</v>
      </c>
      <c r="E86" s="4">
        <v>1132</v>
      </c>
      <c r="F86" s="4">
        <v>-8.7023147030000008</v>
      </c>
      <c r="G86" s="2" t="s">
        <v>67</v>
      </c>
      <c r="H86" s="5">
        <v>1239.9000000000001</v>
      </c>
      <c r="I86" s="1" t="s">
        <v>8</v>
      </c>
      <c r="J86" s="25"/>
      <c r="K86" s="19"/>
      <c r="L86" s="19"/>
      <c r="M86" s="19"/>
      <c r="N86" t="str">
        <f>IF(COUNTIFS( $B$2:$B$842, B86, $C$2:$C$842, C86, $D$2:$D$842, D86, $E$2:$E$842, E86) &gt; 1, "Duplicate", "Unique")</f>
        <v>Unique</v>
      </c>
      <c r="O86" s="19"/>
    </row>
    <row r="87" spans="1:15" ht="16.25" customHeight="1" thickBot="1" x14ac:dyDescent="0.4">
      <c r="A87" s="6" t="s">
        <v>62</v>
      </c>
      <c r="B87" s="1" t="s">
        <v>78</v>
      </c>
      <c r="C87" s="1" t="s">
        <v>10</v>
      </c>
      <c r="D87" s="4">
        <v>69</v>
      </c>
      <c r="E87" s="4">
        <v>1277</v>
      </c>
      <c r="F87" s="4">
        <v>-8.9158345220000008</v>
      </c>
      <c r="G87" s="2" t="s">
        <v>79</v>
      </c>
      <c r="H87" s="5">
        <v>1402</v>
      </c>
      <c r="I87" s="1" t="s">
        <v>8</v>
      </c>
      <c r="J87" s="25"/>
      <c r="K87" s="19"/>
      <c r="L87" s="19"/>
      <c r="M87" s="19"/>
      <c r="N87" t="str">
        <f>IF(COUNTIFS( $B$2:$B$842, B87, $C$2:$C$842, C87, $D$2:$D$842, D87, $E$2:$E$842, E87) &gt; 1, "Duplicate", "Unique")</f>
        <v>Unique</v>
      </c>
      <c r="O87" s="19"/>
    </row>
    <row r="88" spans="1:15" ht="40.75" customHeight="1" thickBot="1" x14ac:dyDescent="0.4">
      <c r="A88" s="6" t="s">
        <v>62</v>
      </c>
      <c r="B88" s="1" t="s">
        <v>20</v>
      </c>
      <c r="C88" s="1" t="s">
        <v>10</v>
      </c>
      <c r="D88" s="4">
        <v>50</v>
      </c>
      <c r="E88" s="4">
        <v>116</v>
      </c>
      <c r="F88" s="4">
        <v>-8.9839152609999999</v>
      </c>
      <c r="G88" s="2" t="s">
        <v>86</v>
      </c>
      <c r="H88" s="5">
        <v>127.45</v>
      </c>
      <c r="I88" s="1" t="s">
        <v>8</v>
      </c>
      <c r="J88" s="25"/>
      <c r="K88" s="19"/>
      <c r="L88" s="19"/>
      <c r="M88" s="19"/>
      <c r="N88" t="str">
        <f>IF(COUNTIFS( $B$2:$B$842, B88, $C$2:$C$842, C88, $D$2:$D$842, D88, $E$2:$E$842, E88) &gt; 1, "Duplicate", "Unique")</f>
        <v>Unique</v>
      </c>
      <c r="O88" s="19"/>
    </row>
    <row r="89" spans="1:15" ht="15" customHeight="1" thickBot="1" x14ac:dyDescent="0.4">
      <c r="A89" s="6" t="s">
        <v>62</v>
      </c>
      <c r="B89" s="1" t="s">
        <v>12</v>
      </c>
      <c r="C89" s="1" t="s">
        <v>10</v>
      </c>
      <c r="D89" s="4">
        <v>3</v>
      </c>
      <c r="E89" s="4">
        <v>4710</v>
      </c>
      <c r="F89" s="4">
        <v>-9.0329683060000008</v>
      </c>
      <c r="G89" s="2" t="s">
        <v>98</v>
      </c>
      <c r="H89" s="5">
        <v>5177.7</v>
      </c>
      <c r="I89" s="1" t="s">
        <v>8</v>
      </c>
      <c r="J89" s="25"/>
      <c r="K89" s="19"/>
      <c r="L89" s="19"/>
      <c r="M89" s="19"/>
      <c r="N89" t="str">
        <f>IF(COUNTIFS( $B$2:$B$842, B89, $C$2:$C$842, C89, $D$2:$D$842, D89, $E$2:$E$842, E89) &gt; 1, "Duplicate", "Unique")</f>
        <v>Unique</v>
      </c>
      <c r="O89" s="19"/>
    </row>
    <row r="90" spans="1:15" ht="27.65" customHeight="1" thickBot="1" x14ac:dyDescent="0.4">
      <c r="A90" s="3">
        <v>46252.688194444447</v>
      </c>
      <c r="B90" s="1" t="s">
        <v>21</v>
      </c>
      <c r="C90" s="1" t="s">
        <v>10</v>
      </c>
      <c r="D90" s="4">
        <v>5</v>
      </c>
      <c r="E90" s="4">
        <v>640</v>
      </c>
      <c r="F90" s="4">
        <v>-9.2584715719999995</v>
      </c>
      <c r="G90" s="2" t="s">
        <v>76</v>
      </c>
      <c r="H90" s="5">
        <v>705.3</v>
      </c>
      <c r="I90" s="1" t="s">
        <v>8</v>
      </c>
      <c r="J90" s="25"/>
      <c r="K90" s="19"/>
      <c r="L90" s="19"/>
      <c r="M90" s="19"/>
      <c r="N90" t="str">
        <f>IF(COUNTIFS( $B$2:$B$842, B90, $C$2:$C$842, C90, $D$2:$D$842, D90, $E$2:$E$842, E90) &gt; 1, "Duplicate", "Unique")</f>
        <v>Unique</v>
      </c>
      <c r="O90" s="19"/>
    </row>
    <row r="91" spans="1:15" ht="27.65" customHeight="1" thickBot="1" x14ac:dyDescent="0.4">
      <c r="A91" s="6" t="s">
        <v>62</v>
      </c>
      <c r="B91" s="1" t="s">
        <v>18</v>
      </c>
      <c r="C91" s="1" t="s">
        <v>10</v>
      </c>
      <c r="D91" s="4">
        <v>5</v>
      </c>
      <c r="E91" s="4">
        <v>1614</v>
      </c>
      <c r="F91" s="4">
        <v>-9.3258426970000006</v>
      </c>
      <c r="G91" s="2" t="s">
        <v>102</v>
      </c>
      <c r="H91" s="5">
        <v>1780</v>
      </c>
      <c r="I91" s="1" t="s">
        <v>8</v>
      </c>
      <c r="J91" s="24" t="s">
        <v>41</v>
      </c>
      <c r="K91" s="19"/>
      <c r="L91" s="19"/>
      <c r="M91" s="19"/>
      <c r="N91" t="str">
        <f>IF(COUNTIFS( $B$2:$B$842, B91, $C$2:$C$842, C91, $D$2:$D$842, D91, $E$2:$E$842, E91) &gt; 1, "Duplicate", "Unique")</f>
        <v>Unique</v>
      </c>
      <c r="O91" s="19"/>
    </row>
    <row r="92" spans="1:15" ht="40.75" customHeight="1" thickBot="1" x14ac:dyDescent="0.4">
      <c r="A92" s="6" t="s">
        <v>62</v>
      </c>
      <c r="B92" s="1" t="s">
        <v>51</v>
      </c>
      <c r="C92" s="1" t="s">
        <v>10</v>
      </c>
      <c r="D92" s="4">
        <v>40</v>
      </c>
      <c r="E92" s="4">
        <v>862</v>
      </c>
      <c r="F92" s="4">
        <v>-9.3585699259999995</v>
      </c>
      <c r="G92" s="2" t="s">
        <v>52</v>
      </c>
      <c r="H92" s="5">
        <v>951</v>
      </c>
      <c r="I92" s="1" t="s">
        <v>8</v>
      </c>
      <c r="J92" s="25" t="s">
        <v>41</v>
      </c>
      <c r="K92" s="19"/>
      <c r="L92" s="19"/>
      <c r="M92" s="19"/>
      <c r="N92" t="str">
        <f>IF(COUNTIFS( $B$2:$B$842, B92, $C$2:$C$842, C92, $D$2:$D$842, D92, $E$2:$E$842, E92) &gt; 1, "Duplicate", "Unique")</f>
        <v>Unique</v>
      </c>
      <c r="O92" s="19"/>
    </row>
    <row r="93" spans="1:15" ht="40.75" customHeight="1" thickBot="1" x14ac:dyDescent="0.4">
      <c r="A93" s="6" t="s">
        <v>62</v>
      </c>
      <c r="B93" s="1" t="s">
        <v>31</v>
      </c>
      <c r="C93" s="1" t="s">
        <v>10</v>
      </c>
      <c r="D93" s="4">
        <v>10</v>
      </c>
      <c r="E93" s="4">
        <v>561</v>
      </c>
      <c r="F93" s="4">
        <v>-9.4357898139999996</v>
      </c>
      <c r="G93" s="2" t="s">
        <v>94</v>
      </c>
      <c r="H93" s="5">
        <v>619.45000000000005</v>
      </c>
      <c r="I93" s="1" t="s">
        <v>8</v>
      </c>
      <c r="J93" s="25"/>
      <c r="K93" s="19"/>
      <c r="L93" s="19"/>
      <c r="M93" s="19"/>
      <c r="N93" t="str">
        <f>IF(COUNTIFS( $B$2:$B$842, B93, $C$2:$C$842, C93, $D$2:$D$842, D93, $E$2:$E$842, E93) &gt; 1, "Duplicate", "Unique")</f>
        <v>Unique</v>
      </c>
      <c r="O93" s="19"/>
    </row>
    <row r="94" spans="1:15" ht="27.65" customHeight="1" thickBot="1" x14ac:dyDescent="0.4">
      <c r="A94" s="6" t="s">
        <v>62</v>
      </c>
      <c r="B94" s="1" t="s">
        <v>20</v>
      </c>
      <c r="C94" s="1" t="s">
        <v>10</v>
      </c>
      <c r="D94" s="4">
        <v>200</v>
      </c>
      <c r="E94" s="4">
        <v>115.25</v>
      </c>
      <c r="F94" s="4">
        <v>-9.5723813260000004</v>
      </c>
      <c r="G94" s="2" t="s">
        <v>86</v>
      </c>
      <c r="H94" s="5">
        <v>127.45</v>
      </c>
      <c r="I94" s="1" t="s">
        <v>8</v>
      </c>
      <c r="J94" s="25"/>
      <c r="K94" s="19"/>
      <c r="L94" s="19"/>
      <c r="M94" s="19"/>
      <c r="N94" t="str">
        <f>IF(COUNTIFS( $B$2:$B$842, B94, $C$2:$C$842, C94, $D$2:$D$842, D94, $E$2:$E$842, E94) &gt; 1, "Duplicate", "Unique")</f>
        <v>Unique</v>
      </c>
      <c r="O94" s="19"/>
    </row>
    <row r="95" spans="1:15" ht="27.65" customHeight="1" thickBot="1" x14ac:dyDescent="0.4">
      <c r="A95" s="6" t="s">
        <v>62</v>
      </c>
      <c r="B95" s="1" t="s">
        <v>25</v>
      </c>
      <c r="C95" s="1" t="s">
        <v>10</v>
      </c>
      <c r="D95" s="4">
        <v>200</v>
      </c>
      <c r="E95" s="4">
        <v>31.01</v>
      </c>
      <c r="F95" s="4">
        <v>-9.5918367349999993</v>
      </c>
      <c r="G95" s="2" t="s">
        <v>46</v>
      </c>
      <c r="H95" s="5">
        <v>34.299999999999997</v>
      </c>
      <c r="I95" s="1" t="s">
        <v>8</v>
      </c>
      <c r="J95" s="25"/>
      <c r="K95" s="19"/>
      <c r="L95" s="19"/>
      <c r="M95" s="19"/>
      <c r="N95" t="str">
        <f>IF(COUNTIFS( $B$2:$B$842, B95, $C$2:$C$842, C95, $D$2:$D$842, D95, $E$2:$E$842, E95) &gt; 1, "Duplicate", "Unique")</f>
        <v>Unique</v>
      </c>
      <c r="O95" s="19"/>
    </row>
    <row r="96" spans="1:15" ht="27.65" customHeight="1" thickBot="1" x14ac:dyDescent="0.4">
      <c r="A96" s="3">
        <v>46254.375</v>
      </c>
      <c r="B96" s="1" t="s">
        <v>33</v>
      </c>
      <c r="C96" s="1" t="s">
        <v>10</v>
      </c>
      <c r="D96" s="4">
        <v>7</v>
      </c>
      <c r="E96" s="4">
        <v>2230</v>
      </c>
      <c r="F96" s="4">
        <v>-10.207368629999999</v>
      </c>
      <c r="G96" s="2" t="s">
        <v>84</v>
      </c>
      <c r="H96" s="5">
        <v>2483.5</v>
      </c>
      <c r="I96" s="1" t="s">
        <v>8</v>
      </c>
      <c r="J96" s="28" t="s">
        <v>55</v>
      </c>
      <c r="K96" s="19" t="s">
        <v>149</v>
      </c>
      <c r="L96" s="19"/>
      <c r="M96" s="19"/>
      <c r="N96" s="12" t="str">
        <f>IF(COUNTIFS( $B$2:$B$842, B96, $C$2:$C$842, C96, $D$2:$D$842, D96, $E$2:$E$842, E96) &gt; 1, "Duplicate", "Unique")</f>
        <v>Unique</v>
      </c>
      <c r="O96" s="19"/>
    </row>
    <row r="97" spans="1:15" s="30" customFormat="1" ht="27.65" customHeight="1" thickBot="1" x14ac:dyDescent="0.4">
      <c r="A97" s="6" t="s">
        <v>62</v>
      </c>
      <c r="B97" s="1" t="s">
        <v>34</v>
      </c>
      <c r="C97" s="1" t="s">
        <v>10</v>
      </c>
      <c r="D97" s="4">
        <v>1</v>
      </c>
      <c r="E97" s="4">
        <v>18052</v>
      </c>
      <c r="F97" s="4">
        <v>-10.44746503</v>
      </c>
      <c r="G97" s="2" t="s">
        <v>71</v>
      </c>
      <c r="H97" s="5">
        <v>20158</v>
      </c>
      <c r="I97" s="1" t="s">
        <v>8</v>
      </c>
      <c r="J97" s="25"/>
      <c r="K97" s="19"/>
      <c r="L97" s="19"/>
      <c r="M97" s="19"/>
      <c r="N97" t="str">
        <f>IF(COUNTIFS( $B$2:$B$842, B97, $C$2:$C$842, C97, $D$2:$D$842, D97, $E$2:$E$842, E97) &gt; 1, "Duplicate", "Unique")</f>
        <v>Unique</v>
      </c>
      <c r="O97" s="19"/>
    </row>
    <row r="98" spans="1:15" ht="27.65" customHeight="1" thickBot="1" x14ac:dyDescent="0.4">
      <c r="A98" s="6" t="s">
        <v>62</v>
      </c>
      <c r="B98" s="1" t="s">
        <v>105</v>
      </c>
      <c r="C98" s="1" t="s">
        <v>10</v>
      </c>
      <c r="D98" s="4">
        <v>4</v>
      </c>
      <c r="E98" s="4">
        <v>1751</v>
      </c>
      <c r="F98" s="4">
        <v>-10.5628767</v>
      </c>
      <c r="G98" s="2" t="s">
        <v>106</v>
      </c>
      <c r="H98" s="5">
        <v>1957.8</v>
      </c>
      <c r="I98" s="1" t="s">
        <v>8</v>
      </c>
      <c r="J98" s="25"/>
      <c r="K98" s="19"/>
      <c r="L98" s="19"/>
      <c r="M98" s="19"/>
      <c r="N98" t="str">
        <f>IF(COUNTIFS( $B$2:$B$842, B98, $C$2:$C$842, C98, $D$2:$D$842, D98, $E$2:$E$842, E98) &gt; 1, "Duplicate", "Unique")</f>
        <v>Unique</v>
      </c>
      <c r="O98" s="19"/>
    </row>
    <row r="99" spans="1:15" ht="15" customHeight="1" thickBot="1" x14ac:dyDescent="0.4">
      <c r="A99" s="6" t="s">
        <v>62</v>
      </c>
      <c r="B99" s="1" t="s">
        <v>89</v>
      </c>
      <c r="C99" s="1" t="s">
        <v>10</v>
      </c>
      <c r="D99" s="4">
        <v>1</v>
      </c>
      <c r="E99" s="4">
        <v>13052</v>
      </c>
      <c r="F99" s="4">
        <v>-11.13834423</v>
      </c>
      <c r="G99" s="2" t="s">
        <v>90</v>
      </c>
      <c r="H99" s="5">
        <v>14688</v>
      </c>
      <c r="I99" s="1" t="s">
        <v>8</v>
      </c>
      <c r="J99" s="25"/>
      <c r="K99" s="19"/>
      <c r="L99" s="19"/>
      <c r="M99" s="19"/>
      <c r="N99" t="str">
        <f>IF(COUNTIFS( $B$2:$B$842, B99, $C$2:$C$842, C99, $D$2:$D$842, D99, $E$2:$E$842, E99) &gt; 1, "Duplicate", "Unique")</f>
        <v>Unique</v>
      </c>
      <c r="O99" s="19"/>
    </row>
    <row r="100" spans="1:15" ht="27.65" customHeight="1" thickBot="1" x14ac:dyDescent="0.4">
      <c r="A100" s="6" t="s">
        <v>62</v>
      </c>
      <c r="B100" s="1" t="s">
        <v>111</v>
      </c>
      <c r="C100" s="1" t="s">
        <v>10</v>
      </c>
      <c r="D100" s="4">
        <v>7</v>
      </c>
      <c r="E100" s="4">
        <v>411</v>
      </c>
      <c r="F100" s="4">
        <v>-12.618263000000001</v>
      </c>
      <c r="G100" s="2" t="s">
        <v>112</v>
      </c>
      <c r="H100" s="5">
        <v>470.35</v>
      </c>
      <c r="I100" s="1" t="s">
        <v>8</v>
      </c>
      <c r="J100" s="25"/>
      <c r="K100" s="19"/>
      <c r="L100" s="19"/>
      <c r="M100" s="19"/>
      <c r="N100" t="str">
        <f>IF(COUNTIFS( $B$2:$B$842, B100, $C$2:$C$842, C100, $D$2:$D$842, D100, $E$2:$E$842, E100) &gt; 1, "Duplicate", "Unique")</f>
        <v>Unique</v>
      </c>
      <c r="O100" s="19"/>
    </row>
    <row r="101" spans="1:15" ht="27.65" customHeight="1" thickBot="1" x14ac:dyDescent="0.4">
      <c r="A101" s="6" t="s">
        <v>62</v>
      </c>
      <c r="B101" s="1" t="s">
        <v>20</v>
      </c>
      <c r="C101" s="1" t="s">
        <v>10</v>
      </c>
      <c r="D101" s="4">
        <v>100</v>
      </c>
      <c r="E101" s="4">
        <v>111</v>
      </c>
      <c r="F101" s="4">
        <v>-12.907022359999999</v>
      </c>
      <c r="G101" s="2" t="s">
        <v>86</v>
      </c>
      <c r="H101" s="5">
        <v>127.45</v>
      </c>
      <c r="I101" s="1" t="s">
        <v>8</v>
      </c>
      <c r="J101" s="25"/>
      <c r="K101" s="19"/>
      <c r="L101" s="19"/>
      <c r="M101" s="19"/>
      <c r="N101" t="str">
        <f>IF(COUNTIFS( $B$2:$B$842, B101, $C$2:$C$842, C101, $D$2:$D$842, D101, $E$2:$E$842, E101) &gt; 1, "Duplicate", "Unique")</f>
        <v>Unique</v>
      </c>
      <c r="O101" s="19"/>
    </row>
    <row r="102" spans="1:15" ht="27.65" customHeight="1" thickBot="1" x14ac:dyDescent="0.4">
      <c r="A102" s="3">
        <v>46252.635416666664</v>
      </c>
      <c r="B102" s="1" t="s">
        <v>92</v>
      </c>
      <c r="C102" s="1" t="s">
        <v>10</v>
      </c>
      <c r="D102" s="4">
        <v>2</v>
      </c>
      <c r="E102" s="4">
        <v>2892</v>
      </c>
      <c r="F102" s="4">
        <v>-12.983300740000001</v>
      </c>
      <c r="G102" s="2" t="s">
        <v>93</v>
      </c>
      <c r="H102" s="5">
        <v>3323.5</v>
      </c>
      <c r="I102" s="1" t="s">
        <v>8</v>
      </c>
      <c r="J102" s="25"/>
      <c r="K102" s="19"/>
      <c r="L102" s="19"/>
      <c r="M102" s="19"/>
      <c r="N102" t="str">
        <f>IF(COUNTIFS( $B$2:$B$842, B102, $C$2:$C$842, C102, $D$2:$D$842, D102, $E$2:$E$842, E102) &gt; 1, "Duplicate", "Unique")</f>
        <v>Unique</v>
      </c>
      <c r="O102" s="19"/>
    </row>
    <row r="103" spans="1:15" ht="27.65" customHeight="1" thickBot="1" x14ac:dyDescent="0.4">
      <c r="A103" s="6" t="s">
        <v>62</v>
      </c>
      <c r="B103" s="1" t="s">
        <v>113</v>
      </c>
      <c r="C103" s="1" t="s">
        <v>10</v>
      </c>
      <c r="D103" s="4">
        <v>4</v>
      </c>
      <c r="E103" s="4">
        <v>701</v>
      </c>
      <c r="F103" s="4">
        <v>-13.78144026</v>
      </c>
      <c r="G103" s="2" t="s">
        <v>114</v>
      </c>
      <c r="H103" s="5">
        <v>813.05</v>
      </c>
      <c r="I103" s="1" t="s">
        <v>8</v>
      </c>
      <c r="J103" s="25" t="s">
        <v>41</v>
      </c>
      <c r="K103" s="19"/>
      <c r="L103" s="19"/>
      <c r="M103" s="19"/>
      <c r="N103" t="str">
        <f>IF(COUNTIFS( $B$2:$B$842, B103, $C$2:$C$842, C103, $D$2:$D$842, D103, $E$2:$E$842, E103) &gt; 1, "Duplicate", "Unique")</f>
        <v>Unique</v>
      </c>
      <c r="O103" s="19"/>
    </row>
    <row r="104" spans="1:15" ht="27.65" customHeight="1" thickBot="1" x14ac:dyDescent="0.4">
      <c r="A104" s="6" t="s">
        <v>62</v>
      </c>
      <c r="B104" s="1" t="s">
        <v>11</v>
      </c>
      <c r="C104" s="1" t="s">
        <v>10</v>
      </c>
      <c r="D104" s="4">
        <v>10</v>
      </c>
      <c r="E104" s="4">
        <v>251</v>
      </c>
      <c r="F104" s="4">
        <v>-14.18803419</v>
      </c>
      <c r="G104" s="2" t="s">
        <v>99</v>
      </c>
      <c r="H104" s="5">
        <v>292.5</v>
      </c>
      <c r="I104" s="1" t="s">
        <v>8</v>
      </c>
      <c r="J104" s="25"/>
      <c r="K104" s="19"/>
      <c r="L104" s="19"/>
      <c r="M104" s="19"/>
      <c r="N104" t="str">
        <f>IF(COUNTIFS( $B$2:$B$842, B104, $C$2:$C$842, C104, $D$2:$D$842, D104, $E$2:$E$842, E104) &gt; 1, "Duplicate", "Unique")</f>
        <v>Unique</v>
      </c>
      <c r="O104" s="19"/>
    </row>
    <row r="105" spans="1:15" ht="15" customHeight="1" thickBot="1" x14ac:dyDescent="0.4">
      <c r="A105" s="6" t="s">
        <v>62</v>
      </c>
      <c r="B105" s="1" t="s">
        <v>12</v>
      </c>
      <c r="C105" s="1" t="s">
        <v>10</v>
      </c>
      <c r="D105" s="4">
        <v>2</v>
      </c>
      <c r="E105" s="4">
        <v>4410</v>
      </c>
      <c r="F105" s="4">
        <v>-14.82704676</v>
      </c>
      <c r="G105" s="2" t="s">
        <v>98</v>
      </c>
      <c r="H105" s="5">
        <v>5177.7</v>
      </c>
      <c r="I105" s="1" t="s">
        <v>8</v>
      </c>
      <c r="J105" s="25"/>
      <c r="K105" s="19"/>
      <c r="L105" s="19"/>
      <c r="M105" s="19"/>
      <c r="N105" t="str">
        <f>IF(COUNTIFS( $B$2:$B$842, B105, $C$2:$C$842, C105, $D$2:$D$842, D105, $E$2:$E$842, E105) &gt; 1, "Duplicate", "Unique")</f>
        <v>Unique</v>
      </c>
      <c r="O105" s="19"/>
    </row>
    <row r="106" spans="1:15" ht="27.65" customHeight="1" thickBot="1" x14ac:dyDescent="0.4">
      <c r="A106" s="6" t="s">
        <v>62</v>
      </c>
      <c r="B106" s="1" t="s">
        <v>12</v>
      </c>
      <c r="C106" s="1" t="s">
        <v>10</v>
      </c>
      <c r="D106" s="4">
        <v>1</v>
      </c>
      <c r="E106" s="4">
        <v>4364</v>
      </c>
      <c r="F106" s="4">
        <v>-15.715472119999999</v>
      </c>
      <c r="G106" s="2" t="s">
        <v>98</v>
      </c>
      <c r="H106" s="5">
        <v>5177.7</v>
      </c>
      <c r="I106" s="1" t="s">
        <v>8</v>
      </c>
      <c r="J106" s="26" t="s">
        <v>41</v>
      </c>
      <c r="K106" s="19"/>
      <c r="L106" s="19"/>
      <c r="M106" s="19"/>
      <c r="N106" t="str">
        <f>IF(COUNTIFS( $B$2:$B$842, B106, $C$2:$C$842, C106, $D$2:$D$842, D106, $E$2:$E$842, E106) &gt; 1, "Duplicate", "Unique")</f>
        <v>Unique</v>
      </c>
    </row>
    <row r="107" spans="1:15" s="21" customFormat="1" ht="27.65" customHeight="1" thickBot="1" x14ac:dyDescent="0.4">
      <c r="A107" s="6" t="s">
        <v>62</v>
      </c>
      <c r="B107" s="1" t="s">
        <v>92</v>
      </c>
      <c r="C107" s="1" t="s">
        <v>10</v>
      </c>
      <c r="D107" s="4">
        <v>1</v>
      </c>
      <c r="E107" s="4">
        <v>2752</v>
      </c>
      <c r="F107" s="4">
        <v>-17.195727399999999</v>
      </c>
      <c r="G107" s="2" t="s">
        <v>93</v>
      </c>
      <c r="H107" s="5">
        <v>3323.5</v>
      </c>
      <c r="I107" s="1" t="s">
        <v>8</v>
      </c>
      <c r="J107" s="25"/>
      <c r="K107" s="19"/>
      <c r="L107" s="19"/>
      <c r="M107" s="19"/>
      <c r="N107" t="str">
        <f>IF(COUNTIFS( $B$2:$B$842, B107, $C$2:$C$842, C107, $D$2:$D$842, D107, $E$2:$E$842, E107) &gt; 1, "Duplicate", "Unique")</f>
        <v>Unique</v>
      </c>
      <c r="O107" s="19"/>
    </row>
    <row r="108" spans="1:15" ht="27.65" customHeight="1" thickBot="1" x14ac:dyDescent="0.4">
      <c r="A108" s="3">
        <v>46252.688194444447</v>
      </c>
      <c r="B108" s="1" t="s">
        <v>96</v>
      </c>
      <c r="C108" s="1" t="s">
        <v>10</v>
      </c>
      <c r="D108" s="4">
        <v>45</v>
      </c>
      <c r="E108" s="4">
        <v>136.15</v>
      </c>
      <c r="F108" s="4">
        <v>-17.882991560000001</v>
      </c>
      <c r="G108" s="2" t="s">
        <v>97</v>
      </c>
      <c r="H108" s="5">
        <v>165.8</v>
      </c>
      <c r="I108" s="1" t="s">
        <v>8</v>
      </c>
      <c r="J108" s="25"/>
      <c r="K108" s="19"/>
      <c r="L108" s="19"/>
      <c r="M108" s="19"/>
      <c r="N108" t="str">
        <f>IF(COUNTIFS( $B$2:$B$842, B108, $C$2:$C$842, C108, $D$2:$D$842, D108, $E$2:$E$842, E108) &gt; 1, "Duplicate", "Unique")</f>
        <v>Unique</v>
      </c>
      <c r="O108" s="19"/>
    </row>
    <row r="109" spans="1:15" ht="27.65" customHeight="1" thickBot="1" x14ac:dyDescent="0.4">
      <c r="A109" s="6" t="s">
        <v>62</v>
      </c>
      <c r="B109" s="1" t="s">
        <v>12</v>
      </c>
      <c r="C109" s="1" t="s">
        <v>10</v>
      </c>
      <c r="D109" s="4">
        <v>1</v>
      </c>
      <c r="E109" s="4">
        <v>4164</v>
      </c>
      <c r="F109" s="4">
        <v>-19.578191090000001</v>
      </c>
      <c r="G109" s="2" t="s">
        <v>98</v>
      </c>
      <c r="H109" s="5">
        <v>5177.7</v>
      </c>
      <c r="I109" s="1" t="s">
        <v>8</v>
      </c>
      <c r="J109" s="25"/>
      <c r="K109" s="19"/>
      <c r="L109" s="19"/>
      <c r="M109" s="19"/>
      <c r="N109" t="str">
        <f>IF(COUNTIFS( $B$2:$B$842, B109, $C$2:$C$842, C109, $D$2:$D$842, D109, $E$2:$E$842, E109) &gt; 1, "Duplicate", "Unique")</f>
        <v>Unique</v>
      </c>
    </row>
    <row r="110" spans="1:15" ht="15" customHeight="1" thickBot="1" x14ac:dyDescent="0.4">
      <c r="A110" s="6" t="s">
        <v>62</v>
      </c>
      <c r="B110" s="1" t="s">
        <v>92</v>
      </c>
      <c r="C110" s="1" t="s">
        <v>10</v>
      </c>
      <c r="D110" s="4">
        <v>2</v>
      </c>
      <c r="E110" s="4">
        <v>2660</v>
      </c>
      <c r="F110" s="4">
        <v>-19.96389349</v>
      </c>
      <c r="G110" s="2" t="s">
        <v>93</v>
      </c>
      <c r="H110" s="5">
        <v>3323.5</v>
      </c>
      <c r="I110" s="1" t="s">
        <v>8</v>
      </c>
      <c r="J110" s="25"/>
      <c r="K110" s="19"/>
      <c r="L110" s="19"/>
      <c r="M110" s="19"/>
      <c r="N110" t="str">
        <f>IF(COUNTIFS( $B$2:$B$842, B110, $C$2:$C$842, C110, $D$2:$D$842, D110, $E$2:$E$842, E110) &gt; 1, "Duplicate", "Unique")</f>
        <v>Unique</v>
      </c>
      <c r="O110" s="19"/>
    </row>
    <row r="111" spans="1:15" ht="27.65" customHeight="1" thickBot="1" x14ac:dyDescent="0.4">
      <c r="A111" s="6" t="s">
        <v>62</v>
      </c>
      <c r="B111" s="1" t="s">
        <v>115</v>
      </c>
      <c r="C111" s="1" t="s">
        <v>10</v>
      </c>
      <c r="D111" s="4">
        <v>2</v>
      </c>
      <c r="E111" s="4">
        <v>660</v>
      </c>
      <c r="F111" s="4">
        <v>-21.717471239999998</v>
      </c>
      <c r="G111" s="2" t="s">
        <v>116</v>
      </c>
      <c r="H111" s="5">
        <v>843.1</v>
      </c>
      <c r="I111" s="1" t="s">
        <v>8</v>
      </c>
      <c r="J111" s="25"/>
      <c r="K111" s="19"/>
      <c r="L111" s="19"/>
      <c r="M111" s="19"/>
      <c r="N111" t="str">
        <f>IF(COUNTIFS( $B$2:$B$842, B111, $C$2:$C$842, C111, $D$2:$D$842, D111, $E$2:$E$842, E111) &gt; 1, "Duplicate", "Unique")</f>
        <v>Unique</v>
      </c>
    </row>
    <row r="112" spans="1:15" ht="27.65" customHeight="1" thickBot="1" x14ac:dyDescent="0.4">
      <c r="A112" s="6" t="s">
        <v>62</v>
      </c>
      <c r="B112" s="1" t="s">
        <v>12</v>
      </c>
      <c r="C112" s="1" t="s">
        <v>10</v>
      </c>
      <c r="D112" s="4">
        <v>1</v>
      </c>
      <c r="E112" s="4">
        <v>4014</v>
      </c>
      <c r="F112" s="4">
        <v>-22.475230310000001</v>
      </c>
      <c r="G112" s="2" t="s">
        <v>98</v>
      </c>
      <c r="H112" s="5">
        <v>5177.7</v>
      </c>
      <c r="I112" s="1" t="s">
        <v>8</v>
      </c>
      <c r="J112" s="25"/>
      <c r="K112" s="19"/>
      <c r="L112" s="19"/>
      <c r="M112" s="19"/>
      <c r="N112" t="str">
        <f>IF(COUNTIFS( $B$2:$B$842, B112, $C$2:$C$842, C112, $D$2:$D$842, D112, $E$2:$E$842, E112) &gt; 1, "Duplicate", "Unique")</f>
        <v>Unique</v>
      </c>
    </row>
    <row r="113" spans="1:15" ht="27.65" customHeight="1" thickBot="1" x14ac:dyDescent="0.4">
      <c r="A113" s="6" t="s">
        <v>62</v>
      </c>
      <c r="B113" s="1" t="s">
        <v>92</v>
      </c>
      <c r="C113" s="1" t="s">
        <v>10</v>
      </c>
      <c r="D113" s="4">
        <v>2</v>
      </c>
      <c r="E113" s="4">
        <v>2560</v>
      </c>
      <c r="F113" s="4">
        <v>-22.972769670000002</v>
      </c>
      <c r="G113" s="2" t="s">
        <v>93</v>
      </c>
      <c r="H113" s="5">
        <v>3323.5</v>
      </c>
      <c r="I113" s="1" t="s">
        <v>8</v>
      </c>
      <c r="J113" s="25"/>
      <c r="K113" s="19"/>
      <c r="L113" s="19"/>
      <c r="M113" s="19"/>
      <c r="N113" t="str">
        <f>IF(COUNTIFS( $B$2:$B$842, B113, $C$2:$C$842, C113, $D$2:$D$842, D113, $E$2:$E$842, E113) &gt; 1, "Duplicate", "Unique")</f>
        <v>Unique</v>
      </c>
      <c r="O113" s="19"/>
    </row>
    <row r="114" spans="1:15" ht="15" customHeight="1" thickBot="1" x14ac:dyDescent="0.4">
      <c r="A114" s="6" t="s">
        <v>62</v>
      </c>
      <c r="B114" s="1" t="s">
        <v>12</v>
      </c>
      <c r="C114" s="1" t="s">
        <v>10</v>
      </c>
      <c r="D114" s="4">
        <v>1</v>
      </c>
      <c r="E114" s="4">
        <v>3914</v>
      </c>
      <c r="F114" s="4">
        <v>-24.406589799999999</v>
      </c>
      <c r="G114" s="2" t="s">
        <v>98</v>
      </c>
      <c r="H114" s="5">
        <v>5177.7</v>
      </c>
      <c r="I114" s="1" t="s">
        <v>8</v>
      </c>
      <c r="J114" s="26" t="s">
        <v>41</v>
      </c>
      <c r="K114" s="19"/>
      <c r="L114" s="19"/>
      <c r="M114" s="19"/>
      <c r="N114" t="str">
        <f>IF(COUNTIFS( $B$2:$B$842, B114, $C$2:$C$842, C114, $D$2:$D$842, D114, $E$2:$E$842, E114) &gt; 1, "Duplicate", "Unique")</f>
        <v>Unique</v>
      </c>
    </row>
    <row r="115" spans="1:15" ht="27.65" customHeight="1" thickBot="1" x14ac:dyDescent="0.4">
      <c r="A115" s="10" t="s">
        <v>62</v>
      </c>
      <c r="B115" s="10" t="s">
        <v>141</v>
      </c>
      <c r="C115" s="10" t="s">
        <v>7</v>
      </c>
      <c r="D115" s="10">
        <v>23</v>
      </c>
      <c r="E115" s="14">
        <v>890</v>
      </c>
      <c r="F115" s="6" t="e">
        <v>#N/A</v>
      </c>
      <c r="G115" s="2" t="s">
        <v>142</v>
      </c>
      <c r="H115" s="9" t="e">
        <v>#N/A</v>
      </c>
      <c r="I115" s="1" t="s">
        <v>8</v>
      </c>
      <c r="J115" s="23"/>
      <c r="N115" s="12" t="str">
        <f>IF(COUNTIFS( $B$2:$B$842, B115, $C$2:$C$842, C115, $D$2:$D$842, D115, $E$2:$E$842, E115) &gt; 1, "Duplicate", "Unique")</f>
        <v>Unique</v>
      </c>
      <c r="O115" s="19"/>
    </row>
    <row r="116" spans="1:15" ht="27.65" customHeight="1" thickBot="1" x14ac:dyDescent="0.4">
      <c r="A116" s="10" t="s">
        <v>62</v>
      </c>
      <c r="B116" s="10" t="s">
        <v>13</v>
      </c>
      <c r="C116" s="10" t="s">
        <v>7</v>
      </c>
      <c r="D116" s="10">
        <v>1</v>
      </c>
      <c r="E116" s="10">
        <v>2494</v>
      </c>
      <c r="F116" s="4">
        <v>44.170183250000001</v>
      </c>
      <c r="G116" s="2" t="s">
        <v>91</v>
      </c>
      <c r="H116" s="5">
        <v>1729.9</v>
      </c>
      <c r="I116" s="1" t="s">
        <v>8</v>
      </c>
      <c r="J116" s="23"/>
      <c r="N116" s="12" t="str">
        <f>IF(COUNTIFS( $B$2:$B$842, B116, $C$2:$C$842, C116, $D$2:$D$842, D116, $E$2:$E$842, E116) &gt; 1, "Duplicate", "Unique")</f>
        <v>Unique</v>
      </c>
      <c r="O116" s="19"/>
    </row>
    <row r="117" spans="1:15" ht="27.65" customHeight="1" thickBot="1" x14ac:dyDescent="0.4">
      <c r="A117" s="13">
        <v>46251.506249999999</v>
      </c>
      <c r="B117" s="10" t="s">
        <v>13</v>
      </c>
      <c r="C117" s="10" t="s">
        <v>7</v>
      </c>
      <c r="D117" s="10">
        <v>3</v>
      </c>
      <c r="E117" s="10">
        <v>2494</v>
      </c>
      <c r="F117" s="4">
        <v>44.170183250000001</v>
      </c>
      <c r="G117" s="2" t="s">
        <v>91</v>
      </c>
      <c r="H117" s="5">
        <v>1729.9</v>
      </c>
      <c r="I117" s="1" t="s">
        <v>8</v>
      </c>
      <c r="J117" s="23"/>
      <c r="N117" s="12" t="str">
        <f>IF(COUNTIFS( $B$2:$B$842, B117, $C$2:$C$842, C117, $D$2:$D$842, D117, $E$2:$E$842, E117) &gt; 1, "Duplicate", "Unique")</f>
        <v>Unique</v>
      </c>
      <c r="O117" s="19"/>
    </row>
    <row r="118" spans="1:15" s="39" customFormat="1" ht="27.65" customHeight="1" thickBot="1" x14ac:dyDescent="0.4">
      <c r="A118" s="10" t="s">
        <v>62</v>
      </c>
      <c r="B118" s="10" t="s">
        <v>13</v>
      </c>
      <c r="C118" s="10" t="s">
        <v>7</v>
      </c>
      <c r="D118" s="10">
        <v>20</v>
      </c>
      <c r="E118" s="10">
        <v>2310</v>
      </c>
      <c r="F118" s="4">
        <v>33.53373027</v>
      </c>
      <c r="G118" s="2" t="s">
        <v>91</v>
      </c>
      <c r="H118" s="5">
        <v>1729.9</v>
      </c>
      <c r="I118" s="1" t="s">
        <v>8</v>
      </c>
      <c r="J118" s="23"/>
      <c r="K118" s="20"/>
      <c r="L118" s="20"/>
      <c r="M118" s="20"/>
      <c r="N118" s="12" t="str">
        <f>IF(COUNTIFS( $B$2:$B$842, B118, $C$2:$C$842, C118, $D$2:$D$842, D118, $E$2:$E$842, E118) &gt; 1, "Duplicate", "Unique")</f>
        <v>Unique</v>
      </c>
      <c r="O118" s="19"/>
    </row>
    <row r="119" spans="1:15" ht="27.65" customHeight="1" thickBot="1" x14ac:dyDescent="0.4">
      <c r="A119" s="3">
        <v>46259.532638888886</v>
      </c>
      <c r="B119" s="1" t="s">
        <v>96</v>
      </c>
      <c r="C119" s="1" t="s">
        <v>7</v>
      </c>
      <c r="D119" s="4">
        <v>5</v>
      </c>
      <c r="E119" s="4">
        <v>218</v>
      </c>
      <c r="F119" s="4">
        <v>31.483715320000002</v>
      </c>
      <c r="G119" s="2" t="s">
        <v>97</v>
      </c>
      <c r="H119" s="5">
        <v>165.8</v>
      </c>
      <c r="I119" s="1" t="s">
        <v>8</v>
      </c>
      <c r="J119" s="23" t="s">
        <v>118</v>
      </c>
      <c r="K119" s="20" t="s">
        <v>165</v>
      </c>
      <c r="L119" s="20">
        <v>840</v>
      </c>
      <c r="M119" s="20">
        <f>ABS((D119*E119)-L119)</f>
        <v>250</v>
      </c>
      <c r="N119" s="12" t="str">
        <f>IF(COUNTIFS( $B$2:$B$842, B119, $C$2:$C$842, C119, $D$2:$D$842, D119, $E$2:$E$842, E119) &gt; 1, "Duplicate", "Unique")</f>
        <v>Unique</v>
      </c>
    </row>
    <row r="120" spans="1:15" ht="27.65" customHeight="1" thickBot="1" x14ac:dyDescent="0.4">
      <c r="A120" s="10" t="s">
        <v>62</v>
      </c>
      <c r="B120" s="10" t="s">
        <v>13</v>
      </c>
      <c r="C120" s="10" t="s">
        <v>7</v>
      </c>
      <c r="D120" s="10">
        <v>10</v>
      </c>
      <c r="E120" s="10">
        <v>2189</v>
      </c>
      <c r="F120" s="4">
        <v>26.539106310000001</v>
      </c>
      <c r="G120" s="2" t="s">
        <v>91</v>
      </c>
      <c r="H120" s="5">
        <v>1729.9</v>
      </c>
      <c r="I120" s="1" t="s">
        <v>8</v>
      </c>
      <c r="J120" s="23"/>
      <c r="N120" s="12" t="str">
        <f>IF(COUNTIFS( $B$2:$B$842, B120, $C$2:$C$842, C120, $D$2:$D$842, D120, $E$2:$E$842, E120) &gt; 1, "Duplicate", "Unique")</f>
        <v>Unique</v>
      </c>
      <c r="O120" s="19"/>
    </row>
    <row r="121" spans="1:15" ht="27.65" customHeight="1" thickBot="1" x14ac:dyDescent="0.4">
      <c r="A121" s="10" t="s">
        <v>62</v>
      </c>
      <c r="B121" s="10" t="s">
        <v>17</v>
      </c>
      <c r="C121" s="10" t="s">
        <v>7</v>
      </c>
      <c r="D121" s="10">
        <v>5</v>
      </c>
      <c r="E121" s="14">
        <v>435</v>
      </c>
      <c r="F121" s="4">
        <v>24.463519309999999</v>
      </c>
      <c r="G121" s="2" t="s">
        <v>77</v>
      </c>
      <c r="H121" s="5">
        <v>349.5</v>
      </c>
      <c r="I121" s="1" t="s">
        <v>8</v>
      </c>
      <c r="J121" s="23" t="s">
        <v>118</v>
      </c>
      <c r="N121" s="12" t="str">
        <f>IF(COUNTIFS( $B$2:$B$842, B121, $C$2:$C$842, C121, $D$2:$D$842, D121, $E$2:$E$842, E121) &gt; 1, "Duplicate", "Unique")</f>
        <v>Unique</v>
      </c>
      <c r="O121" s="19"/>
    </row>
    <row r="122" spans="1:15" ht="40.75" customHeight="1" thickBot="1" x14ac:dyDescent="0.4">
      <c r="A122" s="10" t="s">
        <v>62</v>
      </c>
      <c r="B122" s="10" t="s">
        <v>13</v>
      </c>
      <c r="C122" s="10" t="s">
        <v>7</v>
      </c>
      <c r="D122" s="10">
        <v>10</v>
      </c>
      <c r="E122" s="10">
        <v>2114</v>
      </c>
      <c r="F122" s="4">
        <v>22.203595580000002</v>
      </c>
      <c r="G122" s="2" t="s">
        <v>91</v>
      </c>
      <c r="H122" s="5">
        <v>1729.9</v>
      </c>
      <c r="I122" s="1" t="s">
        <v>8</v>
      </c>
      <c r="J122" s="23"/>
      <c r="N122" s="12" t="str">
        <f>IF(COUNTIFS( $B$2:$B$842, B122, $C$2:$C$842, C122, $D$2:$D$842, D122, $E$2:$E$842, E122) &gt; 1, "Duplicate", "Unique")</f>
        <v>Unique</v>
      </c>
    </row>
    <row r="123" spans="1:15" ht="15" customHeight="1" thickBot="1" x14ac:dyDescent="0.4">
      <c r="A123" s="13">
        <v>46252.6875</v>
      </c>
      <c r="B123" s="10" t="s">
        <v>13</v>
      </c>
      <c r="C123" s="10" t="s">
        <v>7</v>
      </c>
      <c r="D123" s="10">
        <v>5</v>
      </c>
      <c r="E123" s="10">
        <v>2094</v>
      </c>
      <c r="F123" s="4">
        <v>21.04745939</v>
      </c>
      <c r="G123" s="2" t="s">
        <v>91</v>
      </c>
      <c r="H123" s="5">
        <v>1729.9</v>
      </c>
      <c r="I123" s="1" t="s">
        <v>8</v>
      </c>
      <c r="J123" s="23" t="s">
        <v>118</v>
      </c>
      <c r="N123" s="12" t="str">
        <f>IF(COUNTIFS( $B$2:$B$842, B123, $C$2:$C$842, C123, $D$2:$D$842, D123, $E$2:$E$842, E123) &gt; 1, "Duplicate", "Unique")</f>
        <v>Unique</v>
      </c>
    </row>
    <row r="124" spans="1:15" ht="27.65" customHeight="1" thickBot="1" x14ac:dyDescent="0.4">
      <c r="A124" s="10" t="s">
        <v>62</v>
      </c>
      <c r="B124" s="10" t="s">
        <v>138</v>
      </c>
      <c r="C124" s="10" t="s">
        <v>7</v>
      </c>
      <c r="D124" s="10">
        <v>35</v>
      </c>
      <c r="E124" s="15">
        <v>494</v>
      </c>
      <c r="F124" s="4">
        <v>20.915432630000002</v>
      </c>
      <c r="G124" s="2" t="s">
        <v>139</v>
      </c>
      <c r="H124" s="5">
        <v>408.55</v>
      </c>
      <c r="I124" s="1" t="s">
        <v>8</v>
      </c>
      <c r="J124" s="23"/>
      <c r="N124" s="12" t="str">
        <f>IF(COUNTIFS( $B$2:$B$842, B124, $C$2:$C$842, C124, $D$2:$D$842, D124, $E$2:$E$842, E124) &gt; 1, "Duplicate", "Unique")</f>
        <v>Unique</v>
      </c>
      <c r="O124" s="12"/>
    </row>
    <row r="125" spans="1:15" ht="27.65" customHeight="1" thickBot="1" x14ac:dyDescent="0.4">
      <c r="A125" s="10" t="s">
        <v>62</v>
      </c>
      <c r="B125" s="10" t="s">
        <v>17</v>
      </c>
      <c r="C125" s="10" t="s">
        <v>7</v>
      </c>
      <c r="D125" s="10">
        <v>5</v>
      </c>
      <c r="E125" s="14">
        <v>416</v>
      </c>
      <c r="F125" s="4">
        <v>19.027181689999999</v>
      </c>
      <c r="G125" s="2" t="s">
        <v>77</v>
      </c>
      <c r="H125" s="5">
        <v>349.5</v>
      </c>
      <c r="I125" s="1" t="s">
        <v>8</v>
      </c>
      <c r="J125" s="23"/>
      <c r="N125" s="12" t="str">
        <f>IF(COUNTIFS( $B$2:$B$842, B125, $C$2:$C$842, C125, $D$2:$D$842, D125, $E$2:$E$842, E125) &gt; 1, "Duplicate", "Unique")</f>
        <v>Unique</v>
      </c>
      <c r="O125" s="19"/>
    </row>
    <row r="126" spans="1:15" s="30" customFormat="1" ht="27.65" customHeight="1" thickBot="1" x14ac:dyDescent="0.4">
      <c r="A126" s="10" t="s">
        <v>62</v>
      </c>
      <c r="B126" s="10" t="s">
        <v>35</v>
      </c>
      <c r="C126" s="10" t="s">
        <v>7</v>
      </c>
      <c r="D126" s="10">
        <v>200</v>
      </c>
      <c r="E126" s="14">
        <v>249</v>
      </c>
      <c r="F126" s="4">
        <v>18.51499286</v>
      </c>
      <c r="G126" s="2" t="s">
        <v>42</v>
      </c>
      <c r="H126" s="5">
        <v>210.1</v>
      </c>
      <c r="I126" s="1" t="s">
        <v>8</v>
      </c>
      <c r="J126" s="23"/>
      <c r="K126" s="20"/>
      <c r="L126" s="20"/>
      <c r="M126" s="20"/>
      <c r="N126" s="12" t="str">
        <f>IF(COUNTIFS( $B$2:$B$842, B126, $C$2:$C$842, C126, $D$2:$D$842, D126, $E$2:$E$842, E126) &gt; 1, "Duplicate", "Unique")</f>
        <v>Unique</v>
      </c>
      <c r="O126" s="12"/>
    </row>
    <row r="127" spans="1:15" ht="27.65" customHeight="1" thickBot="1" x14ac:dyDescent="0.4">
      <c r="A127" s="10" t="s">
        <v>62</v>
      </c>
      <c r="B127" s="10" t="s">
        <v>26</v>
      </c>
      <c r="C127" s="10" t="s">
        <v>7</v>
      </c>
      <c r="D127" s="10">
        <v>25</v>
      </c>
      <c r="E127" s="10">
        <v>210</v>
      </c>
      <c r="F127" s="4">
        <v>17.812061709999998</v>
      </c>
      <c r="G127" s="2" t="s">
        <v>132</v>
      </c>
      <c r="H127" s="5">
        <v>178.25</v>
      </c>
      <c r="I127" s="1" t="s">
        <v>8</v>
      </c>
      <c r="J127" s="23"/>
      <c r="N127" s="12" t="str">
        <f>IF(COUNTIFS( $B$2:$B$842, B127, $C$2:$C$842, C127, $D$2:$D$842, D127, $E$2:$E$842, E127) &gt; 1, "Duplicate", "Unique")</f>
        <v>Unique</v>
      </c>
      <c r="O127" s="12"/>
    </row>
    <row r="128" spans="1:15" ht="27.65" customHeight="1" thickBot="1" x14ac:dyDescent="0.4">
      <c r="A128" s="10" t="s">
        <v>62</v>
      </c>
      <c r="B128" s="10" t="s">
        <v>138</v>
      </c>
      <c r="C128" s="10" t="s">
        <v>7</v>
      </c>
      <c r="D128" s="10">
        <v>50</v>
      </c>
      <c r="E128" s="14">
        <v>480</v>
      </c>
      <c r="F128" s="4">
        <v>17.488679479999998</v>
      </c>
      <c r="G128" s="2" t="s">
        <v>139</v>
      </c>
      <c r="H128" s="5">
        <v>408.55</v>
      </c>
      <c r="I128" s="1" t="s">
        <v>8</v>
      </c>
      <c r="J128" s="23"/>
      <c r="N128" s="12" t="str">
        <f>IF(COUNTIFS( $B$2:$B$842, B128, $C$2:$C$842, C128, $D$2:$D$842, D128, $E$2:$E$842, E128) &gt; 1, "Duplicate", "Unique")</f>
        <v>Unique</v>
      </c>
      <c r="O128" s="12"/>
    </row>
    <row r="129" spans="1:15" ht="16.25" customHeight="1" thickBot="1" x14ac:dyDescent="0.4">
      <c r="A129" s="10" t="s">
        <v>62</v>
      </c>
      <c r="B129" s="10" t="s">
        <v>6</v>
      </c>
      <c r="C129" s="10" t="s">
        <v>7</v>
      </c>
      <c r="D129" s="10">
        <v>150</v>
      </c>
      <c r="E129" s="14">
        <v>323</v>
      </c>
      <c r="F129" s="4">
        <v>16.648609610000001</v>
      </c>
      <c r="G129" s="2" t="s">
        <v>130</v>
      </c>
      <c r="H129" s="5">
        <v>276.89999999999998</v>
      </c>
      <c r="I129" s="1" t="s">
        <v>8</v>
      </c>
      <c r="J129" s="23" t="s">
        <v>118</v>
      </c>
      <c r="N129" s="12" t="str">
        <f>IF(COUNTIFS( $B$2:$B$842, B129, $C$2:$C$842, C129, $D$2:$D$842, D129, $E$2:$E$842, E129) &gt; 1, "Duplicate", "Unique")</f>
        <v>Unique</v>
      </c>
    </row>
    <row r="130" spans="1:15" s="53" customFormat="1" ht="27.65" customHeight="1" thickBot="1" x14ac:dyDescent="0.4">
      <c r="A130" s="13">
        <v>46252.6875</v>
      </c>
      <c r="B130" s="10" t="s">
        <v>13</v>
      </c>
      <c r="C130" s="10" t="s">
        <v>7</v>
      </c>
      <c r="D130" s="10">
        <v>5</v>
      </c>
      <c r="E130" s="10">
        <v>2014</v>
      </c>
      <c r="F130" s="4">
        <v>16.42291462</v>
      </c>
      <c r="G130" s="2" t="s">
        <v>91</v>
      </c>
      <c r="H130" s="5">
        <v>1729.9</v>
      </c>
      <c r="I130" s="1" t="s">
        <v>8</v>
      </c>
      <c r="J130" s="23" t="s">
        <v>118</v>
      </c>
      <c r="K130" s="20"/>
      <c r="L130" s="20"/>
      <c r="M130" s="20"/>
      <c r="N130" s="12" t="str">
        <f>IF(COUNTIFS( $B$2:$B$842, B130, $C$2:$C$842, C130, $D$2:$D$842, D130, $E$2:$E$842, E130) &gt; 1, "Duplicate", "Unique")</f>
        <v>Unique</v>
      </c>
      <c r="O130" s="12"/>
    </row>
    <row r="131" spans="1:15" ht="27.65" customHeight="1" thickBot="1" x14ac:dyDescent="0.4">
      <c r="A131" s="11" t="s">
        <v>62</v>
      </c>
      <c r="B131" s="11" t="s">
        <v>119</v>
      </c>
      <c r="C131" s="11" t="s">
        <v>7</v>
      </c>
      <c r="D131" s="11">
        <v>7</v>
      </c>
      <c r="E131" s="14">
        <v>1170</v>
      </c>
      <c r="F131" s="4">
        <v>16.417910450000001</v>
      </c>
      <c r="G131" s="2" t="s">
        <v>120</v>
      </c>
      <c r="H131" s="5">
        <v>1005</v>
      </c>
      <c r="I131" s="1" t="s">
        <v>8</v>
      </c>
      <c r="J131" s="23"/>
      <c r="N131" s="12" t="str">
        <f>IF(COUNTIFS( $B$2:$B$842, B131, $C$2:$C$842, C131, $D$2:$D$842, D131, $E$2:$E$842, E131) &gt; 1, "Duplicate", "Unique")</f>
        <v>Unique</v>
      </c>
      <c r="O131" s="19"/>
    </row>
    <row r="132" spans="1:15" ht="27.65" customHeight="1" thickBot="1" x14ac:dyDescent="0.4">
      <c r="A132" s="10" t="s">
        <v>62</v>
      </c>
      <c r="B132" s="10" t="s">
        <v>35</v>
      </c>
      <c r="C132" s="10" t="s">
        <v>7</v>
      </c>
      <c r="D132" s="10">
        <v>200</v>
      </c>
      <c r="E132" s="14">
        <v>244</v>
      </c>
      <c r="F132" s="4">
        <v>16.135173730000002</v>
      </c>
      <c r="G132" s="2" t="s">
        <v>42</v>
      </c>
      <c r="H132" s="5">
        <v>210.1</v>
      </c>
      <c r="I132" s="1" t="s">
        <v>8</v>
      </c>
      <c r="J132" s="23" t="s">
        <v>117</v>
      </c>
      <c r="N132" s="12" t="str">
        <f>IF(COUNTIFS( $B$2:$B$842, B132, $C$2:$C$842, C132, $D$2:$D$842, D132, $E$2:$E$842, E132) &gt; 1, "Duplicate", "Unique")</f>
        <v>Unique</v>
      </c>
      <c r="O132" s="12"/>
    </row>
    <row r="133" spans="1:15" ht="27.65" customHeight="1" thickBot="1" x14ac:dyDescent="0.4">
      <c r="A133" s="13">
        <v>46252.635416666664</v>
      </c>
      <c r="B133" s="10" t="s">
        <v>87</v>
      </c>
      <c r="C133" s="10" t="s">
        <v>7</v>
      </c>
      <c r="D133" s="10">
        <v>10</v>
      </c>
      <c r="E133" s="10">
        <v>1479</v>
      </c>
      <c r="F133" s="4">
        <v>16.09105181</v>
      </c>
      <c r="G133" s="2" t="s">
        <v>88</v>
      </c>
      <c r="H133" s="5">
        <v>1274</v>
      </c>
      <c r="I133" s="1" t="s">
        <v>8</v>
      </c>
      <c r="J133" s="23" t="s">
        <v>55</v>
      </c>
      <c r="N133" s="12" t="str">
        <f>IF(COUNTIFS( $B$2:$B$842, B133, $C$2:$C$842, C133, $D$2:$D$842, D133, $E$2:$E$842, E133) &gt; 1, "Duplicate", "Unique")</f>
        <v>Unique</v>
      </c>
      <c r="O133" s="12"/>
    </row>
    <row r="134" spans="1:15" ht="27.65" customHeight="1" thickBot="1" x14ac:dyDescent="0.4">
      <c r="A134" s="10" t="s">
        <v>62</v>
      </c>
      <c r="B134" s="10" t="s">
        <v>74</v>
      </c>
      <c r="C134" s="10" t="s">
        <v>7</v>
      </c>
      <c r="D134" s="10">
        <v>1</v>
      </c>
      <c r="E134" s="14">
        <v>3810</v>
      </c>
      <c r="F134" s="4">
        <v>15.981735159999999</v>
      </c>
      <c r="G134" s="2" t="s">
        <v>75</v>
      </c>
      <c r="H134" s="5">
        <v>3285</v>
      </c>
      <c r="I134" s="1" t="s">
        <v>8</v>
      </c>
      <c r="J134" s="23" t="s">
        <v>118</v>
      </c>
      <c r="N134" s="12" t="str">
        <f>IF(COUNTIFS( $B$2:$B$842, B134, $C$2:$C$842, C134, $D$2:$D$842, D134, $E$2:$E$842, E134) &gt; 1, "Duplicate", "Unique")</f>
        <v>Unique</v>
      </c>
      <c r="O134" s="19"/>
    </row>
    <row r="135" spans="1:15" ht="14.4" customHeight="1" thickBot="1" x14ac:dyDescent="0.4">
      <c r="A135" s="10" t="s">
        <v>62</v>
      </c>
      <c r="B135" s="10" t="s">
        <v>57</v>
      </c>
      <c r="C135" s="10" t="s">
        <v>7</v>
      </c>
      <c r="D135" s="10">
        <v>3</v>
      </c>
      <c r="E135" s="14">
        <v>3341</v>
      </c>
      <c r="F135" s="4">
        <v>15.96667824</v>
      </c>
      <c r="G135" s="2" t="s">
        <v>58</v>
      </c>
      <c r="H135" s="5">
        <v>2881</v>
      </c>
      <c r="I135" s="1" t="s">
        <v>8</v>
      </c>
      <c r="J135" s="23"/>
      <c r="N135" s="12" t="str">
        <f>IF(COUNTIFS( $B$2:$B$842, B135, $C$2:$C$842, C135, $D$2:$D$842, D135, $E$2:$E$842, E135) &gt; 1, "Duplicate", "Unique")</f>
        <v>Unique</v>
      </c>
      <c r="O135" s="12"/>
    </row>
    <row r="136" spans="1:15" ht="15.65" customHeight="1" thickBot="1" x14ac:dyDescent="0.4">
      <c r="A136" s="10" t="s">
        <v>62</v>
      </c>
      <c r="B136" s="10" t="s">
        <v>126</v>
      </c>
      <c r="C136" s="10" t="s">
        <v>7</v>
      </c>
      <c r="D136" s="10">
        <v>5</v>
      </c>
      <c r="E136" s="10">
        <v>596</v>
      </c>
      <c r="F136" s="4">
        <v>15.728155340000001</v>
      </c>
      <c r="G136" s="2" t="s">
        <v>127</v>
      </c>
      <c r="H136" s="5">
        <v>515</v>
      </c>
      <c r="I136" s="1" t="s">
        <v>8</v>
      </c>
      <c r="J136" s="23"/>
      <c r="N136" s="12" t="str">
        <f>IF(COUNTIFS( $B$2:$B$842, B136, $C$2:$C$842, C136, $D$2:$D$842, D136, $E$2:$E$842, E136) &gt; 1, "Duplicate", "Unique")</f>
        <v>Unique</v>
      </c>
    </row>
    <row r="137" spans="1:15" ht="14.4" customHeight="1" thickBot="1" x14ac:dyDescent="0.4">
      <c r="A137" s="22">
        <v>46255</v>
      </c>
      <c r="B137" s="1" t="s">
        <v>20</v>
      </c>
      <c r="C137" s="1" t="s">
        <v>7</v>
      </c>
      <c r="D137" s="4">
        <v>20</v>
      </c>
      <c r="E137" s="4">
        <v>147</v>
      </c>
      <c r="F137" s="4">
        <v>15.33934876</v>
      </c>
      <c r="G137" s="2" t="s">
        <v>86</v>
      </c>
      <c r="H137" s="5">
        <v>127.45</v>
      </c>
      <c r="I137" s="1" t="s">
        <v>8</v>
      </c>
      <c r="J137" s="29" t="s">
        <v>55</v>
      </c>
      <c r="K137" s="20" t="s">
        <v>152</v>
      </c>
      <c r="L137" s="20">
        <v>2640</v>
      </c>
      <c r="M137" s="20">
        <f>ABS((D137*E137)-L137)</f>
        <v>300</v>
      </c>
      <c r="N137" s="12" t="str">
        <f>IF(COUNTIFS( $B$2:$B$842, B137, $C$2:$C$842, C137, $D$2:$D$842, D137, $E$2:$E$842, E137) &gt; 1, "Duplicate", "Unique")</f>
        <v>Unique</v>
      </c>
    </row>
    <row r="138" spans="1:15" ht="14.4" customHeight="1" thickBot="1" x14ac:dyDescent="0.4">
      <c r="A138" s="3">
        <v>46260.375</v>
      </c>
      <c r="B138" s="1" t="s">
        <v>13</v>
      </c>
      <c r="C138" s="1" t="s">
        <v>7</v>
      </c>
      <c r="D138" s="4">
        <v>5</v>
      </c>
      <c r="E138" s="4">
        <v>1994</v>
      </c>
      <c r="F138" s="4">
        <v>15.26677843</v>
      </c>
      <c r="G138" s="2" t="s">
        <v>91</v>
      </c>
      <c r="H138" s="5">
        <v>1729.9</v>
      </c>
      <c r="I138" s="1" t="s">
        <v>8</v>
      </c>
      <c r="J138" s="29" t="s">
        <v>118</v>
      </c>
      <c r="K138" s="20" t="s">
        <v>177</v>
      </c>
      <c r="L138" s="20">
        <v>9320</v>
      </c>
      <c r="M138" s="20">
        <f>ABS((D138*E138)-L138)</f>
        <v>650</v>
      </c>
      <c r="N138" t="str">
        <f>IF(COUNTIFS( $B$2:$B$842, B138, $C$2:$C$842, C138, $D$2:$D$842, D138, $E$2:$E$842, E138) &gt; 1, "Duplicate", "Unique")</f>
        <v>Unique</v>
      </c>
    </row>
    <row r="139" spans="1:15" ht="15.65" customHeight="1" thickBot="1" x14ac:dyDescent="0.4">
      <c r="A139" s="10" t="s">
        <v>62</v>
      </c>
      <c r="B139" s="10" t="s">
        <v>6</v>
      </c>
      <c r="C139" s="10" t="s">
        <v>7</v>
      </c>
      <c r="D139" s="10">
        <v>100</v>
      </c>
      <c r="E139" s="15">
        <v>319</v>
      </c>
      <c r="F139" s="4">
        <v>15.20404478</v>
      </c>
      <c r="G139" s="2" t="s">
        <v>130</v>
      </c>
      <c r="H139" s="5">
        <v>276.89999999999998</v>
      </c>
      <c r="I139" s="1" t="s">
        <v>8</v>
      </c>
      <c r="J139" s="23"/>
      <c r="N139" s="12" t="str">
        <f>IF(COUNTIFS( $B$2:$B$842, B139, $C$2:$C$842, C139, $D$2:$D$842, D139, $E$2:$E$842, E139) &gt; 1, "Duplicate", "Unique")</f>
        <v>Unique</v>
      </c>
      <c r="O139" s="12"/>
    </row>
    <row r="140" spans="1:15" ht="14.4" customHeight="1" thickBot="1" x14ac:dyDescent="0.4">
      <c r="A140" s="10" t="s">
        <v>62</v>
      </c>
      <c r="B140" s="10" t="s">
        <v>28</v>
      </c>
      <c r="C140" s="10" t="s">
        <v>7</v>
      </c>
      <c r="D140" s="10">
        <v>5</v>
      </c>
      <c r="E140" s="14">
        <v>1002</v>
      </c>
      <c r="F140" s="4">
        <v>14.90825688</v>
      </c>
      <c r="G140" s="2" t="s">
        <v>125</v>
      </c>
      <c r="H140" s="5">
        <v>872</v>
      </c>
      <c r="I140" s="1" t="s">
        <v>8</v>
      </c>
      <c r="J140" s="23"/>
      <c r="N140" s="12" t="str">
        <f>IF(COUNTIFS( $B$2:$B$842, B140, $C$2:$C$842, C140, $D$2:$D$842, D140, $E$2:$E$842, E140) &gt; 1, "Duplicate", "Unique")</f>
        <v>Unique</v>
      </c>
    </row>
    <row r="141" spans="1:15" ht="14.4" customHeight="1" thickBot="1" x14ac:dyDescent="0.4">
      <c r="A141" s="10" t="s">
        <v>62</v>
      </c>
      <c r="B141" s="10" t="s">
        <v>6</v>
      </c>
      <c r="C141" s="10" t="s">
        <v>7</v>
      </c>
      <c r="D141" s="10">
        <v>100</v>
      </c>
      <c r="E141" s="14">
        <v>318</v>
      </c>
      <c r="F141" s="4">
        <v>14.84290358</v>
      </c>
      <c r="G141" s="2" t="s">
        <v>130</v>
      </c>
      <c r="H141" s="5">
        <v>276.89999999999998</v>
      </c>
      <c r="I141" s="1" t="s">
        <v>8</v>
      </c>
      <c r="J141" s="23"/>
      <c r="N141" s="12" t="str">
        <f>IF(COUNTIFS( $B$2:$B$842, B141, $C$2:$C$842, C141, $D$2:$D$842, D141, $E$2:$E$842, E141) &gt; 1, "Duplicate", "Unique")</f>
        <v>Unique</v>
      </c>
      <c r="O141" s="12"/>
    </row>
    <row r="142" spans="1:15" ht="14.4" customHeight="1" thickBot="1" x14ac:dyDescent="0.4">
      <c r="A142" s="3">
        <v>46258.375694444447</v>
      </c>
      <c r="B142" s="1" t="s">
        <v>22</v>
      </c>
      <c r="C142" s="1" t="s">
        <v>7</v>
      </c>
      <c r="D142" s="4">
        <v>5</v>
      </c>
      <c r="E142" s="4">
        <v>502</v>
      </c>
      <c r="F142" s="4">
        <v>14.32475518</v>
      </c>
      <c r="G142" s="2" t="s">
        <v>73</v>
      </c>
      <c r="H142" s="5">
        <v>439.1</v>
      </c>
      <c r="I142" s="1" t="s">
        <v>8</v>
      </c>
      <c r="J142" s="29" t="s">
        <v>118</v>
      </c>
      <c r="K142" s="20" t="s">
        <v>162</v>
      </c>
      <c r="L142" s="20">
        <v>2260</v>
      </c>
      <c r="M142" s="20">
        <f>ABS((D142*E142)-L142)</f>
        <v>250</v>
      </c>
      <c r="N142" s="12" t="str">
        <f>IF(COUNTIFS( $B$2:$B$842, B142, $C$2:$C$842, C142, $D$2:$D$842, D142, $E$2:$E$842, E142) &gt; 1, "Duplicate", "Unique")</f>
        <v>Unique</v>
      </c>
    </row>
    <row r="143" spans="1:15" ht="14.4" customHeight="1" thickBot="1" x14ac:dyDescent="0.4">
      <c r="A143" s="10" t="s">
        <v>62</v>
      </c>
      <c r="B143" s="16" t="s">
        <v>28</v>
      </c>
      <c r="C143" s="10" t="s">
        <v>7</v>
      </c>
      <c r="D143" s="10">
        <v>40</v>
      </c>
      <c r="E143" s="17">
        <v>996</v>
      </c>
      <c r="F143" s="4">
        <v>14.22018349</v>
      </c>
      <c r="G143" s="2" t="s">
        <v>125</v>
      </c>
      <c r="H143" s="5">
        <v>872</v>
      </c>
      <c r="I143" s="1" t="s">
        <v>8</v>
      </c>
      <c r="J143" s="23" t="s">
        <v>118</v>
      </c>
      <c r="N143" s="12" t="str">
        <f>IF(COUNTIFS( $B$2:$B$842, B143, $C$2:$C$842, C143, $D$2:$D$842, D143, $E$2:$E$842, E143) &gt; 1, "Duplicate", "Unique")</f>
        <v>Unique</v>
      </c>
      <c r="O143" s="12"/>
    </row>
    <row r="144" spans="1:15" ht="14.4" customHeight="1" thickBot="1" x14ac:dyDescent="0.4">
      <c r="A144" s="10" t="s">
        <v>62</v>
      </c>
      <c r="B144" s="10" t="s">
        <v>128</v>
      </c>
      <c r="C144" s="10" t="s">
        <v>7</v>
      </c>
      <c r="D144" s="10">
        <v>150</v>
      </c>
      <c r="E144" s="14">
        <v>136</v>
      </c>
      <c r="F144" s="4">
        <v>13.85516953</v>
      </c>
      <c r="G144" s="2" t="s">
        <v>129</v>
      </c>
      <c r="H144" s="5">
        <v>119.45</v>
      </c>
      <c r="I144" s="1" t="s">
        <v>8</v>
      </c>
      <c r="J144" s="23"/>
      <c r="N144" s="12" t="str">
        <f>IF(COUNTIFS( $B$2:$B$842, B144, $C$2:$C$842, C144, $D$2:$D$842, D144, $E$2:$E$842, E144) &gt; 1, "Duplicate", "Unique")</f>
        <v>Unique</v>
      </c>
      <c r="O144" s="12"/>
    </row>
    <row r="145" spans="1:15" ht="14.4" customHeight="1" thickBot="1" x14ac:dyDescent="0.4">
      <c r="A145" s="10" t="s">
        <v>62</v>
      </c>
      <c r="B145" s="10" t="s">
        <v>35</v>
      </c>
      <c r="C145" s="10" t="s">
        <v>7</v>
      </c>
      <c r="D145" s="10">
        <v>200</v>
      </c>
      <c r="E145" s="10">
        <v>239</v>
      </c>
      <c r="F145" s="4">
        <v>13.75535459</v>
      </c>
      <c r="G145" s="2" t="s">
        <v>42</v>
      </c>
      <c r="H145" s="5">
        <v>210.1</v>
      </c>
      <c r="I145" s="1" t="s">
        <v>8</v>
      </c>
      <c r="J145" s="23"/>
      <c r="N145" s="12" t="str">
        <f>IF(COUNTIFS( $B$2:$B$842, B145, $C$2:$C$842, C145, $D$2:$D$842, D145, $E$2:$E$842, E145) &gt; 1, "Duplicate", "Unique")</f>
        <v>Unique</v>
      </c>
    </row>
    <row r="146" spans="1:15" s="30" customFormat="1" ht="15" thickBot="1" x14ac:dyDescent="0.4">
      <c r="A146" s="10" t="s">
        <v>62</v>
      </c>
      <c r="B146" s="10" t="s">
        <v>6</v>
      </c>
      <c r="C146" s="10" t="s">
        <v>7</v>
      </c>
      <c r="D146" s="10">
        <v>100</v>
      </c>
      <c r="E146" s="15">
        <v>314</v>
      </c>
      <c r="F146" s="4">
        <v>13.398338750000001</v>
      </c>
      <c r="G146" s="2" t="s">
        <v>130</v>
      </c>
      <c r="H146" s="5">
        <v>276.89999999999998</v>
      </c>
      <c r="I146" s="1" t="s">
        <v>8</v>
      </c>
      <c r="J146" s="23"/>
      <c r="K146" s="20"/>
      <c r="L146" s="20"/>
      <c r="M146" s="20"/>
      <c r="N146" s="12" t="str">
        <f>IF(COUNTIFS( $B$2:$B$842, B146, $C$2:$C$842, C146, $D$2:$D$842, D146, $E$2:$E$842, E146) &gt; 1, "Duplicate", "Unique")</f>
        <v>Unique</v>
      </c>
      <c r="O146" s="12"/>
    </row>
    <row r="147" spans="1:15" ht="15" thickBot="1" x14ac:dyDescent="0.4">
      <c r="A147" s="13">
        <v>46252.635416666664</v>
      </c>
      <c r="B147" s="10" t="s">
        <v>35</v>
      </c>
      <c r="C147" s="10" t="s">
        <v>7</v>
      </c>
      <c r="D147" s="10">
        <v>120</v>
      </c>
      <c r="E147" s="10">
        <v>238.2</v>
      </c>
      <c r="F147" s="4">
        <v>13.374583530000001</v>
      </c>
      <c r="G147" s="2" t="s">
        <v>42</v>
      </c>
      <c r="H147" s="5">
        <v>210.1</v>
      </c>
      <c r="I147" s="1" t="s">
        <v>8</v>
      </c>
      <c r="J147" s="23" t="s">
        <v>118</v>
      </c>
      <c r="K147" s="20" t="s">
        <v>146</v>
      </c>
      <c r="N147" s="12" t="str">
        <f>IF(COUNTIFS( $B$2:$B$842, B147, $C$2:$C$842, C147, $D$2:$D$842, D147, $E$2:$E$842, E147) &gt; 1, "Duplicate", "Unique")</f>
        <v>Unique</v>
      </c>
    </row>
    <row r="148" spans="1:15" ht="14.4" customHeight="1" thickBot="1" x14ac:dyDescent="0.4">
      <c r="A148" s="10" t="s">
        <v>62</v>
      </c>
      <c r="B148" s="10" t="s">
        <v>28</v>
      </c>
      <c r="C148" s="10" t="s">
        <v>7</v>
      </c>
      <c r="D148" s="10">
        <v>5</v>
      </c>
      <c r="E148" s="14">
        <v>986</v>
      </c>
      <c r="F148" s="4">
        <v>13.073394499999999</v>
      </c>
      <c r="G148" s="2" t="s">
        <v>125</v>
      </c>
      <c r="H148" s="5">
        <v>872</v>
      </c>
      <c r="I148" s="1" t="s">
        <v>8</v>
      </c>
      <c r="J148" s="23"/>
      <c r="N148" s="12" t="str">
        <f>IF(COUNTIFS( $B$2:$B$842, B148, $C$2:$C$842, C148, $D$2:$D$842, D148, $E$2:$E$842, E148) &gt; 1, "Duplicate", "Unique")</f>
        <v>Unique</v>
      </c>
      <c r="O148" s="12"/>
    </row>
    <row r="149" spans="1:15" ht="14.4" customHeight="1" thickBot="1" x14ac:dyDescent="0.4">
      <c r="A149" s="10" t="s">
        <v>62</v>
      </c>
      <c r="B149" s="10" t="s">
        <v>133</v>
      </c>
      <c r="C149" s="10" t="s">
        <v>7</v>
      </c>
      <c r="D149" s="10">
        <v>150</v>
      </c>
      <c r="E149" s="14">
        <v>129.9</v>
      </c>
      <c r="F149" s="4">
        <v>13.00565463</v>
      </c>
      <c r="G149" s="2" t="s">
        <v>134</v>
      </c>
      <c r="H149" s="5">
        <v>114.95</v>
      </c>
      <c r="I149" s="1" t="s">
        <v>8</v>
      </c>
      <c r="J149" s="23"/>
      <c r="N149" s="12" t="str">
        <f>IF(COUNTIFS( $B$2:$B$842, B149, $C$2:$C$842, C149, $D$2:$D$842, D149, $E$2:$E$842, E149) &gt; 1, "Duplicate", "Unique")</f>
        <v>Unique</v>
      </c>
      <c r="O149" s="12"/>
    </row>
    <row r="150" spans="1:15" customFormat="1" ht="15" thickBot="1" x14ac:dyDescent="0.4">
      <c r="A150" s="10" t="s">
        <v>62</v>
      </c>
      <c r="B150" s="10" t="s">
        <v>74</v>
      </c>
      <c r="C150" s="10" t="s">
        <v>7</v>
      </c>
      <c r="D150" s="10">
        <v>1</v>
      </c>
      <c r="E150" s="10">
        <v>3710</v>
      </c>
      <c r="F150" s="4">
        <v>12.93759513</v>
      </c>
      <c r="G150" s="2" t="s">
        <v>75</v>
      </c>
      <c r="H150" s="5">
        <v>3285</v>
      </c>
      <c r="I150" s="1" t="s">
        <v>8</v>
      </c>
      <c r="J150" s="58" t="s">
        <v>118</v>
      </c>
      <c r="K150" s="20"/>
      <c r="L150" s="20"/>
      <c r="M150" s="20"/>
      <c r="N150" s="12" t="str">
        <f>IF(COUNTIFS( $B$2:$B$842, B150, $C$2:$C$842, C150, $D$2:$D$842, D150, $E$2:$E$842, E150) &gt; 1, "Duplicate", "Unique")</f>
        <v>Unique</v>
      </c>
      <c r="O150" s="12"/>
    </row>
    <row r="151" spans="1:15" customFormat="1" ht="15" thickBot="1" x14ac:dyDescent="0.4">
      <c r="A151" s="31">
        <v>46260.634027777778</v>
      </c>
      <c r="B151" s="7" t="s">
        <v>29</v>
      </c>
      <c r="C151" s="7" t="s">
        <v>7</v>
      </c>
      <c r="D151" s="8">
        <v>5</v>
      </c>
      <c r="E151" s="8">
        <v>4148</v>
      </c>
      <c r="F151" s="4">
        <v>12.90146979</v>
      </c>
      <c r="G151" s="2" t="s">
        <v>137</v>
      </c>
      <c r="H151" s="5">
        <v>3674</v>
      </c>
      <c r="I151" s="1" t="s">
        <v>8</v>
      </c>
      <c r="J151" s="32" t="s">
        <v>118</v>
      </c>
      <c r="K151" s="32" t="s">
        <v>173</v>
      </c>
      <c r="L151" s="32">
        <v>20260</v>
      </c>
      <c r="M151" s="32">
        <f>ABS((D151*E151)-L151)</f>
        <v>480</v>
      </c>
      <c r="N151" s="33" t="str">
        <f>IF(COUNTIFS( $B$2:$B$842, B151, $C$2:$C$842, C151, $D$2:$D$842, D151, $E$2:$E$842, E151) &gt; 1, "Duplicate", "Unique")</f>
        <v>Unique</v>
      </c>
      <c r="O151" s="32" t="s">
        <v>181</v>
      </c>
    </row>
    <row r="152" spans="1:15" customFormat="1" ht="15" thickBot="1" x14ac:dyDescent="0.4">
      <c r="A152" s="3">
        <v>46259.388194444444</v>
      </c>
      <c r="B152" s="1" t="s">
        <v>13</v>
      </c>
      <c r="C152" s="1" t="s">
        <v>7</v>
      </c>
      <c r="D152" s="4">
        <v>20</v>
      </c>
      <c r="E152" s="4">
        <v>1948</v>
      </c>
      <c r="F152" s="4">
        <v>12.60766518</v>
      </c>
      <c r="G152" s="2" t="s">
        <v>91</v>
      </c>
      <c r="H152" s="5">
        <v>1729.9</v>
      </c>
      <c r="I152" s="1" t="s">
        <v>8</v>
      </c>
      <c r="J152" s="20" t="s">
        <v>117</v>
      </c>
      <c r="K152" s="20" t="s">
        <v>167</v>
      </c>
      <c r="L152" s="20">
        <v>38020</v>
      </c>
      <c r="M152" s="20">
        <f>ABS((D152*E152)-L152)</f>
        <v>940</v>
      </c>
      <c r="N152" s="12" t="str">
        <f>IF(COUNTIFS( $B$2:$B$842, B152, $C$2:$C$842, C152, $D$2:$D$842, D152, $E$2:$E$842, E152) &gt; 1, "Duplicate", "Unique")</f>
        <v>Unique</v>
      </c>
      <c r="O152" s="20"/>
    </row>
    <row r="153" spans="1:15" customFormat="1" ht="15" thickBot="1" x14ac:dyDescent="0.4">
      <c r="A153" s="10" t="s">
        <v>62</v>
      </c>
      <c r="B153" s="10" t="s">
        <v>14</v>
      </c>
      <c r="C153" s="10" t="s">
        <v>7</v>
      </c>
      <c r="D153" s="10">
        <v>50</v>
      </c>
      <c r="E153" s="14">
        <v>383</v>
      </c>
      <c r="F153" s="4">
        <v>12.481644640000001</v>
      </c>
      <c r="G153" s="2" t="s">
        <v>45</v>
      </c>
      <c r="H153" s="5">
        <v>340.5</v>
      </c>
      <c r="I153" s="1" t="s">
        <v>8</v>
      </c>
      <c r="J153" s="58"/>
      <c r="K153" s="20"/>
      <c r="L153" s="20"/>
      <c r="M153" s="20"/>
      <c r="N153" s="12" t="str">
        <f>IF(COUNTIFS( $B$2:$B$842, B153, $C$2:$C$842, C153, $D$2:$D$842, D153, $E$2:$E$842, E153) &gt; 1, "Duplicate", "Unique")</f>
        <v>Unique</v>
      </c>
      <c r="O153" s="20"/>
    </row>
    <row r="154" spans="1:15" customFormat="1" ht="15" thickBot="1" x14ac:dyDescent="0.4">
      <c r="A154" s="3">
        <v>46258.629861111112</v>
      </c>
      <c r="B154" s="1" t="s">
        <v>17</v>
      </c>
      <c r="C154" s="1" t="s">
        <v>7</v>
      </c>
      <c r="D154" s="4">
        <v>25</v>
      </c>
      <c r="E154" s="4">
        <v>392.5</v>
      </c>
      <c r="F154" s="4">
        <v>12.303290410000001</v>
      </c>
      <c r="G154" s="2" t="s">
        <v>77</v>
      </c>
      <c r="H154" s="5">
        <v>349.5</v>
      </c>
      <c r="I154" s="1" t="s">
        <v>8</v>
      </c>
      <c r="J154" s="20" t="s">
        <v>118</v>
      </c>
      <c r="K154" s="20" t="s">
        <v>158</v>
      </c>
      <c r="L154" s="20">
        <v>9312.5</v>
      </c>
      <c r="M154" s="20">
        <f>ABS((D154*E154)-L154)</f>
        <v>500</v>
      </c>
      <c r="N154" s="12" t="str">
        <f>IF(COUNTIFS( $B$2:$B$842, B154, $C$2:$C$842, C154, $D$2:$D$842, D154, $E$2:$E$842, E154) &gt; 1, "Duplicate", "Unique")</f>
        <v>Unique</v>
      </c>
      <c r="O154" s="20"/>
    </row>
    <row r="155" spans="1:15" customFormat="1" ht="15" thickBot="1" x14ac:dyDescent="0.4">
      <c r="A155" s="10" t="s">
        <v>62</v>
      </c>
      <c r="B155" s="10" t="s">
        <v>63</v>
      </c>
      <c r="C155" s="10" t="s">
        <v>7</v>
      </c>
      <c r="D155" s="10">
        <v>11</v>
      </c>
      <c r="E155" s="14">
        <v>1170</v>
      </c>
      <c r="F155" s="4">
        <v>12.230215830000001</v>
      </c>
      <c r="G155" s="2" t="s">
        <v>64</v>
      </c>
      <c r="H155" s="5">
        <v>1042.5</v>
      </c>
      <c r="I155" s="1" t="s">
        <v>8</v>
      </c>
      <c r="J155" s="58"/>
      <c r="K155" s="20"/>
      <c r="L155" s="20"/>
      <c r="M155" s="20"/>
      <c r="N155" s="12" t="str">
        <f>IF(COUNTIFS( $B$2:$B$842, B155, $C$2:$C$842, C155, $D$2:$D$842, D155, $E$2:$E$842, E155) &gt; 1, "Duplicate", "Unique")</f>
        <v>Unique</v>
      </c>
      <c r="O155" s="12"/>
    </row>
    <row r="156" spans="1:15" customFormat="1" ht="15" thickBot="1" x14ac:dyDescent="0.4">
      <c r="A156" s="10" t="s">
        <v>62</v>
      </c>
      <c r="B156" s="10" t="s">
        <v>26</v>
      </c>
      <c r="C156" s="10" t="s">
        <v>7</v>
      </c>
      <c r="D156" s="10">
        <v>25</v>
      </c>
      <c r="E156" s="10">
        <v>199.9</v>
      </c>
      <c r="F156" s="4">
        <v>12.14586255</v>
      </c>
      <c r="G156" s="2" t="s">
        <v>132</v>
      </c>
      <c r="H156" s="5">
        <v>178.25</v>
      </c>
      <c r="I156" s="1" t="s">
        <v>8</v>
      </c>
      <c r="J156" s="58" t="s">
        <v>117</v>
      </c>
      <c r="K156" s="20"/>
      <c r="L156" s="20"/>
      <c r="M156" s="20"/>
      <c r="N156" s="12" t="str">
        <f>IF(COUNTIFS( $B$2:$B$842, B156, $C$2:$C$842, C156, $D$2:$D$842, D156, $E$2:$E$842, E156) &gt; 1, "Duplicate", "Unique")</f>
        <v>Unique</v>
      </c>
      <c r="O156" s="12"/>
    </row>
    <row r="157" spans="1:15" customFormat="1" ht="15" thickBot="1" x14ac:dyDescent="0.4">
      <c r="A157" s="10" t="s">
        <v>62</v>
      </c>
      <c r="B157" s="10" t="s">
        <v>6</v>
      </c>
      <c r="C157" s="10" t="s">
        <v>7</v>
      </c>
      <c r="D157" s="10">
        <v>100</v>
      </c>
      <c r="E157" s="10">
        <v>310.5</v>
      </c>
      <c r="F157" s="4">
        <v>12.13434453</v>
      </c>
      <c r="G157" s="2" t="s">
        <v>130</v>
      </c>
      <c r="H157" s="5">
        <v>276.89999999999998</v>
      </c>
      <c r="I157" s="1" t="s">
        <v>8</v>
      </c>
      <c r="J157" s="58" t="s">
        <v>118</v>
      </c>
      <c r="K157" s="20"/>
      <c r="L157" s="20"/>
      <c r="M157" s="20"/>
      <c r="N157" s="12" t="str">
        <f>IF(COUNTIFS( $B$2:$B$842, B157, $C$2:$C$842, C157, $D$2:$D$842, D157, $E$2:$E$842, E157) &gt; 1, "Duplicate", "Unique")</f>
        <v>Unique</v>
      </c>
      <c r="O157" s="12"/>
    </row>
    <row r="158" spans="1:15" ht="15" thickBot="1" x14ac:dyDescent="0.4">
      <c r="A158" s="13">
        <v>46252.635416666664</v>
      </c>
      <c r="B158" s="10" t="s">
        <v>35</v>
      </c>
      <c r="C158" s="10" t="s">
        <v>7</v>
      </c>
      <c r="D158" s="10">
        <v>200</v>
      </c>
      <c r="E158" s="10">
        <v>235</v>
      </c>
      <c r="F158" s="4">
        <v>11.85149929</v>
      </c>
      <c r="G158" s="2" t="s">
        <v>42</v>
      </c>
      <c r="H158" s="5">
        <v>210.1</v>
      </c>
      <c r="I158" s="1" t="s">
        <v>8</v>
      </c>
      <c r="J158" s="59" t="s">
        <v>55</v>
      </c>
      <c r="N158" s="12" t="str">
        <f>IF(COUNTIFS( $B$2:$B$842, B158, $C$2:$C$842, C158, $D$2:$D$842, D158, $E$2:$E$842, E158) &gt; 1, "Duplicate", "Unique")</f>
        <v>Unique</v>
      </c>
    </row>
    <row r="159" spans="1:15" s="53" customFormat="1" ht="15" thickBot="1" x14ac:dyDescent="0.4">
      <c r="A159" s="10" t="s">
        <v>62</v>
      </c>
      <c r="B159" s="10" t="s">
        <v>28</v>
      </c>
      <c r="C159" s="10" t="s">
        <v>7</v>
      </c>
      <c r="D159" s="10">
        <v>30</v>
      </c>
      <c r="E159" s="15">
        <v>974</v>
      </c>
      <c r="F159" s="4">
        <v>11.697247709999999</v>
      </c>
      <c r="G159" s="2" t="s">
        <v>125</v>
      </c>
      <c r="H159" s="5">
        <v>872</v>
      </c>
      <c r="I159" s="1" t="s">
        <v>8</v>
      </c>
      <c r="J159" s="58"/>
      <c r="K159" s="20"/>
      <c r="L159" s="20"/>
      <c r="M159" s="20"/>
      <c r="N159" s="12" t="str">
        <f>IF(COUNTIFS( $B$2:$B$842, B159, $C$2:$C$842, C159, $D$2:$D$842, D159, $E$2:$E$842, E159) &gt; 1, "Duplicate", "Unique")</f>
        <v>Unique</v>
      </c>
      <c r="O159" s="12"/>
    </row>
    <row r="160" spans="1:15" s="53" customFormat="1" ht="15" thickBot="1" x14ac:dyDescent="0.4">
      <c r="A160" s="3">
        <v>46260.550694444442</v>
      </c>
      <c r="B160" s="1" t="s">
        <v>103</v>
      </c>
      <c r="C160" s="1" t="s">
        <v>7</v>
      </c>
      <c r="D160" s="4">
        <v>2</v>
      </c>
      <c r="E160" s="4">
        <v>2787.9</v>
      </c>
      <c r="F160" s="4">
        <v>11.614220510000001</v>
      </c>
      <c r="G160" s="2" t="s">
        <v>104</v>
      </c>
      <c r="H160" s="5">
        <v>2497.8000000000002</v>
      </c>
      <c r="I160" s="1" t="s">
        <v>8</v>
      </c>
      <c r="J160" s="20" t="s">
        <v>118</v>
      </c>
      <c r="K160" s="20" t="s">
        <v>172</v>
      </c>
      <c r="L160" s="20">
        <v>5275.8</v>
      </c>
      <c r="M160" s="20">
        <f>ABS((D160*E160)-L160)</f>
        <v>300</v>
      </c>
      <c r="N160" t="str">
        <f>IF(COUNTIFS( $B$2:$B$842, B160, $C$2:$C$842, C160, $D$2:$D$842, D160, $E$2:$E$842, E160) &gt; 1, "Duplicate", "Unique")</f>
        <v>Unique</v>
      </c>
      <c r="O160" s="20"/>
    </row>
    <row r="161" spans="1:15" ht="15" thickBot="1" x14ac:dyDescent="0.4">
      <c r="A161" s="34">
        <v>46260.425694444442</v>
      </c>
      <c r="B161" s="35" t="s">
        <v>13</v>
      </c>
      <c r="C161" s="35" t="s">
        <v>7</v>
      </c>
      <c r="D161" s="36">
        <v>20</v>
      </c>
      <c r="E161" s="36">
        <v>1924</v>
      </c>
      <c r="F161" s="4">
        <v>11.220301750000001</v>
      </c>
      <c r="G161" s="2" t="s">
        <v>91</v>
      </c>
      <c r="H161" s="5">
        <v>1729.9</v>
      </c>
      <c r="I161" s="1" t="s">
        <v>8</v>
      </c>
      <c r="J161" s="37" t="s">
        <v>118</v>
      </c>
      <c r="K161" s="37" t="s">
        <v>174</v>
      </c>
      <c r="L161" s="37">
        <v>37480</v>
      </c>
      <c r="M161" s="37">
        <f>ABS((D161*E161)-L161)</f>
        <v>1000</v>
      </c>
      <c r="N161" s="38" t="str">
        <f>IF(COUNTIFS( $B$2:$B$842, B161, $C$2:$C$842, C161, $D$2:$D$842, D161, $E$2:$E$842, E161) &gt; 1, "Duplicate", "Unique")</f>
        <v>Unique</v>
      </c>
      <c r="O161" s="37"/>
    </row>
    <row r="162" spans="1:15" ht="15" thickBot="1" x14ac:dyDescent="0.4">
      <c r="A162" s="3">
        <v>46261.375</v>
      </c>
      <c r="B162" s="1" t="s">
        <v>18</v>
      </c>
      <c r="C162" s="1" t="s">
        <v>7</v>
      </c>
      <c r="D162" s="4">
        <v>2</v>
      </c>
      <c r="E162" s="4">
        <v>1970</v>
      </c>
      <c r="F162" s="4">
        <v>10.674157299999999</v>
      </c>
      <c r="G162" s="2" t="s">
        <v>102</v>
      </c>
      <c r="H162" s="5">
        <v>1780</v>
      </c>
      <c r="I162" s="1" t="s">
        <v>8</v>
      </c>
      <c r="J162" s="20" t="s">
        <v>117</v>
      </c>
      <c r="K162" s="20" t="s">
        <v>189</v>
      </c>
      <c r="L162" s="20">
        <v>3680</v>
      </c>
      <c r="M162" s="20">
        <f>ABS((D162*E162)-L162)</f>
        <v>260</v>
      </c>
      <c r="N162" s="12" t="str">
        <f>IF(COUNTIFS( $B$2:$B$842, B162, $C$2:$C$842, C162, $D$2:$D$842, D162, $E$2:$E$842, E162) &gt; 1, "Duplicate", "Unique")</f>
        <v>Unique</v>
      </c>
    </row>
    <row r="163" spans="1:15" ht="15" thickBot="1" x14ac:dyDescent="0.4">
      <c r="A163" s="10" t="s">
        <v>62</v>
      </c>
      <c r="B163" s="10" t="s">
        <v>9</v>
      </c>
      <c r="C163" s="10" t="s">
        <v>7</v>
      </c>
      <c r="D163" s="10">
        <v>40</v>
      </c>
      <c r="E163" s="10">
        <v>320.5</v>
      </c>
      <c r="F163" s="4">
        <v>10.61259707</v>
      </c>
      <c r="G163" s="2" t="s">
        <v>95</v>
      </c>
      <c r="H163" s="5">
        <v>289.75</v>
      </c>
      <c r="I163" s="1" t="s">
        <v>8</v>
      </c>
      <c r="J163" s="58"/>
      <c r="N163" s="12" t="str">
        <f>IF(COUNTIFS( $B$2:$B$842, B163, $C$2:$C$842, C163, $D$2:$D$842, D163, $E$2:$E$842, E163) &gt; 1, "Duplicate", "Unique")</f>
        <v>Unique</v>
      </c>
      <c r="O163" s="12"/>
    </row>
    <row r="164" spans="1:15" s="21" customFormat="1" ht="15" thickBot="1" x14ac:dyDescent="0.4">
      <c r="A164" s="10" t="s">
        <v>62</v>
      </c>
      <c r="B164" s="10" t="s">
        <v>74</v>
      </c>
      <c r="C164" s="10" t="s">
        <v>7</v>
      </c>
      <c r="D164" s="10">
        <v>5</v>
      </c>
      <c r="E164" s="10">
        <v>3633</v>
      </c>
      <c r="F164" s="4">
        <v>10.593607309999999</v>
      </c>
      <c r="G164" s="2" t="s">
        <v>75</v>
      </c>
      <c r="H164" s="5">
        <v>3285</v>
      </c>
      <c r="I164" s="1" t="s">
        <v>8</v>
      </c>
      <c r="J164" s="58"/>
      <c r="K164" s="20"/>
      <c r="L164" s="20"/>
      <c r="M164" s="20"/>
      <c r="N164" s="12" t="str">
        <f>IF(COUNTIFS( $B$2:$B$842, B164, $C$2:$C$842, C164, $D$2:$D$842, D164, $E$2:$E$842, E164) &gt; 1, "Duplicate", "Unique")</f>
        <v>Unique</v>
      </c>
      <c r="O164" s="12"/>
    </row>
    <row r="165" spans="1:15" s="39" customFormat="1" ht="15" thickBot="1" x14ac:dyDescent="0.4">
      <c r="A165" s="13">
        <v>46252.645138888889</v>
      </c>
      <c r="B165" s="10" t="s">
        <v>35</v>
      </c>
      <c r="C165" s="10" t="s">
        <v>7</v>
      </c>
      <c r="D165" s="10">
        <v>200</v>
      </c>
      <c r="E165" s="10">
        <v>232</v>
      </c>
      <c r="F165" s="4">
        <v>10.42360781</v>
      </c>
      <c r="G165" s="2" t="s">
        <v>42</v>
      </c>
      <c r="H165" s="5">
        <v>210.1</v>
      </c>
      <c r="I165" s="1" t="s">
        <v>8</v>
      </c>
      <c r="J165" s="19" t="s">
        <v>117</v>
      </c>
      <c r="K165" s="20"/>
      <c r="L165" s="20"/>
      <c r="M165" s="20"/>
      <c r="N165" s="12" t="str">
        <f>IF(COUNTIFS( $B$2:$B$842, B165, $C$2:$C$842, C165, $D$2:$D$842, D165, $E$2:$E$842, E165) &gt; 1, "Duplicate", "Unique")</f>
        <v>Unique</v>
      </c>
      <c r="O165" s="20"/>
    </row>
    <row r="166" spans="1:15" ht="15" thickBot="1" x14ac:dyDescent="0.4">
      <c r="A166" s="10" t="s">
        <v>62</v>
      </c>
      <c r="B166" s="10" t="s">
        <v>43</v>
      </c>
      <c r="C166" s="10" t="s">
        <v>7</v>
      </c>
      <c r="D166" s="10">
        <v>5</v>
      </c>
      <c r="E166" s="14">
        <v>790</v>
      </c>
      <c r="F166" s="4">
        <v>10.42001537</v>
      </c>
      <c r="G166" s="2" t="s">
        <v>44</v>
      </c>
      <c r="H166" s="5">
        <v>715.45</v>
      </c>
      <c r="I166" s="1" t="s">
        <v>8</v>
      </c>
      <c r="J166" s="58"/>
      <c r="N166" s="12" t="str">
        <f>IF(COUNTIFS( $B$2:$B$842, B166, $C$2:$C$842, C166, $D$2:$D$842, D166, $E$2:$E$842, E166) &gt; 1, "Duplicate", "Unique")</f>
        <v>Unique</v>
      </c>
      <c r="O166" s="12"/>
    </row>
    <row r="167" spans="1:15" ht="15" thickBot="1" x14ac:dyDescent="0.4">
      <c r="A167" s="13">
        <v>46253.375</v>
      </c>
      <c r="B167" s="10" t="s">
        <v>31</v>
      </c>
      <c r="C167" s="10" t="s">
        <v>7</v>
      </c>
      <c r="D167" s="10">
        <v>5</v>
      </c>
      <c r="E167" s="10">
        <v>682</v>
      </c>
      <c r="F167" s="4">
        <v>10.09766729</v>
      </c>
      <c r="G167" s="2" t="s">
        <v>94</v>
      </c>
      <c r="H167" s="5">
        <v>619.45000000000005</v>
      </c>
      <c r="I167" s="1" t="s">
        <v>8</v>
      </c>
      <c r="J167" s="58"/>
      <c r="K167" s="20" t="s">
        <v>144</v>
      </c>
      <c r="N167" s="12" t="str">
        <f>IF(COUNTIFS( $B$2:$B$842, B167, $C$2:$C$842, C167, $D$2:$D$842, D167, $E$2:$E$842, E167) &gt; 1, "Duplicate", "Unique")</f>
        <v>Unique</v>
      </c>
      <c r="O167" s="12"/>
    </row>
    <row r="168" spans="1:15" ht="15" thickBot="1" x14ac:dyDescent="0.4">
      <c r="A168" s="10" t="s">
        <v>62</v>
      </c>
      <c r="B168" s="10" t="s">
        <v>123</v>
      </c>
      <c r="C168" s="10" t="s">
        <v>7</v>
      </c>
      <c r="D168" s="10">
        <v>200</v>
      </c>
      <c r="E168" s="10">
        <v>91.75</v>
      </c>
      <c r="F168" s="4">
        <v>10.091192700000001</v>
      </c>
      <c r="G168" s="2" t="s">
        <v>124</v>
      </c>
      <c r="H168" s="5">
        <v>83.34</v>
      </c>
      <c r="I168" s="1" t="s">
        <v>8</v>
      </c>
      <c r="J168" s="58"/>
      <c r="N168" s="12" t="str">
        <f>IF(COUNTIFS( $B$2:$B$842, B168, $C$2:$C$842, C168, $D$2:$D$842, D168, $E$2:$E$842, E168) &gt; 1, "Duplicate", "Unique")</f>
        <v>Unique</v>
      </c>
      <c r="O168" s="12"/>
    </row>
    <row r="169" spans="1:15" ht="15" thickBot="1" x14ac:dyDescent="0.4">
      <c r="A169" s="10" t="s">
        <v>62</v>
      </c>
      <c r="B169" s="10" t="s">
        <v>14</v>
      </c>
      <c r="C169" s="10" t="s">
        <v>7</v>
      </c>
      <c r="D169" s="10">
        <v>17</v>
      </c>
      <c r="E169" s="10">
        <v>373</v>
      </c>
      <c r="F169" s="4">
        <v>9.5447870780000006</v>
      </c>
      <c r="G169" s="2" t="s">
        <v>45</v>
      </c>
      <c r="H169" s="5">
        <v>340.5</v>
      </c>
      <c r="I169" s="1" t="s">
        <v>8</v>
      </c>
      <c r="J169" s="58"/>
      <c r="N169" s="12" t="str">
        <f>IF(COUNTIFS( $B$2:$B$842, B169, $C$2:$C$842, C169, $D$2:$D$842, D169, $E$2:$E$842, E169) &gt; 1, "Duplicate", "Unique")</f>
        <v>Unique</v>
      </c>
      <c r="O169" s="12"/>
    </row>
    <row r="170" spans="1:15" ht="15" thickBot="1" x14ac:dyDescent="0.4">
      <c r="A170" s="10" t="s">
        <v>62</v>
      </c>
      <c r="B170" s="10" t="s">
        <v>14</v>
      </c>
      <c r="C170" s="10" t="s">
        <v>7</v>
      </c>
      <c r="D170" s="10">
        <v>50</v>
      </c>
      <c r="E170" s="14">
        <v>373</v>
      </c>
      <c r="F170" s="4">
        <v>9.5447870780000006</v>
      </c>
      <c r="G170" s="2" t="s">
        <v>45</v>
      </c>
      <c r="H170" s="5">
        <v>340.5</v>
      </c>
      <c r="I170" s="1" t="s">
        <v>8</v>
      </c>
      <c r="J170" s="58" t="s">
        <v>118</v>
      </c>
      <c r="N170" s="12" t="str">
        <f>IF(COUNTIFS( $B$2:$B$842, B170, $C$2:$C$842, C170, $D$2:$D$842, D170, $E$2:$E$842, E170) &gt; 1, "Duplicate", "Unique")</f>
        <v>Unique</v>
      </c>
      <c r="O170" s="12"/>
    </row>
    <row r="171" spans="1:15" ht="15" thickBot="1" x14ac:dyDescent="0.4">
      <c r="A171" s="3">
        <v>46262.375</v>
      </c>
      <c r="B171" s="1" t="s">
        <v>13</v>
      </c>
      <c r="C171" s="1" t="s">
        <v>7</v>
      </c>
      <c r="D171" s="4">
        <v>5</v>
      </c>
      <c r="E171" s="4">
        <v>1894</v>
      </c>
      <c r="F171" s="4">
        <v>9.486097462</v>
      </c>
      <c r="G171" s="2" t="s">
        <v>91</v>
      </c>
      <c r="H171" s="5">
        <v>1729.9</v>
      </c>
      <c r="I171" s="1" t="s">
        <v>8</v>
      </c>
      <c r="J171" s="20" t="s">
        <v>118</v>
      </c>
      <c r="K171" s="20" t="s">
        <v>201</v>
      </c>
      <c r="L171" s="20">
        <v>8820</v>
      </c>
      <c r="M171" s="20">
        <f>ABS((D171*E171)-L171)</f>
        <v>650</v>
      </c>
      <c r="N171" s="12" t="str">
        <f>IF(COUNTIFS( $B$2:$B$842, B171, $C$2:$C$842, C171, $D$2:$D$842, D171, $E$2:$E$842, E171) &gt; 1, "Duplicate", "Unique")</f>
        <v>Unique</v>
      </c>
    </row>
    <row r="172" spans="1:15" ht="15" thickBot="1" x14ac:dyDescent="0.4">
      <c r="A172" s="10" t="s">
        <v>62</v>
      </c>
      <c r="B172" s="10" t="s">
        <v>9</v>
      </c>
      <c r="C172" s="10" t="s">
        <v>7</v>
      </c>
      <c r="D172" s="10">
        <v>50</v>
      </c>
      <c r="E172" s="10">
        <v>317</v>
      </c>
      <c r="F172" s="4">
        <v>9.4046591890000002</v>
      </c>
      <c r="G172" s="2" t="s">
        <v>95</v>
      </c>
      <c r="H172" s="5">
        <v>289.75</v>
      </c>
      <c r="I172" s="1" t="s">
        <v>8</v>
      </c>
      <c r="J172" s="58"/>
      <c r="N172" s="12" t="str">
        <f>IF(COUNTIFS( $B$2:$B$842, B172, $C$2:$C$842, C172, $D$2:$D$842, D172, $E$2:$E$842, E172) &gt; 1, "Duplicate", "Unique")</f>
        <v>Unique</v>
      </c>
      <c r="O172" s="12"/>
    </row>
    <row r="173" spans="1:15" ht="15" thickBot="1" x14ac:dyDescent="0.4">
      <c r="A173" s="3">
        <v>46258.443055555559</v>
      </c>
      <c r="B173" s="1" t="s">
        <v>35</v>
      </c>
      <c r="C173" s="1" t="s">
        <v>7</v>
      </c>
      <c r="D173" s="4">
        <v>50</v>
      </c>
      <c r="E173" s="4">
        <v>229.5</v>
      </c>
      <c r="F173" s="4">
        <v>9.2336982390000006</v>
      </c>
      <c r="G173" s="2" t="s">
        <v>42</v>
      </c>
      <c r="H173" s="5">
        <v>210.1</v>
      </c>
      <c r="I173" s="1" t="s">
        <v>8</v>
      </c>
      <c r="J173" s="20" t="s">
        <v>118</v>
      </c>
      <c r="K173" s="20" t="s">
        <v>161</v>
      </c>
      <c r="L173" s="20">
        <v>11175</v>
      </c>
      <c r="M173" s="20">
        <f>ABS((D173*E173)-L173)</f>
        <v>300</v>
      </c>
      <c r="N173" s="12" t="str">
        <f>IF(COUNTIFS( $B$2:$B$842, B173, $C$2:$C$842, C173, $D$2:$D$842, D173, $E$2:$E$842, E173) &gt; 1, "Duplicate", "Unique")</f>
        <v>Unique</v>
      </c>
    </row>
    <row r="174" spans="1:15" ht="15" thickBot="1" x14ac:dyDescent="0.4">
      <c r="A174" s="3">
        <v>46259.375</v>
      </c>
      <c r="B174" s="1" t="s">
        <v>35</v>
      </c>
      <c r="C174" s="1" t="s">
        <v>7</v>
      </c>
      <c r="D174" s="4">
        <v>20</v>
      </c>
      <c r="E174" s="4">
        <v>229.5</v>
      </c>
      <c r="F174" s="4">
        <v>9.2336982390000006</v>
      </c>
      <c r="G174" s="2" t="s">
        <v>42</v>
      </c>
      <c r="H174" s="5">
        <v>210.1</v>
      </c>
      <c r="I174" s="1" t="s">
        <v>8</v>
      </c>
      <c r="J174" s="20" t="s">
        <v>118</v>
      </c>
      <c r="K174" s="20" t="s">
        <v>168</v>
      </c>
      <c r="L174" s="20">
        <v>4402</v>
      </c>
      <c r="M174" s="20">
        <f>ABS((D174*E174)-L174)</f>
        <v>188</v>
      </c>
      <c r="N174" s="12" t="str">
        <f>IF(COUNTIFS( $B$2:$B$842, B174, $C$2:$C$842, C174, $D$2:$D$842, D174, $E$2:$E$842, E174) &gt; 1, "Duplicate", "Unique")</f>
        <v>Unique</v>
      </c>
    </row>
    <row r="175" spans="1:15" ht="15" thickBot="1" x14ac:dyDescent="0.4">
      <c r="A175" s="10" t="s">
        <v>62</v>
      </c>
      <c r="B175" s="10" t="s">
        <v>135</v>
      </c>
      <c r="C175" s="10" t="s">
        <v>7</v>
      </c>
      <c r="D175" s="10">
        <v>5</v>
      </c>
      <c r="E175" s="10">
        <v>2190</v>
      </c>
      <c r="F175" s="4">
        <v>9.1072140289999997</v>
      </c>
      <c r="G175" s="2" t="s">
        <v>136</v>
      </c>
      <c r="H175" s="5">
        <v>2007.2</v>
      </c>
      <c r="I175" s="1" t="s">
        <v>8</v>
      </c>
      <c r="J175" s="58" t="s">
        <v>118</v>
      </c>
      <c r="N175" s="12" t="str">
        <f>IF(COUNTIFS( $B$2:$B$842, B175, $C$2:$C$842, C175, $D$2:$D$842, D175, $E$2:$E$842, E175) &gt; 1, "Duplicate", "Unique")</f>
        <v>Unique</v>
      </c>
      <c r="O175" s="12"/>
    </row>
    <row r="176" spans="1:15" ht="15" thickBot="1" x14ac:dyDescent="0.4">
      <c r="A176" s="3">
        <v>46260.375</v>
      </c>
      <c r="B176" s="1" t="s">
        <v>87</v>
      </c>
      <c r="C176" s="1" t="s">
        <v>7</v>
      </c>
      <c r="D176" s="4">
        <v>10</v>
      </c>
      <c r="E176" s="4">
        <v>1390</v>
      </c>
      <c r="F176" s="4">
        <v>9.1051805340000005</v>
      </c>
      <c r="G176" s="2" t="s">
        <v>88</v>
      </c>
      <c r="H176" s="5">
        <v>1274</v>
      </c>
      <c r="I176" s="1" t="s">
        <v>8</v>
      </c>
      <c r="J176" s="20" t="s">
        <v>117</v>
      </c>
      <c r="K176" s="20" t="s">
        <v>178</v>
      </c>
      <c r="L176" s="20">
        <v>13600</v>
      </c>
      <c r="M176" s="20">
        <f>ABS((D176*E176)-L176)</f>
        <v>300</v>
      </c>
      <c r="N176" t="str">
        <f>IF(COUNTIFS( $B$2:$B$842, B176, $C$2:$C$842, C176, $D$2:$D$842, D176, $E$2:$E$842, E176) &gt; 1, "Duplicate", "Unique")</f>
        <v>Unique</v>
      </c>
    </row>
    <row r="177" spans="1:15" ht="15" thickBot="1" x14ac:dyDescent="0.4">
      <c r="A177" s="3">
        <v>46261.488888888889</v>
      </c>
      <c r="B177" s="1" t="s">
        <v>13</v>
      </c>
      <c r="C177" s="1" t="s">
        <v>7</v>
      </c>
      <c r="D177" s="4">
        <v>10</v>
      </c>
      <c r="E177" s="4">
        <v>1884</v>
      </c>
      <c r="F177" s="4">
        <v>8.9080293659999992</v>
      </c>
      <c r="G177" s="2" t="s">
        <v>91</v>
      </c>
      <c r="H177" s="5">
        <v>1729.9</v>
      </c>
      <c r="I177" s="1" t="s">
        <v>8</v>
      </c>
      <c r="J177" s="20" t="s">
        <v>118</v>
      </c>
      <c r="K177" s="20" t="s">
        <v>186</v>
      </c>
      <c r="L177" s="20">
        <v>18140</v>
      </c>
      <c r="M177" s="20">
        <f>ABS((D177*E177)-L177)</f>
        <v>700</v>
      </c>
      <c r="N177" s="12" t="str">
        <f>IF(COUNTIFS( $B$2:$B$842, B177, $C$2:$C$842, C177, $D$2:$D$842, D177, $E$2:$E$842, E177) &gt; 1, "Duplicate", "Unique")</f>
        <v>Unique</v>
      </c>
    </row>
    <row r="178" spans="1:15" ht="15" thickBot="1" x14ac:dyDescent="0.4">
      <c r="A178" s="10" t="s">
        <v>62</v>
      </c>
      <c r="B178" s="10" t="s">
        <v>123</v>
      </c>
      <c r="C178" s="10" t="s">
        <v>7</v>
      </c>
      <c r="D178" s="10">
        <v>200</v>
      </c>
      <c r="E178" s="10">
        <v>90.75</v>
      </c>
      <c r="F178" s="4">
        <v>8.8912886970000002</v>
      </c>
      <c r="G178" s="2" t="s">
        <v>124</v>
      </c>
      <c r="H178" s="5">
        <v>83.34</v>
      </c>
      <c r="I178" s="1" t="s">
        <v>8</v>
      </c>
      <c r="J178" s="58" t="s">
        <v>55</v>
      </c>
      <c r="N178" s="12" t="str">
        <f>IF(COUNTIFS( $B$2:$B$842, B178, $C$2:$C$842, C178, $D$2:$D$842, D178, $E$2:$E$842, E178) &gt; 1, "Duplicate", "Unique")</f>
        <v>Unique</v>
      </c>
    </row>
    <row r="179" spans="1:15" ht="15" thickBot="1" x14ac:dyDescent="0.4">
      <c r="A179" s="3">
        <v>46260.557638888888</v>
      </c>
      <c r="B179" s="1" t="s">
        <v>16</v>
      </c>
      <c r="C179" s="1" t="s">
        <v>7</v>
      </c>
      <c r="D179" s="4">
        <v>5</v>
      </c>
      <c r="E179" s="4">
        <v>971</v>
      </c>
      <c r="F179" s="4">
        <v>8.734602464</v>
      </c>
      <c r="G179" s="2" t="s">
        <v>61</v>
      </c>
      <c r="H179" s="5">
        <v>893</v>
      </c>
      <c r="I179" s="1" t="s">
        <v>8</v>
      </c>
      <c r="J179" s="20" t="s">
        <v>118</v>
      </c>
      <c r="K179" s="20" t="s">
        <v>169</v>
      </c>
      <c r="L179" s="20">
        <v>4605</v>
      </c>
      <c r="M179" s="20">
        <f>ABS((D179*E179)-L179)</f>
        <v>250</v>
      </c>
      <c r="N179" t="str">
        <f>IF(COUNTIFS( $B$2:$B$842, B179, $C$2:$C$842, C179, $D$2:$D$842, D179, $E$2:$E$842, E179) &gt; 1, "Duplicate", "Unique")</f>
        <v>Unique</v>
      </c>
    </row>
    <row r="180" spans="1:15" ht="15" thickBot="1" x14ac:dyDescent="0.4">
      <c r="A180" s="10" t="s">
        <v>62</v>
      </c>
      <c r="B180" s="10" t="s">
        <v>6</v>
      </c>
      <c r="C180" s="10" t="s">
        <v>7</v>
      </c>
      <c r="D180" s="10">
        <v>120</v>
      </c>
      <c r="E180" s="10">
        <v>300.5</v>
      </c>
      <c r="F180" s="4">
        <v>8.5229324670000004</v>
      </c>
      <c r="G180" s="2" t="s">
        <v>130</v>
      </c>
      <c r="H180" s="5">
        <v>276.89999999999998</v>
      </c>
      <c r="I180" s="1" t="s">
        <v>8</v>
      </c>
      <c r="J180" s="58" t="s">
        <v>118</v>
      </c>
      <c r="N180" s="12" t="str">
        <f>IF(COUNTIFS( $B$2:$B$842, B180, $C$2:$C$842, C180, $D$2:$D$842, D180, $E$2:$E$842, E180) &gt; 1, "Duplicate", "Unique")</f>
        <v>Unique</v>
      </c>
      <c r="O180" s="12"/>
    </row>
    <row r="181" spans="1:15" ht="15" thickBot="1" x14ac:dyDescent="0.4">
      <c r="A181" s="10" t="s">
        <v>62</v>
      </c>
      <c r="B181" s="10" t="s">
        <v>119</v>
      </c>
      <c r="C181" s="10" t="s">
        <v>7</v>
      </c>
      <c r="D181" s="10">
        <v>15</v>
      </c>
      <c r="E181" s="10">
        <v>1090</v>
      </c>
      <c r="F181" s="4">
        <v>8.4577114430000009</v>
      </c>
      <c r="G181" s="2" t="s">
        <v>120</v>
      </c>
      <c r="H181" s="5">
        <v>1005</v>
      </c>
      <c r="I181" s="1" t="s">
        <v>8</v>
      </c>
      <c r="J181" s="58"/>
      <c r="N181" s="12" t="str">
        <f>IF(COUNTIFS( $B$2:$B$842, B181, $C$2:$C$842, C181, $D$2:$D$842, D181, $E$2:$E$842, E181) &gt; 1, "Duplicate", "Unique")</f>
        <v>Unique</v>
      </c>
      <c r="O181" s="12"/>
    </row>
    <row r="182" spans="1:15" ht="15" thickBot="1" x14ac:dyDescent="0.4">
      <c r="A182" s="10" t="s">
        <v>62</v>
      </c>
      <c r="B182" s="10" t="s">
        <v>43</v>
      </c>
      <c r="C182" s="10" t="s">
        <v>7</v>
      </c>
      <c r="D182" s="10">
        <v>10</v>
      </c>
      <c r="E182" s="14">
        <v>773</v>
      </c>
      <c r="F182" s="4">
        <v>8.043888462</v>
      </c>
      <c r="G182" s="2" t="s">
        <v>44</v>
      </c>
      <c r="H182" s="5">
        <v>715.45</v>
      </c>
      <c r="I182" s="1" t="s">
        <v>8</v>
      </c>
      <c r="J182" s="58" t="s">
        <v>118</v>
      </c>
      <c r="N182" s="12" t="str">
        <f>IF(COUNTIFS( $B$2:$B$842, B182, $C$2:$C$842, C182, $D$2:$D$842, D182, $E$2:$E$842, E182) &gt; 1, "Duplicate", "Unique")</f>
        <v>Unique</v>
      </c>
      <c r="O182" s="12"/>
    </row>
    <row r="183" spans="1:15" ht="15" thickBot="1" x14ac:dyDescent="0.4">
      <c r="A183" s="10" t="s">
        <v>62</v>
      </c>
      <c r="B183" s="10" t="s">
        <v>128</v>
      </c>
      <c r="C183" s="10" t="s">
        <v>7</v>
      </c>
      <c r="D183" s="10">
        <v>150</v>
      </c>
      <c r="E183" s="10">
        <v>129</v>
      </c>
      <c r="F183" s="4">
        <v>7.9949769780000004</v>
      </c>
      <c r="G183" s="2" t="s">
        <v>129</v>
      </c>
      <c r="H183" s="5">
        <v>119.45</v>
      </c>
      <c r="I183" s="1" t="s">
        <v>8</v>
      </c>
      <c r="J183" s="58"/>
      <c r="N183" s="12" t="str">
        <f>IF(COUNTIFS( $B$2:$B$842, B183, $C$2:$C$842, C183, $D$2:$D$842, D183, $E$2:$E$842, E183) &gt; 1, "Duplicate", "Unique")</f>
        <v>Unique</v>
      </c>
    </row>
    <row r="184" spans="1:15" ht="15" thickBot="1" x14ac:dyDescent="0.4">
      <c r="A184" s="57">
        <v>46255</v>
      </c>
      <c r="B184" s="55" t="s">
        <v>19</v>
      </c>
      <c r="C184" s="55" t="s">
        <v>7</v>
      </c>
      <c r="D184" s="56">
        <v>20</v>
      </c>
      <c r="E184" s="56">
        <v>241</v>
      </c>
      <c r="F184" s="4">
        <v>7.8685883089999997</v>
      </c>
      <c r="G184" s="2" t="s">
        <v>40</v>
      </c>
      <c r="H184" s="5">
        <v>223.42</v>
      </c>
      <c r="I184" s="1" t="s">
        <v>8</v>
      </c>
      <c r="J184" s="51" t="s">
        <v>55</v>
      </c>
      <c r="K184" s="51" t="s">
        <v>153</v>
      </c>
      <c r="L184" s="51">
        <v>4680</v>
      </c>
      <c r="M184" s="51">
        <f>ABS((D184*E184)-L184)</f>
        <v>140</v>
      </c>
      <c r="N184" s="53" t="str">
        <f>IF(COUNTIFS( $B$2:$B$842, B184, $C$2:$C$842, C184, $D$2:$D$842, D184, $E$2:$E$842, E184) &gt; 1, "Duplicate", "Unique")</f>
        <v>Duplicate</v>
      </c>
      <c r="O184" s="51"/>
    </row>
    <row r="185" spans="1:15" ht="15" thickBot="1" x14ac:dyDescent="0.4">
      <c r="A185" s="54">
        <v>46261.385416666664</v>
      </c>
      <c r="B185" s="55" t="s">
        <v>19</v>
      </c>
      <c r="C185" s="55" t="s">
        <v>7</v>
      </c>
      <c r="D185" s="56">
        <v>20</v>
      </c>
      <c r="E185" s="56">
        <v>241</v>
      </c>
      <c r="F185" s="4">
        <v>7.8685883089999997</v>
      </c>
      <c r="G185" s="2" t="s">
        <v>40</v>
      </c>
      <c r="H185" s="5">
        <v>223.42</v>
      </c>
      <c r="I185" s="1" t="s">
        <v>8</v>
      </c>
      <c r="J185" s="51" t="s">
        <v>118</v>
      </c>
      <c r="K185" s="51" t="s">
        <v>185</v>
      </c>
      <c r="L185" s="51">
        <v>4520</v>
      </c>
      <c r="M185" s="51">
        <f>ABS((D185*E185)-L185)</f>
        <v>300</v>
      </c>
      <c r="N185" s="53" t="str">
        <f>IF(COUNTIFS( $B$2:$B$842, B185, $C$2:$C$842, C185, $D$2:$D$842, D185, $E$2:$E$842, E185) &gt; 1, "Duplicate", "Unique")</f>
        <v>Duplicate</v>
      </c>
      <c r="O185" s="51"/>
    </row>
    <row r="186" spans="1:15" ht="15" thickBot="1" x14ac:dyDescent="0.4">
      <c r="A186" s="3">
        <v>46265.482939814814</v>
      </c>
      <c r="B186" s="1" t="s">
        <v>209</v>
      </c>
      <c r="C186" s="1" t="s">
        <v>7</v>
      </c>
      <c r="D186" s="4">
        <v>5</v>
      </c>
      <c r="E186" s="4">
        <v>1377</v>
      </c>
      <c r="F186" s="4">
        <v>7.7886497060000002</v>
      </c>
      <c r="G186" s="2" t="s">
        <v>235</v>
      </c>
      <c r="H186" s="5">
        <v>1277.5</v>
      </c>
      <c r="I186" s="1" t="s">
        <v>8</v>
      </c>
      <c r="J186" s="20" t="s">
        <v>118</v>
      </c>
      <c r="K186" s="20" t="s">
        <v>211</v>
      </c>
      <c r="L186" s="20">
        <v>6385</v>
      </c>
      <c r="M186" s="20">
        <f>ABS((D186*E186)-L186)</f>
        <v>500</v>
      </c>
      <c r="N186" t="str">
        <f>IF(COUNTIFS( $B$2:$B$842, B186, $C$2:$C$842, C186, $D$2:$D$842, D186, $E$2:$E$842, E186) &gt; 1, "Duplicate", "Unique")</f>
        <v>Unique</v>
      </c>
    </row>
    <row r="187" spans="1:15" ht="15" thickBot="1" x14ac:dyDescent="0.4">
      <c r="A187" s="31">
        <v>46259.375</v>
      </c>
      <c r="B187" s="7" t="s">
        <v>24</v>
      </c>
      <c r="C187" s="7" t="s">
        <v>7</v>
      </c>
      <c r="D187" s="8">
        <v>20</v>
      </c>
      <c r="E187" s="8">
        <v>472.5</v>
      </c>
      <c r="F187" s="4">
        <v>7.7659938420000003</v>
      </c>
      <c r="G187" s="2" t="s">
        <v>56</v>
      </c>
      <c r="H187" s="5">
        <v>438.45</v>
      </c>
      <c r="I187" s="1" t="s">
        <v>8</v>
      </c>
      <c r="J187" s="60" t="s">
        <v>118</v>
      </c>
      <c r="K187" s="32" t="s">
        <v>166</v>
      </c>
      <c r="L187" s="32">
        <v>8800</v>
      </c>
      <c r="M187" s="32">
        <f>ABS((D187*E187)-L187)</f>
        <v>650</v>
      </c>
      <c r="N187" s="30" t="str">
        <f>IF(COUNTIFS( $B$2:$B$842, B187, $C$2:$C$842, C187, $D$2:$D$842, D187, $E$2:$E$842, E187) &gt; 1, "Duplicate", "Unique")</f>
        <v>Unique</v>
      </c>
      <c r="O187" s="32" t="s">
        <v>181</v>
      </c>
    </row>
    <row r="188" spans="1:15" ht="15" thickBot="1" x14ac:dyDescent="0.4">
      <c r="A188" s="3">
        <v>46261.615277777775</v>
      </c>
      <c r="B188" s="1" t="s">
        <v>35</v>
      </c>
      <c r="C188" s="1" t="s">
        <v>7</v>
      </c>
      <c r="D188" s="4">
        <v>50</v>
      </c>
      <c r="E188" s="4">
        <v>226.3</v>
      </c>
      <c r="F188" s="4">
        <v>7.7106139929999999</v>
      </c>
      <c r="G188" s="2" t="s">
        <v>42</v>
      </c>
      <c r="H188" s="5">
        <v>210.1</v>
      </c>
      <c r="I188" s="1" t="s">
        <v>8</v>
      </c>
      <c r="J188" s="20" t="s">
        <v>118</v>
      </c>
      <c r="K188" s="20" t="s">
        <v>182</v>
      </c>
      <c r="L188" s="20">
        <v>10814</v>
      </c>
      <c r="M188" s="20">
        <f>ABS((D188*E188)-L188)</f>
        <v>501</v>
      </c>
      <c r="N188" s="12" t="str">
        <f>IF(COUNTIFS( $B$2:$B$842, B188, $C$2:$C$842, C188, $D$2:$D$842, D188, $E$2:$E$842, E188) &gt; 1, "Duplicate", "Unique")</f>
        <v>Unique</v>
      </c>
    </row>
    <row r="189" spans="1:15" ht="15" thickBot="1" x14ac:dyDescent="0.4">
      <c r="A189" s="10" t="s">
        <v>62</v>
      </c>
      <c r="B189" s="10" t="s">
        <v>51</v>
      </c>
      <c r="C189" s="10" t="s">
        <v>7</v>
      </c>
      <c r="D189" s="10">
        <v>10</v>
      </c>
      <c r="E189" s="15">
        <v>1024</v>
      </c>
      <c r="F189" s="4">
        <v>7.6761303889999999</v>
      </c>
      <c r="G189" s="2" t="s">
        <v>52</v>
      </c>
      <c r="H189" s="5">
        <v>951</v>
      </c>
      <c r="I189" s="1" t="s">
        <v>8</v>
      </c>
      <c r="J189" s="58" t="s">
        <v>118</v>
      </c>
      <c r="N189" s="12" t="str">
        <f>IF(COUNTIFS( $B$2:$B$842, B189, $C$2:$C$842, C189, $D$2:$D$842, D189, $E$2:$E$842, E189) &gt; 1, "Duplicate", "Unique")</f>
        <v>Unique</v>
      </c>
      <c r="O189" s="12"/>
    </row>
    <row r="190" spans="1:15" ht="15" thickBot="1" x14ac:dyDescent="0.4">
      <c r="A190" s="3">
        <v>46262.375</v>
      </c>
      <c r="B190" s="1" t="s">
        <v>59</v>
      </c>
      <c r="C190" s="1" t="s">
        <v>7</v>
      </c>
      <c r="D190" s="4">
        <v>4</v>
      </c>
      <c r="E190" s="4">
        <v>1146</v>
      </c>
      <c r="F190" s="4">
        <v>7.6662908679999999</v>
      </c>
      <c r="G190" s="2" t="s">
        <v>60</v>
      </c>
      <c r="H190" s="5">
        <v>1064.4000000000001</v>
      </c>
      <c r="I190" s="1" t="s">
        <v>8</v>
      </c>
      <c r="J190" s="20" t="s">
        <v>117</v>
      </c>
      <c r="K190" s="20" t="s">
        <v>202</v>
      </c>
      <c r="L190" s="20">
        <v>4264</v>
      </c>
      <c r="M190" s="20">
        <f>ABS((D190*E190)-L190)</f>
        <v>320</v>
      </c>
      <c r="N190" s="12" t="str">
        <f>IF(COUNTIFS( $B$2:$B$842, B190, $C$2:$C$842, C190, $D$2:$D$842, D190, $E$2:$E$842, E190) &gt; 1, "Duplicate", "Unique")</f>
        <v>Unique</v>
      </c>
    </row>
    <row r="191" spans="1:15" ht="15" thickBot="1" x14ac:dyDescent="0.4">
      <c r="A191" s="3">
        <v>46265.486689814818</v>
      </c>
      <c r="B191" s="1" t="s">
        <v>59</v>
      </c>
      <c r="C191" s="1" t="s">
        <v>7</v>
      </c>
      <c r="D191" s="4">
        <v>5</v>
      </c>
      <c r="E191" s="4">
        <v>1146</v>
      </c>
      <c r="F191" s="4">
        <v>7.6662908679999999</v>
      </c>
      <c r="G191" s="2" t="s">
        <v>60</v>
      </c>
      <c r="H191" s="5">
        <v>1064.4000000000001</v>
      </c>
      <c r="I191" s="1" t="s">
        <v>8</v>
      </c>
      <c r="J191" s="20" t="s">
        <v>118</v>
      </c>
      <c r="K191" s="20" t="s">
        <v>210</v>
      </c>
      <c r="L191" s="20">
        <v>5282</v>
      </c>
      <c r="M191" s="20">
        <f>ABS((D191*E191)-L191)</f>
        <v>448</v>
      </c>
      <c r="N191" t="str">
        <f>IF(COUNTIFS( $B$2:$B$842, B191, $C$2:$C$842, C191, $D$2:$D$842, D191, $E$2:$E$842, E191) &gt; 1, "Duplicate", "Unique")</f>
        <v>Unique</v>
      </c>
    </row>
    <row r="192" spans="1:15" ht="15" thickBot="1" x14ac:dyDescent="0.4">
      <c r="A192" s="3">
        <v>46265.375844907408</v>
      </c>
      <c r="B192" s="1" t="s">
        <v>16</v>
      </c>
      <c r="C192" s="1" t="s">
        <v>7</v>
      </c>
      <c r="D192" s="4">
        <v>5</v>
      </c>
      <c r="E192" s="4">
        <v>961</v>
      </c>
      <c r="F192" s="4">
        <v>7.6147816349999999</v>
      </c>
      <c r="G192" s="2" t="s">
        <v>61</v>
      </c>
      <c r="H192" s="5">
        <v>893</v>
      </c>
      <c r="I192" s="1" t="s">
        <v>8</v>
      </c>
      <c r="J192" s="20" t="s">
        <v>41</v>
      </c>
      <c r="K192" s="20" t="s">
        <v>223</v>
      </c>
      <c r="L192" s="20">
        <v>4530</v>
      </c>
      <c r="M192" s="20">
        <f>ABS((D192*E192)-L192)</f>
        <v>275</v>
      </c>
      <c r="N192" t="str">
        <f>IF(COUNTIFS( $B$2:$B$842, B192, $C$2:$C$842, C192, $D$2:$D$842, D192, $E$2:$E$842, E192) &gt; 1, "Duplicate", "Unique")</f>
        <v>Unique</v>
      </c>
    </row>
    <row r="193" spans="1:15" ht="15" thickBot="1" x14ac:dyDescent="0.4">
      <c r="A193" s="3">
        <v>46265.475543981483</v>
      </c>
      <c r="B193" s="1" t="s">
        <v>20</v>
      </c>
      <c r="C193" s="1" t="s">
        <v>7</v>
      </c>
      <c r="D193" s="4">
        <v>30</v>
      </c>
      <c r="E193" s="4">
        <v>137</v>
      </c>
      <c r="F193" s="4">
        <v>7.4931345629999999</v>
      </c>
      <c r="G193" s="2" t="s">
        <v>86</v>
      </c>
      <c r="H193" s="5">
        <v>127.45</v>
      </c>
      <c r="I193" s="1" t="s">
        <v>8</v>
      </c>
      <c r="J193" s="20" t="s">
        <v>41</v>
      </c>
      <c r="K193" s="20" t="s">
        <v>216</v>
      </c>
      <c r="L193" s="20">
        <v>3810</v>
      </c>
      <c r="M193" s="20">
        <f>ABS((D193*E193)-L193)</f>
        <v>300</v>
      </c>
      <c r="N193" t="str">
        <f>IF(COUNTIFS( $B$2:$B$842, B193, $C$2:$C$842, C193, $D$2:$D$842, D193, $E$2:$E$842, E193) &gt; 1, "Duplicate", "Unique")</f>
        <v>Unique</v>
      </c>
    </row>
    <row r="194" spans="1:15" ht="15" thickBot="1" x14ac:dyDescent="0.4">
      <c r="A194" s="10" t="s">
        <v>62</v>
      </c>
      <c r="B194" s="10" t="s">
        <v>133</v>
      </c>
      <c r="C194" s="10" t="s">
        <v>7</v>
      </c>
      <c r="D194" s="10">
        <v>150</v>
      </c>
      <c r="E194" s="10">
        <v>123.4</v>
      </c>
      <c r="F194" s="4">
        <v>7.3510221839999996</v>
      </c>
      <c r="G194" s="2" t="s">
        <v>134</v>
      </c>
      <c r="H194" s="5">
        <v>114.95</v>
      </c>
      <c r="I194" s="1" t="s">
        <v>8</v>
      </c>
      <c r="J194" s="58" t="s">
        <v>117</v>
      </c>
      <c r="N194" s="12" t="str">
        <f>IF(COUNTIFS( $B$2:$B$842, B194, $C$2:$C$842, C194, $D$2:$D$842, D194, $E$2:$E$842, E194) &gt; 1, "Duplicate", "Unique")</f>
        <v>Unique</v>
      </c>
      <c r="O194" s="12"/>
    </row>
    <row r="195" spans="1:15" ht="15" thickBot="1" x14ac:dyDescent="0.4">
      <c r="A195" s="13">
        <v>46252.688194444447</v>
      </c>
      <c r="B195" s="10" t="s">
        <v>14</v>
      </c>
      <c r="C195" s="10" t="s">
        <v>7</v>
      </c>
      <c r="D195" s="10">
        <v>50</v>
      </c>
      <c r="E195" s="10">
        <v>365</v>
      </c>
      <c r="F195" s="4">
        <v>7.1953010280000003</v>
      </c>
      <c r="G195" s="2" t="s">
        <v>45</v>
      </c>
      <c r="H195" s="5">
        <v>340.5</v>
      </c>
      <c r="I195" s="1" t="s">
        <v>8</v>
      </c>
      <c r="J195" s="58" t="s">
        <v>118</v>
      </c>
      <c r="N195" s="12" t="str">
        <f>IF(COUNTIFS( $B$2:$B$842, B195, $C$2:$C$842, C195, $D$2:$D$842, D195, $E$2:$E$842, E195) &gt; 1, "Duplicate", "Unique")</f>
        <v>Unique</v>
      </c>
      <c r="O195" s="12"/>
    </row>
    <row r="196" spans="1:15" ht="15" thickBot="1" x14ac:dyDescent="0.4">
      <c r="A196" s="13">
        <v>46252.635416666664</v>
      </c>
      <c r="B196" s="10" t="s">
        <v>123</v>
      </c>
      <c r="C196" s="10" t="s">
        <v>7</v>
      </c>
      <c r="D196" s="10">
        <v>200</v>
      </c>
      <c r="E196" s="10">
        <v>89.3</v>
      </c>
      <c r="F196" s="4">
        <v>7.1514278859999996</v>
      </c>
      <c r="G196" s="2" t="s">
        <v>124</v>
      </c>
      <c r="H196" s="5">
        <v>83.34</v>
      </c>
      <c r="I196" s="1" t="s">
        <v>8</v>
      </c>
      <c r="J196" s="20" t="s">
        <v>118</v>
      </c>
      <c r="N196" s="12" t="str">
        <f>IF(COUNTIFS( $B$2:$B$842, B196, $C$2:$C$842, C196, $D$2:$D$842, D196, $E$2:$E$842, E196) &gt; 1, "Duplicate", "Unique")</f>
        <v>Unique</v>
      </c>
    </row>
    <row r="197" spans="1:15" ht="15" thickBot="1" x14ac:dyDescent="0.4">
      <c r="A197" s="10" t="s">
        <v>62</v>
      </c>
      <c r="B197" s="16" t="s">
        <v>23</v>
      </c>
      <c r="C197" s="10" t="s">
        <v>7</v>
      </c>
      <c r="D197" s="10">
        <v>40</v>
      </c>
      <c r="E197" s="17">
        <v>229</v>
      </c>
      <c r="F197" s="4">
        <v>7.0193476029999999</v>
      </c>
      <c r="G197" s="2" t="s">
        <v>70</v>
      </c>
      <c r="H197" s="5">
        <v>213.98</v>
      </c>
      <c r="I197" s="1" t="s">
        <v>8</v>
      </c>
      <c r="J197" s="58" t="s">
        <v>117</v>
      </c>
      <c r="N197" s="12" t="str">
        <f>IF(COUNTIFS( $B$2:$B$842, B197, $C$2:$C$842, C197, $D$2:$D$842, D197, $E$2:$E$842, E197) &gt; 1, "Duplicate", "Unique")</f>
        <v>Unique</v>
      </c>
      <c r="O197" s="12"/>
    </row>
    <row r="198" spans="1:15" ht="15" thickBot="1" x14ac:dyDescent="0.4">
      <c r="A198" s="3">
        <v>46260.554861111108</v>
      </c>
      <c r="B198" s="1" t="s">
        <v>12</v>
      </c>
      <c r="C198" s="1" t="s">
        <v>7</v>
      </c>
      <c r="D198" s="4">
        <v>1</v>
      </c>
      <c r="E198" s="4">
        <v>5540</v>
      </c>
      <c r="F198" s="4">
        <v>6.9973154099999997</v>
      </c>
      <c r="G198" s="2" t="s">
        <v>98</v>
      </c>
      <c r="H198" s="5">
        <v>5177.7</v>
      </c>
      <c r="I198" s="1" t="s">
        <v>8</v>
      </c>
      <c r="J198" s="20" t="s">
        <v>118</v>
      </c>
      <c r="K198" s="20" t="s">
        <v>171</v>
      </c>
      <c r="L198" s="20">
        <v>5290</v>
      </c>
      <c r="M198" s="20">
        <f>ABS((D198*E198)-L198)</f>
        <v>250</v>
      </c>
      <c r="N198" t="str">
        <f>IF(COUNTIFS( $B$2:$B$842, B198, $C$2:$C$842, C198, $D$2:$D$842, D198, $E$2:$E$842, E198) &gt; 1, "Duplicate", "Unique")</f>
        <v>Unique</v>
      </c>
    </row>
    <row r="199" spans="1:15" ht="1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6.750392465</v>
      </c>
      <c r="G199" s="2" t="s">
        <v>88</v>
      </c>
      <c r="H199" s="5">
        <v>1274</v>
      </c>
      <c r="I199" s="1" t="s">
        <v>8</v>
      </c>
      <c r="J199" s="20" t="s">
        <v>117</v>
      </c>
      <c r="K199" s="20" t="s">
        <v>204</v>
      </c>
      <c r="L199" s="20">
        <v>13300</v>
      </c>
      <c r="M199" s="20">
        <f>ABS((D199*E199)-L199)</f>
        <v>300</v>
      </c>
      <c r="N199" s="12" t="str">
        <f>IF(COUNTIFS( $B$2:$B$842, B199, $C$2:$C$842, C199, $D$2:$D$842, D199, $E$2:$E$842, E199) &gt; 1, "Duplicate", "Unique")</f>
        <v>Unique</v>
      </c>
    </row>
    <row r="200" spans="1:15" ht="15" thickBot="1" x14ac:dyDescent="0.4">
      <c r="A200" s="10" t="s">
        <v>62</v>
      </c>
      <c r="B200" s="10" t="s">
        <v>24</v>
      </c>
      <c r="C200" s="10" t="s">
        <v>7</v>
      </c>
      <c r="D200" s="10">
        <v>5</v>
      </c>
      <c r="E200" s="10">
        <v>468</v>
      </c>
      <c r="F200" s="4">
        <v>6.7396510430000003</v>
      </c>
      <c r="G200" s="2" t="s">
        <v>56</v>
      </c>
      <c r="H200" s="5">
        <v>438.45</v>
      </c>
      <c r="I200" s="1" t="s">
        <v>8</v>
      </c>
      <c r="J200" s="58" t="s">
        <v>118</v>
      </c>
      <c r="N200" s="12" t="str">
        <f>IF(COUNTIFS( $B$2:$B$842, B200, $C$2:$C$842, C200, $D$2:$D$842, D200, $E$2:$E$842, E200) &gt; 1, "Duplicate", "Unique")</f>
        <v>Unique</v>
      </c>
      <c r="O200" s="12"/>
    </row>
    <row r="201" spans="1:15" ht="15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6.7396510430000003</v>
      </c>
      <c r="G201" s="2" t="s">
        <v>56</v>
      </c>
      <c r="H201" s="5">
        <v>438.45</v>
      </c>
      <c r="I201" s="1" t="s">
        <v>8</v>
      </c>
      <c r="J201" s="20" t="s">
        <v>118</v>
      </c>
      <c r="K201" s="20" t="s">
        <v>175</v>
      </c>
      <c r="L201" s="20">
        <v>17920</v>
      </c>
      <c r="M201" s="20">
        <f>ABS((D201*E201)-L201)</f>
        <v>800</v>
      </c>
      <c r="N201" t="str">
        <f>IF(COUNTIFS( $B$2:$B$842, B201, $C$2:$C$842, C201, $D$2:$D$842, D201, $E$2:$E$842, E201) &gt; 1, "Duplicate", "Unique")</f>
        <v>Unique</v>
      </c>
    </row>
    <row r="202" spans="1:15" ht="15" thickBot="1" x14ac:dyDescent="0.4">
      <c r="A202" s="13">
        <v>46252.688194444447</v>
      </c>
      <c r="B202" s="10" t="s">
        <v>28</v>
      </c>
      <c r="C202" s="10" t="s">
        <v>7</v>
      </c>
      <c r="D202" s="10">
        <v>30</v>
      </c>
      <c r="E202" s="10">
        <v>930</v>
      </c>
      <c r="F202" s="4">
        <v>6.6513761469999997</v>
      </c>
      <c r="G202" s="2" t="s">
        <v>125</v>
      </c>
      <c r="H202" s="5">
        <v>872</v>
      </c>
      <c r="I202" s="1" t="s">
        <v>8</v>
      </c>
      <c r="J202" s="58"/>
      <c r="N202" s="12" t="str">
        <f>IF(COUNTIFS( $B$2:$B$842, B202, $C$2:$C$842, C202, $D$2:$D$842, D202, $E$2:$E$842, E202) &gt; 1, "Duplicate", "Unique")</f>
        <v>Unique</v>
      </c>
      <c r="O202" s="12"/>
    </row>
    <row r="203" spans="1:15" ht="15" thickBot="1" x14ac:dyDescent="0.4">
      <c r="A203" s="3">
        <v>46265.46197916667</v>
      </c>
      <c r="B203" s="1" t="s">
        <v>13</v>
      </c>
      <c r="C203" s="1" t="s">
        <v>7</v>
      </c>
      <c r="D203" s="4">
        <v>5</v>
      </c>
      <c r="E203" s="4">
        <v>1844</v>
      </c>
      <c r="F203" s="4">
        <v>6.59575698</v>
      </c>
      <c r="G203" s="2" t="s">
        <v>91</v>
      </c>
      <c r="H203" s="5">
        <v>1729.9</v>
      </c>
      <c r="I203" s="1" t="s">
        <v>8</v>
      </c>
      <c r="J203" s="20" t="s">
        <v>118</v>
      </c>
      <c r="K203" s="20" t="s">
        <v>217</v>
      </c>
      <c r="L203" s="20">
        <v>8570</v>
      </c>
      <c r="M203" s="20">
        <f>ABS((D203*E203)-L203)</f>
        <v>650</v>
      </c>
      <c r="N203" t="str">
        <f>IF(COUNTIFS( $B$2:$B$842, B203, $C$2:$C$842, C203, $D$2:$D$842, D203, $E$2:$E$842, E203) &gt; 1, "Duplicate", "Unique")</f>
        <v>Unique</v>
      </c>
    </row>
    <row r="204" spans="1:15" ht="15" thickBot="1" x14ac:dyDescent="0.4">
      <c r="A204" s="13">
        <v>46252.635416666664</v>
      </c>
      <c r="B204" s="10" t="s">
        <v>126</v>
      </c>
      <c r="C204" s="10" t="s">
        <v>7</v>
      </c>
      <c r="D204" s="10">
        <v>6</v>
      </c>
      <c r="E204" s="10">
        <v>548</v>
      </c>
      <c r="F204" s="4">
        <v>6.4077669899999998</v>
      </c>
      <c r="G204" s="2" t="s">
        <v>127</v>
      </c>
      <c r="H204" s="5">
        <v>515</v>
      </c>
      <c r="I204" s="1" t="s">
        <v>8</v>
      </c>
      <c r="J204" s="58"/>
      <c r="N204" s="12" t="str">
        <f>IF(COUNTIFS( $B$2:$B$842, B204, $C$2:$C$842, C204, $D$2:$D$842, D204, $E$2:$E$842, E204) &gt; 1, "Duplicate", "Unique")</f>
        <v>Unique</v>
      </c>
      <c r="O204" s="12"/>
    </row>
    <row r="205" spans="1:15" ht="15" thickBot="1" x14ac:dyDescent="0.4">
      <c r="A205" s="3">
        <v>46265.460532407407</v>
      </c>
      <c r="B205" s="1" t="s">
        <v>18</v>
      </c>
      <c r="C205" s="1" t="s">
        <v>7</v>
      </c>
      <c r="D205" s="4">
        <v>5</v>
      </c>
      <c r="E205" s="4">
        <v>1892</v>
      </c>
      <c r="F205" s="4">
        <v>6.2921348310000003</v>
      </c>
      <c r="G205" s="2" t="s">
        <v>102</v>
      </c>
      <c r="H205" s="5">
        <v>1780</v>
      </c>
      <c r="I205" s="1" t="s">
        <v>8</v>
      </c>
      <c r="J205" s="20" t="s">
        <v>118</v>
      </c>
      <c r="K205" s="20" t="s">
        <v>213</v>
      </c>
      <c r="L205" s="20">
        <v>8810</v>
      </c>
      <c r="M205" s="20">
        <f>ABS((D205*E205)-L205)</f>
        <v>650</v>
      </c>
      <c r="N205" t="str">
        <f>IF(COUNTIFS( $B$2:$B$842, B205, $C$2:$C$842, C205, $D$2:$D$842, D205, $E$2:$E$842, E205) &gt; 1, "Duplicate", "Unique")</f>
        <v>Unique</v>
      </c>
    </row>
    <row r="206" spans="1:15" ht="15" thickBot="1" x14ac:dyDescent="0.4">
      <c r="A206" s="3">
        <v>46261.375694444447</v>
      </c>
      <c r="B206" s="1" t="s">
        <v>78</v>
      </c>
      <c r="C206" s="1" t="s">
        <v>7</v>
      </c>
      <c r="D206" s="4">
        <v>5</v>
      </c>
      <c r="E206" s="4">
        <v>1490</v>
      </c>
      <c r="F206" s="4">
        <v>6.2767475040000003</v>
      </c>
      <c r="G206" s="2" t="s">
        <v>79</v>
      </c>
      <c r="H206" s="5">
        <v>1402</v>
      </c>
      <c r="I206" s="1" t="s">
        <v>8</v>
      </c>
      <c r="J206" s="20" t="s">
        <v>118</v>
      </c>
      <c r="K206" s="20" t="s">
        <v>197</v>
      </c>
      <c r="L206" s="20">
        <v>7200</v>
      </c>
      <c r="M206" s="20">
        <f>ABS((D206*E206)-L206)</f>
        <v>250</v>
      </c>
      <c r="N206" s="12" t="str">
        <f>IF(COUNTIFS( $B$2:$B$842, B206, $C$2:$C$842, C206, $D$2:$D$842, D206, $E$2:$E$842, E206) &gt; 1, "Duplicate", "Unique")</f>
        <v>Unique</v>
      </c>
    </row>
    <row r="207" spans="1:15" ht="15" thickBot="1" x14ac:dyDescent="0.4">
      <c r="A207" s="3">
        <v>46265.375844907408</v>
      </c>
      <c r="B207" s="1" t="s">
        <v>78</v>
      </c>
      <c r="C207" s="1" t="s">
        <v>7</v>
      </c>
      <c r="D207" s="4">
        <v>3</v>
      </c>
      <c r="E207" s="4">
        <v>1490</v>
      </c>
      <c r="F207" s="4">
        <v>6.2767475040000003</v>
      </c>
      <c r="G207" s="2" t="s">
        <v>79</v>
      </c>
      <c r="H207" s="5">
        <v>1402</v>
      </c>
      <c r="I207" s="1" t="s">
        <v>8</v>
      </c>
      <c r="J207" s="20" t="s">
        <v>118</v>
      </c>
      <c r="K207" s="20" t="s">
        <v>225</v>
      </c>
      <c r="L207" s="20">
        <v>4170</v>
      </c>
      <c r="M207" s="20">
        <f>ABS((D207*E207)-L207)</f>
        <v>300</v>
      </c>
      <c r="N207" t="str">
        <f>IF(COUNTIFS( $B$2:$B$842, B207, $C$2:$C$842, C207, $D$2:$D$842, D207, $E$2:$E$842, E207) &gt; 1, "Duplicate", "Unique")</f>
        <v>Unique</v>
      </c>
    </row>
    <row r="208" spans="1:15" ht="29.5" thickBot="1" x14ac:dyDescent="0.4">
      <c r="A208" s="10" t="s">
        <v>62</v>
      </c>
      <c r="B208" s="10" t="s">
        <v>21</v>
      </c>
      <c r="C208" s="10" t="s">
        <v>7</v>
      </c>
      <c r="D208" s="10">
        <v>11</v>
      </c>
      <c r="E208" s="14">
        <v>749</v>
      </c>
      <c r="F208" s="4">
        <v>6.1959449879999999</v>
      </c>
      <c r="G208" s="2" t="s">
        <v>76</v>
      </c>
      <c r="H208" s="5">
        <v>705.3</v>
      </c>
      <c r="I208" s="1" t="s">
        <v>8</v>
      </c>
      <c r="J208" s="58" t="s">
        <v>208</v>
      </c>
      <c r="N208" s="12" t="str">
        <f>IF(COUNTIFS( $B$2:$B$842, B208, $C$2:$C$842, C208, $D$2:$D$842, D208, $E$2:$E$842, E208) &gt; 1, "Duplicate", "Unique")</f>
        <v>Unique</v>
      </c>
      <c r="O208" s="12"/>
    </row>
    <row r="209" spans="1:15" ht="15" thickBot="1" x14ac:dyDescent="0.4">
      <c r="A209" s="3">
        <v>46258.443749999999</v>
      </c>
      <c r="B209" s="1" t="s">
        <v>6</v>
      </c>
      <c r="C209" s="1" t="s">
        <v>7</v>
      </c>
      <c r="D209" s="4">
        <v>50</v>
      </c>
      <c r="E209" s="4">
        <v>294</v>
      </c>
      <c r="F209" s="4">
        <v>6.175514626</v>
      </c>
      <c r="G209" s="2" t="s">
        <v>130</v>
      </c>
      <c r="H209" s="5">
        <v>276.89999999999998</v>
      </c>
      <c r="I209" s="1" t="s">
        <v>8</v>
      </c>
      <c r="J209" s="20" t="s">
        <v>118</v>
      </c>
      <c r="K209" s="20" t="s">
        <v>160</v>
      </c>
      <c r="L209" s="20">
        <v>14172.5</v>
      </c>
      <c r="M209" s="20">
        <f>ABS((D209*E209)-L209)</f>
        <v>527.5</v>
      </c>
      <c r="N209" s="12" t="str">
        <f>IF(COUNTIFS( $B$2:$B$842, B209, $C$2:$C$842, C209, $D$2:$D$842, D209, $E$2:$E$842, E209) &gt; 1, "Duplicate", "Unique")</f>
        <v>Unique</v>
      </c>
    </row>
    <row r="210" spans="1:15" ht="15" thickBot="1" x14ac:dyDescent="0.4">
      <c r="A210" s="13">
        <v>46253.4</v>
      </c>
      <c r="B210" s="10" t="s">
        <v>6</v>
      </c>
      <c r="C210" s="10" t="s">
        <v>7</v>
      </c>
      <c r="D210" s="10">
        <v>30</v>
      </c>
      <c r="E210" s="10">
        <v>294</v>
      </c>
      <c r="F210" s="4">
        <v>6.175514626</v>
      </c>
      <c r="G210" s="2" t="s">
        <v>130</v>
      </c>
      <c r="H210" s="5">
        <v>276.89999999999998</v>
      </c>
      <c r="I210" s="1" t="s">
        <v>8</v>
      </c>
      <c r="J210" s="58" t="s">
        <v>118</v>
      </c>
      <c r="K210" s="20" t="s">
        <v>143</v>
      </c>
      <c r="N210" s="12" t="str">
        <f>IF(COUNTIFS( $B$2:$B$842, B210, $C$2:$C$842, C210, $D$2:$D$842, D210, $E$2:$E$842, E210) &gt; 1, "Duplicate", "Unique")</f>
        <v>Unique</v>
      </c>
    </row>
    <row r="211" spans="1:15" ht="15" thickBot="1" x14ac:dyDescent="0.4">
      <c r="A211" s="10" t="s">
        <v>62</v>
      </c>
      <c r="B211" s="10" t="s">
        <v>53</v>
      </c>
      <c r="C211" s="10" t="s">
        <v>7</v>
      </c>
      <c r="D211" s="10">
        <v>3</v>
      </c>
      <c r="E211" s="14">
        <v>2710</v>
      </c>
      <c r="F211" s="4">
        <v>6.0499334740000004</v>
      </c>
      <c r="G211" s="2" t="s">
        <v>54</v>
      </c>
      <c r="H211" s="5">
        <v>2555.4</v>
      </c>
      <c r="I211" s="1" t="s">
        <v>8</v>
      </c>
      <c r="J211" s="58" t="s">
        <v>118</v>
      </c>
      <c r="N211" s="12" t="str">
        <f>IF(COUNTIFS( $B$2:$B$842, B211, $C$2:$C$842, C211, $D$2:$D$842, D211, $E$2:$E$842, E211) &gt; 1, "Duplicate", "Unique")</f>
        <v>Unique</v>
      </c>
    </row>
    <row r="212" spans="1:15" ht="15" thickBot="1" x14ac:dyDescent="0.4">
      <c r="A212" s="13">
        <v>46252.688194444447</v>
      </c>
      <c r="B212" s="10" t="s">
        <v>14</v>
      </c>
      <c r="C212" s="10" t="s">
        <v>7</v>
      </c>
      <c r="D212" s="10">
        <v>50</v>
      </c>
      <c r="E212" s="10">
        <v>361</v>
      </c>
      <c r="F212" s="4">
        <v>6.0205580029999997</v>
      </c>
      <c r="G212" s="2" t="s">
        <v>45</v>
      </c>
      <c r="H212" s="5">
        <v>340.5</v>
      </c>
      <c r="I212" s="1" t="s">
        <v>8</v>
      </c>
      <c r="J212" s="58"/>
      <c r="N212" s="12" t="str">
        <f>IF(COUNTIFS( $B$2:$B$842, B212, $C$2:$C$842, C212, $D$2:$D$842, D212, $E$2:$E$842, E212) &gt; 1, "Duplicate", "Unique")</f>
        <v>Unique</v>
      </c>
      <c r="O212" s="12"/>
    </row>
    <row r="213" spans="1:15" ht="15" thickBot="1" x14ac:dyDescent="0.4">
      <c r="A213" s="13">
        <v>46252.635416666664</v>
      </c>
      <c r="B213" s="10" t="s">
        <v>74</v>
      </c>
      <c r="C213" s="10" t="s">
        <v>7</v>
      </c>
      <c r="D213" s="10">
        <v>5</v>
      </c>
      <c r="E213" s="10">
        <v>3482</v>
      </c>
      <c r="F213" s="4">
        <v>5.9969558599999999</v>
      </c>
      <c r="G213" s="2" t="s">
        <v>75</v>
      </c>
      <c r="H213" s="5">
        <v>3285</v>
      </c>
      <c r="I213" s="1" t="s">
        <v>8</v>
      </c>
      <c r="J213" s="58" t="s">
        <v>118</v>
      </c>
      <c r="N213" s="12" t="str">
        <f>IF(COUNTIFS( $B$2:$B$842, B213, $C$2:$C$842, C213, $D$2:$D$842, D213, $E$2:$E$842, E213) &gt; 1, "Duplicate", "Unique")</f>
        <v>Unique</v>
      </c>
      <c r="O213" s="12"/>
    </row>
    <row r="214" spans="1:15" ht="15" thickBot="1" x14ac:dyDescent="0.4">
      <c r="A214" s="3">
        <v>46265.415520833332</v>
      </c>
      <c r="B214" s="1" t="s">
        <v>16</v>
      </c>
      <c r="C214" s="1" t="s">
        <v>7</v>
      </c>
      <c r="D214" s="4">
        <v>5</v>
      </c>
      <c r="E214" s="4">
        <v>946</v>
      </c>
      <c r="F214" s="4">
        <v>5.935050392</v>
      </c>
      <c r="G214" s="2" t="s">
        <v>61</v>
      </c>
      <c r="H214" s="5">
        <v>893</v>
      </c>
      <c r="I214" s="1" t="s">
        <v>8</v>
      </c>
      <c r="J214" s="20" t="s">
        <v>41</v>
      </c>
      <c r="K214" s="20" t="s">
        <v>215</v>
      </c>
      <c r="L214" s="20">
        <v>4455</v>
      </c>
      <c r="M214" s="20">
        <f>ABS((D214*E214)-L214)</f>
        <v>275</v>
      </c>
      <c r="N214" t="str">
        <f>IF(COUNTIFS( $B$2:$B$842, B214, $C$2:$C$842, C214, $D$2:$D$842, D214, $E$2:$E$842, E214) &gt; 1, "Duplicate", "Unique")</f>
        <v>Unique</v>
      </c>
    </row>
    <row r="215" spans="1:15" ht="15" thickBot="1" x14ac:dyDescent="0.4">
      <c r="A215" s="13">
        <v>46252.6875</v>
      </c>
      <c r="B215" s="10" t="s">
        <v>15</v>
      </c>
      <c r="C215" s="10" t="s">
        <v>7</v>
      </c>
      <c r="D215" s="10">
        <v>10</v>
      </c>
      <c r="E215" s="10">
        <v>2720</v>
      </c>
      <c r="F215" s="4">
        <v>5.923127848</v>
      </c>
      <c r="G215" s="2" t="s">
        <v>72</v>
      </c>
      <c r="H215" s="5">
        <v>2567.9</v>
      </c>
      <c r="I215" s="1" t="s">
        <v>8</v>
      </c>
      <c r="J215" s="58"/>
      <c r="N215" s="12" t="str">
        <f>IF(COUNTIFS( $B$2:$B$842, B215, $C$2:$C$842, C215, $D$2:$D$842, D215, $E$2:$E$842, E215) &gt; 1, "Duplicate", "Unique")</f>
        <v>Unique</v>
      </c>
    </row>
    <row r="216" spans="1:15" ht="15" thickBot="1" x14ac:dyDescent="0.4">
      <c r="A216" s="10" t="s">
        <v>62</v>
      </c>
      <c r="B216" s="10" t="s">
        <v>68</v>
      </c>
      <c r="C216" s="10" t="s">
        <v>7</v>
      </c>
      <c r="D216" s="10">
        <v>10</v>
      </c>
      <c r="E216" s="10">
        <v>435</v>
      </c>
      <c r="F216" s="4">
        <v>5.4289869120000001</v>
      </c>
      <c r="G216" s="2" t="s">
        <v>69</v>
      </c>
      <c r="H216" s="5">
        <v>412.6</v>
      </c>
      <c r="I216" s="1" t="s">
        <v>8</v>
      </c>
      <c r="J216" s="58"/>
      <c r="N216" s="12" t="str">
        <f>IF(COUNTIFS( $B$2:$B$842, B216, $C$2:$C$842, C216, $D$2:$D$842, D216, $E$2:$E$842, E216) &gt; 1, "Duplicate", "Unique")</f>
        <v>Unique</v>
      </c>
      <c r="O216" s="12"/>
    </row>
    <row r="217" spans="1:15" ht="15" thickBot="1" x14ac:dyDescent="0.4">
      <c r="A217" s="13">
        <v>46252.635416666664</v>
      </c>
      <c r="B217" s="10" t="s">
        <v>82</v>
      </c>
      <c r="C217" s="10" t="s">
        <v>7</v>
      </c>
      <c r="D217" s="10">
        <v>1</v>
      </c>
      <c r="E217" s="10">
        <v>4556</v>
      </c>
      <c r="F217" s="4">
        <v>5.4141601110000002</v>
      </c>
      <c r="G217" s="2" t="s">
        <v>83</v>
      </c>
      <c r="H217" s="5">
        <v>4322</v>
      </c>
      <c r="I217" s="1" t="s">
        <v>8</v>
      </c>
      <c r="J217" s="58"/>
      <c r="N217" s="12" t="str">
        <f>IF(COUNTIFS( $B$2:$B$842, B217, $C$2:$C$842, C217, $D$2:$D$842, D217, $E$2:$E$842, E217) &gt; 1, "Duplicate", "Unique")</f>
        <v>Unique</v>
      </c>
    </row>
    <row r="218" spans="1:15" ht="15" thickBot="1" x14ac:dyDescent="0.4">
      <c r="A218" s="13">
        <v>46252.635416666664</v>
      </c>
      <c r="B218" s="10" t="s">
        <v>47</v>
      </c>
      <c r="C218" s="10" t="s">
        <v>7</v>
      </c>
      <c r="D218" s="10">
        <v>8</v>
      </c>
      <c r="E218" s="10">
        <v>2448</v>
      </c>
      <c r="F218" s="4">
        <v>5.3809728799999998</v>
      </c>
      <c r="G218" s="2" t="s">
        <v>48</v>
      </c>
      <c r="H218" s="5">
        <v>2323</v>
      </c>
      <c r="I218" s="1" t="s">
        <v>8</v>
      </c>
      <c r="J218" s="58"/>
      <c r="N218" s="12" t="str">
        <f>IF(COUNTIFS( $B$2:$B$842, B218, $C$2:$C$842, C218, $D$2:$D$842, D218, $E$2:$E$842, E218) &gt; 1, "Duplicate", "Unique")</f>
        <v>Unique</v>
      </c>
      <c r="O218" s="12"/>
    </row>
    <row r="219" spans="1:15" ht="15" thickBot="1" x14ac:dyDescent="0.4">
      <c r="A219" s="3">
        <v>46261.375694444447</v>
      </c>
      <c r="B219" s="1" t="s">
        <v>53</v>
      </c>
      <c r="C219" s="1" t="s">
        <v>7</v>
      </c>
      <c r="D219" s="4">
        <v>2</v>
      </c>
      <c r="E219" s="4">
        <v>2690</v>
      </c>
      <c r="F219" s="4">
        <v>5.2672771389999999</v>
      </c>
      <c r="G219" s="2" t="s">
        <v>54</v>
      </c>
      <c r="H219" s="5">
        <v>2555.4</v>
      </c>
      <c r="I219" s="1" t="s">
        <v>8</v>
      </c>
      <c r="J219" s="20" t="s">
        <v>118</v>
      </c>
      <c r="K219" s="20" t="s">
        <v>184</v>
      </c>
      <c r="L219" s="20">
        <v>5120</v>
      </c>
      <c r="M219" s="20">
        <f>ABS((D219*E219)-L219)</f>
        <v>260</v>
      </c>
      <c r="N219" s="12" t="str">
        <f>IF(COUNTIFS( $B$2:$B$842, B219, $C$2:$C$842, C219, $D$2:$D$842, D219, $E$2:$E$842, E219) &gt; 1, "Duplicate", "Unique")</f>
        <v>Unique</v>
      </c>
    </row>
    <row r="220" spans="1:15" ht="15" thickBot="1" x14ac:dyDescent="0.4">
      <c r="A220" s="13">
        <v>46252.6875</v>
      </c>
      <c r="B220" s="10" t="s">
        <v>9</v>
      </c>
      <c r="C220" s="10" t="s">
        <v>7</v>
      </c>
      <c r="D220" s="10">
        <v>50</v>
      </c>
      <c r="E220" s="10">
        <v>305</v>
      </c>
      <c r="F220" s="4">
        <v>5.263157895</v>
      </c>
      <c r="G220" s="2" t="s">
        <v>95</v>
      </c>
      <c r="H220" s="5">
        <v>289.75</v>
      </c>
      <c r="I220" s="1" t="s">
        <v>8</v>
      </c>
      <c r="J220" s="58" t="s">
        <v>55</v>
      </c>
      <c r="N220" s="12" t="str">
        <f>IF(COUNTIFS( $B$2:$B$842, B220, $C$2:$C$842, C220, $D$2:$D$842, D220, $E$2:$E$842, E220) &gt; 1, "Duplicate", "Unique")</f>
        <v>Unique</v>
      </c>
    </row>
    <row r="221" spans="1:15" ht="15" thickBot="1" x14ac:dyDescent="0.4">
      <c r="A221" s="3">
        <v>46262.375</v>
      </c>
      <c r="B221" s="1" t="s">
        <v>87</v>
      </c>
      <c r="C221" s="1" t="s">
        <v>7</v>
      </c>
      <c r="D221" s="4">
        <v>10</v>
      </c>
      <c r="E221" s="4">
        <v>1340</v>
      </c>
      <c r="F221" s="4">
        <v>5.1805337519999997</v>
      </c>
      <c r="G221" s="2" t="s">
        <v>88</v>
      </c>
      <c r="H221" s="5">
        <v>1274</v>
      </c>
      <c r="I221" s="1" t="s">
        <v>8</v>
      </c>
      <c r="J221" s="20" t="s">
        <v>117</v>
      </c>
      <c r="K221" s="20" t="s">
        <v>200</v>
      </c>
      <c r="L221" s="20">
        <v>13030</v>
      </c>
      <c r="M221" s="20">
        <f>ABS((D221*E221)-L221)</f>
        <v>370</v>
      </c>
      <c r="N221" s="12" t="str">
        <f>IF(COUNTIFS( $B$2:$B$842, B221, $C$2:$C$842, C221, $D$2:$D$842, D221, $E$2:$E$842, E221) &gt; 1, "Duplicate", "Unique")</f>
        <v>Unique</v>
      </c>
    </row>
    <row r="222" spans="1:15" ht="15" thickBot="1" x14ac:dyDescent="0.4">
      <c r="A222" s="13">
        <v>46252.6875</v>
      </c>
      <c r="B222" s="10" t="s">
        <v>27</v>
      </c>
      <c r="C222" s="10" t="s">
        <v>7</v>
      </c>
      <c r="D222" s="10">
        <v>2</v>
      </c>
      <c r="E222" s="10">
        <v>3048</v>
      </c>
      <c r="F222" s="4">
        <v>5.103448276</v>
      </c>
      <c r="G222" s="2" t="s">
        <v>131</v>
      </c>
      <c r="H222" s="5">
        <v>2900</v>
      </c>
      <c r="I222" s="1" t="s">
        <v>8</v>
      </c>
      <c r="J222" s="58" t="s">
        <v>41</v>
      </c>
      <c r="N222" s="12" t="str">
        <f>IF(COUNTIFS( $B$2:$B$842, B222, $C$2:$C$842, C222, $D$2:$D$842, D222, $E$2:$E$842, E222) &gt; 1, "Duplicate", "Unique")</f>
        <v>Unique</v>
      </c>
      <c r="O222" s="12"/>
    </row>
    <row r="223" spans="1:15" ht="15" thickBot="1" x14ac:dyDescent="0.4">
      <c r="A223" s="3">
        <v>46265.375844907408</v>
      </c>
      <c r="B223" s="1" t="s">
        <v>6</v>
      </c>
      <c r="C223" s="1" t="s">
        <v>7</v>
      </c>
      <c r="D223" s="4">
        <v>20</v>
      </c>
      <c r="E223" s="4">
        <v>291</v>
      </c>
      <c r="F223" s="4">
        <v>5.0920910079999997</v>
      </c>
      <c r="G223" s="2" t="s">
        <v>130</v>
      </c>
      <c r="H223" s="5">
        <v>276.89999999999998</v>
      </c>
      <c r="I223" s="1" t="s">
        <v>8</v>
      </c>
      <c r="J223" s="20" t="s">
        <v>118</v>
      </c>
      <c r="K223" s="20" t="s">
        <v>226</v>
      </c>
      <c r="L223" s="20">
        <v>5520</v>
      </c>
      <c r="M223" s="20">
        <f>ABS((D223*E223)-L223)</f>
        <v>300</v>
      </c>
      <c r="N223" t="str">
        <f>IF(COUNTIFS( $B$2:$B$842, B223, $C$2:$C$842, C223, $D$2:$D$842, D223, $E$2:$E$842, E223) &gt; 1, "Duplicate", "Unique")</f>
        <v>Unique</v>
      </c>
    </row>
    <row r="224" spans="1:15" ht="15" thickBot="1" x14ac:dyDescent="0.4">
      <c r="A224" s="13">
        <v>46252.6875</v>
      </c>
      <c r="B224" s="10" t="s">
        <v>15</v>
      </c>
      <c r="C224" s="10" t="s">
        <v>7</v>
      </c>
      <c r="D224" s="10">
        <v>10</v>
      </c>
      <c r="E224" s="10">
        <v>2696</v>
      </c>
      <c r="F224" s="4">
        <v>4.9885120140000003</v>
      </c>
      <c r="G224" s="2" t="s">
        <v>72</v>
      </c>
      <c r="H224" s="5">
        <v>2567.9</v>
      </c>
      <c r="I224" s="1" t="s">
        <v>8</v>
      </c>
      <c r="J224" s="58" t="s">
        <v>157</v>
      </c>
      <c r="N224" s="12" t="str">
        <f>IF(COUNTIFS( $B$2:$B$842, B224, $C$2:$C$842, C224, $D$2:$D$842, D224, $E$2:$E$842, E224) &gt; 1, "Duplicate", "Unique")</f>
        <v>Unique</v>
      </c>
    </row>
    <row r="225" spans="1:15" ht="15" thickBot="1" x14ac:dyDescent="0.4">
      <c r="A225" s="13">
        <v>46252.688194444447</v>
      </c>
      <c r="B225" s="10" t="s">
        <v>14</v>
      </c>
      <c r="C225" s="10" t="s">
        <v>7</v>
      </c>
      <c r="D225" s="10">
        <v>50</v>
      </c>
      <c r="E225" s="10">
        <v>357</v>
      </c>
      <c r="F225" s="4">
        <v>4.8458149779999999</v>
      </c>
      <c r="G225" s="2" t="s">
        <v>45</v>
      </c>
      <c r="H225" s="5">
        <v>340.5</v>
      </c>
      <c r="I225" s="1" t="s">
        <v>8</v>
      </c>
      <c r="J225" s="58"/>
      <c r="N225" s="12" t="str">
        <f>IF(COUNTIFS( $B$2:$B$842, B225, $C$2:$C$842, C225, $D$2:$D$842, D225, $E$2:$E$842, E225) &gt; 1, "Duplicate", "Unique")</f>
        <v>Unique</v>
      </c>
      <c r="O225" s="12"/>
    </row>
    <row r="226" spans="1:15" ht="15" thickBot="1" x14ac:dyDescent="0.4">
      <c r="A226" s="13">
        <v>46252.635416666664</v>
      </c>
      <c r="B226" s="10" t="s">
        <v>51</v>
      </c>
      <c r="C226" s="10" t="s">
        <v>7</v>
      </c>
      <c r="D226" s="10">
        <v>10</v>
      </c>
      <c r="E226" s="10">
        <v>997</v>
      </c>
      <c r="F226" s="4">
        <v>4.8370136700000002</v>
      </c>
      <c r="G226" s="2" t="s">
        <v>52</v>
      </c>
      <c r="H226" s="5">
        <v>951</v>
      </c>
      <c r="I226" s="1" t="s">
        <v>8</v>
      </c>
      <c r="J226" s="58" t="s">
        <v>41</v>
      </c>
      <c r="N226" s="12" t="str">
        <f>IF(COUNTIFS( $B$2:$B$842, B226, $C$2:$C$842, C226, $D$2:$D$842, D226, $E$2:$E$842, E226) &gt; 1, "Duplicate", "Unique")</f>
        <v>Unique</v>
      </c>
    </row>
    <row r="227" spans="1:15" ht="15" thickBot="1" x14ac:dyDescent="0.4">
      <c r="A227" s="3">
        <v>46265.463275462964</v>
      </c>
      <c r="B227" s="1" t="s">
        <v>12</v>
      </c>
      <c r="C227" s="1" t="s">
        <v>7</v>
      </c>
      <c r="D227" s="4">
        <v>1</v>
      </c>
      <c r="E227" s="4">
        <v>5424</v>
      </c>
      <c r="F227" s="4">
        <v>4.756938409</v>
      </c>
      <c r="G227" s="2" t="s">
        <v>98</v>
      </c>
      <c r="H227" s="5">
        <v>5177.7</v>
      </c>
      <c r="I227" s="1" t="s">
        <v>8</v>
      </c>
      <c r="J227" s="20" t="s">
        <v>118</v>
      </c>
      <c r="K227" s="20" t="s">
        <v>212</v>
      </c>
      <c r="L227" s="20">
        <v>5154</v>
      </c>
      <c r="M227" s="20">
        <f>ABS((D227*E227)-L227)</f>
        <v>270</v>
      </c>
      <c r="N227" t="str">
        <f>IF(COUNTIFS( $B$2:$B$842, B227, $C$2:$C$842, C227, $D$2:$D$842, D227, $E$2:$E$842, E227) &gt; 1, "Duplicate", "Unique")</f>
        <v>Unique</v>
      </c>
    </row>
    <row r="228" spans="1:15" ht="15" thickBot="1" x14ac:dyDescent="0.4">
      <c r="A228" s="3">
        <v>46265.457280092596</v>
      </c>
      <c r="B228" s="1" t="s">
        <v>29</v>
      </c>
      <c r="C228" s="1" t="s">
        <v>7</v>
      </c>
      <c r="D228" s="4">
        <v>5</v>
      </c>
      <c r="E228" s="4">
        <v>3846</v>
      </c>
      <c r="F228" s="4">
        <v>4.6815459989999999</v>
      </c>
      <c r="G228" s="2" t="s">
        <v>137</v>
      </c>
      <c r="H228" s="5">
        <v>3674</v>
      </c>
      <c r="I228" s="1" t="s">
        <v>8</v>
      </c>
      <c r="J228" s="20" t="s">
        <v>117</v>
      </c>
      <c r="K228" s="20" t="s">
        <v>214</v>
      </c>
      <c r="L228" s="20">
        <v>18530</v>
      </c>
      <c r="M228" s="20">
        <f>ABS((D228*E228)-L228)</f>
        <v>700</v>
      </c>
      <c r="N228" t="str">
        <f>IF(COUNTIFS( $B$2:$B$842, B228, $C$2:$C$842, C228, $D$2:$D$842, D228, $E$2:$E$842, E228) &gt; 1, "Duplicate", "Unique")</f>
        <v>Unique</v>
      </c>
    </row>
    <row r="229" spans="1:15" ht="15" thickBot="1" x14ac:dyDescent="0.4">
      <c r="A229" s="13">
        <v>46252.6875</v>
      </c>
      <c r="B229" s="10" t="s">
        <v>24</v>
      </c>
      <c r="C229" s="10" t="s">
        <v>7</v>
      </c>
      <c r="D229" s="10">
        <v>40</v>
      </c>
      <c r="E229" s="10">
        <v>458</v>
      </c>
      <c r="F229" s="4">
        <v>4.4588892690000002</v>
      </c>
      <c r="G229" s="2" t="s">
        <v>56</v>
      </c>
      <c r="H229" s="5">
        <v>438.45</v>
      </c>
      <c r="I229" s="1" t="s">
        <v>8</v>
      </c>
      <c r="J229" s="58" t="s">
        <v>117</v>
      </c>
      <c r="N229" s="12" t="str">
        <f>IF(COUNTIFS( $B$2:$B$842, B229, $C$2:$C$842, C229, $D$2:$D$842, D229, $E$2:$E$842, E229) &gt; 1, "Duplicate", "Unique")</f>
        <v>Unique</v>
      </c>
    </row>
    <row r="230" spans="1:15" ht="15" thickBot="1" x14ac:dyDescent="0.4">
      <c r="A230" s="54">
        <v>46262.375</v>
      </c>
      <c r="B230" s="55" t="s">
        <v>43</v>
      </c>
      <c r="C230" s="55" t="s">
        <v>7</v>
      </c>
      <c r="D230" s="56">
        <v>5</v>
      </c>
      <c r="E230" s="56">
        <v>747</v>
      </c>
      <c r="F230" s="4">
        <v>4.4098120060000001</v>
      </c>
      <c r="G230" s="2" t="s">
        <v>44</v>
      </c>
      <c r="H230" s="5">
        <v>715.45</v>
      </c>
      <c r="I230" s="1" t="s">
        <v>8</v>
      </c>
      <c r="J230" s="51" t="s">
        <v>118</v>
      </c>
      <c r="K230" s="51" t="s">
        <v>205</v>
      </c>
      <c r="L230" s="51">
        <v>3560</v>
      </c>
      <c r="M230" s="51">
        <f>ABS((D230*E230)-L230)</f>
        <v>175</v>
      </c>
      <c r="N230" s="53" t="str">
        <f>IF(COUNTIFS( $B$2:$B$842, B230, $C$2:$C$842, C230, $D$2:$D$842, D230, $E$2:$E$842, E230) &gt; 1, "Duplicate", "Unique")</f>
        <v>Duplicate</v>
      </c>
      <c r="O230" s="51"/>
    </row>
    <row r="231" spans="1:15" ht="15" thickBot="1" x14ac:dyDescent="0.4">
      <c r="A231" s="54">
        <v>46265.375844907408</v>
      </c>
      <c r="B231" s="55" t="s">
        <v>43</v>
      </c>
      <c r="C231" s="55" t="s">
        <v>7</v>
      </c>
      <c r="D231" s="56">
        <v>5</v>
      </c>
      <c r="E231" s="56">
        <v>747</v>
      </c>
      <c r="F231" s="4">
        <v>4.4098120060000001</v>
      </c>
      <c r="G231" s="2" t="s">
        <v>44</v>
      </c>
      <c r="H231" s="5">
        <v>715.45</v>
      </c>
      <c r="I231" s="1" t="s">
        <v>8</v>
      </c>
      <c r="J231" s="51" t="s">
        <v>118</v>
      </c>
      <c r="K231" s="51" t="s">
        <v>229</v>
      </c>
      <c r="L231" s="51">
        <v>3510</v>
      </c>
      <c r="M231" s="51">
        <f>ABS((D231*E231)-L231)</f>
        <v>225</v>
      </c>
      <c r="N231" s="52" t="str">
        <f>IF(COUNTIFS( $B$2:$B$842, B231, $C$2:$C$842, C231, $D$2:$D$842, D231, $E$2:$E$842, E231) &gt; 1, "Duplicate", "Unique")</f>
        <v>Duplicate</v>
      </c>
      <c r="O231" s="51"/>
    </row>
    <row r="232" spans="1:15" ht="15" thickBot="1" x14ac:dyDescent="0.4">
      <c r="A232" s="13">
        <v>46252.645138888889</v>
      </c>
      <c r="B232" s="10" t="s">
        <v>57</v>
      </c>
      <c r="C232" s="10" t="s">
        <v>7</v>
      </c>
      <c r="D232" s="10">
        <v>5</v>
      </c>
      <c r="E232" s="10">
        <v>2998</v>
      </c>
      <c r="F232" s="4">
        <v>4.0610898989999997</v>
      </c>
      <c r="G232" s="2" t="s">
        <v>58</v>
      </c>
      <c r="H232" s="5">
        <v>2881</v>
      </c>
      <c r="I232" s="1" t="s">
        <v>8</v>
      </c>
      <c r="J232" s="19" t="s">
        <v>117</v>
      </c>
      <c r="N232" s="12" t="str">
        <f>IF(COUNTIFS( $B$2:$B$842, B232, $C$2:$C$842, C232, $D$2:$D$842, D232, $E$2:$E$842, E232) &gt; 1, "Duplicate", "Unique")</f>
        <v>Unique</v>
      </c>
    </row>
    <row r="233" spans="1:15" ht="15" thickBot="1" x14ac:dyDescent="0.4">
      <c r="A233" s="3">
        <v>46254.642361111109</v>
      </c>
      <c r="B233" s="1" t="s">
        <v>15</v>
      </c>
      <c r="C233" s="1" t="s">
        <v>7</v>
      </c>
      <c r="D233" s="4">
        <v>10</v>
      </c>
      <c r="E233" s="4">
        <v>2672</v>
      </c>
      <c r="F233" s="4">
        <v>4.0538961799999997</v>
      </c>
      <c r="G233" s="2" t="s">
        <v>72</v>
      </c>
      <c r="H233" s="5">
        <v>2567.9</v>
      </c>
      <c r="I233" s="1" t="s">
        <v>8</v>
      </c>
      <c r="J233" s="19" t="s">
        <v>117</v>
      </c>
      <c r="K233" s="19" t="s">
        <v>148</v>
      </c>
      <c r="L233" s="19"/>
      <c r="M233" s="19"/>
      <c r="N233" s="12" t="str">
        <f>IF(COUNTIFS( $B$2:$B$842, B233, $C$2:$C$842, C233, $D$2:$D$842, D233, $E$2:$E$842, E233) &gt; 1, "Duplicate", "Unique")</f>
        <v>Unique</v>
      </c>
    </row>
    <row r="234" spans="1:15" ht="15" thickBot="1" x14ac:dyDescent="0.4">
      <c r="A234" s="13">
        <v>46252.645833333336</v>
      </c>
      <c r="B234" s="10" t="s">
        <v>49</v>
      </c>
      <c r="C234" s="10" t="s">
        <v>7</v>
      </c>
      <c r="D234" s="10">
        <v>5</v>
      </c>
      <c r="E234" s="10">
        <v>4177</v>
      </c>
      <c r="F234" s="4">
        <v>3.7763975159999998</v>
      </c>
      <c r="G234" s="2" t="s">
        <v>50</v>
      </c>
      <c r="H234" s="5">
        <v>4025</v>
      </c>
      <c r="I234" s="1" t="s">
        <v>8</v>
      </c>
      <c r="J234" s="58"/>
      <c r="N234" s="12" t="str">
        <f>IF(COUNTIFS( $B$2:$B$842, B234, $C$2:$C$842, C234, $D$2:$D$842, D234, $E$2:$E$842, E234) &gt; 1, "Duplicate", "Unique")</f>
        <v>Unique</v>
      </c>
    </row>
    <row r="235" spans="1:15" ht="15" thickBot="1" x14ac:dyDescent="0.4">
      <c r="A235" s="3">
        <v>46261.375</v>
      </c>
      <c r="B235" s="1" t="s">
        <v>63</v>
      </c>
      <c r="C235" s="1" t="s">
        <v>7</v>
      </c>
      <c r="D235" s="4">
        <v>10</v>
      </c>
      <c r="E235" s="4">
        <v>1081</v>
      </c>
      <c r="F235" s="4">
        <v>3.6930455640000002</v>
      </c>
      <c r="G235" s="2" t="s">
        <v>64</v>
      </c>
      <c r="H235" s="5">
        <v>1042.5</v>
      </c>
      <c r="I235" s="1" t="s">
        <v>8</v>
      </c>
      <c r="J235" s="20" t="s">
        <v>118</v>
      </c>
      <c r="K235" s="20" t="s">
        <v>192</v>
      </c>
      <c r="L235" s="20">
        <v>10510</v>
      </c>
      <c r="M235" s="20">
        <f>ABS((D235*E235)-L235)</f>
        <v>300</v>
      </c>
      <c r="N235" s="12" t="str">
        <f>IF(COUNTIFS( $B$2:$B$842, B235, $C$2:$C$842, C235, $D$2:$D$842, D235, $E$2:$E$842, E235) &gt; 1, "Duplicate", "Unique")</f>
        <v>Unique</v>
      </c>
    </row>
    <row r="236" spans="1:15" ht="15" thickBot="1" x14ac:dyDescent="0.4">
      <c r="A236" s="13">
        <v>46253.375</v>
      </c>
      <c r="B236" s="10" t="s">
        <v>14</v>
      </c>
      <c r="C236" s="10" t="s">
        <v>7</v>
      </c>
      <c r="D236" s="10">
        <v>50</v>
      </c>
      <c r="E236" s="10">
        <v>353</v>
      </c>
      <c r="F236" s="4">
        <v>3.6710719530000002</v>
      </c>
      <c r="G236" s="2" t="s">
        <v>45</v>
      </c>
      <c r="H236" s="5">
        <v>340.5</v>
      </c>
      <c r="I236" s="1" t="s">
        <v>8</v>
      </c>
      <c r="J236" s="58" t="s">
        <v>118</v>
      </c>
      <c r="K236" s="20" t="s">
        <v>145</v>
      </c>
      <c r="N236" s="12" t="str">
        <f>IF(COUNTIFS( $B$2:$B$842, B236, $C$2:$C$842, C236, $D$2:$D$842, D236, $E$2:$E$842, E236) &gt; 1, "Duplicate", "Unique")</f>
        <v>Unique</v>
      </c>
    </row>
    <row r="237" spans="1:15" s="53" customFormat="1" ht="15" thickBot="1" x14ac:dyDescent="0.4">
      <c r="A237" s="46">
        <v>46265.375844907408</v>
      </c>
      <c r="B237" s="47" t="s">
        <v>53</v>
      </c>
      <c r="C237" s="47" t="s">
        <v>7</v>
      </c>
      <c r="D237" s="48">
        <v>3</v>
      </c>
      <c r="E237" s="48">
        <v>2624</v>
      </c>
      <c r="F237" s="48">
        <v>3.6236988339999998</v>
      </c>
      <c r="G237" s="49" t="s">
        <v>54</v>
      </c>
      <c r="H237" s="50">
        <v>2555.4</v>
      </c>
      <c r="I237" s="47" t="s">
        <v>8</v>
      </c>
      <c r="J237" s="51" t="s">
        <v>118</v>
      </c>
      <c r="K237" s="51" t="s">
        <v>219</v>
      </c>
      <c r="L237" s="51">
        <v>7578</v>
      </c>
      <c r="M237" s="51">
        <f>ABS((D237*E237)-L237)</f>
        <v>294</v>
      </c>
      <c r="N237" s="52" t="str">
        <f>IF(COUNTIFS( $B$2:$B$842, B237, $C$2:$C$842, C237, $D$2:$D$842, D237, $E$2:$E$842, E237) &gt; 1, "Duplicate", "Unique")</f>
        <v>Duplicate</v>
      </c>
      <c r="O237" s="51"/>
    </row>
    <row r="238" spans="1:15" ht="15" thickBot="1" x14ac:dyDescent="0.4">
      <c r="A238" s="3">
        <v>46265.375844907408</v>
      </c>
      <c r="B238" s="1" t="s">
        <v>87</v>
      </c>
      <c r="C238" s="1" t="s">
        <v>7</v>
      </c>
      <c r="D238" s="4">
        <v>10</v>
      </c>
      <c r="E238" s="4">
        <v>1320</v>
      </c>
      <c r="F238" s="4">
        <v>3.6106750390000002</v>
      </c>
      <c r="G238" s="2" t="s">
        <v>88</v>
      </c>
      <c r="H238" s="5">
        <v>1274</v>
      </c>
      <c r="I238" s="1" t="s">
        <v>8</v>
      </c>
      <c r="J238" s="20" t="s">
        <v>117</v>
      </c>
      <c r="K238" s="20" t="s">
        <v>222</v>
      </c>
      <c r="L238" s="20">
        <v>12800</v>
      </c>
      <c r="M238" s="20">
        <f>ABS((D238*E238)-L238)</f>
        <v>400</v>
      </c>
      <c r="N238" t="str">
        <f>IF(COUNTIFS( $B$2:$B$842, B238, $C$2:$C$842, C238, $D$2:$D$842, D238, $E$2:$E$842, E238) &gt; 1, "Duplicate", "Unique")</f>
        <v>Unique</v>
      </c>
    </row>
    <row r="239" spans="1:15" ht="15" thickBot="1" x14ac:dyDescent="0.4">
      <c r="A239" s="3">
        <v>46262.375</v>
      </c>
      <c r="B239" s="1" t="s">
        <v>15</v>
      </c>
      <c r="C239" s="1" t="s">
        <v>7</v>
      </c>
      <c r="D239" s="4">
        <v>10</v>
      </c>
      <c r="E239" s="4">
        <v>2660</v>
      </c>
      <c r="F239" s="4">
        <v>3.5865882629999999</v>
      </c>
      <c r="G239" s="2" t="s">
        <v>72</v>
      </c>
      <c r="H239" s="5">
        <v>2567.9</v>
      </c>
      <c r="I239" s="1" t="s">
        <v>8</v>
      </c>
      <c r="J239" s="20" t="s">
        <v>117</v>
      </c>
      <c r="K239" s="20" t="s">
        <v>206</v>
      </c>
      <c r="L239" s="20">
        <v>26300</v>
      </c>
      <c r="M239" s="20">
        <f>ABS((D239*E239)-L239)</f>
        <v>300</v>
      </c>
      <c r="N239" s="12" t="str">
        <f>IF(COUNTIFS( $B$2:$B$842, B239, $C$2:$C$842, C239, $D$2:$D$842, D239, $E$2:$E$842, E239) &gt; 1, "Duplicate", "Unique")</f>
        <v>Unique</v>
      </c>
    </row>
    <row r="240" spans="1:15" ht="15" thickBot="1" x14ac:dyDescent="0.4">
      <c r="A240" s="54">
        <v>46260.556944444441</v>
      </c>
      <c r="B240" s="55" t="s">
        <v>36</v>
      </c>
      <c r="C240" s="55" t="s">
        <v>7</v>
      </c>
      <c r="D240" s="56">
        <v>5</v>
      </c>
      <c r="E240" s="56">
        <v>1251</v>
      </c>
      <c r="F240" s="4">
        <v>3.388429752</v>
      </c>
      <c r="G240" s="2" t="s">
        <v>65</v>
      </c>
      <c r="H240" s="5">
        <v>1210</v>
      </c>
      <c r="I240" s="1" t="s">
        <v>8</v>
      </c>
      <c r="J240" s="51" t="s">
        <v>118</v>
      </c>
      <c r="K240" s="51" t="s">
        <v>170</v>
      </c>
      <c r="L240" s="51">
        <v>6105</v>
      </c>
      <c r="M240" s="51">
        <f>ABS((D240*E240)-L240)</f>
        <v>150</v>
      </c>
      <c r="N240" s="52" t="str">
        <f>IF(COUNTIFS( $B$2:$B$842, B240, $C$2:$C$842, C240, $D$2:$D$842, D240, $E$2:$E$842, E240) &gt; 1, "Duplicate", "Unique")</f>
        <v>Duplicate</v>
      </c>
      <c r="O240" s="51"/>
    </row>
    <row r="241" spans="1:15" ht="15" thickBot="1" x14ac:dyDescent="0.4">
      <c r="A241" s="54">
        <v>46261.375</v>
      </c>
      <c r="B241" s="55" t="s">
        <v>36</v>
      </c>
      <c r="C241" s="55" t="s">
        <v>7</v>
      </c>
      <c r="D241" s="56">
        <v>5</v>
      </c>
      <c r="E241" s="56">
        <v>1251</v>
      </c>
      <c r="F241" s="4">
        <v>3.388429752</v>
      </c>
      <c r="G241" s="2" t="s">
        <v>65</v>
      </c>
      <c r="H241" s="5">
        <v>1210</v>
      </c>
      <c r="I241" s="1" t="s">
        <v>8</v>
      </c>
      <c r="J241" s="51" t="s">
        <v>118</v>
      </c>
      <c r="K241" s="51" t="s">
        <v>187</v>
      </c>
      <c r="L241" s="51">
        <v>6005</v>
      </c>
      <c r="M241" s="51">
        <f>ABS((D241*E241)-L241)</f>
        <v>250</v>
      </c>
      <c r="N241" s="53" t="str">
        <f>IF(COUNTIFS( $B$2:$B$842, B241, $C$2:$C$842, C241, $D$2:$D$842, D241, $E$2:$E$842, E241) &gt; 1, "Duplicate", "Unique")</f>
        <v>Duplicate</v>
      </c>
      <c r="O241" s="51"/>
    </row>
    <row r="242" spans="1:15" ht="15" thickBot="1" x14ac:dyDescent="0.4">
      <c r="A242" s="13">
        <v>46252.635416666664</v>
      </c>
      <c r="B242" s="10" t="s">
        <v>121</v>
      </c>
      <c r="C242" s="10" t="s">
        <v>7</v>
      </c>
      <c r="D242" s="10">
        <v>20</v>
      </c>
      <c r="E242" s="10">
        <v>816</v>
      </c>
      <c r="F242" s="4">
        <v>3.3163265310000001</v>
      </c>
      <c r="G242" s="2" t="s">
        <v>122</v>
      </c>
      <c r="H242" s="5">
        <v>784</v>
      </c>
      <c r="I242" s="1" t="s">
        <v>8</v>
      </c>
      <c r="J242" s="58" t="s">
        <v>118</v>
      </c>
      <c r="N242" s="12" t="str">
        <f>IF(COUNTIFS( $B$2:$B$842, B242, $C$2:$C$842, C242, $D$2:$D$842, D242, $E$2:$E$842, E242) &gt; 1, "Duplicate", "Unique")</f>
        <v>Unique</v>
      </c>
      <c r="O242" s="12"/>
    </row>
    <row r="243" spans="1:15" ht="15" thickBot="1" x14ac:dyDescent="0.4">
      <c r="A243" s="3">
        <v>46265.375844907408</v>
      </c>
      <c r="B243" s="1" t="s">
        <v>9</v>
      </c>
      <c r="C243" s="1" t="s">
        <v>7</v>
      </c>
      <c r="D243" s="4">
        <v>90</v>
      </c>
      <c r="E243" s="4">
        <v>299</v>
      </c>
      <c r="F243" s="4">
        <v>3.1924072479999999</v>
      </c>
      <c r="G243" s="2" t="s">
        <v>95</v>
      </c>
      <c r="H243" s="5">
        <v>289.75</v>
      </c>
      <c r="I243" s="1" t="s">
        <v>8</v>
      </c>
      <c r="J243" s="20" t="s">
        <v>117</v>
      </c>
      <c r="K243" s="20" t="s">
        <v>220</v>
      </c>
      <c r="L243" s="20">
        <v>26145</v>
      </c>
      <c r="M243" s="20">
        <f>ABS((D243*E243)-L243)</f>
        <v>765</v>
      </c>
      <c r="N243" t="str">
        <f>IF(COUNTIFS( $B$2:$B$842, B243, $C$2:$C$842, C243, $D$2:$D$842, D243, $E$2:$E$842, E243) &gt; 1, "Duplicate", "Unique")</f>
        <v>Unique</v>
      </c>
    </row>
    <row r="244" spans="1:15" ht="15" thickBot="1" x14ac:dyDescent="0.4">
      <c r="A244" s="3">
        <v>46262.463194444441</v>
      </c>
      <c r="B244" s="1" t="s">
        <v>15</v>
      </c>
      <c r="C244" s="1" t="s">
        <v>7</v>
      </c>
      <c r="D244" s="4">
        <v>10</v>
      </c>
      <c r="E244" s="4">
        <v>2648</v>
      </c>
      <c r="F244" s="4">
        <v>3.119280346</v>
      </c>
      <c r="G244" s="2" t="s">
        <v>72</v>
      </c>
      <c r="H244" s="5">
        <v>2567.9</v>
      </c>
      <c r="I244" s="1" t="s">
        <v>8</v>
      </c>
      <c r="J244" s="20" t="s">
        <v>117</v>
      </c>
      <c r="K244" s="20" t="s">
        <v>203</v>
      </c>
      <c r="L244" s="20">
        <v>26180</v>
      </c>
      <c r="M244" s="20">
        <f>ABS((D244*E244)-L244)</f>
        <v>300</v>
      </c>
      <c r="N244" s="12" t="str">
        <f>IF(COUNTIFS( $B$2:$B$842, B244, $C$2:$C$842, C244, $D$2:$D$842, D244, $E$2:$E$842, E244) &gt; 1, "Duplicate", "Unique")</f>
        <v>Unique</v>
      </c>
    </row>
    <row r="245" spans="1:15" ht="15" thickBot="1" x14ac:dyDescent="0.4">
      <c r="A245" s="13">
        <v>46252.645138888889</v>
      </c>
      <c r="B245" s="10" t="s">
        <v>68</v>
      </c>
      <c r="C245" s="10" t="s">
        <v>7</v>
      </c>
      <c r="D245" s="10">
        <v>20</v>
      </c>
      <c r="E245" s="10">
        <v>424</v>
      </c>
      <c r="F245" s="4">
        <v>2.7629665540000001</v>
      </c>
      <c r="G245" s="2" t="s">
        <v>69</v>
      </c>
      <c r="H245" s="5">
        <v>412.6</v>
      </c>
      <c r="I245" s="1" t="s">
        <v>8</v>
      </c>
      <c r="J245" s="58"/>
      <c r="N245" s="12" t="str">
        <f>IF(COUNTIFS( $B$2:$B$842, B245, $C$2:$C$842, C245, $D$2:$D$842, D245, $E$2:$E$842, E245) &gt; 1, "Duplicate", "Unique")</f>
        <v>Unique</v>
      </c>
    </row>
    <row r="246" spans="1:15" ht="15" thickBot="1" x14ac:dyDescent="0.4">
      <c r="A246" s="3">
        <v>46265.467245370368</v>
      </c>
      <c r="B246" s="1" t="s">
        <v>80</v>
      </c>
      <c r="C246" s="1" t="s">
        <v>7</v>
      </c>
      <c r="D246" s="4">
        <v>10</v>
      </c>
      <c r="E246" s="4">
        <v>1548</v>
      </c>
      <c r="F246" s="4">
        <v>2.761550717</v>
      </c>
      <c r="G246" s="2" t="s">
        <v>81</v>
      </c>
      <c r="H246" s="5">
        <v>1506.4</v>
      </c>
      <c r="I246" s="1" t="s">
        <v>8</v>
      </c>
      <c r="J246" s="20" t="s">
        <v>117</v>
      </c>
      <c r="K246" s="20" t="s">
        <v>218</v>
      </c>
      <c r="L246" s="20">
        <v>15050</v>
      </c>
      <c r="M246" s="20">
        <f>ABS((D246*E246)-L246)</f>
        <v>430</v>
      </c>
      <c r="N246" t="str">
        <f>IF(COUNTIFS( $B$2:$B$842, B246, $C$2:$C$842, C246, $D$2:$D$842, D246, $E$2:$E$842, E246) &gt; 1, "Duplicate", "Unique")</f>
        <v>Unique</v>
      </c>
    </row>
    <row r="247" spans="1:15" ht="15" thickBot="1" x14ac:dyDescent="0.4">
      <c r="A247" s="3">
        <v>46261.375694444447</v>
      </c>
      <c r="B247" s="1" t="s">
        <v>51</v>
      </c>
      <c r="C247" s="1" t="s">
        <v>7</v>
      </c>
      <c r="D247" s="4">
        <v>10</v>
      </c>
      <c r="E247" s="4">
        <v>977</v>
      </c>
      <c r="F247" s="4">
        <v>2.7339642479999999</v>
      </c>
      <c r="G247" s="2" t="s">
        <v>52</v>
      </c>
      <c r="H247" s="5">
        <v>951</v>
      </c>
      <c r="I247" s="1" t="s">
        <v>8</v>
      </c>
      <c r="J247" s="20" t="s">
        <v>117</v>
      </c>
      <c r="K247" s="20" t="s">
        <v>183</v>
      </c>
      <c r="L247" s="20">
        <v>9470</v>
      </c>
      <c r="M247" s="20">
        <f>ABS((D247*E247)-L247)</f>
        <v>300</v>
      </c>
      <c r="N247" s="12" t="str">
        <f>IF(COUNTIFS( $B$2:$B$842, B247, $C$2:$C$842, C247, $D$2:$D$842, D247, $E$2:$E$842, E247) &gt; 1, "Duplicate", "Unique")</f>
        <v>Unique</v>
      </c>
    </row>
    <row r="248" spans="1:15" ht="15" thickBot="1" x14ac:dyDescent="0.4">
      <c r="A248" s="3">
        <v>46262.375</v>
      </c>
      <c r="B248" s="1" t="s">
        <v>63</v>
      </c>
      <c r="C248" s="1" t="s">
        <v>7</v>
      </c>
      <c r="D248" s="4">
        <v>10</v>
      </c>
      <c r="E248" s="4">
        <v>1071</v>
      </c>
      <c r="F248" s="4">
        <v>2.7338129499999999</v>
      </c>
      <c r="G248" s="2" t="s">
        <v>64</v>
      </c>
      <c r="H248" s="5">
        <v>1042.5</v>
      </c>
      <c r="I248" s="1" t="s">
        <v>8</v>
      </c>
      <c r="J248" s="20" t="s">
        <v>118</v>
      </c>
      <c r="K248" s="20" t="s">
        <v>207</v>
      </c>
      <c r="L248" s="20">
        <v>10410</v>
      </c>
      <c r="M248" s="20">
        <f>ABS((D248*E248)-L248)</f>
        <v>300</v>
      </c>
      <c r="N248" s="12" t="str">
        <f>IF(COUNTIFS( $B$2:$B$842, B248, $C$2:$C$842, C248, $D$2:$D$842, D248, $E$2:$E$842, E248) &gt; 1, "Duplicate", "Unique")</f>
        <v>Unique</v>
      </c>
    </row>
    <row r="249" spans="1:15" ht="15" thickBot="1" x14ac:dyDescent="0.4">
      <c r="A249" s="3">
        <v>46265.375844907408</v>
      </c>
      <c r="B249" s="1" t="s">
        <v>15</v>
      </c>
      <c r="C249" s="1" t="s">
        <v>7</v>
      </c>
      <c r="D249" s="4">
        <v>10</v>
      </c>
      <c r="E249" s="4">
        <v>2636</v>
      </c>
      <c r="F249" s="4">
        <v>2.6519724290000002</v>
      </c>
      <c r="G249" s="2" t="s">
        <v>72</v>
      </c>
      <c r="H249" s="5">
        <v>2567.9</v>
      </c>
      <c r="I249" s="1" t="s">
        <v>8</v>
      </c>
      <c r="J249" s="20" t="s">
        <v>117</v>
      </c>
      <c r="K249" s="20" t="s">
        <v>230</v>
      </c>
      <c r="L249" s="20">
        <v>26020</v>
      </c>
      <c r="M249" s="20">
        <f>ABS((D249*E249)-L249)</f>
        <v>340</v>
      </c>
      <c r="N249" t="str">
        <f>IF(COUNTIFS( $B$2:$B$842, B249, $C$2:$C$842, C249, $D$2:$D$842, D249, $E$2:$E$842, E249) &gt; 1, "Duplicate", "Unique")</f>
        <v>Unique</v>
      </c>
    </row>
    <row r="250" spans="1:15" ht="15" thickBot="1" x14ac:dyDescent="0.4">
      <c r="A250" s="13">
        <v>46252.645138888889</v>
      </c>
      <c r="B250" s="10" t="s">
        <v>49</v>
      </c>
      <c r="C250" s="10" t="s">
        <v>7</v>
      </c>
      <c r="D250" s="10">
        <v>5</v>
      </c>
      <c r="E250" s="10">
        <v>4129</v>
      </c>
      <c r="F250" s="4">
        <v>2.5838509319999998</v>
      </c>
      <c r="G250" s="2" t="s">
        <v>50</v>
      </c>
      <c r="H250" s="5">
        <v>4025</v>
      </c>
      <c r="I250" s="1" t="s">
        <v>8</v>
      </c>
      <c r="J250" s="58"/>
      <c r="N250" s="12" t="str">
        <f>IF(COUNTIFS( $B$2:$B$842, B250, $C$2:$C$842, C250, $D$2:$D$842, D250, $E$2:$E$842, E250) &gt; 1, "Duplicate", "Unique")</f>
        <v>Unique</v>
      </c>
    </row>
    <row r="251" spans="1:15" ht="15" thickBot="1" x14ac:dyDescent="0.4">
      <c r="A251" s="3">
        <v>46261.375</v>
      </c>
      <c r="B251" s="1" t="s">
        <v>14</v>
      </c>
      <c r="C251" s="1" t="s">
        <v>7</v>
      </c>
      <c r="D251" s="4">
        <v>50</v>
      </c>
      <c r="E251" s="4">
        <v>349</v>
      </c>
      <c r="F251" s="4">
        <v>2.4963289280000001</v>
      </c>
      <c r="G251" s="2" t="s">
        <v>45</v>
      </c>
      <c r="H251" s="5">
        <v>340.5</v>
      </c>
      <c r="I251" s="1" t="s">
        <v>8</v>
      </c>
      <c r="J251" s="20" t="s">
        <v>117</v>
      </c>
      <c r="K251" s="20" t="s">
        <v>190</v>
      </c>
      <c r="L251" s="20">
        <v>17150</v>
      </c>
      <c r="M251" s="20">
        <f t="shared" ref="M251:M259" si="0">ABS((D251*E251)-L251)</f>
        <v>300</v>
      </c>
      <c r="N251" s="12" t="str">
        <f>IF(COUNTIFS( $B$2:$B$842, B251, $C$2:$C$842, C251, $D$2:$D$842, D251, $E$2:$E$842, E251) &gt; 1, "Duplicate", "Unique")</f>
        <v>Unique</v>
      </c>
    </row>
    <row r="252" spans="1:15" ht="15" thickBot="1" x14ac:dyDescent="0.4">
      <c r="A252" s="3">
        <v>46261.375</v>
      </c>
      <c r="B252" s="1" t="s">
        <v>57</v>
      </c>
      <c r="C252" s="1" t="s">
        <v>7</v>
      </c>
      <c r="D252" s="4">
        <v>5</v>
      </c>
      <c r="E252" s="4">
        <v>2948</v>
      </c>
      <c r="F252" s="4">
        <v>2.3255813949999999</v>
      </c>
      <c r="G252" s="2" t="s">
        <v>58</v>
      </c>
      <c r="H252" s="5">
        <v>2881</v>
      </c>
      <c r="I252" s="1" t="s">
        <v>8</v>
      </c>
      <c r="J252" s="20" t="s">
        <v>117</v>
      </c>
      <c r="K252" s="20" t="s">
        <v>191</v>
      </c>
      <c r="L252" s="20">
        <v>14440</v>
      </c>
      <c r="M252" s="20">
        <f t="shared" si="0"/>
        <v>300</v>
      </c>
      <c r="N252" s="12" t="str">
        <f>IF(COUNTIFS( $B$2:$B$842, B252, $C$2:$C$842, C252, $D$2:$D$842, D252, $E$2:$E$842, E252) &gt; 1, "Duplicate", "Unique")</f>
        <v>Unique</v>
      </c>
    </row>
    <row r="253" spans="1:15" ht="15" thickBot="1" x14ac:dyDescent="0.4">
      <c r="A253" s="3">
        <v>46261.375</v>
      </c>
      <c r="B253" s="1" t="s">
        <v>14</v>
      </c>
      <c r="C253" s="1" t="s">
        <v>7</v>
      </c>
      <c r="D253" s="4">
        <v>100</v>
      </c>
      <c r="E253" s="4">
        <v>348</v>
      </c>
      <c r="F253" s="4">
        <v>2.2026431720000001</v>
      </c>
      <c r="G253" s="2" t="s">
        <v>45</v>
      </c>
      <c r="H253" s="5">
        <v>340.5</v>
      </c>
      <c r="I253" s="1" t="s">
        <v>8</v>
      </c>
      <c r="J253" s="20" t="s">
        <v>117</v>
      </c>
      <c r="K253" s="20" t="s">
        <v>188</v>
      </c>
      <c r="L253" s="20">
        <v>34100</v>
      </c>
      <c r="M253" s="20">
        <f t="shared" si="0"/>
        <v>700</v>
      </c>
      <c r="N253" s="12" t="str">
        <f>IF(COUNTIFS( $B$2:$B$842, B253, $C$2:$C$842, C253, $D$2:$D$842, D253, $E$2:$E$842, E253) &gt; 1, "Duplicate", "Unique")</f>
        <v>Unique</v>
      </c>
    </row>
    <row r="254" spans="1:15" ht="15" thickBot="1" x14ac:dyDescent="0.4">
      <c r="A254" s="3">
        <v>46260.375694444447</v>
      </c>
      <c r="B254" s="1" t="s">
        <v>49</v>
      </c>
      <c r="C254" s="1" t="s">
        <v>7</v>
      </c>
      <c r="D254" s="4">
        <v>5</v>
      </c>
      <c r="E254" s="4">
        <v>4112</v>
      </c>
      <c r="F254" s="4">
        <v>2.1614906829999998</v>
      </c>
      <c r="G254" s="2" t="s">
        <v>50</v>
      </c>
      <c r="H254" s="5">
        <v>4025</v>
      </c>
      <c r="I254" s="1" t="s">
        <v>8</v>
      </c>
      <c r="J254" s="20" t="s">
        <v>118</v>
      </c>
      <c r="K254" s="20" t="s">
        <v>176</v>
      </c>
      <c r="L254" s="20">
        <v>20260</v>
      </c>
      <c r="M254" s="20">
        <f t="shared" si="0"/>
        <v>300</v>
      </c>
      <c r="N254" t="str">
        <f>IF(COUNTIFS( $B$2:$B$842, B254, $C$2:$C$842, C254, $D$2:$D$842, D254, $E$2:$E$842, E254) &gt; 1, "Duplicate", "Unique")</f>
        <v>Unique</v>
      </c>
    </row>
    <row r="255" spans="1:15" ht="15" thickBot="1" x14ac:dyDescent="0.4">
      <c r="A255" s="3">
        <v>46265.375844907408</v>
      </c>
      <c r="B255" s="1" t="s">
        <v>36</v>
      </c>
      <c r="C255" s="1" t="s">
        <v>7</v>
      </c>
      <c r="D255" s="4">
        <v>5</v>
      </c>
      <c r="E255" s="4">
        <v>1236</v>
      </c>
      <c r="F255" s="4">
        <v>2.1487603310000001</v>
      </c>
      <c r="G255" s="2" t="s">
        <v>65</v>
      </c>
      <c r="H255" s="5">
        <v>1210</v>
      </c>
      <c r="I255" s="1" t="s">
        <v>8</v>
      </c>
      <c r="J255" s="51" t="s">
        <v>118</v>
      </c>
      <c r="K255" s="20" t="s">
        <v>227</v>
      </c>
      <c r="L255" s="20">
        <v>5905</v>
      </c>
      <c r="M255" s="20">
        <f t="shared" si="0"/>
        <v>275</v>
      </c>
      <c r="N255" t="str">
        <f>IF(COUNTIFS( $B$2:$B$842, B255, $C$2:$C$842, C255, $D$2:$D$842, D255, $E$2:$E$842, E255) &gt; 1, "Duplicate", "Unique")</f>
        <v>Unique</v>
      </c>
    </row>
    <row r="256" spans="1:15" ht="15" thickBot="1" x14ac:dyDescent="0.4">
      <c r="A256" s="3">
        <v>46265.392870370371</v>
      </c>
      <c r="B256" s="1" t="s">
        <v>19</v>
      </c>
      <c r="C256" s="1" t="s">
        <v>7</v>
      </c>
      <c r="D256" s="4">
        <v>250</v>
      </c>
      <c r="E256" s="4">
        <v>227.8</v>
      </c>
      <c r="F256" s="4">
        <v>1.960433265</v>
      </c>
      <c r="G256" s="2" t="s">
        <v>40</v>
      </c>
      <c r="H256" s="5">
        <v>223.42</v>
      </c>
      <c r="I256" s="1" t="s">
        <v>8</v>
      </c>
      <c r="J256" s="29" t="s">
        <v>118</v>
      </c>
      <c r="K256" s="20" t="s">
        <v>234</v>
      </c>
      <c r="L256" s="20">
        <v>55382.5</v>
      </c>
      <c r="M256" s="20">
        <f t="shared" si="0"/>
        <v>1567.5</v>
      </c>
      <c r="N256" t="str">
        <f>IF(COUNTIFS( $B$2:$B$842, B256, $C$2:$C$842, C256, $D$2:$D$842, D256, $E$2:$E$842, E256) &gt; 1, "Duplicate", "Unique")</f>
        <v>Unique</v>
      </c>
    </row>
    <row r="257" spans="1:15" ht="15" thickBot="1" x14ac:dyDescent="0.4">
      <c r="A257" s="3">
        <v>46265.390555555554</v>
      </c>
      <c r="B257" s="1" t="s">
        <v>15</v>
      </c>
      <c r="C257" s="1" t="s">
        <v>7</v>
      </c>
      <c r="D257" s="4">
        <v>10</v>
      </c>
      <c r="E257" s="4">
        <v>2618</v>
      </c>
      <c r="F257" s="4">
        <v>1.9510105529999999</v>
      </c>
      <c r="G257" s="2" t="s">
        <v>72</v>
      </c>
      <c r="H257" s="5">
        <v>2567.9</v>
      </c>
      <c r="I257" s="1" t="s">
        <v>8</v>
      </c>
      <c r="J257" s="20" t="s">
        <v>117</v>
      </c>
      <c r="K257" s="20" t="s">
        <v>221</v>
      </c>
      <c r="L257" s="20">
        <v>25530</v>
      </c>
      <c r="M257" s="20">
        <f t="shared" si="0"/>
        <v>650</v>
      </c>
      <c r="N257" t="str">
        <f>IF(COUNTIFS( $B$2:$B$842, B257, $C$2:$C$842, C257, $D$2:$D$842, D257, $E$2:$E$842, E257) &gt; 1, "Duplicate", "Unique")</f>
        <v>Unique</v>
      </c>
    </row>
    <row r="258" spans="1:15" s="53" customFormat="1" ht="15" thickBot="1" x14ac:dyDescent="0.4">
      <c r="A258" s="3">
        <v>46265.375844907408</v>
      </c>
      <c r="B258" s="1" t="s">
        <v>49</v>
      </c>
      <c r="C258" s="1" t="s">
        <v>7</v>
      </c>
      <c r="D258" s="4">
        <v>5</v>
      </c>
      <c r="E258" s="4">
        <v>4092</v>
      </c>
      <c r="F258" s="4">
        <v>1.6645962729999999</v>
      </c>
      <c r="G258" s="2" t="s">
        <v>50</v>
      </c>
      <c r="H258" s="5">
        <v>4025</v>
      </c>
      <c r="I258" s="1" t="s">
        <v>8</v>
      </c>
      <c r="J258" s="20" t="s">
        <v>118</v>
      </c>
      <c r="K258" s="20" t="s">
        <v>228</v>
      </c>
      <c r="L258" s="20">
        <v>20010</v>
      </c>
      <c r="M258" s="20">
        <f t="shared" si="0"/>
        <v>450</v>
      </c>
      <c r="N258" t="str">
        <f>IF(COUNTIFS( $B$2:$B$842, B258, $C$2:$C$842, C258, $D$2:$D$842, D258, $E$2:$E$842, E258) &gt; 1, "Duplicate", "Unique")</f>
        <v>Unique</v>
      </c>
      <c r="O258" s="20"/>
    </row>
    <row r="259" spans="1:15" ht="15" thickBot="1" x14ac:dyDescent="0.4">
      <c r="A259" s="3">
        <v>46265.375844907408</v>
      </c>
      <c r="B259" s="1" t="s">
        <v>15</v>
      </c>
      <c r="C259" s="1" t="s">
        <v>7</v>
      </c>
      <c r="D259" s="4">
        <v>10</v>
      </c>
      <c r="E259" s="4">
        <v>2608</v>
      </c>
      <c r="F259" s="4">
        <v>1.561587289</v>
      </c>
      <c r="G259" s="2" t="s">
        <v>72</v>
      </c>
      <c r="H259" s="5">
        <v>2567.9</v>
      </c>
      <c r="I259" s="1" t="s">
        <v>8</v>
      </c>
      <c r="J259" s="20" t="s">
        <v>118</v>
      </c>
      <c r="K259" s="20" t="s">
        <v>224</v>
      </c>
      <c r="L259" s="20">
        <v>25780</v>
      </c>
      <c r="M259" s="20">
        <f t="shared" si="0"/>
        <v>300</v>
      </c>
      <c r="N259" t="str">
        <f>IF(COUNTIFS( $B$2:$B$842, B259, $C$2:$C$842, C259, $D$2:$D$842, D259, $E$2:$E$842, E259) &gt; 1, "Duplicate", "Unique")</f>
        <v>Unique</v>
      </c>
    </row>
    <row r="260" spans="1:15" ht="15" thickBot="1" x14ac:dyDescent="0.4">
      <c r="A260" s="10" t="s">
        <v>62</v>
      </c>
      <c r="B260" s="10" t="s">
        <v>121</v>
      </c>
      <c r="C260" s="10" t="s">
        <v>7</v>
      </c>
      <c r="D260" s="10">
        <v>10</v>
      </c>
      <c r="E260" s="10">
        <v>816</v>
      </c>
      <c r="F260" s="4">
        <v>1.5306122449999999</v>
      </c>
      <c r="G260" s="2" t="s">
        <v>122</v>
      </c>
      <c r="H260" s="5">
        <v>784</v>
      </c>
      <c r="I260" s="1" t="s">
        <v>8</v>
      </c>
      <c r="J260" s="58" t="s">
        <v>117</v>
      </c>
      <c r="N260" s="12" t="str">
        <f>IF(COUNTIFS( $B$2:$B$842, B260, $C$2:$C$842, C260, $D$2:$D$842, D260, $E$2:$E$842,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121</v>
      </c>
      <c r="C261" s="10" t="s">
        <v>7</v>
      </c>
      <c r="D261" s="10">
        <v>10</v>
      </c>
      <c r="E261" s="10">
        <v>796</v>
      </c>
      <c r="F261" s="4">
        <v>1.5306122449999999</v>
      </c>
      <c r="G261" s="2" t="s">
        <v>122</v>
      </c>
      <c r="H261" s="5">
        <v>784</v>
      </c>
      <c r="I261" s="1" t="s">
        <v>8</v>
      </c>
      <c r="J261" s="58" t="s">
        <v>117</v>
      </c>
      <c r="N261" s="12" t="str">
        <f>IF(COUNTIFS( $B$2:$B$842, B261, $C$2:$C$842, C261, $D$2:$D$842, D261, $E$2:$E$842, E261) &gt; 1, "Duplicate", "Unique")</f>
        <v>Unique</v>
      </c>
      <c r="O261" s="12"/>
    </row>
    <row r="262" spans="1:15" ht="15" thickBot="1" x14ac:dyDescent="0.4">
      <c r="A262" s="3">
        <v>46262.375</v>
      </c>
      <c r="B262" s="1" t="s">
        <v>82</v>
      </c>
      <c r="C262" s="1" t="s">
        <v>7</v>
      </c>
      <c r="D262" s="4">
        <v>2</v>
      </c>
      <c r="E262" s="4">
        <v>4360</v>
      </c>
      <c r="F262" s="4">
        <v>0.87922258210000004</v>
      </c>
      <c r="G262" s="2" t="s">
        <v>83</v>
      </c>
      <c r="H262" s="5">
        <v>4322</v>
      </c>
      <c r="I262" s="1" t="s">
        <v>8</v>
      </c>
      <c r="J262" s="20" t="s">
        <v>118</v>
      </c>
      <c r="K262" s="20" t="s">
        <v>199</v>
      </c>
      <c r="L262" s="20">
        <v>8420</v>
      </c>
      <c r="M262" s="20">
        <f>ABS((D262*E262)-L262)</f>
        <v>300</v>
      </c>
      <c r="N262" s="12" t="str">
        <f>IF(COUNTIFS( $B$2:$B$842, B262, $C$2:$C$842, C262, $D$2:$D$842, D262, $E$2:$E$842, E262) &gt; 1, "Duplicate", "Unique")</f>
        <v>Unique</v>
      </c>
    </row>
    <row r="263" spans="1:15" x14ac:dyDescent="0.35">
      <c r="A263" t="s">
        <v>236</v>
      </c>
      <c r="B263" t="s">
        <v>11</v>
      </c>
      <c r="C263" t="s">
        <v>7</v>
      </c>
      <c r="D263">
        <v>20</v>
      </c>
      <c r="E263">
        <v>306</v>
      </c>
      <c r="F263"/>
      <c r="J263" s="20" t="s">
        <v>118</v>
      </c>
      <c r="K263" s="20" t="s">
        <v>252</v>
      </c>
      <c r="L263" s="20">
        <v>5820</v>
      </c>
      <c r="M263" s="20">
        <f>ABS((D263*E263)-L263)</f>
        <v>300</v>
      </c>
      <c r="N263" s="12" t="str">
        <f>IF(COUNTIFS( $B$2:$B$842, B263, $C$2:$C$842, C263, $D$2:$D$842, D263, $E$2:$E$842, E263) &gt; 1, "Duplicate", "Unique")</f>
        <v>Unique</v>
      </c>
    </row>
    <row r="264" spans="1:15" x14ac:dyDescent="0.35">
      <c r="A264" t="s">
        <v>238</v>
      </c>
      <c r="B264" t="s">
        <v>13</v>
      </c>
      <c r="C264" t="s">
        <v>7</v>
      </c>
      <c r="D264">
        <v>3</v>
      </c>
      <c r="E264">
        <v>1794</v>
      </c>
      <c r="F264"/>
      <c r="J264" s="20" t="s">
        <v>118</v>
      </c>
      <c r="K264" s="20" t="s">
        <v>253</v>
      </c>
      <c r="L264" s="20">
        <v>4842</v>
      </c>
      <c r="M264" s="20">
        <f t="shared" ref="M264:M283" si="1">ABS((D264*E264)-L264)</f>
        <v>540</v>
      </c>
      <c r="N264" s="12" t="str">
        <f>IF(COUNTIFS( $B$2:$B$842, B264, $C$2:$C$842, C264, $D$2:$D$842, D264, $E$2:$E$842, E264) &gt; 1, "Duplicate", "Unique")</f>
        <v>Unique</v>
      </c>
    </row>
    <row r="265" spans="1:15" x14ac:dyDescent="0.35">
      <c r="A265" t="s">
        <v>239</v>
      </c>
      <c r="B265" t="s">
        <v>237</v>
      </c>
      <c r="C265" t="s">
        <v>7</v>
      </c>
      <c r="D265">
        <v>3</v>
      </c>
      <c r="E265">
        <v>1052</v>
      </c>
      <c r="F265"/>
      <c r="J265" s="20" t="s">
        <v>41</v>
      </c>
      <c r="M265" s="20">
        <f t="shared" si="1"/>
        <v>3156</v>
      </c>
      <c r="N265" s="12" t="str">
        <f>IF(COUNTIFS( $B$2:$B$842, B265, $C$2:$C$842, C265, $D$2:$D$842, D265, $E$2:$E$842, E265) &gt; 1, "Duplicate", "Unique")</f>
        <v>Unique</v>
      </c>
    </row>
    <row r="266" spans="1:15" s="53" customFormat="1" x14ac:dyDescent="0.35">
      <c r="A266" s="52" t="s">
        <v>240</v>
      </c>
      <c r="B266" s="52" t="s">
        <v>87</v>
      </c>
      <c r="C266" s="52" t="s">
        <v>7</v>
      </c>
      <c r="D266" s="52">
        <v>10</v>
      </c>
      <c r="E266" s="52">
        <v>1280</v>
      </c>
      <c r="F266" s="52"/>
      <c r="J266" s="51" t="s">
        <v>117</v>
      </c>
      <c r="K266" s="51" t="s">
        <v>254</v>
      </c>
      <c r="L266" s="51">
        <v>12600</v>
      </c>
      <c r="M266" s="51">
        <f t="shared" si="1"/>
        <v>200</v>
      </c>
      <c r="N266" s="53" t="str">
        <f>IF(COUNTIFS( $B$2:$B$842, B266, $C$2:$C$842, C266, $D$2:$D$842, D266, $E$2:$E$842, E266) &gt; 1, "Duplicate", "Unique")</f>
        <v>Duplicate</v>
      </c>
      <c r="O266" s="51"/>
    </row>
    <row r="267" spans="1:15" x14ac:dyDescent="0.35">
      <c r="A267" t="s">
        <v>241</v>
      </c>
      <c r="B267" t="s">
        <v>31</v>
      </c>
      <c r="C267" t="s">
        <v>10</v>
      </c>
      <c r="D267">
        <v>5</v>
      </c>
      <c r="E267">
        <v>601</v>
      </c>
      <c r="F267"/>
      <c r="J267" s="20" t="s">
        <v>41</v>
      </c>
      <c r="K267" s="20" t="s">
        <v>255</v>
      </c>
      <c r="L267" s="20">
        <v>3245</v>
      </c>
      <c r="M267" s="20">
        <f t="shared" si="1"/>
        <v>240</v>
      </c>
      <c r="N267" s="12" t="str">
        <f>IF(COUNTIFS( $B$2:$B$842, B267, $C$2:$C$842, C267, $D$2:$D$842, D267, $E$2:$E$842, E267) &gt; 1, "Duplicate", "Unique")</f>
        <v>Duplicate</v>
      </c>
    </row>
    <row r="268" spans="1:15" x14ac:dyDescent="0.35">
      <c r="A268" t="s">
        <v>242</v>
      </c>
      <c r="B268" t="s">
        <v>66</v>
      </c>
      <c r="C268" t="s">
        <v>7</v>
      </c>
      <c r="D268">
        <v>5</v>
      </c>
      <c r="E268">
        <v>1248</v>
      </c>
      <c r="F268"/>
      <c r="J268" s="20" t="s">
        <v>117</v>
      </c>
      <c r="K268" s="20" t="s">
        <v>256</v>
      </c>
      <c r="L268" s="20">
        <v>5940</v>
      </c>
      <c r="M268" s="20">
        <f t="shared" si="1"/>
        <v>300</v>
      </c>
      <c r="N268" s="12" t="str">
        <f>IF(COUNTIFS( $B$2:$B$842, B268, $C$2:$C$842, C268, $D$2:$D$842, D268, $E$2:$E$842, E268) &gt; 1, "Duplicate", "Unique")</f>
        <v>Unique</v>
      </c>
    </row>
    <row r="269" spans="1:15" x14ac:dyDescent="0.35">
      <c r="A269" t="s">
        <v>242</v>
      </c>
      <c r="B269" t="s">
        <v>121</v>
      </c>
      <c r="C269" t="s">
        <v>7</v>
      </c>
      <c r="D269">
        <v>25</v>
      </c>
      <c r="E269">
        <v>772</v>
      </c>
      <c r="F269"/>
      <c r="J269" s="20" t="s">
        <v>117</v>
      </c>
      <c r="K269" s="20" t="s">
        <v>257</v>
      </c>
      <c r="L269" s="20">
        <v>18800</v>
      </c>
      <c r="M269" s="20">
        <f t="shared" si="1"/>
        <v>500</v>
      </c>
      <c r="N269" s="12" t="str">
        <f>IF(COUNTIFS( $B$2:$B$842, B269, $C$2:$C$842, C269, $D$2:$D$842, D269, $E$2:$E$842, E269) &gt; 1, "Duplicate", "Unique")</f>
        <v>Unique</v>
      </c>
    </row>
    <row r="270" spans="1:15" x14ac:dyDescent="0.35">
      <c r="A270" t="s">
        <v>243</v>
      </c>
      <c r="B270" t="s">
        <v>13</v>
      </c>
      <c r="C270" t="s">
        <v>7</v>
      </c>
      <c r="D270">
        <v>5</v>
      </c>
      <c r="E270">
        <v>1794</v>
      </c>
      <c r="F270"/>
      <c r="J270" s="20" t="s">
        <v>118</v>
      </c>
      <c r="K270" s="20" t="s">
        <v>258</v>
      </c>
      <c r="L270" s="20">
        <v>8320</v>
      </c>
      <c r="M270" s="20">
        <f t="shared" si="1"/>
        <v>650</v>
      </c>
      <c r="N270" s="12" t="str">
        <f>IF(COUNTIFS( $B$2:$B$842, B270, $C$2:$C$842, C270, $D$2:$D$842, D270, $E$2:$E$842, E270) &gt; 1, "Duplicate", "Unique")</f>
        <v>Unique</v>
      </c>
    </row>
    <row r="271" spans="1:15" s="53" customFormat="1" x14ac:dyDescent="0.35">
      <c r="A271" s="52" t="s">
        <v>244</v>
      </c>
      <c r="B271" s="52" t="s">
        <v>53</v>
      </c>
      <c r="C271" s="52" t="s">
        <v>7</v>
      </c>
      <c r="D271" s="52">
        <v>3</v>
      </c>
      <c r="E271" s="52">
        <v>2624</v>
      </c>
      <c r="F271" s="52"/>
      <c r="J271" s="51" t="s">
        <v>118</v>
      </c>
      <c r="K271" s="51" t="s">
        <v>259</v>
      </c>
      <c r="L271" s="51">
        <v>7578</v>
      </c>
      <c r="M271" s="51">
        <f t="shared" si="1"/>
        <v>294</v>
      </c>
      <c r="N271" s="53" t="str">
        <f>IF(COUNTIFS( $B$2:$B$842, B271, $C$2:$C$842, C271, $D$2:$D$842, D271, $E$2:$E$842, E271) &gt; 1, "Duplicate", "Unique")</f>
        <v>Duplicate</v>
      </c>
      <c r="O271" s="51"/>
    </row>
    <row r="272" spans="1:15" s="53" customFormat="1" x14ac:dyDescent="0.35">
      <c r="A272" s="52" t="s">
        <v>245</v>
      </c>
      <c r="B272" s="52" t="s">
        <v>87</v>
      </c>
      <c r="C272" s="52" t="s">
        <v>7</v>
      </c>
      <c r="D272" s="52">
        <v>10</v>
      </c>
      <c r="E272" s="52">
        <v>1280</v>
      </c>
      <c r="F272" s="52"/>
      <c r="J272" s="51" t="s">
        <v>117</v>
      </c>
      <c r="K272" s="51" t="s">
        <v>260</v>
      </c>
      <c r="L272" s="51">
        <v>12510</v>
      </c>
      <c r="M272" s="51">
        <f t="shared" si="1"/>
        <v>290</v>
      </c>
      <c r="N272" s="53" t="str">
        <f>IF(COUNTIFS( $B$2:$B$842, B272, $C$2:$C$842, C272, $D$2:$D$842, D272, $E$2:$E$842, E272) &gt; 1, "Duplicate", "Unique")</f>
        <v>Duplicate</v>
      </c>
      <c r="O272" s="51"/>
    </row>
    <row r="273" spans="1:14" x14ac:dyDescent="0.35">
      <c r="A273" t="s">
        <v>246</v>
      </c>
      <c r="B273" t="s">
        <v>16</v>
      </c>
      <c r="C273" t="s">
        <v>7</v>
      </c>
      <c r="D273">
        <v>11</v>
      </c>
      <c r="E273">
        <v>948</v>
      </c>
      <c r="F273"/>
      <c r="J273" s="20" t="s">
        <v>117</v>
      </c>
      <c r="K273" s="20" t="s">
        <v>261</v>
      </c>
      <c r="L273" s="20">
        <v>9702</v>
      </c>
      <c r="M273" s="20">
        <f t="shared" si="1"/>
        <v>726</v>
      </c>
      <c r="N273" s="12" t="str">
        <f>IF(COUNTIFS( $B$2:$B$842, B273, $C$2:$C$842, C273, $D$2:$D$842, D273, $E$2:$E$842, E273) &gt; 1, "Duplicate", "Unique")</f>
        <v>Unique</v>
      </c>
    </row>
    <row r="274" spans="1:14" x14ac:dyDescent="0.35">
      <c r="A274" t="s">
        <v>245</v>
      </c>
      <c r="B274" t="s">
        <v>63</v>
      </c>
      <c r="C274" t="s">
        <v>7</v>
      </c>
      <c r="D274">
        <v>10</v>
      </c>
      <c r="E274">
        <v>1060</v>
      </c>
      <c r="F274"/>
      <c r="J274" s="20" t="s">
        <v>117</v>
      </c>
      <c r="K274" s="20" t="s">
        <v>262</v>
      </c>
      <c r="L274" s="20">
        <v>10300</v>
      </c>
      <c r="M274" s="20">
        <f t="shared" si="1"/>
        <v>300</v>
      </c>
      <c r="N274" s="12" t="str">
        <f>IF(COUNTIFS( $B$2:$B$842, B274, $C$2:$C$842, C274, $D$2:$D$842, D274, $E$2:$E$842, E274) &gt; 1, "Duplicate", "Unique")</f>
        <v>Unique</v>
      </c>
    </row>
    <row r="275" spans="1:14" x14ac:dyDescent="0.35">
      <c r="A275" t="s">
        <v>246</v>
      </c>
      <c r="B275" t="s">
        <v>87</v>
      </c>
      <c r="C275" t="s">
        <v>7</v>
      </c>
      <c r="D275">
        <v>10</v>
      </c>
      <c r="E275">
        <v>1296</v>
      </c>
      <c r="F275"/>
      <c r="J275" s="20" t="s">
        <v>117</v>
      </c>
      <c r="K275" s="20" t="s">
        <v>263</v>
      </c>
      <c r="L275" s="20">
        <v>12600</v>
      </c>
      <c r="M275" s="20">
        <f t="shared" si="1"/>
        <v>360</v>
      </c>
      <c r="N275" s="12" t="str">
        <f>IF(COUNTIFS( $B$2:$B$842, B275, $C$2:$C$842, C275, $D$2:$D$842, D275, $E$2:$E$842, E275) &gt; 1, "Duplicate", "Unique")</f>
        <v>Unique</v>
      </c>
    </row>
    <row r="276" spans="1:14" x14ac:dyDescent="0.35">
      <c r="A276" t="s">
        <v>247</v>
      </c>
      <c r="B276" t="s">
        <v>15</v>
      </c>
      <c r="C276" t="s">
        <v>7</v>
      </c>
      <c r="D276">
        <v>10</v>
      </c>
      <c r="E276">
        <v>2595</v>
      </c>
      <c r="F276"/>
      <c r="J276" s="20" t="s">
        <v>118</v>
      </c>
      <c r="K276" s="20" t="s">
        <v>264</v>
      </c>
      <c r="L276" s="20">
        <v>25300</v>
      </c>
      <c r="M276" s="20">
        <f t="shared" si="1"/>
        <v>650</v>
      </c>
      <c r="N276" s="12" t="str">
        <f>IF(COUNTIFS( $B$2:$B$842, B276, $C$2:$C$842, C276, $D$2:$D$842, D276, $E$2:$E$842, E276) &gt; 1, "Duplicate", "Unique")</f>
        <v>Unique</v>
      </c>
    </row>
    <row r="277" spans="1:14" x14ac:dyDescent="0.35">
      <c r="A277" t="s">
        <v>248</v>
      </c>
      <c r="B277" t="s">
        <v>14</v>
      </c>
      <c r="C277" t="s">
        <v>7</v>
      </c>
      <c r="D277">
        <v>100</v>
      </c>
      <c r="E277">
        <v>344.5</v>
      </c>
      <c r="F277"/>
      <c r="J277" s="20" t="s">
        <v>117</v>
      </c>
      <c r="K277" s="20" t="s">
        <v>265</v>
      </c>
      <c r="L277" s="20">
        <v>33950</v>
      </c>
      <c r="M277" s="20">
        <f t="shared" si="1"/>
        <v>500</v>
      </c>
      <c r="N277" s="12" t="str">
        <f>IF(COUNTIFS( $B$2:$B$842, B277, $C$2:$C$842, C277, $D$2:$D$842, D277, $E$2:$E$842, E277) &gt; 1, "Duplicate", "Unique")</f>
        <v>Unique</v>
      </c>
    </row>
    <row r="278" spans="1:14" x14ac:dyDescent="0.35">
      <c r="A278" t="s">
        <v>249</v>
      </c>
      <c r="B278" t="s">
        <v>89</v>
      </c>
      <c r="C278" t="s">
        <v>7</v>
      </c>
      <c r="D278">
        <v>1</v>
      </c>
      <c r="E278">
        <v>14852</v>
      </c>
      <c r="F278"/>
      <c r="J278" s="20" t="s">
        <v>118</v>
      </c>
      <c r="K278" s="20" t="s">
        <v>266</v>
      </c>
      <c r="L278" s="20">
        <v>14552</v>
      </c>
      <c r="M278" s="20">
        <f t="shared" si="1"/>
        <v>300</v>
      </c>
      <c r="N278" s="12" t="str">
        <f>IF(COUNTIFS( $B$2:$B$842, B278, $C$2:$C$842, C278, $D$2:$D$842, D278, $E$2:$E$842, E278) &gt; 1, "Duplicate", "Unique")</f>
        <v>Unique</v>
      </c>
    </row>
    <row r="279" spans="1:14" x14ac:dyDescent="0.35">
      <c r="A279" t="s">
        <v>250</v>
      </c>
      <c r="B279" t="s">
        <v>34</v>
      </c>
      <c r="C279" t="s">
        <v>7</v>
      </c>
      <c r="D279">
        <v>1</v>
      </c>
      <c r="E279">
        <v>20350</v>
      </c>
      <c r="F279"/>
      <c r="J279" s="20" t="s">
        <v>118</v>
      </c>
      <c r="K279" s="20" t="s">
        <v>267</v>
      </c>
      <c r="L279" s="20">
        <v>20050</v>
      </c>
      <c r="M279" s="20">
        <f t="shared" si="1"/>
        <v>300</v>
      </c>
      <c r="N279" s="12" t="str">
        <f>IF(COUNTIFS( $B$2:$B$842, B279, $C$2:$C$842, C279, $D$2:$D$842, D279, $E$2:$E$842, E279) &gt; 1, "Duplicate", "Unique")</f>
        <v>Unique</v>
      </c>
    </row>
    <row r="280" spans="1:14" x14ac:dyDescent="0.35">
      <c r="A280" t="s">
        <v>250</v>
      </c>
      <c r="B280" t="s">
        <v>119</v>
      </c>
      <c r="C280" t="s">
        <v>7</v>
      </c>
      <c r="D280">
        <v>15</v>
      </c>
      <c r="E280">
        <v>1040</v>
      </c>
      <c r="F280"/>
      <c r="J280" s="20" t="s">
        <v>117</v>
      </c>
      <c r="K280" s="20" t="s">
        <v>268</v>
      </c>
      <c r="L280" s="20">
        <v>15075</v>
      </c>
      <c r="M280" s="20">
        <f t="shared" si="1"/>
        <v>525</v>
      </c>
      <c r="N280" s="12" t="str">
        <f>IF(COUNTIFS( $B$2:$B$842, B280, $C$2:$C$842, C280, $D$2:$D$842, D280, $E$2:$E$842, E280) &gt; 1, "Duplicate", "Unique")</f>
        <v>Unique</v>
      </c>
    </row>
    <row r="281" spans="1:14" x14ac:dyDescent="0.35">
      <c r="A281" t="s">
        <v>251</v>
      </c>
      <c r="B281" t="s">
        <v>31</v>
      </c>
      <c r="C281" t="s">
        <v>10</v>
      </c>
      <c r="D281">
        <v>5</v>
      </c>
      <c r="E281">
        <v>601</v>
      </c>
      <c r="F281"/>
      <c r="J281" s="20" t="s">
        <v>55</v>
      </c>
      <c r="K281" s="20" t="s">
        <v>269</v>
      </c>
      <c r="L281" s="20">
        <v>3235</v>
      </c>
      <c r="M281" s="20">
        <f t="shared" si="1"/>
        <v>230</v>
      </c>
      <c r="N281" s="12" t="str">
        <f>IF(COUNTIFS( $B$2:$B$842, B281, $C$2:$C$842, C281, $D$2:$D$842, D281, $E$2:$E$842, E281) &gt; 1, "Duplicate", "Unique")</f>
        <v>Duplicate</v>
      </c>
    </row>
    <row r="282" spans="1:14" x14ac:dyDescent="0.35">
      <c r="A282" t="s">
        <v>251</v>
      </c>
      <c r="B282" t="s">
        <v>17</v>
      </c>
      <c r="C282" t="s">
        <v>10</v>
      </c>
      <c r="D282">
        <v>25</v>
      </c>
      <c r="E282">
        <v>348</v>
      </c>
      <c r="F282"/>
      <c r="J282" s="20" t="s">
        <v>55</v>
      </c>
      <c r="K282" s="20" t="s">
        <v>270</v>
      </c>
      <c r="L282" s="20">
        <v>9000</v>
      </c>
      <c r="M282" s="20">
        <f t="shared" si="1"/>
        <v>300</v>
      </c>
      <c r="N282" s="12" t="str">
        <f>IF(COUNTIFS( $B$2:$B$842, B282, $C$2:$C$842, C282, $D$2:$D$842, D282, $E$2:$E$842, E282) &gt; 1, "Duplicate", "Unique")</f>
        <v>Unique</v>
      </c>
    </row>
    <row r="283" spans="1:14" x14ac:dyDescent="0.35">
      <c r="A283" t="s">
        <v>251</v>
      </c>
      <c r="B283" t="s">
        <v>23</v>
      </c>
      <c r="C283" t="s">
        <v>10</v>
      </c>
      <c r="D283">
        <v>40</v>
      </c>
      <c r="E283">
        <v>211</v>
      </c>
      <c r="F283"/>
      <c r="J283" s="20" t="s">
        <v>55</v>
      </c>
      <c r="K283" s="20" t="s">
        <v>271</v>
      </c>
      <c r="L283" s="20">
        <v>8760</v>
      </c>
      <c r="M283" s="20">
        <f t="shared" si="1"/>
        <v>320</v>
      </c>
      <c r="N283" s="12" t="str">
        <f>IF(COUNTIFS( $B$2:$B$842, B283, $C$2:$C$842, C283, $D$2:$D$842, D283, $E$2:$E$842, E283)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2026-09-01T14:00:30Z</dcterms:modified>
</cp:coreProperties>
</file>