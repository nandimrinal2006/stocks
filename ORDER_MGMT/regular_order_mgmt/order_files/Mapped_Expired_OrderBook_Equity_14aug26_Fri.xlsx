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BC194317-4987-4AD7-BC90-FB59755474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Sheet1!$A$1:$J$233</definedName>
    <definedName name="_xlnm._FilterDatabase" localSheetId="2" hidden="1">Sheet2!$A$1:$F$234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3" l="1" a="1"/>
  <c r="H1" i="3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<sst xmlns="http://schemas.openxmlformats.org/spreadsheetml/2006/main" count="1538" uniqueCount="152">
  <si>
    <t>Date</t>
  </si>
  <si>
    <t>Stock</t>
  </si>
  <si>
    <t>Order Type (Buy/Sell)</t>
  </si>
  <si>
    <t>Quantity</t>
  </si>
  <si>
    <t>Price</t>
  </si>
  <si>
    <t>Status</t>
  </si>
  <si>
    <t>KERNEXEQ</t>
  </si>
  <si>
    <t>B</t>
  </si>
  <si>
    <t>Expired</t>
  </si>
  <si>
    <t>S</t>
  </si>
  <si>
    <t>RAILTELEQ</t>
  </si>
  <si>
    <t>PRINCEPIPEEQ</t>
  </si>
  <si>
    <t>E2EEQ</t>
  </si>
  <si>
    <t>ZENTECEQ</t>
  </si>
  <si>
    <t>NETWEBEQ</t>
  </si>
  <si>
    <t>IGILEQ</t>
  </si>
  <si>
    <t>MOSCHIPEQ</t>
  </si>
  <si>
    <t>ITBEESEQ</t>
  </si>
  <si>
    <t>SENCOEQ</t>
  </si>
  <si>
    <t>SILVERBEESEQ</t>
  </si>
  <si>
    <t>APOLLOTYREEQ</t>
  </si>
  <si>
    <t>ARE&amp;MEQ</t>
  </si>
  <si>
    <t>SCIEQ</t>
  </si>
  <si>
    <t>URBANCOEQ</t>
  </si>
  <si>
    <t>GRSEEQ</t>
  </si>
  <si>
    <t>GOLDBEESEQ</t>
  </si>
  <si>
    <t>JUSTDIALEQ</t>
  </si>
  <si>
    <t>IRCONEQ</t>
  </si>
  <si>
    <t>KFINTECHEQ</t>
  </si>
  <si>
    <t>BDLEQ</t>
  </si>
  <si>
    <t>LODHAEQ</t>
  </si>
  <si>
    <t>CAMSEQ</t>
  </si>
  <si>
    <t>BELEQ</t>
  </si>
  <si>
    <t>SOLARINDSEQ</t>
  </si>
  <si>
    <t>TVSMOTOREQ</t>
  </si>
  <si>
    <t>GLENMARKEQ</t>
  </si>
  <si>
    <t>MAZDOCKEQ</t>
  </si>
  <si>
    <t>MCXEQ</t>
  </si>
  <si>
    <t>HALEQ</t>
  </si>
  <si>
    <t>CGPOWEREQ</t>
  </si>
  <si>
    <t>TCSEQ</t>
  </si>
  <si>
    <t>COCHINSHIPEQ</t>
  </si>
  <si>
    <t>SBINEQ</t>
  </si>
  <si>
    <t>NAM-INDIAEQ</t>
  </si>
  <si>
    <t>CDSLEQ</t>
  </si>
  <si>
    <t>DIXONEQ</t>
  </si>
  <si>
    <t>BSEEQ</t>
  </si>
  <si>
    <t>LTEQ</t>
  </si>
  <si>
    <t>RVNLEQ</t>
  </si>
  <si>
    <t>BAJFINANCEEQ</t>
  </si>
  <si>
    <t>TRENTEQ</t>
  </si>
  <si>
    <t>INDHOTELEQ</t>
  </si>
  <si>
    <t>IRFCEQ</t>
  </si>
  <si>
    <t>HDFCAMCEQ</t>
  </si>
  <si>
    <t>HINDUNILVREQ</t>
  </si>
  <si>
    <t>IREDAEQ</t>
  </si>
  <si>
    <t>MAXHEALTHEQ</t>
  </si>
  <si>
    <t>CONCOREQ</t>
  </si>
  <si>
    <t>HUDCOEQ</t>
  </si>
  <si>
    <t>########</t>
  </si>
  <si>
    <t>MAFANGEQ</t>
  </si>
  <si>
    <t>EXIDEINDEQ</t>
  </si>
  <si>
    <t>ABBEQ</t>
  </si>
  <si>
    <t>LALPATHLABEQ</t>
  </si>
  <si>
    <t>SONACOMSEQ</t>
  </si>
  <si>
    <t>TMCVEQ</t>
  </si>
  <si>
    <t>AARTIPHARMEQ</t>
  </si>
  <si>
    <t>13/8/2026 15:29</t>
  </si>
  <si>
    <t>WAAREERTLEQ</t>
  </si>
  <si>
    <t>KAYNESEQ</t>
  </si>
  <si>
    <t>VBLEQ</t>
  </si>
  <si>
    <t>NSDLEQ</t>
  </si>
  <si>
    <t>14 AUG 2026 09:33:39 AM</t>
  </si>
  <si>
    <t>Executed</t>
  </si>
  <si>
    <t>14 AUG 2026 09:31:44 AM</t>
  </si>
  <si>
    <t>14 AUG 2026 09:26:51 AM</t>
  </si>
  <si>
    <t>14 AUG 2026 09:24:29 AM</t>
  </si>
  <si>
    <t>14 AUG 2026 09:00:55 AM</t>
  </si>
  <si>
    <t>14 AUG 2026 09:33:15 AM</t>
  </si>
  <si>
    <t>14 AUG 2026 09:25:10 AM</t>
  </si>
  <si>
    <t>14 AUG 2026 09:00:53 AM</t>
  </si>
  <si>
    <t>14 AUG 2026 09:00:52 AM</t>
  </si>
  <si>
    <t>14 AUG 2026 09:00:51 AM</t>
  </si>
  <si>
    <t>14 AUG 2026 09:00:49 AM</t>
  </si>
  <si>
    <t>14 AUG 2026 09:00:48 AM</t>
  </si>
  <si>
    <t>14 AUG 2026 09:00:47 AM</t>
  </si>
  <si>
    <t>%Difference</t>
  </si>
  <si>
    <t>NSE Code</t>
  </si>
  <si>
    <t>Latest Recorded Price</t>
  </si>
  <si>
    <t>NSE:KERNEX</t>
  </si>
  <si>
    <t>NSE:RAILTEL</t>
  </si>
  <si>
    <t>NSE:PRINCEPIPE</t>
  </si>
  <si>
    <t>NSE:E2E</t>
  </si>
  <si>
    <t>NSE:ZENTEC</t>
  </si>
  <si>
    <t>NSE:NETWEB</t>
  </si>
  <si>
    <t>NSE:IGIL</t>
  </si>
  <si>
    <t>NSE:MOSCHIP</t>
  </si>
  <si>
    <t>NSE:ITBEES</t>
  </si>
  <si>
    <t>NSE:SENCO</t>
  </si>
  <si>
    <t>NSE:SILVERBEES</t>
  </si>
  <si>
    <t>NSE:APOLLOTYRE</t>
  </si>
  <si>
    <t>NSE:ARE&amp;M</t>
  </si>
  <si>
    <t>NSE:SCI</t>
  </si>
  <si>
    <t>NSE:URBANCO</t>
  </si>
  <si>
    <t>NSE:GRSE</t>
  </si>
  <si>
    <t>NSE:GOLDBEES</t>
  </si>
  <si>
    <t>NSE:JUSTDIAL</t>
  </si>
  <si>
    <t>NSE:IRCON</t>
  </si>
  <si>
    <t>NSE:KFINTECH</t>
  </si>
  <si>
    <t>NSE:BDL</t>
  </si>
  <si>
    <t>NSE:LODHA</t>
  </si>
  <si>
    <t>NSE:CAMS</t>
  </si>
  <si>
    <t>NSE:BEL</t>
  </si>
  <si>
    <t>NSE:SOLARINDS</t>
  </si>
  <si>
    <t>NSE:TVSMOTOR</t>
  </si>
  <si>
    <t>NSE:GLENMARK</t>
  </si>
  <si>
    <t>NSE:MAZDOCK</t>
  </si>
  <si>
    <t>NSE:MCX</t>
  </si>
  <si>
    <t>NSE:HAL</t>
  </si>
  <si>
    <t>NSE:CGPOWER</t>
  </si>
  <si>
    <t>NSE:TCS</t>
  </si>
  <si>
    <t>NSE:COCHINSHIP</t>
  </si>
  <si>
    <t>NSE:SBIN</t>
  </si>
  <si>
    <t>NSE:NAM-INDIA</t>
  </si>
  <si>
    <t>NSE:CDSL</t>
  </si>
  <si>
    <t>NSE:DIXON</t>
  </si>
  <si>
    <t>NSE:BSE</t>
  </si>
  <si>
    <t>NSE:LT</t>
  </si>
  <si>
    <t>NSE:RVNL</t>
  </si>
  <si>
    <t>NSE:BAJFINANCE</t>
  </si>
  <si>
    <t>NSE:TRENT</t>
  </si>
  <si>
    <t>NSE:INDHOTEL</t>
  </si>
  <si>
    <t>NSE:IRFC</t>
  </si>
  <si>
    <t>NSE:HDFCAMC</t>
  </si>
  <si>
    <t>NSE:HINDUNILVR</t>
  </si>
  <si>
    <t>NSE:IREDA</t>
  </si>
  <si>
    <t>NSE:MAXHEALTH</t>
  </si>
  <si>
    <t>NSE:CONCOR</t>
  </si>
  <si>
    <t>NSE:HUDCO</t>
  </si>
  <si>
    <t>NSE:MAFANG</t>
  </si>
  <si>
    <t>NSE:EXIDEIND</t>
  </si>
  <si>
    <t>NSE:ABB</t>
  </si>
  <si>
    <t>NSE:LALPATHLAB</t>
  </si>
  <si>
    <t>NSE:SONACOMS</t>
  </si>
  <si>
    <t>NSE:TMCV</t>
  </si>
  <si>
    <t>NSE:AARTIPHARM</t>
  </si>
  <si>
    <t>NSE:WAAREERTL</t>
  </si>
  <si>
    <t>NSE:KAYNES</t>
  </si>
  <si>
    <t>NSE:VBL</t>
  </si>
  <si>
    <t>NSE:NSDL</t>
  </si>
  <si>
    <t>grt result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</si>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</sst>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22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0" fillId="5" borderId="0" xfId="0" applyFill="1"/>
    <xf numFmtId="0" fontId="0" fillId="6" borderId="0" xfId="0" applyFill="1"/>
    <xf numFmtId="22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right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"/>
  <sheetViews>
    <sheetView tabSelected="1" topLeftCell="A230" workbookViewId="0">
      <selection sqref="A1:E234"/>
    </sheetView>
  </sheetViews>
  <sheetFormatPr defaultRowHeight="14.5" x14ac:dyDescent="0.35"/>
  <cols>
    <col min="1" max="1" width="19.54296875" customWidth="1"/>
    <col min="2" max="2" width="17" customWidth="1"/>
  </cols>
  <sheetData>
    <row r="1" spans="1:10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</v>
      </c>
      <c r="G1" s="19" t="s">
        <v>87</v>
      </c>
      <c r="H1" s="19" t="s">
        <v>88</v>
      </c>
      <c r="I1" s="1" t="s">
        <v>5</v>
      </c>
    </row>
    <row r="2" spans="1:10" ht="15" thickBot="1" x14ac:dyDescent="0.4">
      <c r="A2" s="17">
        <v>46247.645138888889</v>
      </c>
      <c r="B2" s="18" t="s">
        <v>29</v>
      </c>
      <c r="C2" s="18" t="s">
        <v>7</v>
      </c>
      <c r="D2" s="8">
        <v>10</v>
      </c>
      <c r="E2" s="8">
        <v>1400</v>
      </c>
      <c r="F2" s="3">
        <v>0.14306151650000001</v>
      </c>
      <c r="G2" s="19" t="s">
        <v>109</v>
      </c>
      <c r="H2" s="20">
        <v>1398</v>
      </c>
      <c r="I2" s="1" t="s">
        <v>8</v>
      </c>
      <c r="J2" t="s">
        <v>150</v>
      </c>
    </row>
    <row r="3" spans="1:10" ht="26.5" thickBot="1" x14ac:dyDescent="0.4">
      <c r="A3" s="2">
        <v>46248.644884259258</v>
      </c>
      <c r="B3" s="1" t="s">
        <v>52</v>
      </c>
      <c r="C3" s="1" t="s">
        <v>7</v>
      </c>
      <c r="D3" s="3">
        <v>100</v>
      </c>
      <c r="E3" s="3">
        <v>87.3</v>
      </c>
      <c r="F3" s="3">
        <v>-0.41067761809999997</v>
      </c>
      <c r="G3" s="19" t="s">
        <v>132</v>
      </c>
      <c r="H3" s="20">
        <v>87.66</v>
      </c>
      <c r="I3" s="1" t="s">
        <v>8</v>
      </c>
    </row>
    <row r="4" spans="1:10" ht="26.5" thickBot="1" x14ac:dyDescent="0.4">
      <c r="A4" s="2">
        <v>46248.769108796296</v>
      </c>
      <c r="B4" s="1" t="s">
        <v>24</v>
      </c>
      <c r="C4" s="1" t="s">
        <v>7</v>
      </c>
      <c r="D4" s="3">
        <v>10</v>
      </c>
      <c r="E4" s="3">
        <v>2601</v>
      </c>
      <c r="F4" s="3">
        <v>-0.51635111879999995</v>
      </c>
      <c r="G4" s="19" t="s">
        <v>104</v>
      </c>
      <c r="H4" s="20">
        <v>2614.5</v>
      </c>
      <c r="I4" s="1" t="s">
        <v>8</v>
      </c>
    </row>
    <row r="5" spans="1:10" ht="26.5" thickBot="1" x14ac:dyDescent="0.4">
      <c r="A5" s="2">
        <v>46248.644884259258</v>
      </c>
      <c r="B5" s="1" t="s">
        <v>53</v>
      </c>
      <c r="C5" s="1" t="s">
        <v>7</v>
      </c>
      <c r="D5" s="3">
        <v>2</v>
      </c>
      <c r="E5" s="3">
        <v>2460</v>
      </c>
      <c r="F5" s="3">
        <v>-0.84643288999999999</v>
      </c>
      <c r="G5" s="19" t="s">
        <v>133</v>
      </c>
      <c r="H5" s="20">
        <v>2481</v>
      </c>
      <c r="I5" s="1" t="s">
        <v>8</v>
      </c>
    </row>
    <row r="6" spans="1:10" ht="15" thickBot="1" x14ac:dyDescent="0.4">
      <c r="A6" s="2">
        <v>46248.644895833335</v>
      </c>
      <c r="B6" s="1" t="s">
        <v>46</v>
      </c>
      <c r="C6" s="1" t="s">
        <v>7</v>
      </c>
      <c r="D6" s="3">
        <v>2</v>
      </c>
      <c r="E6" s="3">
        <v>3410</v>
      </c>
      <c r="F6" s="3">
        <v>-1.047561011</v>
      </c>
      <c r="G6" s="19" t="s">
        <v>126</v>
      </c>
      <c r="H6" s="20">
        <v>3446.1</v>
      </c>
      <c r="I6" s="1" t="s">
        <v>8</v>
      </c>
    </row>
    <row r="7" spans="1:10" ht="26.5" thickBot="1" x14ac:dyDescent="0.4">
      <c r="A7" s="2">
        <v>46248.644837962966</v>
      </c>
      <c r="B7" s="1" t="s">
        <v>43</v>
      </c>
      <c r="C7" s="1" t="s">
        <v>7</v>
      </c>
      <c r="D7" s="3">
        <v>5</v>
      </c>
      <c r="E7" s="3">
        <v>1152</v>
      </c>
      <c r="F7" s="3">
        <v>-1.064926142</v>
      </c>
      <c r="G7" s="19" t="s">
        <v>123</v>
      </c>
      <c r="H7" s="20">
        <v>1164.4000000000001</v>
      </c>
      <c r="I7" s="1" t="s">
        <v>8</v>
      </c>
    </row>
    <row r="8" spans="1:10" ht="26.5" thickBot="1" x14ac:dyDescent="0.4">
      <c r="A8" s="2">
        <v>46248.644872685189</v>
      </c>
      <c r="B8" s="1" t="s">
        <v>51</v>
      </c>
      <c r="C8" s="1" t="s">
        <v>7</v>
      </c>
      <c r="D8" s="3">
        <v>5</v>
      </c>
      <c r="E8" s="3">
        <v>712</v>
      </c>
      <c r="F8" s="3">
        <v>-1.111111111</v>
      </c>
      <c r="G8" s="19" t="s">
        <v>131</v>
      </c>
      <c r="H8" s="20">
        <v>720</v>
      </c>
      <c r="I8" s="1" t="s">
        <v>8</v>
      </c>
    </row>
    <row r="9" spans="1:10" ht="26.5" thickBot="1" x14ac:dyDescent="0.4">
      <c r="A9" s="2">
        <v>46248.769108796296</v>
      </c>
      <c r="B9" s="1" t="s">
        <v>24</v>
      </c>
      <c r="C9" s="1" t="s">
        <v>7</v>
      </c>
      <c r="D9" s="3">
        <v>10</v>
      </c>
      <c r="E9" s="3">
        <v>2583</v>
      </c>
      <c r="F9" s="3">
        <v>-1.2048192769999999</v>
      </c>
      <c r="G9" s="19" t="s">
        <v>104</v>
      </c>
      <c r="H9" s="20">
        <v>2614.5</v>
      </c>
      <c r="I9" s="1" t="s">
        <v>8</v>
      </c>
    </row>
    <row r="10" spans="1:10" ht="15" thickBot="1" x14ac:dyDescent="0.4">
      <c r="A10" s="2">
        <v>46248.644872685189</v>
      </c>
      <c r="B10" s="1" t="s">
        <v>47</v>
      </c>
      <c r="C10" s="1" t="s">
        <v>7</v>
      </c>
      <c r="D10" s="3">
        <v>5</v>
      </c>
      <c r="E10" s="3">
        <v>4002</v>
      </c>
      <c r="F10" s="3">
        <v>-1.355681538</v>
      </c>
      <c r="G10" s="19" t="s">
        <v>127</v>
      </c>
      <c r="H10" s="20">
        <v>4057</v>
      </c>
      <c r="I10" s="1" t="s">
        <v>8</v>
      </c>
    </row>
    <row r="11" spans="1:10" ht="26.5" thickBot="1" x14ac:dyDescent="0.4">
      <c r="A11" s="2">
        <v>46248.769108796296</v>
      </c>
      <c r="B11" s="1" t="s">
        <v>24</v>
      </c>
      <c r="C11" s="1" t="s">
        <v>7</v>
      </c>
      <c r="D11" s="3">
        <v>10</v>
      </c>
      <c r="E11" s="3">
        <v>2578</v>
      </c>
      <c r="F11" s="3">
        <v>-1.3960604320000001</v>
      </c>
      <c r="G11" s="19" t="s">
        <v>104</v>
      </c>
      <c r="H11" s="20">
        <v>2614.5</v>
      </c>
      <c r="I11" s="1" t="s">
        <v>8</v>
      </c>
    </row>
    <row r="12" spans="1:10" ht="15" thickBot="1" x14ac:dyDescent="0.4">
      <c r="A12" s="2">
        <v>46248.769108796296</v>
      </c>
      <c r="B12" s="1" t="s">
        <v>15</v>
      </c>
      <c r="C12" s="1" t="s">
        <v>7</v>
      </c>
      <c r="D12" s="3">
        <v>100</v>
      </c>
      <c r="E12" s="3">
        <v>341</v>
      </c>
      <c r="F12" s="3">
        <v>-1.5446802369999999</v>
      </c>
      <c r="G12" s="19" t="s">
        <v>95</v>
      </c>
      <c r="H12" s="20">
        <v>346.35</v>
      </c>
      <c r="I12" s="1" t="s">
        <v>8</v>
      </c>
    </row>
    <row r="13" spans="1:10" ht="26.5" thickBot="1" x14ac:dyDescent="0.4">
      <c r="A13" s="2">
        <v>46248.769120370373</v>
      </c>
      <c r="B13" s="1" t="s">
        <v>18</v>
      </c>
      <c r="C13" s="1" t="s">
        <v>7</v>
      </c>
      <c r="D13" s="3">
        <v>25</v>
      </c>
      <c r="E13" s="3">
        <v>336</v>
      </c>
      <c r="F13" s="3">
        <v>-1.740020471</v>
      </c>
      <c r="G13" s="19" t="s">
        <v>98</v>
      </c>
      <c r="H13" s="20">
        <v>341.95</v>
      </c>
      <c r="I13" s="1" t="s">
        <v>8</v>
      </c>
    </row>
    <row r="14" spans="1:10" ht="39" thickBot="1" x14ac:dyDescent="0.4">
      <c r="A14" s="2">
        <v>46248.769108796296</v>
      </c>
      <c r="B14" s="1" t="s">
        <v>20</v>
      </c>
      <c r="C14" s="1" t="s">
        <v>7</v>
      </c>
      <c r="D14" s="3">
        <v>40</v>
      </c>
      <c r="E14" s="3">
        <v>436</v>
      </c>
      <c r="F14" s="3">
        <v>-1.801801802</v>
      </c>
      <c r="G14" s="19" t="s">
        <v>100</v>
      </c>
      <c r="H14" s="20">
        <v>444</v>
      </c>
      <c r="I14" s="1" t="s">
        <v>8</v>
      </c>
    </row>
    <row r="15" spans="1:10" ht="26.5" thickBot="1" x14ac:dyDescent="0.4">
      <c r="A15" s="2">
        <v>46248.644826388889</v>
      </c>
      <c r="B15" s="1" t="s">
        <v>50</v>
      </c>
      <c r="C15" s="1" t="s">
        <v>7</v>
      </c>
      <c r="D15" s="3">
        <v>5</v>
      </c>
      <c r="E15" s="3">
        <v>2938</v>
      </c>
      <c r="F15" s="3">
        <v>-1.804812834</v>
      </c>
      <c r="G15" s="19" t="s">
        <v>130</v>
      </c>
      <c r="H15" s="20">
        <v>2992</v>
      </c>
      <c r="I15" s="1" t="s">
        <v>8</v>
      </c>
    </row>
    <row r="16" spans="1:10" ht="26.5" thickBot="1" x14ac:dyDescent="0.4">
      <c r="A16" s="2">
        <v>46248.644884259258</v>
      </c>
      <c r="B16" s="1" t="s">
        <v>48</v>
      </c>
      <c r="C16" s="1" t="s">
        <v>7</v>
      </c>
      <c r="D16" s="3">
        <v>10</v>
      </c>
      <c r="E16" s="3">
        <v>223</v>
      </c>
      <c r="F16" s="3">
        <v>-1.8226644359999999</v>
      </c>
      <c r="G16" s="19" t="s">
        <v>128</v>
      </c>
      <c r="H16" s="20">
        <v>227.14</v>
      </c>
      <c r="I16" s="1" t="s">
        <v>8</v>
      </c>
    </row>
    <row r="17" spans="1:10" ht="26.5" thickBot="1" x14ac:dyDescent="0.4">
      <c r="A17" s="2">
        <v>46248.644826388889</v>
      </c>
      <c r="B17" s="1" t="s">
        <v>49</v>
      </c>
      <c r="C17" s="1" t="s">
        <v>7</v>
      </c>
      <c r="D17" s="3">
        <v>4</v>
      </c>
      <c r="E17" s="3">
        <v>1066</v>
      </c>
      <c r="F17" s="3">
        <v>-1.8416206260000001</v>
      </c>
      <c r="G17" s="19" t="s">
        <v>129</v>
      </c>
      <c r="H17" s="20">
        <v>1086</v>
      </c>
      <c r="I17" s="1" t="s">
        <v>8</v>
      </c>
    </row>
    <row r="18" spans="1:10" ht="26.5" thickBot="1" x14ac:dyDescent="0.4">
      <c r="A18" s="2">
        <v>46248.644837962966</v>
      </c>
      <c r="B18" s="1" t="s">
        <v>43</v>
      </c>
      <c r="C18" s="1" t="s">
        <v>7</v>
      </c>
      <c r="D18" s="3">
        <v>5</v>
      </c>
      <c r="E18" s="3">
        <v>1142</v>
      </c>
      <c r="F18" s="3">
        <v>-1.923737547</v>
      </c>
      <c r="G18" s="19" t="s">
        <v>123</v>
      </c>
      <c r="H18" s="20">
        <v>1164.4000000000001</v>
      </c>
      <c r="I18" s="1" t="s">
        <v>8</v>
      </c>
    </row>
    <row r="19" spans="1:10" s="25" customFormat="1" ht="39" thickBot="1" x14ac:dyDescent="0.4">
      <c r="A19" s="9">
        <v>46248.769108796296</v>
      </c>
      <c r="B19" s="10" t="s">
        <v>19</v>
      </c>
      <c r="C19" s="10" t="s">
        <v>7</v>
      </c>
      <c r="D19" s="11">
        <v>100</v>
      </c>
      <c r="E19" s="11">
        <v>217</v>
      </c>
      <c r="F19" s="11">
        <v>-2.031602709</v>
      </c>
      <c r="G19" s="23" t="s">
        <v>99</v>
      </c>
      <c r="H19" s="24">
        <v>221.5</v>
      </c>
      <c r="I19" s="10" t="s">
        <v>8</v>
      </c>
      <c r="J19" s="25" t="s">
        <v>151</v>
      </c>
    </row>
    <row r="20" spans="1:10" ht="26.5" thickBot="1" x14ac:dyDescent="0.4">
      <c r="A20" s="2">
        <v>46248.644872685189</v>
      </c>
      <c r="B20" s="1" t="s">
        <v>33</v>
      </c>
      <c r="C20" s="1" t="s">
        <v>7</v>
      </c>
      <c r="D20" s="3">
        <v>1</v>
      </c>
      <c r="E20" s="3">
        <v>19552</v>
      </c>
      <c r="F20" s="3">
        <v>-2.09313971</v>
      </c>
      <c r="G20" s="19" t="s">
        <v>113</v>
      </c>
      <c r="H20" s="20">
        <v>19970</v>
      </c>
      <c r="I20" s="1" t="s">
        <v>8</v>
      </c>
    </row>
    <row r="21" spans="1:10" ht="26.5" thickBot="1" x14ac:dyDescent="0.4">
      <c r="A21" s="2">
        <v>46364.689583333333</v>
      </c>
      <c r="B21" s="1" t="s">
        <v>21</v>
      </c>
      <c r="C21" s="1" t="s">
        <v>7</v>
      </c>
      <c r="D21" s="3">
        <v>5</v>
      </c>
      <c r="E21" s="3">
        <v>916</v>
      </c>
      <c r="F21" s="3">
        <v>-2.20720245</v>
      </c>
      <c r="G21" s="19" t="s">
        <v>101</v>
      </c>
      <c r="H21" s="20">
        <v>946.9</v>
      </c>
      <c r="I21" s="1" t="s">
        <v>8</v>
      </c>
    </row>
    <row r="22" spans="1:10" ht="26.5" thickBot="1" x14ac:dyDescent="0.4">
      <c r="A22" s="2">
        <v>46248.770914351851</v>
      </c>
      <c r="B22" s="1" t="s">
        <v>10</v>
      </c>
      <c r="C22" s="1" t="s">
        <v>7</v>
      </c>
      <c r="D22" s="3">
        <v>20</v>
      </c>
      <c r="E22" s="3">
        <v>276</v>
      </c>
      <c r="F22" s="3">
        <v>-2.2316684379999998</v>
      </c>
      <c r="G22" s="19" t="s">
        <v>90</v>
      </c>
      <c r="H22" s="20">
        <v>282.3</v>
      </c>
      <c r="I22" s="1" t="s">
        <v>8</v>
      </c>
    </row>
    <row r="23" spans="1:10" ht="26.5" thickBot="1" x14ac:dyDescent="0.4">
      <c r="A23" s="2">
        <v>46248.769120370373</v>
      </c>
      <c r="B23" s="1" t="s">
        <v>24</v>
      </c>
      <c r="C23" s="1" t="s">
        <v>7</v>
      </c>
      <c r="D23" s="3">
        <v>10</v>
      </c>
      <c r="E23" s="3">
        <v>2553</v>
      </c>
      <c r="F23" s="3">
        <v>-2.3522662080000001</v>
      </c>
      <c r="G23" s="19" t="s">
        <v>104</v>
      </c>
      <c r="H23" s="20">
        <v>2614.5</v>
      </c>
      <c r="I23" s="1" t="s">
        <v>8</v>
      </c>
    </row>
    <row r="24" spans="1:10" ht="26.5" thickBot="1" x14ac:dyDescent="0.4">
      <c r="A24" s="2">
        <v>46248.769120370373</v>
      </c>
      <c r="B24" s="1" t="s">
        <v>16</v>
      </c>
      <c r="C24" s="1" t="s">
        <v>7</v>
      </c>
      <c r="D24" s="3">
        <v>50</v>
      </c>
      <c r="E24" s="3">
        <v>203.5</v>
      </c>
      <c r="F24" s="3">
        <v>-2.4729224580000002</v>
      </c>
      <c r="G24" s="19" t="s">
        <v>96</v>
      </c>
      <c r="H24" s="20">
        <v>208.66</v>
      </c>
      <c r="I24" s="1" t="s">
        <v>8</v>
      </c>
    </row>
    <row r="25" spans="1:10" ht="15" thickBot="1" x14ac:dyDescent="0.4">
      <c r="A25" s="2">
        <v>46248.769120370373</v>
      </c>
      <c r="B25" s="1" t="s">
        <v>22</v>
      </c>
      <c r="C25" s="1" t="s">
        <v>7</v>
      </c>
      <c r="D25" s="3">
        <v>30</v>
      </c>
      <c r="E25" s="3">
        <v>286</v>
      </c>
      <c r="F25" s="3">
        <v>-2.4889191949999998</v>
      </c>
      <c r="G25" s="19" t="s">
        <v>102</v>
      </c>
      <c r="H25" s="20">
        <v>293.3</v>
      </c>
      <c r="I25" s="1" t="s">
        <v>8</v>
      </c>
    </row>
    <row r="26" spans="1:10" ht="26.5" thickBot="1" x14ac:dyDescent="0.4">
      <c r="A26" s="2">
        <v>46247.645138888889</v>
      </c>
      <c r="B26" s="1" t="s">
        <v>51</v>
      </c>
      <c r="C26" s="1" t="s">
        <v>7</v>
      </c>
      <c r="D26" s="3">
        <v>5</v>
      </c>
      <c r="E26" s="3">
        <v>702</v>
      </c>
      <c r="F26" s="3">
        <v>-2.5</v>
      </c>
      <c r="G26" s="19" t="s">
        <v>131</v>
      </c>
      <c r="H26" s="20">
        <v>720</v>
      </c>
      <c r="I26" s="1" t="s">
        <v>8</v>
      </c>
    </row>
    <row r="27" spans="1:10" ht="26.5" thickBot="1" x14ac:dyDescent="0.4">
      <c r="A27" s="2">
        <v>46248.644872685189</v>
      </c>
      <c r="B27" s="1" t="s">
        <v>34</v>
      </c>
      <c r="C27" s="1" t="s">
        <v>7</v>
      </c>
      <c r="D27" s="3">
        <v>2</v>
      </c>
      <c r="E27" s="3">
        <v>4206</v>
      </c>
      <c r="F27" s="3">
        <v>-2.5147757560000001</v>
      </c>
      <c r="G27" s="19" t="s">
        <v>114</v>
      </c>
      <c r="H27" s="20">
        <v>4314.5</v>
      </c>
      <c r="I27" s="1" t="s">
        <v>8</v>
      </c>
    </row>
    <row r="28" spans="1:10" ht="26.5" thickBot="1" x14ac:dyDescent="0.4">
      <c r="A28" s="2">
        <v>46248.769120370373</v>
      </c>
      <c r="B28" s="1" t="s">
        <v>25</v>
      </c>
      <c r="C28" s="1" t="s">
        <v>7</v>
      </c>
      <c r="D28" s="3">
        <v>50</v>
      </c>
      <c r="E28" s="3">
        <v>122</v>
      </c>
      <c r="F28" s="3">
        <v>-2.5403419079999998</v>
      </c>
      <c r="G28" s="19" t="s">
        <v>105</v>
      </c>
      <c r="H28" s="20">
        <v>125.18</v>
      </c>
      <c r="I28" s="1" t="s">
        <v>8</v>
      </c>
    </row>
    <row r="29" spans="1:10" ht="15" thickBot="1" x14ac:dyDescent="0.4">
      <c r="A29" s="2">
        <v>46248.644872685189</v>
      </c>
      <c r="B29" s="1" t="s">
        <v>47</v>
      </c>
      <c r="C29" s="1" t="s">
        <v>7</v>
      </c>
      <c r="D29" s="3">
        <v>5</v>
      </c>
      <c r="E29" s="3">
        <v>3952</v>
      </c>
      <c r="F29" s="3">
        <v>-2.5881192999999998</v>
      </c>
      <c r="G29" s="19" t="s">
        <v>127</v>
      </c>
      <c r="H29" s="20">
        <v>4057</v>
      </c>
      <c r="I29" s="1" t="s">
        <v>8</v>
      </c>
    </row>
    <row r="30" spans="1:10" ht="15" thickBot="1" x14ac:dyDescent="0.4">
      <c r="A30" s="2">
        <v>46248.644826388889</v>
      </c>
      <c r="B30" s="1" t="s">
        <v>32</v>
      </c>
      <c r="C30" s="1" t="s">
        <v>7</v>
      </c>
      <c r="D30" s="3">
        <v>10</v>
      </c>
      <c r="E30" s="3">
        <v>400</v>
      </c>
      <c r="F30" s="3">
        <v>-2.6527135560000001</v>
      </c>
      <c r="G30" s="19" t="s">
        <v>112</v>
      </c>
      <c r="H30" s="20">
        <v>410.9</v>
      </c>
      <c r="I30" s="1" t="s">
        <v>8</v>
      </c>
    </row>
    <row r="31" spans="1:10" ht="26.5" thickBot="1" x14ac:dyDescent="0.4">
      <c r="A31" s="2">
        <v>46248.769120370373</v>
      </c>
      <c r="B31" s="1" t="s">
        <v>26</v>
      </c>
      <c r="C31" s="1" t="s">
        <v>7</v>
      </c>
      <c r="D31" s="3">
        <v>5</v>
      </c>
      <c r="E31" s="3">
        <v>660</v>
      </c>
      <c r="F31" s="3">
        <v>-2.6548672569999998</v>
      </c>
      <c r="G31" s="19" t="s">
        <v>106</v>
      </c>
      <c r="H31" s="20">
        <v>678</v>
      </c>
      <c r="I31" s="1" t="s">
        <v>8</v>
      </c>
    </row>
    <row r="32" spans="1:10" ht="39" thickBot="1" x14ac:dyDescent="0.4">
      <c r="A32" s="2">
        <v>46248.644895833335</v>
      </c>
      <c r="B32" s="1" t="s">
        <v>41</v>
      </c>
      <c r="C32" s="1" t="s">
        <v>7</v>
      </c>
      <c r="D32" s="3">
        <v>10</v>
      </c>
      <c r="E32" s="3">
        <v>1452</v>
      </c>
      <c r="F32" s="3">
        <v>-2.6809651470000002</v>
      </c>
      <c r="G32" s="19" t="s">
        <v>121</v>
      </c>
      <c r="H32" s="20">
        <v>1492</v>
      </c>
      <c r="I32" s="1" t="s">
        <v>8</v>
      </c>
    </row>
    <row r="33" spans="1:10" ht="15" thickBot="1" x14ac:dyDescent="0.4">
      <c r="A33" s="2">
        <v>46248.769120370373</v>
      </c>
      <c r="B33" s="1" t="s">
        <v>15</v>
      </c>
      <c r="C33" s="1" t="s">
        <v>7</v>
      </c>
      <c r="D33" s="3">
        <v>100</v>
      </c>
      <c r="E33" s="3">
        <v>337</v>
      </c>
      <c r="F33" s="3">
        <v>-2.6995813480000002</v>
      </c>
      <c r="G33" s="19" t="s">
        <v>95</v>
      </c>
      <c r="H33" s="20">
        <v>346.35</v>
      </c>
      <c r="I33" s="1" t="s">
        <v>8</v>
      </c>
    </row>
    <row r="34" spans="1:10" ht="26.5" thickBot="1" x14ac:dyDescent="0.4">
      <c r="A34" s="2">
        <v>46248.644837962966</v>
      </c>
      <c r="B34" s="1" t="s">
        <v>43</v>
      </c>
      <c r="C34" s="1" t="s">
        <v>7</v>
      </c>
      <c r="D34" s="3">
        <v>5</v>
      </c>
      <c r="E34" s="3">
        <v>1132</v>
      </c>
      <c r="F34" s="3">
        <v>-2.782548952</v>
      </c>
      <c r="G34" s="19" t="s">
        <v>123</v>
      </c>
      <c r="H34" s="20">
        <v>1164.4000000000001</v>
      </c>
      <c r="I34" s="1" t="s">
        <v>8</v>
      </c>
    </row>
    <row r="35" spans="1:10" ht="26.5" thickBot="1" x14ac:dyDescent="0.4">
      <c r="A35" s="2">
        <v>46247.689583333333</v>
      </c>
      <c r="B35" s="1" t="s">
        <v>24</v>
      </c>
      <c r="C35" s="1" t="s">
        <v>7</v>
      </c>
      <c r="D35" s="3">
        <v>5</v>
      </c>
      <c r="E35" s="3">
        <v>2540</v>
      </c>
      <c r="F35" s="3">
        <v>-2.849493211</v>
      </c>
      <c r="G35" s="19" t="s">
        <v>104</v>
      </c>
      <c r="H35" s="20">
        <v>2614.5</v>
      </c>
      <c r="I35" s="1" t="s">
        <v>8</v>
      </c>
    </row>
    <row r="36" spans="1:10" ht="15" thickBot="1" x14ac:dyDescent="0.4">
      <c r="A36" s="2">
        <v>46247.645138888889</v>
      </c>
      <c r="B36" s="1" t="s">
        <v>47</v>
      </c>
      <c r="C36" s="1" t="s">
        <v>7</v>
      </c>
      <c r="D36" s="3">
        <v>5</v>
      </c>
      <c r="E36" s="3">
        <v>3938</v>
      </c>
      <c r="F36" s="3">
        <v>-2.9332018729999998</v>
      </c>
      <c r="G36" s="19" t="s">
        <v>127</v>
      </c>
      <c r="H36" s="20">
        <v>4057</v>
      </c>
      <c r="I36" s="1" t="s">
        <v>8</v>
      </c>
    </row>
    <row r="37" spans="1:10" ht="26.5" thickBot="1" x14ac:dyDescent="0.4">
      <c r="A37" s="2">
        <v>46364.635416666664</v>
      </c>
      <c r="B37" s="1" t="s">
        <v>48</v>
      </c>
      <c r="C37" s="1" t="s">
        <v>7</v>
      </c>
      <c r="D37" s="3">
        <v>10</v>
      </c>
      <c r="E37" s="3">
        <v>220.1</v>
      </c>
      <c r="F37" s="3">
        <v>-3.0994100549999999</v>
      </c>
      <c r="G37" s="19" t="s">
        <v>128</v>
      </c>
      <c r="H37" s="20">
        <v>227.14</v>
      </c>
      <c r="I37" s="1" t="s">
        <v>8</v>
      </c>
    </row>
    <row r="38" spans="1:10" ht="26.5" thickBot="1" x14ac:dyDescent="0.4">
      <c r="A38" s="2">
        <v>46248.635567129626</v>
      </c>
      <c r="B38" s="1" t="s">
        <v>44</v>
      </c>
      <c r="C38" s="1" t="s">
        <v>7</v>
      </c>
      <c r="D38" s="3">
        <v>3</v>
      </c>
      <c r="E38" s="3">
        <v>1302</v>
      </c>
      <c r="F38" s="3">
        <v>-3.125</v>
      </c>
      <c r="G38" s="19" t="s">
        <v>124</v>
      </c>
      <c r="H38" s="20">
        <v>1344</v>
      </c>
      <c r="I38" s="1" t="s">
        <v>8</v>
      </c>
    </row>
    <row r="39" spans="1:10" ht="15" thickBot="1" x14ac:dyDescent="0.4">
      <c r="A39" s="2">
        <v>46248.769120370373</v>
      </c>
      <c r="B39" s="1" t="s">
        <v>15</v>
      </c>
      <c r="C39" s="1" t="s">
        <v>7</v>
      </c>
      <c r="D39" s="3">
        <v>100</v>
      </c>
      <c r="E39" s="3">
        <v>335</v>
      </c>
      <c r="F39" s="3">
        <v>-3.2770319040000002</v>
      </c>
      <c r="G39" s="19" t="s">
        <v>95</v>
      </c>
      <c r="H39" s="20">
        <v>346.35</v>
      </c>
      <c r="I39" s="1" t="s">
        <v>8</v>
      </c>
    </row>
    <row r="40" spans="1:10" ht="26.5" thickBot="1" x14ac:dyDescent="0.4">
      <c r="A40" s="2">
        <v>46248.635520833333</v>
      </c>
      <c r="B40" s="1" t="s">
        <v>42</v>
      </c>
      <c r="C40" s="1" t="s">
        <v>7</v>
      </c>
      <c r="D40" s="3">
        <v>10</v>
      </c>
      <c r="E40" s="3">
        <v>1030</v>
      </c>
      <c r="F40" s="3">
        <v>-3.3317691219999999</v>
      </c>
      <c r="G40" s="19" t="s">
        <v>122</v>
      </c>
      <c r="H40" s="20">
        <v>1065.5</v>
      </c>
      <c r="I40" s="1" t="s">
        <v>8</v>
      </c>
    </row>
    <row r="41" spans="1:10" s="25" customFormat="1" ht="39" thickBot="1" x14ac:dyDescent="0.4">
      <c r="A41" s="9">
        <v>46248.769120370373</v>
      </c>
      <c r="B41" s="10" t="s">
        <v>19</v>
      </c>
      <c r="C41" s="10" t="s">
        <v>7</v>
      </c>
      <c r="D41" s="11">
        <v>150</v>
      </c>
      <c r="E41" s="11">
        <v>214</v>
      </c>
      <c r="F41" s="11">
        <v>-3.3860045150000002</v>
      </c>
      <c r="G41" s="23" t="s">
        <v>99</v>
      </c>
      <c r="H41" s="24">
        <v>221.5</v>
      </c>
      <c r="I41" s="10" t="s">
        <v>8</v>
      </c>
      <c r="J41" s="25" t="s">
        <v>151</v>
      </c>
    </row>
    <row r="42" spans="1:10" ht="26.5" thickBot="1" x14ac:dyDescent="0.4">
      <c r="A42" s="2">
        <v>46247.635416666664</v>
      </c>
      <c r="B42" s="1" t="s">
        <v>50</v>
      </c>
      <c r="C42" s="1" t="s">
        <v>7</v>
      </c>
      <c r="D42" s="3">
        <v>5</v>
      </c>
      <c r="E42" s="3">
        <v>2888</v>
      </c>
      <c r="F42" s="3">
        <v>-3.475935829</v>
      </c>
      <c r="G42" s="19" t="s">
        <v>130</v>
      </c>
      <c r="H42" s="20">
        <v>2992</v>
      </c>
      <c r="I42" s="1" t="s">
        <v>8</v>
      </c>
    </row>
    <row r="43" spans="1:10" ht="39" thickBot="1" x14ac:dyDescent="0.4">
      <c r="A43" s="2">
        <v>46248.635567129626</v>
      </c>
      <c r="B43" s="1" t="s">
        <v>41</v>
      </c>
      <c r="C43" s="1" t="s">
        <v>7</v>
      </c>
      <c r="D43" s="3">
        <v>10</v>
      </c>
      <c r="E43" s="3">
        <v>1440</v>
      </c>
      <c r="F43" s="3">
        <v>-3.4852546919999998</v>
      </c>
      <c r="G43" s="19" t="s">
        <v>121</v>
      </c>
      <c r="H43" s="20">
        <v>1492</v>
      </c>
      <c r="I43" s="1" t="s">
        <v>8</v>
      </c>
    </row>
    <row r="44" spans="1:10" ht="26.5" thickBot="1" x14ac:dyDescent="0.4">
      <c r="A44" s="2">
        <v>46248.769120370373</v>
      </c>
      <c r="B44" s="1" t="s">
        <v>16</v>
      </c>
      <c r="C44" s="1" t="s">
        <v>7</v>
      </c>
      <c r="D44" s="3">
        <v>50</v>
      </c>
      <c r="E44" s="3">
        <v>201</v>
      </c>
      <c r="F44" s="3">
        <v>-3.6710438029999999</v>
      </c>
      <c r="G44" s="19" t="s">
        <v>96</v>
      </c>
      <c r="H44" s="20">
        <v>208.66</v>
      </c>
      <c r="I44" s="1" t="s">
        <v>8</v>
      </c>
    </row>
    <row r="45" spans="1:10" ht="26.5" thickBot="1" x14ac:dyDescent="0.4">
      <c r="A45" s="2">
        <v>46248.635509259257</v>
      </c>
      <c r="B45" s="1" t="s">
        <v>28</v>
      </c>
      <c r="C45" s="1" t="s">
        <v>7</v>
      </c>
      <c r="D45" s="3">
        <v>10</v>
      </c>
      <c r="E45" s="3">
        <v>907</v>
      </c>
      <c r="F45" s="3">
        <v>-3.7154989380000001</v>
      </c>
      <c r="G45" s="19" t="s">
        <v>108</v>
      </c>
      <c r="H45" s="20">
        <v>942</v>
      </c>
      <c r="I45" s="1" t="s">
        <v>8</v>
      </c>
    </row>
    <row r="46" spans="1:10" ht="26.5" thickBot="1" x14ac:dyDescent="0.4">
      <c r="A46" s="2">
        <v>46248.635520833333</v>
      </c>
      <c r="B46" s="1" t="s">
        <v>30</v>
      </c>
      <c r="C46" s="1" t="s">
        <v>7</v>
      </c>
      <c r="D46" s="3">
        <v>5</v>
      </c>
      <c r="E46" s="3">
        <v>1188</v>
      </c>
      <c r="F46" s="3">
        <v>-3.8134564000000002</v>
      </c>
      <c r="G46" s="19" t="s">
        <v>110</v>
      </c>
      <c r="H46" s="20">
        <v>1235.0999999999999</v>
      </c>
      <c r="I46" s="1" t="s">
        <v>8</v>
      </c>
    </row>
    <row r="47" spans="1:10" ht="26.5" thickBot="1" x14ac:dyDescent="0.4">
      <c r="A47" s="2">
        <v>46248.635520833333</v>
      </c>
      <c r="B47" s="1" t="s">
        <v>35</v>
      </c>
      <c r="C47" s="1" t="s">
        <v>7</v>
      </c>
      <c r="D47" s="3">
        <v>7</v>
      </c>
      <c r="E47" s="3">
        <v>2230</v>
      </c>
      <c r="F47" s="3">
        <v>-3.8793103449999999</v>
      </c>
      <c r="G47" s="19" t="s">
        <v>115</v>
      </c>
      <c r="H47" s="20">
        <v>2320</v>
      </c>
      <c r="I47" s="1" t="s">
        <v>8</v>
      </c>
    </row>
    <row r="48" spans="1:10" ht="15" thickBot="1" x14ac:dyDescent="0.4">
      <c r="A48" s="2">
        <v>46364.635416666664</v>
      </c>
      <c r="B48" s="1" t="s">
        <v>46</v>
      </c>
      <c r="C48" s="1" t="s">
        <v>7</v>
      </c>
      <c r="D48" s="3">
        <v>3</v>
      </c>
      <c r="E48" s="3">
        <v>3310</v>
      </c>
      <c r="F48" s="3">
        <v>-3.9493920660000001</v>
      </c>
      <c r="G48" s="19" t="s">
        <v>126</v>
      </c>
      <c r="H48" s="20">
        <v>3446.1</v>
      </c>
      <c r="I48" s="1" t="s">
        <v>8</v>
      </c>
    </row>
    <row r="49" spans="1:9" ht="26.5" thickBot="1" x14ac:dyDescent="0.4">
      <c r="A49" s="2">
        <v>46247.689583333333</v>
      </c>
      <c r="B49" s="1" t="s">
        <v>24</v>
      </c>
      <c r="C49" s="1" t="s">
        <v>7</v>
      </c>
      <c r="D49" s="3">
        <v>5</v>
      </c>
      <c r="E49" s="3">
        <v>2510</v>
      </c>
      <c r="F49" s="3">
        <v>-3.9969401420000001</v>
      </c>
      <c r="G49" s="19" t="s">
        <v>104</v>
      </c>
      <c r="H49" s="20">
        <v>2614.5</v>
      </c>
      <c r="I49" s="1" t="s">
        <v>8</v>
      </c>
    </row>
    <row r="50" spans="1:9" ht="26.5" thickBot="1" x14ac:dyDescent="0.4">
      <c r="A50" s="2">
        <v>46248.771099537036</v>
      </c>
      <c r="B50" s="1" t="s">
        <v>6</v>
      </c>
      <c r="C50" s="1" t="s">
        <v>7</v>
      </c>
      <c r="D50" s="3">
        <v>5</v>
      </c>
      <c r="E50" s="3">
        <v>1964</v>
      </c>
      <c r="F50" s="3">
        <v>-4.0078201370000004</v>
      </c>
      <c r="G50" s="19" t="s">
        <v>89</v>
      </c>
      <c r="H50" s="20">
        <v>2046</v>
      </c>
      <c r="I50" s="1" t="s">
        <v>8</v>
      </c>
    </row>
    <row r="51" spans="1:9" ht="39" thickBot="1" x14ac:dyDescent="0.4">
      <c r="A51" s="2">
        <v>46248.769120370373</v>
      </c>
      <c r="B51" s="1" t="s">
        <v>20</v>
      </c>
      <c r="C51" s="1" t="s">
        <v>7</v>
      </c>
      <c r="D51" s="3">
        <v>40</v>
      </c>
      <c r="E51" s="3">
        <v>426</v>
      </c>
      <c r="F51" s="3">
        <v>-4.0540540539999999</v>
      </c>
      <c r="G51" s="19" t="s">
        <v>100</v>
      </c>
      <c r="H51" s="20">
        <v>444</v>
      </c>
      <c r="I51" s="1" t="s">
        <v>8</v>
      </c>
    </row>
    <row r="52" spans="1:9" ht="15" thickBot="1" x14ac:dyDescent="0.4">
      <c r="A52" s="2">
        <v>46248.63554398148</v>
      </c>
      <c r="B52" s="1" t="s">
        <v>29</v>
      </c>
      <c r="C52" s="1" t="s">
        <v>7</v>
      </c>
      <c r="D52" s="3">
        <v>10</v>
      </c>
      <c r="E52" s="3">
        <v>1340</v>
      </c>
      <c r="F52" s="3">
        <v>-4.1487839769999999</v>
      </c>
      <c r="G52" s="19" t="s">
        <v>109</v>
      </c>
      <c r="H52" s="20">
        <v>1398</v>
      </c>
      <c r="I52" s="1" t="s">
        <v>8</v>
      </c>
    </row>
    <row r="53" spans="1:9" ht="15" thickBot="1" x14ac:dyDescent="0.4">
      <c r="A53" s="2">
        <v>46245.635416666664</v>
      </c>
      <c r="B53" s="1" t="s">
        <v>47</v>
      </c>
      <c r="C53" s="1" t="s">
        <v>7</v>
      </c>
      <c r="D53" s="3">
        <v>5</v>
      </c>
      <c r="E53" s="3">
        <v>3888</v>
      </c>
      <c r="F53" s="3">
        <v>-4.1656396349999998</v>
      </c>
      <c r="G53" s="19" t="s">
        <v>127</v>
      </c>
      <c r="H53" s="20">
        <v>4057</v>
      </c>
      <c r="I53" s="1" t="s">
        <v>8</v>
      </c>
    </row>
    <row r="54" spans="1:9" ht="15" thickBot="1" x14ac:dyDescent="0.4">
      <c r="A54" s="2">
        <v>46246.689583333333</v>
      </c>
      <c r="B54" s="1" t="s">
        <v>22</v>
      </c>
      <c r="C54" s="1" t="s">
        <v>7</v>
      </c>
      <c r="D54" s="3">
        <v>20</v>
      </c>
      <c r="E54" s="3">
        <v>281</v>
      </c>
      <c r="F54" s="3">
        <v>-4.1936583699999996</v>
      </c>
      <c r="G54" s="19" t="s">
        <v>102</v>
      </c>
      <c r="H54" s="20">
        <v>293.3</v>
      </c>
      <c r="I54" s="1" t="s">
        <v>8</v>
      </c>
    </row>
    <row r="55" spans="1:9" ht="26.5" thickBot="1" x14ac:dyDescent="0.4">
      <c r="A55" s="2">
        <v>46248.635509259257</v>
      </c>
      <c r="B55" s="1" t="s">
        <v>45</v>
      </c>
      <c r="C55" s="1" t="s">
        <v>7</v>
      </c>
      <c r="D55" s="3">
        <v>1</v>
      </c>
      <c r="E55" s="3">
        <v>13552</v>
      </c>
      <c r="F55" s="3">
        <v>-4.2870259199999996</v>
      </c>
      <c r="G55" s="19" t="s">
        <v>125</v>
      </c>
      <c r="H55" s="20">
        <v>14159</v>
      </c>
      <c r="I55" s="1" t="s">
        <v>8</v>
      </c>
    </row>
    <row r="56" spans="1:9" ht="39" thickBot="1" x14ac:dyDescent="0.4">
      <c r="A56" s="2">
        <v>46248.769120370373</v>
      </c>
      <c r="B56" s="1" t="s">
        <v>19</v>
      </c>
      <c r="C56" s="1" t="s">
        <v>7</v>
      </c>
      <c r="D56" s="3">
        <v>50</v>
      </c>
      <c r="E56" s="3">
        <v>212</v>
      </c>
      <c r="F56" s="3">
        <v>-4.2889390519999999</v>
      </c>
      <c r="G56" s="19" t="s">
        <v>99</v>
      </c>
      <c r="H56" s="20">
        <v>221.5</v>
      </c>
      <c r="I56" s="1" t="s">
        <v>8</v>
      </c>
    </row>
    <row r="57" spans="1:9" ht="15" thickBot="1" x14ac:dyDescent="0.4">
      <c r="A57" s="2">
        <v>46248.769120370373</v>
      </c>
      <c r="B57" s="1" t="s">
        <v>15</v>
      </c>
      <c r="C57" s="1" t="s">
        <v>7</v>
      </c>
      <c r="D57" s="3">
        <v>100</v>
      </c>
      <c r="E57" s="3">
        <v>331</v>
      </c>
      <c r="F57" s="3">
        <v>-4.4319330160000003</v>
      </c>
      <c r="G57" s="19" t="s">
        <v>95</v>
      </c>
      <c r="H57" s="20">
        <v>346.35</v>
      </c>
      <c r="I57" s="1" t="s">
        <v>8</v>
      </c>
    </row>
    <row r="58" spans="1:9" ht="15" thickBot="1" x14ac:dyDescent="0.4">
      <c r="A58" s="2">
        <v>46248.63554398148</v>
      </c>
      <c r="B58" s="1" t="s">
        <v>40</v>
      </c>
      <c r="C58" s="1" t="s">
        <v>7</v>
      </c>
      <c r="D58" s="3">
        <v>9</v>
      </c>
      <c r="E58" s="3">
        <v>2251</v>
      </c>
      <c r="F58" s="3">
        <v>-4.4567062819999999</v>
      </c>
      <c r="G58" s="19" t="s">
        <v>120</v>
      </c>
      <c r="H58" s="20">
        <v>2356</v>
      </c>
      <c r="I58" s="1" t="s">
        <v>8</v>
      </c>
    </row>
    <row r="59" spans="1:9" ht="26.5" thickBot="1" x14ac:dyDescent="0.4">
      <c r="A59" s="2">
        <v>46248.770925925928</v>
      </c>
      <c r="B59" s="1" t="s">
        <v>11</v>
      </c>
      <c r="C59" s="1" t="s">
        <v>7</v>
      </c>
      <c r="D59" s="3">
        <v>60</v>
      </c>
      <c r="E59" s="3">
        <v>271</v>
      </c>
      <c r="F59" s="3">
        <v>-4.4765597460000004</v>
      </c>
      <c r="G59" s="19" t="s">
        <v>91</v>
      </c>
      <c r="H59" s="20">
        <v>283.7</v>
      </c>
      <c r="I59" s="1" t="s">
        <v>8</v>
      </c>
    </row>
    <row r="60" spans="1:9" ht="26.5" thickBot="1" x14ac:dyDescent="0.4">
      <c r="A60" s="2">
        <v>46248.635567129626</v>
      </c>
      <c r="B60" s="1" t="s">
        <v>39</v>
      </c>
      <c r="C60" s="1" t="s">
        <v>7</v>
      </c>
      <c r="D60" s="3">
        <v>50</v>
      </c>
      <c r="E60" s="3">
        <v>850</v>
      </c>
      <c r="F60" s="3">
        <v>-4.5104757629999996</v>
      </c>
      <c r="G60" s="19" t="s">
        <v>119</v>
      </c>
      <c r="H60" s="20">
        <v>890.15</v>
      </c>
      <c r="I60" s="1" t="s">
        <v>8</v>
      </c>
    </row>
    <row r="61" spans="1:9" ht="26.5" thickBot="1" x14ac:dyDescent="0.4">
      <c r="A61" s="2">
        <v>46248.63553240741</v>
      </c>
      <c r="B61" s="1" t="s">
        <v>33</v>
      </c>
      <c r="C61" s="1" t="s">
        <v>7</v>
      </c>
      <c r="D61" s="3">
        <v>1</v>
      </c>
      <c r="E61" s="3">
        <v>19052</v>
      </c>
      <c r="F61" s="3">
        <v>-4.5968953429999999</v>
      </c>
      <c r="G61" s="19" t="s">
        <v>113</v>
      </c>
      <c r="H61" s="20">
        <v>19970</v>
      </c>
      <c r="I61" s="1" t="s">
        <v>8</v>
      </c>
    </row>
    <row r="62" spans="1:9" ht="26.5" thickBot="1" x14ac:dyDescent="0.4">
      <c r="A62" s="2">
        <v>46248.635555555556</v>
      </c>
      <c r="B62" s="1" t="s">
        <v>34</v>
      </c>
      <c r="C62" s="1" t="s">
        <v>7</v>
      </c>
      <c r="D62" s="3">
        <v>4</v>
      </c>
      <c r="E62" s="3">
        <v>4110</v>
      </c>
      <c r="F62" s="3">
        <v>-4.7398308030000003</v>
      </c>
      <c r="G62" s="19" t="s">
        <v>114</v>
      </c>
      <c r="H62" s="20">
        <v>4314.5</v>
      </c>
      <c r="I62" s="1" t="s">
        <v>8</v>
      </c>
    </row>
    <row r="63" spans="1:9" ht="26.5" thickBot="1" x14ac:dyDescent="0.4">
      <c r="A63" s="2">
        <v>46247.689583333333</v>
      </c>
      <c r="B63" s="1" t="s">
        <v>24</v>
      </c>
      <c r="C63" s="1" t="s">
        <v>7</v>
      </c>
      <c r="D63" s="3">
        <v>5</v>
      </c>
      <c r="E63" s="3">
        <v>2490</v>
      </c>
      <c r="F63" s="3">
        <v>-4.7619047620000003</v>
      </c>
      <c r="G63" s="19" t="s">
        <v>104</v>
      </c>
      <c r="H63" s="20">
        <v>2614.5</v>
      </c>
      <c r="I63" s="1" t="s">
        <v>8</v>
      </c>
    </row>
    <row r="64" spans="1:9" ht="26.5" thickBot="1" x14ac:dyDescent="0.4">
      <c r="A64" s="2">
        <v>46248.635509259257</v>
      </c>
      <c r="B64" s="1" t="s">
        <v>28</v>
      </c>
      <c r="C64" s="1" t="s">
        <v>7</v>
      </c>
      <c r="D64" s="3">
        <v>40</v>
      </c>
      <c r="E64" s="3">
        <v>897</v>
      </c>
      <c r="F64" s="3">
        <v>-4.7770700640000001</v>
      </c>
      <c r="G64" s="19" t="s">
        <v>108</v>
      </c>
      <c r="H64" s="20">
        <v>942</v>
      </c>
      <c r="I64" s="1" t="s">
        <v>8</v>
      </c>
    </row>
    <row r="65" spans="1:10" s="25" customFormat="1" ht="26.5" thickBot="1" x14ac:dyDescent="0.4">
      <c r="A65" s="9">
        <v>46248.769120370373</v>
      </c>
      <c r="B65" s="10" t="s">
        <v>17</v>
      </c>
      <c r="C65" s="10" t="s">
        <v>7</v>
      </c>
      <c r="D65" s="11">
        <v>500</v>
      </c>
      <c r="E65" s="11">
        <v>33.159999999999997</v>
      </c>
      <c r="F65" s="11">
        <v>-4.7947171979999998</v>
      </c>
      <c r="G65" s="23" t="s">
        <v>97</v>
      </c>
      <c r="H65" s="24">
        <v>34.83</v>
      </c>
      <c r="I65" s="10" t="s">
        <v>8</v>
      </c>
      <c r="J65" s="25" t="s">
        <v>151</v>
      </c>
    </row>
    <row r="66" spans="1:10" ht="39" thickBot="1" x14ac:dyDescent="0.4">
      <c r="A66" s="2">
        <v>46246.635416666664</v>
      </c>
      <c r="B66" s="1" t="s">
        <v>41</v>
      </c>
      <c r="C66" s="1" t="s">
        <v>7</v>
      </c>
      <c r="D66" s="3">
        <v>10</v>
      </c>
      <c r="E66" s="3">
        <v>1420</v>
      </c>
      <c r="F66" s="3">
        <v>-4.8257372649999999</v>
      </c>
      <c r="G66" s="19" t="s">
        <v>121</v>
      </c>
      <c r="H66" s="20">
        <v>1492</v>
      </c>
      <c r="I66" s="1" t="s">
        <v>8</v>
      </c>
    </row>
    <row r="67" spans="1:10" ht="26.5" thickBot="1" x14ac:dyDescent="0.4">
      <c r="A67" s="2">
        <v>46246.689583333333</v>
      </c>
      <c r="B67" s="1" t="s">
        <v>25</v>
      </c>
      <c r="C67" s="1" t="s">
        <v>7</v>
      </c>
      <c r="D67" s="3">
        <v>50</v>
      </c>
      <c r="E67" s="3">
        <v>119</v>
      </c>
      <c r="F67" s="3">
        <v>-4.9368908769999997</v>
      </c>
      <c r="G67" s="19" t="s">
        <v>105</v>
      </c>
      <c r="H67" s="20">
        <v>125.18</v>
      </c>
      <c r="I67" s="1" t="s">
        <v>8</v>
      </c>
    </row>
    <row r="68" spans="1:10" ht="15" thickBot="1" x14ac:dyDescent="0.4">
      <c r="A68" s="4" t="s">
        <v>59</v>
      </c>
      <c r="B68" s="1" t="s">
        <v>47</v>
      </c>
      <c r="C68" s="1" t="s">
        <v>7</v>
      </c>
      <c r="D68" s="3">
        <v>2</v>
      </c>
      <c r="E68" s="3">
        <v>3856</v>
      </c>
      <c r="F68" s="3">
        <v>-4.9543998030000003</v>
      </c>
      <c r="G68" s="19" t="s">
        <v>127</v>
      </c>
      <c r="H68" s="20">
        <v>4057</v>
      </c>
      <c r="I68" s="1" t="s">
        <v>8</v>
      </c>
    </row>
    <row r="69" spans="1:10" ht="26.5" thickBot="1" x14ac:dyDescent="0.4">
      <c r="A69" s="2">
        <v>46246.635416666664</v>
      </c>
      <c r="B69" s="1" t="s">
        <v>44</v>
      </c>
      <c r="C69" s="1" t="s">
        <v>7</v>
      </c>
      <c r="D69" s="3">
        <v>69</v>
      </c>
      <c r="E69" s="3">
        <v>1277</v>
      </c>
      <c r="F69" s="3">
        <v>-4.9851190479999996</v>
      </c>
      <c r="G69" s="19" t="s">
        <v>124</v>
      </c>
      <c r="H69" s="20">
        <v>1344</v>
      </c>
      <c r="I69" s="1" t="s">
        <v>8</v>
      </c>
    </row>
    <row r="70" spans="1:10" ht="26.5" thickBot="1" x14ac:dyDescent="0.4">
      <c r="A70" s="2">
        <v>46247.689583333333</v>
      </c>
      <c r="B70" s="1" t="s">
        <v>61</v>
      </c>
      <c r="C70" s="1" t="s">
        <v>7</v>
      </c>
      <c r="D70" s="3">
        <v>5</v>
      </c>
      <c r="E70" s="3">
        <v>452</v>
      </c>
      <c r="F70" s="3">
        <v>-5.002101723</v>
      </c>
      <c r="G70" s="19" t="s">
        <v>140</v>
      </c>
      <c r="H70" s="20">
        <v>475.8</v>
      </c>
      <c r="I70" s="1" t="s">
        <v>8</v>
      </c>
    </row>
    <row r="71" spans="1:10" ht="15" thickBot="1" x14ac:dyDescent="0.4">
      <c r="A71" s="2">
        <v>46248.63554398148</v>
      </c>
      <c r="B71" s="1" t="s">
        <v>32</v>
      </c>
      <c r="C71" s="1" t="s">
        <v>7</v>
      </c>
      <c r="D71" s="3">
        <v>100</v>
      </c>
      <c r="E71" s="3">
        <v>390</v>
      </c>
      <c r="F71" s="3">
        <v>-5.0863957170000003</v>
      </c>
      <c r="G71" s="19" t="s">
        <v>112</v>
      </c>
      <c r="H71" s="20">
        <v>410.9</v>
      </c>
      <c r="I71" s="1" t="s">
        <v>8</v>
      </c>
    </row>
    <row r="72" spans="1:10" ht="26.5" thickBot="1" x14ac:dyDescent="0.4">
      <c r="A72" s="2">
        <v>46241.76458333333</v>
      </c>
      <c r="B72" s="1" t="s">
        <v>60</v>
      </c>
      <c r="C72" s="1" t="s">
        <v>7</v>
      </c>
      <c r="D72" s="3">
        <v>25</v>
      </c>
      <c r="E72" s="3">
        <v>196</v>
      </c>
      <c r="F72" s="3">
        <v>-5.4920680839999996</v>
      </c>
      <c r="G72" s="19" t="s">
        <v>139</v>
      </c>
      <c r="H72" s="20">
        <v>207.39</v>
      </c>
      <c r="I72" s="1" t="s">
        <v>8</v>
      </c>
    </row>
    <row r="73" spans="1:10" ht="39" thickBot="1" x14ac:dyDescent="0.4">
      <c r="A73" s="2">
        <v>46246.635416666664</v>
      </c>
      <c r="B73" s="1" t="s">
        <v>41</v>
      </c>
      <c r="C73" s="1" t="s">
        <v>7</v>
      </c>
      <c r="D73" s="3">
        <v>10</v>
      </c>
      <c r="E73" s="3">
        <v>1410</v>
      </c>
      <c r="F73" s="3">
        <v>-5.4959785520000004</v>
      </c>
      <c r="G73" s="19" t="s">
        <v>121</v>
      </c>
      <c r="H73" s="20">
        <v>1492</v>
      </c>
      <c r="I73" s="1" t="s">
        <v>8</v>
      </c>
    </row>
    <row r="74" spans="1:10" ht="26.5" thickBot="1" x14ac:dyDescent="0.4">
      <c r="A74" s="2">
        <v>46364.689583333333</v>
      </c>
      <c r="B74" s="1" t="s">
        <v>24</v>
      </c>
      <c r="C74" s="1" t="s">
        <v>7</v>
      </c>
      <c r="D74" s="3">
        <v>5</v>
      </c>
      <c r="E74" s="3">
        <v>2470</v>
      </c>
      <c r="F74" s="3">
        <v>-5.5268693820000001</v>
      </c>
      <c r="G74" s="19" t="s">
        <v>104</v>
      </c>
      <c r="H74" s="20">
        <v>2614.5</v>
      </c>
      <c r="I74" s="1" t="s">
        <v>8</v>
      </c>
    </row>
    <row r="75" spans="1:10" ht="15" thickBot="1" x14ac:dyDescent="0.4">
      <c r="A75" s="2">
        <v>46247.689583333333</v>
      </c>
      <c r="B75" s="1" t="s">
        <v>22</v>
      </c>
      <c r="C75" s="1" t="s">
        <v>7</v>
      </c>
      <c r="D75" s="3">
        <v>37</v>
      </c>
      <c r="E75" s="3">
        <v>277</v>
      </c>
      <c r="F75" s="3">
        <v>-5.5574497100000002</v>
      </c>
      <c r="G75" s="19" t="s">
        <v>102</v>
      </c>
      <c r="H75" s="20">
        <v>293.3</v>
      </c>
      <c r="I75" s="1" t="s">
        <v>8</v>
      </c>
    </row>
    <row r="76" spans="1:10" ht="26.5" thickBot="1" x14ac:dyDescent="0.4">
      <c r="A76" s="2">
        <v>46248.769120370373</v>
      </c>
      <c r="B76" s="1" t="s">
        <v>23</v>
      </c>
      <c r="C76" s="1" t="s">
        <v>7</v>
      </c>
      <c r="D76" s="3">
        <v>45</v>
      </c>
      <c r="E76" s="3">
        <v>136.15</v>
      </c>
      <c r="F76" s="3">
        <v>-5.5825242719999997</v>
      </c>
      <c r="G76" s="19" t="s">
        <v>103</v>
      </c>
      <c r="H76" s="20">
        <v>144.19999999999999</v>
      </c>
      <c r="I76" s="1" t="s">
        <v>8</v>
      </c>
    </row>
    <row r="77" spans="1:10" ht="15" thickBot="1" x14ac:dyDescent="0.4">
      <c r="A77" s="2">
        <v>46248.769120370373</v>
      </c>
      <c r="B77" s="1" t="s">
        <v>15</v>
      </c>
      <c r="C77" s="1" t="s">
        <v>7</v>
      </c>
      <c r="D77" s="3">
        <v>100</v>
      </c>
      <c r="E77" s="3">
        <v>327</v>
      </c>
      <c r="F77" s="3">
        <v>-5.5868341270000004</v>
      </c>
      <c r="G77" s="19" t="s">
        <v>95</v>
      </c>
      <c r="H77" s="20">
        <v>346.35</v>
      </c>
      <c r="I77" s="1" t="s">
        <v>8</v>
      </c>
    </row>
    <row r="78" spans="1:10" ht="26.5" thickBot="1" x14ac:dyDescent="0.4">
      <c r="A78" s="2">
        <v>46248.635520833333</v>
      </c>
      <c r="B78" s="1" t="s">
        <v>30</v>
      </c>
      <c r="C78" s="1" t="s">
        <v>7</v>
      </c>
      <c r="D78" s="3">
        <v>10</v>
      </c>
      <c r="E78" s="3">
        <v>1166</v>
      </c>
      <c r="F78" s="3">
        <v>-5.5946886889999998</v>
      </c>
      <c r="G78" s="19" t="s">
        <v>110</v>
      </c>
      <c r="H78" s="20">
        <v>1235.0999999999999</v>
      </c>
      <c r="I78" s="1" t="s">
        <v>8</v>
      </c>
    </row>
    <row r="79" spans="1:10" ht="15" thickBot="1" x14ac:dyDescent="0.4">
      <c r="A79" s="4" t="s">
        <v>59</v>
      </c>
      <c r="B79" s="1" t="s">
        <v>47</v>
      </c>
      <c r="C79" s="1" t="s">
        <v>7</v>
      </c>
      <c r="D79" s="3">
        <v>2</v>
      </c>
      <c r="E79" s="3">
        <v>3830</v>
      </c>
      <c r="F79" s="3">
        <v>-5.5952674389999997</v>
      </c>
      <c r="G79" s="19" t="s">
        <v>127</v>
      </c>
      <c r="H79" s="20">
        <v>4057</v>
      </c>
      <c r="I79" s="1" t="s">
        <v>8</v>
      </c>
    </row>
    <row r="80" spans="1:10" ht="26.5" thickBot="1" x14ac:dyDescent="0.4">
      <c r="A80" s="2">
        <v>46211.6875</v>
      </c>
      <c r="B80" s="1" t="s">
        <v>26</v>
      </c>
      <c r="C80" s="1" t="s">
        <v>7</v>
      </c>
      <c r="D80" s="3">
        <v>10</v>
      </c>
      <c r="E80" s="3">
        <v>640</v>
      </c>
      <c r="F80" s="3">
        <v>-5.6047197640000004</v>
      </c>
      <c r="G80" s="19" t="s">
        <v>106</v>
      </c>
      <c r="H80" s="20">
        <v>678</v>
      </c>
      <c r="I80" s="1" t="s">
        <v>8</v>
      </c>
    </row>
    <row r="81" spans="1:9" ht="26.5" thickBot="1" x14ac:dyDescent="0.4">
      <c r="A81" s="2">
        <v>46247.635416666664</v>
      </c>
      <c r="B81" s="1" t="s">
        <v>42</v>
      </c>
      <c r="C81" s="1" t="s">
        <v>7</v>
      </c>
      <c r="D81" s="3">
        <v>15</v>
      </c>
      <c r="E81" s="3">
        <v>1005</v>
      </c>
      <c r="F81" s="3">
        <v>-5.6780854060000001</v>
      </c>
      <c r="G81" s="19" t="s">
        <v>122</v>
      </c>
      <c r="H81" s="20">
        <v>1065.5</v>
      </c>
      <c r="I81" s="1" t="s">
        <v>8</v>
      </c>
    </row>
    <row r="82" spans="1:9" ht="26.5" thickBot="1" x14ac:dyDescent="0.4">
      <c r="A82" s="2">
        <v>46246.635416666664</v>
      </c>
      <c r="B82" s="1" t="s">
        <v>39</v>
      </c>
      <c r="C82" s="1" t="s">
        <v>7</v>
      </c>
      <c r="D82" s="3">
        <v>5</v>
      </c>
      <c r="E82" s="3">
        <v>838</v>
      </c>
      <c r="F82" s="3">
        <v>-5.8585631640000004</v>
      </c>
      <c r="G82" s="19" t="s">
        <v>119</v>
      </c>
      <c r="H82" s="20">
        <v>890.15</v>
      </c>
      <c r="I82" s="1" t="s">
        <v>8</v>
      </c>
    </row>
    <row r="83" spans="1:9" ht="26.5" thickBot="1" x14ac:dyDescent="0.4">
      <c r="A83" s="2">
        <v>46247.689583333333</v>
      </c>
      <c r="B83" s="1" t="s">
        <v>24</v>
      </c>
      <c r="C83" s="1" t="s">
        <v>7</v>
      </c>
      <c r="D83" s="3">
        <v>30</v>
      </c>
      <c r="E83" s="3">
        <v>2460</v>
      </c>
      <c r="F83" s="3">
        <v>-5.9093516920000004</v>
      </c>
      <c r="G83" s="19" t="s">
        <v>104</v>
      </c>
      <c r="H83" s="20">
        <v>2614.5</v>
      </c>
      <c r="I83" s="1" t="s">
        <v>8</v>
      </c>
    </row>
    <row r="84" spans="1:9" ht="26.5" thickBot="1" x14ac:dyDescent="0.4">
      <c r="A84" s="2">
        <v>46248.769120370373</v>
      </c>
      <c r="B84" s="1" t="s">
        <v>14</v>
      </c>
      <c r="C84" s="1" t="s">
        <v>7</v>
      </c>
      <c r="D84" s="3">
        <v>3</v>
      </c>
      <c r="E84" s="3">
        <v>4710</v>
      </c>
      <c r="F84" s="3">
        <v>-5.9316956259999998</v>
      </c>
      <c r="G84" s="19" t="s">
        <v>94</v>
      </c>
      <c r="H84" s="20">
        <v>5007</v>
      </c>
      <c r="I84" s="1" t="s">
        <v>8</v>
      </c>
    </row>
    <row r="85" spans="1:9" ht="26.5" thickBot="1" x14ac:dyDescent="0.4">
      <c r="A85" s="2">
        <v>46248.63553240741</v>
      </c>
      <c r="B85" s="1" t="s">
        <v>37</v>
      </c>
      <c r="C85" s="1" t="s">
        <v>7</v>
      </c>
      <c r="D85" s="3">
        <v>1</v>
      </c>
      <c r="E85" s="3">
        <v>2752</v>
      </c>
      <c r="F85" s="3">
        <v>-5.9370407079999996</v>
      </c>
      <c r="G85" s="19" t="s">
        <v>117</v>
      </c>
      <c r="H85" s="20">
        <v>2925.7</v>
      </c>
      <c r="I85" s="1" t="s">
        <v>8</v>
      </c>
    </row>
    <row r="86" spans="1:9" ht="26.5" thickBot="1" x14ac:dyDescent="0.4">
      <c r="A86" s="2">
        <v>46247.689583333333</v>
      </c>
      <c r="B86" s="1" t="s">
        <v>16</v>
      </c>
      <c r="C86" s="1" t="s">
        <v>7</v>
      </c>
      <c r="D86" s="3">
        <v>50</v>
      </c>
      <c r="E86" s="3">
        <v>196</v>
      </c>
      <c r="F86" s="3">
        <v>-6.0672864950000003</v>
      </c>
      <c r="G86" s="19" t="s">
        <v>96</v>
      </c>
      <c r="H86" s="20">
        <v>208.66</v>
      </c>
      <c r="I86" s="1" t="s">
        <v>8</v>
      </c>
    </row>
    <row r="87" spans="1:9" ht="26.5" thickBot="1" x14ac:dyDescent="0.4">
      <c r="A87" s="2">
        <v>46248.635567129626</v>
      </c>
      <c r="B87" s="1" t="s">
        <v>39</v>
      </c>
      <c r="C87" s="1" t="s">
        <v>7</v>
      </c>
      <c r="D87" s="3">
        <v>25</v>
      </c>
      <c r="E87" s="3">
        <v>836</v>
      </c>
      <c r="F87" s="3">
        <v>-6.0832443969999996</v>
      </c>
      <c r="G87" s="19" t="s">
        <v>119</v>
      </c>
      <c r="H87" s="20">
        <v>890.15</v>
      </c>
      <c r="I87" s="1" t="s">
        <v>8</v>
      </c>
    </row>
    <row r="88" spans="1:9" ht="15" thickBot="1" x14ac:dyDescent="0.4">
      <c r="A88" s="4" t="s">
        <v>59</v>
      </c>
      <c r="B88" s="1" t="s">
        <v>47</v>
      </c>
      <c r="C88" s="1" t="s">
        <v>7</v>
      </c>
      <c r="D88" s="3">
        <v>3</v>
      </c>
      <c r="E88" s="3">
        <v>3810</v>
      </c>
      <c r="F88" s="3">
        <v>-6.0882425439999999</v>
      </c>
      <c r="G88" s="19" t="s">
        <v>127</v>
      </c>
      <c r="H88" s="20">
        <v>4057</v>
      </c>
      <c r="I88" s="1" t="s">
        <v>8</v>
      </c>
    </row>
    <row r="89" spans="1:9" ht="26.5" thickBot="1" x14ac:dyDescent="0.4">
      <c r="A89" s="2">
        <v>46248.771099537036</v>
      </c>
      <c r="B89" s="1" t="s">
        <v>6</v>
      </c>
      <c r="C89" s="1" t="s">
        <v>7</v>
      </c>
      <c r="D89" s="3">
        <v>5</v>
      </c>
      <c r="E89" s="3">
        <v>1914</v>
      </c>
      <c r="F89" s="3">
        <v>-6.451612903</v>
      </c>
      <c r="G89" s="19" t="s">
        <v>89</v>
      </c>
      <c r="H89" s="20">
        <v>2046</v>
      </c>
      <c r="I89" s="1" t="s">
        <v>8</v>
      </c>
    </row>
    <row r="90" spans="1:9" ht="26.5" thickBot="1" x14ac:dyDescent="0.4">
      <c r="A90" s="2">
        <v>46239.635416666664</v>
      </c>
      <c r="B90" s="1" t="s">
        <v>28</v>
      </c>
      <c r="C90" s="1" t="s">
        <v>7</v>
      </c>
      <c r="D90" s="3">
        <v>40</v>
      </c>
      <c r="E90" s="3">
        <v>878</v>
      </c>
      <c r="F90" s="3">
        <v>-6.794055202</v>
      </c>
      <c r="G90" s="19" t="s">
        <v>108</v>
      </c>
      <c r="H90" s="20">
        <v>942</v>
      </c>
      <c r="I90" s="1" t="s">
        <v>8</v>
      </c>
    </row>
    <row r="91" spans="1:9" ht="15" thickBot="1" x14ac:dyDescent="0.4">
      <c r="A91" s="2">
        <v>46248.63554398148</v>
      </c>
      <c r="B91" s="1" t="s">
        <v>29</v>
      </c>
      <c r="C91" s="1" t="s">
        <v>7</v>
      </c>
      <c r="D91" s="3">
        <v>10</v>
      </c>
      <c r="E91" s="3">
        <v>1303</v>
      </c>
      <c r="F91" s="3">
        <v>-6.7954220310000002</v>
      </c>
      <c r="G91" s="19" t="s">
        <v>109</v>
      </c>
      <c r="H91" s="20">
        <v>1398</v>
      </c>
      <c r="I91" s="1" t="s">
        <v>8</v>
      </c>
    </row>
    <row r="92" spans="1:9" ht="26.5" thickBot="1" x14ac:dyDescent="0.4">
      <c r="A92" s="2">
        <v>46334.692361111112</v>
      </c>
      <c r="B92" s="1" t="s">
        <v>21</v>
      </c>
      <c r="C92" s="1" t="s">
        <v>7</v>
      </c>
      <c r="D92" s="3">
        <v>11</v>
      </c>
      <c r="E92" s="3">
        <v>882</v>
      </c>
      <c r="F92" s="3">
        <v>-6.8539444500000002</v>
      </c>
      <c r="G92" s="19" t="s">
        <v>101</v>
      </c>
      <c r="H92" s="20">
        <v>946.9</v>
      </c>
      <c r="I92" s="1" t="s">
        <v>8</v>
      </c>
    </row>
    <row r="93" spans="1:9" ht="26.5" thickBot="1" x14ac:dyDescent="0.4">
      <c r="A93" s="2">
        <v>46247.689583333333</v>
      </c>
      <c r="B93" s="1" t="s">
        <v>24</v>
      </c>
      <c r="C93" s="1" t="s">
        <v>7</v>
      </c>
      <c r="D93" s="3">
        <v>30</v>
      </c>
      <c r="E93" s="3">
        <v>2435</v>
      </c>
      <c r="F93" s="3">
        <v>-6.8655574680000004</v>
      </c>
      <c r="G93" s="19" t="s">
        <v>104</v>
      </c>
      <c r="H93" s="20">
        <v>2614.5</v>
      </c>
      <c r="I93" s="1" t="s">
        <v>8</v>
      </c>
    </row>
    <row r="94" spans="1:9" ht="39" thickBot="1" x14ac:dyDescent="0.4">
      <c r="A94" s="2">
        <v>46241.6875</v>
      </c>
      <c r="B94" s="1" t="s">
        <v>19</v>
      </c>
      <c r="C94" s="1" t="s">
        <v>7</v>
      </c>
      <c r="D94" s="3">
        <v>50</v>
      </c>
      <c r="E94" s="3">
        <v>206</v>
      </c>
      <c r="F94" s="3">
        <v>-6.9977426639999996</v>
      </c>
      <c r="G94" s="19" t="s">
        <v>99</v>
      </c>
      <c r="H94" s="20">
        <v>221.5</v>
      </c>
      <c r="I94" s="1" t="s">
        <v>8</v>
      </c>
    </row>
    <row r="95" spans="1:9" ht="15" thickBot="1" x14ac:dyDescent="0.4">
      <c r="A95" s="2">
        <v>46245.693055555559</v>
      </c>
      <c r="B95" s="1" t="s">
        <v>15</v>
      </c>
      <c r="C95" s="1" t="s">
        <v>7</v>
      </c>
      <c r="D95" s="3">
        <v>100</v>
      </c>
      <c r="E95" s="3">
        <v>322</v>
      </c>
      <c r="F95" s="3">
        <v>-7.0304605169999999</v>
      </c>
      <c r="G95" s="19" t="s">
        <v>95</v>
      </c>
      <c r="H95" s="20">
        <v>346.35</v>
      </c>
      <c r="I95" s="1" t="s">
        <v>8</v>
      </c>
    </row>
    <row r="96" spans="1:9" ht="26.5" thickBot="1" x14ac:dyDescent="0.4">
      <c r="A96" s="2">
        <v>46248.63553240741</v>
      </c>
      <c r="B96" s="1" t="s">
        <v>36</v>
      </c>
      <c r="C96" s="1" t="s">
        <v>7</v>
      </c>
      <c r="D96" s="3">
        <v>7</v>
      </c>
      <c r="E96" s="3">
        <v>2401</v>
      </c>
      <c r="F96" s="3">
        <v>-7.0424716399999996</v>
      </c>
      <c r="G96" s="19" t="s">
        <v>116</v>
      </c>
      <c r="H96" s="20">
        <v>2582.9</v>
      </c>
      <c r="I96" s="1" t="s">
        <v>8</v>
      </c>
    </row>
    <row r="97" spans="1:9" ht="26.5" thickBot="1" x14ac:dyDescent="0.4">
      <c r="A97" s="4" t="s">
        <v>59</v>
      </c>
      <c r="B97" s="1" t="s">
        <v>34</v>
      </c>
      <c r="C97" s="1" t="s">
        <v>7</v>
      </c>
      <c r="D97" s="3">
        <v>2</v>
      </c>
      <c r="E97" s="3">
        <v>4010</v>
      </c>
      <c r="F97" s="3">
        <v>-7.0575964769999997</v>
      </c>
      <c r="G97" s="19" t="s">
        <v>114</v>
      </c>
      <c r="H97" s="20">
        <v>4314.5</v>
      </c>
      <c r="I97" s="1" t="s">
        <v>8</v>
      </c>
    </row>
    <row r="98" spans="1:9" ht="26.5" thickBot="1" x14ac:dyDescent="0.4">
      <c r="A98" s="2">
        <v>46247.635416666664</v>
      </c>
      <c r="B98" s="1" t="s">
        <v>33</v>
      </c>
      <c r="C98" s="1" t="s">
        <v>7</v>
      </c>
      <c r="D98" s="3">
        <v>1</v>
      </c>
      <c r="E98" s="3">
        <v>18552</v>
      </c>
      <c r="F98" s="3">
        <v>-7.1006509759999998</v>
      </c>
      <c r="G98" s="19" t="s">
        <v>113</v>
      </c>
      <c r="H98" s="20">
        <v>19970</v>
      </c>
      <c r="I98" s="1" t="s">
        <v>8</v>
      </c>
    </row>
    <row r="99" spans="1:9" ht="15" thickBot="1" x14ac:dyDescent="0.4">
      <c r="A99" s="4" t="s">
        <v>59</v>
      </c>
      <c r="B99" s="1" t="s">
        <v>47</v>
      </c>
      <c r="C99" s="1" t="s">
        <v>7</v>
      </c>
      <c r="D99" s="3">
        <v>2</v>
      </c>
      <c r="E99" s="3">
        <v>3760</v>
      </c>
      <c r="F99" s="3">
        <v>-7.3206803059999999</v>
      </c>
      <c r="G99" s="19" t="s">
        <v>127</v>
      </c>
      <c r="H99" s="20">
        <v>4057</v>
      </c>
      <c r="I99" s="1" t="s">
        <v>8</v>
      </c>
    </row>
    <row r="100" spans="1:9" ht="26.5" thickBot="1" x14ac:dyDescent="0.4">
      <c r="A100" s="2">
        <v>46245.693055555559</v>
      </c>
      <c r="B100" s="1" t="s">
        <v>25</v>
      </c>
      <c r="C100" s="1" t="s">
        <v>7</v>
      </c>
      <c r="D100" s="3">
        <v>50</v>
      </c>
      <c r="E100" s="3">
        <v>116</v>
      </c>
      <c r="F100" s="3">
        <v>-7.3334398470000002</v>
      </c>
      <c r="G100" s="19" t="s">
        <v>105</v>
      </c>
      <c r="H100" s="20">
        <v>125.18</v>
      </c>
      <c r="I100" s="1" t="s">
        <v>8</v>
      </c>
    </row>
    <row r="101" spans="1:9" ht="15" thickBot="1" x14ac:dyDescent="0.4">
      <c r="A101" s="2">
        <v>46248.63553240741</v>
      </c>
      <c r="B101" s="1" t="s">
        <v>38</v>
      </c>
      <c r="C101" s="1" t="s">
        <v>7</v>
      </c>
      <c r="D101" s="3">
        <v>1</v>
      </c>
      <c r="E101" s="3">
        <v>4640</v>
      </c>
      <c r="F101" s="3">
        <v>-7.4923242549999998</v>
      </c>
      <c r="G101" s="19" t="s">
        <v>118</v>
      </c>
      <c r="H101" s="20">
        <v>5015.8</v>
      </c>
      <c r="I101" s="1" t="s">
        <v>8</v>
      </c>
    </row>
    <row r="102" spans="1:9" ht="26.5" thickBot="1" x14ac:dyDescent="0.4">
      <c r="A102" s="2">
        <v>46364.635416666664</v>
      </c>
      <c r="B102" s="1" t="s">
        <v>45</v>
      </c>
      <c r="C102" s="1" t="s">
        <v>7</v>
      </c>
      <c r="D102" s="3">
        <v>1</v>
      </c>
      <c r="E102" s="3">
        <v>13052</v>
      </c>
      <c r="F102" s="3">
        <v>-7.8183487530000004</v>
      </c>
      <c r="G102" s="19" t="s">
        <v>125</v>
      </c>
      <c r="H102" s="20">
        <v>14159</v>
      </c>
      <c r="I102" s="1" t="s">
        <v>8</v>
      </c>
    </row>
    <row r="103" spans="1:9" ht="26.5" thickBot="1" x14ac:dyDescent="0.4">
      <c r="A103" s="2">
        <v>46245.693055555559</v>
      </c>
      <c r="B103" s="1" t="s">
        <v>25</v>
      </c>
      <c r="C103" s="1" t="s">
        <v>7</v>
      </c>
      <c r="D103" s="3">
        <v>200</v>
      </c>
      <c r="E103" s="3">
        <v>115.25</v>
      </c>
      <c r="F103" s="3">
        <v>-7.9325770889999996</v>
      </c>
      <c r="G103" s="19" t="s">
        <v>105</v>
      </c>
      <c r="H103" s="20">
        <v>125.18</v>
      </c>
      <c r="I103" s="1" t="s">
        <v>8</v>
      </c>
    </row>
    <row r="104" spans="1:9" ht="26.5" thickBot="1" x14ac:dyDescent="0.4">
      <c r="A104" s="2">
        <v>46246.635416666664</v>
      </c>
      <c r="B104" s="1" t="s">
        <v>36</v>
      </c>
      <c r="C104" s="1" t="s">
        <v>7</v>
      </c>
      <c r="D104" s="3">
        <v>8</v>
      </c>
      <c r="E104" s="3">
        <v>2370</v>
      </c>
      <c r="F104" s="3">
        <v>-8.2426729640000005</v>
      </c>
      <c r="G104" s="19" t="s">
        <v>116</v>
      </c>
      <c r="H104" s="20">
        <v>2582.9</v>
      </c>
      <c r="I104" s="1" t="s">
        <v>8</v>
      </c>
    </row>
    <row r="105" spans="1:9" ht="39" thickBot="1" x14ac:dyDescent="0.4">
      <c r="A105" s="2">
        <v>46241.765277777777</v>
      </c>
      <c r="B105" s="1" t="s">
        <v>63</v>
      </c>
      <c r="C105" s="1" t="s">
        <v>7</v>
      </c>
      <c r="D105" s="3">
        <v>4</v>
      </c>
      <c r="E105" s="3">
        <v>1751</v>
      </c>
      <c r="F105" s="3">
        <v>-8.3246073299999992</v>
      </c>
      <c r="G105" s="19" t="s">
        <v>142</v>
      </c>
      <c r="H105" s="20">
        <v>1910</v>
      </c>
      <c r="I105" s="1" t="s">
        <v>8</v>
      </c>
    </row>
    <row r="106" spans="1:9" ht="26.5" thickBot="1" x14ac:dyDescent="0.4">
      <c r="A106" s="2">
        <v>46246.635416666664</v>
      </c>
      <c r="B106" s="1" t="s">
        <v>30</v>
      </c>
      <c r="C106" s="1" t="s">
        <v>7</v>
      </c>
      <c r="D106" s="3">
        <v>10</v>
      </c>
      <c r="E106" s="3">
        <v>1132</v>
      </c>
      <c r="F106" s="3">
        <v>-8.3475022269999997</v>
      </c>
      <c r="G106" s="19" t="s">
        <v>110</v>
      </c>
      <c r="H106" s="20">
        <v>1235.0999999999999</v>
      </c>
      <c r="I106" s="1" t="s">
        <v>8</v>
      </c>
    </row>
    <row r="107" spans="1:9" ht="15" thickBot="1" x14ac:dyDescent="0.4">
      <c r="A107" s="2">
        <v>46246.635416666664</v>
      </c>
      <c r="B107" s="1" t="s">
        <v>29</v>
      </c>
      <c r="C107" s="1" t="s">
        <v>7</v>
      </c>
      <c r="D107" s="3">
        <v>10</v>
      </c>
      <c r="E107" s="3">
        <v>1280</v>
      </c>
      <c r="F107" s="3">
        <v>-8.4406294709999994</v>
      </c>
      <c r="G107" s="19" t="s">
        <v>109</v>
      </c>
      <c r="H107" s="20">
        <v>1398</v>
      </c>
      <c r="I107" s="1" t="s">
        <v>8</v>
      </c>
    </row>
    <row r="108" spans="1:9" ht="26.5" thickBot="1" x14ac:dyDescent="0.4">
      <c r="A108" s="2">
        <v>46246.644444444442</v>
      </c>
      <c r="B108" s="1" t="s">
        <v>28</v>
      </c>
      <c r="C108" s="1" t="s">
        <v>7</v>
      </c>
      <c r="D108" s="3">
        <v>40</v>
      </c>
      <c r="E108" s="3">
        <v>862</v>
      </c>
      <c r="F108" s="3">
        <v>-8.4925690019999998</v>
      </c>
      <c r="G108" s="19" t="s">
        <v>108</v>
      </c>
      <c r="H108" s="20">
        <v>942</v>
      </c>
      <c r="I108" s="1" t="s">
        <v>8</v>
      </c>
    </row>
    <row r="109" spans="1:9" ht="26.5" thickBot="1" x14ac:dyDescent="0.4">
      <c r="A109" s="2">
        <v>46241.6875</v>
      </c>
      <c r="B109" s="1" t="s">
        <v>26</v>
      </c>
      <c r="C109" s="1" t="s">
        <v>7</v>
      </c>
      <c r="D109" s="3">
        <v>20</v>
      </c>
      <c r="E109" s="3">
        <v>620</v>
      </c>
      <c r="F109" s="3">
        <v>-8.5545722709999996</v>
      </c>
      <c r="G109" s="19" t="s">
        <v>106</v>
      </c>
      <c r="H109" s="20">
        <v>678</v>
      </c>
      <c r="I109" s="1" t="s">
        <v>8</v>
      </c>
    </row>
    <row r="110" spans="1:9" ht="26.5" thickBot="1" x14ac:dyDescent="0.4">
      <c r="A110" s="2">
        <v>46240.6875</v>
      </c>
      <c r="B110" s="1" t="s">
        <v>26</v>
      </c>
      <c r="C110" s="1" t="s">
        <v>7</v>
      </c>
      <c r="D110" s="3">
        <v>30</v>
      </c>
      <c r="E110" s="3">
        <v>620</v>
      </c>
      <c r="F110" s="3">
        <v>-8.5545722709999996</v>
      </c>
      <c r="G110" s="19" t="s">
        <v>106</v>
      </c>
      <c r="H110" s="20">
        <v>678</v>
      </c>
      <c r="I110" s="1" t="s">
        <v>8</v>
      </c>
    </row>
    <row r="111" spans="1:9" ht="26.5" thickBot="1" x14ac:dyDescent="0.4">
      <c r="A111" s="4" t="s">
        <v>59</v>
      </c>
      <c r="B111" s="1" t="s">
        <v>39</v>
      </c>
      <c r="C111" s="1" t="s">
        <v>7</v>
      </c>
      <c r="D111" s="3">
        <v>5</v>
      </c>
      <c r="E111" s="3">
        <v>812</v>
      </c>
      <c r="F111" s="3">
        <v>-8.7794191989999995</v>
      </c>
      <c r="G111" s="19" t="s">
        <v>119</v>
      </c>
      <c r="H111" s="20">
        <v>890.15</v>
      </c>
      <c r="I111" s="1" t="s">
        <v>8</v>
      </c>
    </row>
    <row r="112" spans="1:9" ht="26.5" thickBot="1" x14ac:dyDescent="0.4">
      <c r="A112" s="2">
        <v>46247.689583333333</v>
      </c>
      <c r="B112" s="1" t="s">
        <v>6</v>
      </c>
      <c r="C112" s="1" t="s">
        <v>7</v>
      </c>
      <c r="D112" s="3">
        <v>5</v>
      </c>
      <c r="E112" s="3">
        <v>1864</v>
      </c>
      <c r="F112" s="3">
        <v>-8.8954056700000006</v>
      </c>
      <c r="G112" s="19" t="s">
        <v>89</v>
      </c>
      <c r="H112" s="20">
        <v>2046</v>
      </c>
      <c r="I112" s="1" t="s">
        <v>8</v>
      </c>
    </row>
    <row r="113" spans="1:9" ht="26.5" thickBot="1" x14ac:dyDescent="0.4">
      <c r="A113" s="2">
        <v>46334.635416666664</v>
      </c>
      <c r="B113" s="1" t="s">
        <v>37</v>
      </c>
      <c r="C113" s="1" t="s">
        <v>7</v>
      </c>
      <c r="D113" s="3">
        <v>2</v>
      </c>
      <c r="E113" s="3">
        <v>2660</v>
      </c>
      <c r="F113" s="3">
        <v>-9.0815873119999999</v>
      </c>
      <c r="G113" s="19" t="s">
        <v>117</v>
      </c>
      <c r="H113" s="20">
        <v>2925.7</v>
      </c>
      <c r="I113" s="1" t="s">
        <v>8</v>
      </c>
    </row>
    <row r="114" spans="1:9" ht="15" thickBot="1" x14ac:dyDescent="0.4">
      <c r="A114" s="2">
        <v>46211.635416666664</v>
      </c>
      <c r="B114" s="1" t="s">
        <v>38</v>
      </c>
      <c r="C114" s="1" t="s">
        <v>7</v>
      </c>
      <c r="D114" s="3">
        <v>1</v>
      </c>
      <c r="E114" s="3">
        <v>4560</v>
      </c>
      <c r="F114" s="3">
        <v>-9.0872841819999994</v>
      </c>
      <c r="G114" s="19" t="s">
        <v>118</v>
      </c>
      <c r="H114" s="20">
        <v>5015.8</v>
      </c>
      <c r="I114" s="1" t="s">
        <v>8</v>
      </c>
    </row>
    <row r="115" spans="1:9" ht="26.5" thickBot="1" x14ac:dyDescent="0.4">
      <c r="A115" s="2">
        <v>46334.692361111112</v>
      </c>
      <c r="B115" s="1" t="s">
        <v>21</v>
      </c>
      <c r="C115" s="1" t="s">
        <v>7</v>
      </c>
      <c r="D115" s="3">
        <v>30</v>
      </c>
      <c r="E115" s="3">
        <v>860</v>
      </c>
      <c r="F115" s="3">
        <v>-9.17731545</v>
      </c>
      <c r="G115" s="19" t="s">
        <v>101</v>
      </c>
      <c r="H115" s="20">
        <v>946.9</v>
      </c>
      <c r="I115" s="1" t="s">
        <v>8</v>
      </c>
    </row>
    <row r="116" spans="1:9" ht="15" thickBot="1" x14ac:dyDescent="0.4">
      <c r="A116" s="2">
        <v>46248.770914351851</v>
      </c>
      <c r="B116" s="1" t="s">
        <v>12</v>
      </c>
      <c r="C116" s="1" t="s">
        <v>7</v>
      </c>
      <c r="D116" s="3">
        <v>5</v>
      </c>
      <c r="E116" s="3">
        <v>604</v>
      </c>
      <c r="F116" s="3">
        <v>-9.4113235849999999</v>
      </c>
      <c r="G116" s="19" t="s">
        <v>92</v>
      </c>
      <c r="H116" s="20">
        <v>666.75</v>
      </c>
      <c r="I116" s="1" t="s">
        <v>8</v>
      </c>
    </row>
    <row r="117" spans="1:9" ht="15" thickBot="1" x14ac:dyDescent="0.4">
      <c r="A117" s="4" t="s">
        <v>59</v>
      </c>
      <c r="B117" s="1" t="s">
        <v>62</v>
      </c>
      <c r="C117" s="1" t="s">
        <v>7</v>
      </c>
      <c r="D117" s="3">
        <v>1</v>
      </c>
      <c r="E117" s="3">
        <v>6920</v>
      </c>
      <c r="F117" s="3">
        <v>-9.5424836600000003</v>
      </c>
      <c r="G117" s="19" t="s">
        <v>141</v>
      </c>
      <c r="H117" s="20">
        <v>7650</v>
      </c>
      <c r="I117" s="1" t="s">
        <v>8</v>
      </c>
    </row>
    <row r="118" spans="1:9" ht="26.5" thickBot="1" x14ac:dyDescent="0.4">
      <c r="A118" s="2">
        <v>46247.635416666664</v>
      </c>
      <c r="B118" s="1" t="s">
        <v>33</v>
      </c>
      <c r="C118" s="1" t="s">
        <v>7</v>
      </c>
      <c r="D118" s="3">
        <v>1</v>
      </c>
      <c r="E118" s="3">
        <v>18052</v>
      </c>
      <c r="F118" s="3">
        <v>-9.6044066099999998</v>
      </c>
      <c r="G118" s="19" t="s">
        <v>113</v>
      </c>
      <c r="H118" s="20">
        <v>19970</v>
      </c>
      <c r="I118" s="1" t="s">
        <v>8</v>
      </c>
    </row>
    <row r="119" spans="1:9" ht="15" thickBot="1" x14ac:dyDescent="0.4">
      <c r="A119" s="2">
        <v>46246.635416666664</v>
      </c>
      <c r="B119" s="1" t="s">
        <v>29</v>
      </c>
      <c r="C119" s="1" t="s">
        <v>7</v>
      </c>
      <c r="D119" s="3">
        <v>10</v>
      </c>
      <c r="E119" s="3">
        <v>1260</v>
      </c>
      <c r="F119" s="3">
        <v>-9.871244635</v>
      </c>
      <c r="G119" s="19" t="s">
        <v>109</v>
      </c>
      <c r="H119" s="20">
        <v>1398</v>
      </c>
      <c r="I119" s="1" t="s">
        <v>8</v>
      </c>
    </row>
    <row r="120" spans="1:9" ht="26.5" thickBot="1" x14ac:dyDescent="0.4">
      <c r="A120" s="2">
        <v>46334.692361111112</v>
      </c>
      <c r="B120" s="1" t="s">
        <v>21</v>
      </c>
      <c r="C120" s="1" t="s">
        <v>7</v>
      </c>
      <c r="D120" s="3">
        <v>5</v>
      </c>
      <c r="E120" s="3">
        <v>852</v>
      </c>
      <c r="F120" s="3">
        <v>-10.02217763</v>
      </c>
      <c r="G120" s="19" t="s">
        <v>101</v>
      </c>
      <c r="H120" s="20">
        <v>946.9</v>
      </c>
      <c r="I120" s="1" t="s">
        <v>8</v>
      </c>
    </row>
    <row r="121" spans="1:9" ht="26.5" thickBot="1" x14ac:dyDescent="0.4">
      <c r="A121" s="2">
        <v>46248.769120370373</v>
      </c>
      <c r="B121" s="1" t="s">
        <v>13</v>
      </c>
      <c r="C121" s="1" t="s">
        <v>7</v>
      </c>
      <c r="D121" s="3">
        <v>10</v>
      </c>
      <c r="E121" s="3">
        <v>1666</v>
      </c>
      <c r="F121" s="3">
        <v>-10.18867925</v>
      </c>
      <c r="G121" s="19" t="s">
        <v>93</v>
      </c>
      <c r="H121" s="20">
        <v>1855</v>
      </c>
      <c r="I121" s="1" t="s">
        <v>8</v>
      </c>
    </row>
    <row r="122" spans="1:9" ht="15" thickBot="1" x14ac:dyDescent="0.4">
      <c r="A122" s="2">
        <v>46246.635416666664</v>
      </c>
      <c r="B122" s="1" t="s">
        <v>29</v>
      </c>
      <c r="C122" s="1" t="s">
        <v>7</v>
      </c>
      <c r="D122" s="3">
        <v>10</v>
      </c>
      <c r="E122" s="3">
        <v>1251</v>
      </c>
      <c r="F122" s="3">
        <v>-10.51502146</v>
      </c>
      <c r="G122" s="19" t="s">
        <v>109</v>
      </c>
      <c r="H122" s="20">
        <v>1398</v>
      </c>
      <c r="I122" s="1" t="s">
        <v>8</v>
      </c>
    </row>
    <row r="123" spans="1:9" ht="26.5" thickBot="1" x14ac:dyDescent="0.4">
      <c r="A123" s="2">
        <v>46246.689583333333</v>
      </c>
      <c r="B123" s="1" t="s">
        <v>17</v>
      </c>
      <c r="C123" s="1" t="s">
        <v>7</v>
      </c>
      <c r="D123" s="3">
        <v>200</v>
      </c>
      <c r="E123" s="3">
        <v>31.01</v>
      </c>
      <c r="F123" s="3">
        <v>-10.967556699999999</v>
      </c>
      <c r="G123" s="19" t="s">
        <v>97</v>
      </c>
      <c r="H123" s="20">
        <v>34.83</v>
      </c>
      <c r="I123" s="1" t="s">
        <v>8</v>
      </c>
    </row>
    <row r="124" spans="1:9" ht="15" thickBot="1" x14ac:dyDescent="0.4">
      <c r="A124" s="2">
        <v>46240.635416666664</v>
      </c>
      <c r="B124" s="1" t="s">
        <v>38</v>
      </c>
      <c r="C124" s="1" t="s">
        <v>7</v>
      </c>
      <c r="D124" s="3">
        <v>2</v>
      </c>
      <c r="E124" s="3">
        <v>4456</v>
      </c>
      <c r="F124" s="3">
        <v>-11.16073209</v>
      </c>
      <c r="G124" s="19" t="s">
        <v>118</v>
      </c>
      <c r="H124" s="20">
        <v>5015.8</v>
      </c>
      <c r="I124" s="1" t="s">
        <v>8</v>
      </c>
    </row>
    <row r="125" spans="1:9" ht="26.5" thickBot="1" x14ac:dyDescent="0.4">
      <c r="A125" s="2">
        <v>46181.6875</v>
      </c>
      <c r="B125" s="1" t="s">
        <v>25</v>
      </c>
      <c r="C125" s="1" t="s">
        <v>7</v>
      </c>
      <c r="D125" s="3">
        <v>100</v>
      </c>
      <c r="E125" s="3">
        <v>111</v>
      </c>
      <c r="F125" s="3">
        <v>-11.32768813</v>
      </c>
      <c r="G125" s="19" t="s">
        <v>105</v>
      </c>
      <c r="H125" s="20">
        <v>125.18</v>
      </c>
      <c r="I125" s="1" t="s">
        <v>8</v>
      </c>
    </row>
    <row r="126" spans="1:9" ht="26.5" thickBot="1" x14ac:dyDescent="0.4">
      <c r="A126" s="4" t="s">
        <v>59</v>
      </c>
      <c r="B126" s="1" t="s">
        <v>11</v>
      </c>
      <c r="C126" s="1" t="s">
        <v>7</v>
      </c>
      <c r="D126" s="3">
        <v>10</v>
      </c>
      <c r="E126" s="3">
        <v>251</v>
      </c>
      <c r="F126" s="3">
        <v>-11.526260130000001</v>
      </c>
      <c r="G126" s="19" t="s">
        <v>91</v>
      </c>
      <c r="H126" s="20">
        <v>283.7</v>
      </c>
      <c r="I126" s="1" t="s">
        <v>8</v>
      </c>
    </row>
    <row r="127" spans="1:9" ht="26.5" thickBot="1" x14ac:dyDescent="0.4">
      <c r="A127" s="4" t="s">
        <v>59</v>
      </c>
      <c r="B127" s="1" t="s">
        <v>64</v>
      </c>
      <c r="C127" s="1" t="s">
        <v>7</v>
      </c>
      <c r="D127" s="3">
        <v>4</v>
      </c>
      <c r="E127" s="3">
        <v>701</v>
      </c>
      <c r="F127" s="3">
        <v>-11.7795117</v>
      </c>
      <c r="G127" s="19" t="s">
        <v>143</v>
      </c>
      <c r="H127" s="20">
        <v>794.6</v>
      </c>
      <c r="I127" s="1" t="s">
        <v>8</v>
      </c>
    </row>
    <row r="128" spans="1:9" ht="26.5" thickBot="1" x14ac:dyDescent="0.4">
      <c r="A128" s="2">
        <v>46241.6875</v>
      </c>
      <c r="B128" s="1" t="s">
        <v>14</v>
      </c>
      <c r="C128" s="1" t="s">
        <v>7</v>
      </c>
      <c r="D128" s="3">
        <v>2</v>
      </c>
      <c r="E128" s="3">
        <v>4410</v>
      </c>
      <c r="F128" s="3">
        <v>-11.92330737</v>
      </c>
      <c r="G128" s="19" t="s">
        <v>94</v>
      </c>
      <c r="H128" s="20">
        <v>5007</v>
      </c>
      <c r="I128" s="1" t="s">
        <v>8</v>
      </c>
    </row>
    <row r="129" spans="1:9" ht="26.5" thickBot="1" x14ac:dyDescent="0.4">
      <c r="A129" s="2">
        <v>46239.788888888892</v>
      </c>
      <c r="B129" s="1" t="s">
        <v>61</v>
      </c>
      <c r="C129" s="1" t="s">
        <v>7</v>
      </c>
      <c r="D129" s="3">
        <v>5</v>
      </c>
      <c r="E129" s="3">
        <v>419</v>
      </c>
      <c r="F129" s="3">
        <v>-11.93778899</v>
      </c>
      <c r="G129" s="19" t="s">
        <v>140</v>
      </c>
      <c r="H129" s="20">
        <v>475.8</v>
      </c>
      <c r="I129" s="1" t="s">
        <v>8</v>
      </c>
    </row>
    <row r="130" spans="1:9" ht="15" thickBot="1" x14ac:dyDescent="0.4">
      <c r="A130" s="2">
        <v>46150.635416666664</v>
      </c>
      <c r="B130" s="1" t="s">
        <v>38</v>
      </c>
      <c r="C130" s="1" t="s">
        <v>7</v>
      </c>
      <c r="D130" s="3">
        <v>15</v>
      </c>
      <c r="E130" s="3">
        <v>4415</v>
      </c>
      <c r="F130" s="3">
        <v>-11.978149050000001</v>
      </c>
      <c r="G130" s="19" t="s">
        <v>118</v>
      </c>
      <c r="H130" s="20">
        <v>5015.8</v>
      </c>
      <c r="I130" s="1" t="s">
        <v>8</v>
      </c>
    </row>
    <row r="131" spans="1:9" ht="26.5" thickBot="1" x14ac:dyDescent="0.4">
      <c r="A131" s="2">
        <v>46244.635416666664</v>
      </c>
      <c r="B131" s="1" t="s">
        <v>37</v>
      </c>
      <c r="C131" s="1" t="s">
        <v>7</v>
      </c>
      <c r="D131" s="3">
        <v>2</v>
      </c>
      <c r="E131" s="3">
        <v>2560</v>
      </c>
      <c r="F131" s="3">
        <v>-12.49957275</v>
      </c>
      <c r="G131" s="19" t="s">
        <v>117</v>
      </c>
      <c r="H131" s="20">
        <v>2925.7</v>
      </c>
      <c r="I131" s="1" t="s">
        <v>8</v>
      </c>
    </row>
    <row r="132" spans="1:9" ht="26.5" thickBot="1" x14ac:dyDescent="0.4">
      <c r="A132" s="4" t="s">
        <v>59</v>
      </c>
      <c r="B132" s="1" t="s">
        <v>14</v>
      </c>
      <c r="C132" s="1" t="s">
        <v>7</v>
      </c>
      <c r="D132" s="3">
        <v>1</v>
      </c>
      <c r="E132" s="3">
        <v>4364</v>
      </c>
      <c r="F132" s="3">
        <v>-12.842021170000001</v>
      </c>
      <c r="G132" s="19" t="s">
        <v>94</v>
      </c>
      <c r="H132" s="20">
        <v>5007</v>
      </c>
      <c r="I132" s="1" t="s">
        <v>8</v>
      </c>
    </row>
    <row r="133" spans="1:9" ht="26.5" thickBot="1" x14ac:dyDescent="0.4">
      <c r="A133" s="2">
        <v>46240.6875</v>
      </c>
      <c r="B133" s="1" t="s">
        <v>13</v>
      </c>
      <c r="C133" s="1" t="s">
        <v>7</v>
      </c>
      <c r="D133" s="3">
        <v>5</v>
      </c>
      <c r="E133" s="3">
        <v>1614</v>
      </c>
      <c r="F133" s="3">
        <v>-12.99191375</v>
      </c>
      <c r="G133" s="19" t="s">
        <v>93</v>
      </c>
      <c r="H133" s="20">
        <v>1855</v>
      </c>
      <c r="I133" s="1" t="s">
        <v>8</v>
      </c>
    </row>
    <row r="134" spans="1:9" ht="26.5" thickBot="1" x14ac:dyDescent="0.4">
      <c r="A134" s="2">
        <v>46150.789583333331</v>
      </c>
      <c r="B134" s="1" t="s">
        <v>65</v>
      </c>
      <c r="C134" s="1" t="s">
        <v>7</v>
      </c>
      <c r="D134" s="3">
        <v>7</v>
      </c>
      <c r="E134" s="3">
        <v>411</v>
      </c>
      <c r="F134" s="3">
        <v>-13.272842369999999</v>
      </c>
      <c r="G134" s="19" t="s">
        <v>144</v>
      </c>
      <c r="H134" s="20">
        <v>473.9</v>
      </c>
      <c r="I134" s="1" t="s">
        <v>8</v>
      </c>
    </row>
    <row r="135" spans="1:9" ht="26.5" thickBot="1" x14ac:dyDescent="0.4">
      <c r="A135" s="4" t="s">
        <v>59</v>
      </c>
      <c r="B135" s="1" t="s">
        <v>61</v>
      </c>
      <c r="C135" s="1" t="s">
        <v>7</v>
      </c>
      <c r="D135" s="3">
        <v>29</v>
      </c>
      <c r="E135" s="3">
        <v>401</v>
      </c>
      <c r="F135" s="3">
        <v>-15.72089113</v>
      </c>
      <c r="G135" s="19" t="s">
        <v>140</v>
      </c>
      <c r="H135" s="20">
        <v>475.8</v>
      </c>
      <c r="I135" s="1" t="s">
        <v>8</v>
      </c>
    </row>
    <row r="136" spans="1:9" ht="26.5" thickBot="1" x14ac:dyDescent="0.4">
      <c r="A136" s="4" t="s">
        <v>59</v>
      </c>
      <c r="B136" s="1" t="s">
        <v>14</v>
      </c>
      <c r="C136" s="1" t="s">
        <v>7</v>
      </c>
      <c r="D136" s="3">
        <v>1</v>
      </c>
      <c r="E136" s="3">
        <v>4164</v>
      </c>
      <c r="F136" s="3">
        <v>-16.836428999999999</v>
      </c>
      <c r="G136" s="19" t="s">
        <v>94</v>
      </c>
      <c r="H136" s="20">
        <v>5007</v>
      </c>
      <c r="I136" s="1" t="s">
        <v>8</v>
      </c>
    </row>
    <row r="137" spans="1:9" ht="26.5" thickBot="1" x14ac:dyDescent="0.4">
      <c r="A137" s="4" t="s">
        <v>59</v>
      </c>
      <c r="B137" s="1" t="s">
        <v>14</v>
      </c>
      <c r="C137" s="1" t="s">
        <v>7</v>
      </c>
      <c r="D137" s="3">
        <v>1</v>
      </c>
      <c r="E137" s="3">
        <v>4014</v>
      </c>
      <c r="F137" s="3">
        <v>-19.832234870000001</v>
      </c>
      <c r="G137" s="19" t="s">
        <v>94</v>
      </c>
      <c r="H137" s="20">
        <v>5007</v>
      </c>
      <c r="I137" s="1" t="s">
        <v>8</v>
      </c>
    </row>
    <row r="138" spans="1:9" ht="26.5" thickBot="1" x14ac:dyDescent="0.4">
      <c r="A138" s="4" t="s">
        <v>59</v>
      </c>
      <c r="B138" s="1" t="s">
        <v>14</v>
      </c>
      <c r="C138" s="1" t="s">
        <v>7</v>
      </c>
      <c r="D138" s="3">
        <v>1</v>
      </c>
      <c r="E138" s="3">
        <v>3914</v>
      </c>
      <c r="F138" s="3">
        <v>-21.829438790000001</v>
      </c>
      <c r="G138" s="19" t="s">
        <v>94</v>
      </c>
      <c r="H138" s="20">
        <v>5007</v>
      </c>
      <c r="I138" s="1" t="s">
        <v>8</v>
      </c>
    </row>
    <row r="139" spans="1:9" ht="39" thickBot="1" x14ac:dyDescent="0.4">
      <c r="A139" s="2">
        <v>46244.767361111109</v>
      </c>
      <c r="B139" s="1" t="s">
        <v>66</v>
      </c>
      <c r="C139" s="1" t="s">
        <v>7</v>
      </c>
      <c r="D139" s="3">
        <v>2</v>
      </c>
      <c r="E139" s="3">
        <v>660</v>
      </c>
      <c r="F139" s="3">
        <v>-22.77992278</v>
      </c>
      <c r="G139" s="19" t="s">
        <v>145</v>
      </c>
      <c r="H139" s="20">
        <v>854.7</v>
      </c>
      <c r="I139" s="1" t="s">
        <v>8</v>
      </c>
    </row>
    <row r="140" spans="1:9" ht="26.5" thickBot="1" x14ac:dyDescent="0.4">
      <c r="A140" s="2">
        <v>46248.635509259257</v>
      </c>
      <c r="B140" s="1" t="s">
        <v>28</v>
      </c>
      <c r="C140" s="1" t="s">
        <v>9</v>
      </c>
      <c r="D140" s="3">
        <v>10</v>
      </c>
      <c r="E140" s="3">
        <v>947</v>
      </c>
      <c r="F140" s="3">
        <v>0.53078556259999998</v>
      </c>
      <c r="G140" s="19" t="s">
        <v>108</v>
      </c>
      <c r="H140" s="20">
        <v>942</v>
      </c>
      <c r="I140" s="1" t="s">
        <v>8</v>
      </c>
    </row>
    <row r="141" spans="1:9" ht="26.5" thickBot="1" x14ac:dyDescent="0.4">
      <c r="A141" s="2">
        <v>46248.644837962966</v>
      </c>
      <c r="B141" s="1" t="s">
        <v>39</v>
      </c>
      <c r="C141" s="1" t="s">
        <v>9</v>
      </c>
      <c r="D141" s="3">
        <v>20</v>
      </c>
      <c r="E141" s="3">
        <v>896</v>
      </c>
      <c r="F141" s="3">
        <v>0.65719260800000001</v>
      </c>
      <c r="G141" s="19" t="s">
        <v>119</v>
      </c>
      <c r="H141" s="20">
        <v>890.15</v>
      </c>
      <c r="I141" s="1" t="s">
        <v>8</v>
      </c>
    </row>
    <row r="142" spans="1:9" ht="39" thickBot="1" x14ac:dyDescent="0.4">
      <c r="A142" s="2">
        <v>46248.769108796296</v>
      </c>
      <c r="B142" s="1" t="s">
        <v>19</v>
      </c>
      <c r="C142" s="1" t="s">
        <v>9</v>
      </c>
      <c r="D142" s="3">
        <v>100</v>
      </c>
      <c r="E142" s="3">
        <v>223</v>
      </c>
      <c r="F142" s="3">
        <v>0.67720090290000001</v>
      </c>
      <c r="G142" s="19" t="s">
        <v>99</v>
      </c>
      <c r="H142" s="20">
        <v>221.5</v>
      </c>
      <c r="I142" s="1" t="s">
        <v>8</v>
      </c>
    </row>
    <row r="143" spans="1:9" ht="26.5" thickBot="1" x14ac:dyDescent="0.4">
      <c r="A143" s="2">
        <v>46248.644872685189</v>
      </c>
      <c r="B143" s="1" t="s">
        <v>28</v>
      </c>
      <c r="C143" s="1" t="s">
        <v>9</v>
      </c>
      <c r="D143" s="3">
        <v>10</v>
      </c>
      <c r="E143" s="3">
        <v>957</v>
      </c>
      <c r="F143" s="3">
        <v>1.592356688</v>
      </c>
      <c r="G143" s="19" t="s">
        <v>108</v>
      </c>
      <c r="H143" s="20">
        <v>942</v>
      </c>
      <c r="I143" s="1" t="s">
        <v>8</v>
      </c>
    </row>
    <row r="144" spans="1:9" ht="15" thickBot="1" x14ac:dyDescent="0.4">
      <c r="A144" s="2">
        <v>46248.644861111112</v>
      </c>
      <c r="B144" s="1" t="s">
        <v>47</v>
      </c>
      <c r="C144" s="1" t="s">
        <v>9</v>
      </c>
      <c r="D144" s="3">
        <v>5</v>
      </c>
      <c r="E144" s="3">
        <v>4129</v>
      </c>
      <c r="F144" s="3">
        <v>1.7747103769999999</v>
      </c>
      <c r="G144" s="19" t="s">
        <v>127</v>
      </c>
      <c r="H144" s="20">
        <v>4057</v>
      </c>
      <c r="I144" s="1" t="s">
        <v>8</v>
      </c>
    </row>
    <row r="145" spans="1:9" ht="15" thickBot="1" x14ac:dyDescent="0.4">
      <c r="A145" s="2">
        <v>46248.769108796296</v>
      </c>
      <c r="B145" s="1" t="s">
        <v>15</v>
      </c>
      <c r="C145" s="1" t="s">
        <v>9</v>
      </c>
      <c r="D145" s="3">
        <v>50</v>
      </c>
      <c r="E145" s="3">
        <v>353</v>
      </c>
      <c r="F145" s="3">
        <v>1.9200230979999999</v>
      </c>
      <c r="G145" s="19" t="s">
        <v>95</v>
      </c>
      <c r="H145" s="20">
        <v>346.35</v>
      </c>
      <c r="I145" s="1" t="s">
        <v>8</v>
      </c>
    </row>
    <row r="146" spans="1:9" ht="26.5" thickBot="1" x14ac:dyDescent="0.4">
      <c r="A146" s="2">
        <v>46248.644884259258</v>
      </c>
      <c r="B146" s="1" t="s">
        <v>48</v>
      </c>
      <c r="C146" s="1" t="s">
        <v>9</v>
      </c>
      <c r="D146" s="3">
        <v>200</v>
      </c>
      <c r="E146" s="3">
        <v>232</v>
      </c>
      <c r="F146" s="3">
        <v>2.1396495550000001</v>
      </c>
      <c r="G146" s="19" t="s">
        <v>128</v>
      </c>
      <c r="H146" s="20">
        <v>227.14</v>
      </c>
      <c r="I146" s="1" t="s">
        <v>8</v>
      </c>
    </row>
    <row r="147" spans="1:9" ht="26.5" thickBot="1" x14ac:dyDescent="0.4">
      <c r="A147" s="2">
        <v>46248.769108796296</v>
      </c>
      <c r="B147" s="1" t="s">
        <v>24</v>
      </c>
      <c r="C147" s="1" t="s">
        <v>9</v>
      </c>
      <c r="D147" s="3">
        <v>10</v>
      </c>
      <c r="E147" s="3">
        <v>2672</v>
      </c>
      <c r="F147" s="3">
        <v>2.1992732840000002</v>
      </c>
      <c r="G147" s="19" t="s">
        <v>104</v>
      </c>
      <c r="H147" s="20">
        <v>2614.5</v>
      </c>
      <c r="I147" s="1" t="s">
        <v>8</v>
      </c>
    </row>
    <row r="148" spans="1:9" ht="26.5" thickBot="1" x14ac:dyDescent="0.4">
      <c r="A148" s="2">
        <v>46248.769108796296</v>
      </c>
      <c r="B148" s="1" t="s">
        <v>16</v>
      </c>
      <c r="C148" s="1" t="s">
        <v>9</v>
      </c>
      <c r="D148" s="3">
        <v>50</v>
      </c>
      <c r="E148" s="3">
        <v>214</v>
      </c>
      <c r="F148" s="3">
        <v>2.5591871940000002</v>
      </c>
      <c r="G148" s="19" t="s">
        <v>96</v>
      </c>
      <c r="H148" s="20">
        <v>208.66</v>
      </c>
      <c r="I148" s="1" t="s">
        <v>8</v>
      </c>
    </row>
    <row r="149" spans="1:9" ht="39" thickBot="1" x14ac:dyDescent="0.4">
      <c r="A149" s="2">
        <v>46248.644895833335</v>
      </c>
      <c r="B149" s="1" t="s">
        <v>56</v>
      </c>
      <c r="C149" s="1" t="s">
        <v>9</v>
      </c>
      <c r="D149" s="3">
        <v>15</v>
      </c>
      <c r="E149" s="3">
        <v>1040</v>
      </c>
      <c r="F149" s="3">
        <v>2.8684470819999999</v>
      </c>
      <c r="G149" s="19" t="s">
        <v>136</v>
      </c>
      <c r="H149" s="20">
        <v>1011</v>
      </c>
      <c r="I149" s="1" t="s">
        <v>8</v>
      </c>
    </row>
    <row r="150" spans="1:9" ht="26.5" thickBot="1" x14ac:dyDescent="0.4">
      <c r="A150" s="2">
        <v>46248.644837962966</v>
      </c>
      <c r="B150" s="1" t="s">
        <v>31</v>
      </c>
      <c r="C150" s="1" t="s">
        <v>9</v>
      </c>
      <c r="D150" s="3">
        <v>25</v>
      </c>
      <c r="E150" s="3">
        <v>784</v>
      </c>
      <c r="F150" s="3">
        <v>2.887139108</v>
      </c>
      <c r="G150" s="19" t="s">
        <v>111</v>
      </c>
      <c r="H150" s="20">
        <v>762</v>
      </c>
      <c r="I150" s="1" t="s">
        <v>8</v>
      </c>
    </row>
    <row r="151" spans="1:9" ht="39" thickBot="1" x14ac:dyDescent="0.4">
      <c r="A151" s="9">
        <v>46247.689583333333</v>
      </c>
      <c r="B151" s="10" t="s">
        <v>19</v>
      </c>
      <c r="C151" s="10" t="s">
        <v>9</v>
      </c>
      <c r="D151" s="11">
        <v>50</v>
      </c>
      <c r="E151" s="11">
        <v>228</v>
      </c>
      <c r="F151" s="3">
        <v>2.9345372460000001</v>
      </c>
      <c r="G151" s="19" t="s">
        <v>99</v>
      </c>
      <c r="H151" s="20">
        <v>221.5</v>
      </c>
      <c r="I151" s="1" t="s">
        <v>8</v>
      </c>
    </row>
    <row r="152" spans="1:9" ht="15" thickBot="1" x14ac:dyDescent="0.4">
      <c r="A152" s="9">
        <v>46334.635416666664</v>
      </c>
      <c r="B152" s="10" t="s">
        <v>47</v>
      </c>
      <c r="C152" s="10" t="s">
        <v>9</v>
      </c>
      <c r="D152" s="11">
        <v>5</v>
      </c>
      <c r="E152" s="11">
        <v>4177</v>
      </c>
      <c r="F152" s="3">
        <v>2.9578506290000002</v>
      </c>
      <c r="G152" s="19" t="s">
        <v>127</v>
      </c>
      <c r="H152" s="20">
        <v>4057</v>
      </c>
      <c r="I152" s="1" t="s">
        <v>8</v>
      </c>
    </row>
    <row r="153" spans="1:9" ht="15" thickBot="1" x14ac:dyDescent="0.4">
      <c r="A153" s="2">
        <v>46248.771122685182</v>
      </c>
      <c r="B153" s="1" t="s">
        <v>15</v>
      </c>
      <c r="C153" s="1" t="s">
        <v>9</v>
      </c>
      <c r="D153" s="3">
        <v>50</v>
      </c>
      <c r="E153" s="3">
        <v>357</v>
      </c>
      <c r="F153" s="3">
        <v>3.0749242099999998</v>
      </c>
      <c r="G153" s="19" t="s">
        <v>95</v>
      </c>
      <c r="H153" s="20">
        <v>346.35</v>
      </c>
      <c r="I153" s="1" t="s">
        <v>8</v>
      </c>
    </row>
    <row r="154" spans="1:9" ht="26.5" thickBot="1" x14ac:dyDescent="0.4">
      <c r="A154" s="2">
        <v>46248.769108796296</v>
      </c>
      <c r="B154" s="1" t="s">
        <v>24</v>
      </c>
      <c r="C154" s="1" t="s">
        <v>9</v>
      </c>
      <c r="D154" s="3">
        <v>10</v>
      </c>
      <c r="E154" s="3">
        <v>2696</v>
      </c>
      <c r="F154" s="3">
        <v>3.1172308279999998</v>
      </c>
      <c r="G154" s="19" t="s">
        <v>104</v>
      </c>
      <c r="H154" s="20">
        <v>2614.5</v>
      </c>
      <c r="I154" s="1" t="s">
        <v>8</v>
      </c>
    </row>
    <row r="155" spans="1:9" ht="15" thickBot="1" x14ac:dyDescent="0.4">
      <c r="A155" s="2">
        <v>46248.63554398148</v>
      </c>
      <c r="B155" s="1" t="s">
        <v>32</v>
      </c>
      <c r="C155" s="1" t="s">
        <v>9</v>
      </c>
      <c r="D155" s="3">
        <v>20</v>
      </c>
      <c r="E155" s="3">
        <v>424</v>
      </c>
      <c r="F155" s="3">
        <v>3.1881236309999998</v>
      </c>
      <c r="G155" s="19" t="s">
        <v>112</v>
      </c>
      <c r="H155" s="20">
        <v>410.9</v>
      </c>
      <c r="I155" s="1" t="s">
        <v>8</v>
      </c>
    </row>
    <row r="156" spans="1:9" ht="26.5" thickBot="1" x14ac:dyDescent="0.4">
      <c r="A156" s="2">
        <v>46248.771099537036</v>
      </c>
      <c r="B156" s="1" t="s">
        <v>6</v>
      </c>
      <c r="C156" s="1" t="s">
        <v>9</v>
      </c>
      <c r="D156" s="3">
        <v>10</v>
      </c>
      <c r="E156" s="3">
        <v>2114</v>
      </c>
      <c r="F156" s="3">
        <v>3.3235581619999999</v>
      </c>
      <c r="G156" s="19" t="s">
        <v>89</v>
      </c>
      <c r="H156" s="20">
        <v>2046</v>
      </c>
      <c r="I156" s="1" t="s">
        <v>8</v>
      </c>
    </row>
    <row r="157" spans="1:9" ht="26.5" thickBot="1" x14ac:dyDescent="0.4">
      <c r="A157" s="2">
        <v>46248.635520833333</v>
      </c>
      <c r="B157" s="1" t="s">
        <v>48</v>
      </c>
      <c r="C157" s="1" t="s">
        <v>9</v>
      </c>
      <c r="D157" s="3">
        <v>200</v>
      </c>
      <c r="E157" s="3">
        <v>235</v>
      </c>
      <c r="F157" s="3">
        <v>3.4604208860000001</v>
      </c>
      <c r="G157" s="19" t="s">
        <v>128</v>
      </c>
      <c r="H157" s="20">
        <v>227.14</v>
      </c>
      <c r="I157" s="1" t="s">
        <v>8</v>
      </c>
    </row>
    <row r="158" spans="1:9" ht="26.5" thickBot="1" x14ac:dyDescent="0.4">
      <c r="A158" s="2">
        <v>46248.635578703703</v>
      </c>
      <c r="B158" s="1" t="s">
        <v>52</v>
      </c>
      <c r="C158" s="1" t="s">
        <v>9</v>
      </c>
      <c r="D158" s="3">
        <v>200</v>
      </c>
      <c r="E158" s="3">
        <v>90.75</v>
      </c>
      <c r="F158" s="3">
        <v>3.5249828879999998</v>
      </c>
      <c r="G158" s="19" t="s">
        <v>132</v>
      </c>
      <c r="H158" s="20">
        <v>87.66</v>
      </c>
      <c r="I158" s="1" t="s">
        <v>8</v>
      </c>
    </row>
    <row r="159" spans="1:9" ht="26.5" thickBot="1" x14ac:dyDescent="0.4">
      <c r="A159" s="2">
        <v>46248.635578703703</v>
      </c>
      <c r="B159" s="1" t="s">
        <v>57</v>
      </c>
      <c r="C159" s="1" t="s">
        <v>9</v>
      </c>
      <c r="D159" s="3">
        <v>6</v>
      </c>
      <c r="E159" s="3">
        <v>548</v>
      </c>
      <c r="F159" s="3">
        <v>3.5525321239999998</v>
      </c>
      <c r="G159" s="19" t="s">
        <v>137</v>
      </c>
      <c r="H159" s="20">
        <v>529.20000000000005</v>
      </c>
      <c r="I159" s="1" t="s">
        <v>8</v>
      </c>
    </row>
    <row r="160" spans="1:9" ht="26.5" thickBot="1" x14ac:dyDescent="0.4">
      <c r="A160" s="2">
        <v>46246.635416666664</v>
      </c>
      <c r="B160" s="1" t="s">
        <v>28</v>
      </c>
      <c r="C160" s="1" t="s">
        <v>9</v>
      </c>
      <c r="D160" s="3">
        <v>10</v>
      </c>
      <c r="E160" s="8">
        <v>977</v>
      </c>
      <c r="F160" s="3">
        <v>3.7154989380000001</v>
      </c>
      <c r="G160" s="19" t="s">
        <v>108</v>
      </c>
      <c r="H160" s="20">
        <v>942</v>
      </c>
      <c r="I160" s="1" t="s">
        <v>8</v>
      </c>
    </row>
    <row r="161" spans="1:9" ht="39" thickBot="1" x14ac:dyDescent="0.4">
      <c r="A161" s="2">
        <v>46248.635578703703</v>
      </c>
      <c r="B161" s="1" t="s">
        <v>41</v>
      </c>
      <c r="C161" s="1" t="s">
        <v>9</v>
      </c>
      <c r="D161" s="3">
        <v>10</v>
      </c>
      <c r="E161" s="3">
        <v>1548</v>
      </c>
      <c r="F161" s="3">
        <v>3.7533512060000001</v>
      </c>
      <c r="G161" s="19" t="s">
        <v>121</v>
      </c>
      <c r="H161" s="20">
        <v>1492</v>
      </c>
      <c r="I161" s="1" t="s">
        <v>8</v>
      </c>
    </row>
    <row r="162" spans="1:9" ht="26.5" thickBot="1" x14ac:dyDescent="0.4">
      <c r="A162" s="2">
        <v>46248.769108796296</v>
      </c>
      <c r="B162" s="1" t="s">
        <v>10</v>
      </c>
      <c r="C162" s="1" t="s">
        <v>9</v>
      </c>
      <c r="D162" s="3">
        <v>50</v>
      </c>
      <c r="E162" s="3">
        <v>293</v>
      </c>
      <c r="F162" s="3">
        <v>3.790294013</v>
      </c>
      <c r="G162" s="19" t="s">
        <v>90</v>
      </c>
      <c r="H162" s="20">
        <v>282.3</v>
      </c>
      <c r="I162" s="1" t="s">
        <v>8</v>
      </c>
    </row>
    <row r="163" spans="1:9" ht="15" thickBot="1" x14ac:dyDescent="0.4">
      <c r="A163" s="2">
        <v>46248.63554398148</v>
      </c>
      <c r="B163" s="1" t="s">
        <v>40</v>
      </c>
      <c r="C163" s="1" t="s">
        <v>9</v>
      </c>
      <c r="D163" s="3">
        <v>8</v>
      </c>
      <c r="E163" s="3">
        <v>2448</v>
      </c>
      <c r="F163" s="3">
        <v>3.904923599</v>
      </c>
      <c r="G163" s="19" t="s">
        <v>120</v>
      </c>
      <c r="H163" s="20">
        <v>2356</v>
      </c>
      <c r="I163" s="1" t="s">
        <v>8</v>
      </c>
    </row>
    <row r="164" spans="1:9" ht="26.5" thickBot="1" x14ac:dyDescent="0.4">
      <c r="A164" s="2">
        <v>46248.769108796296</v>
      </c>
      <c r="B164" s="1" t="s">
        <v>27</v>
      </c>
      <c r="C164" s="1" t="s">
        <v>9</v>
      </c>
      <c r="D164" s="3">
        <v>150</v>
      </c>
      <c r="E164" s="3">
        <v>130</v>
      </c>
      <c r="F164" s="3">
        <v>4</v>
      </c>
      <c r="G164" s="19" t="s">
        <v>107</v>
      </c>
      <c r="H164" s="20">
        <v>125</v>
      </c>
      <c r="I164" s="1" t="s">
        <v>8</v>
      </c>
    </row>
    <row r="165" spans="1:9" ht="26.5" thickBot="1" x14ac:dyDescent="0.4">
      <c r="A165" s="2">
        <v>46248.771122685182</v>
      </c>
      <c r="B165" s="1" t="s">
        <v>24</v>
      </c>
      <c r="C165" s="1" t="s">
        <v>9</v>
      </c>
      <c r="D165" s="3">
        <v>10</v>
      </c>
      <c r="E165" s="3">
        <v>2720</v>
      </c>
      <c r="F165" s="3">
        <v>4.0351883730000004</v>
      </c>
      <c r="G165" s="19" t="s">
        <v>104</v>
      </c>
      <c r="H165" s="20">
        <v>2614.5</v>
      </c>
      <c r="I165" s="1" t="s">
        <v>8</v>
      </c>
    </row>
    <row r="166" spans="1:9" ht="26.5" thickBot="1" x14ac:dyDescent="0.4">
      <c r="A166" s="2">
        <v>46248.63553240741</v>
      </c>
      <c r="B166" s="1" t="s">
        <v>43</v>
      </c>
      <c r="C166" s="1" t="s">
        <v>9</v>
      </c>
      <c r="D166" s="3">
        <v>5</v>
      </c>
      <c r="E166" s="3">
        <v>1212</v>
      </c>
      <c r="F166" s="3">
        <v>4.0879422879999998</v>
      </c>
      <c r="G166" s="19" t="s">
        <v>123</v>
      </c>
      <c r="H166" s="20">
        <v>1164.4000000000001</v>
      </c>
      <c r="I166" s="1" t="s">
        <v>8</v>
      </c>
    </row>
    <row r="167" spans="1:9" ht="26.5" thickBot="1" x14ac:dyDescent="0.4">
      <c r="A167" s="2">
        <v>46248.770925925928</v>
      </c>
      <c r="B167" s="1" t="s">
        <v>10</v>
      </c>
      <c r="C167" s="1" t="s">
        <v>9</v>
      </c>
      <c r="D167" s="3">
        <v>30</v>
      </c>
      <c r="E167" s="3">
        <v>294</v>
      </c>
      <c r="F167" s="3">
        <v>4.1445270990000003</v>
      </c>
      <c r="G167" s="19" t="s">
        <v>90</v>
      </c>
      <c r="H167" s="20">
        <v>282.3</v>
      </c>
      <c r="I167" s="1" t="s">
        <v>8</v>
      </c>
    </row>
    <row r="168" spans="1:9" ht="15" thickBot="1" x14ac:dyDescent="0.4">
      <c r="A168" s="2">
        <v>46248.771134259259</v>
      </c>
      <c r="B168" s="1" t="s">
        <v>15</v>
      </c>
      <c r="C168" s="1" t="s">
        <v>9</v>
      </c>
      <c r="D168" s="3">
        <v>50</v>
      </c>
      <c r="E168" s="3">
        <v>361</v>
      </c>
      <c r="F168" s="3">
        <v>4.2298253209999999</v>
      </c>
      <c r="G168" s="19" t="s">
        <v>95</v>
      </c>
      <c r="H168" s="20">
        <v>346.35</v>
      </c>
      <c r="I168" s="1" t="s">
        <v>8</v>
      </c>
    </row>
    <row r="169" spans="1:9" ht="26.5" thickBot="1" x14ac:dyDescent="0.4">
      <c r="A169" s="2">
        <v>46248.635520833333</v>
      </c>
      <c r="B169" s="1" t="s">
        <v>35</v>
      </c>
      <c r="C169" s="1" t="s">
        <v>9</v>
      </c>
      <c r="D169" s="3">
        <v>6</v>
      </c>
      <c r="E169" s="3">
        <v>2420</v>
      </c>
      <c r="F169" s="3">
        <v>4.3103448279999999</v>
      </c>
      <c r="G169" s="19" t="s">
        <v>115</v>
      </c>
      <c r="H169" s="20">
        <v>2320</v>
      </c>
      <c r="I169" s="1" t="s">
        <v>8</v>
      </c>
    </row>
    <row r="170" spans="1:9" ht="26.5" thickBot="1" x14ac:dyDescent="0.4">
      <c r="A170" s="2">
        <v>46248.635567129626</v>
      </c>
      <c r="B170" s="1" t="s">
        <v>31</v>
      </c>
      <c r="C170" s="1" t="s">
        <v>9</v>
      </c>
      <c r="D170" s="3">
        <v>20</v>
      </c>
      <c r="E170" s="3">
        <v>796</v>
      </c>
      <c r="F170" s="3">
        <v>4.4619422569999996</v>
      </c>
      <c r="G170" s="19" t="s">
        <v>111</v>
      </c>
      <c r="H170" s="20">
        <v>762</v>
      </c>
      <c r="I170" s="1" t="s">
        <v>8</v>
      </c>
    </row>
    <row r="171" spans="1:9" ht="26.5" thickBot="1" x14ac:dyDescent="0.4">
      <c r="A171" s="2">
        <v>46248.635578703703</v>
      </c>
      <c r="B171" s="1" t="s">
        <v>52</v>
      </c>
      <c r="C171" s="1" t="s">
        <v>9</v>
      </c>
      <c r="D171" s="3">
        <v>200</v>
      </c>
      <c r="E171" s="3">
        <v>91.75</v>
      </c>
      <c r="F171" s="3">
        <v>4.6657540500000003</v>
      </c>
      <c r="G171" s="19" t="s">
        <v>132</v>
      </c>
      <c r="H171" s="20">
        <v>87.66</v>
      </c>
      <c r="I171" s="1" t="s">
        <v>8</v>
      </c>
    </row>
    <row r="172" spans="1:9" ht="26.5" thickBot="1" x14ac:dyDescent="0.4">
      <c r="A172" s="2">
        <v>46248.63554398148</v>
      </c>
      <c r="B172" s="1" t="s">
        <v>43</v>
      </c>
      <c r="C172" s="1" t="s">
        <v>9</v>
      </c>
      <c r="D172" s="3">
        <v>10</v>
      </c>
      <c r="E172" s="3">
        <v>1221</v>
      </c>
      <c r="F172" s="3">
        <v>4.860872552</v>
      </c>
      <c r="G172" s="19" t="s">
        <v>123</v>
      </c>
      <c r="H172" s="20">
        <v>1164.4000000000001</v>
      </c>
      <c r="I172" s="1" t="s">
        <v>8</v>
      </c>
    </row>
    <row r="173" spans="1:9" ht="26.5" thickBot="1" x14ac:dyDescent="0.4">
      <c r="A173" s="2">
        <v>46248.635520833333</v>
      </c>
      <c r="B173" s="1" t="s">
        <v>48</v>
      </c>
      <c r="C173" s="1" t="s">
        <v>9</v>
      </c>
      <c r="D173" s="3">
        <v>110</v>
      </c>
      <c r="E173" s="3">
        <v>238.2</v>
      </c>
      <c r="F173" s="3">
        <v>4.8692436380000004</v>
      </c>
      <c r="G173" s="19" t="s">
        <v>128</v>
      </c>
      <c r="H173" s="20">
        <v>227.14</v>
      </c>
      <c r="I173" s="1" t="s">
        <v>8</v>
      </c>
    </row>
    <row r="174" spans="1:9" ht="26.5" thickBot="1" x14ac:dyDescent="0.4">
      <c r="A174" s="2">
        <v>46248.771134259259</v>
      </c>
      <c r="B174" s="1" t="s">
        <v>16</v>
      </c>
      <c r="C174" s="1" t="s">
        <v>9</v>
      </c>
      <c r="D174" s="3">
        <v>65</v>
      </c>
      <c r="E174" s="3">
        <v>219</v>
      </c>
      <c r="F174" s="3">
        <v>4.9554298860000001</v>
      </c>
      <c r="G174" s="19" t="s">
        <v>96</v>
      </c>
      <c r="H174" s="20">
        <v>208.66</v>
      </c>
      <c r="I174" s="1" t="s">
        <v>8</v>
      </c>
    </row>
    <row r="175" spans="1:9" ht="26.5" thickBot="1" x14ac:dyDescent="0.4">
      <c r="A175" s="2">
        <v>46247.635416666664</v>
      </c>
      <c r="B175" s="1" t="s">
        <v>48</v>
      </c>
      <c r="C175" s="1" t="s">
        <v>9</v>
      </c>
      <c r="D175" s="3">
        <v>200</v>
      </c>
      <c r="E175" s="3">
        <v>239</v>
      </c>
      <c r="F175" s="3">
        <v>5.2214493260000001</v>
      </c>
      <c r="G175" s="19" t="s">
        <v>128</v>
      </c>
      <c r="H175" s="20">
        <v>227.14</v>
      </c>
      <c r="I175" s="1" t="s">
        <v>8</v>
      </c>
    </row>
    <row r="176" spans="1:9" ht="39" thickBot="1" x14ac:dyDescent="0.4">
      <c r="A176" s="2">
        <v>46247.689583333333</v>
      </c>
      <c r="B176" s="1" t="s">
        <v>20</v>
      </c>
      <c r="C176" s="1" t="s">
        <v>9</v>
      </c>
      <c r="D176" s="3">
        <v>5</v>
      </c>
      <c r="E176" s="3">
        <v>467.25</v>
      </c>
      <c r="F176" s="3">
        <v>5.2364864860000004</v>
      </c>
      <c r="G176" s="19" t="s">
        <v>100</v>
      </c>
      <c r="H176" s="20">
        <v>444</v>
      </c>
      <c r="I176" s="1" t="s">
        <v>8</v>
      </c>
    </row>
    <row r="177" spans="1:9" ht="26.5" thickBot="1" x14ac:dyDescent="0.4">
      <c r="A177" s="2">
        <v>46247.689583333333</v>
      </c>
      <c r="B177" s="1" t="s">
        <v>58</v>
      </c>
      <c r="C177" s="1" t="s">
        <v>9</v>
      </c>
      <c r="D177" s="3">
        <v>25</v>
      </c>
      <c r="E177" s="3">
        <v>199.9</v>
      </c>
      <c r="F177" s="3">
        <v>5.2382205839999996</v>
      </c>
      <c r="G177" s="19" t="s">
        <v>138</v>
      </c>
      <c r="H177" s="20">
        <v>189.95</v>
      </c>
      <c r="I177" s="1" t="s">
        <v>8</v>
      </c>
    </row>
    <row r="178" spans="1:9" ht="26.5" thickBot="1" x14ac:dyDescent="0.4">
      <c r="A178" s="2">
        <v>46248.769108796296</v>
      </c>
      <c r="B178" s="1" t="s">
        <v>18</v>
      </c>
      <c r="C178" s="1" t="s">
        <v>9</v>
      </c>
      <c r="D178" s="3">
        <v>25</v>
      </c>
      <c r="E178" s="3">
        <v>360</v>
      </c>
      <c r="F178" s="3">
        <v>5.2785494960000001</v>
      </c>
      <c r="G178" s="19" t="s">
        <v>98</v>
      </c>
      <c r="H178" s="20">
        <v>341.95</v>
      </c>
      <c r="I178" s="1" t="s">
        <v>8</v>
      </c>
    </row>
    <row r="179" spans="1:9" ht="15" thickBot="1" x14ac:dyDescent="0.4">
      <c r="A179" s="2">
        <v>46246.689583333333</v>
      </c>
      <c r="B179" s="1" t="s">
        <v>15</v>
      </c>
      <c r="C179" s="1" t="s">
        <v>9</v>
      </c>
      <c r="D179" s="3">
        <v>50</v>
      </c>
      <c r="E179" s="8">
        <v>365</v>
      </c>
      <c r="F179" s="3">
        <v>5.384726433</v>
      </c>
      <c r="G179" s="19" t="s">
        <v>95</v>
      </c>
      <c r="H179" s="20">
        <v>346.35</v>
      </c>
      <c r="I179" s="1" t="s">
        <v>8</v>
      </c>
    </row>
    <row r="180" spans="1:9" ht="15" thickBot="1" x14ac:dyDescent="0.4">
      <c r="A180" s="2">
        <v>46248.635567129626</v>
      </c>
      <c r="B180" s="1" t="s">
        <v>46</v>
      </c>
      <c r="C180" s="1" t="s">
        <v>9</v>
      </c>
      <c r="D180" s="3">
        <v>5</v>
      </c>
      <c r="E180" s="3">
        <v>3633</v>
      </c>
      <c r="F180" s="3">
        <v>5.4235222429999999</v>
      </c>
      <c r="G180" s="19" t="s">
        <v>126</v>
      </c>
      <c r="H180" s="20">
        <v>3446.1</v>
      </c>
      <c r="I180" s="1" t="s">
        <v>8</v>
      </c>
    </row>
    <row r="181" spans="1:9" ht="26.5" thickBot="1" x14ac:dyDescent="0.4">
      <c r="A181" s="2">
        <v>46248.635555555556</v>
      </c>
      <c r="B181" s="1" t="s">
        <v>34</v>
      </c>
      <c r="C181" s="1" t="s">
        <v>9</v>
      </c>
      <c r="D181" s="3">
        <v>1</v>
      </c>
      <c r="E181" s="3">
        <v>4556</v>
      </c>
      <c r="F181" s="3">
        <v>5.5974041019999996</v>
      </c>
      <c r="G181" s="19" t="s">
        <v>114</v>
      </c>
      <c r="H181" s="20">
        <v>4314.5</v>
      </c>
      <c r="I181" s="1" t="s">
        <v>8</v>
      </c>
    </row>
    <row r="182" spans="1:9" ht="39" thickBot="1" x14ac:dyDescent="0.4">
      <c r="A182" s="2">
        <v>46247.689583333333</v>
      </c>
      <c r="B182" s="1" t="s">
        <v>68</v>
      </c>
      <c r="C182" s="1" t="s">
        <v>9</v>
      </c>
      <c r="D182" s="3">
        <v>30</v>
      </c>
      <c r="E182" s="3">
        <v>930</v>
      </c>
      <c r="F182" s="3">
        <v>5.6179775279999999</v>
      </c>
      <c r="G182" s="19" t="s">
        <v>146</v>
      </c>
      <c r="H182" s="20">
        <v>890</v>
      </c>
      <c r="I182" s="1" t="s">
        <v>8</v>
      </c>
    </row>
    <row r="183" spans="1:9" ht="26.5" thickBot="1" x14ac:dyDescent="0.4">
      <c r="A183" s="2">
        <v>46248.635555555556</v>
      </c>
      <c r="B183" s="1" t="s">
        <v>54</v>
      </c>
      <c r="C183" s="1" t="s">
        <v>9</v>
      </c>
      <c r="D183" s="3">
        <v>5</v>
      </c>
      <c r="E183" s="3">
        <v>2190</v>
      </c>
      <c r="F183" s="3">
        <v>5.6898798319999999</v>
      </c>
      <c r="G183" s="19" t="s">
        <v>134</v>
      </c>
      <c r="H183" s="20">
        <v>2072.1</v>
      </c>
      <c r="I183" s="1" t="s">
        <v>8</v>
      </c>
    </row>
    <row r="184" spans="1:9" ht="26.5" thickBot="1" x14ac:dyDescent="0.4">
      <c r="A184" s="2">
        <v>46241.635416666664</v>
      </c>
      <c r="B184" s="1" t="s">
        <v>52</v>
      </c>
      <c r="C184" s="1" t="s">
        <v>9</v>
      </c>
      <c r="D184" s="3">
        <v>200</v>
      </c>
      <c r="E184" s="8">
        <v>92.75</v>
      </c>
      <c r="F184" s="3">
        <v>5.8065252110000003</v>
      </c>
      <c r="G184" s="19" t="s">
        <v>132</v>
      </c>
      <c r="H184" s="20">
        <v>87.66</v>
      </c>
      <c r="I184" s="1" t="s">
        <v>8</v>
      </c>
    </row>
    <row r="185" spans="1:9" ht="26.5" thickBot="1" x14ac:dyDescent="0.4">
      <c r="A185" s="2">
        <v>46241.635416666664</v>
      </c>
      <c r="B185" s="1" t="s">
        <v>28</v>
      </c>
      <c r="C185" s="1" t="s">
        <v>9</v>
      </c>
      <c r="D185" s="3">
        <v>10</v>
      </c>
      <c r="E185" s="8">
        <v>997</v>
      </c>
      <c r="F185" s="3">
        <v>5.8386411889999996</v>
      </c>
      <c r="G185" s="19" t="s">
        <v>108</v>
      </c>
      <c r="H185" s="20">
        <v>942</v>
      </c>
      <c r="I185" s="1" t="s">
        <v>8</v>
      </c>
    </row>
    <row r="186" spans="1:9" ht="15" thickBot="1" x14ac:dyDescent="0.4">
      <c r="A186" s="2">
        <v>46247.635416666664</v>
      </c>
      <c r="B186" s="1" t="s">
        <v>32</v>
      </c>
      <c r="C186" s="1" t="s">
        <v>9</v>
      </c>
      <c r="D186" s="3">
        <v>10</v>
      </c>
      <c r="E186" s="3">
        <v>435</v>
      </c>
      <c r="F186" s="3">
        <v>5.8651740080000003</v>
      </c>
      <c r="G186" s="19" t="s">
        <v>112</v>
      </c>
      <c r="H186" s="20">
        <v>410.9</v>
      </c>
      <c r="I186" s="1" t="s">
        <v>8</v>
      </c>
    </row>
    <row r="187" spans="1:9" ht="26.5" thickBot="1" x14ac:dyDescent="0.4">
      <c r="A187" s="2">
        <v>46248.635578703703</v>
      </c>
      <c r="B187" s="1" t="s">
        <v>55</v>
      </c>
      <c r="C187" s="1" t="s">
        <v>9</v>
      </c>
      <c r="D187" s="3">
        <v>150</v>
      </c>
      <c r="E187" s="3">
        <v>123.4</v>
      </c>
      <c r="F187" s="3">
        <v>5.931839643</v>
      </c>
      <c r="G187" s="19" t="s">
        <v>135</v>
      </c>
      <c r="H187" s="20">
        <v>116.49</v>
      </c>
      <c r="I187" s="1" t="s">
        <v>8</v>
      </c>
    </row>
    <row r="188" spans="1:9" ht="26.5" thickBot="1" x14ac:dyDescent="0.4">
      <c r="A188" s="2">
        <v>46240.6875</v>
      </c>
      <c r="B188" s="1" t="s">
        <v>24</v>
      </c>
      <c r="C188" s="1" t="s">
        <v>9</v>
      </c>
      <c r="D188" s="3">
        <v>10</v>
      </c>
      <c r="E188" s="8">
        <v>2770</v>
      </c>
      <c r="F188" s="3">
        <v>5.9475999240000004</v>
      </c>
      <c r="G188" s="19" t="s">
        <v>104</v>
      </c>
      <c r="H188" s="20">
        <v>2614.5</v>
      </c>
      <c r="I188" s="1" t="s">
        <v>8</v>
      </c>
    </row>
    <row r="189" spans="1:9" ht="26.5" thickBot="1" x14ac:dyDescent="0.4">
      <c r="A189" s="2">
        <v>46364.635416666664</v>
      </c>
      <c r="B189" s="1" t="s">
        <v>44</v>
      </c>
      <c r="C189" s="1" t="s">
        <v>9</v>
      </c>
      <c r="D189" s="3">
        <v>7</v>
      </c>
      <c r="E189" s="8">
        <v>1424</v>
      </c>
      <c r="F189" s="3">
        <v>5.9523809520000004</v>
      </c>
      <c r="G189" s="19" t="s">
        <v>124</v>
      </c>
      <c r="H189" s="20">
        <v>1344</v>
      </c>
      <c r="I189" s="1" t="s">
        <v>8</v>
      </c>
    </row>
    <row r="190" spans="1:9" ht="15" thickBot="1" x14ac:dyDescent="0.4">
      <c r="A190" s="2">
        <v>46248.771134259259</v>
      </c>
      <c r="B190" s="1" t="s">
        <v>22</v>
      </c>
      <c r="C190" s="1" t="s">
        <v>9</v>
      </c>
      <c r="D190" s="3">
        <v>20</v>
      </c>
      <c r="E190" s="3">
        <v>311</v>
      </c>
      <c r="F190" s="3">
        <v>6.0347766790000001</v>
      </c>
      <c r="G190" s="19" t="s">
        <v>102</v>
      </c>
      <c r="H190" s="20">
        <v>293.3</v>
      </c>
      <c r="I190" s="1" t="s">
        <v>8</v>
      </c>
    </row>
    <row r="191" spans="1:9" ht="26.5" thickBot="1" x14ac:dyDescent="0.4">
      <c r="A191" s="2">
        <v>46248.771134259259</v>
      </c>
      <c r="B191" s="1" t="s">
        <v>10</v>
      </c>
      <c r="C191" s="1" t="s">
        <v>9</v>
      </c>
      <c r="D191" s="3">
        <v>120</v>
      </c>
      <c r="E191" s="3">
        <v>300.5</v>
      </c>
      <c r="F191" s="3">
        <v>6.447042154</v>
      </c>
      <c r="G191" s="19" t="s">
        <v>90</v>
      </c>
      <c r="H191" s="20">
        <v>282.3</v>
      </c>
      <c r="I191" s="1" t="s">
        <v>8</v>
      </c>
    </row>
    <row r="192" spans="1:9" ht="26.5" thickBot="1" x14ac:dyDescent="0.4">
      <c r="A192" s="2">
        <v>46248.771111111113</v>
      </c>
      <c r="B192" s="1" t="s">
        <v>6</v>
      </c>
      <c r="C192" s="1" t="s">
        <v>9</v>
      </c>
      <c r="D192" s="3">
        <v>10</v>
      </c>
      <c r="E192" s="3">
        <v>2189</v>
      </c>
      <c r="F192" s="3">
        <v>6.9892473119999998</v>
      </c>
      <c r="G192" s="19" t="s">
        <v>89</v>
      </c>
      <c r="H192" s="20">
        <v>2046</v>
      </c>
      <c r="I192" s="1" t="s">
        <v>8</v>
      </c>
    </row>
    <row r="193" spans="1:9" ht="26.5" thickBot="1" x14ac:dyDescent="0.4">
      <c r="A193" s="2">
        <v>46239.635416666664</v>
      </c>
      <c r="B193" s="1" t="s">
        <v>55</v>
      </c>
      <c r="C193" s="1" t="s">
        <v>9</v>
      </c>
      <c r="D193" s="3">
        <v>150</v>
      </c>
      <c r="E193" s="8">
        <v>124.9</v>
      </c>
      <c r="F193" s="3">
        <v>7.2195038199999999</v>
      </c>
      <c r="G193" s="19" t="s">
        <v>135</v>
      </c>
      <c r="H193" s="20">
        <v>116.49</v>
      </c>
      <c r="I193" s="1" t="s">
        <v>8</v>
      </c>
    </row>
    <row r="194" spans="1:9" ht="26.5" thickBot="1" x14ac:dyDescent="0.4">
      <c r="A194" s="2">
        <v>46303.635416666664</v>
      </c>
      <c r="B194" s="1" t="s">
        <v>51</v>
      </c>
      <c r="C194" s="1" t="s">
        <v>9</v>
      </c>
      <c r="D194" s="3">
        <v>10</v>
      </c>
      <c r="E194" s="8">
        <v>773</v>
      </c>
      <c r="F194" s="3">
        <v>7.3611111109999996</v>
      </c>
      <c r="G194" s="19" t="s">
        <v>131</v>
      </c>
      <c r="H194" s="20">
        <v>720</v>
      </c>
      <c r="I194" s="1" t="s">
        <v>8</v>
      </c>
    </row>
    <row r="195" spans="1:9" ht="26.5" thickBot="1" x14ac:dyDescent="0.4">
      <c r="A195" s="2">
        <v>46364.635416666664</v>
      </c>
      <c r="B195" s="1" t="s">
        <v>48</v>
      </c>
      <c r="C195" s="1" t="s">
        <v>9</v>
      </c>
      <c r="D195" s="3">
        <v>200</v>
      </c>
      <c r="E195" s="8">
        <v>244</v>
      </c>
      <c r="F195" s="3">
        <v>7.4227348769999999</v>
      </c>
      <c r="G195" s="19" t="s">
        <v>128</v>
      </c>
      <c r="H195" s="20">
        <v>227.14</v>
      </c>
      <c r="I195" s="1" t="s">
        <v>8</v>
      </c>
    </row>
    <row r="196" spans="1:9" ht="15" thickBot="1" x14ac:dyDescent="0.4">
      <c r="A196" s="2">
        <v>46247.635416666664</v>
      </c>
      <c r="B196" s="1" t="s">
        <v>46</v>
      </c>
      <c r="C196" s="1" t="s">
        <v>9</v>
      </c>
      <c r="D196" s="3">
        <v>1</v>
      </c>
      <c r="E196" s="3">
        <v>3710</v>
      </c>
      <c r="F196" s="3">
        <v>7.6579321550000001</v>
      </c>
      <c r="G196" s="19" t="s">
        <v>126</v>
      </c>
      <c r="H196" s="20">
        <v>3446.1</v>
      </c>
      <c r="I196" s="1" t="s">
        <v>8</v>
      </c>
    </row>
    <row r="197" spans="1:9" ht="26.5" thickBot="1" x14ac:dyDescent="0.4">
      <c r="A197" s="2">
        <v>46247.689583333333</v>
      </c>
      <c r="B197" s="1" t="s">
        <v>26</v>
      </c>
      <c r="C197" s="1" t="s">
        <v>9</v>
      </c>
      <c r="D197" s="3">
        <v>5</v>
      </c>
      <c r="E197" s="3">
        <v>730</v>
      </c>
      <c r="F197" s="3">
        <v>7.6696165189999999</v>
      </c>
      <c r="G197" s="19" t="s">
        <v>106</v>
      </c>
      <c r="H197" s="20">
        <v>678</v>
      </c>
      <c r="I197" s="1" t="s">
        <v>8</v>
      </c>
    </row>
    <row r="198" spans="1:9" ht="15" thickBot="1" x14ac:dyDescent="0.4">
      <c r="A198" s="2">
        <v>46239.696527777778</v>
      </c>
      <c r="B198" s="1" t="s">
        <v>15</v>
      </c>
      <c r="C198" s="1" t="s">
        <v>9</v>
      </c>
      <c r="D198" s="3">
        <v>67</v>
      </c>
      <c r="E198" s="8">
        <v>373</v>
      </c>
      <c r="F198" s="3">
        <v>7.6945286560000001</v>
      </c>
      <c r="G198" s="19" t="s">
        <v>95</v>
      </c>
      <c r="H198" s="20">
        <v>346.35</v>
      </c>
      <c r="I198" s="1" t="s">
        <v>8</v>
      </c>
    </row>
    <row r="199" spans="1:9" ht="39" thickBot="1" x14ac:dyDescent="0.4">
      <c r="A199" s="2">
        <v>46247.635416666664</v>
      </c>
      <c r="B199" s="1" t="s">
        <v>56</v>
      </c>
      <c r="C199" s="1" t="s">
        <v>9</v>
      </c>
      <c r="D199" s="3">
        <v>15</v>
      </c>
      <c r="E199" s="3">
        <v>1090</v>
      </c>
      <c r="F199" s="3">
        <v>7.8140454999999998</v>
      </c>
      <c r="G199" s="19" t="s">
        <v>136</v>
      </c>
      <c r="H199" s="20">
        <v>1011</v>
      </c>
      <c r="I199" s="1" t="s">
        <v>8</v>
      </c>
    </row>
    <row r="200" spans="1:9" ht="26.5" thickBot="1" x14ac:dyDescent="0.4">
      <c r="A200" s="2">
        <v>46211.635416666664</v>
      </c>
      <c r="B200" s="1" t="s">
        <v>55</v>
      </c>
      <c r="C200" s="1" t="s">
        <v>9</v>
      </c>
      <c r="D200" s="3">
        <v>150</v>
      </c>
      <c r="E200" s="8">
        <v>125.9</v>
      </c>
      <c r="F200" s="3">
        <v>8.0779466049999993</v>
      </c>
      <c r="G200" s="19" t="s">
        <v>135</v>
      </c>
      <c r="H200" s="20">
        <v>116.49</v>
      </c>
      <c r="I200" s="1" t="s">
        <v>8</v>
      </c>
    </row>
    <row r="201" spans="1:9" ht="15" thickBot="1" x14ac:dyDescent="0.4">
      <c r="A201" s="2">
        <v>46247.689583333333</v>
      </c>
      <c r="B201" s="1" t="s">
        <v>22</v>
      </c>
      <c r="C201" s="1" t="s">
        <v>9</v>
      </c>
      <c r="D201" s="3">
        <v>50</v>
      </c>
      <c r="E201" s="3">
        <v>317</v>
      </c>
      <c r="F201" s="3">
        <v>8.0804636890000001</v>
      </c>
      <c r="G201" s="19" t="s">
        <v>102</v>
      </c>
      <c r="H201" s="20">
        <v>293.3</v>
      </c>
      <c r="I201" s="1" t="s">
        <v>8</v>
      </c>
    </row>
    <row r="202" spans="1:9" ht="26.5" thickBot="1" x14ac:dyDescent="0.4">
      <c r="A202" s="2">
        <v>46364.635416666664</v>
      </c>
      <c r="B202" s="1" t="s">
        <v>53</v>
      </c>
      <c r="C202" s="1" t="s">
        <v>9</v>
      </c>
      <c r="D202" s="3">
        <v>2</v>
      </c>
      <c r="E202" s="8">
        <v>2690</v>
      </c>
      <c r="F202" s="3">
        <v>8.4240225720000002</v>
      </c>
      <c r="G202" s="19" t="s">
        <v>133</v>
      </c>
      <c r="H202" s="20">
        <v>2481</v>
      </c>
      <c r="I202" s="1" t="s">
        <v>8</v>
      </c>
    </row>
    <row r="203" spans="1:9" ht="26.5" thickBot="1" x14ac:dyDescent="0.4">
      <c r="A203" s="4" t="s">
        <v>59</v>
      </c>
      <c r="B203" s="1" t="s">
        <v>28</v>
      </c>
      <c r="C203" s="1" t="s">
        <v>9</v>
      </c>
      <c r="D203" s="3">
        <v>10</v>
      </c>
      <c r="E203" s="14">
        <v>1024</v>
      </c>
      <c r="F203" s="3">
        <v>8.7048832269999998</v>
      </c>
      <c r="G203" s="19" t="s">
        <v>108</v>
      </c>
      <c r="H203" s="20">
        <v>942</v>
      </c>
      <c r="I203" s="1" t="s">
        <v>8</v>
      </c>
    </row>
    <row r="204" spans="1:9" ht="26.5" thickBot="1" x14ac:dyDescent="0.4">
      <c r="A204" s="2">
        <v>46247.635416666664</v>
      </c>
      <c r="B204" s="1" t="s">
        <v>69</v>
      </c>
      <c r="C204" s="1" t="s">
        <v>9</v>
      </c>
      <c r="D204" s="3">
        <v>5</v>
      </c>
      <c r="E204" s="3">
        <v>3980</v>
      </c>
      <c r="F204" s="3">
        <v>8.7728887669999995</v>
      </c>
      <c r="G204" s="19" t="s">
        <v>147</v>
      </c>
      <c r="H204" s="20">
        <v>3659</v>
      </c>
      <c r="I204" s="1" t="s">
        <v>8</v>
      </c>
    </row>
    <row r="205" spans="1:9" ht="26.5" thickBot="1" x14ac:dyDescent="0.4">
      <c r="A205" s="2">
        <v>46246.689583333333</v>
      </c>
      <c r="B205" s="1" t="s">
        <v>27</v>
      </c>
      <c r="C205" s="1" t="s">
        <v>9</v>
      </c>
      <c r="D205" s="3">
        <v>150</v>
      </c>
      <c r="E205" s="8">
        <v>136</v>
      </c>
      <c r="F205" s="3">
        <v>8.8000000000000007</v>
      </c>
      <c r="G205" s="19" t="s">
        <v>107</v>
      </c>
      <c r="H205" s="20">
        <v>125</v>
      </c>
      <c r="I205" s="1" t="s">
        <v>8</v>
      </c>
    </row>
    <row r="206" spans="1:9" ht="26.5" thickBot="1" x14ac:dyDescent="0.4">
      <c r="A206" s="2">
        <v>46211.635416666664</v>
      </c>
      <c r="B206" s="1" t="s">
        <v>53</v>
      </c>
      <c r="C206" s="1" t="s">
        <v>9</v>
      </c>
      <c r="D206" s="3">
        <v>3</v>
      </c>
      <c r="E206" s="8">
        <v>2710</v>
      </c>
      <c r="F206" s="3">
        <v>9.2301491329999994</v>
      </c>
      <c r="G206" s="19" t="s">
        <v>133</v>
      </c>
      <c r="H206" s="20">
        <v>2481</v>
      </c>
      <c r="I206" s="1" t="s">
        <v>8</v>
      </c>
    </row>
    <row r="207" spans="1:9" ht="15" thickBot="1" x14ac:dyDescent="0.4">
      <c r="A207" s="2">
        <v>46247.689583333333</v>
      </c>
      <c r="B207" s="1" t="s">
        <v>22</v>
      </c>
      <c r="C207" s="1" t="s">
        <v>9</v>
      </c>
      <c r="D207" s="3">
        <v>40</v>
      </c>
      <c r="E207" s="3">
        <v>320.5</v>
      </c>
      <c r="F207" s="3">
        <v>9.2737811109999999</v>
      </c>
      <c r="G207" s="19" t="s">
        <v>102</v>
      </c>
      <c r="H207" s="20">
        <v>293.3</v>
      </c>
      <c r="I207" s="1" t="s">
        <v>8</v>
      </c>
    </row>
    <row r="208" spans="1:9" ht="39" thickBot="1" x14ac:dyDescent="0.4">
      <c r="A208" s="4" t="s">
        <v>59</v>
      </c>
      <c r="B208" s="1" t="s">
        <v>68</v>
      </c>
      <c r="C208" s="1" t="s">
        <v>9</v>
      </c>
      <c r="D208" s="3">
        <v>30</v>
      </c>
      <c r="E208" s="14">
        <v>974</v>
      </c>
      <c r="F208" s="3">
        <v>9.4382022469999995</v>
      </c>
      <c r="G208" s="19" t="s">
        <v>146</v>
      </c>
      <c r="H208" s="20">
        <v>890</v>
      </c>
      <c r="I208" s="1" t="s">
        <v>8</v>
      </c>
    </row>
    <row r="209" spans="1:9" ht="26.5" thickBot="1" x14ac:dyDescent="0.4">
      <c r="A209" s="2">
        <v>46241.635416666664</v>
      </c>
      <c r="B209" s="1" t="s">
        <v>48</v>
      </c>
      <c r="C209" s="1" t="s">
        <v>9</v>
      </c>
      <c r="D209" s="3">
        <v>200</v>
      </c>
      <c r="E209" s="8">
        <v>249</v>
      </c>
      <c r="F209" s="3">
        <v>9.6240204279999997</v>
      </c>
      <c r="G209" s="19" t="s">
        <v>128</v>
      </c>
      <c r="H209" s="20">
        <v>227.14</v>
      </c>
      <c r="I209" s="1" t="s">
        <v>8</v>
      </c>
    </row>
    <row r="210" spans="1:9" ht="26.5" thickBot="1" x14ac:dyDescent="0.4">
      <c r="A210" s="2">
        <v>46211.635416666664</v>
      </c>
      <c r="B210" s="1" t="s">
        <v>51</v>
      </c>
      <c r="C210" s="1" t="s">
        <v>9</v>
      </c>
      <c r="D210" s="3">
        <v>5</v>
      </c>
      <c r="E210" s="8">
        <v>790</v>
      </c>
      <c r="F210" s="3">
        <v>9.7222222219999992</v>
      </c>
      <c r="G210" s="19" t="s">
        <v>131</v>
      </c>
      <c r="H210" s="20">
        <v>720</v>
      </c>
      <c r="I210" s="1" t="s">
        <v>8</v>
      </c>
    </row>
    <row r="211" spans="1:9" ht="26.5" thickBot="1" x14ac:dyDescent="0.4">
      <c r="A211" s="2">
        <v>46245.693055555559</v>
      </c>
      <c r="B211" s="12" t="s">
        <v>16</v>
      </c>
      <c r="C211" s="1" t="s">
        <v>9</v>
      </c>
      <c r="D211" s="3">
        <v>40</v>
      </c>
      <c r="E211" s="13">
        <v>229</v>
      </c>
      <c r="F211" s="3">
        <v>9.7479152689999999</v>
      </c>
      <c r="G211" s="19" t="s">
        <v>96</v>
      </c>
      <c r="H211" s="20">
        <v>208.66</v>
      </c>
      <c r="I211" s="1" t="s">
        <v>8</v>
      </c>
    </row>
    <row r="212" spans="1:9" ht="26.5" thickBot="1" x14ac:dyDescent="0.4">
      <c r="A212" s="2">
        <v>46244.635416666664</v>
      </c>
      <c r="B212" s="1" t="s">
        <v>42</v>
      </c>
      <c r="C212" s="1" t="s">
        <v>9</v>
      </c>
      <c r="D212" s="3">
        <v>11</v>
      </c>
      <c r="E212" s="8">
        <v>1170</v>
      </c>
      <c r="F212" s="3">
        <v>9.8076020649999993</v>
      </c>
      <c r="G212" s="19" t="s">
        <v>122</v>
      </c>
      <c r="H212" s="20">
        <v>1065.5</v>
      </c>
      <c r="I212" s="1" t="s">
        <v>8</v>
      </c>
    </row>
    <row r="213" spans="1:9" ht="26.5" thickBot="1" x14ac:dyDescent="0.4">
      <c r="A213" s="2">
        <v>46247.689583333333</v>
      </c>
      <c r="B213" s="1" t="s">
        <v>10</v>
      </c>
      <c r="C213" s="1" t="s">
        <v>9</v>
      </c>
      <c r="D213" s="3">
        <v>100</v>
      </c>
      <c r="E213" s="3">
        <v>310.5</v>
      </c>
      <c r="F213" s="3">
        <v>9.9893730069999993</v>
      </c>
      <c r="G213" s="19" t="s">
        <v>90</v>
      </c>
      <c r="H213" s="20">
        <v>282.3</v>
      </c>
      <c r="I213" s="1" t="s">
        <v>8</v>
      </c>
    </row>
    <row r="214" spans="1:9" ht="26.5" thickBot="1" x14ac:dyDescent="0.4">
      <c r="A214" s="2">
        <v>46364.689583333333</v>
      </c>
      <c r="B214" s="1" t="s">
        <v>26</v>
      </c>
      <c r="C214" s="1" t="s">
        <v>9</v>
      </c>
      <c r="D214" s="3">
        <v>11</v>
      </c>
      <c r="E214" s="8">
        <v>749</v>
      </c>
      <c r="F214" s="3">
        <v>10.471976400000001</v>
      </c>
      <c r="G214" s="19" t="s">
        <v>106</v>
      </c>
      <c r="H214" s="20">
        <v>678</v>
      </c>
      <c r="I214" s="1" t="s">
        <v>8</v>
      </c>
    </row>
    <row r="215" spans="1:9" ht="26.5" thickBot="1" x14ac:dyDescent="0.4">
      <c r="A215" s="2">
        <v>46247.689583333333</v>
      </c>
      <c r="B215" s="1" t="s">
        <v>58</v>
      </c>
      <c r="C215" s="1" t="s">
        <v>9</v>
      </c>
      <c r="D215" s="3">
        <v>25</v>
      </c>
      <c r="E215" s="3">
        <v>210</v>
      </c>
      <c r="F215" s="3">
        <v>10.555409320000001</v>
      </c>
      <c r="G215" s="19" t="s">
        <v>138</v>
      </c>
      <c r="H215" s="20">
        <v>189.95</v>
      </c>
      <c r="I215" s="1" t="s">
        <v>8</v>
      </c>
    </row>
    <row r="216" spans="1:9" ht="15" thickBot="1" x14ac:dyDescent="0.4">
      <c r="A216" s="2">
        <v>46246.635416666664</v>
      </c>
      <c r="B216" s="1" t="s">
        <v>46</v>
      </c>
      <c r="C216" s="1" t="s">
        <v>9</v>
      </c>
      <c r="D216" s="3">
        <v>1</v>
      </c>
      <c r="E216" s="8">
        <v>3810</v>
      </c>
      <c r="F216" s="3">
        <v>10.55976321</v>
      </c>
      <c r="G216" s="19" t="s">
        <v>126</v>
      </c>
      <c r="H216" s="20">
        <v>3446.1</v>
      </c>
      <c r="I216" s="1" t="s">
        <v>8</v>
      </c>
    </row>
    <row r="217" spans="1:9" ht="15" thickBot="1" x14ac:dyDescent="0.4">
      <c r="A217" s="2">
        <v>46303.635416666664</v>
      </c>
      <c r="B217" s="1" t="s">
        <v>70</v>
      </c>
      <c r="C217" s="1" t="s">
        <v>9</v>
      </c>
      <c r="D217" s="3">
        <v>50</v>
      </c>
      <c r="E217" s="8">
        <v>480</v>
      </c>
      <c r="F217" s="3">
        <v>10.59907834</v>
      </c>
      <c r="G217" s="19" t="s">
        <v>148</v>
      </c>
      <c r="H217" s="20">
        <v>434</v>
      </c>
      <c r="I217" s="1" t="s">
        <v>8</v>
      </c>
    </row>
    <row r="218" spans="1:9" ht="39" thickBot="1" x14ac:dyDescent="0.4">
      <c r="A218" s="4" t="s">
        <v>59</v>
      </c>
      <c r="B218" s="1" t="s">
        <v>68</v>
      </c>
      <c r="C218" s="1" t="s">
        <v>9</v>
      </c>
      <c r="D218" s="3">
        <v>5</v>
      </c>
      <c r="E218" s="8">
        <v>986</v>
      </c>
      <c r="F218" s="3">
        <v>10.78651685</v>
      </c>
      <c r="G218" s="19" t="s">
        <v>146</v>
      </c>
      <c r="H218" s="20">
        <v>890</v>
      </c>
      <c r="I218" s="1" t="s">
        <v>8</v>
      </c>
    </row>
    <row r="219" spans="1:9" ht="26.5" thickBot="1" x14ac:dyDescent="0.4">
      <c r="A219" s="4" t="s">
        <v>59</v>
      </c>
      <c r="B219" s="1" t="s">
        <v>10</v>
      </c>
      <c r="C219" s="1" t="s">
        <v>9</v>
      </c>
      <c r="D219" s="3">
        <v>100</v>
      </c>
      <c r="E219" s="14">
        <v>314</v>
      </c>
      <c r="F219" s="3">
        <v>11.22918881</v>
      </c>
      <c r="G219" s="19" t="s">
        <v>90</v>
      </c>
      <c r="H219" s="20">
        <v>282.3</v>
      </c>
      <c r="I219" s="1" t="s">
        <v>8</v>
      </c>
    </row>
    <row r="220" spans="1:9" ht="26.5" thickBot="1" x14ac:dyDescent="0.4">
      <c r="A220" s="2">
        <v>46211.635416666664</v>
      </c>
      <c r="B220" s="1" t="s">
        <v>50</v>
      </c>
      <c r="C220" s="1" t="s">
        <v>9</v>
      </c>
      <c r="D220" s="3">
        <v>3</v>
      </c>
      <c r="E220" s="8">
        <v>3341</v>
      </c>
      <c r="F220" s="3">
        <v>11.664438499999999</v>
      </c>
      <c r="G220" s="19" t="s">
        <v>130</v>
      </c>
      <c r="H220" s="20">
        <v>2992</v>
      </c>
      <c r="I220" s="1" t="s">
        <v>8</v>
      </c>
    </row>
    <row r="221" spans="1:9" ht="39" thickBot="1" x14ac:dyDescent="0.4">
      <c r="A221" s="4" t="s">
        <v>59</v>
      </c>
      <c r="B221" s="12" t="s">
        <v>68</v>
      </c>
      <c r="C221" s="1" t="s">
        <v>9</v>
      </c>
      <c r="D221" s="3">
        <v>40</v>
      </c>
      <c r="E221" s="13">
        <v>996</v>
      </c>
      <c r="F221" s="3">
        <v>11.910112359999999</v>
      </c>
      <c r="G221" s="19" t="s">
        <v>146</v>
      </c>
      <c r="H221" s="20">
        <v>890</v>
      </c>
      <c r="I221" s="1" t="s">
        <v>8</v>
      </c>
    </row>
    <row r="222" spans="1:9" ht="39" thickBot="1" x14ac:dyDescent="0.4">
      <c r="A222" s="4" t="s">
        <v>59</v>
      </c>
      <c r="B222" s="1" t="s">
        <v>68</v>
      </c>
      <c r="C222" s="1" t="s">
        <v>9</v>
      </c>
      <c r="D222" s="3">
        <v>5</v>
      </c>
      <c r="E222" s="8">
        <v>1002</v>
      </c>
      <c r="F222" s="3">
        <v>12.58426966</v>
      </c>
      <c r="G222" s="19" t="s">
        <v>146</v>
      </c>
      <c r="H222" s="20">
        <v>890</v>
      </c>
      <c r="I222" s="1" t="s">
        <v>8</v>
      </c>
    </row>
    <row r="223" spans="1:9" ht="26.5" thickBot="1" x14ac:dyDescent="0.4">
      <c r="A223" s="2">
        <v>46247.645138888889</v>
      </c>
      <c r="B223" s="1" t="s">
        <v>57</v>
      </c>
      <c r="C223" s="1" t="s">
        <v>9</v>
      </c>
      <c r="D223" s="3">
        <v>5</v>
      </c>
      <c r="E223" s="3">
        <v>596</v>
      </c>
      <c r="F223" s="3">
        <v>12.622826910000001</v>
      </c>
      <c r="G223" s="19" t="s">
        <v>137</v>
      </c>
      <c r="H223" s="20">
        <v>529.20000000000005</v>
      </c>
      <c r="I223" s="1" t="s">
        <v>8</v>
      </c>
    </row>
    <row r="224" spans="1:9" ht="26.5" thickBot="1" x14ac:dyDescent="0.4">
      <c r="A224" s="2">
        <v>46239.788888888892</v>
      </c>
      <c r="B224" s="1" t="s">
        <v>10</v>
      </c>
      <c r="C224" s="1" t="s">
        <v>9</v>
      </c>
      <c r="D224" s="3">
        <v>100</v>
      </c>
      <c r="E224" s="8">
        <v>318</v>
      </c>
      <c r="F224" s="3">
        <v>12.646121150000001</v>
      </c>
      <c r="G224" s="19" t="s">
        <v>90</v>
      </c>
      <c r="H224" s="20">
        <v>282.3</v>
      </c>
      <c r="I224" s="1" t="s">
        <v>8</v>
      </c>
    </row>
    <row r="225" spans="1:9" ht="26.5" thickBot="1" x14ac:dyDescent="0.4">
      <c r="A225" s="2">
        <v>46248.770937499998</v>
      </c>
      <c r="B225" s="1" t="s">
        <v>6</v>
      </c>
      <c r="C225" s="1" t="s">
        <v>9</v>
      </c>
      <c r="D225" s="3">
        <v>20</v>
      </c>
      <c r="E225" s="3">
        <v>2310</v>
      </c>
      <c r="F225" s="3">
        <v>12.90322581</v>
      </c>
      <c r="G225" s="19" t="s">
        <v>89</v>
      </c>
      <c r="H225" s="20">
        <v>2046</v>
      </c>
      <c r="I225" s="1" t="s">
        <v>8</v>
      </c>
    </row>
    <row r="226" spans="1:9" ht="26.5" thickBot="1" x14ac:dyDescent="0.4">
      <c r="A226" s="4" t="s">
        <v>59</v>
      </c>
      <c r="B226" s="1" t="s">
        <v>10</v>
      </c>
      <c r="C226" s="1" t="s">
        <v>9</v>
      </c>
      <c r="D226" s="3">
        <v>100</v>
      </c>
      <c r="E226" s="14">
        <v>319</v>
      </c>
      <c r="F226" s="3">
        <v>13.000354229999999</v>
      </c>
      <c r="G226" s="19" t="s">
        <v>90</v>
      </c>
      <c r="H226" s="20">
        <v>282.3</v>
      </c>
      <c r="I226" s="1" t="s">
        <v>8</v>
      </c>
    </row>
    <row r="227" spans="1:9" ht="15" thickBot="1" x14ac:dyDescent="0.4">
      <c r="A227" s="4" t="s">
        <v>59</v>
      </c>
      <c r="B227" s="1" t="s">
        <v>70</v>
      </c>
      <c r="C227" s="1" t="s">
        <v>9</v>
      </c>
      <c r="D227" s="3">
        <v>35</v>
      </c>
      <c r="E227" s="14">
        <v>494</v>
      </c>
      <c r="F227" s="3">
        <v>13.82488479</v>
      </c>
      <c r="G227" s="19" t="s">
        <v>148</v>
      </c>
      <c r="H227" s="20">
        <v>434</v>
      </c>
      <c r="I227" s="1" t="s">
        <v>8</v>
      </c>
    </row>
    <row r="228" spans="1:9" ht="26.5" thickBot="1" x14ac:dyDescent="0.4">
      <c r="A228" s="2">
        <v>46150.788888888892</v>
      </c>
      <c r="B228" s="1" t="s">
        <v>10</v>
      </c>
      <c r="C228" s="1" t="s">
        <v>9</v>
      </c>
      <c r="D228" s="3">
        <v>150</v>
      </c>
      <c r="E228" s="8">
        <v>323</v>
      </c>
      <c r="F228" s="3">
        <v>14.41728657</v>
      </c>
      <c r="G228" s="19" t="s">
        <v>90</v>
      </c>
      <c r="H228" s="20">
        <v>282.3</v>
      </c>
      <c r="I228" s="1" t="s">
        <v>8</v>
      </c>
    </row>
    <row r="229" spans="1:9" ht="39" thickBot="1" x14ac:dyDescent="0.4">
      <c r="A229" s="5">
        <v>46334.645833333336</v>
      </c>
      <c r="B229" s="6" t="s">
        <v>56</v>
      </c>
      <c r="C229" s="6" t="s">
        <v>9</v>
      </c>
      <c r="D229" s="7">
        <v>7</v>
      </c>
      <c r="E229" s="8">
        <v>1170</v>
      </c>
      <c r="F229" s="3">
        <v>15.727002969999999</v>
      </c>
      <c r="G229" s="19" t="s">
        <v>136</v>
      </c>
      <c r="H229" s="20">
        <v>1011</v>
      </c>
      <c r="I229" s="1" t="s">
        <v>8</v>
      </c>
    </row>
    <row r="230" spans="1:9" ht="26.5" thickBot="1" x14ac:dyDescent="0.4">
      <c r="A230" s="2">
        <v>46364.689583333333</v>
      </c>
      <c r="B230" s="1" t="s">
        <v>18</v>
      </c>
      <c r="C230" s="1" t="s">
        <v>9</v>
      </c>
      <c r="D230" s="3">
        <v>5</v>
      </c>
      <c r="E230" s="8">
        <v>416</v>
      </c>
      <c r="F230" s="3">
        <v>21.65521275</v>
      </c>
      <c r="G230" s="19" t="s">
        <v>98</v>
      </c>
      <c r="H230" s="20">
        <v>341.95</v>
      </c>
      <c r="I230" s="1" t="s">
        <v>8</v>
      </c>
    </row>
    <row r="231" spans="1:9" ht="26.5" thickBot="1" x14ac:dyDescent="0.4">
      <c r="A231" s="2">
        <v>46247.689583333333</v>
      </c>
      <c r="B231" s="1" t="s">
        <v>6</v>
      </c>
      <c r="C231" s="1" t="s">
        <v>9</v>
      </c>
      <c r="D231" s="3">
        <v>1</v>
      </c>
      <c r="E231" s="3">
        <v>2494</v>
      </c>
      <c r="F231" s="3">
        <v>21.896383190000002</v>
      </c>
      <c r="G231" s="19" t="s">
        <v>89</v>
      </c>
      <c r="H231" s="20">
        <v>2046</v>
      </c>
      <c r="I231" s="1" t="s">
        <v>8</v>
      </c>
    </row>
    <row r="232" spans="1:9" ht="26.5" thickBot="1" x14ac:dyDescent="0.4">
      <c r="A232" s="2">
        <v>46246.689583333333</v>
      </c>
      <c r="B232" s="1" t="s">
        <v>18</v>
      </c>
      <c r="C232" s="1" t="s">
        <v>9</v>
      </c>
      <c r="D232" s="3">
        <v>5</v>
      </c>
      <c r="E232" s="8">
        <v>435</v>
      </c>
      <c r="F232" s="3">
        <v>27.211580640000001</v>
      </c>
      <c r="G232" s="19" t="s">
        <v>98</v>
      </c>
      <c r="H232" s="20">
        <v>341.95</v>
      </c>
      <c r="I232" s="1" t="s">
        <v>8</v>
      </c>
    </row>
    <row r="233" spans="1:9" ht="26.5" thickBot="1" x14ac:dyDescent="0.4">
      <c r="A233" s="2">
        <v>46239.793055555558</v>
      </c>
      <c r="B233" s="1" t="s">
        <v>71</v>
      </c>
      <c r="C233" s="1" t="s">
        <v>9</v>
      </c>
      <c r="D233" s="3">
        <v>23</v>
      </c>
      <c r="E233" s="8">
        <v>890</v>
      </c>
      <c r="F233" s="4" t="e">
        <v>#N/A</v>
      </c>
      <c r="G233" s="19" t="s">
        <v>149</v>
      </c>
      <c r="H233" s="21" t="e">
        <v>#N/A</v>
      </c>
      <c r="I233" s="1" t="s">
        <v>8</v>
      </c>
    </row>
    <row r="234" spans="1:9" ht="15" thickBot="1" x14ac:dyDescent="0.4">
      <c r="A234" s="19"/>
      <c r="B234" s="19"/>
      <c r="C234" s="19"/>
      <c r="D234" s="19"/>
      <c r="E234" s="22"/>
      <c r="F234" s="19"/>
      <c r="G234" s="19"/>
      <c r="H234" s="19"/>
      <c r="I234" s="19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AA9-0C40-452D-847E-B60BDCCBBD0C}">
  <dimension ref="A1:H19"/>
  <sheetViews>
    <sheetView workbookViewId="0">
      <selection activeCell="H13" sqref="H13"/>
    </sheetView>
  </sheetViews>
  <sheetFormatPr defaultRowHeight="14.5" x14ac:dyDescent="0.35"/>
  <cols>
    <col min="8" max="8" width="8.7265625" style="15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5" t="str" cm="1">
        <f t="array" ref="H1:H14">_xlfn.UNIQUE(B:B)</f>
        <v>Stock</v>
      </c>
    </row>
    <row r="2" spans="1:8" x14ac:dyDescent="0.35">
      <c r="A2" t="s">
        <v>72</v>
      </c>
      <c r="B2" t="s">
        <v>6</v>
      </c>
      <c r="C2" t="s">
        <v>7</v>
      </c>
      <c r="D2">
        <v>10</v>
      </c>
      <c r="E2">
        <v>2014</v>
      </c>
      <c r="F2" t="s">
        <v>73</v>
      </c>
      <c r="H2" s="16" t="str">
        <v>KERNEXEQ</v>
      </c>
    </row>
    <row r="3" spans="1:8" x14ac:dyDescent="0.35">
      <c r="A3" t="s">
        <v>74</v>
      </c>
      <c r="B3" t="s">
        <v>6</v>
      </c>
      <c r="C3" t="s">
        <v>7</v>
      </c>
      <c r="D3">
        <v>5</v>
      </c>
      <c r="E3">
        <v>2114</v>
      </c>
      <c r="F3" t="s">
        <v>73</v>
      </c>
      <c r="H3" s="15" t="str">
        <v>SOLARINDSEQ</v>
      </c>
    </row>
    <row r="4" spans="1:8" x14ac:dyDescent="0.35">
      <c r="A4" t="s">
        <v>75</v>
      </c>
      <c r="B4" t="s">
        <v>6</v>
      </c>
      <c r="C4" t="s">
        <v>7</v>
      </c>
      <c r="D4">
        <v>9</v>
      </c>
      <c r="E4">
        <v>2184</v>
      </c>
      <c r="F4" t="s">
        <v>73</v>
      </c>
      <c r="H4" s="15" t="str">
        <v>HUDCOEQ</v>
      </c>
    </row>
    <row r="5" spans="1:8" x14ac:dyDescent="0.35">
      <c r="A5" t="s">
        <v>76</v>
      </c>
      <c r="B5" t="s">
        <v>33</v>
      </c>
      <c r="C5" t="s">
        <v>9</v>
      </c>
      <c r="D5">
        <v>1</v>
      </c>
      <c r="E5">
        <v>19952</v>
      </c>
      <c r="F5" t="s">
        <v>73</v>
      </c>
      <c r="H5" s="15" t="str">
        <v>CAMSEQ</v>
      </c>
    </row>
    <row r="6" spans="1:8" x14ac:dyDescent="0.35">
      <c r="A6" t="s">
        <v>77</v>
      </c>
      <c r="B6" t="s">
        <v>33</v>
      </c>
      <c r="C6" t="s">
        <v>7</v>
      </c>
      <c r="D6">
        <v>1</v>
      </c>
      <c r="E6">
        <v>19552</v>
      </c>
      <c r="F6" t="s">
        <v>73</v>
      </c>
      <c r="H6" s="15" t="str">
        <v>RVNLEQ</v>
      </c>
    </row>
    <row r="7" spans="1:8" x14ac:dyDescent="0.35">
      <c r="A7" t="s">
        <v>78</v>
      </c>
      <c r="B7" t="s">
        <v>6</v>
      </c>
      <c r="C7" t="s">
        <v>7</v>
      </c>
      <c r="D7">
        <v>5</v>
      </c>
      <c r="E7">
        <v>2064</v>
      </c>
      <c r="F7" t="s">
        <v>73</v>
      </c>
      <c r="H7" s="15" t="str">
        <v>RAILTELEQ</v>
      </c>
    </row>
    <row r="8" spans="1:8" x14ac:dyDescent="0.35">
      <c r="A8" t="s">
        <v>79</v>
      </c>
      <c r="B8" t="s">
        <v>6</v>
      </c>
      <c r="C8" t="s">
        <v>7</v>
      </c>
      <c r="D8">
        <v>1</v>
      </c>
      <c r="E8">
        <v>2164</v>
      </c>
      <c r="F8" t="s">
        <v>73</v>
      </c>
      <c r="H8" s="15" t="str">
        <v>TVSMOTOREQ</v>
      </c>
    </row>
    <row r="9" spans="1:8" x14ac:dyDescent="0.35">
      <c r="A9" t="s">
        <v>80</v>
      </c>
      <c r="B9" t="s">
        <v>6</v>
      </c>
      <c r="C9" t="s">
        <v>7</v>
      </c>
      <c r="D9">
        <v>10</v>
      </c>
      <c r="E9">
        <v>2400</v>
      </c>
      <c r="F9" t="s">
        <v>73</v>
      </c>
      <c r="H9" s="15" t="str">
        <v>KFINTECHEQ</v>
      </c>
    </row>
    <row r="10" spans="1:8" x14ac:dyDescent="0.35">
      <c r="A10" t="s">
        <v>81</v>
      </c>
      <c r="B10" t="s">
        <v>58</v>
      </c>
      <c r="C10" t="s">
        <v>7</v>
      </c>
      <c r="D10">
        <v>25</v>
      </c>
      <c r="E10">
        <v>190.1</v>
      </c>
      <c r="F10" t="s">
        <v>73</v>
      </c>
      <c r="H10" s="15" t="str">
        <v>LODHAEQ</v>
      </c>
    </row>
    <row r="11" spans="1:8" x14ac:dyDescent="0.35">
      <c r="A11" t="s">
        <v>82</v>
      </c>
      <c r="B11" t="s">
        <v>31</v>
      </c>
      <c r="C11" t="s">
        <v>7</v>
      </c>
      <c r="D11">
        <v>25</v>
      </c>
      <c r="E11">
        <v>764</v>
      </c>
      <c r="F11" t="s">
        <v>73</v>
      </c>
      <c r="H11" s="15" t="str">
        <v>BDLEQ</v>
      </c>
    </row>
    <row r="12" spans="1:8" x14ac:dyDescent="0.35">
      <c r="A12" t="s">
        <v>82</v>
      </c>
      <c r="B12" t="s">
        <v>48</v>
      </c>
      <c r="C12" t="s">
        <v>7</v>
      </c>
      <c r="D12">
        <v>10</v>
      </c>
      <c r="E12">
        <v>226</v>
      </c>
      <c r="F12" t="s">
        <v>73</v>
      </c>
      <c r="H12" s="15" t="str">
        <v>E2EEQ</v>
      </c>
    </row>
    <row r="13" spans="1:8" x14ac:dyDescent="0.35">
      <c r="A13" t="s">
        <v>82</v>
      </c>
      <c r="B13" t="s">
        <v>10</v>
      </c>
      <c r="C13" t="s">
        <v>7</v>
      </c>
      <c r="D13">
        <v>30</v>
      </c>
      <c r="E13">
        <v>284</v>
      </c>
      <c r="F13" t="s">
        <v>73</v>
      </c>
      <c r="H13" s="15" t="str">
        <v>GLENMARKEQ</v>
      </c>
    </row>
    <row r="14" spans="1:8" x14ac:dyDescent="0.35">
      <c r="A14" t="s">
        <v>82</v>
      </c>
      <c r="B14" t="s">
        <v>34</v>
      </c>
      <c r="C14" t="s">
        <v>7</v>
      </c>
      <c r="D14">
        <v>1</v>
      </c>
      <c r="E14">
        <v>4306</v>
      </c>
      <c r="F14" t="s">
        <v>73</v>
      </c>
      <c r="H14" s="15">
        <v>0</v>
      </c>
    </row>
    <row r="15" spans="1:8" x14ac:dyDescent="0.35">
      <c r="A15" t="s">
        <v>83</v>
      </c>
      <c r="B15" t="s">
        <v>28</v>
      </c>
      <c r="C15" t="s">
        <v>9</v>
      </c>
      <c r="D15">
        <v>10</v>
      </c>
      <c r="E15">
        <v>937</v>
      </c>
      <c r="F15" t="s">
        <v>73</v>
      </c>
    </row>
    <row r="16" spans="1:8" x14ac:dyDescent="0.35">
      <c r="A16" t="s">
        <v>84</v>
      </c>
      <c r="B16" t="s">
        <v>30</v>
      </c>
      <c r="C16" t="s">
        <v>9</v>
      </c>
      <c r="D16">
        <v>5</v>
      </c>
      <c r="E16">
        <v>1248</v>
      </c>
      <c r="F16" t="s">
        <v>73</v>
      </c>
    </row>
    <row r="17" spans="1:6" x14ac:dyDescent="0.35">
      <c r="A17" t="s">
        <v>84</v>
      </c>
      <c r="B17" t="s">
        <v>29</v>
      </c>
      <c r="C17" t="s">
        <v>9</v>
      </c>
      <c r="D17">
        <v>10</v>
      </c>
      <c r="E17">
        <v>1390</v>
      </c>
      <c r="F17" t="s">
        <v>73</v>
      </c>
    </row>
    <row r="18" spans="1:6" x14ac:dyDescent="0.35">
      <c r="A18" t="s">
        <v>85</v>
      </c>
      <c r="B18" t="s">
        <v>12</v>
      </c>
      <c r="C18" t="s">
        <v>9</v>
      </c>
      <c r="D18">
        <v>5</v>
      </c>
      <c r="E18">
        <v>640</v>
      </c>
      <c r="F18" t="s">
        <v>73</v>
      </c>
    </row>
    <row r="19" spans="1:6" x14ac:dyDescent="0.35">
      <c r="A19" t="s">
        <v>85</v>
      </c>
      <c r="B19" t="s">
        <v>35</v>
      </c>
      <c r="C19" t="s">
        <v>9</v>
      </c>
      <c r="D19">
        <v>7</v>
      </c>
      <c r="E19">
        <v>2324</v>
      </c>
      <c r="F19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21AB-5017-4B51-9E81-C25C7F7C275F}">
  <sheetPr filterMode="1"/>
  <dimension ref="A1:F234"/>
  <sheetViews>
    <sheetView topLeftCell="A228" workbookViewId="0">
      <selection sqref="A1:E234"/>
    </sheetView>
  </sheetViews>
  <sheetFormatPr defaultRowHeight="14.5" x14ac:dyDescent="0.35"/>
  <cols>
    <col min="1" max="1" width="14.453125" customWidth="1"/>
  </cols>
  <sheetData>
    <row r="1" spans="1:6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29.5" thickBot="1" x14ac:dyDescent="0.4">
      <c r="A2" s="2">
        <v>46247.645462962966</v>
      </c>
      <c r="B2" s="1" t="s">
        <v>34</v>
      </c>
      <c r="C2" s="1" t="s">
        <v>7</v>
      </c>
      <c r="D2" s="3">
        <v>1</v>
      </c>
      <c r="E2" s="3">
        <v>4306</v>
      </c>
      <c r="F2" t="e">
        <f>IF(COUNTIFS(
    Sheet1!#REF!, B2,
    Sheet1!#REF!, C2,
    Sheet1!#REF!, D2,
    Sheet1!#REF!, E2
) = 0, "NO MATCH IN TARGET", "MATCHED")</f>
        <v>#REF!</v>
      </c>
    </row>
    <row r="3" spans="1:6" ht="29.5" thickBot="1" x14ac:dyDescent="0.4">
      <c r="A3" s="2">
        <v>46247.690011574072</v>
      </c>
      <c r="B3" s="1" t="s">
        <v>10</v>
      </c>
      <c r="C3" s="1" t="s">
        <v>7</v>
      </c>
      <c r="D3" s="3">
        <v>30</v>
      </c>
      <c r="E3" s="3">
        <v>284</v>
      </c>
      <c r="F3" t="e">
        <f>IF(COUNTIFS(
    Sheet1!#REF!, B3,
    Sheet1!#REF!, C3,
    Sheet1!#REF!, D3,
    Sheet1!#REF!, E3
) = 0, "NO MATCH IN TARGET", "MATCHED")</f>
        <v>#REF!</v>
      </c>
    </row>
    <row r="4" spans="1:6" ht="29.5" hidden="1" thickBot="1" x14ac:dyDescent="0.4">
      <c r="A4" s="2">
        <v>46247.645462962966</v>
      </c>
      <c r="B4" s="1" t="s">
        <v>53</v>
      </c>
      <c r="C4" s="1" t="s">
        <v>7</v>
      </c>
      <c r="D4" s="3">
        <v>2</v>
      </c>
      <c r="E4" s="3">
        <v>2460</v>
      </c>
      <c r="F4" t="e">
        <f>IF(COUNTIFS(
    Sheet1!#REF!, B4,
    Sheet1!#REF!, C4,
    Sheet1!#REF!, D4,
    Sheet1!#REF!, E4
) = 0, "NO MATCH IN TARGET", "MATCHED")</f>
        <v>#REF!</v>
      </c>
    </row>
    <row r="5" spans="1:6" ht="15" thickBot="1" x14ac:dyDescent="0.4">
      <c r="A5" s="2">
        <v>46247.645451388889</v>
      </c>
      <c r="B5" s="1" t="s">
        <v>48</v>
      </c>
      <c r="C5" s="1" t="s">
        <v>7</v>
      </c>
      <c r="D5" s="3">
        <v>10</v>
      </c>
      <c r="E5" s="3">
        <v>226</v>
      </c>
      <c r="F5" t="e">
        <f>IF(COUNTIFS(
    Sheet1!#REF!, B5,
    Sheet1!#REF!, C5,
    Sheet1!#REF!, D5,
    Sheet1!#REF!, E5
) = 0, "NO MATCH IN TARGET", "MATCHED")</f>
        <v>#REF!</v>
      </c>
    </row>
    <row r="6" spans="1:6" ht="15" thickBot="1" x14ac:dyDescent="0.4">
      <c r="A6" s="2">
        <v>46247.64539351852</v>
      </c>
      <c r="B6" s="1" t="s">
        <v>31</v>
      </c>
      <c r="C6" s="1" t="s">
        <v>7</v>
      </c>
      <c r="D6" s="3">
        <v>25</v>
      </c>
      <c r="E6" s="3">
        <v>764</v>
      </c>
      <c r="F6" t="e">
        <f>IF(COUNTIFS(
    Sheet1!#REF!, B6,
    Sheet1!#REF!, C6,
    Sheet1!#REF!, D6,
    Sheet1!#REF!, E6
) = 0, "NO MATCH IN TARGET", "MATCHED")</f>
        <v>#REF!</v>
      </c>
    </row>
    <row r="7" spans="1:6" ht="15" hidden="1" thickBot="1" x14ac:dyDescent="0.4">
      <c r="A7" s="2">
        <v>46247.690150462964</v>
      </c>
      <c r="B7" s="1" t="s">
        <v>15</v>
      </c>
      <c r="C7" s="1" t="s">
        <v>7</v>
      </c>
      <c r="D7" s="3">
        <v>100</v>
      </c>
      <c r="E7" s="3">
        <v>341</v>
      </c>
      <c r="F7" t="e">
        <f>IF(COUNTIFS(
    Sheet1!#REF!, B7,
    Sheet1!#REF!, C7,
    Sheet1!#REF!, D7,
    Sheet1!#REF!, E7
) = 0, "NO MATCH IN TARGET", "MATCHED")</f>
        <v>#REF!</v>
      </c>
    </row>
    <row r="8" spans="1:6" ht="15" hidden="1" thickBot="1" x14ac:dyDescent="0.4">
      <c r="A8" s="2">
        <v>46247.645451388889</v>
      </c>
      <c r="B8" s="1" t="s">
        <v>52</v>
      </c>
      <c r="C8" s="1" t="s">
        <v>7</v>
      </c>
      <c r="D8" s="3">
        <v>100</v>
      </c>
      <c r="E8" s="3">
        <v>87.3</v>
      </c>
      <c r="F8" t="e">
        <f>IF(COUNTIFS(
    Sheet1!#REF!, B8,
    Sheet1!#REF!, C8,
    Sheet1!#REF!, D8,
    Sheet1!#REF!, E8
) = 0, "NO MATCH IN TARGET", "MATCHED")</f>
        <v>#REF!</v>
      </c>
    </row>
    <row r="9" spans="1:6" ht="15" hidden="1" thickBot="1" x14ac:dyDescent="0.4">
      <c r="A9" s="2">
        <v>46247.690046296295</v>
      </c>
      <c r="B9" s="1" t="s">
        <v>24</v>
      </c>
      <c r="C9" s="1" t="s">
        <v>7</v>
      </c>
      <c r="D9" s="3">
        <v>10</v>
      </c>
      <c r="E9" s="3">
        <v>2601</v>
      </c>
      <c r="F9" t="e">
        <f>IF(COUNTIFS(
    Sheet1!#REF!, B9,
    Sheet1!#REF!, C9,
    Sheet1!#REF!, D9,
    Sheet1!#REF!, E9
) = 0, "NO MATCH IN TARGET", "MATCHED")</f>
        <v>#REF!</v>
      </c>
    </row>
    <row r="10" spans="1:6" ht="15" hidden="1" thickBot="1" x14ac:dyDescent="0.4">
      <c r="A10" s="2">
        <v>46247.645416666666</v>
      </c>
      <c r="B10" s="1" t="s">
        <v>47</v>
      </c>
      <c r="C10" s="1" t="s">
        <v>7</v>
      </c>
      <c r="D10" s="3">
        <v>5</v>
      </c>
      <c r="E10" s="3">
        <v>4002</v>
      </c>
      <c r="F10" t="e">
        <f>IF(COUNTIFS(
    Sheet1!#REF!, B10,
    Sheet1!#REF!, C10,
    Sheet1!#REF!, D10,
    Sheet1!#REF!, E10
) = 0, "NO MATCH IN TARGET", "MATCHED")</f>
        <v>#REF!</v>
      </c>
    </row>
    <row r="11" spans="1:6" ht="29.5" hidden="1" thickBot="1" x14ac:dyDescent="0.4">
      <c r="A11" s="2">
        <v>46247.645451388889</v>
      </c>
      <c r="B11" s="1" t="s">
        <v>51</v>
      </c>
      <c r="C11" s="1" t="s">
        <v>7</v>
      </c>
      <c r="D11" s="3">
        <v>5</v>
      </c>
      <c r="E11" s="3">
        <v>712</v>
      </c>
      <c r="F11" t="e">
        <f>IF(COUNTIFS(
    Sheet1!#REF!, B11,
    Sheet1!#REF!, C11,
    Sheet1!#REF!, D11,
    Sheet1!#REF!, E11
) = 0, "NO MATCH IN TARGET", "MATCHED")</f>
        <v>#REF!</v>
      </c>
    </row>
    <row r="12" spans="1:6" ht="15" hidden="1" thickBot="1" x14ac:dyDescent="0.4">
      <c r="A12" s="2">
        <v>46247.64539351852</v>
      </c>
      <c r="B12" s="1" t="s">
        <v>50</v>
      </c>
      <c r="C12" s="1" t="s">
        <v>7</v>
      </c>
      <c r="D12" s="3">
        <v>5</v>
      </c>
      <c r="E12" s="3">
        <v>2938</v>
      </c>
      <c r="F12" t="e">
        <f>IF(COUNTIFS(
    Sheet1!#REF!, B12,
    Sheet1!#REF!, C12,
    Sheet1!#REF!, D12,
    Sheet1!#REF!, E12
) = 0, "NO MATCH IN TARGET", "MATCHED")</f>
        <v>#REF!</v>
      </c>
    </row>
    <row r="13" spans="1:6" ht="29.5" hidden="1" thickBot="1" x14ac:dyDescent="0.4">
      <c r="A13" s="2">
        <v>46247.690011574072</v>
      </c>
      <c r="B13" s="1" t="s">
        <v>20</v>
      </c>
      <c r="C13" s="1" t="s">
        <v>7</v>
      </c>
      <c r="D13" s="3">
        <v>40</v>
      </c>
      <c r="E13" s="3">
        <v>436</v>
      </c>
      <c r="F13" t="e">
        <f>IF(COUNTIFS(
    Sheet1!#REF!, B13,
    Sheet1!#REF!, C13,
    Sheet1!#REF!, D13,
    Sheet1!#REF!, E13
) = 0, "NO MATCH IN TARGET", "MATCHED")</f>
        <v>#REF!</v>
      </c>
    </row>
    <row r="14" spans="1:6" ht="29.5" hidden="1" thickBot="1" x14ac:dyDescent="0.4">
      <c r="A14" s="2">
        <v>46247.645381944443</v>
      </c>
      <c r="B14" s="1" t="s">
        <v>43</v>
      </c>
      <c r="C14" s="1" t="s">
        <v>7</v>
      </c>
      <c r="D14" s="3">
        <v>5</v>
      </c>
      <c r="E14" s="3">
        <v>1152</v>
      </c>
      <c r="F14" t="e">
        <f>IF(COUNTIFS(
    Sheet1!#REF!, B14,
    Sheet1!#REF!, C14,
    Sheet1!#REF!, D14,
    Sheet1!#REF!, E14
) = 0, "NO MATCH IN TARGET", "MATCHED")</f>
        <v>#REF!</v>
      </c>
    </row>
    <row r="15" spans="1:6" ht="15" hidden="1" thickBot="1" x14ac:dyDescent="0.4">
      <c r="A15" s="2">
        <v>46247.690046296295</v>
      </c>
      <c r="B15" s="1" t="s">
        <v>24</v>
      </c>
      <c r="C15" s="1" t="s">
        <v>7</v>
      </c>
      <c r="D15" s="3">
        <v>10</v>
      </c>
      <c r="E15" s="3">
        <v>2583</v>
      </c>
      <c r="F15" t="e">
        <f>IF(COUNTIFS(
    Sheet1!#REF!, B15,
    Sheet1!#REF!, C15,
    Sheet1!#REF!, D15,
    Sheet1!#REF!, E15
) = 0, "NO MATCH IN TARGET", "MATCHED")</f>
        <v>#REF!</v>
      </c>
    </row>
    <row r="16" spans="1:6" ht="29.5" thickBot="1" x14ac:dyDescent="0.4">
      <c r="A16" s="2">
        <v>46247.690138888887</v>
      </c>
      <c r="B16" s="1" t="s">
        <v>58</v>
      </c>
      <c r="C16" s="1" t="s">
        <v>7</v>
      </c>
      <c r="D16" s="3">
        <v>25</v>
      </c>
      <c r="E16" s="3">
        <v>190.1</v>
      </c>
      <c r="F16" t="e">
        <f>IF(COUNTIFS(
    Sheet1!#REF!, B16,
    Sheet1!#REF!, C16,
    Sheet1!#REF!, D16,
    Sheet1!#REF!, E16
) = 0, "NO MATCH IN TARGET", "MATCHED")</f>
        <v>#REF!</v>
      </c>
    </row>
    <row r="17" spans="1:6" ht="29.5" hidden="1" thickBot="1" x14ac:dyDescent="0.4">
      <c r="A17" s="2">
        <v>46247.690057870372</v>
      </c>
      <c r="B17" s="1" t="s">
        <v>19</v>
      </c>
      <c r="C17" s="1" t="s">
        <v>7</v>
      </c>
      <c r="D17" s="3">
        <v>100</v>
      </c>
      <c r="E17" s="3">
        <v>217</v>
      </c>
      <c r="F17" t="e">
        <f>IF(COUNTIFS(
    Sheet1!#REF!, B17,
    Sheet1!#REF!, C17,
    Sheet1!#REF!, D17,
    Sheet1!#REF!, E17
) = 0, "NO MATCH IN TARGET", "MATCHED")</f>
        <v>#REF!</v>
      </c>
    </row>
    <row r="18" spans="1:6" ht="29.5" hidden="1" thickBot="1" x14ac:dyDescent="0.4">
      <c r="A18" s="2">
        <v>46247.64539351852</v>
      </c>
      <c r="B18" s="1" t="s">
        <v>49</v>
      </c>
      <c r="C18" s="1" t="s">
        <v>7</v>
      </c>
      <c r="D18" s="3">
        <v>4</v>
      </c>
      <c r="E18" s="3">
        <v>1066</v>
      </c>
      <c r="F18" t="e">
        <f>IF(COUNTIFS(
    Sheet1!#REF!, B18,
    Sheet1!#REF!, C18,
    Sheet1!#REF!, D18,
    Sheet1!#REF!, E18
) = 0, "NO MATCH IN TARGET", "MATCHED")</f>
        <v>#REF!</v>
      </c>
    </row>
    <row r="19" spans="1:6" ht="15" hidden="1" thickBot="1" x14ac:dyDescent="0.4">
      <c r="A19" s="2">
        <v>46247.690046296295</v>
      </c>
      <c r="B19" s="1" t="s">
        <v>24</v>
      </c>
      <c r="C19" s="1" t="s">
        <v>7</v>
      </c>
      <c r="D19" s="3">
        <v>10</v>
      </c>
      <c r="E19" s="3">
        <v>2578</v>
      </c>
      <c r="F19" t="e">
        <f>IF(COUNTIFS(
    Sheet1!#REF!, B19,
    Sheet1!#REF!, C19,
    Sheet1!#REF!, D19,
    Sheet1!#REF!, E19
) = 0, "NO MATCH IN TARGET", "MATCHED")</f>
        <v>#REF!</v>
      </c>
    </row>
    <row r="20" spans="1:6" ht="15" hidden="1" thickBot="1" x14ac:dyDescent="0.4">
      <c r="A20" s="2">
        <v>46247.645451388889</v>
      </c>
      <c r="B20" s="1" t="s">
        <v>48</v>
      </c>
      <c r="C20" s="1" t="s">
        <v>7</v>
      </c>
      <c r="D20" s="3">
        <v>10</v>
      </c>
      <c r="E20" s="3">
        <v>223</v>
      </c>
      <c r="F20" t="e">
        <f>IF(COUNTIFS(
    Sheet1!#REF!, B20,
    Sheet1!#REF!, C20,
    Sheet1!#REF!, D20,
    Sheet1!#REF!, E20
) = 0, "NO MATCH IN TARGET", "MATCHED")</f>
        <v>#REF!</v>
      </c>
    </row>
    <row r="21" spans="1:6" ht="15" hidden="1" thickBot="1" x14ac:dyDescent="0.4">
      <c r="A21" s="2">
        <v>46247.645381944443</v>
      </c>
      <c r="B21" s="1" t="s">
        <v>32</v>
      </c>
      <c r="C21" s="1" t="s">
        <v>7</v>
      </c>
      <c r="D21" s="3">
        <v>10</v>
      </c>
      <c r="E21" s="3">
        <v>400</v>
      </c>
      <c r="F21" t="e">
        <f>IF(COUNTIFS(
    Sheet1!#REF!, B21,
    Sheet1!#REF!, C21,
    Sheet1!#REF!, D21,
    Sheet1!#REF!, E21
) = 0, "NO MATCH IN TARGET", "MATCHED")</f>
        <v>#REF!</v>
      </c>
    </row>
    <row r="22" spans="1:6" ht="15" hidden="1" thickBot="1" x14ac:dyDescent="0.4">
      <c r="A22" s="2">
        <v>46247.690150462964</v>
      </c>
      <c r="B22" s="1" t="s">
        <v>15</v>
      </c>
      <c r="C22" s="1" t="s">
        <v>7</v>
      </c>
      <c r="D22" s="3">
        <v>100</v>
      </c>
      <c r="E22" s="3">
        <v>337</v>
      </c>
      <c r="F22" t="e">
        <f>IF(COUNTIFS(
    Sheet1!#REF!, B22,
    Sheet1!#REF!, C22,
    Sheet1!#REF!, D22,
    Sheet1!#REF!, E22
) = 0, "NO MATCH IN TARGET", "MATCHED")</f>
        <v>#REF!</v>
      </c>
    </row>
    <row r="23" spans="1:6" ht="29.5" hidden="1" thickBot="1" x14ac:dyDescent="0.4">
      <c r="A23" s="2">
        <v>46247.645416666666</v>
      </c>
      <c r="B23" s="1" t="s">
        <v>34</v>
      </c>
      <c r="C23" s="1" t="s">
        <v>7</v>
      </c>
      <c r="D23" s="3">
        <v>2</v>
      </c>
      <c r="E23" s="3">
        <v>4206</v>
      </c>
      <c r="F23" t="e">
        <f>IF(COUNTIFS(
    Sheet1!#REF!, B23,
    Sheet1!#REF!, C23,
    Sheet1!#REF!, D23,
    Sheet1!#REF!, E23
) = 0, "NO MATCH IN TARGET", "MATCHED")</f>
        <v>#REF!</v>
      </c>
    </row>
    <row r="24" spans="1:6" ht="15" hidden="1" thickBot="1" x14ac:dyDescent="0.4">
      <c r="A24" s="2">
        <v>46247.645428240743</v>
      </c>
      <c r="B24" s="1" t="s">
        <v>47</v>
      </c>
      <c r="C24" s="1" t="s">
        <v>7</v>
      </c>
      <c r="D24" s="3">
        <v>5</v>
      </c>
      <c r="E24" s="3">
        <v>3952</v>
      </c>
      <c r="F24" t="e">
        <f>IF(COUNTIFS(
    Sheet1!#REF!, B24,
    Sheet1!#REF!, C24,
    Sheet1!#REF!, D24,
    Sheet1!#REF!, E24
) = 0, "NO MATCH IN TARGET", "MATCHED")</f>
        <v>#REF!</v>
      </c>
    </row>
    <row r="25" spans="1:6" ht="29.5" hidden="1" thickBot="1" x14ac:dyDescent="0.4">
      <c r="A25" s="2">
        <v>46247.690162037034</v>
      </c>
      <c r="B25" s="1" t="s">
        <v>26</v>
      </c>
      <c r="C25" s="1" t="s">
        <v>7</v>
      </c>
      <c r="D25" s="3">
        <v>5</v>
      </c>
      <c r="E25" s="3">
        <v>660</v>
      </c>
      <c r="F25" t="e">
        <f>IF(COUNTIFS(
    Sheet1!#REF!, B25,
    Sheet1!#REF!, C25,
    Sheet1!#REF!, D25,
    Sheet1!#REF!, E25
) = 0, "NO MATCH IN TARGET", "MATCHED")</f>
        <v>#REF!</v>
      </c>
    </row>
    <row r="26" spans="1:6" ht="29.5" hidden="1" thickBot="1" x14ac:dyDescent="0.4">
      <c r="A26" s="2">
        <v>46247.64539351852</v>
      </c>
      <c r="B26" s="1" t="s">
        <v>43</v>
      </c>
      <c r="C26" s="1" t="s">
        <v>7</v>
      </c>
      <c r="D26" s="3">
        <v>5</v>
      </c>
      <c r="E26" s="3">
        <v>1142</v>
      </c>
      <c r="F26" t="e">
        <f>IF(COUNTIFS(
    Sheet1!#REF!, B26,
    Sheet1!#REF!, C26,
    Sheet1!#REF!, D26,
    Sheet1!#REF!, E26
) = 0, "NO MATCH IN TARGET", "MATCHED")</f>
        <v>#REF!</v>
      </c>
    </row>
    <row r="27" spans="1:6" ht="15" hidden="1" thickBot="1" x14ac:dyDescent="0.4">
      <c r="A27" s="2">
        <v>46247.645462962966</v>
      </c>
      <c r="B27" s="1" t="s">
        <v>46</v>
      </c>
      <c r="C27" s="1" t="s">
        <v>7</v>
      </c>
      <c r="D27" s="3">
        <v>2</v>
      </c>
      <c r="E27" s="3">
        <v>3410</v>
      </c>
      <c r="F27" t="e">
        <f>IF(COUNTIFS(
    Sheet1!#REF!, B27,
    Sheet1!#REF!, C27,
    Sheet1!#REF!, D27,
    Sheet1!#REF!, E27
) = 0, "NO MATCH IN TARGET", "MATCHED")</f>
        <v>#REF!</v>
      </c>
    </row>
    <row r="28" spans="1:6" ht="29.5" thickBot="1" x14ac:dyDescent="0.4">
      <c r="A28" s="2">
        <v>46247.645451388889</v>
      </c>
      <c r="B28" s="1" t="s">
        <v>51</v>
      </c>
      <c r="C28" s="1" t="s">
        <v>7</v>
      </c>
      <c r="D28" s="3">
        <v>5</v>
      </c>
      <c r="E28" s="3">
        <v>702</v>
      </c>
      <c r="F28" t="e">
        <f>IF(COUNTIFS(
    Sheet1!#REF!, B28,
    Sheet1!#REF!, C28,
    Sheet1!#REF!, D28,
    Sheet1!#REF!, E28
) = 0, "NO MATCH IN TARGET", "MATCHED")</f>
        <v>#REF!</v>
      </c>
    </row>
    <row r="29" spans="1:6" ht="15" thickBot="1" x14ac:dyDescent="0.4">
      <c r="A29" s="2">
        <v>46247.645428240743</v>
      </c>
      <c r="B29" s="1" t="s">
        <v>47</v>
      </c>
      <c r="C29" s="1" t="s">
        <v>7</v>
      </c>
      <c r="D29" s="3">
        <v>5</v>
      </c>
      <c r="E29" s="3">
        <v>3938</v>
      </c>
      <c r="F29" t="e">
        <f>IF(COUNTIFS(
    Sheet1!#REF!, B29,
    Sheet1!#REF!, C29,
    Sheet1!#REF!, D29,
    Sheet1!#REF!, E29
) = 0, "NO MATCH IN TARGET", "MATCHED")</f>
        <v>#REF!</v>
      </c>
    </row>
    <row r="30" spans="1:6" ht="29.5" hidden="1" thickBot="1" x14ac:dyDescent="0.4">
      <c r="A30" s="2">
        <v>46247.645428240743</v>
      </c>
      <c r="B30" s="1" t="s">
        <v>28</v>
      </c>
      <c r="C30" s="1" t="s">
        <v>7</v>
      </c>
      <c r="D30" s="3">
        <v>40</v>
      </c>
      <c r="E30" s="3">
        <v>897</v>
      </c>
      <c r="F30" t="e">
        <f>IF(COUNTIFS(
    Sheet1!#REF!, B30,
    Sheet1!#REF!, C30,
    Sheet1!#REF!, D30,
    Sheet1!#REF!, E30
) = 0, "NO MATCH IN TARGET", "MATCHED")</f>
        <v>#REF!</v>
      </c>
    </row>
    <row r="31" spans="1:6" ht="15" hidden="1" thickBot="1" x14ac:dyDescent="0.4">
      <c r="A31" s="2">
        <v>46247.690150462964</v>
      </c>
      <c r="B31" s="1" t="s">
        <v>15</v>
      </c>
      <c r="C31" s="1" t="s">
        <v>7</v>
      </c>
      <c r="D31" s="3">
        <v>100</v>
      </c>
      <c r="E31" s="3">
        <v>335</v>
      </c>
      <c r="F31" t="e">
        <f>IF(COUNTIFS(
    Sheet1!#REF!, B31,
    Sheet1!#REF!, C31,
    Sheet1!#REF!, D31,
    Sheet1!#REF!, E31
) = 0, "NO MATCH IN TARGET", "MATCHED")</f>
        <v>#REF!</v>
      </c>
    </row>
    <row r="32" spans="1:6" ht="29.5" hidden="1" thickBot="1" x14ac:dyDescent="0.4">
      <c r="A32" s="2">
        <v>46247.690092592595</v>
      </c>
      <c r="B32" s="1" t="s">
        <v>25</v>
      </c>
      <c r="C32" s="1" t="s">
        <v>7</v>
      </c>
      <c r="D32" s="3">
        <v>50</v>
      </c>
      <c r="E32" s="3">
        <v>122</v>
      </c>
      <c r="F32" t="e">
        <f>IF(COUNTIFS(
    Sheet1!#REF!, B32,
    Sheet1!#REF!, C32,
    Sheet1!#REF!, D32,
    Sheet1!#REF!, E32
) = 0, "NO MATCH IN TARGET", "MATCHED")</f>
        <v>#REF!</v>
      </c>
    </row>
    <row r="33" spans="1:6" ht="15" hidden="1" thickBot="1" x14ac:dyDescent="0.4">
      <c r="A33" s="2">
        <v>46247.690046296295</v>
      </c>
      <c r="B33" s="1" t="s">
        <v>24</v>
      </c>
      <c r="C33" s="1" t="s">
        <v>7</v>
      </c>
      <c r="D33" s="3">
        <v>10</v>
      </c>
      <c r="E33" s="3">
        <v>2553</v>
      </c>
      <c r="F33" t="e">
        <f>IF(COUNTIFS(
    Sheet1!#REF!, B33,
    Sheet1!#REF!, C33,
    Sheet1!#REF!, D33,
    Sheet1!#REF!, E33
) = 0, "NO MATCH IN TARGET", "MATCHED")</f>
        <v>#REF!</v>
      </c>
    </row>
    <row r="34" spans="1:6" ht="15" thickBot="1" x14ac:dyDescent="0.4">
      <c r="A34" s="2">
        <v>46247.635555555556</v>
      </c>
      <c r="B34" s="1" t="s">
        <v>50</v>
      </c>
      <c r="C34" s="1" t="s">
        <v>7</v>
      </c>
      <c r="D34" s="3">
        <v>5</v>
      </c>
      <c r="E34" s="3">
        <v>2888</v>
      </c>
      <c r="F34" t="e">
        <f>IF(COUNTIFS(
    Sheet1!#REF!, B34,
    Sheet1!#REF!, C34,
    Sheet1!#REF!, D34,
    Sheet1!#REF!, E34
) = 0, "NO MATCH IN TARGET", "MATCHED")</f>
        <v>#REF!</v>
      </c>
    </row>
    <row r="35" spans="1:6" ht="29.5" hidden="1" thickBot="1" x14ac:dyDescent="0.4">
      <c r="A35" s="2">
        <v>46247.69017361111</v>
      </c>
      <c r="B35" s="1" t="s">
        <v>23</v>
      </c>
      <c r="C35" s="1" t="s">
        <v>7</v>
      </c>
      <c r="D35" s="3">
        <v>45</v>
      </c>
      <c r="E35" s="3">
        <v>136.15</v>
      </c>
      <c r="F35" t="e">
        <f>IF(COUNTIFS(
    Sheet1!#REF!, B35,
    Sheet1!#REF!, C35,
    Sheet1!#REF!, D35,
    Sheet1!#REF!, E35
) = 0, "NO MATCH IN TARGET", "MATCHED")</f>
        <v>#REF!</v>
      </c>
    </row>
    <row r="36" spans="1:6" ht="15" hidden="1" thickBot="1" x14ac:dyDescent="0.4">
      <c r="A36" s="2">
        <v>46247.690011574072</v>
      </c>
      <c r="B36" s="1" t="s">
        <v>22</v>
      </c>
      <c r="C36" s="1" t="s">
        <v>7</v>
      </c>
      <c r="D36" s="3">
        <v>30</v>
      </c>
      <c r="E36" s="3">
        <v>286</v>
      </c>
      <c r="F36" t="e">
        <f>IF(COUNTIFS(
    Sheet1!#REF!, B36,
    Sheet1!#REF!, C36,
    Sheet1!#REF!, D36,
    Sheet1!#REF!, E36
) = 0, "NO MATCH IN TARGET", "MATCHED")</f>
        <v>#REF!</v>
      </c>
    </row>
    <row r="37" spans="1:6" ht="29.5" hidden="1" thickBot="1" x14ac:dyDescent="0.4">
      <c r="A37" s="2">
        <v>46247.690057870372</v>
      </c>
      <c r="B37" s="1" t="s">
        <v>19</v>
      </c>
      <c r="C37" s="1" t="s">
        <v>7</v>
      </c>
      <c r="D37" s="3">
        <v>150</v>
      </c>
      <c r="E37" s="3">
        <v>214</v>
      </c>
      <c r="F37" t="e">
        <f>IF(COUNTIFS(
    Sheet1!#REF!, B37,
    Sheet1!#REF!, C37,
    Sheet1!#REF!, D37,
    Sheet1!#REF!, E37
) = 0, "NO MATCH IN TARGET", "MATCHED")</f>
        <v>#REF!</v>
      </c>
    </row>
    <row r="38" spans="1:6" ht="15" hidden="1" thickBot="1" x14ac:dyDescent="0.4">
      <c r="A38" s="2">
        <v>46247.635509259257</v>
      </c>
      <c r="B38" s="1" t="s">
        <v>45</v>
      </c>
      <c r="C38" s="1" t="s">
        <v>7</v>
      </c>
      <c r="D38" s="3">
        <v>1</v>
      </c>
      <c r="E38" s="3">
        <v>13552</v>
      </c>
      <c r="F38" t="e">
        <f>IF(COUNTIFS(
    Sheet1!#REF!, B38,
    Sheet1!#REF!, C38,
    Sheet1!#REF!, D38,
    Sheet1!#REF!, E38
) = 0, "NO MATCH IN TARGET", "MATCHED")</f>
        <v>#REF!</v>
      </c>
    </row>
    <row r="39" spans="1:6" ht="15" hidden="1" thickBot="1" x14ac:dyDescent="0.4">
      <c r="A39" s="2">
        <v>46247.635567129626</v>
      </c>
      <c r="B39" s="1" t="s">
        <v>44</v>
      </c>
      <c r="C39" s="1" t="s">
        <v>7</v>
      </c>
      <c r="D39" s="3">
        <v>3</v>
      </c>
      <c r="E39" s="3">
        <v>1302</v>
      </c>
      <c r="F39" t="e">
        <f>IF(COUNTIFS(
    Sheet1!#REF!, B39,
    Sheet1!#REF!, C39,
    Sheet1!#REF!, D39,
    Sheet1!#REF!, E39
) = 0, "NO MATCH IN TARGET", "MATCHED")</f>
        <v>#REF!</v>
      </c>
    </row>
    <row r="40" spans="1:6" ht="29.5" hidden="1" thickBot="1" x14ac:dyDescent="0.4">
      <c r="A40" s="2">
        <v>46364.635416666664</v>
      </c>
      <c r="B40" s="1" t="s">
        <v>43</v>
      </c>
      <c r="C40" s="1" t="s">
        <v>7</v>
      </c>
      <c r="D40" s="3">
        <v>5</v>
      </c>
      <c r="E40" s="3">
        <v>1132</v>
      </c>
      <c r="F40" t="e">
        <f>IF(COUNTIFS(
    Sheet1!#REF!, B40,
    Sheet1!#REF!, C40,
    Sheet1!#REF!, D40,
    Sheet1!#REF!, E40
) = 0, "NO MATCH IN TARGET", "MATCHED")</f>
        <v>#REF!</v>
      </c>
    </row>
    <row r="41" spans="1:6" ht="15" thickBot="1" x14ac:dyDescent="0.4">
      <c r="A41" s="2">
        <v>46247.690046296295</v>
      </c>
      <c r="B41" s="1" t="s">
        <v>24</v>
      </c>
      <c r="C41" s="1" t="s">
        <v>7</v>
      </c>
      <c r="D41" s="3">
        <v>5</v>
      </c>
      <c r="E41" s="3">
        <v>2540</v>
      </c>
      <c r="F41" t="e">
        <f>IF(COUNTIFS(
    Sheet1!#REF!, B41,
    Sheet1!#REF!, C41,
    Sheet1!#REF!, D41,
    Sheet1!#REF!, E41
) = 0, "NO MATCH IN TARGET", "MATCHED")</f>
        <v>#REF!</v>
      </c>
    </row>
    <row r="42" spans="1:6" ht="15" thickBot="1" x14ac:dyDescent="0.4">
      <c r="A42" s="2">
        <v>46246.635416666664</v>
      </c>
      <c r="B42" s="1" t="s">
        <v>48</v>
      </c>
      <c r="C42" s="1" t="s">
        <v>7</v>
      </c>
      <c r="D42" s="3">
        <v>10</v>
      </c>
      <c r="E42" s="3">
        <v>220.1</v>
      </c>
      <c r="F42" t="e">
        <f>IF(COUNTIFS(
    Sheet1!#REF!, B42,
    Sheet1!#REF!, C42,
    Sheet1!#REF!, D42,
    Sheet1!#REF!, E42
) = 0, "NO MATCH IN TARGET", "MATCHED")</f>
        <v>#REF!</v>
      </c>
    </row>
    <row r="43" spans="1:6" ht="15" thickBot="1" x14ac:dyDescent="0.4">
      <c r="A43" s="2">
        <v>46245.645833333336</v>
      </c>
      <c r="B43" s="1" t="s">
        <v>48</v>
      </c>
      <c r="C43" s="1" t="s">
        <v>7</v>
      </c>
      <c r="D43" s="3">
        <v>20</v>
      </c>
      <c r="E43" s="3">
        <v>220.1</v>
      </c>
      <c r="F43" t="e">
        <f>IF(COUNTIFS(
    Sheet1!#REF!, B43,
    Sheet1!#REF!, C43,
    Sheet1!#REF!, D43,
    Sheet1!#REF!, E43
) = 0, "NO MATCH IN TARGET", "MATCHED")</f>
        <v>#REF!</v>
      </c>
    </row>
    <row r="44" spans="1:6" ht="29.5" hidden="1" thickBot="1" x14ac:dyDescent="0.4">
      <c r="A44" s="2">
        <v>46247.690011574072</v>
      </c>
      <c r="B44" s="1" t="s">
        <v>10</v>
      </c>
      <c r="C44" s="1" t="s">
        <v>7</v>
      </c>
      <c r="D44" s="3">
        <v>20</v>
      </c>
      <c r="E44" s="3">
        <v>276</v>
      </c>
      <c r="F44" t="e">
        <f>IF(COUNTIFS(
    Sheet1!#REF!, B44,
    Sheet1!#REF!, C44,
    Sheet1!#REF!, D44,
    Sheet1!#REF!, E44
) = 0, "NO MATCH IN TARGET", "MATCHED")</f>
        <v>#REF!</v>
      </c>
    </row>
    <row r="45" spans="1:6" ht="29.5" hidden="1" thickBot="1" x14ac:dyDescent="0.4">
      <c r="A45" s="2">
        <v>46247.690115740741</v>
      </c>
      <c r="B45" s="1" t="s">
        <v>16</v>
      </c>
      <c r="C45" s="1" t="s">
        <v>7</v>
      </c>
      <c r="D45" s="3">
        <v>50</v>
      </c>
      <c r="E45" s="3">
        <v>203.5</v>
      </c>
      <c r="F45" t="e">
        <f>IF(COUNTIFS(
    Sheet1!#REF!, B45,
    Sheet1!#REF!, C45,
    Sheet1!#REF!, D45,
    Sheet1!#REF!, E45
) = 0, "NO MATCH IN TARGET", "MATCHED")</f>
        <v>#REF!</v>
      </c>
    </row>
    <row r="46" spans="1:6" ht="29.5" thickBot="1" x14ac:dyDescent="0.4">
      <c r="A46" s="2">
        <v>46246.689583333333</v>
      </c>
      <c r="B46" s="1" t="s">
        <v>21</v>
      </c>
      <c r="C46" s="1" t="s">
        <v>7</v>
      </c>
      <c r="D46" s="3">
        <v>5</v>
      </c>
      <c r="E46" s="3">
        <v>926</v>
      </c>
      <c r="F46" t="e">
        <f>IF(COUNTIFS(
    Sheet1!#REF!, B46,
    Sheet1!#REF!, C46,
    Sheet1!#REF!, D46,
    Sheet1!#REF!, E46
) = 0, "NO MATCH IN TARGET", "MATCHED")</f>
        <v>#REF!</v>
      </c>
    </row>
    <row r="47" spans="1:6" ht="29.5" hidden="1" thickBot="1" x14ac:dyDescent="0.4">
      <c r="A47" s="2">
        <v>46247.635578703703</v>
      </c>
      <c r="B47" s="1" t="s">
        <v>41</v>
      </c>
      <c r="C47" s="1" t="s">
        <v>7</v>
      </c>
      <c r="D47" s="3">
        <v>10</v>
      </c>
      <c r="E47" s="3">
        <v>1452</v>
      </c>
      <c r="F47" t="e">
        <f>IF(COUNTIFS(
    Sheet1!#REF!, B47,
    Sheet1!#REF!, C47,
    Sheet1!#REF!, D47,
    Sheet1!#REF!, E47
) = 0, "NO MATCH IN TARGET", "MATCHED")</f>
        <v>#REF!</v>
      </c>
    </row>
    <row r="48" spans="1:6" ht="29.5" hidden="1" thickBot="1" x14ac:dyDescent="0.4">
      <c r="A48" s="2">
        <v>46247.635567129626</v>
      </c>
      <c r="B48" s="1" t="s">
        <v>39</v>
      </c>
      <c r="C48" s="1" t="s">
        <v>7</v>
      </c>
      <c r="D48" s="3">
        <v>50</v>
      </c>
      <c r="E48" s="3">
        <v>850</v>
      </c>
      <c r="F48" t="e">
        <f>IF(COUNTIFS(
    Sheet1!#REF!, B48,
    Sheet1!#REF!, C48,
    Sheet1!#REF!, D48,
    Sheet1!#REF!, E48
) = 0, "NO MATCH IN TARGET", "MATCHED")</f>
        <v>#REF!</v>
      </c>
    </row>
    <row r="49" spans="1:6" ht="29.5" thickBot="1" x14ac:dyDescent="0.4">
      <c r="A49" s="2">
        <v>46247.690057870372</v>
      </c>
      <c r="B49" s="1" t="s">
        <v>6</v>
      </c>
      <c r="C49" s="1" t="s">
        <v>7</v>
      </c>
      <c r="D49" s="3">
        <v>2</v>
      </c>
      <c r="E49" s="3">
        <v>2164</v>
      </c>
      <c r="F49" t="e">
        <f>IF(COUNTIFS(
    Sheet1!#REF!, B49,
    Sheet1!#REF!, C49,
    Sheet1!#REF!, D49,
    Sheet1!#REF!, E49
) = 0, "NO MATCH IN TARGET", "MATCHED")</f>
        <v>#REF!</v>
      </c>
    </row>
    <row r="50" spans="1:6" ht="29.5" hidden="1" thickBot="1" x14ac:dyDescent="0.4">
      <c r="A50" s="2">
        <v>46247.69</v>
      </c>
      <c r="B50" s="1" t="s">
        <v>20</v>
      </c>
      <c r="C50" s="1" t="s">
        <v>7</v>
      </c>
      <c r="D50" s="3">
        <v>40</v>
      </c>
      <c r="E50" s="3">
        <v>426</v>
      </c>
      <c r="F50" t="e">
        <f>IF(COUNTIFS(
    Sheet1!#REF!, B50,
    Sheet1!#REF!, C50,
    Sheet1!#REF!, D50,
    Sheet1!#REF!, E50
) = 0, "NO MATCH IN TARGET", "MATCHED")</f>
        <v>#REF!</v>
      </c>
    </row>
    <row r="51" spans="1:6" ht="15" thickBot="1" x14ac:dyDescent="0.4">
      <c r="A51" s="2">
        <v>46334.635416666664</v>
      </c>
      <c r="B51" s="1" t="s">
        <v>47</v>
      </c>
      <c r="C51" s="1" t="s">
        <v>7</v>
      </c>
      <c r="D51" s="3">
        <v>5</v>
      </c>
      <c r="E51" s="3">
        <v>3888</v>
      </c>
      <c r="F51" t="e">
        <f>IF(COUNTIFS(
    Sheet1!#REF!, B51,
    Sheet1!#REF!, C51,
    Sheet1!#REF!, D51,
    Sheet1!#REF!, E51
) = 0, "NO MATCH IN TARGET", "MATCHED")</f>
        <v>#REF!</v>
      </c>
    </row>
    <row r="52" spans="1:6" ht="15" hidden="1" thickBot="1" x14ac:dyDescent="0.4">
      <c r="A52" s="2">
        <v>46247.690150462964</v>
      </c>
      <c r="B52" s="1" t="s">
        <v>15</v>
      </c>
      <c r="C52" s="1" t="s">
        <v>7</v>
      </c>
      <c r="D52" s="3">
        <v>100</v>
      </c>
      <c r="E52" s="3">
        <v>331</v>
      </c>
      <c r="F52" t="e">
        <f>IF(COUNTIFS(
    Sheet1!#REF!, B52,
    Sheet1!#REF!, C52,
    Sheet1!#REF!, D52,
    Sheet1!#REF!, E52
) = 0, "NO MATCH IN TARGET", "MATCHED")</f>
        <v>#REF!</v>
      </c>
    </row>
    <row r="53" spans="1:6" ht="29.5" hidden="1" thickBot="1" x14ac:dyDescent="0.4">
      <c r="A53" s="2">
        <v>46247.690046296295</v>
      </c>
      <c r="B53" s="1" t="s">
        <v>19</v>
      </c>
      <c r="C53" s="1" t="s">
        <v>7</v>
      </c>
      <c r="D53" s="3">
        <v>50</v>
      </c>
      <c r="E53" s="3">
        <v>212</v>
      </c>
      <c r="F53" t="e">
        <f>IF(COUNTIFS(
    Sheet1!#REF!, B53,
    Sheet1!#REF!, C53,
    Sheet1!#REF!, D53,
    Sheet1!#REF!, E53
) = 0, "NO MATCH IN TARGET", "MATCHED")</f>
        <v>#REF!</v>
      </c>
    </row>
    <row r="54" spans="1:6" ht="15" hidden="1" thickBot="1" x14ac:dyDescent="0.4">
      <c r="A54" s="2">
        <v>46247.635520833333</v>
      </c>
      <c r="B54" s="1" t="s">
        <v>42</v>
      </c>
      <c r="C54" s="1" t="s">
        <v>7</v>
      </c>
      <c r="D54" s="3">
        <v>10</v>
      </c>
      <c r="E54" s="3">
        <v>1030</v>
      </c>
      <c r="F54" t="e">
        <f>IF(COUNTIFS(
    Sheet1!#REF!, B54,
    Sheet1!#REF!, C54,
    Sheet1!#REF!, D54,
    Sheet1!#REF!, E54
) = 0, "NO MATCH IN TARGET", "MATCHED")</f>
        <v>#REF!</v>
      </c>
    </row>
    <row r="55" spans="1:6" ht="29.5" hidden="1" thickBot="1" x14ac:dyDescent="0.4">
      <c r="A55" s="2">
        <v>46364.635416666664</v>
      </c>
      <c r="B55" s="1" t="s">
        <v>41</v>
      </c>
      <c r="C55" s="1" t="s">
        <v>7</v>
      </c>
      <c r="D55" s="3">
        <v>10</v>
      </c>
      <c r="E55" s="3">
        <v>1440</v>
      </c>
      <c r="F55" t="e">
        <f>IF(COUNTIFS(
    Sheet1!#REF!, B55,
    Sheet1!#REF!, C55,
    Sheet1!#REF!, D55,
    Sheet1!#REF!, E55
) = 0, "NO MATCH IN TARGET", "MATCHED")</f>
        <v>#REF!</v>
      </c>
    </row>
    <row r="56" spans="1:6" ht="29.5" hidden="1" thickBot="1" x14ac:dyDescent="0.4">
      <c r="A56" s="2">
        <v>46247.690104166664</v>
      </c>
      <c r="B56" s="1" t="s">
        <v>18</v>
      </c>
      <c r="C56" s="1" t="s">
        <v>7</v>
      </c>
      <c r="D56" s="3">
        <v>25</v>
      </c>
      <c r="E56" s="3">
        <v>336</v>
      </c>
      <c r="F56" t="e">
        <f>IF(COUNTIFS(
    Sheet1!#REF!, B56,
    Sheet1!#REF!, C56,
    Sheet1!#REF!, D56,
    Sheet1!#REF!, E56
) = 0, "NO MATCH IN TARGET", "MATCHED")</f>
        <v>#REF!</v>
      </c>
    </row>
    <row r="57" spans="1:6" ht="15" thickBot="1" x14ac:dyDescent="0.4">
      <c r="A57" s="2">
        <v>46247.690046296295</v>
      </c>
      <c r="B57" s="1" t="s">
        <v>24</v>
      </c>
      <c r="C57" s="1" t="s">
        <v>7</v>
      </c>
      <c r="D57" s="3">
        <v>5</v>
      </c>
      <c r="E57" s="3">
        <v>2510</v>
      </c>
      <c r="F57" t="e">
        <f>IF(COUNTIFS(
    Sheet1!#REF!, B57,
    Sheet1!#REF!, C57,
    Sheet1!#REF!, D57,
    Sheet1!#REF!, E57
) = 0, "NO MATCH IN TARGET", "MATCHED")</f>
        <v>#REF!</v>
      </c>
    </row>
    <row r="58" spans="1:6" ht="15" hidden="1" thickBot="1" x14ac:dyDescent="0.4">
      <c r="A58" s="2">
        <v>46247.635555555556</v>
      </c>
      <c r="B58" s="1" t="s">
        <v>32</v>
      </c>
      <c r="C58" s="1" t="s">
        <v>7</v>
      </c>
      <c r="D58" s="3">
        <v>100</v>
      </c>
      <c r="E58" s="3">
        <v>390</v>
      </c>
      <c r="F58" t="e">
        <f>IF(COUNTIFS(
    Sheet1!#REF!, B58,
    Sheet1!#REF!, C58,
    Sheet1!#REF!, D58,
    Sheet1!#REF!, E58
) = 0, "NO MATCH IN TARGET", "MATCHED")</f>
        <v>#REF!</v>
      </c>
    </row>
    <row r="59" spans="1:6" ht="29.5" hidden="1" thickBot="1" x14ac:dyDescent="0.4">
      <c r="A59" s="2">
        <v>46247.635555555556</v>
      </c>
      <c r="B59" s="1" t="s">
        <v>34</v>
      </c>
      <c r="C59" s="1" t="s">
        <v>7</v>
      </c>
      <c r="D59" s="3">
        <v>4</v>
      </c>
      <c r="E59" s="3">
        <v>4110</v>
      </c>
      <c r="F59" t="e">
        <f>IF(COUNTIFS(
    Sheet1!#REF!, B59,
    Sheet1!#REF!, C59,
    Sheet1!#REF!, D59,
    Sheet1!#REF!, E59
) = 0, "NO MATCH IN TARGET", "MATCHED")</f>
        <v>#REF!</v>
      </c>
    </row>
    <row r="60" spans="1:6" ht="15" hidden="1" thickBot="1" x14ac:dyDescent="0.4">
      <c r="A60" s="2">
        <v>46247.690127314818</v>
      </c>
      <c r="B60" s="1" t="s">
        <v>17</v>
      </c>
      <c r="C60" s="1" t="s">
        <v>7</v>
      </c>
      <c r="D60" s="3">
        <v>500</v>
      </c>
      <c r="E60" s="3">
        <v>33.159999999999997</v>
      </c>
      <c r="F60" t="e">
        <f>IF(COUNTIFS(
    Sheet1!#REF!, B60,
    Sheet1!#REF!, C60,
    Sheet1!#REF!, D60,
    Sheet1!#REF!, E60
) = 0, "NO MATCH IN TARGET", "MATCHED")</f>
        <v>#REF!</v>
      </c>
    </row>
    <row r="61" spans="1:6" ht="29.5" hidden="1" thickBot="1" x14ac:dyDescent="0.4">
      <c r="A61" s="2">
        <v>46247.690115740741</v>
      </c>
      <c r="B61" s="1" t="s">
        <v>16</v>
      </c>
      <c r="C61" s="1" t="s">
        <v>7</v>
      </c>
      <c r="D61" s="3">
        <v>50</v>
      </c>
      <c r="E61" s="3">
        <v>201</v>
      </c>
      <c r="F61" t="e">
        <f>IF(COUNTIFS(
    Sheet1!#REF!, B61,
    Sheet1!#REF!, C61,
    Sheet1!#REF!, D61,
    Sheet1!#REF!, E61
) = 0, "NO MATCH IN TARGET", "MATCHED")</f>
        <v>#REF!</v>
      </c>
    </row>
    <row r="62" spans="1:6" ht="15" thickBot="1" x14ac:dyDescent="0.4">
      <c r="A62" s="4" t="s">
        <v>59</v>
      </c>
      <c r="B62" s="1" t="s">
        <v>47</v>
      </c>
      <c r="C62" s="1" t="s">
        <v>7</v>
      </c>
      <c r="D62" s="3">
        <v>2</v>
      </c>
      <c r="E62" s="3">
        <v>3856</v>
      </c>
      <c r="F62" t="e">
        <f>IF(COUNTIFS(
    Sheet1!#REF!, B62,
    Sheet1!#REF!, C62,
    Sheet1!#REF!, D62,
    Sheet1!#REF!, E62
) = 0, "NO MATCH IN TARGET", "MATCHED")</f>
        <v>#REF!</v>
      </c>
    </row>
    <row r="63" spans="1:6" ht="15" hidden="1" thickBot="1" x14ac:dyDescent="0.4">
      <c r="A63" s="2">
        <v>46247.635555555556</v>
      </c>
      <c r="B63" s="1" t="s">
        <v>40</v>
      </c>
      <c r="C63" s="1" t="s">
        <v>7</v>
      </c>
      <c r="D63" s="3">
        <v>9</v>
      </c>
      <c r="E63" s="3">
        <v>2251</v>
      </c>
      <c r="F63" t="e">
        <f>IF(COUNTIFS(
    Sheet1!#REF!, B63,
    Sheet1!#REF!, C63,
    Sheet1!#REF!, D63,
    Sheet1!#REF!, E63
) = 0, "NO MATCH IN TARGET", "MATCHED")</f>
        <v>#REF!</v>
      </c>
    </row>
    <row r="64" spans="1:6" ht="15" thickBot="1" x14ac:dyDescent="0.4">
      <c r="A64" s="2">
        <v>46246.689583333333</v>
      </c>
      <c r="B64" s="1" t="s">
        <v>22</v>
      </c>
      <c r="C64" s="1" t="s">
        <v>7</v>
      </c>
      <c r="D64" s="3">
        <v>20</v>
      </c>
      <c r="E64" s="3">
        <v>281</v>
      </c>
      <c r="F64" t="e">
        <f>IF(COUNTIFS(
    Sheet1!#REF!, B64,
    Sheet1!#REF!, C64,
    Sheet1!#REF!, D64,
    Sheet1!#REF!, E64
) = 0, "NO MATCH IN TARGET", "MATCHED")</f>
        <v>#REF!</v>
      </c>
    </row>
    <row r="65" spans="1:6" ht="29.5" thickBot="1" x14ac:dyDescent="0.4">
      <c r="A65" s="2">
        <v>46150.635416666664</v>
      </c>
      <c r="B65" s="1" t="s">
        <v>28</v>
      </c>
      <c r="C65" s="1" t="s">
        <v>7</v>
      </c>
      <c r="D65" s="3">
        <v>40</v>
      </c>
      <c r="E65" s="3">
        <v>878</v>
      </c>
      <c r="F65" t="e">
        <f>IF(COUNTIFS(
    Sheet1!#REF!, B65,
    Sheet1!#REF!, C65,
    Sheet1!#REF!, D65,
    Sheet1!#REF!, E65
) = 0, "NO MATCH IN TARGET", "MATCHED")</f>
        <v>#REF!</v>
      </c>
    </row>
    <row r="66" spans="1:6" ht="29.5" thickBot="1" x14ac:dyDescent="0.4">
      <c r="A66" s="2">
        <v>46364.635416666664</v>
      </c>
      <c r="B66" s="1" t="s">
        <v>39</v>
      </c>
      <c r="C66" s="1" t="s">
        <v>7</v>
      </c>
      <c r="D66" s="3">
        <v>5</v>
      </c>
      <c r="E66" s="3">
        <v>838</v>
      </c>
      <c r="F66" t="e">
        <f>IF(COUNTIFS(
    Sheet1!#REF!, B66,
    Sheet1!#REF!, C66,
    Sheet1!#REF!, D66,
    Sheet1!#REF!, E66
) = 0, "NO MATCH IN TARGET", "MATCHED")</f>
        <v>#REF!</v>
      </c>
    </row>
    <row r="67" spans="1:6" ht="15" hidden="1" thickBot="1" x14ac:dyDescent="0.4">
      <c r="A67" s="2">
        <v>46247.690162037034</v>
      </c>
      <c r="B67" s="1" t="s">
        <v>15</v>
      </c>
      <c r="C67" s="1" t="s">
        <v>7</v>
      </c>
      <c r="D67" s="3">
        <v>100</v>
      </c>
      <c r="E67" s="3">
        <v>327</v>
      </c>
      <c r="F67" t="e">
        <f>IF(COUNTIFS(
    Sheet1!#REF!, B67,
    Sheet1!#REF!, C67,
    Sheet1!#REF!, D67,
    Sheet1!#REF!, E67
) = 0, "NO MATCH IN TARGET", "MATCHED")</f>
        <v>#REF!</v>
      </c>
    </row>
    <row r="68" spans="1:6" ht="15" thickBot="1" x14ac:dyDescent="0.4">
      <c r="A68" s="2">
        <v>46364.635416666664</v>
      </c>
      <c r="B68" s="1" t="s">
        <v>44</v>
      </c>
      <c r="C68" s="1" t="s">
        <v>7</v>
      </c>
      <c r="D68" s="3">
        <v>69</v>
      </c>
      <c r="E68" s="3">
        <v>1277</v>
      </c>
      <c r="F68" t="e">
        <f>IF(COUNTIFS(
    Sheet1!#REF!, B68,
    Sheet1!#REF!, C68,
    Sheet1!#REF!, D68,
    Sheet1!#REF!, E68
) = 0, "NO MATCH IN TARGET", "MATCHED")</f>
        <v>#REF!</v>
      </c>
    </row>
    <row r="69" spans="1:6" ht="29.5" thickBot="1" x14ac:dyDescent="0.4">
      <c r="A69" s="2">
        <v>46364.689583333333</v>
      </c>
      <c r="B69" s="1" t="s">
        <v>25</v>
      </c>
      <c r="C69" s="1" t="s">
        <v>7</v>
      </c>
      <c r="D69" s="3">
        <v>50</v>
      </c>
      <c r="E69" s="3">
        <v>119</v>
      </c>
      <c r="F69" t="e">
        <f>IF(COUNTIFS(
    Sheet1!#REF!, B69,
    Sheet1!#REF!, C69,
    Sheet1!#REF!, D69,
    Sheet1!#REF!, E69
) = 0, "NO MATCH IN TARGET", "MATCHED")</f>
        <v>#REF!</v>
      </c>
    </row>
    <row r="70" spans="1:6" ht="29.5" hidden="1" thickBot="1" x14ac:dyDescent="0.4">
      <c r="A70" s="2">
        <v>46246.635416666664</v>
      </c>
      <c r="B70" s="1" t="s">
        <v>39</v>
      </c>
      <c r="C70" s="1" t="s">
        <v>7</v>
      </c>
      <c r="D70" s="3">
        <v>25</v>
      </c>
      <c r="E70" s="3">
        <v>836</v>
      </c>
      <c r="F70" t="e">
        <f>IF(COUNTIFS(
    Sheet1!#REF!, B70,
    Sheet1!#REF!, C70,
    Sheet1!#REF!, D70,
    Sheet1!#REF!, E70
) = 0, "NO MATCH IN TARGET", "MATCHED")</f>
        <v>#REF!</v>
      </c>
    </row>
    <row r="71" spans="1:6" ht="15" hidden="1" thickBot="1" x14ac:dyDescent="0.4">
      <c r="A71" s="2">
        <v>46247.635555555556</v>
      </c>
      <c r="B71" s="1" t="s">
        <v>29</v>
      </c>
      <c r="C71" s="1" t="s">
        <v>7</v>
      </c>
      <c r="D71" s="3">
        <v>10</v>
      </c>
      <c r="E71" s="3">
        <v>1303</v>
      </c>
      <c r="F71" t="e">
        <f>IF(COUNTIFS(
    Sheet1!#REF!, B71,
    Sheet1!#REF!, C71,
    Sheet1!#REF!, D71,
    Sheet1!#REF!, E71
) = 0, "NO MATCH IN TARGET", "MATCHED")</f>
        <v>#REF!</v>
      </c>
    </row>
    <row r="72" spans="1:6" ht="15" thickBot="1" x14ac:dyDescent="0.4">
      <c r="A72" s="2">
        <v>46247.690046296295</v>
      </c>
      <c r="B72" s="1" t="s">
        <v>24</v>
      </c>
      <c r="C72" s="1" t="s">
        <v>7</v>
      </c>
      <c r="D72" s="3">
        <v>5</v>
      </c>
      <c r="E72" s="3">
        <v>2490</v>
      </c>
      <c r="F72" t="e">
        <f>IF(COUNTIFS(
    Sheet1!#REF!, B72,
    Sheet1!#REF!, C72,
    Sheet1!#REF!, D72,
    Sheet1!#REF!, E72
) = 0, "NO MATCH IN TARGET", "MATCHED")</f>
        <v>#REF!</v>
      </c>
    </row>
    <row r="73" spans="1:6" ht="29.5" thickBot="1" x14ac:dyDescent="0.4">
      <c r="A73" s="2">
        <v>46211.6875</v>
      </c>
      <c r="B73" s="1" t="s">
        <v>26</v>
      </c>
      <c r="C73" s="1" t="s">
        <v>7</v>
      </c>
      <c r="D73" s="3">
        <v>10</v>
      </c>
      <c r="E73" s="3">
        <v>640</v>
      </c>
      <c r="F73" t="e">
        <f>IF(COUNTIFS(
    Sheet1!#REF!, B73,
    Sheet1!#REF!, C73,
    Sheet1!#REF!, D73,
    Sheet1!#REF!, E73
) = 0, "NO MATCH IN TARGET", "MATCHED")</f>
        <v>#REF!</v>
      </c>
    </row>
    <row r="74" spans="1:6" ht="15" thickBot="1" x14ac:dyDescent="0.4">
      <c r="A74" s="4" t="s">
        <v>59</v>
      </c>
      <c r="B74" s="1" t="s">
        <v>47</v>
      </c>
      <c r="C74" s="1" t="s">
        <v>7</v>
      </c>
      <c r="D74" s="3">
        <v>2</v>
      </c>
      <c r="E74" s="3">
        <v>3830</v>
      </c>
      <c r="F74" t="e">
        <f>IF(COUNTIFS(
    Sheet1!#REF!, B74,
    Sheet1!#REF!, C74,
    Sheet1!#REF!, D74,
    Sheet1!#REF!, E74
) = 0, "NO MATCH IN TARGET", "MATCHED")</f>
        <v>#REF!</v>
      </c>
    </row>
    <row r="75" spans="1:6" ht="15" thickBot="1" x14ac:dyDescent="0.4">
      <c r="A75" s="2">
        <v>46246.635416666664</v>
      </c>
      <c r="B75" s="1" t="s">
        <v>46</v>
      </c>
      <c r="C75" s="1" t="s">
        <v>7</v>
      </c>
      <c r="D75" s="3">
        <v>3</v>
      </c>
      <c r="E75" s="3">
        <v>3310</v>
      </c>
      <c r="F75" t="e">
        <f>IF(COUNTIFS(
    Sheet1!#REF!, B75,
    Sheet1!#REF!, C75,
    Sheet1!#REF!, D75,
    Sheet1!#REF!, E75
) = 0, "NO MATCH IN TARGET", "MATCHED")</f>
        <v>#REF!</v>
      </c>
    </row>
    <row r="76" spans="1:6" ht="29.5" hidden="1" thickBot="1" x14ac:dyDescent="0.4">
      <c r="A76" s="2">
        <v>46247.635520833333</v>
      </c>
      <c r="B76" s="1" t="s">
        <v>30</v>
      </c>
      <c r="C76" s="1" t="s">
        <v>7</v>
      </c>
      <c r="D76" s="3">
        <v>10</v>
      </c>
      <c r="E76" s="3">
        <v>1166</v>
      </c>
      <c r="F76" t="e">
        <f>IF(COUNTIFS(
    Sheet1!#REF!, B76,
    Sheet1!#REF!, C76,
    Sheet1!#REF!, D76,
    Sheet1!#REF!, E76
) = 0, "NO MATCH IN TARGET", "MATCHED")</f>
        <v>#REF!</v>
      </c>
    </row>
    <row r="77" spans="1:6" ht="29.5" thickBot="1" x14ac:dyDescent="0.4">
      <c r="A77" s="4" t="s">
        <v>59</v>
      </c>
      <c r="B77" s="1" t="s">
        <v>34</v>
      </c>
      <c r="C77" s="1" t="s">
        <v>7</v>
      </c>
      <c r="D77" s="3">
        <v>2</v>
      </c>
      <c r="E77" s="3">
        <v>4060</v>
      </c>
      <c r="F77" t="e">
        <f>IF(COUNTIFS(
    Sheet1!#REF!, B77,
    Sheet1!#REF!, C77,
    Sheet1!#REF!, D77,
    Sheet1!#REF!, E77
) = 0, "NO MATCH IN TARGET", "MATCHED")</f>
        <v>#REF!</v>
      </c>
    </row>
    <row r="78" spans="1:6" ht="29.5" thickBot="1" x14ac:dyDescent="0.4">
      <c r="A78" s="2">
        <v>46246.635416666664</v>
      </c>
      <c r="B78" s="1" t="s">
        <v>41</v>
      </c>
      <c r="C78" s="1" t="s">
        <v>7</v>
      </c>
      <c r="D78" s="3">
        <v>10</v>
      </c>
      <c r="E78" s="3">
        <v>1420</v>
      </c>
      <c r="F78" t="e">
        <f>IF(COUNTIFS(
    Sheet1!#REF!, B78,
    Sheet1!#REF!, C78,
    Sheet1!#REF!, D78,
    Sheet1!#REF!, E78
) = 0, "NO MATCH IN TARGET", "MATCHED")</f>
        <v>#REF!</v>
      </c>
    </row>
    <row r="79" spans="1:6" ht="15" hidden="1" thickBot="1" x14ac:dyDescent="0.4">
      <c r="A79" s="2">
        <v>46246.635416666664</v>
      </c>
      <c r="B79" s="1" t="s">
        <v>38</v>
      </c>
      <c r="C79" s="1" t="s">
        <v>7</v>
      </c>
      <c r="D79" s="3">
        <v>1</v>
      </c>
      <c r="E79" s="3">
        <v>4640</v>
      </c>
      <c r="F79" t="e">
        <f>IF(COUNTIFS(
    Sheet1!#REF!, B79,
    Sheet1!#REF!, C79,
    Sheet1!#REF!, D79,
    Sheet1!#REF!, E79
) = 0, "NO MATCH IN TARGET", "MATCHED")</f>
        <v>#REF!</v>
      </c>
    </row>
    <row r="80" spans="1:6" ht="15" thickBot="1" x14ac:dyDescent="0.4">
      <c r="A80" s="4" t="s">
        <v>59</v>
      </c>
      <c r="B80" s="1" t="s">
        <v>47</v>
      </c>
      <c r="C80" s="1" t="s">
        <v>7</v>
      </c>
      <c r="D80" s="3">
        <v>3</v>
      </c>
      <c r="E80" s="3">
        <v>3810</v>
      </c>
      <c r="F80" t="e">
        <f>IF(COUNTIFS(
    Sheet1!#REF!, B80,
    Sheet1!#REF!, C80,
    Sheet1!#REF!, D80,
    Sheet1!#REF!, E80
) = 0, "NO MATCH IN TARGET", "MATCHED")</f>
        <v>#REF!</v>
      </c>
    </row>
    <row r="81" spans="1:6" ht="29.5" thickBot="1" x14ac:dyDescent="0.4">
      <c r="A81" s="2">
        <v>46211.76458333333</v>
      </c>
      <c r="B81" s="1" t="s">
        <v>60</v>
      </c>
      <c r="C81" s="1" t="s">
        <v>7</v>
      </c>
      <c r="D81" s="3">
        <v>25</v>
      </c>
      <c r="E81" s="3">
        <v>196</v>
      </c>
      <c r="F81" t="e">
        <f>IF(COUNTIFS(
    Sheet1!#REF!, B81,
    Sheet1!#REF!, C81,
    Sheet1!#REF!, D81,
    Sheet1!#REF!, E81
) = 0, "NO MATCH IN TARGET", "MATCHED")</f>
        <v>#REF!</v>
      </c>
    </row>
    <row r="82" spans="1:6" ht="15" thickBot="1" x14ac:dyDescent="0.4">
      <c r="A82" s="2">
        <v>46364.689583333333</v>
      </c>
      <c r="B82" s="1" t="s">
        <v>24</v>
      </c>
      <c r="C82" s="1" t="s">
        <v>7</v>
      </c>
      <c r="D82" s="3">
        <v>5</v>
      </c>
      <c r="E82" s="3">
        <v>2470</v>
      </c>
      <c r="F82" t="e">
        <f>IF(COUNTIFS(
    Sheet1!#REF!, B82,
    Sheet1!#REF!, C82,
    Sheet1!#REF!, D82,
    Sheet1!#REF!, E82
) = 0, "NO MATCH IN TARGET", "MATCHED")</f>
        <v>#REF!</v>
      </c>
    </row>
    <row r="83" spans="1:6" ht="15" thickBot="1" x14ac:dyDescent="0.4">
      <c r="A83" s="2">
        <v>46247.690011574072</v>
      </c>
      <c r="B83" s="1" t="s">
        <v>22</v>
      </c>
      <c r="C83" s="1" t="s">
        <v>7</v>
      </c>
      <c r="D83" s="3">
        <v>37</v>
      </c>
      <c r="E83" s="3">
        <v>277</v>
      </c>
      <c r="F83" t="e">
        <f>IF(COUNTIFS(
    Sheet1!#REF!, B83,
    Sheet1!#REF!, C83,
    Sheet1!#REF!, D83,
    Sheet1!#REF!, E83
) = 0, "NO MATCH IN TARGET", "MATCHED")</f>
        <v>#REF!</v>
      </c>
    </row>
    <row r="84" spans="1:6" ht="29.5" thickBot="1" x14ac:dyDescent="0.4">
      <c r="A84" s="2">
        <v>46246.635416666664</v>
      </c>
      <c r="B84" s="1" t="s">
        <v>41</v>
      </c>
      <c r="C84" s="1" t="s">
        <v>7</v>
      </c>
      <c r="D84" s="3">
        <v>10</v>
      </c>
      <c r="E84" s="3">
        <v>1410</v>
      </c>
      <c r="F84" t="e">
        <f>IF(COUNTIFS(
    Sheet1!#REF!, B84,
    Sheet1!#REF!, C84,
    Sheet1!#REF!, D84,
    Sheet1!#REF!, E84
) = 0, "NO MATCH IN TARGET", "MATCHED")</f>
        <v>#REF!</v>
      </c>
    </row>
    <row r="85" spans="1:6" ht="15" thickBot="1" x14ac:dyDescent="0.4">
      <c r="A85" s="2">
        <v>46247.690046296295</v>
      </c>
      <c r="B85" s="1" t="s">
        <v>24</v>
      </c>
      <c r="C85" s="1" t="s">
        <v>7</v>
      </c>
      <c r="D85" s="3">
        <v>30</v>
      </c>
      <c r="E85" s="3">
        <v>2460</v>
      </c>
      <c r="F85" t="e">
        <f>IF(COUNTIFS(
    Sheet1!#REF!, B85,
    Sheet1!#REF!, C85,
    Sheet1!#REF!, D85,
    Sheet1!#REF!, E85
) = 0, "NO MATCH IN TARGET", "MATCHED")</f>
        <v>#REF!</v>
      </c>
    </row>
    <row r="86" spans="1:6" ht="15" thickBot="1" x14ac:dyDescent="0.4">
      <c r="A86" s="2">
        <v>46334.693055555559</v>
      </c>
      <c r="B86" s="1" t="s">
        <v>15</v>
      </c>
      <c r="C86" s="1" t="s">
        <v>7</v>
      </c>
      <c r="D86" s="3">
        <v>100</v>
      </c>
      <c r="E86" s="3">
        <v>322</v>
      </c>
      <c r="F86" t="e">
        <f>IF(COUNTIFS(
    Sheet1!#REF!, B86,
    Sheet1!#REF!, C86,
    Sheet1!#REF!, D86,
    Sheet1!#REF!, E86
) = 0, "NO MATCH IN TARGET", "MATCHED")</f>
        <v>#REF!</v>
      </c>
    </row>
    <row r="87" spans="1:6" ht="29.5" thickBot="1" x14ac:dyDescent="0.4">
      <c r="A87" s="2">
        <v>46246.644444444442</v>
      </c>
      <c r="B87" s="1" t="s">
        <v>28</v>
      </c>
      <c r="C87" s="1" t="s">
        <v>7</v>
      </c>
      <c r="D87" s="3">
        <v>40</v>
      </c>
      <c r="E87" s="3">
        <v>862</v>
      </c>
      <c r="F87" t="e">
        <f>IF(COUNTIFS(
    Sheet1!#REF!, B87,
    Sheet1!#REF!, C87,
    Sheet1!#REF!, D87,
    Sheet1!#REF!, E87
) = 0, "NO MATCH IN TARGET", "MATCHED")</f>
        <v>#REF!</v>
      </c>
    </row>
    <row r="88" spans="1:6" ht="15" thickBot="1" x14ac:dyDescent="0.4">
      <c r="A88" s="2">
        <v>46247.635520833333</v>
      </c>
      <c r="B88" s="1" t="s">
        <v>42</v>
      </c>
      <c r="C88" s="1" t="s">
        <v>7</v>
      </c>
      <c r="D88" s="3">
        <v>15</v>
      </c>
      <c r="E88" s="3">
        <v>1005</v>
      </c>
      <c r="F88" t="e">
        <f>IF(COUNTIFS(
    Sheet1!#REF!, B88,
    Sheet1!#REF!, C88,
    Sheet1!#REF!, D88,
    Sheet1!#REF!, E88
) = 0, "NO MATCH IN TARGET", "MATCHED")</f>
        <v>#REF!</v>
      </c>
    </row>
    <row r="89" spans="1:6" ht="29.5" hidden="1" thickBot="1" x14ac:dyDescent="0.4">
      <c r="A89" s="2">
        <v>46247.63554398148</v>
      </c>
      <c r="B89" s="1" t="s">
        <v>36</v>
      </c>
      <c r="C89" s="1" t="s">
        <v>7</v>
      </c>
      <c r="D89" s="3">
        <v>7</v>
      </c>
      <c r="E89" s="3">
        <v>2401</v>
      </c>
      <c r="F89" t="e">
        <f>IF(COUNTIFS(
    Sheet1!#REF!, B89,
    Sheet1!#REF!, C89,
    Sheet1!#REF!, D89,
    Sheet1!#REF!, E89
) = 0, "NO MATCH IN TARGET", "MATCHED")</f>
        <v>#REF!</v>
      </c>
    </row>
    <row r="90" spans="1:6" ht="29.5" thickBot="1" x14ac:dyDescent="0.4">
      <c r="A90" s="2">
        <v>46247.69</v>
      </c>
      <c r="B90" s="1" t="s">
        <v>61</v>
      </c>
      <c r="C90" s="1" t="s">
        <v>7</v>
      </c>
      <c r="D90" s="3">
        <v>5</v>
      </c>
      <c r="E90" s="3">
        <v>452</v>
      </c>
      <c r="F90" t="e">
        <f>IF(COUNTIFS(
    Sheet1!#REF!, B90,
    Sheet1!#REF!, C90,
    Sheet1!#REF!, D90,
    Sheet1!#REF!, E90
) = 0, "NO MATCH IN TARGET", "MATCHED")</f>
        <v>#REF!</v>
      </c>
    </row>
    <row r="91" spans="1:6" ht="29.5" thickBot="1" x14ac:dyDescent="0.4">
      <c r="A91" s="2">
        <v>46211.6875</v>
      </c>
      <c r="B91" s="1" t="s">
        <v>19</v>
      </c>
      <c r="C91" s="1" t="s">
        <v>7</v>
      </c>
      <c r="D91" s="3">
        <v>50</v>
      </c>
      <c r="E91" s="3">
        <v>206</v>
      </c>
      <c r="F91" t="e">
        <f>IF(COUNTIFS(
    Sheet1!#REF!, B91,
    Sheet1!#REF!, C91,
    Sheet1!#REF!, D91,
    Sheet1!#REF!, E91
) = 0, "NO MATCH IN TARGET", "MATCHED")</f>
        <v>#REF!</v>
      </c>
    </row>
    <row r="92" spans="1:6" ht="29.5" thickBot="1" x14ac:dyDescent="0.4">
      <c r="A92" s="4" t="s">
        <v>59</v>
      </c>
      <c r="B92" s="1" t="s">
        <v>34</v>
      </c>
      <c r="C92" s="1" t="s">
        <v>7</v>
      </c>
      <c r="D92" s="3">
        <v>2</v>
      </c>
      <c r="E92" s="3">
        <v>4010</v>
      </c>
      <c r="F92" t="e">
        <f>IF(COUNTIFS(
    Sheet1!#REF!, B92,
    Sheet1!#REF!, C92,
    Sheet1!#REF!, D92,
    Sheet1!#REF!, E92
) = 0, "NO MATCH IN TARGET", "MATCHED")</f>
        <v>#REF!</v>
      </c>
    </row>
    <row r="93" spans="1:6" ht="15" thickBot="1" x14ac:dyDescent="0.4">
      <c r="A93" s="2">
        <v>46364.635416666664</v>
      </c>
      <c r="B93" s="1" t="s">
        <v>45</v>
      </c>
      <c r="C93" s="1" t="s">
        <v>7</v>
      </c>
      <c r="D93" s="3">
        <v>1</v>
      </c>
      <c r="E93" s="3">
        <v>13052</v>
      </c>
      <c r="F93" t="e">
        <f>IF(COUNTIFS(
    Sheet1!#REF!, B93,
    Sheet1!#REF!, C93,
    Sheet1!#REF!, D93,
    Sheet1!#REF!, E93
) = 0, "NO MATCH IN TARGET", "MATCHED")</f>
        <v>#REF!</v>
      </c>
    </row>
    <row r="94" spans="1:6" ht="15" thickBot="1" x14ac:dyDescent="0.4">
      <c r="A94" s="2">
        <v>46364.635416666664</v>
      </c>
      <c r="B94" s="1" t="s">
        <v>29</v>
      </c>
      <c r="C94" s="1" t="s">
        <v>7</v>
      </c>
      <c r="D94" s="3">
        <v>10</v>
      </c>
      <c r="E94" s="3">
        <v>1280</v>
      </c>
      <c r="F94" t="e">
        <f>IF(COUNTIFS(
    Sheet1!#REF!, B94,
    Sheet1!#REF!, C94,
    Sheet1!#REF!, D94,
    Sheet1!#REF!, E94
) = 0, "NO MATCH IN TARGET", "MATCHED")</f>
        <v>#REF!</v>
      </c>
    </row>
    <row r="95" spans="1:6" ht="29.5" thickBot="1" x14ac:dyDescent="0.4">
      <c r="A95" s="2">
        <v>46247.690115740741</v>
      </c>
      <c r="B95" s="1" t="s">
        <v>16</v>
      </c>
      <c r="C95" s="1" t="s">
        <v>7</v>
      </c>
      <c r="D95" s="3">
        <v>50</v>
      </c>
      <c r="E95" s="3">
        <v>196</v>
      </c>
      <c r="F95" t="e">
        <f>IF(COUNTIFS(
    Sheet1!#REF!, B95,
    Sheet1!#REF!, C95,
    Sheet1!#REF!, D95,
    Sheet1!#REF!, E95
) = 0, "NO MATCH IN TARGET", "MATCHED")</f>
        <v>#REF!</v>
      </c>
    </row>
    <row r="96" spans="1:6" ht="15" thickBot="1" x14ac:dyDescent="0.4">
      <c r="A96" s="4" t="s">
        <v>59</v>
      </c>
      <c r="B96" s="1" t="s">
        <v>47</v>
      </c>
      <c r="C96" s="1" t="s">
        <v>7</v>
      </c>
      <c r="D96" s="3">
        <v>2</v>
      </c>
      <c r="E96" s="3">
        <v>3760</v>
      </c>
      <c r="F96" t="e">
        <f>IF(COUNTIFS(
    Sheet1!#REF!, B96,
    Sheet1!#REF!, C96,
    Sheet1!#REF!, D96,
    Sheet1!#REF!, E96
) = 0, "NO MATCH IN TARGET", "MATCHED")</f>
        <v>#REF!</v>
      </c>
    </row>
    <row r="97" spans="1:6" ht="29.5" thickBot="1" x14ac:dyDescent="0.4">
      <c r="A97" s="2">
        <v>46334.692361111112</v>
      </c>
      <c r="B97" s="1" t="s">
        <v>21</v>
      </c>
      <c r="C97" s="1" t="s">
        <v>7</v>
      </c>
      <c r="D97" s="3">
        <v>11</v>
      </c>
      <c r="E97" s="3">
        <v>882</v>
      </c>
      <c r="F97" t="e">
        <f>IF(COUNTIFS(
    Sheet1!#REF!, B97,
    Sheet1!#REF!, C97,
    Sheet1!#REF!, D97,
    Sheet1!#REF!, E97
) = 0, "NO MATCH IN TARGET", "MATCHED")</f>
        <v>#REF!</v>
      </c>
    </row>
    <row r="98" spans="1:6" ht="15" hidden="1" thickBot="1" x14ac:dyDescent="0.4">
      <c r="A98" s="2">
        <v>46247.63553240741</v>
      </c>
      <c r="B98" s="1" t="s">
        <v>37</v>
      </c>
      <c r="C98" s="1" t="s">
        <v>7</v>
      </c>
      <c r="D98" s="3">
        <v>1</v>
      </c>
      <c r="E98" s="3">
        <v>2752</v>
      </c>
      <c r="F98" t="e">
        <f>IF(COUNTIFS(
    Sheet1!#REF!, B98,
    Sheet1!#REF!, C98,
    Sheet1!#REF!, D98,
    Sheet1!#REF!, E98
) = 0, "NO MATCH IN TARGET", "MATCHED")</f>
        <v>#REF!</v>
      </c>
    </row>
    <row r="99" spans="1:6" ht="15" thickBot="1" x14ac:dyDescent="0.4">
      <c r="A99" s="2">
        <v>46211.635416666664</v>
      </c>
      <c r="B99" s="1" t="s">
        <v>38</v>
      </c>
      <c r="C99" s="1" t="s">
        <v>7</v>
      </c>
      <c r="D99" s="3">
        <v>1</v>
      </c>
      <c r="E99" s="3">
        <v>4560</v>
      </c>
      <c r="F99" t="e">
        <f>IF(COUNTIFS(
    Sheet1!#REF!, B99,
    Sheet1!#REF!, C99,
    Sheet1!#REF!, D99,
    Sheet1!#REF!, E99
) = 0, "NO MATCH IN TARGET", "MATCHED")</f>
        <v>#REF!</v>
      </c>
    </row>
    <row r="100" spans="1:6" ht="15" thickBot="1" x14ac:dyDescent="0.4">
      <c r="A100" s="2">
        <v>46247.690046296295</v>
      </c>
      <c r="B100" s="1" t="s">
        <v>24</v>
      </c>
      <c r="C100" s="1" t="s">
        <v>7</v>
      </c>
      <c r="D100" s="3">
        <v>30</v>
      </c>
      <c r="E100" s="3">
        <v>2435</v>
      </c>
      <c r="F100" t="e">
        <f>IF(COUNTIFS(
    Sheet1!#REF!, B100,
    Sheet1!#REF!, C100,
    Sheet1!#REF!, D100,
    Sheet1!#REF!, E100
) = 0, "NO MATCH IN TARGET", "MATCHED")</f>
        <v>#REF!</v>
      </c>
    </row>
    <row r="101" spans="1:6" ht="29.5" thickBot="1" x14ac:dyDescent="0.4">
      <c r="A101" s="2">
        <v>46245.693055555559</v>
      </c>
      <c r="B101" s="1" t="s">
        <v>25</v>
      </c>
      <c r="C101" s="1" t="s">
        <v>7</v>
      </c>
      <c r="D101" s="3">
        <v>50</v>
      </c>
      <c r="E101" s="3">
        <v>116</v>
      </c>
      <c r="F101" t="e">
        <f>IF(COUNTIFS(
    Sheet1!#REF!, B101,
    Sheet1!#REF!, C101,
    Sheet1!#REF!, D101,
    Sheet1!#REF!, E101
) = 0, "NO MATCH IN TARGET", "MATCHED")</f>
        <v>#REF!</v>
      </c>
    </row>
    <row r="102" spans="1:6" ht="29.5" thickBot="1" x14ac:dyDescent="0.4">
      <c r="A102" s="2">
        <v>46246.635416666664</v>
      </c>
      <c r="B102" s="1" t="s">
        <v>36</v>
      </c>
      <c r="C102" s="1" t="s">
        <v>7</v>
      </c>
      <c r="D102" s="3">
        <v>8</v>
      </c>
      <c r="E102" s="3">
        <v>2370</v>
      </c>
      <c r="F102" t="e">
        <f>IF(COUNTIFS(
    Sheet1!#REF!, B102,
    Sheet1!#REF!, C102,
    Sheet1!#REF!, D102,
    Sheet1!#REF!, E102
) = 0, "NO MATCH IN TARGET", "MATCHED")</f>
        <v>#REF!</v>
      </c>
    </row>
    <row r="103" spans="1:6" ht="29.5" thickBot="1" x14ac:dyDescent="0.4">
      <c r="A103" s="4" t="s">
        <v>59</v>
      </c>
      <c r="B103" s="1" t="s">
        <v>39</v>
      </c>
      <c r="C103" s="1" t="s">
        <v>7</v>
      </c>
      <c r="D103" s="3">
        <v>5</v>
      </c>
      <c r="E103" s="3">
        <v>812</v>
      </c>
      <c r="F103" t="e">
        <f>IF(COUNTIFS(
    Sheet1!#REF!, B103,
    Sheet1!#REF!, C103,
    Sheet1!#REF!, D103,
    Sheet1!#REF!, E103
) = 0, "NO MATCH IN TARGET", "MATCHED")</f>
        <v>#REF!</v>
      </c>
    </row>
    <row r="104" spans="1:6" ht="29.5" thickBot="1" x14ac:dyDescent="0.4">
      <c r="A104" s="2">
        <v>46247.690057870372</v>
      </c>
      <c r="B104" s="1" t="s">
        <v>6</v>
      </c>
      <c r="C104" s="1" t="s">
        <v>7</v>
      </c>
      <c r="D104" s="3">
        <v>3</v>
      </c>
      <c r="E104" s="3">
        <v>2064</v>
      </c>
      <c r="F104" t="e">
        <f>IF(COUNTIFS(
    Sheet1!#REF!, B104,
    Sheet1!#REF!, C104,
    Sheet1!#REF!, D104,
    Sheet1!#REF!, E104
) = 0, "NO MATCH IN TARGET", "MATCHED")</f>
        <v>#REF!</v>
      </c>
    </row>
    <row r="105" spans="1:6" ht="29.5" thickBot="1" x14ac:dyDescent="0.4">
      <c r="A105" s="2">
        <v>46245.693055555559</v>
      </c>
      <c r="B105" s="1" t="s">
        <v>25</v>
      </c>
      <c r="C105" s="1" t="s">
        <v>7</v>
      </c>
      <c r="D105" s="3">
        <v>200</v>
      </c>
      <c r="E105" s="3">
        <v>115.25</v>
      </c>
      <c r="F105" t="e">
        <f>IF(COUNTIFS(
    Sheet1!#REF!, B105,
    Sheet1!#REF!, C105,
    Sheet1!#REF!, D105,
    Sheet1!#REF!, E105
) = 0, "NO MATCH IN TARGET", "MATCHED")</f>
        <v>#REF!</v>
      </c>
    </row>
    <row r="106" spans="1:6" ht="29.5" thickBot="1" x14ac:dyDescent="0.4">
      <c r="A106" s="2">
        <v>46246.635416666664</v>
      </c>
      <c r="B106" s="1" t="s">
        <v>30</v>
      </c>
      <c r="C106" s="1" t="s">
        <v>7</v>
      </c>
      <c r="D106" s="3">
        <v>10</v>
      </c>
      <c r="E106" s="3">
        <v>1132</v>
      </c>
      <c r="F106" t="e">
        <f>IF(COUNTIFS(
    Sheet1!#REF!, B106,
    Sheet1!#REF!, C106,
    Sheet1!#REF!, D106,
    Sheet1!#REF!, E106
) = 0, "NO MATCH IN TARGET", "MATCHED")</f>
        <v>#REF!</v>
      </c>
    </row>
    <row r="107" spans="1:6" ht="29.5" thickBot="1" x14ac:dyDescent="0.4">
      <c r="A107" s="2">
        <v>46241.6875</v>
      </c>
      <c r="B107" s="1" t="s">
        <v>26</v>
      </c>
      <c r="C107" s="1" t="s">
        <v>7</v>
      </c>
      <c r="D107" s="3">
        <v>20</v>
      </c>
      <c r="E107" s="3">
        <v>620</v>
      </c>
      <c r="F107" t="e">
        <f>IF(COUNTIFS(
    Sheet1!#REF!, B107,
    Sheet1!#REF!, C107,
    Sheet1!#REF!, D107,
    Sheet1!#REF!, E107
) = 0, "NO MATCH IN TARGET", "MATCHED")</f>
        <v>#REF!</v>
      </c>
    </row>
    <row r="108" spans="1:6" ht="29.5" thickBot="1" x14ac:dyDescent="0.4">
      <c r="A108" s="2">
        <v>46240.6875</v>
      </c>
      <c r="B108" s="1" t="s">
        <v>26</v>
      </c>
      <c r="C108" s="1" t="s">
        <v>7</v>
      </c>
      <c r="D108" s="3">
        <v>30</v>
      </c>
      <c r="E108" s="3">
        <v>620</v>
      </c>
      <c r="F108" t="e">
        <f>IF(COUNTIFS(
    Sheet1!#REF!, B108,
    Sheet1!#REF!, C108,
    Sheet1!#REF!, D108,
    Sheet1!#REF!, E108
) = 0, "NO MATCH IN TARGET", "MATCHED")</f>
        <v>#REF!</v>
      </c>
    </row>
    <row r="109" spans="1:6" ht="15" thickBot="1" x14ac:dyDescent="0.4">
      <c r="A109" s="2">
        <v>46246.635416666664</v>
      </c>
      <c r="B109" s="1" t="s">
        <v>29</v>
      </c>
      <c r="C109" s="1" t="s">
        <v>7</v>
      </c>
      <c r="D109" s="3">
        <v>10</v>
      </c>
      <c r="E109" s="3">
        <v>1260</v>
      </c>
      <c r="F109" t="e">
        <f>IF(COUNTIFS(
    Sheet1!#REF!, B109,
    Sheet1!#REF!, C109,
    Sheet1!#REF!, D109,
    Sheet1!#REF!, E109
) = 0, "NO MATCH IN TARGET", "MATCHED")</f>
        <v>#REF!</v>
      </c>
    </row>
    <row r="110" spans="1:6" ht="29.5" thickBot="1" x14ac:dyDescent="0.4">
      <c r="A110" s="2">
        <v>46247.63553240741</v>
      </c>
      <c r="B110" s="1" t="s">
        <v>33</v>
      </c>
      <c r="C110" s="1" t="s">
        <v>7</v>
      </c>
      <c r="D110" s="3">
        <v>1</v>
      </c>
      <c r="E110" s="3">
        <v>18552</v>
      </c>
      <c r="F110" t="e">
        <f>IF(COUNTIFS(
    Sheet1!#REF!, B110,
    Sheet1!#REF!, C110,
    Sheet1!#REF!, D110,
    Sheet1!#REF!, E110
) = 0, "NO MATCH IN TARGET", "MATCHED")</f>
        <v>#REF!</v>
      </c>
    </row>
    <row r="111" spans="1:6" ht="29.5" hidden="1" thickBot="1" x14ac:dyDescent="0.4">
      <c r="A111" s="2">
        <v>46245.692361111112</v>
      </c>
      <c r="B111" s="1" t="s">
        <v>13</v>
      </c>
      <c r="C111" s="1" t="s">
        <v>7</v>
      </c>
      <c r="D111" s="3">
        <v>10</v>
      </c>
      <c r="E111" s="3">
        <v>1666</v>
      </c>
      <c r="F111" t="e">
        <f>IF(COUNTIFS(
    Sheet1!#REF!, B111,
    Sheet1!#REF!, C111,
    Sheet1!#REF!, D111,
    Sheet1!#REF!, E111
) = 0, "NO MATCH IN TARGET", "MATCHED")</f>
        <v>#REF!</v>
      </c>
    </row>
    <row r="112" spans="1:6" ht="15" thickBot="1" x14ac:dyDescent="0.4">
      <c r="A112" s="2">
        <v>46246.635416666664</v>
      </c>
      <c r="B112" s="1" t="s">
        <v>29</v>
      </c>
      <c r="C112" s="1" t="s">
        <v>7</v>
      </c>
      <c r="D112" s="3">
        <v>10</v>
      </c>
      <c r="E112" s="3">
        <v>1251</v>
      </c>
      <c r="F112" t="e">
        <f>IF(COUNTIFS(
    Sheet1!#REF!, B112,
    Sheet1!#REF!, C112,
    Sheet1!#REF!, D112,
    Sheet1!#REF!, E112
) = 0, "NO MATCH IN TARGET", "MATCHED")</f>
        <v>#REF!</v>
      </c>
    </row>
    <row r="113" spans="1:6" ht="29.5" hidden="1" thickBot="1" x14ac:dyDescent="0.4">
      <c r="A113" s="2">
        <v>46247.690081018518</v>
      </c>
      <c r="B113" s="1" t="s">
        <v>14</v>
      </c>
      <c r="C113" s="1" t="s">
        <v>7</v>
      </c>
      <c r="D113" s="3">
        <v>3</v>
      </c>
      <c r="E113" s="3">
        <v>4710</v>
      </c>
      <c r="F113" t="e">
        <f>IF(COUNTIFS(
    Sheet1!#REF!, B113,
    Sheet1!#REF!, C113,
    Sheet1!#REF!, D113,
    Sheet1!#REF!, E113
) = 0, "NO MATCH IN TARGET", "MATCHED")</f>
        <v>#REF!</v>
      </c>
    </row>
    <row r="114" spans="1:6" ht="29.5" thickBot="1" x14ac:dyDescent="0.4">
      <c r="A114" s="2">
        <v>46334.692361111112</v>
      </c>
      <c r="B114" s="1" t="s">
        <v>21</v>
      </c>
      <c r="C114" s="1" t="s">
        <v>7</v>
      </c>
      <c r="D114" s="3">
        <v>30</v>
      </c>
      <c r="E114" s="3">
        <v>860</v>
      </c>
      <c r="F114" t="e">
        <f>IF(COUNTIFS(
    Sheet1!#REF!, B114,
    Sheet1!#REF!, C114,
    Sheet1!#REF!, D114,
    Sheet1!#REF!, E114
) = 0, "NO MATCH IN TARGET", "MATCHED")</f>
        <v>#REF!</v>
      </c>
    </row>
    <row r="115" spans="1:6" ht="15" thickBot="1" x14ac:dyDescent="0.4">
      <c r="A115" s="2">
        <v>46240.635416666664</v>
      </c>
      <c r="B115" s="1" t="s">
        <v>38</v>
      </c>
      <c r="C115" s="1" t="s">
        <v>7</v>
      </c>
      <c r="D115" s="3">
        <v>2</v>
      </c>
      <c r="E115" s="3">
        <v>4456</v>
      </c>
      <c r="F115" t="e">
        <f>IF(COUNTIFS(
    Sheet1!#REF!, B115,
    Sheet1!#REF!, C115,
    Sheet1!#REF!, D115,
    Sheet1!#REF!, E115
) = 0, "NO MATCH IN TARGET", "MATCHED")</f>
        <v>#REF!</v>
      </c>
    </row>
    <row r="116" spans="1:6" ht="15" thickBot="1" x14ac:dyDescent="0.4">
      <c r="A116" s="2">
        <v>46240.6875</v>
      </c>
      <c r="B116" s="1" t="s">
        <v>12</v>
      </c>
      <c r="C116" s="1" t="s">
        <v>7</v>
      </c>
      <c r="D116" s="3">
        <v>5</v>
      </c>
      <c r="E116" s="3">
        <v>569</v>
      </c>
      <c r="F116" t="e">
        <f>IF(COUNTIFS(
    Sheet1!#REF!, B116,
    Sheet1!#REF!, C116,
    Sheet1!#REF!, D116,
    Sheet1!#REF!, E116
) = 0, "NO MATCH IN TARGET", "MATCHED")</f>
        <v>#REF!</v>
      </c>
    </row>
    <row r="117" spans="1:6" ht="15" thickBot="1" x14ac:dyDescent="0.4">
      <c r="A117" s="4" t="s">
        <v>59</v>
      </c>
      <c r="B117" s="1" t="s">
        <v>62</v>
      </c>
      <c r="C117" s="1" t="s">
        <v>7</v>
      </c>
      <c r="D117" s="3">
        <v>1</v>
      </c>
      <c r="E117" s="3">
        <v>6920</v>
      </c>
      <c r="F117" t="e">
        <f>IF(COUNTIFS(
    Sheet1!#REF!, B117,
    Sheet1!#REF!, C117,
    Sheet1!#REF!, D117,
    Sheet1!#REF!, E117
) = 0, "NO MATCH IN TARGET", "MATCHED")</f>
        <v>#REF!</v>
      </c>
    </row>
    <row r="118" spans="1:6" ht="29.5" thickBot="1" x14ac:dyDescent="0.4">
      <c r="A118" s="2">
        <v>46334.692361111112</v>
      </c>
      <c r="B118" s="1" t="s">
        <v>21</v>
      </c>
      <c r="C118" s="1" t="s">
        <v>7</v>
      </c>
      <c r="D118" s="3">
        <v>5</v>
      </c>
      <c r="E118" s="3">
        <v>852</v>
      </c>
      <c r="F118" t="e">
        <f>IF(COUNTIFS(
    Sheet1!#REF!, B118,
    Sheet1!#REF!, C118,
    Sheet1!#REF!, D118,
    Sheet1!#REF!, E118
) = 0, "NO MATCH IN TARGET", "MATCHED")</f>
        <v>#REF!</v>
      </c>
    </row>
    <row r="119" spans="1:6" ht="15" thickBot="1" x14ac:dyDescent="0.4">
      <c r="A119" s="2">
        <v>46150.635416666664</v>
      </c>
      <c r="B119" s="1" t="s">
        <v>38</v>
      </c>
      <c r="C119" s="1" t="s">
        <v>7</v>
      </c>
      <c r="D119" s="3">
        <v>15</v>
      </c>
      <c r="E119" s="3">
        <v>4415</v>
      </c>
      <c r="F119" t="e">
        <f>IF(COUNTIFS(
    Sheet1!#REF!, B119,
    Sheet1!#REF!, C119,
    Sheet1!#REF!, D119,
    Sheet1!#REF!, E119
) = 0, "NO MATCH IN TARGET", "MATCHED")</f>
        <v>#REF!</v>
      </c>
    </row>
    <row r="120" spans="1:6" ht="15" thickBot="1" x14ac:dyDescent="0.4">
      <c r="A120" s="2">
        <v>46334.635416666664</v>
      </c>
      <c r="B120" s="1" t="s">
        <v>37</v>
      </c>
      <c r="C120" s="1" t="s">
        <v>7</v>
      </c>
      <c r="D120" s="3">
        <v>2</v>
      </c>
      <c r="E120" s="3">
        <v>2660</v>
      </c>
      <c r="F120" t="e">
        <f>IF(COUNTIFS(
    Sheet1!#REF!, B120,
    Sheet1!#REF!, C120,
    Sheet1!#REF!, D120,
    Sheet1!#REF!, E120
) = 0, "NO MATCH IN TARGET", "MATCHED")</f>
        <v>#REF!</v>
      </c>
    </row>
    <row r="121" spans="1:6" ht="29.5" thickBot="1" x14ac:dyDescent="0.4">
      <c r="A121" s="2">
        <v>46241.765277777777</v>
      </c>
      <c r="B121" s="1" t="s">
        <v>63</v>
      </c>
      <c r="C121" s="1" t="s">
        <v>7</v>
      </c>
      <c r="D121" s="3">
        <v>4</v>
      </c>
      <c r="E121" s="3">
        <v>1751</v>
      </c>
      <c r="F121" t="e">
        <f>IF(COUNTIFS(
    Sheet1!#REF!, B121,
    Sheet1!#REF!, C121,
    Sheet1!#REF!, D121,
    Sheet1!#REF!, E121
) = 0, "NO MATCH IN TARGET", "MATCHED")</f>
        <v>#REF!</v>
      </c>
    </row>
    <row r="122" spans="1:6" ht="15" thickBot="1" x14ac:dyDescent="0.4">
      <c r="A122" s="2">
        <v>46246.689583333333</v>
      </c>
      <c r="B122" s="1" t="s">
        <v>17</v>
      </c>
      <c r="C122" s="1" t="s">
        <v>7</v>
      </c>
      <c r="D122" s="3">
        <v>200</v>
      </c>
      <c r="E122" s="3">
        <v>31.01</v>
      </c>
      <c r="F122" t="e">
        <f>IF(COUNTIFS(
    Sheet1!#REF!, B122,
    Sheet1!#REF!, C122,
    Sheet1!#REF!, D122,
    Sheet1!#REF!, E122
) = 0, "NO MATCH IN TARGET", "MATCHED")</f>
        <v>#REF!</v>
      </c>
    </row>
    <row r="123" spans="1:6" ht="29.5" thickBot="1" x14ac:dyDescent="0.4">
      <c r="A123" s="4" t="s">
        <v>59</v>
      </c>
      <c r="B123" s="1" t="s">
        <v>11</v>
      </c>
      <c r="C123" s="1" t="s">
        <v>7</v>
      </c>
      <c r="D123" s="3">
        <v>10</v>
      </c>
      <c r="E123" s="3">
        <v>251</v>
      </c>
      <c r="F123" t="e">
        <f>IF(COUNTIFS(
    Sheet1!#REF!, B123,
    Sheet1!#REF!, C123,
    Sheet1!#REF!, D123,
    Sheet1!#REF!, E123
) = 0, "NO MATCH IN TARGET", "MATCHED")</f>
        <v>#REF!</v>
      </c>
    </row>
    <row r="124" spans="1:6" ht="29.5" thickBot="1" x14ac:dyDescent="0.4">
      <c r="A124" s="2">
        <v>46247.63554398148</v>
      </c>
      <c r="B124" s="1" t="s">
        <v>33</v>
      </c>
      <c r="C124" s="1" t="s">
        <v>7</v>
      </c>
      <c r="D124" s="3">
        <v>1</v>
      </c>
      <c r="E124" s="3">
        <v>18052</v>
      </c>
      <c r="F124" t="e">
        <f>IF(COUNTIFS(
    Sheet1!#REF!, B124,
    Sheet1!#REF!, C124,
    Sheet1!#REF!, D124,
    Sheet1!#REF!, E124
) = 0, "NO MATCH IN TARGET", "MATCHED")</f>
        <v>#REF!</v>
      </c>
    </row>
    <row r="125" spans="1:6" ht="15" thickBot="1" x14ac:dyDescent="0.4">
      <c r="A125" s="2">
        <v>46239.793055555558</v>
      </c>
      <c r="B125" s="1" t="s">
        <v>12</v>
      </c>
      <c r="C125" s="1" t="s">
        <v>7</v>
      </c>
      <c r="D125" s="3">
        <v>5</v>
      </c>
      <c r="E125" s="3">
        <v>560</v>
      </c>
      <c r="F125" t="e">
        <f>IF(COUNTIFS(
    Sheet1!#REF!, B125,
    Sheet1!#REF!, C125,
    Sheet1!#REF!, D125,
    Sheet1!#REF!, E125
) = 0, "NO MATCH IN TARGET", "MATCHED")</f>
        <v>#REF!</v>
      </c>
    </row>
    <row r="126" spans="1:6" ht="29.5" thickBot="1" x14ac:dyDescent="0.4">
      <c r="A126" s="2">
        <v>46181.6875</v>
      </c>
      <c r="B126" s="1" t="s">
        <v>25</v>
      </c>
      <c r="C126" s="1" t="s">
        <v>7</v>
      </c>
      <c r="D126" s="3">
        <v>100</v>
      </c>
      <c r="E126" s="3">
        <v>111</v>
      </c>
      <c r="F126" t="e">
        <f>IF(COUNTIFS(
    Sheet1!#REF!, B126,
    Sheet1!#REF!, C126,
    Sheet1!#REF!, D126,
    Sheet1!#REF!, E126
) = 0, "NO MATCH IN TARGET", "MATCHED")</f>
        <v>#REF!</v>
      </c>
    </row>
    <row r="127" spans="1:6" ht="29.5" thickBot="1" x14ac:dyDescent="0.4">
      <c r="A127" s="4" t="s">
        <v>59</v>
      </c>
      <c r="B127" s="1" t="s">
        <v>64</v>
      </c>
      <c r="C127" s="1" t="s">
        <v>7</v>
      </c>
      <c r="D127" s="3">
        <v>4</v>
      </c>
      <c r="E127" s="3">
        <v>701</v>
      </c>
      <c r="F127" t="e">
        <f>IF(COUNTIFS(
    Sheet1!#REF!, B127,
    Sheet1!#REF!, C127,
    Sheet1!#REF!, D127,
    Sheet1!#REF!, E127
) = 0, "NO MATCH IN TARGET", "MATCHED")</f>
        <v>#REF!</v>
      </c>
    </row>
    <row r="128" spans="1:6" ht="29.5" thickBot="1" x14ac:dyDescent="0.4">
      <c r="A128" s="2">
        <v>46240.6875</v>
      </c>
      <c r="B128" s="1" t="s">
        <v>13</v>
      </c>
      <c r="C128" s="1" t="s">
        <v>7</v>
      </c>
      <c r="D128" s="3">
        <v>5</v>
      </c>
      <c r="E128" s="3">
        <v>1614</v>
      </c>
      <c r="F128" t="e">
        <f>IF(COUNTIFS(
    Sheet1!#REF!, B128,
    Sheet1!#REF!, C128,
    Sheet1!#REF!, D128,
    Sheet1!#REF!, E128
) = 0, "NO MATCH IN TARGET", "MATCHED")</f>
        <v>#REF!</v>
      </c>
    </row>
    <row r="129" spans="1:6" ht="29.5" thickBot="1" x14ac:dyDescent="0.4">
      <c r="A129" s="2">
        <v>46247.690057870372</v>
      </c>
      <c r="B129" s="1" t="s">
        <v>6</v>
      </c>
      <c r="C129" s="1" t="s">
        <v>7</v>
      </c>
      <c r="D129" s="3">
        <v>2</v>
      </c>
      <c r="E129" s="3">
        <v>1964</v>
      </c>
      <c r="F129" t="e">
        <f>IF(COUNTIFS(
    Sheet1!#REF!, B129,
    Sheet1!#REF!, C129,
    Sheet1!#REF!, D129,
    Sheet1!#REF!, E129
) = 0, "NO MATCH IN TARGET", "MATCHED")</f>
        <v>#REF!</v>
      </c>
    </row>
    <row r="130" spans="1:6" ht="15" thickBot="1" x14ac:dyDescent="0.4">
      <c r="A130" s="2">
        <v>46150.789583333331</v>
      </c>
      <c r="B130" s="1" t="s">
        <v>65</v>
      </c>
      <c r="C130" s="1" t="s">
        <v>7</v>
      </c>
      <c r="D130" s="3">
        <v>7</v>
      </c>
      <c r="E130" s="3">
        <v>411</v>
      </c>
      <c r="F130" t="e">
        <f>IF(COUNTIFS(
    Sheet1!#REF!, B130,
    Sheet1!#REF!, C130,
    Sheet1!#REF!, D130,
    Sheet1!#REF!, E130
) = 0, "NO MATCH IN TARGET", "MATCHED")</f>
        <v>#REF!</v>
      </c>
    </row>
    <row r="131" spans="1:6" ht="15" thickBot="1" x14ac:dyDescent="0.4">
      <c r="A131" s="2">
        <v>46244.76666666667</v>
      </c>
      <c r="B131" s="1" t="s">
        <v>12</v>
      </c>
      <c r="C131" s="1" t="s">
        <v>7</v>
      </c>
      <c r="D131" s="3">
        <v>5</v>
      </c>
      <c r="E131" s="3">
        <v>547</v>
      </c>
      <c r="F131" t="e">
        <f>IF(COUNTIFS(
    Sheet1!#REF!, B131,
    Sheet1!#REF!, C131,
    Sheet1!#REF!, D131,
    Sheet1!#REF!, E131
) = 0, "NO MATCH IN TARGET", "MATCHED")</f>
        <v>#REF!</v>
      </c>
    </row>
    <row r="132" spans="1:6" ht="29.5" thickBot="1" x14ac:dyDescent="0.4">
      <c r="A132" s="2">
        <v>46150.788888888892</v>
      </c>
      <c r="B132" s="1" t="s">
        <v>61</v>
      </c>
      <c r="C132" s="1" t="s">
        <v>7</v>
      </c>
      <c r="D132" s="3">
        <v>5</v>
      </c>
      <c r="E132" s="3">
        <v>419</v>
      </c>
      <c r="F132" t="e">
        <f>IF(COUNTIFS(
    Sheet1!#REF!, B132,
    Sheet1!#REF!, C132,
    Sheet1!#REF!, D132,
    Sheet1!#REF!, E132
) = 0, "NO MATCH IN TARGET", "MATCHED")</f>
        <v>#REF!</v>
      </c>
    </row>
    <row r="133" spans="1:6" ht="29.5" thickBot="1" x14ac:dyDescent="0.4">
      <c r="A133" s="2">
        <v>46246.635416666664</v>
      </c>
      <c r="B133" s="1" t="s">
        <v>33</v>
      </c>
      <c r="C133" s="1" t="s">
        <v>7</v>
      </c>
      <c r="D133" s="3">
        <v>1</v>
      </c>
      <c r="E133" s="3">
        <v>17552</v>
      </c>
      <c r="F133" t="e">
        <f>IF(COUNTIFS(
    Sheet1!#REF!, B133,
    Sheet1!#REF!, C133,
    Sheet1!#REF!, D133,
    Sheet1!#REF!, E133
) = 0, "NO MATCH IN TARGET", "MATCHED")</f>
        <v>#REF!</v>
      </c>
    </row>
    <row r="134" spans="1:6" ht="15" thickBot="1" x14ac:dyDescent="0.4">
      <c r="A134" s="2">
        <v>46244.635416666664</v>
      </c>
      <c r="B134" s="1" t="s">
        <v>37</v>
      </c>
      <c r="C134" s="1" t="s">
        <v>7</v>
      </c>
      <c r="D134" s="3">
        <v>2</v>
      </c>
      <c r="E134" s="3">
        <v>2560</v>
      </c>
      <c r="F134" t="e">
        <f>IF(COUNTIFS(
    Sheet1!#REF!, B134,
    Sheet1!#REF!, C134,
    Sheet1!#REF!, D134,
    Sheet1!#REF!, E134
) = 0, "NO MATCH IN TARGET", "MATCHED")</f>
        <v>#REF!</v>
      </c>
    </row>
    <row r="135" spans="1:6" ht="29.5" thickBot="1" x14ac:dyDescent="0.4">
      <c r="A135" s="2">
        <v>46211.6875</v>
      </c>
      <c r="B135" s="1" t="s">
        <v>14</v>
      </c>
      <c r="C135" s="1" t="s">
        <v>7</v>
      </c>
      <c r="D135" s="3">
        <v>2</v>
      </c>
      <c r="E135" s="3">
        <v>4410</v>
      </c>
      <c r="F135" t="e">
        <f>IF(COUNTIFS(
    Sheet1!#REF!, B135,
    Sheet1!#REF!, C135,
    Sheet1!#REF!, D135,
    Sheet1!#REF!, E135
) = 0, "NO MATCH IN TARGET", "MATCHED")</f>
        <v>#REF!</v>
      </c>
    </row>
    <row r="136" spans="1:6" ht="29.5" thickBot="1" x14ac:dyDescent="0.4">
      <c r="A136" s="4" t="s">
        <v>59</v>
      </c>
      <c r="B136" s="1" t="s">
        <v>14</v>
      </c>
      <c r="C136" s="1" t="s">
        <v>7</v>
      </c>
      <c r="D136" s="3">
        <v>1</v>
      </c>
      <c r="E136" s="3">
        <v>4364</v>
      </c>
      <c r="F136" t="e">
        <f>IF(COUNTIFS(
    Sheet1!#REF!, B136,
    Sheet1!#REF!, C136,
    Sheet1!#REF!, D136,
    Sheet1!#REF!, E136
) = 0, "NO MATCH IN TARGET", "MATCHED")</f>
        <v>#REF!</v>
      </c>
    </row>
    <row r="137" spans="1:6" ht="29.5" thickBot="1" x14ac:dyDescent="0.4">
      <c r="A137" s="4" t="s">
        <v>59</v>
      </c>
      <c r="B137" s="1" t="s">
        <v>61</v>
      </c>
      <c r="C137" s="1" t="s">
        <v>7</v>
      </c>
      <c r="D137" s="3">
        <v>29</v>
      </c>
      <c r="E137" s="3">
        <v>401</v>
      </c>
      <c r="F137" t="e">
        <f>IF(COUNTIFS(
    Sheet1!#REF!, B137,
    Sheet1!#REF!, C137,
    Sheet1!#REF!, D137,
    Sheet1!#REF!, E137
) = 0, "NO MATCH IN TARGET", "MATCHED")</f>
        <v>#REF!</v>
      </c>
    </row>
    <row r="138" spans="1:6" ht="29.5" thickBot="1" x14ac:dyDescent="0.4">
      <c r="A138" s="4" t="s">
        <v>59</v>
      </c>
      <c r="B138" s="1" t="s">
        <v>14</v>
      </c>
      <c r="C138" s="1" t="s">
        <v>7</v>
      </c>
      <c r="D138" s="3">
        <v>1</v>
      </c>
      <c r="E138" s="3">
        <v>4164</v>
      </c>
      <c r="F138" t="e">
        <f>IF(COUNTIFS(
    Sheet1!#REF!, B138,
    Sheet1!#REF!, C138,
    Sheet1!#REF!, D138,
    Sheet1!#REF!, E138
) = 0, "NO MATCH IN TARGET", "MATCHED")</f>
        <v>#REF!</v>
      </c>
    </row>
    <row r="139" spans="1:6" ht="29.5" thickBot="1" x14ac:dyDescent="0.4">
      <c r="A139" s="4" t="s">
        <v>59</v>
      </c>
      <c r="B139" s="1" t="s">
        <v>14</v>
      </c>
      <c r="C139" s="1" t="s">
        <v>7</v>
      </c>
      <c r="D139" s="3">
        <v>1</v>
      </c>
      <c r="E139" s="3">
        <v>4014</v>
      </c>
      <c r="F139" t="e">
        <f>IF(COUNTIFS(
    Sheet1!#REF!, B139,
    Sheet1!#REF!, C139,
    Sheet1!#REF!, D139,
    Sheet1!#REF!, E139
) = 0, "NO MATCH IN TARGET", "MATCHED")</f>
        <v>#REF!</v>
      </c>
    </row>
    <row r="140" spans="1:6" ht="29.5" thickBot="1" x14ac:dyDescent="0.4">
      <c r="A140" s="4" t="s">
        <v>59</v>
      </c>
      <c r="B140" s="1" t="s">
        <v>14</v>
      </c>
      <c r="C140" s="1" t="s">
        <v>7</v>
      </c>
      <c r="D140" s="3">
        <v>1</v>
      </c>
      <c r="E140" s="3">
        <v>3914</v>
      </c>
      <c r="F140" t="e">
        <f>IF(COUNTIFS(
    Sheet1!#REF!, B140,
    Sheet1!#REF!, C140,
    Sheet1!#REF!, D140,
    Sheet1!#REF!, E140
) = 0, "NO MATCH IN TARGET", "MATCHED")</f>
        <v>#REF!</v>
      </c>
    </row>
    <row r="141" spans="1:6" ht="29.5" thickBot="1" x14ac:dyDescent="0.4">
      <c r="A141" s="2">
        <v>46244.767361111109</v>
      </c>
      <c r="B141" s="1" t="s">
        <v>66</v>
      </c>
      <c r="C141" s="1" t="s">
        <v>7</v>
      </c>
      <c r="D141" s="3">
        <v>2</v>
      </c>
      <c r="E141" s="3">
        <v>660</v>
      </c>
      <c r="F141" t="e">
        <f>IF(COUNTIFS(
    Sheet1!#REF!, B141,
    Sheet1!#REF!, C141,
    Sheet1!#REF!, D141,
    Sheet1!#REF!, E141
) = 0, "NO MATCH IN TARGET", "MATCHED")</f>
        <v>#REF!</v>
      </c>
    </row>
    <row r="142" spans="1:6" ht="29.5" thickBot="1" x14ac:dyDescent="0.4">
      <c r="A142" s="2">
        <v>46247.645462962966</v>
      </c>
      <c r="B142" s="1" t="s">
        <v>35</v>
      </c>
      <c r="C142" s="1" t="s">
        <v>9</v>
      </c>
      <c r="D142" s="3">
        <v>7</v>
      </c>
      <c r="E142" s="3">
        <v>2324</v>
      </c>
      <c r="F142" t="e">
        <f>IF(COUNTIFS(
    Sheet1!#REF!, B142,
    Sheet1!#REF!, C142,
    Sheet1!#REF!, D142,
    Sheet1!#REF!, E142
) = 0, "NO MATCH IN TARGET", "MATCHED")</f>
        <v>#REF!</v>
      </c>
    </row>
    <row r="143" spans="1:6" ht="15" thickBot="1" x14ac:dyDescent="0.4">
      <c r="A143" s="5">
        <v>46211.765277777777</v>
      </c>
      <c r="B143" s="6" t="s">
        <v>12</v>
      </c>
      <c r="C143" s="6" t="s">
        <v>9</v>
      </c>
      <c r="D143" s="7">
        <v>5</v>
      </c>
      <c r="E143" s="8">
        <v>635.75</v>
      </c>
      <c r="F143" t="e">
        <f>IF(COUNTIFS(
    Sheet1!#REF!, B143,
    Sheet1!#REF!, C143,
    Sheet1!#REF!, D143,
    Sheet1!#REF!, E143
) = 0, "NO MATCH IN TARGET", "MATCHED")</f>
        <v>#REF!</v>
      </c>
    </row>
    <row r="144" spans="1:6" ht="29.5" hidden="1" thickBot="1" x14ac:dyDescent="0.4">
      <c r="A144" s="2">
        <v>46247.690046296295</v>
      </c>
      <c r="B144" s="1" t="s">
        <v>19</v>
      </c>
      <c r="C144" s="1" t="s">
        <v>9</v>
      </c>
      <c r="D144" s="3">
        <v>100</v>
      </c>
      <c r="E144" s="3">
        <v>223</v>
      </c>
      <c r="F144" t="e">
        <f>IF(COUNTIFS(
    Sheet1!#REF!, B144,
    Sheet1!#REF!, C144,
    Sheet1!#REF!, D144,
    Sheet1!#REF!, E144
) = 0, "NO MATCH IN TARGET", "MATCHED")</f>
        <v>#REF!</v>
      </c>
    </row>
    <row r="145" spans="1:6" ht="15" thickBot="1" x14ac:dyDescent="0.4">
      <c r="A145" s="2">
        <v>46247.645439814813</v>
      </c>
      <c r="B145" s="1" t="s">
        <v>29</v>
      </c>
      <c r="C145" s="1" t="s">
        <v>9</v>
      </c>
      <c r="D145" s="3">
        <v>10</v>
      </c>
      <c r="E145" s="3">
        <v>1390</v>
      </c>
      <c r="F145" t="e">
        <f>IF(COUNTIFS(
    Sheet1!#REF!, B145,
    Sheet1!#REF!, C145,
    Sheet1!#REF!, D145,
    Sheet1!#REF!, E145
) = 0, "NO MATCH IN TARGET", "MATCHED")</f>
        <v>#REF!</v>
      </c>
    </row>
    <row r="146" spans="1:6" ht="29.5" thickBot="1" x14ac:dyDescent="0.4">
      <c r="A146" s="2">
        <v>46247.64539351852</v>
      </c>
      <c r="B146" s="1" t="s">
        <v>30</v>
      </c>
      <c r="C146" s="1" t="s">
        <v>9</v>
      </c>
      <c r="D146" s="3">
        <v>5</v>
      </c>
      <c r="E146" s="3">
        <v>1248</v>
      </c>
      <c r="F146" t="e">
        <f>IF(COUNTIFS(
    Sheet1!#REF!, B146,
    Sheet1!#REF!, C146,
    Sheet1!#REF!, D146,
    Sheet1!#REF!, E146
) = 0, "NO MATCH IN TARGET", "MATCHED")</f>
        <v>#REF!</v>
      </c>
    </row>
    <row r="147" spans="1:6" ht="29.5" hidden="1" thickBot="1" x14ac:dyDescent="0.4">
      <c r="A147" s="2">
        <v>46247.690115740741</v>
      </c>
      <c r="B147" s="1" t="s">
        <v>16</v>
      </c>
      <c r="C147" s="1" t="s">
        <v>9</v>
      </c>
      <c r="D147" s="3">
        <v>50</v>
      </c>
      <c r="E147" s="3">
        <v>214</v>
      </c>
      <c r="F147" t="e">
        <f>IF(COUNTIFS(
    Sheet1!#REF!, B147,
    Sheet1!#REF!, C147,
    Sheet1!#REF!, D147,
    Sheet1!#REF!, E147
) = 0, "NO MATCH IN TARGET", "MATCHED")</f>
        <v>#REF!</v>
      </c>
    </row>
    <row r="148" spans="1:6" ht="29.5" thickBot="1" x14ac:dyDescent="0.4">
      <c r="A148" s="2">
        <v>46247.645428240743</v>
      </c>
      <c r="B148" s="1" t="s">
        <v>28</v>
      </c>
      <c r="C148" s="1" t="s">
        <v>9</v>
      </c>
      <c r="D148" s="3">
        <v>10</v>
      </c>
      <c r="E148" s="3">
        <v>937</v>
      </c>
      <c r="F148" t="e">
        <f>IF(COUNTIFS(
    Sheet1!#REF!, B148,
    Sheet1!#REF!, C148,
    Sheet1!#REF!, D148,
    Sheet1!#REF!, E148
) = 0, "NO MATCH IN TARGET", "MATCHED")</f>
        <v>#REF!</v>
      </c>
    </row>
    <row r="149" spans="1:6" ht="29.5" hidden="1" thickBot="1" x14ac:dyDescent="0.4">
      <c r="A149" s="2">
        <v>46247.645428240743</v>
      </c>
      <c r="B149" s="1" t="s">
        <v>39</v>
      </c>
      <c r="C149" s="1" t="s">
        <v>9</v>
      </c>
      <c r="D149" s="3">
        <v>20</v>
      </c>
      <c r="E149" s="3">
        <v>896</v>
      </c>
      <c r="F149" t="e">
        <f>IF(COUNTIFS(
    Sheet1!#REF!, B149,
    Sheet1!#REF!, C149,
    Sheet1!#REF!, D149,
    Sheet1!#REF!, E149
) = 0, "NO MATCH IN TARGET", "MATCHED")</f>
        <v>#REF!</v>
      </c>
    </row>
    <row r="150" spans="1:6" ht="15" hidden="1" thickBot="1" x14ac:dyDescent="0.4">
      <c r="A150" s="2">
        <v>46247.690046296295</v>
      </c>
      <c r="B150" s="1" t="s">
        <v>24</v>
      </c>
      <c r="C150" s="1" t="s">
        <v>9</v>
      </c>
      <c r="D150" s="3">
        <v>10</v>
      </c>
      <c r="E150" s="3">
        <v>2672</v>
      </c>
      <c r="F150" t="e">
        <f>IF(COUNTIFS(
    Sheet1!#REF!, B150,
    Sheet1!#REF!, C150,
    Sheet1!#REF!, D150,
    Sheet1!#REF!, E150
) = 0, "NO MATCH IN TARGET", "MATCHED")</f>
        <v>#REF!</v>
      </c>
    </row>
    <row r="151" spans="1:6" ht="29.5" hidden="1" thickBot="1" x14ac:dyDescent="0.4">
      <c r="A151" s="3" t="s">
        <v>67</v>
      </c>
      <c r="B151" s="1" t="s">
        <v>48</v>
      </c>
      <c r="C151" s="1" t="s">
        <v>9</v>
      </c>
      <c r="D151" s="3">
        <v>200</v>
      </c>
      <c r="E151" s="3">
        <v>232</v>
      </c>
      <c r="F151" t="e">
        <f>IF(COUNTIFS(
    Sheet1!#REF!, B151,
    Sheet1!#REF!, C151,
    Sheet1!#REF!, D151,
    Sheet1!#REF!, E151
) = 0, "NO MATCH IN TARGET", "MATCHED")</f>
        <v>#REF!</v>
      </c>
    </row>
    <row r="152" spans="1:6" ht="29.5" hidden="1" thickBot="1" x14ac:dyDescent="0.4">
      <c r="A152" s="3" t="s">
        <v>67</v>
      </c>
      <c r="B152" s="1" t="s">
        <v>47</v>
      </c>
      <c r="C152" s="1" t="s">
        <v>9</v>
      </c>
      <c r="D152" s="3">
        <v>5</v>
      </c>
      <c r="E152" s="3">
        <v>4129</v>
      </c>
      <c r="F152" t="e">
        <f>IF(COUNTIFS(
    Sheet1!#REF!, B152,
    Sheet1!#REF!, C152,
    Sheet1!#REF!, D152,
    Sheet1!#REF!, E152
) = 0, "NO MATCH IN TARGET", "MATCHED")</f>
        <v>#REF!</v>
      </c>
    </row>
    <row r="153" spans="1:6" ht="29.5" hidden="1" thickBot="1" x14ac:dyDescent="0.4">
      <c r="A153" s="2">
        <v>46247.690104166664</v>
      </c>
      <c r="B153" s="1" t="s">
        <v>18</v>
      </c>
      <c r="C153" s="1" t="s">
        <v>9</v>
      </c>
      <c r="D153" s="3">
        <v>25</v>
      </c>
      <c r="E153" s="3">
        <v>360</v>
      </c>
      <c r="F153" t="e">
        <f>IF(COUNTIFS(
    Sheet1!#REF!, B153,
    Sheet1!#REF!, C153,
    Sheet1!#REF!, D153,
    Sheet1!#REF!, E153
) = 0, "NO MATCH IN TARGET", "MATCHED")</f>
        <v>#REF!</v>
      </c>
    </row>
    <row r="154" spans="1:6" ht="15" hidden="1" thickBot="1" x14ac:dyDescent="0.4">
      <c r="A154" s="2">
        <v>46247.690150462964</v>
      </c>
      <c r="B154" s="1" t="s">
        <v>15</v>
      </c>
      <c r="C154" s="1" t="s">
        <v>9</v>
      </c>
      <c r="D154" s="3">
        <v>50</v>
      </c>
      <c r="E154" s="3">
        <v>353</v>
      </c>
      <c r="F154" t="e">
        <f>IF(COUNTIFS(
    Sheet1!#REF!, B154,
    Sheet1!#REF!, C154,
    Sheet1!#REF!, D154,
    Sheet1!#REF!, E154
) = 0, "NO MATCH IN TARGET", "MATCHED")</f>
        <v>#REF!</v>
      </c>
    </row>
    <row r="155" spans="1:6" ht="29.5" hidden="1" thickBot="1" x14ac:dyDescent="0.4">
      <c r="A155" s="2">
        <v>46247.690011574072</v>
      </c>
      <c r="B155" s="1" t="s">
        <v>10</v>
      </c>
      <c r="C155" s="1" t="s">
        <v>9</v>
      </c>
      <c r="D155" s="3">
        <v>50</v>
      </c>
      <c r="E155" s="3">
        <v>293</v>
      </c>
      <c r="F155" t="e">
        <f>IF(COUNTIFS(
    Sheet1!#REF!, B155,
    Sheet1!#REF!, C155,
    Sheet1!#REF!, D155,
    Sheet1!#REF!, E155
) = 0, "NO MATCH IN TARGET", "MATCHED")</f>
        <v>#REF!</v>
      </c>
    </row>
    <row r="156" spans="1:6" ht="15" hidden="1" thickBot="1" x14ac:dyDescent="0.4">
      <c r="A156" s="2">
        <v>46247.690046296295</v>
      </c>
      <c r="B156" s="1" t="s">
        <v>24</v>
      </c>
      <c r="C156" s="1" t="s">
        <v>9</v>
      </c>
      <c r="D156" s="3">
        <v>10</v>
      </c>
      <c r="E156" s="3">
        <v>2696</v>
      </c>
      <c r="F156" t="e">
        <f>IF(COUNTIFS(
    Sheet1!#REF!, B156,
    Sheet1!#REF!, C156,
    Sheet1!#REF!, D156,
    Sheet1!#REF!, E156
) = 0, "NO MATCH IN TARGET", "MATCHED")</f>
        <v>#REF!</v>
      </c>
    </row>
    <row r="157" spans="1:6" ht="29.5" hidden="1" thickBot="1" x14ac:dyDescent="0.4">
      <c r="A157" s="2">
        <v>46247.645439814813</v>
      </c>
      <c r="B157" s="1" t="s">
        <v>57</v>
      </c>
      <c r="C157" s="1" t="s">
        <v>9</v>
      </c>
      <c r="D157" s="3">
        <v>6</v>
      </c>
      <c r="E157" s="3">
        <v>548</v>
      </c>
      <c r="F157" t="e">
        <f>IF(COUNTIFS(
    Sheet1!#REF!, B157,
    Sheet1!#REF!, C157,
    Sheet1!#REF!, D157,
    Sheet1!#REF!, E157
) = 0, "NO MATCH IN TARGET", "MATCHED")</f>
        <v>#REF!</v>
      </c>
    </row>
    <row r="158" spans="1:6" ht="29.5" thickBot="1" x14ac:dyDescent="0.4">
      <c r="A158" s="2">
        <v>46247.645439814813</v>
      </c>
      <c r="B158" s="1" t="s">
        <v>57</v>
      </c>
      <c r="C158" s="1" t="s">
        <v>9</v>
      </c>
      <c r="D158" s="3">
        <v>5</v>
      </c>
      <c r="E158" s="3">
        <v>596</v>
      </c>
      <c r="F158" t="e">
        <f>IF(COUNTIFS(
    Sheet1!#REF!, B158,
    Sheet1!#REF!, C158,
    Sheet1!#REF!, D158,
    Sheet1!#REF!, E158
) = 0, "NO MATCH IN TARGET", "MATCHED")</f>
        <v>#REF!</v>
      </c>
    </row>
    <row r="159" spans="1:6" ht="29.5" hidden="1" thickBot="1" x14ac:dyDescent="0.4">
      <c r="A159" s="2">
        <v>46247.645428240743</v>
      </c>
      <c r="B159" s="1" t="s">
        <v>28</v>
      </c>
      <c r="C159" s="1" t="s">
        <v>9</v>
      </c>
      <c r="D159" s="3">
        <v>10</v>
      </c>
      <c r="E159" s="3">
        <v>947</v>
      </c>
      <c r="F159" t="e">
        <f>IF(COUNTIFS(
    Sheet1!#REF!, B159,
    Sheet1!#REF!, C159,
    Sheet1!#REF!, D159,
    Sheet1!#REF!, E159
) = 0, "NO MATCH IN TARGET", "MATCHED")</f>
        <v>#REF!</v>
      </c>
    </row>
    <row r="160" spans="1:6" ht="15" hidden="1" thickBot="1" x14ac:dyDescent="0.4">
      <c r="A160" s="2">
        <v>46247.645462962966</v>
      </c>
      <c r="B160" s="1" t="s">
        <v>48</v>
      </c>
      <c r="C160" s="1" t="s">
        <v>9</v>
      </c>
      <c r="D160" s="3">
        <v>200</v>
      </c>
      <c r="E160" s="3">
        <v>235</v>
      </c>
      <c r="F160" t="e">
        <f>IF(COUNTIFS(
    Sheet1!#REF!, B160,
    Sheet1!#REF!, C160,
    Sheet1!#REF!, D160,
    Sheet1!#REF!, E160
) = 0, "NO MATCH IN TARGET", "MATCHED")</f>
        <v>#REF!</v>
      </c>
    </row>
    <row r="161" spans="1:6" ht="15" hidden="1" thickBot="1" x14ac:dyDescent="0.4">
      <c r="A161" s="2">
        <v>46247.690046296295</v>
      </c>
      <c r="B161" s="1" t="s">
        <v>27</v>
      </c>
      <c r="C161" s="1" t="s">
        <v>9</v>
      </c>
      <c r="D161" s="3">
        <v>150</v>
      </c>
      <c r="E161" s="3">
        <v>130</v>
      </c>
      <c r="F161" t="e">
        <f>IF(COUNTIFS(
    Sheet1!#REF!, B161,
    Sheet1!#REF!, C161,
    Sheet1!#REF!, D161,
    Sheet1!#REF!, E161
) = 0, "NO MATCH IN TARGET", "MATCHED")</f>
        <v>#REF!</v>
      </c>
    </row>
    <row r="162" spans="1:6" ht="29.5" hidden="1" thickBot="1" x14ac:dyDescent="0.4">
      <c r="A162" s="3" t="s">
        <v>67</v>
      </c>
      <c r="B162" s="1" t="s">
        <v>41</v>
      </c>
      <c r="C162" s="1" t="s">
        <v>9</v>
      </c>
      <c r="D162" s="3">
        <v>10</v>
      </c>
      <c r="E162" s="3">
        <v>1548</v>
      </c>
      <c r="F162" t="e">
        <f>IF(COUNTIFS(
    Sheet1!#REF!, B162,
    Sheet1!#REF!, C162,
    Sheet1!#REF!, D162,
    Sheet1!#REF!, E162
) = 0, "NO MATCH IN TARGET", "MATCHED")</f>
        <v>#REF!</v>
      </c>
    </row>
    <row r="163" spans="1:6" ht="29.5" hidden="1" thickBot="1" x14ac:dyDescent="0.4">
      <c r="A163" s="2">
        <v>46247.63553240741</v>
      </c>
      <c r="B163" s="1" t="s">
        <v>56</v>
      </c>
      <c r="C163" s="1" t="s">
        <v>9</v>
      </c>
      <c r="D163" s="3">
        <v>15</v>
      </c>
      <c r="E163" s="3">
        <v>1040</v>
      </c>
      <c r="F163" t="e">
        <f>IF(COUNTIFS(
    Sheet1!#REF!, B163,
    Sheet1!#REF!, C163,
    Sheet1!#REF!, D163,
    Sheet1!#REF!, E163
) = 0, "NO MATCH IN TARGET", "MATCHED")</f>
        <v>#REF!</v>
      </c>
    </row>
    <row r="164" spans="1:6" ht="15" hidden="1" thickBot="1" x14ac:dyDescent="0.4">
      <c r="A164" s="2">
        <v>46247.645462962966</v>
      </c>
      <c r="B164" s="1" t="s">
        <v>52</v>
      </c>
      <c r="C164" s="1" t="s">
        <v>9</v>
      </c>
      <c r="D164" s="3">
        <v>200</v>
      </c>
      <c r="E164" s="3">
        <v>90.75</v>
      </c>
      <c r="F164" t="e">
        <f>IF(COUNTIFS(
    Sheet1!#REF!, B164,
    Sheet1!#REF!, C164,
    Sheet1!#REF!, D164,
    Sheet1!#REF!, E164
) = 0, "NO MATCH IN TARGET", "MATCHED")</f>
        <v>#REF!</v>
      </c>
    </row>
    <row r="165" spans="1:6" ht="29.5" thickBot="1" x14ac:dyDescent="0.4">
      <c r="A165" s="9">
        <v>46247.690057870372</v>
      </c>
      <c r="B165" s="10" t="s">
        <v>19</v>
      </c>
      <c r="C165" s="10" t="s">
        <v>9</v>
      </c>
      <c r="D165" s="11">
        <v>50</v>
      </c>
      <c r="E165" s="11">
        <v>228</v>
      </c>
      <c r="F165" t="e">
        <f>IF(COUNTIFS(
    Sheet1!#REF!, B165,
    Sheet1!#REF!, C165,
    Sheet1!#REF!, D165,
    Sheet1!#REF!, E165
) = 0, "NO MATCH IN TARGET", "MATCHED")</f>
        <v>#REF!</v>
      </c>
    </row>
    <row r="166" spans="1:6" ht="15" thickBot="1" x14ac:dyDescent="0.4">
      <c r="A166" s="9">
        <v>46245.635416666664</v>
      </c>
      <c r="B166" s="10" t="s">
        <v>47</v>
      </c>
      <c r="C166" s="10" t="s">
        <v>9</v>
      </c>
      <c r="D166" s="11">
        <v>5</v>
      </c>
      <c r="E166" s="11">
        <v>4177</v>
      </c>
      <c r="F166" t="e">
        <f>IF(COUNTIFS(
    Sheet1!#REF!, B166,
    Sheet1!#REF!, C166,
    Sheet1!#REF!, D166,
    Sheet1!#REF!, E166
) = 0, "NO MATCH IN TARGET", "MATCHED")</f>
        <v>#REF!</v>
      </c>
    </row>
    <row r="167" spans="1:6" ht="15" hidden="1" thickBot="1" x14ac:dyDescent="0.4">
      <c r="A167" s="2">
        <v>46247.690046296295</v>
      </c>
      <c r="B167" s="1" t="s">
        <v>24</v>
      </c>
      <c r="C167" s="1" t="s">
        <v>9</v>
      </c>
      <c r="D167" s="3">
        <v>10</v>
      </c>
      <c r="E167" s="3">
        <v>2720</v>
      </c>
      <c r="F167" t="e">
        <f>IF(COUNTIFS(
    Sheet1!#REF!, B167,
    Sheet1!#REF!, C167,
    Sheet1!#REF!, D167,
    Sheet1!#REF!, E167
) = 0, "NO MATCH IN TARGET", "MATCHED")</f>
        <v>#REF!</v>
      </c>
    </row>
    <row r="168" spans="1:6" ht="29.5" hidden="1" thickBot="1" x14ac:dyDescent="0.4">
      <c r="A168" s="2">
        <v>46247.635555555556</v>
      </c>
      <c r="B168" s="1" t="s">
        <v>43</v>
      </c>
      <c r="C168" s="1" t="s">
        <v>9</v>
      </c>
      <c r="D168" s="3">
        <v>5</v>
      </c>
      <c r="E168" s="3">
        <v>1212</v>
      </c>
      <c r="F168" t="e">
        <f>IF(COUNTIFS(
    Sheet1!#REF!, B168,
    Sheet1!#REF!, C168,
    Sheet1!#REF!, D168,
    Sheet1!#REF!, E168
) = 0, "NO MATCH IN TARGET", "MATCHED")</f>
        <v>#REF!</v>
      </c>
    </row>
    <row r="169" spans="1:6" ht="15" hidden="1" thickBot="1" x14ac:dyDescent="0.4">
      <c r="A169" s="2">
        <v>46247.635555555556</v>
      </c>
      <c r="B169" s="1" t="s">
        <v>40</v>
      </c>
      <c r="C169" s="1" t="s">
        <v>9</v>
      </c>
      <c r="D169" s="3">
        <v>8</v>
      </c>
      <c r="E169" s="3">
        <v>2448</v>
      </c>
      <c r="F169" t="e">
        <f>IF(COUNTIFS(
    Sheet1!#REF!, B169,
    Sheet1!#REF!, C169,
    Sheet1!#REF!, D169,
    Sheet1!#REF!, E169
) = 0, "NO MATCH IN TARGET", "MATCHED")</f>
        <v>#REF!</v>
      </c>
    </row>
    <row r="170" spans="1:6" ht="15" hidden="1" thickBot="1" x14ac:dyDescent="0.4">
      <c r="A170" s="2">
        <v>46247.690162037034</v>
      </c>
      <c r="B170" s="1" t="s">
        <v>15</v>
      </c>
      <c r="C170" s="1" t="s">
        <v>9</v>
      </c>
      <c r="D170" s="3">
        <v>50</v>
      </c>
      <c r="E170" s="3">
        <v>357</v>
      </c>
      <c r="F170" t="e">
        <f>IF(COUNTIFS(
    Sheet1!#REF!, B170,
    Sheet1!#REF!, C170,
    Sheet1!#REF!, D170,
    Sheet1!#REF!, E170
) = 0, "NO MATCH IN TARGET", "MATCHED")</f>
        <v>#REF!</v>
      </c>
    </row>
    <row r="171" spans="1:6" ht="15" hidden="1" thickBot="1" x14ac:dyDescent="0.4">
      <c r="A171" s="2">
        <v>46247.635555555556</v>
      </c>
      <c r="B171" s="1" t="s">
        <v>32</v>
      </c>
      <c r="C171" s="1" t="s">
        <v>9</v>
      </c>
      <c r="D171" s="3">
        <v>20</v>
      </c>
      <c r="E171" s="3">
        <v>424</v>
      </c>
      <c r="F171" t="e">
        <f>IF(COUNTIFS(
    Sheet1!#REF!, B171,
    Sheet1!#REF!, C171,
    Sheet1!#REF!, D171,
    Sheet1!#REF!, E171
) = 0, "NO MATCH IN TARGET", "MATCHED")</f>
        <v>#REF!</v>
      </c>
    </row>
    <row r="172" spans="1:6" ht="29.5" hidden="1" thickBot="1" x14ac:dyDescent="0.4">
      <c r="A172" s="2">
        <v>46247.635520833333</v>
      </c>
      <c r="B172" s="1" t="s">
        <v>28</v>
      </c>
      <c r="C172" s="1" t="s">
        <v>9</v>
      </c>
      <c r="D172" s="3">
        <v>10</v>
      </c>
      <c r="E172" s="3">
        <v>957</v>
      </c>
      <c r="F172" t="e">
        <f>IF(COUNTIFS(
    Sheet1!#REF!, B172,
    Sheet1!#REF!, C172,
    Sheet1!#REF!, D172,
    Sheet1!#REF!, E172
) = 0, "NO MATCH IN TARGET", "MATCHED")</f>
        <v>#REF!</v>
      </c>
    </row>
    <row r="173" spans="1:6" ht="15" hidden="1" thickBot="1" x14ac:dyDescent="0.4">
      <c r="A173" s="2">
        <v>46247.635567129626</v>
      </c>
      <c r="B173" s="1" t="s">
        <v>46</v>
      </c>
      <c r="C173" s="1" t="s">
        <v>9</v>
      </c>
      <c r="D173" s="3">
        <v>5</v>
      </c>
      <c r="E173" s="3">
        <v>3633</v>
      </c>
      <c r="F173" t="e">
        <f>IF(COUNTIFS(
    Sheet1!#REF!, B173,
    Sheet1!#REF!, C173,
    Sheet1!#REF!, D173,
    Sheet1!#REF!, E173
) = 0, "NO MATCH IN TARGET", "MATCHED")</f>
        <v>#REF!</v>
      </c>
    </row>
    <row r="174" spans="1:6" ht="29.5" hidden="1" thickBot="1" x14ac:dyDescent="0.4">
      <c r="A174" s="2">
        <v>46247.690115740741</v>
      </c>
      <c r="B174" s="1" t="s">
        <v>16</v>
      </c>
      <c r="C174" s="1" t="s">
        <v>9</v>
      </c>
      <c r="D174" s="3">
        <v>65</v>
      </c>
      <c r="E174" s="3">
        <v>219</v>
      </c>
      <c r="F174" t="e">
        <f>IF(COUNTIFS(
    Sheet1!#REF!, B174,
    Sheet1!#REF!, C174,
    Sheet1!#REF!, D174,
    Sheet1!#REF!, E174
) = 0, "NO MATCH IN TARGET", "MATCHED")</f>
        <v>#REF!</v>
      </c>
    </row>
    <row r="175" spans="1:6" ht="15" hidden="1" thickBot="1" x14ac:dyDescent="0.4">
      <c r="A175" s="2">
        <v>46247.635578703703</v>
      </c>
      <c r="B175" s="1" t="s">
        <v>52</v>
      </c>
      <c r="C175" s="1" t="s">
        <v>9</v>
      </c>
      <c r="D175" s="3">
        <v>200</v>
      </c>
      <c r="E175" s="3">
        <v>91.75</v>
      </c>
      <c r="F175" t="e">
        <f>IF(COUNTIFS(
    Sheet1!#REF!, B175,
    Sheet1!#REF!, C175,
    Sheet1!#REF!, D175,
    Sheet1!#REF!, E175
) = 0, "NO MATCH IN TARGET", "MATCHED")</f>
        <v>#REF!</v>
      </c>
    </row>
    <row r="176" spans="1:6" ht="15" thickBot="1" x14ac:dyDescent="0.4">
      <c r="A176" s="9">
        <v>46247.690057870372</v>
      </c>
      <c r="B176" s="10" t="s">
        <v>12</v>
      </c>
      <c r="C176" s="10" t="s">
        <v>9</v>
      </c>
      <c r="D176" s="11">
        <v>5</v>
      </c>
      <c r="E176" s="11">
        <v>659</v>
      </c>
      <c r="F176" t="e">
        <f>IF(COUNTIFS(
    Sheet1!#REF!, B176,
    Sheet1!#REF!, C176,
    Sheet1!#REF!, D176,
    Sheet1!#REF!, E176
) = 0, "NO MATCH IN TARGET", "MATCHED")</f>
        <v>#REF!</v>
      </c>
    </row>
    <row r="177" spans="1:6" ht="29.5" hidden="1" thickBot="1" x14ac:dyDescent="0.4">
      <c r="A177" s="2">
        <v>46247.635555555556</v>
      </c>
      <c r="B177" s="1" t="s">
        <v>43</v>
      </c>
      <c r="C177" s="1" t="s">
        <v>9</v>
      </c>
      <c r="D177" s="3">
        <v>10</v>
      </c>
      <c r="E177" s="3">
        <v>1221</v>
      </c>
      <c r="F177" t="e">
        <f>IF(COUNTIFS(
    Sheet1!#REF!, B177,
    Sheet1!#REF!, C177,
    Sheet1!#REF!, D177,
    Sheet1!#REF!, E177
) = 0, "NO MATCH IN TARGET", "MATCHED")</f>
        <v>#REF!</v>
      </c>
    </row>
    <row r="178" spans="1:6" ht="29.5" thickBot="1" x14ac:dyDescent="0.4">
      <c r="A178" s="2">
        <v>46246.635416666664</v>
      </c>
      <c r="B178" s="1" t="s">
        <v>35</v>
      </c>
      <c r="C178" s="1" t="s">
        <v>9</v>
      </c>
      <c r="D178" s="3">
        <v>6</v>
      </c>
      <c r="E178" s="8">
        <v>2420</v>
      </c>
      <c r="F178" t="e">
        <f>IF(COUNTIFS(
    Sheet1!#REF!, B178,
    Sheet1!#REF!, C178,
    Sheet1!#REF!, D178,
    Sheet1!#REF!, E178
) = 0, "NO MATCH IN TARGET", "MATCHED")</f>
        <v>#REF!</v>
      </c>
    </row>
    <row r="179" spans="1:6" ht="15" thickBot="1" x14ac:dyDescent="0.4">
      <c r="A179" s="2">
        <v>46247.635509259257</v>
      </c>
      <c r="B179" s="1" t="s">
        <v>48</v>
      </c>
      <c r="C179" s="1" t="s">
        <v>9</v>
      </c>
      <c r="D179" s="3">
        <v>100</v>
      </c>
      <c r="E179" s="3">
        <v>238.2</v>
      </c>
      <c r="F179" t="e">
        <f>IF(COUNTIFS(
    Sheet1!#REF!, B179,
    Sheet1!#REF!, C179,
    Sheet1!#REF!, D179,
    Sheet1!#REF!, E179
) = 0, "NO MATCH IN TARGET", "MATCHED")</f>
        <v>#REF!</v>
      </c>
    </row>
    <row r="180" spans="1:6" ht="15" hidden="1" thickBot="1" x14ac:dyDescent="0.4">
      <c r="A180" s="2">
        <v>46247.690150462964</v>
      </c>
      <c r="B180" s="1" t="s">
        <v>15</v>
      </c>
      <c r="C180" s="1" t="s">
        <v>9</v>
      </c>
      <c r="D180" s="3">
        <v>50</v>
      </c>
      <c r="E180" s="3">
        <v>361</v>
      </c>
      <c r="F180" t="e">
        <f>IF(COUNTIFS(
    Sheet1!#REF!, B180,
    Sheet1!#REF!, C180,
    Sheet1!#REF!, D180,
    Sheet1!#REF!, E180
) = 0, "NO MATCH IN TARGET", "MATCHED")</f>
        <v>#REF!</v>
      </c>
    </row>
    <row r="181" spans="1:6" ht="15" thickBot="1" x14ac:dyDescent="0.4">
      <c r="A181" s="2">
        <v>46247.635520833333</v>
      </c>
      <c r="B181" s="1" t="s">
        <v>48</v>
      </c>
      <c r="C181" s="1" t="s">
        <v>9</v>
      </c>
      <c r="D181" s="3">
        <v>200</v>
      </c>
      <c r="E181" s="3">
        <v>239</v>
      </c>
      <c r="F181" t="e">
        <f>IF(COUNTIFS(
    Sheet1!#REF!, B181,
    Sheet1!#REF!, C181,
    Sheet1!#REF!, D181,
    Sheet1!#REF!, E181
) = 0, "NO MATCH IN TARGET", "MATCHED")</f>
        <v>#REF!</v>
      </c>
    </row>
    <row r="182" spans="1:6" ht="29.5" hidden="1" thickBot="1" x14ac:dyDescent="0.4">
      <c r="A182" s="2">
        <v>46246.635416666664</v>
      </c>
      <c r="B182" s="1" t="s">
        <v>54</v>
      </c>
      <c r="C182" s="1" t="s">
        <v>9</v>
      </c>
      <c r="D182" s="3">
        <v>5</v>
      </c>
      <c r="E182" s="8">
        <v>2190</v>
      </c>
      <c r="F182" t="e">
        <f>IF(COUNTIFS(
    Sheet1!#REF!, B182,
    Sheet1!#REF!, C182,
    Sheet1!#REF!, D182,
    Sheet1!#REF!, E182
) = 0, "NO MATCH IN TARGET", "MATCHED")</f>
        <v>#REF!</v>
      </c>
    </row>
    <row r="183" spans="1:6" ht="15" thickBot="1" x14ac:dyDescent="0.4">
      <c r="A183" s="2">
        <v>46241.635416666664</v>
      </c>
      <c r="B183" s="1" t="s">
        <v>52</v>
      </c>
      <c r="C183" s="1" t="s">
        <v>9</v>
      </c>
      <c r="D183" s="3">
        <v>200</v>
      </c>
      <c r="E183" s="8">
        <v>92.75</v>
      </c>
      <c r="F183" t="e">
        <f>IF(COUNTIFS(
    Sheet1!#REF!, B183,
    Sheet1!#REF!, C183,
    Sheet1!#REF!, D183,
    Sheet1!#REF!, E183
) = 0, "NO MATCH IN TARGET", "MATCHED")</f>
        <v>#REF!</v>
      </c>
    </row>
    <row r="184" spans="1:6" ht="29.5" hidden="1" thickBot="1" x14ac:dyDescent="0.4">
      <c r="A184" s="2">
        <v>46247.690011574072</v>
      </c>
      <c r="B184" s="1" t="s">
        <v>10</v>
      </c>
      <c r="C184" s="1" t="s">
        <v>9</v>
      </c>
      <c r="D184" s="3">
        <v>120</v>
      </c>
      <c r="E184" s="3">
        <v>300.5</v>
      </c>
      <c r="F184" t="e">
        <f>IF(COUNTIFS(
    Sheet1!#REF!, B184,
    Sheet1!#REF!, C184,
    Sheet1!#REF!, D184,
    Sheet1!#REF!, E184
) = 0, "NO MATCH IN TARGET", "MATCHED")</f>
        <v>#REF!</v>
      </c>
    </row>
    <row r="185" spans="1:6" ht="15" thickBot="1" x14ac:dyDescent="0.4">
      <c r="A185" s="2">
        <v>46181.6875</v>
      </c>
      <c r="B185" s="1" t="s">
        <v>24</v>
      </c>
      <c r="C185" s="1" t="s">
        <v>9</v>
      </c>
      <c r="D185" s="3">
        <v>10</v>
      </c>
      <c r="E185" s="8">
        <v>2770</v>
      </c>
      <c r="F185" t="e">
        <f>IF(COUNTIFS(
    Sheet1!#REF!, B185,
    Sheet1!#REF!, C185,
    Sheet1!#REF!, D185,
    Sheet1!#REF!, E185
) = 0, "NO MATCH IN TARGET", "MATCHED")</f>
        <v>#REF!</v>
      </c>
    </row>
    <row r="186" spans="1:6" ht="15" hidden="1" thickBot="1" x14ac:dyDescent="0.4">
      <c r="A186" s="2">
        <v>46247.690011574072</v>
      </c>
      <c r="B186" s="1" t="s">
        <v>22</v>
      </c>
      <c r="C186" s="1" t="s">
        <v>9</v>
      </c>
      <c r="D186" s="3">
        <v>20</v>
      </c>
      <c r="E186" s="3">
        <v>311</v>
      </c>
      <c r="F186" t="e">
        <f>IF(COUNTIFS(
    Sheet1!#REF!, B186,
    Sheet1!#REF!, C186,
    Sheet1!#REF!, D186,
    Sheet1!#REF!, E186
) = 0, "NO MATCH IN TARGET", "MATCHED")</f>
        <v>#REF!</v>
      </c>
    </row>
    <row r="187" spans="1:6" ht="15" hidden="1" thickBot="1" x14ac:dyDescent="0.4">
      <c r="A187" s="2">
        <v>46247.635578703703</v>
      </c>
      <c r="B187" s="1" t="s">
        <v>55</v>
      </c>
      <c r="C187" s="1" t="s">
        <v>9</v>
      </c>
      <c r="D187" s="3">
        <v>150</v>
      </c>
      <c r="E187" s="3">
        <v>123.4</v>
      </c>
      <c r="F187" t="e">
        <f>IF(COUNTIFS(
    Sheet1!#REF!, B187,
    Sheet1!#REF!, C187,
    Sheet1!#REF!, D187,
    Sheet1!#REF!, E187
) = 0, "NO MATCH IN TARGET", "MATCHED")</f>
        <v>#REF!</v>
      </c>
    </row>
    <row r="188" spans="1:6" ht="29.5" thickBot="1" x14ac:dyDescent="0.4">
      <c r="A188" s="2">
        <v>46247.69017361111</v>
      </c>
      <c r="B188" s="1" t="s">
        <v>68</v>
      </c>
      <c r="C188" s="1" t="s">
        <v>9</v>
      </c>
      <c r="D188" s="3">
        <v>30</v>
      </c>
      <c r="E188" s="3">
        <v>940</v>
      </c>
      <c r="F188" t="e">
        <f>IF(COUNTIFS(
    Sheet1!#REF!, B188,
    Sheet1!#REF!, C188,
    Sheet1!#REF!, D188,
    Sheet1!#REF!, E188
) = 0, "NO MATCH IN TARGET", "MATCHED")</f>
        <v>#REF!</v>
      </c>
    </row>
    <row r="189" spans="1:6" ht="29.5" thickBot="1" x14ac:dyDescent="0.4">
      <c r="A189" s="2">
        <v>46247.69</v>
      </c>
      <c r="B189" s="1" t="s">
        <v>20</v>
      </c>
      <c r="C189" s="1" t="s">
        <v>9</v>
      </c>
      <c r="D189" s="3">
        <v>5</v>
      </c>
      <c r="E189" s="3">
        <v>467.25</v>
      </c>
      <c r="F189" t="e">
        <f>IF(COUNTIFS(
    Sheet1!#REF!, B189,
    Sheet1!#REF!, C189,
    Sheet1!#REF!, D189,
    Sheet1!#REF!, E189
) = 0, "NO MATCH IN TARGET", "MATCHED")</f>
        <v>#REF!</v>
      </c>
    </row>
    <row r="190" spans="1:6" ht="15" thickBot="1" x14ac:dyDescent="0.4">
      <c r="A190" s="2">
        <v>46364.635416666664</v>
      </c>
      <c r="B190" s="1" t="s">
        <v>44</v>
      </c>
      <c r="C190" s="1" t="s">
        <v>9</v>
      </c>
      <c r="D190" s="3">
        <v>7</v>
      </c>
      <c r="E190" s="8">
        <v>1424</v>
      </c>
      <c r="F190" t="e">
        <f>IF(COUNTIFS(
    Sheet1!#REF!, B190,
    Sheet1!#REF!, C190,
    Sheet1!#REF!, D190,
    Sheet1!#REF!, E190
) = 0, "NO MATCH IN TARGET", "MATCHED")</f>
        <v>#REF!</v>
      </c>
    </row>
    <row r="191" spans="1:6" ht="29.5" thickBot="1" x14ac:dyDescent="0.4">
      <c r="A191" s="2">
        <v>46246.635416666664</v>
      </c>
      <c r="B191" s="1" t="s">
        <v>28</v>
      </c>
      <c r="C191" s="1" t="s">
        <v>9</v>
      </c>
      <c r="D191" s="3">
        <v>10</v>
      </c>
      <c r="E191" s="8">
        <v>977</v>
      </c>
      <c r="F191" t="e">
        <f>IF(COUNTIFS(
    Sheet1!#REF!, B191,
    Sheet1!#REF!, C191,
    Sheet1!#REF!, D191,
    Sheet1!#REF!, E191
) = 0, "NO MATCH IN TARGET", "MATCHED")</f>
        <v>#REF!</v>
      </c>
    </row>
    <row r="192" spans="1:6" ht="15" thickBot="1" x14ac:dyDescent="0.4">
      <c r="A192" s="2">
        <v>46246.689583333333</v>
      </c>
      <c r="B192" s="1" t="s">
        <v>15</v>
      </c>
      <c r="C192" s="1" t="s">
        <v>9</v>
      </c>
      <c r="D192" s="3">
        <v>50</v>
      </c>
      <c r="E192" s="8">
        <v>365</v>
      </c>
      <c r="F192" t="e">
        <f>IF(COUNTIFS(
    Sheet1!#REF!, B192,
    Sheet1!#REF!, C192,
    Sheet1!#REF!, D192,
    Sheet1!#REF!, E192
) = 0, "NO MATCH IN TARGET", "MATCHED")</f>
        <v>#REF!</v>
      </c>
    </row>
    <row r="193" spans="1:6" ht="29.5" thickBot="1" x14ac:dyDescent="0.4">
      <c r="A193" s="2">
        <v>46247.635520833333</v>
      </c>
      <c r="B193" s="1" t="s">
        <v>69</v>
      </c>
      <c r="C193" s="1" t="s">
        <v>9</v>
      </c>
      <c r="D193" s="3">
        <v>5</v>
      </c>
      <c r="E193" s="3">
        <v>3980</v>
      </c>
      <c r="F193" t="e">
        <f>IF(COUNTIFS(
    Sheet1!#REF!, B193,
    Sheet1!#REF!, C193,
    Sheet1!#REF!, D193,
    Sheet1!#REF!, E193
) = 0, "NO MATCH IN TARGET", "MATCHED")</f>
        <v>#REF!</v>
      </c>
    </row>
    <row r="194" spans="1:6" ht="15" thickBot="1" x14ac:dyDescent="0.4">
      <c r="A194" s="2">
        <v>46247.635567129626</v>
      </c>
      <c r="B194" s="1" t="s">
        <v>46</v>
      </c>
      <c r="C194" s="1" t="s">
        <v>9</v>
      </c>
      <c r="D194" s="3">
        <v>1</v>
      </c>
      <c r="E194" s="3">
        <v>3710</v>
      </c>
      <c r="F194" t="e">
        <f>IF(COUNTIFS(
    Sheet1!#REF!, B194,
    Sheet1!#REF!, C194,
    Sheet1!#REF!, D194,
    Sheet1!#REF!, E194
) = 0, "NO MATCH IN TARGET", "MATCHED")</f>
        <v>#REF!</v>
      </c>
    </row>
    <row r="195" spans="1:6" ht="15" thickBot="1" x14ac:dyDescent="0.4">
      <c r="A195" s="2">
        <v>46247.635567129626</v>
      </c>
      <c r="B195" s="1" t="s">
        <v>32</v>
      </c>
      <c r="C195" s="1" t="s">
        <v>9</v>
      </c>
      <c r="D195" s="3">
        <v>10</v>
      </c>
      <c r="E195" s="3">
        <v>435</v>
      </c>
      <c r="F195" t="e">
        <f>IF(COUNTIFS(
    Sheet1!#REF!, B195,
    Sheet1!#REF!, C195,
    Sheet1!#REF!, D195,
    Sheet1!#REF!, E195
) = 0, "NO MATCH IN TARGET", "MATCHED")</f>
        <v>#REF!</v>
      </c>
    </row>
    <row r="196" spans="1:6" ht="15" thickBot="1" x14ac:dyDescent="0.4">
      <c r="A196" s="2">
        <v>46150.635416666664</v>
      </c>
      <c r="B196" s="1" t="s">
        <v>55</v>
      </c>
      <c r="C196" s="1" t="s">
        <v>9</v>
      </c>
      <c r="D196" s="3">
        <v>150</v>
      </c>
      <c r="E196" s="8">
        <v>124.9</v>
      </c>
      <c r="F196" t="e">
        <f>IF(COUNTIFS(
    Sheet1!#REF!, B196,
    Sheet1!#REF!, C196,
    Sheet1!#REF!, D196,
    Sheet1!#REF!, E196
) = 0, "NO MATCH IN TARGET", "MATCHED")</f>
        <v>#REF!</v>
      </c>
    </row>
    <row r="197" spans="1:6" ht="15" hidden="1" thickBot="1" x14ac:dyDescent="0.4">
      <c r="A197" s="2">
        <v>46247.635567129626</v>
      </c>
      <c r="B197" s="1" t="s">
        <v>31</v>
      </c>
      <c r="C197" s="1" t="s">
        <v>9</v>
      </c>
      <c r="D197" s="3">
        <v>20</v>
      </c>
      <c r="E197" s="3">
        <v>796</v>
      </c>
      <c r="F197" t="e">
        <f>IF(COUNTIFS(
    Sheet1!#REF!, B197,
    Sheet1!#REF!, C197,
    Sheet1!#REF!, D197,
    Sheet1!#REF!, E197
) = 0, "NO MATCH IN TARGET", "MATCHED")</f>
        <v>#REF!</v>
      </c>
    </row>
    <row r="198" spans="1:6" ht="15" thickBot="1" x14ac:dyDescent="0.4">
      <c r="A198" s="2">
        <v>46364.635416666664</v>
      </c>
      <c r="B198" s="1" t="s">
        <v>48</v>
      </c>
      <c r="C198" s="1" t="s">
        <v>9</v>
      </c>
      <c r="D198" s="3">
        <v>200</v>
      </c>
      <c r="E198" s="8">
        <v>244</v>
      </c>
      <c r="F198" t="e">
        <f>IF(COUNTIFS(
    Sheet1!#REF!, B198,
    Sheet1!#REF!, C198,
    Sheet1!#REF!, D198,
    Sheet1!#REF!, E198
) = 0, "NO MATCH IN TARGET", "MATCHED")</f>
        <v>#REF!</v>
      </c>
    </row>
    <row r="199" spans="1:6" ht="29.5" thickBot="1" x14ac:dyDescent="0.4">
      <c r="A199" s="2">
        <v>46303.635416666664</v>
      </c>
      <c r="B199" s="1" t="s">
        <v>51</v>
      </c>
      <c r="C199" s="1" t="s">
        <v>9</v>
      </c>
      <c r="D199" s="3">
        <v>10</v>
      </c>
      <c r="E199" s="8">
        <v>773</v>
      </c>
      <c r="F199" t="e">
        <f>IF(COUNTIFS(
    Sheet1!#REF!, B199,
    Sheet1!#REF!, C199,
    Sheet1!#REF!, D199,
    Sheet1!#REF!, E199
) = 0, "NO MATCH IN TARGET", "MATCHED")</f>
        <v>#REF!</v>
      </c>
    </row>
    <row r="200" spans="1:6" ht="15" thickBot="1" x14ac:dyDescent="0.4">
      <c r="A200" s="2">
        <v>46247.690011574072</v>
      </c>
      <c r="B200" s="1" t="s">
        <v>22</v>
      </c>
      <c r="C200" s="1" t="s">
        <v>9</v>
      </c>
      <c r="D200" s="3">
        <v>50</v>
      </c>
      <c r="E200" s="3">
        <v>317</v>
      </c>
      <c r="F200" t="e">
        <f>IF(COUNTIFS(
    Sheet1!#REF!, B200,
    Sheet1!#REF!, C200,
    Sheet1!#REF!, D200,
    Sheet1!#REF!, E200
) = 0, "NO MATCH IN TARGET", "MATCHED")</f>
        <v>#REF!</v>
      </c>
    </row>
    <row r="201" spans="1:6" ht="15" thickBot="1" x14ac:dyDescent="0.4">
      <c r="A201" s="2">
        <v>46211.635416666664</v>
      </c>
      <c r="B201" s="1" t="s">
        <v>55</v>
      </c>
      <c r="C201" s="1" t="s">
        <v>9</v>
      </c>
      <c r="D201" s="3">
        <v>150</v>
      </c>
      <c r="E201" s="8">
        <v>125.9</v>
      </c>
      <c r="F201" t="e">
        <f>IF(COUNTIFS(
    Sheet1!#REF!, B201,
    Sheet1!#REF!, C201,
    Sheet1!#REF!, D201,
    Sheet1!#REF!, E201
) = 0, "NO MATCH IN TARGET", "MATCHED")</f>
        <v>#REF!</v>
      </c>
    </row>
    <row r="202" spans="1:6" ht="29.5" thickBot="1" x14ac:dyDescent="0.4">
      <c r="A202" s="2">
        <v>46247.63554398148</v>
      </c>
      <c r="B202" s="1" t="s">
        <v>56</v>
      </c>
      <c r="C202" s="1" t="s">
        <v>9</v>
      </c>
      <c r="D202" s="3">
        <v>15</v>
      </c>
      <c r="E202" s="3">
        <v>1090</v>
      </c>
      <c r="F202" t="e">
        <f>IF(COUNTIFS(
    Sheet1!#REF!, B202,
    Sheet1!#REF!, C202,
    Sheet1!#REF!, D202,
    Sheet1!#REF!, E202
) = 0, "NO MATCH IN TARGET", "MATCHED")</f>
        <v>#REF!</v>
      </c>
    </row>
    <row r="203" spans="1:6" ht="29.5" thickBot="1" x14ac:dyDescent="0.4">
      <c r="A203" s="2">
        <v>46247.690162037034</v>
      </c>
      <c r="B203" s="1" t="s">
        <v>26</v>
      </c>
      <c r="C203" s="1" t="s">
        <v>9</v>
      </c>
      <c r="D203" s="3">
        <v>5</v>
      </c>
      <c r="E203" s="3">
        <v>730</v>
      </c>
      <c r="F203" t="e">
        <f>IF(COUNTIFS(
    Sheet1!#REF!, B203,
    Sheet1!#REF!, C203,
    Sheet1!#REF!, D203,
    Sheet1!#REF!, E203
) = 0, "NO MATCH IN TARGET", "MATCHED")</f>
        <v>#REF!</v>
      </c>
    </row>
    <row r="204" spans="1:6" ht="29.5" thickBot="1" x14ac:dyDescent="0.4">
      <c r="A204" s="2">
        <v>46241.635416666664</v>
      </c>
      <c r="B204" s="1" t="s">
        <v>28</v>
      </c>
      <c r="C204" s="1" t="s">
        <v>9</v>
      </c>
      <c r="D204" s="3">
        <v>10</v>
      </c>
      <c r="E204" s="8">
        <v>997</v>
      </c>
      <c r="F204" t="e">
        <f>IF(COUNTIFS(
    Sheet1!#REF!, B204,
    Sheet1!#REF!, C204,
    Sheet1!#REF!, D204,
    Sheet1!#REF!, E204
) = 0, "NO MATCH IN TARGET", "MATCHED")</f>
        <v>#REF!</v>
      </c>
    </row>
    <row r="205" spans="1:6" ht="15" thickBot="1" x14ac:dyDescent="0.4">
      <c r="A205" s="2">
        <v>46150.696527777778</v>
      </c>
      <c r="B205" s="1" t="s">
        <v>15</v>
      </c>
      <c r="C205" s="1" t="s">
        <v>9</v>
      </c>
      <c r="D205" s="3">
        <v>67</v>
      </c>
      <c r="E205" s="8">
        <v>373</v>
      </c>
      <c r="F205" t="e">
        <f>IF(COUNTIFS(
    Sheet1!#REF!, B205,
    Sheet1!#REF!, C205,
    Sheet1!#REF!, D205,
    Sheet1!#REF!, E205
) = 0, "NO MATCH IN TARGET", "MATCHED")</f>
        <v>#REF!</v>
      </c>
    </row>
    <row r="206" spans="1:6" ht="15" thickBot="1" x14ac:dyDescent="0.4">
      <c r="A206" s="2">
        <v>46246.689583333333</v>
      </c>
      <c r="B206" s="1" t="s">
        <v>27</v>
      </c>
      <c r="C206" s="1" t="s">
        <v>9</v>
      </c>
      <c r="D206" s="3">
        <v>150</v>
      </c>
      <c r="E206" s="8">
        <v>136</v>
      </c>
      <c r="F206" t="e">
        <f>IF(COUNTIFS(
    Sheet1!#REF!, B206,
    Sheet1!#REF!, C206,
    Sheet1!#REF!, D206,
    Sheet1!#REF!, E206
) = 0, "NO MATCH IN TARGET", "MATCHED")</f>
        <v>#REF!</v>
      </c>
    </row>
    <row r="207" spans="1:6" ht="29.5" thickBot="1" x14ac:dyDescent="0.4">
      <c r="A207" s="2">
        <v>46364.635416666664</v>
      </c>
      <c r="B207" s="1" t="s">
        <v>53</v>
      </c>
      <c r="C207" s="1" t="s">
        <v>9</v>
      </c>
      <c r="D207" s="3">
        <v>2</v>
      </c>
      <c r="E207" s="8">
        <v>2690</v>
      </c>
      <c r="F207" t="e">
        <f>IF(COUNTIFS(
    Sheet1!#REF!, B207,
    Sheet1!#REF!, C207,
    Sheet1!#REF!, D207,
    Sheet1!#REF!, E207
) = 0, "NO MATCH IN TARGET", "MATCHED")</f>
        <v>#REF!</v>
      </c>
    </row>
    <row r="208" spans="1:6" ht="29.5" thickBot="1" x14ac:dyDescent="0.4">
      <c r="A208" s="2">
        <v>46247.690138888887</v>
      </c>
      <c r="B208" s="1" t="s">
        <v>58</v>
      </c>
      <c r="C208" s="1" t="s">
        <v>9</v>
      </c>
      <c r="D208" s="3">
        <v>25</v>
      </c>
      <c r="E208" s="3">
        <v>210</v>
      </c>
      <c r="F208" t="e">
        <f>IF(COUNTIFS(
    Sheet1!#REF!, B208,
    Sheet1!#REF!, C208,
    Sheet1!#REF!, D208,
    Sheet1!#REF!, E208
) = 0, "NO MATCH IN TARGET", "MATCHED")</f>
        <v>#REF!</v>
      </c>
    </row>
    <row r="209" spans="1:6" ht="15" thickBot="1" x14ac:dyDescent="0.4">
      <c r="A209" s="2">
        <v>46247.690011574072</v>
      </c>
      <c r="B209" s="1" t="s">
        <v>22</v>
      </c>
      <c r="C209" s="1" t="s">
        <v>9</v>
      </c>
      <c r="D209" s="3">
        <v>40</v>
      </c>
      <c r="E209" s="3">
        <v>320.5</v>
      </c>
      <c r="F209" t="e">
        <f>IF(COUNTIFS(
    Sheet1!#REF!, B209,
    Sheet1!#REF!, C209,
    Sheet1!#REF!, D209,
    Sheet1!#REF!, E209
) = 0, "NO MATCH IN TARGET", "MATCHED")</f>
        <v>#REF!</v>
      </c>
    </row>
    <row r="210" spans="1:6" ht="29.5" thickBot="1" x14ac:dyDescent="0.4">
      <c r="A210" s="2">
        <v>46245.693055555559</v>
      </c>
      <c r="B210" s="12" t="s">
        <v>16</v>
      </c>
      <c r="C210" s="1" t="s">
        <v>9</v>
      </c>
      <c r="D210" s="3">
        <v>40</v>
      </c>
      <c r="E210" s="13">
        <v>229</v>
      </c>
      <c r="F210" t="e">
        <f>IF(COUNTIFS(
    Sheet1!#REF!, B210,
    Sheet1!#REF!, C210,
    Sheet1!#REF!, D210,
    Sheet1!#REF!, E210
) = 0, "NO MATCH IN TARGET", "MATCHED")</f>
        <v>#REF!</v>
      </c>
    </row>
    <row r="211" spans="1:6" ht="29.5" thickBot="1" x14ac:dyDescent="0.4">
      <c r="A211" s="2">
        <v>46247.690011574072</v>
      </c>
      <c r="B211" s="1" t="s">
        <v>10</v>
      </c>
      <c r="C211" s="1" t="s">
        <v>9</v>
      </c>
      <c r="D211" s="3">
        <v>100</v>
      </c>
      <c r="E211" s="3">
        <v>310.5</v>
      </c>
      <c r="F211" t="e">
        <f>IF(COUNTIFS(
    Sheet1!#REF!, B211,
    Sheet1!#REF!, C211,
    Sheet1!#REF!, D211,
    Sheet1!#REF!, E211
) = 0, "NO MATCH IN TARGET", "MATCHED")</f>
        <v>#REF!</v>
      </c>
    </row>
    <row r="212" spans="1:6" ht="15" thickBot="1" x14ac:dyDescent="0.4">
      <c r="A212" s="2">
        <v>46244.635416666664</v>
      </c>
      <c r="B212" s="1" t="s">
        <v>42</v>
      </c>
      <c r="C212" s="1" t="s">
        <v>9</v>
      </c>
      <c r="D212" s="3">
        <v>11</v>
      </c>
      <c r="E212" s="8">
        <v>1170</v>
      </c>
      <c r="F212" t="e">
        <f>IF(COUNTIFS(
    Sheet1!#REF!, B212,
    Sheet1!#REF!, C212,
    Sheet1!#REF!, D212,
    Sheet1!#REF!, E212
) = 0, "NO MATCH IN TARGET", "MATCHED")</f>
        <v>#REF!</v>
      </c>
    </row>
    <row r="213" spans="1:6" ht="15" thickBot="1" x14ac:dyDescent="0.4">
      <c r="A213" s="2">
        <v>46246.635416666664</v>
      </c>
      <c r="B213" s="1" t="s">
        <v>46</v>
      </c>
      <c r="C213" s="1" t="s">
        <v>9</v>
      </c>
      <c r="D213" s="3">
        <v>1</v>
      </c>
      <c r="E213" s="8">
        <v>3810</v>
      </c>
      <c r="F213" t="e">
        <f>IF(COUNTIFS(
    Sheet1!#REF!, B213,
    Sheet1!#REF!, C213,
    Sheet1!#REF!, D213,
    Sheet1!#REF!, E213
) = 0, "NO MATCH IN TARGET", "MATCHED")</f>
        <v>#REF!</v>
      </c>
    </row>
    <row r="214" spans="1:6" ht="15" thickBot="1" x14ac:dyDescent="0.4">
      <c r="A214" s="2">
        <v>46241.635416666664</v>
      </c>
      <c r="B214" s="1" t="s">
        <v>48</v>
      </c>
      <c r="C214" s="1" t="s">
        <v>9</v>
      </c>
      <c r="D214" s="3">
        <v>200</v>
      </c>
      <c r="E214" s="8">
        <v>249</v>
      </c>
      <c r="F214" t="e">
        <f>IF(COUNTIFS(
    Sheet1!#REF!, B214,
    Sheet1!#REF!, C214,
    Sheet1!#REF!, D214,
    Sheet1!#REF!, E214
) = 0, "NO MATCH IN TARGET", "MATCHED")</f>
        <v>#REF!</v>
      </c>
    </row>
    <row r="215" spans="1:6" ht="29.5" thickBot="1" x14ac:dyDescent="0.4">
      <c r="A215" s="2">
        <v>46211.635416666664</v>
      </c>
      <c r="B215" s="1" t="s">
        <v>53</v>
      </c>
      <c r="C215" s="1" t="s">
        <v>9</v>
      </c>
      <c r="D215" s="3">
        <v>3</v>
      </c>
      <c r="E215" s="8">
        <v>2710</v>
      </c>
      <c r="F215" t="e">
        <f>IF(COUNTIFS(
    Sheet1!#REF!, B215,
    Sheet1!#REF!, C215,
    Sheet1!#REF!, D215,
    Sheet1!#REF!, E215
) = 0, "NO MATCH IN TARGET", "MATCHED")</f>
        <v>#REF!</v>
      </c>
    </row>
    <row r="216" spans="1:6" ht="29.5" thickBot="1" x14ac:dyDescent="0.4">
      <c r="A216" s="4" t="s">
        <v>59</v>
      </c>
      <c r="B216" s="1" t="s">
        <v>68</v>
      </c>
      <c r="C216" s="1" t="s">
        <v>9</v>
      </c>
      <c r="D216" s="3">
        <v>30</v>
      </c>
      <c r="E216" s="14">
        <v>974</v>
      </c>
      <c r="F216" t="e">
        <f>IF(COUNTIFS(
    Sheet1!#REF!, B216,
    Sheet1!#REF!, C216,
    Sheet1!#REF!, D216,
    Sheet1!#REF!, E216
) = 0, "NO MATCH IN TARGET", "MATCHED")</f>
        <v>#REF!</v>
      </c>
    </row>
    <row r="217" spans="1:6" ht="29.5" thickBot="1" x14ac:dyDescent="0.4">
      <c r="A217" s="2">
        <v>46211.635416666664</v>
      </c>
      <c r="B217" s="1" t="s">
        <v>51</v>
      </c>
      <c r="C217" s="1" t="s">
        <v>9</v>
      </c>
      <c r="D217" s="3">
        <v>5</v>
      </c>
      <c r="E217" s="8">
        <v>790</v>
      </c>
      <c r="F217" t="e">
        <f>IF(COUNTIFS(
    Sheet1!#REF!, B217,
    Sheet1!#REF!, C217,
    Sheet1!#REF!, D217,
    Sheet1!#REF!, E217
) = 0, "NO MATCH IN TARGET", "MATCHED")</f>
        <v>#REF!</v>
      </c>
    </row>
    <row r="218" spans="1:6" ht="15" thickBot="1" x14ac:dyDescent="0.4">
      <c r="A218" s="2">
        <v>46244.635416666664</v>
      </c>
      <c r="B218" s="1" t="s">
        <v>70</v>
      </c>
      <c r="C218" s="1" t="s">
        <v>9</v>
      </c>
      <c r="D218" s="3">
        <v>50</v>
      </c>
      <c r="E218" s="8">
        <v>480</v>
      </c>
      <c r="F218" t="e">
        <f>IF(COUNTIFS(
    Sheet1!#REF!, B218,
    Sheet1!#REF!, C218,
    Sheet1!#REF!, D218,
    Sheet1!#REF!, E218
) = 0, "NO MATCH IN TARGET", "MATCHED")</f>
        <v>#REF!</v>
      </c>
    </row>
    <row r="219" spans="1:6" ht="29.5" thickBot="1" x14ac:dyDescent="0.4">
      <c r="A219" s="4" t="s">
        <v>59</v>
      </c>
      <c r="B219" s="1" t="s">
        <v>10</v>
      </c>
      <c r="C219" s="1" t="s">
        <v>9</v>
      </c>
      <c r="D219" s="3">
        <v>100</v>
      </c>
      <c r="E219" s="14">
        <v>314</v>
      </c>
      <c r="F219" t="e">
        <f>IF(COUNTIFS(
    Sheet1!#REF!, B219,
    Sheet1!#REF!, C219,
    Sheet1!#REF!, D219,
    Sheet1!#REF!, E219
) = 0, "NO MATCH IN TARGET", "MATCHED")</f>
        <v>#REF!</v>
      </c>
    </row>
    <row r="220" spans="1:6" ht="29.5" thickBot="1" x14ac:dyDescent="0.4">
      <c r="A220" s="4" t="s">
        <v>59</v>
      </c>
      <c r="B220" s="1" t="s">
        <v>68</v>
      </c>
      <c r="C220" s="1" t="s">
        <v>9</v>
      </c>
      <c r="D220" s="3">
        <v>5</v>
      </c>
      <c r="E220" s="8">
        <v>986</v>
      </c>
      <c r="F220" t="e">
        <f>IF(COUNTIFS(
    Sheet1!#REF!, B220,
    Sheet1!#REF!, C220,
    Sheet1!#REF!, D220,
    Sheet1!#REF!, E220
) = 0, "NO MATCH IN TARGET", "MATCHED")</f>
        <v>#REF!</v>
      </c>
    </row>
    <row r="221" spans="1:6" ht="29.5" thickBot="1" x14ac:dyDescent="0.4">
      <c r="A221" s="2">
        <v>46364.689583333333</v>
      </c>
      <c r="B221" s="1" t="s">
        <v>26</v>
      </c>
      <c r="C221" s="1" t="s">
        <v>9</v>
      </c>
      <c r="D221" s="3">
        <v>11</v>
      </c>
      <c r="E221" s="8">
        <v>749</v>
      </c>
      <c r="F221" t="e">
        <f>IF(COUNTIFS(
    Sheet1!#REF!, B221,
    Sheet1!#REF!, C221,
    Sheet1!#REF!, D221,
    Sheet1!#REF!, E221
) = 0, "NO MATCH IN TARGET", "MATCHED")</f>
        <v>#REF!</v>
      </c>
    </row>
    <row r="222" spans="1:6" ht="29.5" thickBot="1" x14ac:dyDescent="0.4">
      <c r="A222" s="2">
        <v>46247.690057870372</v>
      </c>
      <c r="B222" s="1" t="s">
        <v>6</v>
      </c>
      <c r="C222" s="1" t="s">
        <v>9</v>
      </c>
      <c r="D222" s="3">
        <v>1</v>
      </c>
      <c r="E222" s="3">
        <v>2494</v>
      </c>
      <c r="F222" t="e">
        <f>IF(COUNTIFS(
    Sheet1!#REF!, B222,
    Sheet1!#REF!, C222,
    Sheet1!#REF!, D222,
    Sheet1!#REF!, E222
) = 0, "NO MATCH IN TARGET", "MATCHED")</f>
        <v>#REF!</v>
      </c>
    </row>
    <row r="223" spans="1:6" ht="29.5" thickBot="1" x14ac:dyDescent="0.4">
      <c r="A223" s="4" t="s">
        <v>59</v>
      </c>
      <c r="B223" s="1" t="s">
        <v>28</v>
      </c>
      <c r="C223" s="1" t="s">
        <v>9</v>
      </c>
      <c r="D223" s="3">
        <v>10</v>
      </c>
      <c r="E223" s="14">
        <v>1024</v>
      </c>
      <c r="F223" t="e">
        <f>IF(COUNTIFS(
    Sheet1!#REF!, B223,
    Sheet1!#REF!, C223,
    Sheet1!#REF!, D223,
    Sheet1!#REF!, E223
) = 0, "NO MATCH IN TARGET", "MATCHED")</f>
        <v>#REF!</v>
      </c>
    </row>
    <row r="224" spans="1:6" ht="29.5" thickBot="1" x14ac:dyDescent="0.4">
      <c r="A224" s="2">
        <v>46239.788888888892</v>
      </c>
      <c r="B224" s="1" t="s">
        <v>10</v>
      </c>
      <c r="C224" s="1" t="s">
        <v>9</v>
      </c>
      <c r="D224" s="3">
        <v>100</v>
      </c>
      <c r="E224" s="8">
        <v>318</v>
      </c>
      <c r="F224" t="e">
        <f>IF(COUNTIFS(
    Sheet1!#REF!, B224,
    Sheet1!#REF!, C224,
    Sheet1!#REF!, D224,
    Sheet1!#REF!, E224
) = 0, "NO MATCH IN TARGET", "MATCHED")</f>
        <v>#REF!</v>
      </c>
    </row>
    <row r="225" spans="1:6" ht="29.5" thickBot="1" x14ac:dyDescent="0.4">
      <c r="A225" s="4" t="s">
        <v>59</v>
      </c>
      <c r="B225" s="1" t="s">
        <v>10</v>
      </c>
      <c r="C225" s="1" t="s">
        <v>9</v>
      </c>
      <c r="D225" s="3">
        <v>100</v>
      </c>
      <c r="E225" s="14">
        <v>319</v>
      </c>
      <c r="F225" t="e">
        <f>IF(COUNTIFS(
    Sheet1!#REF!, B225,
    Sheet1!#REF!, C225,
    Sheet1!#REF!, D225,
    Sheet1!#REF!, E225
) = 0, "NO MATCH IN TARGET", "MATCHED")</f>
        <v>#REF!</v>
      </c>
    </row>
    <row r="226" spans="1:6" ht="29.5" thickBot="1" x14ac:dyDescent="0.4">
      <c r="A226" s="4" t="s">
        <v>59</v>
      </c>
      <c r="B226" s="12" t="s">
        <v>68</v>
      </c>
      <c r="C226" s="1" t="s">
        <v>9</v>
      </c>
      <c r="D226" s="3">
        <v>40</v>
      </c>
      <c r="E226" s="13">
        <v>996</v>
      </c>
      <c r="F226" t="e">
        <f>IF(COUNTIFS(
    Sheet1!#REF!, B226,
    Sheet1!#REF!, C226,
    Sheet1!#REF!, D226,
    Sheet1!#REF!, E226
) = 0, "NO MATCH IN TARGET", "MATCHED")</f>
        <v>#REF!</v>
      </c>
    </row>
    <row r="227" spans="1:6" ht="15" thickBot="1" x14ac:dyDescent="0.4">
      <c r="A227" s="2">
        <v>46211.635416666664</v>
      </c>
      <c r="B227" s="1" t="s">
        <v>50</v>
      </c>
      <c r="C227" s="1" t="s">
        <v>9</v>
      </c>
      <c r="D227" s="3">
        <v>3</v>
      </c>
      <c r="E227" s="8">
        <v>3341</v>
      </c>
      <c r="F227" t="e">
        <f>IF(COUNTIFS(
    Sheet1!#REF!, B227,
    Sheet1!#REF!, C227,
    Sheet1!#REF!, D227,
    Sheet1!#REF!, E227
) = 0, "NO MATCH IN TARGET", "MATCHED")</f>
        <v>#REF!</v>
      </c>
    </row>
    <row r="228" spans="1:6" ht="29.5" thickBot="1" x14ac:dyDescent="0.4">
      <c r="A228" s="4" t="s">
        <v>59</v>
      </c>
      <c r="B228" s="1" t="s">
        <v>68</v>
      </c>
      <c r="C228" s="1" t="s">
        <v>9</v>
      </c>
      <c r="D228" s="3">
        <v>5</v>
      </c>
      <c r="E228" s="8">
        <v>1002</v>
      </c>
      <c r="F228" t="e">
        <f>IF(COUNTIFS(
    Sheet1!#REF!, B228,
    Sheet1!#REF!, C228,
    Sheet1!#REF!, D228,
    Sheet1!#REF!, E228
) = 0, "NO MATCH IN TARGET", "MATCHED")</f>
        <v>#REF!</v>
      </c>
    </row>
    <row r="229" spans="1:6" ht="15" thickBot="1" x14ac:dyDescent="0.4">
      <c r="A229" s="4" t="s">
        <v>59</v>
      </c>
      <c r="B229" s="1" t="s">
        <v>70</v>
      </c>
      <c r="C229" s="1" t="s">
        <v>9</v>
      </c>
      <c r="D229" s="3">
        <v>35</v>
      </c>
      <c r="E229" s="14">
        <v>494</v>
      </c>
      <c r="F229" t="e">
        <f>IF(COUNTIFS(
    Sheet1!#REF!, B229,
    Sheet1!#REF!, C229,
    Sheet1!#REF!, D229,
    Sheet1!#REF!, E229
) = 0, "NO MATCH IN TARGET", "MATCHED")</f>
        <v>#REF!</v>
      </c>
    </row>
    <row r="230" spans="1:6" ht="29.5" thickBot="1" x14ac:dyDescent="0.4">
      <c r="A230" s="2">
        <v>46150.788888888892</v>
      </c>
      <c r="B230" s="1" t="s">
        <v>10</v>
      </c>
      <c r="C230" s="1" t="s">
        <v>9</v>
      </c>
      <c r="D230" s="3">
        <v>150</v>
      </c>
      <c r="E230" s="8">
        <v>323</v>
      </c>
      <c r="F230" t="e">
        <f>IF(COUNTIFS(
    Sheet1!#REF!, B230,
    Sheet1!#REF!, C230,
    Sheet1!#REF!, D230,
    Sheet1!#REF!, E230
) = 0, "NO MATCH IN TARGET", "MATCHED")</f>
        <v>#REF!</v>
      </c>
    </row>
    <row r="231" spans="1:6" ht="29.5" thickBot="1" x14ac:dyDescent="0.4">
      <c r="A231" s="5">
        <v>46334.645833333336</v>
      </c>
      <c r="B231" s="6" t="s">
        <v>56</v>
      </c>
      <c r="C231" s="6" t="s">
        <v>9</v>
      </c>
      <c r="D231" s="7">
        <v>7</v>
      </c>
      <c r="E231" s="8">
        <v>1170</v>
      </c>
      <c r="F231" t="e">
        <f>IF(COUNTIFS(
    Sheet1!#REF!, B231,
    Sheet1!#REF!, C231,
    Sheet1!#REF!, D231,
    Sheet1!#REF!, E231
) = 0, "NO MATCH IN TARGET", "MATCHED")</f>
        <v>#REF!</v>
      </c>
    </row>
    <row r="232" spans="1:6" ht="29.5" thickBot="1" x14ac:dyDescent="0.4">
      <c r="A232" s="2">
        <v>46246.689583333333</v>
      </c>
      <c r="B232" s="1" t="s">
        <v>18</v>
      </c>
      <c r="C232" s="1" t="s">
        <v>9</v>
      </c>
      <c r="D232" s="3">
        <v>5</v>
      </c>
      <c r="E232" s="8">
        <v>416</v>
      </c>
      <c r="F232" t="e">
        <f>IF(COUNTIFS(
    Sheet1!#REF!, B232,
    Sheet1!#REF!, C232,
    Sheet1!#REF!, D232,
    Sheet1!#REF!, E232
) = 0, "NO MATCH IN TARGET", "MATCHED")</f>
        <v>#REF!</v>
      </c>
    </row>
    <row r="233" spans="1:6" ht="29.5" thickBot="1" x14ac:dyDescent="0.4">
      <c r="A233" s="2">
        <v>46246.689583333333</v>
      </c>
      <c r="B233" s="1" t="s">
        <v>18</v>
      </c>
      <c r="C233" s="1" t="s">
        <v>9</v>
      </c>
      <c r="D233" s="3">
        <v>5</v>
      </c>
      <c r="E233" s="8">
        <v>435</v>
      </c>
      <c r="F233" t="e">
        <f>IF(COUNTIFS(
    Sheet1!#REF!, B233,
    Sheet1!#REF!, C233,
    Sheet1!#REF!, D233,
    Sheet1!#REF!, E233
) = 0, "NO MATCH IN TARGET", "MATCHED")</f>
        <v>#REF!</v>
      </c>
    </row>
    <row r="234" spans="1:6" ht="15" thickBot="1" x14ac:dyDescent="0.4">
      <c r="A234" s="2">
        <v>46239.793055555558</v>
      </c>
      <c r="B234" s="1" t="s">
        <v>71</v>
      </c>
      <c r="C234" s="1" t="s">
        <v>9</v>
      </c>
      <c r="D234" s="3">
        <v>23</v>
      </c>
      <c r="E234" s="8">
        <v>890</v>
      </c>
      <c r="F234" t="e">
        <f>IF(COUNTIFS(
    Sheet1!#REF!, B234,
    Sheet1!#REF!, C234,
    Sheet1!#REF!, D234,
    Sheet1!#REF!, E234
) = 0, "NO MATCH IN TARGET", "MATCHED")</f>
        <v>#REF!</v>
      </c>
    </row>
  </sheetData>
  <autoFilter ref="A1:F234" xr:uid="{E46921AB-5017-4B51-9E81-C25C7F7C275F}">
    <filterColumn colId="5">
      <filters>
        <filter val="NO MATCH IN TARG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2026-08-15T10:29:17Z</dcterms:created>
  <dcterms:modified xsi:type="dcterms:W3CDTF">2026-08-17T13:49:01Z</dcterms:modified>
</cp:coreProperties>
</file>