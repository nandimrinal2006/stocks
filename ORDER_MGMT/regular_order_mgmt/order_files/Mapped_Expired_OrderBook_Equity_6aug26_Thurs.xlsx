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7182169-3EA7-4E44-B11C-9F1E8BC3F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Sheet1!$A$1:$M$198</definedName>
    <definedName name="_xlnm._FilterDatabase" localSheetId="2" hidden="1">Sheet2!$H$1:$H$187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25" i="1"/>
  <c r="G171" i="1"/>
  <c r="G161" i="1"/>
  <c r="G156" i="1"/>
  <c r="G146" i="1"/>
  <c r="G22" i="1"/>
  <c r="G123" i="1"/>
  <c r="G62" i="1"/>
  <c r="G8" i="1"/>
  <c r="G31" i="1"/>
  <c r="G21" i="1"/>
  <c r="G66" i="1"/>
  <c r="G122" i="1"/>
  <c r="G71" i="1"/>
  <c r="G93" i="1"/>
  <c r="G116" i="1"/>
  <c r="G56" i="1"/>
  <c r="G52" i="1"/>
  <c r="G75" i="1"/>
  <c r="G86" i="1"/>
  <c r="G142" i="1"/>
  <c r="G41" i="1"/>
  <c r="G109" i="1"/>
  <c r="G18" i="1"/>
  <c r="G46" i="1"/>
  <c r="G95" i="1"/>
  <c r="G89" i="1"/>
  <c r="G90" i="1"/>
  <c r="G84" i="1"/>
  <c r="G29" i="1"/>
  <c r="G69" i="1"/>
  <c r="G100" i="1"/>
  <c r="G57" i="1"/>
  <c r="G78" i="1"/>
  <c r="G99" i="1"/>
  <c r="G119" i="1"/>
  <c r="G45" i="1"/>
  <c r="G59" i="1"/>
  <c r="G38" i="1"/>
  <c r="G87" i="1"/>
  <c r="G55" i="1"/>
  <c r="G98" i="1"/>
  <c r="G124" i="1"/>
  <c r="G139" i="1"/>
  <c r="G162" i="1"/>
  <c r="G148" i="1"/>
  <c r="G198" i="1"/>
  <c r="G159" i="1"/>
  <c r="G172" i="1"/>
  <c r="G153" i="1"/>
  <c r="G160" i="1"/>
  <c r="G174" i="1"/>
  <c r="G152" i="1"/>
  <c r="G145" i="1"/>
  <c r="G163" i="1"/>
  <c r="G137" i="1"/>
  <c r="G151" i="1"/>
  <c r="G117" i="1"/>
  <c r="G64" i="1"/>
  <c r="G164" i="1"/>
  <c r="G157" i="1"/>
  <c r="G141" i="1"/>
  <c r="G96" i="1"/>
  <c r="G67" i="1"/>
  <c r="G105" i="1"/>
  <c r="G114" i="1"/>
  <c r="G77" i="1"/>
  <c r="G79" i="1"/>
  <c r="G39" i="1"/>
  <c r="G61" i="1"/>
  <c r="G76" i="1"/>
  <c r="G82" i="1"/>
  <c r="G65" i="1"/>
  <c r="G83" i="1"/>
  <c r="G94" i="1"/>
  <c r="G134" i="1"/>
  <c r="G91" i="1"/>
  <c r="G74" i="1"/>
  <c r="G108" i="1"/>
  <c r="G63" i="1"/>
  <c r="G180" i="1"/>
  <c r="G113" i="1"/>
  <c r="G88" i="1"/>
  <c r="G17" i="1"/>
  <c r="G32" i="1"/>
  <c r="G103" i="1"/>
  <c r="G97" i="1"/>
  <c r="G92" i="1"/>
  <c r="G118" i="1"/>
  <c r="G49" i="1"/>
  <c r="G73" i="1"/>
  <c r="G51" i="1"/>
  <c r="G115" i="1"/>
  <c r="G121" i="1"/>
  <c r="G130" i="1"/>
  <c r="G68" i="1"/>
  <c r="G107" i="1"/>
  <c r="G120" i="1"/>
  <c r="G104" i="1"/>
  <c r="G128" i="1"/>
  <c r="G111" i="1"/>
  <c r="G129" i="1"/>
  <c r="G126" i="1"/>
  <c r="G110" i="1"/>
  <c r="G54" i="1"/>
  <c r="G131" i="1"/>
  <c r="G127" i="1"/>
  <c r="G58" i="1"/>
  <c r="G101" i="1"/>
  <c r="G179" i="1"/>
  <c r="G175" i="1"/>
  <c r="G168" i="1"/>
  <c r="G166" i="1"/>
  <c r="G167" i="1"/>
  <c r="G149" i="1"/>
  <c r="G177" i="1"/>
  <c r="G165" i="1"/>
  <c r="G138" i="1"/>
  <c r="G147" i="1"/>
  <c r="G135" i="1"/>
  <c r="G136" i="1"/>
  <c r="G154" i="1"/>
  <c r="G143" i="1"/>
  <c r="G144" i="1"/>
  <c r="G2" i="1"/>
  <c r="G4" i="1"/>
  <c r="G3" i="1"/>
  <c r="G6" i="1"/>
  <c r="G7" i="1"/>
  <c r="G10" i="1"/>
  <c r="G5" i="1"/>
  <c r="G11" i="1"/>
  <c r="G15" i="1"/>
  <c r="G23" i="1"/>
  <c r="G12" i="1"/>
  <c r="G9" i="1"/>
  <c r="G25" i="1"/>
  <c r="G20" i="1"/>
  <c r="G27" i="1"/>
  <c r="G14" i="1"/>
  <c r="G26" i="1"/>
  <c r="G36" i="1"/>
  <c r="G30" i="1"/>
  <c r="G28" i="1"/>
  <c r="G37" i="1"/>
  <c r="G16" i="1"/>
  <c r="G33" i="1"/>
  <c r="G60" i="1"/>
  <c r="G43" i="1"/>
  <c r="G40" i="1"/>
  <c r="G34" i="1"/>
  <c r="G48" i="1"/>
  <c r="G47" i="1"/>
  <c r="G42" i="1"/>
  <c r="G24" i="1"/>
  <c r="G50" i="1"/>
  <c r="G53" i="1"/>
  <c r="G80" i="1"/>
  <c r="G13" i="1"/>
  <c r="G70" i="1"/>
  <c r="G35" i="1"/>
  <c r="G81" i="1"/>
  <c r="G112" i="1"/>
  <c r="G85" i="1"/>
  <c r="G44" i="1"/>
  <c r="G106" i="1"/>
  <c r="G102" i="1"/>
  <c r="G140" i="1"/>
  <c r="G155" i="1"/>
  <c r="G150" i="1"/>
  <c r="G132" i="1"/>
  <c r="G158" i="1"/>
  <c r="G133" i="1"/>
  <c r="G181" i="1"/>
  <c r="G170" i="1"/>
  <c r="G173" i="1"/>
  <c r="G176" i="1"/>
  <c r="G178" i="1"/>
  <c r="G193" i="1"/>
  <c r="G183" i="1"/>
  <c r="G195" i="1"/>
  <c r="G169" i="1"/>
  <c r="G187" i="1"/>
  <c r="G186" i="1"/>
  <c r="G189" i="1"/>
  <c r="G184" i="1"/>
  <c r="G182" i="1"/>
  <c r="G190" i="1"/>
  <c r="G188" i="1"/>
  <c r="G191" i="1"/>
  <c r="G192" i="1"/>
  <c r="G194" i="1"/>
  <c r="G196" i="1"/>
  <c r="G197" i="1"/>
  <c r="G185" i="1"/>
  <c r="G72" i="1"/>
  <c r="M19" i="1"/>
  <c r="M125" i="1"/>
  <c r="M171" i="1"/>
  <c r="M161" i="1"/>
  <c r="M156" i="1"/>
  <c r="M146" i="1"/>
  <c r="M22" i="1"/>
  <c r="M123" i="1"/>
  <c r="M62" i="1"/>
  <c r="M8" i="1"/>
  <c r="M31" i="1"/>
  <c r="M21" i="1"/>
  <c r="M66" i="1"/>
  <c r="M122" i="1"/>
  <c r="M71" i="1"/>
  <c r="M93" i="1"/>
  <c r="M116" i="1"/>
  <c r="M56" i="1"/>
  <c r="M52" i="1"/>
  <c r="M75" i="1"/>
  <c r="M86" i="1"/>
  <c r="M142" i="1"/>
  <c r="M41" i="1"/>
  <c r="M109" i="1"/>
  <c r="M18" i="1"/>
  <c r="M46" i="1"/>
  <c r="M95" i="1"/>
  <c r="M89" i="1"/>
  <c r="M90" i="1"/>
  <c r="M84" i="1"/>
  <c r="M29" i="1"/>
  <c r="M69" i="1"/>
  <c r="M100" i="1"/>
  <c r="M57" i="1"/>
  <c r="M78" i="1"/>
  <c r="M99" i="1"/>
  <c r="M119" i="1"/>
  <c r="M45" i="1"/>
  <c r="M59" i="1"/>
  <c r="M38" i="1"/>
  <c r="M87" i="1"/>
  <c r="M55" i="1"/>
  <c r="M98" i="1"/>
  <c r="M124" i="1"/>
  <c r="M139" i="1"/>
  <c r="M162" i="1"/>
  <c r="M148" i="1"/>
  <c r="M198" i="1"/>
  <c r="M159" i="1"/>
  <c r="M172" i="1"/>
  <c r="M153" i="1"/>
  <c r="M160" i="1"/>
  <c r="M174" i="1"/>
  <c r="M152" i="1"/>
  <c r="M145" i="1"/>
  <c r="M163" i="1"/>
  <c r="M137" i="1"/>
  <c r="M151" i="1"/>
  <c r="M117" i="1"/>
  <c r="M64" i="1"/>
  <c r="M164" i="1"/>
  <c r="M157" i="1"/>
  <c r="M141" i="1"/>
  <c r="M96" i="1"/>
  <c r="M67" i="1"/>
  <c r="M105" i="1"/>
  <c r="M114" i="1"/>
  <c r="M77" i="1"/>
  <c r="M79" i="1"/>
  <c r="M39" i="1"/>
  <c r="M61" i="1"/>
  <c r="M76" i="1"/>
  <c r="M82" i="1"/>
  <c r="M65" i="1"/>
  <c r="M83" i="1"/>
  <c r="M94" i="1"/>
  <c r="M134" i="1"/>
  <c r="M91" i="1"/>
  <c r="M74" i="1"/>
  <c r="M108" i="1"/>
  <c r="M63" i="1"/>
  <c r="M180" i="1"/>
  <c r="M113" i="1"/>
  <c r="M88" i="1"/>
  <c r="M17" i="1"/>
  <c r="M32" i="1"/>
  <c r="M103" i="1"/>
  <c r="M97" i="1"/>
  <c r="M92" i="1"/>
  <c r="M118" i="1"/>
  <c r="M49" i="1"/>
  <c r="M73" i="1"/>
  <c r="M51" i="1"/>
  <c r="M115" i="1"/>
  <c r="M121" i="1"/>
  <c r="M130" i="1"/>
  <c r="M68" i="1"/>
  <c r="M107" i="1"/>
  <c r="M120" i="1"/>
  <c r="M104" i="1"/>
  <c r="M128" i="1"/>
  <c r="M111" i="1"/>
  <c r="M129" i="1"/>
  <c r="M126" i="1"/>
  <c r="M110" i="1"/>
  <c r="M54" i="1"/>
  <c r="M131" i="1"/>
  <c r="M127" i="1"/>
  <c r="M58" i="1"/>
  <c r="M101" i="1"/>
  <c r="M179" i="1"/>
  <c r="M175" i="1"/>
  <c r="M168" i="1"/>
  <c r="M166" i="1"/>
  <c r="M167" i="1"/>
  <c r="M149" i="1"/>
  <c r="M177" i="1"/>
  <c r="M165" i="1"/>
  <c r="M138" i="1"/>
  <c r="M147" i="1"/>
  <c r="M135" i="1"/>
  <c r="M136" i="1"/>
  <c r="M154" i="1"/>
  <c r="M143" i="1"/>
  <c r="M144" i="1"/>
  <c r="M2" i="1"/>
  <c r="M4" i="1"/>
  <c r="M3" i="1"/>
  <c r="M6" i="1"/>
  <c r="M7" i="1"/>
  <c r="M10" i="1"/>
  <c r="M5" i="1"/>
  <c r="M11" i="1"/>
  <c r="M15" i="1"/>
  <c r="M23" i="1"/>
  <c r="M12" i="1"/>
  <c r="M9" i="1"/>
  <c r="M25" i="1"/>
  <c r="M20" i="1"/>
  <c r="M27" i="1"/>
  <c r="M14" i="1"/>
  <c r="M26" i="1"/>
  <c r="M36" i="1"/>
  <c r="M30" i="1"/>
  <c r="M28" i="1"/>
  <c r="M37" i="1"/>
  <c r="M16" i="1"/>
  <c r="M33" i="1"/>
  <c r="M60" i="1"/>
  <c r="M43" i="1"/>
  <c r="M40" i="1"/>
  <c r="M34" i="1"/>
  <c r="M48" i="1"/>
  <c r="M47" i="1"/>
  <c r="M42" i="1"/>
  <c r="M24" i="1"/>
  <c r="M50" i="1"/>
  <c r="M53" i="1"/>
  <c r="M80" i="1"/>
  <c r="M13" i="1"/>
  <c r="M70" i="1"/>
  <c r="M35" i="1"/>
  <c r="M81" i="1"/>
  <c r="M112" i="1"/>
  <c r="M85" i="1"/>
  <c r="M44" i="1"/>
  <c r="M106" i="1"/>
  <c r="M102" i="1"/>
  <c r="M140" i="1"/>
  <c r="M155" i="1"/>
  <c r="M150" i="1"/>
  <c r="M132" i="1"/>
  <c r="M158" i="1"/>
  <c r="M133" i="1"/>
  <c r="M181" i="1"/>
  <c r="M170" i="1"/>
  <c r="M173" i="1"/>
  <c r="M176" i="1"/>
  <c r="M178" i="1"/>
  <c r="M193" i="1"/>
  <c r="M183" i="1"/>
  <c r="M195" i="1"/>
  <c r="M169" i="1"/>
  <c r="M187" i="1"/>
  <c r="M186" i="1"/>
  <c r="M189" i="1"/>
  <c r="M184" i="1"/>
  <c r="M182" i="1"/>
  <c r="M190" i="1"/>
  <c r="M188" i="1"/>
  <c r="M191" i="1"/>
  <c r="M192" i="1"/>
  <c r="M194" i="1"/>
  <c r="M196" i="1"/>
  <c r="M197" i="1"/>
  <c r="M185" i="1"/>
  <c r="M72" i="1"/>
  <c r="I1" i="3" a="1"/>
  <c r="I1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23" authorId="0" shapeId="0" xr:uid="{1AFACAAF-D2E3-4B14-B931-D983BF2A4448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B 5*2530+5*2510 : 5 aug 26</t>
        </r>
      </text>
    </comment>
    <comment ref="E137" authorId="0" shapeId="0" xr:uid="{DFCE935E-CE2A-454E-9762-579B2B5F0E6C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Bought 10@2590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<sst xmlns="http://schemas.openxmlformats.org/spreadsheetml/2006/main" count="1750" uniqueCount="212">
  <si>
    <t>Date</t>
  </si>
  <si>
    <t>Stock</t>
  </si>
  <si>
    <t>Order Type (Buy/Sell)</t>
  </si>
  <si>
    <t>Quantity</t>
  </si>
  <si>
    <t>Price</t>
  </si>
  <si>
    <t>Status</t>
  </si>
  <si>
    <t>06 AUG 2026 04:30:38 PM</t>
  </si>
  <si>
    <t>MAFANGEQ</t>
  </si>
  <si>
    <t>B</t>
  </si>
  <si>
    <t>Expired</t>
  </si>
  <si>
    <t>06 AUG 2026 04:30:44 PM</t>
  </si>
  <si>
    <t>GOLDBEESEQ</t>
  </si>
  <si>
    <t>06 AUG 2026 04:30:36 PM</t>
  </si>
  <si>
    <t>ARE&amp;MEQ</t>
  </si>
  <si>
    <t>06 AUG 2026 04:30:40 PM</t>
  </si>
  <si>
    <t>GRSEEQ</t>
  </si>
  <si>
    <t>S</t>
  </si>
  <si>
    <t>06 AUG 2026 04:30:46 PM</t>
  </si>
  <si>
    <t>SENCOEQ</t>
  </si>
  <si>
    <t>06 AUG 2026 04:30:43 PM</t>
  </si>
  <si>
    <t>NETWEBEQ</t>
  </si>
  <si>
    <t>06 AUG 2026 04:30:41 PM</t>
  </si>
  <si>
    <t>KERNEXEQ</t>
  </si>
  <si>
    <t>LALPATHLABEQ</t>
  </si>
  <si>
    <t>E2EEQ</t>
  </si>
  <si>
    <t>HUDCOEQ</t>
  </si>
  <si>
    <t>SILVERBEESEQ</t>
  </si>
  <si>
    <t>06 AUG 2026 04:30:51 PM</t>
  </si>
  <si>
    <t>URBANCOEQ</t>
  </si>
  <si>
    <t>06 AUG 2026 04:30:45 PM</t>
  </si>
  <si>
    <t>ITBEESEQ</t>
  </si>
  <si>
    <t>MOSCHIPEQ</t>
  </si>
  <si>
    <t>ZENTECEQ</t>
  </si>
  <si>
    <t>06 AUG 2026 04:30:48 PM</t>
  </si>
  <si>
    <t>JUSTDIALEQ</t>
  </si>
  <si>
    <t>06 AUG 2026 04:30:42 PM</t>
  </si>
  <si>
    <t>06 AUG 2026 04:30:39 PM</t>
  </si>
  <si>
    <t>IRCONEQ</t>
  </si>
  <si>
    <t>IGILEQ</t>
  </si>
  <si>
    <t>SCIEQ</t>
  </si>
  <si>
    <t>APOLLOTYREEQ</t>
  </si>
  <si>
    <t>06 AUG 2026 04:30:37 PM</t>
  </si>
  <si>
    <t>RAILTELEQ</t>
  </si>
  <si>
    <t>06 AUG 2026 04:30:50 PM</t>
  </si>
  <si>
    <t>WAAREERTLEQ</t>
  </si>
  <si>
    <t>06 AUG 2026 03:15:10 PM</t>
  </si>
  <si>
    <t>KFINTECHEQ</t>
  </si>
  <si>
    <t>06 AUG 2026 03:28:53 PM</t>
  </si>
  <si>
    <t>BELEQ</t>
  </si>
  <si>
    <t>06 AUG 2026 03:15:11 PM</t>
  </si>
  <si>
    <t>RVNLEQ</t>
  </si>
  <si>
    <t>06 AUG 2026 03:15:13 PM</t>
  </si>
  <si>
    <t>TCSEQ</t>
  </si>
  <si>
    <t>BDLEQ</t>
  </si>
  <si>
    <t>06 AUG 2026 03:28:59 PM</t>
  </si>
  <si>
    <t>COCHINSHIPEQ</t>
  </si>
  <si>
    <t>06 AUG 2026 03:15:15 PM</t>
  </si>
  <si>
    <t>06 AUG 2026 03:15:12 PM</t>
  </si>
  <si>
    <t>MAZDOCKEQ</t>
  </si>
  <si>
    <t>06 AUG 2026 03:28:57 PM</t>
  </si>
  <si>
    <t>DIXONEQ</t>
  </si>
  <si>
    <t>06 AUG 2026 03:15:14 PM</t>
  </si>
  <si>
    <t>CAMSEQ</t>
  </si>
  <si>
    <t>TRENTEQ</t>
  </si>
  <si>
    <t>CGPOWEREQ</t>
  </si>
  <si>
    <t>NAM-INDIAEQ</t>
  </si>
  <si>
    <t>LODHAEQ</t>
  </si>
  <si>
    <t>SBINEQ</t>
  </si>
  <si>
    <t>SOLARINDSEQ</t>
  </si>
  <si>
    <t>INDHOTELEQ</t>
  </si>
  <si>
    <t>06 AUG 2026 03:28:51 PM</t>
  </si>
  <si>
    <t>CDSLEQ</t>
  </si>
  <si>
    <t>HALEQ</t>
  </si>
  <si>
    <t>HDFCAMCEQ</t>
  </si>
  <si>
    <t>BSEEQ</t>
  </si>
  <si>
    <t>IRFCEQ</t>
  </si>
  <si>
    <t>06 AUG 2026 03:28:56 PM</t>
  </si>
  <si>
    <t>TVSMOTOREQ</t>
  </si>
  <si>
    <t>LTEQ</t>
  </si>
  <si>
    <t>06 AUG 2026 03:28:52 PM</t>
  </si>
  <si>
    <t>06 AUG 2026 03:28:58 PM</t>
  </si>
  <si>
    <t>MCXEQ</t>
  </si>
  <si>
    <t>MAXHEALTHEQ</t>
  </si>
  <si>
    <t>06 AUG 2026 03:15:16 PM</t>
  </si>
  <si>
    <t>CONCOREQ</t>
  </si>
  <si>
    <t>KAYNESEQ</t>
  </si>
  <si>
    <t>06 AUG 2026 03:29:00 PM</t>
  </si>
  <si>
    <t>IREDAEQ</t>
  </si>
  <si>
    <t>05 AUG 2026 06:56:58 PM</t>
  </si>
  <si>
    <t>05 AUG 2026 07:02:45 PM</t>
  </si>
  <si>
    <t>SONACOMSEQ</t>
  </si>
  <si>
    <t>EXIDEINDEQ</t>
  </si>
  <si>
    <t>05 AUG 2026 04:43:10 PM</t>
  </si>
  <si>
    <t>05 AUG 2026 04:43:08 PM</t>
  </si>
  <si>
    <t>ABBEQ</t>
  </si>
  <si>
    <t>05 AUG 2026 06:56:59 PM</t>
  </si>
  <si>
    <t>05 AUG 2026 06:57:00 PM</t>
  </si>
  <si>
    <t>TMCVEQ</t>
  </si>
  <si>
    <t>PRINCEPIPEEQ</t>
  </si>
  <si>
    <t>05 AUG 2026 03:15:10 PM</t>
  </si>
  <si>
    <t>BAJFINANCEEQ</t>
  </si>
  <si>
    <t>05 AUG 2026 03:15:09 PM</t>
  </si>
  <si>
    <t>05 AUG 2026 04:43:15 PM</t>
  </si>
  <si>
    <t>05 AUG 2026 07:02:42 PM</t>
  </si>
  <si>
    <t>05 AUG 2026 03:15:12 PM</t>
  </si>
  <si>
    <t>05 AUG 2026 07:02:43 PM</t>
  </si>
  <si>
    <t>05 AUG 2026 03:15:11 PM</t>
  </si>
  <si>
    <t>05 AUG 2026 04:43:03 PM</t>
  </si>
  <si>
    <t>05 AUG 2026 04:43:14 PM</t>
  </si>
  <si>
    <t>05 AUG 2026 03:15:08 PM</t>
  </si>
  <si>
    <t>05 AUG 2026 06:56:53 PM</t>
  </si>
  <si>
    <t>05 AUG 2026 03:15:13 PM</t>
  </si>
  <si>
    <t>05 AUG 2026 04:43:04 PM</t>
  </si>
  <si>
    <t>05 AUG 2026 07:02:46 PM</t>
  </si>
  <si>
    <t>05 AUG 2026 06:56:56 PM</t>
  </si>
  <si>
    <t>05 AUG 2026 06:57:06 PM</t>
  </si>
  <si>
    <t>05 AUG 2026 04:43:06 PM</t>
  </si>
  <si>
    <t>05 AUG 2026 04:43:07 PM</t>
  </si>
  <si>
    <t>05 AUG 2026 03:28:52 PM</t>
  </si>
  <si>
    <t>05 AUG 2026 03:28:46 PM</t>
  </si>
  <si>
    <t>05 AUG 2026 06:56:54 PM</t>
  </si>
  <si>
    <t>05 AUG 2026 03:28:51 PM</t>
  </si>
  <si>
    <t>05 AUG 2026 03:28:49 PM</t>
  </si>
  <si>
    <t>05 AUG 2026 03:28:44 PM</t>
  </si>
  <si>
    <t>05 AUG 2026 03:28:53 PM</t>
  </si>
  <si>
    <t>05 AUG 2026 03:15:14 PM</t>
  </si>
  <si>
    <t>05 AUG 2026 03:28:45 PM</t>
  </si>
  <si>
    <t>05 AUG 2026 09:00:43 AM</t>
  </si>
  <si>
    <t>05 AUG 2026 03:28:50 PM</t>
  </si>
  <si>
    <t>05 AUG 2026 03:28:47 PM</t>
  </si>
  <si>
    <t>05 AUG 2026 06:57:04 PM</t>
  </si>
  <si>
    <t>05 AUG 2026 01:03:31 PM</t>
  </si>
  <si>
    <t>VBLEQ</t>
  </si>
  <si>
    <t>05 AUG 2026 07:02:44 PM</t>
  </si>
  <si>
    <t>NSDLEQ</t>
  </si>
  <si>
    <t>06 AUG 2026 11:35:19 AM</t>
  </si>
  <si>
    <t>Executed</t>
  </si>
  <si>
    <t>06 AUG 2026 10:33:14 AM</t>
  </si>
  <si>
    <t>06 AUG 2026 10:30:40 AM</t>
  </si>
  <si>
    <t>06 AUG 2026 09:24:47 AM</t>
  </si>
  <si>
    <t>06 AUG 2026 09:22:11 AM</t>
  </si>
  <si>
    <t>06 AUG 2026 09:21:01 AM</t>
  </si>
  <si>
    <t>06 AUG 2026 02:13:08 PM</t>
  </si>
  <si>
    <t>06 AUG 2026 09:39:38 AM</t>
  </si>
  <si>
    <t>06 AUG 2026 09:39:37 AM</t>
  </si>
  <si>
    <t>06 AUG 2026 02:37:04 PM</t>
  </si>
  <si>
    <t>06 AUG 2026 09:39:39 AM</t>
  </si>
  <si>
    <t>06 AUG 2026 10:08:39 AM</t>
  </si>
  <si>
    <t>06 AUG 2026 09:40:28 AM</t>
  </si>
  <si>
    <t>06 AUG 2026 11:02:02 AM</t>
  </si>
  <si>
    <t>06 AUG 2026 09:39:36 AM</t>
  </si>
  <si>
    <t>06 AUG 2026 09:39:35 AM</t>
  </si>
  <si>
    <t>NSE Code</t>
  </si>
  <si>
    <t>Latest Recorded Price</t>
  </si>
  <si>
    <t>NSE:MAFANG</t>
  </si>
  <si>
    <t>NSE:GOLDBEES</t>
  </si>
  <si>
    <t>NSE:ARE&amp;M</t>
  </si>
  <si>
    <t>NSE:GRSE</t>
  </si>
  <si>
    <t>NSE:SENCO</t>
  </si>
  <si>
    <t>NSE:NETWEB</t>
  </si>
  <si>
    <t>NSE:KERNEX</t>
  </si>
  <si>
    <t>NSE:LALPATHLAB</t>
  </si>
  <si>
    <t>NSE:E2E</t>
  </si>
  <si>
    <t>NSE:HUDCO</t>
  </si>
  <si>
    <t>NSE:SILVERBEES</t>
  </si>
  <si>
    <t>NSE:URBANCO</t>
  </si>
  <si>
    <t>NSE:ITBEES</t>
  </si>
  <si>
    <t>NSE:MOSCHIP</t>
  </si>
  <si>
    <t>NSE:ZENTEC</t>
  </si>
  <si>
    <t>NSE:JUSTDIAL</t>
  </si>
  <si>
    <t>NSE:IRCON</t>
  </si>
  <si>
    <t>NSE:IGIL</t>
  </si>
  <si>
    <t>NSE:SCI</t>
  </si>
  <si>
    <t>NSE:APOLLOTYRE</t>
  </si>
  <si>
    <t>NSE:RAILTEL</t>
  </si>
  <si>
    <t>NSE:WAAREERTL</t>
  </si>
  <si>
    <t>NSE:KFINTECH</t>
  </si>
  <si>
    <t>NSE:BEL</t>
  </si>
  <si>
    <t>NSE:TCS</t>
  </si>
  <si>
    <t>NSE:BDL</t>
  </si>
  <si>
    <t>NSE:COCHINSHIP</t>
  </si>
  <si>
    <t>NSE:MAZDOCK</t>
  </si>
  <si>
    <t>NSE:RVNL</t>
  </si>
  <si>
    <t>NSE:DIXON</t>
  </si>
  <si>
    <t>NSE:CAMS</t>
  </si>
  <si>
    <t>NSE:TRENT</t>
  </si>
  <si>
    <t>NSE:CGPOWER</t>
  </si>
  <si>
    <t>NSE:NAM-INDIA</t>
  </si>
  <si>
    <t>NSE:LODHA</t>
  </si>
  <si>
    <t>NSE:SOLARINDS</t>
  </si>
  <si>
    <t>NSE:INDHOTEL</t>
  </si>
  <si>
    <t>NSE:CDSL</t>
  </si>
  <si>
    <t>NSE:HAL</t>
  </si>
  <si>
    <t>NSE:HDFCAMC</t>
  </si>
  <si>
    <t>NSE:BSE</t>
  </si>
  <si>
    <t>NSE:IRFC</t>
  </si>
  <si>
    <t>NSE:SBIN</t>
  </si>
  <si>
    <t>NSE:TVSMOTOR</t>
  </si>
  <si>
    <t>NSE:LT</t>
  </si>
  <si>
    <t>NSE:MCX</t>
  </si>
  <si>
    <t>NSE:MAXHEALTH</t>
  </si>
  <si>
    <t>NSE:CONCOR</t>
  </si>
  <si>
    <t>NSE:KAYNES</t>
  </si>
  <si>
    <t>NSE:IREDA</t>
  </si>
  <si>
    <t>NSE:SONACOMS</t>
  </si>
  <si>
    <t>NSE:EXIDEIND</t>
  </si>
  <si>
    <t>NSE:ABB</t>
  </si>
  <si>
    <t>NSE:TMCV</t>
  </si>
  <si>
    <t>NSE:PRINCEPIPE</t>
  </si>
  <si>
    <t>NSE:BAJFINANCE</t>
  </si>
  <si>
    <t>NSE:VBL</t>
  </si>
  <si>
    <t>NSE:NSDL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</si>
</sst>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15" fontId="0" fillId="0" borderId="0" xfId="0" applyNumberFormat="1"/>
    <xf numFmtId="0" fontId="0" fillId="0" borderId="1" xfId="0" applyBorder="1"/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1" fillId="2" borderId="0" xfId="0" applyFont="1" applyFill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center" wrapText="1"/>
    </xf>
    <xf numFmtId="0" fontId="0" fillId="0" borderId="0" xfId="0" applyBorder="1"/>
    <xf numFmtId="22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00"/>
  <sheetViews>
    <sheetView tabSelected="1" workbookViewId="0">
      <selection activeCell="A3" activeCellId="1" sqref="A2:XFD2 A3:XFD3"/>
    </sheetView>
  </sheetViews>
  <sheetFormatPr defaultRowHeight="14.5" x14ac:dyDescent="0.35"/>
  <cols>
    <col min="1" max="1" width="29.6328125" customWidth="1"/>
    <col min="2" max="2" width="15.7265625" customWidth="1"/>
    <col min="7" max="7" width="13.36328125" customWidth="1"/>
    <col min="8" max="8" width="16.81640625" customWidth="1"/>
  </cols>
  <sheetData>
    <row r="1" spans="1:13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4" t="s">
        <v>152</v>
      </c>
      <c r="I1" s="15" t="s">
        <v>153</v>
      </c>
    </row>
    <row r="2" spans="1:13" ht="15" hidden="1" thickBot="1" x14ac:dyDescent="0.4">
      <c r="A2" s="1">
        <v>46234.6875</v>
      </c>
      <c r="B2" s="2" t="s">
        <v>20</v>
      </c>
      <c r="C2" s="2" t="s">
        <v>8</v>
      </c>
      <c r="D2" s="3">
        <v>1</v>
      </c>
      <c r="E2" s="3">
        <v>3914</v>
      </c>
      <c r="F2" s="2" t="s">
        <v>9</v>
      </c>
      <c r="G2">
        <f>((E2-I2)/I2)*100</f>
        <v>-18.305155499895637</v>
      </c>
      <c r="H2" s="14" t="s">
        <v>159</v>
      </c>
      <c r="I2" s="16">
        <v>4791</v>
      </c>
      <c r="M2" t="str">
        <f>IF(COUNTIFS( $B$2:$B$976, B2, $C$2:$C$976, C2, $D$2:$D$976, D2, $E$2:$E$976, E2) &gt; 1, "Duplicate", "Unique")</f>
        <v>Unique</v>
      </c>
    </row>
    <row r="3" spans="1:13" ht="15" hidden="1" thickBot="1" x14ac:dyDescent="0.4">
      <c r="A3" s="1">
        <v>46234.6875</v>
      </c>
      <c r="B3" s="2" t="s">
        <v>20</v>
      </c>
      <c r="C3" s="2" t="s">
        <v>8</v>
      </c>
      <c r="D3" s="3">
        <v>1</v>
      </c>
      <c r="E3" s="3">
        <v>4014</v>
      </c>
      <c r="F3" s="2" t="s">
        <v>9</v>
      </c>
      <c r="G3">
        <f>((E3-I3)/I3)*100</f>
        <v>-16.217908578584847</v>
      </c>
      <c r="H3" s="14" t="s">
        <v>159</v>
      </c>
      <c r="I3" s="16">
        <v>4791</v>
      </c>
      <c r="M3" t="str">
        <f>IF(COUNTIFS( $B$2:$B$976, B3, $C$2:$C$976, C3, $D$2:$D$976, D3, $E$2:$E$976, E3) &gt; 1, "Duplicate", "Unique")</f>
        <v>Unique</v>
      </c>
    </row>
    <row r="4" spans="1:13" ht="15" hidden="1" thickBot="1" x14ac:dyDescent="0.4">
      <c r="A4" s="1">
        <v>46237.768750000003</v>
      </c>
      <c r="B4" s="2" t="s">
        <v>22</v>
      </c>
      <c r="C4" s="2" t="s">
        <v>8</v>
      </c>
      <c r="D4" s="3">
        <v>1</v>
      </c>
      <c r="E4" s="3">
        <v>2064</v>
      </c>
      <c r="F4" s="2" t="s">
        <v>9</v>
      </c>
      <c r="G4">
        <f>((E4-I4)/I4)*100</f>
        <v>-15.823817292006526</v>
      </c>
      <c r="H4" s="14" t="s">
        <v>160</v>
      </c>
      <c r="I4" s="16">
        <v>2452</v>
      </c>
      <c r="M4" t="str">
        <f>IF(COUNTIFS( $B$2:$B$976, B4, $C$2:$C$976, C4, $D$2:$D$976, D4, $E$2:$E$976, E4) &gt; 1, "Duplicate", "Unique")</f>
        <v>Unique</v>
      </c>
    </row>
    <row r="5" spans="1:13" ht="15" hidden="1" thickBot="1" x14ac:dyDescent="0.4">
      <c r="A5" s="1">
        <v>46237.69027777778</v>
      </c>
      <c r="B5" s="2" t="s">
        <v>91</v>
      </c>
      <c r="C5" s="2" t="s">
        <v>8</v>
      </c>
      <c r="D5" s="3">
        <v>29</v>
      </c>
      <c r="E5" s="3">
        <v>401</v>
      </c>
      <c r="F5" s="2" t="s">
        <v>9</v>
      </c>
      <c r="G5">
        <f>((E5-I5)/I5)*100</f>
        <v>-15.507796038769495</v>
      </c>
      <c r="H5" s="14" t="s">
        <v>205</v>
      </c>
      <c r="I5" s="16">
        <v>474.6</v>
      </c>
      <c r="M5" t="str">
        <f>IF(COUNTIFS( $B$2:$B$976, B5, $C$2:$C$976, C5, $D$2:$D$976, D5, $E$2:$E$976, E5) &gt; 1, "Duplicate", "Unique")</f>
        <v>Unique</v>
      </c>
    </row>
    <row r="6" spans="1:13" ht="15" hidden="1" thickBot="1" x14ac:dyDescent="0.4">
      <c r="A6" t="s">
        <v>88</v>
      </c>
      <c r="B6" t="s">
        <v>18</v>
      </c>
      <c r="C6" t="s">
        <v>8</v>
      </c>
      <c r="D6">
        <v>25</v>
      </c>
      <c r="E6">
        <v>336</v>
      </c>
      <c r="F6" t="s">
        <v>9</v>
      </c>
      <c r="G6">
        <f>((E6-I6)/I6)*100</f>
        <v>-13.167075849592969</v>
      </c>
      <c r="H6" s="14" t="s">
        <v>158</v>
      </c>
      <c r="I6" s="16">
        <v>386.95</v>
      </c>
      <c r="M6" t="str">
        <f>IF(COUNTIFS( $B$2:$B$976, B6, $C$2:$C$976, C6, $D$2:$D$976, D6, $E$2:$E$976, E6) &gt; 1, "Duplicate", "Unique")</f>
        <v>Unique</v>
      </c>
    </row>
    <row r="7" spans="1:13" ht="15" hidden="1" thickBot="1" x14ac:dyDescent="0.4">
      <c r="A7" s="1">
        <v>46237.69027777778</v>
      </c>
      <c r="B7" s="2" t="s">
        <v>20</v>
      </c>
      <c r="C7" s="2" t="s">
        <v>8</v>
      </c>
      <c r="D7" s="3">
        <v>1</v>
      </c>
      <c r="E7" s="3">
        <v>4164</v>
      </c>
      <c r="F7" s="2" t="s">
        <v>9</v>
      </c>
      <c r="G7">
        <f>((E7-I7)/I7)*100</f>
        <v>-13.087038196618661</v>
      </c>
      <c r="H7" s="14" t="s">
        <v>159</v>
      </c>
      <c r="I7" s="16">
        <v>4791</v>
      </c>
      <c r="M7" t="str">
        <f>IF(COUNTIFS( $B$2:$B$976, B7, $C$2:$C$976, C7, $D$2:$D$976, D7, $E$2:$E$976, E7) &gt; 1, "Duplicate", "Unique")</f>
        <v>Unique</v>
      </c>
    </row>
    <row r="8" spans="1:13" ht="15" hidden="1" thickBot="1" x14ac:dyDescent="0.4">
      <c r="A8" t="s">
        <v>21</v>
      </c>
      <c r="B8" t="s">
        <v>22</v>
      </c>
      <c r="C8" t="s">
        <v>8</v>
      </c>
      <c r="D8">
        <v>2</v>
      </c>
      <c r="E8">
        <v>2164</v>
      </c>
      <c r="F8" t="s">
        <v>9</v>
      </c>
      <c r="G8">
        <f>((E8-I8)/I8)*100</f>
        <v>-11.745513866231647</v>
      </c>
      <c r="H8" s="14" t="s">
        <v>160</v>
      </c>
      <c r="I8" s="16">
        <v>2452</v>
      </c>
      <c r="M8" t="str">
        <f>IF(COUNTIFS( $B$2:$B$976, B8, $C$2:$C$976, C8, $D$2:$D$976, D8, $E$2:$E$976, E8) &gt; 1, "Duplicate", "Unique")</f>
        <v>Unique</v>
      </c>
    </row>
    <row r="9" spans="1:13" ht="15" hidden="1" thickBot="1" x14ac:dyDescent="0.4">
      <c r="A9" t="s">
        <v>88</v>
      </c>
      <c r="B9" t="s">
        <v>91</v>
      </c>
      <c r="C9" t="s">
        <v>8</v>
      </c>
      <c r="D9">
        <v>5</v>
      </c>
      <c r="E9">
        <v>419</v>
      </c>
      <c r="F9" t="s">
        <v>9</v>
      </c>
      <c r="G9">
        <f>((E9-I9)/I9)*100</f>
        <v>-11.715128529287826</v>
      </c>
      <c r="H9" s="14" t="s">
        <v>205</v>
      </c>
      <c r="I9" s="16">
        <v>474.6</v>
      </c>
      <c r="M9" t="str">
        <f>IF(COUNTIFS( $B$2:$B$976, B9, $C$2:$C$976, C9, $D$2:$D$976, D9, $E$2:$E$976, E9) &gt; 1, "Duplicate", "Unique")</f>
        <v>Unique</v>
      </c>
    </row>
    <row r="10" spans="1:13" ht="15" hidden="1" thickBot="1" x14ac:dyDescent="0.4">
      <c r="A10" s="1">
        <v>46237.63553240741</v>
      </c>
      <c r="B10" s="2" t="s">
        <v>90</v>
      </c>
      <c r="C10" s="2" t="s">
        <v>8</v>
      </c>
      <c r="D10" s="3">
        <v>4</v>
      </c>
      <c r="E10" s="3">
        <v>701</v>
      </c>
      <c r="F10" s="2" t="s">
        <v>9</v>
      </c>
      <c r="G10">
        <f>((E10-I10)/I10)*100</f>
        <v>-11.204002786750273</v>
      </c>
      <c r="H10" s="14" t="s">
        <v>204</v>
      </c>
      <c r="I10" s="16">
        <v>789.45</v>
      </c>
      <c r="M10" t="str">
        <f>IF(COUNTIFS( $B$2:$B$976, B10, $C$2:$C$976, C10, $D$2:$D$976, D10, $E$2:$E$976, E10) &gt; 1, "Duplicate", "Unique")</f>
        <v>Unique</v>
      </c>
    </row>
    <row r="11" spans="1:13" ht="15" hidden="1" thickBot="1" x14ac:dyDescent="0.4">
      <c r="A11" s="1">
        <v>46237.768750000003</v>
      </c>
      <c r="B11" s="2" t="s">
        <v>38</v>
      </c>
      <c r="C11" s="2" t="s">
        <v>8</v>
      </c>
      <c r="D11" s="3">
        <v>100</v>
      </c>
      <c r="E11" s="3">
        <v>322</v>
      </c>
      <c r="F11" s="2" t="s">
        <v>9</v>
      </c>
      <c r="G11">
        <f>((E11-I11)/I11)*100</f>
        <v>-10.555555555555555</v>
      </c>
      <c r="H11" s="14" t="s">
        <v>171</v>
      </c>
      <c r="I11" s="16">
        <v>360</v>
      </c>
      <c r="M11" t="str">
        <f>IF(COUNTIFS( $B$2:$B$976, B11, $C$2:$C$976, C11, $D$2:$D$976, D11, $E$2:$E$976, E11) &gt; 1, "Duplicate", "Unique")</f>
        <v>Unique</v>
      </c>
    </row>
    <row r="12" spans="1:13" ht="15" hidden="1" thickBot="1" x14ac:dyDescent="0.4">
      <c r="A12" s="1">
        <v>46237.635497685187</v>
      </c>
      <c r="B12" s="2" t="s">
        <v>94</v>
      </c>
      <c r="C12" s="2" t="s">
        <v>8</v>
      </c>
      <c r="D12" s="3">
        <v>1</v>
      </c>
      <c r="E12" s="3">
        <v>6920</v>
      </c>
      <c r="F12" s="2" t="s">
        <v>9</v>
      </c>
      <c r="G12">
        <f>((E12-I12)/I12)*100</f>
        <v>-10.536522301228183</v>
      </c>
      <c r="H12" s="14" t="s">
        <v>206</v>
      </c>
      <c r="I12" s="16">
        <v>7735</v>
      </c>
      <c r="M12" t="str">
        <f>IF(COUNTIFS( $B$2:$B$976, B12, $C$2:$C$976, C12, $D$2:$D$976, D12, $E$2:$E$976, E12) &gt; 1, "Duplicate", "Unique")</f>
        <v>Unique</v>
      </c>
    </row>
    <row r="13" spans="1:13" ht="15" hidden="1" thickBot="1" x14ac:dyDescent="0.4">
      <c r="A13" t="s">
        <v>99</v>
      </c>
      <c r="B13" t="s">
        <v>72</v>
      </c>
      <c r="C13" t="s">
        <v>8</v>
      </c>
      <c r="D13">
        <v>15</v>
      </c>
      <c r="E13">
        <v>4415</v>
      </c>
      <c r="F13" t="s">
        <v>9</v>
      </c>
      <c r="G13">
        <f>((E13-I13)/I13)*100</f>
        <v>-10.518848804215647</v>
      </c>
      <c r="H13" s="14" t="s">
        <v>192</v>
      </c>
      <c r="I13" s="16">
        <v>4934</v>
      </c>
      <c r="M13" t="str">
        <f>IF(COUNTIFS( $B$2:$B$976, B13, $C$2:$C$976, C13, $D$2:$D$976, D13, $E$2:$E$976, E13) &gt; 1, "Duplicate", "Unique")</f>
        <v>Unique</v>
      </c>
    </row>
    <row r="14" spans="1:13" ht="15" hidden="1" thickBot="1" x14ac:dyDescent="0.4">
      <c r="A14" t="s">
        <v>96</v>
      </c>
      <c r="B14" t="s">
        <v>97</v>
      </c>
      <c r="C14" t="s">
        <v>8</v>
      </c>
      <c r="D14">
        <v>7</v>
      </c>
      <c r="E14">
        <v>411</v>
      </c>
      <c r="F14" t="s">
        <v>9</v>
      </c>
      <c r="G14">
        <f>((E14-I14)/I14)*100</f>
        <v>-10.301178524661719</v>
      </c>
      <c r="H14" s="14" t="s">
        <v>207</v>
      </c>
      <c r="I14" s="16">
        <v>458.2</v>
      </c>
      <c r="M14" t="str">
        <f>IF(COUNTIFS( $B$2:$B$976, B14, $C$2:$C$976, C14, $D$2:$D$976, D14, $E$2:$E$976, E14) &gt; 1, "Duplicate", "Unique")</f>
        <v>Unique</v>
      </c>
    </row>
    <row r="15" spans="1:13" ht="15" hidden="1" thickBot="1" x14ac:dyDescent="0.4">
      <c r="A15" s="1">
        <v>46237.768750000003</v>
      </c>
      <c r="B15" s="2" t="s">
        <v>30</v>
      </c>
      <c r="C15" s="2" t="s">
        <v>8</v>
      </c>
      <c r="D15" s="3">
        <v>200</v>
      </c>
      <c r="E15" s="3">
        <v>31.01</v>
      </c>
      <c r="F15" s="2" t="s">
        <v>9</v>
      </c>
      <c r="G15">
        <f>((E15-I15)/I15)*100</f>
        <v>-10.297946196123803</v>
      </c>
      <c r="H15" s="14" t="s">
        <v>166</v>
      </c>
      <c r="I15" s="16">
        <v>34.57</v>
      </c>
      <c r="M15" t="str">
        <f>IF(COUNTIFS( $B$2:$B$976, B15, $C$2:$C$976, C15, $D$2:$D$976, D15, $E$2:$E$976, E15) &gt; 1, "Duplicate", "Unique")</f>
        <v>Unique</v>
      </c>
    </row>
    <row r="16" spans="1:13" ht="15" hidden="1" thickBot="1" x14ac:dyDescent="0.4">
      <c r="A16" s="1">
        <v>46238.690462962964</v>
      </c>
      <c r="B16" s="2" t="s">
        <v>39</v>
      </c>
      <c r="C16" s="2" t="s">
        <v>8</v>
      </c>
      <c r="D16" s="3">
        <v>37</v>
      </c>
      <c r="E16" s="3">
        <v>277</v>
      </c>
      <c r="F16" s="2" t="s">
        <v>9</v>
      </c>
      <c r="G16">
        <f>((E16-I16)/I16)*100</f>
        <v>-10.18158236057068</v>
      </c>
      <c r="H16" s="14" t="s">
        <v>172</v>
      </c>
      <c r="I16" s="16">
        <v>308.39999999999998</v>
      </c>
      <c r="M16" t="str">
        <f>IF(COUNTIFS( $B$2:$B$976, B16, $C$2:$C$976, C16, $D$2:$D$976, D16, $E$2:$E$976, E16) &gt; 1, "Duplicate", "Unique")</f>
        <v>Unique</v>
      </c>
    </row>
    <row r="17" spans="1:13" ht="15" hidden="1" thickBot="1" x14ac:dyDescent="0.4">
      <c r="A17" t="s">
        <v>57</v>
      </c>
      <c r="B17" t="s">
        <v>72</v>
      </c>
      <c r="C17" t="s">
        <v>8</v>
      </c>
      <c r="D17">
        <v>2</v>
      </c>
      <c r="E17">
        <v>4456</v>
      </c>
      <c r="F17" t="s">
        <v>9</v>
      </c>
      <c r="G17">
        <f>((E17-I17)/I17)*100</f>
        <v>-9.6878800162140255</v>
      </c>
      <c r="H17" s="14" t="s">
        <v>192</v>
      </c>
      <c r="I17" s="16">
        <v>4934</v>
      </c>
      <c r="M17" t="str">
        <f>IF(COUNTIFS( $B$2:$B$976, B17, $C$2:$C$976, C17, $D$2:$D$976, D17, $E$2:$E$976, E17) &gt; 1, "Duplicate", "Unique")</f>
        <v>Unique</v>
      </c>
    </row>
    <row r="18" spans="1:13" ht="15" hidden="1" thickBot="1" x14ac:dyDescent="0.4">
      <c r="A18" t="s">
        <v>33</v>
      </c>
      <c r="B18" t="s">
        <v>34</v>
      </c>
      <c r="C18" t="s">
        <v>8</v>
      </c>
      <c r="D18">
        <v>30</v>
      </c>
      <c r="E18">
        <v>620</v>
      </c>
      <c r="F18" t="s">
        <v>9</v>
      </c>
      <c r="G18">
        <f>((E18-I18)/I18)*100</f>
        <v>-9.3169518794793103</v>
      </c>
      <c r="H18" s="14" t="s">
        <v>169</v>
      </c>
      <c r="I18" s="16">
        <v>683.7</v>
      </c>
      <c r="M18" t="str">
        <f>IF(COUNTIFS( $B$2:$B$976, B18, $C$2:$C$976, C18, $D$2:$D$976, D18, $E$2:$E$976, E18) &gt; 1, "Duplicate", "Unique")</f>
        <v>Unique</v>
      </c>
    </row>
    <row r="19" spans="1:13" ht="15" hidden="1" thickBot="1" x14ac:dyDescent="0.4">
      <c r="A19" t="s">
        <v>10</v>
      </c>
      <c r="B19" t="s">
        <v>11</v>
      </c>
      <c r="C19" t="s">
        <v>8</v>
      </c>
      <c r="D19">
        <v>100</v>
      </c>
      <c r="E19">
        <v>111</v>
      </c>
      <c r="F19" t="s">
        <v>9</v>
      </c>
      <c r="G19">
        <f>((E19-I19)/I19)*100</f>
        <v>-9.2395748160261633</v>
      </c>
      <c r="H19" s="14" t="s">
        <v>155</v>
      </c>
      <c r="I19" s="16">
        <v>122.3</v>
      </c>
      <c r="M19" t="str">
        <f>IF(COUNTIFS( $B$2:$B$976, B19, $C$2:$C$976, C19, $D$2:$D$976, D19, $E$2:$E$976, E19) &gt; 1, "Duplicate", "Unique")</f>
        <v>Unique</v>
      </c>
    </row>
    <row r="20" spans="1:13" ht="15" hidden="1" thickBot="1" x14ac:dyDescent="0.4">
      <c r="A20" s="1">
        <v>46237.768750000003</v>
      </c>
      <c r="B20" s="2" t="s">
        <v>38</v>
      </c>
      <c r="C20" s="2" t="s">
        <v>8</v>
      </c>
      <c r="D20" s="3">
        <v>100</v>
      </c>
      <c r="E20" s="3">
        <v>327</v>
      </c>
      <c r="F20" s="2" t="s">
        <v>9</v>
      </c>
      <c r="G20">
        <f>((E20-I20)/I20)*100</f>
        <v>-9.1666666666666661</v>
      </c>
      <c r="H20" s="14" t="s">
        <v>171</v>
      </c>
      <c r="I20" s="16">
        <v>360</v>
      </c>
      <c r="M20" t="str">
        <f>IF(COUNTIFS( $B$2:$B$976, B20, $C$2:$C$976, C20, $D$2:$D$976, D20, $E$2:$E$976, E20) &gt; 1, "Duplicate", "Unique")</f>
        <v>Unique</v>
      </c>
    </row>
    <row r="21" spans="1:13" ht="15" hidden="1" thickBot="1" x14ac:dyDescent="0.4">
      <c r="A21" t="s">
        <v>21</v>
      </c>
      <c r="B21" t="s">
        <v>23</v>
      </c>
      <c r="C21" t="s">
        <v>8</v>
      </c>
      <c r="D21">
        <v>4</v>
      </c>
      <c r="E21">
        <v>1751</v>
      </c>
      <c r="F21" t="s">
        <v>9</v>
      </c>
      <c r="G21">
        <f>((E21-I21)/I21)*100</f>
        <v>-9.1475120635085325</v>
      </c>
      <c r="H21" s="14" t="s">
        <v>161</v>
      </c>
      <c r="I21" s="16">
        <v>1927.3</v>
      </c>
      <c r="M21" t="str">
        <f>IF(COUNTIFS( $B$2:$B$976, B21, $C$2:$C$976, C21, $D$2:$D$976, D21, $E$2:$E$976, E21) &gt; 1, "Duplicate", "Unique")</f>
        <v>Unique</v>
      </c>
    </row>
    <row r="22" spans="1:13" ht="15" hidden="1" thickBot="1" x14ac:dyDescent="0.4">
      <c r="A22" t="s">
        <v>17</v>
      </c>
      <c r="B22" t="s">
        <v>18</v>
      </c>
      <c r="C22" t="s">
        <v>8</v>
      </c>
      <c r="D22">
        <v>25</v>
      </c>
      <c r="E22">
        <v>352</v>
      </c>
      <c r="F22" t="s">
        <v>9</v>
      </c>
      <c r="G22">
        <f>((E22-I22)/I22)*100</f>
        <v>-9.0321746995735861</v>
      </c>
      <c r="H22" s="14" t="s">
        <v>158</v>
      </c>
      <c r="I22" s="16">
        <v>386.95</v>
      </c>
      <c r="M22" t="str">
        <f>IF(COUNTIFS( $B$2:$B$976, B22, $C$2:$C$976, C22, $D$2:$D$976, D22, $E$2:$E$976, E22) &gt; 1, "Duplicate", "Unique")</f>
        <v>Unique</v>
      </c>
    </row>
    <row r="23" spans="1:13" ht="15" hidden="1" thickBot="1" x14ac:dyDescent="0.4">
      <c r="A23" s="1">
        <v>46238.690509259257</v>
      </c>
      <c r="B23" s="2" t="s">
        <v>20</v>
      </c>
      <c r="C23" s="2" t="s">
        <v>8</v>
      </c>
      <c r="D23" s="3">
        <v>1</v>
      </c>
      <c r="E23" s="3">
        <v>4364</v>
      </c>
      <c r="F23" s="2" t="s">
        <v>9</v>
      </c>
      <c r="G23">
        <f>((E23-I23)/I23)*100</f>
        <v>-8.9125443539970775</v>
      </c>
      <c r="H23" s="14" t="s">
        <v>159</v>
      </c>
      <c r="I23" s="16">
        <v>4791</v>
      </c>
      <c r="M23" t="str">
        <f>IF(COUNTIFS( $B$2:$B$976, B23, $C$2:$C$976, C23, $D$2:$D$976, D23, $E$2:$E$976, E23) &gt; 1, "Duplicate", "Unique")</f>
        <v>Unique</v>
      </c>
    </row>
    <row r="24" spans="1:13" ht="15" hidden="1" thickBot="1" x14ac:dyDescent="0.4">
      <c r="A24" s="1">
        <v>46238.690462962964</v>
      </c>
      <c r="B24" s="2" t="s">
        <v>39</v>
      </c>
      <c r="C24" s="2" t="s">
        <v>8</v>
      </c>
      <c r="D24" s="3">
        <v>20</v>
      </c>
      <c r="E24" s="3">
        <v>281</v>
      </c>
      <c r="F24" s="2" t="s">
        <v>9</v>
      </c>
      <c r="G24">
        <f>((E24-I24)/I24)*100</f>
        <v>-8.8845654993514849</v>
      </c>
      <c r="H24" s="14" t="s">
        <v>172</v>
      </c>
      <c r="I24" s="16">
        <v>308.39999999999998</v>
      </c>
      <c r="M24" t="str">
        <f>IF(COUNTIFS( $B$2:$B$976, B24, $C$2:$C$976, C24, $D$2:$D$976, D24, $E$2:$E$976, E24) &gt; 1, "Duplicate", "Unique")</f>
        <v>Unique</v>
      </c>
    </row>
    <row r="25" spans="1:13" ht="15" hidden="1" thickBot="1" x14ac:dyDescent="0.4">
      <c r="A25" s="1">
        <v>46233.688194444447</v>
      </c>
      <c r="B25" s="2" t="s">
        <v>77</v>
      </c>
      <c r="C25" s="2" t="s">
        <v>8</v>
      </c>
      <c r="D25" s="3">
        <v>2</v>
      </c>
      <c r="E25" s="3">
        <v>4010</v>
      </c>
      <c r="F25" s="2" t="s">
        <v>9</v>
      </c>
      <c r="G25">
        <f>((E25-I25)/I25)*100</f>
        <v>-8.8677787373301182</v>
      </c>
      <c r="H25" s="14" t="s">
        <v>197</v>
      </c>
      <c r="I25" s="16">
        <v>4400.2</v>
      </c>
      <c r="M25" t="str">
        <f>IF(COUNTIFS( $B$2:$B$976, B25, $C$2:$C$976, C25, $D$2:$D$976, D25, $E$2:$E$976, E25) &gt; 1, "Duplicate", "Unique")</f>
        <v>Unique</v>
      </c>
    </row>
    <row r="26" spans="1:13" ht="15" hidden="1" thickBot="1" x14ac:dyDescent="0.4">
      <c r="A26" s="1">
        <v>46237.69027777778</v>
      </c>
      <c r="B26" s="2" t="s">
        <v>98</v>
      </c>
      <c r="C26" s="2" t="s">
        <v>8</v>
      </c>
      <c r="D26" s="3">
        <v>10</v>
      </c>
      <c r="E26" s="3">
        <v>251</v>
      </c>
      <c r="F26" s="2" t="s">
        <v>9</v>
      </c>
      <c r="G26">
        <f>((E26-I26)/I26)*100</f>
        <v>-8.7272727272727284</v>
      </c>
      <c r="H26" s="14" t="s">
        <v>208</v>
      </c>
      <c r="I26" s="16">
        <v>275</v>
      </c>
      <c r="M26" t="str">
        <f>IF(COUNTIFS( $B$2:$B$976, B26, $C$2:$C$976, C26, $D$2:$D$976, D26, $E$2:$E$976, E26) &gt; 1, "Duplicate", "Unique")</f>
        <v>Unique</v>
      </c>
    </row>
    <row r="27" spans="1:13" ht="15" hidden="1" thickBot="1" x14ac:dyDescent="0.4">
      <c r="A27" s="1">
        <v>46237.69027777778</v>
      </c>
      <c r="B27" s="2" t="s">
        <v>13</v>
      </c>
      <c r="C27" s="2" t="s">
        <v>8</v>
      </c>
      <c r="D27" s="3">
        <v>5</v>
      </c>
      <c r="E27" s="3">
        <v>852</v>
      </c>
      <c r="F27" s="2" t="s">
        <v>9</v>
      </c>
      <c r="G27">
        <f>((E27-I27)/I27)*100</f>
        <v>-8.2044928082745212</v>
      </c>
      <c r="H27" s="14" t="s">
        <v>156</v>
      </c>
      <c r="I27" s="16">
        <v>928.15</v>
      </c>
      <c r="M27" t="str">
        <f>IF(COUNTIFS( $B$2:$B$976, B27, $C$2:$C$976, C27, $D$2:$D$976, D27, $E$2:$E$976, E27) &gt; 1, "Duplicate", "Unique")</f>
        <v>Unique</v>
      </c>
    </row>
    <row r="28" spans="1:13" ht="15" hidden="1" thickBot="1" x14ac:dyDescent="0.4">
      <c r="A28" s="1">
        <v>46237.768750000003</v>
      </c>
      <c r="B28" s="2" t="s">
        <v>38</v>
      </c>
      <c r="C28" s="2" t="s">
        <v>8</v>
      </c>
      <c r="D28" s="3">
        <v>100</v>
      </c>
      <c r="E28" s="3">
        <v>331</v>
      </c>
      <c r="F28" s="2" t="s">
        <v>9</v>
      </c>
      <c r="G28">
        <f>((E28-I28)/I28)*100</f>
        <v>-8.0555555555555554</v>
      </c>
      <c r="H28" s="14" t="s">
        <v>171</v>
      </c>
      <c r="I28" s="16">
        <v>360</v>
      </c>
      <c r="M28" t="str">
        <f>IF(COUNTIFS( $B$2:$B$976, B28, $C$2:$C$976, C28, $D$2:$D$976, D28, $E$2:$E$976, E28) &gt; 1, "Duplicate", "Unique")</f>
        <v>Unique</v>
      </c>
    </row>
    <row r="29" spans="1:13" ht="15" hidden="1" thickBot="1" x14ac:dyDescent="0.4">
      <c r="A29" t="s">
        <v>19</v>
      </c>
      <c r="B29" t="s">
        <v>20</v>
      </c>
      <c r="C29" t="s">
        <v>8</v>
      </c>
      <c r="D29">
        <v>2</v>
      </c>
      <c r="E29">
        <v>4410</v>
      </c>
      <c r="F29" t="s">
        <v>9</v>
      </c>
      <c r="G29">
        <f>((E29-I29)/I29)*100</f>
        <v>-7.9524107701941142</v>
      </c>
      <c r="H29" s="14" t="s">
        <v>159</v>
      </c>
      <c r="I29" s="16">
        <v>4791</v>
      </c>
      <c r="M29" t="str">
        <f>IF(COUNTIFS( $B$2:$B$976, B29, $C$2:$C$976, C29, $D$2:$D$976, D29, $E$2:$E$976, E29) &gt; 1, "Duplicate", "Unique")</f>
        <v>Unique</v>
      </c>
    </row>
    <row r="30" spans="1:13" ht="15" hidden="1" thickBot="1" x14ac:dyDescent="0.4">
      <c r="A30" s="1">
        <v>46233.688194444447</v>
      </c>
      <c r="B30" s="2" t="s">
        <v>77</v>
      </c>
      <c r="C30" s="2" t="s">
        <v>8</v>
      </c>
      <c r="D30" s="3">
        <v>2</v>
      </c>
      <c r="E30" s="3">
        <v>4060</v>
      </c>
      <c r="F30" s="2" t="s">
        <v>9</v>
      </c>
      <c r="G30">
        <f>((E30-I30)/I30)*100</f>
        <v>-7.7314667515112916</v>
      </c>
      <c r="H30" s="14" t="s">
        <v>197</v>
      </c>
      <c r="I30" s="16">
        <v>4400.2</v>
      </c>
      <c r="M30" t="str">
        <f>IF(COUNTIFS( $B$2:$B$976, B30, $C$2:$C$976, C30, $D$2:$D$976, D30, $E$2:$E$976, E30) &gt; 1, "Duplicate", "Unique")</f>
        <v>Unique</v>
      </c>
    </row>
    <row r="31" spans="1:13" ht="15" hidden="1" thickBot="1" x14ac:dyDescent="0.4">
      <c r="A31" t="s">
        <v>21</v>
      </c>
      <c r="B31" t="s">
        <v>22</v>
      </c>
      <c r="C31" t="s">
        <v>8</v>
      </c>
      <c r="D31">
        <v>1</v>
      </c>
      <c r="E31">
        <v>2264</v>
      </c>
      <c r="F31" t="s">
        <v>9</v>
      </c>
      <c r="G31">
        <f>((E31-I31)/I31)*100</f>
        <v>-7.6672104404567705</v>
      </c>
      <c r="H31" s="14" t="s">
        <v>160</v>
      </c>
      <c r="I31" s="16">
        <v>2452</v>
      </c>
      <c r="M31" t="str">
        <f>IF(COUNTIFS( $B$2:$B$976, B31, $C$2:$C$976, C31, $D$2:$D$976, D31, $E$2:$E$976, E31) &gt; 1, "Duplicate", "Unique")</f>
        <v>Unique</v>
      </c>
    </row>
    <row r="32" spans="1:13" ht="15" hidden="1" thickBot="1" x14ac:dyDescent="0.4">
      <c r="A32" t="s">
        <v>57</v>
      </c>
      <c r="B32" t="s">
        <v>72</v>
      </c>
      <c r="C32" t="s">
        <v>8</v>
      </c>
      <c r="D32">
        <v>1</v>
      </c>
      <c r="E32">
        <v>4560</v>
      </c>
      <c r="F32" t="s">
        <v>9</v>
      </c>
      <c r="G32">
        <f>((E32-I32)/I32)*100</f>
        <v>-7.5800567490879613</v>
      </c>
      <c r="H32" s="14" t="s">
        <v>192</v>
      </c>
      <c r="I32" s="16">
        <v>4934</v>
      </c>
      <c r="M32" t="str">
        <f>IF(COUNTIFS( $B$2:$B$976, B32, $C$2:$C$976, C32, $D$2:$D$976, D32, $E$2:$E$976, E32) &gt; 1, "Duplicate", "Unique")</f>
        <v>Unique</v>
      </c>
    </row>
    <row r="33" spans="1:13" ht="15" hidden="1" thickBot="1" x14ac:dyDescent="0.4">
      <c r="A33" t="s">
        <v>99</v>
      </c>
      <c r="B33" t="s">
        <v>100</v>
      </c>
      <c r="C33" t="s">
        <v>8</v>
      </c>
      <c r="D33">
        <v>4</v>
      </c>
      <c r="E33">
        <v>1066</v>
      </c>
      <c r="F33" t="s">
        <v>9</v>
      </c>
      <c r="G33">
        <f>((E33-I33)/I33)*100</f>
        <v>-7.4652777777777777</v>
      </c>
      <c r="H33" s="14" t="s">
        <v>209</v>
      </c>
      <c r="I33" s="16">
        <v>1152</v>
      </c>
      <c r="M33" t="str">
        <f>IF(COUNTIFS( $B$2:$B$976, B33, $C$2:$C$976, C33, $D$2:$D$976, D33, $E$2:$E$976, E33) &gt; 1, "Duplicate", "Unique")</f>
        <v>Unique</v>
      </c>
    </row>
    <row r="34" spans="1:13" ht="15" hidden="1" thickBot="1" x14ac:dyDescent="0.4">
      <c r="A34" s="1">
        <v>46233.688194444447</v>
      </c>
      <c r="B34" s="2" t="s">
        <v>78</v>
      </c>
      <c r="C34" s="2" t="s">
        <v>8</v>
      </c>
      <c r="D34" s="3">
        <v>2</v>
      </c>
      <c r="E34" s="3">
        <v>3760</v>
      </c>
      <c r="F34" s="2" t="s">
        <v>9</v>
      </c>
      <c r="G34">
        <f>((E34-I34)/I34)*100</f>
        <v>-7.4302033581170948</v>
      </c>
      <c r="H34" s="14" t="s">
        <v>198</v>
      </c>
      <c r="I34" s="16">
        <v>4061.8</v>
      </c>
      <c r="M34" t="str">
        <f>IF(COUNTIFS( $B$2:$B$976, B34, $C$2:$C$976, C34, $D$2:$D$976, D34, $E$2:$E$976, E34) &gt; 1, "Duplicate", "Unique")</f>
        <v>Unique</v>
      </c>
    </row>
    <row r="35" spans="1:13" ht="15" hidden="1" thickBot="1" x14ac:dyDescent="0.4">
      <c r="A35" t="s">
        <v>101</v>
      </c>
      <c r="B35" t="s">
        <v>67</v>
      </c>
      <c r="C35" t="s">
        <v>8</v>
      </c>
      <c r="D35">
        <v>15</v>
      </c>
      <c r="E35">
        <v>1005</v>
      </c>
      <c r="F35" t="s">
        <v>9</v>
      </c>
      <c r="G35">
        <f>((E35-I35)/I35)*100</f>
        <v>-7.4244657332350696</v>
      </c>
      <c r="H35" s="14" t="s">
        <v>196</v>
      </c>
      <c r="I35" s="16">
        <v>1085.5999999999999</v>
      </c>
      <c r="M35" t="str">
        <f>IF(COUNTIFS( $B$2:$B$976, B35, $C$2:$C$976, C35, $D$2:$D$976, D35, $E$2:$E$976, E35) &gt; 1, "Duplicate", "Unique")</f>
        <v>Unique</v>
      </c>
    </row>
    <row r="36" spans="1:13" ht="15" hidden="1" thickBot="1" x14ac:dyDescent="0.4">
      <c r="A36" t="s">
        <v>95</v>
      </c>
      <c r="B36" t="s">
        <v>13</v>
      </c>
      <c r="C36" t="s">
        <v>8</v>
      </c>
      <c r="D36">
        <v>30</v>
      </c>
      <c r="E36">
        <v>860</v>
      </c>
      <c r="F36" t="s">
        <v>9</v>
      </c>
      <c r="G36">
        <f>((E36-I36)/I36)*100</f>
        <v>-7.3425631632817945</v>
      </c>
      <c r="H36" s="14" t="s">
        <v>156</v>
      </c>
      <c r="I36" s="16">
        <v>928.15</v>
      </c>
      <c r="M36" t="str">
        <f>IF(COUNTIFS( $B$2:$B$976, B36, $C$2:$C$976, C36, $D$2:$D$976, D36, $E$2:$E$976, E36) &gt; 1, "Duplicate", "Unique")</f>
        <v>Unique</v>
      </c>
    </row>
    <row r="37" spans="1:13" ht="15" hidden="1" thickBot="1" x14ac:dyDescent="0.4">
      <c r="A37" s="1">
        <v>46238.635567129626</v>
      </c>
      <c r="B37" s="2" t="s">
        <v>64</v>
      </c>
      <c r="C37" s="2" t="s">
        <v>8</v>
      </c>
      <c r="D37" s="3">
        <v>5</v>
      </c>
      <c r="E37" s="3">
        <v>812</v>
      </c>
      <c r="F37" s="2" t="s">
        <v>9</v>
      </c>
      <c r="G37">
        <f>((E37-I37)/I37)*100</f>
        <v>-7.3059360730593603</v>
      </c>
      <c r="H37" s="14" t="s">
        <v>186</v>
      </c>
      <c r="I37" s="16">
        <v>876</v>
      </c>
      <c r="M37" t="str">
        <f>IF(COUNTIFS( $B$2:$B$976, B37, $C$2:$C$976, C37, $D$2:$D$976, D37, $E$2:$E$976, E37) &gt; 1, "Duplicate", "Unique")</f>
        <v>Unique</v>
      </c>
    </row>
    <row r="38" spans="1:13" ht="15" hidden="1" thickBot="1" x14ac:dyDescent="0.4">
      <c r="A38" t="s">
        <v>6</v>
      </c>
      <c r="B38" t="s">
        <v>39</v>
      </c>
      <c r="C38" t="s">
        <v>8</v>
      </c>
      <c r="D38">
        <v>20</v>
      </c>
      <c r="E38">
        <v>286</v>
      </c>
      <c r="F38" t="s">
        <v>9</v>
      </c>
      <c r="G38">
        <f>((E38-I38)/I38)*100</f>
        <v>-7.2632944228274905</v>
      </c>
      <c r="H38" s="14" t="s">
        <v>172</v>
      </c>
      <c r="I38" s="16">
        <v>308.39999999999998</v>
      </c>
      <c r="M38" t="str">
        <f>IF(COUNTIFS( $B$2:$B$976, B38, $C$2:$C$976, C38, $D$2:$D$976, D38, $E$2:$E$976, E38) &gt; 1, "Duplicate", "Unique")</f>
        <v>Unique</v>
      </c>
    </row>
    <row r="39" spans="1:13" ht="15" hidden="1" thickBot="1" x14ac:dyDescent="0.4">
      <c r="A39" t="s">
        <v>61</v>
      </c>
      <c r="B39" t="s">
        <v>63</v>
      </c>
      <c r="C39" t="s">
        <v>8</v>
      </c>
      <c r="D39">
        <v>5</v>
      </c>
      <c r="E39">
        <v>2888</v>
      </c>
      <c r="F39" t="s">
        <v>9</v>
      </c>
      <c r="G39">
        <f>((E39-I39)/I39)*100</f>
        <v>-7.0515915162048177</v>
      </c>
      <c r="H39" s="14" t="s">
        <v>185</v>
      </c>
      <c r="I39" s="16">
        <v>3107.1</v>
      </c>
      <c r="M39" t="str">
        <f>IF(COUNTIFS( $B$2:$B$976, B39, $C$2:$C$976, C39, $D$2:$D$976, D39, $E$2:$E$976, E39) &gt; 1, "Duplicate", "Unique")</f>
        <v>Unique</v>
      </c>
    </row>
    <row r="40" spans="1:13" ht="15" hidden="1" thickBot="1" x14ac:dyDescent="0.4">
      <c r="A40" t="s">
        <v>102</v>
      </c>
      <c r="B40" t="s">
        <v>38</v>
      </c>
      <c r="C40" t="s">
        <v>8</v>
      </c>
      <c r="D40">
        <v>100</v>
      </c>
      <c r="E40">
        <v>335</v>
      </c>
      <c r="F40" t="s">
        <v>9</v>
      </c>
      <c r="G40">
        <f>((E40-I40)/I40)*100</f>
        <v>-6.9444444444444446</v>
      </c>
      <c r="H40" s="14" t="s">
        <v>171</v>
      </c>
      <c r="I40" s="16">
        <v>360</v>
      </c>
      <c r="M40" t="str">
        <f>IF(COUNTIFS( $B$2:$B$976, B40, $C$2:$C$976, C40, $D$2:$D$976, D40, $E$2:$E$976, E40) &gt; 1, "Duplicate", "Unique")</f>
        <v>Unique</v>
      </c>
    </row>
    <row r="41" spans="1:13" ht="15" hidden="1" thickBot="1" x14ac:dyDescent="0.4">
      <c r="A41" t="s">
        <v>21</v>
      </c>
      <c r="B41" t="s">
        <v>32</v>
      </c>
      <c r="C41" t="s">
        <v>8</v>
      </c>
      <c r="D41">
        <v>5</v>
      </c>
      <c r="E41">
        <v>1614</v>
      </c>
      <c r="F41" t="s">
        <v>9</v>
      </c>
      <c r="G41">
        <f>((E41-I41)/I41)*100</f>
        <v>-6.8667051356030004</v>
      </c>
      <c r="H41" s="14" t="s">
        <v>168</v>
      </c>
      <c r="I41" s="16">
        <v>1733</v>
      </c>
      <c r="M41" t="str">
        <f>IF(COUNTIFS( $B$2:$B$976, B41, $C$2:$C$976, C41, $D$2:$D$976, D41, $E$2:$E$976, E41) &gt; 1, "Duplicate", "Unique")</f>
        <v>Unique</v>
      </c>
    </row>
    <row r="42" spans="1:13" ht="15" hidden="1" thickBot="1" x14ac:dyDescent="0.4">
      <c r="A42" t="s">
        <v>105</v>
      </c>
      <c r="B42" t="s">
        <v>24</v>
      </c>
      <c r="C42" t="s">
        <v>8</v>
      </c>
      <c r="D42">
        <v>5</v>
      </c>
      <c r="E42">
        <v>560</v>
      </c>
      <c r="F42" t="s">
        <v>9</v>
      </c>
      <c r="G42">
        <f>((E42-I42)/I42)*100</f>
        <v>-6.666666666666667</v>
      </c>
      <c r="H42" s="14" t="s">
        <v>162</v>
      </c>
      <c r="I42" s="16">
        <v>600</v>
      </c>
      <c r="M42" t="str">
        <f>IF(COUNTIFS( $B$2:$B$976, B42, $C$2:$C$976, C42, $D$2:$D$976, D42, $E$2:$E$976, E42) &gt; 1, "Duplicate", "Unique")</f>
        <v>Unique</v>
      </c>
    </row>
    <row r="43" spans="1:13" ht="15" hidden="1" thickBot="1" x14ac:dyDescent="0.4">
      <c r="A43" s="1">
        <v>46237.635555555556</v>
      </c>
      <c r="B43" s="2" t="s">
        <v>77</v>
      </c>
      <c r="C43" s="2" t="s">
        <v>8</v>
      </c>
      <c r="D43" s="3">
        <v>1</v>
      </c>
      <c r="E43" s="3">
        <v>4110</v>
      </c>
      <c r="F43" s="2" t="s">
        <v>9</v>
      </c>
      <c r="G43">
        <f>((E43-I43)/I43)*100</f>
        <v>-6.5951547656924649</v>
      </c>
      <c r="H43" s="14" t="s">
        <v>197</v>
      </c>
      <c r="I43" s="16">
        <v>4400.2</v>
      </c>
      <c r="M43" t="str">
        <f>IF(COUNTIFS( $B$2:$B$976, B43, $C$2:$C$976, C43, $D$2:$D$976, D43, $E$2:$E$976, E43) &gt; 1, "Duplicate", "Unique")</f>
        <v>Unique</v>
      </c>
    </row>
    <row r="44" spans="1:13" ht="15" hidden="1" thickBot="1" x14ac:dyDescent="0.4">
      <c r="A44" s="1">
        <v>46237.635520833333</v>
      </c>
      <c r="B44" s="2" t="s">
        <v>50</v>
      </c>
      <c r="C44" s="2" t="s">
        <v>8</v>
      </c>
      <c r="D44" s="3">
        <v>20</v>
      </c>
      <c r="E44" s="3">
        <v>220.1</v>
      </c>
      <c r="F44" s="2" t="s">
        <v>9</v>
      </c>
      <c r="G44">
        <f>((E44-I44)/I44)*100</f>
        <v>-6.4200680272108821</v>
      </c>
      <c r="H44" s="14" t="s">
        <v>182</v>
      </c>
      <c r="I44" s="16">
        <v>235.2</v>
      </c>
      <c r="M44" t="str">
        <f>IF(COUNTIFS( $B$2:$B$976, B44, $C$2:$C$976, C44, $D$2:$D$976, D44, $E$2:$E$976, E44) &gt; 1, "Duplicate", "Unique")</f>
        <v>Unique</v>
      </c>
    </row>
    <row r="45" spans="1:13" ht="15" hidden="1" thickBot="1" x14ac:dyDescent="0.4">
      <c r="A45" t="s">
        <v>14</v>
      </c>
      <c r="B45" t="s">
        <v>15</v>
      </c>
      <c r="C45" t="s">
        <v>8</v>
      </c>
      <c r="D45">
        <v>30</v>
      </c>
      <c r="E45">
        <v>2435</v>
      </c>
      <c r="F45" t="s">
        <v>9</v>
      </c>
      <c r="G45">
        <f>((E45-I45)/I45)*100</f>
        <v>-6.4181398923904691</v>
      </c>
      <c r="H45" s="14" t="s">
        <v>157</v>
      </c>
      <c r="I45" s="16">
        <v>2602</v>
      </c>
      <c r="M45" t="str">
        <f>IF(COUNTIFS( $B$2:$B$976, B45, $C$2:$C$976, C45, $D$2:$D$976, D45, $E$2:$E$976, E45) &gt; 1, "Duplicate", "Unique")</f>
        <v>Unique</v>
      </c>
    </row>
    <row r="46" spans="1:13" ht="15" hidden="1" thickBot="1" x14ac:dyDescent="0.4">
      <c r="A46" t="s">
        <v>33</v>
      </c>
      <c r="B46" t="s">
        <v>34</v>
      </c>
      <c r="C46" t="s">
        <v>8</v>
      </c>
      <c r="D46">
        <v>5</v>
      </c>
      <c r="E46">
        <v>640</v>
      </c>
      <c r="F46" t="s">
        <v>9</v>
      </c>
      <c r="G46">
        <f>((E46-I46)/I46)*100</f>
        <v>-6.3916922626883199</v>
      </c>
      <c r="H46" s="14" t="s">
        <v>169</v>
      </c>
      <c r="I46" s="16">
        <v>683.7</v>
      </c>
      <c r="M46" t="str">
        <f>IF(COUNTIFS( $B$2:$B$976, B46, $C$2:$C$976, C46, $D$2:$D$976, D46, $E$2:$E$976, E46) &gt; 1, "Duplicate", "Unique")</f>
        <v>Unique</v>
      </c>
    </row>
    <row r="47" spans="1:13" ht="15" hidden="1" thickBot="1" x14ac:dyDescent="0.4">
      <c r="A47" t="s">
        <v>103</v>
      </c>
      <c r="B47" t="s">
        <v>34</v>
      </c>
      <c r="C47" t="s">
        <v>8</v>
      </c>
      <c r="D47">
        <v>30</v>
      </c>
      <c r="E47">
        <v>640</v>
      </c>
      <c r="F47" t="s">
        <v>9</v>
      </c>
      <c r="G47">
        <f>((E47-I47)/I47)*100</f>
        <v>-6.3916922626883199</v>
      </c>
      <c r="H47" s="14" t="s">
        <v>169</v>
      </c>
      <c r="I47" s="16">
        <v>683.7</v>
      </c>
      <c r="M47" t="str">
        <f>IF(COUNTIFS( $B$2:$B$976, B47, $C$2:$C$976, C47, $D$2:$D$976, D47, $E$2:$E$976, E47) &gt; 1, "Duplicate", "Unique")</f>
        <v>Unique</v>
      </c>
    </row>
    <row r="48" spans="1:13" ht="15" hidden="1" thickBot="1" x14ac:dyDescent="0.4">
      <c r="A48" t="s">
        <v>102</v>
      </c>
      <c r="B48" t="s">
        <v>38</v>
      </c>
      <c r="C48" t="s">
        <v>8</v>
      </c>
      <c r="D48">
        <v>100</v>
      </c>
      <c r="E48">
        <v>337</v>
      </c>
      <c r="F48" t="s">
        <v>9</v>
      </c>
      <c r="G48">
        <f>((E48-I48)/I48)*100</f>
        <v>-6.3888888888888884</v>
      </c>
      <c r="H48" s="14" t="s">
        <v>171</v>
      </c>
      <c r="I48" s="16">
        <v>360</v>
      </c>
      <c r="M48" t="str">
        <f>IF(COUNTIFS( $B$2:$B$976, B48, $C$2:$C$976, C48, $D$2:$D$976, D48, $E$2:$E$976, E48) &gt; 1, "Duplicate", "Unique")</f>
        <v>Unique</v>
      </c>
    </row>
    <row r="49" spans="1:13" ht="15" hidden="1" thickBot="1" x14ac:dyDescent="0.4">
      <c r="A49" t="s">
        <v>51</v>
      </c>
      <c r="B49" t="s">
        <v>58</v>
      </c>
      <c r="C49" t="s">
        <v>8</v>
      </c>
      <c r="D49">
        <v>8</v>
      </c>
      <c r="E49">
        <v>2370</v>
      </c>
      <c r="F49" t="s">
        <v>9</v>
      </c>
      <c r="G49">
        <f>((E49-I49)/I49)*100</f>
        <v>-6.3611220861319637</v>
      </c>
      <c r="H49" s="14" t="s">
        <v>181</v>
      </c>
      <c r="I49" s="16">
        <v>2531</v>
      </c>
      <c r="M49" t="str">
        <f>IF(COUNTIFS( $B$2:$B$976, B49, $C$2:$C$976, C49, $D$2:$D$976, D49, $E$2:$E$976, E49) &gt; 1, "Duplicate", "Unique")</f>
        <v>Unique</v>
      </c>
    </row>
    <row r="50" spans="1:13" ht="15" hidden="1" thickBot="1" x14ac:dyDescent="0.4">
      <c r="A50" s="1">
        <v>46233.688194444447</v>
      </c>
      <c r="B50" s="2" t="s">
        <v>78</v>
      </c>
      <c r="C50" s="2" t="s">
        <v>8</v>
      </c>
      <c r="D50" s="3">
        <v>3</v>
      </c>
      <c r="E50" s="3">
        <v>3810</v>
      </c>
      <c r="F50" s="2" t="s">
        <v>9</v>
      </c>
      <c r="G50">
        <f>((E50-I50)/I50)*100</f>
        <v>-6.1992220197941847</v>
      </c>
      <c r="H50" s="14" t="s">
        <v>198</v>
      </c>
      <c r="I50" s="16">
        <v>4061.8</v>
      </c>
      <c r="M50" t="str">
        <f>IF(COUNTIFS( $B$2:$B$976, B50, $C$2:$C$976, C50, $D$2:$D$976, D50, $E$2:$E$976, E50) &gt; 1, "Duplicate", "Unique")</f>
        <v>Unique</v>
      </c>
    </row>
    <row r="51" spans="1:13" ht="15" hidden="1" thickBot="1" x14ac:dyDescent="0.4">
      <c r="A51" t="s">
        <v>57</v>
      </c>
      <c r="B51" t="s">
        <v>72</v>
      </c>
      <c r="C51" t="s">
        <v>8</v>
      </c>
      <c r="D51">
        <v>1</v>
      </c>
      <c r="E51">
        <v>4640</v>
      </c>
      <c r="F51" t="s">
        <v>9</v>
      </c>
      <c r="G51">
        <f>((E51-I51)/I51)*100</f>
        <v>-5.9586542359140653</v>
      </c>
      <c r="H51" s="14" t="s">
        <v>192</v>
      </c>
      <c r="I51" s="16">
        <v>4934</v>
      </c>
      <c r="M51" t="str">
        <f>IF(COUNTIFS( $B$2:$B$976, B51, $C$2:$C$976, C51, $D$2:$D$976, D51, $E$2:$E$976, E51) &gt; 1, "Duplicate", "Unique")</f>
        <v>Unique</v>
      </c>
    </row>
    <row r="52" spans="1:13" ht="15" hidden="1" thickBot="1" x14ac:dyDescent="0.4">
      <c r="A52" t="s">
        <v>21</v>
      </c>
      <c r="B52" t="s">
        <v>26</v>
      </c>
      <c r="C52" t="s">
        <v>8</v>
      </c>
      <c r="D52">
        <v>50</v>
      </c>
      <c r="E52">
        <v>202</v>
      </c>
      <c r="F52" t="s">
        <v>9</v>
      </c>
      <c r="G52">
        <f>((E52-I52)/I52)*100</f>
        <v>-5.7616048518777676</v>
      </c>
      <c r="H52" s="14" t="s">
        <v>164</v>
      </c>
      <c r="I52" s="16">
        <v>214.35</v>
      </c>
      <c r="M52" t="str">
        <f>IF(COUNTIFS( $B$2:$B$976, B52, $C$2:$C$976, C52, $D$2:$D$976, D52, $E$2:$E$976, E52) &gt; 1, "Duplicate", "Unique")</f>
        <v>Unique</v>
      </c>
    </row>
    <row r="53" spans="1:13" ht="15" hidden="1" thickBot="1" x14ac:dyDescent="0.4">
      <c r="A53" s="1">
        <v>46237.63553240741</v>
      </c>
      <c r="B53" s="2" t="s">
        <v>78</v>
      </c>
      <c r="C53" s="2" t="s">
        <v>8</v>
      </c>
      <c r="D53" s="3">
        <v>2</v>
      </c>
      <c r="E53" s="3">
        <v>3830</v>
      </c>
      <c r="F53" s="2" t="s">
        <v>9</v>
      </c>
      <c r="G53">
        <f>((E53-I53)/I53)*100</f>
        <v>-5.7068294844650191</v>
      </c>
      <c r="H53" s="14" t="s">
        <v>198</v>
      </c>
      <c r="I53" s="16">
        <v>4061.8</v>
      </c>
      <c r="M53" t="str">
        <f>IF(COUNTIFS( $B$2:$B$976, B53, $C$2:$C$976, C53, $D$2:$D$976, D53, $E$2:$E$976, E53) &gt; 1, "Duplicate", "Unique")</f>
        <v>Unique</v>
      </c>
    </row>
    <row r="54" spans="1:13" ht="15" hidden="1" thickBot="1" x14ac:dyDescent="0.4">
      <c r="A54" t="s">
        <v>57</v>
      </c>
      <c r="B54" t="s">
        <v>82</v>
      </c>
      <c r="C54" t="s">
        <v>8</v>
      </c>
      <c r="D54">
        <v>30</v>
      </c>
      <c r="E54">
        <v>1007</v>
      </c>
      <c r="F54" t="s">
        <v>9</v>
      </c>
      <c r="G54">
        <f>((E54-I54)/I54)*100</f>
        <v>-5.6674473067915692</v>
      </c>
      <c r="H54" s="14" t="s">
        <v>200</v>
      </c>
      <c r="I54" s="16">
        <v>1067.5</v>
      </c>
      <c r="M54" t="str">
        <f>IF(COUNTIFS( $B$2:$B$976, B54, $C$2:$C$976, C54, $D$2:$D$976, D54, $E$2:$E$976, E54) &gt; 1, "Duplicate", "Unique")</f>
        <v>Unique</v>
      </c>
    </row>
    <row r="55" spans="1:13" ht="26.5" hidden="1" thickBot="1" x14ac:dyDescent="0.4">
      <c r="A55" t="s">
        <v>12</v>
      </c>
      <c r="B55" t="s">
        <v>40</v>
      </c>
      <c r="C55" t="s">
        <v>8</v>
      </c>
      <c r="D55">
        <v>40</v>
      </c>
      <c r="E55">
        <v>426</v>
      </c>
      <c r="F55" t="s">
        <v>9</v>
      </c>
      <c r="G55">
        <f>((E55-I55)/I55)*100</f>
        <v>-5.5851063829787213</v>
      </c>
      <c r="H55" s="14" t="s">
        <v>173</v>
      </c>
      <c r="I55" s="16">
        <v>451.2</v>
      </c>
      <c r="M55" t="str">
        <f>IF(COUNTIFS( $B$2:$B$976, B55, $C$2:$C$976, C55, $D$2:$D$976, D55, $E$2:$E$976, E55) &gt; 1, "Duplicate", "Unique")</f>
        <v>Unique</v>
      </c>
    </row>
    <row r="56" spans="1:13" ht="15" hidden="1" thickBot="1" x14ac:dyDescent="0.4">
      <c r="A56" t="s">
        <v>17</v>
      </c>
      <c r="B56" t="s">
        <v>25</v>
      </c>
      <c r="C56" t="s">
        <v>8</v>
      </c>
      <c r="D56">
        <v>25</v>
      </c>
      <c r="E56">
        <v>190.1</v>
      </c>
      <c r="F56" t="s">
        <v>9</v>
      </c>
      <c r="G56">
        <f>((E56-I56)/I56)*100</f>
        <v>-5.5403726708074563</v>
      </c>
      <c r="H56" s="14" t="s">
        <v>163</v>
      </c>
      <c r="I56" s="16">
        <v>201.25</v>
      </c>
      <c r="M56" t="str">
        <f>IF(COUNTIFS( $B$2:$B$976, B56, $C$2:$C$976, C56, $D$2:$D$976, D56, $E$2:$E$976, E56) &gt; 1, "Duplicate", "Unique")</f>
        <v>Unique</v>
      </c>
    </row>
    <row r="57" spans="1:13" ht="15" hidden="1" thickBot="1" x14ac:dyDescent="0.4">
      <c r="A57" t="s">
        <v>33</v>
      </c>
      <c r="B57" t="s">
        <v>38</v>
      </c>
      <c r="C57" t="s">
        <v>8</v>
      </c>
      <c r="D57">
        <v>100</v>
      </c>
      <c r="E57">
        <v>340.2</v>
      </c>
      <c r="F57" t="s">
        <v>9</v>
      </c>
      <c r="G57">
        <f>((E57-I57)/I57)*100</f>
        <v>-5.5000000000000036</v>
      </c>
      <c r="H57" s="14" t="s">
        <v>171</v>
      </c>
      <c r="I57" s="16">
        <v>360</v>
      </c>
      <c r="M57" t="str">
        <f>IF(COUNTIFS( $B$2:$B$976, B57, $C$2:$C$976, C57, $D$2:$D$976, D57, $E$2:$E$976, E57) &gt; 1, "Duplicate", "Unique")</f>
        <v>Unique</v>
      </c>
    </row>
    <row r="58" spans="1:13" ht="15" hidden="1" thickBot="1" x14ac:dyDescent="0.4">
      <c r="A58" t="s">
        <v>56</v>
      </c>
      <c r="B58" t="s">
        <v>55</v>
      </c>
      <c r="C58" t="s">
        <v>8</v>
      </c>
      <c r="D58">
        <v>10</v>
      </c>
      <c r="E58">
        <v>1410</v>
      </c>
      <c r="F58" t="s">
        <v>9</v>
      </c>
      <c r="G58">
        <f>((E58-I58)/I58)*100</f>
        <v>-5.4579589647311311</v>
      </c>
      <c r="H58" s="14" t="s">
        <v>180</v>
      </c>
      <c r="I58" s="16">
        <v>1491.4</v>
      </c>
      <c r="M58" t="str">
        <f>IF(COUNTIFS( $B$2:$B$976, B58, $C$2:$C$976, C58, $D$2:$D$976, D58, $E$2:$E$976, E58) &gt; 1, "Duplicate", "Unique")</f>
        <v>Unique</v>
      </c>
    </row>
    <row r="59" spans="1:13" ht="15" hidden="1" thickBot="1" x14ac:dyDescent="0.4">
      <c r="A59" t="s">
        <v>14</v>
      </c>
      <c r="B59" t="s">
        <v>15</v>
      </c>
      <c r="C59" t="s">
        <v>8</v>
      </c>
      <c r="D59">
        <v>30</v>
      </c>
      <c r="E59">
        <v>2460</v>
      </c>
      <c r="F59" t="s">
        <v>9</v>
      </c>
      <c r="G59">
        <f>((E59-I59)/I59)*100</f>
        <v>-5.4573405073020753</v>
      </c>
      <c r="H59" s="14" t="s">
        <v>157</v>
      </c>
      <c r="I59" s="16">
        <v>2602</v>
      </c>
      <c r="M59" t="str">
        <f>IF(COUNTIFS( $B$2:$B$976, B59, $C$2:$C$976, C59, $D$2:$D$976, D59, $E$2:$E$976, E59) &gt; 1, "Duplicate", "Unique")</f>
        <v>Unique</v>
      </c>
    </row>
    <row r="60" spans="1:13" ht="15" hidden="1" thickBot="1" x14ac:dyDescent="0.4">
      <c r="A60" t="s">
        <v>101</v>
      </c>
      <c r="B60" t="s">
        <v>46</v>
      </c>
      <c r="C60" t="s">
        <v>8</v>
      </c>
      <c r="D60">
        <v>40</v>
      </c>
      <c r="E60">
        <v>878</v>
      </c>
      <c r="F60" t="s">
        <v>9</v>
      </c>
      <c r="G60">
        <f>((E60-I60)/I60)*100</f>
        <v>-5.4541538792871354</v>
      </c>
      <c r="H60" s="14" t="s">
        <v>176</v>
      </c>
      <c r="I60" s="16">
        <v>928.65</v>
      </c>
      <c r="M60" t="str">
        <f>IF(COUNTIFS( $B$2:$B$976, B60, $C$2:$C$976, C60, $D$2:$D$976, D60, $E$2:$E$976, E60) &gt; 1, "Duplicate", "Unique")</f>
        <v>Unique</v>
      </c>
    </row>
    <row r="61" spans="1:13" ht="15" hidden="1" thickBot="1" x14ac:dyDescent="0.4">
      <c r="A61" t="s">
        <v>61</v>
      </c>
      <c r="B61" t="s">
        <v>63</v>
      </c>
      <c r="C61" t="s">
        <v>8</v>
      </c>
      <c r="D61">
        <v>5</v>
      </c>
      <c r="E61">
        <v>2938</v>
      </c>
      <c r="F61" t="s">
        <v>9</v>
      </c>
      <c r="G61">
        <f>((E61-I61)/I61)*100</f>
        <v>-5.4423739178011621</v>
      </c>
      <c r="H61" s="14" t="s">
        <v>185</v>
      </c>
      <c r="I61" s="16">
        <v>3107.1</v>
      </c>
      <c r="M61" t="str">
        <f>IF(COUNTIFS( $B$2:$B$976, B61, $C$2:$C$976, C61, $D$2:$D$976, D61, $E$2:$E$976, E61) &gt; 1, "Duplicate", "Unique")</f>
        <v>Unique</v>
      </c>
    </row>
    <row r="62" spans="1:13" ht="15" hidden="1" thickBot="1" x14ac:dyDescent="0.4">
      <c r="A62" t="s">
        <v>17</v>
      </c>
      <c r="B62" t="s">
        <v>18</v>
      </c>
      <c r="C62" t="s">
        <v>8</v>
      </c>
      <c r="D62">
        <v>5</v>
      </c>
      <c r="E62">
        <v>366</v>
      </c>
      <c r="F62" t="s">
        <v>9</v>
      </c>
      <c r="G62">
        <f>((E62-I62)/I62)*100</f>
        <v>-5.4141361933066259</v>
      </c>
      <c r="H62" s="14" t="s">
        <v>158</v>
      </c>
      <c r="I62" s="16">
        <v>386.95</v>
      </c>
      <c r="M62" t="str">
        <f>IF(COUNTIFS( $B$2:$B$976, B62, $C$2:$C$976, C62, $D$2:$D$976, D62, $E$2:$E$976, E62) &gt; 1, "Duplicate", "Unique")</f>
        <v>Unique</v>
      </c>
    </row>
    <row r="63" spans="1:13" ht="15" hidden="1" thickBot="1" x14ac:dyDescent="0.4">
      <c r="A63" t="s">
        <v>57</v>
      </c>
      <c r="B63" t="s">
        <v>68</v>
      </c>
      <c r="C63" t="s">
        <v>8</v>
      </c>
      <c r="D63">
        <v>1</v>
      </c>
      <c r="E63">
        <v>17552</v>
      </c>
      <c r="F63" t="s">
        <v>9</v>
      </c>
      <c r="G63">
        <f>((E63-I63)/I63)*100</f>
        <v>-5.3034799028864308</v>
      </c>
      <c r="H63" s="14" t="s">
        <v>189</v>
      </c>
      <c r="I63" s="16">
        <v>18535</v>
      </c>
      <c r="M63" t="str">
        <f>IF(COUNTIFS( $B$2:$B$976, B63, $C$2:$C$976, C63, $D$2:$D$976, D63, $E$2:$E$976, E63) &gt; 1, "Duplicate", "Unique")</f>
        <v>Unique</v>
      </c>
    </row>
    <row r="64" spans="1:13" ht="15" hidden="1" thickBot="1" x14ac:dyDescent="0.4">
      <c r="A64" t="s">
        <v>51</v>
      </c>
      <c r="B64" t="s">
        <v>52</v>
      </c>
      <c r="C64" t="s">
        <v>8</v>
      </c>
      <c r="D64">
        <v>9</v>
      </c>
      <c r="E64">
        <v>2251</v>
      </c>
      <c r="F64" t="s">
        <v>9</v>
      </c>
      <c r="G64">
        <f>((E64-I64)/I64)*100</f>
        <v>-5.2170617710219416</v>
      </c>
      <c r="H64" s="14" t="s">
        <v>178</v>
      </c>
      <c r="I64" s="16">
        <v>2374.9</v>
      </c>
      <c r="M64" t="str">
        <f>IF(COUNTIFS( $B$2:$B$976, B64, $C$2:$C$976, C64, $D$2:$D$976, D64, $E$2:$E$976, E64) &gt; 1, "Duplicate", "Unique")</f>
        <v>Unique</v>
      </c>
    </row>
    <row r="65" spans="1:13" ht="15" hidden="1" thickBot="1" x14ac:dyDescent="0.4">
      <c r="A65" t="s">
        <v>61</v>
      </c>
      <c r="B65" t="s">
        <v>65</v>
      </c>
      <c r="C65" t="s">
        <v>8</v>
      </c>
      <c r="D65">
        <v>5</v>
      </c>
      <c r="E65">
        <v>1132</v>
      </c>
      <c r="F65" t="s">
        <v>9</v>
      </c>
      <c r="G65">
        <f>((E65-I65)/I65)*100</f>
        <v>-5.1688028817960996</v>
      </c>
      <c r="H65" s="14" t="s">
        <v>187</v>
      </c>
      <c r="I65" s="16">
        <v>1193.7</v>
      </c>
      <c r="M65" t="str">
        <f>IF(COUNTIFS( $B$2:$B$976, B65, $C$2:$C$976, C65, $D$2:$D$976, D65, $E$2:$E$976, E65) &gt; 1, "Duplicate", "Unique")</f>
        <v>Unique</v>
      </c>
    </row>
    <row r="66" spans="1:13" ht="15" hidden="1" thickBot="1" x14ac:dyDescent="0.4">
      <c r="A66" t="s">
        <v>14</v>
      </c>
      <c r="B66" t="s">
        <v>24</v>
      </c>
      <c r="C66" t="s">
        <v>8</v>
      </c>
      <c r="D66">
        <v>5</v>
      </c>
      <c r="E66">
        <v>569</v>
      </c>
      <c r="F66" t="s">
        <v>9</v>
      </c>
      <c r="G66">
        <f>((E66-I66)/I66)*100</f>
        <v>-5.166666666666667</v>
      </c>
      <c r="H66" s="14" t="s">
        <v>162</v>
      </c>
      <c r="I66" s="16">
        <v>600</v>
      </c>
      <c r="M66" t="str">
        <f>IF(COUNTIFS( $B$2:$B$976, B66, $C$2:$C$976, C66, $D$2:$D$976, D66, $E$2:$E$976, E66) &gt; 1, "Duplicate", "Unique")</f>
        <v>Unique</v>
      </c>
    </row>
    <row r="67" spans="1:13" ht="15" hidden="1" thickBot="1" x14ac:dyDescent="0.4">
      <c r="A67" t="s">
        <v>57</v>
      </c>
      <c r="B67" t="s">
        <v>58</v>
      </c>
      <c r="C67" t="s">
        <v>8</v>
      </c>
      <c r="D67">
        <v>7</v>
      </c>
      <c r="E67">
        <v>2401</v>
      </c>
      <c r="F67" t="s">
        <v>9</v>
      </c>
      <c r="G67">
        <f>((E67-I67)/I67)*100</f>
        <v>-5.136309758988542</v>
      </c>
      <c r="H67" s="14" t="s">
        <v>181</v>
      </c>
      <c r="I67" s="16">
        <v>2531</v>
      </c>
      <c r="M67" t="str">
        <f>IF(COUNTIFS( $B$2:$B$976, B67, $C$2:$C$976, C67, $D$2:$D$976, D67, $E$2:$E$976, E67) &gt; 1, "Duplicate", "Unique")</f>
        <v>Unique</v>
      </c>
    </row>
    <row r="68" spans="1:13" ht="15" hidden="1" thickBot="1" x14ac:dyDescent="0.4">
      <c r="A68" t="s">
        <v>57</v>
      </c>
      <c r="B68" t="s">
        <v>67</v>
      </c>
      <c r="C68" t="s">
        <v>8</v>
      </c>
      <c r="D68">
        <v>10</v>
      </c>
      <c r="E68">
        <v>1030</v>
      </c>
      <c r="F68" t="s">
        <v>9</v>
      </c>
      <c r="G68">
        <f>((E68-I68)/I68)*100</f>
        <v>-5.1215917464996235</v>
      </c>
      <c r="H68" s="14" t="s">
        <v>196</v>
      </c>
      <c r="I68" s="16">
        <v>1085.5999999999999</v>
      </c>
      <c r="M68" t="str">
        <f>IF(COUNTIFS( $B$2:$B$976, B68, $C$2:$C$976, C68, $D$2:$D$976, D68, $E$2:$E$976, E68) &gt; 1, "Duplicate", "Unique")</f>
        <v>Unique</v>
      </c>
    </row>
    <row r="69" spans="1:13" ht="15" hidden="1" thickBot="1" x14ac:dyDescent="0.4">
      <c r="A69" t="s">
        <v>14</v>
      </c>
      <c r="B69" t="s">
        <v>15</v>
      </c>
      <c r="C69" t="s">
        <v>8</v>
      </c>
      <c r="D69">
        <v>5</v>
      </c>
      <c r="E69">
        <v>2470</v>
      </c>
      <c r="F69" t="s">
        <v>9</v>
      </c>
      <c r="G69">
        <f>((E69-I69)/I69)*100</f>
        <v>-5.073020753266718</v>
      </c>
      <c r="H69" s="14" t="s">
        <v>157</v>
      </c>
      <c r="I69" s="16">
        <v>2602</v>
      </c>
      <c r="M69" t="str">
        <f>IF(COUNTIFS( $B$2:$B$976, B69, $C$2:$C$976, C69, $D$2:$D$976, D69, $E$2:$E$976, E69) &gt; 1, "Duplicate", "Unique")</f>
        <v>Unique</v>
      </c>
    </row>
    <row r="70" spans="1:13" ht="15" hidden="1" thickBot="1" x14ac:dyDescent="0.4">
      <c r="A70" s="1">
        <v>46237.63553240741</v>
      </c>
      <c r="B70" s="2" t="s">
        <v>78</v>
      </c>
      <c r="C70" s="2" t="s">
        <v>8</v>
      </c>
      <c r="D70" s="3">
        <v>2</v>
      </c>
      <c r="E70" s="3">
        <v>3856</v>
      </c>
      <c r="F70" s="2" t="s">
        <v>9</v>
      </c>
      <c r="G70">
        <f>((E70-I70)/I70)*100</f>
        <v>-5.0667191885371059</v>
      </c>
      <c r="H70" s="14" t="s">
        <v>198</v>
      </c>
      <c r="I70" s="16">
        <v>4061.8</v>
      </c>
      <c r="M70" t="str">
        <f>IF(COUNTIFS( $B$2:$B$976, B70, $C$2:$C$976, C70, $D$2:$D$976, D70, $E$2:$E$976, E70) &gt; 1, "Duplicate", "Unique")</f>
        <v>Unique</v>
      </c>
    </row>
    <row r="71" spans="1:13" ht="15" hidden="1" thickBot="1" x14ac:dyDescent="0.4">
      <c r="A71" t="s">
        <v>12</v>
      </c>
      <c r="B71" t="s">
        <v>13</v>
      </c>
      <c r="C71" t="s">
        <v>8</v>
      </c>
      <c r="D71">
        <v>11</v>
      </c>
      <c r="E71">
        <v>882</v>
      </c>
      <c r="F71" t="s">
        <v>9</v>
      </c>
      <c r="G71">
        <f>((E71-I71)/I71)*100</f>
        <v>-4.9722566395517944</v>
      </c>
      <c r="H71" s="14" t="s">
        <v>156</v>
      </c>
      <c r="I71" s="16">
        <v>928.15</v>
      </c>
      <c r="M71" t="str">
        <f>IF(COUNTIFS( $B$2:$B$976, B71, $C$2:$C$976, C71, $D$2:$D$976, D71, $E$2:$E$976, E71) &gt; 1, "Duplicate", "Unique")</f>
        <v>Unique</v>
      </c>
    </row>
    <row r="72" spans="1:13" ht="15" hidden="1" thickBot="1" x14ac:dyDescent="0.4">
      <c r="A72" t="s">
        <v>6</v>
      </c>
      <c r="B72" t="s">
        <v>7</v>
      </c>
      <c r="C72" t="s">
        <v>8</v>
      </c>
      <c r="D72">
        <v>25</v>
      </c>
      <c r="E72">
        <v>196</v>
      </c>
      <c r="F72" t="s">
        <v>9</v>
      </c>
      <c r="G72">
        <f>((E72-I72)/I72)*100</f>
        <v>-4.8543689320388346</v>
      </c>
      <c r="H72" s="14" t="s">
        <v>154</v>
      </c>
      <c r="I72" s="16">
        <v>206</v>
      </c>
      <c r="M72" t="str">
        <f>IF(COUNTIFS( $B$2:$B$976, B72, $C$2:$C$976, C72, $D$2:$D$976, D72, $E$2:$E$976, E72) &gt; 1, "Duplicate", "Unique")</f>
        <v>Unique</v>
      </c>
    </row>
    <row r="73" spans="1:13" ht="15" hidden="1" thickBot="1" x14ac:dyDescent="0.4">
      <c r="A73" t="s">
        <v>56</v>
      </c>
      <c r="B73" t="s">
        <v>55</v>
      </c>
      <c r="C73" t="s">
        <v>8</v>
      </c>
      <c r="D73">
        <v>10</v>
      </c>
      <c r="E73">
        <v>1420</v>
      </c>
      <c r="F73" t="s">
        <v>9</v>
      </c>
      <c r="G73">
        <f>((E73-I73)/I73)*100</f>
        <v>-4.7874480354029831</v>
      </c>
      <c r="H73" s="14" t="s">
        <v>180</v>
      </c>
      <c r="I73" s="16">
        <v>1491.4</v>
      </c>
      <c r="M73" t="str">
        <f>IF(COUNTIFS( $B$2:$B$976, B73, $C$2:$C$976, C73, $D$2:$D$976, D73, $E$2:$E$976, E73) &gt; 1, "Duplicate", "Unique")</f>
        <v>Unique</v>
      </c>
    </row>
    <row r="74" spans="1:13" ht="15" hidden="1" thickBot="1" x14ac:dyDescent="0.4">
      <c r="A74" t="s">
        <v>49</v>
      </c>
      <c r="B74" t="s">
        <v>66</v>
      </c>
      <c r="C74" t="s">
        <v>8</v>
      </c>
      <c r="D74">
        <v>10</v>
      </c>
      <c r="E74">
        <v>1166</v>
      </c>
      <c r="F74" t="s">
        <v>9</v>
      </c>
      <c r="G74">
        <f>((E74-I74)/I74)*100</f>
        <v>-4.738562091503268</v>
      </c>
      <c r="H74" s="14" t="s">
        <v>188</v>
      </c>
      <c r="I74" s="16">
        <v>1224</v>
      </c>
      <c r="M74" t="str">
        <f>IF(COUNTIFS( $B$2:$B$976, B74, $C$2:$C$976, C74, $D$2:$D$976, D74, $E$2:$E$976, E74) &gt; 1, "Duplicate", "Unique")</f>
        <v>Unique</v>
      </c>
    </row>
    <row r="75" spans="1:13" ht="15" hidden="1" thickBot="1" x14ac:dyDescent="0.4">
      <c r="A75" t="s">
        <v>27</v>
      </c>
      <c r="B75" t="s">
        <v>28</v>
      </c>
      <c r="C75" t="s">
        <v>8</v>
      </c>
      <c r="D75">
        <v>45</v>
      </c>
      <c r="E75">
        <v>136.15</v>
      </c>
      <c r="F75" t="s">
        <v>9</v>
      </c>
      <c r="G75">
        <f>((E75-I75)/I75)*100</f>
        <v>-4.7302498075711918</v>
      </c>
      <c r="H75" s="14" t="s">
        <v>165</v>
      </c>
      <c r="I75" s="16">
        <v>142.91</v>
      </c>
      <c r="M75" t="str">
        <f>IF(COUNTIFS( $B$2:$B$976, B75, $C$2:$C$976, C75, $D$2:$D$976, D75, $E$2:$E$976, E75) &gt; 1, "Duplicate", "Unique")</f>
        <v>Unique</v>
      </c>
    </row>
    <row r="76" spans="1:13" ht="15" hidden="1" thickBot="1" x14ac:dyDescent="0.4">
      <c r="A76" t="s">
        <v>56</v>
      </c>
      <c r="B76" t="s">
        <v>64</v>
      </c>
      <c r="C76" t="s">
        <v>8</v>
      </c>
      <c r="D76">
        <v>25</v>
      </c>
      <c r="E76">
        <v>836</v>
      </c>
      <c r="F76" t="s">
        <v>9</v>
      </c>
      <c r="G76">
        <f>((E76-I76)/I76)*100</f>
        <v>-4.5662100456620998</v>
      </c>
      <c r="H76" s="14" t="s">
        <v>186</v>
      </c>
      <c r="I76" s="16">
        <v>876</v>
      </c>
      <c r="M76" t="str">
        <f>IF(COUNTIFS( $B$2:$B$976, B76, $C$2:$C$976, C76, $D$2:$D$976, D76, $E$2:$E$976, E76) &gt; 1, "Duplicate", "Unique")</f>
        <v>Unique</v>
      </c>
    </row>
    <row r="77" spans="1:13" ht="15" hidden="1" thickBot="1" x14ac:dyDescent="0.4">
      <c r="A77" t="s">
        <v>45</v>
      </c>
      <c r="B77" t="s">
        <v>60</v>
      </c>
      <c r="C77" t="s">
        <v>8</v>
      </c>
      <c r="D77">
        <v>1</v>
      </c>
      <c r="E77">
        <v>13552</v>
      </c>
      <c r="F77" t="s">
        <v>9</v>
      </c>
      <c r="G77">
        <f>((E77-I77)/I77)*100</f>
        <v>-4.563380281690141</v>
      </c>
      <c r="H77" s="14" t="s">
        <v>183</v>
      </c>
      <c r="I77" s="16">
        <v>14200</v>
      </c>
      <c r="M77" t="str">
        <f>IF(COUNTIFS( $B$2:$B$976, B77, $C$2:$C$976, C77, $D$2:$D$976, D77, $E$2:$E$976, E77) &gt; 1, "Duplicate", "Unique")</f>
        <v>Unique</v>
      </c>
    </row>
    <row r="78" spans="1:13" ht="15" hidden="1" thickBot="1" x14ac:dyDescent="0.4">
      <c r="A78" t="s">
        <v>33</v>
      </c>
      <c r="B78" t="s">
        <v>38</v>
      </c>
      <c r="C78" t="s">
        <v>8</v>
      </c>
      <c r="D78">
        <v>50</v>
      </c>
      <c r="E78">
        <v>344</v>
      </c>
      <c r="F78" t="s">
        <v>9</v>
      </c>
      <c r="G78">
        <f>((E78-I78)/I78)*100</f>
        <v>-4.4444444444444446</v>
      </c>
      <c r="H78" s="14" t="s">
        <v>171</v>
      </c>
      <c r="I78" s="16">
        <v>360</v>
      </c>
      <c r="M78" t="str">
        <f>IF(COUNTIFS( $B$2:$B$976, B78, $C$2:$C$976, C78, $D$2:$D$976, D78, $E$2:$E$976, E78) &gt; 1, "Duplicate", "Unique")</f>
        <v>Unique</v>
      </c>
    </row>
    <row r="79" spans="1:13" ht="15" hidden="1" thickBot="1" x14ac:dyDescent="0.4">
      <c r="A79" t="s">
        <v>61</v>
      </c>
      <c r="B79" t="s">
        <v>62</v>
      </c>
      <c r="C79" t="s">
        <v>8</v>
      </c>
      <c r="D79">
        <v>25</v>
      </c>
      <c r="E79">
        <v>764</v>
      </c>
      <c r="F79" t="s">
        <v>9</v>
      </c>
      <c r="G79">
        <f>((E79-I79)/I79)*100</f>
        <v>-4.4342985802739436</v>
      </c>
      <c r="H79" s="14" t="s">
        <v>184</v>
      </c>
      <c r="I79" s="16">
        <v>799.45</v>
      </c>
      <c r="M79" t="str">
        <f>IF(COUNTIFS( $B$2:$B$976, B79, $C$2:$C$976, C79, $D$2:$D$976, D79, $E$2:$E$976, E79) &gt; 1, "Duplicate", "Unique")</f>
        <v>Unique</v>
      </c>
    </row>
    <row r="80" spans="1:13" ht="15" hidden="1" thickBot="1" x14ac:dyDescent="0.4">
      <c r="A80" t="s">
        <v>104</v>
      </c>
      <c r="B80" t="s">
        <v>77</v>
      </c>
      <c r="C80" t="s">
        <v>8</v>
      </c>
      <c r="D80">
        <v>1</v>
      </c>
      <c r="E80">
        <v>4206</v>
      </c>
      <c r="F80" t="s">
        <v>9</v>
      </c>
      <c r="G80">
        <f>((E80-I80)/I80)*100</f>
        <v>-4.4134357529203179</v>
      </c>
      <c r="H80" s="14" t="s">
        <v>197</v>
      </c>
      <c r="I80" s="16">
        <v>4400.2</v>
      </c>
      <c r="M80" t="str">
        <f>IF(COUNTIFS( $B$2:$B$976, B80, $C$2:$C$976, C80, $D$2:$D$976, D80, $E$2:$E$976, E80) &gt; 1, "Duplicate", "Unique")</f>
        <v>Unique</v>
      </c>
    </row>
    <row r="81" spans="1:13" ht="15" hidden="1" thickBot="1" x14ac:dyDescent="0.4">
      <c r="A81" s="1">
        <v>46233.688194444447</v>
      </c>
      <c r="B81" s="2" t="s">
        <v>69</v>
      </c>
      <c r="C81" s="2" t="s">
        <v>8</v>
      </c>
      <c r="D81" s="3">
        <v>5</v>
      </c>
      <c r="E81" s="3">
        <v>702</v>
      </c>
      <c r="F81" s="2" t="s">
        <v>9</v>
      </c>
      <c r="G81">
        <f>((E81-I81)/I81)*100</f>
        <v>-4.3466412317754433</v>
      </c>
      <c r="H81" s="14" t="s">
        <v>190</v>
      </c>
      <c r="I81" s="16">
        <v>733.9</v>
      </c>
      <c r="M81" t="str">
        <f>IF(COUNTIFS( $B$2:$B$976, B81, $C$2:$C$976, C81, $D$2:$D$976, D81, $E$2:$E$976, E81) &gt; 1, "Duplicate", "Unique")</f>
        <v>Unique</v>
      </c>
    </row>
    <row r="82" spans="1:13" ht="15" hidden="1" thickBot="1" x14ac:dyDescent="0.4">
      <c r="A82" t="s">
        <v>56</v>
      </c>
      <c r="B82" t="s">
        <v>64</v>
      </c>
      <c r="C82" t="s">
        <v>8</v>
      </c>
      <c r="D82">
        <v>5</v>
      </c>
      <c r="E82">
        <v>838</v>
      </c>
      <c r="F82" t="s">
        <v>9</v>
      </c>
      <c r="G82">
        <f>((E82-I82)/I82)*100</f>
        <v>-4.3378995433789953</v>
      </c>
      <c r="H82" s="14" t="s">
        <v>186</v>
      </c>
      <c r="I82" s="16">
        <v>876</v>
      </c>
      <c r="M82" t="str">
        <f>IF(COUNTIFS( $B$2:$B$976, B82, $C$2:$C$976, C82, $D$2:$D$976, D82, $E$2:$E$976, E82) &gt; 1, "Duplicate", "Unique")</f>
        <v>Unique</v>
      </c>
    </row>
    <row r="83" spans="1:13" ht="15" hidden="1" thickBot="1" x14ac:dyDescent="0.4">
      <c r="A83" t="s">
        <v>51</v>
      </c>
      <c r="B83" t="s">
        <v>65</v>
      </c>
      <c r="C83" t="s">
        <v>8</v>
      </c>
      <c r="D83">
        <v>5</v>
      </c>
      <c r="E83">
        <v>1142</v>
      </c>
      <c r="F83" t="s">
        <v>9</v>
      </c>
      <c r="G83">
        <f>((E83-I83)/I83)*100</f>
        <v>-4.3310714584904115</v>
      </c>
      <c r="H83" s="14" t="s">
        <v>187</v>
      </c>
      <c r="I83" s="16">
        <v>1193.7</v>
      </c>
      <c r="M83" t="str">
        <f>IF(COUNTIFS( $B$2:$B$976, B83, $C$2:$C$976, C83, $D$2:$D$976, D83, $E$2:$E$976, E83) &gt; 1, "Duplicate", "Unique")</f>
        <v>Unique</v>
      </c>
    </row>
    <row r="84" spans="1:13" ht="15" hidden="1" thickBot="1" x14ac:dyDescent="0.4">
      <c r="A84" t="s">
        <v>14</v>
      </c>
      <c r="B84" t="s">
        <v>15</v>
      </c>
      <c r="C84" t="s">
        <v>8</v>
      </c>
      <c r="D84">
        <v>5</v>
      </c>
      <c r="E84">
        <v>2490</v>
      </c>
      <c r="F84" t="s">
        <v>9</v>
      </c>
      <c r="G84">
        <f>((E84-I84)/I84)*100</f>
        <v>-4.3043812451960033</v>
      </c>
      <c r="H84" s="14" t="s">
        <v>157</v>
      </c>
      <c r="I84" s="16">
        <v>2602</v>
      </c>
      <c r="M84" t="str">
        <f>IF(COUNTIFS( $B$2:$B$976, B84, $C$2:$C$976, C84, $D$2:$D$976, D84, $E$2:$E$976, E84) &gt; 1, "Duplicate", "Unique")</f>
        <v>Unique</v>
      </c>
    </row>
    <row r="85" spans="1:13" ht="15" hidden="1" thickBot="1" x14ac:dyDescent="0.4">
      <c r="A85" s="1">
        <v>46238.64472222222</v>
      </c>
      <c r="B85" s="2" t="s">
        <v>78</v>
      </c>
      <c r="C85" s="2" t="s">
        <v>8</v>
      </c>
      <c r="D85" s="3">
        <v>5</v>
      </c>
      <c r="E85" s="3">
        <v>3888</v>
      </c>
      <c r="F85" s="2" t="s">
        <v>9</v>
      </c>
      <c r="G85">
        <f>((E85-I85)/I85)*100</f>
        <v>-4.2788911320104432</v>
      </c>
      <c r="H85" s="14" t="s">
        <v>198</v>
      </c>
      <c r="I85" s="16">
        <v>4061.8</v>
      </c>
      <c r="M85" t="str">
        <f>IF(COUNTIFS( $B$2:$B$976, B85, $C$2:$C$976, C85, $D$2:$D$976, D85, $E$2:$E$976, E85) &gt; 1, "Duplicate", "Unique")</f>
        <v>Unique</v>
      </c>
    </row>
    <row r="86" spans="1:13" ht="15" hidden="1" thickBot="1" x14ac:dyDescent="0.4">
      <c r="A86" t="s">
        <v>29</v>
      </c>
      <c r="B86" t="s">
        <v>30</v>
      </c>
      <c r="C86" t="s">
        <v>8</v>
      </c>
      <c r="D86">
        <v>500</v>
      </c>
      <c r="E86">
        <v>33.159999999999997</v>
      </c>
      <c r="F86" t="s">
        <v>9</v>
      </c>
      <c r="G86">
        <f>((E86-I86)/I86)*100</f>
        <v>-4.0786809372288211</v>
      </c>
      <c r="H86" s="14" t="s">
        <v>166</v>
      </c>
      <c r="I86" s="16">
        <v>34.57</v>
      </c>
      <c r="M86" t="str">
        <f>IF(COUNTIFS( $B$2:$B$976, B86, $C$2:$C$976, C86, $D$2:$D$976, D86, $E$2:$E$976, E86) &gt; 1, "Duplicate", "Unique")</f>
        <v>Unique</v>
      </c>
    </row>
    <row r="87" spans="1:13" ht="15" hidden="1" thickBot="1" x14ac:dyDescent="0.4">
      <c r="A87" t="s">
        <v>36</v>
      </c>
      <c r="B87" t="s">
        <v>39</v>
      </c>
      <c r="C87" t="s">
        <v>8</v>
      </c>
      <c r="D87">
        <v>20</v>
      </c>
      <c r="E87">
        <v>296</v>
      </c>
      <c r="F87" t="s">
        <v>9</v>
      </c>
      <c r="G87">
        <f>((E87-I87)/I87)*100</f>
        <v>-4.0207522697795</v>
      </c>
      <c r="H87" s="14" t="s">
        <v>172</v>
      </c>
      <c r="I87" s="16">
        <v>308.39999999999998</v>
      </c>
      <c r="M87" t="str">
        <f>IF(COUNTIFS( $B$2:$B$976, B87, $C$2:$C$976, C87, $D$2:$D$976, D87, $E$2:$E$976, E87) &gt; 1, "Duplicate", "Unique")</f>
        <v>Unique</v>
      </c>
    </row>
    <row r="88" spans="1:13" ht="15" hidden="1" thickBot="1" x14ac:dyDescent="0.4">
      <c r="A88" t="s">
        <v>56</v>
      </c>
      <c r="B88" t="s">
        <v>71</v>
      </c>
      <c r="C88" t="s">
        <v>8</v>
      </c>
      <c r="D88">
        <v>69</v>
      </c>
      <c r="E88">
        <v>1277</v>
      </c>
      <c r="F88" t="s">
        <v>9</v>
      </c>
      <c r="G88">
        <f>((E88-I88)/I88)*100</f>
        <v>-3.9127163280662152</v>
      </c>
      <c r="H88" s="14" t="s">
        <v>191</v>
      </c>
      <c r="I88" s="16">
        <v>1329</v>
      </c>
      <c r="M88" t="str">
        <f>IF(COUNTIFS( $B$2:$B$976, B88, $C$2:$C$976, C88, $D$2:$D$976, D88, $E$2:$E$976, E88) &gt; 1, "Duplicate", "Unique")</f>
        <v>Unique</v>
      </c>
    </row>
    <row r="89" spans="1:13" ht="15" hidden="1" thickBot="1" x14ac:dyDescent="0.4">
      <c r="A89" t="s">
        <v>35</v>
      </c>
      <c r="B89" t="s">
        <v>26</v>
      </c>
      <c r="C89" t="s">
        <v>8</v>
      </c>
      <c r="D89">
        <v>50</v>
      </c>
      <c r="E89">
        <v>206</v>
      </c>
      <c r="F89" t="s">
        <v>9</v>
      </c>
      <c r="G89">
        <f>((E89-I89)/I89)*100</f>
        <v>-3.8954980172614859</v>
      </c>
      <c r="H89" s="14" t="s">
        <v>164</v>
      </c>
      <c r="I89" s="16">
        <v>214.35</v>
      </c>
      <c r="M89" t="str">
        <f>IF(COUNTIFS( $B$2:$B$976, B89, $C$2:$C$976, C89, $D$2:$D$976, D89, $E$2:$E$976, E89) &gt; 1, "Duplicate", "Unique")</f>
        <v>Unique</v>
      </c>
    </row>
    <row r="90" spans="1:13" ht="15" hidden="1" thickBot="1" x14ac:dyDescent="0.4">
      <c r="A90" t="s">
        <v>21</v>
      </c>
      <c r="B90" t="s">
        <v>32</v>
      </c>
      <c r="C90" t="s">
        <v>8</v>
      </c>
      <c r="D90">
        <v>10</v>
      </c>
      <c r="E90">
        <v>1666</v>
      </c>
      <c r="F90" t="s">
        <v>9</v>
      </c>
      <c r="G90">
        <f>((E90-I90)/I90)*100</f>
        <v>-3.866128101557992</v>
      </c>
      <c r="H90" s="14" t="s">
        <v>168</v>
      </c>
      <c r="I90" s="16">
        <v>1733</v>
      </c>
      <c r="M90" t="str">
        <f>IF(COUNTIFS( $B$2:$B$976, B90, $C$2:$C$976, C90, $D$2:$D$976, D90, $E$2:$E$976, E90) &gt; 1, "Duplicate", "Unique")</f>
        <v>Unique</v>
      </c>
    </row>
    <row r="91" spans="1:13" ht="15" hidden="1" thickBot="1" x14ac:dyDescent="0.4">
      <c r="A91" t="s">
        <v>51</v>
      </c>
      <c r="B91" t="s">
        <v>53</v>
      </c>
      <c r="C91" t="s">
        <v>8</v>
      </c>
      <c r="D91">
        <v>10</v>
      </c>
      <c r="E91">
        <v>1251</v>
      </c>
      <c r="F91" t="s">
        <v>9</v>
      </c>
      <c r="G91">
        <f>((E91-I91)/I91)*100</f>
        <v>-3.695150115473441</v>
      </c>
      <c r="H91" s="14" t="s">
        <v>179</v>
      </c>
      <c r="I91" s="16">
        <v>1299</v>
      </c>
      <c r="M91" t="str">
        <f>IF(COUNTIFS( $B$2:$B$976, B91, $C$2:$C$976, C91, $D$2:$D$976, D91, $E$2:$E$976, E91) &gt; 1, "Duplicate", "Unique")</f>
        <v>Unique</v>
      </c>
    </row>
    <row r="92" spans="1:13" ht="15" hidden="1" thickBot="1" x14ac:dyDescent="0.4">
      <c r="A92" t="s">
        <v>61</v>
      </c>
      <c r="B92" t="s">
        <v>74</v>
      </c>
      <c r="C92" t="s">
        <v>8</v>
      </c>
      <c r="D92">
        <v>3</v>
      </c>
      <c r="E92">
        <v>3310</v>
      </c>
      <c r="F92" t="s">
        <v>9</v>
      </c>
      <c r="G92">
        <f>((E92-I92)/I92)*100</f>
        <v>-3.6390101892285296</v>
      </c>
      <c r="H92" s="14" t="s">
        <v>194</v>
      </c>
      <c r="I92" s="16">
        <v>3435</v>
      </c>
      <c r="M92" t="str">
        <f>IF(COUNTIFS( $B$2:$B$976, B92, $C$2:$C$976, C92, $D$2:$D$976, D92, $E$2:$E$976, E92) &gt; 1, "Duplicate", "Unique")</f>
        <v>Unique</v>
      </c>
    </row>
    <row r="93" spans="1:13" ht="15" hidden="1" thickBot="1" x14ac:dyDescent="0.4">
      <c r="A93" t="s">
        <v>14</v>
      </c>
      <c r="B93" t="s">
        <v>15</v>
      </c>
      <c r="C93" t="s">
        <v>8</v>
      </c>
      <c r="D93">
        <v>5</v>
      </c>
      <c r="E93">
        <v>2510</v>
      </c>
      <c r="F93" t="s">
        <v>9</v>
      </c>
      <c r="G93">
        <f>((E93-I93)/I93)*100</f>
        <v>-3.5357417371252886</v>
      </c>
      <c r="H93" s="14" t="s">
        <v>157</v>
      </c>
      <c r="I93" s="16">
        <v>2602</v>
      </c>
      <c r="M93" t="str">
        <f>IF(COUNTIFS( $B$2:$B$976, B93, $C$2:$C$976, C93, $D$2:$D$976, D93, $E$2:$E$976, E93) &gt; 1, "Duplicate", "Unique")</f>
        <v>Unique</v>
      </c>
    </row>
    <row r="94" spans="1:13" ht="15" hidden="1" thickBot="1" x14ac:dyDescent="0.4">
      <c r="A94" t="s">
        <v>51</v>
      </c>
      <c r="B94" t="s">
        <v>65</v>
      </c>
      <c r="C94" t="s">
        <v>8</v>
      </c>
      <c r="D94">
        <v>5</v>
      </c>
      <c r="E94">
        <v>1152</v>
      </c>
      <c r="F94" t="s">
        <v>9</v>
      </c>
      <c r="G94">
        <f>((E94-I94)/I94)*100</f>
        <v>-3.4933400351847235</v>
      </c>
      <c r="H94" s="14" t="s">
        <v>187</v>
      </c>
      <c r="I94" s="16">
        <v>1193.7</v>
      </c>
      <c r="M94" t="str">
        <f>IF(COUNTIFS( $B$2:$B$976, B94, $C$2:$C$976, C94, $D$2:$D$976, D94, $E$2:$E$976, E94) &gt; 1, "Duplicate", "Unique")</f>
        <v>Unique</v>
      </c>
    </row>
    <row r="95" spans="1:13" ht="15" hidden="1" thickBot="1" x14ac:dyDescent="0.4">
      <c r="A95" t="s">
        <v>33</v>
      </c>
      <c r="B95" t="s">
        <v>34</v>
      </c>
      <c r="C95" t="s">
        <v>8</v>
      </c>
      <c r="D95">
        <v>5</v>
      </c>
      <c r="E95">
        <v>660</v>
      </c>
      <c r="F95" t="s">
        <v>9</v>
      </c>
      <c r="G95">
        <f>((E95-I95)/I95)*100</f>
        <v>-3.46643264589733</v>
      </c>
      <c r="H95" s="14" t="s">
        <v>169</v>
      </c>
      <c r="I95" s="16">
        <v>683.7</v>
      </c>
      <c r="M95" t="str">
        <f>IF(COUNTIFS( $B$2:$B$976, B95, $C$2:$C$976, C95, $D$2:$D$976, D95, $E$2:$E$976, E95) &gt; 1, "Duplicate", "Unique")</f>
        <v>Unique</v>
      </c>
    </row>
    <row r="96" spans="1:13" ht="15" hidden="1" thickBot="1" x14ac:dyDescent="0.4">
      <c r="A96" t="s">
        <v>56</v>
      </c>
      <c r="B96" t="s">
        <v>55</v>
      </c>
      <c r="C96" t="s">
        <v>8</v>
      </c>
      <c r="D96">
        <v>10</v>
      </c>
      <c r="E96">
        <v>1440</v>
      </c>
      <c r="F96" t="s">
        <v>9</v>
      </c>
      <c r="G96">
        <f>((E96-I96)/I96)*100</f>
        <v>-3.4464261767466873</v>
      </c>
      <c r="H96" s="14" t="s">
        <v>180</v>
      </c>
      <c r="I96" s="16">
        <v>1491.4</v>
      </c>
      <c r="M96" t="str">
        <f>IF(COUNTIFS( $B$2:$B$976, B96, $C$2:$C$976, C96, $D$2:$D$976, D96, $E$2:$E$976, E96) &gt; 1, "Duplicate", "Unique")</f>
        <v>Unique</v>
      </c>
    </row>
    <row r="97" spans="1:13" ht="15" hidden="1" thickBot="1" x14ac:dyDescent="0.4">
      <c r="A97" t="s">
        <v>45</v>
      </c>
      <c r="B97" t="s">
        <v>46</v>
      </c>
      <c r="C97" t="s">
        <v>8</v>
      </c>
      <c r="D97">
        <v>40</v>
      </c>
      <c r="E97">
        <v>897</v>
      </c>
      <c r="F97" t="s">
        <v>9</v>
      </c>
      <c r="G97">
        <f>((E97-I97)/I97)*100</f>
        <v>-3.4081731545792255</v>
      </c>
      <c r="H97" s="14" t="s">
        <v>176</v>
      </c>
      <c r="I97" s="16">
        <v>928.65</v>
      </c>
      <c r="M97" t="str">
        <f>IF(COUNTIFS( $B$2:$B$976, B97, $C$2:$C$976, C97, $D$2:$D$976, D97, $E$2:$E$976, E97) &gt; 1, "Duplicate", "Unique")</f>
        <v>Unique</v>
      </c>
    </row>
    <row r="98" spans="1:13" ht="26.5" hidden="1" thickBot="1" x14ac:dyDescent="0.4">
      <c r="A98" t="s">
        <v>41</v>
      </c>
      <c r="B98" t="s">
        <v>40</v>
      </c>
      <c r="C98" t="s">
        <v>8</v>
      </c>
      <c r="D98">
        <v>40</v>
      </c>
      <c r="E98">
        <v>436</v>
      </c>
      <c r="F98" t="s">
        <v>9</v>
      </c>
      <c r="G98">
        <f>((E98-I98)/I98)*100</f>
        <v>-3.3687943262411322</v>
      </c>
      <c r="H98" s="14" t="s">
        <v>173</v>
      </c>
      <c r="I98" s="16">
        <v>451.2</v>
      </c>
      <c r="M98" t="str">
        <f>IF(COUNTIFS( $B$2:$B$976, B98, $C$2:$C$976, C98, $D$2:$D$976, D98, $E$2:$E$976, E98) &gt; 1, "Duplicate", "Unique")</f>
        <v>Unique</v>
      </c>
    </row>
    <row r="99" spans="1:13" ht="15" hidden="1" thickBot="1" x14ac:dyDescent="0.4">
      <c r="A99" t="s">
        <v>33</v>
      </c>
      <c r="B99" t="s">
        <v>38</v>
      </c>
      <c r="C99" t="s">
        <v>8</v>
      </c>
      <c r="D99">
        <v>50</v>
      </c>
      <c r="E99">
        <v>348</v>
      </c>
      <c r="F99" t="s">
        <v>9</v>
      </c>
      <c r="G99">
        <f>((E99-I99)/I99)*100</f>
        <v>-3.3333333333333335</v>
      </c>
      <c r="H99" s="14" t="s">
        <v>171</v>
      </c>
      <c r="I99" s="16">
        <v>360</v>
      </c>
      <c r="M99" t="str">
        <f>IF(COUNTIFS( $B$2:$B$976, B99, $C$2:$C$976, C99, $D$2:$D$976, D99, $E$2:$E$976, E99) &gt; 1, "Duplicate", "Unique")</f>
        <v>Unique</v>
      </c>
    </row>
    <row r="100" spans="1:13" ht="15" hidden="1" thickBot="1" x14ac:dyDescent="0.4">
      <c r="A100" t="s">
        <v>36</v>
      </c>
      <c r="B100" t="s">
        <v>37</v>
      </c>
      <c r="C100" t="s">
        <v>8</v>
      </c>
      <c r="D100">
        <v>150</v>
      </c>
      <c r="E100">
        <v>128</v>
      </c>
      <c r="F100" t="s">
        <v>9</v>
      </c>
      <c r="G100">
        <f>((E100-I100)/I100)*100</f>
        <v>-3.2867397053267808</v>
      </c>
      <c r="H100" s="14" t="s">
        <v>170</v>
      </c>
      <c r="I100" s="16">
        <v>132.35</v>
      </c>
      <c r="M100" t="str">
        <f>IF(COUNTIFS( $B$2:$B$976, B100, $C$2:$C$976, C100, $D$2:$D$976, D100, $E$2:$E$976, E100) &gt; 1, "Duplicate", "Unique")</f>
        <v>Unique</v>
      </c>
    </row>
    <row r="101" spans="1:13" ht="15" hidden="1" thickBot="1" x14ac:dyDescent="0.4">
      <c r="A101" t="s">
        <v>49</v>
      </c>
      <c r="B101" t="s">
        <v>50</v>
      </c>
      <c r="C101" t="s">
        <v>8</v>
      </c>
      <c r="D101">
        <v>200</v>
      </c>
      <c r="E101">
        <v>227.5</v>
      </c>
      <c r="F101" t="s">
        <v>9</v>
      </c>
      <c r="G101">
        <f>((E101-I101)/I101)*100</f>
        <v>-3.2738095238095193</v>
      </c>
      <c r="H101" s="14" t="s">
        <v>182</v>
      </c>
      <c r="I101" s="16">
        <v>235.2</v>
      </c>
      <c r="M101" t="str">
        <f>IF(COUNTIFS( $B$2:$B$976, B101, $C$2:$C$976, C101, $D$2:$D$976, D101, $E$2:$E$976, E101) &gt; 1, "Duplicate", "Unique")</f>
        <v>Unique</v>
      </c>
    </row>
    <row r="102" spans="1:13" ht="15" hidden="1" thickBot="1" x14ac:dyDescent="0.4">
      <c r="A102" s="1">
        <v>46238.63554398148</v>
      </c>
      <c r="B102" s="2" t="s">
        <v>81</v>
      </c>
      <c r="C102" s="2" t="s">
        <v>8</v>
      </c>
      <c r="D102" s="3">
        <v>2</v>
      </c>
      <c r="E102" s="3">
        <v>2552</v>
      </c>
      <c r="F102" s="2" t="s">
        <v>9</v>
      </c>
      <c r="G102">
        <f>((E102-I102)/I102)*100</f>
        <v>-3.0947408391873932</v>
      </c>
      <c r="H102" s="14" t="s">
        <v>199</v>
      </c>
      <c r="I102" s="16">
        <v>2633.5</v>
      </c>
      <c r="M102" t="str">
        <f>IF(COUNTIFS( $B$2:$B$976, B102, $C$2:$C$976, C102, $D$2:$D$976, D102, $E$2:$E$976, E102) &gt; 1, "Duplicate", "Unique")</f>
        <v>Unique</v>
      </c>
    </row>
    <row r="103" spans="1:13" ht="15" hidden="1" thickBot="1" x14ac:dyDescent="0.4">
      <c r="A103" t="s">
        <v>51</v>
      </c>
      <c r="B103" t="s">
        <v>73</v>
      </c>
      <c r="C103" t="s">
        <v>8</v>
      </c>
      <c r="D103">
        <v>2</v>
      </c>
      <c r="E103">
        <v>2460</v>
      </c>
      <c r="F103" t="s">
        <v>9</v>
      </c>
      <c r="G103">
        <f>((E103-I103)/I103)*100</f>
        <v>-3.077104921003897</v>
      </c>
      <c r="H103" s="14" t="s">
        <v>193</v>
      </c>
      <c r="I103" s="16">
        <v>2538.1</v>
      </c>
      <c r="M103" t="str">
        <f>IF(COUNTIFS( $B$2:$B$976, B103, $C$2:$C$976, C103, $D$2:$D$976, D103, $E$2:$E$976, E103) &gt; 1, "Duplicate", "Unique")</f>
        <v>Unique</v>
      </c>
    </row>
    <row r="104" spans="1:13" ht="15" hidden="1" thickBot="1" x14ac:dyDescent="0.4">
      <c r="A104" t="s">
        <v>57</v>
      </c>
      <c r="B104" t="s">
        <v>78</v>
      </c>
      <c r="C104" t="s">
        <v>8</v>
      </c>
      <c r="D104">
        <v>5</v>
      </c>
      <c r="E104">
        <v>3938</v>
      </c>
      <c r="F104" t="s">
        <v>9</v>
      </c>
      <c r="G104">
        <f>((E104-I104)/I104)*100</f>
        <v>-3.0479097936875319</v>
      </c>
      <c r="H104" s="14" t="s">
        <v>198</v>
      </c>
      <c r="I104" s="16">
        <v>4061.8</v>
      </c>
      <c r="M104" t="str">
        <f>IF(COUNTIFS( $B$2:$B$976, B104, $C$2:$C$976, C104, $D$2:$D$976, D104, $E$2:$E$976, E104) &gt; 1, "Duplicate", "Unique")</f>
        <v>Unique</v>
      </c>
    </row>
    <row r="105" spans="1:13" ht="15" hidden="1" thickBot="1" x14ac:dyDescent="0.4">
      <c r="A105" t="s">
        <v>57</v>
      </c>
      <c r="B105" t="s">
        <v>53</v>
      </c>
      <c r="C105" t="s">
        <v>8</v>
      </c>
      <c r="D105">
        <v>10</v>
      </c>
      <c r="E105">
        <v>1260</v>
      </c>
      <c r="F105" t="s">
        <v>9</v>
      </c>
      <c r="G105">
        <f>((E105-I105)/I105)*100</f>
        <v>-3.0023094688221708</v>
      </c>
      <c r="H105" s="14" t="s">
        <v>179</v>
      </c>
      <c r="I105" s="16">
        <v>1299</v>
      </c>
      <c r="M105" t="str">
        <f>IF(COUNTIFS( $B$2:$B$976, B105, $C$2:$C$976, C105, $D$2:$D$976, D105, $E$2:$E$976, E105) &gt; 1, "Duplicate", "Unique")</f>
        <v>Unique</v>
      </c>
    </row>
    <row r="106" spans="1:13" ht="15" hidden="1" thickBot="1" x14ac:dyDescent="0.4">
      <c r="A106" s="1">
        <v>46237.635567129626</v>
      </c>
      <c r="B106" s="2" t="s">
        <v>69</v>
      </c>
      <c r="C106" s="2" t="s">
        <v>8</v>
      </c>
      <c r="D106" s="3">
        <v>5</v>
      </c>
      <c r="E106" s="3">
        <v>712</v>
      </c>
      <c r="F106" s="2" t="s">
        <v>9</v>
      </c>
      <c r="G106">
        <f>((E106-I106)/I106)*100</f>
        <v>-2.9840577735386264</v>
      </c>
      <c r="H106" s="14" t="s">
        <v>190</v>
      </c>
      <c r="I106" s="16">
        <v>733.9</v>
      </c>
      <c r="M106" t="str">
        <f>IF(COUNTIFS( $B$2:$B$976, B106, $C$2:$C$976, C106, $D$2:$D$976, D106, $E$2:$E$976, E106) &gt; 1, "Duplicate", "Unique")</f>
        <v>Unique</v>
      </c>
    </row>
    <row r="107" spans="1:13" ht="15" hidden="1" thickBot="1" x14ac:dyDescent="0.4">
      <c r="A107" t="s">
        <v>56</v>
      </c>
      <c r="B107" t="s">
        <v>64</v>
      </c>
      <c r="C107" t="s">
        <v>8</v>
      </c>
      <c r="D107">
        <v>50</v>
      </c>
      <c r="E107">
        <v>850</v>
      </c>
      <c r="F107" t="s">
        <v>9</v>
      </c>
      <c r="G107">
        <f>((E107-I107)/I107)*100</f>
        <v>-2.968036529680365</v>
      </c>
      <c r="H107" s="14" t="s">
        <v>186</v>
      </c>
      <c r="I107" s="16">
        <v>876</v>
      </c>
      <c r="M107" t="str">
        <f>IF(COUNTIFS( $B$2:$B$976, B107, $C$2:$C$976, C107, $D$2:$D$976, D107, $E$2:$E$976, E107) &gt; 1, "Duplicate", "Unique")</f>
        <v>Unique</v>
      </c>
    </row>
    <row r="108" spans="1:13" ht="15" hidden="1" thickBot="1" x14ac:dyDescent="0.4">
      <c r="A108" t="s">
        <v>47</v>
      </c>
      <c r="B108" t="s">
        <v>66</v>
      </c>
      <c r="C108" t="s">
        <v>8</v>
      </c>
      <c r="D108">
        <v>5</v>
      </c>
      <c r="E108">
        <v>1188</v>
      </c>
      <c r="F108" t="s">
        <v>9</v>
      </c>
      <c r="G108">
        <f>((E108-I108)/I108)*100</f>
        <v>-2.9411764705882351</v>
      </c>
      <c r="H108" s="14" t="s">
        <v>188</v>
      </c>
      <c r="I108" s="16">
        <v>1224</v>
      </c>
      <c r="M108" t="str">
        <f>IF(COUNTIFS( $B$2:$B$976, B108, $C$2:$C$976, C108, $D$2:$D$976, D108, $E$2:$E$976, E108) &gt; 1, "Duplicate", "Unique")</f>
        <v>Unique</v>
      </c>
    </row>
    <row r="109" spans="1:13" ht="15" hidden="1" thickBot="1" x14ac:dyDescent="0.4">
      <c r="A109" t="s">
        <v>17</v>
      </c>
      <c r="B109" t="s">
        <v>31</v>
      </c>
      <c r="C109" t="s">
        <v>8</v>
      </c>
      <c r="D109">
        <v>50</v>
      </c>
      <c r="E109">
        <v>203.5</v>
      </c>
      <c r="F109" t="s">
        <v>9</v>
      </c>
      <c r="G109">
        <f>((E109-I109)/I109)*100</f>
        <v>-2.8175740210124189</v>
      </c>
      <c r="H109" s="14" t="s">
        <v>167</v>
      </c>
      <c r="I109" s="16">
        <v>209.4</v>
      </c>
      <c r="M109" t="str">
        <f>IF(COUNTIFS( $B$2:$B$976, B109, $C$2:$C$976, C109, $D$2:$D$976, D109, $E$2:$E$976, E109) &gt; 1, "Duplicate", "Unique")</f>
        <v>Unique</v>
      </c>
    </row>
    <row r="110" spans="1:13" ht="15" hidden="1" thickBot="1" x14ac:dyDescent="0.4">
      <c r="A110" t="s">
        <v>54</v>
      </c>
      <c r="B110" t="s">
        <v>81</v>
      </c>
      <c r="C110" t="s">
        <v>8</v>
      </c>
      <c r="D110">
        <v>2</v>
      </c>
      <c r="E110">
        <v>2560</v>
      </c>
      <c r="F110" t="s">
        <v>9</v>
      </c>
      <c r="G110">
        <f>((E110-I110)/I110)*100</f>
        <v>-2.790962597303968</v>
      </c>
      <c r="H110" s="14" t="s">
        <v>199</v>
      </c>
      <c r="I110" s="16">
        <v>2633.5</v>
      </c>
      <c r="M110" t="str">
        <f>IF(COUNTIFS( $B$2:$B$976, B110, $C$2:$C$976, C110, $D$2:$D$976, D110, $E$2:$E$976, E110) &gt; 1, "Duplicate", "Unique")</f>
        <v>Unique</v>
      </c>
    </row>
    <row r="111" spans="1:13" ht="15" hidden="1" thickBot="1" x14ac:dyDescent="0.4">
      <c r="A111" t="s">
        <v>76</v>
      </c>
      <c r="B111" t="s">
        <v>78</v>
      </c>
      <c r="C111" t="s">
        <v>8</v>
      </c>
      <c r="D111">
        <v>10</v>
      </c>
      <c r="E111">
        <v>3950</v>
      </c>
      <c r="F111" t="s">
        <v>9</v>
      </c>
      <c r="G111">
        <f>((E111-I111)/I111)*100</f>
        <v>-2.7524742724900335</v>
      </c>
      <c r="H111" s="14" t="s">
        <v>198</v>
      </c>
      <c r="I111" s="16">
        <v>4061.8</v>
      </c>
      <c r="M111" t="str">
        <f>IF(COUNTIFS( $B$2:$B$976, B111, $C$2:$C$976, C111, $D$2:$D$976, D111, $E$2:$E$976, E111) &gt; 1, "Duplicate", "Unique")</f>
        <v>Unique</v>
      </c>
    </row>
    <row r="112" spans="1:13" ht="15" hidden="1" thickBot="1" x14ac:dyDescent="0.4">
      <c r="A112" t="s">
        <v>104</v>
      </c>
      <c r="B112" t="s">
        <v>65</v>
      </c>
      <c r="C112" t="s">
        <v>8</v>
      </c>
      <c r="D112">
        <v>5</v>
      </c>
      <c r="E112">
        <v>1161</v>
      </c>
      <c r="F112" t="s">
        <v>9</v>
      </c>
      <c r="G112">
        <f>((E112-I112)/I112)*100</f>
        <v>-2.7393817542096044</v>
      </c>
      <c r="H112" s="14" t="s">
        <v>187</v>
      </c>
      <c r="I112" s="16">
        <v>1193.7</v>
      </c>
      <c r="M112" t="str">
        <f>IF(COUNTIFS( $B$2:$B$976, B112, $C$2:$C$976, C112, $D$2:$D$976, D112, $E$2:$E$976, E112) &gt; 1, "Duplicate", "Unique")</f>
        <v>Unique</v>
      </c>
    </row>
    <row r="113" spans="1:13" ht="15" hidden="1" thickBot="1" x14ac:dyDescent="0.4">
      <c r="A113" t="s">
        <v>70</v>
      </c>
      <c r="B113" t="s">
        <v>65</v>
      </c>
      <c r="C113" t="s">
        <v>8</v>
      </c>
      <c r="D113">
        <v>5</v>
      </c>
      <c r="E113">
        <v>1162</v>
      </c>
      <c r="F113" t="s">
        <v>9</v>
      </c>
      <c r="G113">
        <f>((E113-I113)/I113)*100</f>
        <v>-2.6556086118790354</v>
      </c>
      <c r="H113" s="14" t="s">
        <v>187</v>
      </c>
      <c r="I113" s="16">
        <v>1193.7</v>
      </c>
      <c r="M113" t="str">
        <f>IF(COUNTIFS( $B$2:$B$976, B113, $C$2:$C$976, C113, $D$2:$D$976, D113, $E$2:$E$976, E113) &gt; 1, "Duplicate", "Unique")</f>
        <v>Unique</v>
      </c>
    </row>
    <row r="114" spans="1:13" ht="15" hidden="1" thickBot="1" x14ac:dyDescent="0.4">
      <c r="A114" t="s">
        <v>59</v>
      </c>
      <c r="B114" t="s">
        <v>50</v>
      </c>
      <c r="C114" t="s">
        <v>8</v>
      </c>
      <c r="D114">
        <v>200</v>
      </c>
      <c r="E114">
        <v>229</v>
      </c>
      <c r="F114" t="s">
        <v>9</v>
      </c>
      <c r="G114">
        <f>((E114-I114)/I114)*100</f>
        <v>-2.6360544217687027</v>
      </c>
      <c r="H114" s="14" t="s">
        <v>182</v>
      </c>
      <c r="I114" s="16">
        <v>235.2</v>
      </c>
      <c r="M114" t="str">
        <f>IF(COUNTIFS( $B$2:$B$976, B114, $C$2:$C$976, C114, $D$2:$D$976, D114, $E$2:$E$976, E114) &gt; 1, "Duplicate", "Unique")</f>
        <v>Unique</v>
      </c>
    </row>
    <row r="115" spans="1:13" ht="15" hidden="1" thickBot="1" x14ac:dyDescent="0.4">
      <c r="A115" t="s">
        <v>54</v>
      </c>
      <c r="B115" t="s">
        <v>68</v>
      </c>
      <c r="C115" t="s">
        <v>8</v>
      </c>
      <c r="D115">
        <v>1</v>
      </c>
      <c r="E115">
        <v>18052</v>
      </c>
      <c r="F115" t="s">
        <v>9</v>
      </c>
      <c r="G115">
        <f>((E115-I115)/I115)*100</f>
        <v>-2.6058807661181547</v>
      </c>
      <c r="H115" s="14" t="s">
        <v>189</v>
      </c>
      <c r="I115" s="16">
        <v>18535</v>
      </c>
      <c r="M115" t="str">
        <f>IF(COUNTIFS( $B$2:$B$976, B115, $C$2:$C$976, C115, $D$2:$D$976, D115, $E$2:$E$976, E115) &gt; 1, "Duplicate", "Unique")</f>
        <v>Unique</v>
      </c>
    </row>
    <row r="116" spans="1:13" ht="15" hidden="1" thickBot="1" x14ac:dyDescent="0.4">
      <c r="A116" t="s">
        <v>14</v>
      </c>
      <c r="B116" t="s">
        <v>15</v>
      </c>
      <c r="C116" t="s">
        <v>8</v>
      </c>
      <c r="D116">
        <v>5</v>
      </c>
      <c r="E116">
        <v>2540</v>
      </c>
      <c r="F116" t="s">
        <v>9</v>
      </c>
      <c r="G116">
        <f>((E116-I116)/I116)*100</f>
        <v>-2.3827824750192161</v>
      </c>
      <c r="H116" s="14" t="s">
        <v>157</v>
      </c>
      <c r="I116" s="16">
        <v>2602</v>
      </c>
      <c r="M116" t="str">
        <f>IF(COUNTIFS( $B$2:$B$976, B116, $C$2:$C$976, C116, $D$2:$D$976, D116, $E$2:$E$976, E116) &gt; 1, "Duplicate", "Unique")</f>
        <v>Unique</v>
      </c>
    </row>
    <row r="117" spans="1:13" ht="15" hidden="1" thickBot="1" x14ac:dyDescent="0.4">
      <c r="A117" t="s">
        <v>47</v>
      </c>
      <c r="B117" t="s">
        <v>48</v>
      </c>
      <c r="C117" t="s">
        <v>8</v>
      </c>
      <c r="D117">
        <v>100</v>
      </c>
      <c r="E117">
        <v>390</v>
      </c>
      <c r="F117" t="s">
        <v>9</v>
      </c>
      <c r="G117">
        <f>((E117-I117)/I117)*100</f>
        <v>-2.3046092184368709</v>
      </c>
      <c r="H117" s="14" t="s">
        <v>177</v>
      </c>
      <c r="I117" s="16">
        <v>399.2</v>
      </c>
      <c r="M117" t="str">
        <f>IF(COUNTIFS( $B$2:$B$976, B117, $C$2:$C$976, C117, $D$2:$D$976, D117, $E$2:$E$976, E117) &gt; 1, "Duplicate", "Unique")</f>
        <v>Unique</v>
      </c>
    </row>
    <row r="118" spans="1:13" ht="15" hidden="1" thickBot="1" x14ac:dyDescent="0.4">
      <c r="A118" t="s">
        <v>59</v>
      </c>
      <c r="B118" t="s">
        <v>75</v>
      </c>
      <c r="C118" t="s">
        <v>8</v>
      </c>
      <c r="D118">
        <v>100</v>
      </c>
      <c r="E118">
        <v>87.3</v>
      </c>
      <c r="F118" t="s">
        <v>9</v>
      </c>
      <c r="G118">
        <f>((E118-I118)/I118)*100</f>
        <v>-2.2286930227349186</v>
      </c>
      <c r="H118" s="14" t="s">
        <v>195</v>
      </c>
      <c r="I118" s="16">
        <v>89.29</v>
      </c>
      <c r="M118" t="str">
        <f>IF(COUNTIFS( $B$2:$B$976, B118, $C$2:$C$976, C118, $D$2:$D$976, D118, $E$2:$E$976, E118) &gt; 1, "Duplicate", "Unique")</f>
        <v>Unique</v>
      </c>
    </row>
    <row r="119" spans="1:13" ht="15" hidden="1" thickBot="1" x14ac:dyDescent="0.4">
      <c r="A119" t="s">
        <v>33</v>
      </c>
      <c r="B119" t="s">
        <v>38</v>
      </c>
      <c r="C119" t="s">
        <v>8</v>
      </c>
      <c r="D119">
        <v>50</v>
      </c>
      <c r="E119">
        <v>352</v>
      </c>
      <c r="F119" t="s">
        <v>9</v>
      </c>
      <c r="G119">
        <f>((E119-I119)/I119)*100</f>
        <v>-2.2222222222222223</v>
      </c>
      <c r="H119" s="14" t="s">
        <v>171</v>
      </c>
      <c r="I119" s="16">
        <v>360</v>
      </c>
      <c r="M119" t="str">
        <f>IF(COUNTIFS( $B$2:$B$976, B119, $C$2:$C$976, C119, $D$2:$D$976, D119, $E$2:$E$976, E119) &gt; 1, "Duplicate", "Unique")</f>
        <v>Unique</v>
      </c>
    </row>
    <row r="120" spans="1:13" ht="15" hidden="1" thickBot="1" x14ac:dyDescent="0.4">
      <c r="A120" t="s">
        <v>76</v>
      </c>
      <c r="B120" t="s">
        <v>77</v>
      </c>
      <c r="C120" t="s">
        <v>8</v>
      </c>
      <c r="D120">
        <v>1</v>
      </c>
      <c r="E120">
        <v>4306</v>
      </c>
      <c r="F120" t="s">
        <v>9</v>
      </c>
      <c r="G120">
        <f>((E120-I120)/I120)*100</f>
        <v>-2.140811781282665</v>
      </c>
      <c r="H120" s="14" t="s">
        <v>197</v>
      </c>
      <c r="I120" s="16">
        <v>4400.2</v>
      </c>
      <c r="M120" t="str">
        <f>IF(COUNTIFS( $B$2:$B$976, B120, $C$2:$C$976, C120, $D$2:$D$976, D120, $E$2:$E$976, E120) &gt; 1, "Duplicate", "Unique")</f>
        <v>Unique</v>
      </c>
    </row>
    <row r="121" spans="1:13" ht="15" hidden="1" thickBot="1" x14ac:dyDescent="0.4">
      <c r="A121" t="s">
        <v>54</v>
      </c>
      <c r="B121" t="s">
        <v>71</v>
      </c>
      <c r="C121" t="s">
        <v>8</v>
      </c>
      <c r="D121">
        <v>3</v>
      </c>
      <c r="E121">
        <v>1302</v>
      </c>
      <c r="F121" t="s">
        <v>9</v>
      </c>
      <c r="G121">
        <f>((E121-I121)/I121)*100</f>
        <v>-2.0316027088036117</v>
      </c>
      <c r="H121" s="14" t="s">
        <v>191</v>
      </c>
      <c r="I121" s="16">
        <v>1329</v>
      </c>
      <c r="M121" t="str">
        <f>IF(COUNTIFS( $B$2:$B$976, B121, $C$2:$C$976, C121, $D$2:$D$976, D121, $E$2:$E$976, E121) &gt; 1, "Duplicate", "Unique")</f>
        <v>Unique</v>
      </c>
    </row>
    <row r="122" spans="1:13" ht="15" hidden="1" thickBot="1" x14ac:dyDescent="0.4">
      <c r="A122" t="s">
        <v>14</v>
      </c>
      <c r="B122" t="s">
        <v>15</v>
      </c>
      <c r="C122" t="s">
        <v>8</v>
      </c>
      <c r="D122">
        <v>10</v>
      </c>
      <c r="E122">
        <v>2552</v>
      </c>
      <c r="F122" t="s">
        <v>9</v>
      </c>
      <c r="G122">
        <f>((E122-I122)/I122)*100</f>
        <v>-1.9215987701767869</v>
      </c>
      <c r="H122" s="14" t="s">
        <v>157</v>
      </c>
      <c r="I122" s="16">
        <v>2602</v>
      </c>
      <c r="M122" t="str">
        <f>IF(COUNTIFS( $B$2:$B$976, B122, $C$2:$C$976, C122, $D$2:$D$976, D122, $E$2:$E$976, E122) &gt; 1, "Duplicate", "Unique")</f>
        <v>Unique</v>
      </c>
    </row>
    <row r="123" spans="1:13" ht="15" hidden="1" thickBot="1" x14ac:dyDescent="0.4">
      <c r="A123" t="s">
        <v>19</v>
      </c>
      <c r="B123" t="s">
        <v>20</v>
      </c>
      <c r="C123" t="s">
        <v>8</v>
      </c>
      <c r="D123">
        <v>3</v>
      </c>
      <c r="E123">
        <v>4710</v>
      </c>
      <c r="F123" t="s">
        <v>9</v>
      </c>
      <c r="G123">
        <f>((E123-I123)/I123)*100</f>
        <v>-1.6906700062617408</v>
      </c>
      <c r="H123" s="14" t="s">
        <v>159</v>
      </c>
      <c r="I123" s="16">
        <v>4791</v>
      </c>
      <c r="M123" t="str">
        <f>IF(COUNTIFS( $B$2:$B$976, B123, $C$2:$C$976, C123, $D$2:$D$976, D123, $E$2:$E$976, E123) &gt; 1, "Duplicate", "Unique")</f>
        <v>Unique</v>
      </c>
    </row>
    <row r="124" spans="1:13" ht="15" hidden="1" thickBot="1" x14ac:dyDescent="0.4">
      <c r="A124" t="s">
        <v>6</v>
      </c>
      <c r="B124" t="s">
        <v>42</v>
      </c>
      <c r="C124" t="s">
        <v>8</v>
      </c>
      <c r="D124">
        <v>50</v>
      </c>
      <c r="E124">
        <v>286</v>
      </c>
      <c r="F124" t="s">
        <v>9</v>
      </c>
      <c r="G124">
        <f>((E124-I124)/I124)*100</f>
        <v>-1.4472777394900029</v>
      </c>
      <c r="H124" s="14" t="s">
        <v>174</v>
      </c>
      <c r="I124" s="16">
        <v>290.2</v>
      </c>
      <c r="M124" t="str">
        <f>IF(COUNTIFS( $B$2:$B$976, B124, $C$2:$C$976, C124, $D$2:$D$976, D124, $E$2:$E$976, E124) &gt; 1, "Duplicate", "Unique")</f>
        <v>Unique</v>
      </c>
    </row>
    <row r="125" spans="1:13" ht="15" hidden="1" thickBot="1" x14ac:dyDescent="0.4">
      <c r="A125" t="s">
        <v>12</v>
      </c>
      <c r="B125" t="s">
        <v>13</v>
      </c>
      <c r="C125" t="s">
        <v>8</v>
      </c>
      <c r="D125">
        <v>5</v>
      </c>
      <c r="E125">
        <v>916</v>
      </c>
      <c r="F125" t="s">
        <v>9</v>
      </c>
      <c r="G125">
        <f>((E125-I125)/I125)*100</f>
        <v>-1.3090556483327025</v>
      </c>
      <c r="H125" s="14" t="s">
        <v>156</v>
      </c>
      <c r="I125" s="16">
        <v>928.15</v>
      </c>
      <c r="M125" t="str">
        <f>IF(COUNTIFS( $B$2:$B$976, B125, $C$2:$C$976, C125, $D$2:$D$976, D125, $E$2:$E$976, E125) &gt; 1, "Duplicate", "Unique")</f>
        <v>Unique</v>
      </c>
    </row>
    <row r="126" spans="1:13" ht="15" hidden="1" thickBot="1" x14ac:dyDescent="0.4">
      <c r="A126" t="s">
        <v>80</v>
      </c>
      <c r="B126" t="s">
        <v>46</v>
      </c>
      <c r="C126" t="s">
        <v>8</v>
      </c>
      <c r="D126">
        <v>20</v>
      </c>
      <c r="E126">
        <v>917</v>
      </c>
      <c r="F126" t="s">
        <v>9</v>
      </c>
      <c r="G126">
        <f>((E126-I126)/I126)*100</f>
        <v>-1.2545092338340578</v>
      </c>
      <c r="H126" s="14" t="s">
        <v>176</v>
      </c>
      <c r="I126" s="16">
        <v>928.65</v>
      </c>
      <c r="M126" t="str">
        <f>IF(COUNTIFS( $B$2:$B$976, B126, $C$2:$C$976, C126, $D$2:$D$976, D126, $E$2:$E$976, E126) &gt; 1, "Duplicate", "Unique")</f>
        <v>Unique</v>
      </c>
    </row>
    <row r="127" spans="1:13" ht="15" hidden="1" thickBot="1" x14ac:dyDescent="0.4">
      <c r="A127" t="s">
        <v>59</v>
      </c>
      <c r="B127" t="s">
        <v>69</v>
      </c>
      <c r="C127" t="s">
        <v>8</v>
      </c>
      <c r="D127">
        <v>5</v>
      </c>
      <c r="E127">
        <v>726</v>
      </c>
      <c r="F127" t="s">
        <v>9</v>
      </c>
      <c r="G127">
        <f>((E127-I127)/I127)*100</f>
        <v>-1.0764409320070822</v>
      </c>
      <c r="H127" s="14" t="s">
        <v>190</v>
      </c>
      <c r="I127" s="16">
        <v>733.9</v>
      </c>
      <c r="M127" t="str">
        <f>IF(COUNTIFS( $B$2:$B$976, B127, $C$2:$C$976, C127, $D$2:$D$976, D127, $E$2:$E$976, E127) &gt; 1, "Duplicate", "Unique")</f>
        <v>Unique</v>
      </c>
    </row>
    <row r="128" spans="1:13" ht="15" hidden="1" thickBot="1" x14ac:dyDescent="0.4">
      <c r="A128" t="s">
        <v>59</v>
      </c>
      <c r="B128" t="s">
        <v>52</v>
      </c>
      <c r="C128" t="s">
        <v>8</v>
      </c>
      <c r="D128">
        <v>8</v>
      </c>
      <c r="E128">
        <v>2352</v>
      </c>
      <c r="F128" t="s">
        <v>9</v>
      </c>
      <c r="G128">
        <f>((E128-I128)/I128)*100</f>
        <v>-0.96425112636321897</v>
      </c>
      <c r="H128" s="14" t="s">
        <v>178</v>
      </c>
      <c r="I128" s="16">
        <v>2374.9</v>
      </c>
      <c r="M128" t="str">
        <f>IF(COUNTIFS( $B$2:$B$976, B128, $C$2:$C$976, C128, $D$2:$D$976, D128, $E$2:$E$976, E128) &gt; 1, "Duplicate", "Unique")</f>
        <v>Unique</v>
      </c>
    </row>
    <row r="129" spans="1:13" ht="15" hidden="1" thickBot="1" x14ac:dyDescent="0.4">
      <c r="A129" t="s">
        <v>79</v>
      </c>
      <c r="B129" t="s">
        <v>62</v>
      </c>
      <c r="C129" t="s">
        <v>8</v>
      </c>
      <c r="D129">
        <v>20</v>
      </c>
      <c r="E129">
        <v>793</v>
      </c>
      <c r="F129" t="s">
        <v>9</v>
      </c>
      <c r="G129">
        <f>((E129-I129)/I129)*100</f>
        <v>-0.80680467821627933</v>
      </c>
      <c r="H129" s="14" t="s">
        <v>184</v>
      </c>
      <c r="I129" s="16">
        <v>799.45</v>
      </c>
      <c r="M129" t="str">
        <f>IF(COUNTIFS( $B$2:$B$976, B129, $C$2:$C$976, C129, $D$2:$D$976, D129, $E$2:$E$976, E129) &gt; 1, "Duplicate", "Unique")</f>
        <v>Unique</v>
      </c>
    </row>
    <row r="130" spans="1:13" ht="15" hidden="1" thickBot="1" x14ac:dyDescent="0.4">
      <c r="A130" t="s">
        <v>54</v>
      </c>
      <c r="B130" t="s">
        <v>74</v>
      </c>
      <c r="C130" t="s">
        <v>8</v>
      </c>
      <c r="D130">
        <v>2</v>
      </c>
      <c r="E130">
        <v>3410</v>
      </c>
      <c r="F130" t="s">
        <v>9</v>
      </c>
      <c r="G130">
        <f>((E130-I130)/I130)*100</f>
        <v>-0.72780203784570596</v>
      </c>
      <c r="H130" s="14" t="s">
        <v>194</v>
      </c>
      <c r="I130" s="16">
        <v>3435</v>
      </c>
      <c r="M130" t="str">
        <f>IF(COUNTIFS( $B$2:$B$976, B130, $C$2:$C$976, C130, $D$2:$D$976, D130, $E$2:$E$976, E130) &gt; 1, "Duplicate", "Unique")</f>
        <v>Unique</v>
      </c>
    </row>
    <row r="131" spans="1:13" ht="15" hidden="1" thickBot="1" x14ac:dyDescent="0.4">
      <c r="A131" t="s">
        <v>54</v>
      </c>
      <c r="B131" t="s">
        <v>82</v>
      </c>
      <c r="C131" t="s">
        <v>8</v>
      </c>
      <c r="D131">
        <v>2</v>
      </c>
      <c r="E131">
        <v>1060</v>
      </c>
      <c r="F131" t="s">
        <v>9</v>
      </c>
      <c r="G131">
        <f>((E131-I131)/I131)*100</f>
        <v>-0.70257611241217799</v>
      </c>
      <c r="H131" s="14" t="s">
        <v>200</v>
      </c>
      <c r="I131" s="16">
        <v>1067.5</v>
      </c>
      <c r="M131" t="str">
        <f>IF(COUNTIFS( $B$2:$B$976, B131, $C$2:$C$976, C131, $D$2:$D$976, D131, $E$2:$E$976, E131) &gt; 1, "Duplicate", "Unique")</f>
        <v>Unique</v>
      </c>
    </row>
    <row r="132" spans="1:13" ht="15" thickBot="1" x14ac:dyDescent="0.4">
      <c r="A132" t="s">
        <v>101</v>
      </c>
      <c r="B132" t="s">
        <v>50</v>
      </c>
      <c r="C132" t="s">
        <v>16</v>
      </c>
      <c r="D132">
        <v>100</v>
      </c>
      <c r="E132">
        <v>238.2</v>
      </c>
      <c r="F132" t="s">
        <v>9</v>
      </c>
      <c r="G132">
        <f>((E132-I132)/I132)*100</f>
        <v>1.2755102040816326</v>
      </c>
      <c r="H132" s="14" t="s">
        <v>182</v>
      </c>
      <c r="I132" s="16">
        <v>235.2</v>
      </c>
      <c r="M132" t="str">
        <f>IF(COUNTIFS( $B$2:$B$976, B132, $C$2:$C$976, C132, $D$2:$D$976, D132, $E$2:$E$976, E132) &gt; 1, "Duplicate", "Unique")</f>
        <v>Unique</v>
      </c>
    </row>
    <row r="133" spans="1:13" ht="15" thickBot="1" x14ac:dyDescent="0.4">
      <c r="A133" s="18" t="s">
        <v>101</v>
      </c>
      <c r="B133" s="18" t="s">
        <v>50</v>
      </c>
      <c r="C133" s="18" t="s">
        <v>16</v>
      </c>
      <c r="D133" s="18">
        <v>200</v>
      </c>
      <c r="E133" s="18">
        <v>239</v>
      </c>
      <c r="F133" s="18" t="s">
        <v>9</v>
      </c>
      <c r="G133">
        <f>((E133-I133)/I133)*100</f>
        <v>1.6156462585034064</v>
      </c>
      <c r="H133" s="14" t="s">
        <v>182</v>
      </c>
      <c r="I133" s="16">
        <v>235.2</v>
      </c>
      <c r="M133" t="str">
        <f>IF(COUNTIFS( $B$2:$B$976, B133, $C$2:$C$976, C133, $D$2:$D$976, D133, $E$2:$E$976, E133) &gt; 1, "Duplicate", "Unique")</f>
        <v>Unique</v>
      </c>
    </row>
    <row r="134" spans="1:13" ht="15" thickBot="1" x14ac:dyDescent="0.4">
      <c r="A134" t="s">
        <v>51</v>
      </c>
      <c r="B134" t="s">
        <v>53</v>
      </c>
      <c r="C134" t="s">
        <v>16</v>
      </c>
      <c r="D134">
        <v>10</v>
      </c>
      <c r="E134">
        <v>1320</v>
      </c>
      <c r="F134" t="s">
        <v>9</v>
      </c>
      <c r="G134">
        <f>((E134-I134)/I134)*100</f>
        <v>1.6166281755196306</v>
      </c>
      <c r="H134" s="14" t="s">
        <v>179</v>
      </c>
      <c r="I134" s="16">
        <v>1299</v>
      </c>
      <c r="M134" t="str">
        <f>IF(COUNTIFS( $B$2:$B$976, B134, $C$2:$C$976, C134, $D$2:$D$976, D134, $E$2:$E$976, E134) &gt; 1, "Duplicate", "Unique")</f>
        <v>Unique</v>
      </c>
    </row>
    <row r="135" spans="1:13" ht="15" thickBot="1" x14ac:dyDescent="0.4">
      <c r="A135" t="s">
        <v>80</v>
      </c>
      <c r="B135" t="s">
        <v>75</v>
      </c>
      <c r="C135" t="s">
        <v>16</v>
      </c>
      <c r="D135">
        <v>200</v>
      </c>
      <c r="E135">
        <v>90.75</v>
      </c>
      <c r="F135" t="s">
        <v>9</v>
      </c>
      <c r="G135">
        <f>((E135-I135)/I135)*100</f>
        <v>1.6351215141673128</v>
      </c>
      <c r="H135" s="14" t="s">
        <v>195</v>
      </c>
      <c r="I135" s="16">
        <v>89.29</v>
      </c>
      <c r="M135" t="str">
        <f>IF(COUNTIFS( $B$2:$B$976, B135, $C$2:$C$976, C135, $D$2:$D$976, D135, $E$2:$E$976, E135) &gt; 1, "Duplicate", "Unique")</f>
        <v>Unique</v>
      </c>
    </row>
    <row r="136" spans="1:13" ht="15" thickBot="1" x14ac:dyDescent="0.4">
      <c r="A136" t="s">
        <v>59</v>
      </c>
      <c r="B136" t="s">
        <v>78</v>
      </c>
      <c r="C136" t="s">
        <v>16</v>
      </c>
      <c r="D136">
        <v>5</v>
      </c>
      <c r="E136">
        <v>4129</v>
      </c>
      <c r="F136" t="s">
        <v>9</v>
      </c>
      <c r="G136">
        <f>((E136-I136)/I136)*100</f>
        <v>1.6544389187059878</v>
      </c>
      <c r="H136" s="14" t="s">
        <v>198</v>
      </c>
      <c r="I136" s="16">
        <v>4061.8</v>
      </c>
      <c r="M136" t="str">
        <f>IF(COUNTIFS( $B$2:$B$976, B136, $C$2:$C$976, C136, $D$2:$D$976, D136, $E$2:$E$976, E136) &gt; 1, "Duplicate", "Unique")</f>
        <v>Unique</v>
      </c>
    </row>
    <row r="137" spans="1:13" ht="15" thickBot="1" x14ac:dyDescent="0.4">
      <c r="A137" t="s">
        <v>35</v>
      </c>
      <c r="B137" t="s">
        <v>26</v>
      </c>
      <c r="C137" t="s">
        <v>16</v>
      </c>
      <c r="D137">
        <v>50</v>
      </c>
      <c r="E137">
        <v>218</v>
      </c>
      <c r="F137" t="s">
        <v>9</v>
      </c>
      <c r="G137">
        <f>((E137-I137)/I137)*100</f>
        <v>1.7028224865873596</v>
      </c>
      <c r="H137" s="14" t="s">
        <v>164</v>
      </c>
      <c r="I137" s="16">
        <v>214.35</v>
      </c>
      <c r="M137" t="str">
        <f>IF(COUNTIFS( $B$2:$B$976, B137, $C$2:$C$976, C137, $D$2:$D$976, D137, $E$2:$E$976, E137) &gt; 1, "Duplicate", "Unique")</f>
        <v>Unique</v>
      </c>
    </row>
    <row r="138" spans="1:13" ht="15" thickBot="1" x14ac:dyDescent="0.4">
      <c r="A138" t="s">
        <v>86</v>
      </c>
      <c r="B138" t="s">
        <v>87</v>
      </c>
      <c r="C138" t="s">
        <v>16</v>
      </c>
      <c r="D138">
        <v>150</v>
      </c>
      <c r="E138">
        <v>123.4</v>
      </c>
      <c r="F138" t="s">
        <v>9</v>
      </c>
      <c r="G138">
        <f>((E138-I138)/I138)*100</f>
        <v>1.7228587915258455</v>
      </c>
      <c r="H138" s="14" t="s">
        <v>203</v>
      </c>
      <c r="I138" s="16">
        <v>121.31</v>
      </c>
      <c r="M138" t="str">
        <f>IF(COUNTIFS( $B$2:$B$976, B138, $C$2:$C$976, C138, $D$2:$D$976, D138, $E$2:$E$976, E138) &gt; 1, "Duplicate", "Unique")</f>
        <v>Unique</v>
      </c>
    </row>
    <row r="139" spans="1:13" ht="15" thickBot="1" x14ac:dyDescent="0.4">
      <c r="A139" t="s">
        <v>14</v>
      </c>
      <c r="B139" t="s">
        <v>15</v>
      </c>
      <c r="C139" t="s">
        <v>16</v>
      </c>
      <c r="D139">
        <v>10</v>
      </c>
      <c r="E139">
        <v>2648</v>
      </c>
      <c r="F139" t="s">
        <v>9</v>
      </c>
      <c r="G139">
        <f>((E139-I139)/I139)*100</f>
        <v>1.7678708685626443</v>
      </c>
      <c r="H139" s="14" t="s">
        <v>157</v>
      </c>
      <c r="I139" s="16">
        <v>2602</v>
      </c>
      <c r="M139" t="str">
        <f>IF(COUNTIFS( $B$2:$B$976, B139, $C$2:$C$976, C139, $D$2:$D$976, D139, $E$2:$E$976, E139) &gt; 1, "Duplicate", "Unique")</f>
        <v>Unique</v>
      </c>
    </row>
    <row r="140" spans="1:13" ht="15" thickBot="1" x14ac:dyDescent="0.4">
      <c r="A140" s="1">
        <v>46237.768750000003</v>
      </c>
      <c r="B140" s="2" t="s">
        <v>37</v>
      </c>
      <c r="C140" s="2" t="s">
        <v>16</v>
      </c>
      <c r="D140" s="3">
        <v>150</v>
      </c>
      <c r="E140" s="4">
        <v>134.80000000000001</v>
      </c>
      <c r="F140" s="2" t="s">
        <v>9</v>
      </c>
      <c r="G140">
        <f>((E140-I140)/I140)*100</f>
        <v>1.8511522478277425</v>
      </c>
      <c r="H140" s="14" t="s">
        <v>170</v>
      </c>
      <c r="I140" s="16">
        <v>132.35</v>
      </c>
      <c r="M140" t="str">
        <f>IF(COUNTIFS( $B$2:$B$976, B140, $C$2:$C$976, C140, $D$2:$D$976, D140, $E$2:$E$976, E140) &gt; 1, "Duplicate", "Unique")</f>
        <v>Unique</v>
      </c>
    </row>
    <row r="141" spans="1:13" ht="15" thickBot="1" x14ac:dyDescent="0.4">
      <c r="A141" t="s">
        <v>54</v>
      </c>
      <c r="B141" t="s">
        <v>55</v>
      </c>
      <c r="C141" t="s">
        <v>16</v>
      </c>
      <c r="D141">
        <v>10</v>
      </c>
      <c r="E141">
        <v>1520</v>
      </c>
      <c r="F141" t="s">
        <v>9</v>
      </c>
      <c r="G141">
        <f>((E141-I141)/I141)*100</f>
        <v>1.9176612578784971</v>
      </c>
      <c r="H141" s="14" t="s">
        <v>180</v>
      </c>
      <c r="I141" s="16">
        <v>1491.4</v>
      </c>
      <c r="M141" t="str">
        <f>IF(COUNTIFS( $B$2:$B$976, B141, $C$2:$C$976, C141, $D$2:$D$976, D141, $E$2:$E$976, E141) &gt; 1, "Duplicate", "Unique")</f>
        <v>Unique</v>
      </c>
    </row>
    <row r="142" spans="1:13" ht="15" thickBot="1" x14ac:dyDescent="0.4">
      <c r="A142" t="s">
        <v>17</v>
      </c>
      <c r="B142" t="s">
        <v>31</v>
      </c>
      <c r="C142" t="s">
        <v>16</v>
      </c>
      <c r="D142">
        <v>50</v>
      </c>
      <c r="E142">
        <v>214</v>
      </c>
      <c r="F142" t="s">
        <v>9</v>
      </c>
      <c r="G142">
        <f>((E142-I142)/I142)*100</f>
        <v>2.1967526265520507</v>
      </c>
      <c r="H142" s="14" t="s">
        <v>167</v>
      </c>
      <c r="I142" s="16">
        <v>209.4</v>
      </c>
      <c r="M142" t="str">
        <f>IF(COUNTIFS( $B$2:$B$976, B142, $C$2:$C$976, C142, $D$2:$D$976, D142, $E$2:$E$976, E142) &gt; 1, "Duplicate", "Unique")</f>
        <v>Unique</v>
      </c>
    </row>
    <row r="143" spans="1:13" ht="15" thickBot="1" x14ac:dyDescent="0.4">
      <c r="A143" t="s">
        <v>47</v>
      </c>
      <c r="B143" t="s">
        <v>64</v>
      </c>
      <c r="C143" t="s">
        <v>16</v>
      </c>
      <c r="D143">
        <v>20</v>
      </c>
      <c r="E143">
        <v>896</v>
      </c>
      <c r="F143" t="s">
        <v>9</v>
      </c>
      <c r="G143">
        <f>((E143-I143)/I143)*100</f>
        <v>2.2831050228310499</v>
      </c>
      <c r="H143" s="14" t="s">
        <v>186</v>
      </c>
      <c r="I143" s="16">
        <v>876</v>
      </c>
      <c r="M143" t="str">
        <f>IF(COUNTIFS( $B$2:$B$976, B143, $C$2:$C$976, C143, $D$2:$D$976, D143, $E$2:$E$976, E143) &gt; 1, "Duplicate", "Unique")</f>
        <v>Unique</v>
      </c>
    </row>
    <row r="144" spans="1:13" ht="15" thickBot="1" x14ac:dyDescent="0.4">
      <c r="A144" t="s">
        <v>70</v>
      </c>
      <c r="B144" t="s">
        <v>65</v>
      </c>
      <c r="C144" t="s">
        <v>16</v>
      </c>
      <c r="D144">
        <v>10</v>
      </c>
      <c r="E144">
        <v>1221</v>
      </c>
      <c r="F144" t="s">
        <v>9</v>
      </c>
      <c r="G144">
        <f>((E144-I144)/I144)*100</f>
        <v>2.2870067856245249</v>
      </c>
      <c r="H144" s="14" t="s">
        <v>187</v>
      </c>
      <c r="I144" s="16">
        <v>1193.7</v>
      </c>
      <c r="M144" t="str">
        <f>IF(COUNTIFS( $B$2:$B$976, B144, $C$2:$C$976, C144, $D$2:$D$976, D144, $E$2:$E$976, E144) &gt; 1, "Duplicate", "Unique")</f>
        <v>Unique</v>
      </c>
    </row>
    <row r="145" spans="1:13" ht="15" thickBot="1" x14ac:dyDescent="0.4">
      <c r="A145" t="s">
        <v>33</v>
      </c>
      <c r="B145" t="s">
        <v>38</v>
      </c>
      <c r="C145" t="s">
        <v>16</v>
      </c>
      <c r="D145">
        <v>67</v>
      </c>
      <c r="E145">
        <v>369</v>
      </c>
      <c r="F145" t="s">
        <v>9</v>
      </c>
      <c r="G145">
        <f>((E145-I145)/I145)*100</f>
        <v>2.5</v>
      </c>
      <c r="H145" s="14" t="s">
        <v>171</v>
      </c>
      <c r="I145" s="16">
        <v>360</v>
      </c>
      <c r="M145" t="str">
        <f>IF(COUNTIFS( $B$2:$B$976, B145, $C$2:$C$976, C145, $D$2:$D$976, D145, $E$2:$E$976, E145) &gt; 1, "Duplicate", "Unique")</f>
        <v>Unique</v>
      </c>
    </row>
    <row r="146" spans="1:13" ht="15" thickBot="1" x14ac:dyDescent="0.4">
      <c r="A146" t="s">
        <v>14</v>
      </c>
      <c r="B146" t="s">
        <v>15</v>
      </c>
      <c r="C146" t="s">
        <v>16</v>
      </c>
      <c r="D146">
        <v>10</v>
      </c>
      <c r="E146">
        <v>2672</v>
      </c>
      <c r="F146" t="s">
        <v>9</v>
      </c>
      <c r="G146">
        <f>((E146-I146)/I146)*100</f>
        <v>2.6902382782475018</v>
      </c>
      <c r="H146" s="14" t="s">
        <v>157</v>
      </c>
      <c r="I146" s="16">
        <v>2602</v>
      </c>
      <c r="M146" t="str">
        <f>IF(COUNTIFS( $B$2:$B$976, B146, $C$2:$C$976, C146, $D$2:$D$976, D146, $E$2:$E$976, E146) &gt; 1, "Duplicate", "Unique")</f>
        <v>Unique</v>
      </c>
    </row>
    <row r="147" spans="1:13" ht="15" thickBot="1" x14ac:dyDescent="0.4">
      <c r="A147" t="s">
        <v>80</v>
      </c>
      <c r="B147" t="s">
        <v>75</v>
      </c>
      <c r="C147" t="s">
        <v>16</v>
      </c>
      <c r="D147">
        <v>200</v>
      </c>
      <c r="E147">
        <v>91.75</v>
      </c>
      <c r="F147" t="s">
        <v>9</v>
      </c>
      <c r="G147">
        <f>((E147-I147)/I147)*100</f>
        <v>2.7550677567476689</v>
      </c>
      <c r="H147" s="14" t="s">
        <v>195</v>
      </c>
      <c r="I147" s="16">
        <v>89.29</v>
      </c>
      <c r="M147" t="str">
        <f>IF(COUNTIFS( $B$2:$B$976, B147, $C$2:$C$976, C147, $D$2:$D$976, D147, $E$2:$E$976, E147) &gt; 1, "Duplicate", "Unique")</f>
        <v>Unique</v>
      </c>
    </row>
    <row r="148" spans="1:13" ht="15" thickBot="1" x14ac:dyDescent="0.4">
      <c r="A148" t="s">
        <v>36</v>
      </c>
      <c r="B148" t="s">
        <v>37</v>
      </c>
      <c r="C148" t="s">
        <v>16</v>
      </c>
      <c r="D148">
        <v>150</v>
      </c>
      <c r="E148">
        <v>136</v>
      </c>
      <c r="F148" t="s">
        <v>9</v>
      </c>
      <c r="G148">
        <f>((E148-I148)/I148)*100</f>
        <v>2.7578390630902954</v>
      </c>
      <c r="H148" s="14" t="s">
        <v>170</v>
      </c>
      <c r="I148" s="16">
        <v>132.35</v>
      </c>
      <c r="M148" t="str">
        <f>IF(COUNTIFS( $B$2:$B$976, B148, $C$2:$C$976, C148, $D$2:$D$976, D148, $E$2:$E$976, E148) &gt; 1, "Duplicate", "Unique")</f>
        <v>Unique</v>
      </c>
    </row>
    <row r="149" spans="1:13" ht="15" thickBot="1" x14ac:dyDescent="0.4">
      <c r="A149" t="s">
        <v>80</v>
      </c>
      <c r="B149" t="s">
        <v>78</v>
      </c>
      <c r="C149" t="s">
        <v>16</v>
      </c>
      <c r="D149">
        <v>5</v>
      </c>
      <c r="E149">
        <v>4177</v>
      </c>
      <c r="F149" t="s">
        <v>9</v>
      </c>
      <c r="G149">
        <f>((E149-I149)/I149)*100</f>
        <v>2.8361810034959825</v>
      </c>
      <c r="H149" s="14" t="s">
        <v>198</v>
      </c>
      <c r="I149" s="16">
        <v>4061.8</v>
      </c>
      <c r="M149" t="str">
        <f>IF(COUNTIFS( $B$2:$B$976, B149, $C$2:$C$976, C149, $D$2:$D$976, D149, $E$2:$E$976, E149) &gt; 1, "Duplicate", "Unique")</f>
        <v>Unique</v>
      </c>
    </row>
    <row r="150" spans="1:13" ht="15" thickBot="1" x14ac:dyDescent="0.4">
      <c r="A150" t="s">
        <v>125</v>
      </c>
      <c r="B150" t="s">
        <v>87</v>
      </c>
      <c r="C150" t="s">
        <v>16</v>
      </c>
      <c r="D150">
        <v>150</v>
      </c>
      <c r="E150">
        <v>124.9</v>
      </c>
      <c r="F150" t="s">
        <v>9</v>
      </c>
      <c r="G150">
        <f>((E150-I150)/I150)*100</f>
        <v>2.9593603165443931</v>
      </c>
      <c r="H150" s="14" t="s">
        <v>203</v>
      </c>
      <c r="I150" s="16">
        <v>121.31</v>
      </c>
      <c r="M150" t="str">
        <f>IF(COUNTIFS( $B$2:$B$976, B150, $C$2:$C$976, C150, $D$2:$D$976, D150, $E$2:$E$976, E150) &gt; 1, "Duplicate", "Unique")</f>
        <v>Unique</v>
      </c>
    </row>
    <row r="151" spans="1:13" ht="15" thickBot="1" x14ac:dyDescent="0.4">
      <c r="A151" t="s">
        <v>45</v>
      </c>
      <c r="B151" t="s">
        <v>46</v>
      </c>
      <c r="C151" t="s">
        <v>16</v>
      </c>
      <c r="D151">
        <v>10</v>
      </c>
      <c r="E151">
        <v>957</v>
      </c>
      <c r="F151" t="s">
        <v>9</v>
      </c>
      <c r="G151">
        <f>((E151-I151)/I151)*100</f>
        <v>3.052818607656278</v>
      </c>
      <c r="H151" s="14" t="s">
        <v>176</v>
      </c>
      <c r="I151" s="16">
        <v>928.65</v>
      </c>
      <c r="M151" t="str">
        <f>IF(COUNTIFS( $B$2:$B$976, B151, $C$2:$C$976, C151, $D$2:$D$976, D151, $E$2:$E$976, E151) &gt; 1, "Duplicate", "Unique")</f>
        <v>Unique</v>
      </c>
    </row>
    <row r="152" spans="1:13" ht="15" thickBot="1" x14ac:dyDescent="0.4">
      <c r="A152" t="s">
        <v>41</v>
      </c>
      <c r="B152" t="s">
        <v>42</v>
      </c>
      <c r="C152" t="s">
        <v>16</v>
      </c>
      <c r="D152">
        <v>120</v>
      </c>
      <c r="E152">
        <v>300.5</v>
      </c>
      <c r="F152" t="s">
        <v>9</v>
      </c>
      <c r="G152">
        <f>((E152-I152)/I152)*100</f>
        <v>3.5492763611302589</v>
      </c>
      <c r="H152" s="14" t="s">
        <v>174</v>
      </c>
      <c r="I152" s="16">
        <v>290.2</v>
      </c>
      <c r="M152" t="str">
        <f>IF(COUNTIFS( $B$2:$B$976, B152, $C$2:$C$976, C152, $D$2:$D$976, D152, $E$2:$E$976, E152) &gt; 1, "Duplicate", "Unique")</f>
        <v>Unique</v>
      </c>
    </row>
    <row r="153" spans="1:13" ht="26.5" thickBot="1" x14ac:dyDescent="0.4">
      <c r="A153" t="s">
        <v>12</v>
      </c>
      <c r="B153" t="s">
        <v>40</v>
      </c>
      <c r="C153" t="s">
        <v>16</v>
      </c>
      <c r="D153">
        <v>5</v>
      </c>
      <c r="E153">
        <v>467.25</v>
      </c>
      <c r="F153" t="s">
        <v>9</v>
      </c>
      <c r="G153">
        <f>((E153-I153)/I153)*100</f>
        <v>3.5571808510638325</v>
      </c>
      <c r="H153" s="14" t="s">
        <v>173</v>
      </c>
      <c r="I153" s="16">
        <v>451.2</v>
      </c>
      <c r="M153" t="str">
        <f>IF(COUNTIFS( $B$2:$B$976, B153, $C$2:$C$976, C153, $D$2:$D$976, D153, $E$2:$E$976, E153) &gt; 1, "Duplicate", "Unique")</f>
        <v>Unique</v>
      </c>
    </row>
    <row r="154" spans="1:13" ht="15" thickBot="1" x14ac:dyDescent="0.4">
      <c r="A154" t="s">
        <v>57</v>
      </c>
      <c r="B154" t="s">
        <v>68</v>
      </c>
      <c r="C154" t="s">
        <v>16</v>
      </c>
      <c r="D154">
        <v>1</v>
      </c>
      <c r="E154">
        <v>19198</v>
      </c>
      <c r="F154" t="s">
        <v>9</v>
      </c>
      <c r="G154">
        <f>((E154-I154)/I154)*100</f>
        <v>3.5770164553547339</v>
      </c>
      <c r="H154" s="14" t="s">
        <v>189</v>
      </c>
      <c r="I154" s="16">
        <v>18535</v>
      </c>
      <c r="M154" t="str">
        <f>IF(COUNTIFS( $B$2:$B$976, B154, $C$2:$C$976, C154, $D$2:$D$976, D154, $E$2:$E$976, E154) &gt; 1, "Duplicate", "Unique")</f>
        <v>Unique</v>
      </c>
    </row>
    <row r="155" spans="1:13" ht="15" thickBot="1" x14ac:dyDescent="0.4">
      <c r="A155" t="s">
        <v>102</v>
      </c>
      <c r="B155" t="s">
        <v>38</v>
      </c>
      <c r="C155" t="s">
        <v>16</v>
      </c>
      <c r="D155">
        <v>67</v>
      </c>
      <c r="E155">
        <v>373</v>
      </c>
      <c r="F155" t="s">
        <v>9</v>
      </c>
      <c r="G155">
        <f>((E155-I155)/I155)*100</f>
        <v>3.6111111111111107</v>
      </c>
      <c r="H155" s="14" t="s">
        <v>171</v>
      </c>
      <c r="I155" s="16">
        <v>360</v>
      </c>
      <c r="M155" t="str">
        <f>IF(COUNTIFS( $B$2:$B$976, B155, $C$2:$C$976, C155, $D$2:$D$976, D155, $E$2:$E$976, E155) &gt; 1, "Duplicate", "Unique")</f>
        <v>Unique</v>
      </c>
    </row>
    <row r="156" spans="1:13" ht="15" thickBot="1" x14ac:dyDescent="0.4">
      <c r="A156" t="s">
        <v>14</v>
      </c>
      <c r="B156" t="s">
        <v>15</v>
      </c>
      <c r="C156" t="s">
        <v>16</v>
      </c>
      <c r="D156">
        <v>10</v>
      </c>
      <c r="E156">
        <v>2696</v>
      </c>
      <c r="F156" t="s">
        <v>9</v>
      </c>
      <c r="G156">
        <f>((E156-I156)/I156)*100</f>
        <v>3.6126056879323598</v>
      </c>
      <c r="H156" s="14" t="s">
        <v>157</v>
      </c>
      <c r="I156" s="16">
        <v>2602</v>
      </c>
      <c r="M156" t="str">
        <f>IF(COUNTIFS( $B$2:$B$976, B156, $C$2:$C$976, C156, $D$2:$D$976, D156, $E$2:$E$976, E156) &gt; 1, "Duplicate", "Unique")</f>
        <v>Unique</v>
      </c>
    </row>
    <row r="157" spans="1:13" ht="15" thickBot="1" x14ac:dyDescent="0.4">
      <c r="A157" t="s">
        <v>51</v>
      </c>
      <c r="B157" t="s">
        <v>53</v>
      </c>
      <c r="C157" t="s">
        <v>16</v>
      </c>
      <c r="D157">
        <v>10</v>
      </c>
      <c r="E157">
        <v>1348</v>
      </c>
      <c r="F157" t="s">
        <v>9</v>
      </c>
      <c r="G157">
        <f>((E157-I157)/I157)*100</f>
        <v>3.7721324095458044</v>
      </c>
      <c r="H157" s="14" t="s">
        <v>179</v>
      </c>
      <c r="I157" s="16">
        <v>1299</v>
      </c>
      <c r="M157" t="str">
        <f>IF(COUNTIFS( $B$2:$B$976, B157, $C$2:$C$976, C157, $D$2:$D$976, D157, $E$2:$E$976, E157) &gt; 1, "Duplicate", "Unique")</f>
        <v>Unique</v>
      </c>
    </row>
    <row r="158" spans="1:13" ht="15" thickBot="1" x14ac:dyDescent="0.4">
      <c r="A158" s="18" t="s">
        <v>125</v>
      </c>
      <c r="B158" s="18" t="s">
        <v>75</v>
      </c>
      <c r="C158" s="18" t="s">
        <v>16</v>
      </c>
      <c r="D158" s="18">
        <v>200</v>
      </c>
      <c r="E158" s="18">
        <v>92.75</v>
      </c>
      <c r="F158" s="18" t="s">
        <v>9</v>
      </c>
      <c r="G158">
        <f>((E158-I158)/I158)*100</f>
        <v>3.8750139993280253</v>
      </c>
      <c r="H158" s="14" t="s">
        <v>195</v>
      </c>
      <c r="I158" s="16">
        <v>89.29</v>
      </c>
      <c r="M158" t="str">
        <f>IF(COUNTIFS( $B$2:$B$976, B158, $C$2:$C$976, C158, $D$2:$D$976, D158, $E$2:$E$976, E158) &gt; 1, "Duplicate", "Unique")</f>
        <v>Unique</v>
      </c>
    </row>
    <row r="159" spans="1:13" ht="15" thickBot="1" x14ac:dyDescent="0.4">
      <c r="A159" t="s">
        <v>36</v>
      </c>
      <c r="B159" t="s">
        <v>39</v>
      </c>
      <c r="C159" t="s">
        <v>16</v>
      </c>
      <c r="D159">
        <v>40</v>
      </c>
      <c r="E159">
        <v>320.5</v>
      </c>
      <c r="F159" t="s">
        <v>9</v>
      </c>
      <c r="G159">
        <f>((E159-I159)/I159)*100</f>
        <v>3.9234760051880748</v>
      </c>
      <c r="H159" s="14" t="s">
        <v>172</v>
      </c>
      <c r="I159" s="16">
        <v>308.39999999999998</v>
      </c>
      <c r="M159" t="str">
        <f>IF(COUNTIFS( $B$2:$B$976, B159, $C$2:$C$976, C159, $D$2:$D$976, D159, $E$2:$E$976, E159) &gt; 1, "Duplicate", "Unique")</f>
        <v>Unique</v>
      </c>
    </row>
    <row r="160" spans="1:13" ht="15" thickBot="1" x14ac:dyDescent="0.4">
      <c r="A160" t="s">
        <v>17</v>
      </c>
      <c r="B160" t="s">
        <v>25</v>
      </c>
      <c r="C160" t="s">
        <v>16</v>
      </c>
      <c r="D160">
        <v>25</v>
      </c>
      <c r="E160">
        <v>210</v>
      </c>
      <c r="F160" t="s">
        <v>9</v>
      </c>
      <c r="G160">
        <f>((E160-I160)/I160)*100</f>
        <v>4.3478260869565215</v>
      </c>
      <c r="H160" s="14" t="s">
        <v>163</v>
      </c>
      <c r="I160" s="16">
        <v>201.25</v>
      </c>
      <c r="M160" t="str">
        <f>IF(COUNTIFS( $B$2:$B$976, B160, $C$2:$C$976, C160, $D$2:$D$976, D160, $E$2:$E$976, E160) &gt; 1, "Duplicate", "Unique")</f>
        <v>Unique</v>
      </c>
    </row>
    <row r="161" spans="1:13" ht="15" thickBot="1" x14ac:dyDescent="0.4">
      <c r="A161" t="s">
        <v>14</v>
      </c>
      <c r="B161" t="s">
        <v>15</v>
      </c>
      <c r="C161" t="s">
        <v>16</v>
      </c>
      <c r="D161">
        <v>10</v>
      </c>
      <c r="E161">
        <v>2720</v>
      </c>
      <c r="F161" t="s">
        <v>9</v>
      </c>
      <c r="G161">
        <f>((E161-I161)/I161)*100</f>
        <v>4.5349730976172173</v>
      </c>
      <c r="H161" s="14" t="s">
        <v>157</v>
      </c>
      <c r="I161" s="16">
        <v>2602</v>
      </c>
      <c r="M161" t="str">
        <f>IF(COUNTIFS( $B$2:$B$976, B161, $C$2:$C$976, C161, $D$2:$D$976, D161, $E$2:$E$976, E161) &gt; 1, "Duplicate", "Unique")</f>
        <v>Unique</v>
      </c>
    </row>
    <row r="162" spans="1:13" ht="15" thickBot="1" x14ac:dyDescent="0.4">
      <c r="A162" t="s">
        <v>43</v>
      </c>
      <c r="B162" t="s">
        <v>44</v>
      </c>
      <c r="C162" t="s">
        <v>16</v>
      </c>
      <c r="D162">
        <v>30</v>
      </c>
      <c r="E162">
        <v>948</v>
      </c>
      <c r="F162" t="s">
        <v>9</v>
      </c>
      <c r="G162">
        <f>((E162-I162)/I162)*100</f>
        <v>4.5780474351902924</v>
      </c>
      <c r="H162" s="14" t="s">
        <v>175</v>
      </c>
      <c r="I162" s="16">
        <v>906.5</v>
      </c>
      <c r="M162" t="str">
        <f>IF(COUNTIFS( $B$2:$B$976, B162, $C$2:$C$976, C162, $D$2:$D$976, D162, $E$2:$E$976, E162) &gt; 1, "Duplicate", "Unique")</f>
        <v>Unique</v>
      </c>
    </row>
    <row r="163" spans="1:13" ht="15" thickBot="1" x14ac:dyDescent="0.4">
      <c r="A163" t="s">
        <v>17</v>
      </c>
      <c r="B163" t="s">
        <v>31</v>
      </c>
      <c r="C163" t="s">
        <v>16</v>
      </c>
      <c r="D163">
        <v>65</v>
      </c>
      <c r="E163">
        <v>219</v>
      </c>
      <c r="F163" t="s">
        <v>9</v>
      </c>
      <c r="G163">
        <f>((E163-I163)/I163)*100</f>
        <v>4.5845272206303695</v>
      </c>
      <c r="H163" s="14" t="s">
        <v>167</v>
      </c>
      <c r="I163" s="16">
        <v>209.4</v>
      </c>
      <c r="M163" t="str">
        <f>IF(COUNTIFS( $B$2:$B$976, B163, $C$2:$C$976, C163, $D$2:$D$976, D163, $E$2:$E$976, E163) &gt; 1, "Duplicate", "Unique")</f>
        <v>Unique</v>
      </c>
    </row>
    <row r="164" spans="1:13" ht="15" thickBot="1" x14ac:dyDescent="0.4">
      <c r="A164" t="s">
        <v>51</v>
      </c>
      <c r="B164" t="s">
        <v>53</v>
      </c>
      <c r="C164" t="s">
        <v>16</v>
      </c>
      <c r="D164">
        <v>10</v>
      </c>
      <c r="E164">
        <v>1360</v>
      </c>
      <c r="F164" t="s">
        <v>9</v>
      </c>
      <c r="G164">
        <f>((E164-I164)/I164)*100</f>
        <v>4.695919938414165</v>
      </c>
      <c r="H164" s="14" t="s">
        <v>179</v>
      </c>
      <c r="I164" s="16">
        <v>1299</v>
      </c>
      <c r="M164" t="str">
        <f>IF(COUNTIFS( $B$2:$B$976, B164, $C$2:$C$976, C164, $D$2:$D$976, D164, $E$2:$E$976, E164) &gt; 1, "Duplicate", "Unique")</f>
        <v>Unique</v>
      </c>
    </row>
    <row r="165" spans="1:13" ht="15" thickBot="1" x14ac:dyDescent="0.4">
      <c r="A165" t="s">
        <v>45</v>
      </c>
      <c r="B165" t="s">
        <v>46</v>
      </c>
      <c r="C165" t="s">
        <v>16</v>
      </c>
      <c r="D165">
        <v>10</v>
      </c>
      <c r="E165">
        <v>977</v>
      </c>
      <c r="F165" t="s">
        <v>9</v>
      </c>
      <c r="G165">
        <f>((E165-I165)/I165)*100</f>
        <v>5.2064825284014455</v>
      </c>
      <c r="H165" s="14" t="s">
        <v>176</v>
      </c>
      <c r="I165" s="16">
        <v>928.65</v>
      </c>
      <c r="M165" t="str">
        <f>IF(COUNTIFS( $B$2:$B$976, B165, $C$2:$C$976, C165, $D$2:$D$976, D165, $E$2:$E$976, E165) &gt; 1, "Duplicate", "Unique")</f>
        <v>Unique</v>
      </c>
    </row>
    <row r="166" spans="1:13" ht="15" thickBot="1" x14ac:dyDescent="0.4">
      <c r="A166" t="s">
        <v>45</v>
      </c>
      <c r="B166" t="s">
        <v>85</v>
      </c>
      <c r="C166" t="s">
        <v>16</v>
      </c>
      <c r="D166">
        <v>5</v>
      </c>
      <c r="E166">
        <v>4040</v>
      </c>
      <c r="F166" t="s">
        <v>9</v>
      </c>
      <c r="G166">
        <f>((E166-I166)/I166)*100</f>
        <v>5.2110732050313784</v>
      </c>
      <c r="H166" s="14" t="s">
        <v>202</v>
      </c>
      <c r="I166" s="16">
        <v>3839.9</v>
      </c>
      <c r="M166" t="str">
        <f>IF(COUNTIFS( $B$2:$B$976, B166, $C$2:$C$976, C166, $D$2:$D$976, D166, $E$2:$E$976, E166) &gt; 1, "Duplicate", "Unique")</f>
        <v>Unique</v>
      </c>
    </row>
    <row r="167" spans="1:13" ht="15" thickBot="1" x14ac:dyDescent="0.4">
      <c r="A167" t="s">
        <v>61</v>
      </c>
      <c r="B167" t="s">
        <v>74</v>
      </c>
      <c r="C167" t="s">
        <v>16</v>
      </c>
      <c r="D167">
        <v>5</v>
      </c>
      <c r="E167">
        <v>3633</v>
      </c>
      <c r="F167" t="s">
        <v>9</v>
      </c>
      <c r="G167">
        <f>((E167-I167)/I167)*100</f>
        <v>5.7641921397379914</v>
      </c>
      <c r="H167" s="14" t="s">
        <v>194</v>
      </c>
      <c r="I167" s="16">
        <v>3435</v>
      </c>
      <c r="M167" t="str">
        <f>IF(COUNTIFS( $B$2:$B$976, B167, $C$2:$C$976, C167, $D$2:$D$976, D167, $E$2:$E$976, E167) &gt; 1, "Duplicate", "Unique")</f>
        <v>Unique</v>
      </c>
    </row>
    <row r="168" spans="1:13" ht="15" thickBot="1" x14ac:dyDescent="0.4">
      <c r="A168" t="s">
        <v>51</v>
      </c>
      <c r="B168" t="s">
        <v>73</v>
      </c>
      <c r="C168" t="s">
        <v>16</v>
      </c>
      <c r="D168">
        <v>2</v>
      </c>
      <c r="E168">
        <v>2690</v>
      </c>
      <c r="F168" t="s">
        <v>9</v>
      </c>
      <c r="G168">
        <f>((E168-I168)/I168)*100</f>
        <v>5.9847917733737876</v>
      </c>
      <c r="H168" s="14" t="s">
        <v>193</v>
      </c>
      <c r="I168" s="16">
        <v>2538.1</v>
      </c>
      <c r="M168" t="str">
        <f>IF(COUNTIFS( $B$2:$B$976, B168, $C$2:$C$976, C168, $D$2:$D$976, D168, $E$2:$E$976, E168) &gt; 1, "Duplicate", "Unique")</f>
        <v>Unique</v>
      </c>
    </row>
    <row r="169" spans="1:13" ht="15" thickBot="1" x14ac:dyDescent="0.4">
      <c r="A169" s="18" t="s">
        <v>106</v>
      </c>
      <c r="B169" s="18" t="s">
        <v>48</v>
      </c>
      <c r="C169" s="18" t="s">
        <v>16</v>
      </c>
      <c r="D169" s="18">
        <v>20</v>
      </c>
      <c r="E169" s="18">
        <v>424</v>
      </c>
      <c r="F169" s="18" t="s">
        <v>9</v>
      </c>
      <c r="G169">
        <f>((E169-I169)/I169)*100</f>
        <v>6.2124248496994019</v>
      </c>
      <c r="H169" s="14" t="s">
        <v>177</v>
      </c>
      <c r="I169" s="16">
        <v>399.2</v>
      </c>
      <c r="M169" t="str">
        <f>IF(COUNTIFS( $B$2:$B$976, B169, $C$2:$C$976, C169, $D$2:$D$976, D169, $E$2:$E$976, E169) &gt; 1, "Duplicate", "Unique")</f>
        <v>Unique</v>
      </c>
    </row>
    <row r="170" spans="1:13" ht="15" thickBot="1" x14ac:dyDescent="0.4">
      <c r="A170" s="19">
        <v>46237.768750000003</v>
      </c>
      <c r="B170" s="20" t="s">
        <v>25</v>
      </c>
      <c r="C170" s="20" t="s">
        <v>16</v>
      </c>
      <c r="D170" s="21">
        <v>25</v>
      </c>
      <c r="E170" s="22">
        <v>214</v>
      </c>
      <c r="F170" s="20" t="s">
        <v>9</v>
      </c>
      <c r="G170">
        <f>((E170-I170)/I170)*100</f>
        <v>6.3354037267080745</v>
      </c>
      <c r="H170" s="14" t="s">
        <v>163</v>
      </c>
      <c r="I170" s="16">
        <v>201.25</v>
      </c>
      <c r="M170" t="str">
        <f>IF(COUNTIFS( $B$2:$B$976, B170, $C$2:$C$976, C170, $D$2:$D$976, D170, $E$2:$E$976, E170) &gt; 1, "Duplicate", "Unique")</f>
        <v>Unique</v>
      </c>
    </row>
    <row r="171" spans="1:13" ht="15" thickBot="1" x14ac:dyDescent="0.4">
      <c r="A171" t="s">
        <v>14</v>
      </c>
      <c r="B171" t="s">
        <v>15</v>
      </c>
      <c r="C171" t="s">
        <v>16</v>
      </c>
      <c r="D171">
        <v>10</v>
      </c>
      <c r="E171">
        <v>2770</v>
      </c>
      <c r="F171" t="s">
        <v>9</v>
      </c>
      <c r="G171">
        <f>((E171-I171)/I171)*100</f>
        <v>6.4565718677940049</v>
      </c>
      <c r="H171" s="14" t="s">
        <v>157</v>
      </c>
      <c r="I171" s="16">
        <v>2602</v>
      </c>
      <c r="M171" t="str">
        <f>IF(COUNTIFS( $B$2:$B$976, B171, $C$2:$C$976, C171, $D$2:$D$976, D171, $E$2:$E$976, E171) &gt; 1, "Duplicate", "Unique")</f>
        <v>Unique</v>
      </c>
    </row>
    <row r="172" spans="1:13" ht="15" thickBot="1" x14ac:dyDescent="0.4">
      <c r="A172" t="s">
        <v>33</v>
      </c>
      <c r="B172" t="s">
        <v>34</v>
      </c>
      <c r="C172" t="s">
        <v>16</v>
      </c>
      <c r="D172">
        <v>5</v>
      </c>
      <c r="E172">
        <v>730</v>
      </c>
      <c r="F172" t="s">
        <v>9</v>
      </c>
      <c r="G172">
        <f>((E172-I172)/I172)*100</f>
        <v>6.7719760128711348</v>
      </c>
      <c r="H172" s="14" t="s">
        <v>169</v>
      </c>
      <c r="I172" s="16">
        <v>683.7</v>
      </c>
      <c r="M172" t="str">
        <f>IF(COUNTIFS( $B$2:$B$976, B172, $C$2:$C$976, C172, $D$2:$D$976, D172, $E$2:$E$976, E172) &gt; 1, "Duplicate", "Unique")</f>
        <v>Unique</v>
      </c>
    </row>
    <row r="173" spans="1:13" ht="15" thickBot="1" x14ac:dyDescent="0.4">
      <c r="A173" s="18" t="s">
        <v>106</v>
      </c>
      <c r="B173" s="18" t="s">
        <v>73</v>
      </c>
      <c r="C173" s="18" t="s">
        <v>16</v>
      </c>
      <c r="D173" s="18">
        <v>3</v>
      </c>
      <c r="E173" s="18">
        <v>2710</v>
      </c>
      <c r="F173" s="18" t="s">
        <v>9</v>
      </c>
      <c r="G173">
        <f>((E173-I173)/I173)*100</f>
        <v>6.772782790276195</v>
      </c>
      <c r="H173" s="14" t="s">
        <v>193</v>
      </c>
      <c r="I173" s="16">
        <v>2538.1</v>
      </c>
      <c r="M173" t="str">
        <f>IF(COUNTIFS( $B$2:$B$976, B173, $C$2:$C$976, C173, $D$2:$D$976, D173, $E$2:$E$976, E173) &gt; 1, "Duplicate", "Unique")</f>
        <v>Unique</v>
      </c>
    </row>
    <row r="174" spans="1:13" ht="15" thickBot="1" x14ac:dyDescent="0.4">
      <c r="A174" t="s">
        <v>41</v>
      </c>
      <c r="B174" t="s">
        <v>42</v>
      </c>
      <c r="C174" t="s">
        <v>16</v>
      </c>
      <c r="D174">
        <v>100</v>
      </c>
      <c r="E174">
        <v>310.5</v>
      </c>
      <c r="F174" t="s">
        <v>9</v>
      </c>
      <c r="G174">
        <f>((E174-I174)/I174)*100</f>
        <v>6.9951757408683717</v>
      </c>
      <c r="H174" s="14" t="s">
        <v>174</v>
      </c>
      <c r="I174" s="16">
        <v>290.2</v>
      </c>
      <c r="M174" t="str">
        <f>IF(COUNTIFS( $B$2:$B$976, B174, $C$2:$C$976, C174, $D$2:$D$976, D174, $E$2:$E$976, E174) &gt; 1, "Duplicate", "Unique")</f>
        <v>Unique</v>
      </c>
    </row>
    <row r="175" spans="1:13" ht="15" thickBot="1" x14ac:dyDescent="0.4">
      <c r="A175" s="6" t="s">
        <v>83</v>
      </c>
      <c r="B175" s="6" t="s">
        <v>84</v>
      </c>
      <c r="C175" s="6" t="s">
        <v>16</v>
      </c>
      <c r="D175" s="6">
        <v>11</v>
      </c>
      <c r="E175" s="6">
        <v>548</v>
      </c>
      <c r="F175" s="6" t="s">
        <v>9</v>
      </c>
      <c r="G175">
        <f>((E175-I175)/I175)*100</f>
        <v>7.1358748778103624</v>
      </c>
      <c r="H175" s="14" t="s">
        <v>201</v>
      </c>
      <c r="I175" s="16">
        <v>511.5</v>
      </c>
      <c r="M175" t="str">
        <f>IF(COUNTIFS( $B$2:$B$976, B175, $C$2:$C$976, C175, $D$2:$D$976, D175, $E$2:$E$976, E175) &gt; 1, "Duplicate", "Unique")</f>
        <v>Unique</v>
      </c>
    </row>
    <row r="176" spans="1:13" ht="15" thickBot="1" x14ac:dyDescent="0.4">
      <c r="A176" s="6" t="s">
        <v>111</v>
      </c>
      <c r="B176" s="6" t="s">
        <v>71</v>
      </c>
      <c r="C176" s="6" t="s">
        <v>16</v>
      </c>
      <c r="D176" s="6">
        <v>7</v>
      </c>
      <c r="E176" s="6">
        <v>1424</v>
      </c>
      <c r="F176" s="6" t="s">
        <v>9</v>
      </c>
      <c r="G176">
        <f>((E176-I176)/I176)*100</f>
        <v>7.1482317531978934</v>
      </c>
      <c r="H176" s="14" t="s">
        <v>191</v>
      </c>
      <c r="I176" s="16">
        <v>1329</v>
      </c>
      <c r="M176" t="str">
        <f>IF(COUNTIFS( $B$2:$B$976, B176, $C$2:$C$976, C176, $D$2:$D$976, D176, $E$2:$E$976, E176) &gt; 1, "Duplicate", "Unique")</f>
        <v>Unique</v>
      </c>
    </row>
    <row r="177" spans="1:13" ht="15" thickBot="1" x14ac:dyDescent="0.4">
      <c r="A177" s="6" t="s">
        <v>45</v>
      </c>
      <c r="B177" s="6" t="s">
        <v>46</v>
      </c>
      <c r="C177" s="6" t="s">
        <v>16</v>
      </c>
      <c r="D177" s="6">
        <v>10</v>
      </c>
      <c r="E177" s="6">
        <v>997</v>
      </c>
      <c r="F177" s="6" t="s">
        <v>9</v>
      </c>
      <c r="G177">
        <f>((E177-I177)/I177)*100</f>
        <v>7.3601464491466135</v>
      </c>
      <c r="H177" s="14" t="s">
        <v>176</v>
      </c>
      <c r="I177" s="16">
        <v>928.65</v>
      </c>
      <c r="M177" t="str">
        <f>IF(COUNTIFS( $B$2:$B$976, B177, $C$2:$C$976, C177, $D$2:$D$976, D177, $E$2:$E$976, E177) &gt; 1, "Duplicate", "Unique")</f>
        <v>Unique</v>
      </c>
    </row>
    <row r="178" spans="1:13" ht="15" thickBot="1" x14ac:dyDescent="0.4">
      <c r="A178" s="7">
        <v>46237.768750000003</v>
      </c>
      <c r="B178" s="8" t="s">
        <v>44</v>
      </c>
      <c r="C178" s="8" t="s">
        <v>16</v>
      </c>
      <c r="D178" s="9">
        <v>30</v>
      </c>
      <c r="E178" s="10">
        <v>974</v>
      </c>
      <c r="F178" s="8" t="s">
        <v>9</v>
      </c>
      <c r="G178">
        <f>((E178-I178)/I178)*100</f>
        <v>7.4462217319360171</v>
      </c>
      <c r="H178" s="14" t="s">
        <v>175</v>
      </c>
      <c r="I178" s="16">
        <v>906.5</v>
      </c>
      <c r="M178" t="str">
        <f>IF(COUNTIFS( $B$2:$B$976, B178, $C$2:$C$976, C178, $D$2:$D$976, D178, $E$2:$E$976, E178) &gt; 1, "Duplicate", "Unique")</f>
        <v>Unique</v>
      </c>
    </row>
    <row r="179" spans="1:13" ht="15" thickBot="1" x14ac:dyDescent="0.4">
      <c r="A179" s="6" t="s">
        <v>56</v>
      </c>
      <c r="B179" s="6" t="s">
        <v>63</v>
      </c>
      <c r="C179" s="6" t="s">
        <v>16</v>
      </c>
      <c r="D179" s="6">
        <v>3</v>
      </c>
      <c r="E179" s="6">
        <v>3341</v>
      </c>
      <c r="F179" s="6" t="s">
        <v>9</v>
      </c>
      <c r="G179">
        <f>((E179-I179)/I179)*100</f>
        <v>7.5279199253323066</v>
      </c>
      <c r="H179" s="14" t="s">
        <v>185</v>
      </c>
      <c r="I179" s="16">
        <v>3107.1</v>
      </c>
      <c r="M179" t="str">
        <f>IF(COUNTIFS( $B$2:$B$976, B179, $C$2:$C$976, C179, $D$2:$D$976, D179, $E$2:$E$976, E179) &gt; 1, "Duplicate", "Unique")</f>
        <v>Unique</v>
      </c>
    </row>
    <row r="180" spans="1:13" ht="15" thickBot="1" x14ac:dyDescent="0.4">
      <c r="A180" s="6" t="s">
        <v>56</v>
      </c>
      <c r="B180" s="6" t="s">
        <v>69</v>
      </c>
      <c r="C180" s="6" t="s">
        <v>16</v>
      </c>
      <c r="D180" s="6">
        <v>5</v>
      </c>
      <c r="E180" s="6">
        <v>790</v>
      </c>
      <c r="F180" s="6" t="s">
        <v>9</v>
      </c>
      <c r="G180">
        <f>((E180-I180)/I180)*100</f>
        <v>7.6440932007085474</v>
      </c>
      <c r="H180" s="14" t="s">
        <v>190</v>
      </c>
      <c r="I180" s="16">
        <v>733.9</v>
      </c>
      <c r="M180" t="str">
        <f>IF(COUNTIFS( $B$2:$B$976, B180, $C$2:$C$976, C180, $D$2:$D$976, D180, $E$2:$E$976, E180) &gt; 1, "Duplicate", "Unique")</f>
        <v>Unique</v>
      </c>
    </row>
    <row r="181" spans="1:13" ht="15" thickBot="1" x14ac:dyDescent="0.4">
      <c r="A181" s="6" t="s">
        <v>111</v>
      </c>
      <c r="B181" s="6" t="s">
        <v>74</v>
      </c>
      <c r="C181" s="6" t="s">
        <v>16</v>
      </c>
      <c r="D181" s="6">
        <v>1</v>
      </c>
      <c r="E181" s="6">
        <v>3710</v>
      </c>
      <c r="F181" s="6" t="s">
        <v>9</v>
      </c>
      <c r="G181">
        <f>((E181-I181)/I181)*100</f>
        <v>8.0058224163027667</v>
      </c>
      <c r="H181" s="14" t="s">
        <v>194</v>
      </c>
      <c r="I181" s="16">
        <v>3435</v>
      </c>
      <c r="M181" t="str">
        <f>IF(COUNTIFS( $B$2:$B$976, B181, $C$2:$C$976, C181, $D$2:$D$976, D181, $E$2:$E$976, E181) &gt; 1, "Duplicate", "Unique")</f>
        <v>Unique</v>
      </c>
    </row>
    <row r="182" spans="1:13" ht="15" thickBot="1" x14ac:dyDescent="0.4">
      <c r="A182" s="6" t="s">
        <v>106</v>
      </c>
      <c r="B182" s="6" t="s">
        <v>81</v>
      </c>
      <c r="C182" s="6" t="s">
        <v>16</v>
      </c>
      <c r="D182" s="6">
        <v>3</v>
      </c>
      <c r="E182" s="6">
        <v>2846</v>
      </c>
      <c r="F182" s="6" t="s">
        <v>9</v>
      </c>
      <c r="G182">
        <f>((E182-I182)/I182)*100</f>
        <v>8.0691095500284788</v>
      </c>
      <c r="H182" s="14" t="s">
        <v>199</v>
      </c>
      <c r="I182" s="16">
        <v>2633.5</v>
      </c>
      <c r="M182" t="str">
        <f>IF(COUNTIFS( $B$2:$B$976, B182, $C$2:$C$976, C182, $D$2:$D$976, D182, $E$2:$E$976, E182) &gt; 1, "Duplicate", "Unique")</f>
        <v>Unique</v>
      </c>
    </row>
    <row r="183" spans="1:13" ht="15" thickBot="1" x14ac:dyDescent="0.4">
      <c r="A183" s="7">
        <v>46234.686805555553</v>
      </c>
      <c r="B183" s="8" t="s">
        <v>42</v>
      </c>
      <c r="C183" s="8" t="s">
        <v>16</v>
      </c>
      <c r="D183" s="9">
        <v>100</v>
      </c>
      <c r="E183" s="10">
        <v>314</v>
      </c>
      <c r="F183" s="8" t="s">
        <v>9</v>
      </c>
      <c r="G183">
        <f>((E183-I183)/I183)*100</f>
        <v>8.2012405237767094</v>
      </c>
      <c r="H183" s="14" t="s">
        <v>174</v>
      </c>
      <c r="I183" s="16">
        <v>290.2</v>
      </c>
      <c r="M183" t="str">
        <f>IF(COUNTIFS( $B$2:$B$976, B183, $C$2:$C$976, C183, $D$2:$D$976, D183, $E$2:$E$976, E183) &gt; 1, "Duplicate", "Unique")</f>
        <v>Unique</v>
      </c>
    </row>
    <row r="184" spans="1:13" ht="15" thickBot="1" x14ac:dyDescent="0.4">
      <c r="A184" s="6" t="s">
        <v>104</v>
      </c>
      <c r="B184" s="6" t="s">
        <v>132</v>
      </c>
      <c r="C184" s="6" t="s">
        <v>16</v>
      </c>
      <c r="D184" s="6">
        <v>50</v>
      </c>
      <c r="E184" s="6">
        <v>480</v>
      </c>
      <c r="F184" s="6" t="s">
        <v>9</v>
      </c>
      <c r="G184">
        <f>((E184-I184)/I184)*100</f>
        <v>8.3399164879810375</v>
      </c>
      <c r="H184" s="14" t="s">
        <v>210</v>
      </c>
      <c r="I184" s="16">
        <v>443.05</v>
      </c>
      <c r="M184" t="str">
        <f>IF(COUNTIFS( $B$2:$B$976, B184, $C$2:$C$976, C184, $D$2:$D$976, D184, $E$2:$E$976, E184) &gt; 1, "Duplicate", "Unique")</f>
        <v>Unique</v>
      </c>
    </row>
    <row r="185" spans="1:13" ht="15" thickBot="1" x14ac:dyDescent="0.4">
      <c r="A185" s="6" t="s">
        <v>133</v>
      </c>
      <c r="B185" s="6" t="s">
        <v>134</v>
      </c>
      <c r="C185" s="6" t="s">
        <v>16</v>
      </c>
      <c r="D185" s="6">
        <v>23</v>
      </c>
      <c r="E185" s="6">
        <v>890</v>
      </c>
      <c r="F185" s="6" t="s">
        <v>9</v>
      </c>
      <c r="G185">
        <f>((E185-I185)/I185)*100</f>
        <v>8.4307992202729114</v>
      </c>
      <c r="H185" s="14" t="s">
        <v>211</v>
      </c>
      <c r="I185" s="17">
        <v>820.8</v>
      </c>
      <c r="M185" t="str">
        <f>IF(COUNTIFS( $B$2:$B$976, B185, $C$2:$C$976, C185, $D$2:$D$976, D185, $E$2:$E$976, E185) &gt; 1, "Duplicate", "Unique")</f>
        <v>Unique</v>
      </c>
    </row>
    <row r="186" spans="1:13" ht="15" thickBot="1" x14ac:dyDescent="0.4">
      <c r="A186" s="7">
        <v>46238.69059027778</v>
      </c>
      <c r="B186" s="8" t="s">
        <v>44</v>
      </c>
      <c r="C186" s="8" t="s">
        <v>16</v>
      </c>
      <c r="D186" s="9">
        <v>5</v>
      </c>
      <c r="E186" s="9">
        <v>986</v>
      </c>
      <c r="F186" s="8" t="s">
        <v>9</v>
      </c>
      <c r="G186">
        <f>((E186-I186)/I186)*100</f>
        <v>8.7699944842801987</v>
      </c>
      <c r="H186" s="14" t="s">
        <v>175</v>
      </c>
      <c r="I186" s="16">
        <v>906.5</v>
      </c>
      <c r="M186" t="str">
        <f>IF(COUNTIFS( $B$2:$B$976, B186, $C$2:$C$976, C186, $D$2:$D$976, D186, $E$2:$E$976, E186) &gt; 1, "Duplicate", "Unique")</f>
        <v>Unique</v>
      </c>
    </row>
    <row r="187" spans="1:13" ht="15" thickBot="1" x14ac:dyDescent="0.4">
      <c r="A187" s="19">
        <v>46238.690567129626</v>
      </c>
      <c r="B187" s="8" t="s">
        <v>25</v>
      </c>
      <c r="C187" s="8" t="s">
        <v>16</v>
      </c>
      <c r="D187" s="9">
        <v>25</v>
      </c>
      <c r="E187" s="9">
        <v>220</v>
      </c>
      <c r="F187" s="8" t="s">
        <v>9</v>
      </c>
      <c r="G187">
        <f>((E187-I187)/I187)*100</f>
        <v>9.316770186335404</v>
      </c>
      <c r="H187" s="14" t="s">
        <v>163</v>
      </c>
      <c r="I187" s="16">
        <v>201.25</v>
      </c>
      <c r="M187" t="str">
        <f>IF(COUNTIFS( $B$2:$B$976, B187, $C$2:$C$976, C187, $D$2:$D$976, D187, $E$2:$E$976, E187) &gt; 1, "Duplicate", "Unique")</f>
        <v>Unique</v>
      </c>
    </row>
    <row r="188" spans="1:13" ht="15" thickBot="1" x14ac:dyDescent="0.4">
      <c r="A188" s="7">
        <v>46233.688194444447</v>
      </c>
      <c r="B188" s="11" t="s">
        <v>31</v>
      </c>
      <c r="C188" s="8" t="s">
        <v>16</v>
      </c>
      <c r="D188" s="9">
        <v>40</v>
      </c>
      <c r="E188" s="12">
        <v>229</v>
      </c>
      <c r="F188" s="8" t="s">
        <v>9</v>
      </c>
      <c r="G188">
        <f>((E188-I188)/I188)*100</f>
        <v>9.3600764087870072</v>
      </c>
      <c r="H188" s="14" t="s">
        <v>167</v>
      </c>
      <c r="I188" s="16">
        <v>209.4</v>
      </c>
      <c r="M188" t="str">
        <f>IF(COUNTIFS( $B$2:$B$976, B188, $C$2:$C$976, C188, $D$2:$D$976, D188, $E$2:$E$976, E188) &gt; 1, "Duplicate", "Unique")</f>
        <v>Unique</v>
      </c>
    </row>
    <row r="189" spans="1:13" ht="15" thickBot="1" x14ac:dyDescent="0.4">
      <c r="A189" s="6" t="s">
        <v>115</v>
      </c>
      <c r="B189" s="6" t="s">
        <v>34</v>
      </c>
      <c r="C189" s="6" t="s">
        <v>16</v>
      </c>
      <c r="D189" s="6">
        <v>11</v>
      </c>
      <c r="E189" s="6">
        <v>749</v>
      </c>
      <c r="F189" s="6" t="s">
        <v>9</v>
      </c>
      <c r="G189">
        <f>((E189-I189)/I189)*100</f>
        <v>9.5509726488225759</v>
      </c>
      <c r="H189" s="14" t="s">
        <v>169</v>
      </c>
      <c r="I189" s="16">
        <v>683.7</v>
      </c>
      <c r="M189" t="str">
        <f>IF(COUNTIFS( $B$2:$B$976, B189, $C$2:$C$976, C189, $D$2:$D$976, D189, $E$2:$E$976, E189) &gt; 1, "Duplicate", "Unique")</f>
        <v>Unique</v>
      </c>
    </row>
    <row r="190" spans="1:13" ht="15" thickBot="1" x14ac:dyDescent="0.4">
      <c r="A190" s="6" t="s">
        <v>110</v>
      </c>
      <c r="B190" s="6" t="s">
        <v>42</v>
      </c>
      <c r="C190" s="6" t="s">
        <v>16</v>
      </c>
      <c r="D190" s="6">
        <v>100</v>
      </c>
      <c r="E190" s="6">
        <v>318</v>
      </c>
      <c r="F190" s="6" t="s">
        <v>9</v>
      </c>
      <c r="G190">
        <f>((E190-I190)/I190)*100</f>
        <v>9.5796002756719556</v>
      </c>
      <c r="H190" s="14" t="s">
        <v>174</v>
      </c>
      <c r="I190" s="16">
        <v>290.2</v>
      </c>
      <c r="M190" t="str">
        <f>IF(COUNTIFS( $B$2:$B$976, B190, $C$2:$C$976, C190, $D$2:$D$976, D190, $E$2:$E$976, E190) &gt; 1, "Duplicate", "Unique")</f>
        <v>Unique</v>
      </c>
    </row>
    <row r="191" spans="1:13" ht="15" thickBot="1" x14ac:dyDescent="0.4">
      <c r="A191" s="7">
        <v>46233.688194444447</v>
      </c>
      <c r="B191" s="11" t="s">
        <v>44</v>
      </c>
      <c r="C191" s="8" t="s">
        <v>16</v>
      </c>
      <c r="D191" s="9">
        <v>40</v>
      </c>
      <c r="E191" s="12">
        <v>996</v>
      </c>
      <c r="F191" s="8" t="s">
        <v>9</v>
      </c>
      <c r="G191">
        <f>((E191-I191)/I191)*100</f>
        <v>9.8731384445670152</v>
      </c>
      <c r="H191" s="14" t="s">
        <v>175</v>
      </c>
      <c r="I191" s="16">
        <v>906.5</v>
      </c>
      <c r="M191" t="str">
        <f>IF(COUNTIFS( $B$2:$B$976, B191, $C$2:$C$976, C191, $D$2:$D$976, D191, $E$2:$E$976, E191) &gt; 1, "Duplicate", "Unique")</f>
        <v>Unique</v>
      </c>
    </row>
    <row r="192" spans="1:13" ht="15" thickBot="1" x14ac:dyDescent="0.4">
      <c r="A192" s="7">
        <v>46234.686805555553</v>
      </c>
      <c r="B192" s="8" t="s">
        <v>42</v>
      </c>
      <c r="C192" s="8" t="s">
        <v>16</v>
      </c>
      <c r="D192" s="9">
        <v>100</v>
      </c>
      <c r="E192" s="10">
        <v>319</v>
      </c>
      <c r="F192" s="8" t="s">
        <v>9</v>
      </c>
      <c r="G192">
        <f>((E192-I192)/I192)*100</f>
        <v>9.9241902136457654</v>
      </c>
      <c r="H192" s="14" t="s">
        <v>174</v>
      </c>
      <c r="I192" s="16">
        <v>290.2</v>
      </c>
      <c r="M192" t="str">
        <f>IF(COUNTIFS( $B$2:$B$976, B192, $C$2:$C$976, C192, $D$2:$D$976, D192, $E$2:$E$976, E192) &gt; 1, "Duplicate", "Unique")</f>
        <v>Unique</v>
      </c>
    </row>
    <row r="193" spans="1:13" ht="15" thickBot="1" x14ac:dyDescent="0.4">
      <c r="A193" s="7">
        <v>46237.635520833333</v>
      </c>
      <c r="B193" s="8" t="s">
        <v>46</v>
      </c>
      <c r="C193" s="8" t="s">
        <v>16</v>
      </c>
      <c r="D193" s="9">
        <v>10</v>
      </c>
      <c r="E193" s="10">
        <v>1024</v>
      </c>
      <c r="F193" s="8" t="s">
        <v>9</v>
      </c>
      <c r="G193">
        <f>((E193-I193)/I193)*100</f>
        <v>10.267592742152591</v>
      </c>
      <c r="H193" s="14" t="s">
        <v>176</v>
      </c>
      <c r="I193" s="16">
        <v>928.65</v>
      </c>
      <c r="M193" t="str">
        <f>IF(COUNTIFS( $B$2:$B$976, B193, $C$2:$C$976, C193, $D$2:$D$976, D193, $E$2:$E$976, E193) &gt; 1, "Duplicate", "Unique")</f>
        <v>Unique</v>
      </c>
    </row>
    <row r="194" spans="1:13" ht="15" thickBot="1" x14ac:dyDescent="0.4">
      <c r="A194" s="7">
        <v>46238.690578703703</v>
      </c>
      <c r="B194" s="8" t="s">
        <v>44</v>
      </c>
      <c r="C194" s="8" t="s">
        <v>16</v>
      </c>
      <c r="D194" s="9">
        <v>5</v>
      </c>
      <c r="E194" s="9">
        <v>1002</v>
      </c>
      <c r="F194" s="8" t="s">
        <v>9</v>
      </c>
      <c r="G194">
        <f>((E194-I194)/I194)*100</f>
        <v>10.535024820739107</v>
      </c>
      <c r="H194" s="14" t="s">
        <v>175</v>
      </c>
      <c r="I194" s="16">
        <v>906.5</v>
      </c>
      <c r="M194" t="str">
        <f>IF(COUNTIFS( $B$2:$B$976, B194, $C$2:$C$976, C194, $D$2:$D$976, D194, $E$2:$E$976, E194) &gt; 1, "Duplicate", "Unique")</f>
        <v>Unique</v>
      </c>
    </row>
    <row r="195" spans="1:13" ht="15" thickBot="1" x14ac:dyDescent="0.4">
      <c r="A195" s="6" t="s">
        <v>111</v>
      </c>
      <c r="B195" s="6" t="s">
        <v>74</v>
      </c>
      <c r="C195" s="6" t="s">
        <v>16</v>
      </c>
      <c r="D195" s="6">
        <v>1</v>
      </c>
      <c r="E195" s="6">
        <v>3810</v>
      </c>
      <c r="F195" s="6" t="s">
        <v>9</v>
      </c>
      <c r="G195">
        <f>((E195-I195)/I195)*100</f>
        <v>10.91703056768559</v>
      </c>
      <c r="H195" s="14" t="s">
        <v>194</v>
      </c>
      <c r="I195" s="16">
        <v>3435</v>
      </c>
      <c r="M195" t="str">
        <f>IF(COUNTIFS( $B$2:$B$976, B195, $C$2:$C$976, C195, $D$2:$D$976, D195, $E$2:$E$976, E195) &gt; 1, "Duplicate", "Unique")</f>
        <v>Unique</v>
      </c>
    </row>
    <row r="196" spans="1:13" ht="15" thickBot="1" x14ac:dyDescent="0.4">
      <c r="A196" s="6" t="s">
        <v>110</v>
      </c>
      <c r="B196" s="6" t="s">
        <v>42</v>
      </c>
      <c r="C196" s="6" t="s">
        <v>16</v>
      </c>
      <c r="D196" s="6">
        <v>150</v>
      </c>
      <c r="E196" s="6">
        <v>323</v>
      </c>
      <c r="F196" s="6" t="s">
        <v>9</v>
      </c>
      <c r="G196">
        <f>((E196-I196)/I196)*100</f>
        <v>11.30254996554101</v>
      </c>
      <c r="H196" s="14" t="s">
        <v>174</v>
      </c>
      <c r="I196" s="16">
        <v>290.2</v>
      </c>
      <c r="M196" t="str">
        <f>IF(COUNTIFS( $B$2:$B$976, B196, $C$2:$C$976, C196, $D$2:$D$976, D196, $E$2:$E$976, E196) &gt; 1, "Duplicate", "Unique")</f>
        <v>Unique</v>
      </c>
    </row>
    <row r="197" spans="1:13" ht="15" thickBot="1" x14ac:dyDescent="0.4">
      <c r="A197" s="1">
        <v>46234.6875</v>
      </c>
      <c r="B197" s="2" t="s">
        <v>132</v>
      </c>
      <c r="C197" s="2" t="s">
        <v>16</v>
      </c>
      <c r="D197" s="3">
        <v>35</v>
      </c>
      <c r="E197" s="4">
        <v>494</v>
      </c>
      <c r="F197" s="2" t="s">
        <v>9</v>
      </c>
      <c r="G197">
        <f>((E197-I197)/I197)*100</f>
        <v>11.499830718880483</v>
      </c>
      <c r="H197" s="14" t="s">
        <v>210</v>
      </c>
      <c r="I197" s="16">
        <v>443.05</v>
      </c>
      <c r="M197" t="str">
        <f>IF(COUNTIFS( $B$2:$B$976, B197, $C$2:$C$976, C197, $D$2:$D$976, D197, $E$2:$E$976, E197) &gt; 1, "Duplicate", "Unique")</f>
        <v>Unique</v>
      </c>
    </row>
    <row r="198" spans="1:13" ht="15" thickBot="1" x14ac:dyDescent="0.4">
      <c r="A198" t="s">
        <v>17</v>
      </c>
      <c r="B198" t="s">
        <v>18</v>
      </c>
      <c r="C198" t="s">
        <v>16</v>
      </c>
      <c r="D198">
        <v>5</v>
      </c>
      <c r="E198">
        <v>435</v>
      </c>
      <c r="F198" s="6" t="s">
        <v>9</v>
      </c>
      <c r="G198">
        <f>((E198-I198)/I198)*100</f>
        <v>12.417625016151961</v>
      </c>
      <c r="H198" s="14" t="s">
        <v>158</v>
      </c>
      <c r="I198" s="16">
        <v>386.95</v>
      </c>
      <c r="M198" t="str">
        <f>IF(COUNTIFS( $B$2:$B$976, B198, $C$2:$C$976, C198, $D$2:$D$976, D198, $E$2:$E$976, E198) &gt; 1, "Duplicate", "Unique")</f>
        <v>Unique</v>
      </c>
    </row>
    <row r="199" spans="1:13" ht="15" thickBot="1" x14ac:dyDescent="0.4">
      <c r="H199" s="14"/>
      <c r="I199" s="14"/>
    </row>
    <row r="200" spans="1:13" ht="15" thickBot="1" x14ac:dyDescent="0.4">
      <c r="H200" s="14"/>
      <c r="I200" s="14"/>
    </row>
    <row r="201" spans="1:13" ht="15" thickBot="1" x14ac:dyDescent="0.4">
      <c r="H201" s="14"/>
      <c r="I201" s="14"/>
    </row>
    <row r="202" spans="1:13" ht="15" thickBot="1" x14ac:dyDescent="0.4">
      <c r="H202" s="14"/>
      <c r="I202" s="14"/>
    </row>
    <row r="203" spans="1:13" ht="15" thickBot="1" x14ac:dyDescent="0.4">
      <c r="H203" s="14"/>
      <c r="I203" s="14"/>
    </row>
    <row r="204" spans="1:13" ht="15" thickBot="1" x14ac:dyDescent="0.4">
      <c r="H204" s="14"/>
      <c r="I204" s="14"/>
    </row>
    <row r="205" spans="1:13" ht="15" thickBot="1" x14ac:dyDescent="0.4">
      <c r="H205" s="14"/>
      <c r="I205" s="14"/>
    </row>
    <row r="206" spans="1:13" ht="15" thickBot="1" x14ac:dyDescent="0.4">
      <c r="H206" s="14"/>
      <c r="I206" s="14"/>
    </row>
    <row r="207" spans="1:13" ht="15" thickBot="1" x14ac:dyDescent="0.4">
      <c r="H207" s="14"/>
      <c r="I207" s="14"/>
    </row>
    <row r="208" spans="1:13" ht="15" thickBot="1" x14ac:dyDescent="0.4">
      <c r="H208" s="14"/>
      <c r="I208" s="14"/>
    </row>
    <row r="209" spans="8:9" ht="15" thickBot="1" x14ac:dyDescent="0.4">
      <c r="H209" s="14"/>
      <c r="I209" s="14"/>
    </row>
    <row r="210" spans="8:9" ht="15" thickBot="1" x14ac:dyDescent="0.4">
      <c r="H210" s="14"/>
      <c r="I210" s="14"/>
    </row>
    <row r="211" spans="8:9" ht="15" thickBot="1" x14ac:dyDescent="0.4">
      <c r="H211" s="14"/>
      <c r="I211" s="14"/>
    </row>
    <row r="212" spans="8:9" ht="15" thickBot="1" x14ac:dyDescent="0.4">
      <c r="H212" s="14"/>
      <c r="I212" s="14"/>
    </row>
    <row r="213" spans="8:9" ht="15" thickBot="1" x14ac:dyDescent="0.4">
      <c r="H213" s="14"/>
      <c r="I213" s="14"/>
    </row>
    <row r="214" spans="8:9" ht="15" thickBot="1" x14ac:dyDescent="0.4">
      <c r="H214" s="14"/>
      <c r="I214" s="14"/>
    </row>
    <row r="215" spans="8:9" ht="15" thickBot="1" x14ac:dyDescent="0.4">
      <c r="H215" s="14"/>
      <c r="I215" s="14"/>
    </row>
    <row r="216" spans="8:9" ht="15" thickBot="1" x14ac:dyDescent="0.4">
      <c r="H216" s="14"/>
      <c r="I216" s="14"/>
    </row>
    <row r="217" spans="8:9" ht="15" thickBot="1" x14ac:dyDescent="0.4">
      <c r="H217" s="14"/>
      <c r="I217" s="14"/>
    </row>
    <row r="218" spans="8:9" ht="15" thickBot="1" x14ac:dyDescent="0.4">
      <c r="H218" s="14"/>
      <c r="I218" s="14"/>
    </row>
    <row r="219" spans="8:9" ht="15" thickBot="1" x14ac:dyDescent="0.4">
      <c r="H219" s="14"/>
      <c r="I219" s="14"/>
    </row>
    <row r="220" spans="8:9" ht="15" thickBot="1" x14ac:dyDescent="0.4">
      <c r="H220" s="14"/>
      <c r="I220" s="14"/>
    </row>
    <row r="221" spans="8:9" ht="15" thickBot="1" x14ac:dyDescent="0.4">
      <c r="H221" s="14"/>
      <c r="I221" s="14"/>
    </row>
    <row r="222" spans="8:9" ht="15" thickBot="1" x14ac:dyDescent="0.4">
      <c r="H222" s="14"/>
      <c r="I222" s="14"/>
    </row>
    <row r="223" spans="8:9" ht="15" thickBot="1" x14ac:dyDescent="0.4">
      <c r="H223" s="14"/>
      <c r="I223" s="14"/>
    </row>
    <row r="224" spans="8:9" ht="15" thickBot="1" x14ac:dyDescent="0.4">
      <c r="H224" s="14"/>
      <c r="I224" s="14"/>
    </row>
    <row r="225" spans="8:9" ht="15" thickBot="1" x14ac:dyDescent="0.4">
      <c r="H225" s="14"/>
      <c r="I225" s="14"/>
    </row>
    <row r="226" spans="8:9" ht="15" thickBot="1" x14ac:dyDescent="0.4">
      <c r="H226" s="14"/>
      <c r="I226" s="14"/>
    </row>
    <row r="227" spans="8:9" ht="15" thickBot="1" x14ac:dyDescent="0.4">
      <c r="H227" s="14"/>
      <c r="I227" s="14"/>
    </row>
    <row r="228" spans="8:9" ht="15" thickBot="1" x14ac:dyDescent="0.4">
      <c r="H228" s="14"/>
      <c r="I228" s="14"/>
    </row>
    <row r="229" spans="8:9" ht="15" thickBot="1" x14ac:dyDescent="0.4">
      <c r="H229" s="14"/>
      <c r="I229" s="14"/>
    </row>
    <row r="230" spans="8:9" ht="15" thickBot="1" x14ac:dyDescent="0.4">
      <c r="H230" s="14"/>
      <c r="I230" s="14"/>
    </row>
    <row r="231" spans="8:9" ht="15" thickBot="1" x14ac:dyDescent="0.4">
      <c r="H231" s="14"/>
      <c r="I231" s="14"/>
    </row>
    <row r="232" spans="8:9" ht="15" thickBot="1" x14ac:dyDescent="0.4">
      <c r="H232" s="14"/>
      <c r="I232" s="14"/>
    </row>
    <row r="233" spans="8:9" ht="15" thickBot="1" x14ac:dyDescent="0.4">
      <c r="H233" s="14"/>
      <c r="I233" s="14"/>
    </row>
    <row r="234" spans="8:9" ht="15" thickBot="1" x14ac:dyDescent="0.4">
      <c r="H234" s="14"/>
      <c r="I234" s="14"/>
    </row>
    <row r="235" spans="8:9" ht="15" thickBot="1" x14ac:dyDescent="0.4">
      <c r="H235" s="14"/>
      <c r="I235" s="14"/>
    </row>
    <row r="236" spans="8:9" ht="15" thickBot="1" x14ac:dyDescent="0.4">
      <c r="H236" s="14"/>
      <c r="I236" s="14"/>
    </row>
    <row r="237" spans="8:9" ht="15" thickBot="1" x14ac:dyDescent="0.4">
      <c r="H237" s="14"/>
      <c r="I237" s="14"/>
    </row>
    <row r="238" spans="8:9" ht="15" thickBot="1" x14ac:dyDescent="0.4">
      <c r="H238" s="14"/>
      <c r="I238" s="14"/>
    </row>
    <row r="239" spans="8:9" ht="15" thickBot="1" x14ac:dyDescent="0.4">
      <c r="H239" s="14"/>
      <c r="I239" s="14"/>
    </row>
    <row r="240" spans="8:9" ht="15" thickBot="1" x14ac:dyDescent="0.4">
      <c r="H240" s="14"/>
      <c r="I240" s="14"/>
    </row>
    <row r="241" spans="8:9" ht="15" thickBot="1" x14ac:dyDescent="0.4">
      <c r="H241" s="14"/>
      <c r="I241" s="14"/>
    </row>
    <row r="242" spans="8:9" ht="15" thickBot="1" x14ac:dyDescent="0.4">
      <c r="H242" s="14"/>
      <c r="I242" s="14"/>
    </row>
    <row r="243" spans="8:9" ht="15" thickBot="1" x14ac:dyDescent="0.4">
      <c r="H243" s="14"/>
      <c r="I243" s="14"/>
    </row>
    <row r="244" spans="8:9" ht="15" thickBot="1" x14ac:dyDescent="0.4">
      <c r="H244" s="14"/>
      <c r="I244" s="14"/>
    </row>
    <row r="245" spans="8:9" ht="15" thickBot="1" x14ac:dyDescent="0.4">
      <c r="H245" s="14"/>
      <c r="I245" s="14"/>
    </row>
    <row r="246" spans="8:9" ht="15" thickBot="1" x14ac:dyDescent="0.4">
      <c r="H246" s="14"/>
      <c r="I246" s="14"/>
    </row>
    <row r="247" spans="8:9" ht="15" thickBot="1" x14ac:dyDescent="0.4">
      <c r="H247" s="14"/>
      <c r="I247" s="14"/>
    </row>
    <row r="248" spans="8:9" ht="15" thickBot="1" x14ac:dyDescent="0.4">
      <c r="H248" s="14"/>
      <c r="I248" s="14"/>
    </row>
    <row r="249" spans="8:9" ht="15" thickBot="1" x14ac:dyDescent="0.4">
      <c r="H249" s="14"/>
      <c r="I249" s="14"/>
    </row>
    <row r="250" spans="8:9" ht="15" thickBot="1" x14ac:dyDescent="0.4">
      <c r="H250" s="14"/>
      <c r="I250" s="14"/>
    </row>
    <row r="251" spans="8:9" ht="15" thickBot="1" x14ac:dyDescent="0.4">
      <c r="H251" s="14"/>
      <c r="I251" s="14"/>
    </row>
    <row r="252" spans="8:9" ht="15" thickBot="1" x14ac:dyDescent="0.4">
      <c r="H252" s="14"/>
      <c r="I252" s="14"/>
    </row>
    <row r="253" spans="8:9" ht="15" thickBot="1" x14ac:dyDescent="0.4">
      <c r="H253" s="14"/>
      <c r="I253" s="14"/>
    </row>
    <row r="254" spans="8:9" ht="15" thickBot="1" x14ac:dyDescent="0.4">
      <c r="H254" s="14"/>
      <c r="I254" s="14"/>
    </row>
    <row r="255" spans="8:9" ht="15" thickBot="1" x14ac:dyDescent="0.4">
      <c r="H255" s="14"/>
      <c r="I255" s="14"/>
    </row>
    <row r="256" spans="8:9" ht="15" thickBot="1" x14ac:dyDescent="0.4">
      <c r="H256" s="14"/>
      <c r="I256" s="14"/>
    </row>
    <row r="257" spans="8:9" ht="15" thickBot="1" x14ac:dyDescent="0.4">
      <c r="H257" s="14"/>
      <c r="I257" s="14"/>
    </row>
    <row r="258" spans="8:9" ht="15" thickBot="1" x14ac:dyDescent="0.4">
      <c r="H258" s="14"/>
      <c r="I258" s="14"/>
    </row>
    <row r="259" spans="8:9" ht="15" thickBot="1" x14ac:dyDescent="0.4">
      <c r="H259" s="14"/>
      <c r="I259" s="14"/>
    </row>
    <row r="260" spans="8:9" ht="15" thickBot="1" x14ac:dyDescent="0.4">
      <c r="H260" s="14"/>
      <c r="I260" s="14"/>
    </row>
    <row r="261" spans="8:9" ht="15" thickBot="1" x14ac:dyDescent="0.4">
      <c r="H261" s="14"/>
      <c r="I261" s="14"/>
    </row>
    <row r="262" spans="8:9" ht="15" thickBot="1" x14ac:dyDescent="0.4">
      <c r="H262" s="14"/>
      <c r="I262" s="14"/>
    </row>
    <row r="263" spans="8:9" ht="15" thickBot="1" x14ac:dyDescent="0.4">
      <c r="H263" s="14"/>
      <c r="I263" s="14"/>
    </row>
    <row r="264" spans="8:9" ht="15" thickBot="1" x14ac:dyDescent="0.4">
      <c r="H264" s="14"/>
      <c r="I264" s="14"/>
    </row>
    <row r="265" spans="8:9" ht="15" thickBot="1" x14ac:dyDescent="0.4">
      <c r="H265" s="14"/>
      <c r="I265" s="14"/>
    </row>
    <row r="266" spans="8:9" ht="15" thickBot="1" x14ac:dyDescent="0.4">
      <c r="H266" s="14"/>
      <c r="I266" s="14"/>
    </row>
    <row r="267" spans="8:9" ht="15" thickBot="1" x14ac:dyDescent="0.4">
      <c r="H267" s="14"/>
      <c r="I267" s="14"/>
    </row>
    <row r="268" spans="8:9" ht="15" thickBot="1" x14ac:dyDescent="0.4">
      <c r="H268" s="14"/>
      <c r="I268" s="14"/>
    </row>
    <row r="269" spans="8:9" ht="15" thickBot="1" x14ac:dyDescent="0.4">
      <c r="H269" s="14"/>
      <c r="I269" s="14"/>
    </row>
    <row r="270" spans="8:9" ht="15" thickBot="1" x14ac:dyDescent="0.4">
      <c r="H270" s="14"/>
      <c r="I270" s="14"/>
    </row>
    <row r="271" spans="8:9" ht="15" thickBot="1" x14ac:dyDescent="0.4">
      <c r="H271" s="14"/>
      <c r="I271" s="14"/>
    </row>
    <row r="272" spans="8:9" ht="15" thickBot="1" x14ac:dyDescent="0.4">
      <c r="H272" s="14"/>
      <c r="I272" s="14"/>
    </row>
    <row r="273" spans="8:9" ht="15" thickBot="1" x14ac:dyDescent="0.4">
      <c r="H273" s="14"/>
      <c r="I273" s="14"/>
    </row>
    <row r="274" spans="8:9" ht="15" thickBot="1" x14ac:dyDescent="0.4">
      <c r="H274" s="14"/>
      <c r="I274" s="14"/>
    </row>
    <row r="275" spans="8:9" ht="15" thickBot="1" x14ac:dyDescent="0.4">
      <c r="H275" s="14"/>
      <c r="I275" s="14"/>
    </row>
    <row r="276" spans="8:9" ht="15" thickBot="1" x14ac:dyDescent="0.4">
      <c r="H276" s="14"/>
      <c r="I276" s="14"/>
    </row>
    <row r="277" spans="8:9" ht="15" thickBot="1" x14ac:dyDescent="0.4">
      <c r="H277" s="14"/>
      <c r="I277" s="14"/>
    </row>
    <row r="278" spans="8:9" ht="15" thickBot="1" x14ac:dyDescent="0.4">
      <c r="H278" s="14"/>
      <c r="I278" s="14"/>
    </row>
    <row r="279" spans="8:9" ht="15" thickBot="1" x14ac:dyDescent="0.4">
      <c r="H279" s="14"/>
      <c r="I279" s="14"/>
    </row>
    <row r="280" spans="8:9" ht="15" thickBot="1" x14ac:dyDescent="0.4">
      <c r="H280" s="14"/>
      <c r="I280" s="14"/>
    </row>
    <row r="281" spans="8:9" ht="15" thickBot="1" x14ac:dyDescent="0.4">
      <c r="H281" s="14"/>
      <c r="I281" s="14"/>
    </row>
    <row r="282" spans="8:9" ht="15" thickBot="1" x14ac:dyDescent="0.4">
      <c r="H282" s="14"/>
      <c r="I282" s="14"/>
    </row>
    <row r="283" spans="8:9" ht="15" thickBot="1" x14ac:dyDescent="0.4">
      <c r="H283" s="14"/>
      <c r="I283" s="14"/>
    </row>
    <row r="284" spans="8:9" ht="15" thickBot="1" x14ac:dyDescent="0.4">
      <c r="H284" s="14"/>
      <c r="I284" s="14"/>
    </row>
    <row r="285" spans="8:9" ht="15" thickBot="1" x14ac:dyDescent="0.4">
      <c r="H285" s="14"/>
      <c r="I285" s="14"/>
    </row>
    <row r="286" spans="8:9" ht="15" thickBot="1" x14ac:dyDescent="0.4">
      <c r="H286" s="14"/>
      <c r="I286" s="14"/>
    </row>
    <row r="287" spans="8:9" ht="15" thickBot="1" x14ac:dyDescent="0.4">
      <c r="H287" s="14"/>
      <c r="I287" s="14"/>
    </row>
    <row r="288" spans="8:9" ht="15" thickBot="1" x14ac:dyDescent="0.4">
      <c r="H288" s="14"/>
      <c r="I288" s="14"/>
    </row>
    <row r="289" spans="8:9" ht="15" thickBot="1" x14ac:dyDescent="0.4">
      <c r="H289" s="14"/>
      <c r="I289" s="14"/>
    </row>
    <row r="290" spans="8:9" ht="15" thickBot="1" x14ac:dyDescent="0.4">
      <c r="H290" s="14"/>
      <c r="I290" s="14"/>
    </row>
    <row r="291" spans="8:9" ht="15" thickBot="1" x14ac:dyDescent="0.4">
      <c r="H291" s="14"/>
      <c r="I291" s="14"/>
    </row>
    <row r="292" spans="8:9" ht="15" thickBot="1" x14ac:dyDescent="0.4">
      <c r="H292" s="14"/>
      <c r="I292" s="14"/>
    </row>
    <row r="293" spans="8:9" ht="15" thickBot="1" x14ac:dyDescent="0.4">
      <c r="H293" s="14"/>
      <c r="I293" s="14"/>
    </row>
    <row r="294" spans="8:9" ht="15" thickBot="1" x14ac:dyDescent="0.4">
      <c r="H294" s="14"/>
      <c r="I294" s="14"/>
    </row>
    <row r="295" spans="8:9" ht="15" thickBot="1" x14ac:dyDescent="0.4">
      <c r="H295" s="14"/>
      <c r="I295" s="14"/>
    </row>
    <row r="296" spans="8:9" ht="15" thickBot="1" x14ac:dyDescent="0.4">
      <c r="H296" s="14"/>
      <c r="I296" s="14"/>
    </row>
    <row r="297" spans="8:9" ht="15" thickBot="1" x14ac:dyDescent="0.4">
      <c r="H297" s="14"/>
      <c r="I297" s="14"/>
    </row>
    <row r="298" spans="8:9" ht="15" thickBot="1" x14ac:dyDescent="0.4">
      <c r="H298" s="14"/>
      <c r="I298" s="14"/>
    </row>
    <row r="299" spans="8:9" ht="15" thickBot="1" x14ac:dyDescent="0.4">
      <c r="H299" s="14"/>
      <c r="I299" s="14"/>
    </row>
    <row r="300" spans="8:9" ht="15" thickBot="1" x14ac:dyDescent="0.4">
      <c r="H300" s="14"/>
      <c r="I300" s="14"/>
    </row>
    <row r="301" spans="8:9" ht="15" thickBot="1" x14ac:dyDescent="0.4">
      <c r="H301" s="14"/>
      <c r="I301" s="14"/>
    </row>
    <row r="302" spans="8:9" ht="15" thickBot="1" x14ac:dyDescent="0.4">
      <c r="H302" s="14"/>
      <c r="I302" s="14"/>
    </row>
    <row r="303" spans="8:9" ht="15" thickBot="1" x14ac:dyDescent="0.4">
      <c r="H303" s="14"/>
      <c r="I303" s="14"/>
    </row>
    <row r="304" spans="8:9" ht="15" thickBot="1" x14ac:dyDescent="0.4">
      <c r="H304" s="14"/>
      <c r="I304" s="14"/>
    </row>
    <row r="305" spans="8:9" ht="15" thickBot="1" x14ac:dyDescent="0.4">
      <c r="H305" s="14"/>
      <c r="I305" s="14"/>
    </row>
    <row r="306" spans="8:9" ht="15" thickBot="1" x14ac:dyDescent="0.4">
      <c r="H306" s="14"/>
      <c r="I306" s="14"/>
    </row>
    <row r="307" spans="8:9" ht="15" thickBot="1" x14ac:dyDescent="0.4">
      <c r="H307" s="14"/>
      <c r="I307" s="14"/>
    </row>
    <row r="308" spans="8:9" ht="15" thickBot="1" x14ac:dyDescent="0.4">
      <c r="H308" s="14"/>
      <c r="I308" s="14"/>
    </row>
    <row r="309" spans="8:9" ht="15" thickBot="1" x14ac:dyDescent="0.4">
      <c r="H309" s="14"/>
      <c r="I309" s="14"/>
    </row>
    <row r="310" spans="8:9" ht="15" thickBot="1" x14ac:dyDescent="0.4">
      <c r="H310" s="14"/>
      <c r="I310" s="14"/>
    </row>
    <row r="311" spans="8:9" ht="15" thickBot="1" x14ac:dyDescent="0.4">
      <c r="H311" s="14"/>
      <c r="I311" s="14"/>
    </row>
    <row r="312" spans="8:9" ht="15" thickBot="1" x14ac:dyDescent="0.4">
      <c r="H312" s="14"/>
      <c r="I312" s="14"/>
    </row>
    <row r="313" spans="8:9" ht="15" thickBot="1" x14ac:dyDescent="0.4">
      <c r="H313" s="14"/>
      <c r="I313" s="14"/>
    </row>
    <row r="314" spans="8:9" ht="15" thickBot="1" x14ac:dyDescent="0.4">
      <c r="H314" s="14"/>
      <c r="I314" s="14"/>
    </row>
    <row r="315" spans="8:9" ht="15" thickBot="1" x14ac:dyDescent="0.4">
      <c r="H315" s="14"/>
      <c r="I315" s="14"/>
    </row>
    <row r="316" spans="8:9" ht="15" thickBot="1" x14ac:dyDescent="0.4">
      <c r="H316" s="14"/>
      <c r="I316" s="14"/>
    </row>
    <row r="317" spans="8:9" ht="15" thickBot="1" x14ac:dyDescent="0.4">
      <c r="H317" s="14"/>
      <c r="I317" s="14"/>
    </row>
    <row r="318" spans="8:9" ht="15" thickBot="1" x14ac:dyDescent="0.4">
      <c r="H318" s="14"/>
      <c r="I318" s="14"/>
    </row>
    <row r="319" spans="8:9" ht="15" thickBot="1" x14ac:dyDescent="0.4">
      <c r="H319" s="14"/>
      <c r="I319" s="14"/>
    </row>
    <row r="320" spans="8:9" ht="15" thickBot="1" x14ac:dyDescent="0.4">
      <c r="H320" s="14"/>
      <c r="I320" s="14"/>
    </row>
    <row r="321" spans="8:9" ht="15" thickBot="1" x14ac:dyDescent="0.4">
      <c r="H321" s="14"/>
      <c r="I321" s="14"/>
    </row>
    <row r="322" spans="8:9" ht="15" thickBot="1" x14ac:dyDescent="0.4">
      <c r="H322" s="14"/>
      <c r="I322" s="14"/>
    </row>
    <row r="323" spans="8:9" ht="15" thickBot="1" x14ac:dyDescent="0.4">
      <c r="H323" s="14"/>
      <c r="I323" s="14"/>
    </row>
    <row r="324" spans="8:9" ht="15" thickBot="1" x14ac:dyDescent="0.4">
      <c r="H324" s="14"/>
      <c r="I324" s="14"/>
    </row>
    <row r="325" spans="8:9" ht="15" thickBot="1" x14ac:dyDescent="0.4">
      <c r="H325" s="14"/>
      <c r="I325" s="14"/>
    </row>
    <row r="326" spans="8:9" ht="15" thickBot="1" x14ac:dyDescent="0.4">
      <c r="H326" s="14"/>
      <c r="I326" s="14"/>
    </row>
    <row r="327" spans="8:9" ht="15" thickBot="1" x14ac:dyDescent="0.4">
      <c r="H327" s="14"/>
      <c r="I327" s="14"/>
    </row>
    <row r="328" spans="8:9" ht="15" thickBot="1" x14ac:dyDescent="0.4">
      <c r="H328" s="14"/>
      <c r="I328" s="14"/>
    </row>
    <row r="329" spans="8:9" ht="15" thickBot="1" x14ac:dyDescent="0.4">
      <c r="H329" s="14"/>
      <c r="I329" s="14"/>
    </row>
    <row r="330" spans="8:9" ht="15" thickBot="1" x14ac:dyDescent="0.4">
      <c r="H330" s="14"/>
      <c r="I330" s="14"/>
    </row>
    <row r="331" spans="8:9" ht="15" thickBot="1" x14ac:dyDescent="0.4">
      <c r="H331" s="14"/>
      <c r="I331" s="14"/>
    </row>
    <row r="332" spans="8:9" ht="15" thickBot="1" x14ac:dyDescent="0.4">
      <c r="H332" s="14"/>
      <c r="I332" s="14"/>
    </row>
    <row r="333" spans="8:9" ht="15" thickBot="1" x14ac:dyDescent="0.4">
      <c r="H333" s="14"/>
      <c r="I333" s="14"/>
    </row>
    <row r="334" spans="8:9" ht="15" thickBot="1" x14ac:dyDescent="0.4">
      <c r="H334" s="14"/>
      <c r="I334" s="14"/>
    </row>
    <row r="335" spans="8:9" ht="15" thickBot="1" x14ac:dyDescent="0.4">
      <c r="H335" s="14"/>
      <c r="I335" s="14"/>
    </row>
    <row r="336" spans="8:9" ht="15" thickBot="1" x14ac:dyDescent="0.4">
      <c r="H336" s="14"/>
      <c r="I336" s="14"/>
    </row>
    <row r="337" spans="8:9" ht="15" thickBot="1" x14ac:dyDescent="0.4">
      <c r="H337" s="14"/>
      <c r="I337" s="14"/>
    </row>
    <row r="338" spans="8:9" ht="15" thickBot="1" x14ac:dyDescent="0.4">
      <c r="H338" s="14"/>
      <c r="I338" s="14"/>
    </row>
    <row r="339" spans="8:9" ht="15" thickBot="1" x14ac:dyDescent="0.4">
      <c r="H339" s="14"/>
      <c r="I339" s="14"/>
    </row>
    <row r="340" spans="8:9" ht="15" thickBot="1" x14ac:dyDescent="0.4">
      <c r="H340" s="14"/>
      <c r="I340" s="14"/>
    </row>
    <row r="341" spans="8:9" ht="15" thickBot="1" x14ac:dyDescent="0.4">
      <c r="H341" s="14"/>
      <c r="I341" s="14"/>
    </row>
    <row r="342" spans="8:9" ht="15" thickBot="1" x14ac:dyDescent="0.4">
      <c r="H342" s="14"/>
      <c r="I342" s="14"/>
    </row>
    <row r="343" spans="8:9" ht="15" thickBot="1" x14ac:dyDescent="0.4">
      <c r="H343" s="14"/>
      <c r="I343" s="14"/>
    </row>
    <row r="344" spans="8:9" ht="15" thickBot="1" x14ac:dyDescent="0.4">
      <c r="H344" s="14"/>
      <c r="I344" s="14"/>
    </row>
    <row r="345" spans="8:9" ht="15" thickBot="1" x14ac:dyDescent="0.4">
      <c r="H345" s="14"/>
      <c r="I345" s="14"/>
    </row>
    <row r="346" spans="8:9" ht="15" thickBot="1" x14ac:dyDescent="0.4">
      <c r="H346" s="14"/>
      <c r="I346" s="14"/>
    </row>
    <row r="347" spans="8:9" ht="15" thickBot="1" x14ac:dyDescent="0.4">
      <c r="H347" s="14"/>
      <c r="I347" s="14"/>
    </row>
    <row r="348" spans="8:9" ht="15" thickBot="1" x14ac:dyDescent="0.4">
      <c r="H348" s="14"/>
      <c r="I348" s="14"/>
    </row>
    <row r="349" spans="8:9" ht="15" thickBot="1" x14ac:dyDescent="0.4">
      <c r="H349" s="14"/>
      <c r="I349" s="14"/>
    </row>
    <row r="350" spans="8:9" ht="15" thickBot="1" x14ac:dyDescent="0.4">
      <c r="H350" s="14"/>
      <c r="I350" s="14"/>
    </row>
    <row r="351" spans="8:9" ht="15" thickBot="1" x14ac:dyDescent="0.4">
      <c r="H351" s="14"/>
      <c r="I351" s="14"/>
    </row>
    <row r="352" spans="8:9" ht="15" thickBot="1" x14ac:dyDescent="0.4">
      <c r="H352" s="14"/>
      <c r="I352" s="14"/>
    </row>
    <row r="353" spans="8:9" ht="15" thickBot="1" x14ac:dyDescent="0.4">
      <c r="H353" s="14"/>
      <c r="I353" s="14"/>
    </row>
    <row r="354" spans="8:9" ht="15" thickBot="1" x14ac:dyDescent="0.4">
      <c r="H354" s="14"/>
      <c r="I354" s="14"/>
    </row>
    <row r="355" spans="8:9" ht="15" thickBot="1" x14ac:dyDescent="0.4">
      <c r="H355" s="14"/>
      <c r="I355" s="14"/>
    </row>
    <row r="356" spans="8:9" ht="15" thickBot="1" x14ac:dyDescent="0.4">
      <c r="H356" s="14"/>
      <c r="I356" s="14"/>
    </row>
    <row r="357" spans="8:9" ht="15" thickBot="1" x14ac:dyDescent="0.4">
      <c r="H357" s="14"/>
      <c r="I357" s="14"/>
    </row>
    <row r="358" spans="8:9" ht="15" thickBot="1" x14ac:dyDescent="0.4">
      <c r="H358" s="14"/>
      <c r="I358" s="14"/>
    </row>
    <row r="359" spans="8:9" ht="15" thickBot="1" x14ac:dyDescent="0.4">
      <c r="H359" s="14"/>
      <c r="I359" s="14"/>
    </row>
    <row r="360" spans="8:9" ht="15" thickBot="1" x14ac:dyDescent="0.4">
      <c r="H360" s="14"/>
      <c r="I360" s="14"/>
    </row>
    <row r="361" spans="8:9" ht="15" thickBot="1" x14ac:dyDescent="0.4">
      <c r="H361" s="14"/>
      <c r="I361" s="14"/>
    </row>
    <row r="362" spans="8:9" ht="15" thickBot="1" x14ac:dyDescent="0.4">
      <c r="H362" s="14"/>
      <c r="I362" s="14"/>
    </row>
    <row r="363" spans="8:9" ht="15" thickBot="1" x14ac:dyDescent="0.4">
      <c r="H363" s="14"/>
      <c r="I363" s="14"/>
    </row>
    <row r="364" spans="8:9" ht="15" thickBot="1" x14ac:dyDescent="0.4">
      <c r="H364" s="14"/>
      <c r="I364" s="14"/>
    </row>
    <row r="365" spans="8:9" ht="15" thickBot="1" x14ac:dyDescent="0.4">
      <c r="H365" s="14"/>
      <c r="I365" s="14"/>
    </row>
    <row r="366" spans="8:9" ht="15" thickBot="1" x14ac:dyDescent="0.4">
      <c r="H366" s="14"/>
      <c r="I366" s="14"/>
    </row>
    <row r="367" spans="8:9" ht="15" thickBot="1" x14ac:dyDescent="0.4">
      <c r="H367" s="14"/>
      <c r="I367" s="14"/>
    </row>
    <row r="368" spans="8:9" ht="15" thickBot="1" x14ac:dyDescent="0.4">
      <c r="H368" s="14"/>
      <c r="I368" s="14"/>
    </row>
    <row r="369" spans="8:9" ht="15" thickBot="1" x14ac:dyDescent="0.4">
      <c r="H369" s="14"/>
      <c r="I369" s="14"/>
    </row>
    <row r="370" spans="8:9" ht="15" thickBot="1" x14ac:dyDescent="0.4">
      <c r="H370" s="14"/>
      <c r="I370" s="14"/>
    </row>
    <row r="371" spans="8:9" ht="15" thickBot="1" x14ac:dyDescent="0.4">
      <c r="H371" s="14"/>
      <c r="I371" s="14"/>
    </row>
    <row r="372" spans="8:9" ht="15" thickBot="1" x14ac:dyDescent="0.4">
      <c r="H372" s="14"/>
      <c r="I372" s="14"/>
    </row>
    <row r="373" spans="8:9" ht="15" thickBot="1" x14ac:dyDescent="0.4">
      <c r="H373" s="14"/>
      <c r="I373" s="14"/>
    </row>
    <row r="374" spans="8:9" ht="15" thickBot="1" x14ac:dyDescent="0.4">
      <c r="H374" s="14"/>
      <c r="I374" s="14"/>
    </row>
    <row r="375" spans="8:9" ht="15" thickBot="1" x14ac:dyDescent="0.4">
      <c r="H375" s="14"/>
      <c r="I375" s="14"/>
    </row>
    <row r="376" spans="8:9" ht="15" thickBot="1" x14ac:dyDescent="0.4">
      <c r="H376" s="14"/>
      <c r="I376" s="14"/>
    </row>
    <row r="377" spans="8:9" ht="15" thickBot="1" x14ac:dyDescent="0.4">
      <c r="H377" s="14"/>
      <c r="I377" s="14"/>
    </row>
    <row r="378" spans="8:9" ht="15" thickBot="1" x14ac:dyDescent="0.4">
      <c r="H378" s="14"/>
      <c r="I378" s="14"/>
    </row>
    <row r="379" spans="8:9" ht="15" thickBot="1" x14ac:dyDescent="0.4">
      <c r="H379" s="14"/>
      <c r="I379" s="14"/>
    </row>
    <row r="380" spans="8:9" ht="15" thickBot="1" x14ac:dyDescent="0.4">
      <c r="H380" s="14"/>
      <c r="I380" s="14"/>
    </row>
    <row r="381" spans="8:9" ht="15" thickBot="1" x14ac:dyDescent="0.4">
      <c r="H381" s="14"/>
      <c r="I381" s="14"/>
    </row>
    <row r="382" spans="8:9" ht="15" thickBot="1" x14ac:dyDescent="0.4">
      <c r="H382" s="14"/>
      <c r="I382" s="14"/>
    </row>
    <row r="383" spans="8:9" ht="15" thickBot="1" x14ac:dyDescent="0.4">
      <c r="H383" s="14"/>
      <c r="I383" s="14"/>
    </row>
    <row r="384" spans="8:9" ht="15" thickBot="1" x14ac:dyDescent="0.4">
      <c r="H384" s="14"/>
      <c r="I384" s="14"/>
    </row>
    <row r="385" spans="8:9" ht="15" thickBot="1" x14ac:dyDescent="0.4">
      <c r="H385" s="14"/>
      <c r="I385" s="14"/>
    </row>
    <row r="386" spans="8:9" ht="15" thickBot="1" x14ac:dyDescent="0.4">
      <c r="H386" s="14"/>
      <c r="I386" s="14"/>
    </row>
    <row r="387" spans="8:9" ht="15" thickBot="1" x14ac:dyDescent="0.4">
      <c r="H387" s="14"/>
      <c r="I387" s="14"/>
    </row>
    <row r="388" spans="8:9" ht="15" thickBot="1" x14ac:dyDescent="0.4">
      <c r="H388" s="14"/>
      <c r="I388" s="14"/>
    </row>
    <row r="389" spans="8:9" ht="15" thickBot="1" x14ac:dyDescent="0.4">
      <c r="H389" s="14"/>
      <c r="I389" s="14"/>
    </row>
    <row r="390" spans="8:9" ht="15" thickBot="1" x14ac:dyDescent="0.4">
      <c r="H390" s="14"/>
      <c r="I390" s="14"/>
    </row>
    <row r="391" spans="8:9" ht="15" thickBot="1" x14ac:dyDescent="0.4">
      <c r="H391" s="14"/>
      <c r="I391" s="14"/>
    </row>
    <row r="392" spans="8:9" ht="15" thickBot="1" x14ac:dyDescent="0.4">
      <c r="H392" s="14"/>
      <c r="I392" s="14"/>
    </row>
    <row r="393" spans="8:9" ht="15" thickBot="1" x14ac:dyDescent="0.4">
      <c r="H393" s="14"/>
      <c r="I393" s="14"/>
    </row>
    <row r="394" spans="8:9" ht="15" thickBot="1" x14ac:dyDescent="0.4">
      <c r="H394" s="14"/>
      <c r="I394" s="14"/>
    </row>
    <row r="395" spans="8:9" ht="15" thickBot="1" x14ac:dyDescent="0.4">
      <c r="H395" s="14"/>
      <c r="I395" s="14"/>
    </row>
    <row r="396" spans="8:9" ht="15" thickBot="1" x14ac:dyDescent="0.4">
      <c r="H396" s="14"/>
      <c r="I396" s="14"/>
    </row>
    <row r="397" spans="8:9" ht="15" thickBot="1" x14ac:dyDescent="0.4">
      <c r="H397" s="14"/>
      <c r="I397" s="14"/>
    </row>
    <row r="398" spans="8:9" ht="15" thickBot="1" x14ac:dyDescent="0.4">
      <c r="H398" s="14"/>
      <c r="I398" s="14"/>
    </row>
    <row r="399" spans="8:9" ht="15" thickBot="1" x14ac:dyDescent="0.4">
      <c r="H399" s="14"/>
      <c r="I399" s="14"/>
    </row>
    <row r="400" spans="8:9" ht="15" thickBot="1" x14ac:dyDescent="0.4">
      <c r="H400" s="14"/>
      <c r="I400" s="14"/>
    </row>
    <row r="401" spans="8:9" ht="15" thickBot="1" x14ac:dyDescent="0.4">
      <c r="H401" s="14"/>
      <c r="I401" s="14"/>
    </row>
    <row r="402" spans="8:9" ht="15" thickBot="1" x14ac:dyDescent="0.4">
      <c r="H402" s="14"/>
      <c r="I402" s="14"/>
    </row>
    <row r="403" spans="8:9" ht="15" thickBot="1" x14ac:dyDescent="0.4">
      <c r="H403" s="14"/>
      <c r="I403" s="14"/>
    </row>
    <row r="404" spans="8:9" ht="15" thickBot="1" x14ac:dyDescent="0.4">
      <c r="H404" s="14"/>
      <c r="I404" s="14"/>
    </row>
    <row r="405" spans="8:9" ht="15" thickBot="1" x14ac:dyDescent="0.4">
      <c r="H405" s="14"/>
      <c r="I405" s="14"/>
    </row>
    <row r="406" spans="8:9" ht="15" thickBot="1" x14ac:dyDescent="0.4">
      <c r="H406" s="14"/>
      <c r="I406" s="14"/>
    </row>
    <row r="407" spans="8:9" ht="15" thickBot="1" x14ac:dyDescent="0.4">
      <c r="H407" s="14"/>
      <c r="I407" s="14"/>
    </row>
    <row r="408" spans="8:9" ht="15" thickBot="1" x14ac:dyDescent="0.4">
      <c r="H408" s="14"/>
      <c r="I408" s="14"/>
    </row>
    <row r="409" spans="8:9" ht="15" thickBot="1" x14ac:dyDescent="0.4">
      <c r="H409" s="14"/>
      <c r="I409" s="14"/>
    </row>
    <row r="410" spans="8:9" ht="15" thickBot="1" x14ac:dyDescent="0.4">
      <c r="H410" s="14"/>
      <c r="I410" s="14"/>
    </row>
    <row r="411" spans="8:9" ht="15" thickBot="1" x14ac:dyDescent="0.4">
      <c r="H411" s="14"/>
      <c r="I411" s="14"/>
    </row>
    <row r="412" spans="8:9" ht="15" thickBot="1" x14ac:dyDescent="0.4">
      <c r="H412" s="14"/>
      <c r="I412" s="14"/>
    </row>
    <row r="413" spans="8:9" ht="15" thickBot="1" x14ac:dyDescent="0.4">
      <c r="H413" s="14"/>
      <c r="I413" s="14"/>
    </row>
    <row r="414" spans="8:9" ht="15" thickBot="1" x14ac:dyDescent="0.4">
      <c r="H414" s="14"/>
      <c r="I414" s="14"/>
    </row>
    <row r="415" spans="8:9" ht="15" thickBot="1" x14ac:dyDescent="0.4">
      <c r="H415" s="14"/>
      <c r="I415" s="14"/>
    </row>
    <row r="416" spans="8:9" ht="15" thickBot="1" x14ac:dyDescent="0.4">
      <c r="H416" s="14"/>
      <c r="I416" s="14"/>
    </row>
    <row r="417" spans="8:9" ht="15" thickBot="1" x14ac:dyDescent="0.4">
      <c r="H417" s="14"/>
      <c r="I417" s="14"/>
    </row>
    <row r="418" spans="8:9" ht="15" thickBot="1" x14ac:dyDescent="0.4">
      <c r="H418" s="14"/>
      <c r="I418" s="14"/>
    </row>
    <row r="419" spans="8:9" ht="15" thickBot="1" x14ac:dyDescent="0.4">
      <c r="H419" s="14"/>
      <c r="I419" s="14"/>
    </row>
    <row r="420" spans="8:9" ht="15" thickBot="1" x14ac:dyDescent="0.4">
      <c r="H420" s="14"/>
      <c r="I420" s="14"/>
    </row>
    <row r="421" spans="8:9" ht="15" thickBot="1" x14ac:dyDescent="0.4">
      <c r="H421" s="14"/>
      <c r="I421" s="14"/>
    </row>
    <row r="422" spans="8:9" ht="15" thickBot="1" x14ac:dyDescent="0.4">
      <c r="H422" s="14"/>
      <c r="I422" s="14"/>
    </row>
    <row r="423" spans="8:9" ht="15" thickBot="1" x14ac:dyDescent="0.4">
      <c r="H423" s="14"/>
      <c r="I423" s="14"/>
    </row>
    <row r="424" spans="8:9" ht="15" thickBot="1" x14ac:dyDescent="0.4">
      <c r="H424" s="14"/>
      <c r="I424" s="14"/>
    </row>
    <row r="425" spans="8:9" ht="15" thickBot="1" x14ac:dyDescent="0.4">
      <c r="H425" s="14"/>
      <c r="I425" s="14"/>
    </row>
    <row r="426" spans="8:9" ht="15" thickBot="1" x14ac:dyDescent="0.4">
      <c r="H426" s="14"/>
      <c r="I426" s="14"/>
    </row>
    <row r="427" spans="8:9" ht="15" thickBot="1" x14ac:dyDescent="0.4">
      <c r="H427" s="14"/>
      <c r="I427" s="14"/>
    </row>
    <row r="428" spans="8:9" ht="15" thickBot="1" x14ac:dyDescent="0.4">
      <c r="H428" s="14"/>
      <c r="I428" s="14"/>
    </row>
    <row r="429" spans="8:9" ht="15" thickBot="1" x14ac:dyDescent="0.4">
      <c r="H429" s="14"/>
      <c r="I429" s="14"/>
    </row>
    <row r="430" spans="8:9" ht="15" thickBot="1" x14ac:dyDescent="0.4">
      <c r="H430" s="14"/>
      <c r="I430" s="14"/>
    </row>
    <row r="431" spans="8:9" ht="15" thickBot="1" x14ac:dyDescent="0.4">
      <c r="H431" s="14"/>
      <c r="I431" s="14"/>
    </row>
    <row r="432" spans="8:9" ht="15" thickBot="1" x14ac:dyDescent="0.4">
      <c r="H432" s="14"/>
      <c r="I432" s="14"/>
    </row>
    <row r="433" spans="8:9" ht="15" thickBot="1" x14ac:dyDescent="0.4">
      <c r="H433" s="14"/>
      <c r="I433" s="14"/>
    </row>
    <row r="434" spans="8:9" ht="15" thickBot="1" x14ac:dyDescent="0.4">
      <c r="H434" s="14"/>
      <c r="I434" s="14"/>
    </row>
    <row r="435" spans="8:9" ht="15" thickBot="1" x14ac:dyDescent="0.4">
      <c r="H435" s="14"/>
      <c r="I435" s="14"/>
    </row>
    <row r="436" spans="8:9" ht="15" thickBot="1" x14ac:dyDescent="0.4">
      <c r="H436" s="14"/>
      <c r="I436" s="14"/>
    </row>
    <row r="437" spans="8:9" ht="15" thickBot="1" x14ac:dyDescent="0.4">
      <c r="H437" s="14"/>
      <c r="I437" s="14"/>
    </row>
    <row r="438" spans="8:9" ht="15" thickBot="1" x14ac:dyDescent="0.4">
      <c r="H438" s="14"/>
      <c r="I438" s="14"/>
    </row>
    <row r="439" spans="8:9" ht="15" thickBot="1" x14ac:dyDescent="0.4">
      <c r="H439" s="14"/>
      <c r="I439" s="14"/>
    </row>
    <row r="440" spans="8:9" ht="15" thickBot="1" x14ac:dyDescent="0.4">
      <c r="H440" s="14"/>
      <c r="I440" s="14"/>
    </row>
    <row r="441" spans="8:9" ht="15" thickBot="1" x14ac:dyDescent="0.4">
      <c r="H441" s="14"/>
      <c r="I441" s="14"/>
    </row>
    <row r="442" spans="8:9" ht="15" thickBot="1" x14ac:dyDescent="0.4">
      <c r="H442" s="14"/>
      <c r="I442" s="14"/>
    </row>
    <row r="443" spans="8:9" ht="15" thickBot="1" x14ac:dyDescent="0.4">
      <c r="H443" s="14"/>
      <c r="I443" s="14"/>
    </row>
    <row r="444" spans="8:9" ht="15" thickBot="1" x14ac:dyDescent="0.4">
      <c r="H444" s="14"/>
      <c r="I444" s="14"/>
    </row>
    <row r="445" spans="8:9" ht="15" thickBot="1" x14ac:dyDescent="0.4">
      <c r="H445" s="14"/>
      <c r="I445" s="14"/>
    </row>
    <row r="446" spans="8:9" ht="15" thickBot="1" x14ac:dyDescent="0.4">
      <c r="H446" s="14"/>
      <c r="I446" s="14"/>
    </row>
    <row r="447" spans="8:9" ht="15" thickBot="1" x14ac:dyDescent="0.4">
      <c r="H447" s="14"/>
      <c r="I447" s="14"/>
    </row>
    <row r="448" spans="8:9" ht="15" thickBot="1" x14ac:dyDescent="0.4">
      <c r="H448" s="14"/>
      <c r="I448" s="14"/>
    </row>
    <row r="449" spans="8:9" ht="15" thickBot="1" x14ac:dyDescent="0.4">
      <c r="H449" s="14"/>
      <c r="I449" s="14"/>
    </row>
    <row r="450" spans="8:9" ht="15" thickBot="1" x14ac:dyDescent="0.4">
      <c r="H450" s="14"/>
      <c r="I450" s="14"/>
    </row>
    <row r="451" spans="8:9" ht="15" thickBot="1" x14ac:dyDescent="0.4">
      <c r="H451" s="14"/>
      <c r="I451" s="14"/>
    </row>
    <row r="452" spans="8:9" ht="15" thickBot="1" x14ac:dyDescent="0.4">
      <c r="H452" s="14"/>
      <c r="I452" s="14"/>
    </row>
    <row r="453" spans="8:9" ht="15" thickBot="1" x14ac:dyDescent="0.4">
      <c r="H453" s="14"/>
      <c r="I453" s="14"/>
    </row>
    <row r="454" spans="8:9" ht="15" thickBot="1" x14ac:dyDescent="0.4">
      <c r="H454" s="14"/>
      <c r="I454" s="14"/>
    </row>
    <row r="455" spans="8:9" ht="15" thickBot="1" x14ac:dyDescent="0.4">
      <c r="H455" s="14"/>
      <c r="I455" s="14"/>
    </row>
    <row r="456" spans="8:9" ht="15" thickBot="1" x14ac:dyDescent="0.4">
      <c r="H456" s="14"/>
      <c r="I456" s="14"/>
    </row>
    <row r="457" spans="8:9" ht="15" thickBot="1" x14ac:dyDescent="0.4">
      <c r="H457" s="14"/>
      <c r="I457" s="14"/>
    </row>
    <row r="458" spans="8:9" ht="15" thickBot="1" x14ac:dyDescent="0.4">
      <c r="H458" s="14"/>
      <c r="I458" s="14"/>
    </row>
    <row r="459" spans="8:9" ht="15" thickBot="1" x14ac:dyDescent="0.4">
      <c r="H459" s="14"/>
      <c r="I459" s="14"/>
    </row>
    <row r="460" spans="8:9" ht="15" thickBot="1" x14ac:dyDescent="0.4">
      <c r="H460" s="14"/>
      <c r="I460" s="14"/>
    </row>
    <row r="461" spans="8:9" ht="15" thickBot="1" x14ac:dyDescent="0.4">
      <c r="H461" s="14"/>
      <c r="I461" s="14"/>
    </row>
    <row r="462" spans="8:9" ht="15" thickBot="1" x14ac:dyDescent="0.4">
      <c r="H462" s="14"/>
      <c r="I462" s="14"/>
    </row>
    <row r="463" spans="8:9" ht="15" thickBot="1" x14ac:dyDescent="0.4">
      <c r="H463" s="14"/>
      <c r="I463" s="14"/>
    </row>
    <row r="464" spans="8:9" ht="15" thickBot="1" x14ac:dyDescent="0.4">
      <c r="H464" s="14"/>
      <c r="I464" s="14"/>
    </row>
    <row r="465" spans="8:9" ht="15" thickBot="1" x14ac:dyDescent="0.4">
      <c r="H465" s="14"/>
      <c r="I465" s="14"/>
    </row>
    <row r="466" spans="8:9" ht="15" thickBot="1" x14ac:dyDescent="0.4">
      <c r="H466" s="14"/>
      <c r="I466" s="14"/>
    </row>
    <row r="467" spans="8:9" ht="15" thickBot="1" x14ac:dyDescent="0.4">
      <c r="H467" s="14"/>
      <c r="I467" s="14"/>
    </row>
    <row r="468" spans="8:9" ht="15" thickBot="1" x14ac:dyDescent="0.4">
      <c r="H468" s="14"/>
      <c r="I468" s="14"/>
    </row>
    <row r="469" spans="8:9" ht="15" thickBot="1" x14ac:dyDescent="0.4">
      <c r="H469" s="14"/>
      <c r="I469" s="14"/>
    </row>
    <row r="470" spans="8:9" ht="15" thickBot="1" x14ac:dyDescent="0.4">
      <c r="H470" s="14"/>
      <c r="I470" s="14"/>
    </row>
    <row r="471" spans="8:9" ht="15" thickBot="1" x14ac:dyDescent="0.4">
      <c r="H471" s="14"/>
      <c r="I471" s="14"/>
    </row>
    <row r="472" spans="8:9" ht="15" thickBot="1" x14ac:dyDescent="0.4">
      <c r="H472" s="14"/>
      <c r="I472" s="14"/>
    </row>
    <row r="473" spans="8:9" ht="15" thickBot="1" x14ac:dyDescent="0.4">
      <c r="H473" s="14"/>
      <c r="I473" s="14"/>
    </row>
    <row r="474" spans="8:9" ht="15" thickBot="1" x14ac:dyDescent="0.4">
      <c r="H474" s="14"/>
      <c r="I474" s="14"/>
    </row>
    <row r="475" spans="8:9" ht="15" thickBot="1" x14ac:dyDescent="0.4">
      <c r="H475" s="14"/>
      <c r="I475" s="14"/>
    </row>
    <row r="476" spans="8:9" ht="15" thickBot="1" x14ac:dyDescent="0.4">
      <c r="H476" s="14"/>
      <c r="I476" s="14"/>
    </row>
    <row r="477" spans="8:9" ht="15" thickBot="1" x14ac:dyDescent="0.4">
      <c r="H477" s="14"/>
      <c r="I477" s="14"/>
    </row>
    <row r="478" spans="8:9" ht="15" thickBot="1" x14ac:dyDescent="0.4">
      <c r="H478" s="14"/>
      <c r="I478" s="14"/>
    </row>
    <row r="479" spans="8:9" ht="15" thickBot="1" x14ac:dyDescent="0.4">
      <c r="H479" s="14"/>
      <c r="I479" s="14"/>
    </row>
    <row r="480" spans="8:9" ht="15" thickBot="1" x14ac:dyDescent="0.4">
      <c r="H480" s="14"/>
      <c r="I480" s="14"/>
    </row>
    <row r="481" spans="8:9" ht="15" thickBot="1" x14ac:dyDescent="0.4">
      <c r="H481" s="14"/>
      <c r="I481" s="14"/>
    </row>
    <row r="482" spans="8:9" ht="15" thickBot="1" x14ac:dyDescent="0.4">
      <c r="H482" s="14"/>
      <c r="I482" s="14"/>
    </row>
    <row r="483" spans="8:9" ht="15" thickBot="1" x14ac:dyDescent="0.4">
      <c r="H483" s="14"/>
      <c r="I483" s="14"/>
    </row>
    <row r="484" spans="8:9" ht="15" thickBot="1" x14ac:dyDescent="0.4">
      <c r="H484" s="14"/>
      <c r="I484" s="14"/>
    </row>
    <row r="485" spans="8:9" ht="15" thickBot="1" x14ac:dyDescent="0.4">
      <c r="H485" s="14"/>
      <c r="I485" s="14"/>
    </row>
    <row r="486" spans="8:9" ht="15" thickBot="1" x14ac:dyDescent="0.4">
      <c r="H486" s="14"/>
      <c r="I486" s="14"/>
    </row>
    <row r="487" spans="8:9" ht="15" thickBot="1" x14ac:dyDescent="0.4">
      <c r="H487" s="14"/>
      <c r="I487" s="14"/>
    </row>
    <row r="488" spans="8:9" ht="15" thickBot="1" x14ac:dyDescent="0.4">
      <c r="H488" s="14"/>
      <c r="I488" s="14"/>
    </row>
    <row r="489" spans="8:9" ht="15" thickBot="1" x14ac:dyDescent="0.4">
      <c r="H489" s="14"/>
      <c r="I489" s="14"/>
    </row>
    <row r="490" spans="8:9" ht="15" thickBot="1" x14ac:dyDescent="0.4">
      <c r="H490" s="14"/>
      <c r="I490" s="14"/>
    </row>
    <row r="491" spans="8:9" ht="15" thickBot="1" x14ac:dyDescent="0.4">
      <c r="H491" s="14"/>
      <c r="I491" s="14"/>
    </row>
    <row r="492" spans="8:9" ht="15" thickBot="1" x14ac:dyDescent="0.4">
      <c r="H492" s="14"/>
      <c r="I492" s="14"/>
    </row>
    <row r="493" spans="8:9" ht="15" thickBot="1" x14ac:dyDescent="0.4">
      <c r="H493" s="14"/>
      <c r="I493" s="14"/>
    </row>
    <row r="494" spans="8:9" ht="15" thickBot="1" x14ac:dyDescent="0.4">
      <c r="H494" s="14"/>
      <c r="I494" s="14"/>
    </row>
    <row r="495" spans="8:9" ht="15" thickBot="1" x14ac:dyDescent="0.4">
      <c r="H495" s="14"/>
      <c r="I495" s="14"/>
    </row>
    <row r="496" spans="8:9" ht="15" thickBot="1" x14ac:dyDescent="0.4">
      <c r="H496" s="14"/>
      <c r="I496" s="14"/>
    </row>
    <row r="497" spans="8:9" ht="15" thickBot="1" x14ac:dyDescent="0.4">
      <c r="H497" s="14"/>
      <c r="I497" s="14"/>
    </row>
    <row r="498" spans="8:9" ht="15" thickBot="1" x14ac:dyDescent="0.4">
      <c r="H498" s="14"/>
      <c r="I498" s="14"/>
    </row>
    <row r="499" spans="8:9" ht="15" thickBot="1" x14ac:dyDescent="0.4">
      <c r="H499" s="14"/>
      <c r="I499" s="14"/>
    </row>
    <row r="500" spans="8:9" ht="15" thickBot="1" x14ac:dyDescent="0.4">
      <c r="H500" s="14"/>
      <c r="I500" s="14"/>
    </row>
    <row r="501" spans="8:9" ht="15" thickBot="1" x14ac:dyDescent="0.4">
      <c r="H501" s="14"/>
      <c r="I501" s="14"/>
    </row>
    <row r="502" spans="8:9" ht="15" thickBot="1" x14ac:dyDescent="0.4">
      <c r="H502" s="14"/>
      <c r="I502" s="14"/>
    </row>
    <row r="503" spans="8:9" ht="15" thickBot="1" x14ac:dyDescent="0.4">
      <c r="H503" s="14"/>
      <c r="I503" s="14"/>
    </row>
    <row r="504" spans="8:9" ht="15" thickBot="1" x14ac:dyDescent="0.4">
      <c r="H504" s="14"/>
      <c r="I504" s="14"/>
    </row>
    <row r="505" spans="8:9" ht="15" thickBot="1" x14ac:dyDescent="0.4">
      <c r="H505" s="14"/>
      <c r="I505" s="14"/>
    </row>
    <row r="506" spans="8:9" ht="15" thickBot="1" x14ac:dyDescent="0.4">
      <c r="H506" s="14"/>
      <c r="I506" s="14"/>
    </row>
    <row r="507" spans="8:9" ht="15" thickBot="1" x14ac:dyDescent="0.4">
      <c r="H507" s="14"/>
      <c r="I507" s="14"/>
    </row>
    <row r="508" spans="8:9" ht="15" thickBot="1" x14ac:dyDescent="0.4">
      <c r="H508" s="14"/>
      <c r="I508" s="14"/>
    </row>
    <row r="509" spans="8:9" ht="15" thickBot="1" x14ac:dyDescent="0.4">
      <c r="H509" s="14"/>
      <c r="I509" s="14"/>
    </row>
    <row r="510" spans="8:9" ht="15" thickBot="1" x14ac:dyDescent="0.4">
      <c r="H510" s="14"/>
      <c r="I510" s="14"/>
    </row>
    <row r="511" spans="8:9" ht="15" thickBot="1" x14ac:dyDescent="0.4">
      <c r="H511" s="14"/>
      <c r="I511" s="14"/>
    </row>
    <row r="512" spans="8:9" ht="15" thickBot="1" x14ac:dyDescent="0.4">
      <c r="H512" s="14"/>
      <c r="I512" s="14"/>
    </row>
    <row r="513" spans="8:9" ht="15" thickBot="1" x14ac:dyDescent="0.4">
      <c r="H513" s="14"/>
      <c r="I513" s="14"/>
    </row>
    <row r="514" spans="8:9" ht="15" thickBot="1" x14ac:dyDescent="0.4">
      <c r="H514" s="14"/>
      <c r="I514" s="14"/>
    </row>
    <row r="515" spans="8:9" ht="15" thickBot="1" x14ac:dyDescent="0.4">
      <c r="H515" s="14"/>
      <c r="I515" s="14"/>
    </row>
    <row r="516" spans="8:9" ht="15" thickBot="1" x14ac:dyDescent="0.4">
      <c r="H516" s="14"/>
      <c r="I516" s="14"/>
    </row>
    <row r="517" spans="8:9" ht="15" thickBot="1" x14ac:dyDescent="0.4">
      <c r="H517" s="14"/>
      <c r="I517" s="14"/>
    </row>
    <row r="518" spans="8:9" ht="15" thickBot="1" x14ac:dyDescent="0.4">
      <c r="H518" s="14"/>
      <c r="I518" s="14"/>
    </row>
    <row r="519" spans="8:9" ht="15" thickBot="1" x14ac:dyDescent="0.4">
      <c r="H519" s="14"/>
      <c r="I519" s="14"/>
    </row>
    <row r="520" spans="8:9" ht="15" thickBot="1" x14ac:dyDescent="0.4">
      <c r="H520" s="14"/>
      <c r="I520" s="14"/>
    </row>
    <row r="521" spans="8:9" ht="15" thickBot="1" x14ac:dyDescent="0.4">
      <c r="H521" s="14"/>
      <c r="I521" s="14"/>
    </row>
    <row r="522" spans="8:9" ht="15" thickBot="1" x14ac:dyDescent="0.4">
      <c r="H522" s="14"/>
      <c r="I522" s="14"/>
    </row>
    <row r="523" spans="8:9" ht="15" thickBot="1" x14ac:dyDescent="0.4">
      <c r="H523" s="14"/>
      <c r="I523" s="14"/>
    </row>
    <row r="524" spans="8:9" ht="15" thickBot="1" x14ac:dyDescent="0.4">
      <c r="H524" s="14"/>
      <c r="I524" s="14"/>
    </row>
    <row r="525" spans="8:9" ht="15" thickBot="1" x14ac:dyDescent="0.4">
      <c r="H525" s="14"/>
      <c r="I525" s="14"/>
    </row>
    <row r="526" spans="8:9" ht="15" thickBot="1" x14ac:dyDescent="0.4">
      <c r="H526" s="14"/>
      <c r="I526" s="14"/>
    </row>
    <row r="527" spans="8:9" ht="15" thickBot="1" x14ac:dyDescent="0.4">
      <c r="H527" s="14"/>
      <c r="I527" s="14"/>
    </row>
    <row r="528" spans="8:9" ht="15" thickBot="1" x14ac:dyDescent="0.4">
      <c r="H528" s="14"/>
      <c r="I528" s="14"/>
    </row>
    <row r="529" spans="8:9" ht="15" thickBot="1" x14ac:dyDescent="0.4">
      <c r="H529" s="14"/>
      <c r="I529" s="14"/>
    </row>
    <row r="530" spans="8:9" ht="15" thickBot="1" x14ac:dyDescent="0.4">
      <c r="H530" s="14"/>
      <c r="I530" s="14"/>
    </row>
    <row r="531" spans="8:9" ht="15" thickBot="1" x14ac:dyDescent="0.4">
      <c r="H531" s="14"/>
      <c r="I531" s="14"/>
    </row>
    <row r="532" spans="8:9" ht="15" thickBot="1" x14ac:dyDescent="0.4">
      <c r="H532" s="14"/>
      <c r="I532" s="14"/>
    </row>
    <row r="533" spans="8:9" ht="15" thickBot="1" x14ac:dyDescent="0.4">
      <c r="H533" s="14"/>
      <c r="I533" s="14"/>
    </row>
    <row r="534" spans="8:9" ht="15" thickBot="1" x14ac:dyDescent="0.4">
      <c r="H534" s="14"/>
      <c r="I534" s="14"/>
    </row>
    <row r="535" spans="8:9" ht="15" thickBot="1" x14ac:dyDescent="0.4">
      <c r="H535" s="14"/>
      <c r="I535" s="14"/>
    </row>
    <row r="536" spans="8:9" ht="15" thickBot="1" x14ac:dyDescent="0.4">
      <c r="H536" s="14"/>
      <c r="I536" s="14"/>
    </row>
    <row r="537" spans="8:9" ht="15" thickBot="1" x14ac:dyDescent="0.4">
      <c r="H537" s="14"/>
      <c r="I537" s="14"/>
    </row>
    <row r="538" spans="8:9" ht="15" thickBot="1" x14ac:dyDescent="0.4">
      <c r="H538" s="14"/>
      <c r="I538" s="14"/>
    </row>
    <row r="539" spans="8:9" ht="15" thickBot="1" x14ac:dyDescent="0.4">
      <c r="H539" s="14"/>
      <c r="I539" s="14"/>
    </row>
    <row r="540" spans="8:9" ht="15" thickBot="1" x14ac:dyDescent="0.4">
      <c r="H540" s="14"/>
      <c r="I540" s="14"/>
    </row>
    <row r="541" spans="8:9" ht="15" thickBot="1" x14ac:dyDescent="0.4">
      <c r="H541" s="14"/>
      <c r="I541" s="14"/>
    </row>
    <row r="542" spans="8:9" ht="15" thickBot="1" x14ac:dyDescent="0.4">
      <c r="H542" s="14"/>
      <c r="I542" s="14"/>
    </row>
    <row r="543" spans="8:9" ht="15" thickBot="1" x14ac:dyDescent="0.4">
      <c r="H543" s="14"/>
      <c r="I543" s="14"/>
    </row>
    <row r="544" spans="8:9" ht="15" thickBot="1" x14ac:dyDescent="0.4">
      <c r="H544" s="14"/>
      <c r="I544" s="14"/>
    </row>
    <row r="545" spans="8:9" ht="15" thickBot="1" x14ac:dyDescent="0.4">
      <c r="H545" s="14"/>
      <c r="I545" s="14"/>
    </row>
    <row r="546" spans="8:9" ht="15" thickBot="1" x14ac:dyDescent="0.4">
      <c r="H546" s="14"/>
      <c r="I546" s="14"/>
    </row>
    <row r="547" spans="8:9" ht="15" thickBot="1" x14ac:dyDescent="0.4">
      <c r="H547" s="14"/>
      <c r="I547" s="14"/>
    </row>
    <row r="548" spans="8:9" ht="15" thickBot="1" x14ac:dyDescent="0.4">
      <c r="H548" s="14"/>
      <c r="I548" s="14"/>
    </row>
    <row r="549" spans="8:9" ht="15" thickBot="1" x14ac:dyDescent="0.4">
      <c r="H549" s="14"/>
      <c r="I549" s="14"/>
    </row>
    <row r="550" spans="8:9" ht="15" thickBot="1" x14ac:dyDescent="0.4">
      <c r="H550" s="14"/>
      <c r="I550" s="14"/>
    </row>
    <row r="551" spans="8:9" ht="15" thickBot="1" x14ac:dyDescent="0.4">
      <c r="H551" s="14"/>
      <c r="I551" s="14"/>
    </row>
    <row r="552" spans="8:9" ht="15" thickBot="1" x14ac:dyDescent="0.4">
      <c r="H552" s="14"/>
      <c r="I552" s="14"/>
    </row>
    <row r="553" spans="8:9" ht="15" thickBot="1" x14ac:dyDescent="0.4">
      <c r="H553" s="14"/>
      <c r="I553" s="14"/>
    </row>
    <row r="554" spans="8:9" ht="15" thickBot="1" x14ac:dyDescent="0.4">
      <c r="H554" s="14"/>
      <c r="I554" s="14"/>
    </row>
    <row r="555" spans="8:9" ht="15" thickBot="1" x14ac:dyDescent="0.4">
      <c r="H555" s="14"/>
      <c r="I555" s="14"/>
    </row>
    <row r="556" spans="8:9" ht="15" thickBot="1" x14ac:dyDescent="0.4">
      <c r="H556" s="14"/>
      <c r="I556" s="14"/>
    </row>
    <row r="557" spans="8:9" ht="15" thickBot="1" x14ac:dyDescent="0.4">
      <c r="H557" s="14"/>
      <c r="I557" s="14"/>
    </row>
    <row r="558" spans="8:9" ht="15" thickBot="1" x14ac:dyDescent="0.4">
      <c r="H558" s="14"/>
      <c r="I558" s="14"/>
    </row>
    <row r="559" spans="8:9" ht="15" thickBot="1" x14ac:dyDescent="0.4">
      <c r="H559" s="14"/>
      <c r="I559" s="14"/>
    </row>
    <row r="560" spans="8:9" ht="15" thickBot="1" x14ac:dyDescent="0.4">
      <c r="H560" s="14"/>
      <c r="I560" s="14"/>
    </row>
    <row r="561" spans="8:9" ht="15" thickBot="1" x14ac:dyDescent="0.4">
      <c r="H561" s="14"/>
      <c r="I561" s="14"/>
    </row>
    <row r="562" spans="8:9" ht="15" thickBot="1" x14ac:dyDescent="0.4">
      <c r="H562" s="14"/>
      <c r="I562" s="14"/>
    </row>
    <row r="563" spans="8:9" ht="15" thickBot="1" x14ac:dyDescent="0.4">
      <c r="H563" s="14"/>
      <c r="I563" s="14"/>
    </row>
    <row r="564" spans="8:9" ht="15" thickBot="1" x14ac:dyDescent="0.4">
      <c r="H564" s="14"/>
      <c r="I564" s="14"/>
    </row>
    <row r="565" spans="8:9" ht="15" thickBot="1" x14ac:dyDescent="0.4">
      <c r="H565" s="14"/>
      <c r="I565" s="14"/>
    </row>
    <row r="566" spans="8:9" ht="15" thickBot="1" x14ac:dyDescent="0.4">
      <c r="H566" s="14"/>
      <c r="I566" s="14"/>
    </row>
    <row r="567" spans="8:9" ht="15" thickBot="1" x14ac:dyDescent="0.4">
      <c r="H567" s="14"/>
      <c r="I567" s="14"/>
    </row>
    <row r="568" spans="8:9" ht="15" thickBot="1" x14ac:dyDescent="0.4">
      <c r="H568" s="14"/>
      <c r="I568" s="14"/>
    </row>
    <row r="569" spans="8:9" ht="15" thickBot="1" x14ac:dyDescent="0.4">
      <c r="H569" s="14"/>
      <c r="I569" s="14"/>
    </row>
    <row r="570" spans="8:9" ht="15" thickBot="1" x14ac:dyDescent="0.4">
      <c r="H570" s="14"/>
      <c r="I570" s="14"/>
    </row>
    <row r="571" spans="8:9" ht="15" thickBot="1" x14ac:dyDescent="0.4">
      <c r="H571" s="14"/>
      <c r="I571" s="14"/>
    </row>
    <row r="572" spans="8:9" ht="15" thickBot="1" x14ac:dyDescent="0.4">
      <c r="H572" s="14"/>
      <c r="I572" s="14"/>
    </row>
    <row r="573" spans="8:9" ht="15" thickBot="1" x14ac:dyDescent="0.4">
      <c r="H573" s="14"/>
      <c r="I573" s="14"/>
    </row>
    <row r="574" spans="8:9" ht="15" thickBot="1" x14ac:dyDescent="0.4">
      <c r="H574" s="14"/>
      <c r="I574" s="14"/>
    </row>
    <row r="575" spans="8:9" ht="15" thickBot="1" x14ac:dyDescent="0.4">
      <c r="H575" s="14"/>
      <c r="I575" s="14"/>
    </row>
    <row r="576" spans="8:9" ht="15" thickBot="1" x14ac:dyDescent="0.4">
      <c r="H576" s="14"/>
      <c r="I576" s="14"/>
    </row>
    <row r="577" spans="8:9" ht="15" thickBot="1" x14ac:dyDescent="0.4">
      <c r="H577" s="14"/>
      <c r="I577" s="14"/>
    </row>
    <row r="578" spans="8:9" ht="15" thickBot="1" x14ac:dyDescent="0.4">
      <c r="H578" s="14"/>
      <c r="I578" s="14"/>
    </row>
    <row r="579" spans="8:9" ht="15" thickBot="1" x14ac:dyDescent="0.4">
      <c r="H579" s="14"/>
      <c r="I579" s="14"/>
    </row>
    <row r="580" spans="8:9" ht="15" thickBot="1" x14ac:dyDescent="0.4">
      <c r="H580" s="14"/>
      <c r="I580" s="14"/>
    </row>
    <row r="581" spans="8:9" ht="15" thickBot="1" x14ac:dyDescent="0.4">
      <c r="H581" s="14"/>
      <c r="I581" s="14"/>
    </row>
    <row r="582" spans="8:9" ht="15" thickBot="1" x14ac:dyDescent="0.4">
      <c r="H582" s="14"/>
      <c r="I582" s="14"/>
    </row>
    <row r="583" spans="8:9" ht="15" thickBot="1" x14ac:dyDescent="0.4">
      <c r="H583" s="14"/>
      <c r="I583" s="14"/>
    </row>
    <row r="584" spans="8:9" ht="15" thickBot="1" x14ac:dyDescent="0.4">
      <c r="H584" s="14"/>
      <c r="I584" s="14"/>
    </row>
    <row r="585" spans="8:9" ht="15" thickBot="1" x14ac:dyDescent="0.4">
      <c r="H585" s="14"/>
      <c r="I585" s="14"/>
    </row>
    <row r="586" spans="8:9" ht="15" thickBot="1" x14ac:dyDescent="0.4">
      <c r="H586" s="14"/>
      <c r="I586" s="14"/>
    </row>
    <row r="587" spans="8:9" ht="15" thickBot="1" x14ac:dyDescent="0.4">
      <c r="H587" s="14"/>
      <c r="I587" s="14"/>
    </row>
    <row r="588" spans="8:9" ht="15" thickBot="1" x14ac:dyDescent="0.4">
      <c r="H588" s="14"/>
      <c r="I588" s="14"/>
    </row>
    <row r="589" spans="8:9" ht="15" thickBot="1" x14ac:dyDescent="0.4">
      <c r="H589" s="14"/>
      <c r="I589" s="14"/>
    </row>
    <row r="590" spans="8:9" ht="15" thickBot="1" x14ac:dyDescent="0.4">
      <c r="H590" s="14"/>
      <c r="I590" s="14"/>
    </row>
    <row r="591" spans="8:9" ht="15" thickBot="1" x14ac:dyDescent="0.4">
      <c r="H591" s="14"/>
      <c r="I591" s="14"/>
    </row>
    <row r="592" spans="8:9" ht="15" thickBot="1" x14ac:dyDescent="0.4">
      <c r="H592" s="14"/>
      <c r="I592" s="14"/>
    </row>
    <row r="593" spans="8:9" ht="15" thickBot="1" x14ac:dyDescent="0.4">
      <c r="H593" s="14"/>
      <c r="I593" s="14"/>
    </row>
    <row r="594" spans="8:9" ht="15" thickBot="1" x14ac:dyDescent="0.4">
      <c r="H594" s="14"/>
      <c r="I594" s="14"/>
    </row>
    <row r="595" spans="8:9" ht="15" thickBot="1" x14ac:dyDescent="0.4">
      <c r="H595" s="14"/>
      <c r="I595" s="14"/>
    </row>
    <row r="596" spans="8:9" ht="15" thickBot="1" x14ac:dyDescent="0.4">
      <c r="H596" s="14"/>
      <c r="I596" s="14"/>
    </row>
    <row r="597" spans="8:9" ht="15" thickBot="1" x14ac:dyDescent="0.4">
      <c r="H597" s="14"/>
      <c r="I597" s="14"/>
    </row>
    <row r="598" spans="8:9" ht="15" thickBot="1" x14ac:dyDescent="0.4">
      <c r="H598" s="14"/>
      <c r="I598" s="14"/>
    </row>
    <row r="599" spans="8:9" ht="15" thickBot="1" x14ac:dyDescent="0.4">
      <c r="H599" s="14"/>
      <c r="I599" s="14"/>
    </row>
    <row r="600" spans="8:9" ht="15" thickBot="1" x14ac:dyDescent="0.4">
      <c r="H600" s="14"/>
      <c r="I600" s="14"/>
    </row>
    <row r="601" spans="8:9" ht="15" thickBot="1" x14ac:dyDescent="0.4">
      <c r="H601" s="14"/>
      <c r="I601" s="14"/>
    </row>
    <row r="602" spans="8:9" ht="15" thickBot="1" x14ac:dyDescent="0.4">
      <c r="H602" s="14"/>
      <c r="I602" s="14"/>
    </row>
    <row r="603" spans="8:9" ht="15" thickBot="1" x14ac:dyDescent="0.4">
      <c r="H603" s="14"/>
      <c r="I603" s="14"/>
    </row>
    <row r="604" spans="8:9" ht="15" thickBot="1" x14ac:dyDescent="0.4">
      <c r="H604" s="14"/>
      <c r="I604" s="14"/>
    </row>
    <row r="605" spans="8:9" ht="15" thickBot="1" x14ac:dyDescent="0.4">
      <c r="H605" s="14"/>
      <c r="I605" s="14"/>
    </row>
    <row r="606" spans="8:9" ht="15" thickBot="1" x14ac:dyDescent="0.4">
      <c r="H606" s="14"/>
      <c r="I606" s="14"/>
    </row>
    <row r="607" spans="8:9" ht="15" thickBot="1" x14ac:dyDescent="0.4">
      <c r="H607" s="14"/>
      <c r="I607" s="14"/>
    </row>
    <row r="608" spans="8:9" ht="15" thickBot="1" x14ac:dyDescent="0.4">
      <c r="H608" s="14"/>
      <c r="I608" s="14"/>
    </row>
    <row r="609" spans="8:9" ht="15" thickBot="1" x14ac:dyDescent="0.4">
      <c r="H609" s="14"/>
      <c r="I609" s="14"/>
    </row>
    <row r="610" spans="8:9" ht="15" thickBot="1" x14ac:dyDescent="0.4">
      <c r="H610" s="14"/>
      <c r="I610" s="14"/>
    </row>
    <row r="611" spans="8:9" ht="15" thickBot="1" x14ac:dyDescent="0.4">
      <c r="H611" s="14"/>
      <c r="I611" s="14"/>
    </row>
    <row r="612" spans="8:9" ht="15" thickBot="1" x14ac:dyDescent="0.4">
      <c r="H612" s="14"/>
      <c r="I612" s="14"/>
    </row>
    <row r="613" spans="8:9" ht="15" thickBot="1" x14ac:dyDescent="0.4">
      <c r="H613" s="14"/>
      <c r="I613" s="14"/>
    </row>
    <row r="614" spans="8:9" ht="15" thickBot="1" x14ac:dyDescent="0.4">
      <c r="H614" s="14"/>
      <c r="I614" s="14"/>
    </row>
    <row r="615" spans="8:9" ht="15" thickBot="1" x14ac:dyDescent="0.4">
      <c r="H615" s="14"/>
      <c r="I615" s="14"/>
    </row>
    <row r="616" spans="8:9" ht="15" thickBot="1" x14ac:dyDescent="0.4">
      <c r="H616" s="14"/>
      <c r="I616" s="14"/>
    </row>
    <row r="617" spans="8:9" ht="15" thickBot="1" x14ac:dyDescent="0.4">
      <c r="H617" s="14"/>
      <c r="I617" s="14"/>
    </row>
    <row r="618" spans="8:9" ht="15" thickBot="1" x14ac:dyDescent="0.4">
      <c r="H618" s="14"/>
      <c r="I618" s="14"/>
    </row>
    <row r="619" spans="8:9" ht="15" thickBot="1" x14ac:dyDescent="0.4">
      <c r="H619" s="14"/>
      <c r="I619" s="14"/>
    </row>
    <row r="620" spans="8:9" ht="15" thickBot="1" x14ac:dyDescent="0.4">
      <c r="H620" s="14"/>
      <c r="I620" s="14"/>
    </row>
    <row r="621" spans="8:9" ht="15" thickBot="1" x14ac:dyDescent="0.4">
      <c r="H621" s="14"/>
      <c r="I621" s="14"/>
    </row>
    <row r="622" spans="8:9" ht="15" thickBot="1" x14ac:dyDescent="0.4">
      <c r="H622" s="14"/>
      <c r="I622" s="14"/>
    </row>
    <row r="623" spans="8:9" ht="15" thickBot="1" x14ac:dyDescent="0.4">
      <c r="H623" s="14"/>
      <c r="I623" s="14"/>
    </row>
    <row r="624" spans="8:9" ht="15" thickBot="1" x14ac:dyDescent="0.4">
      <c r="H624" s="14"/>
      <c r="I624" s="14"/>
    </row>
    <row r="625" spans="8:9" ht="15" thickBot="1" x14ac:dyDescent="0.4">
      <c r="H625" s="14"/>
      <c r="I625" s="14"/>
    </row>
    <row r="626" spans="8:9" ht="15" thickBot="1" x14ac:dyDescent="0.4">
      <c r="H626" s="14"/>
      <c r="I626" s="14"/>
    </row>
    <row r="627" spans="8:9" ht="15" thickBot="1" x14ac:dyDescent="0.4">
      <c r="H627" s="14"/>
      <c r="I627" s="14"/>
    </row>
    <row r="628" spans="8:9" ht="15" thickBot="1" x14ac:dyDescent="0.4">
      <c r="H628" s="14"/>
      <c r="I628" s="14"/>
    </row>
    <row r="629" spans="8:9" ht="15" thickBot="1" x14ac:dyDescent="0.4">
      <c r="H629" s="14"/>
      <c r="I629" s="14"/>
    </row>
    <row r="630" spans="8:9" ht="15" thickBot="1" x14ac:dyDescent="0.4">
      <c r="H630" s="14"/>
      <c r="I630" s="14"/>
    </row>
    <row r="631" spans="8:9" ht="15" thickBot="1" x14ac:dyDescent="0.4">
      <c r="H631" s="14"/>
      <c r="I631" s="14"/>
    </row>
    <row r="632" spans="8:9" ht="15" thickBot="1" x14ac:dyDescent="0.4">
      <c r="H632" s="14"/>
      <c r="I632" s="14"/>
    </row>
    <row r="633" spans="8:9" ht="15" thickBot="1" x14ac:dyDescent="0.4">
      <c r="H633" s="14"/>
      <c r="I633" s="14"/>
    </row>
    <row r="634" spans="8:9" ht="15" thickBot="1" x14ac:dyDescent="0.4">
      <c r="H634" s="14"/>
      <c r="I634" s="14"/>
    </row>
    <row r="635" spans="8:9" ht="15" thickBot="1" x14ac:dyDescent="0.4">
      <c r="H635" s="14"/>
      <c r="I635" s="14"/>
    </row>
    <row r="636" spans="8:9" ht="15" thickBot="1" x14ac:dyDescent="0.4">
      <c r="H636" s="14"/>
      <c r="I636" s="14"/>
    </row>
    <row r="637" spans="8:9" ht="15" thickBot="1" x14ac:dyDescent="0.4">
      <c r="H637" s="14"/>
      <c r="I637" s="14"/>
    </row>
    <row r="638" spans="8:9" ht="15" thickBot="1" x14ac:dyDescent="0.4">
      <c r="H638" s="14"/>
      <c r="I638" s="14"/>
    </row>
    <row r="639" spans="8:9" ht="15" thickBot="1" x14ac:dyDescent="0.4">
      <c r="H639" s="14"/>
      <c r="I639" s="14"/>
    </row>
    <row r="640" spans="8:9" ht="15" thickBot="1" x14ac:dyDescent="0.4">
      <c r="H640" s="14"/>
      <c r="I640" s="14"/>
    </row>
    <row r="641" spans="8:9" ht="15" thickBot="1" x14ac:dyDescent="0.4">
      <c r="H641" s="14"/>
      <c r="I641" s="14"/>
    </row>
    <row r="642" spans="8:9" ht="15" thickBot="1" x14ac:dyDescent="0.4">
      <c r="H642" s="14"/>
      <c r="I642" s="14"/>
    </row>
    <row r="643" spans="8:9" ht="15" thickBot="1" x14ac:dyDescent="0.4">
      <c r="H643" s="14"/>
      <c r="I643" s="14"/>
    </row>
    <row r="644" spans="8:9" ht="15" thickBot="1" x14ac:dyDescent="0.4">
      <c r="H644" s="14"/>
      <c r="I644" s="14"/>
    </row>
    <row r="645" spans="8:9" ht="15" thickBot="1" x14ac:dyDescent="0.4">
      <c r="H645" s="14"/>
      <c r="I645" s="14"/>
    </row>
    <row r="646" spans="8:9" ht="15" thickBot="1" x14ac:dyDescent="0.4">
      <c r="H646" s="14"/>
      <c r="I646" s="14"/>
    </row>
    <row r="647" spans="8:9" ht="15" thickBot="1" x14ac:dyDescent="0.4">
      <c r="H647" s="14"/>
      <c r="I647" s="14"/>
    </row>
    <row r="648" spans="8:9" ht="15" thickBot="1" x14ac:dyDescent="0.4">
      <c r="H648" s="14"/>
      <c r="I648" s="14"/>
    </row>
    <row r="649" spans="8:9" ht="15" thickBot="1" x14ac:dyDescent="0.4">
      <c r="H649" s="14"/>
      <c r="I649" s="14"/>
    </row>
    <row r="650" spans="8:9" ht="15" thickBot="1" x14ac:dyDescent="0.4">
      <c r="H650" s="14"/>
      <c r="I650" s="14"/>
    </row>
    <row r="651" spans="8:9" ht="15" thickBot="1" x14ac:dyDescent="0.4">
      <c r="H651" s="14"/>
      <c r="I651" s="14"/>
    </row>
    <row r="652" spans="8:9" ht="15" thickBot="1" x14ac:dyDescent="0.4">
      <c r="H652" s="14"/>
      <c r="I652" s="14"/>
    </row>
    <row r="653" spans="8:9" ht="15" thickBot="1" x14ac:dyDescent="0.4">
      <c r="H653" s="14"/>
      <c r="I653" s="14"/>
    </row>
    <row r="654" spans="8:9" ht="15" thickBot="1" x14ac:dyDescent="0.4">
      <c r="H654" s="14"/>
      <c r="I654" s="14"/>
    </row>
    <row r="655" spans="8:9" ht="15" thickBot="1" x14ac:dyDescent="0.4">
      <c r="H655" s="14"/>
      <c r="I655" s="14"/>
    </row>
    <row r="656" spans="8:9" ht="15" thickBot="1" x14ac:dyDescent="0.4">
      <c r="H656" s="14"/>
      <c r="I656" s="14"/>
    </row>
    <row r="657" spans="8:9" ht="15" thickBot="1" x14ac:dyDescent="0.4">
      <c r="H657" s="14"/>
      <c r="I657" s="14"/>
    </row>
    <row r="658" spans="8:9" ht="15" thickBot="1" x14ac:dyDescent="0.4">
      <c r="H658" s="14"/>
      <c r="I658" s="14"/>
    </row>
    <row r="659" spans="8:9" ht="15" thickBot="1" x14ac:dyDescent="0.4">
      <c r="H659" s="14"/>
      <c r="I659" s="14"/>
    </row>
    <row r="660" spans="8:9" ht="15" thickBot="1" x14ac:dyDescent="0.4">
      <c r="H660" s="14"/>
      <c r="I660" s="14"/>
    </row>
    <row r="661" spans="8:9" ht="15" thickBot="1" x14ac:dyDescent="0.4">
      <c r="H661" s="14"/>
      <c r="I661" s="14"/>
    </row>
    <row r="662" spans="8:9" ht="15" thickBot="1" x14ac:dyDescent="0.4">
      <c r="H662" s="14"/>
      <c r="I662" s="14"/>
    </row>
    <row r="663" spans="8:9" ht="15" thickBot="1" x14ac:dyDescent="0.4">
      <c r="H663" s="14"/>
      <c r="I663" s="14"/>
    </row>
    <row r="664" spans="8:9" ht="15" thickBot="1" x14ac:dyDescent="0.4">
      <c r="H664" s="14"/>
      <c r="I664" s="14"/>
    </row>
    <row r="665" spans="8:9" ht="15" thickBot="1" x14ac:dyDescent="0.4">
      <c r="H665" s="14"/>
      <c r="I665" s="14"/>
    </row>
    <row r="666" spans="8:9" ht="15" thickBot="1" x14ac:dyDescent="0.4">
      <c r="H666" s="14"/>
      <c r="I666" s="14"/>
    </row>
    <row r="667" spans="8:9" ht="15" thickBot="1" x14ac:dyDescent="0.4">
      <c r="H667" s="14"/>
      <c r="I667" s="14"/>
    </row>
    <row r="668" spans="8:9" ht="15" thickBot="1" x14ac:dyDescent="0.4">
      <c r="H668" s="14"/>
      <c r="I668" s="14"/>
    </row>
    <row r="669" spans="8:9" ht="15" thickBot="1" x14ac:dyDescent="0.4">
      <c r="H669" s="14"/>
      <c r="I669" s="14"/>
    </row>
    <row r="670" spans="8:9" ht="15" thickBot="1" x14ac:dyDescent="0.4">
      <c r="H670" s="14"/>
      <c r="I670" s="14"/>
    </row>
    <row r="671" spans="8:9" ht="15" thickBot="1" x14ac:dyDescent="0.4">
      <c r="H671" s="14"/>
      <c r="I671" s="14"/>
    </row>
    <row r="672" spans="8:9" ht="15" thickBot="1" x14ac:dyDescent="0.4">
      <c r="H672" s="14"/>
      <c r="I672" s="14"/>
    </row>
    <row r="673" spans="8:9" ht="15" thickBot="1" x14ac:dyDescent="0.4">
      <c r="H673" s="14"/>
      <c r="I673" s="14"/>
    </row>
    <row r="674" spans="8:9" ht="15" thickBot="1" x14ac:dyDescent="0.4">
      <c r="H674" s="14"/>
      <c r="I674" s="14"/>
    </row>
    <row r="675" spans="8:9" ht="15" thickBot="1" x14ac:dyDescent="0.4">
      <c r="H675" s="14"/>
      <c r="I675" s="14"/>
    </row>
    <row r="676" spans="8:9" ht="15" thickBot="1" x14ac:dyDescent="0.4">
      <c r="H676" s="14"/>
      <c r="I676" s="14"/>
    </row>
    <row r="677" spans="8:9" ht="15" thickBot="1" x14ac:dyDescent="0.4">
      <c r="H677" s="14"/>
      <c r="I677" s="14"/>
    </row>
    <row r="678" spans="8:9" ht="15" thickBot="1" x14ac:dyDescent="0.4">
      <c r="H678" s="14"/>
      <c r="I678" s="14"/>
    </row>
    <row r="679" spans="8:9" ht="15" thickBot="1" x14ac:dyDescent="0.4">
      <c r="H679" s="14"/>
      <c r="I679" s="14"/>
    </row>
    <row r="680" spans="8:9" ht="15" thickBot="1" x14ac:dyDescent="0.4">
      <c r="H680" s="14"/>
      <c r="I680" s="14"/>
    </row>
    <row r="681" spans="8:9" ht="15" thickBot="1" x14ac:dyDescent="0.4">
      <c r="H681" s="14"/>
      <c r="I681" s="14"/>
    </row>
    <row r="682" spans="8:9" ht="15" thickBot="1" x14ac:dyDescent="0.4">
      <c r="H682" s="14"/>
      <c r="I682" s="14"/>
    </row>
    <row r="683" spans="8:9" ht="15" thickBot="1" x14ac:dyDescent="0.4">
      <c r="H683" s="14"/>
      <c r="I683" s="14"/>
    </row>
    <row r="684" spans="8:9" ht="15" thickBot="1" x14ac:dyDescent="0.4">
      <c r="H684" s="14"/>
      <c r="I684" s="14"/>
    </row>
    <row r="685" spans="8:9" ht="15" thickBot="1" x14ac:dyDescent="0.4">
      <c r="H685" s="14"/>
      <c r="I685" s="14"/>
    </row>
    <row r="686" spans="8:9" ht="15" thickBot="1" x14ac:dyDescent="0.4">
      <c r="H686" s="14"/>
      <c r="I686" s="14"/>
    </row>
    <row r="687" spans="8:9" ht="15" thickBot="1" x14ac:dyDescent="0.4">
      <c r="H687" s="14"/>
      <c r="I687" s="14"/>
    </row>
    <row r="688" spans="8:9" ht="15" thickBot="1" x14ac:dyDescent="0.4">
      <c r="H688" s="14"/>
      <c r="I688" s="14"/>
    </row>
    <row r="689" spans="8:9" ht="15" thickBot="1" x14ac:dyDescent="0.4">
      <c r="H689" s="14"/>
      <c r="I689" s="14"/>
    </row>
    <row r="690" spans="8:9" ht="15" thickBot="1" x14ac:dyDescent="0.4">
      <c r="H690" s="14"/>
      <c r="I690" s="14"/>
    </row>
    <row r="691" spans="8:9" ht="15" thickBot="1" x14ac:dyDescent="0.4">
      <c r="H691" s="14"/>
      <c r="I691" s="14"/>
    </row>
    <row r="692" spans="8:9" ht="15" thickBot="1" x14ac:dyDescent="0.4">
      <c r="H692" s="14"/>
      <c r="I692" s="14"/>
    </row>
    <row r="693" spans="8:9" ht="15" thickBot="1" x14ac:dyDescent="0.4">
      <c r="H693" s="14"/>
      <c r="I693" s="14"/>
    </row>
    <row r="694" spans="8:9" ht="15" thickBot="1" x14ac:dyDescent="0.4">
      <c r="H694" s="14"/>
      <c r="I694" s="14"/>
    </row>
    <row r="695" spans="8:9" ht="15" thickBot="1" x14ac:dyDescent="0.4">
      <c r="H695" s="14"/>
      <c r="I695" s="14"/>
    </row>
    <row r="696" spans="8:9" ht="15" thickBot="1" x14ac:dyDescent="0.4">
      <c r="H696" s="14"/>
      <c r="I696" s="14"/>
    </row>
    <row r="697" spans="8:9" ht="15" thickBot="1" x14ac:dyDescent="0.4">
      <c r="H697" s="14"/>
      <c r="I697" s="14"/>
    </row>
    <row r="698" spans="8:9" ht="15" thickBot="1" x14ac:dyDescent="0.4">
      <c r="H698" s="14"/>
      <c r="I698" s="14"/>
    </row>
    <row r="699" spans="8:9" ht="15" thickBot="1" x14ac:dyDescent="0.4">
      <c r="H699" s="14"/>
      <c r="I699" s="14"/>
    </row>
    <row r="700" spans="8:9" ht="15" thickBot="1" x14ac:dyDescent="0.4">
      <c r="H700" s="14"/>
      <c r="I700" s="14"/>
    </row>
    <row r="701" spans="8:9" ht="15" thickBot="1" x14ac:dyDescent="0.4">
      <c r="H701" s="14"/>
      <c r="I701" s="14"/>
    </row>
    <row r="702" spans="8:9" ht="15" thickBot="1" x14ac:dyDescent="0.4">
      <c r="H702" s="14"/>
      <c r="I702" s="14"/>
    </row>
    <row r="703" spans="8:9" ht="15" thickBot="1" x14ac:dyDescent="0.4">
      <c r="H703" s="14"/>
      <c r="I703" s="14"/>
    </row>
    <row r="704" spans="8:9" ht="15" thickBot="1" x14ac:dyDescent="0.4">
      <c r="H704" s="14"/>
      <c r="I704" s="14"/>
    </row>
    <row r="705" spans="8:9" ht="15" thickBot="1" x14ac:dyDescent="0.4">
      <c r="H705" s="14"/>
      <c r="I705" s="14"/>
    </row>
    <row r="706" spans="8:9" ht="15" thickBot="1" x14ac:dyDescent="0.4">
      <c r="H706" s="14"/>
      <c r="I706" s="14"/>
    </row>
    <row r="707" spans="8:9" ht="15" thickBot="1" x14ac:dyDescent="0.4">
      <c r="H707" s="14"/>
      <c r="I707" s="14"/>
    </row>
    <row r="708" spans="8:9" ht="15" thickBot="1" x14ac:dyDescent="0.4">
      <c r="H708" s="14"/>
      <c r="I708" s="14"/>
    </row>
    <row r="709" spans="8:9" ht="15" thickBot="1" x14ac:dyDescent="0.4">
      <c r="H709" s="14"/>
      <c r="I709" s="14"/>
    </row>
    <row r="710" spans="8:9" ht="15" thickBot="1" x14ac:dyDescent="0.4">
      <c r="H710" s="14"/>
      <c r="I710" s="14"/>
    </row>
    <row r="711" spans="8:9" ht="15" thickBot="1" x14ac:dyDescent="0.4">
      <c r="H711" s="14"/>
      <c r="I711" s="14"/>
    </row>
    <row r="712" spans="8:9" ht="15" thickBot="1" x14ac:dyDescent="0.4">
      <c r="H712" s="14"/>
      <c r="I712" s="14"/>
    </row>
    <row r="713" spans="8:9" ht="15" thickBot="1" x14ac:dyDescent="0.4">
      <c r="H713" s="14"/>
      <c r="I713" s="14"/>
    </row>
    <row r="714" spans="8:9" ht="15" thickBot="1" x14ac:dyDescent="0.4">
      <c r="H714" s="14"/>
      <c r="I714" s="14"/>
    </row>
    <row r="715" spans="8:9" ht="15" thickBot="1" x14ac:dyDescent="0.4">
      <c r="H715" s="14"/>
      <c r="I715" s="14"/>
    </row>
    <row r="716" spans="8:9" ht="15" thickBot="1" x14ac:dyDescent="0.4">
      <c r="H716" s="14"/>
      <c r="I716" s="14"/>
    </row>
    <row r="717" spans="8:9" ht="15" thickBot="1" x14ac:dyDescent="0.4">
      <c r="H717" s="14"/>
      <c r="I717" s="14"/>
    </row>
    <row r="718" spans="8:9" ht="15" thickBot="1" x14ac:dyDescent="0.4">
      <c r="H718" s="14"/>
      <c r="I718" s="14"/>
    </row>
    <row r="719" spans="8:9" ht="15" thickBot="1" x14ac:dyDescent="0.4">
      <c r="H719" s="14"/>
      <c r="I719" s="14"/>
    </row>
    <row r="720" spans="8:9" ht="15" thickBot="1" x14ac:dyDescent="0.4">
      <c r="H720" s="14"/>
      <c r="I720" s="14"/>
    </row>
    <row r="721" spans="8:9" ht="15" thickBot="1" x14ac:dyDescent="0.4">
      <c r="H721" s="14"/>
      <c r="I721" s="14"/>
    </row>
    <row r="722" spans="8:9" ht="15" thickBot="1" x14ac:dyDescent="0.4">
      <c r="H722" s="14"/>
      <c r="I722" s="14"/>
    </row>
    <row r="723" spans="8:9" ht="15" thickBot="1" x14ac:dyDescent="0.4">
      <c r="H723" s="14"/>
      <c r="I723" s="14"/>
    </row>
    <row r="724" spans="8:9" ht="15" thickBot="1" x14ac:dyDescent="0.4">
      <c r="H724" s="14"/>
      <c r="I724" s="14"/>
    </row>
    <row r="725" spans="8:9" ht="15" thickBot="1" x14ac:dyDescent="0.4">
      <c r="H725" s="14"/>
      <c r="I725" s="14"/>
    </row>
    <row r="726" spans="8:9" ht="15" thickBot="1" x14ac:dyDescent="0.4">
      <c r="H726" s="14"/>
      <c r="I726" s="14"/>
    </row>
    <row r="727" spans="8:9" ht="15" thickBot="1" x14ac:dyDescent="0.4">
      <c r="H727" s="14"/>
      <c r="I727" s="14"/>
    </row>
    <row r="728" spans="8:9" ht="15" thickBot="1" x14ac:dyDescent="0.4">
      <c r="H728" s="14"/>
      <c r="I728" s="14"/>
    </row>
    <row r="729" spans="8:9" ht="15" thickBot="1" x14ac:dyDescent="0.4">
      <c r="H729" s="14"/>
      <c r="I729" s="14"/>
    </row>
    <row r="730" spans="8:9" ht="15" thickBot="1" x14ac:dyDescent="0.4">
      <c r="H730" s="14"/>
      <c r="I730" s="14"/>
    </row>
    <row r="731" spans="8:9" ht="15" thickBot="1" x14ac:dyDescent="0.4">
      <c r="H731" s="14"/>
      <c r="I731" s="14"/>
    </row>
    <row r="732" spans="8:9" ht="15" thickBot="1" x14ac:dyDescent="0.4">
      <c r="H732" s="14"/>
      <c r="I732" s="14"/>
    </row>
    <row r="733" spans="8:9" ht="15" thickBot="1" x14ac:dyDescent="0.4">
      <c r="H733" s="14"/>
      <c r="I733" s="14"/>
    </row>
    <row r="734" spans="8:9" ht="15" thickBot="1" x14ac:dyDescent="0.4">
      <c r="H734" s="14"/>
      <c r="I734" s="14"/>
    </row>
    <row r="735" spans="8:9" ht="15" thickBot="1" x14ac:dyDescent="0.4">
      <c r="H735" s="14"/>
      <c r="I735" s="14"/>
    </row>
    <row r="736" spans="8:9" ht="15" thickBot="1" x14ac:dyDescent="0.4">
      <c r="H736" s="14"/>
      <c r="I736" s="14"/>
    </row>
    <row r="737" spans="8:9" ht="15" thickBot="1" x14ac:dyDescent="0.4">
      <c r="H737" s="14"/>
      <c r="I737" s="14"/>
    </row>
    <row r="738" spans="8:9" ht="15" thickBot="1" x14ac:dyDescent="0.4">
      <c r="H738" s="14"/>
      <c r="I738" s="14"/>
    </row>
    <row r="739" spans="8:9" ht="15" thickBot="1" x14ac:dyDescent="0.4">
      <c r="H739" s="14"/>
      <c r="I739" s="14"/>
    </row>
    <row r="740" spans="8:9" ht="15" thickBot="1" x14ac:dyDescent="0.4">
      <c r="H740" s="14"/>
      <c r="I740" s="14"/>
    </row>
    <row r="741" spans="8:9" ht="15" thickBot="1" x14ac:dyDescent="0.4">
      <c r="H741" s="14"/>
      <c r="I741" s="14"/>
    </row>
    <row r="742" spans="8:9" ht="15" thickBot="1" x14ac:dyDescent="0.4">
      <c r="H742" s="14"/>
      <c r="I742" s="14"/>
    </row>
    <row r="743" spans="8:9" ht="15" thickBot="1" x14ac:dyDescent="0.4">
      <c r="H743" s="14"/>
      <c r="I743" s="14"/>
    </row>
    <row r="744" spans="8:9" ht="15" thickBot="1" x14ac:dyDescent="0.4">
      <c r="H744" s="14"/>
      <c r="I744" s="14"/>
    </row>
    <row r="745" spans="8:9" ht="15" thickBot="1" x14ac:dyDescent="0.4">
      <c r="H745" s="14"/>
      <c r="I745" s="14"/>
    </row>
    <row r="746" spans="8:9" ht="15" thickBot="1" x14ac:dyDescent="0.4">
      <c r="H746" s="14"/>
      <c r="I746" s="14"/>
    </row>
    <row r="747" spans="8:9" ht="15" thickBot="1" x14ac:dyDescent="0.4">
      <c r="H747" s="14"/>
      <c r="I747" s="14"/>
    </row>
    <row r="748" spans="8:9" ht="15" thickBot="1" x14ac:dyDescent="0.4">
      <c r="H748" s="14"/>
      <c r="I748" s="14"/>
    </row>
    <row r="749" spans="8:9" ht="15" thickBot="1" x14ac:dyDescent="0.4">
      <c r="H749" s="14"/>
      <c r="I749" s="14"/>
    </row>
    <row r="750" spans="8:9" ht="15" thickBot="1" x14ac:dyDescent="0.4">
      <c r="H750" s="14"/>
      <c r="I750" s="14"/>
    </row>
    <row r="751" spans="8:9" ht="15" thickBot="1" x14ac:dyDescent="0.4">
      <c r="H751" s="14"/>
      <c r="I751" s="14"/>
    </row>
    <row r="752" spans="8:9" ht="15" thickBot="1" x14ac:dyDescent="0.4">
      <c r="H752" s="14"/>
      <c r="I752" s="14"/>
    </row>
    <row r="753" spans="8:9" ht="15" thickBot="1" x14ac:dyDescent="0.4">
      <c r="H753" s="14"/>
      <c r="I753" s="14"/>
    </row>
    <row r="754" spans="8:9" ht="15" thickBot="1" x14ac:dyDescent="0.4">
      <c r="H754" s="14"/>
      <c r="I754" s="14"/>
    </row>
    <row r="755" spans="8:9" ht="15" thickBot="1" x14ac:dyDescent="0.4">
      <c r="H755" s="14"/>
      <c r="I755" s="14"/>
    </row>
    <row r="756" spans="8:9" ht="15" thickBot="1" x14ac:dyDescent="0.4">
      <c r="H756" s="14"/>
      <c r="I756" s="14"/>
    </row>
    <row r="757" spans="8:9" ht="15" thickBot="1" x14ac:dyDescent="0.4">
      <c r="H757" s="14"/>
      <c r="I757" s="14"/>
    </row>
    <row r="758" spans="8:9" ht="15" thickBot="1" x14ac:dyDescent="0.4">
      <c r="H758" s="14"/>
      <c r="I758" s="14"/>
    </row>
    <row r="759" spans="8:9" ht="15" thickBot="1" x14ac:dyDescent="0.4">
      <c r="H759" s="14"/>
      <c r="I759" s="14"/>
    </row>
    <row r="760" spans="8:9" ht="15" thickBot="1" x14ac:dyDescent="0.4">
      <c r="H760" s="14"/>
      <c r="I760" s="14"/>
    </row>
    <row r="761" spans="8:9" ht="15" thickBot="1" x14ac:dyDescent="0.4">
      <c r="H761" s="14"/>
      <c r="I761" s="14"/>
    </row>
    <row r="762" spans="8:9" ht="15" thickBot="1" x14ac:dyDescent="0.4">
      <c r="H762" s="14"/>
      <c r="I762" s="14"/>
    </row>
    <row r="763" spans="8:9" ht="15" thickBot="1" x14ac:dyDescent="0.4">
      <c r="H763" s="14"/>
      <c r="I763" s="14"/>
    </row>
    <row r="764" spans="8:9" ht="15" thickBot="1" x14ac:dyDescent="0.4">
      <c r="H764" s="14"/>
      <c r="I764" s="14"/>
    </row>
    <row r="765" spans="8:9" ht="15" thickBot="1" x14ac:dyDescent="0.4">
      <c r="H765" s="14"/>
      <c r="I765" s="14"/>
    </row>
    <row r="766" spans="8:9" ht="15" thickBot="1" x14ac:dyDescent="0.4">
      <c r="H766" s="14"/>
      <c r="I766" s="14"/>
    </row>
    <row r="767" spans="8:9" ht="15" thickBot="1" x14ac:dyDescent="0.4">
      <c r="H767" s="14"/>
      <c r="I767" s="14"/>
    </row>
    <row r="768" spans="8:9" ht="15" thickBot="1" x14ac:dyDescent="0.4">
      <c r="H768" s="14"/>
      <c r="I768" s="14"/>
    </row>
    <row r="769" spans="8:9" ht="15" thickBot="1" x14ac:dyDescent="0.4">
      <c r="H769" s="14"/>
      <c r="I769" s="14"/>
    </row>
    <row r="770" spans="8:9" ht="15" thickBot="1" x14ac:dyDescent="0.4">
      <c r="H770" s="14"/>
      <c r="I770" s="14"/>
    </row>
    <row r="771" spans="8:9" ht="15" thickBot="1" x14ac:dyDescent="0.4">
      <c r="H771" s="14"/>
      <c r="I771" s="14"/>
    </row>
    <row r="772" spans="8:9" ht="15" thickBot="1" x14ac:dyDescent="0.4">
      <c r="H772" s="14"/>
      <c r="I772" s="14"/>
    </row>
    <row r="773" spans="8:9" ht="15" thickBot="1" x14ac:dyDescent="0.4">
      <c r="H773" s="14"/>
      <c r="I773" s="14"/>
    </row>
    <row r="774" spans="8:9" ht="15" thickBot="1" x14ac:dyDescent="0.4">
      <c r="H774" s="14"/>
      <c r="I774" s="14"/>
    </row>
    <row r="775" spans="8:9" ht="15" thickBot="1" x14ac:dyDescent="0.4">
      <c r="H775" s="14"/>
      <c r="I775" s="14"/>
    </row>
    <row r="776" spans="8:9" ht="15" thickBot="1" x14ac:dyDescent="0.4">
      <c r="H776" s="14"/>
      <c r="I776" s="14"/>
    </row>
    <row r="777" spans="8:9" ht="15" thickBot="1" x14ac:dyDescent="0.4">
      <c r="H777" s="14"/>
      <c r="I777" s="14"/>
    </row>
    <row r="778" spans="8:9" ht="15" thickBot="1" x14ac:dyDescent="0.4">
      <c r="H778" s="14"/>
      <c r="I778" s="14"/>
    </row>
    <row r="779" spans="8:9" ht="15" thickBot="1" x14ac:dyDescent="0.4">
      <c r="H779" s="14"/>
      <c r="I779" s="14"/>
    </row>
    <row r="780" spans="8:9" ht="15" thickBot="1" x14ac:dyDescent="0.4">
      <c r="H780" s="14"/>
      <c r="I780" s="14"/>
    </row>
    <row r="781" spans="8:9" ht="15" thickBot="1" x14ac:dyDescent="0.4">
      <c r="H781" s="14"/>
      <c r="I781" s="14"/>
    </row>
    <row r="782" spans="8:9" ht="15" thickBot="1" x14ac:dyDescent="0.4">
      <c r="H782" s="14"/>
      <c r="I782" s="14"/>
    </row>
    <row r="783" spans="8:9" ht="15" thickBot="1" x14ac:dyDescent="0.4">
      <c r="H783" s="14"/>
      <c r="I783" s="14"/>
    </row>
    <row r="784" spans="8:9" ht="15" thickBot="1" x14ac:dyDescent="0.4">
      <c r="H784" s="14"/>
      <c r="I784" s="14"/>
    </row>
    <row r="785" spans="8:9" ht="15" thickBot="1" x14ac:dyDescent="0.4">
      <c r="H785" s="14"/>
      <c r="I785" s="14"/>
    </row>
    <row r="786" spans="8:9" ht="15" thickBot="1" x14ac:dyDescent="0.4">
      <c r="H786" s="14"/>
      <c r="I786" s="14"/>
    </row>
    <row r="787" spans="8:9" ht="15" thickBot="1" x14ac:dyDescent="0.4">
      <c r="H787" s="14"/>
      <c r="I787" s="14"/>
    </row>
    <row r="788" spans="8:9" ht="15" thickBot="1" x14ac:dyDescent="0.4">
      <c r="H788" s="14"/>
      <c r="I788" s="14"/>
    </row>
    <row r="789" spans="8:9" ht="15" thickBot="1" x14ac:dyDescent="0.4">
      <c r="H789" s="14"/>
      <c r="I789" s="14"/>
    </row>
    <row r="790" spans="8:9" ht="15" thickBot="1" x14ac:dyDescent="0.4">
      <c r="H790" s="14"/>
      <c r="I790" s="14"/>
    </row>
    <row r="791" spans="8:9" ht="15" thickBot="1" x14ac:dyDescent="0.4">
      <c r="H791" s="14"/>
      <c r="I791" s="14"/>
    </row>
    <row r="792" spans="8:9" ht="15" thickBot="1" x14ac:dyDescent="0.4">
      <c r="H792" s="14"/>
      <c r="I792" s="14"/>
    </row>
    <row r="793" spans="8:9" ht="15" thickBot="1" x14ac:dyDescent="0.4">
      <c r="H793" s="14"/>
      <c r="I793" s="14"/>
    </row>
    <row r="794" spans="8:9" ht="15" thickBot="1" x14ac:dyDescent="0.4">
      <c r="H794" s="14"/>
      <c r="I794" s="14"/>
    </row>
    <row r="795" spans="8:9" ht="15" thickBot="1" x14ac:dyDescent="0.4">
      <c r="H795" s="14"/>
      <c r="I795" s="14"/>
    </row>
    <row r="796" spans="8:9" ht="15" thickBot="1" x14ac:dyDescent="0.4">
      <c r="H796" s="14"/>
      <c r="I796" s="14"/>
    </row>
    <row r="797" spans="8:9" ht="15" thickBot="1" x14ac:dyDescent="0.4">
      <c r="H797" s="14"/>
      <c r="I797" s="14"/>
    </row>
    <row r="798" spans="8:9" ht="15" thickBot="1" x14ac:dyDescent="0.4">
      <c r="H798" s="14"/>
      <c r="I798" s="14"/>
    </row>
    <row r="799" spans="8:9" ht="15" thickBot="1" x14ac:dyDescent="0.4">
      <c r="H799" s="14"/>
      <c r="I799" s="14"/>
    </row>
    <row r="800" spans="8:9" ht="15" thickBot="1" x14ac:dyDescent="0.4">
      <c r="H800" s="14"/>
      <c r="I800" s="14"/>
    </row>
    <row r="801" spans="8:9" ht="15" thickBot="1" x14ac:dyDescent="0.4">
      <c r="H801" s="14"/>
      <c r="I801" s="14"/>
    </row>
    <row r="802" spans="8:9" ht="15" thickBot="1" x14ac:dyDescent="0.4">
      <c r="H802" s="14"/>
      <c r="I802" s="14"/>
    </row>
    <row r="803" spans="8:9" ht="15" thickBot="1" x14ac:dyDescent="0.4">
      <c r="H803" s="14"/>
      <c r="I803" s="14"/>
    </row>
    <row r="804" spans="8:9" ht="15" thickBot="1" x14ac:dyDescent="0.4">
      <c r="H804" s="14"/>
      <c r="I804" s="14"/>
    </row>
    <row r="805" spans="8:9" ht="15" thickBot="1" x14ac:dyDescent="0.4">
      <c r="H805" s="14"/>
      <c r="I805" s="14"/>
    </row>
    <row r="806" spans="8:9" ht="15" thickBot="1" x14ac:dyDescent="0.4">
      <c r="H806" s="14"/>
      <c r="I806" s="14"/>
    </row>
    <row r="807" spans="8:9" ht="15" thickBot="1" x14ac:dyDescent="0.4">
      <c r="H807" s="14"/>
      <c r="I807" s="14"/>
    </row>
    <row r="808" spans="8:9" ht="15" thickBot="1" x14ac:dyDescent="0.4">
      <c r="H808" s="14"/>
      <c r="I808" s="14"/>
    </row>
    <row r="809" spans="8:9" ht="15" thickBot="1" x14ac:dyDescent="0.4">
      <c r="H809" s="14"/>
      <c r="I809" s="14"/>
    </row>
    <row r="810" spans="8:9" ht="15" thickBot="1" x14ac:dyDescent="0.4">
      <c r="H810" s="14"/>
      <c r="I810" s="14"/>
    </row>
    <row r="811" spans="8:9" ht="15" thickBot="1" x14ac:dyDescent="0.4">
      <c r="H811" s="14"/>
      <c r="I811" s="14"/>
    </row>
    <row r="812" spans="8:9" ht="15" thickBot="1" x14ac:dyDescent="0.4">
      <c r="H812" s="14"/>
      <c r="I812" s="14"/>
    </row>
    <row r="813" spans="8:9" ht="15" thickBot="1" x14ac:dyDescent="0.4">
      <c r="H813" s="14"/>
      <c r="I813" s="14"/>
    </row>
    <row r="814" spans="8:9" ht="15" thickBot="1" x14ac:dyDescent="0.4">
      <c r="H814" s="14"/>
      <c r="I814" s="14"/>
    </row>
    <row r="815" spans="8:9" ht="15" thickBot="1" x14ac:dyDescent="0.4">
      <c r="H815" s="14"/>
      <c r="I815" s="14"/>
    </row>
    <row r="816" spans="8:9" ht="15" thickBot="1" x14ac:dyDescent="0.4">
      <c r="H816" s="14"/>
      <c r="I816" s="14"/>
    </row>
    <row r="817" spans="8:9" ht="15" thickBot="1" x14ac:dyDescent="0.4">
      <c r="H817" s="14"/>
      <c r="I817" s="14"/>
    </row>
    <row r="818" spans="8:9" ht="15" thickBot="1" x14ac:dyDescent="0.4">
      <c r="H818" s="14"/>
      <c r="I818" s="14"/>
    </row>
    <row r="819" spans="8:9" ht="15" thickBot="1" x14ac:dyDescent="0.4">
      <c r="H819" s="14"/>
      <c r="I819" s="14"/>
    </row>
    <row r="820" spans="8:9" ht="15" thickBot="1" x14ac:dyDescent="0.4">
      <c r="H820" s="14"/>
      <c r="I820" s="14"/>
    </row>
    <row r="821" spans="8:9" ht="15" thickBot="1" x14ac:dyDescent="0.4">
      <c r="H821" s="14"/>
      <c r="I821" s="14"/>
    </row>
    <row r="822" spans="8:9" ht="15" thickBot="1" x14ac:dyDescent="0.4">
      <c r="H822" s="14"/>
      <c r="I822" s="14"/>
    </row>
    <row r="823" spans="8:9" ht="15" thickBot="1" x14ac:dyDescent="0.4">
      <c r="H823" s="14"/>
      <c r="I823" s="14"/>
    </row>
    <row r="824" spans="8:9" ht="15" thickBot="1" x14ac:dyDescent="0.4">
      <c r="H824" s="14"/>
      <c r="I824" s="14"/>
    </row>
    <row r="825" spans="8:9" ht="15" thickBot="1" x14ac:dyDescent="0.4">
      <c r="H825" s="14"/>
      <c r="I825" s="14"/>
    </row>
    <row r="826" spans="8:9" ht="15" thickBot="1" x14ac:dyDescent="0.4">
      <c r="H826" s="14"/>
      <c r="I826" s="14"/>
    </row>
    <row r="827" spans="8:9" ht="15" thickBot="1" x14ac:dyDescent="0.4">
      <c r="H827" s="14"/>
      <c r="I827" s="14"/>
    </row>
    <row r="828" spans="8:9" ht="15" thickBot="1" x14ac:dyDescent="0.4">
      <c r="H828" s="14"/>
      <c r="I828" s="14"/>
    </row>
    <row r="829" spans="8:9" ht="15" thickBot="1" x14ac:dyDescent="0.4">
      <c r="H829" s="14"/>
      <c r="I829" s="14"/>
    </row>
    <row r="830" spans="8:9" ht="15" thickBot="1" x14ac:dyDescent="0.4">
      <c r="H830" s="14"/>
      <c r="I830" s="14"/>
    </row>
    <row r="831" spans="8:9" ht="15" thickBot="1" x14ac:dyDescent="0.4">
      <c r="H831" s="14"/>
      <c r="I831" s="14"/>
    </row>
    <row r="832" spans="8:9" ht="15" thickBot="1" x14ac:dyDescent="0.4">
      <c r="H832" s="14"/>
      <c r="I832" s="14"/>
    </row>
    <row r="833" spans="8:9" ht="15" thickBot="1" x14ac:dyDescent="0.4">
      <c r="H833" s="14"/>
      <c r="I833" s="14"/>
    </row>
    <row r="834" spans="8:9" ht="15" thickBot="1" x14ac:dyDescent="0.4">
      <c r="H834" s="14"/>
      <c r="I834" s="14"/>
    </row>
    <row r="835" spans="8:9" ht="15" thickBot="1" x14ac:dyDescent="0.4">
      <c r="H835" s="14"/>
      <c r="I835" s="14"/>
    </row>
    <row r="836" spans="8:9" ht="15" thickBot="1" x14ac:dyDescent="0.4">
      <c r="H836" s="14"/>
      <c r="I836" s="14"/>
    </row>
    <row r="837" spans="8:9" ht="15" thickBot="1" x14ac:dyDescent="0.4">
      <c r="H837" s="14"/>
      <c r="I837" s="14"/>
    </row>
    <row r="838" spans="8:9" ht="15" thickBot="1" x14ac:dyDescent="0.4">
      <c r="H838" s="14"/>
      <c r="I838" s="14"/>
    </row>
    <row r="839" spans="8:9" ht="15" thickBot="1" x14ac:dyDescent="0.4">
      <c r="H839" s="14"/>
      <c r="I839" s="14"/>
    </row>
    <row r="840" spans="8:9" ht="15" thickBot="1" x14ac:dyDescent="0.4">
      <c r="H840" s="14"/>
      <c r="I840" s="14"/>
    </row>
    <row r="841" spans="8:9" ht="15" thickBot="1" x14ac:dyDescent="0.4">
      <c r="H841" s="14"/>
      <c r="I841" s="14"/>
    </row>
    <row r="842" spans="8:9" ht="15" thickBot="1" x14ac:dyDescent="0.4">
      <c r="H842" s="14"/>
      <c r="I842" s="14"/>
    </row>
    <row r="843" spans="8:9" ht="15" thickBot="1" x14ac:dyDescent="0.4">
      <c r="H843" s="14"/>
      <c r="I843" s="14"/>
    </row>
    <row r="844" spans="8:9" ht="15" thickBot="1" x14ac:dyDescent="0.4">
      <c r="H844" s="14"/>
      <c r="I844" s="14"/>
    </row>
    <row r="845" spans="8:9" ht="15" thickBot="1" x14ac:dyDescent="0.4">
      <c r="H845" s="14"/>
      <c r="I845" s="14"/>
    </row>
    <row r="846" spans="8:9" ht="15" thickBot="1" x14ac:dyDescent="0.4">
      <c r="H846" s="14"/>
      <c r="I846" s="14"/>
    </row>
    <row r="847" spans="8:9" ht="15" thickBot="1" x14ac:dyDescent="0.4">
      <c r="H847" s="14"/>
      <c r="I847" s="14"/>
    </row>
    <row r="848" spans="8:9" ht="15" thickBot="1" x14ac:dyDescent="0.4">
      <c r="H848" s="14"/>
      <c r="I848" s="14"/>
    </row>
    <row r="849" spans="8:9" ht="15" thickBot="1" x14ac:dyDescent="0.4">
      <c r="H849" s="14"/>
      <c r="I849" s="14"/>
    </row>
    <row r="850" spans="8:9" ht="15" thickBot="1" x14ac:dyDescent="0.4">
      <c r="H850" s="14"/>
      <c r="I850" s="14"/>
    </row>
    <row r="851" spans="8:9" ht="15" thickBot="1" x14ac:dyDescent="0.4">
      <c r="H851" s="14"/>
      <c r="I851" s="14"/>
    </row>
    <row r="852" spans="8:9" ht="15" thickBot="1" x14ac:dyDescent="0.4">
      <c r="H852" s="14"/>
      <c r="I852" s="14"/>
    </row>
    <row r="853" spans="8:9" ht="15" thickBot="1" x14ac:dyDescent="0.4">
      <c r="H853" s="14"/>
      <c r="I853" s="14"/>
    </row>
    <row r="854" spans="8:9" ht="15" thickBot="1" x14ac:dyDescent="0.4">
      <c r="H854" s="14"/>
      <c r="I854" s="14"/>
    </row>
    <row r="855" spans="8:9" ht="15" thickBot="1" x14ac:dyDescent="0.4">
      <c r="H855" s="14"/>
      <c r="I855" s="14"/>
    </row>
    <row r="856" spans="8:9" ht="15" thickBot="1" x14ac:dyDescent="0.4">
      <c r="H856" s="14"/>
      <c r="I856" s="14"/>
    </row>
    <row r="857" spans="8:9" ht="15" thickBot="1" x14ac:dyDescent="0.4">
      <c r="H857" s="14"/>
      <c r="I857" s="14"/>
    </row>
    <row r="858" spans="8:9" ht="15" thickBot="1" x14ac:dyDescent="0.4">
      <c r="H858" s="14"/>
      <c r="I858" s="14"/>
    </row>
    <row r="859" spans="8:9" ht="15" thickBot="1" x14ac:dyDescent="0.4">
      <c r="H859" s="14"/>
      <c r="I859" s="14"/>
    </row>
    <row r="860" spans="8:9" ht="15" thickBot="1" x14ac:dyDescent="0.4">
      <c r="H860" s="14"/>
      <c r="I860" s="14"/>
    </row>
    <row r="861" spans="8:9" ht="15" thickBot="1" x14ac:dyDescent="0.4">
      <c r="H861" s="14"/>
      <c r="I861" s="14"/>
    </row>
    <row r="862" spans="8:9" ht="15" thickBot="1" x14ac:dyDescent="0.4">
      <c r="H862" s="14"/>
      <c r="I862" s="14"/>
    </row>
    <row r="863" spans="8:9" ht="15" thickBot="1" x14ac:dyDescent="0.4">
      <c r="H863" s="14"/>
      <c r="I863" s="14"/>
    </row>
    <row r="864" spans="8:9" ht="15" thickBot="1" x14ac:dyDescent="0.4">
      <c r="H864" s="14"/>
      <c r="I864" s="14"/>
    </row>
    <row r="865" spans="8:9" ht="15" thickBot="1" x14ac:dyDescent="0.4">
      <c r="H865" s="14"/>
      <c r="I865" s="14"/>
    </row>
    <row r="866" spans="8:9" ht="15" thickBot="1" x14ac:dyDescent="0.4">
      <c r="H866" s="14"/>
      <c r="I866" s="14"/>
    </row>
    <row r="867" spans="8:9" ht="15" thickBot="1" x14ac:dyDescent="0.4">
      <c r="H867" s="14"/>
      <c r="I867" s="14"/>
    </row>
    <row r="868" spans="8:9" ht="15" thickBot="1" x14ac:dyDescent="0.4">
      <c r="H868" s="14"/>
      <c r="I868" s="14"/>
    </row>
    <row r="869" spans="8:9" ht="15" thickBot="1" x14ac:dyDescent="0.4">
      <c r="H869" s="14"/>
      <c r="I869" s="14"/>
    </row>
    <row r="870" spans="8:9" ht="15" thickBot="1" x14ac:dyDescent="0.4">
      <c r="H870" s="14"/>
      <c r="I870" s="14"/>
    </row>
    <row r="871" spans="8:9" ht="15" thickBot="1" x14ac:dyDescent="0.4">
      <c r="H871" s="14"/>
      <c r="I871" s="14"/>
    </row>
    <row r="872" spans="8:9" ht="15" thickBot="1" x14ac:dyDescent="0.4">
      <c r="H872" s="14"/>
      <c r="I872" s="14"/>
    </row>
    <row r="873" spans="8:9" ht="15" thickBot="1" x14ac:dyDescent="0.4">
      <c r="H873" s="14"/>
      <c r="I873" s="14"/>
    </row>
    <row r="874" spans="8:9" ht="15" thickBot="1" x14ac:dyDescent="0.4">
      <c r="H874" s="14"/>
      <c r="I874" s="14"/>
    </row>
    <row r="875" spans="8:9" ht="15" thickBot="1" x14ac:dyDescent="0.4">
      <c r="H875" s="14"/>
      <c r="I875" s="14"/>
    </row>
    <row r="876" spans="8:9" ht="15" thickBot="1" x14ac:dyDescent="0.4">
      <c r="H876" s="14"/>
      <c r="I876" s="14"/>
    </row>
    <row r="877" spans="8:9" ht="15" thickBot="1" x14ac:dyDescent="0.4">
      <c r="H877" s="14"/>
      <c r="I877" s="14"/>
    </row>
    <row r="878" spans="8:9" ht="15" thickBot="1" x14ac:dyDescent="0.4">
      <c r="H878" s="14"/>
      <c r="I878" s="14"/>
    </row>
    <row r="879" spans="8:9" ht="15" thickBot="1" x14ac:dyDescent="0.4">
      <c r="H879" s="14"/>
      <c r="I879" s="14"/>
    </row>
    <row r="880" spans="8:9" ht="15" thickBot="1" x14ac:dyDescent="0.4">
      <c r="H880" s="14"/>
      <c r="I880" s="14"/>
    </row>
    <row r="881" spans="8:9" ht="15" thickBot="1" x14ac:dyDescent="0.4">
      <c r="H881" s="14"/>
      <c r="I881" s="14"/>
    </row>
    <row r="882" spans="8:9" ht="15" thickBot="1" x14ac:dyDescent="0.4">
      <c r="H882" s="14"/>
      <c r="I882" s="14"/>
    </row>
    <row r="883" spans="8:9" ht="15" thickBot="1" x14ac:dyDescent="0.4">
      <c r="H883" s="14"/>
      <c r="I883" s="14"/>
    </row>
    <row r="884" spans="8:9" ht="15" thickBot="1" x14ac:dyDescent="0.4">
      <c r="H884" s="14"/>
      <c r="I884" s="14"/>
    </row>
    <row r="885" spans="8:9" ht="15" thickBot="1" x14ac:dyDescent="0.4">
      <c r="H885" s="14"/>
      <c r="I885" s="14"/>
    </row>
    <row r="886" spans="8:9" ht="15" thickBot="1" x14ac:dyDescent="0.4">
      <c r="H886" s="14"/>
      <c r="I886" s="14"/>
    </row>
    <row r="887" spans="8:9" ht="15" thickBot="1" x14ac:dyDescent="0.4">
      <c r="H887" s="14"/>
      <c r="I887" s="14"/>
    </row>
    <row r="888" spans="8:9" ht="15" thickBot="1" x14ac:dyDescent="0.4">
      <c r="H888" s="14"/>
      <c r="I888" s="14"/>
    </row>
    <row r="889" spans="8:9" ht="15" thickBot="1" x14ac:dyDescent="0.4">
      <c r="H889" s="14"/>
      <c r="I889" s="14"/>
    </row>
    <row r="890" spans="8:9" ht="15" thickBot="1" x14ac:dyDescent="0.4">
      <c r="H890" s="14"/>
      <c r="I890" s="14"/>
    </row>
    <row r="891" spans="8:9" ht="15" thickBot="1" x14ac:dyDescent="0.4">
      <c r="H891" s="14"/>
      <c r="I891" s="14"/>
    </row>
    <row r="892" spans="8:9" ht="15" thickBot="1" x14ac:dyDescent="0.4">
      <c r="H892" s="14"/>
      <c r="I892" s="14"/>
    </row>
    <row r="893" spans="8:9" ht="15" thickBot="1" x14ac:dyDescent="0.4">
      <c r="H893" s="14"/>
      <c r="I893" s="14"/>
    </row>
    <row r="894" spans="8:9" ht="15" thickBot="1" x14ac:dyDescent="0.4">
      <c r="H894" s="14"/>
      <c r="I894" s="14"/>
    </row>
    <row r="895" spans="8:9" ht="15" thickBot="1" x14ac:dyDescent="0.4">
      <c r="H895" s="14"/>
      <c r="I895" s="14"/>
    </row>
    <row r="896" spans="8:9" ht="15" thickBot="1" x14ac:dyDescent="0.4">
      <c r="H896" s="14"/>
      <c r="I896" s="14"/>
    </row>
    <row r="897" spans="8:9" ht="15" thickBot="1" x14ac:dyDescent="0.4">
      <c r="H897" s="14"/>
      <c r="I897" s="14"/>
    </row>
    <row r="898" spans="8:9" ht="15" thickBot="1" x14ac:dyDescent="0.4">
      <c r="H898" s="14"/>
      <c r="I898" s="14"/>
    </row>
    <row r="899" spans="8:9" ht="15" thickBot="1" x14ac:dyDescent="0.4">
      <c r="H899" s="14"/>
      <c r="I899" s="14"/>
    </row>
    <row r="900" spans="8:9" ht="15" thickBot="1" x14ac:dyDescent="0.4">
      <c r="H900" s="14"/>
      <c r="I900" s="14"/>
    </row>
    <row r="901" spans="8:9" ht="15" thickBot="1" x14ac:dyDescent="0.4">
      <c r="H901" s="14"/>
      <c r="I901" s="14"/>
    </row>
    <row r="902" spans="8:9" ht="15" thickBot="1" x14ac:dyDescent="0.4">
      <c r="H902" s="14"/>
      <c r="I902" s="14"/>
    </row>
    <row r="903" spans="8:9" ht="15" thickBot="1" x14ac:dyDescent="0.4">
      <c r="H903" s="14"/>
      <c r="I903" s="14"/>
    </row>
    <row r="904" spans="8:9" ht="15" thickBot="1" x14ac:dyDescent="0.4">
      <c r="H904" s="14"/>
      <c r="I904" s="14"/>
    </row>
    <row r="905" spans="8:9" ht="15" thickBot="1" x14ac:dyDescent="0.4">
      <c r="H905" s="14"/>
      <c r="I905" s="14"/>
    </row>
    <row r="906" spans="8:9" ht="15" thickBot="1" x14ac:dyDescent="0.4">
      <c r="H906" s="14"/>
      <c r="I906" s="14"/>
    </row>
    <row r="907" spans="8:9" ht="15" thickBot="1" x14ac:dyDescent="0.4">
      <c r="H907" s="14"/>
      <c r="I907" s="14"/>
    </row>
    <row r="908" spans="8:9" ht="15" thickBot="1" x14ac:dyDescent="0.4">
      <c r="H908" s="14"/>
      <c r="I908" s="14"/>
    </row>
    <row r="909" spans="8:9" ht="15" thickBot="1" x14ac:dyDescent="0.4">
      <c r="H909" s="14"/>
      <c r="I909" s="14"/>
    </row>
    <row r="910" spans="8:9" ht="15" thickBot="1" x14ac:dyDescent="0.4">
      <c r="H910" s="14"/>
      <c r="I910" s="14"/>
    </row>
    <row r="911" spans="8:9" ht="15" thickBot="1" x14ac:dyDescent="0.4">
      <c r="H911" s="14"/>
      <c r="I911" s="14"/>
    </row>
    <row r="912" spans="8:9" ht="15" thickBot="1" x14ac:dyDescent="0.4">
      <c r="H912" s="14"/>
      <c r="I912" s="14"/>
    </row>
    <row r="913" spans="8:9" ht="15" thickBot="1" x14ac:dyDescent="0.4">
      <c r="H913" s="14"/>
      <c r="I913" s="14"/>
    </row>
    <row r="914" spans="8:9" ht="15" thickBot="1" x14ac:dyDescent="0.4">
      <c r="H914" s="14"/>
      <c r="I914" s="14"/>
    </row>
    <row r="915" spans="8:9" ht="15" thickBot="1" x14ac:dyDescent="0.4">
      <c r="H915" s="14"/>
      <c r="I915" s="14"/>
    </row>
    <row r="916" spans="8:9" ht="15" thickBot="1" x14ac:dyDescent="0.4">
      <c r="H916" s="14"/>
      <c r="I916" s="14"/>
    </row>
    <row r="917" spans="8:9" ht="15" thickBot="1" x14ac:dyDescent="0.4">
      <c r="H917" s="14"/>
      <c r="I917" s="14"/>
    </row>
    <row r="918" spans="8:9" ht="15" thickBot="1" x14ac:dyDescent="0.4">
      <c r="H918" s="14"/>
      <c r="I918" s="14"/>
    </row>
    <row r="919" spans="8:9" ht="15" thickBot="1" x14ac:dyDescent="0.4">
      <c r="H919" s="14"/>
      <c r="I919" s="14"/>
    </row>
    <row r="920" spans="8:9" ht="15" thickBot="1" x14ac:dyDescent="0.4">
      <c r="H920" s="14"/>
      <c r="I920" s="14"/>
    </row>
    <row r="921" spans="8:9" ht="15" thickBot="1" x14ac:dyDescent="0.4">
      <c r="H921" s="14"/>
      <c r="I921" s="14"/>
    </row>
    <row r="922" spans="8:9" ht="15" thickBot="1" x14ac:dyDescent="0.4">
      <c r="H922" s="14"/>
      <c r="I922" s="14"/>
    </row>
    <row r="923" spans="8:9" ht="15" thickBot="1" x14ac:dyDescent="0.4">
      <c r="H923" s="14"/>
      <c r="I923" s="14"/>
    </row>
    <row r="924" spans="8:9" ht="15" thickBot="1" x14ac:dyDescent="0.4">
      <c r="H924" s="14"/>
      <c r="I924" s="14"/>
    </row>
    <row r="925" spans="8:9" ht="15" thickBot="1" x14ac:dyDescent="0.4">
      <c r="H925" s="14"/>
      <c r="I925" s="14"/>
    </row>
    <row r="926" spans="8:9" ht="15" thickBot="1" x14ac:dyDescent="0.4">
      <c r="H926" s="14"/>
      <c r="I926" s="14"/>
    </row>
    <row r="927" spans="8:9" ht="15" thickBot="1" x14ac:dyDescent="0.4">
      <c r="H927" s="14"/>
      <c r="I927" s="14"/>
    </row>
    <row r="928" spans="8:9" ht="15" thickBot="1" x14ac:dyDescent="0.4">
      <c r="H928" s="14"/>
      <c r="I928" s="14"/>
    </row>
    <row r="929" spans="8:9" ht="15" thickBot="1" x14ac:dyDescent="0.4">
      <c r="H929" s="14"/>
      <c r="I929" s="14"/>
    </row>
    <row r="930" spans="8:9" ht="15" thickBot="1" x14ac:dyDescent="0.4">
      <c r="H930" s="14"/>
      <c r="I930" s="14"/>
    </row>
    <row r="931" spans="8:9" ht="15" thickBot="1" x14ac:dyDescent="0.4">
      <c r="H931" s="14"/>
      <c r="I931" s="14"/>
    </row>
    <row r="932" spans="8:9" ht="15" thickBot="1" x14ac:dyDescent="0.4">
      <c r="H932" s="14"/>
      <c r="I932" s="14"/>
    </row>
    <row r="933" spans="8:9" ht="15" thickBot="1" x14ac:dyDescent="0.4">
      <c r="H933" s="14"/>
      <c r="I933" s="14"/>
    </row>
    <row r="934" spans="8:9" ht="15" thickBot="1" x14ac:dyDescent="0.4">
      <c r="H934" s="14"/>
      <c r="I934" s="14"/>
    </row>
    <row r="935" spans="8:9" ht="15" thickBot="1" x14ac:dyDescent="0.4">
      <c r="H935" s="14"/>
      <c r="I935" s="14"/>
    </row>
    <row r="936" spans="8:9" ht="15" thickBot="1" x14ac:dyDescent="0.4">
      <c r="H936" s="14"/>
      <c r="I936" s="14"/>
    </row>
    <row r="937" spans="8:9" ht="15" thickBot="1" x14ac:dyDescent="0.4">
      <c r="H937" s="14"/>
      <c r="I937" s="14"/>
    </row>
    <row r="938" spans="8:9" ht="15" thickBot="1" x14ac:dyDescent="0.4">
      <c r="H938" s="14"/>
      <c r="I938" s="14"/>
    </row>
    <row r="939" spans="8:9" ht="15" thickBot="1" x14ac:dyDescent="0.4">
      <c r="H939" s="14"/>
      <c r="I939" s="14"/>
    </row>
    <row r="940" spans="8:9" ht="15" thickBot="1" x14ac:dyDescent="0.4">
      <c r="H940" s="14"/>
      <c r="I940" s="14"/>
    </row>
    <row r="941" spans="8:9" ht="15" thickBot="1" x14ac:dyDescent="0.4">
      <c r="H941" s="14"/>
      <c r="I941" s="14"/>
    </row>
    <row r="942" spans="8:9" ht="15" thickBot="1" x14ac:dyDescent="0.4">
      <c r="H942" s="14"/>
      <c r="I942" s="14"/>
    </row>
    <row r="943" spans="8:9" ht="15" thickBot="1" x14ac:dyDescent="0.4">
      <c r="H943" s="14"/>
      <c r="I943" s="14"/>
    </row>
    <row r="944" spans="8:9" ht="15" thickBot="1" x14ac:dyDescent="0.4">
      <c r="H944" s="14"/>
      <c r="I944" s="14"/>
    </row>
    <row r="945" spans="8:9" ht="15" thickBot="1" x14ac:dyDescent="0.4">
      <c r="H945" s="14"/>
      <c r="I945" s="14"/>
    </row>
    <row r="946" spans="8:9" ht="15" thickBot="1" x14ac:dyDescent="0.4">
      <c r="H946" s="14"/>
      <c r="I946" s="14"/>
    </row>
    <row r="947" spans="8:9" ht="15" thickBot="1" x14ac:dyDescent="0.4">
      <c r="H947" s="14"/>
      <c r="I947" s="14"/>
    </row>
    <row r="948" spans="8:9" ht="15" thickBot="1" x14ac:dyDescent="0.4">
      <c r="H948" s="14"/>
      <c r="I948" s="14"/>
    </row>
    <row r="949" spans="8:9" ht="15" thickBot="1" x14ac:dyDescent="0.4">
      <c r="H949" s="14"/>
      <c r="I949" s="14"/>
    </row>
    <row r="950" spans="8:9" ht="15" thickBot="1" x14ac:dyDescent="0.4">
      <c r="H950" s="14"/>
      <c r="I950" s="14"/>
    </row>
    <row r="951" spans="8:9" ht="15" thickBot="1" x14ac:dyDescent="0.4">
      <c r="H951" s="14"/>
      <c r="I951" s="14"/>
    </row>
    <row r="952" spans="8:9" ht="15" thickBot="1" x14ac:dyDescent="0.4">
      <c r="H952" s="14"/>
      <c r="I952" s="14"/>
    </row>
    <row r="953" spans="8:9" ht="15" thickBot="1" x14ac:dyDescent="0.4">
      <c r="H953" s="14"/>
      <c r="I953" s="14"/>
    </row>
    <row r="954" spans="8:9" ht="15" thickBot="1" x14ac:dyDescent="0.4">
      <c r="H954" s="14"/>
      <c r="I954" s="14"/>
    </row>
    <row r="955" spans="8:9" ht="15" thickBot="1" x14ac:dyDescent="0.4">
      <c r="H955" s="14"/>
      <c r="I955" s="14"/>
    </row>
    <row r="956" spans="8:9" ht="15" thickBot="1" x14ac:dyDescent="0.4">
      <c r="H956" s="14"/>
      <c r="I956" s="14"/>
    </row>
    <row r="957" spans="8:9" ht="15" thickBot="1" x14ac:dyDescent="0.4">
      <c r="H957" s="14"/>
      <c r="I957" s="14"/>
    </row>
    <row r="958" spans="8:9" ht="15" thickBot="1" x14ac:dyDescent="0.4">
      <c r="H958" s="14"/>
      <c r="I958" s="14"/>
    </row>
    <row r="959" spans="8:9" ht="15" thickBot="1" x14ac:dyDescent="0.4">
      <c r="H959" s="14"/>
      <c r="I959" s="14"/>
    </row>
    <row r="960" spans="8:9" ht="15" thickBot="1" x14ac:dyDescent="0.4">
      <c r="H960" s="14"/>
      <c r="I960" s="14"/>
    </row>
    <row r="961" spans="8:9" ht="15" thickBot="1" x14ac:dyDescent="0.4">
      <c r="H961" s="14"/>
      <c r="I961" s="14"/>
    </row>
    <row r="962" spans="8:9" ht="15" thickBot="1" x14ac:dyDescent="0.4">
      <c r="H962" s="14"/>
      <c r="I962" s="14"/>
    </row>
    <row r="963" spans="8:9" ht="15" thickBot="1" x14ac:dyDescent="0.4">
      <c r="H963" s="14"/>
      <c r="I963" s="14"/>
    </row>
    <row r="964" spans="8:9" ht="15" thickBot="1" x14ac:dyDescent="0.4">
      <c r="H964" s="14"/>
      <c r="I964" s="14"/>
    </row>
    <row r="965" spans="8:9" ht="15" thickBot="1" x14ac:dyDescent="0.4">
      <c r="H965" s="14"/>
      <c r="I965" s="14"/>
    </row>
    <row r="966" spans="8:9" ht="15" thickBot="1" x14ac:dyDescent="0.4">
      <c r="H966" s="14"/>
      <c r="I966" s="14"/>
    </row>
    <row r="967" spans="8:9" ht="15" thickBot="1" x14ac:dyDescent="0.4">
      <c r="H967" s="14"/>
      <c r="I967" s="14"/>
    </row>
    <row r="968" spans="8:9" ht="15" thickBot="1" x14ac:dyDescent="0.4">
      <c r="H968" s="14"/>
      <c r="I968" s="14"/>
    </row>
    <row r="969" spans="8:9" ht="15" thickBot="1" x14ac:dyDescent="0.4">
      <c r="H969" s="14"/>
      <c r="I969" s="14"/>
    </row>
    <row r="970" spans="8:9" ht="15" thickBot="1" x14ac:dyDescent="0.4">
      <c r="H970" s="14"/>
      <c r="I970" s="14"/>
    </row>
    <row r="971" spans="8:9" ht="15" thickBot="1" x14ac:dyDescent="0.4">
      <c r="H971" s="14"/>
      <c r="I971" s="14"/>
    </row>
    <row r="972" spans="8:9" ht="15" thickBot="1" x14ac:dyDescent="0.4">
      <c r="H972" s="14"/>
      <c r="I972" s="14"/>
    </row>
    <row r="973" spans="8:9" ht="15" thickBot="1" x14ac:dyDescent="0.4">
      <c r="H973" s="14"/>
      <c r="I973" s="14"/>
    </row>
    <row r="974" spans="8:9" ht="15" thickBot="1" x14ac:dyDescent="0.4">
      <c r="H974" s="14"/>
      <c r="I974" s="14"/>
    </row>
    <row r="975" spans="8:9" ht="15" thickBot="1" x14ac:dyDescent="0.4">
      <c r="H975" s="14"/>
      <c r="I975" s="14"/>
    </row>
    <row r="976" spans="8:9" ht="15" thickBot="1" x14ac:dyDescent="0.4">
      <c r="H976" s="14"/>
      <c r="I976" s="14"/>
    </row>
    <row r="977" spans="8:9" ht="15" thickBot="1" x14ac:dyDescent="0.4">
      <c r="H977" s="14"/>
      <c r="I977" s="14"/>
    </row>
    <row r="978" spans="8:9" ht="15" thickBot="1" x14ac:dyDescent="0.4">
      <c r="H978" s="14"/>
      <c r="I978" s="14"/>
    </row>
    <row r="979" spans="8:9" ht="15" thickBot="1" x14ac:dyDescent="0.4">
      <c r="H979" s="14"/>
      <c r="I979" s="14"/>
    </row>
    <row r="980" spans="8:9" ht="15" thickBot="1" x14ac:dyDescent="0.4">
      <c r="H980" s="14"/>
      <c r="I980" s="14"/>
    </row>
    <row r="981" spans="8:9" ht="15" thickBot="1" x14ac:dyDescent="0.4">
      <c r="H981" s="14"/>
      <c r="I981" s="14"/>
    </row>
    <row r="982" spans="8:9" ht="15" thickBot="1" x14ac:dyDescent="0.4">
      <c r="H982" s="14"/>
      <c r="I982" s="14"/>
    </row>
    <row r="983" spans="8:9" ht="15" thickBot="1" x14ac:dyDescent="0.4">
      <c r="H983" s="14"/>
      <c r="I983" s="14"/>
    </row>
    <row r="984" spans="8:9" ht="15" thickBot="1" x14ac:dyDescent="0.4">
      <c r="H984" s="14"/>
      <c r="I984" s="14"/>
    </row>
    <row r="985" spans="8:9" ht="15" thickBot="1" x14ac:dyDescent="0.4">
      <c r="H985" s="14"/>
      <c r="I985" s="14"/>
    </row>
    <row r="986" spans="8:9" ht="15" thickBot="1" x14ac:dyDescent="0.4">
      <c r="H986" s="14"/>
      <c r="I986" s="14"/>
    </row>
    <row r="987" spans="8:9" ht="15" thickBot="1" x14ac:dyDescent="0.4">
      <c r="H987" s="14"/>
      <c r="I987" s="14"/>
    </row>
    <row r="988" spans="8:9" ht="15" thickBot="1" x14ac:dyDescent="0.4">
      <c r="H988" s="14"/>
      <c r="I988" s="14"/>
    </row>
    <row r="989" spans="8:9" ht="15" thickBot="1" x14ac:dyDescent="0.4">
      <c r="H989" s="14"/>
      <c r="I989" s="14"/>
    </row>
    <row r="990" spans="8:9" ht="15" thickBot="1" x14ac:dyDescent="0.4">
      <c r="H990" s="14"/>
      <c r="I990" s="14"/>
    </row>
    <row r="991" spans="8:9" ht="15" thickBot="1" x14ac:dyDescent="0.4">
      <c r="H991" s="14"/>
      <c r="I991" s="14"/>
    </row>
    <row r="992" spans="8:9" ht="15" thickBot="1" x14ac:dyDescent="0.4">
      <c r="H992" s="14"/>
      <c r="I992" s="14"/>
    </row>
    <row r="993" spans="8:9" ht="15" thickBot="1" x14ac:dyDescent="0.4">
      <c r="H993" s="14"/>
      <c r="I993" s="14"/>
    </row>
    <row r="994" spans="8:9" ht="15" thickBot="1" x14ac:dyDescent="0.4">
      <c r="H994" s="14"/>
      <c r="I994" s="14"/>
    </row>
    <row r="995" spans="8:9" ht="15" thickBot="1" x14ac:dyDescent="0.4">
      <c r="H995" s="14"/>
      <c r="I995" s="14"/>
    </row>
    <row r="996" spans="8:9" ht="15" thickBot="1" x14ac:dyDescent="0.4">
      <c r="H996" s="14"/>
      <c r="I996" s="14"/>
    </row>
    <row r="997" spans="8:9" ht="15" thickBot="1" x14ac:dyDescent="0.4">
      <c r="H997" s="14"/>
      <c r="I997" s="14"/>
    </row>
    <row r="998" spans="8:9" ht="15" thickBot="1" x14ac:dyDescent="0.4">
      <c r="H998" s="14"/>
      <c r="I998" s="14"/>
    </row>
    <row r="999" spans="8:9" ht="15" thickBot="1" x14ac:dyDescent="0.4">
      <c r="H999" s="14"/>
      <c r="I999" s="14"/>
    </row>
    <row r="1000" spans="8:9" ht="15" thickBot="1" x14ac:dyDescent="0.4">
      <c r="H1000" s="14"/>
      <c r="I1000" s="14"/>
    </row>
  </sheetData>
  <autoFilter ref="A1:M198" xr:uid="{00000000-0001-0000-0000-000000000000}">
    <filterColumn colId="2">
      <filters>
        <filter val="S"/>
      </filters>
    </filterColumn>
    <sortState xmlns:xlrd2="http://schemas.microsoft.com/office/spreadsheetml/2017/richdata2" ref="A2:M198">
      <sortCondition ref="G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D403-3022-4B19-8826-836E36888C4D}">
  <dimension ref="A1:I23"/>
  <sheetViews>
    <sheetView workbookViewId="0">
      <selection activeCell="K16" sqref="K1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tr" cm="1">
        <f t="array" ref="I1:I16">_xlfn.UNIQUE(B:B)</f>
        <v>Stock</v>
      </c>
    </row>
    <row r="2" spans="1:9" x14ac:dyDescent="0.35">
      <c r="A2" t="s">
        <v>135</v>
      </c>
      <c r="B2" t="s">
        <v>53</v>
      </c>
      <c r="C2" t="s">
        <v>16</v>
      </c>
      <c r="D2">
        <v>10</v>
      </c>
      <c r="E2">
        <v>1296</v>
      </c>
      <c r="F2" t="s">
        <v>136</v>
      </c>
      <c r="I2" t="str">
        <v>BDLEQ</v>
      </c>
    </row>
    <row r="3" spans="1:9" x14ac:dyDescent="0.35">
      <c r="A3" t="s">
        <v>137</v>
      </c>
      <c r="B3" t="s">
        <v>32</v>
      </c>
      <c r="C3" t="s">
        <v>16</v>
      </c>
      <c r="D3">
        <v>10</v>
      </c>
      <c r="E3">
        <v>1729</v>
      </c>
      <c r="F3" t="s">
        <v>136</v>
      </c>
      <c r="I3" t="str">
        <v>ZENTECEQ</v>
      </c>
    </row>
    <row r="4" spans="1:9" x14ac:dyDescent="0.35">
      <c r="A4" t="s">
        <v>138</v>
      </c>
      <c r="B4" t="s">
        <v>74</v>
      </c>
      <c r="C4" t="s">
        <v>8</v>
      </c>
      <c r="D4">
        <v>2</v>
      </c>
      <c r="E4">
        <v>3435</v>
      </c>
      <c r="F4" t="s">
        <v>136</v>
      </c>
      <c r="I4" t="str">
        <v>BSEEQ</v>
      </c>
    </row>
    <row r="5" spans="1:9" x14ac:dyDescent="0.35">
      <c r="A5" t="s">
        <v>139</v>
      </c>
      <c r="B5" t="s">
        <v>7</v>
      </c>
      <c r="C5" t="s">
        <v>16</v>
      </c>
      <c r="D5">
        <v>25</v>
      </c>
      <c r="E5">
        <v>207.16</v>
      </c>
      <c r="F5" t="s">
        <v>136</v>
      </c>
      <c r="I5" t="str">
        <v>MAFANGEQ</v>
      </c>
    </row>
    <row r="6" spans="1:9" x14ac:dyDescent="0.35">
      <c r="A6" t="s">
        <v>140</v>
      </c>
      <c r="B6" t="s">
        <v>15</v>
      </c>
      <c r="C6" t="s">
        <v>16</v>
      </c>
      <c r="D6">
        <v>5</v>
      </c>
      <c r="E6">
        <v>2548</v>
      </c>
      <c r="F6" t="s">
        <v>136</v>
      </c>
      <c r="I6" t="str">
        <v>GRSEEQ</v>
      </c>
    </row>
    <row r="7" spans="1:9" x14ac:dyDescent="0.35">
      <c r="A7" t="s">
        <v>141</v>
      </c>
      <c r="B7" t="s">
        <v>15</v>
      </c>
      <c r="C7" t="s">
        <v>8</v>
      </c>
      <c r="D7">
        <v>5</v>
      </c>
      <c r="E7">
        <v>2490</v>
      </c>
      <c r="F7" t="s">
        <v>136</v>
      </c>
      <c r="I7" t="str">
        <v>KFINTECHEQ</v>
      </c>
    </row>
    <row r="8" spans="1:9" x14ac:dyDescent="0.35">
      <c r="A8" t="s">
        <v>142</v>
      </c>
      <c r="B8" t="s">
        <v>46</v>
      </c>
      <c r="C8" t="s">
        <v>8</v>
      </c>
      <c r="D8">
        <v>10</v>
      </c>
      <c r="E8">
        <v>927</v>
      </c>
      <c r="F8" t="s">
        <v>136</v>
      </c>
      <c r="I8" t="str">
        <v>HALEQ</v>
      </c>
    </row>
    <row r="9" spans="1:9" x14ac:dyDescent="0.35">
      <c r="A9" t="s">
        <v>143</v>
      </c>
      <c r="B9" t="s">
        <v>15</v>
      </c>
      <c r="C9" t="s">
        <v>16</v>
      </c>
      <c r="D9">
        <v>10</v>
      </c>
      <c r="E9">
        <v>2610</v>
      </c>
      <c r="F9" t="s">
        <v>136</v>
      </c>
      <c r="I9" t="str">
        <v>BELEQ</v>
      </c>
    </row>
    <row r="10" spans="1:9" x14ac:dyDescent="0.35">
      <c r="A10" t="s">
        <v>144</v>
      </c>
      <c r="B10" t="s">
        <v>72</v>
      </c>
      <c r="C10" t="s">
        <v>16</v>
      </c>
      <c r="D10">
        <v>1</v>
      </c>
      <c r="E10">
        <v>4890</v>
      </c>
      <c r="F10" t="s">
        <v>136</v>
      </c>
      <c r="I10" t="str">
        <v>COCHINSHIPEQ</v>
      </c>
    </row>
    <row r="11" spans="1:9" x14ac:dyDescent="0.35">
      <c r="A11" t="s">
        <v>145</v>
      </c>
      <c r="B11" t="s">
        <v>48</v>
      </c>
      <c r="C11" t="s">
        <v>16</v>
      </c>
      <c r="D11">
        <v>100</v>
      </c>
      <c r="E11">
        <v>399.8</v>
      </c>
      <c r="F11" t="s">
        <v>136</v>
      </c>
      <c r="I11" t="str">
        <v>MAZDOCKEQ</v>
      </c>
    </row>
    <row r="12" spans="1:9" x14ac:dyDescent="0.35">
      <c r="A12" t="s">
        <v>146</v>
      </c>
      <c r="B12" t="s">
        <v>74</v>
      </c>
      <c r="C12" t="s">
        <v>16</v>
      </c>
      <c r="D12">
        <v>2</v>
      </c>
      <c r="E12">
        <v>3360</v>
      </c>
      <c r="F12" t="s">
        <v>136</v>
      </c>
      <c r="I12" t="str">
        <v>MOSCHIPEQ</v>
      </c>
    </row>
    <row r="13" spans="1:9" x14ac:dyDescent="0.35">
      <c r="A13" t="s">
        <v>144</v>
      </c>
      <c r="B13" t="s">
        <v>53</v>
      </c>
      <c r="C13" t="s">
        <v>16</v>
      </c>
      <c r="D13">
        <v>10</v>
      </c>
      <c r="E13">
        <v>1280</v>
      </c>
      <c r="F13" t="s">
        <v>136</v>
      </c>
      <c r="I13" t="str">
        <v>RVNLEQ</v>
      </c>
    </row>
    <row r="14" spans="1:9" x14ac:dyDescent="0.35">
      <c r="A14" t="s">
        <v>144</v>
      </c>
      <c r="B14" t="s">
        <v>15</v>
      </c>
      <c r="C14" t="s">
        <v>16</v>
      </c>
      <c r="D14">
        <v>10</v>
      </c>
      <c r="E14">
        <v>2620</v>
      </c>
      <c r="F14" t="s">
        <v>136</v>
      </c>
      <c r="I14" t="str">
        <v>SOLARINDSEQ</v>
      </c>
    </row>
    <row r="15" spans="1:9" x14ac:dyDescent="0.35">
      <c r="A15" t="s">
        <v>147</v>
      </c>
      <c r="B15" t="s">
        <v>15</v>
      </c>
      <c r="C15" t="s">
        <v>16</v>
      </c>
      <c r="D15">
        <v>10</v>
      </c>
      <c r="E15">
        <v>2590</v>
      </c>
      <c r="F15" t="s">
        <v>136</v>
      </c>
      <c r="I15" t="str">
        <v>SBINEQ</v>
      </c>
    </row>
    <row r="16" spans="1:9" x14ac:dyDescent="0.35">
      <c r="A16" t="s">
        <v>144</v>
      </c>
      <c r="B16" t="s">
        <v>55</v>
      </c>
      <c r="C16" t="s">
        <v>16</v>
      </c>
      <c r="D16">
        <v>10</v>
      </c>
      <c r="E16">
        <v>1490</v>
      </c>
      <c r="F16" t="s">
        <v>136</v>
      </c>
      <c r="I16">
        <v>0</v>
      </c>
    </row>
    <row r="17" spans="1:6" x14ac:dyDescent="0.35">
      <c r="A17" t="s">
        <v>144</v>
      </c>
      <c r="B17" t="s">
        <v>55</v>
      </c>
      <c r="C17" t="s">
        <v>16</v>
      </c>
      <c r="D17">
        <v>10</v>
      </c>
      <c r="E17">
        <v>1460</v>
      </c>
      <c r="F17" t="s">
        <v>136</v>
      </c>
    </row>
    <row r="18" spans="1:6" x14ac:dyDescent="0.35">
      <c r="A18" t="s">
        <v>144</v>
      </c>
      <c r="B18" t="s">
        <v>58</v>
      </c>
      <c r="C18" t="s">
        <v>16</v>
      </c>
      <c r="D18">
        <v>7</v>
      </c>
      <c r="E18">
        <v>2490</v>
      </c>
      <c r="F18" t="s">
        <v>136</v>
      </c>
    </row>
    <row r="19" spans="1:6" x14ac:dyDescent="0.35">
      <c r="A19" t="s">
        <v>148</v>
      </c>
      <c r="B19" t="s">
        <v>58</v>
      </c>
      <c r="C19" t="s">
        <v>16</v>
      </c>
      <c r="D19">
        <v>8</v>
      </c>
      <c r="E19">
        <v>2440</v>
      </c>
      <c r="F19" t="s">
        <v>136</v>
      </c>
    </row>
    <row r="20" spans="1:6" x14ac:dyDescent="0.35">
      <c r="A20" t="s">
        <v>149</v>
      </c>
      <c r="B20" t="s">
        <v>31</v>
      </c>
      <c r="C20" t="s">
        <v>16</v>
      </c>
      <c r="D20">
        <v>50</v>
      </c>
      <c r="E20">
        <v>209.5</v>
      </c>
      <c r="F20" t="s">
        <v>136</v>
      </c>
    </row>
    <row r="21" spans="1:6" x14ac:dyDescent="0.35">
      <c r="A21" t="s">
        <v>150</v>
      </c>
      <c r="B21" t="s">
        <v>50</v>
      </c>
      <c r="C21" t="s">
        <v>16</v>
      </c>
      <c r="D21">
        <v>200</v>
      </c>
      <c r="E21">
        <v>234</v>
      </c>
      <c r="F21" t="s">
        <v>136</v>
      </c>
    </row>
    <row r="22" spans="1:6" x14ac:dyDescent="0.35">
      <c r="A22" t="s">
        <v>150</v>
      </c>
      <c r="B22" t="s">
        <v>68</v>
      </c>
      <c r="C22" t="s">
        <v>16</v>
      </c>
      <c r="D22">
        <v>1</v>
      </c>
      <c r="E22">
        <v>18698</v>
      </c>
      <c r="F22" t="s">
        <v>136</v>
      </c>
    </row>
    <row r="23" spans="1:6" x14ac:dyDescent="0.35">
      <c r="A23" t="s">
        <v>151</v>
      </c>
      <c r="B23" t="s">
        <v>67</v>
      </c>
      <c r="C23" t="s">
        <v>16</v>
      </c>
      <c r="D23">
        <v>10</v>
      </c>
      <c r="E23">
        <v>1055</v>
      </c>
      <c r="F23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3029-49E6-4323-9C0E-5B93438939F3}">
  <sheetPr filterMode="1"/>
  <dimension ref="A1:H187"/>
  <sheetViews>
    <sheetView topLeftCell="A159" workbookViewId="0">
      <selection sqref="A1:F186"/>
    </sheetView>
  </sheetViews>
  <sheetFormatPr defaultRowHeight="14.5" x14ac:dyDescent="0.35"/>
  <cols>
    <col min="1" max="1" width="23.1796875" customWidth="1"/>
    <col min="2" max="2" width="12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s="1">
        <v>46234.6875</v>
      </c>
      <c r="B2" s="2" t="s">
        <v>20</v>
      </c>
      <c r="C2" s="2" t="s">
        <v>8</v>
      </c>
      <c r="D2" s="3">
        <v>1</v>
      </c>
      <c r="E2" s="3">
        <v>3914</v>
      </c>
      <c r="F2" s="2" t="s">
        <v>9</v>
      </c>
      <c r="H2" t="str">
        <f>IF(COUNTIFS(
    Sheet1!$B:$B, B2,
    Sheet1!$C:$C, C2,
    Sheet1!$D:$D, D2,
    Sheet1!$E:$E, E2
) = 0, "NO MATCH IN TARGET", "MATCHED")</f>
        <v>MATCHED</v>
      </c>
    </row>
    <row r="3" spans="1:8" x14ac:dyDescent="0.35">
      <c r="A3" s="1">
        <v>46237.768750000003</v>
      </c>
      <c r="B3" s="2" t="s">
        <v>22</v>
      </c>
      <c r="C3" s="2" t="s">
        <v>8</v>
      </c>
      <c r="D3" s="3">
        <v>1</v>
      </c>
      <c r="E3" s="3">
        <v>2064</v>
      </c>
      <c r="F3" s="2" t="s">
        <v>9</v>
      </c>
      <c r="H3" t="str">
        <f>IF(COUNTIFS(
    Sheet1!$B:$B, B3,
    Sheet1!$C:$C, C3,
    Sheet1!$D:$D, D3,
    Sheet1!$E:$E, E3
) = 0, "NO MATCH IN TARGET", "MATCHED")</f>
        <v>MATCHED</v>
      </c>
    </row>
    <row r="4" spans="1:8" x14ac:dyDescent="0.35">
      <c r="A4" s="1">
        <v>46234.6875</v>
      </c>
      <c r="B4" s="2" t="s">
        <v>20</v>
      </c>
      <c r="C4" s="2" t="s">
        <v>8</v>
      </c>
      <c r="D4" s="3">
        <v>1</v>
      </c>
      <c r="E4" s="3">
        <v>4014</v>
      </c>
      <c r="F4" s="2" t="s">
        <v>9</v>
      </c>
      <c r="H4" t="str">
        <f>IF(COUNTIFS(
    Sheet1!$B:$B, B4,
    Sheet1!$C:$C, C4,
    Sheet1!$D:$D, D4,
    Sheet1!$E:$E, E4
) = 0, "NO MATCH IN TARGET", "MATCHED")</f>
        <v>MATCHED</v>
      </c>
    </row>
    <row r="5" spans="1:8" x14ac:dyDescent="0.35">
      <c r="A5" t="s">
        <v>88</v>
      </c>
      <c r="B5" t="s">
        <v>18</v>
      </c>
      <c r="C5" t="s">
        <v>8</v>
      </c>
      <c r="D5">
        <v>25</v>
      </c>
      <c r="E5">
        <v>336</v>
      </c>
      <c r="F5" t="s">
        <v>9</v>
      </c>
      <c r="H5" t="str">
        <f>IF(COUNTIFS(
    Sheet1!$B:$B, B5,
    Sheet1!$C:$C, C5,
    Sheet1!$D:$D, D5,
    Sheet1!$E:$E, E5
) = 0, "NO MATCH IN TARGET", "MATCHED")</f>
        <v>MATCHED</v>
      </c>
    </row>
    <row r="6" spans="1:8" hidden="1" x14ac:dyDescent="0.35">
      <c r="A6" t="s">
        <v>89</v>
      </c>
      <c r="B6" t="s">
        <v>22</v>
      </c>
      <c r="C6" t="s">
        <v>8</v>
      </c>
      <c r="D6">
        <v>2</v>
      </c>
      <c r="E6">
        <v>2164</v>
      </c>
      <c r="F6" t="s">
        <v>9</v>
      </c>
      <c r="H6" t="str">
        <f>IF(COUNTIFS(
    Sheet1!$B:$B, B6,
    Sheet1!$C:$C, C6,
    Sheet1!$D:$D, D6,
    Sheet1!$E:$E, E6
) = 0, "NO MATCH IN TARGET", "MATCHED")</f>
        <v>MATCHED</v>
      </c>
    </row>
    <row r="7" spans="1:8" x14ac:dyDescent="0.35">
      <c r="A7" s="1">
        <v>46237.69027777778</v>
      </c>
      <c r="B7" s="2" t="s">
        <v>20</v>
      </c>
      <c r="C7" s="2" t="s">
        <v>8</v>
      </c>
      <c r="D7" s="3">
        <v>1</v>
      </c>
      <c r="E7" s="3">
        <v>4164</v>
      </c>
      <c r="F7" s="2" t="s">
        <v>9</v>
      </c>
      <c r="H7" t="str">
        <f>IF(COUNTIFS(
    Sheet1!$B:$B, B7,
    Sheet1!$C:$C, C7,
    Sheet1!$D:$D, D7,
    Sheet1!$E:$E, E7
) = 0, "NO MATCH IN TARGET", "MATCHED")</f>
        <v>MATCHED</v>
      </c>
    </row>
    <row r="8" spans="1:8" ht="29" x14ac:dyDescent="0.35">
      <c r="A8" s="1">
        <v>46237.63553240741</v>
      </c>
      <c r="B8" s="2" t="s">
        <v>90</v>
      </c>
      <c r="C8" s="2" t="s">
        <v>8</v>
      </c>
      <c r="D8" s="3">
        <v>4</v>
      </c>
      <c r="E8" s="3">
        <v>701</v>
      </c>
      <c r="F8" s="2" t="s">
        <v>9</v>
      </c>
      <c r="H8" t="str">
        <f>IF(COUNTIFS(
    Sheet1!$B:$B, B8,
    Sheet1!$C:$C, C8,
    Sheet1!$D:$D, D8,
    Sheet1!$E:$E, E8
) = 0, "NO MATCH IN TARGET", "MATCHED")</f>
        <v>MATCHED</v>
      </c>
    </row>
    <row r="9" spans="1:8" x14ac:dyDescent="0.35">
      <c r="A9" s="1">
        <v>46237.69027777778</v>
      </c>
      <c r="B9" s="2" t="s">
        <v>91</v>
      </c>
      <c r="C9" s="2" t="s">
        <v>8</v>
      </c>
      <c r="D9" s="3">
        <v>29</v>
      </c>
      <c r="E9" s="3">
        <v>401</v>
      </c>
      <c r="F9" s="2" t="s">
        <v>9</v>
      </c>
      <c r="H9" t="str">
        <f>IF(COUNTIFS(
    Sheet1!$B:$B, B9,
    Sheet1!$C:$C, C9,
    Sheet1!$D:$D, D9,
    Sheet1!$E:$E, E9
) = 0, "NO MATCH IN TARGET", "MATCHED")</f>
        <v>MATCHED</v>
      </c>
    </row>
    <row r="10" spans="1:8" hidden="1" x14ac:dyDescent="0.35">
      <c r="A10" t="s">
        <v>92</v>
      </c>
      <c r="B10" t="s">
        <v>18</v>
      </c>
      <c r="C10" t="s">
        <v>8</v>
      </c>
      <c r="D10">
        <v>25</v>
      </c>
      <c r="E10">
        <v>352</v>
      </c>
      <c r="F10" t="s">
        <v>9</v>
      </c>
      <c r="H10" t="str">
        <f>IF(COUNTIFS(
    Sheet1!$B:$B, B10,
    Sheet1!$C:$C, C10,
    Sheet1!$D:$D, D10,
    Sheet1!$E:$E, E10
) = 0, "NO MATCH IN TARGET", "MATCHED")</f>
        <v>MATCHED</v>
      </c>
    </row>
    <row r="11" spans="1:8" hidden="1" x14ac:dyDescent="0.35">
      <c r="A11" t="s">
        <v>93</v>
      </c>
      <c r="B11" t="s">
        <v>22</v>
      </c>
      <c r="C11" t="s">
        <v>8</v>
      </c>
      <c r="D11">
        <v>1</v>
      </c>
      <c r="E11">
        <v>2264</v>
      </c>
      <c r="F11" t="s">
        <v>9</v>
      </c>
      <c r="H11" t="str">
        <f>IF(COUNTIFS(
    Sheet1!$B:$B, B11,
    Sheet1!$C:$C, C11,
    Sheet1!$D:$D, D11,
    Sheet1!$E:$E, E11
) = 0, "NO MATCH IN TARGET", "MATCHED")</f>
        <v>MATCHED</v>
      </c>
    </row>
    <row r="12" spans="1:8" x14ac:dyDescent="0.35">
      <c r="A12" s="1">
        <v>46237.768750000003</v>
      </c>
      <c r="B12" s="2" t="s">
        <v>38</v>
      </c>
      <c r="C12" s="2" t="s">
        <v>8</v>
      </c>
      <c r="D12" s="3">
        <v>100</v>
      </c>
      <c r="E12" s="3">
        <v>322</v>
      </c>
      <c r="F12" s="2" t="s">
        <v>9</v>
      </c>
      <c r="H12" t="str">
        <f>IF(COUNTIFS(
    Sheet1!$B:$B, B12,
    Sheet1!$C:$C, C12,
    Sheet1!$D:$D, D12,
    Sheet1!$E:$E, E12
) = 0, "NO MATCH IN TARGET", "MATCHED")</f>
        <v>MATCHED</v>
      </c>
    </row>
    <row r="13" spans="1:8" x14ac:dyDescent="0.35">
      <c r="A13" s="1">
        <v>46237.768750000003</v>
      </c>
      <c r="B13" s="2" t="s">
        <v>30</v>
      </c>
      <c r="C13" s="2" t="s">
        <v>8</v>
      </c>
      <c r="D13" s="3">
        <v>200</v>
      </c>
      <c r="E13" s="3">
        <v>31.01</v>
      </c>
      <c r="F13" s="2" t="s">
        <v>9</v>
      </c>
      <c r="H13" t="str">
        <f>IF(COUNTIFS(
    Sheet1!$B:$B, B13,
    Sheet1!$C:$C, C13,
    Sheet1!$D:$D, D13,
    Sheet1!$E:$E, E13
) = 0, "NO MATCH IN TARGET", "MATCHED")</f>
        <v>MATCHED</v>
      </c>
    </row>
    <row r="14" spans="1:8" x14ac:dyDescent="0.35">
      <c r="A14" s="1">
        <v>46238.690509259257</v>
      </c>
      <c r="B14" s="2" t="s">
        <v>20</v>
      </c>
      <c r="C14" s="2" t="s">
        <v>8</v>
      </c>
      <c r="D14" s="3">
        <v>1</v>
      </c>
      <c r="E14" s="3">
        <v>4364</v>
      </c>
      <c r="F14" s="2" t="s">
        <v>9</v>
      </c>
      <c r="H14" t="str">
        <f>IF(COUNTIFS(
    Sheet1!$B:$B, B14,
    Sheet1!$C:$C, C14,
    Sheet1!$D:$D, D14,
    Sheet1!$E:$E, E14
) = 0, "NO MATCH IN TARGET", "MATCHED")</f>
        <v>MATCHED</v>
      </c>
    </row>
    <row r="15" spans="1:8" x14ac:dyDescent="0.35">
      <c r="A15" s="1">
        <v>46237.635497685187</v>
      </c>
      <c r="B15" s="2" t="s">
        <v>94</v>
      </c>
      <c r="C15" s="2" t="s">
        <v>8</v>
      </c>
      <c r="D15" s="3">
        <v>1</v>
      </c>
      <c r="E15" s="3">
        <v>6920</v>
      </c>
      <c r="F15" s="2" t="s">
        <v>9</v>
      </c>
      <c r="H15" t="str">
        <f>IF(COUNTIFS(
    Sheet1!$B:$B, B15,
    Sheet1!$C:$C, C15,
    Sheet1!$D:$D, D15,
    Sheet1!$E:$E, E15
) = 0, "NO MATCH IN TARGET", "MATCHED")</f>
        <v>MATCHED</v>
      </c>
    </row>
    <row r="16" spans="1:8" x14ac:dyDescent="0.35">
      <c r="A16" t="s">
        <v>88</v>
      </c>
      <c r="B16" t="s">
        <v>91</v>
      </c>
      <c r="C16" t="s">
        <v>8</v>
      </c>
      <c r="D16">
        <v>5</v>
      </c>
      <c r="E16">
        <v>419</v>
      </c>
      <c r="F16" t="s">
        <v>9</v>
      </c>
      <c r="H16" t="str">
        <f>IF(COUNTIFS(
    Sheet1!$B:$B, B16,
    Sheet1!$C:$C, C16,
    Sheet1!$D:$D, D16,
    Sheet1!$E:$E, E16
) = 0, "NO MATCH IN TARGET", "MATCHED")</f>
        <v>MATCHED</v>
      </c>
    </row>
    <row r="17" spans="1:8" hidden="1" x14ac:dyDescent="0.35">
      <c r="A17" t="s">
        <v>95</v>
      </c>
      <c r="B17" t="s">
        <v>20</v>
      </c>
      <c r="C17" t="s">
        <v>8</v>
      </c>
      <c r="D17">
        <v>2</v>
      </c>
      <c r="E17">
        <v>4410</v>
      </c>
      <c r="F17" t="s">
        <v>9</v>
      </c>
      <c r="H17" t="str">
        <f>IF(COUNTIFS(
    Sheet1!$B:$B, B17,
    Sheet1!$C:$C, C17,
    Sheet1!$D:$D, D17,
    Sheet1!$E:$E, E17
) = 0, "NO MATCH IN TARGET", "MATCHED")</f>
        <v>MATCHED</v>
      </c>
    </row>
    <row r="18" spans="1:8" x14ac:dyDescent="0.35">
      <c r="A18" s="1">
        <v>46233.688194444447</v>
      </c>
      <c r="B18" s="2" t="s">
        <v>77</v>
      </c>
      <c r="C18" s="2" t="s">
        <v>8</v>
      </c>
      <c r="D18" s="3">
        <v>2</v>
      </c>
      <c r="E18" s="3">
        <v>4010</v>
      </c>
      <c r="F18" s="2" t="s">
        <v>9</v>
      </c>
      <c r="H18" t="str">
        <f>IF(COUNTIFS(
    Sheet1!$B:$B, B18,
    Sheet1!$C:$C, C18,
    Sheet1!$D:$D, D18,
    Sheet1!$E:$E, E18
) = 0, "NO MATCH IN TARGET", "MATCHED")</f>
        <v>MATCHED</v>
      </c>
    </row>
    <row r="19" spans="1:8" x14ac:dyDescent="0.35">
      <c r="A19" s="1">
        <v>46237.768750000003</v>
      </c>
      <c r="B19" s="2" t="s">
        <v>38</v>
      </c>
      <c r="C19" s="2" t="s">
        <v>8</v>
      </c>
      <c r="D19" s="3">
        <v>100</v>
      </c>
      <c r="E19" s="3">
        <v>327</v>
      </c>
      <c r="F19" s="2" t="s">
        <v>9</v>
      </c>
      <c r="H19" t="str">
        <f>IF(COUNTIFS(
    Sheet1!$B:$B, B19,
    Sheet1!$C:$C, C19,
    Sheet1!$D:$D, D19,
    Sheet1!$E:$E, E19
) = 0, "NO MATCH IN TARGET", "MATCHED")</f>
        <v>MATCHED</v>
      </c>
    </row>
    <row r="20" spans="1:8" x14ac:dyDescent="0.35">
      <c r="A20" s="1">
        <v>46237.69027777778</v>
      </c>
      <c r="B20" s="2" t="s">
        <v>13</v>
      </c>
      <c r="C20" s="2" t="s">
        <v>8</v>
      </c>
      <c r="D20" s="3">
        <v>5</v>
      </c>
      <c r="E20" s="3">
        <v>852</v>
      </c>
      <c r="F20" s="2" t="s">
        <v>9</v>
      </c>
      <c r="H20" t="str">
        <f>IF(COUNTIFS(
    Sheet1!$B:$B, B20,
    Sheet1!$C:$C, C20,
    Sheet1!$D:$D, D20,
    Sheet1!$E:$E, E20
) = 0, "NO MATCH IN TARGET", "MATCHED")</f>
        <v>MATCHED</v>
      </c>
    </row>
    <row r="21" spans="1:8" x14ac:dyDescent="0.35">
      <c r="A21" t="s">
        <v>96</v>
      </c>
      <c r="B21" t="s">
        <v>97</v>
      </c>
      <c r="C21" t="s">
        <v>8</v>
      </c>
      <c r="D21">
        <v>7</v>
      </c>
      <c r="E21">
        <v>411</v>
      </c>
      <c r="F21" t="s">
        <v>9</v>
      </c>
      <c r="H21" t="str">
        <f>IF(COUNTIFS(
    Sheet1!$B:$B, B21,
    Sheet1!$C:$C, C21,
    Sheet1!$D:$D, D21,
    Sheet1!$E:$E, E21
) = 0, "NO MATCH IN TARGET", "MATCHED")</f>
        <v>MATCHED</v>
      </c>
    </row>
    <row r="22" spans="1:8" x14ac:dyDescent="0.35">
      <c r="A22" s="1">
        <v>46237.69027777778</v>
      </c>
      <c r="B22" s="2" t="s">
        <v>98</v>
      </c>
      <c r="C22" s="2" t="s">
        <v>8</v>
      </c>
      <c r="D22" s="3">
        <v>10</v>
      </c>
      <c r="E22" s="3">
        <v>251</v>
      </c>
      <c r="F22" s="2" t="s">
        <v>9</v>
      </c>
      <c r="H22" t="str">
        <f>IF(COUNTIFS(
    Sheet1!$B:$B, B22,
    Sheet1!$C:$C, C22,
    Sheet1!$D:$D, D22,
    Sheet1!$E:$E, E22
) = 0, "NO MATCH IN TARGET", "MATCHED")</f>
        <v>MATCHED</v>
      </c>
    </row>
    <row r="23" spans="1:8" x14ac:dyDescent="0.35">
      <c r="A23" t="s">
        <v>95</v>
      </c>
      <c r="B23" t="s">
        <v>13</v>
      </c>
      <c r="C23" t="s">
        <v>8</v>
      </c>
      <c r="D23">
        <v>30</v>
      </c>
      <c r="E23">
        <v>860</v>
      </c>
      <c r="F23" t="s">
        <v>9</v>
      </c>
      <c r="H23" t="str">
        <f>IF(COUNTIFS(
    Sheet1!$B:$B, B23,
    Sheet1!$C:$C, C23,
    Sheet1!$D:$D, D23,
    Sheet1!$E:$E, E23
) = 0, "NO MATCH IN TARGET", "MATCHED")</f>
        <v>MATCHED</v>
      </c>
    </row>
    <row r="24" spans="1:8" hidden="1" x14ac:dyDescent="0.35">
      <c r="A24" t="s">
        <v>88</v>
      </c>
      <c r="B24" t="s">
        <v>18</v>
      </c>
      <c r="C24" t="s">
        <v>8</v>
      </c>
      <c r="D24">
        <v>5</v>
      </c>
      <c r="E24">
        <v>366</v>
      </c>
      <c r="F24" t="s">
        <v>9</v>
      </c>
      <c r="H24" t="str">
        <f>IF(COUNTIFS(
    Sheet1!$B:$B, B24,
    Sheet1!$C:$C, C24,
    Sheet1!$D:$D, D24,
    Sheet1!$E:$E, E24
) = 0, "NO MATCH IN TARGET", "MATCHED")</f>
        <v>MATCHED</v>
      </c>
    </row>
    <row r="25" spans="1:8" x14ac:dyDescent="0.35">
      <c r="A25" s="1">
        <v>46233.688194444447</v>
      </c>
      <c r="B25" s="2" t="s">
        <v>77</v>
      </c>
      <c r="C25" s="2" t="s">
        <v>8</v>
      </c>
      <c r="D25" s="3">
        <v>2</v>
      </c>
      <c r="E25" s="3">
        <v>4060</v>
      </c>
      <c r="F25" s="2" t="s">
        <v>9</v>
      </c>
      <c r="H25" t="str">
        <f>IF(COUNTIFS(
    Sheet1!$B:$B, B25,
    Sheet1!$C:$C, C25,
    Sheet1!$D:$D, D25,
    Sheet1!$E:$E, E25
) = 0, "NO MATCH IN TARGET", "MATCHED")</f>
        <v>MATCHED</v>
      </c>
    </row>
    <row r="26" spans="1:8" x14ac:dyDescent="0.35">
      <c r="A26" s="1">
        <v>46237.768750000003</v>
      </c>
      <c r="B26" s="2" t="s">
        <v>38</v>
      </c>
      <c r="C26" s="2" t="s">
        <v>8</v>
      </c>
      <c r="D26" s="3">
        <v>100</v>
      </c>
      <c r="E26" s="3">
        <v>331</v>
      </c>
      <c r="F26" s="2" t="s">
        <v>9</v>
      </c>
      <c r="H26" t="str">
        <f>IF(COUNTIFS(
    Sheet1!$B:$B, B26,
    Sheet1!$C:$C, C26,
    Sheet1!$D:$D, D26,
    Sheet1!$E:$E, E26
) = 0, "NO MATCH IN TARGET", "MATCHED")</f>
        <v>MATCHED</v>
      </c>
    </row>
    <row r="27" spans="1:8" x14ac:dyDescent="0.35">
      <c r="A27" s="1">
        <v>46238.635567129626</v>
      </c>
      <c r="B27" s="2" t="s">
        <v>64</v>
      </c>
      <c r="C27" s="2" t="s">
        <v>8</v>
      </c>
      <c r="D27" s="3">
        <v>5</v>
      </c>
      <c r="E27" s="3">
        <v>812</v>
      </c>
      <c r="F27" s="2" t="s">
        <v>9</v>
      </c>
      <c r="H27" t="str">
        <f>IF(COUNTIFS(
    Sheet1!$B:$B, B27,
    Sheet1!$C:$C, C27,
    Sheet1!$D:$D, D27,
    Sheet1!$E:$E, E27
) = 0, "NO MATCH IN TARGET", "MATCHED")</f>
        <v>MATCHED</v>
      </c>
    </row>
    <row r="28" spans="1:8" x14ac:dyDescent="0.35">
      <c r="A28" s="1">
        <v>46238.690462962964</v>
      </c>
      <c r="B28" s="2" t="s">
        <v>39</v>
      </c>
      <c r="C28" s="2" t="s">
        <v>8</v>
      </c>
      <c r="D28" s="3">
        <v>37</v>
      </c>
      <c r="E28" s="3">
        <v>277</v>
      </c>
      <c r="F28" s="2" t="s">
        <v>9</v>
      </c>
      <c r="H28" t="str">
        <f>IF(COUNTIFS(
    Sheet1!$B:$B, B28,
    Sheet1!$C:$C, C28,
    Sheet1!$D:$D, D28,
    Sheet1!$E:$E, E28
) = 0, "NO MATCH IN TARGET", "MATCHED")</f>
        <v>MATCHED</v>
      </c>
    </row>
    <row r="29" spans="1:8" x14ac:dyDescent="0.35">
      <c r="A29" t="s">
        <v>99</v>
      </c>
      <c r="B29" t="s">
        <v>100</v>
      </c>
      <c r="C29" t="s">
        <v>8</v>
      </c>
      <c r="D29">
        <v>4</v>
      </c>
      <c r="E29">
        <v>1066</v>
      </c>
      <c r="F29" t="s">
        <v>9</v>
      </c>
      <c r="H29" t="str">
        <f>IF(COUNTIFS(
    Sheet1!$B:$B, B29,
    Sheet1!$C:$C, C29,
    Sheet1!$D:$D, D29,
    Sheet1!$E:$E, E29
) = 0, "NO MATCH IN TARGET", "MATCHED")</f>
        <v>MATCHED</v>
      </c>
    </row>
    <row r="30" spans="1:8" x14ac:dyDescent="0.35">
      <c r="A30" t="s">
        <v>101</v>
      </c>
      <c r="B30" t="s">
        <v>46</v>
      </c>
      <c r="C30" t="s">
        <v>8</v>
      </c>
      <c r="D30">
        <v>40</v>
      </c>
      <c r="E30">
        <v>878</v>
      </c>
      <c r="F30" t="s">
        <v>9</v>
      </c>
      <c r="H30" t="str">
        <f>IF(COUNTIFS(
    Sheet1!$B:$B, B30,
    Sheet1!$C:$C, C30,
    Sheet1!$D:$D, D30,
    Sheet1!$E:$E, E30
) = 0, "NO MATCH IN TARGET", "MATCHED")</f>
        <v>MATCHED</v>
      </c>
    </row>
    <row r="31" spans="1:8" hidden="1" x14ac:dyDescent="0.35">
      <c r="A31" t="s">
        <v>96</v>
      </c>
      <c r="B31" t="s">
        <v>23</v>
      </c>
      <c r="C31" t="s">
        <v>8</v>
      </c>
      <c r="D31">
        <v>4</v>
      </c>
      <c r="E31">
        <v>1751</v>
      </c>
      <c r="F31" t="s">
        <v>9</v>
      </c>
      <c r="H31" t="str">
        <f>IF(COUNTIFS(
    Sheet1!$B:$B, B31,
    Sheet1!$C:$C, C31,
    Sheet1!$D:$D, D31,
    Sheet1!$E:$E, E31
) = 0, "NO MATCH IN TARGET", "MATCHED")</f>
        <v>MATCHED</v>
      </c>
    </row>
    <row r="32" spans="1:8" x14ac:dyDescent="0.35">
      <c r="A32" s="1">
        <v>46237.635555555556</v>
      </c>
      <c r="B32" s="2" t="s">
        <v>77</v>
      </c>
      <c r="C32" s="2" t="s">
        <v>8</v>
      </c>
      <c r="D32" s="3">
        <v>1</v>
      </c>
      <c r="E32" s="3">
        <v>4110</v>
      </c>
      <c r="F32" s="2" t="s">
        <v>9</v>
      </c>
      <c r="H32" t="str">
        <f>IF(COUNTIFS(
    Sheet1!$B:$B, B32,
    Sheet1!$C:$C, C32,
    Sheet1!$D:$D, D32,
    Sheet1!$E:$E, E32
) = 0, "NO MATCH IN TARGET", "MATCHED")</f>
        <v>MATCHED</v>
      </c>
    </row>
    <row r="33" spans="1:8" x14ac:dyDescent="0.35">
      <c r="A33" t="s">
        <v>102</v>
      </c>
      <c r="B33" t="s">
        <v>38</v>
      </c>
      <c r="C33" t="s">
        <v>8</v>
      </c>
      <c r="D33">
        <v>100</v>
      </c>
      <c r="E33">
        <v>335</v>
      </c>
      <c r="F33" t="s">
        <v>9</v>
      </c>
      <c r="H33" t="str">
        <f>IF(COUNTIFS(
    Sheet1!$B:$B, B33,
    Sheet1!$C:$C, C33,
    Sheet1!$D:$D, D33,
    Sheet1!$E:$E, E33
) = 0, "NO MATCH IN TARGET", "MATCHED")</f>
        <v>MATCHED</v>
      </c>
    </row>
    <row r="34" spans="1:8" hidden="1" x14ac:dyDescent="0.35">
      <c r="A34" s="1">
        <v>46237.635555555556</v>
      </c>
      <c r="B34" s="2" t="s">
        <v>63</v>
      </c>
      <c r="C34" s="2" t="s">
        <v>8</v>
      </c>
      <c r="D34" s="3">
        <v>5</v>
      </c>
      <c r="E34" s="3">
        <v>2888</v>
      </c>
      <c r="F34" s="2" t="s">
        <v>9</v>
      </c>
      <c r="H34" t="str">
        <f>IF(COUNTIFS(
    Sheet1!$B:$B, B34,
    Sheet1!$C:$C, C34,
    Sheet1!$D:$D, D34,
    Sheet1!$E:$E, E34
) = 0, "NO MATCH IN TARGET", "MATCHED")</f>
        <v>MATCHED</v>
      </c>
    </row>
    <row r="35" spans="1:8" x14ac:dyDescent="0.35">
      <c r="A35" s="1">
        <v>46233.688194444447</v>
      </c>
      <c r="B35" s="2" t="s">
        <v>78</v>
      </c>
      <c r="C35" s="2" t="s">
        <v>8</v>
      </c>
      <c r="D35" s="3">
        <v>2</v>
      </c>
      <c r="E35" s="3">
        <v>3760</v>
      </c>
      <c r="F35" s="2" t="s">
        <v>9</v>
      </c>
      <c r="H35" t="str">
        <f>IF(COUNTIFS(
    Sheet1!$B:$B, B35,
    Sheet1!$C:$C, C35,
    Sheet1!$D:$D, D35,
    Sheet1!$E:$E, E35
) = 0, "NO MATCH IN TARGET", "MATCHED")</f>
        <v>MATCHED</v>
      </c>
    </row>
    <row r="36" spans="1:8" hidden="1" x14ac:dyDescent="0.35">
      <c r="A36" t="s">
        <v>95</v>
      </c>
      <c r="B36" t="s">
        <v>11</v>
      </c>
      <c r="C36" t="s">
        <v>8</v>
      </c>
      <c r="D36">
        <v>100</v>
      </c>
      <c r="E36">
        <v>111</v>
      </c>
      <c r="F36" t="s">
        <v>9</v>
      </c>
      <c r="H36" t="str">
        <f>IF(COUNTIFS(
    Sheet1!$B:$B, B36,
    Sheet1!$C:$C, C36,
    Sheet1!$D:$D, D36,
    Sheet1!$E:$E, E36
) = 0, "NO MATCH IN TARGET", "MATCHED")</f>
        <v>MATCHED</v>
      </c>
    </row>
    <row r="37" spans="1:8" hidden="1" x14ac:dyDescent="0.35">
      <c r="A37" s="1">
        <v>46237.63554398148</v>
      </c>
      <c r="B37" s="2" t="s">
        <v>52</v>
      </c>
      <c r="C37" s="2" t="s">
        <v>8</v>
      </c>
      <c r="D37" s="3">
        <v>9</v>
      </c>
      <c r="E37" s="3">
        <v>2251</v>
      </c>
      <c r="F37" s="2" t="s">
        <v>9</v>
      </c>
      <c r="H37" t="str">
        <f>IF(COUNTIFS(
    Sheet1!$B:$B, B37,
    Sheet1!$C:$C, C37,
    Sheet1!$D:$D, D37,
    Sheet1!$E:$E, E37
) = 0, "NO MATCH IN TARGET", "MATCHED")</f>
        <v>MATCHED</v>
      </c>
    </row>
    <row r="38" spans="1:8" x14ac:dyDescent="0.35">
      <c r="A38" t="s">
        <v>102</v>
      </c>
      <c r="B38" t="s">
        <v>38</v>
      </c>
      <c r="C38" t="s">
        <v>8</v>
      </c>
      <c r="D38">
        <v>100</v>
      </c>
      <c r="E38">
        <v>337</v>
      </c>
      <c r="F38" t="s">
        <v>9</v>
      </c>
      <c r="H38" t="str">
        <f>IF(COUNTIFS(
    Sheet1!$B:$B, B38,
    Sheet1!$C:$C, C38,
    Sheet1!$D:$D, D38,
    Sheet1!$E:$E, E38
) = 0, "NO MATCH IN TARGET", "MATCHED")</f>
        <v>MATCHED</v>
      </c>
    </row>
    <row r="39" spans="1:8" x14ac:dyDescent="0.35">
      <c r="A39" t="s">
        <v>103</v>
      </c>
      <c r="B39" t="s">
        <v>34</v>
      </c>
      <c r="C39" t="s">
        <v>8</v>
      </c>
      <c r="D39">
        <v>30</v>
      </c>
      <c r="E39">
        <v>640</v>
      </c>
      <c r="F39" t="s">
        <v>9</v>
      </c>
      <c r="H39" t="str">
        <f>IF(COUNTIFS(
    Sheet1!$B:$B, B39,
    Sheet1!$C:$C, C39,
    Sheet1!$D:$D, D39,
    Sheet1!$E:$E, E39
) = 0, "NO MATCH IN TARGET", "MATCHED")</f>
        <v>MATCHED</v>
      </c>
    </row>
    <row r="40" spans="1:8" hidden="1" x14ac:dyDescent="0.35">
      <c r="A40" t="s">
        <v>104</v>
      </c>
      <c r="B40" t="s">
        <v>65</v>
      </c>
      <c r="C40" t="s">
        <v>8</v>
      </c>
      <c r="D40">
        <v>5</v>
      </c>
      <c r="E40">
        <v>1132</v>
      </c>
      <c r="F40" t="s">
        <v>9</v>
      </c>
      <c r="H40" t="str">
        <f>IF(COUNTIFS(
    Sheet1!$B:$B, B40,
    Sheet1!$C:$C, C40,
    Sheet1!$D:$D, D40,
    Sheet1!$E:$E, E40
) = 0, "NO MATCH IN TARGET", "MATCHED")</f>
        <v>MATCHED</v>
      </c>
    </row>
    <row r="41" spans="1:8" hidden="1" x14ac:dyDescent="0.35">
      <c r="A41" t="s">
        <v>99</v>
      </c>
      <c r="B41" t="s">
        <v>66</v>
      </c>
      <c r="C41" t="s">
        <v>8</v>
      </c>
      <c r="D41">
        <v>10</v>
      </c>
      <c r="E41">
        <v>1166</v>
      </c>
      <c r="F41" t="s">
        <v>9</v>
      </c>
      <c r="H41" t="str">
        <f>IF(COUNTIFS(
    Sheet1!$B:$B, B41,
    Sheet1!$C:$C, C41,
    Sheet1!$D:$D, D41,
    Sheet1!$E:$E, E41
) = 0, "NO MATCH IN TARGET", "MATCHED")</f>
        <v>MATCHED</v>
      </c>
    </row>
    <row r="42" spans="1:8" x14ac:dyDescent="0.35">
      <c r="A42" t="s">
        <v>105</v>
      </c>
      <c r="B42" t="s">
        <v>24</v>
      </c>
      <c r="C42" t="s">
        <v>8</v>
      </c>
      <c r="D42">
        <v>5</v>
      </c>
      <c r="E42">
        <v>560</v>
      </c>
      <c r="F42" t="s">
        <v>9</v>
      </c>
      <c r="H42" t="str">
        <f>IF(COUNTIFS(
    Sheet1!$B:$B, B42,
    Sheet1!$C:$C, C42,
    Sheet1!$D:$D, D42,
    Sheet1!$E:$E, E42
) = 0, "NO MATCH IN TARGET", "MATCHED")</f>
        <v>MATCHED</v>
      </c>
    </row>
    <row r="43" spans="1:8" x14ac:dyDescent="0.35">
      <c r="A43" s="1">
        <v>46238.690462962964</v>
      </c>
      <c r="B43" s="2" t="s">
        <v>39</v>
      </c>
      <c r="C43" s="2" t="s">
        <v>8</v>
      </c>
      <c r="D43" s="3">
        <v>20</v>
      </c>
      <c r="E43" s="3">
        <v>281</v>
      </c>
      <c r="F43" s="2" t="s">
        <v>9</v>
      </c>
      <c r="H43" t="str">
        <f>IF(COUNTIFS(
    Sheet1!$B:$B, B43,
    Sheet1!$C:$C, C43,
    Sheet1!$D:$D, D43,
    Sheet1!$E:$E, E43
) = 0, "NO MATCH IN TARGET", "MATCHED")</f>
        <v>MATCHED</v>
      </c>
    </row>
    <row r="44" spans="1:8" hidden="1" x14ac:dyDescent="0.35">
      <c r="A44" t="s">
        <v>106</v>
      </c>
      <c r="B44" t="s">
        <v>82</v>
      </c>
      <c r="C44" t="s">
        <v>8</v>
      </c>
      <c r="D44">
        <v>30</v>
      </c>
      <c r="E44">
        <v>1007</v>
      </c>
      <c r="F44" t="s">
        <v>9</v>
      </c>
      <c r="H44" t="str">
        <f>IF(COUNTIFS(
    Sheet1!$B:$B, B44,
    Sheet1!$C:$C, C44,
    Sheet1!$D:$D, D44,
    Sheet1!$E:$E, E44
) = 0, "NO MATCH IN TARGET", "MATCHED")</f>
        <v>MATCHED</v>
      </c>
    </row>
    <row r="45" spans="1:8" hidden="1" x14ac:dyDescent="0.35">
      <c r="A45" t="s">
        <v>107</v>
      </c>
      <c r="B45" t="s">
        <v>13</v>
      </c>
      <c r="C45" t="s">
        <v>8</v>
      </c>
      <c r="D45">
        <v>11</v>
      </c>
      <c r="E45">
        <v>882</v>
      </c>
      <c r="F45" t="s">
        <v>9</v>
      </c>
      <c r="H45" t="str">
        <f>IF(COUNTIFS(
    Sheet1!$B:$B, B45,
    Sheet1!$C:$C, C45,
    Sheet1!$D:$D, D45,
    Sheet1!$E:$E, E45
) = 0, "NO MATCH IN TARGET", "MATCHED")</f>
        <v>MATCHED</v>
      </c>
    </row>
    <row r="46" spans="1:8" hidden="1" x14ac:dyDescent="0.35">
      <c r="A46" s="1">
        <v>46238.635555555556</v>
      </c>
      <c r="B46" s="2" t="s">
        <v>62</v>
      </c>
      <c r="C46" s="2" t="s">
        <v>8</v>
      </c>
      <c r="D46" s="3">
        <v>25</v>
      </c>
      <c r="E46" s="3">
        <v>764</v>
      </c>
      <c r="F46" s="2" t="s">
        <v>9</v>
      </c>
      <c r="H46" t="str">
        <f>IF(COUNTIFS(
    Sheet1!$B:$B, B46,
    Sheet1!$C:$C, C46,
    Sheet1!$D:$D, D46,
    Sheet1!$E:$E, E46
) = 0, "NO MATCH IN TARGET", "MATCHED")</f>
        <v>MATCHED</v>
      </c>
    </row>
    <row r="47" spans="1:8" hidden="1" x14ac:dyDescent="0.35">
      <c r="A47" t="s">
        <v>108</v>
      </c>
      <c r="B47" t="s">
        <v>25</v>
      </c>
      <c r="C47" t="s">
        <v>8</v>
      </c>
      <c r="D47">
        <v>25</v>
      </c>
      <c r="E47">
        <v>190.1</v>
      </c>
      <c r="F47" t="s">
        <v>9</v>
      </c>
      <c r="H47" t="str">
        <f>IF(COUNTIFS(
    Sheet1!$B:$B, B47,
    Sheet1!$C:$C, C47,
    Sheet1!$D:$D, D47,
    Sheet1!$E:$E, E47
) = 0, "NO MATCH IN TARGET", "MATCHED")</f>
        <v>MATCHED</v>
      </c>
    </row>
    <row r="48" spans="1:8" x14ac:dyDescent="0.35">
      <c r="A48" s="1">
        <v>46233.688194444447</v>
      </c>
      <c r="B48" s="2" t="s">
        <v>78</v>
      </c>
      <c r="C48" s="2" t="s">
        <v>8</v>
      </c>
      <c r="D48" s="3">
        <v>3</v>
      </c>
      <c r="E48" s="3">
        <v>3810</v>
      </c>
      <c r="F48" s="2" t="s">
        <v>9</v>
      </c>
      <c r="H48" t="str">
        <f>IF(COUNTIFS(
    Sheet1!$B:$B, B48,
    Sheet1!$C:$C, C48,
    Sheet1!$D:$D, D48,
    Sheet1!$E:$E, E48
) = 0, "NO MATCH IN TARGET", "MATCHED")</f>
        <v>MATCHED</v>
      </c>
    </row>
    <row r="49" spans="1:8" hidden="1" x14ac:dyDescent="0.35">
      <c r="A49" t="s">
        <v>104</v>
      </c>
      <c r="B49" t="s">
        <v>65</v>
      </c>
      <c r="C49" t="s">
        <v>8</v>
      </c>
      <c r="D49">
        <v>5</v>
      </c>
      <c r="E49">
        <v>1142</v>
      </c>
      <c r="F49" t="s">
        <v>9</v>
      </c>
      <c r="H49" t="str">
        <f>IF(COUNTIFS(
    Sheet1!$B:$B, B49,
    Sheet1!$C:$C, C49,
    Sheet1!$D:$D, D49,
    Sheet1!$E:$E, E49
) = 0, "NO MATCH IN TARGET", "MATCHED")</f>
        <v>MATCHED</v>
      </c>
    </row>
    <row r="50" spans="1:8" hidden="1" x14ac:dyDescent="0.35">
      <c r="A50" t="s">
        <v>102</v>
      </c>
      <c r="B50" t="s">
        <v>38</v>
      </c>
      <c r="C50" t="s">
        <v>8</v>
      </c>
      <c r="D50">
        <v>100</v>
      </c>
      <c r="E50">
        <v>340.2</v>
      </c>
      <c r="F50" t="s">
        <v>9</v>
      </c>
      <c r="H50" t="str">
        <f>IF(COUNTIFS(
    Sheet1!$B:$B, B50,
    Sheet1!$C:$C, C50,
    Sheet1!$D:$D, D50,
    Sheet1!$E:$E, E50
) = 0, "NO MATCH IN TARGET", "MATCHED")</f>
        <v>MATCHED</v>
      </c>
    </row>
    <row r="51" spans="1:8" x14ac:dyDescent="0.35">
      <c r="A51" t="s">
        <v>104</v>
      </c>
      <c r="B51" t="s">
        <v>74</v>
      </c>
      <c r="C51" t="s">
        <v>8</v>
      </c>
      <c r="D51">
        <v>1</v>
      </c>
      <c r="E51">
        <v>3310</v>
      </c>
      <c r="F51" t="s">
        <v>9</v>
      </c>
      <c r="H51" t="str">
        <f>IF(COUNTIFS(
    Sheet1!$B:$B, B51,
    Sheet1!$C:$C, C51,
    Sheet1!$D:$D, D51,
    Sheet1!$E:$E, E51
) = 0, "NO MATCH IN TARGET", "MATCHED")</f>
        <v>NO MATCH IN TARGET</v>
      </c>
    </row>
    <row r="52" spans="1:8" hidden="1" x14ac:dyDescent="0.35">
      <c r="A52" t="s">
        <v>109</v>
      </c>
      <c r="B52" t="s">
        <v>60</v>
      </c>
      <c r="C52" t="s">
        <v>8</v>
      </c>
      <c r="D52">
        <v>1</v>
      </c>
      <c r="E52">
        <v>13552</v>
      </c>
      <c r="F52" t="s">
        <v>9</v>
      </c>
      <c r="H52" t="str">
        <f>IF(COUNTIFS(
    Sheet1!$B:$B, B52,
    Sheet1!$C:$C, C52,
    Sheet1!$D:$D, D52,
    Sheet1!$E:$E, E52
) = 0, "NO MATCH IN TARGET", "MATCHED")</f>
        <v>MATCHED</v>
      </c>
    </row>
    <row r="53" spans="1:8" hidden="1" x14ac:dyDescent="0.35">
      <c r="A53" t="s">
        <v>104</v>
      </c>
      <c r="B53" t="s">
        <v>63</v>
      </c>
      <c r="C53" t="s">
        <v>8</v>
      </c>
      <c r="D53">
        <v>5</v>
      </c>
      <c r="E53">
        <v>2938</v>
      </c>
      <c r="F53" t="s">
        <v>9</v>
      </c>
      <c r="H53" t="str">
        <f>IF(COUNTIFS(
    Sheet1!$B:$B, B53,
    Sheet1!$C:$C, C53,
    Sheet1!$D:$D, D53,
    Sheet1!$E:$E, E53
) = 0, "NO MATCH IN TARGET", "MATCHED")</f>
        <v>MATCHED</v>
      </c>
    </row>
    <row r="54" spans="1:8" hidden="1" x14ac:dyDescent="0.35">
      <c r="A54" t="s">
        <v>101</v>
      </c>
      <c r="B54" t="s">
        <v>46</v>
      </c>
      <c r="C54" t="s">
        <v>8</v>
      </c>
      <c r="D54">
        <v>40</v>
      </c>
      <c r="E54">
        <v>897</v>
      </c>
      <c r="F54" t="s">
        <v>9</v>
      </c>
      <c r="H54" t="str">
        <f>IF(COUNTIFS(
    Sheet1!$B:$B, B54,
    Sheet1!$C:$C, C54,
    Sheet1!$D:$D, D54,
    Sheet1!$E:$E, E54
) = 0, "NO MATCH IN TARGET", "MATCHED")</f>
        <v>MATCHED</v>
      </c>
    </row>
    <row r="55" spans="1:8" x14ac:dyDescent="0.35">
      <c r="A55" s="1">
        <v>46237.63553240741</v>
      </c>
      <c r="B55" s="2" t="s">
        <v>78</v>
      </c>
      <c r="C55" s="2" t="s">
        <v>8</v>
      </c>
      <c r="D55" s="3">
        <v>2</v>
      </c>
      <c r="E55" s="3">
        <v>3830</v>
      </c>
      <c r="F55" s="2" t="s">
        <v>9</v>
      </c>
      <c r="H55" t="str">
        <f>IF(COUNTIFS(
    Sheet1!$B:$B, B55,
    Sheet1!$C:$C, C55,
    Sheet1!$D:$D, D55,
    Sheet1!$E:$E, E55
) = 0, "NO MATCH IN TARGET", "MATCHED")</f>
        <v>MATCHED</v>
      </c>
    </row>
    <row r="56" spans="1:8" hidden="1" x14ac:dyDescent="0.35">
      <c r="A56" t="s">
        <v>110</v>
      </c>
      <c r="B56" t="s">
        <v>26</v>
      </c>
      <c r="C56" t="s">
        <v>8</v>
      </c>
      <c r="D56">
        <v>50</v>
      </c>
      <c r="E56">
        <v>202</v>
      </c>
      <c r="F56" t="s">
        <v>9</v>
      </c>
      <c r="H56" t="str">
        <f>IF(COUNTIFS(
    Sheet1!$B:$B, B56,
    Sheet1!$C:$C, C56,
    Sheet1!$D:$D, D56,
    Sheet1!$E:$E, E56
) = 0, "NO MATCH IN TARGET", "MATCHED")</f>
        <v>MATCHED</v>
      </c>
    </row>
    <row r="57" spans="1:8" hidden="1" x14ac:dyDescent="0.35">
      <c r="A57" t="s">
        <v>111</v>
      </c>
      <c r="B57" t="s">
        <v>64</v>
      </c>
      <c r="C57" t="s">
        <v>8</v>
      </c>
      <c r="D57">
        <v>25</v>
      </c>
      <c r="E57">
        <v>836</v>
      </c>
      <c r="F57" t="s">
        <v>9</v>
      </c>
      <c r="H57" t="str">
        <f>IF(COUNTIFS(
    Sheet1!$B:$B, B57,
    Sheet1!$C:$C, C57,
    Sheet1!$D:$D, D57,
    Sheet1!$E:$E, E57
) = 0, "NO MATCH IN TARGET", "MATCHED")</f>
        <v>MATCHED</v>
      </c>
    </row>
    <row r="58" spans="1:8" x14ac:dyDescent="0.35">
      <c r="A58" t="s">
        <v>104</v>
      </c>
      <c r="B58" t="s">
        <v>77</v>
      </c>
      <c r="C58" t="s">
        <v>8</v>
      </c>
      <c r="D58">
        <v>1</v>
      </c>
      <c r="E58">
        <v>4206</v>
      </c>
      <c r="F58" t="s">
        <v>9</v>
      </c>
      <c r="H58" t="str">
        <f>IF(COUNTIFS(
    Sheet1!$B:$B, B58,
    Sheet1!$C:$C, C58,
    Sheet1!$D:$D, D58,
    Sheet1!$E:$E, E58
) = 0, "NO MATCH IN TARGET", "MATCHED")</f>
        <v>MATCHED</v>
      </c>
    </row>
    <row r="59" spans="1:8" hidden="1" x14ac:dyDescent="0.35">
      <c r="A59" t="s">
        <v>111</v>
      </c>
      <c r="B59" t="s">
        <v>64</v>
      </c>
      <c r="C59" t="s">
        <v>8</v>
      </c>
      <c r="D59">
        <v>5</v>
      </c>
      <c r="E59">
        <v>838</v>
      </c>
      <c r="F59" t="s">
        <v>9</v>
      </c>
      <c r="H59" t="str">
        <f>IF(COUNTIFS(
    Sheet1!$B:$B, B59,
    Sheet1!$C:$C, C59,
    Sheet1!$D:$D, D59,
    Sheet1!$E:$E, E59
) = 0, "NO MATCH IN TARGET", "MATCHED")</f>
        <v>MATCHED</v>
      </c>
    </row>
    <row r="60" spans="1:8" hidden="1" x14ac:dyDescent="0.35">
      <c r="A60" t="s">
        <v>104</v>
      </c>
      <c r="B60" t="s">
        <v>65</v>
      </c>
      <c r="C60" t="s">
        <v>8</v>
      </c>
      <c r="D60">
        <v>5</v>
      </c>
      <c r="E60">
        <v>1152</v>
      </c>
      <c r="F60" t="s">
        <v>9</v>
      </c>
      <c r="H60" t="str">
        <f>IF(COUNTIFS(
    Sheet1!$B:$B, B60,
    Sheet1!$C:$C, C60,
    Sheet1!$D:$D, D60,
    Sheet1!$E:$E, E60
) = 0, "NO MATCH IN TARGET", "MATCHED")</f>
        <v>MATCHED</v>
      </c>
    </row>
    <row r="61" spans="1:8" hidden="1" x14ac:dyDescent="0.35">
      <c r="A61" t="s">
        <v>110</v>
      </c>
      <c r="B61" t="s">
        <v>28</v>
      </c>
      <c r="C61" t="s">
        <v>8</v>
      </c>
      <c r="D61">
        <v>45</v>
      </c>
      <c r="E61">
        <v>136.15</v>
      </c>
      <c r="F61" t="s">
        <v>9</v>
      </c>
      <c r="H61" t="str">
        <f>IF(COUNTIFS(
    Sheet1!$B:$B, B61,
    Sheet1!$C:$C, C61,
    Sheet1!$D:$D, D61,
    Sheet1!$E:$E, E61
) = 0, "NO MATCH IN TARGET", "MATCHED")</f>
        <v>MATCHED</v>
      </c>
    </row>
    <row r="62" spans="1:8" x14ac:dyDescent="0.35">
      <c r="A62" t="s">
        <v>99</v>
      </c>
      <c r="B62" t="s">
        <v>72</v>
      </c>
      <c r="C62" t="s">
        <v>8</v>
      </c>
      <c r="D62">
        <v>15</v>
      </c>
      <c r="E62">
        <v>4415</v>
      </c>
      <c r="F62" t="s">
        <v>9</v>
      </c>
      <c r="H62" t="str">
        <f>IF(COUNTIFS(
    Sheet1!$B:$B, B62,
    Sheet1!$C:$C, C62,
    Sheet1!$D:$D, D62,
    Sheet1!$E:$E, E62
) = 0, "NO MATCH IN TARGET", "MATCHED")</f>
        <v>MATCHED</v>
      </c>
    </row>
    <row r="63" spans="1:8" hidden="1" x14ac:dyDescent="0.35">
      <c r="A63" t="s">
        <v>99</v>
      </c>
      <c r="B63" t="s">
        <v>66</v>
      </c>
      <c r="C63" t="s">
        <v>8</v>
      </c>
      <c r="D63">
        <v>5</v>
      </c>
      <c r="E63">
        <v>1188</v>
      </c>
      <c r="F63" t="s">
        <v>9</v>
      </c>
      <c r="H63" t="str">
        <f>IF(COUNTIFS(
    Sheet1!$B:$B, B63,
    Sheet1!$C:$C, C63,
    Sheet1!$D:$D, D63,
    Sheet1!$E:$E, E63
) = 0, "NO MATCH IN TARGET", "MATCHED")</f>
        <v>MATCHED</v>
      </c>
    </row>
    <row r="64" spans="1:8" hidden="1" x14ac:dyDescent="0.35">
      <c r="A64" t="s">
        <v>112</v>
      </c>
      <c r="B64" t="s">
        <v>39</v>
      </c>
      <c r="C64" t="s">
        <v>8</v>
      </c>
      <c r="D64">
        <v>20</v>
      </c>
      <c r="E64">
        <v>286</v>
      </c>
      <c r="F64" t="s">
        <v>9</v>
      </c>
      <c r="H64" t="str">
        <f>IF(COUNTIFS(
    Sheet1!$B:$B, B64,
    Sheet1!$C:$C, C64,
    Sheet1!$D:$D, D64,
    Sheet1!$E:$E, E64
) = 0, "NO MATCH IN TARGET", "MATCHED")</f>
        <v>MATCHED</v>
      </c>
    </row>
    <row r="65" spans="1:8" x14ac:dyDescent="0.35">
      <c r="A65" s="1">
        <v>46237.63553240741</v>
      </c>
      <c r="B65" s="2" t="s">
        <v>78</v>
      </c>
      <c r="C65" s="2" t="s">
        <v>8</v>
      </c>
      <c r="D65" s="3">
        <v>2</v>
      </c>
      <c r="E65" s="3">
        <v>3856</v>
      </c>
      <c r="F65" s="2" t="s">
        <v>9</v>
      </c>
      <c r="H65" t="str">
        <f>IF(COUNTIFS(
    Sheet1!$B:$B, B65,
    Sheet1!$C:$C, C65,
    Sheet1!$D:$D, D65,
    Sheet1!$E:$E, E65
) = 0, "NO MATCH IN TARGET", "MATCHED")</f>
        <v>MATCHED</v>
      </c>
    </row>
    <row r="66" spans="1:8" x14ac:dyDescent="0.35">
      <c r="A66" t="s">
        <v>101</v>
      </c>
      <c r="B66" t="s">
        <v>67</v>
      </c>
      <c r="C66" t="s">
        <v>8</v>
      </c>
      <c r="D66">
        <v>15</v>
      </c>
      <c r="E66">
        <v>1005</v>
      </c>
      <c r="F66" t="s">
        <v>9</v>
      </c>
      <c r="H66" t="str">
        <f>IF(COUNTIFS(
    Sheet1!$B:$B, B66,
    Sheet1!$C:$C, C66,
    Sheet1!$D:$D, D66,
    Sheet1!$E:$E, E66
) = 0, "NO MATCH IN TARGET", "MATCHED")</f>
        <v>MATCHED</v>
      </c>
    </row>
    <row r="67" spans="1:8" hidden="1" x14ac:dyDescent="0.35">
      <c r="A67" t="s">
        <v>113</v>
      </c>
      <c r="B67" t="s">
        <v>38</v>
      </c>
      <c r="C67" t="s">
        <v>8</v>
      </c>
      <c r="D67">
        <v>50</v>
      </c>
      <c r="E67">
        <v>344</v>
      </c>
      <c r="F67" t="s">
        <v>9</v>
      </c>
      <c r="H67" t="str">
        <f>IF(COUNTIFS(
    Sheet1!$B:$B, B67,
    Sheet1!$C:$C, C67,
    Sheet1!$D:$D, D67,
    Sheet1!$E:$E, E67
) = 0, "NO MATCH IN TARGET", "MATCHED")</f>
        <v>MATCHED</v>
      </c>
    </row>
    <row r="68" spans="1:8" hidden="1" x14ac:dyDescent="0.35">
      <c r="A68" s="1">
        <v>46237.63553240741</v>
      </c>
      <c r="B68" s="2" t="s">
        <v>68</v>
      </c>
      <c r="C68" s="2" t="s">
        <v>8</v>
      </c>
      <c r="D68" s="3">
        <v>1</v>
      </c>
      <c r="E68" s="3">
        <v>17552</v>
      </c>
      <c r="F68" s="2" t="s">
        <v>9</v>
      </c>
      <c r="H68" t="str">
        <f>IF(COUNTIFS(
    Sheet1!$B:$B, B68,
    Sheet1!$C:$C, C68,
    Sheet1!$D:$D, D68,
    Sheet1!$E:$E, E68
) = 0, "NO MATCH IN TARGET", "MATCHED")</f>
        <v>MATCHED</v>
      </c>
    </row>
    <row r="69" spans="1:8" hidden="1" x14ac:dyDescent="0.35">
      <c r="A69" t="s">
        <v>114</v>
      </c>
      <c r="B69" t="s">
        <v>30</v>
      </c>
      <c r="C69" t="s">
        <v>8</v>
      </c>
      <c r="D69">
        <v>500</v>
      </c>
      <c r="E69">
        <v>33.159999999999997</v>
      </c>
      <c r="F69" t="s">
        <v>9</v>
      </c>
      <c r="H69" t="str">
        <f>IF(COUNTIFS(
    Sheet1!$B:$B, B69,
    Sheet1!$C:$C, C69,
    Sheet1!$D:$D, D69,
    Sheet1!$E:$E, E69
) = 0, "NO MATCH IN TARGET", "MATCHED")</f>
        <v>MATCHED</v>
      </c>
    </row>
    <row r="70" spans="1:8" x14ac:dyDescent="0.35">
      <c r="A70" s="1">
        <v>46233.688194444447</v>
      </c>
      <c r="B70" s="2" t="s">
        <v>69</v>
      </c>
      <c r="C70" s="2" t="s">
        <v>8</v>
      </c>
      <c r="D70" s="3">
        <v>5</v>
      </c>
      <c r="E70" s="3">
        <v>702</v>
      </c>
      <c r="F70" s="2" t="s">
        <v>9</v>
      </c>
      <c r="H70" t="str">
        <f>IF(COUNTIFS(
    Sheet1!$B:$B, B70,
    Sheet1!$C:$C, C70,
    Sheet1!$D:$D, D70,
    Sheet1!$E:$E, E70
) = 0, "NO MATCH IN TARGET", "MATCHED")</f>
        <v>MATCHED</v>
      </c>
    </row>
    <row r="71" spans="1:8" x14ac:dyDescent="0.35">
      <c r="A71" s="1">
        <v>46234.6875</v>
      </c>
      <c r="B71" s="2" t="s">
        <v>74</v>
      </c>
      <c r="C71" s="2" t="s">
        <v>8</v>
      </c>
      <c r="D71" s="3">
        <v>1</v>
      </c>
      <c r="E71" s="3">
        <v>3360</v>
      </c>
      <c r="F71" s="2" t="s">
        <v>9</v>
      </c>
      <c r="H71" t="str">
        <f>IF(COUNTIFS(
    Sheet1!$B:$B, B71,
    Sheet1!$C:$C, C71,
    Sheet1!$D:$D, D71,
    Sheet1!$E:$E, E71
) = 0, "NO MATCH IN TARGET", "MATCHED")</f>
        <v>NO MATCH IN TARGET</v>
      </c>
    </row>
    <row r="72" spans="1:8" x14ac:dyDescent="0.35">
      <c r="A72" t="s">
        <v>104</v>
      </c>
      <c r="B72" t="s">
        <v>65</v>
      </c>
      <c r="C72" t="s">
        <v>8</v>
      </c>
      <c r="D72">
        <v>5</v>
      </c>
      <c r="E72">
        <v>1161</v>
      </c>
      <c r="F72" t="s">
        <v>9</v>
      </c>
      <c r="H72" t="str">
        <f>IF(COUNTIFS(
    Sheet1!$B:$B, B72,
    Sheet1!$C:$C, C72,
    Sheet1!$D:$D, D72,
    Sheet1!$E:$E, E72
) = 0, "NO MATCH IN TARGET", "MATCHED")</f>
        <v>MATCHED</v>
      </c>
    </row>
    <row r="73" spans="1:8" hidden="1" x14ac:dyDescent="0.35">
      <c r="A73" t="s">
        <v>111</v>
      </c>
      <c r="B73" t="s">
        <v>71</v>
      </c>
      <c r="C73" t="s">
        <v>8</v>
      </c>
      <c r="D73">
        <v>69</v>
      </c>
      <c r="E73">
        <v>1277</v>
      </c>
      <c r="F73" t="s">
        <v>9</v>
      </c>
      <c r="H73" t="str">
        <f>IF(COUNTIFS(
    Sheet1!$B:$B, B73,
    Sheet1!$C:$C, C73,
    Sheet1!$D:$D, D73,
    Sheet1!$E:$E, E73
) = 0, "NO MATCH IN TARGET", "MATCHED")</f>
        <v>MATCHED</v>
      </c>
    </row>
    <row r="74" spans="1:8" x14ac:dyDescent="0.35">
      <c r="A74" s="1">
        <v>46238.64472222222</v>
      </c>
      <c r="B74" s="2" t="s">
        <v>78</v>
      </c>
      <c r="C74" s="2" t="s">
        <v>8</v>
      </c>
      <c r="D74" s="3">
        <v>5</v>
      </c>
      <c r="E74" s="3">
        <v>3888</v>
      </c>
      <c r="F74" s="2" t="s">
        <v>9</v>
      </c>
      <c r="H74" t="str">
        <f>IF(COUNTIFS(
    Sheet1!$B:$B, B74,
    Sheet1!$C:$C, C74,
    Sheet1!$D:$D, D74,
    Sheet1!$E:$E, E74
) = 0, "NO MATCH IN TARGET", "MATCHED")</f>
        <v>MATCHED</v>
      </c>
    </row>
    <row r="75" spans="1:8" hidden="1" x14ac:dyDescent="0.35">
      <c r="A75" t="s">
        <v>99</v>
      </c>
      <c r="B75" t="s">
        <v>72</v>
      </c>
      <c r="C75" t="s">
        <v>8</v>
      </c>
      <c r="D75">
        <v>2</v>
      </c>
      <c r="E75">
        <v>4456</v>
      </c>
      <c r="F75" t="s">
        <v>9</v>
      </c>
      <c r="H75" t="str">
        <f>IF(COUNTIFS(
    Sheet1!$B:$B, B75,
    Sheet1!$C:$C, C75,
    Sheet1!$D:$D, D75,
    Sheet1!$E:$E, E75
) = 0, "NO MATCH IN TARGET", "MATCHED")</f>
        <v>MATCHED</v>
      </c>
    </row>
    <row r="76" spans="1:8" x14ac:dyDescent="0.35">
      <c r="A76" s="1">
        <v>46237.635520833333</v>
      </c>
      <c r="B76" s="2" t="s">
        <v>50</v>
      </c>
      <c r="C76" s="2" t="s">
        <v>8</v>
      </c>
      <c r="D76" s="3">
        <v>20</v>
      </c>
      <c r="E76" s="3">
        <v>220.1</v>
      </c>
      <c r="F76" s="2" t="s">
        <v>9</v>
      </c>
      <c r="H76" t="str">
        <f>IF(COUNTIFS(
    Sheet1!$B:$B, B76,
    Sheet1!$C:$C, C76,
    Sheet1!$D:$D, D76,
    Sheet1!$E:$E, E76
) = 0, "NO MATCH IN TARGET", "MATCHED")</f>
        <v>MATCHED</v>
      </c>
    </row>
    <row r="77" spans="1:8" hidden="1" x14ac:dyDescent="0.35">
      <c r="A77" t="s">
        <v>106</v>
      </c>
      <c r="B77" t="s">
        <v>73</v>
      </c>
      <c r="C77" t="s">
        <v>8</v>
      </c>
      <c r="D77">
        <v>2</v>
      </c>
      <c r="E77">
        <v>2460</v>
      </c>
      <c r="F77" t="s">
        <v>9</v>
      </c>
      <c r="H77" t="str">
        <f>IF(COUNTIFS(
    Sheet1!$B:$B, B77,
    Sheet1!$C:$C, C77,
    Sheet1!$D:$D, D77,
    Sheet1!$E:$E, E77
) = 0, "NO MATCH IN TARGET", "MATCHED")</f>
        <v>MATCHED</v>
      </c>
    </row>
    <row r="78" spans="1:8" hidden="1" x14ac:dyDescent="0.35">
      <c r="A78" t="s">
        <v>105</v>
      </c>
      <c r="B78" t="s">
        <v>34</v>
      </c>
      <c r="C78" t="s">
        <v>8</v>
      </c>
      <c r="D78">
        <v>5</v>
      </c>
      <c r="E78">
        <v>660</v>
      </c>
      <c r="F78" t="s">
        <v>9</v>
      </c>
      <c r="H78" t="str">
        <f>IF(COUNTIFS(
    Sheet1!$B:$B, B78,
    Sheet1!$C:$C, C78,
    Sheet1!$D:$D, D78,
    Sheet1!$E:$E, E78
) = 0, "NO MATCH IN TARGET", "MATCHED")</f>
        <v>MATCHED</v>
      </c>
    </row>
    <row r="79" spans="1:8" hidden="1" x14ac:dyDescent="0.35">
      <c r="A79" t="s">
        <v>111</v>
      </c>
      <c r="B79" t="s">
        <v>64</v>
      </c>
      <c r="C79" t="s">
        <v>8</v>
      </c>
      <c r="D79">
        <v>50</v>
      </c>
      <c r="E79">
        <v>850</v>
      </c>
      <c r="F79" t="s">
        <v>9</v>
      </c>
      <c r="H79" t="str">
        <f>IF(COUNTIFS(
    Sheet1!$B:$B, B79,
    Sheet1!$C:$C, C79,
    Sheet1!$D:$D, D79,
    Sheet1!$E:$E, E79
) = 0, "NO MATCH IN TARGET", "MATCHED")</f>
        <v>MATCHED</v>
      </c>
    </row>
    <row r="80" spans="1:8" hidden="1" x14ac:dyDescent="0.35">
      <c r="A80" t="s">
        <v>107</v>
      </c>
      <c r="B80" t="s">
        <v>40</v>
      </c>
      <c r="C80" t="s">
        <v>8</v>
      </c>
      <c r="D80">
        <v>40</v>
      </c>
      <c r="E80">
        <v>426</v>
      </c>
      <c r="F80" t="s">
        <v>9</v>
      </c>
      <c r="H80" t="str">
        <f>IF(COUNTIFS(
    Sheet1!$B:$B, B80,
    Sheet1!$C:$C, C80,
    Sheet1!$D:$D, D80,
    Sheet1!$E:$E, E80
) = 0, "NO MATCH IN TARGET", "MATCHED")</f>
        <v>MATCHED</v>
      </c>
    </row>
    <row r="81" spans="1:8" hidden="1" x14ac:dyDescent="0.35">
      <c r="A81" t="s">
        <v>102</v>
      </c>
      <c r="B81" t="s">
        <v>38</v>
      </c>
      <c r="C81" t="s">
        <v>8</v>
      </c>
      <c r="D81">
        <v>50</v>
      </c>
      <c r="E81">
        <v>348</v>
      </c>
      <c r="F81" t="s">
        <v>9</v>
      </c>
      <c r="H81" t="str">
        <f>IF(COUNTIFS(
    Sheet1!$B:$B, B81,
    Sheet1!$C:$C, C81,
    Sheet1!$D:$D, D81,
    Sheet1!$E:$E, E81
) = 0, "NO MATCH IN TARGET", "MATCHED")</f>
        <v>MATCHED</v>
      </c>
    </row>
    <row r="82" spans="1:8" hidden="1" x14ac:dyDescent="0.35">
      <c r="A82" t="s">
        <v>115</v>
      </c>
      <c r="B82" t="s">
        <v>26</v>
      </c>
      <c r="C82" t="s">
        <v>8</v>
      </c>
      <c r="D82">
        <v>50</v>
      </c>
      <c r="E82">
        <v>206</v>
      </c>
      <c r="F82" t="s">
        <v>9</v>
      </c>
      <c r="H82" t="str">
        <f>IF(COUNTIFS(
    Sheet1!$B:$B, B82,
    Sheet1!$C:$C, C82,
    Sheet1!$D:$D, D82,
    Sheet1!$E:$E, E82
) = 0, "NO MATCH IN TARGET", "MATCHED")</f>
        <v>MATCHED</v>
      </c>
    </row>
    <row r="83" spans="1:8" hidden="1" x14ac:dyDescent="0.35">
      <c r="A83" t="s">
        <v>116</v>
      </c>
      <c r="B83" t="s">
        <v>32</v>
      </c>
      <c r="C83" t="s">
        <v>8</v>
      </c>
      <c r="D83">
        <v>5</v>
      </c>
      <c r="E83">
        <v>1614</v>
      </c>
      <c r="F83" t="s">
        <v>9</v>
      </c>
      <c r="H83" t="str">
        <f>IF(COUNTIFS(
    Sheet1!$B:$B, B83,
    Sheet1!$C:$C, C83,
    Sheet1!$D:$D, D83,
    Sheet1!$E:$E, E83
) = 0, "NO MATCH IN TARGET", "MATCHED")</f>
        <v>MATCHED</v>
      </c>
    </row>
    <row r="84" spans="1:8" hidden="1" x14ac:dyDescent="0.35">
      <c r="A84" t="s">
        <v>101</v>
      </c>
      <c r="B84" t="s">
        <v>46</v>
      </c>
      <c r="C84" t="s">
        <v>8</v>
      </c>
      <c r="D84">
        <v>20</v>
      </c>
      <c r="E84">
        <v>917</v>
      </c>
      <c r="F84" t="s">
        <v>9</v>
      </c>
      <c r="H84" t="str">
        <f>IF(COUNTIFS(
    Sheet1!$B:$B, B84,
    Sheet1!$C:$C, C84,
    Sheet1!$D:$D, D84,
    Sheet1!$E:$E, E84
) = 0, "NO MATCH IN TARGET", "MATCHED")</f>
        <v>MATCHED</v>
      </c>
    </row>
    <row r="85" spans="1:8" x14ac:dyDescent="0.35">
      <c r="A85" s="1">
        <v>46237.635567129626</v>
      </c>
      <c r="B85" s="2" t="s">
        <v>69</v>
      </c>
      <c r="C85" s="2" t="s">
        <v>8</v>
      </c>
      <c r="D85" s="3">
        <v>5</v>
      </c>
      <c r="E85" s="3">
        <v>712</v>
      </c>
      <c r="F85" s="2" t="s">
        <v>9</v>
      </c>
      <c r="H85" t="str">
        <f>IF(COUNTIFS(
    Sheet1!$B:$B, B85,
    Sheet1!$C:$C, C85,
    Sheet1!$D:$D, D85,
    Sheet1!$E:$E, E85
) = 0, "NO MATCH IN TARGET", "MATCHED")</f>
        <v>MATCHED</v>
      </c>
    </row>
    <row r="86" spans="1:8" hidden="1" x14ac:dyDescent="0.35">
      <c r="A86" t="s">
        <v>117</v>
      </c>
      <c r="B86" t="s">
        <v>15</v>
      </c>
      <c r="C86" t="s">
        <v>8</v>
      </c>
      <c r="D86">
        <v>30</v>
      </c>
      <c r="E86">
        <v>2435</v>
      </c>
      <c r="F86" t="s">
        <v>9</v>
      </c>
      <c r="H86" t="str">
        <f>IF(COUNTIFS(
    Sheet1!$B:$B, B86,
    Sheet1!$C:$C, C86,
    Sheet1!$D:$D, D86,
    Sheet1!$E:$E, E86
) = 0, "NO MATCH IN TARGET", "MATCHED")</f>
        <v>MATCHED</v>
      </c>
    </row>
    <row r="87" spans="1:8" hidden="1" x14ac:dyDescent="0.35">
      <c r="A87" t="s">
        <v>118</v>
      </c>
      <c r="B87" t="s">
        <v>74</v>
      </c>
      <c r="C87" t="s">
        <v>8</v>
      </c>
      <c r="D87">
        <v>2</v>
      </c>
      <c r="E87">
        <v>3410</v>
      </c>
      <c r="F87" t="s">
        <v>9</v>
      </c>
      <c r="H87" t="str">
        <f>IF(COUNTIFS(
    Sheet1!$B:$B, B87,
    Sheet1!$C:$C, C87,
    Sheet1!$D:$D, D87,
    Sheet1!$E:$E, E87
) = 0, "NO MATCH IN TARGET", "MATCHED")</f>
        <v>MATCHED</v>
      </c>
    </row>
    <row r="88" spans="1:8" hidden="1" x14ac:dyDescent="0.35">
      <c r="A88" t="s">
        <v>119</v>
      </c>
      <c r="B88" t="s">
        <v>77</v>
      </c>
      <c r="C88" t="s">
        <v>8</v>
      </c>
      <c r="D88">
        <v>1</v>
      </c>
      <c r="E88">
        <v>4306</v>
      </c>
      <c r="F88" t="s">
        <v>9</v>
      </c>
      <c r="H88" t="str">
        <f>IF(COUNTIFS(
    Sheet1!$B:$B, B88,
    Sheet1!$C:$C, C88,
    Sheet1!$D:$D, D88,
    Sheet1!$E:$E, E88
) = 0, "NO MATCH IN TARGET", "MATCHED")</f>
        <v>MATCHED</v>
      </c>
    </row>
    <row r="89" spans="1:8" hidden="1" x14ac:dyDescent="0.35">
      <c r="A89" t="s">
        <v>119</v>
      </c>
      <c r="B89" t="s">
        <v>78</v>
      </c>
      <c r="C89" t="s">
        <v>8</v>
      </c>
      <c r="D89">
        <v>5</v>
      </c>
      <c r="E89">
        <v>3938</v>
      </c>
      <c r="F89" t="s">
        <v>9</v>
      </c>
      <c r="H89" t="str">
        <f>IF(COUNTIFS(
    Sheet1!$B:$B, B89,
    Sheet1!$C:$C, C89,
    Sheet1!$D:$D, D89,
    Sheet1!$E:$E, E89
) = 0, "NO MATCH IN TARGET", "MATCHED")</f>
        <v>MATCHED</v>
      </c>
    </row>
    <row r="90" spans="1:8" hidden="1" x14ac:dyDescent="0.35">
      <c r="A90" t="s">
        <v>120</v>
      </c>
      <c r="B90" t="s">
        <v>37</v>
      </c>
      <c r="C90" t="s">
        <v>8</v>
      </c>
      <c r="D90">
        <v>150</v>
      </c>
      <c r="E90">
        <v>128</v>
      </c>
      <c r="F90" t="s">
        <v>9</v>
      </c>
      <c r="H90" t="str">
        <f>IF(COUNTIFS(
    Sheet1!$B:$B, B90,
    Sheet1!$C:$C, C90,
    Sheet1!$D:$D, D90,
    Sheet1!$E:$E, E90
) = 0, "NO MATCH IN TARGET", "MATCHED")</f>
        <v>MATCHED</v>
      </c>
    </row>
    <row r="91" spans="1:8" hidden="1" x14ac:dyDescent="0.35">
      <c r="A91" t="s">
        <v>121</v>
      </c>
      <c r="B91" t="s">
        <v>52</v>
      </c>
      <c r="C91" t="s">
        <v>8</v>
      </c>
      <c r="D91">
        <v>8</v>
      </c>
      <c r="E91">
        <v>2352</v>
      </c>
      <c r="F91" t="s">
        <v>9</v>
      </c>
      <c r="H91" t="str">
        <f>IF(COUNTIFS(
    Sheet1!$B:$B, B91,
    Sheet1!$C:$C, C91,
    Sheet1!$D:$D, D91,
    Sheet1!$E:$E, E91
) = 0, "NO MATCH IN TARGET", "MATCHED")</f>
        <v>MATCHED</v>
      </c>
    </row>
    <row r="92" spans="1:8" hidden="1" x14ac:dyDescent="0.35">
      <c r="A92" t="s">
        <v>102</v>
      </c>
      <c r="B92" t="s">
        <v>38</v>
      </c>
      <c r="C92" t="s">
        <v>8</v>
      </c>
      <c r="D92">
        <v>50</v>
      </c>
      <c r="E92">
        <v>352</v>
      </c>
      <c r="F92" t="s">
        <v>9</v>
      </c>
      <c r="H92" t="str">
        <f>IF(COUNTIFS(
    Sheet1!$B:$B, B92,
    Sheet1!$C:$C, C92,
    Sheet1!$D:$D, D92,
    Sheet1!$E:$E, E92
) = 0, "NO MATCH IN TARGET", "MATCHED")</f>
        <v>MATCHED</v>
      </c>
    </row>
    <row r="93" spans="1:8" hidden="1" x14ac:dyDescent="0.35">
      <c r="A93" t="s">
        <v>122</v>
      </c>
      <c r="B93" t="s">
        <v>78</v>
      </c>
      <c r="C93" t="s">
        <v>8</v>
      </c>
      <c r="D93">
        <v>10</v>
      </c>
      <c r="E93">
        <v>3950</v>
      </c>
      <c r="F93" t="s">
        <v>9</v>
      </c>
      <c r="H93" t="str">
        <f>IF(COUNTIFS(
    Sheet1!$B:$B, B93,
    Sheet1!$C:$C, C93,
    Sheet1!$D:$D, D93,
    Sheet1!$E:$E, E93
) = 0, "NO MATCH IN TARGET", "MATCHED")</f>
        <v>MATCHED</v>
      </c>
    </row>
    <row r="94" spans="1:8" hidden="1" x14ac:dyDescent="0.35">
      <c r="A94" t="s">
        <v>123</v>
      </c>
      <c r="B94" t="s">
        <v>62</v>
      </c>
      <c r="C94" t="s">
        <v>8</v>
      </c>
      <c r="D94">
        <v>20</v>
      </c>
      <c r="E94">
        <v>793</v>
      </c>
      <c r="F94" t="s">
        <v>9</v>
      </c>
      <c r="H94" t="str">
        <f>IF(COUNTIFS(
    Sheet1!$B:$B, B94,
    Sheet1!$C:$C, C94,
    Sheet1!$D:$D, D94,
    Sheet1!$E:$E, E94
) = 0, "NO MATCH IN TARGET", "MATCHED")</f>
        <v>MATCHED</v>
      </c>
    </row>
    <row r="95" spans="1:8" x14ac:dyDescent="0.35">
      <c r="A95" t="s">
        <v>119</v>
      </c>
      <c r="B95" t="s">
        <v>46</v>
      </c>
      <c r="C95" t="s">
        <v>8</v>
      </c>
      <c r="D95">
        <v>10</v>
      </c>
      <c r="E95">
        <v>927</v>
      </c>
      <c r="F95" t="s">
        <v>9</v>
      </c>
      <c r="H95" t="str">
        <f>IF(COUNTIFS(
    Sheet1!$B:$B, B95,
    Sheet1!$C:$C, C95,
    Sheet1!$D:$D, D95,
    Sheet1!$E:$E, E95
) = 0, "NO MATCH IN TARGET", "MATCHED")</f>
        <v>NO MATCH IN TARGET</v>
      </c>
    </row>
    <row r="96" spans="1:8" hidden="1" x14ac:dyDescent="0.35">
      <c r="A96" t="s">
        <v>124</v>
      </c>
      <c r="B96" t="s">
        <v>71</v>
      </c>
      <c r="C96" t="s">
        <v>8</v>
      </c>
      <c r="D96">
        <v>3</v>
      </c>
      <c r="E96">
        <v>1302</v>
      </c>
      <c r="F96" t="s">
        <v>9</v>
      </c>
      <c r="H96" t="str">
        <f>IF(COUNTIFS(
    Sheet1!$B:$B, B96,
    Sheet1!$C:$C, C96,
    Sheet1!$D:$D, D96,
    Sheet1!$E:$E, E96
) = 0, "NO MATCH IN TARGET", "MATCHED")</f>
        <v>MATCHED</v>
      </c>
    </row>
    <row r="97" spans="1:8" hidden="1" x14ac:dyDescent="0.35">
      <c r="A97" t="s">
        <v>120</v>
      </c>
      <c r="B97" t="s">
        <v>15</v>
      </c>
      <c r="C97" t="s">
        <v>8</v>
      </c>
      <c r="D97">
        <v>30</v>
      </c>
      <c r="E97">
        <v>2460</v>
      </c>
      <c r="F97" t="s">
        <v>9</v>
      </c>
      <c r="H97" t="str">
        <f>IF(COUNTIFS(
    Sheet1!$B:$B, B97,
    Sheet1!$C:$C, C97,
    Sheet1!$D:$D, D97,
    Sheet1!$E:$E, E97
) = 0, "NO MATCH IN TARGET", "MATCHED")</f>
        <v>MATCHED</v>
      </c>
    </row>
    <row r="98" spans="1:8" x14ac:dyDescent="0.35">
      <c r="A98" s="1">
        <v>46238.63554398148</v>
      </c>
      <c r="B98" s="2" t="s">
        <v>81</v>
      </c>
      <c r="C98" s="2" t="s">
        <v>8</v>
      </c>
      <c r="D98" s="3">
        <v>2</v>
      </c>
      <c r="E98" s="3">
        <v>2552</v>
      </c>
      <c r="F98" s="2" t="s">
        <v>9</v>
      </c>
      <c r="H98" t="str">
        <f>IF(COUNTIFS(
    Sheet1!$B:$B, B98,
    Sheet1!$C:$C, C98,
    Sheet1!$D:$D, D98,
    Sheet1!$E:$E, E98
) = 0, "NO MATCH IN TARGET", "MATCHED")</f>
        <v>MATCHED</v>
      </c>
    </row>
    <row r="99" spans="1:8" hidden="1" x14ac:dyDescent="0.35">
      <c r="A99" t="s">
        <v>125</v>
      </c>
      <c r="B99" t="s">
        <v>75</v>
      </c>
      <c r="C99" t="s">
        <v>8</v>
      </c>
      <c r="D99">
        <v>100</v>
      </c>
      <c r="E99">
        <v>87.3</v>
      </c>
      <c r="F99" t="s">
        <v>9</v>
      </c>
      <c r="H99" t="str">
        <f>IF(COUNTIFS(
    Sheet1!$B:$B, B99,
    Sheet1!$C:$C, C99,
    Sheet1!$D:$D, D99,
    Sheet1!$E:$E, E99
) = 0, "NO MATCH IN TARGET", "MATCHED")</f>
        <v>MATCHED</v>
      </c>
    </row>
    <row r="100" spans="1:8" hidden="1" x14ac:dyDescent="0.35">
      <c r="A100" t="s">
        <v>119</v>
      </c>
      <c r="B100" t="s">
        <v>72</v>
      </c>
      <c r="C100" t="s">
        <v>8</v>
      </c>
      <c r="D100">
        <v>1</v>
      </c>
      <c r="E100">
        <v>4560</v>
      </c>
      <c r="F100" t="s">
        <v>9</v>
      </c>
      <c r="H100" t="str">
        <f>IF(COUNTIFS(
    Sheet1!$B:$B, B100,
    Sheet1!$C:$C, C100,
    Sheet1!$D:$D, D100,
    Sheet1!$E:$E, E100
) = 0, "NO MATCH IN TARGET", "MATCHED")</f>
        <v>MATCHED</v>
      </c>
    </row>
    <row r="101" spans="1:8" hidden="1" x14ac:dyDescent="0.35">
      <c r="A101" t="s">
        <v>118</v>
      </c>
      <c r="B101" t="s">
        <v>81</v>
      </c>
      <c r="C101" t="s">
        <v>8</v>
      </c>
      <c r="D101">
        <v>2</v>
      </c>
      <c r="E101">
        <v>2560</v>
      </c>
      <c r="F101" t="s">
        <v>9</v>
      </c>
      <c r="H101" t="str">
        <f>IF(COUNTIFS(
    Sheet1!$B:$B, B101,
    Sheet1!$C:$C, C101,
    Sheet1!$D:$D, D101,
    Sheet1!$E:$E, E101
) = 0, "NO MATCH IN TARGET", "MATCHED")</f>
        <v>MATCHED</v>
      </c>
    </row>
    <row r="102" spans="1:8" hidden="1" x14ac:dyDescent="0.35">
      <c r="A102" t="s">
        <v>112</v>
      </c>
      <c r="B102" t="s">
        <v>39</v>
      </c>
      <c r="C102" t="s">
        <v>8</v>
      </c>
      <c r="D102">
        <v>20</v>
      </c>
      <c r="E102">
        <v>296</v>
      </c>
      <c r="F102" t="s">
        <v>9</v>
      </c>
      <c r="H102" t="str">
        <f>IF(COUNTIFS(
    Sheet1!$B:$B, B102,
    Sheet1!$C:$C, C102,
    Sheet1!$D:$D, D102,
    Sheet1!$E:$E, E102
) = 0, "NO MATCH IN TARGET", "MATCHED")</f>
        <v>MATCHED</v>
      </c>
    </row>
    <row r="103" spans="1:8" hidden="1" x14ac:dyDescent="0.35">
      <c r="A103" t="s">
        <v>118</v>
      </c>
      <c r="B103" t="s">
        <v>82</v>
      </c>
      <c r="C103" t="s">
        <v>8</v>
      </c>
      <c r="D103">
        <v>2</v>
      </c>
      <c r="E103">
        <v>1060</v>
      </c>
      <c r="F103" t="s">
        <v>9</v>
      </c>
      <c r="H103" t="str">
        <f>IF(COUNTIFS(
    Sheet1!$B:$B, B103,
    Sheet1!$C:$C, C103,
    Sheet1!$D:$D, D103,
    Sheet1!$E:$E, E103
) = 0, "NO MATCH IN TARGET", "MATCHED")</f>
        <v>MATCHED</v>
      </c>
    </row>
    <row r="104" spans="1:8" hidden="1" x14ac:dyDescent="0.35">
      <c r="A104" t="s">
        <v>96</v>
      </c>
      <c r="B104" t="s">
        <v>40</v>
      </c>
      <c r="C104" t="s">
        <v>8</v>
      </c>
      <c r="D104">
        <v>40</v>
      </c>
      <c r="E104">
        <v>436</v>
      </c>
      <c r="F104" t="s">
        <v>9</v>
      </c>
      <c r="H104" t="str">
        <f>IF(COUNTIFS(
    Sheet1!$B:$B, B104,
    Sheet1!$C:$C, C104,
    Sheet1!$D:$D, D104,
    Sheet1!$E:$E, E104
) = 0, "NO MATCH IN TARGET", "MATCHED")</f>
        <v>MATCHED</v>
      </c>
    </row>
    <row r="105" spans="1:8" hidden="1" x14ac:dyDescent="0.35">
      <c r="A105" t="s">
        <v>126</v>
      </c>
      <c r="B105" t="s">
        <v>69</v>
      </c>
      <c r="C105" t="s">
        <v>8</v>
      </c>
      <c r="D105">
        <v>5</v>
      </c>
      <c r="E105">
        <v>726</v>
      </c>
      <c r="F105" t="s">
        <v>9</v>
      </c>
      <c r="H105" t="str">
        <f>IF(COUNTIFS(
    Sheet1!$B:$B, B105,
    Sheet1!$C:$C, C105,
    Sheet1!$D:$D, D105,
    Sheet1!$E:$E, E105
) = 0, "NO MATCH IN TARGET", "MATCHED")</f>
        <v>MATCHED</v>
      </c>
    </row>
    <row r="106" spans="1:8" hidden="1" x14ac:dyDescent="0.35">
      <c r="A106" t="s">
        <v>107</v>
      </c>
      <c r="B106" t="s">
        <v>42</v>
      </c>
      <c r="C106" t="s">
        <v>8</v>
      </c>
      <c r="D106">
        <v>50</v>
      </c>
      <c r="E106">
        <v>286</v>
      </c>
      <c r="F106" t="s">
        <v>9</v>
      </c>
      <c r="H106" t="str">
        <f>IF(COUNTIFS(
    Sheet1!$B:$B, B106,
    Sheet1!$C:$C, C106,
    Sheet1!$D:$D, D106,
    Sheet1!$E:$E, E106
) = 0, "NO MATCH IN TARGET", "MATCHED")</f>
        <v>MATCHED</v>
      </c>
    </row>
    <row r="107" spans="1:8" hidden="1" x14ac:dyDescent="0.35">
      <c r="A107" t="s">
        <v>125</v>
      </c>
      <c r="B107" t="s">
        <v>55</v>
      </c>
      <c r="C107" t="s">
        <v>8</v>
      </c>
      <c r="D107">
        <v>10</v>
      </c>
      <c r="E107">
        <v>1410</v>
      </c>
      <c r="F107" t="s">
        <v>9</v>
      </c>
      <c r="H107" t="str">
        <f>IF(COUNTIFS(
    Sheet1!$B:$B, B107,
    Sheet1!$C:$C, C107,
    Sheet1!$D:$D, D107,
    Sheet1!$E:$E, E107
) = 0, "NO MATCH IN TARGET", "MATCHED")</f>
        <v>MATCHED</v>
      </c>
    </row>
    <row r="108" spans="1:8" hidden="1" x14ac:dyDescent="0.35">
      <c r="A108" t="s">
        <v>126</v>
      </c>
      <c r="B108" t="s">
        <v>50</v>
      </c>
      <c r="C108" t="s">
        <v>8</v>
      </c>
      <c r="D108">
        <v>200</v>
      </c>
      <c r="E108">
        <v>227.5</v>
      </c>
      <c r="F108" t="s">
        <v>9</v>
      </c>
      <c r="H108" t="str">
        <f>IF(COUNTIFS(
    Sheet1!$B:$B, B108,
    Sheet1!$C:$C, C108,
    Sheet1!$D:$D, D108,
    Sheet1!$E:$E, E108
) = 0, "NO MATCH IN TARGET", "MATCHED")</f>
        <v>MATCHED</v>
      </c>
    </row>
    <row r="109" spans="1:8" x14ac:dyDescent="0.35">
      <c r="A109" t="s">
        <v>119</v>
      </c>
      <c r="B109" t="s">
        <v>67</v>
      </c>
      <c r="C109" t="s">
        <v>16</v>
      </c>
      <c r="D109">
        <v>10</v>
      </c>
      <c r="E109">
        <v>1056</v>
      </c>
      <c r="F109" t="s">
        <v>9</v>
      </c>
      <c r="H109" t="str">
        <f>IF(COUNTIFS(
    Sheet1!$B:$B, B109,
    Sheet1!$C:$C, C109,
    Sheet1!$D:$D, D109,
    Sheet1!$E:$E, E109
) = 0, "NO MATCH IN TARGET", "MATCHED")</f>
        <v>NO MATCH IN TARGET</v>
      </c>
    </row>
    <row r="110" spans="1:8" hidden="1" x14ac:dyDescent="0.35">
      <c r="A110" t="s">
        <v>123</v>
      </c>
      <c r="B110" t="s">
        <v>65</v>
      </c>
      <c r="C110" t="s">
        <v>16</v>
      </c>
      <c r="D110">
        <v>10</v>
      </c>
      <c r="E110">
        <v>1221</v>
      </c>
      <c r="F110" t="s">
        <v>9</v>
      </c>
      <c r="H110" t="str">
        <f>IF(COUNTIFS(
    Sheet1!$B:$B, B110,
    Sheet1!$C:$C, C110,
    Sheet1!$D:$D, D110,
    Sheet1!$E:$E, E110
) = 0, "NO MATCH IN TARGET", "MATCHED")</f>
        <v>MATCHED</v>
      </c>
    </row>
    <row r="111" spans="1:8" hidden="1" x14ac:dyDescent="0.35">
      <c r="A111" t="s">
        <v>126</v>
      </c>
      <c r="B111" t="s">
        <v>64</v>
      </c>
      <c r="C111" t="s">
        <v>16</v>
      </c>
      <c r="D111">
        <v>20</v>
      </c>
      <c r="E111">
        <v>896</v>
      </c>
      <c r="F111" t="s">
        <v>9</v>
      </c>
      <c r="H111" t="str">
        <f>IF(COUNTIFS(
    Sheet1!$B:$B, B111,
    Sheet1!$C:$C, C111,
    Sheet1!$D:$D, D111,
    Sheet1!$E:$E, E111
) = 0, "NO MATCH IN TARGET", "MATCHED")</f>
        <v>MATCHED</v>
      </c>
    </row>
    <row r="112" spans="1:8" x14ac:dyDescent="0.35">
      <c r="A112" t="s">
        <v>127</v>
      </c>
      <c r="B112" t="s">
        <v>68</v>
      </c>
      <c r="C112" t="s">
        <v>16</v>
      </c>
      <c r="D112">
        <v>1</v>
      </c>
      <c r="E112">
        <v>18698</v>
      </c>
      <c r="F112" s="2" t="s">
        <v>9</v>
      </c>
      <c r="H112" t="str">
        <f>IF(COUNTIFS(
    Sheet1!$B:$B, B112,
    Sheet1!$C:$C, C112,
    Sheet1!$D:$D, D112,
    Sheet1!$E:$E, E112
) = 0, "NO MATCH IN TARGET", "MATCHED")</f>
        <v>NO MATCH IN TARGET</v>
      </c>
    </row>
    <row r="113" spans="1:8" hidden="1" x14ac:dyDescent="0.35">
      <c r="A113" t="s">
        <v>128</v>
      </c>
      <c r="B113" t="s">
        <v>78</v>
      </c>
      <c r="C113" t="s">
        <v>16</v>
      </c>
      <c r="D113">
        <v>5</v>
      </c>
      <c r="E113">
        <v>4129</v>
      </c>
      <c r="F113" t="s">
        <v>9</v>
      </c>
      <c r="H113" t="str">
        <f>IF(COUNTIFS(
    Sheet1!$B:$B, B113,
    Sheet1!$C:$C, C113,
    Sheet1!$D:$D, D113,
    Sheet1!$E:$E, E113
) = 0, "NO MATCH IN TARGET", "MATCHED")</f>
        <v>MATCHED</v>
      </c>
    </row>
    <row r="114" spans="1:8" hidden="1" x14ac:dyDescent="0.35">
      <c r="A114" t="s">
        <v>121</v>
      </c>
      <c r="B114" t="s">
        <v>75</v>
      </c>
      <c r="C114" t="s">
        <v>16</v>
      </c>
      <c r="D114">
        <v>200</v>
      </c>
      <c r="E114">
        <v>90.75</v>
      </c>
      <c r="F114" t="s">
        <v>9</v>
      </c>
      <c r="H114" t="str">
        <f>IF(COUNTIFS(
    Sheet1!$B:$B, B114,
    Sheet1!$C:$C, C114,
    Sheet1!$D:$D, D114,
    Sheet1!$E:$E, E114
) = 0, "NO MATCH IN TARGET", "MATCHED")</f>
        <v>MATCHED</v>
      </c>
    </row>
    <row r="115" spans="1:8" hidden="1" x14ac:dyDescent="0.35">
      <c r="A115" t="s">
        <v>118</v>
      </c>
      <c r="B115" t="s">
        <v>87</v>
      </c>
      <c r="C115" t="s">
        <v>16</v>
      </c>
      <c r="D115">
        <v>150</v>
      </c>
      <c r="E115">
        <v>123.4</v>
      </c>
      <c r="F115" t="s">
        <v>9</v>
      </c>
      <c r="H115" t="str">
        <f>IF(COUNTIFS(
    Sheet1!$B:$B, B115,
    Sheet1!$C:$C, C115,
    Sheet1!$D:$D, D115,
    Sheet1!$E:$E, E115
) = 0, "NO MATCH IN TARGET", "MATCHED")</f>
        <v>MATCHED</v>
      </c>
    </row>
    <row r="116" spans="1:8" hidden="1" x14ac:dyDescent="0.35">
      <c r="A116" t="s">
        <v>110</v>
      </c>
      <c r="B116" t="s">
        <v>26</v>
      </c>
      <c r="C116" t="s">
        <v>16</v>
      </c>
      <c r="D116">
        <v>50</v>
      </c>
      <c r="E116">
        <v>218</v>
      </c>
      <c r="F116" t="s">
        <v>9</v>
      </c>
      <c r="H116" t="str">
        <f>IF(COUNTIFS(
    Sheet1!$B:$B, B116,
    Sheet1!$C:$C, C116,
    Sheet1!$D:$D, D116,
    Sheet1!$E:$E, E116
) = 0, "NO MATCH IN TARGET", "MATCHED")</f>
        <v>MATCHED</v>
      </c>
    </row>
    <row r="117" spans="1:8" x14ac:dyDescent="0.35">
      <c r="A117" t="s">
        <v>128</v>
      </c>
      <c r="B117" t="s">
        <v>50</v>
      </c>
      <c r="C117" t="s">
        <v>16</v>
      </c>
      <c r="D117">
        <v>200</v>
      </c>
      <c r="E117">
        <v>234</v>
      </c>
      <c r="F117" t="s">
        <v>9</v>
      </c>
      <c r="H117" t="str">
        <f>IF(COUNTIFS(
    Sheet1!$B:$B, B117,
    Sheet1!$C:$C, C117,
    Sheet1!$D:$D, D117,
    Sheet1!$E:$E, E117
) = 0, "NO MATCH IN TARGET", "MATCHED")</f>
        <v>NO MATCH IN TARGET</v>
      </c>
    </row>
    <row r="118" spans="1:8" x14ac:dyDescent="0.35">
      <c r="A118" s="1">
        <v>46237.768750000003</v>
      </c>
      <c r="B118" s="2" t="s">
        <v>37</v>
      </c>
      <c r="C118" s="2" t="s">
        <v>16</v>
      </c>
      <c r="D118" s="3">
        <v>150</v>
      </c>
      <c r="E118" s="4">
        <v>134.80000000000001</v>
      </c>
      <c r="F118" s="2" t="s">
        <v>9</v>
      </c>
      <c r="H118" t="str">
        <f>IF(COUNTIFS(
    Sheet1!$B:$B, B118,
    Sheet1!$C:$C, C118,
    Sheet1!$D:$D, D118,
    Sheet1!$E:$E, E118
) = 0, "NO MATCH IN TARGET", "MATCHED")</f>
        <v>MATCHED</v>
      </c>
    </row>
    <row r="119" spans="1:8" x14ac:dyDescent="0.35">
      <c r="A119" t="s">
        <v>110</v>
      </c>
      <c r="B119" t="s">
        <v>31</v>
      </c>
      <c r="C119" t="s">
        <v>16</v>
      </c>
      <c r="D119">
        <v>100</v>
      </c>
      <c r="E119">
        <v>214</v>
      </c>
      <c r="F119" t="s">
        <v>9</v>
      </c>
      <c r="H119" t="str">
        <f>IF(COUNTIFS(
    Sheet1!$B:$B, B119,
    Sheet1!$C:$C, C119,
    Sheet1!$D:$D, D119,
    Sheet1!$E:$E, E119
) = 0, "NO MATCH IN TARGET", "MATCHED")</f>
        <v>NO MATCH IN TARGET</v>
      </c>
    </row>
    <row r="120" spans="1:8" x14ac:dyDescent="0.35">
      <c r="A120" t="s">
        <v>123</v>
      </c>
      <c r="B120" t="s">
        <v>58</v>
      </c>
      <c r="C120" t="s">
        <v>16</v>
      </c>
      <c r="D120">
        <v>8</v>
      </c>
      <c r="E120">
        <v>2440</v>
      </c>
      <c r="F120" t="s">
        <v>9</v>
      </c>
      <c r="H120" t="str">
        <f>IF(COUNTIFS(
    Sheet1!$B:$B, B120,
    Sheet1!$C:$C, C120,
    Sheet1!$D:$D, D120,
    Sheet1!$E:$E, E120
) = 0, "NO MATCH IN TARGET", "MATCHED")</f>
        <v>NO MATCH IN TARGET</v>
      </c>
    </row>
    <row r="121" spans="1:8" x14ac:dyDescent="0.35">
      <c r="A121" t="s">
        <v>129</v>
      </c>
      <c r="B121" t="s">
        <v>55</v>
      </c>
      <c r="C121" t="s">
        <v>16</v>
      </c>
      <c r="D121">
        <v>10</v>
      </c>
      <c r="E121">
        <v>1460</v>
      </c>
      <c r="F121" t="s">
        <v>9</v>
      </c>
      <c r="H121" t="str">
        <f>IF(COUNTIFS(
    Sheet1!$B:$B, B121,
    Sheet1!$C:$C, C121,
    Sheet1!$D:$D, D121,
    Sheet1!$E:$E, E121
) = 0, "NO MATCH IN TARGET", "MATCHED")</f>
        <v>NO MATCH IN TARGET</v>
      </c>
    </row>
    <row r="122" spans="1:8" hidden="1" x14ac:dyDescent="0.35">
      <c r="A122" t="s">
        <v>101</v>
      </c>
      <c r="B122" t="s">
        <v>46</v>
      </c>
      <c r="C122" t="s">
        <v>16</v>
      </c>
      <c r="D122">
        <v>10</v>
      </c>
      <c r="E122">
        <v>977</v>
      </c>
      <c r="F122" t="s">
        <v>9</v>
      </c>
      <c r="H122" t="str">
        <f>IF(COUNTIFS(
    Sheet1!$B:$B, B122,
    Sheet1!$C:$C, C122,
    Sheet1!$D:$D, D122,
    Sheet1!$E:$E, E122
) = 0, "NO MATCH IN TARGET", "MATCHED")</f>
        <v>MATCHED</v>
      </c>
    </row>
    <row r="123" spans="1:8" x14ac:dyDescent="0.35">
      <c r="A123" s="5">
        <v>46239</v>
      </c>
      <c r="B123" s="2" t="s">
        <v>15</v>
      </c>
      <c r="C123" s="2" t="s">
        <v>16</v>
      </c>
      <c r="D123" s="3">
        <v>10</v>
      </c>
      <c r="E123" s="3">
        <v>2590</v>
      </c>
      <c r="F123" s="2" t="s">
        <v>9</v>
      </c>
      <c r="H123" t="str">
        <f>IF(COUNTIFS(
    Sheet1!$B:$B, B123,
    Sheet1!$C:$C, C123,
    Sheet1!$D:$D, D123,
    Sheet1!$E:$E, E123
) = 0, "NO MATCH IN TARGET", "MATCHED")</f>
        <v>NO MATCH IN TARGET</v>
      </c>
    </row>
    <row r="124" spans="1:8" hidden="1" x14ac:dyDescent="0.35">
      <c r="A124" s="1">
        <v>46238.63553240741</v>
      </c>
      <c r="B124" s="2" t="s">
        <v>78</v>
      </c>
      <c r="C124" s="2" t="s">
        <v>16</v>
      </c>
      <c r="D124" s="3">
        <v>5</v>
      </c>
      <c r="E124" s="3">
        <v>4177</v>
      </c>
      <c r="F124" s="2" t="s">
        <v>9</v>
      </c>
      <c r="H124" t="str">
        <f>IF(COUNTIFS(
    Sheet1!$B:$B, B124,
    Sheet1!$C:$C, C124,
    Sheet1!$D:$D, D124,
    Sheet1!$E:$E, E124
) = 0, "NO MATCH IN TARGET", "MATCHED")</f>
        <v>MATCHED</v>
      </c>
    </row>
    <row r="125" spans="1:8" hidden="1" x14ac:dyDescent="0.35">
      <c r="A125" t="s">
        <v>125</v>
      </c>
      <c r="B125" t="s">
        <v>75</v>
      </c>
      <c r="C125" t="s">
        <v>16</v>
      </c>
      <c r="D125">
        <v>200</v>
      </c>
      <c r="E125">
        <v>91.75</v>
      </c>
      <c r="F125" t="s">
        <v>9</v>
      </c>
      <c r="H125" t="str">
        <f>IF(COUNTIFS(
    Sheet1!$B:$B, B125,
    Sheet1!$C:$C, C125,
    Sheet1!$D:$D, D125,
    Sheet1!$E:$E, E125
) = 0, "NO MATCH IN TARGET", "MATCHED")</f>
        <v>MATCHED</v>
      </c>
    </row>
    <row r="126" spans="1:8" x14ac:dyDescent="0.35">
      <c r="A126" t="s">
        <v>106</v>
      </c>
      <c r="B126" t="s">
        <v>53</v>
      </c>
      <c r="C126" t="s">
        <v>16</v>
      </c>
      <c r="D126">
        <v>10</v>
      </c>
      <c r="E126">
        <v>1280</v>
      </c>
      <c r="F126" t="s">
        <v>9</v>
      </c>
      <c r="H126" t="str">
        <f>IF(COUNTIFS(
    Sheet1!$B:$B, B126,
    Sheet1!$C:$C, C126,
    Sheet1!$D:$D, D126,
    Sheet1!$E:$E, E126
) = 0, "NO MATCH IN TARGET", "MATCHED")</f>
        <v>NO MATCH IN TARGET</v>
      </c>
    </row>
    <row r="127" spans="1:8" x14ac:dyDescent="0.35">
      <c r="A127" t="s">
        <v>102</v>
      </c>
      <c r="B127" t="s">
        <v>38</v>
      </c>
      <c r="C127" t="s">
        <v>16</v>
      </c>
      <c r="D127">
        <v>67</v>
      </c>
      <c r="E127">
        <v>373</v>
      </c>
      <c r="F127" t="s">
        <v>9</v>
      </c>
      <c r="H127" t="str">
        <f>IF(COUNTIFS(
    Sheet1!$B:$B, B127,
    Sheet1!$C:$C, C127,
    Sheet1!$D:$D, D127,
    Sheet1!$E:$E, E127
) = 0, "NO MATCH IN TARGET", "MATCHED")</f>
        <v>MATCHED</v>
      </c>
    </row>
    <row r="128" spans="1:8" x14ac:dyDescent="0.35">
      <c r="A128" t="s">
        <v>125</v>
      </c>
      <c r="B128" t="s">
        <v>87</v>
      </c>
      <c r="C128" t="s">
        <v>16</v>
      </c>
      <c r="D128">
        <v>150</v>
      </c>
      <c r="E128">
        <v>124.9</v>
      </c>
      <c r="F128" t="s">
        <v>9</v>
      </c>
      <c r="H128" t="str">
        <f>IF(COUNTIFS(
    Sheet1!$B:$B, B128,
    Sheet1!$C:$C, C128,
    Sheet1!$D:$D, D128,
    Sheet1!$E:$E, E128
) = 0, "NO MATCH IN TARGET", "MATCHED")</f>
        <v>MATCHED</v>
      </c>
    </row>
    <row r="129" spans="1:8" hidden="1" x14ac:dyDescent="0.35">
      <c r="A129" t="s">
        <v>111</v>
      </c>
      <c r="B129" t="s">
        <v>74</v>
      </c>
      <c r="C129" t="s">
        <v>16</v>
      </c>
      <c r="D129">
        <v>5</v>
      </c>
      <c r="E129">
        <v>3633</v>
      </c>
      <c r="F129" t="s">
        <v>9</v>
      </c>
      <c r="H129" t="str">
        <f>IF(COUNTIFS(
    Sheet1!$B:$B, B129,
    Sheet1!$C:$C, C129,
    Sheet1!$D:$D, D129,
    Sheet1!$E:$E, E129
) = 0, "NO MATCH IN TARGET", "MATCHED")</f>
        <v>MATCHED</v>
      </c>
    </row>
    <row r="130" spans="1:8" hidden="1" x14ac:dyDescent="0.35">
      <c r="A130" t="s">
        <v>116</v>
      </c>
      <c r="B130" t="s">
        <v>37</v>
      </c>
      <c r="C130" t="s">
        <v>16</v>
      </c>
      <c r="D130">
        <v>150</v>
      </c>
      <c r="E130">
        <v>136</v>
      </c>
      <c r="F130" t="s">
        <v>9</v>
      </c>
      <c r="H130" t="str">
        <f>IF(COUNTIFS(
    Sheet1!$B:$B, B130,
    Sheet1!$C:$C, C130,
    Sheet1!$D:$D, D130,
    Sheet1!$E:$E, E130
) = 0, "NO MATCH IN TARGET", "MATCHED")</f>
        <v>MATCHED</v>
      </c>
    </row>
    <row r="131" spans="1:8" hidden="1" x14ac:dyDescent="0.35">
      <c r="A131" t="s">
        <v>101</v>
      </c>
      <c r="B131" t="s">
        <v>85</v>
      </c>
      <c r="C131" t="s">
        <v>16</v>
      </c>
      <c r="D131">
        <v>5</v>
      </c>
      <c r="E131">
        <v>4040</v>
      </c>
      <c r="F131" t="s">
        <v>9</v>
      </c>
      <c r="H131" t="str">
        <f>IF(COUNTIFS(
    Sheet1!$B:$B, B131,
    Sheet1!$C:$C, C131,
    Sheet1!$D:$D, D131,
    Sheet1!$E:$E, E131
) = 0, "NO MATCH IN TARGET", "MATCHED")</f>
        <v>MATCHED</v>
      </c>
    </row>
    <row r="132" spans="1:8" hidden="1" x14ac:dyDescent="0.35">
      <c r="A132" t="s">
        <v>110</v>
      </c>
      <c r="B132" t="s">
        <v>42</v>
      </c>
      <c r="C132" t="s">
        <v>16</v>
      </c>
      <c r="D132">
        <v>120</v>
      </c>
      <c r="E132">
        <v>300.5</v>
      </c>
      <c r="F132" t="s">
        <v>9</v>
      </c>
      <c r="H132" t="str">
        <f>IF(COUNTIFS(
    Sheet1!$B:$B, B132,
    Sheet1!$C:$C, C132,
    Sheet1!$D:$D, D132,
    Sheet1!$E:$E, E132
) = 0, "NO MATCH IN TARGET", "MATCHED")</f>
        <v>MATCHED</v>
      </c>
    </row>
    <row r="133" spans="1:8" hidden="1" x14ac:dyDescent="0.35">
      <c r="A133" t="s">
        <v>110</v>
      </c>
      <c r="B133" t="s">
        <v>25</v>
      </c>
      <c r="C133" t="s">
        <v>16</v>
      </c>
      <c r="D133">
        <v>25</v>
      </c>
      <c r="E133">
        <v>210</v>
      </c>
      <c r="F133" t="s">
        <v>9</v>
      </c>
      <c r="H133" t="str">
        <f>IF(COUNTIFS(
    Sheet1!$B:$B, B133,
    Sheet1!$C:$C, C133,
    Sheet1!$D:$D, D133,
    Sheet1!$E:$E, E133
) = 0, "NO MATCH IN TARGET", "MATCHED")</f>
        <v>MATCHED</v>
      </c>
    </row>
    <row r="134" spans="1:8" x14ac:dyDescent="0.35">
      <c r="A134" t="s">
        <v>106</v>
      </c>
      <c r="B134" t="s">
        <v>48</v>
      </c>
      <c r="C134" t="s">
        <v>16</v>
      </c>
      <c r="D134">
        <v>100</v>
      </c>
      <c r="E134">
        <v>405</v>
      </c>
      <c r="F134" t="s">
        <v>9</v>
      </c>
      <c r="H134" t="str">
        <f>IF(COUNTIFS(
    Sheet1!$B:$B, B134,
    Sheet1!$C:$C, C134,
    Sheet1!$D:$D, D134,
    Sheet1!$E:$E, E134
) = 0, "NO MATCH IN TARGET", "MATCHED")</f>
        <v>NO MATCH IN TARGET</v>
      </c>
    </row>
    <row r="135" spans="1:8" ht="15" thickBot="1" x14ac:dyDescent="0.4">
      <c r="A135" t="s">
        <v>101</v>
      </c>
      <c r="B135" t="s">
        <v>50</v>
      </c>
      <c r="C135" t="s">
        <v>16</v>
      </c>
      <c r="D135">
        <v>100</v>
      </c>
      <c r="E135">
        <v>238.2</v>
      </c>
      <c r="F135" t="s">
        <v>9</v>
      </c>
      <c r="H135" t="str">
        <f>IF(COUNTIFS(
    Sheet1!$B:$B, B135,
    Sheet1!$C:$C, C135,
    Sheet1!$D:$D, D135,
    Sheet1!$E:$E, E135
) = 0, "NO MATCH IN TARGET", "MATCHED")</f>
        <v>MATCHED</v>
      </c>
    </row>
    <row r="136" spans="1:8" ht="15" thickBot="1" x14ac:dyDescent="0.4">
      <c r="A136" s="6" t="s">
        <v>114</v>
      </c>
      <c r="B136" s="6" t="s">
        <v>15</v>
      </c>
      <c r="C136" s="6" t="s">
        <v>16</v>
      </c>
      <c r="D136" s="6">
        <v>10</v>
      </c>
      <c r="E136" s="6">
        <v>2618</v>
      </c>
      <c r="F136" s="6" t="s">
        <v>9</v>
      </c>
      <c r="H136" t="str">
        <f>IF(COUNTIFS(
    Sheet1!$B:$B, B136,
    Sheet1!$C:$C, C136,
    Sheet1!$D:$D, D136,
    Sheet1!$E:$E, E136
) = 0, "NO MATCH IN TARGET", "MATCHED")</f>
        <v>NO MATCH IN TARGET</v>
      </c>
    </row>
    <row r="137" spans="1:8" ht="15" thickBot="1" x14ac:dyDescent="0.4">
      <c r="A137" s="6" t="s">
        <v>117</v>
      </c>
      <c r="B137" s="6" t="s">
        <v>15</v>
      </c>
      <c r="C137" s="6" t="s">
        <v>16</v>
      </c>
      <c r="D137" s="6">
        <v>10</v>
      </c>
      <c r="E137" s="6">
        <v>2620</v>
      </c>
      <c r="F137" s="6" t="s">
        <v>9</v>
      </c>
      <c r="H137" t="str">
        <f>IF(COUNTIFS(
    Sheet1!$B:$B, B137,
    Sheet1!$C:$C, C137,
    Sheet1!$D:$D, D137,
    Sheet1!$E:$E, E137
) = 0, "NO MATCH IN TARGET", "MATCHED")</f>
        <v>NO MATCH IN TARGET</v>
      </c>
    </row>
    <row r="138" spans="1:8" ht="15" thickBot="1" x14ac:dyDescent="0.4">
      <c r="A138" s="6" t="s">
        <v>125</v>
      </c>
      <c r="B138" s="6" t="s">
        <v>75</v>
      </c>
      <c r="C138" s="6" t="s">
        <v>16</v>
      </c>
      <c r="D138" s="6">
        <v>200</v>
      </c>
      <c r="E138" s="6">
        <v>92.75</v>
      </c>
      <c r="F138" s="6" t="s">
        <v>9</v>
      </c>
      <c r="H138" t="str">
        <f>IF(COUNTIFS(
    Sheet1!$B:$B, B138,
    Sheet1!$C:$C, C138,
    Sheet1!$D:$D, D138,
    Sheet1!$E:$E, E138
) = 0, "NO MATCH IN TARGET", "MATCHED")</f>
        <v>MATCHED</v>
      </c>
    </row>
    <row r="139" spans="1:8" ht="15" hidden="1" thickBot="1" x14ac:dyDescent="0.4">
      <c r="A139" s="6" t="s">
        <v>99</v>
      </c>
      <c r="B139" s="6" t="s">
        <v>68</v>
      </c>
      <c r="C139" s="6" t="s">
        <v>16</v>
      </c>
      <c r="D139" s="6">
        <v>1</v>
      </c>
      <c r="E139" s="6">
        <v>19198</v>
      </c>
      <c r="F139" s="6" t="s">
        <v>9</v>
      </c>
      <c r="H139" t="str">
        <f>IF(COUNTIFS(
    Sheet1!$B:$B, B139,
    Sheet1!$C:$C, C139,
    Sheet1!$D:$D, D139,
    Sheet1!$E:$E, E139
) = 0, "NO MATCH IN TARGET", "MATCHED")</f>
        <v>MATCHED</v>
      </c>
    </row>
    <row r="140" spans="1:8" ht="15" thickBot="1" x14ac:dyDescent="0.4">
      <c r="A140" s="6" t="s">
        <v>101</v>
      </c>
      <c r="B140" s="6" t="s">
        <v>50</v>
      </c>
      <c r="C140" s="6" t="s">
        <v>16</v>
      </c>
      <c r="D140" s="6">
        <v>200</v>
      </c>
      <c r="E140" s="6">
        <v>239</v>
      </c>
      <c r="F140" s="6" t="s">
        <v>9</v>
      </c>
      <c r="H140" t="str">
        <f>IF(COUNTIFS(
    Sheet1!$B:$B, B140,
    Sheet1!$C:$C, C140,
    Sheet1!$D:$D, D140,
    Sheet1!$E:$E, E140
) = 0, "NO MATCH IN TARGET", "MATCHED")</f>
        <v>MATCHED</v>
      </c>
    </row>
    <row r="141" spans="1:8" ht="15" hidden="1" thickBot="1" x14ac:dyDescent="0.4">
      <c r="A141" s="6" t="s">
        <v>130</v>
      </c>
      <c r="B141" s="6" t="s">
        <v>44</v>
      </c>
      <c r="C141" s="6" t="s">
        <v>16</v>
      </c>
      <c r="D141" s="6">
        <v>30</v>
      </c>
      <c r="E141" s="6">
        <v>948</v>
      </c>
      <c r="F141" s="6" t="s">
        <v>9</v>
      </c>
      <c r="H141" t="str">
        <f>IF(COUNTIFS(
    Sheet1!$B:$B, B141,
    Sheet1!$C:$C, C141,
    Sheet1!$D:$D, D141,
    Sheet1!$E:$E, E141
) = 0, "NO MATCH IN TARGET", "MATCHED")</f>
        <v>MATCHED</v>
      </c>
    </row>
    <row r="142" spans="1:8" ht="15" thickBot="1" x14ac:dyDescent="0.4">
      <c r="A142" s="6" t="s">
        <v>106</v>
      </c>
      <c r="B142" s="6" t="s">
        <v>53</v>
      </c>
      <c r="C142" s="6" t="s">
        <v>16</v>
      </c>
      <c r="D142" s="6">
        <v>10</v>
      </c>
      <c r="E142" s="6">
        <v>1298</v>
      </c>
      <c r="F142" s="6" t="s">
        <v>9</v>
      </c>
      <c r="H142" t="str">
        <f>IF(COUNTIFS(
    Sheet1!$B:$B, B142,
    Sheet1!$C:$C, C142,
    Sheet1!$D:$D, D142,
    Sheet1!$E:$E, E142
) = 0, "NO MATCH IN TARGET", "MATCHED")</f>
        <v>NO MATCH IN TARGET</v>
      </c>
    </row>
    <row r="143" spans="1:8" ht="15" thickBot="1" x14ac:dyDescent="0.4">
      <c r="A143" s="6" t="s">
        <v>106</v>
      </c>
      <c r="B143" s="6" t="s">
        <v>58</v>
      </c>
      <c r="C143" s="6" t="s">
        <v>16</v>
      </c>
      <c r="D143" s="6">
        <v>7</v>
      </c>
      <c r="E143" s="6">
        <v>2490</v>
      </c>
      <c r="F143" s="6" t="s">
        <v>9</v>
      </c>
      <c r="H143" t="str">
        <f>IF(COUNTIFS(
    Sheet1!$B:$B, B143,
    Sheet1!$C:$C, C143,
    Sheet1!$D:$D, D143,
    Sheet1!$E:$E, E143
) = 0, "NO MATCH IN TARGET", "MATCHED")</f>
        <v>NO MATCH IN TARGET</v>
      </c>
    </row>
    <row r="144" spans="1:8" ht="15" thickBot="1" x14ac:dyDescent="0.4">
      <c r="A144" s="6" t="s">
        <v>125</v>
      </c>
      <c r="B144" s="6" t="s">
        <v>55</v>
      </c>
      <c r="C144" s="6" t="s">
        <v>16</v>
      </c>
      <c r="D144" s="6">
        <v>10</v>
      </c>
      <c r="E144" s="6">
        <v>1490</v>
      </c>
      <c r="F144" s="6" t="s">
        <v>9</v>
      </c>
      <c r="H144" t="str">
        <f>IF(COUNTIFS(
    Sheet1!$B:$B, B144,
    Sheet1!$C:$C, C144,
    Sheet1!$D:$D, D144,
    Sheet1!$E:$E, E144
) = 0, "NO MATCH IN TARGET", "MATCHED")</f>
        <v>NO MATCH IN TARGET</v>
      </c>
    </row>
    <row r="145" spans="1:8" ht="15" hidden="1" thickBot="1" x14ac:dyDescent="0.4">
      <c r="A145" s="6" t="s">
        <v>101</v>
      </c>
      <c r="B145" s="6" t="s">
        <v>46</v>
      </c>
      <c r="C145" s="6" t="s">
        <v>16</v>
      </c>
      <c r="D145" s="6">
        <v>10</v>
      </c>
      <c r="E145" s="6">
        <v>997</v>
      </c>
      <c r="F145" s="6" t="s">
        <v>9</v>
      </c>
      <c r="H145" t="str">
        <f>IF(COUNTIFS(
    Sheet1!$B:$B, B145,
    Sheet1!$C:$C, C145,
    Sheet1!$D:$D, D145,
    Sheet1!$E:$E, E145
) = 0, "NO MATCH IN TARGET", "MATCHED")</f>
        <v>MATCHED</v>
      </c>
    </row>
    <row r="146" spans="1:8" ht="15" hidden="1" thickBot="1" x14ac:dyDescent="0.4">
      <c r="A146" s="6" t="s">
        <v>110</v>
      </c>
      <c r="B146" s="6" t="s">
        <v>31</v>
      </c>
      <c r="C146" s="6" t="s">
        <v>16</v>
      </c>
      <c r="D146" s="6">
        <v>65</v>
      </c>
      <c r="E146" s="6">
        <v>219</v>
      </c>
      <c r="F146" s="6" t="s">
        <v>9</v>
      </c>
      <c r="H146" t="str">
        <f>IF(COUNTIFS(
    Sheet1!$B:$B, B146,
    Sheet1!$C:$C, C146,
    Sheet1!$D:$D, D146,
    Sheet1!$E:$E, E146
) = 0, "NO MATCH IN TARGET", "MATCHED")</f>
        <v>MATCHED</v>
      </c>
    </row>
    <row r="147" spans="1:8" ht="15" hidden="1" thickBot="1" x14ac:dyDescent="0.4">
      <c r="A147" s="6" t="s">
        <v>106</v>
      </c>
      <c r="B147" s="6" t="s">
        <v>73</v>
      </c>
      <c r="C147" s="6" t="s">
        <v>16</v>
      </c>
      <c r="D147" s="6">
        <v>2</v>
      </c>
      <c r="E147" s="6">
        <v>2690</v>
      </c>
      <c r="F147" s="6" t="s">
        <v>9</v>
      </c>
      <c r="H147" t="str">
        <f>IF(COUNTIFS(
    Sheet1!$B:$B, B147,
    Sheet1!$C:$C, C147,
    Sheet1!$D:$D, D147,
    Sheet1!$E:$E, E147
) = 0, "NO MATCH IN TARGET", "MATCHED")</f>
        <v>MATCHED</v>
      </c>
    </row>
    <row r="148" spans="1:8" ht="15" hidden="1" thickBot="1" x14ac:dyDescent="0.4">
      <c r="A148" s="6" t="s">
        <v>117</v>
      </c>
      <c r="B148" s="6" t="s">
        <v>15</v>
      </c>
      <c r="C148" s="6" t="s">
        <v>16</v>
      </c>
      <c r="D148" s="6">
        <v>10</v>
      </c>
      <c r="E148" s="6">
        <v>2648</v>
      </c>
      <c r="F148" s="6" t="s">
        <v>9</v>
      </c>
      <c r="H148" t="str">
        <f>IF(COUNTIFS(
    Sheet1!$B:$B, B148,
    Sheet1!$C:$C, C148,
    Sheet1!$D:$D, D148,
    Sheet1!$E:$E, E148
) = 0, "NO MATCH IN TARGET", "MATCHED")</f>
        <v>MATCHED</v>
      </c>
    </row>
    <row r="149" spans="1:8" ht="15" thickBot="1" x14ac:dyDescent="0.4">
      <c r="A149" s="6" t="s">
        <v>99</v>
      </c>
      <c r="B149" s="6" t="s">
        <v>72</v>
      </c>
      <c r="C149" s="6" t="s">
        <v>16</v>
      </c>
      <c r="D149" s="6">
        <v>1</v>
      </c>
      <c r="E149" s="6">
        <v>4890</v>
      </c>
      <c r="F149" s="6" t="s">
        <v>9</v>
      </c>
      <c r="H149" t="str">
        <f>IF(COUNTIFS(
    Sheet1!$B:$B, B149,
    Sheet1!$C:$C, C149,
    Sheet1!$D:$D, D149,
    Sheet1!$E:$E, E149
) = 0, "NO MATCH IN TARGET", "MATCHED")</f>
        <v>NO MATCH IN TARGET</v>
      </c>
    </row>
    <row r="150" spans="1:8" ht="15" hidden="1" thickBot="1" x14ac:dyDescent="0.4">
      <c r="A150" s="6" t="s">
        <v>125</v>
      </c>
      <c r="B150" s="6" t="s">
        <v>84</v>
      </c>
      <c r="C150" s="6" t="s">
        <v>16</v>
      </c>
      <c r="D150" s="6">
        <v>11</v>
      </c>
      <c r="E150" s="6">
        <v>548</v>
      </c>
      <c r="F150" s="6" t="s">
        <v>9</v>
      </c>
      <c r="H150" t="str">
        <f>IF(COUNTIFS(
    Sheet1!$B:$B, B150,
    Sheet1!$C:$C, C150,
    Sheet1!$D:$D, D150,
    Sheet1!$E:$E, E150
) = 0, "NO MATCH IN TARGET", "MATCHED")</f>
        <v>MATCHED</v>
      </c>
    </row>
    <row r="151" spans="1:8" ht="15" thickBot="1" x14ac:dyDescent="0.4">
      <c r="A151" s="6" t="s">
        <v>111</v>
      </c>
      <c r="B151" s="6" t="s">
        <v>74</v>
      </c>
      <c r="C151" s="6" t="s">
        <v>16</v>
      </c>
      <c r="D151" s="6">
        <v>1</v>
      </c>
      <c r="E151" s="6">
        <v>3710</v>
      </c>
      <c r="F151" s="6" t="s">
        <v>9</v>
      </c>
      <c r="H151" t="str">
        <f>IF(COUNTIFS(
    Sheet1!$B:$B, B151,
    Sheet1!$C:$C, C151,
    Sheet1!$D:$D, D151,
    Sheet1!$E:$E, E151
) = 0, "NO MATCH IN TARGET", "MATCHED")</f>
        <v>MATCHED</v>
      </c>
    </row>
    <row r="152" spans="1:8" ht="15" hidden="1" thickBot="1" x14ac:dyDescent="0.4">
      <c r="A152" s="6" t="s">
        <v>107</v>
      </c>
      <c r="B152" s="6" t="s">
        <v>40</v>
      </c>
      <c r="C152" s="6" t="s">
        <v>16</v>
      </c>
      <c r="D152" s="6">
        <v>5</v>
      </c>
      <c r="E152" s="6">
        <v>467.25</v>
      </c>
      <c r="F152" s="6" t="s">
        <v>9</v>
      </c>
      <c r="H152" t="str">
        <f>IF(COUNTIFS(
    Sheet1!$B:$B, B152,
    Sheet1!$C:$C, C152,
    Sheet1!$D:$D, D152,
    Sheet1!$E:$E, E152
) = 0, "NO MATCH IN TARGET", "MATCHED")</f>
        <v>MATCHED</v>
      </c>
    </row>
    <row r="153" spans="1:8" ht="15" thickBot="1" x14ac:dyDescent="0.4">
      <c r="A153" s="7">
        <v>46237.768750000003</v>
      </c>
      <c r="B153" s="8" t="s">
        <v>25</v>
      </c>
      <c r="C153" s="8" t="s">
        <v>16</v>
      </c>
      <c r="D153" s="9">
        <v>25</v>
      </c>
      <c r="E153" s="10">
        <v>214</v>
      </c>
      <c r="F153" s="8" t="s">
        <v>9</v>
      </c>
      <c r="H153" t="str">
        <f>IF(COUNTIFS(
    Sheet1!$B:$B, B153,
    Sheet1!$C:$C, C153,
    Sheet1!$D:$D, D153,
    Sheet1!$E:$E, E153
) = 0, "NO MATCH IN TARGET", "MATCHED")</f>
        <v>MATCHED</v>
      </c>
    </row>
    <row r="154" spans="1:8" ht="15" thickBot="1" x14ac:dyDescent="0.4">
      <c r="A154" s="6" t="s">
        <v>106</v>
      </c>
      <c r="B154" s="6" t="s">
        <v>73</v>
      </c>
      <c r="C154" s="6" t="s">
        <v>16</v>
      </c>
      <c r="D154" s="6">
        <v>3</v>
      </c>
      <c r="E154" s="6">
        <v>2710</v>
      </c>
      <c r="F154" s="6" t="s">
        <v>9</v>
      </c>
      <c r="H154" t="str">
        <f>IF(COUNTIFS(
    Sheet1!$B:$B, B154,
    Sheet1!$C:$C, C154,
    Sheet1!$D:$D, D154,
    Sheet1!$E:$E, E154
) = 0, "NO MATCH IN TARGET", "MATCHED")</f>
        <v>MATCHED</v>
      </c>
    </row>
    <row r="155" spans="1:8" ht="15" hidden="1" thickBot="1" x14ac:dyDescent="0.4">
      <c r="A155" s="6" t="s">
        <v>117</v>
      </c>
      <c r="B155" s="6" t="s">
        <v>15</v>
      </c>
      <c r="C155" s="6" t="s">
        <v>16</v>
      </c>
      <c r="D155" s="6">
        <v>10</v>
      </c>
      <c r="E155" s="6">
        <v>2672</v>
      </c>
      <c r="F155" s="6" t="s">
        <v>9</v>
      </c>
      <c r="H155" t="str">
        <f>IF(COUNTIFS(
    Sheet1!$B:$B, B155,
    Sheet1!$C:$C, C155,
    Sheet1!$D:$D, D155,
    Sheet1!$E:$E, E155
) = 0, "NO MATCH IN TARGET", "MATCHED")</f>
        <v>MATCHED</v>
      </c>
    </row>
    <row r="156" spans="1:8" ht="15" hidden="1" thickBot="1" x14ac:dyDescent="0.4">
      <c r="A156" s="6" t="s">
        <v>131</v>
      </c>
      <c r="B156" s="6" t="s">
        <v>34</v>
      </c>
      <c r="C156" s="6" t="s">
        <v>16</v>
      </c>
      <c r="D156" s="6">
        <v>5</v>
      </c>
      <c r="E156" s="6">
        <v>730</v>
      </c>
      <c r="F156" s="6" t="s">
        <v>9</v>
      </c>
      <c r="H156" t="str">
        <f>IF(COUNTIFS(
    Sheet1!$B:$B, B156,
    Sheet1!$C:$C, C156,
    Sheet1!$D:$D, D156,
    Sheet1!$E:$E, E156
) = 0, "NO MATCH IN TARGET", "MATCHED")</f>
        <v>MATCHED</v>
      </c>
    </row>
    <row r="157" spans="1:8" ht="15" hidden="1" thickBot="1" x14ac:dyDescent="0.4">
      <c r="A157" s="6" t="s">
        <v>101</v>
      </c>
      <c r="B157" s="6" t="s">
        <v>50</v>
      </c>
      <c r="C157" s="6" t="s">
        <v>16</v>
      </c>
      <c r="D157" s="6">
        <v>200</v>
      </c>
      <c r="E157" s="6">
        <v>244</v>
      </c>
      <c r="F157" s="6" t="s">
        <v>9</v>
      </c>
      <c r="H157" t="str">
        <f>IF(COUNTIFS(
    Sheet1!$B:$B, B157,
    Sheet1!$C:$C, C157,
    Sheet1!$D:$D, D157,
    Sheet1!$E:$E, E157
) = 0, "NO MATCH IN TARGET", "MATCHED")</f>
        <v>NO MATCH IN TARGET</v>
      </c>
    </row>
    <row r="158" spans="1:8" ht="15" hidden="1" thickBot="1" x14ac:dyDescent="0.4">
      <c r="A158" s="6" t="s">
        <v>110</v>
      </c>
      <c r="B158" s="6" t="s">
        <v>39</v>
      </c>
      <c r="C158" s="6" t="s">
        <v>16</v>
      </c>
      <c r="D158" s="6">
        <v>40</v>
      </c>
      <c r="E158" s="6">
        <v>320.5</v>
      </c>
      <c r="F158" s="6" t="s">
        <v>9</v>
      </c>
      <c r="H158" t="str">
        <f>IF(COUNTIFS(
    Sheet1!$B:$B, B158,
    Sheet1!$C:$C, C158,
    Sheet1!$D:$D, D158,
    Sheet1!$E:$E, E158
) = 0, "NO MATCH IN TARGET", "MATCHED")</f>
        <v>MATCHED</v>
      </c>
    </row>
    <row r="159" spans="1:8" ht="15" thickBot="1" x14ac:dyDescent="0.4">
      <c r="A159" s="6" t="s">
        <v>106</v>
      </c>
      <c r="B159" s="6" t="s">
        <v>53</v>
      </c>
      <c r="C159" s="6" t="s">
        <v>16</v>
      </c>
      <c r="D159" s="6">
        <v>10</v>
      </c>
      <c r="E159" s="6">
        <v>1324</v>
      </c>
      <c r="F159" s="6" t="s">
        <v>9</v>
      </c>
      <c r="H159" t="str">
        <f>IF(COUNTIFS(
    Sheet1!$B:$B, B159,
    Sheet1!$C:$C, C159,
    Sheet1!$D:$D, D159,
    Sheet1!$E:$E, E159
) = 0, "NO MATCH IN TARGET", "MATCHED")</f>
        <v>NO MATCH IN TARGET</v>
      </c>
    </row>
    <row r="160" spans="1:8" ht="15" thickBot="1" x14ac:dyDescent="0.4">
      <c r="A160" s="6" t="s">
        <v>111</v>
      </c>
      <c r="B160" s="6" t="s">
        <v>71</v>
      </c>
      <c r="C160" s="6" t="s">
        <v>16</v>
      </c>
      <c r="D160" s="6">
        <v>7</v>
      </c>
      <c r="E160" s="6">
        <v>1424</v>
      </c>
      <c r="F160" s="6" t="s">
        <v>9</v>
      </c>
      <c r="H160" t="str">
        <f>IF(COUNTIFS(
    Sheet1!$B:$B, B160,
    Sheet1!$C:$C, C160,
    Sheet1!$D:$D, D160,
    Sheet1!$E:$E, E160
) = 0, "NO MATCH IN TARGET", "MATCHED")</f>
        <v>MATCHED</v>
      </c>
    </row>
    <row r="161" spans="1:8" ht="15" hidden="1" thickBot="1" x14ac:dyDescent="0.4">
      <c r="A161" s="6" t="s">
        <v>110</v>
      </c>
      <c r="B161" s="6" t="s">
        <v>42</v>
      </c>
      <c r="C161" s="6" t="s">
        <v>16</v>
      </c>
      <c r="D161" s="6">
        <v>100</v>
      </c>
      <c r="E161" s="6">
        <v>310.5</v>
      </c>
      <c r="F161" s="6" t="s">
        <v>9</v>
      </c>
      <c r="H161" t="str">
        <f>IF(COUNTIFS(
    Sheet1!$B:$B, B161,
    Sheet1!$C:$C, C161,
    Sheet1!$D:$D, D161,
    Sheet1!$E:$E, E161
) = 0, "NO MATCH IN TARGET", "MATCHED")</f>
        <v>MATCHED</v>
      </c>
    </row>
    <row r="162" spans="1:8" ht="15" hidden="1" thickBot="1" x14ac:dyDescent="0.4">
      <c r="A162" s="6" t="s">
        <v>103</v>
      </c>
      <c r="B162" s="6" t="s">
        <v>15</v>
      </c>
      <c r="C162" s="6" t="s">
        <v>16</v>
      </c>
      <c r="D162" s="6">
        <v>10</v>
      </c>
      <c r="E162" s="6">
        <v>2696</v>
      </c>
      <c r="F162" s="6" t="s">
        <v>9</v>
      </c>
      <c r="H162" t="str">
        <f>IF(COUNTIFS(
    Sheet1!$B:$B, B162,
    Sheet1!$C:$C, C162,
    Sheet1!$D:$D, D162,
    Sheet1!$E:$E, E162
) = 0, "NO MATCH IN TARGET", "MATCHED")</f>
        <v>MATCHED</v>
      </c>
    </row>
    <row r="163" spans="1:8" ht="15" hidden="1" thickBot="1" x14ac:dyDescent="0.4">
      <c r="A163" s="6" t="s">
        <v>104</v>
      </c>
      <c r="B163" s="6" t="s">
        <v>63</v>
      </c>
      <c r="C163" s="6" t="s">
        <v>16</v>
      </c>
      <c r="D163" s="6">
        <v>3</v>
      </c>
      <c r="E163" s="6">
        <v>3341</v>
      </c>
      <c r="F163" s="6" t="s">
        <v>9</v>
      </c>
      <c r="H163" t="str">
        <f>IF(COUNTIFS(
    Sheet1!$B:$B, B163,
    Sheet1!$C:$C, C163,
    Sheet1!$D:$D, D163,
    Sheet1!$E:$E, E163
) = 0, "NO MATCH IN TARGET", "MATCHED")</f>
        <v>MATCHED</v>
      </c>
    </row>
    <row r="164" spans="1:8" ht="15" hidden="1" thickBot="1" x14ac:dyDescent="0.4">
      <c r="A164" s="6" t="s">
        <v>111</v>
      </c>
      <c r="B164" s="6" t="s">
        <v>69</v>
      </c>
      <c r="C164" s="6" t="s">
        <v>16</v>
      </c>
      <c r="D164" s="6">
        <v>5</v>
      </c>
      <c r="E164" s="6">
        <v>790</v>
      </c>
      <c r="F164" s="6" t="s">
        <v>9</v>
      </c>
      <c r="H164" t="str">
        <f>IF(COUNTIFS(
    Sheet1!$B:$B, B164,
    Sheet1!$C:$C, C164,
    Sheet1!$D:$D, D164,
    Sheet1!$E:$E, E164
) = 0, "NO MATCH IN TARGET", "MATCHED")</f>
        <v>MATCHED</v>
      </c>
    </row>
    <row r="165" spans="1:8" ht="29.5" thickBot="1" x14ac:dyDescent="0.4">
      <c r="A165" s="7">
        <v>46237.768750000003</v>
      </c>
      <c r="B165" s="8" t="s">
        <v>44</v>
      </c>
      <c r="C165" s="8" t="s">
        <v>16</v>
      </c>
      <c r="D165" s="9">
        <v>30</v>
      </c>
      <c r="E165" s="10">
        <v>974</v>
      </c>
      <c r="F165" s="8" t="s">
        <v>9</v>
      </c>
      <c r="H165" t="str">
        <f>IF(COUNTIFS(
    Sheet1!$B:$B, B165,
    Sheet1!$C:$C, C165,
    Sheet1!$D:$D, D165,
    Sheet1!$E:$E, E165
) = 0, "NO MATCH IN TARGET", "MATCHED")</f>
        <v>MATCHED</v>
      </c>
    </row>
    <row r="166" spans="1:8" ht="15" thickBot="1" x14ac:dyDescent="0.4">
      <c r="A166" s="7">
        <v>46237.635520833333</v>
      </c>
      <c r="B166" s="8" t="s">
        <v>46</v>
      </c>
      <c r="C166" s="8" t="s">
        <v>16</v>
      </c>
      <c r="D166" s="9">
        <v>10</v>
      </c>
      <c r="E166" s="10">
        <v>1024</v>
      </c>
      <c r="F166" s="8" t="s">
        <v>9</v>
      </c>
      <c r="H166" t="str">
        <f>IF(COUNTIFS(
    Sheet1!$B:$B, B166,
    Sheet1!$C:$C, C166,
    Sheet1!$D:$D, D166,
    Sheet1!$E:$E, E166
) = 0, "NO MATCH IN TARGET", "MATCHED")</f>
        <v>MATCHED</v>
      </c>
    </row>
    <row r="167" spans="1:8" ht="15" hidden="1" thickBot="1" x14ac:dyDescent="0.4">
      <c r="A167" s="6" t="s">
        <v>117</v>
      </c>
      <c r="B167" s="6" t="s">
        <v>15</v>
      </c>
      <c r="C167" s="6" t="s">
        <v>16</v>
      </c>
      <c r="D167" s="6">
        <v>10</v>
      </c>
      <c r="E167" s="6">
        <v>2720</v>
      </c>
      <c r="F167" s="6" t="s">
        <v>9</v>
      </c>
      <c r="H167" t="str">
        <f>IF(COUNTIFS(
    Sheet1!$B:$B, B167,
    Sheet1!$C:$C, C167,
    Sheet1!$D:$D, D167,
    Sheet1!$E:$E, E167
) = 0, "NO MATCH IN TARGET", "MATCHED")</f>
        <v>MATCHED</v>
      </c>
    </row>
    <row r="168" spans="1:8" ht="15" thickBot="1" x14ac:dyDescent="0.4">
      <c r="A168" s="7">
        <v>46234.686805555553</v>
      </c>
      <c r="B168" s="8" t="s">
        <v>42</v>
      </c>
      <c r="C168" s="8" t="s">
        <v>16</v>
      </c>
      <c r="D168" s="9">
        <v>100</v>
      </c>
      <c r="E168" s="10">
        <v>314</v>
      </c>
      <c r="F168" s="8" t="s">
        <v>9</v>
      </c>
      <c r="H168" t="str">
        <f>IF(COUNTIFS(
    Sheet1!$B:$B, B168,
    Sheet1!$C:$C, C168,
    Sheet1!$D:$D, D168,
    Sheet1!$E:$E, E168
) = 0, "NO MATCH IN TARGET", "MATCHED")</f>
        <v>MATCHED</v>
      </c>
    </row>
    <row r="169" spans="1:8" ht="15" thickBot="1" x14ac:dyDescent="0.4">
      <c r="A169" s="6" t="s">
        <v>111</v>
      </c>
      <c r="B169" s="6" t="s">
        <v>74</v>
      </c>
      <c r="C169" s="6" t="s">
        <v>16</v>
      </c>
      <c r="D169" s="6">
        <v>1</v>
      </c>
      <c r="E169" s="6">
        <v>3810</v>
      </c>
      <c r="F169" s="6" t="s">
        <v>9</v>
      </c>
      <c r="H169" t="str">
        <f>IF(COUNTIFS(
    Sheet1!$B:$B, B169,
    Sheet1!$C:$C, C169,
    Sheet1!$D:$D, D169,
    Sheet1!$E:$E, E169
) = 0, "NO MATCH IN TARGET", "MATCHED")</f>
        <v>MATCHED</v>
      </c>
    </row>
    <row r="170" spans="1:8" ht="15" thickBot="1" x14ac:dyDescent="0.4">
      <c r="A170" s="6" t="s">
        <v>106</v>
      </c>
      <c r="B170" s="6" t="s">
        <v>48</v>
      </c>
      <c r="C170" s="6" t="s">
        <v>16</v>
      </c>
      <c r="D170" s="6">
        <v>20</v>
      </c>
      <c r="E170" s="6">
        <v>424</v>
      </c>
      <c r="F170" s="6" t="s">
        <v>9</v>
      </c>
      <c r="H170" t="str">
        <f>IF(COUNTIFS(
    Sheet1!$B:$B, B170,
    Sheet1!$C:$C, C170,
    Sheet1!$D:$D, D170,
    Sheet1!$E:$E, E170
) = 0, "NO MATCH IN TARGET", "MATCHED")</f>
        <v>MATCHED</v>
      </c>
    </row>
    <row r="171" spans="1:8" ht="15" hidden="1" thickBot="1" x14ac:dyDescent="0.4">
      <c r="A171" s="6" t="s">
        <v>110</v>
      </c>
      <c r="B171" s="6" t="s">
        <v>18</v>
      </c>
      <c r="C171" s="6" t="s">
        <v>16</v>
      </c>
      <c r="D171" s="6">
        <v>5</v>
      </c>
      <c r="E171" s="6">
        <v>435</v>
      </c>
      <c r="F171" s="6" t="s">
        <v>9</v>
      </c>
      <c r="H171" t="str">
        <f>IF(COUNTIFS(
    Sheet1!$B:$B, B171,
    Sheet1!$C:$C, C171,
    Sheet1!$D:$D, D171,
    Sheet1!$E:$E, E171
) = 0, "NO MATCH IN TARGET", "MATCHED")</f>
        <v>MATCHED</v>
      </c>
    </row>
    <row r="172" spans="1:8" ht="15" thickBot="1" x14ac:dyDescent="0.4">
      <c r="A172" s="7">
        <v>46238.690567129626</v>
      </c>
      <c r="B172" s="8" t="s">
        <v>25</v>
      </c>
      <c r="C172" s="8" t="s">
        <v>16</v>
      </c>
      <c r="D172" s="9">
        <v>25</v>
      </c>
      <c r="E172" s="9">
        <v>220</v>
      </c>
      <c r="F172" s="8" t="s">
        <v>9</v>
      </c>
      <c r="H172" t="str">
        <f>IF(COUNTIFS(
    Sheet1!$B:$B, B172,
    Sheet1!$C:$C, C172,
    Sheet1!$D:$D, D172,
    Sheet1!$E:$E, E172
) = 0, "NO MATCH IN TARGET", "MATCHED")</f>
        <v>MATCHED</v>
      </c>
    </row>
    <row r="173" spans="1:8" ht="15" thickBot="1" x14ac:dyDescent="0.4">
      <c r="A173" s="6" t="s">
        <v>101</v>
      </c>
      <c r="B173" s="6" t="s">
        <v>50</v>
      </c>
      <c r="C173" s="6" t="s">
        <v>16</v>
      </c>
      <c r="D173" s="6">
        <v>200</v>
      </c>
      <c r="E173" s="6">
        <v>249</v>
      </c>
      <c r="F173" s="6" t="s">
        <v>9</v>
      </c>
      <c r="H173" t="str">
        <f>IF(COUNTIFS(
    Sheet1!$B:$B, B173,
    Sheet1!$C:$C, C173,
    Sheet1!$D:$D, D173,
    Sheet1!$E:$E, E173
) = 0, "NO MATCH IN TARGET", "MATCHED")</f>
        <v>NO MATCH IN TARGET</v>
      </c>
    </row>
    <row r="174" spans="1:8" ht="29.5" thickBot="1" x14ac:dyDescent="0.4">
      <c r="A174" s="1">
        <v>46238.69059027778</v>
      </c>
      <c r="B174" s="8" t="s">
        <v>44</v>
      </c>
      <c r="C174" s="8" t="s">
        <v>16</v>
      </c>
      <c r="D174" s="9">
        <v>5</v>
      </c>
      <c r="E174" s="9">
        <v>986</v>
      </c>
      <c r="F174" s="8" t="s">
        <v>9</v>
      </c>
      <c r="H174" t="str">
        <f>IF(COUNTIFS(
    Sheet1!$B:$B, B174,
    Sheet1!$C:$C, C174,
    Sheet1!$D:$D, D174,
    Sheet1!$E:$E, E174
) = 0, "NO MATCH IN TARGET", "MATCHED")</f>
        <v>MATCHED</v>
      </c>
    </row>
    <row r="175" spans="1:8" ht="15" thickBot="1" x14ac:dyDescent="0.4">
      <c r="A175" s="6" t="s">
        <v>115</v>
      </c>
      <c r="B175" s="6" t="s">
        <v>34</v>
      </c>
      <c r="C175" s="6" t="s">
        <v>16</v>
      </c>
      <c r="D175" s="6">
        <v>11</v>
      </c>
      <c r="E175" s="6">
        <v>749</v>
      </c>
      <c r="F175" s="6" t="s">
        <v>9</v>
      </c>
      <c r="H175" t="str">
        <f>IF(COUNTIFS(
    Sheet1!$B:$B, B175,
    Sheet1!$C:$C, C175,
    Sheet1!$D:$D, D175,
    Sheet1!$E:$E, E175
) = 0, "NO MATCH IN TARGET", "MATCHED")</f>
        <v>MATCHED</v>
      </c>
    </row>
    <row r="176" spans="1:8" ht="15" thickBot="1" x14ac:dyDescent="0.4">
      <c r="A176" s="6" t="s">
        <v>104</v>
      </c>
      <c r="B176" s="6" t="s">
        <v>132</v>
      </c>
      <c r="C176" s="6" t="s">
        <v>16</v>
      </c>
      <c r="D176" s="6">
        <v>50</v>
      </c>
      <c r="E176" s="6">
        <v>480</v>
      </c>
      <c r="F176" s="6" t="s">
        <v>9</v>
      </c>
      <c r="H176" t="str">
        <f>IF(COUNTIFS(
    Sheet1!$B:$B, B176,
    Sheet1!$C:$C, C176,
    Sheet1!$D:$D, D176,
    Sheet1!$E:$E, E176
) = 0, "NO MATCH IN TARGET", "MATCHED")</f>
        <v>MATCHED</v>
      </c>
    </row>
    <row r="177" spans="1:8" ht="15" thickBot="1" x14ac:dyDescent="0.4">
      <c r="A177" s="6" t="s">
        <v>106</v>
      </c>
      <c r="B177" s="6" t="s">
        <v>81</v>
      </c>
      <c r="C177" s="6" t="s">
        <v>16</v>
      </c>
      <c r="D177" s="6">
        <v>3</v>
      </c>
      <c r="E177" s="6">
        <v>2846</v>
      </c>
      <c r="F177" s="6" t="s">
        <v>9</v>
      </c>
      <c r="H177" t="str">
        <f>IF(COUNTIFS(
    Sheet1!$B:$B, B177,
    Sheet1!$C:$C, C177,
    Sheet1!$D:$D, D177,
    Sheet1!$E:$E, E177
) = 0, "NO MATCH IN TARGET", "MATCHED")</f>
        <v>MATCHED</v>
      </c>
    </row>
    <row r="178" spans="1:8" ht="15" thickBot="1" x14ac:dyDescent="0.4">
      <c r="A178" s="6" t="s">
        <v>110</v>
      </c>
      <c r="B178" s="6" t="s">
        <v>42</v>
      </c>
      <c r="C178" s="6" t="s">
        <v>16</v>
      </c>
      <c r="D178" s="6">
        <v>100</v>
      </c>
      <c r="E178" s="6">
        <v>318</v>
      </c>
      <c r="F178" s="6" t="s">
        <v>9</v>
      </c>
      <c r="H178" t="str">
        <f>IF(COUNTIFS(
    Sheet1!$B:$B, B178,
    Sheet1!$C:$C, C178,
    Sheet1!$D:$D, D178,
    Sheet1!$E:$E, E178
) = 0, "NO MATCH IN TARGET", "MATCHED")</f>
        <v>MATCHED</v>
      </c>
    </row>
    <row r="179" spans="1:8" ht="15" thickBot="1" x14ac:dyDescent="0.4">
      <c r="A179" s="7">
        <v>46233.688194444447</v>
      </c>
      <c r="B179" s="11" t="s">
        <v>31</v>
      </c>
      <c r="C179" s="8" t="s">
        <v>16</v>
      </c>
      <c r="D179" s="9">
        <v>40</v>
      </c>
      <c r="E179" s="12">
        <v>229</v>
      </c>
      <c r="F179" s="8" t="s">
        <v>9</v>
      </c>
      <c r="H179" t="str">
        <f>IF(COUNTIFS(
    Sheet1!$B:$B, B179,
    Sheet1!$C:$C, C179,
    Sheet1!$D:$D, D179,
    Sheet1!$E:$E, E179
) = 0, "NO MATCH IN TARGET", "MATCHED")</f>
        <v>MATCHED</v>
      </c>
    </row>
    <row r="180" spans="1:8" ht="29.5" thickBot="1" x14ac:dyDescent="0.4">
      <c r="A180" s="7">
        <v>46233.688194444447</v>
      </c>
      <c r="B180" s="11" t="s">
        <v>44</v>
      </c>
      <c r="C180" s="8" t="s">
        <v>16</v>
      </c>
      <c r="D180" s="9">
        <v>40</v>
      </c>
      <c r="E180" s="12">
        <v>996</v>
      </c>
      <c r="F180" s="8" t="s">
        <v>9</v>
      </c>
      <c r="H180" t="str">
        <f>IF(COUNTIFS(
    Sheet1!$B:$B, B180,
    Sheet1!$C:$C, C180,
    Sheet1!$D:$D, D180,
    Sheet1!$E:$E, E180
) = 0, "NO MATCH IN TARGET", "MATCHED")</f>
        <v>MATCHED</v>
      </c>
    </row>
    <row r="181" spans="1:8" ht="15" thickBot="1" x14ac:dyDescent="0.4">
      <c r="A181" s="7">
        <v>46234.686805555553</v>
      </c>
      <c r="B181" s="8" t="s">
        <v>42</v>
      </c>
      <c r="C181" s="8" t="s">
        <v>16</v>
      </c>
      <c r="D181" s="9">
        <v>100</v>
      </c>
      <c r="E181" s="10">
        <v>319</v>
      </c>
      <c r="F181" s="8" t="s">
        <v>9</v>
      </c>
      <c r="H181" t="str">
        <f>IF(COUNTIFS(
    Sheet1!$B:$B, B181,
    Sheet1!$C:$C, C181,
    Sheet1!$D:$D, D181,
    Sheet1!$E:$E, E181
) = 0, "NO MATCH IN TARGET", "MATCHED")</f>
        <v>MATCHED</v>
      </c>
    </row>
    <row r="182" spans="1:8" ht="15" hidden="1" thickBot="1" x14ac:dyDescent="0.4">
      <c r="A182" s="6" t="s">
        <v>130</v>
      </c>
      <c r="B182" s="6" t="s">
        <v>15</v>
      </c>
      <c r="C182" s="6" t="s">
        <v>16</v>
      </c>
      <c r="D182" s="6">
        <v>10</v>
      </c>
      <c r="E182" s="6">
        <v>2770</v>
      </c>
      <c r="F182" s="6" t="s">
        <v>9</v>
      </c>
      <c r="H182" t="str">
        <f>IF(COUNTIFS(
    Sheet1!$B:$B, B182,
    Sheet1!$C:$C, C182,
    Sheet1!$D:$D, D182,
    Sheet1!$E:$E, E182
) = 0, "NO MATCH IN TARGET", "MATCHED")</f>
        <v>MATCHED</v>
      </c>
    </row>
    <row r="183" spans="1:8" ht="29.5" thickBot="1" x14ac:dyDescent="0.4">
      <c r="A183" s="7">
        <v>46238.690578703703</v>
      </c>
      <c r="B183" s="8" t="s">
        <v>44</v>
      </c>
      <c r="C183" s="8" t="s">
        <v>16</v>
      </c>
      <c r="D183" s="9">
        <v>5</v>
      </c>
      <c r="E183" s="9">
        <v>1002</v>
      </c>
      <c r="F183" s="8" t="s">
        <v>9</v>
      </c>
      <c r="H183" t="str">
        <f>IF(COUNTIFS(
    Sheet1!$B:$B, B183,
    Sheet1!$C:$C, C183,
    Sheet1!$D:$D, D183,
    Sheet1!$E:$E, E183
) = 0, "NO MATCH IN TARGET", "MATCHED")</f>
        <v>MATCHED</v>
      </c>
    </row>
    <row r="184" spans="1:8" ht="15" thickBot="1" x14ac:dyDescent="0.4">
      <c r="A184" s="6" t="s">
        <v>110</v>
      </c>
      <c r="B184" s="6" t="s">
        <v>42</v>
      </c>
      <c r="C184" s="6" t="s">
        <v>16</v>
      </c>
      <c r="D184" s="6">
        <v>150</v>
      </c>
      <c r="E184" s="6">
        <v>323</v>
      </c>
      <c r="F184" s="6" t="s">
        <v>9</v>
      </c>
      <c r="H184" t="str">
        <f>IF(COUNTIFS(
    Sheet1!$B:$B, B184,
    Sheet1!$C:$C, C184,
    Sheet1!$D:$D, D184,
    Sheet1!$E:$E, E184
) = 0, "NO MATCH IN TARGET", "MATCHED")</f>
        <v>MATCHED</v>
      </c>
    </row>
    <row r="185" spans="1:8" ht="15" thickBot="1" x14ac:dyDescent="0.4">
      <c r="A185" s="1">
        <v>46234.6875</v>
      </c>
      <c r="B185" s="2" t="s">
        <v>132</v>
      </c>
      <c r="C185" s="2" t="s">
        <v>16</v>
      </c>
      <c r="D185" s="3">
        <v>35</v>
      </c>
      <c r="E185" s="4">
        <v>494</v>
      </c>
      <c r="F185" s="2" t="s">
        <v>9</v>
      </c>
      <c r="H185" t="str">
        <f>IF(COUNTIFS(
    Sheet1!$B:$B, B185,
    Sheet1!$C:$C, C185,
    Sheet1!$D:$D, D185,
    Sheet1!$E:$E, E185
) = 0, "NO MATCH IN TARGET", "MATCHED")</f>
        <v>MATCHED</v>
      </c>
    </row>
    <row r="186" spans="1:8" ht="15" thickBot="1" x14ac:dyDescent="0.4">
      <c r="A186" t="s">
        <v>133</v>
      </c>
      <c r="B186" t="s">
        <v>134</v>
      </c>
      <c r="C186" t="s">
        <v>16</v>
      </c>
      <c r="D186">
        <v>23</v>
      </c>
      <c r="E186">
        <v>890</v>
      </c>
      <c r="F186" s="6" t="s">
        <v>9</v>
      </c>
      <c r="H186" t="str">
        <f>IF(COUNTIFS(
    Sheet1!$B:$B, B186,
    Sheet1!$C:$C, C186,
    Sheet1!$D:$D, D186,
    Sheet1!$E:$E, E186
) = 0, "NO MATCH IN TARGET", "MATCHED")</f>
        <v>MATCHED</v>
      </c>
    </row>
    <row r="187" spans="1:8" ht="58" hidden="1" x14ac:dyDescent="0.35">
      <c r="A187" s="13" t="s">
        <v>0</v>
      </c>
      <c r="B187" s="13" t="s">
        <v>1</v>
      </c>
      <c r="C187" s="13" t="s">
        <v>2</v>
      </c>
      <c r="D187" s="13" t="s">
        <v>3</v>
      </c>
      <c r="E187" s="13" t="s">
        <v>4</v>
      </c>
      <c r="F187" s="13" t="s">
        <v>5</v>
      </c>
    </row>
  </sheetData>
  <autoFilter ref="H1:H187" xr:uid="{15043029-49E6-4323-9C0E-5B93438939F3}">
    <filterColumn colId="0">
      <filters>
        <filter val="NO MATCH IN TARGET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2026-08-06T12:20:40Z</dcterms:created>
  <dcterms:modified xsi:type="dcterms:W3CDTF">2026-08-06T13:55:52Z</dcterms:modified>
</cp:coreProperties>
</file>