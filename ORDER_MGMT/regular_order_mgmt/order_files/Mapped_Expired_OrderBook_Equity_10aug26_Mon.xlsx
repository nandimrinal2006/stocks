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21DB09EB-0C7B-4AC8-BB55-01BF62A4A6A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Sheet1!$A$1:$Z$217</definedName>
    <definedName name="_xlnm._FilterDatabase" localSheetId="1" hidden="1">Sheet2!$G$1:$G$218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</calcChain>
</file>

<file path=xl/sharedStrings.xml><?xml version="1.0" encoding="utf-8"?>
<sst xmlns="http://schemas.openxmlformats.org/spreadsheetml/2006/main" count="1578" uniqueCount="202">
  <si>
    <t>Date</t>
  </si>
  <si>
    <t>Stock</t>
  </si>
  <si>
    <t>Order Type (Buy/Sell)</t>
  </si>
  <si>
    <t>Quantity</t>
  </si>
  <si>
    <t>Price</t>
  </si>
  <si>
    <t>Status</t>
  </si>
  <si>
    <t>SCIEQ</t>
  </si>
  <si>
    <t>S</t>
  </si>
  <si>
    <t>Expired</t>
  </si>
  <si>
    <t>ARE&amp;MEQ</t>
  </si>
  <si>
    <t>B</t>
  </si>
  <si>
    <t>GRSEEQ</t>
  </si>
  <si>
    <t>MOSCHIPEQ</t>
  </si>
  <si>
    <t>AARTIPHARMEQ</t>
  </si>
  <si>
    <t>RAILTELEQ</t>
  </si>
  <si>
    <t>GOLDBEESEQ</t>
  </si>
  <si>
    <t>NETWEBEQ</t>
  </si>
  <si>
    <t>APOLLOTYREEQ</t>
  </si>
  <si>
    <t>JUSTDIALEQ</t>
  </si>
  <si>
    <t>SILVERBEESEQ</t>
  </si>
  <si>
    <t>ZENTECEQ</t>
  </si>
  <si>
    <t>IGILEQ</t>
  </si>
  <si>
    <t>IRCONEQ</t>
  </si>
  <si>
    <t>E2EEQ</t>
  </si>
  <si>
    <t>SENCOEQ</t>
  </si>
  <si>
    <t>HUDCOEQ</t>
  </si>
  <si>
    <t>WAAREERTLEQ</t>
  </si>
  <si>
    <t>SBINEQ</t>
  </si>
  <si>
    <t>MCXEQ</t>
  </si>
  <si>
    <t>COCHINSHIPEQ</t>
  </si>
  <si>
    <t>HALEQ</t>
  </si>
  <si>
    <t>MAZDOCKEQ</t>
  </si>
  <si>
    <t>INDHOTELEQ</t>
  </si>
  <si>
    <t>KFINTECHEQ</t>
  </si>
  <si>
    <t>CAMSEQ</t>
  </si>
  <si>
    <t>RVNLEQ</t>
  </si>
  <si>
    <t>MAXHEALTHEQ</t>
  </si>
  <si>
    <t>DIXONEQ</t>
  </si>
  <si>
    <t>TCSEQ</t>
  </si>
  <si>
    <t>CGPOWEREQ</t>
  </si>
  <si>
    <t>BDLEQ</t>
  </si>
  <si>
    <t>TVSMOTOREQ</t>
  </si>
  <si>
    <t>SOLARINDSEQ</t>
  </si>
  <si>
    <t>BELEQ</t>
  </si>
  <si>
    <t>CDSLEQ</t>
  </si>
  <si>
    <t>TRENTEQ</t>
  </si>
  <si>
    <t>NAM-INDIAEQ</t>
  </si>
  <si>
    <t>LODHAEQ</t>
  </si>
  <si>
    <t>IRFCEQ</t>
  </si>
  <si>
    <t>BAJFINANCEEQ</t>
  </si>
  <si>
    <t>BSEEQ</t>
  </si>
  <si>
    <t>VBLEQ</t>
  </si>
  <si>
    <t>HDFCAMCEQ</t>
  </si>
  <si>
    <t>LTEQ</t>
  </si>
  <si>
    <t>KAYNESEQ</t>
  </si>
  <si>
    <t>IREDAEQ</t>
  </si>
  <si>
    <t>EXIDEINDEQ</t>
  </si>
  <si>
    <t>KERNEXEQ</t>
  </si>
  <si>
    <t>SONACOMSEQ</t>
  </si>
  <si>
    <t>05 AUG 2026 06:56:58 PM</t>
  </si>
  <si>
    <t>07 AUG 2026 06:22:16 PM</t>
  </si>
  <si>
    <t>06 AUG 2026 04:30:41 PM</t>
  </si>
  <si>
    <t>ITBEESEQ</t>
  </si>
  <si>
    <t>07 AUG 2026 04:30:51 PM</t>
  </si>
  <si>
    <t>07 AUG 2026 06:22:14 PM</t>
  </si>
  <si>
    <t>05 AUG 2026 03:15:10 PM</t>
  </si>
  <si>
    <t>06 AUG 2026 04:30:44 PM</t>
  </si>
  <si>
    <t>05 AUG 2026 06:57:00 PM</t>
  </si>
  <si>
    <t>TMCVEQ</t>
  </si>
  <si>
    <t>07 AUG 2026 04:30:55 PM</t>
  </si>
  <si>
    <t>06 AUG 2026 04:30:48 PM</t>
  </si>
  <si>
    <t>06 AUG 2026 03:15:12 PM</t>
  </si>
  <si>
    <t>LALPATHLABEQ</t>
  </si>
  <si>
    <t>ABBEQ</t>
  </si>
  <si>
    <t>05 AUG 2026 03:15:09 PM</t>
  </si>
  <si>
    <t>06 AUG 2026 03:15:13 PM</t>
  </si>
  <si>
    <t>07 AUG 2026 06:22:17 PM</t>
  </si>
  <si>
    <t>PRINCEPIPEEQ</t>
  </si>
  <si>
    <t>07 AUG 2026 03:15:13 PM</t>
  </si>
  <si>
    <t>07 AUG 2026 03:15:10 PM</t>
  </si>
  <si>
    <t>07 AUG 2026 06:22:15 PM</t>
  </si>
  <si>
    <t>07 AUG 2026 04:30:48 PM</t>
  </si>
  <si>
    <t>05 AUG 2026 07:02:42 PM</t>
  </si>
  <si>
    <t>07 AUG 2026 03:15:11 PM</t>
  </si>
  <si>
    <t>07 AUG 2026 06:22:20 PM</t>
  </si>
  <si>
    <t>05 AUG 2026 04:43:15 PM</t>
  </si>
  <si>
    <t>07 AUG 2026 04:30:45 PM</t>
  </si>
  <si>
    <t>07 AUG 2026 06:21:45 PM</t>
  </si>
  <si>
    <t>URBANCOEQ</t>
  </si>
  <si>
    <t>06 AUG 2026 04:30:51 PM</t>
  </si>
  <si>
    <t>07 AUG 2026 03:15:12 PM</t>
  </si>
  <si>
    <t>MAFANGEQ</t>
  </si>
  <si>
    <t>06 AUG 2026 04:30:40 PM</t>
  </si>
  <si>
    <t>07 AUG 2026 06:21:43 PM</t>
  </si>
  <si>
    <t>07 AUG 2026 06:22:23 PM</t>
  </si>
  <si>
    <t>07 AUG 2026 06:21:41 PM</t>
  </si>
  <si>
    <t>07 AUG 2026 03:15:07 PM</t>
  </si>
  <si>
    <t>07 AUG 2026 03:15:09 PM</t>
  </si>
  <si>
    <t>06 AUG 2026 03:15:14 PM</t>
  </si>
  <si>
    <t>07 AUG 2026 03:29:33 PM</t>
  </si>
  <si>
    <t>07 AUG 2026 06:21:44 PM</t>
  </si>
  <si>
    <t>07 AUG 2026 03:29:34 PM</t>
  </si>
  <si>
    <t>07 AUG 2026 06:22:21 PM</t>
  </si>
  <si>
    <t>07 AUG 2026 06:22:13 PM</t>
  </si>
  <si>
    <t>07 AUG 2026 03:29:28 PM</t>
  </si>
  <si>
    <t>05 AUG 2026 07:02:43 PM</t>
  </si>
  <si>
    <t>07 AUG 2026 03:29:30 PM</t>
  </si>
  <si>
    <t>07 AUG 2026 03:29:29 PM</t>
  </si>
  <si>
    <t>07 AUG 2026 04:30:47 PM</t>
  </si>
  <si>
    <t>07 AUG 2026 03:29:32 PM</t>
  </si>
  <si>
    <t>07 AUG 2026 06:22:11 PM</t>
  </si>
  <si>
    <t>07 AUG 2026 06:21:40 PM</t>
  </si>
  <si>
    <t>07 AUG 2026 06:22:18 PM</t>
  </si>
  <si>
    <t>07 AUG 2026 06:21:38 PM</t>
  </si>
  <si>
    <t>06 AUG 2026 03:28:57 PM</t>
  </si>
  <si>
    <t>07 AUG 2026 06:21:37 PM</t>
  </si>
  <si>
    <t>05 AUG 2026 03:15:12 PM</t>
  </si>
  <si>
    <t>07 AUG 2026 03:29:31 PM</t>
  </si>
  <si>
    <t>07 AUG 2026 03:29:35 PM</t>
  </si>
  <si>
    <t>07 AUG 2026 03:15:14 PM</t>
  </si>
  <si>
    <t>07 AUG 2026 06:22:22 PM</t>
  </si>
  <si>
    <t>05 AUG 2026 03:15:14 PM</t>
  </si>
  <si>
    <t>07 AUG 2026 06:22:19 PM</t>
  </si>
  <si>
    <t>06 AUG 2026 04:30:50 PM</t>
  </si>
  <si>
    <t>07 AUG 2026 04:30:54 PM</t>
  </si>
  <si>
    <t>06 AUG 2026 03:15:10 PM</t>
  </si>
  <si>
    <t>06 AUG 2026 04:30:36 PM</t>
  </si>
  <si>
    <t>07 AUG 2026 04:30:46 PM</t>
  </si>
  <si>
    <t>06 AUG 2026 03:15:16 PM</t>
  </si>
  <si>
    <t>CONCOREQ</t>
  </si>
  <si>
    <t>05 AUG 2026 06:56:53 PM</t>
  </si>
  <si>
    <t>05 AUG 2026 03:15:13 PM</t>
  </si>
  <si>
    <t>05 AUG 2026 07:02:44 PM</t>
  </si>
  <si>
    <t>NSDLEQ</t>
  </si>
  <si>
    <t>10 AUG 2026 09:50:10 AM</t>
  </si>
  <si>
    <t>Executed</t>
  </si>
  <si>
    <t>10 AUG 2026 09:22:23 AM</t>
  </si>
  <si>
    <t>10 AUG 2026 09:01:06 AM</t>
  </si>
  <si>
    <t>10 AUG 2026 09:01:05 AM</t>
  </si>
  <si>
    <t>%Difference</t>
  </si>
  <si>
    <t>NSE Code</t>
  </si>
  <si>
    <t>Latest Recorded Price</t>
  </si>
  <si>
    <t>NSE:SCI</t>
  </si>
  <si>
    <t>NSE:ARE&amp;M</t>
  </si>
  <si>
    <t>NSE:GRSE</t>
  </si>
  <si>
    <t>NSE:MOSCHIP</t>
  </si>
  <si>
    <t>NSE:AARTIPHARM</t>
  </si>
  <si>
    <t>NSE:RAILTEL</t>
  </si>
  <si>
    <t>NSE:GOLDBEES</t>
  </si>
  <si>
    <t>NSE:APOLLOTYRE</t>
  </si>
  <si>
    <t>NSE:IGIL</t>
  </si>
  <si>
    <t>NSE:JUSTDIAL</t>
  </si>
  <si>
    <t>NSE:NETWEB</t>
  </si>
  <si>
    <t>NSE:SILVERBEES</t>
  </si>
  <si>
    <t>NSE:ZENTEC</t>
  </si>
  <si>
    <t>NSE:E2E</t>
  </si>
  <si>
    <t>NSE:HUDCO</t>
  </si>
  <si>
    <t>NSE:IRCON</t>
  </si>
  <si>
    <t>NSE:SENCO</t>
  </si>
  <si>
    <t>NSE:WAAREERTL</t>
  </si>
  <si>
    <t>NSE:IREDA</t>
  </si>
  <si>
    <t>NSE:MCX</t>
  </si>
  <si>
    <t>NSE:RVNL</t>
  </si>
  <si>
    <t>NSE:IRFC</t>
  </si>
  <si>
    <t>NSE:KFINTECH</t>
  </si>
  <si>
    <t>NSE:SOLARINDS</t>
  </si>
  <si>
    <t>NSE:BSE</t>
  </si>
  <si>
    <t>NSE:CDSL</t>
  </si>
  <si>
    <t>NSE:INDHOTEL</t>
  </si>
  <si>
    <t>NSE:BDL</t>
  </si>
  <si>
    <t>NSE:CGPOWER</t>
  </si>
  <si>
    <t>NSE:LODHA</t>
  </si>
  <si>
    <t>NSE:LT</t>
  </si>
  <si>
    <t>NSE:NAM-INDIA</t>
  </si>
  <si>
    <t>NSE:TRENT</t>
  </si>
  <si>
    <t>NSE:CAMS</t>
  </si>
  <si>
    <t>NSE:COCHINSHIP</t>
  </si>
  <si>
    <t>NSE:TVSMOTOR</t>
  </si>
  <si>
    <t>NSE:VBL</t>
  </si>
  <si>
    <t>NSE:TCS</t>
  </si>
  <si>
    <t>NSE:BEL</t>
  </si>
  <si>
    <t>NSE:MAXHEALTH</t>
  </si>
  <si>
    <t>NSE:MAZDOCK</t>
  </si>
  <si>
    <t>NSE:SBIN</t>
  </si>
  <si>
    <t>NSE:HAL</t>
  </si>
  <si>
    <t>NSE:HDFCAMC</t>
  </si>
  <si>
    <t>NSE:BAJFINANCE</t>
  </si>
  <si>
    <t>NSE:DIXON</t>
  </si>
  <si>
    <t>NSE:KAYNES</t>
  </si>
  <si>
    <t>########</t>
  </si>
  <si>
    <t>NSE:EXIDEIND</t>
  </si>
  <si>
    <t>NSE:KERNEX</t>
  </si>
  <si>
    <t>NSE:SONACOMS</t>
  </si>
  <si>
    <t>NSE:ITBEES</t>
  </si>
  <si>
    <t>NSE:TMCV</t>
  </si>
  <si>
    <t>NSE:LALPATHLAB</t>
  </si>
  <si>
    <t>NSE:ABB</t>
  </si>
  <si>
    <t>NSE:PRINCEPIPE</t>
  </si>
  <si>
    <t>NSE:URBANCO</t>
  </si>
  <si>
    <t>NSE:MAFANG</t>
  </si>
  <si>
    <t>NSE:CONCOR</t>
  </si>
  <si>
    <t>NSE:NSDL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</si>
</sst>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22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0" fillId="0" borderId="1" xfId="0" applyBorder="1"/>
    <xf numFmtId="0" fontId="0" fillId="2" borderId="0" xfId="0" applyFill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opLeftCell="A211" workbookViewId="0">
      <selection sqref="A1:E217"/>
    </sheetView>
  </sheetViews>
  <sheetFormatPr defaultRowHeight="14.5" x14ac:dyDescent="0.35"/>
  <cols>
    <col min="1" max="1" width="20.7265625" customWidth="1"/>
    <col min="8" max="8" width="19.7265625" customWidth="1"/>
  </cols>
  <sheetData>
    <row r="1" spans="1:26" ht="58.5" thickBot="1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139</v>
      </c>
      <c r="G1" s="13" t="s">
        <v>140</v>
      </c>
      <c r="H1" s="13" t="s">
        <v>141</v>
      </c>
      <c r="I1" s="6" t="s">
        <v>5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9.5" thickBot="1" x14ac:dyDescent="0.4">
      <c r="A2" s="5">
        <v>46244.645601851851</v>
      </c>
      <c r="B2" s="6" t="s">
        <v>46</v>
      </c>
      <c r="C2" s="6" t="s">
        <v>10</v>
      </c>
      <c r="D2" s="7">
        <v>5</v>
      </c>
      <c r="E2" s="7">
        <v>1162</v>
      </c>
      <c r="F2" s="7">
        <v>-1.1063829789999999</v>
      </c>
      <c r="G2" s="13" t="s">
        <v>173</v>
      </c>
      <c r="H2" s="14">
        <v>1175</v>
      </c>
      <c r="I2" s="6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9.5" thickBot="1" x14ac:dyDescent="0.4">
      <c r="A3" s="5">
        <v>46244.645636574074</v>
      </c>
      <c r="B3" s="6" t="s">
        <v>33</v>
      </c>
      <c r="C3" s="6" t="s">
        <v>10</v>
      </c>
      <c r="D3" s="7">
        <v>20</v>
      </c>
      <c r="E3" s="7">
        <v>917</v>
      </c>
      <c r="F3" s="7">
        <v>-1.2385568119999999</v>
      </c>
      <c r="G3" s="13" t="s">
        <v>164</v>
      </c>
      <c r="H3" s="14">
        <v>928.5</v>
      </c>
      <c r="I3" s="6" t="s">
        <v>8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6.5" thickBot="1" x14ac:dyDescent="0.4">
      <c r="A4" s="5">
        <v>46244.645636574074</v>
      </c>
      <c r="B4" s="6" t="s">
        <v>35</v>
      </c>
      <c r="C4" s="6" t="s">
        <v>10</v>
      </c>
      <c r="D4" s="7">
        <v>200</v>
      </c>
      <c r="E4" s="7">
        <v>227.5</v>
      </c>
      <c r="F4" s="7">
        <v>-1.301518438</v>
      </c>
      <c r="G4" s="13" t="s">
        <v>162</v>
      </c>
      <c r="H4" s="14">
        <v>230.5</v>
      </c>
      <c r="I4" s="6" t="s">
        <v>8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6.5" thickBot="1" x14ac:dyDescent="0.4">
      <c r="A5" s="5">
        <v>46244.645648148151</v>
      </c>
      <c r="B5" s="6" t="s">
        <v>48</v>
      </c>
      <c r="C5" s="6" t="s">
        <v>10</v>
      </c>
      <c r="D5" s="7">
        <v>100</v>
      </c>
      <c r="E5" s="7">
        <v>87.3</v>
      </c>
      <c r="F5" s="7">
        <v>-1.322482197</v>
      </c>
      <c r="G5" s="13" t="s">
        <v>163</v>
      </c>
      <c r="H5" s="14">
        <v>88.47</v>
      </c>
      <c r="I5" s="6" t="s">
        <v>8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6.5" thickBot="1" x14ac:dyDescent="0.4">
      <c r="A6" s="5">
        <v>46244.76730324074</v>
      </c>
      <c r="B6" s="6" t="s">
        <v>11</v>
      </c>
      <c r="C6" s="6" t="s">
        <v>10</v>
      </c>
      <c r="D6" s="7">
        <v>10</v>
      </c>
      <c r="E6" s="7">
        <v>2552</v>
      </c>
      <c r="F6" s="7">
        <v>-1.5811801000000001</v>
      </c>
      <c r="G6" s="13" t="s">
        <v>144</v>
      </c>
      <c r="H6" s="14">
        <v>2593</v>
      </c>
      <c r="I6" s="6" t="s">
        <v>8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9.5" thickBot="1" x14ac:dyDescent="0.4">
      <c r="A7" s="5">
        <v>46244.767592592594</v>
      </c>
      <c r="B7" s="6" t="s">
        <v>9</v>
      </c>
      <c r="C7" s="6" t="s">
        <v>10</v>
      </c>
      <c r="D7" s="7">
        <v>11</v>
      </c>
      <c r="E7" s="7">
        <v>882</v>
      </c>
      <c r="F7" s="7">
        <v>-1.661277734</v>
      </c>
      <c r="G7" s="13" t="s">
        <v>143</v>
      </c>
      <c r="H7" s="14">
        <v>896.9</v>
      </c>
      <c r="I7" s="6" t="s">
        <v>8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" thickBot="1" x14ac:dyDescent="0.4">
      <c r="A8" s="5">
        <v>46244.767326388886</v>
      </c>
      <c r="B8" s="6" t="s">
        <v>21</v>
      </c>
      <c r="C8" s="6" t="s">
        <v>10</v>
      </c>
      <c r="D8" s="7">
        <v>50</v>
      </c>
      <c r="E8" s="7">
        <v>348</v>
      </c>
      <c r="F8" s="7">
        <v>-1.8058690740000001</v>
      </c>
      <c r="G8" s="13" t="s">
        <v>150</v>
      </c>
      <c r="H8" s="14">
        <v>354.4</v>
      </c>
      <c r="I8" s="6" t="s">
        <v>8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9.5" thickBot="1" x14ac:dyDescent="0.4">
      <c r="A9" s="5">
        <v>46244.767418981479</v>
      </c>
      <c r="B9" s="6" t="s">
        <v>12</v>
      </c>
      <c r="C9" s="6" t="s">
        <v>10</v>
      </c>
      <c r="D9" s="7">
        <v>50</v>
      </c>
      <c r="E9" s="7">
        <v>201</v>
      </c>
      <c r="F9" s="7">
        <v>-1.8794239690000001</v>
      </c>
      <c r="G9" s="13" t="s">
        <v>145</v>
      </c>
      <c r="H9" s="14">
        <v>204.85</v>
      </c>
      <c r="I9" s="6" t="s">
        <v>8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6.5" thickBot="1" x14ac:dyDescent="0.4">
      <c r="A10" s="5">
        <v>46244.76730324074</v>
      </c>
      <c r="B10" s="6" t="s">
        <v>22</v>
      </c>
      <c r="C10" s="6" t="s">
        <v>10</v>
      </c>
      <c r="D10" s="7">
        <v>150</v>
      </c>
      <c r="E10" s="7">
        <v>128</v>
      </c>
      <c r="F10" s="7">
        <v>-1.8931555149999999</v>
      </c>
      <c r="G10" s="13" t="s">
        <v>157</v>
      </c>
      <c r="H10" s="14">
        <v>130.47</v>
      </c>
      <c r="I10" s="6" t="s">
        <v>8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9.5" thickBot="1" x14ac:dyDescent="0.4">
      <c r="A11" s="5">
        <v>46244.645590277774</v>
      </c>
      <c r="B11" s="6" t="s">
        <v>46</v>
      </c>
      <c r="C11" s="6" t="s">
        <v>10</v>
      </c>
      <c r="D11" s="7">
        <v>5</v>
      </c>
      <c r="E11" s="7">
        <v>1152</v>
      </c>
      <c r="F11" s="7">
        <v>-1.9574468089999999</v>
      </c>
      <c r="G11" s="13" t="s">
        <v>173</v>
      </c>
      <c r="H11" s="14">
        <v>1175</v>
      </c>
      <c r="I11" s="6" t="s">
        <v>8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9.5" thickBot="1" x14ac:dyDescent="0.4">
      <c r="A12" s="5">
        <v>46241.765462962961</v>
      </c>
      <c r="B12" s="6" t="s">
        <v>57</v>
      </c>
      <c r="C12" s="6" t="s">
        <v>10</v>
      </c>
      <c r="D12" s="7">
        <v>1</v>
      </c>
      <c r="E12" s="7">
        <v>2264</v>
      </c>
      <c r="F12" s="7">
        <v>-1.9913419910000001</v>
      </c>
      <c r="G12" s="13" t="s">
        <v>191</v>
      </c>
      <c r="H12" s="14">
        <v>2310</v>
      </c>
      <c r="I12" s="6" t="s">
        <v>8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9.5" thickBot="1" x14ac:dyDescent="0.4">
      <c r="A13" s="5">
        <v>46244.645613425928</v>
      </c>
      <c r="B13" s="6" t="s">
        <v>32</v>
      </c>
      <c r="C13" s="6" t="s">
        <v>10</v>
      </c>
      <c r="D13" s="7">
        <v>5</v>
      </c>
      <c r="E13" s="7">
        <v>712</v>
      </c>
      <c r="F13" s="7">
        <v>-1.9958706129999999</v>
      </c>
      <c r="G13" s="13" t="s">
        <v>168</v>
      </c>
      <c r="H13" s="14">
        <v>726.5</v>
      </c>
      <c r="I13" s="6" t="s">
        <v>8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6.5" thickBot="1" x14ac:dyDescent="0.4">
      <c r="A14" s="5">
        <v>46244.76730324074</v>
      </c>
      <c r="B14" s="6" t="s">
        <v>11</v>
      </c>
      <c r="C14" s="6" t="s">
        <v>10</v>
      </c>
      <c r="D14" s="7">
        <v>5</v>
      </c>
      <c r="E14" s="7">
        <v>2540</v>
      </c>
      <c r="F14" s="7">
        <v>-2.0439645199999998</v>
      </c>
      <c r="G14" s="13" t="s">
        <v>144</v>
      </c>
      <c r="H14" s="14">
        <v>2593</v>
      </c>
      <c r="I14" s="6" t="s">
        <v>8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9" thickBot="1" x14ac:dyDescent="0.4">
      <c r="A15" s="5">
        <v>46244.76730324074</v>
      </c>
      <c r="B15" s="6" t="s">
        <v>17</v>
      </c>
      <c r="C15" s="6" t="s">
        <v>10</v>
      </c>
      <c r="D15" s="7">
        <v>40</v>
      </c>
      <c r="E15" s="7">
        <v>436</v>
      </c>
      <c r="F15" s="7">
        <v>-2.1873247340000002</v>
      </c>
      <c r="G15" s="13" t="s">
        <v>149</v>
      </c>
      <c r="H15" s="14">
        <v>445.75</v>
      </c>
      <c r="I15" s="6" t="s">
        <v>8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6.5" thickBot="1" x14ac:dyDescent="0.4">
      <c r="A16" s="5">
        <v>46244.645613425928</v>
      </c>
      <c r="B16" s="6" t="s">
        <v>44</v>
      </c>
      <c r="C16" s="6" t="s">
        <v>10</v>
      </c>
      <c r="D16" s="7">
        <v>3</v>
      </c>
      <c r="E16" s="7">
        <v>1302</v>
      </c>
      <c r="F16" s="7">
        <v>-2.2889305819999999</v>
      </c>
      <c r="G16" s="13" t="s">
        <v>167</v>
      </c>
      <c r="H16" s="14">
        <v>1332.5</v>
      </c>
      <c r="I16" s="6" t="s">
        <v>8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9.5" thickBot="1" x14ac:dyDescent="0.4">
      <c r="A17" s="5">
        <v>46244.645601851851</v>
      </c>
      <c r="B17" s="6" t="s">
        <v>47</v>
      </c>
      <c r="C17" s="6" t="s">
        <v>10</v>
      </c>
      <c r="D17" s="7">
        <v>5</v>
      </c>
      <c r="E17" s="7">
        <v>1188</v>
      </c>
      <c r="F17" s="7">
        <v>-2.7027027029999999</v>
      </c>
      <c r="G17" s="13" t="s">
        <v>171</v>
      </c>
      <c r="H17" s="14">
        <v>1221</v>
      </c>
      <c r="I17" s="6" t="s">
        <v>8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6.5" thickBot="1" x14ac:dyDescent="0.4">
      <c r="A18" s="5">
        <v>46244.645601851851</v>
      </c>
      <c r="B18" s="6" t="s">
        <v>45</v>
      </c>
      <c r="C18" s="6" t="s">
        <v>10</v>
      </c>
      <c r="D18" s="7">
        <v>5</v>
      </c>
      <c r="E18" s="7">
        <v>2938</v>
      </c>
      <c r="F18" s="7">
        <v>-2.7152317880000001</v>
      </c>
      <c r="G18" s="13" t="s">
        <v>174</v>
      </c>
      <c r="H18" s="14">
        <v>3020</v>
      </c>
      <c r="I18" s="6" t="s">
        <v>8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9.5" thickBot="1" x14ac:dyDescent="0.4">
      <c r="A19" s="5">
        <v>46181.6875</v>
      </c>
      <c r="B19" s="6" t="s">
        <v>88</v>
      </c>
      <c r="C19" s="6" t="s">
        <v>10</v>
      </c>
      <c r="D19" s="7">
        <v>45</v>
      </c>
      <c r="E19" s="7">
        <v>136.15</v>
      </c>
      <c r="F19" s="7">
        <v>-2.75</v>
      </c>
      <c r="G19" s="13" t="s">
        <v>198</v>
      </c>
      <c r="H19" s="14">
        <v>140</v>
      </c>
      <c r="I19" s="6" t="s">
        <v>8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9.5" thickBot="1" x14ac:dyDescent="0.4">
      <c r="A20" s="5">
        <v>46244.645590277774</v>
      </c>
      <c r="B20" s="6" t="s">
        <v>46</v>
      </c>
      <c r="C20" s="6" t="s">
        <v>10</v>
      </c>
      <c r="D20" s="7">
        <v>5</v>
      </c>
      <c r="E20" s="7">
        <v>1142</v>
      </c>
      <c r="F20" s="7">
        <v>-2.808510638</v>
      </c>
      <c r="G20" s="13" t="s">
        <v>173</v>
      </c>
      <c r="H20" s="14">
        <v>1175</v>
      </c>
      <c r="I20" s="6" t="s">
        <v>8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" thickBot="1" x14ac:dyDescent="0.4">
      <c r="A21" s="5">
        <v>46181.6875</v>
      </c>
      <c r="B21" s="6" t="s">
        <v>21</v>
      </c>
      <c r="C21" s="6" t="s">
        <v>10</v>
      </c>
      <c r="D21" s="7">
        <v>50</v>
      </c>
      <c r="E21" s="7">
        <v>344</v>
      </c>
      <c r="F21" s="7">
        <v>-2.9345372460000001</v>
      </c>
      <c r="G21" s="13" t="s">
        <v>150</v>
      </c>
      <c r="H21" s="14">
        <v>354.4</v>
      </c>
      <c r="I21" s="6" t="s">
        <v>8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9" thickBot="1" x14ac:dyDescent="0.4">
      <c r="A22" s="5">
        <v>46244.767326388886</v>
      </c>
      <c r="B22" s="6" t="s">
        <v>19</v>
      </c>
      <c r="C22" s="6" t="s">
        <v>10</v>
      </c>
      <c r="D22" s="7">
        <v>150</v>
      </c>
      <c r="E22" s="7">
        <v>214</v>
      </c>
      <c r="F22" s="7">
        <v>-2.9654484449999998</v>
      </c>
      <c r="G22" s="13" t="s">
        <v>153</v>
      </c>
      <c r="H22" s="14">
        <v>220.54</v>
      </c>
      <c r="I22" s="6" t="s">
        <v>8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" thickBot="1" x14ac:dyDescent="0.4">
      <c r="A23" s="5">
        <v>46241.645509259259</v>
      </c>
      <c r="B23" s="6" t="s">
        <v>53</v>
      </c>
      <c r="C23" s="6" t="s">
        <v>10</v>
      </c>
      <c r="D23" s="7">
        <v>10</v>
      </c>
      <c r="E23" s="7">
        <v>3950</v>
      </c>
      <c r="F23" s="7">
        <v>-3.0198870609999999</v>
      </c>
      <c r="G23" s="13" t="s">
        <v>172</v>
      </c>
      <c r="H23" s="14">
        <v>4073</v>
      </c>
      <c r="I23" s="6" t="s">
        <v>8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" thickBot="1" x14ac:dyDescent="0.4">
      <c r="A24" s="5">
        <v>46244.767384259256</v>
      </c>
      <c r="B24" s="6" t="s">
        <v>6</v>
      </c>
      <c r="C24" s="6" t="s">
        <v>10</v>
      </c>
      <c r="D24" s="7">
        <v>30</v>
      </c>
      <c r="E24" s="7">
        <v>286</v>
      </c>
      <c r="F24" s="7">
        <v>-3.0672767329999999</v>
      </c>
      <c r="G24" s="13" t="s">
        <v>142</v>
      </c>
      <c r="H24" s="14">
        <v>295.05</v>
      </c>
      <c r="I24" s="6" t="s">
        <v>8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9.5" thickBot="1" x14ac:dyDescent="0.4">
      <c r="A25" s="5">
        <v>46244.767326388886</v>
      </c>
      <c r="B25" s="6" t="s">
        <v>20</v>
      </c>
      <c r="C25" s="6" t="s">
        <v>10</v>
      </c>
      <c r="D25" s="7">
        <v>10</v>
      </c>
      <c r="E25" s="7">
        <v>1666</v>
      </c>
      <c r="F25" s="7">
        <v>-3.1395348840000001</v>
      </c>
      <c r="G25" s="13" t="s">
        <v>154</v>
      </c>
      <c r="H25" s="14">
        <v>1720</v>
      </c>
      <c r="I25" s="6" t="s">
        <v>8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6.5" thickBot="1" x14ac:dyDescent="0.4">
      <c r="A26" s="5">
        <v>46241.765092592592</v>
      </c>
      <c r="B26" s="6" t="s">
        <v>11</v>
      </c>
      <c r="C26" s="6" t="s">
        <v>10</v>
      </c>
      <c r="D26" s="7">
        <v>5</v>
      </c>
      <c r="E26" s="7">
        <v>2510</v>
      </c>
      <c r="F26" s="7">
        <v>-3.2009255689999998</v>
      </c>
      <c r="G26" s="13" t="s">
        <v>144</v>
      </c>
      <c r="H26" s="14">
        <v>2593</v>
      </c>
      <c r="I26" s="6" t="s">
        <v>8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6.5" thickBot="1" x14ac:dyDescent="0.4">
      <c r="A27" s="5">
        <v>46244.63559027778</v>
      </c>
      <c r="B27" s="6" t="s">
        <v>34</v>
      </c>
      <c r="C27" s="6" t="s">
        <v>10</v>
      </c>
      <c r="D27" s="7">
        <v>25</v>
      </c>
      <c r="E27" s="7">
        <v>764</v>
      </c>
      <c r="F27" s="7">
        <v>-3.2360205180000001</v>
      </c>
      <c r="G27" s="13" t="s">
        <v>175</v>
      </c>
      <c r="H27" s="14">
        <v>789.55</v>
      </c>
      <c r="I27" s="6" t="s">
        <v>8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" thickBot="1" x14ac:dyDescent="0.4">
      <c r="A28" s="5">
        <v>46244.635555555556</v>
      </c>
      <c r="B28" s="6" t="s">
        <v>38</v>
      </c>
      <c r="C28" s="6" t="s">
        <v>10</v>
      </c>
      <c r="D28" s="7">
        <v>8</v>
      </c>
      <c r="E28" s="7">
        <v>2352</v>
      </c>
      <c r="F28" s="7">
        <v>-3.265608292</v>
      </c>
      <c r="G28" s="13" t="s">
        <v>179</v>
      </c>
      <c r="H28" s="14">
        <v>2431.4</v>
      </c>
      <c r="I28" s="6" t="s">
        <v>8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9.5" thickBot="1" x14ac:dyDescent="0.4">
      <c r="A29" s="5">
        <v>46244.63559027778</v>
      </c>
      <c r="B29" s="6" t="s">
        <v>39</v>
      </c>
      <c r="C29" s="6" t="s">
        <v>10</v>
      </c>
      <c r="D29" s="7">
        <v>50</v>
      </c>
      <c r="E29" s="7">
        <v>850</v>
      </c>
      <c r="F29" s="7">
        <v>-3.2882011609999999</v>
      </c>
      <c r="G29" s="13" t="s">
        <v>170</v>
      </c>
      <c r="H29" s="14">
        <v>878.9</v>
      </c>
      <c r="I29" s="6" t="s">
        <v>8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" thickBot="1" x14ac:dyDescent="0.4">
      <c r="A30" s="5">
        <v>46244.63554398148</v>
      </c>
      <c r="B30" s="6" t="s">
        <v>43</v>
      </c>
      <c r="C30" s="6" t="s">
        <v>10</v>
      </c>
      <c r="D30" s="7">
        <v>100</v>
      </c>
      <c r="E30" s="7">
        <v>390</v>
      </c>
      <c r="F30" s="7">
        <v>-3.3097805880000002</v>
      </c>
      <c r="G30" s="13" t="s">
        <v>180</v>
      </c>
      <c r="H30" s="14">
        <v>403.35</v>
      </c>
      <c r="I30" s="6" t="s">
        <v>8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" thickBot="1" x14ac:dyDescent="0.4">
      <c r="A31" s="5">
        <v>46211.645138888889</v>
      </c>
      <c r="B31" s="6" t="s">
        <v>53</v>
      </c>
      <c r="C31" s="6" t="s">
        <v>10</v>
      </c>
      <c r="D31" s="7">
        <v>5</v>
      </c>
      <c r="E31" s="7">
        <v>3938</v>
      </c>
      <c r="F31" s="7">
        <v>-3.3145101889999999</v>
      </c>
      <c r="G31" s="13" t="s">
        <v>172</v>
      </c>
      <c r="H31" s="14">
        <v>4073</v>
      </c>
      <c r="I31" s="6" t="s">
        <v>8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29.5" thickBot="1" x14ac:dyDescent="0.4">
      <c r="A32" s="5">
        <v>46244.63559027778</v>
      </c>
      <c r="B32" s="6" t="s">
        <v>41</v>
      </c>
      <c r="C32" s="6" t="s">
        <v>10</v>
      </c>
      <c r="D32" s="7">
        <v>1</v>
      </c>
      <c r="E32" s="7">
        <v>4306</v>
      </c>
      <c r="F32" s="7">
        <v>-3.3228558600000002</v>
      </c>
      <c r="G32" s="13" t="s">
        <v>177</v>
      </c>
      <c r="H32" s="14">
        <v>4454</v>
      </c>
      <c r="I32" s="6" t="s">
        <v>8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9.5" thickBot="1" x14ac:dyDescent="0.4">
      <c r="A33" s="15" t="s">
        <v>189</v>
      </c>
      <c r="B33" s="6" t="s">
        <v>32</v>
      </c>
      <c r="C33" s="6" t="s">
        <v>10</v>
      </c>
      <c r="D33" s="7">
        <v>5</v>
      </c>
      <c r="E33" s="7">
        <v>702</v>
      </c>
      <c r="F33" s="7">
        <v>-3.372333104</v>
      </c>
      <c r="G33" s="13" t="s">
        <v>168</v>
      </c>
      <c r="H33" s="14">
        <v>726.5</v>
      </c>
      <c r="I33" s="6" t="s">
        <v>8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9.5" thickBot="1" x14ac:dyDescent="0.4">
      <c r="A34" s="5">
        <v>46244.635520833333</v>
      </c>
      <c r="B34" s="6" t="s">
        <v>33</v>
      </c>
      <c r="C34" s="6" t="s">
        <v>10</v>
      </c>
      <c r="D34" s="7">
        <v>40</v>
      </c>
      <c r="E34" s="7">
        <v>897</v>
      </c>
      <c r="F34" s="7">
        <v>-3.3925686590000002</v>
      </c>
      <c r="G34" s="13" t="s">
        <v>164</v>
      </c>
      <c r="H34" s="14">
        <v>928.5</v>
      </c>
      <c r="I34" s="6" t="s">
        <v>8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39" thickBot="1" x14ac:dyDescent="0.4">
      <c r="A35" s="5">
        <v>46244.63559027778</v>
      </c>
      <c r="B35" s="6" t="s">
        <v>29</v>
      </c>
      <c r="C35" s="6" t="s">
        <v>10</v>
      </c>
      <c r="D35" s="7">
        <v>10</v>
      </c>
      <c r="E35" s="7">
        <v>1452</v>
      </c>
      <c r="F35" s="7">
        <v>-3.406067057</v>
      </c>
      <c r="G35" s="13" t="s">
        <v>176</v>
      </c>
      <c r="H35" s="14">
        <v>1503.2</v>
      </c>
      <c r="I35" s="6" t="s">
        <v>8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9.5" thickBot="1" x14ac:dyDescent="0.4">
      <c r="A36" s="5">
        <v>46244.635520833333</v>
      </c>
      <c r="B36" s="6" t="s">
        <v>49</v>
      </c>
      <c r="C36" s="6" t="s">
        <v>10</v>
      </c>
      <c r="D36" s="7">
        <v>4</v>
      </c>
      <c r="E36" s="7">
        <v>1066</v>
      </c>
      <c r="F36" s="7">
        <v>-3.5294117649999999</v>
      </c>
      <c r="G36" s="13" t="s">
        <v>186</v>
      </c>
      <c r="H36" s="14">
        <v>1105</v>
      </c>
      <c r="I36" s="6" t="s">
        <v>8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9.5" thickBot="1" x14ac:dyDescent="0.4">
      <c r="A37" s="5">
        <v>46241.63553240741</v>
      </c>
      <c r="B37" s="6" t="s">
        <v>52</v>
      </c>
      <c r="C37" s="6" t="s">
        <v>10</v>
      </c>
      <c r="D37" s="7">
        <v>2</v>
      </c>
      <c r="E37" s="7">
        <v>2460</v>
      </c>
      <c r="F37" s="7">
        <v>-3.6427732079999999</v>
      </c>
      <c r="G37" s="13" t="s">
        <v>185</v>
      </c>
      <c r="H37" s="14">
        <v>2553</v>
      </c>
      <c r="I37" s="6" t="s">
        <v>8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29.5" thickBot="1" x14ac:dyDescent="0.4">
      <c r="A38" s="5">
        <v>46240.635578703703</v>
      </c>
      <c r="B38" s="6" t="s">
        <v>46</v>
      </c>
      <c r="C38" s="6" t="s">
        <v>10</v>
      </c>
      <c r="D38" s="7">
        <v>5</v>
      </c>
      <c r="E38" s="7">
        <v>1132</v>
      </c>
      <c r="F38" s="7">
        <v>-3.6595744680000002</v>
      </c>
      <c r="G38" s="13" t="s">
        <v>173</v>
      </c>
      <c r="H38" s="14">
        <v>1175</v>
      </c>
      <c r="I38" s="6" t="s">
        <v>8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" thickBot="1" x14ac:dyDescent="0.4">
      <c r="A39" s="5">
        <v>46244.63553240741</v>
      </c>
      <c r="B39" s="6" t="s">
        <v>40</v>
      </c>
      <c r="C39" s="6" t="s">
        <v>10</v>
      </c>
      <c r="D39" s="7">
        <v>10</v>
      </c>
      <c r="E39" s="7">
        <v>1260</v>
      </c>
      <c r="F39" s="7">
        <v>-3.8167938929999998</v>
      </c>
      <c r="G39" s="13" t="s">
        <v>169</v>
      </c>
      <c r="H39" s="14">
        <v>1310</v>
      </c>
      <c r="I39" s="6" t="s">
        <v>8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26.5" thickBot="1" x14ac:dyDescent="0.4">
      <c r="A40" s="5">
        <v>46244.635520833333</v>
      </c>
      <c r="B40" s="6" t="s">
        <v>27</v>
      </c>
      <c r="C40" s="6" t="s">
        <v>10</v>
      </c>
      <c r="D40" s="7">
        <v>10</v>
      </c>
      <c r="E40" s="7">
        <v>1030</v>
      </c>
      <c r="F40" s="7">
        <v>-3.828197946</v>
      </c>
      <c r="G40" s="13" t="s">
        <v>183</v>
      </c>
      <c r="H40" s="14">
        <v>1071</v>
      </c>
      <c r="I40" s="6" t="s">
        <v>8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29.5" thickBot="1" x14ac:dyDescent="0.4">
      <c r="A41" s="5">
        <v>46244.63553240741</v>
      </c>
      <c r="B41" s="6" t="s">
        <v>42</v>
      </c>
      <c r="C41" s="6" t="s">
        <v>10</v>
      </c>
      <c r="D41" s="7">
        <v>1</v>
      </c>
      <c r="E41" s="7">
        <v>18052</v>
      </c>
      <c r="F41" s="7">
        <v>-3.8354996799999999</v>
      </c>
      <c r="G41" s="13" t="s">
        <v>165</v>
      </c>
      <c r="H41" s="14">
        <v>18772</v>
      </c>
      <c r="I41" s="6" t="s">
        <v>8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39" thickBot="1" x14ac:dyDescent="0.4">
      <c r="A42" s="5">
        <v>46244.767326388886</v>
      </c>
      <c r="B42" s="6" t="s">
        <v>19</v>
      </c>
      <c r="C42" s="6" t="s">
        <v>10</v>
      </c>
      <c r="D42" s="7">
        <v>50</v>
      </c>
      <c r="E42" s="7">
        <v>212</v>
      </c>
      <c r="F42" s="7">
        <v>-3.8723134130000001</v>
      </c>
      <c r="G42" s="13" t="s">
        <v>153</v>
      </c>
      <c r="H42" s="14">
        <v>220.54</v>
      </c>
      <c r="I42" s="6" t="s">
        <v>8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29.5" thickBot="1" x14ac:dyDescent="0.4">
      <c r="A43" s="5">
        <v>46244.767326388886</v>
      </c>
      <c r="B43" s="6" t="s">
        <v>16</v>
      </c>
      <c r="C43" s="6" t="s">
        <v>10</v>
      </c>
      <c r="D43" s="7">
        <v>3</v>
      </c>
      <c r="E43" s="7">
        <v>4710</v>
      </c>
      <c r="F43" s="7">
        <v>-3.873627495</v>
      </c>
      <c r="G43" s="13" t="s">
        <v>152</v>
      </c>
      <c r="H43" s="14">
        <v>4899.8</v>
      </c>
      <c r="I43" s="6" t="s">
        <v>8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26.5" thickBot="1" x14ac:dyDescent="0.4">
      <c r="A44" s="5">
        <v>46211.6875</v>
      </c>
      <c r="B44" s="6" t="s">
        <v>11</v>
      </c>
      <c r="C44" s="6" t="s">
        <v>10</v>
      </c>
      <c r="D44" s="7">
        <v>5</v>
      </c>
      <c r="E44" s="7">
        <v>2490</v>
      </c>
      <c r="F44" s="7">
        <v>-3.9722329350000001</v>
      </c>
      <c r="G44" s="13" t="s">
        <v>144</v>
      </c>
      <c r="H44" s="14">
        <v>2593</v>
      </c>
      <c r="I44" s="6" t="s">
        <v>8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" thickBot="1" x14ac:dyDescent="0.4">
      <c r="A45" s="5">
        <v>46244.767326388886</v>
      </c>
      <c r="B45" s="6" t="s">
        <v>21</v>
      </c>
      <c r="C45" s="6" t="s">
        <v>10</v>
      </c>
      <c r="D45" s="7">
        <v>100</v>
      </c>
      <c r="E45" s="7">
        <v>340.2</v>
      </c>
      <c r="F45" s="7">
        <v>-4.0067720089999996</v>
      </c>
      <c r="G45" s="13" t="s">
        <v>150</v>
      </c>
      <c r="H45" s="14">
        <v>354.4</v>
      </c>
      <c r="I45" s="6" t="s">
        <v>8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29.5" thickBot="1" x14ac:dyDescent="0.4">
      <c r="A46" s="5">
        <v>46244.767326388886</v>
      </c>
      <c r="B46" s="6" t="s">
        <v>18</v>
      </c>
      <c r="C46" s="6" t="s">
        <v>10</v>
      </c>
      <c r="D46" s="7">
        <v>5</v>
      </c>
      <c r="E46" s="7">
        <v>660</v>
      </c>
      <c r="F46" s="7">
        <v>-4.0279191509999999</v>
      </c>
      <c r="G46" s="13" t="s">
        <v>151</v>
      </c>
      <c r="H46" s="14">
        <v>687.7</v>
      </c>
      <c r="I46" s="6" t="s">
        <v>8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29.5" thickBot="1" x14ac:dyDescent="0.4">
      <c r="A47" s="5">
        <v>46244.767592592594</v>
      </c>
      <c r="B47" s="6" t="s">
        <v>9</v>
      </c>
      <c r="C47" s="6" t="s">
        <v>10</v>
      </c>
      <c r="D47" s="7">
        <v>30</v>
      </c>
      <c r="E47" s="7">
        <v>860</v>
      </c>
      <c r="F47" s="7">
        <v>-4.1141710339999999</v>
      </c>
      <c r="G47" s="13" t="s">
        <v>143</v>
      </c>
      <c r="H47" s="14">
        <v>896.9</v>
      </c>
      <c r="I47" s="6" t="s">
        <v>8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26.5" thickBot="1" x14ac:dyDescent="0.4">
      <c r="A48" s="5">
        <v>46211.635416666664</v>
      </c>
      <c r="B48" s="6" t="s">
        <v>44</v>
      </c>
      <c r="C48" s="6" t="s">
        <v>10</v>
      </c>
      <c r="D48" s="7">
        <v>69</v>
      </c>
      <c r="E48" s="7">
        <v>1277</v>
      </c>
      <c r="F48" s="7">
        <v>-4.1651031889999999</v>
      </c>
      <c r="G48" s="13" t="s">
        <v>167</v>
      </c>
      <c r="H48" s="14">
        <v>1332.5</v>
      </c>
      <c r="I48" s="6" t="s">
        <v>8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39" thickBot="1" x14ac:dyDescent="0.4">
      <c r="A49" s="5">
        <v>46244.63559027778</v>
      </c>
      <c r="B49" s="6" t="s">
        <v>29</v>
      </c>
      <c r="C49" s="6" t="s">
        <v>10</v>
      </c>
      <c r="D49" s="7">
        <v>10</v>
      </c>
      <c r="E49" s="7">
        <v>1440</v>
      </c>
      <c r="F49" s="7">
        <v>-4.2043640230000001</v>
      </c>
      <c r="G49" s="13" t="s">
        <v>176</v>
      </c>
      <c r="H49" s="14">
        <v>1503.2</v>
      </c>
      <c r="I49" s="6" t="s">
        <v>8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29.5" thickBot="1" x14ac:dyDescent="0.4">
      <c r="A50" s="5">
        <v>46244.767418981479</v>
      </c>
      <c r="B50" s="6" t="s">
        <v>12</v>
      </c>
      <c r="C50" s="6" t="s">
        <v>10</v>
      </c>
      <c r="D50" s="7">
        <v>50</v>
      </c>
      <c r="E50" s="7">
        <v>196</v>
      </c>
      <c r="F50" s="7">
        <v>-4.3202343179999998</v>
      </c>
      <c r="G50" s="13" t="s">
        <v>145</v>
      </c>
      <c r="H50" s="14">
        <v>204.85</v>
      </c>
      <c r="I50" s="6" t="s">
        <v>8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6.5" thickBot="1" x14ac:dyDescent="0.4">
      <c r="A51" s="5">
        <v>46244.635509259257</v>
      </c>
      <c r="B51" s="6" t="s">
        <v>37</v>
      </c>
      <c r="C51" s="6" t="s">
        <v>10</v>
      </c>
      <c r="D51" s="7">
        <v>1</v>
      </c>
      <c r="E51" s="7">
        <v>13552</v>
      </c>
      <c r="F51" s="7">
        <v>-4.3613267469999997</v>
      </c>
      <c r="G51" s="13" t="s">
        <v>187</v>
      </c>
      <c r="H51" s="14">
        <v>14170</v>
      </c>
      <c r="I51" s="6" t="s">
        <v>8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26.5" thickBot="1" x14ac:dyDescent="0.4">
      <c r="A52" s="5">
        <v>46211.635416666664</v>
      </c>
      <c r="B52" s="6" t="s">
        <v>45</v>
      </c>
      <c r="C52" s="6" t="s">
        <v>10</v>
      </c>
      <c r="D52" s="7">
        <v>5</v>
      </c>
      <c r="E52" s="7">
        <v>2888</v>
      </c>
      <c r="F52" s="7">
        <v>-4.3708609269999998</v>
      </c>
      <c r="G52" s="13" t="s">
        <v>174</v>
      </c>
      <c r="H52" s="14">
        <v>3020</v>
      </c>
      <c r="I52" s="6" t="s">
        <v>8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39" thickBot="1" x14ac:dyDescent="0.4">
      <c r="A53" s="5">
        <v>46244.767326388886</v>
      </c>
      <c r="B53" s="6" t="s">
        <v>17</v>
      </c>
      <c r="C53" s="6" t="s">
        <v>10</v>
      </c>
      <c r="D53" s="7">
        <v>40</v>
      </c>
      <c r="E53" s="7">
        <v>426</v>
      </c>
      <c r="F53" s="7">
        <v>-4.430734717</v>
      </c>
      <c r="G53" s="13" t="s">
        <v>149</v>
      </c>
      <c r="H53" s="14">
        <v>445.75</v>
      </c>
      <c r="I53" s="6" t="s">
        <v>8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29.5" thickBot="1" x14ac:dyDescent="0.4">
      <c r="A54" s="5">
        <v>46211.765277777777</v>
      </c>
      <c r="B54" s="6" t="s">
        <v>25</v>
      </c>
      <c r="C54" s="6" t="s">
        <v>10</v>
      </c>
      <c r="D54" s="7">
        <v>25</v>
      </c>
      <c r="E54" s="7">
        <v>190.1</v>
      </c>
      <c r="F54" s="7">
        <v>-4.4819616120000001</v>
      </c>
      <c r="G54" s="13" t="s">
        <v>156</v>
      </c>
      <c r="H54" s="14">
        <v>199.02</v>
      </c>
      <c r="I54" s="6" t="s">
        <v>8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" thickBot="1" x14ac:dyDescent="0.4">
      <c r="A55" s="5">
        <v>46244.63554398148</v>
      </c>
      <c r="B55" s="6" t="s">
        <v>40</v>
      </c>
      <c r="C55" s="6" t="s">
        <v>10</v>
      </c>
      <c r="D55" s="7">
        <v>10</v>
      </c>
      <c r="E55" s="7">
        <v>1251</v>
      </c>
      <c r="F55" s="7">
        <v>-4.5038167939999996</v>
      </c>
      <c r="G55" s="13" t="s">
        <v>169</v>
      </c>
      <c r="H55" s="14">
        <v>1310</v>
      </c>
      <c r="I55" s="6" t="s">
        <v>8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29.5" thickBot="1" x14ac:dyDescent="0.4">
      <c r="A56" s="5">
        <v>46211.635416666664</v>
      </c>
      <c r="B56" s="6" t="s">
        <v>47</v>
      </c>
      <c r="C56" s="6" t="s">
        <v>10</v>
      </c>
      <c r="D56" s="7">
        <v>10</v>
      </c>
      <c r="E56" s="7">
        <v>1166</v>
      </c>
      <c r="F56" s="7">
        <v>-4.5045045049999999</v>
      </c>
      <c r="G56" s="13" t="s">
        <v>171</v>
      </c>
      <c r="H56" s="14">
        <v>1221</v>
      </c>
      <c r="I56" s="6" t="s">
        <v>8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26.5" thickBot="1" x14ac:dyDescent="0.4">
      <c r="A57" s="15" t="s">
        <v>189</v>
      </c>
      <c r="B57" s="6" t="s">
        <v>35</v>
      </c>
      <c r="C57" s="6" t="s">
        <v>10</v>
      </c>
      <c r="D57" s="7">
        <v>20</v>
      </c>
      <c r="E57" s="7">
        <v>220.1</v>
      </c>
      <c r="F57" s="7">
        <v>-4.5119305860000001</v>
      </c>
      <c r="G57" s="13" t="s">
        <v>162</v>
      </c>
      <c r="H57" s="14">
        <v>230.5</v>
      </c>
      <c r="I57" s="6" t="s">
        <v>8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" thickBot="1" x14ac:dyDescent="0.4">
      <c r="A58" s="15" t="s">
        <v>189</v>
      </c>
      <c r="B58" s="6" t="s">
        <v>53</v>
      </c>
      <c r="C58" s="6" t="s">
        <v>10</v>
      </c>
      <c r="D58" s="7">
        <v>5</v>
      </c>
      <c r="E58" s="7">
        <v>3888</v>
      </c>
      <c r="F58" s="7">
        <v>-4.5421065550000002</v>
      </c>
      <c r="G58" s="13" t="s">
        <v>172</v>
      </c>
      <c r="H58" s="14">
        <v>4073</v>
      </c>
      <c r="I58" s="6" t="s">
        <v>8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39" thickBot="1" x14ac:dyDescent="0.4">
      <c r="A59" s="5">
        <v>46244.63554398148</v>
      </c>
      <c r="B59" s="6" t="s">
        <v>36</v>
      </c>
      <c r="C59" s="6" t="s">
        <v>10</v>
      </c>
      <c r="D59" s="7">
        <v>30</v>
      </c>
      <c r="E59" s="7">
        <v>1007</v>
      </c>
      <c r="F59" s="7">
        <v>-4.5497630329999996</v>
      </c>
      <c r="G59" s="13" t="s">
        <v>181</v>
      </c>
      <c r="H59" s="14">
        <v>1055</v>
      </c>
      <c r="I59" s="6" t="s">
        <v>8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29.5" thickBot="1" x14ac:dyDescent="0.4">
      <c r="A60" s="5">
        <v>46241.635567129626</v>
      </c>
      <c r="B60" s="6" t="s">
        <v>39</v>
      </c>
      <c r="C60" s="6" t="s">
        <v>10</v>
      </c>
      <c r="D60" s="7">
        <v>5</v>
      </c>
      <c r="E60" s="7">
        <v>838</v>
      </c>
      <c r="F60" s="7">
        <v>-4.653544203</v>
      </c>
      <c r="G60" s="13" t="s">
        <v>170</v>
      </c>
      <c r="H60" s="14">
        <v>878.9</v>
      </c>
      <c r="I60" s="6" t="s">
        <v>8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26.5" thickBot="1" x14ac:dyDescent="0.4">
      <c r="A61" s="5">
        <v>46240.687962962962</v>
      </c>
      <c r="B61" s="6" t="s">
        <v>11</v>
      </c>
      <c r="C61" s="6" t="s">
        <v>10</v>
      </c>
      <c r="D61" s="7">
        <v>5</v>
      </c>
      <c r="E61" s="7">
        <v>2470</v>
      </c>
      <c r="F61" s="7">
        <v>-4.7435403010000003</v>
      </c>
      <c r="G61" s="13" t="s">
        <v>144</v>
      </c>
      <c r="H61" s="14">
        <v>2593</v>
      </c>
      <c r="I61" s="6" t="s">
        <v>8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" thickBot="1" x14ac:dyDescent="0.4">
      <c r="A62" s="15" t="s">
        <v>189</v>
      </c>
      <c r="B62" s="6" t="s">
        <v>6</v>
      </c>
      <c r="C62" s="6" t="s">
        <v>10</v>
      </c>
      <c r="D62" s="7">
        <v>20</v>
      </c>
      <c r="E62" s="7">
        <v>281</v>
      </c>
      <c r="F62" s="7">
        <v>-4.7619047620000003</v>
      </c>
      <c r="G62" s="13" t="s">
        <v>142</v>
      </c>
      <c r="H62" s="14">
        <v>295.05</v>
      </c>
      <c r="I62" s="6" t="s">
        <v>8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29.5" thickBot="1" x14ac:dyDescent="0.4">
      <c r="A63" s="5">
        <v>46211.635416666664</v>
      </c>
      <c r="B63" s="6" t="s">
        <v>39</v>
      </c>
      <c r="C63" s="6" t="s">
        <v>10</v>
      </c>
      <c r="D63" s="7">
        <v>25</v>
      </c>
      <c r="E63" s="7">
        <v>836</v>
      </c>
      <c r="F63" s="7">
        <v>-4.8811013770000002</v>
      </c>
      <c r="G63" s="13" t="s">
        <v>170</v>
      </c>
      <c r="H63" s="14">
        <v>878.9</v>
      </c>
      <c r="I63" s="6" t="s">
        <v>8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" thickBot="1" x14ac:dyDescent="0.4">
      <c r="A64" s="5">
        <v>46211.6875</v>
      </c>
      <c r="B64" s="6" t="s">
        <v>21</v>
      </c>
      <c r="C64" s="6" t="s">
        <v>10</v>
      </c>
      <c r="D64" s="7">
        <v>100</v>
      </c>
      <c r="E64" s="7">
        <v>337</v>
      </c>
      <c r="F64" s="7">
        <v>-4.9097065459999998</v>
      </c>
      <c r="G64" s="13" t="s">
        <v>150</v>
      </c>
      <c r="H64" s="14">
        <v>354.4</v>
      </c>
      <c r="I64" s="6" t="s">
        <v>8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29.5" thickBot="1" x14ac:dyDescent="0.4">
      <c r="A65" s="5">
        <v>46211.76458333333</v>
      </c>
      <c r="B65" s="6" t="s">
        <v>91</v>
      </c>
      <c r="C65" s="6" t="s">
        <v>10</v>
      </c>
      <c r="D65" s="7">
        <v>25</v>
      </c>
      <c r="E65" s="7">
        <v>196</v>
      </c>
      <c r="F65" s="7">
        <v>-5.0019387359999996</v>
      </c>
      <c r="G65" s="13" t="s">
        <v>199</v>
      </c>
      <c r="H65" s="14">
        <v>206.32</v>
      </c>
      <c r="I65" s="6" t="s">
        <v>8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29.5" thickBot="1" x14ac:dyDescent="0.4">
      <c r="A66" s="15" t="s">
        <v>189</v>
      </c>
      <c r="B66" s="6" t="s">
        <v>9</v>
      </c>
      <c r="C66" s="6" t="s">
        <v>10</v>
      </c>
      <c r="D66" s="7">
        <v>5</v>
      </c>
      <c r="E66" s="7">
        <v>852</v>
      </c>
      <c r="F66" s="7">
        <v>-5.0061322329999998</v>
      </c>
      <c r="G66" s="13" t="s">
        <v>143</v>
      </c>
      <c r="H66" s="14">
        <v>896.9</v>
      </c>
      <c r="I66" s="6" t="s">
        <v>8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26.5" thickBot="1" x14ac:dyDescent="0.4">
      <c r="A67" s="5">
        <v>46211.6875</v>
      </c>
      <c r="B67" s="6" t="s">
        <v>11</v>
      </c>
      <c r="C67" s="6" t="s">
        <v>10</v>
      </c>
      <c r="D67" s="7">
        <v>30</v>
      </c>
      <c r="E67" s="7">
        <v>2460</v>
      </c>
      <c r="F67" s="7">
        <v>-5.1291939839999996</v>
      </c>
      <c r="G67" s="13" t="s">
        <v>144</v>
      </c>
      <c r="H67" s="14">
        <v>2593</v>
      </c>
      <c r="I67" s="6" t="s">
        <v>8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" thickBot="1" x14ac:dyDescent="0.4">
      <c r="A68" s="5">
        <v>46244.63554398148</v>
      </c>
      <c r="B68" s="6" t="s">
        <v>50</v>
      </c>
      <c r="C68" s="6" t="s">
        <v>10</v>
      </c>
      <c r="D68" s="7">
        <v>2</v>
      </c>
      <c r="E68" s="7">
        <v>3410</v>
      </c>
      <c r="F68" s="7">
        <v>-5.1935053379999996</v>
      </c>
      <c r="G68" s="13" t="s">
        <v>166</v>
      </c>
      <c r="H68" s="14">
        <v>3596.8</v>
      </c>
      <c r="I68" s="6" t="s">
        <v>8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" thickBot="1" x14ac:dyDescent="0.4">
      <c r="A69" s="15" t="s">
        <v>189</v>
      </c>
      <c r="B69" s="6" t="s">
        <v>53</v>
      </c>
      <c r="C69" s="6" t="s">
        <v>10</v>
      </c>
      <c r="D69" s="7">
        <v>2</v>
      </c>
      <c r="E69" s="7">
        <v>3856</v>
      </c>
      <c r="F69" s="7">
        <v>-5.3277682300000002</v>
      </c>
      <c r="G69" s="13" t="s">
        <v>172</v>
      </c>
      <c r="H69" s="14">
        <v>4073</v>
      </c>
      <c r="I69" s="6" t="s">
        <v>8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29.5" thickBot="1" x14ac:dyDescent="0.4">
      <c r="A70" s="5">
        <v>46150.635416666664</v>
      </c>
      <c r="B70" s="6" t="s">
        <v>33</v>
      </c>
      <c r="C70" s="6" t="s">
        <v>10</v>
      </c>
      <c r="D70" s="7">
        <v>40</v>
      </c>
      <c r="E70" s="7">
        <v>878</v>
      </c>
      <c r="F70" s="7">
        <v>-5.4388799140000001</v>
      </c>
      <c r="G70" s="13" t="s">
        <v>164</v>
      </c>
      <c r="H70" s="14">
        <v>928.5</v>
      </c>
      <c r="I70" s="6" t="s">
        <v>8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" thickBot="1" x14ac:dyDescent="0.4">
      <c r="A71" s="5">
        <v>46239.696701388886</v>
      </c>
      <c r="B71" s="6" t="s">
        <v>21</v>
      </c>
      <c r="C71" s="6" t="s">
        <v>10</v>
      </c>
      <c r="D71" s="7">
        <v>100</v>
      </c>
      <c r="E71" s="7">
        <v>335</v>
      </c>
      <c r="F71" s="7">
        <v>-5.4740406320000004</v>
      </c>
      <c r="G71" s="13" t="s">
        <v>150</v>
      </c>
      <c r="H71" s="14">
        <v>354.4</v>
      </c>
      <c r="I71" s="6" t="s">
        <v>8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39" thickBot="1" x14ac:dyDescent="0.4">
      <c r="A72" s="5">
        <v>46244.63559027778</v>
      </c>
      <c r="B72" s="6" t="s">
        <v>29</v>
      </c>
      <c r="C72" s="6" t="s">
        <v>10</v>
      </c>
      <c r="D72" s="7">
        <v>10</v>
      </c>
      <c r="E72" s="7">
        <v>1420</v>
      </c>
      <c r="F72" s="7">
        <v>-5.534858968</v>
      </c>
      <c r="G72" s="13" t="s">
        <v>176</v>
      </c>
      <c r="H72" s="14">
        <v>1503.2</v>
      </c>
      <c r="I72" s="6" t="s">
        <v>8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29.5" thickBot="1" x14ac:dyDescent="0.4">
      <c r="A73" s="5">
        <v>46211.635416666664</v>
      </c>
      <c r="B73" s="6" t="s">
        <v>41</v>
      </c>
      <c r="C73" s="6" t="s">
        <v>10</v>
      </c>
      <c r="D73" s="7">
        <v>1</v>
      </c>
      <c r="E73" s="7">
        <v>4206</v>
      </c>
      <c r="F73" s="7">
        <v>-5.5680287379999998</v>
      </c>
      <c r="G73" s="13" t="s">
        <v>177</v>
      </c>
      <c r="H73" s="14">
        <v>4454</v>
      </c>
      <c r="I73" s="6" t="s">
        <v>8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26.5" thickBot="1" x14ac:dyDescent="0.4">
      <c r="A74" s="5">
        <v>46211.76458333333</v>
      </c>
      <c r="B74" s="6" t="s">
        <v>62</v>
      </c>
      <c r="C74" s="6" t="s">
        <v>10</v>
      </c>
      <c r="D74" s="7">
        <v>500</v>
      </c>
      <c r="E74" s="7">
        <v>33.159999999999997</v>
      </c>
      <c r="F74" s="7">
        <v>-5.5808656040000004</v>
      </c>
      <c r="G74" s="13" t="s">
        <v>193</v>
      </c>
      <c r="H74" s="14">
        <v>35.119999999999997</v>
      </c>
      <c r="I74" s="6" t="s">
        <v>8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" thickBot="1" x14ac:dyDescent="0.4">
      <c r="A75" s="5">
        <v>46240.687962962962</v>
      </c>
      <c r="B75" s="6" t="s">
        <v>23</v>
      </c>
      <c r="C75" s="6" t="s">
        <v>10</v>
      </c>
      <c r="D75" s="7">
        <v>5</v>
      </c>
      <c r="E75" s="7">
        <v>569</v>
      </c>
      <c r="F75" s="7">
        <v>-5.8258854680000001</v>
      </c>
      <c r="G75" s="13" t="s">
        <v>155</v>
      </c>
      <c r="H75" s="14">
        <v>604.20000000000005</v>
      </c>
      <c r="I75" s="6" t="s">
        <v>8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" thickBot="1" x14ac:dyDescent="0.4">
      <c r="A76" s="5">
        <v>46244.63553240741</v>
      </c>
      <c r="B76" s="6" t="s">
        <v>30</v>
      </c>
      <c r="C76" s="6" t="s">
        <v>10</v>
      </c>
      <c r="D76" s="7">
        <v>1</v>
      </c>
      <c r="E76" s="7">
        <v>4640</v>
      </c>
      <c r="F76" s="7">
        <v>-5.8613483740000003</v>
      </c>
      <c r="G76" s="13" t="s">
        <v>184</v>
      </c>
      <c r="H76" s="14">
        <v>4928.8999999999996</v>
      </c>
      <c r="I76" s="6" t="s">
        <v>8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" thickBot="1" x14ac:dyDescent="0.4">
      <c r="A77" s="15" t="s">
        <v>189</v>
      </c>
      <c r="B77" s="6" t="s">
        <v>53</v>
      </c>
      <c r="C77" s="6" t="s">
        <v>10</v>
      </c>
      <c r="D77" s="7">
        <v>2</v>
      </c>
      <c r="E77" s="7">
        <v>3830</v>
      </c>
      <c r="F77" s="7">
        <v>-5.9661183400000004</v>
      </c>
      <c r="G77" s="13" t="s">
        <v>172</v>
      </c>
      <c r="H77" s="14">
        <v>4073</v>
      </c>
      <c r="I77" s="6" t="s">
        <v>8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26.5" thickBot="1" x14ac:dyDescent="0.4">
      <c r="A78" s="5">
        <v>46211.765277777777</v>
      </c>
      <c r="B78" s="6" t="s">
        <v>11</v>
      </c>
      <c r="C78" s="6" t="s">
        <v>10</v>
      </c>
      <c r="D78" s="7">
        <v>30</v>
      </c>
      <c r="E78" s="7">
        <v>2435</v>
      </c>
      <c r="F78" s="7">
        <v>-6.0933281910000003</v>
      </c>
      <c r="G78" s="13" t="s">
        <v>144</v>
      </c>
      <c r="H78" s="14">
        <v>2593</v>
      </c>
      <c r="I78" s="6" t="s">
        <v>8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" thickBot="1" x14ac:dyDescent="0.4">
      <c r="A79" s="15" t="s">
        <v>189</v>
      </c>
      <c r="B79" s="6" t="s">
        <v>6</v>
      </c>
      <c r="C79" s="6" t="s">
        <v>10</v>
      </c>
      <c r="D79" s="7">
        <v>37</v>
      </c>
      <c r="E79" s="7">
        <v>277</v>
      </c>
      <c r="F79" s="7">
        <v>-6.1176071849999998</v>
      </c>
      <c r="G79" s="13" t="s">
        <v>142</v>
      </c>
      <c r="H79" s="14">
        <v>295.05</v>
      </c>
      <c r="I79" s="6" t="s">
        <v>8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26.5" thickBot="1" x14ac:dyDescent="0.4">
      <c r="A80" s="5">
        <v>46239.635520833333</v>
      </c>
      <c r="B80" s="6" t="s">
        <v>27</v>
      </c>
      <c r="C80" s="6" t="s">
        <v>10</v>
      </c>
      <c r="D80" s="7">
        <v>15</v>
      </c>
      <c r="E80" s="7">
        <v>1005</v>
      </c>
      <c r="F80" s="7">
        <v>-6.1624649859999998</v>
      </c>
      <c r="G80" s="13" t="s">
        <v>183</v>
      </c>
      <c r="H80" s="14">
        <v>1071</v>
      </c>
      <c r="I80" s="6" t="s">
        <v>8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29.5" thickBot="1" x14ac:dyDescent="0.4">
      <c r="A81" s="5">
        <v>46181.6875</v>
      </c>
      <c r="B81" s="6" t="s">
        <v>20</v>
      </c>
      <c r="C81" s="6" t="s">
        <v>10</v>
      </c>
      <c r="D81" s="7">
        <v>5</v>
      </c>
      <c r="E81" s="7">
        <v>1614</v>
      </c>
      <c r="F81" s="7">
        <v>-6.1627906980000002</v>
      </c>
      <c r="G81" s="13" t="s">
        <v>154</v>
      </c>
      <c r="H81" s="14">
        <v>1720</v>
      </c>
      <c r="I81" s="6" t="s">
        <v>8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39" thickBot="1" x14ac:dyDescent="0.4">
      <c r="A82" s="5">
        <v>46241.635567129626</v>
      </c>
      <c r="B82" s="6" t="s">
        <v>29</v>
      </c>
      <c r="C82" s="6" t="s">
        <v>10</v>
      </c>
      <c r="D82" s="7">
        <v>10</v>
      </c>
      <c r="E82" s="7">
        <v>1410</v>
      </c>
      <c r="F82" s="7">
        <v>-6.2001064399999999</v>
      </c>
      <c r="G82" s="13" t="s">
        <v>176</v>
      </c>
      <c r="H82" s="14">
        <v>1503.2</v>
      </c>
      <c r="I82" s="6" t="s">
        <v>8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29.5" thickBot="1" x14ac:dyDescent="0.4">
      <c r="A83" s="5">
        <v>46241.765462962961</v>
      </c>
      <c r="B83" s="6" t="s">
        <v>57</v>
      </c>
      <c r="C83" s="6" t="s">
        <v>10</v>
      </c>
      <c r="D83" s="7">
        <v>1</v>
      </c>
      <c r="E83" s="7">
        <v>2164</v>
      </c>
      <c r="F83" s="7">
        <v>-6.3203463199999996</v>
      </c>
      <c r="G83" s="13" t="s">
        <v>191</v>
      </c>
      <c r="H83" s="14">
        <v>2310</v>
      </c>
      <c r="I83" s="6" t="s">
        <v>8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29.5" thickBot="1" x14ac:dyDescent="0.4">
      <c r="A84" s="5">
        <v>46240.687974537039</v>
      </c>
      <c r="B84" s="6" t="s">
        <v>57</v>
      </c>
      <c r="C84" s="6" t="s">
        <v>10</v>
      </c>
      <c r="D84" s="7">
        <v>2</v>
      </c>
      <c r="E84" s="7">
        <v>2164</v>
      </c>
      <c r="F84" s="7">
        <v>-6.3203463199999996</v>
      </c>
      <c r="G84" s="13" t="s">
        <v>191</v>
      </c>
      <c r="H84" s="14">
        <v>2310</v>
      </c>
      <c r="I84" s="6" t="s">
        <v>8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" thickBot="1" x14ac:dyDescent="0.4">
      <c r="A85" s="15" t="s">
        <v>189</v>
      </c>
      <c r="B85" s="6" t="s">
        <v>53</v>
      </c>
      <c r="C85" s="6" t="s">
        <v>10</v>
      </c>
      <c r="D85" s="7">
        <v>3</v>
      </c>
      <c r="E85" s="7">
        <v>3810</v>
      </c>
      <c r="F85" s="7">
        <v>-6.457156887</v>
      </c>
      <c r="G85" s="13" t="s">
        <v>172</v>
      </c>
      <c r="H85" s="14">
        <v>4073</v>
      </c>
      <c r="I85" s="6" t="s">
        <v>8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29.5" thickBot="1" x14ac:dyDescent="0.4">
      <c r="A86" s="5">
        <v>46211.635416666664</v>
      </c>
      <c r="B86" s="6" t="s">
        <v>42</v>
      </c>
      <c r="C86" s="6" t="s">
        <v>10</v>
      </c>
      <c r="D86" s="7">
        <v>1</v>
      </c>
      <c r="E86" s="7">
        <v>17552</v>
      </c>
      <c r="F86" s="7">
        <v>-6.4990411249999998</v>
      </c>
      <c r="G86" s="13" t="s">
        <v>165</v>
      </c>
      <c r="H86" s="14">
        <v>18772</v>
      </c>
      <c r="I86" s="6" t="s">
        <v>8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39" thickBot="1" x14ac:dyDescent="0.4">
      <c r="A87" s="5">
        <v>46211.6875</v>
      </c>
      <c r="B87" s="6" t="s">
        <v>19</v>
      </c>
      <c r="C87" s="6" t="s">
        <v>10</v>
      </c>
      <c r="D87" s="7">
        <v>50</v>
      </c>
      <c r="E87" s="7">
        <v>206</v>
      </c>
      <c r="F87" s="7">
        <v>-6.5929083159999999</v>
      </c>
      <c r="G87" s="13" t="s">
        <v>153</v>
      </c>
      <c r="H87" s="14">
        <v>220.54</v>
      </c>
      <c r="I87" s="6" t="s">
        <v>8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" thickBot="1" x14ac:dyDescent="0.4">
      <c r="A88" s="15" t="s">
        <v>189</v>
      </c>
      <c r="B88" s="6" t="s">
        <v>21</v>
      </c>
      <c r="C88" s="6" t="s">
        <v>10</v>
      </c>
      <c r="D88" s="7">
        <v>100</v>
      </c>
      <c r="E88" s="7">
        <v>331</v>
      </c>
      <c r="F88" s="7">
        <v>-6.6027088039999997</v>
      </c>
      <c r="G88" s="13" t="s">
        <v>150</v>
      </c>
      <c r="H88" s="14">
        <v>354.4</v>
      </c>
      <c r="I88" s="6" t="s">
        <v>8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29.5" thickBot="1" x14ac:dyDescent="0.4">
      <c r="A89" s="5">
        <v>46211.765277777777</v>
      </c>
      <c r="B89" s="6" t="s">
        <v>56</v>
      </c>
      <c r="C89" s="6" t="s">
        <v>10</v>
      </c>
      <c r="D89" s="7">
        <v>5</v>
      </c>
      <c r="E89" s="7">
        <v>452</v>
      </c>
      <c r="F89" s="7">
        <v>-6.6115702479999996</v>
      </c>
      <c r="G89" s="13" t="s">
        <v>190</v>
      </c>
      <c r="H89" s="14">
        <v>484</v>
      </c>
      <c r="I89" s="6" t="s">
        <v>8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29.5" thickBot="1" x14ac:dyDescent="0.4">
      <c r="A90" s="5">
        <v>46244.63554398148</v>
      </c>
      <c r="B90" s="6" t="s">
        <v>31</v>
      </c>
      <c r="C90" s="6" t="s">
        <v>10</v>
      </c>
      <c r="D90" s="7">
        <v>7</v>
      </c>
      <c r="E90" s="7">
        <v>2401</v>
      </c>
      <c r="F90" s="7">
        <v>-6.829646876</v>
      </c>
      <c r="G90" s="13" t="s">
        <v>182</v>
      </c>
      <c r="H90" s="14">
        <v>2577</v>
      </c>
      <c r="I90" s="6" t="s">
        <v>8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29.5" thickBot="1" x14ac:dyDescent="0.4">
      <c r="A91" s="5">
        <v>46241.688136574077</v>
      </c>
      <c r="B91" s="6" t="s">
        <v>18</v>
      </c>
      <c r="C91" s="6" t="s">
        <v>10</v>
      </c>
      <c r="D91" s="7">
        <v>10</v>
      </c>
      <c r="E91" s="7">
        <v>640</v>
      </c>
      <c r="F91" s="7">
        <v>-6.9361640250000001</v>
      </c>
      <c r="G91" s="13" t="s">
        <v>151</v>
      </c>
      <c r="H91" s="14">
        <v>687.7</v>
      </c>
      <c r="I91" s="6" t="s">
        <v>8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29.5" thickBot="1" x14ac:dyDescent="0.4">
      <c r="A92" s="5">
        <v>46181.6875</v>
      </c>
      <c r="B92" s="6" t="s">
        <v>18</v>
      </c>
      <c r="C92" s="6" t="s">
        <v>10</v>
      </c>
      <c r="D92" s="7">
        <v>5</v>
      </c>
      <c r="E92" s="7">
        <v>640</v>
      </c>
      <c r="F92" s="7">
        <v>-6.9361640250000001</v>
      </c>
      <c r="G92" s="13" t="s">
        <v>151</v>
      </c>
      <c r="H92" s="14">
        <v>687.7</v>
      </c>
      <c r="I92" s="6" t="s">
        <v>8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29.5" thickBot="1" x14ac:dyDescent="0.4">
      <c r="A93" s="5">
        <v>46150.793055555558</v>
      </c>
      <c r="B93" s="6" t="s">
        <v>18</v>
      </c>
      <c r="C93" s="6" t="s">
        <v>10</v>
      </c>
      <c r="D93" s="7">
        <v>30</v>
      </c>
      <c r="E93" s="7">
        <v>640</v>
      </c>
      <c r="F93" s="7">
        <v>-6.9361640250000001</v>
      </c>
      <c r="G93" s="13" t="s">
        <v>151</v>
      </c>
      <c r="H93" s="14">
        <v>687.7</v>
      </c>
      <c r="I93" s="6" t="s">
        <v>8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" thickBot="1" x14ac:dyDescent="0.4">
      <c r="A94" s="5">
        <v>46150.793055555558</v>
      </c>
      <c r="B94" s="6" t="s">
        <v>23</v>
      </c>
      <c r="C94" s="6" t="s">
        <v>10</v>
      </c>
      <c r="D94" s="7">
        <v>5</v>
      </c>
      <c r="E94" s="7">
        <v>560</v>
      </c>
      <c r="F94" s="7">
        <v>-7.3154584570000001</v>
      </c>
      <c r="G94" s="13" t="s">
        <v>155</v>
      </c>
      <c r="H94" s="14">
        <v>604.20000000000005</v>
      </c>
      <c r="I94" s="6" t="s">
        <v>8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" thickBot="1" x14ac:dyDescent="0.4">
      <c r="A95" s="5">
        <v>46240.635567129626</v>
      </c>
      <c r="B95" s="6" t="s">
        <v>38</v>
      </c>
      <c r="C95" s="6" t="s">
        <v>10</v>
      </c>
      <c r="D95" s="7">
        <v>9</v>
      </c>
      <c r="E95" s="7">
        <v>2251</v>
      </c>
      <c r="F95" s="7">
        <v>-7.4195936500000004</v>
      </c>
      <c r="G95" s="13" t="s">
        <v>179</v>
      </c>
      <c r="H95" s="14">
        <v>2431.4</v>
      </c>
      <c r="I95" s="6" t="s">
        <v>8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" thickBot="1" x14ac:dyDescent="0.4">
      <c r="A96" s="5">
        <v>46241.63553240741</v>
      </c>
      <c r="B96" s="6" t="s">
        <v>30</v>
      </c>
      <c r="C96" s="6" t="s">
        <v>10</v>
      </c>
      <c r="D96" s="7">
        <v>1</v>
      </c>
      <c r="E96" s="7">
        <v>4560</v>
      </c>
      <c r="F96" s="7">
        <v>-7.4844285739999998</v>
      </c>
      <c r="G96" s="13" t="s">
        <v>184</v>
      </c>
      <c r="H96" s="14">
        <v>4928.8999999999996</v>
      </c>
      <c r="I96" s="6" t="s">
        <v>8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29.5" thickBot="1" x14ac:dyDescent="0.4">
      <c r="A97" s="5">
        <v>46244.767395833333</v>
      </c>
      <c r="B97" s="6" t="s">
        <v>15</v>
      </c>
      <c r="C97" s="6" t="s">
        <v>10</v>
      </c>
      <c r="D97" s="7">
        <v>200</v>
      </c>
      <c r="E97" s="7">
        <v>115.25</v>
      </c>
      <c r="F97" s="7">
        <v>-7.5262777820000002</v>
      </c>
      <c r="G97" s="13" t="s">
        <v>148</v>
      </c>
      <c r="H97" s="14">
        <v>124.63</v>
      </c>
      <c r="I97" s="6" t="s">
        <v>8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29.5" thickBot="1" x14ac:dyDescent="0.4">
      <c r="A98" s="15" t="s">
        <v>189</v>
      </c>
      <c r="B98" s="6" t="s">
        <v>77</v>
      </c>
      <c r="C98" s="6" t="s">
        <v>10</v>
      </c>
      <c r="D98" s="7">
        <v>10</v>
      </c>
      <c r="E98" s="7">
        <v>251</v>
      </c>
      <c r="F98" s="7">
        <v>-7.550644567</v>
      </c>
      <c r="G98" s="13" t="s">
        <v>197</v>
      </c>
      <c r="H98" s="14">
        <v>271.5</v>
      </c>
      <c r="I98" s="6" t="s">
        <v>8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9.5" thickBot="1" x14ac:dyDescent="0.4">
      <c r="A99" s="15" t="s">
        <v>189</v>
      </c>
      <c r="B99" s="6" t="s">
        <v>39</v>
      </c>
      <c r="C99" s="6" t="s">
        <v>10</v>
      </c>
      <c r="D99" s="7">
        <v>5</v>
      </c>
      <c r="E99" s="7">
        <v>812</v>
      </c>
      <c r="F99" s="7">
        <v>-7.6117874619999997</v>
      </c>
      <c r="G99" s="13" t="s">
        <v>170</v>
      </c>
      <c r="H99" s="14">
        <v>878.9</v>
      </c>
      <c r="I99" s="6" t="s">
        <v>8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" thickBot="1" x14ac:dyDescent="0.4">
      <c r="A100" s="15" t="s">
        <v>189</v>
      </c>
      <c r="B100" s="6" t="s">
        <v>53</v>
      </c>
      <c r="C100" s="6" t="s">
        <v>10</v>
      </c>
      <c r="D100" s="7">
        <v>2</v>
      </c>
      <c r="E100" s="7">
        <v>3760</v>
      </c>
      <c r="F100" s="7">
        <v>-7.6847532530000002</v>
      </c>
      <c r="G100" s="13" t="s">
        <v>172</v>
      </c>
      <c r="H100" s="14">
        <v>4073</v>
      </c>
      <c r="I100" s="6" t="s">
        <v>8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9.5" thickBot="1" x14ac:dyDescent="0.4">
      <c r="A101" s="15" t="s">
        <v>189</v>
      </c>
      <c r="B101" s="6" t="s">
        <v>41</v>
      </c>
      <c r="C101" s="6" t="s">
        <v>10</v>
      </c>
      <c r="D101" s="7">
        <v>1</v>
      </c>
      <c r="E101" s="7">
        <v>4110</v>
      </c>
      <c r="F101" s="7">
        <v>-7.7233947010000001</v>
      </c>
      <c r="G101" s="13" t="s">
        <v>177</v>
      </c>
      <c r="H101" s="14">
        <v>4454</v>
      </c>
      <c r="I101" s="6" t="s">
        <v>8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" thickBot="1" x14ac:dyDescent="0.4">
      <c r="A102" s="15" t="s">
        <v>189</v>
      </c>
      <c r="B102" s="6" t="s">
        <v>21</v>
      </c>
      <c r="C102" s="6" t="s">
        <v>10</v>
      </c>
      <c r="D102" s="7">
        <v>100</v>
      </c>
      <c r="E102" s="7">
        <v>327</v>
      </c>
      <c r="F102" s="7">
        <v>-7.7313769749999999</v>
      </c>
      <c r="G102" s="13" t="s">
        <v>150</v>
      </c>
      <c r="H102" s="14">
        <v>354.4</v>
      </c>
      <c r="I102" s="6" t="s">
        <v>8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6.5" thickBot="1" x14ac:dyDescent="0.4">
      <c r="A103" s="5">
        <v>46244.63554398148</v>
      </c>
      <c r="B103" s="6" t="s">
        <v>28</v>
      </c>
      <c r="C103" s="6" t="s">
        <v>10</v>
      </c>
      <c r="D103" s="7">
        <v>2</v>
      </c>
      <c r="E103" s="7">
        <v>2560</v>
      </c>
      <c r="F103" s="7">
        <v>-7.8141879730000001</v>
      </c>
      <c r="G103" s="13" t="s">
        <v>161</v>
      </c>
      <c r="H103" s="14">
        <v>2777</v>
      </c>
      <c r="I103" s="6" t="s">
        <v>8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" thickBot="1" x14ac:dyDescent="0.4">
      <c r="A104" s="5">
        <v>46211.635416666664</v>
      </c>
      <c r="B104" s="6" t="s">
        <v>50</v>
      </c>
      <c r="C104" s="6" t="s">
        <v>10</v>
      </c>
      <c r="D104" s="7">
        <v>3</v>
      </c>
      <c r="E104" s="7">
        <v>3310</v>
      </c>
      <c r="F104" s="7">
        <v>-7.9737544480000002</v>
      </c>
      <c r="G104" s="13" t="s">
        <v>166</v>
      </c>
      <c r="H104" s="14">
        <v>3596.8</v>
      </c>
      <c r="I104" s="6" t="s">
        <v>8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9.5" thickBot="1" x14ac:dyDescent="0.4">
      <c r="A105" s="5">
        <v>46244.63553240741</v>
      </c>
      <c r="B105" s="6" t="s">
        <v>31</v>
      </c>
      <c r="C105" s="6" t="s">
        <v>10</v>
      </c>
      <c r="D105" s="7">
        <v>8</v>
      </c>
      <c r="E105" s="7">
        <v>2370</v>
      </c>
      <c r="F105" s="7">
        <v>-8.0325960419999998</v>
      </c>
      <c r="G105" s="13" t="s">
        <v>182</v>
      </c>
      <c r="H105" s="14">
        <v>2577</v>
      </c>
      <c r="I105" s="6" t="s">
        <v>8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6.5" thickBot="1" x14ac:dyDescent="0.4">
      <c r="A106" s="15" t="s">
        <v>189</v>
      </c>
      <c r="B106" s="6" t="s">
        <v>28</v>
      </c>
      <c r="C106" s="6" t="s">
        <v>10</v>
      </c>
      <c r="D106" s="7">
        <v>2</v>
      </c>
      <c r="E106" s="7">
        <v>2552</v>
      </c>
      <c r="F106" s="7">
        <v>-8.1022686349999997</v>
      </c>
      <c r="G106" s="13" t="s">
        <v>161</v>
      </c>
      <c r="H106" s="14">
        <v>2777</v>
      </c>
      <c r="I106" s="6" t="s">
        <v>8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9.5" thickBot="1" x14ac:dyDescent="0.4">
      <c r="A107" s="5">
        <v>46211.765277777777</v>
      </c>
      <c r="B107" s="6" t="s">
        <v>24</v>
      </c>
      <c r="C107" s="6" t="s">
        <v>10</v>
      </c>
      <c r="D107" s="7">
        <v>5</v>
      </c>
      <c r="E107" s="7">
        <v>366</v>
      </c>
      <c r="F107" s="7">
        <v>-8.3854818519999998</v>
      </c>
      <c r="G107" s="13" t="s">
        <v>158</v>
      </c>
      <c r="H107" s="14">
        <v>399.5</v>
      </c>
      <c r="I107" s="6" t="s">
        <v>8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39" thickBot="1" x14ac:dyDescent="0.4">
      <c r="A108" s="5">
        <v>46240.687974537039</v>
      </c>
      <c r="B108" s="6" t="s">
        <v>19</v>
      </c>
      <c r="C108" s="6" t="s">
        <v>10</v>
      </c>
      <c r="D108" s="7">
        <v>50</v>
      </c>
      <c r="E108" s="7">
        <v>202</v>
      </c>
      <c r="F108" s="7">
        <v>-8.4066382520000005</v>
      </c>
      <c r="G108" s="13" t="s">
        <v>153</v>
      </c>
      <c r="H108" s="14">
        <v>220.54</v>
      </c>
      <c r="I108" s="6" t="s">
        <v>8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6.5" thickBot="1" x14ac:dyDescent="0.4">
      <c r="A109" s="5">
        <v>46239.789583333331</v>
      </c>
      <c r="B109" s="6" t="s">
        <v>68</v>
      </c>
      <c r="C109" s="6" t="s">
        <v>10</v>
      </c>
      <c r="D109" s="7">
        <v>7</v>
      </c>
      <c r="E109" s="7">
        <v>411</v>
      </c>
      <c r="F109" s="7">
        <v>-8.46325167</v>
      </c>
      <c r="G109" s="13" t="s">
        <v>194</v>
      </c>
      <c r="H109" s="14">
        <v>449</v>
      </c>
      <c r="I109" s="6" t="s">
        <v>8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9.5" thickBot="1" x14ac:dyDescent="0.4">
      <c r="A110" s="15" t="s">
        <v>189</v>
      </c>
      <c r="B110" s="6" t="s">
        <v>41</v>
      </c>
      <c r="C110" s="6" t="s">
        <v>10</v>
      </c>
      <c r="D110" s="7">
        <v>2</v>
      </c>
      <c r="E110" s="7">
        <v>4060</v>
      </c>
      <c r="F110" s="7">
        <v>-8.8459811409999993</v>
      </c>
      <c r="G110" s="13" t="s">
        <v>177</v>
      </c>
      <c r="H110" s="14">
        <v>4454</v>
      </c>
      <c r="I110" s="6" t="s">
        <v>8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" thickBot="1" x14ac:dyDescent="0.4">
      <c r="A111" s="15" t="s">
        <v>189</v>
      </c>
      <c r="B111" s="6" t="s">
        <v>21</v>
      </c>
      <c r="C111" s="6" t="s">
        <v>10</v>
      </c>
      <c r="D111" s="7">
        <v>100</v>
      </c>
      <c r="E111" s="7">
        <v>322</v>
      </c>
      <c r="F111" s="7">
        <v>-9.1422121900000004</v>
      </c>
      <c r="G111" s="13" t="s">
        <v>150</v>
      </c>
      <c r="H111" s="14">
        <v>354.4</v>
      </c>
      <c r="I111" s="6" t="s">
        <v>8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" thickBot="1" x14ac:dyDescent="0.4">
      <c r="A112" s="5">
        <v>46244.76730324074</v>
      </c>
      <c r="B112" s="6" t="s">
        <v>23</v>
      </c>
      <c r="C112" s="6" t="s">
        <v>10</v>
      </c>
      <c r="D112" s="7">
        <v>5</v>
      </c>
      <c r="E112" s="7">
        <v>547</v>
      </c>
      <c r="F112" s="7">
        <v>-9.467063886</v>
      </c>
      <c r="G112" s="13" t="s">
        <v>155</v>
      </c>
      <c r="H112" s="14">
        <v>604.20000000000005</v>
      </c>
      <c r="I112" s="6" t="s">
        <v>8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" thickBot="1" x14ac:dyDescent="0.4">
      <c r="A113" s="5">
        <v>46240.635555555556</v>
      </c>
      <c r="B113" s="6" t="s">
        <v>30</v>
      </c>
      <c r="C113" s="6" t="s">
        <v>10</v>
      </c>
      <c r="D113" s="7">
        <v>2</v>
      </c>
      <c r="E113" s="7">
        <v>4456</v>
      </c>
      <c r="F113" s="7">
        <v>-9.5944328349999992</v>
      </c>
      <c r="G113" s="13" t="s">
        <v>184</v>
      </c>
      <c r="H113" s="14">
        <v>4928.8999999999996</v>
      </c>
      <c r="I113" s="6" t="s">
        <v>8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" thickBot="1" x14ac:dyDescent="0.4">
      <c r="A114" s="15" t="s">
        <v>189</v>
      </c>
      <c r="B114" s="6" t="s">
        <v>73</v>
      </c>
      <c r="C114" s="6" t="s">
        <v>10</v>
      </c>
      <c r="D114" s="7">
        <v>1</v>
      </c>
      <c r="E114" s="7">
        <v>6920</v>
      </c>
      <c r="F114" s="7">
        <v>-9.8018769549999991</v>
      </c>
      <c r="G114" s="13" t="s">
        <v>196</v>
      </c>
      <c r="H114" s="14">
        <v>7672</v>
      </c>
      <c r="I114" s="6" t="s">
        <v>8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9.5" thickBot="1" x14ac:dyDescent="0.4">
      <c r="A115" s="5">
        <v>46241.688136574077</v>
      </c>
      <c r="B115" s="6" t="s">
        <v>18</v>
      </c>
      <c r="C115" s="6" t="s">
        <v>10</v>
      </c>
      <c r="D115" s="7">
        <v>20</v>
      </c>
      <c r="E115" s="7">
        <v>620</v>
      </c>
      <c r="F115" s="7">
        <v>-9.8444088989999994</v>
      </c>
      <c r="G115" s="13" t="s">
        <v>151</v>
      </c>
      <c r="H115" s="14">
        <v>687.7</v>
      </c>
      <c r="I115" s="6" t="s">
        <v>8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9.5" thickBot="1" x14ac:dyDescent="0.4">
      <c r="A116" s="5">
        <v>46240.688055555554</v>
      </c>
      <c r="B116" s="6" t="s">
        <v>18</v>
      </c>
      <c r="C116" s="6" t="s">
        <v>10</v>
      </c>
      <c r="D116" s="7">
        <v>30</v>
      </c>
      <c r="E116" s="7">
        <v>620</v>
      </c>
      <c r="F116" s="7">
        <v>-9.8444088989999994</v>
      </c>
      <c r="G116" s="13" t="s">
        <v>151</v>
      </c>
      <c r="H116" s="14">
        <v>687.7</v>
      </c>
      <c r="I116" s="6" t="s">
        <v>8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9.5" thickBot="1" x14ac:dyDescent="0.4">
      <c r="A117" s="15" t="s">
        <v>189</v>
      </c>
      <c r="B117" s="6" t="s">
        <v>41</v>
      </c>
      <c r="C117" s="6" t="s">
        <v>10</v>
      </c>
      <c r="D117" s="7">
        <v>2</v>
      </c>
      <c r="E117" s="7">
        <v>4010</v>
      </c>
      <c r="F117" s="7">
        <v>-9.9685675800000002</v>
      </c>
      <c r="G117" s="13" t="s">
        <v>177</v>
      </c>
      <c r="H117" s="14">
        <v>4454</v>
      </c>
      <c r="I117" s="6" t="s">
        <v>8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39" thickBot="1" x14ac:dyDescent="0.4">
      <c r="A118" s="5">
        <v>46241.765462962961</v>
      </c>
      <c r="B118" s="6" t="s">
        <v>72</v>
      </c>
      <c r="C118" s="6" t="s">
        <v>10</v>
      </c>
      <c r="D118" s="7">
        <v>4</v>
      </c>
      <c r="E118" s="7">
        <v>1751</v>
      </c>
      <c r="F118" s="7">
        <v>-9.9789213920000002</v>
      </c>
      <c r="G118" s="13" t="s">
        <v>195</v>
      </c>
      <c r="H118" s="14">
        <v>1945.1</v>
      </c>
      <c r="I118" s="6" t="s">
        <v>8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9.5" thickBot="1" x14ac:dyDescent="0.4">
      <c r="A119" s="5">
        <v>46241.688090277778</v>
      </c>
      <c r="B119" s="6" t="s">
        <v>16</v>
      </c>
      <c r="C119" s="6" t="s">
        <v>10</v>
      </c>
      <c r="D119" s="7">
        <v>2</v>
      </c>
      <c r="E119" s="7">
        <v>4410</v>
      </c>
      <c r="F119" s="7">
        <v>-9.9963263809999994</v>
      </c>
      <c r="G119" s="13" t="s">
        <v>152</v>
      </c>
      <c r="H119" s="14">
        <v>4899.8</v>
      </c>
      <c r="I119" s="6" t="s">
        <v>8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" thickBot="1" x14ac:dyDescent="0.4">
      <c r="A120" s="5">
        <v>46239.63553240741</v>
      </c>
      <c r="B120" s="6" t="s">
        <v>30</v>
      </c>
      <c r="C120" s="6" t="s">
        <v>10</v>
      </c>
      <c r="D120" s="7">
        <v>15</v>
      </c>
      <c r="E120" s="7">
        <v>4415</v>
      </c>
      <c r="F120" s="7">
        <v>-10.426261439999999</v>
      </c>
      <c r="G120" s="13" t="s">
        <v>184</v>
      </c>
      <c r="H120" s="14">
        <v>4928.8999999999996</v>
      </c>
      <c r="I120" s="6" t="s">
        <v>8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9.5" thickBot="1" x14ac:dyDescent="0.4">
      <c r="A121" s="15" t="s">
        <v>189</v>
      </c>
      <c r="B121" s="6" t="s">
        <v>57</v>
      </c>
      <c r="C121" s="6" t="s">
        <v>10</v>
      </c>
      <c r="D121" s="7">
        <v>1</v>
      </c>
      <c r="E121" s="7">
        <v>2064</v>
      </c>
      <c r="F121" s="7">
        <v>-10.649350650000001</v>
      </c>
      <c r="G121" s="13" t="s">
        <v>191</v>
      </c>
      <c r="H121" s="14">
        <v>2310</v>
      </c>
      <c r="I121" s="6" t="s">
        <v>8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9.5" thickBot="1" x14ac:dyDescent="0.4">
      <c r="A122" s="15" t="s">
        <v>189</v>
      </c>
      <c r="B122" s="6" t="s">
        <v>16</v>
      </c>
      <c r="C122" s="6" t="s">
        <v>10</v>
      </c>
      <c r="D122" s="7">
        <v>1</v>
      </c>
      <c r="E122" s="7">
        <v>4364</v>
      </c>
      <c r="F122" s="7">
        <v>-10.93514021</v>
      </c>
      <c r="G122" s="13" t="s">
        <v>152</v>
      </c>
      <c r="H122" s="14">
        <v>4899.8</v>
      </c>
      <c r="I122" s="6" t="s">
        <v>8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9.5" thickBot="1" x14ac:dyDescent="0.4">
      <c r="A123" s="5">
        <v>46240.688009259262</v>
      </c>
      <c r="B123" s="6" t="s">
        <v>15</v>
      </c>
      <c r="C123" s="6" t="s">
        <v>10</v>
      </c>
      <c r="D123" s="7">
        <v>100</v>
      </c>
      <c r="E123" s="7">
        <v>111</v>
      </c>
      <c r="F123" s="7">
        <v>-10.936371660000001</v>
      </c>
      <c r="G123" s="13" t="s">
        <v>148</v>
      </c>
      <c r="H123" s="14">
        <v>124.63</v>
      </c>
      <c r="I123" s="6" t="s">
        <v>8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6.5" thickBot="1" x14ac:dyDescent="0.4">
      <c r="A124" s="15" t="s">
        <v>189</v>
      </c>
      <c r="B124" s="6" t="s">
        <v>62</v>
      </c>
      <c r="C124" s="6" t="s">
        <v>10</v>
      </c>
      <c r="D124" s="7">
        <v>200</v>
      </c>
      <c r="E124" s="7">
        <v>31.01</v>
      </c>
      <c r="F124" s="7">
        <v>-11.70273349</v>
      </c>
      <c r="G124" s="13" t="s">
        <v>193</v>
      </c>
      <c r="H124" s="14">
        <v>35.119999999999997</v>
      </c>
      <c r="I124" s="6" t="s">
        <v>8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9.5" thickBot="1" x14ac:dyDescent="0.4">
      <c r="A125" s="5">
        <v>46241.765439814815</v>
      </c>
      <c r="B125" s="6" t="s">
        <v>24</v>
      </c>
      <c r="C125" s="6" t="s">
        <v>10</v>
      </c>
      <c r="D125" s="7">
        <v>25</v>
      </c>
      <c r="E125" s="7">
        <v>352</v>
      </c>
      <c r="F125" s="7">
        <v>-11.88986233</v>
      </c>
      <c r="G125" s="13" t="s">
        <v>158</v>
      </c>
      <c r="H125" s="14">
        <v>399.5</v>
      </c>
      <c r="I125" s="6" t="s">
        <v>8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9.5" thickBot="1" x14ac:dyDescent="0.4">
      <c r="A126" s="5">
        <v>46239.789560185185</v>
      </c>
      <c r="B126" s="6" t="s">
        <v>56</v>
      </c>
      <c r="C126" s="6" t="s">
        <v>10</v>
      </c>
      <c r="D126" s="7">
        <v>5</v>
      </c>
      <c r="E126" s="7">
        <v>419</v>
      </c>
      <c r="F126" s="7">
        <v>-13.429752069999999</v>
      </c>
      <c r="G126" s="13" t="s">
        <v>190</v>
      </c>
      <c r="H126" s="14">
        <v>484</v>
      </c>
      <c r="I126" s="6" t="s">
        <v>8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9.5" thickBot="1" x14ac:dyDescent="0.4">
      <c r="A127" s="15" t="s">
        <v>189</v>
      </c>
      <c r="B127" s="6" t="s">
        <v>58</v>
      </c>
      <c r="C127" s="6" t="s">
        <v>10</v>
      </c>
      <c r="D127" s="7">
        <v>4</v>
      </c>
      <c r="E127" s="7">
        <v>701</v>
      </c>
      <c r="F127" s="7">
        <v>-13.72307692</v>
      </c>
      <c r="G127" s="13" t="s">
        <v>192</v>
      </c>
      <c r="H127" s="14">
        <v>812.5</v>
      </c>
      <c r="I127" s="6" t="s">
        <v>8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9.5" thickBot="1" x14ac:dyDescent="0.4">
      <c r="A128" s="15" t="s">
        <v>189</v>
      </c>
      <c r="B128" s="6" t="s">
        <v>16</v>
      </c>
      <c r="C128" s="6" t="s">
        <v>10</v>
      </c>
      <c r="D128" s="7">
        <v>1</v>
      </c>
      <c r="E128" s="7">
        <v>4164</v>
      </c>
      <c r="F128" s="7">
        <v>-15.016939470000001</v>
      </c>
      <c r="G128" s="13" t="s">
        <v>152</v>
      </c>
      <c r="H128" s="14">
        <v>4899.8</v>
      </c>
      <c r="I128" s="6" t="s">
        <v>8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9.5" thickBot="1" x14ac:dyDescent="0.4">
      <c r="A129" s="5">
        <v>46239.789560185185</v>
      </c>
      <c r="B129" s="6" t="s">
        <v>24</v>
      </c>
      <c r="C129" s="6" t="s">
        <v>10</v>
      </c>
      <c r="D129" s="7">
        <v>25</v>
      </c>
      <c r="E129" s="7">
        <v>336</v>
      </c>
      <c r="F129" s="7">
        <v>-15.89486859</v>
      </c>
      <c r="G129" s="13" t="s">
        <v>158</v>
      </c>
      <c r="H129" s="14">
        <v>399.5</v>
      </c>
      <c r="I129" s="6" t="s">
        <v>8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9.5" thickBot="1" x14ac:dyDescent="0.4">
      <c r="A130" s="15" t="s">
        <v>189</v>
      </c>
      <c r="B130" s="6" t="s">
        <v>56</v>
      </c>
      <c r="C130" s="6" t="s">
        <v>10</v>
      </c>
      <c r="D130" s="7">
        <v>29</v>
      </c>
      <c r="E130" s="7">
        <v>401</v>
      </c>
      <c r="F130" s="7">
        <v>-17.148760330000002</v>
      </c>
      <c r="G130" s="13" t="s">
        <v>190</v>
      </c>
      <c r="H130" s="14">
        <v>484</v>
      </c>
      <c r="I130" s="6" t="s">
        <v>8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9.5" thickBot="1" x14ac:dyDescent="0.4">
      <c r="A131" s="15" t="s">
        <v>189</v>
      </c>
      <c r="B131" s="6" t="s">
        <v>16</v>
      </c>
      <c r="C131" s="6" t="s">
        <v>10</v>
      </c>
      <c r="D131" s="7">
        <v>1</v>
      </c>
      <c r="E131" s="7">
        <v>4014</v>
      </c>
      <c r="F131" s="7">
        <v>-18.078288910000001</v>
      </c>
      <c r="G131" s="13" t="s">
        <v>152</v>
      </c>
      <c r="H131" s="14">
        <v>4899.8</v>
      </c>
      <c r="I131" s="6" t="s">
        <v>8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39" thickBot="1" x14ac:dyDescent="0.4">
      <c r="A132" s="5">
        <v>46244.767407407409</v>
      </c>
      <c r="B132" s="6" t="s">
        <v>13</v>
      </c>
      <c r="C132" s="6" t="s">
        <v>10</v>
      </c>
      <c r="D132" s="7">
        <v>2</v>
      </c>
      <c r="E132" s="7">
        <v>660</v>
      </c>
      <c r="F132" s="7">
        <v>-19.805589309999998</v>
      </c>
      <c r="G132" s="13" t="s">
        <v>146</v>
      </c>
      <c r="H132" s="14">
        <v>823</v>
      </c>
      <c r="I132" s="6" t="s">
        <v>8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9.5" thickBot="1" x14ac:dyDescent="0.4">
      <c r="A133" s="15" t="s">
        <v>189</v>
      </c>
      <c r="B133" s="6" t="s">
        <v>16</v>
      </c>
      <c r="C133" s="6" t="s">
        <v>10</v>
      </c>
      <c r="D133" s="7">
        <v>1</v>
      </c>
      <c r="E133" s="7">
        <v>3914</v>
      </c>
      <c r="F133" s="7">
        <v>-20.11918854</v>
      </c>
      <c r="G133" s="13" t="s">
        <v>152</v>
      </c>
      <c r="H133" s="14">
        <v>4899.8</v>
      </c>
      <c r="I133" s="6" t="s">
        <v>8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6.5" thickBot="1" x14ac:dyDescent="0.4">
      <c r="A134" s="5">
        <v>46244.767430555556</v>
      </c>
      <c r="B134" s="6" t="s">
        <v>11</v>
      </c>
      <c r="C134" s="6" t="s">
        <v>7</v>
      </c>
      <c r="D134" s="7">
        <v>10</v>
      </c>
      <c r="E134" s="7">
        <v>2604</v>
      </c>
      <c r="F134" s="7">
        <v>0.42421905129999998</v>
      </c>
      <c r="G134" s="13" t="s">
        <v>144</v>
      </c>
      <c r="H134" s="14">
        <v>2593</v>
      </c>
      <c r="I134" s="6" t="s">
        <v>8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" thickBot="1" x14ac:dyDescent="0.4">
      <c r="A135" s="5">
        <v>46244.645601851851</v>
      </c>
      <c r="B135" s="6" t="s">
        <v>40</v>
      </c>
      <c r="C135" s="6" t="s">
        <v>7</v>
      </c>
      <c r="D135" s="7">
        <v>10</v>
      </c>
      <c r="E135" s="7">
        <v>1320</v>
      </c>
      <c r="F135" s="7">
        <v>0.76335877860000001</v>
      </c>
      <c r="G135" s="13" t="s">
        <v>169</v>
      </c>
      <c r="H135" s="14">
        <v>1310</v>
      </c>
      <c r="I135" s="6" t="s">
        <v>8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" thickBot="1" x14ac:dyDescent="0.4">
      <c r="A136" s="5">
        <v>46244.645613425928</v>
      </c>
      <c r="B136" s="6" t="s">
        <v>50</v>
      </c>
      <c r="C136" s="6" t="s">
        <v>7</v>
      </c>
      <c r="D136" s="7">
        <v>5</v>
      </c>
      <c r="E136" s="7">
        <v>3633</v>
      </c>
      <c r="F136" s="7">
        <v>1.0064501779999999</v>
      </c>
      <c r="G136" s="13" t="s">
        <v>166</v>
      </c>
      <c r="H136" s="14">
        <v>3596.8</v>
      </c>
      <c r="I136" s="6" t="s">
        <v>8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" thickBot="1" x14ac:dyDescent="0.4">
      <c r="A137" s="5">
        <v>46244.645601851851</v>
      </c>
      <c r="B137" s="6" t="s">
        <v>53</v>
      </c>
      <c r="C137" s="6" t="s">
        <v>7</v>
      </c>
      <c r="D137" s="7">
        <v>5</v>
      </c>
      <c r="E137" s="7">
        <v>4129</v>
      </c>
      <c r="F137" s="7">
        <v>1.37490793</v>
      </c>
      <c r="G137" s="13" t="s">
        <v>172</v>
      </c>
      <c r="H137" s="14">
        <v>4073</v>
      </c>
      <c r="I137" s="6" t="s">
        <v>8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9.5" thickBot="1" x14ac:dyDescent="0.4">
      <c r="A138" s="5">
        <v>46244.767407407409</v>
      </c>
      <c r="B138" s="6" t="s">
        <v>14</v>
      </c>
      <c r="C138" s="6" t="s">
        <v>7</v>
      </c>
      <c r="D138" s="7">
        <v>50</v>
      </c>
      <c r="E138" s="7">
        <v>296</v>
      </c>
      <c r="F138" s="7">
        <v>1.5089163240000001</v>
      </c>
      <c r="G138" s="13" t="s">
        <v>147</v>
      </c>
      <c r="H138" s="14">
        <v>291.60000000000002</v>
      </c>
      <c r="I138" s="6" t="s">
        <v>8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6.5" thickBot="1" x14ac:dyDescent="0.4">
      <c r="A139" s="5">
        <v>46244.645648148151</v>
      </c>
      <c r="B139" s="6" t="s">
        <v>35</v>
      </c>
      <c r="C139" s="6" t="s">
        <v>7</v>
      </c>
      <c r="D139" s="7">
        <v>200</v>
      </c>
      <c r="E139" s="7">
        <v>234</v>
      </c>
      <c r="F139" s="7">
        <v>1.518438178</v>
      </c>
      <c r="G139" s="13" t="s">
        <v>162</v>
      </c>
      <c r="H139" s="14">
        <v>230.5</v>
      </c>
      <c r="I139" s="6" t="s">
        <v>8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6.5" thickBot="1" x14ac:dyDescent="0.4">
      <c r="A140" s="5">
        <v>46244.76730324074</v>
      </c>
      <c r="B140" s="6" t="s">
        <v>11</v>
      </c>
      <c r="C140" s="6" t="s">
        <v>7</v>
      </c>
      <c r="D140" s="7">
        <v>10</v>
      </c>
      <c r="E140" s="7">
        <v>2636</v>
      </c>
      <c r="F140" s="7">
        <v>1.6583108369999999</v>
      </c>
      <c r="G140" s="13" t="s">
        <v>144</v>
      </c>
      <c r="H140" s="14">
        <v>2593</v>
      </c>
      <c r="I140" s="6" t="s">
        <v>8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" thickBot="1" x14ac:dyDescent="0.4">
      <c r="A141" s="5">
        <v>46244.76730324074</v>
      </c>
      <c r="B141" s="6" t="s">
        <v>21</v>
      </c>
      <c r="C141" s="6" t="s">
        <v>7</v>
      </c>
      <c r="D141" s="7">
        <v>50</v>
      </c>
      <c r="E141" s="7">
        <v>361</v>
      </c>
      <c r="F141" s="7">
        <v>1.8623024829999999</v>
      </c>
      <c r="G141" s="13" t="s">
        <v>150</v>
      </c>
      <c r="H141" s="14">
        <v>354.4</v>
      </c>
      <c r="I141" s="6" t="s">
        <v>8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9.5" thickBot="1" x14ac:dyDescent="0.4">
      <c r="A142" s="5">
        <v>46244.645601851851</v>
      </c>
      <c r="B142" s="6" t="s">
        <v>39</v>
      </c>
      <c r="C142" s="6" t="s">
        <v>7</v>
      </c>
      <c r="D142" s="7">
        <v>20</v>
      </c>
      <c r="E142" s="7">
        <v>896</v>
      </c>
      <c r="F142" s="7">
        <v>1.9456138350000001</v>
      </c>
      <c r="G142" s="13" t="s">
        <v>170</v>
      </c>
      <c r="H142" s="14">
        <v>878.9</v>
      </c>
      <c r="I142" s="6" t="s">
        <v>8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6.5" thickBot="1" x14ac:dyDescent="0.4">
      <c r="A143" s="5">
        <v>46244.76730324074</v>
      </c>
      <c r="B143" s="6" t="s">
        <v>11</v>
      </c>
      <c r="C143" s="6" t="s">
        <v>7</v>
      </c>
      <c r="D143" s="7">
        <v>10</v>
      </c>
      <c r="E143" s="7">
        <v>2648</v>
      </c>
      <c r="F143" s="7">
        <v>2.1210952559999998</v>
      </c>
      <c r="G143" s="13" t="s">
        <v>144</v>
      </c>
      <c r="H143" s="14">
        <v>2593</v>
      </c>
      <c r="I143" s="6" t="s">
        <v>8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9.5" thickBot="1" x14ac:dyDescent="0.4">
      <c r="A144" s="5">
        <v>46244.645624999997</v>
      </c>
      <c r="B144" s="6" t="s">
        <v>42</v>
      </c>
      <c r="C144" s="6" t="s">
        <v>7</v>
      </c>
      <c r="D144" s="7">
        <v>1</v>
      </c>
      <c r="E144" s="7">
        <v>19198</v>
      </c>
      <c r="F144" s="7">
        <v>2.2693373110000001</v>
      </c>
      <c r="G144" s="13" t="s">
        <v>165</v>
      </c>
      <c r="H144" s="14">
        <v>18772</v>
      </c>
      <c r="I144" s="6" t="s">
        <v>8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9.5" thickBot="1" x14ac:dyDescent="0.4">
      <c r="A145" s="5">
        <v>46244.767418981479</v>
      </c>
      <c r="B145" s="6" t="s">
        <v>12</v>
      </c>
      <c r="C145" s="6" t="s">
        <v>7</v>
      </c>
      <c r="D145" s="7">
        <v>50</v>
      </c>
      <c r="E145" s="7">
        <v>209.5</v>
      </c>
      <c r="F145" s="7">
        <v>2.2699536249999999</v>
      </c>
      <c r="G145" s="13" t="s">
        <v>145</v>
      </c>
      <c r="H145" s="14">
        <v>204.85</v>
      </c>
      <c r="I145" s="6" t="s">
        <v>8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6.5" thickBot="1" x14ac:dyDescent="0.4">
      <c r="A146" s="5">
        <v>46244.645671296297</v>
      </c>
      <c r="B146" s="6" t="s">
        <v>28</v>
      </c>
      <c r="C146" s="6" t="s">
        <v>7</v>
      </c>
      <c r="D146" s="7">
        <v>3</v>
      </c>
      <c r="E146" s="7">
        <v>2846</v>
      </c>
      <c r="F146" s="7">
        <v>2.484695715</v>
      </c>
      <c r="G146" s="13" t="s">
        <v>161</v>
      </c>
      <c r="H146" s="14">
        <v>2777</v>
      </c>
      <c r="I146" s="6" t="s">
        <v>8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" thickBot="1" x14ac:dyDescent="0.4">
      <c r="A147" s="5">
        <v>46244.645601851851</v>
      </c>
      <c r="B147" s="6" t="s">
        <v>53</v>
      </c>
      <c r="C147" s="6" t="s">
        <v>7</v>
      </c>
      <c r="D147" s="7">
        <v>5</v>
      </c>
      <c r="E147" s="7">
        <v>4177</v>
      </c>
      <c r="F147" s="7">
        <v>2.553400442</v>
      </c>
      <c r="G147" s="13" t="s">
        <v>172</v>
      </c>
      <c r="H147" s="14">
        <v>4073</v>
      </c>
      <c r="I147" s="6" t="s">
        <v>8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6.5" thickBot="1" x14ac:dyDescent="0.4">
      <c r="A148" s="5">
        <v>46244.645613425928</v>
      </c>
      <c r="B148" s="6" t="s">
        <v>48</v>
      </c>
      <c r="C148" s="6" t="s">
        <v>7</v>
      </c>
      <c r="D148" s="7">
        <v>200</v>
      </c>
      <c r="E148" s="7">
        <v>90.75</v>
      </c>
      <c r="F148" s="7">
        <v>2.5771447950000002</v>
      </c>
      <c r="G148" s="13" t="s">
        <v>163</v>
      </c>
      <c r="H148" s="14">
        <v>88.47</v>
      </c>
      <c r="I148" s="6" t="s">
        <v>8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6.5" thickBot="1" x14ac:dyDescent="0.4">
      <c r="A149" s="5">
        <v>46244.645682870374</v>
      </c>
      <c r="B149" s="6" t="s">
        <v>55</v>
      </c>
      <c r="C149" s="6" t="s">
        <v>7</v>
      </c>
      <c r="D149" s="7">
        <v>150</v>
      </c>
      <c r="E149" s="7">
        <v>123.4</v>
      </c>
      <c r="F149" s="7">
        <v>2.8333333330000001</v>
      </c>
      <c r="G149" s="13" t="s">
        <v>160</v>
      </c>
      <c r="H149" s="14">
        <v>120</v>
      </c>
      <c r="I149" s="6" t="s">
        <v>8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" thickBot="1" x14ac:dyDescent="0.4">
      <c r="A150" s="5">
        <v>46244.645601851851</v>
      </c>
      <c r="B150" s="6" t="s">
        <v>40</v>
      </c>
      <c r="C150" s="6" t="s">
        <v>7</v>
      </c>
      <c r="D150" s="7">
        <v>10</v>
      </c>
      <c r="E150" s="7">
        <v>1348</v>
      </c>
      <c r="F150" s="7">
        <v>2.9007633589999999</v>
      </c>
      <c r="G150" s="13" t="s">
        <v>169</v>
      </c>
      <c r="H150" s="14">
        <v>1310</v>
      </c>
      <c r="I150" s="6" t="s">
        <v>8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39" thickBot="1" x14ac:dyDescent="0.4">
      <c r="A151" s="5">
        <v>46244.63559027778</v>
      </c>
      <c r="B151" s="6" t="s">
        <v>29</v>
      </c>
      <c r="C151" s="6" t="s">
        <v>7</v>
      </c>
      <c r="D151" s="7">
        <v>10</v>
      </c>
      <c r="E151" s="7">
        <v>1548</v>
      </c>
      <c r="F151" s="7">
        <v>2.9803086749999999</v>
      </c>
      <c r="G151" s="13" t="s">
        <v>176</v>
      </c>
      <c r="H151" s="14">
        <v>1503.2</v>
      </c>
      <c r="I151" s="6" t="s">
        <v>8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" thickBot="1" x14ac:dyDescent="0.4">
      <c r="A152" s="5">
        <v>46244.76730324074</v>
      </c>
      <c r="B152" s="6" t="s">
        <v>21</v>
      </c>
      <c r="C152" s="6" t="s">
        <v>7</v>
      </c>
      <c r="D152" s="7">
        <v>50</v>
      </c>
      <c r="E152" s="7">
        <v>365</v>
      </c>
      <c r="F152" s="7">
        <v>2.9909706549999999</v>
      </c>
      <c r="G152" s="13" t="s">
        <v>150</v>
      </c>
      <c r="H152" s="14">
        <v>354.4</v>
      </c>
      <c r="I152" s="6" t="s">
        <v>8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6.5" thickBot="1" x14ac:dyDescent="0.4">
      <c r="A153" s="5">
        <v>46244.76730324074</v>
      </c>
      <c r="B153" s="6" t="s">
        <v>11</v>
      </c>
      <c r="C153" s="6" t="s">
        <v>7</v>
      </c>
      <c r="D153" s="7">
        <v>10</v>
      </c>
      <c r="E153" s="7">
        <v>2672</v>
      </c>
      <c r="F153" s="7">
        <v>3.0466640960000002</v>
      </c>
      <c r="G153" s="13" t="s">
        <v>144</v>
      </c>
      <c r="H153" s="14">
        <v>2593</v>
      </c>
      <c r="I153" s="6" t="s">
        <v>8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9.5" thickBot="1" x14ac:dyDescent="0.4">
      <c r="A154" s="5">
        <v>46244.76730324074</v>
      </c>
      <c r="B154" s="6" t="s">
        <v>14</v>
      </c>
      <c r="C154" s="6" t="s">
        <v>7</v>
      </c>
      <c r="D154" s="7">
        <v>120</v>
      </c>
      <c r="E154" s="7">
        <v>300.5</v>
      </c>
      <c r="F154" s="7">
        <v>3.0521262</v>
      </c>
      <c r="G154" s="13" t="s">
        <v>147</v>
      </c>
      <c r="H154" s="14">
        <v>291.60000000000002</v>
      </c>
      <c r="I154" s="6" t="s">
        <v>8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9.5" thickBot="1" x14ac:dyDescent="0.4">
      <c r="A155" s="5">
        <v>46244.645601851851</v>
      </c>
      <c r="B155" s="6" t="s">
        <v>33</v>
      </c>
      <c r="C155" s="6" t="s">
        <v>7</v>
      </c>
      <c r="D155" s="7">
        <v>10</v>
      </c>
      <c r="E155" s="7">
        <v>957</v>
      </c>
      <c r="F155" s="7">
        <v>3.069466882</v>
      </c>
      <c r="G155" s="13" t="s">
        <v>164</v>
      </c>
      <c r="H155" s="14">
        <v>928.5</v>
      </c>
      <c r="I155" s="6" t="s">
        <v>8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" thickBot="1" x14ac:dyDescent="0.4">
      <c r="A156" s="5">
        <v>46241.635555555556</v>
      </c>
      <c r="B156" s="6" t="s">
        <v>50</v>
      </c>
      <c r="C156" s="6" t="s">
        <v>7</v>
      </c>
      <c r="D156" s="7">
        <v>1</v>
      </c>
      <c r="E156" s="7">
        <v>3710</v>
      </c>
      <c r="F156" s="7">
        <v>3.1472419930000002</v>
      </c>
      <c r="G156" s="13" t="s">
        <v>166</v>
      </c>
      <c r="H156" s="14">
        <v>3596.8</v>
      </c>
      <c r="I156" s="6" t="s">
        <v>8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39" thickBot="1" x14ac:dyDescent="0.4">
      <c r="A157" s="5">
        <v>46244.76730324074</v>
      </c>
      <c r="B157" s="6" t="s">
        <v>26</v>
      </c>
      <c r="C157" s="6" t="s">
        <v>7</v>
      </c>
      <c r="D157" s="7">
        <v>30</v>
      </c>
      <c r="E157" s="7">
        <v>940</v>
      </c>
      <c r="F157" s="7">
        <v>3.1833150379999999</v>
      </c>
      <c r="G157" s="13" t="s">
        <v>159</v>
      </c>
      <c r="H157" s="14">
        <v>911</v>
      </c>
      <c r="I157" s="6" t="s">
        <v>8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6.5" thickBot="1" x14ac:dyDescent="0.4">
      <c r="A158" s="15" t="s">
        <v>189</v>
      </c>
      <c r="B158" s="6" t="s">
        <v>22</v>
      </c>
      <c r="C158" s="6" t="s">
        <v>7</v>
      </c>
      <c r="D158" s="7">
        <v>150</v>
      </c>
      <c r="E158" s="8">
        <v>134.80000000000001</v>
      </c>
      <c r="F158" s="7">
        <v>3.318770599</v>
      </c>
      <c r="G158" s="13" t="s">
        <v>157</v>
      </c>
      <c r="H158" s="14">
        <v>130.47</v>
      </c>
      <c r="I158" s="6" t="s">
        <v>8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6.5" thickBot="1" x14ac:dyDescent="0.4">
      <c r="A159" s="5">
        <v>46244.635520833333</v>
      </c>
      <c r="B159" s="6" t="s">
        <v>35</v>
      </c>
      <c r="C159" s="6" t="s">
        <v>7</v>
      </c>
      <c r="D159" s="7">
        <v>100</v>
      </c>
      <c r="E159" s="7">
        <v>238.2</v>
      </c>
      <c r="F159" s="7">
        <v>3.3405639909999998</v>
      </c>
      <c r="G159" s="13" t="s">
        <v>162</v>
      </c>
      <c r="H159" s="14">
        <v>230.5</v>
      </c>
      <c r="I159" s="6" t="s">
        <v>8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6.5" thickBot="1" x14ac:dyDescent="0.4">
      <c r="A160" s="5">
        <v>46244.635520833333</v>
      </c>
      <c r="B160" s="6" t="s">
        <v>35</v>
      </c>
      <c r="C160" s="6" t="s">
        <v>7</v>
      </c>
      <c r="D160" s="7">
        <v>200</v>
      </c>
      <c r="E160" s="7">
        <v>239</v>
      </c>
      <c r="F160" s="7">
        <v>3.6876355749999998</v>
      </c>
      <c r="G160" s="13" t="s">
        <v>162</v>
      </c>
      <c r="H160" s="14">
        <v>230.5</v>
      </c>
      <c r="I160" s="6" t="s">
        <v>8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6.5" thickBot="1" x14ac:dyDescent="0.4">
      <c r="A161" s="5">
        <v>46244.635601851849</v>
      </c>
      <c r="B161" s="6" t="s">
        <v>48</v>
      </c>
      <c r="C161" s="6" t="s">
        <v>7</v>
      </c>
      <c r="D161" s="7">
        <v>200</v>
      </c>
      <c r="E161" s="7">
        <v>91.75</v>
      </c>
      <c r="F161" s="7">
        <v>3.7074714590000002</v>
      </c>
      <c r="G161" s="13" t="s">
        <v>163</v>
      </c>
      <c r="H161" s="14">
        <v>88.47</v>
      </c>
      <c r="I161" s="6" t="s">
        <v>8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" thickBot="1" x14ac:dyDescent="0.4">
      <c r="A162" s="5">
        <v>46181.635416666664</v>
      </c>
      <c r="B162" s="6" t="s">
        <v>40</v>
      </c>
      <c r="C162" s="6" t="s">
        <v>7</v>
      </c>
      <c r="D162" s="7">
        <v>10</v>
      </c>
      <c r="E162" s="7">
        <v>1360</v>
      </c>
      <c r="F162" s="7">
        <v>3.8167938929999998</v>
      </c>
      <c r="G162" s="13" t="s">
        <v>169</v>
      </c>
      <c r="H162" s="14">
        <v>1310</v>
      </c>
      <c r="I162" s="6" t="s">
        <v>8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9.5" thickBot="1" x14ac:dyDescent="0.4">
      <c r="A163" s="5">
        <v>46244.63554398148</v>
      </c>
      <c r="B163" s="6" t="s">
        <v>46</v>
      </c>
      <c r="C163" s="6" t="s">
        <v>7</v>
      </c>
      <c r="D163" s="7">
        <v>10</v>
      </c>
      <c r="E163" s="7">
        <v>1221</v>
      </c>
      <c r="F163" s="7">
        <v>3.9148936170000002</v>
      </c>
      <c r="G163" s="13" t="s">
        <v>173</v>
      </c>
      <c r="H163" s="14">
        <v>1175</v>
      </c>
      <c r="I163" s="6" t="s">
        <v>8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6.5" thickBot="1" x14ac:dyDescent="0.4">
      <c r="A164" s="5">
        <v>46244.76730324074</v>
      </c>
      <c r="B164" s="6" t="s">
        <v>11</v>
      </c>
      <c r="C164" s="6" t="s">
        <v>7</v>
      </c>
      <c r="D164" s="7">
        <v>10</v>
      </c>
      <c r="E164" s="7">
        <v>2696</v>
      </c>
      <c r="F164" s="7">
        <v>3.9722329350000001</v>
      </c>
      <c r="G164" s="13" t="s">
        <v>144</v>
      </c>
      <c r="H164" s="14">
        <v>2593</v>
      </c>
      <c r="I164" s="6" t="s">
        <v>8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6.5" thickBot="1" x14ac:dyDescent="0.4">
      <c r="A165" s="5">
        <v>46239.635578703703</v>
      </c>
      <c r="B165" s="6" t="s">
        <v>55</v>
      </c>
      <c r="C165" s="6" t="s">
        <v>7</v>
      </c>
      <c r="D165" s="7">
        <v>150</v>
      </c>
      <c r="E165" s="7">
        <v>124.9</v>
      </c>
      <c r="F165" s="7">
        <v>4.0833333329999997</v>
      </c>
      <c r="G165" s="13" t="s">
        <v>160</v>
      </c>
      <c r="H165" s="14">
        <v>120</v>
      </c>
      <c r="I165" s="6" t="s">
        <v>8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" thickBot="1" x14ac:dyDescent="0.4">
      <c r="A166" s="5">
        <v>46244.76730324074</v>
      </c>
      <c r="B166" s="6" t="s">
        <v>21</v>
      </c>
      <c r="C166" s="6" t="s">
        <v>7</v>
      </c>
      <c r="D166" s="7">
        <v>67</v>
      </c>
      <c r="E166" s="7">
        <v>369</v>
      </c>
      <c r="F166" s="7">
        <v>4.1196388260000001</v>
      </c>
      <c r="G166" s="13" t="s">
        <v>150</v>
      </c>
      <c r="H166" s="14">
        <v>354.4</v>
      </c>
      <c r="I166" s="6" t="s">
        <v>8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6.5" thickBot="1" x14ac:dyDescent="0.4">
      <c r="A167" s="5">
        <v>46244.76730324074</v>
      </c>
      <c r="B167" s="6" t="s">
        <v>22</v>
      </c>
      <c r="C167" s="6" t="s">
        <v>7</v>
      </c>
      <c r="D167" s="7">
        <v>150</v>
      </c>
      <c r="E167" s="7">
        <v>136</v>
      </c>
      <c r="F167" s="7">
        <v>4.2385222660000004</v>
      </c>
      <c r="G167" s="13" t="s">
        <v>157</v>
      </c>
      <c r="H167" s="14">
        <v>130.47</v>
      </c>
      <c r="I167" s="6" t="s">
        <v>8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9.5" thickBot="1" x14ac:dyDescent="0.4">
      <c r="A168" s="5">
        <v>46244.76730324074</v>
      </c>
      <c r="B168" s="6" t="s">
        <v>12</v>
      </c>
      <c r="C168" s="6" t="s">
        <v>7</v>
      </c>
      <c r="D168" s="7">
        <v>50</v>
      </c>
      <c r="E168" s="7">
        <v>214</v>
      </c>
      <c r="F168" s="7">
        <v>4.466682939</v>
      </c>
      <c r="G168" s="13" t="s">
        <v>145</v>
      </c>
      <c r="H168" s="14">
        <v>204.85</v>
      </c>
      <c r="I168" s="6" t="s">
        <v>8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6.5" thickBot="1" x14ac:dyDescent="0.4">
      <c r="A169" s="5">
        <v>46244.635578703703</v>
      </c>
      <c r="B169" s="6" t="s">
        <v>34</v>
      </c>
      <c r="C169" s="6" t="s">
        <v>7</v>
      </c>
      <c r="D169" s="7">
        <v>20</v>
      </c>
      <c r="E169" s="7">
        <v>825</v>
      </c>
      <c r="F169" s="7">
        <v>4.4898993100000002</v>
      </c>
      <c r="G169" s="13" t="s">
        <v>175</v>
      </c>
      <c r="H169" s="14">
        <v>789.55</v>
      </c>
      <c r="I169" s="6" t="s">
        <v>8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39" thickBot="1" x14ac:dyDescent="0.4">
      <c r="A170" s="5">
        <v>46244.76730324074</v>
      </c>
      <c r="B170" s="6" t="s">
        <v>17</v>
      </c>
      <c r="C170" s="6" t="s">
        <v>7</v>
      </c>
      <c r="D170" s="7">
        <v>5</v>
      </c>
      <c r="E170" s="7">
        <v>467.25</v>
      </c>
      <c r="F170" s="7">
        <v>4.8233314639999998</v>
      </c>
      <c r="G170" s="13" t="s">
        <v>149</v>
      </c>
      <c r="H170" s="14">
        <v>445.75</v>
      </c>
      <c r="I170" s="6" t="s">
        <v>8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6.5" thickBot="1" x14ac:dyDescent="0.4">
      <c r="A171" s="5">
        <v>46241.635578703703</v>
      </c>
      <c r="B171" s="6" t="s">
        <v>48</v>
      </c>
      <c r="C171" s="6" t="s">
        <v>7</v>
      </c>
      <c r="D171" s="7">
        <v>200</v>
      </c>
      <c r="E171" s="7">
        <v>92.75</v>
      </c>
      <c r="F171" s="7">
        <v>4.8377981239999999</v>
      </c>
      <c r="G171" s="13" t="s">
        <v>163</v>
      </c>
      <c r="H171" s="14">
        <v>88.47</v>
      </c>
      <c r="I171" s="6" t="s">
        <v>8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6.5" thickBot="1" x14ac:dyDescent="0.4">
      <c r="A172" s="5">
        <v>46241.688055555554</v>
      </c>
      <c r="B172" s="6" t="s">
        <v>11</v>
      </c>
      <c r="C172" s="6" t="s">
        <v>7</v>
      </c>
      <c r="D172" s="7">
        <v>10</v>
      </c>
      <c r="E172" s="7">
        <v>2720</v>
      </c>
      <c r="F172" s="7">
        <v>4.8978017740000004</v>
      </c>
      <c r="G172" s="13" t="s">
        <v>144</v>
      </c>
      <c r="H172" s="14">
        <v>2593</v>
      </c>
      <c r="I172" s="6" t="s">
        <v>8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6.5" thickBot="1" x14ac:dyDescent="0.4">
      <c r="A173" s="5">
        <v>46241.635567129626</v>
      </c>
      <c r="B173" s="6" t="s">
        <v>55</v>
      </c>
      <c r="C173" s="6" t="s">
        <v>7</v>
      </c>
      <c r="D173" s="7">
        <v>150</v>
      </c>
      <c r="E173" s="7">
        <v>125.9</v>
      </c>
      <c r="F173" s="7">
        <v>4.9166666670000003</v>
      </c>
      <c r="G173" s="13" t="s">
        <v>160</v>
      </c>
      <c r="H173" s="14">
        <v>120</v>
      </c>
      <c r="I173" s="6" t="s">
        <v>8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" thickBot="1" x14ac:dyDescent="0.4">
      <c r="A174" s="5">
        <v>46244.63553240741</v>
      </c>
      <c r="B174" s="6" t="s">
        <v>43</v>
      </c>
      <c r="C174" s="6" t="s">
        <v>7</v>
      </c>
      <c r="D174" s="7">
        <v>20</v>
      </c>
      <c r="E174" s="7">
        <v>424</v>
      </c>
      <c r="F174" s="7">
        <v>5.1196231560000003</v>
      </c>
      <c r="G174" s="13" t="s">
        <v>180</v>
      </c>
      <c r="H174" s="14">
        <v>403.35</v>
      </c>
      <c r="I174" s="6" t="s">
        <v>8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" thickBot="1" x14ac:dyDescent="0.4">
      <c r="A175" s="5">
        <v>46241.765462962961</v>
      </c>
      <c r="B175" s="6" t="s">
        <v>23</v>
      </c>
      <c r="C175" s="6" t="s">
        <v>7</v>
      </c>
      <c r="D175" s="7">
        <v>5</v>
      </c>
      <c r="E175" s="7">
        <v>635.75</v>
      </c>
      <c r="F175" s="7">
        <v>5.2217808669999997</v>
      </c>
      <c r="G175" s="13" t="s">
        <v>155</v>
      </c>
      <c r="H175" s="14">
        <v>604.20000000000005</v>
      </c>
      <c r="I175" s="6" t="s">
        <v>8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9.5" thickBot="1" x14ac:dyDescent="0.4">
      <c r="A176" s="5">
        <v>46244.635509259257</v>
      </c>
      <c r="B176" s="6" t="s">
        <v>33</v>
      </c>
      <c r="C176" s="6" t="s">
        <v>7</v>
      </c>
      <c r="D176" s="7">
        <v>10</v>
      </c>
      <c r="E176" s="7">
        <v>977</v>
      </c>
      <c r="F176" s="7">
        <v>5.223478729</v>
      </c>
      <c r="G176" s="13" t="s">
        <v>164</v>
      </c>
      <c r="H176" s="14">
        <v>928.5</v>
      </c>
      <c r="I176" s="6" t="s">
        <v>8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" thickBot="1" x14ac:dyDescent="0.4">
      <c r="A177" s="5">
        <v>46239.696701388886</v>
      </c>
      <c r="B177" s="6" t="s">
        <v>21</v>
      </c>
      <c r="C177" s="6" t="s">
        <v>7</v>
      </c>
      <c r="D177" s="7">
        <v>67</v>
      </c>
      <c r="E177" s="7">
        <v>373</v>
      </c>
      <c r="F177" s="7">
        <v>5.2483069980000003</v>
      </c>
      <c r="G177" s="13" t="s">
        <v>150</v>
      </c>
      <c r="H177" s="14">
        <v>354.4</v>
      </c>
      <c r="I177" s="6" t="s">
        <v>8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9.5" thickBot="1" x14ac:dyDescent="0.4">
      <c r="A178" s="5">
        <v>46244.63553240741</v>
      </c>
      <c r="B178" s="6" t="s">
        <v>52</v>
      </c>
      <c r="C178" s="6" t="s">
        <v>7</v>
      </c>
      <c r="D178" s="7">
        <v>2</v>
      </c>
      <c r="E178" s="7">
        <v>2690</v>
      </c>
      <c r="F178" s="7">
        <v>5.3662358010000002</v>
      </c>
      <c r="G178" s="13" t="s">
        <v>185</v>
      </c>
      <c r="H178" s="14">
        <v>2553</v>
      </c>
      <c r="I178" s="6" t="s">
        <v>8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" thickBot="1" x14ac:dyDescent="0.4">
      <c r="A179" s="5">
        <v>46244.767650462964</v>
      </c>
      <c r="B179" s="6" t="s">
        <v>6</v>
      </c>
      <c r="C179" s="6" t="s">
        <v>7</v>
      </c>
      <c r="D179" s="7">
        <v>20</v>
      </c>
      <c r="E179" s="7">
        <v>311</v>
      </c>
      <c r="F179" s="7">
        <v>5.4058634129999996</v>
      </c>
      <c r="G179" s="13" t="s">
        <v>142</v>
      </c>
      <c r="H179" s="14">
        <v>295.05</v>
      </c>
      <c r="I179" s="6" t="s">
        <v>8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9.5" thickBot="1" x14ac:dyDescent="0.4">
      <c r="A180" s="5">
        <v>46244.76730324074</v>
      </c>
      <c r="B180" s="6" t="s">
        <v>25</v>
      </c>
      <c r="C180" s="6" t="s">
        <v>7</v>
      </c>
      <c r="D180" s="7">
        <v>25</v>
      </c>
      <c r="E180" s="7">
        <v>210</v>
      </c>
      <c r="F180" s="7">
        <v>5.5170334639999998</v>
      </c>
      <c r="G180" s="13" t="s">
        <v>156</v>
      </c>
      <c r="H180" s="14">
        <v>199.02</v>
      </c>
      <c r="I180" s="6" t="s">
        <v>8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6.5" thickBot="1" x14ac:dyDescent="0.4">
      <c r="A181" s="5">
        <v>46244.635520833333</v>
      </c>
      <c r="B181" s="6" t="s">
        <v>35</v>
      </c>
      <c r="C181" s="6" t="s">
        <v>7</v>
      </c>
      <c r="D181" s="7">
        <v>200</v>
      </c>
      <c r="E181" s="7">
        <v>244</v>
      </c>
      <c r="F181" s="7">
        <v>5.8568329720000003</v>
      </c>
      <c r="G181" s="13" t="s">
        <v>162</v>
      </c>
      <c r="H181" s="14">
        <v>230.5</v>
      </c>
      <c r="I181" s="6" t="s">
        <v>8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" thickBot="1" x14ac:dyDescent="0.4">
      <c r="A182" s="5">
        <v>46150.635416666664</v>
      </c>
      <c r="B182" s="6" t="s">
        <v>50</v>
      </c>
      <c r="C182" s="6" t="s">
        <v>7</v>
      </c>
      <c r="D182" s="7">
        <v>1</v>
      </c>
      <c r="E182" s="7">
        <v>3810</v>
      </c>
      <c r="F182" s="7">
        <v>5.9274911030000004</v>
      </c>
      <c r="G182" s="13" t="s">
        <v>166</v>
      </c>
      <c r="H182" s="14">
        <v>3596.8</v>
      </c>
      <c r="I182" s="6" t="s">
        <v>8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9.5" thickBot="1" x14ac:dyDescent="0.4">
      <c r="A183" s="5">
        <v>46241.63554398148</v>
      </c>
      <c r="B183" s="6" t="s">
        <v>52</v>
      </c>
      <c r="C183" s="6" t="s">
        <v>7</v>
      </c>
      <c r="D183" s="7">
        <v>3</v>
      </c>
      <c r="E183" s="7">
        <v>2710</v>
      </c>
      <c r="F183" s="7">
        <v>6.1496278889999996</v>
      </c>
      <c r="G183" s="13" t="s">
        <v>185</v>
      </c>
      <c r="H183" s="14">
        <v>2553</v>
      </c>
      <c r="I183" s="6" t="s">
        <v>8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9.5" thickBot="1" x14ac:dyDescent="0.4">
      <c r="A184" s="5">
        <v>46244.76730324074</v>
      </c>
      <c r="B184" s="6" t="s">
        <v>18</v>
      </c>
      <c r="C184" s="6" t="s">
        <v>7</v>
      </c>
      <c r="D184" s="7">
        <v>5</v>
      </c>
      <c r="E184" s="7">
        <v>730</v>
      </c>
      <c r="F184" s="7">
        <v>6.1509379089999996</v>
      </c>
      <c r="G184" s="13" t="s">
        <v>151</v>
      </c>
      <c r="H184" s="14">
        <v>687.7</v>
      </c>
      <c r="I184" s="6" t="s">
        <v>8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9.5" thickBot="1" x14ac:dyDescent="0.4">
      <c r="A185" s="5">
        <v>46244.63559027778</v>
      </c>
      <c r="B185" s="6" t="s">
        <v>32</v>
      </c>
      <c r="C185" s="6" t="s">
        <v>7</v>
      </c>
      <c r="D185" s="7">
        <v>10</v>
      </c>
      <c r="E185" s="7">
        <v>773</v>
      </c>
      <c r="F185" s="7">
        <v>6.4005505850000004</v>
      </c>
      <c r="G185" s="13" t="s">
        <v>168</v>
      </c>
      <c r="H185" s="14">
        <v>726.5</v>
      </c>
      <c r="I185" s="6" t="s">
        <v>8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9.5" thickBot="1" x14ac:dyDescent="0.4">
      <c r="A186" s="5">
        <v>46244.76730324074</v>
      </c>
      <c r="B186" s="6" t="s">
        <v>14</v>
      </c>
      <c r="C186" s="6" t="s">
        <v>7</v>
      </c>
      <c r="D186" s="7">
        <v>100</v>
      </c>
      <c r="E186" s="7">
        <v>310.5</v>
      </c>
      <c r="F186" s="7">
        <v>6.4814814810000003</v>
      </c>
      <c r="G186" s="13" t="s">
        <v>147</v>
      </c>
      <c r="H186" s="14">
        <v>291.60000000000002</v>
      </c>
      <c r="I186" s="6" t="s">
        <v>8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6.5" thickBot="1" x14ac:dyDescent="0.4">
      <c r="A187" s="5">
        <v>46240.687962962962</v>
      </c>
      <c r="B187" s="6" t="s">
        <v>11</v>
      </c>
      <c r="C187" s="6" t="s">
        <v>7</v>
      </c>
      <c r="D187" s="7">
        <v>10</v>
      </c>
      <c r="E187" s="7">
        <v>2770</v>
      </c>
      <c r="F187" s="7">
        <v>6.8260701890000002</v>
      </c>
      <c r="G187" s="13" t="s">
        <v>144</v>
      </c>
      <c r="H187" s="14">
        <v>2593</v>
      </c>
      <c r="I187" s="6" t="s">
        <v>8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9.5" thickBot="1" x14ac:dyDescent="0.4">
      <c r="A188" s="5">
        <v>46244.635509259257</v>
      </c>
      <c r="B188" s="6" t="s">
        <v>54</v>
      </c>
      <c r="C188" s="6" t="s">
        <v>7</v>
      </c>
      <c r="D188" s="7">
        <v>5</v>
      </c>
      <c r="E188" s="7">
        <v>3980</v>
      </c>
      <c r="F188" s="7">
        <v>6.8456375840000003</v>
      </c>
      <c r="G188" s="13" t="s">
        <v>188</v>
      </c>
      <c r="H188" s="14">
        <v>3725</v>
      </c>
      <c r="I188" s="6" t="s">
        <v>8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6.5" thickBot="1" x14ac:dyDescent="0.4">
      <c r="A189" s="5">
        <v>46241.635567129626</v>
      </c>
      <c r="B189" s="6" t="s">
        <v>44</v>
      </c>
      <c r="C189" s="6" t="s">
        <v>7</v>
      </c>
      <c r="D189" s="7">
        <v>7</v>
      </c>
      <c r="E189" s="7">
        <v>1424</v>
      </c>
      <c r="F189" s="7">
        <v>6.8667917449999996</v>
      </c>
      <c r="G189" s="13" t="s">
        <v>167</v>
      </c>
      <c r="H189" s="14">
        <v>1332.5</v>
      </c>
      <c r="I189" s="6" t="s">
        <v>8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9.5" thickBot="1" x14ac:dyDescent="0.4">
      <c r="A190" s="5">
        <v>46241.765023148146</v>
      </c>
      <c r="B190" s="6" t="s">
        <v>12</v>
      </c>
      <c r="C190" s="6" t="s">
        <v>7</v>
      </c>
      <c r="D190" s="7">
        <v>65</v>
      </c>
      <c r="E190" s="7">
        <v>219</v>
      </c>
      <c r="F190" s="7">
        <v>6.9074932880000004</v>
      </c>
      <c r="G190" s="13" t="s">
        <v>145</v>
      </c>
      <c r="H190" s="14">
        <v>204.85</v>
      </c>
      <c r="I190" s="6" t="s">
        <v>8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39" thickBot="1" x14ac:dyDescent="0.4">
      <c r="A191" s="15" t="s">
        <v>189</v>
      </c>
      <c r="B191" s="6" t="s">
        <v>26</v>
      </c>
      <c r="C191" s="6" t="s">
        <v>7</v>
      </c>
      <c r="D191" s="7">
        <v>30</v>
      </c>
      <c r="E191" s="8">
        <v>974</v>
      </c>
      <c r="F191" s="7">
        <v>6.9154774970000004</v>
      </c>
      <c r="G191" s="13" t="s">
        <v>159</v>
      </c>
      <c r="H191" s="14">
        <v>911</v>
      </c>
      <c r="I191" s="6" t="s">
        <v>8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" thickBot="1" x14ac:dyDescent="0.4">
      <c r="A192" s="5">
        <v>46244.63559027778</v>
      </c>
      <c r="B192" s="6" t="s">
        <v>51</v>
      </c>
      <c r="C192" s="6" t="s">
        <v>7</v>
      </c>
      <c r="D192" s="7">
        <v>50</v>
      </c>
      <c r="E192" s="7">
        <v>480</v>
      </c>
      <c r="F192" s="7">
        <v>7.1428571429999996</v>
      </c>
      <c r="G192" s="13" t="s">
        <v>178</v>
      </c>
      <c r="H192" s="14">
        <v>448</v>
      </c>
      <c r="I192" s="6" t="s">
        <v>8</v>
      </c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9.5" thickBot="1" x14ac:dyDescent="0.4">
      <c r="A193" s="5">
        <v>46241.635520833333</v>
      </c>
      <c r="B193" s="6" t="s">
        <v>33</v>
      </c>
      <c r="C193" s="6" t="s">
        <v>7</v>
      </c>
      <c r="D193" s="7">
        <v>10</v>
      </c>
      <c r="E193" s="7">
        <v>997</v>
      </c>
      <c r="F193" s="7">
        <v>7.3774905759999996</v>
      </c>
      <c r="G193" s="13" t="s">
        <v>164</v>
      </c>
      <c r="H193" s="14">
        <v>928.5</v>
      </c>
      <c r="I193" s="6" t="s">
        <v>8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" thickBot="1" x14ac:dyDescent="0.4">
      <c r="A194" s="5">
        <v>46244.76730324074</v>
      </c>
      <c r="B194" s="6" t="s">
        <v>6</v>
      </c>
      <c r="C194" s="6" t="s">
        <v>7</v>
      </c>
      <c r="D194" s="7">
        <v>50</v>
      </c>
      <c r="E194" s="7">
        <v>317</v>
      </c>
      <c r="F194" s="7">
        <v>7.4394170480000001</v>
      </c>
      <c r="G194" s="13" t="s">
        <v>142</v>
      </c>
      <c r="H194" s="14">
        <v>295.05</v>
      </c>
      <c r="I194" s="6" t="s">
        <v>8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9.5" thickBot="1" x14ac:dyDescent="0.4">
      <c r="A195" s="15" t="s">
        <v>189</v>
      </c>
      <c r="B195" s="6" t="s">
        <v>25</v>
      </c>
      <c r="C195" s="6" t="s">
        <v>7</v>
      </c>
      <c r="D195" s="7">
        <v>25</v>
      </c>
      <c r="E195" s="8">
        <v>214</v>
      </c>
      <c r="F195" s="7">
        <v>7.5268817200000004</v>
      </c>
      <c r="G195" s="13" t="s">
        <v>156</v>
      </c>
      <c r="H195" s="14">
        <v>199.02</v>
      </c>
      <c r="I195" s="6" t="s">
        <v>8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9.5" thickBot="1" x14ac:dyDescent="0.4">
      <c r="A196" s="15" t="s">
        <v>189</v>
      </c>
      <c r="B196" s="6" t="s">
        <v>14</v>
      </c>
      <c r="C196" s="6" t="s">
        <v>7</v>
      </c>
      <c r="D196" s="7">
        <v>100</v>
      </c>
      <c r="E196" s="8">
        <v>314</v>
      </c>
      <c r="F196" s="7">
        <v>7.6817558300000002</v>
      </c>
      <c r="G196" s="13" t="s">
        <v>147</v>
      </c>
      <c r="H196" s="14">
        <v>291.60000000000002</v>
      </c>
      <c r="I196" s="6" t="s">
        <v>8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6.5" thickBot="1" x14ac:dyDescent="0.4">
      <c r="A197" s="5">
        <v>46211.635416666664</v>
      </c>
      <c r="B197" s="6" t="s">
        <v>35</v>
      </c>
      <c r="C197" s="6" t="s">
        <v>7</v>
      </c>
      <c r="D197" s="7">
        <v>200</v>
      </c>
      <c r="E197" s="7">
        <v>249</v>
      </c>
      <c r="F197" s="7">
        <v>8.0260303690000008</v>
      </c>
      <c r="G197" s="13" t="s">
        <v>162</v>
      </c>
      <c r="H197" s="14">
        <v>230.5</v>
      </c>
      <c r="I197" s="6" t="s">
        <v>8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39" thickBot="1" x14ac:dyDescent="0.4">
      <c r="A198" s="15" t="s">
        <v>189</v>
      </c>
      <c r="B198" s="6" t="s">
        <v>26</v>
      </c>
      <c r="C198" s="6" t="s">
        <v>7</v>
      </c>
      <c r="D198" s="7">
        <v>5</v>
      </c>
      <c r="E198" s="7">
        <v>986</v>
      </c>
      <c r="F198" s="7">
        <v>8.2327113060000006</v>
      </c>
      <c r="G198" s="13" t="s">
        <v>159</v>
      </c>
      <c r="H198" s="14">
        <v>911</v>
      </c>
      <c r="I198" s="6" t="s">
        <v>8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9.5" thickBot="1" x14ac:dyDescent="0.4">
      <c r="A199" s="5">
        <v>46181.635416666664</v>
      </c>
      <c r="B199" s="6" t="s">
        <v>54</v>
      </c>
      <c r="C199" s="6" t="s">
        <v>7</v>
      </c>
      <c r="D199" s="7">
        <v>5</v>
      </c>
      <c r="E199" s="7">
        <v>4040</v>
      </c>
      <c r="F199" s="7">
        <v>8.4563758389999997</v>
      </c>
      <c r="G199" s="13" t="s">
        <v>188</v>
      </c>
      <c r="H199" s="14">
        <v>3725</v>
      </c>
      <c r="I199" s="6" t="s">
        <v>8</v>
      </c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" thickBot="1" x14ac:dyDescent="0.4">
      <c r="A200" s="5">
        <v>46244.76730324074</v>
      </c>
      <c r="B200" s="6" t="s">
        <v>6</v>
      </c>
      <c r="C200" s="6" t="s">
        <v>7</v>
      </c>
      <c r="D200" s="7">
        <v>40</v>
      </c>
      <c r="E200" s="7">
        <v>320.5</v>
      </c>
      <c r="F200" s="7">
        <v>8.6256566679999995</v>
      </c>
      <c r="G200" s="13" t="s">
        <v>142</v>
      </c>
      <c r="H200" s="14">
        <v>295.05</v>
      </c>
      <c r="I200" s="6" t="s">
        <v>8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9.5" thickBot="1" x14ac:dyDescent="0.4">
      <c r="A201" s="5">
        <v>46241.635567129626</v>
      </c>
      <c r="B201" s="6" t="s">
        <v>32</v>
      </c>
      <c r="C201" s="6" t="s">
        <v>7</v>
      </c>
      <c r="D201" s="7">
        <v>5</v>
      </c>
      <c r="E201" s="7">
        <v>790</v>
      </c>
      <c r="F201" s="7">
        <v>8.7405368200000009</v>
      </c>
      <c r="G201" s="13" t="s">
        <v>168</v>
      </c>
      <c r="H201" s="14">
        <v>726.5</v>
      </c>
      <c r="I201" s="6" t="s">
        <v>8</v>
      </c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9.5" thickBot="1" x14ac:dyDescent="0.4">
      <c r="A202" s="5">
        <v>46244.767627314817</v>
      </c>
      <c r="B202" s="6" t="s">
        <v>9</v>
      </c>
      <c r="C202" s="6" t="s">
        <v>7</v>
      </c>
      <c r="D202" s="7">
        <v>5</v>
      </c>
      <c r="E202" s="7">
        <v>966</v>
      </c>
      <c r="F202" s="7">
        <v>8.8192663620000005</v>
      </c>
      <c r="G202" s="13" t="s">
        <v>143</v>
      </c>
      <c r="H202" s="14">
        <v>896.9</v>
      </c>
      <c r="I202" s="6" t="s">
        <v>8</v>
      </c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9.5" thickBot="1" x14ac:dyDescent="0.4">
      <c r="A203" s="5">
        <v>46244.76730324074</v>
      </c>
      <c r="B203" s="6" t="s">
        <v>24</v>
      </c>
      <c r="C203" s="6" t="s">
        <v>7</v>
      </c>
      <c r="D203" s="7">
        <v>5</v>
      </c>
      <c r="E203" s="7">
        <v>435</v>
      </c>
      <c r="F203" s="7">
        <v>8.8861076350000001</v>
      </c>
      <c r="G203" s="13" t="s">
        <v>158</v>
      </c>
      <c r="H203" s="14">
        <v>399.5</v>
      </c>
      <c r="I203" s="6" t="s">
        <v>8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9.5" thickBot="1" x14ac:dyDescent="0.4">
      <c r="A204" s="5">
        <v>46244.76730324074</v>
      </c>
      <c r="B204" s="6" t="s">
        <v>18</v>
      </c>
      <c r="C204" s="6" t="s">
        <v>7</v>
      </c>
      <c r="D204" s="7">
        <v>11</v>
      </c>
      <c r="E204" s="7">
        <v>749</v>
      </c>
      <c r="F204" s="7">
        <v>8.9137705389999997</v>
      </c>
      <c r="G204" s="13" t="s">
        <v>151</v>
      </c>
      <c r="H204" s="14">
        <v>687.7</v>
      </c>
      <c r="I204" s="6" t="s">
        <v>8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9.5" thickBot="1" x14ac:dyDescent="0.4">
      <c r="A205" s="5">
        <v>46239.789502314816</v>
      </c>
      <c r="B205" s="6" t="s">
        <v>14</v>
      </c>
      <c r="C205" s="6" t="s">
        <v>7</v>
      </c>
      <c r="D205" s="7">
        <v>100</v>
      </c>
      <c r="E205" s="7">
        <v>318</v>
      </c>
      <c r="F205" s="7">
        <v>9.0534979419999999</v>
      </c>
      <c r="G205" s="13" t="s">
        <v>147</v>
      </c>
      <c r="H205" s="14">
        <v>291.60000000000002</v>
      </c>
      <c r="I205" s="6" t="s">
        <v>8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9.5" thickBot="1" x14ac:dyDescent="0.4">
      <c r="A206" s="5">
        <v>46240.635601851849</v>
      </c>
      <c r="B206" s="6" t="s">
        <v>129</v>
      </c>
      <c r="C206" s="6" t="s">
        <v>7</v>
      </c>
      <c r="D206" s="7">
        <v>11</v>
      </c>
      <c r="E206" s="7">
        <v>548</v>
      </c>
      <c r="F206" s="7">
        <v>9.1850966330000006</v>
      </c>
      <c r="G206" s="13" t="s">
        <v>200</v>
      </c>
      <c r="H206" s="14">
        <v>501.9</v>
      </c>
      <c r="I206" s="6" t="s">
        <v>8</v>
      </c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6.5" thickBot="1" x14ac:dyDescent="0.4">
      <c r="A207" s="5">
        <v>46244.63553240741</v>
      </c>
      <c r="B207" s="6" t="s">
        <v>27</v>
      </c>
      <c r="C207" s="6" t="s">
        <v>7</v>
      </c>
      <c r="D207" s="7">
        <v>11</v>
      </c>
      <c r="E207" s="7">
        <v>1170</v>
      </c>
      <c r="F207" s="7">
        <v>9.2436974789999997</v>
      </c>
      <c r="G207" s="13" t="s">
        <v>183</v>
      </c>
      <c r="H207" s="14">
        <v>1071</v>
      </c>
      <c r="I207" s="6" t="s">
        <v>8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39" thickBot="1" x14ac:dyDescent="0.4">
      <c r="A208" s="15" t="s">
        <v>189</v>
      </c>
      <c r="B208" s="9" t="s">
        <v>26</v>
      </c>
      <c r="C208" s="6" t="s">
        <v>7</v>
      </c>
      <c r="D208" s="7">
        <v>40</v>
      </c>
      <c r="E208" s="10">
        <v>996</v>
      </c>
      <c r="F208" s="7">
        <v>9.3304061469999997</v>
      </c>
      <c r="G208" s="13" t="s">
        <v>159</v>
      </c>
      <c r="H208" s="14">
        <v>911</v>
      </c>
      <c r="I208" s="6" t="s">
        <v>8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9.5" thickBot="1" x14ac:dyDescent="0.4">
      <c r="A209" s="15" t="s">
        <v>189</v>
      </c>
      <c r="B209" s="6" t="s">
        <v>14</v>
      </c>
      <c r="C209" s="6" t="s">
        <v>7</v>
      </c>
      <c r="D209" s="7">
        <v>100</v>
      </c>
      <c r="E209" s="8">
        <v>319</v>
      </c>
      <c r="F209" s="7">
        <v>9.3964334709999999</v>
      </c>
      <c r="G209" s="13" t="s">
        <v>147</v>
      </c>
      <c r="H209" s="14">
        <v>291.60000000000002</v>
      </c>
      <c r="I209" s="6" t="s">
        <v>8</v>
      </c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39" thickBot="1" x14ac:dyDescent="0.4">
      <c r="A210" s="15" t="s">
        <v>189</v>
      </c>
      <c r="B210" s="6" t="s">
        <v>26</v>
      </c>
      <c r="C210" s="6" t="s">
        <v>7</v>
      </c>
      <c r="D210" s="7">
        <v>5</v>
      </c>
      <c r="E210" s="7">
        <v>1002</v>
      </c>
      <c r="F210" s="7">
        <v>9.9890230520000003</v>
      </c>
      <c r="G210" s="13" t="s">
        <v>159</v>
      </c>
      <c r="H210" s="14">
        <v>911</v>
      </c>
      <c r="I210" s="6" t="s">
        <v>8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" thickBot="1" x14ac:dyDescent="0.4">
      <c r="A211" s="15" t="s">
        <v>189</v>
      </c>
      <c r="B211" s="6" t="s">
        <v>51</v>
      </c>
      <c r="C211" s="6" t="s">
        <v>7</v>
      </c>
      <c r="D211" s="7">
        <v>35</v>
      </c>
      <c r="E211" s="8">
        <v>494</v>
      </c>
      <c r="F211" s="7">
        <v>10.26785714</v>
      </c>
      <c r="G211" s="13" t="s">
        <v>178</v>
      </c>
      <c r="H211" s="14">
        <v>448</v>
      </c>
      <c r="I211" s="6" t="s">
        <v>8</v>
      </c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9.5" thickBot="1" x14ac:dyDescent="0.4">
      <c r="A212" s="15" t="s">
        <v>189</v>
      </c>
      <c r="B212" s="6" t="s">
        <v>33</v>
      </c>
      <c r="C212" s="6" t="s">
        <v>7</v>
      </c>
      <c r="D212" s="7">
        <v>10</v>
      </c>
      <c r="E212" s="8">
        <v>1024</v>
      </c>
      <c r="F212" s="7">
        <v>10.285406569999999</v>
      </c>
      <c r="G212" s="13" t="s">
        <v>164</v>
      </c>
      <c r="H212" s="14">
        <v>928.5</v>
      </c>
      <c r="I212" s="6" t="s">
        <v>8</v>
      </c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9.5" thickBot="1" x14ac:dyDescent="0.4">
      <c r="A213" s="15" t="s">
        <v>189</v>
      </c>
      <c r="B213" s="6" t="s">
        <v>25</v>
      </c>
      <c r="C213" s="6" t="s">
        <v>7</v>
      </c>
      <c r="D213" s="7">
        <v>25</v>
      </c>
      <c r="E213" s="7">
        <v>220</v>
      </c>
      <c r="F213" s="7">
        <v>10.54165411</v>
      </c>
      <c r="G213" s="13" t="s">
        <v>156</v>
      </c>
      <c r="H213" s="14">
        <v>199.02</v>
      </c>
      <c r="I213" s="6" t="s">
        <v>8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6.5" thickBot="1" x14ac:dyDescent="0.4">
      <c r="A214" s="5">
        <v>46241.635555555556</v>
      </c>
      <c r="B214" s="6" t="s">
        <v>45</v>
      </c>
      <c r="C214" s="6" t="s">
        <v>7</v>
      </c>
      <c r="D214" s="7">
        <v>3</v>
      </c>
      <c r="E214" s="7">
        <v>3341</v>
      </c>
      <c r="F214" s="7">
        <v>10.629139070000001</v>
      </c>
      <c r="G214" s="13" t="s">
        <v>174</v>
      </c>
      <c r="H214" s="14">
        <v>3020</v>
      </c>
      <c r="I214" s="6" t="s">
        <v>8</v>
      </c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9.5" thickBot="1" x14ac:dyDescent="0.4">
      <c r="A215" s="5">
        <v>46239.789502314816</v>
      </c>
      <c r="B215" s="6" t="s">
        <v>14</v>
      </c>
      <c r="C215" s="6" t="s">
        <v>7</v>
      </c>
      <c r="D215" s="7">
        <v>150</v>
      </c>
      <c r="E215" s="7">
        <v>323</v>
      </c>
      <c r="F215" s="7">
        <v>10.768175579999999</v>
      </c>
      <c r="G215" s="13" t="s">
        <v>147</v>
      </c>
      <c r="H215" s="14">
        <v>291.60000000000002</v>
      </c>
      <c r="I215" s="6" t="s">
        <v>8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9.5" thickBot="1" x14ac:dyDescent="0.4">
      <c r="A216" s="15" t="s">
        <v>189</v>
      </c>
      <c r="B216" s="9" t="s">
        <v>12</v>
      </c>
      <c r="C216" s="6" t="s">
        <v>7</v>
      </c>
      <c r="D216" s="7">
        <v>40</v>
      </c>
      <c r="E216" s="10">
        <v>229</v>
      </c>
      <c r="F216" s="7">
        <v>11.789113990000001</v>
      </c>
      <c r="G216" s="13" t="s">
        <v>145</v>
      </c>
      <c r="H216" s="14">
        <v>204.85</v>
      </c>
      <c r="I216" s="6" t="s">
        <v>8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6.5" thickBot="1" x14ac:dyDescent="0.4">
      <c r="A217" s="5">
        <v>46239.793564814812</v>
      </c>
      <c r="B217" s="6" t="s">
        <v>133</v>
      </c>
      <c r="C217" s="6" t="s">
        <v>7</v>
      </c>
      <c r="D217" s="7">
        <v>23</v>
      </c>
      <c r="E217" s="7">
        <v>890</v>
      </c>
      <c r="F217" s="15" t="e">
        <v>#N/A</v>
      </c>
      <c r="G217" s="13" t="s">
        <v>201</v>
      </c>
      <c r="H217" s="16" t="e">
        <v>#N/A</v>
      </c>
      <c r="I217" s="6" t="s">
        <v>8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" thickBot="1" x14ac:dyDescent="0.4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" thickBot="1" x14ac:dyDescent="0.4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" thickBot="1" x14ac:dyDescent="0.4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" thickBot="1" x14ac:dyDescent="0.4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" thickBot="1" x14ac:dyDescent="0.4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" thickBot="1" x14ac:dyDescent="0.4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" thickBot="1" x14ac:dyDescent="0.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" thickBot="1" x14ac:dyDescent="0.4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" thickBot="1" x14ac:dyDescent="0.4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" thickBot="1" x14ac:dyDescent="0.4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" thickBot="1" x14ac:dyDescent="0.4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" thickBot="1" x14ac:dyDescent="0.4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" thickBot="1" x14ac:dyDescent="0.4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" thickBot="1" x14ac:dyDescent="0.4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" thickBot="1" x14ac:dyDescent="0.4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" thickBot="1" x14ac:dyDescent="0.4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" thickBot="1" x14ac:dyDescent="0.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" thickBot="1" x14ac:dyDescent="0.4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" thickBot="1" x14ac:dyDescent="0.4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" thickBot="1" x14ac:dyDescent="0.4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" thickBot="1" x14ac:dyDescent="0.4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" thickBot="1" x14ac:dyDescent="0.4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" thickBot="1" x14ac:dyDescent="0.4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" thickBot="1" x14ac:dyDescent="0.4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" thickBot="1" x14ac:dyDescent="0.4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" thickBot="1" x14ac:dyDescent="0.4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" thickBot="1" x14ac:dyDescent="0.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" thickBot="1" x14ac:dyDescent="0.4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" thickBot="1" x14ac:dyDescent="0.4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" thickBot="1" x14ac:dyDescent="0.4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" thickBot="1" x14ac:dyDescent="0.4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" thickBot="1" x14ac:dyDescent="0.4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" thickBot="1" x14ac:dyDescent="0.4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" thickBot="1" x14ac:dyDescent="0.4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" thickBot="1" x14ac:dyDescent="0.4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" thickBot="1" x14ac:dyDescent="0.4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" thickBot="1" x14ac:dyDescent="0.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" thickBot="1" x14ac:dyDescent="0.4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" thickBot="1" x14ac:dyDescent="0.4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" thickBot="1" x14ac:dyDescent="0.4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" thickBot="1" x14ac:dyDescent="0.4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" thickBot="1" x14ac:dyDescent="0.4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" thickBot="1" x14ac:dyDescent="0.4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" thickBot="1" x14ac:dyDescent="0.4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" thickBot="1" x14ac:dyDescent="0.4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" thickBot="1" x14ac:dyDescent="0.4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" thickBot="1" x14ac:dyDescent="0.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" thickBot="1" x14ac:dyDescent="0.4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" thickBot="1" x14ac:dyDescent="0.4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" thickBot="1" x14ac:dyDescent="0.4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" thickBot="1" x14ac:dyDescent="0.4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" thickBot="1" x14ac:dyDescent="0.4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" thickBot="1" x14ac:dyDescent="0.4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" thickBot="1" x14ac:dyDescent="0.4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" thickBot="1" x14ac:dyDescent="0.4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" thickBot="1" x14ac:dyDescent="0.4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" thickBot="1" x14ac:dyDescent="0.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" thickBot="1" x14ac:dyDescent="0.4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" thickBot="1" x14ac:dyDescent="0.4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" thickBot="1" x14ac:dyDescent="0.4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" thickBot="1" x14ac:dyDescent="0.4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" thickBot="1" x14ac:dyDescent="0.4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" thickBot="1" x14ac:dyDescent="0.4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" thickBot="1" x14ac:dyDescent="0.4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" thickBot="1" x14ac:dyDescent="0.4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" thickBot="1" x14ac:dyDescent="0.4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" thickBot="1" x14ac:dyDescent="0.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" thickBot="1" x14ac:dyDescent="0.4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" thickBot="1" x14ac:dyDescent="0.4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" thickBot="1" x14ac:dyDescent="0.4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" thickBot="1" x14ac:dyDescent="0.4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" thickBot="1" x14ac:dyDescent="0.4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" thickBot="1" x14ac:dyDescent="0.4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" thickBot="1" x14ac:dyDescent="0.4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" thickBot="1" x14ac:dyDescent="0.4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" thickBot="1" x14ac:dyDescent="0.4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" thickBot="1" x14ac:dyDescent="0.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" thickBot="1" x14ac:dyDescent="0.4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" thickBot="1" x14ac:dyDescent="0.4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" thickBot="1" x14ac:dyDescent="0.4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" thickBot="1" x14ac:dyDescent="0.4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" thickBot="1" x14ac:dyDescent="0.4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" thickBot="1" x14ac:dyDescent="0.4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" thickBot="1" x14ac:dyDescent="0.4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" thickBot="1" x14ac:dyDescent="0.4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" thickBot="1" x14ac:dyDescent="0.4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" thickBot="1" x14ac:dyDescent="0.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" thickBot="1" x14ac:dyDescent="0.4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" thickBot="1" x14ac:dyDescent="0.4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" thickBot="1" x14ac:dyDescent="0.4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" thickBot="1" x14ac:dyDescent="0.4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" thickBot="1" x14ac:dyDescent="0.4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" thickBot="1" x14ac:dyDescent="0.4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" thickBot="1" x14ac:dyDescent="0.4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" thickBot="1" x14ac:dyDescent="0.4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" thickBot="1" x14ac:dyDescent="0.4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" thickBot="1" x14ac:dyDescent="0.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" thickBot="1" x14ac:dyDescent="0.4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" thickBot="1" x14ac:dyDescent="0.4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" thickBot="1" x14ac:dyDescent="0.4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" thickBot="1" x14ac:dyDescent="0.4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" thickBot="1" x14ac:dyDescent="0.4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" thickBot="1" x14ac:dyDescent="0.4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" thickBot="1" x14ac:dyDescent="0.4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" thickBot="1" x14ac:dyDescent="0.4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" thickBot="1" x14ac:dyDescent="0.4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" thickBot="1" x14ac:dyDescent="0.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" thickBot="1" x14ac:dyDescent="0.4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" thickBot="1" x14ac:dyDescent="0.4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" thickBot="1" x14ac:dyDescent="0.4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" thickBot="1" x14ac:dyDescent="0.4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" thickBot="1" x14ac:dyDescent="0.4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" thickBot="1" x14ac:dyDescent="0.4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" thickBot="1" x14ac:dyDescent="0.4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" thickBot="1" x14ac:dyDescent="0.4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" thickBot="1" x14ac:dyDescent="0.4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" thickBot="1" x14ac:dyDescent="0.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" thickBot="1" x14ac:dyDescent="0.4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" thickBot="1" x14ac:dyDescent="0.4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" thickBot="1" x14ac:dyDescent="0.4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" thickBot="1" x14ac:dyDescent="0.4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" thickBot="1" x14ac:dyDescent="0.4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" thickBot="1" x14ac:dyDescent="0.4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" thickBot="1" x14ac:dyDescent="0.4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" thickBot="1" x14ac:dyDescent="0.4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" thickBot="1" x14ac:dyDescent="0.4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" thickBot="1" x14ac:dyDescent="0.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" thickBot="1" x14ac:dyDescent="0.4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" thickBot="1" x14ac:dyDescent="0.4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" thickBot="1" x14ac:dyDescent="0.4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" thickBot="1" x14ac:dyDescent="0.4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" thickBot="1" x14ac:dyDescent="0.4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" thickBot="1" x14ac:dyDescent="0.4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" thickBot="1" x14ac:dyDescent="0.4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" thickBot="1" x14ac:dyDescent="0.4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" thickBot="1" x14ac:dyDescent="0.4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" thickBot="1" x14ac:dyDescent="0.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" thickBot="1" x14ac:dyDescent="0.4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" thickBot="1" x14ac:dyDescent="0.4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" thickBot="1" x14ac:dyDescent="0.4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" thickBot="1" x14ac:dyDescent="0.4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" thickBot="1" x14ac:dyDescent="0.4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" thickBot="1" x14ac:dyDescent="0.4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" thickBot="1" x14ac:dyDescent="0.4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" thickBot="1" x14ac:dyDescent="0.4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" thickBot="1" x14ac:dyDescent="0.4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" thickBot="1" x14ac:dyDescent="0.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" thickBot="1" x14ac:dyDescent="0.4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" thickBot="1" x14ac:dyDescent="0.4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" thickBot="1" x14ac:dyDescent="0.4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" thickBot="1" x14ac:dyDescent="0.4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" thickBot="1" x14ac:dyDescent="0.4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" thickBot="1" x14ac:dyDescent="0.4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" thickBot="1" x14ac:dyDescent="0.4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" thickBot="1" x14ac:dyDescent="0.4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" thickBot="1" x14ac:dyDescent="0.4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" thickBot="1" x14ac:dyDescent="0.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" thickBot="1" x14ac:dyDescent="0.4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" thickBot="1" x14ac:dyDescent="0.4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" thickBot="1" x14ac:dyDescent="0.4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" thickBot="1" x14ac:dyDescent="0.4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" thickBot="1" x14ac:dyDescent="0.4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" thickBot="1" x14ac:dyDescent="0.4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" thickBot="1" x14ac:dyDescent="0.4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" thickBot="1" x14ac:dyDescent="0.4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" thickBot="1" x14ac:dyDescent="0.4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" thickBot="1" x14ac:dyDescent="0.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" thickBot="1" x14ac:dyDescent="0.4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" thickBot="1" x14ac:dyDescent="0.4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" thickBot="1" x14ac:dyDescent="0.4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" thickBot="1" x14ac:dyDescent="0.4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" thickBot="1" x14ac:dyDescent="0.4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" thickBot="1" x14ac:dyDescent="0.4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" thickBot="1" x14ac:dyDescent="0.4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" thickBot="1" x14ac:dyDescent="0.4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" thickBot="1" x14ac:dyDescent="0.4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" thickBot="1" x14ac:dyDescent="0.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" thickBot="1" x14ac:dyDescent="0.4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" thickBot="1" x14ac:dyDescent="0.4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" thickBot="1" x14ac:dyDescent="0.4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" thickBot="1" x14ac:dyDescent="0.4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" thickBot="1" x14ac:dyDescent="0.4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" thickBot="1" x14ac:dyDescent="0.4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" thickBot="1" x14ac:dyDescent="0.4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" thickBot="1" x14ac:dyDescent="0.4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" thickBot="1" x14ac:dyDescent="0.4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" thickBot="1" x14ac:dyDescent="0.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" thickBot="1" x14ac:dyDescent="0.4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" thickBot="1" x14ac:dyDescent="0.4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" thickBot="1" x14ac:dyDescent="0.4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" thickBot="1" x14ac:dyDescent="0.4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" thickBot="1" x14ac:dyDescent="0.4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" thickBot="1" x14ac:dyDescent="0.4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" thickBot="1" x14ac:dyDescent="0.4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" thickBot="1" x14ac:dyDescent="0.4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" thickBot="1" x14ac:dyDescent="0.4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" thickBot="1" x14ac:dyDescent="0.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" thickBot="1" x14ac:dyDescent="0.4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" thickBot="1" x14ac:dyDescent="0.4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" thickBot="1" x14ac:dyDescent="0.4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" thickBot="1" x14ac:dyDescent="0.4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" thickBot="1" x14ac:dyDescent="0.4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" thickBot="1" x14ac:dyDescent="0.4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" thickBot="1" x14ac:dyDescent="0.4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" thickBot="1" x14ac:dyDescent="0.4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" thickBot="1" x14ac:dyDescent="0.4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" thickBot="1" x14ac:dyDescent="0.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" thickBot="1" x14ac:dyDescent="0.4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" thickBot="1" x14ac:dyDescent="0.4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" thickBot="1" x14ac:dyDescent="0.4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" thickBot="1" x14ac:dyDescent="0.4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" thickBot="1" x14ac:dyDescent="0.4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" thickBot="1" x14ac:dyDescent="0.4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" thickBot="1" x14ac:dyDescent="0.4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" thickBot="1" x14ac:dyDescent="0.4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" thickBot="1" x14ac:dyDescent="0.4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" thickBot="1" x14ac:dyDescent="0.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" thickBot="1" x14ac:dyDescent="0.4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" thickBot="1" x14ac:dyDescent="0.4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" thickBot="1" x14ac:dyDescent="0.4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" thickBot="1" x14ac:dyDescent="0.4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" thickBot="1" x14ac:dyDescent="0.4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" thickBot="1" x14ac:dyDescent="0.4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" thickBot="1" x14ac:dyDescent="0.4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" thickBot="1" x14ac:dyDescent="0.4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" thickBot="1" x14ac:dyDescent="0.4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" thickBot="1" x14ac:dyDescent="0.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" thickBot="1" x14ac:dyDescent="0.4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" thickBot="1" x14ac:dyDescent="0.4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" thickBot="1" x14ac:dyDescent="0.4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" thickBot="1" x14ac:dyDescent="0.4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" thickBot="1" x14ac:dyDescent="0.4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" thickBot="1" x14ac:dyDescent="0.4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" thickBot="1" x14ac:dyDescent="0.4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" thickBot="1" x14ac:dyDescent="0.4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" thickBot="1" x14ac:dyDescent="0.4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" thickBot="1" x14ac:dyDescent="0.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" thickBot="1" x14ac:dyDescent="0.4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" thickBot="1" x14ac:dyDescent="0.4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" thickBot="1" x14ac:dyDescent="0.4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" thickBot="1" x14ac:dyDescent="0.4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" thickBot="1" x14ac:dyDescent="0.4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" thickBot="1" x14ac:dyDescent="0.4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" thickBot="1" x14ac:dyDescent="0.4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" thickBot="1" x14ac:dyDescent="0.4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" thickBot="1" x14ac:dyDescent="0.4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" thickBot="1" x14ac:dyDescent="0.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" thickBot="1" x14ac:dyDescent="0.4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" thickBot="1" x14ac:dyDescent="0.4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" thickBot="1" x14ac:dyDescent="0.4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" thickBot="1" x14ac:dyDescent="0.4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" thickBot="1" x14ac:dyDescent="0.4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" thickBot="1" x14ac:dyDescent="0.4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" thickBot="1" x14ac:dyDescent="0.4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" thickBot="1" x14ac:dyDescent="0.4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" thickBot="1" x14ac:dyDescent="0.4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" thickBot="1" x14ac:dyDescent="0.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" thickBot="1" x14ac:dyDescent="0.4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" thickBot="1" x14ac:dyDescent="0.4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" thickBot="1" x14ac:dyDescent="0.4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" thickBot="1" x14ac:dyDescent="0.4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" thickBot="1" x14ac:dyDescent="0.4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" thickBot="1" x14ac:dyDescent="0.4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" thickBot="1" x14ac:dyDescent="0.4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" thickBot="1" x14ac:dyDescent="0.4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" thickBot="1" x14ac:dyDescent="0.4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" thickBot="1" x14ac:dyDescent="0.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" thickBot="1" x14ac:dyDescent="0.4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" thickBot="1" x14ac:dyDescent="0.4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" thickBot="1" x14ac:dyDescent="0.4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" thickBot="1" x14ac:dyDescent="0.4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" thickBot="1" x14ac:dyDescent="0.4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" thickBot="1" x14ac:dyDescent="0.4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" thickBot="1" x14ac:dyDescent="0.4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" thickBot="1" x14ac:dyDescent="0.4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" thickBot="1" x14ac:dyDescent="0.4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" thickBot="1" x14ac:dyDescent="0.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" thickBot="1" x14ac:dyDescent="0.4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" thickBot="1" x14ac:dyDescent="0.4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" thickBot="1" x14ac:dyDescent="0.4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" thickBot="1" x14ac:dyDescent="0.4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" thickBot="1" x14ac:dyDescent="0.4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" thickBot="1" x14ac:dyDescent="0.4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" thickBot="1" x14ac:dyDescent="0.4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" thickBot="1" x14ac:dyDescent="0.4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" thickBot="1" x14ac:dyDescent="0.4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" thickBot="1" x14ac:dyDescent="0.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" thickBot="1" x14ac:dyDescent="0.4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" thickBot="1" x14ac:dyDescent="0.4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" thickBot="1" x14ac:dyDescent="0.4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" thickBot="1" x14ac:dyDescent="0.4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" thickBot="1" x14ac:dyDescent="0.4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" thickBot="1" x14ac:dyDescent="0.4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" thickBot="1" x14ac:dyDescent="0.4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" thickBot="1" x14ac:dyDescent="0.4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" thickBot="1" x14ac:dyDescent="0.4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" thickBot="1" x14ac:dyDescent="0.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" thickBot="1" x14ac:dyDescent="0.4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" thickBot="1" x14ac:dyDescent="0.4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" thickBot="1" x14ac:dyDescent="0.4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" thickBot="1" x14ac:dyDescent="0.4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" thickBot="1" x14ac:dyDescent="0.4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" thickBot="1" x14ac:dyDescent="0.4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" thickBot="1" x14ac:dyDescent="0.4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" thickBot="1" x14ac:dyDescent="0.4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" thickBot="1" x14ac:dyDescent="0.4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" thickBot="1" x14ac:dyDescent="0.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" thickBot="1" x14ac:dyDescent="0.4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" thickBot="1" x14ac:dyDescent="0.4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" thickBot="1" x14ac:dyDescent="0.4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" thickBot="1" x14ac:dyDescent="0.4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" thickBot="1" x14ac:dyDescent="0.4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" thickBot="1" x14ac:dyDescent="0.4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" thickBot="1" x14ac:dyDescent="0.4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" thickBot="1" x14ac:dyDescent="0.4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" thickBot="1" x14ac:dyDescent="0.4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" thickBot="1" x14ac:dyDescent="0.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" thickBot="1" x14ac:dyDescent="0.4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" thickBot="1" x14ac:dyDescent="0.4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" thickBot="1" x14ac:dyDescent="0.4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" thickBot="1" x14ac:dyDescent="0.4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" thickBot="1" x14ac:dyDescent="0.4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" thickBot="1" x14ac:dyDescent="0.4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" thickBot="1" x14ac:dyDescent="0.4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" thickBot="1" x14ac:dyDescent="0.4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" thickBot="1" x14ac:dyDescent="0.4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" thickBot="1" x14ac:dyDescent="0.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" thickBot="1" x14ac:dyDescent="0.4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" thickBot="1" x14ac:dyDescent="0.4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" thickBot="1" x14ac:dyDescent="0.4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" thickBot="1" x14ac:dyDescent="0.4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" thickBot="1" x14ac:dyDescent="0.4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" thickBot="1" x14ac:dyDescent="0.4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" thickBot="1" x14ac:dyDescent="0.4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" thickBot="1" x14ac:dyDescent="0.4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" thickBot="1" x14ac:dyDescent="0.4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" thickBot="1" x14ac:dyDescent="0.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" thickBot="1" x14ac:dyDescent="0.4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" thickBot="1" x14ac:dyDescent="0.4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" thickBot="1" x14ac:dyDescent="0.4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" thickBot="1" x14ac:dyDescent="0.4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" thickBot="1" x14ac:dyDescent="0.4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" thickBot="1" x14ac:dyDescent="0.4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" thickBot="1" x14ac:dyDescent="0.4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" thickBot="1" x14ac:dyDescent="0.4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" thickBot="1" x14ac:dyDescent="0.4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" thickBot="1" x14ac:dyDescent="0.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" thickBot="1" x14ac:dyDescent="0.4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" thickBot="1" x14ac:dyDescent="0.4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" thickBot="1" x14ac:dyDescent="0.4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" thickBot="1" x14ac:dyDescent="0.4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" thickBot="1" x14ac:dyDescent="0.4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" thickBot="1" x14ac:dyDescent="0.4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" thickBot="1" x14ac:dyDescent="0.4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" thickBot="1" x14ac:dyDescent="0.4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" thickBot="1" x14ac:dyDescent="0.4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" thickBot="1" x14ac:dyDescent="0.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" thickBot="1" x14ac:dyDescent="0.4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" thickBot="1" x14ac:dyDescent="0.4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" thickBot="1" x14ac:dyDescent="0.4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" thickBot="1" x14ac:dyDescent="0.4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" thickBot="1" x14ac:dyDescent="0.4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" thickBot="1" x14ac:dyDescent="0.4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" thickBot="1" x14ac:dyDescent="0.4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" thickBot="1" x14ac:dyDescent="0.4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" thickBot="1" x14ac:dyDescent="0.4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" thickBot="1" x14ac:dyDescent="0.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" thickBot="1" x14ac:dyDescent="0.4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" thickBot="1" x14ac:dyDescent="0.4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" thickBot="1" x14ac:dyDescent="0.4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" thickBot="1" x14ac:dyDescent="0.4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" thickBot="1" x14ac:dyDescent="0.4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" thickBot="1" x14ac:dyDescent="0.4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" thickBot="1" x14ac:dyDescent="0.4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" thickBot="1" x14ac:dyDescent="0.4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" thickBot="1" x14ac:dyDescent="0.4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" thickBot="1" x14ac:dyDescent="0.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" thickBot="1" x14ac:dyDescent="0.4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" thickBot="1" x14ac:dyDescent="0.4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" thickBot="1" x14ac:dyDescent="0.4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" thickBot="1" x14ac:dyDescent="0.4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" thickBot="1" x14ac:dyDescent="0.4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" thickBot="1" x14ac:dyDescent="0.4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" thickBot="1" x14ac:dyDescent="0.4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" thickBot="1" x14ac:dyDescent="0.4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" thickBot="1" x14ac:dyDescent="0.4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" thickBot="1" x14ac:dyDescent="0.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" thickBot="1" x14ac:dyDescent="0.4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" thickBot="1" x14ac:dyDescent="0.4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" thickBot="1" x14ac:dyDescent="0.4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" thickBot="1" x14ac:dyDescent="0.4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" thickBot="1" x14ac:dyDescent="0.4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" thickBot="1" x14ac:dyDescent="0.4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" thickBot="1" x14ac:dyDescent="0.4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" thickBot="1" x14ac:dyDescent="0.4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" thickBot="1" x14ac:dyDescent="0.4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" thickBot="1" x14ac:dyDescent="0.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" thickBot="1" x14ac:dyDescent="0.4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" thickBot="1" x14ac:dyDescent="0.4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" thickBot="1" x14ac:dyDescent="0.4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" thickBot="1" x14ac:dyDescent="0.4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" thickBot="1" x14ac:dyDescent="0.4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" thickBot="1" x14ac:dyDescent="0.4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" thickBot="1" x14ac:dyDescent="0.4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" thickBot="1" x14ac:dyDescent="0.4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" thickBot="1" x14ac:dyDescent="0.4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" thickBot="1" x14ac:dyDescent="0.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" thickBot="1" x14ac:dyDescent="0.4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" thickBot="1" x14ac:dyDescent="0.4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" thickBot="1" x14ac:dyDescent="0.4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" thickBot="1" x14ac:dyDescent="0.4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" thickBot="1" x14ac:dyDescent="0.4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" thickBot="1" x14ac:dyDescent="0.4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" thickBot="1" x14ac:dyDescent="0.4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" thickBot="1" x14ac:dyDescent="0.4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" thickBot="1" x14ac:dyDescent="0.4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" thickBot="1" x14ac:dyDescent="0.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" thickBot="1" x14ac:dyDescent="0.4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" thickBot="1" x14ac:dyDescent="0.4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" thickBot="1" x14ac:dyDescent="0.4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" thickBot="1" x14ac:dyDescent="0.4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" thickBot="1" x14ac:dyDescent="0.4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" thickBot="1" x14ac:dyDescent="0.4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" thickBot="1" x14ac:dyDescent="0.4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" thickBot="1" x14ac:dyDescent="0.4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" thickBot="1" x14ac:dyDescent="0.4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" thickBot="1" x14ac:dyDescent="0.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" thickBot="1" x14ac:dyDescent="0.4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" thickBot="1" x14ac:dyDescent="0.4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" thickBot="1" x14ac:dyDescent="0.4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" thickBot="1" x14ac:dyDescent="0.4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" thickBot="1" x14ac:dyDescent="0.4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" thickBot="1" x14ac:dyDescent="0.4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" thickBot="1" x14ac:dyDescent="0.4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" thickBot="1" x14ac:dyDescent="0.4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" thickBot="1" x14ac:dyDescent="0.4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" thickBot="1" x14ac:dyDescent="0.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" thickBot="1" x14ac:dyDescent="0.4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" thickBot="1" x14ac:dyDescent="0.4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" thickBot="1" x14ac:dyDescent="0.4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" thickBot="1" x14ac:dyDescent="0.4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" thickBot="1" x14ac:dyDescent="0.4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" thickBot="1" x14ac:dyDescent="0.4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" thickBot="1" x14ac:dyDescent="0.4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" thickBot="1" x14ac:dyDescent="0.4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" thickBot="1" x14ac:dyDescent="0.4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" thickBot="1" x14ac:dyDescent="0.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" thickBot="1" x14ac:dyDescent="0.4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" thickBot="1" x14ac:dyDescent="0.4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" thickBot="1" x14ac:dyDescent="0.4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" thickBot="1" x14ac:dyDescent="0.4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" thickBot="1" x14ac:dyDescent="0.4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" thickBot="1" x14ac:dyDescent="0.4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" thickBot="1" x14ac:dyDescent="0.4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" thickBot="1" x14ac:dyDescent="0.4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" thickBot="1" x14ac:dyDescent="0.4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" thickBot="1" x14ac:dyDescent="0.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" thickBot="1" x14ac:dyDescent="0.4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" thickBot="1" x14ac:dyDescent="0.4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" thickBot="1" x14ac:dyDescent="0.4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" thickBot="1" x14ac:dyDescent="0.4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" thickBot="1" x14ac:dyDescent="0.4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" thickBot="1" x14ac:dyDescent="0.4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" thickBot="1" x14ac:dyDescent="0.4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" thickBot="1" x14ac:dyDescent="0.4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" thickBot="1" x14ac:dyDescent="0.4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" thickBot="1" x14ac:dyDescent="0.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" thickBot="1" x14ac:dyDescent="0.4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" thickBot="1" x14ac:dyDescent="0.4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" thickBot="1" x14ac:dyDescent="0.4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" thickBot="1" x14ac:dyDescent="0.4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" thickBot="1" x14ac:dyDescent="0.4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" thickBot="1" x14ac:dyDescent="0.4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" thickBot="1" x14ac:dyDescent="0.4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" thickBot="1" x14ac:dyDescent="0.4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" thickBot="1" x14ac:dyDescent="0.4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" thickBot="1" x14ac:dyDescent="0.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" thickBot="1" x14ac:dyDescent="0.4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" thickBot="1" x14ac:dyDescent="0.4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" thickBot="1" x14ac:dyDescent="0.4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" thickBot="1" x14ac:dyDescent="0.4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" thickBot="1" x14ac:dyDescent="0.4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" thickBot="1" x14ac:dyDescent="0.4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" thickBot="1" x14ac:dyDescent="0.4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" thickBot="1" x14ac:dyDescent="0.4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" thickBot="1" x14ac:dyDescent="0.4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" thickBot="1" x14ac:dyDescent="0.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" thickBot="1" x14ac:dyDescent="0.4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" thickBot="1" x14ac:dyDescent="0.4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" thickBot="1" x14ac:dyDescent="0.4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" thickBot="1" x14ac:dyDescent="0.4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" thickBot="1" x14ac:dyDescent="0.4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" thickBot="1" x14ac:dyDescent="0.4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" thickBot="1" x14ac:dyDescent="0.4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" thickBot="1" x14ac:dyDescent="0.4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" thickBot="1" x14ac:dyDescent="0.4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" thickBot="1" x14ac:dyDescent="0.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" thickBot="1" x14ac:dyDescent="0.4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" thickBot="1" x14ac:dyDescent="0.4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" thickBot="1" x14ac:dyDescent="0.4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" thickBot="1" x14ac:dyDescent="0.4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" thickBot="1" x14ac:dyDescent="0.4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" thickBot="1" x14ac:dyDescent="0.4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" thickBot="1" x14ac:dyDescent="0.4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" thickBot="1" x14ac:dyDescent="0.4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" thickBot="1" x14ac:dyDescent="0.4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" thickBot="1" x14ac:dyDescent="0.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" thickBot="1" x14ac:dyDescent="0.4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" thickBot="1" x14ac:dyDescent="0.4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" thickBot="1" x14ac:dyDescent="0.4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" thickBot="1" x14ac:dyDescent="0.4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" thickBot="1" x14ac:dyDescent="0.4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" thickBot="1" x14ac:dyDescent="0.4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" thickBot="1" x14ac:dyDescent="0.4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" thickBot="1" x14ac:dyDescent="0.4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" thickBot="1" x14ac:dyDescent="0.4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" thickBot="1" x14ac:dyDescent="0.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" thickBot="1" x14ac:dyDescent="0.4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" thickBot="1" x14ac:dyDescent="0.4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" thickBot="1" x14ac:dyDescent="0.4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" thickBot="1" x14ac:dyDescent="0.4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" thickBot="1" x14ac:dyDescent="0.4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" thickBot="1" x14ac:dyDescent="0.4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" thickBot="1" x14ac:dyDescent="0.4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" thickBot="1" x14ac:dyDescent="0.4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" thickBot="1" x14ac:dyDescent="0.4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" thickBot="1" x14ac:dyDescent="0.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" thickBot="1" x14ac:dyDescent="0.4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" thickBot="1" x14ac:dyDescent="0.4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" thickBot="1" x14ac:dyDescent="0.4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" thickBot="1" x14ac:dyDescent="0.4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" thickBot="1" x14ac:dyDescent="0.4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" thickBot="1" x14ac:dyDescent="0.4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" thickBot="1" x14ac:dyDescent="0.4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" thickBot="1" x14ac:dyDescent="0.4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" thickBot="1" x14ac:dyDescent="0.4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" thickBot="1" x14ac:dyDescent="0.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" thickBot="1" x14ac:dyDescent="0.4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" thickBot="1" x14ac:dyDescent="0.4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" thickBot="1" x14ac:dyDescent="0.4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" thickBot="1" x14ac:dyDescent="0.4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" thickBot="1" x14ac:dyDescent="0.4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" thickBot="1" x14ac:dyDescent="0.4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" thickBot="1" x14ac:dyDescent="0.4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" thickBot="1" x14ac:dyDescent="0.4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" thickBot="1" x14ac:dyDescent="0.4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" thickBot="1" x14ac:dyDescent="0.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" thickBot="1" x14ac:dyDescent="0.4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" thickBot="1" x14ac:dyDescent="0.4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" thickBot="1" x14ac:dyDescent="0.4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" thickBot="1" x14ac:dyDescent="0.4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" thickBot="1" x14ac:dyDescent="0.4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" thickBot="1" x14ac:dyDescent="0.4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" thickBot="1" x14ac:dyDescent="0.4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" thickBot="1" x14ac:dyDescent="0.4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" thickBot="1" x14ac:dyDescent="0.4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" thickBot="1" x14ac:dyDescent="0.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" thickBot="1" x14ac:dyDescent="0.4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" thickBot="1" x14ac:dyDescent="0.4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" thickBot="1" x14ac:dyDescent="0.4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" thickBot="1" x14ac:dyDescent="0.4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" thickBot="1" x14ac:dyDescent="0.4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" thickBot="1" x14ac:dyDescent="0.4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" thickBot="1" x14ac:dyDescent="0.4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" thickBot="1" x14ac:dyDescent="0.4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" thickBot="1" x14ac:dyDescent="0.4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" thickBot="1" x14ac:dyDescent="0.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" thickBot="1" x14ac:dyDescent="0.4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" thickBot="1" x14ac:dyDescent="0.4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" thickBot="1" x14ac:dyDescent="0.4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" thickBot="1" x14ac:dyDescent="0.4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" thickBot="1" x14ac:dyDescent="0.4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" thickBot="1" x14ac:dyDescent="0.4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" thickBot="1" x14ac:dyDescent="0.4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" thickBot="1" x14ac:dyDescent="0.4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" thickBot="1" x14ac:dyDescent="0.4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" thickBot="1" x14ac:dyDescent="0.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" thickBot="1" x14ac:dyDescent="0.4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" thickBot="1" x14ac:dyDescent="0.4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" thickBot="1" x14ac:dyDescent="0.4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" thickBot="1" x14ac:dyDescent="0.4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" thickBot="1" x14ac:dyDescent="0.4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" thickBot="1" x14ac:dyDescent="0.4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" thickBot="1" x14ac:dyDescent="0.4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" thickBot="1" x14ac:dyDescent="0.4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" thickBot="1" x14ac:dyDescent="0.4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" thickBot="1" x14ac:dyDescent="0.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" thickBot="1" x14ac:dyDescent="0.4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" thickBot="1" x14ac:dyDescent="0.4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" thickBot="1" x14ac:dyDescent="0.4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" thickBot="1" x14ac:dyDescent="0.4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" thickBot="1" x14ac:dyDescent="0.4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" thickBot="1" x14ac:dyDescent="0.4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" thickBot="1" x14ac:dyDescent="0.4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" thickBot="1" x14ac:dyDescent="0.4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" thickBot="1" x14ac:dyDescent="0.4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" thickBot="1" x14ac:dyDescent="0.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" thickBot="1" x14ac:dyDescent="0.4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" thickBot="1" x14ac:dyDescent="0.4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" thickBot="1" x14ac:dyDescent="0.4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" thickBot="1" x14ac:dyDescent="0.4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" thickBot="1" x14ac:dyDescent="0.4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" thickBot="1" x14ac:dyDescent="0.4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" thickBot="1" x14ac:dyDescent="0.4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" thickBot="1" x14ac:dyDescent="0.4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" thickBot="1" x14ac:dyDescent="0.4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" thickBot="1" x14ac:dyDescent="0.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" thickBot="1" x14ac:dyDescent="0.4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" thickBot="1" x14ac:dyDescent="0.4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" thickBot="1" x14ac:dyDescent="0.4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" thickBot="1" x14ac:dyDescent="0.4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" thickBot="1" x14ac:dyDescent="0.4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" thickBot="1" x14ac:dyDescent="0.4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" thickBot="1" x14ac:dyDescent="0.4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" thickBot="1" x14ac:dyDescent="0.4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" thickBot="1" x14ac:dyDescent="0.4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" thickBot="1" x14ac:dyDescent="0.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" thickBot="1" x14ac:dyDescent="0.4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" thickBot="1" x14ac:dyDescent="0.4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" thickBot="1" x14ac:dyDescent="0.4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" thickBot="1" x14ac:dyDescent="0.4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" thickBot="1" x14ac:dyDescent="0.4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" thickBot="1" x14ac:dyDescent="0.4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" thickBot="1" x14ac:dyDescent="0.4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" thickBot="1" x14ac:dyDescent="0.4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" thickBot="1" x14ac:dyDescent="0.4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" thickBot="1" x14ac:dyDescent="0.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" thickBot="1" x14ac:dyDescent="0.4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" thickBot="1" x14ac:dyDescent="0.4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" thickBot="1" x14ac:dyDescent="0.4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" thickBot="1" x14ac:dyDescent="0.4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" thickBot="1" x14ac:dyDescent="0.4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" thickBot="1" x14ac:dyDescent="0.4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" thickBot="1" x14ac:dyDescent="0.4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" thickBot="1" x14ac:dyDescent="0.4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" thickBot="1" x14ac:dyDescent="0.4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" thickBot="1" x14ac:dyDescent="0.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" thickBot="1" x14ac:dyDescent="0.4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" thickBot="1" x14ac:dyDescent="0.4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" thickBot="1" x14ac:dyDescent="0.4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" thickBot="1" x14ac:dyDescent="0.4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" thickBot="1" x14ac:dyDescent="0.4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" thickBot="1" x14ac:dyDescent="0.4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" thickBot="1" x14ac:dyDescent="0.4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" thickBot="1" x14ac:dyDescent="0.4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" thickBot="1" x14ac:dyDescent="0.4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" thickBot="1" x14ac:dyDescent="0.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" thickBot="1" x14ac:dyDescent="0.4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" thickBot="1" x14ac:dyDescent="0.4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" thickBot="1" x14ac:dyDescent="0.4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" thickBot="1" x14ac:dyDescent="0.4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" thickBot="1" x14ac:dyDescent="0.4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" thickBot="1" x14ac:dyDescent="0.4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" thickBot="1" x14ac:dyDescent="0.4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" thickBot="1" x14ac:dyDescent="0.4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" thickBot="1" x14ac:dyDescent="0.4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" thickBot="1" x14ac:dyDescent="0.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" thickBot="1" x14ac:dyDescent="0.4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" thickBot="1" x14ac:dyDescent="0.4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" thickBot="1" x14ac:dyDescent="0.4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" thickBot="1" x14ac:dyDescent="0.4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" thickBot="1" x14ac:dyDescent="0.4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" thickBot="1" x14ac:dyDescent="0.4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" thickBot="1" x14ac:dyDescent="0.4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" thickBot="1" x14ac:dyDescent="0.4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" thickBot="1" x14ac:dyDescent="0.4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" thickBot="1" x14ac:dyDescent="0.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" thickBot="1" x14ac:dyDescent="0.4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" thickBot="1" x14ac:dyDescent="0.4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" thickBot="1" x14ac:dyDescent="0.4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" thickBot="1" x14ac:dyDescent="0.4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" thickBot="1" x14ac:dyDescent="0.4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" thickBot="1" x14ac:dyDescent="0.4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" thickBot="1" x14ac:dyDescent="0.4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" thickBot="1" x14ac:dyDescent="0.4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" thickBot="1" x14ac:dyDescent="0.4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" thickBot="1" x14ac:dyDescent="0.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" thickBot="1" x14ac:dyDescent="0.4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" thickBot="1" x14ac:dyDescent="0.4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" thickBot="1" x14ac:dyDescent="0.4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" thickBot="1" x14ac:dyDescent="0.4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" thickBot="1" x14ac:dyDescent="0.4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" thickBot="1" x14ac:dyDescent="0.4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" thickBot="1" x14ac:dyDescent="0.4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" thickBot="1" x14ac:dyDescent="0.4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" thickBot="1" x14ac:dyDescent="0.4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" thickBot="1" x14ac:dyDescent="0.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" thickBot="1" x14ac:dyDescent="0.4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" thickBot="1" x14ac:dyDescent="0.4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" thickBot="1" x14ac:dyDescent="0.4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" thickBot="1" x14ac:dyDescent="0.4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" thickBot="1" x14ac:dyDescent="0.4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" thickBot="1" x14ac:dyDescent="0.4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" thickBot="1" x14ac:dyDescent="0.4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" thickBot="1" x14ac:dyDescent="0.4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" thickBot="1" x14ac:dyDescent="0.4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" thickBot="1" x14ac:dyDescent="0.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" thickBot="1" x14ac:dyDescent="0.4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" thickBot="1" x14ac:dyDescent="0.4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" thickBot="1" x14ac:dyDescent="0.4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" thickBot="1" x14ac:dyDescent="0.4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" thickBot="1" x14ac:dyDescent="0.4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" thickBot="1" x14ac:dyDescent="0.4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" thickBot="1" x14ac:dyDescent="0.4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" thickBot="1" x14ac:dyDescent="0.4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" thickBot="1" x14ac:dyDescent="0.4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" thickBot="1" x14ac:dyDescent="0.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" thickBot="1" x14ac:dyDescent="0.4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" thickBot="1" x14ac:dyDescent="0.4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" thickBot="1" x14ac:dyDescent="0.4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" thickBot="1" x14ac:dyDescent="0.4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" thickBot="1" x14ac:dyDescent="0.4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" thickBot="1" x14ac:dyDescent="0.4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" thickBot="1" x14ac:dyDescent="0.4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" thickBot="1" x14ac:dyDescent="0.4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" thickBot="1" x14ac:dyDescent="0.4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" thickBot="1" x14ac:dyDescent="0.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" thickBot="1" x14ac:dyDescent="0.4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" thickBot="1" x14ac:dyDescent="0.4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" thickBot="1" x14ac:dyDescent="0.4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" thickBot="1" x14ac:dyDescent="0.4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" thickBot="1" x14ac:dyDescent="0.4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" thickBot="1" x14ac:dyDescent="0.4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" thickBot="1" x14ac:dyDescent="0.4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" thickBot="1" x14ac:dyDescent="0.4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" thickBot="1" x14ac:dyDescent="0.4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" thickBot="1" x14ac:dyDescent="0.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" thickBot="1" x14ac:dyDescent="0.4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" thickBot="1" x14ac:dyDescent="0.4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" thickBot="1" x14ac:dyDescent="0.4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" thickBot="1" x14ac:dyDescent="0.4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" thickBot="1" x14ac:dyDescent="0.4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" thickBot="1" x14ac:dyDescent="0.4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" thickBot="1" x14ac:dyDescent="0.4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" thickBot="1" x14ac:dyDescent="0.4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" thickBot="1" x14ac:dyDescent="0.4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" thickBot="1" x14ac:dyDescent="0.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" thickBot="1" x14ac:dyDescent="0.4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" thickBot="1" x14ac:dyDescent="0.4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" thickBot="1" x14ac:dyDescent="0.4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" thickBot="1" x14ac:dyDescent="0.4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" thickBot="1" x14ac:dyDescent="0.4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" thickBot="1" x14ac:dyDescent="0.4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" thickBot="1" x14ac:dyDescent="0.4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" thickBot="1" x14ac:dyDescent="0.4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" thickBot="1" x14ac:dyDescent="0.4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" thickBot="1" x14ac:dyDescent="0.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" thickBot="1" x14ac:dyDescent="0.4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" thickBot="1" x14ac:dyDescent="0.4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" thickBot="1" x14ac:dyDescent="0.4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" thickBot="1" x14ac:dyDescent="0.4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" thickBot="1" x14ac:dyDescent="0.4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" thickBot="1" x14ac:dyDescent="0.4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" thickBot="1" x14ac:dyDescent="0.4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" thickBot="1" x14ac:dyDescent="0.4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" thickBot="1" x14ac:dyDescent="0.4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" thickBot="1" x14ac:dyDescent="0.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" thickBot="1" x14ac:dyDescent="0.4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" thickBot="1" x14ac:dyDescent="0.4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" thickBot="1" x14ac:dyDescent="0.4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" thickBot="1" x14ac:dyDescent="0.4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" thickBot="1" x14ac:dyDescent="0.4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" thickBot="1" x14ac:dyDescent="0.4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" thickBot="1" x14ac:dyDescent="0.4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" thickBot="1" x14ac:dyDescent="0.4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" thickBot="1" x14ac:dyDescent="0.4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" thickBot="1" x14ac:dyDescent="0.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" thickBot="1" x14ac:dyDescent="0.4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" thickBot="1" x14ac:dyDescent="0.4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" thickBot="1" x14ac:dyDescent="0.4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" thickBot="1" x14ac:dyDescent="0.4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" thickBot="1" x14ac:dyDescent="0.4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" thickBot="1" x14ac:dyDescent="0.4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" thickBot="1" x14ac:dyDescent="0.4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" thickBot="1" x14ac:dyDescent="0.4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" thickBot="1" x14ac:dyDescent="0.4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" thickBot="1" x14ac:dyDescent="0.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" thickBot="1" x14ac:dyDescent="0.4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1C0D-3E6F-42F5-B4A6-2F3ECF70CE76}">
  <dimension ref="A1:N218"/>
  <sheetViews>
    <sheetView tabSelected="1" topLeftCell="B1" workbookViewId="0">
      <selection activeCell="G2" sqref="G2"/>
    </sheetView>
  </sheetViews>
  <sheetFormatPr defaultRowHeight="14.5" x14ac:dyDescent="0.35"/>
  <cols>
    <col min="1" max="1" width="16.54296875" customWidth="1"/>
    <col min="2" max="2" width="15.54296875" customWidth="1"/>
    <col min="9" max="9" width="8.7265625" style="12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I1" s="12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</row>
    <row r="2" spans="1:14" x14ac:dyDescent="0.35">
      <c r="A2" s="1">
        <v>46234.6875</v>
      </c>
      <c r="B2" s="2" t="s">
        <v>16</v>
      </c>
      <c r="C2" s="2" t="s">
        <v>10</v>
      </c>
      <c r="D2" s="3">
        <v>1</v>
      </c>
      <c r="E2" s="3">
        <v>3914</v>
      </c>
      <c r="G2" t="str">
        <f>IF(COUNTIFS(
    Sheet1!$B:$B, B2,
    Sheet1!$C:$C, C2,
    Sheet1!$D:$D, D2,
    Sheet1!$E:$E, E2
) = 0, "NO MATCH IN TARGET", "MATCHED")</f>
        <v>MATCHED</v>
      </c>
      <c r="I2" s="12" t="s">
        <v>134</v>
      </c>
      <c r="J2" t="s">
        <v>11</v>
      </c>
      <c r="K2" t="s">
        <v>10</v>
      </c>
      <c r="L2">
        <v>10</v>
      </c>
      <c r="M2">
        <v>2574</v>
      </c>
      <c r="N2" t="s">
        <v>135</v>
      </c>
    </row>
    <row r="3" spans="1:14" x14ac:dyDescent="0.35">
      <c r="A3" s="1">
        <v>46234.6875</v>
      </c>
      <c r="B3" s="2" t="s">
        <v>16</v>
      </c>
      <c r="C3" s="2" t="s">
        <v>10</v>
      </c>
      <c r="D3" s="3">
        <v>1</v>
      </c>
      <c r="E3" s="3">
        <v>4014</v>
      </c>
      <c r="G3" t="str">
        <f>IF(COUNTIFS(
    Sheet1!$B:$B, B3,
    Sheet1!$C:$C, C3,
    Sheet1!$D:$D, D3,
    Sheet1!$E:$E, E3
) = 0, "NO MATCH IN TARGET", "MATCHED")</f>
        <v>MATCHED</v>
      </c>
      <c r="I3" s="12" t="s">
        <v>136</v>
      </c>
      <c r="J3" t="s">
        <v>13</v>
      </c>
      <c r="K3" t="s">
        <v>7</v>
      </c>
      <c r="L3">
        <v>2</v>
      </c>
      <c r="M3">
        <v>823</v>
      </c>
      <c r="N3" t="s">
        <v>135</v>
      </c>
    </row>
    <row r="4" spans="1:14" x14ac:dyDescent="0.35">
      <c r="A4" s="1">
        <v>46237.69027777778</v>
      </c>
      <c r="B4" s="2" t="s">
        <v>56</v>
      </c>
      <c r="C4" s="2" t="s">
        <v>10</v>
      </c>
      <c r="D4" s="3">
        <v>29</v>
      </c>
      <c r="E4" s="3">
        <v>401</v>
      </c>
      <c r="G4" t="str">
        <f>IF(COUNTIFS(
    Sheet1!$B:$B, B4,
    Sheet1!$C:$C, C4,
    Sheet1!$D:$D, D4,
    Sheet1!$E:$E, E4
) = 0, "NO MATCH IN TARGET", "MATCHED")</f>
        <v>MATCHED</v>
      </c>
      <c r="I4" s="12" t="s">
        <v>137</v>
      </c>
      <c r="J4" t="s">
        <v>6</v>
      </c>
      <c r="K4" t="s">
        <v>10</v>
      </c>
      <c r="L4">
        <v>20</v>
      </c>
      <c r="M4">
        <v>296</v>
      </c>
      <c r="N4" t="s">
        <v>135</v>
      </c>
    </row>
    <row r="5" spans="1:14" x14ac:dyDescent="0.35">
      <c r="A5" s="1">
        <v>46237.768750000003</v>
      </c>
      <c r="B5" s="2" t="s">
        <v>57</v>
      </c>
      <c r="C5" s="2" t="s">
        <v>10</v>
      </c>
      <c r="D5" s="3">
        <v>1</v>
      </c>
      <c r="E5" s="3">
        <v>2064</v>
      </c>
      <c r="G5" t="str">
        <f>IF(COUNTIFS(
    Sheet1!$B:$B, B5,
    Sheet1!$C:$C, C5,
    Sheet1!$D:$D, D5,
    Sheet1!$E:$E, E5
) = 0, "NO MATCH IN TARGET", "MATCHED")</f>
        <v>MATCHED</v>
      </c>
      <c r="I5" s="12" t="s">
        <v>137</v>
      </c>
      <c r="J5" t="s">
        <v>9</v>
      </c>
      <c r="K5" t="s">
        <v>10</v>
      </c>
      <c r="L5">
        <v>5</v>
      </c>
      <c r="M5">
        <v>916</v>
      </c>
      <c r="N5" t="s">
        <v>135</v>
      </c>
    </row>
    <row r="6" spans="1:14" x14ac:dyDescent="0.35">
      <c r="A6" s="1">
        <v>46237.69027777778</v>
      </c>
      <c r="B6" s="2" t="s">
        <v>16</v>
      </c>
      <c r="C6" s="2" t="s">
        <v>10</v>
      </c>
      <c r="D6" s="3">
        <v>1</v>
      </c>
      <c r="E6" s="3">
        <v>4164</v>
      </c>
      <c r="G6" t="str">
        <f>IF(COUNTIFS(
    Sheet1!$B:$B, B6,
    Sheet1!$C:$C, C6,
    Sheet1!$D:$D, D6,
    Sheet1!$E:$E, E6
) = 0, "NO MATCH IN TARGET", "MATCHED")</f>
        <v>MATCHED</v>
      </c>
      <c r="I6" s="12" t="s">
        <v>137</v>
      </c>
      <c r="J6" t="s">
        <v>27</v>
      </c>
      <c r="K6" t="s">
        <v>10</v>
      </c>
      <c r="L6">
        <v>2</v>
      </c>
      <c r="M6">
        <v>1076</v>
      </c>
      <c r="N6" t="s">
        <v>135</v>
      </c>
    </row>
    <row r="7" spans="1:14" x14ac:dyDescent="0.35">
      <c r="A7" s="1">
        <v>46237.63553240741</v>
      </c>
      <c r="B7" s="2" t="s">
        <v>58</v>
      </c>
      <c r="C7" s="2" t="s">
        <v>10</v>
      </c>
      <c r="D7" s="3">
        <v>4</v>
      </c>
      <c r="E7" s="3">
        <v>701</v>
      </c>
      <c r="G7" t="str">
        <f>IF(COUNTIFS(
    Sheet1!$B:$B, B7,
    Sheet1!$C:$C, C7,
    Sheet1!$D:$D, D7,
    Sheet1!$E:$E, E7
) = 0, "NO MATCH IN TARGET", "MATCHED")</f>
        <v>MATCHED</v>
      </c>
      <c r="I7" s="12" t="s">
        <v>137</v>
      </c>
      <c r="J7" t="s">
        <v>12</v>
      </c>
      <c r="K7" t="s">
        <v>10</v>
      </c>
      <c r="L7">
        <v>50</v>
      </c>
      <c r="M7">
        <v>203.5</v>
      </c>
      <c r="N7" t="s">
        <v>135</v>
      </c>
    </row>
    <row r="8" spans="1:14" x14ac:dyDescent="0.35">
      <c r="A8" t="s">
        <v>59</v>
      </c>
      <c r="B8" t="s">
        <v>56</v>
      </c>
      <c r="C8" t="s">
        <v>10</v>
      </c>
      <c r="D8">
        <v>5</v>
      </c>
      <c r="E8">
        <v>419</v>
      </c>
      <c r="G8" t="str">
        <f>IF(COUNTIFS(
    Sheet1!$B:$B, B8,
    Sheet1!$C:$C, C8,
    Sheet1!$D:$D, D8,
    Sheet1!$E:$E, E8
) = 0, "NO MATCH IN TARGET", "MATCHED")</f>
        <v>MATCHED</v>
      </c>
      <c r="I8" s="12" t="s">
        <v>137</v>
      </c>
      <c r="J8" t="s">
        <v>35</v>
      </c>
      <c r="K8" t="s">
        <v>10</v>
      </c>
      <c r="L8">
        <v>200</v>
      </c>
      <c r="M8">
        <v>230.5</v>
      </c>
      <c r="N8" t="s">
        <v>135</v>
      </c>
    </row>
    <row r="9" spans="1:14" x14ac:dyDescent="0.35">
      <c r="A9" t="s">
        <v>59</v>
      </c>
      <c r="B9" t="s">
        <v>24</v>
      </c>
      <c r="C9" t="s">
        <v>10</v>
      </c>
      <c r="D9">
        <v>25</v>
      </c>
      <c r="E9">
        <v>336</v>
      </c>
      <c r="G9" t="str">
        <f>IF(COUNTIFS(
    Sheet1!$B:$B, B9,
    Sheet1!$C:$C, C9,
    Sheet1!$D:$D, D9,
    Sheet1!$E:$E, E9
) = 0, "NO MATCH IN TARGET", "MATCHED")</f>
        <v>MATCHED</v>
      </c>
      <c r="I9" s="12" t="s">
        <v>137</v>
      </c>
      <c r="J9" t="s">
        <v>32</v>
      </c>
      <c r="K9" t="s">
        <v>10</v>
      </c>
      <c r="L9">
        <v>5</v>
      </c>
      <c r="M9">
        <v>726</v>
      </c>
      <c r="N9" t="s">
        <v>135</v>
      </c>
    </row>
    <row r="10" spans="1:14" x14ac:dyDescent="0.35">
      <c r="A10" t="s">
        <v>60</v>
      </c>
      <c r="B10" t="s">
        <v>57</v>
      </c>
      <c r="C10" t="s">
        <v>10</v>
      </c>
      <c r="D10">
        <v>1</v>
      </c>
      <c r="E10">
        <v>2164</v>
      </c>
      <c r="G10" t="str">
        <f>IF(COUNTIFS(
    Sheet1!$B:$B, B10,
    Sheet1!$C:$C, C10,
    Sheet1!$D:$D, D10,
    Sheet1!$E:$E, E10
) = 0, "NO MATCH IN TARGET", "MATCHED")</f>
        <v>MATCHED</v>
      </c>
      <c r="I10" s="12" t="s">
        <v>137</v>
      </c>
      <c r="J10" t="s">
        <v>21</v>
      </c>
      <c r="K10" t="s">
        <v>10</v>
      </c>
      <c r="L10">
        <v>50</v>
      </c>
      <c r="M10">
        <v>352</v>
      </c>
      <c r="N10" t="s">
        <v>135</v>
      </c>
    </row>
    <row r="11" spans="1:14" x14ac:dyDescent="0.35">
      <c r="A11" t="s">
        <v>61</v>
      </c>
      <c r="B11" t="s">
        <v>57</v>
      </c>
      <c r="C11" t="s">
        <v>10</v>
      </c>
      <c r="D11">
        <v>2</v>
      </c>
      <c r="E11">
        <v>2164</v>
      </c>
      <c r="G11" t="str">
        <f>IF(COUNTIFS(
    Sheet1!$B:$B, B11,
    Sheet1!$C:$C, C11,
    Sheet1!$D:$D, D11,
    Sheet1!$E:$E, E11
) = 0, "NO MATCH IN TARGET", "MATCHED")</f>
        <v>MATCHED</v>
      </c>
      <c r="I11" s="12" t="s">
        <v>138</v>
      </c>
      <c r="J11" t="s">
        <v>14</v>
      </c>
      <c r="K11" t="s">
        <v>10</v>
      </c>
      <c r="L11">
        <v>50</v>
      </c>
      <c r="M11">
        <v>286</v>
      </c>
      <c r="N11" t="s">
        <v>135</v>
      </c>
    </row>
    <row r="12" spans="1:14" x14ac:dyDescent="0.35">
      <c r="A12" s="1">
        <v>46238.690509259257</v>
      </c>
      <c r="B12" s="2" t="s">
        <v>16</v>
      </c>
      <c r="C12" s="2" t="s">
        <v>10</v>
      </c>
      <c r="D12" s="3">
        <v>1</v>
      </c>
      <c r="E12" s="3">
        <v>4364</v>
      </c>
      <c r="G12" t="str">
        <f>IF(COUNTIFS(
    Sheet1!$B:$B, B12,
    Sheet1!$C:$C, C12,
    Sheet1!$D:$D, D12,
    Sheet1!$E:$E, E12
) = 0, "NO MATCH IN TARGET", "MATCHED")</f>
        <v>MATCHED</v>
      </c>
      <c r="I12" s="12" t="s">
        <v>137</v>
      </c>
      <c r="J12" t="s">
        <v>36</v>
      </c>
      <c r="K12" t="s">
        <v>10</v>
      </c>
      <c r="L12">
        <v>2</v>
      </c>
      <c r="M12">
        <v>1060</v>
      </c>
      <c r="N12" t="s">
        <v>135</v>
      </c>
    </row>
    <row r="13" spans="1:14" x14ac:dyDescent="0.35">
      <c r="A13" s="1">
        <v>46237.768750000003</v>
      </c>
      <c r="B13" s="2" t="s">
        <v>62</v>
      </c>
      <c r="C13" s="2" t="s">
        <v>10</v>
      </c>
      <c r="D13" s="3">
        <v>200</v>
      </c>
      <c r="E13" s="3">
        <v>31.01</v>
      </c>
      <c r="G13" t="str">
        <f>IF(COUNTIFS(
    Sheet1!$B:$B, B13,
    Sheet1!$C:$C, C13,
    Sheet1!$D:$D, D13,
    Sheet1!$E:$E, E13
) = 0, "NO MATCH IN TARGET", "MATCHED")</f>
        <v>MATCHED</v>
      </c>
    </row>
    <row r="14" spans="1:14" x14ac:dyDescent="0.35">
      <c r="A14" t="s">
        <v>63</v>
      </c>
      <c r="B14" t="s">
        <v>16</v>
      </c>
      <c r="C14" t="s">
        <v>10</v>
      </c>
      <c r="D14">
        <v>2</v>
      </c>
      <c r="E14">
        <v>4410</v>
      </c>
      <c r="G14" t="str">
        <f>IF(COUNTIFS(
    Sheet1!$B:$B, B14,
    Sheet1!$C:$C, C14,
    Sheet1!$D:$D, D14,
    Sheet1!$E:$E, E14
) = 0, "NO MATCH IN TARGET", "MATCHED")</f>
        <v>MATCHED</v>
      </c>
    </row>
    <row r="15" spans="1:14" x14ac:dyDescent="0.35">
      <c r="A15" t="s">
        <v>64</v>
      </c>
      <c r="B15" t="s">
        <v>24</v>
      </c>
      <c r="C15" t="s">
        <v>10</v>
      </c>
      <c r="D15">
        <v>25</v>
      </c>
      <c r="E15">
        <v>352</v>
      </c>
      <c r="G15" t="str">
        <f>IF(COUNTIFS(
    Sheet1!$B:$B, B15,
    Sheet1!$C:$C, C15,
    Sheet1!$D:$D, D15,
    Sheet1!$E:$E, E15
) = 0, "NO MATCH IN TARGET", "MATCHED")</f>
        <v>MATCHED</v>
      </c>
    </row>
    <row r="16" spans="1:14" x14ac:dyDescent="0.35">
      <c r="A16" t="s">
        <v>65</v>
      </c>
      <c r="B16" t="s">
        <v>30</v>
      </c>
      <c r="C16" t="s">
        <v>10</v>
      </c>
      <c r="D16">
        <v>15</v>
      </c>
      <c r="E16">
        <v>4415</v>
      </c>
      <c r="G16" t="str">
        <f>IF(COUNTIFS(
    Sheet1!$B:$B, B16,
    Sheet1!$C:$C, C16,
    Sheet1!$D:$D, D16,
    Sheet1!$E:$E, E16
) = 0, "NO MATCH IN TARGET", "MATCHED")</f>
        <v>MATCHED</v>
      </c>
    </row>
    <row r="17" spans="1:7" x14ac:dyDescent="0.35">
      <c r="A17" t="s">
        <v>66</v>
      </c>
      <c r="B17" t="s">
        <v>15</v>
      </c>
      <c r="C17" t="s">
        <v>10</v>
      </c>
      <c r="D17">
        <v>100</v>
      </c>
      <c r="E17">
        <v>111</v>
      </c>
      <c r="G17" t="str">
        <f>IF(COUNTIFS(
    Sheet1!$B:$B, B17,
    Sheet1!$C:$C, C17,
    Sheet1!$D:$D, D17,
    Sheet1!$E:$E, E17
) = 0, "NO MATCH IN TARGET", "MATCHED")</f>
        <v>MATCHED</v>
      </c>
    </row>
    <row r="18" spans="1:7" x14ac:dyDescent="0.35">
      <c r="A18" s="1">
        <v>46233.688194444447</v>
      </c>
      <c r="B18" s="2" t="s">
        <v>41</v>
      </c>
      <c r="C18" s="2" t="s">
        <v>10</v>
      </c>
      <c r="D18" s="3">
        <v>2</v>
      </c>
      <c r="E18" s="3">
        <v>4010</v>
      </c>
      <c r="G18" t="str">
        <f>IF(COUNTIFS(
    Sheet1!$B:$B, B18,
    Sheet1!$C:$C, C18,
    Sheet1!$D:$D, D18,
    Sheet1!$E:$E, E18
) = 0, "NO MATCH IN TARGET", "MATCHED")</f>
        <v>MATCHED</v>
      </c>
    </row>
    <row r="19" spans="1:7" x14ac:dyDescent="0.35">
      <c r="A19" s="1">
        <v>46237.768750000003</v>
      </c>
      <c r="B19" s="2" t="s">
        <v>21</v>
      </c>
      <c r="C19" s="2" t="s">
        <v>10</v>
      </c>
      <c r="D19" s="3">
        <v>100</v>
      </c>
      <c r="E19" s="3">
        <v>322</v>
      </c>
      <c r="G19" t="str">
        <f>IF(COUNTIFS(
    Sheet1!$B:$B, B19,
    Sheet1!$C:$C, C19,
    Sheet1!$D:$D, D19,
    Sheet1!$E:$E, E19
) = 0, "NO MATCH IN TARGET", "MATCHED")</f>
        <v>MATCHED</v>
      </c>
    </row>
    <row r="20" spans="1:7" x14ac:dyDescent="0.35">
      <c r="A20" t="s">
        <v>67</v>
      </c>
      <c r="B20" t="s">
        <v>68</v>
      </c>
      <c r="C20" t="s">
        <v>10</v>
      </c>
      <c r="D20">
        <v>7</v>
      </c>
      <c r="E20">
        <v>411</v>
      </c>
      <c r="G20" t="str">
        <f>IF(COUNTIFS(
    Sheet1!$B:$B, B20,
    Sheet1!$C:$C, C20,
    Sheet1!$D:$D, D20,
    Sheet1!$E:$E, E20
) = 0, "NO MATCH IN TARGET", "MATCHED")</f>
        <v>MATCHED</v>
      </c>
    </row>
    <row r="21" spans="1:7" x14ac:dyDescent="0.35">
      <c r="A21" t="s">
        <v>69</v>
      </c>
      <c r="B21" t="s">
        <v>18</v>
      </c>
      <c r="C21" t="s">
        <v>10</v>
      </c>
      <c r="D21">
        <v>20</v>
      </c>
      <c r="E21">
        <v>620</v>
      </c>
      <c r="G21" t="str">
        <f>IF(COUNTIFS(
    Sheet1!$B:$B, B21,
    Sheet1!$C:$C, C21,
    Sheet1!$D:$D, D21,
    Sheet1!$E:$E, E21
) = 0, "NO MATCH IN TARGET", "MATCHED")</f>
        <v>MATCHED</v>
      </c>
    </row>
    <row r="22" spans="1:7" x14ac:dyDescent="0.35">
      <c r="A22" t="s">
        <v>70</v>
      </c>
      <c r="B22" t="s">
        <v>18</v>
      </c>
      <c r="C22" t="s">
        <v>10</v>
      </c>
      <c r="D22">
        <v>30</v>
      </c>
      <c r="E22">
        <v>620</v>
      </c>
      <c r="G22" t="str">
        <f>IF(COUNTIFS(
    Sheet1!$B:$B, B22,
    Sheet1!$C:$C, C22,
    Sheet1!$D:$D, D22,
    Sheet1!$E:$E, E22
) = 0, "NO MATCH IN TARGET", "MATCHED")</f>
        <v>MATCHED</v>
      </c>
    </row>
    <row r="23" spans="1:7" x14ac:dyDescent="0.35">
      <c r="A23" t="s">
        <v>71</v>
      </c>
      <c r="B23" t="s">
        <v>30</v>
      </c>
      <c r="C23" t="s">
        <v>10</v>
      </c>
      <c r="D23">
        <v>2</v>
      </c>
      <c r="E23">
        <v>4456</v>
      </c>
      <c r="G23" t="str">
        <f>IF(COUNTIFS(
    Sheet1!$B:$B, B23,
    Sheet1!$C:$C, C23,
    Sheet1!$D:$D, D23,
    Sheet1!$E:$E, E23
) = 0, "NO MATCH IN TARGET", "MATCHED")</f>
        <v>MATCHED</v>
      </c>
    </row>
    <row r="24" spans="1:7" x14ac:dyDescent="0.35">
      <c r="A24" t="s">
        <v>60</v>
      </c>
      <c r="B24" t="s">
        <v>72</v>
      </c>
      <c r="C24" t="s">
        <v>10</v>
      </c>
      <c r="D24">
        <v>4</v>
      </c>
      <c r="E24">
        <v>1751</v>
      </c>
      <c r="G24" t="str">
        <f>IF(COUNTIFS(
    Sheet1!$B:$B, B24,
    Sheet1!$C:$C, C24,
    Sheet1!$D:$D, D24,
    Sheet1!$E:$E, E24
) = 0, "NO MATCH IN TARGET", "MATCHED")</f>
        <v>MATCHED</v>
      </c>
    </row>
    <row r="25" spans="1:7" x14ac:dyDescent="0.35">
      <c r="A25" s="1">
        <v>46237.635497685187</v>
      </c>
      <c r="B25" s="2" t="s">
        <v>73</v>
      </c>
      <c r="C25" s="2" t="s">
        <v>10</v>
      </c>
      <c r="D25" s="3">
        <v>1</v>
      </c>
      <c r="E25" s="3">
        <v>6920</v>
      </c>
      <c r="G25" t="str">
        <f>IF(COUNTIFS(
    Sheet1!$B:$B, B25,
    Sheet1!$C:$C, C25,
    Sheet1!$D:$D, D25,
    Sheet1!$E:$E, E25
) = 0, "NO MATCH IN TARGET", "MATCHED")</f>
        <v>MATCHED</v>
      </c>
    </row>
    <row r="26" spans="1:7" x14ac:dyDescent="0.35">
      <c r="A26" s="1">
        <v>46238.690462962964</v>
      </c>
      <c r="B26" s="2" t="s">
        <v>6</v>
      </c>
      <c r="C26" s="2" t="s">
        <v>10</v>
      </c>
      <c r="D26" s="3">
        <v>37</v>
      </c>
      <c r="E26" s="3">
        <v>277</v>
      </c>
      <c r="G26" t="str">
        <f>IF(COUNTIFS(
    Sheet1!$B:$B, B26,
    Sheet1!$C:$C, C26,
    Sheet1!$D:$D, D26,
    Sheet1!$E:$E, E26
) = 0, "NO MATCH IN TARGET", "MATCHED")</f>
        <v>MATCHED</v>
      </c>
    </row>
    <row r="27" spans="1:7" x14ac:dyDescent="0.35">
      <c r="A27" s="1">
        <v>46237.69027777778</v>
      </c>
      <c r="B27" s="2" t="s">
        <v>9</v>
      </c>
      <c r="C27" s="2" t="s">
        <v>10</v>
      </c>
      <c r="D27" s="3">
        <v>5</v>
      </c>
      <c r="E27" s="3">
        <v>852</v>
      </c>
      <c r="G27" t="str">
        <f>IF(COUNTIFS(
    Sheet1!$B:$B, B27,
    Sheet1!$C:$C, C27,
    Sheet1!$D:$D, D27,
    Sheet1!$E:$E, E27
) = 0, "NO MATCH IN TARGET", "MATCHED")</f>
        <v>MATCHED</v>
      </c>
    </row>
    <row r="28" spans="1:7" x14ac:dyDescent="0.35">
      <c r="A28" s="1">
        <v>46233.688194444447</v>
      </c>
      <c r="B28" s="2" t="s">
        <v>41</v>
      </c>
      <c r="C28" s="2" t="s">
        <v>10</v>
      </c>
      <c r="D28" s="3">
        <v>2</v>
      </c>
      <c r="E28" s="3">
        <v>4060</v>
      </c>
      <c r="G28" t="str">
        <f>IF(COUNTIFS(
    Sheet1!$B:$B, B28,
    Sheet1!$C:$C, C28,
    Sheet1!$D:$D, D28,
    Sheet1!$E:$E, E28
) = 0, "NO MATCH IN TARGET", "MATCHED")</f>
        <v>MATCHED</v>
      </c>
    </row>
    <row r="29" spans="1:7" x14ac:dyDescent="0.35">
      <c r="A29" t="s">
        <v>74</v>
      </c>
      <c r="B29" t="s">
        <v>27</v>
      </c>
      <c r="C29" t="s">
        <v>10</v>
      </c>
      <c r="D29">
        <v>15</v>
      </c>
      <c r="E29">
        <v>1005</v>
      </c>
      <c r="G29" t="str">
        <f>IF(COUNTIFS(
    Sheet1!$B:$B, B29,
    Sheet1!$C:$C, C29,
    Sheet1!$D:$D, D29,
    Sheet1!$E:$E, E29
) = 0, "NO MATCH IN TARGET", "MATCHED")</f>
        <v>MATCHED</v>
      </c>
    </row>
    <row r="30" spans="1:7" x14ac:dyDescent="0.35">
      <c r="A30" t="s">
        <v>60</v>
      </c>
      <c r="B30" t="s">
        <v>57</v>
      </c>
      <c r="C30" t="s">
        <v>10</v>
      </c>
      <c r="D30">
        <v>1</v>
      </c>
      <c r="E30">
        <v>2264</v>
      </c>
      <c r="G30" t="str">
        <f>IF(COUNTIFS(
    Sheet1!$B:$B, B30,
    Sheet1!$C:$C, C30,
    Sheet1!$D:$D, D30,
    Sheet1!$E:$E, E30
) = 0, "NO MATCH IN TARGET", "MATCHED")</f>
        <v>MATCHED</v>
      </c>
    </row>
    <row r="31" spans="1:7" x14ac:dyDescent="0.35">
      <c r="A31" t="s">
        <v>75</v>
      </c>
      <c r="B31" t="s">
        <v>38</v>
      </c>
      <c r="C31" t="s">
        <v>10</v>
      </c>
      <c r="D31">
        <v>9</v>
      </c>
      <c r="E31">
        <v>2251</v>
      </c>
      <c r="G31" t="str">
        <f>IF(COUNTIFS(
    Sheet1!$B:$B, B31,
    Sheet1!$C:$C, C31,
    Sheet1!$D:$D, D31,
    Sheet1!$E:$E, E31
) = 0, "NO MATCH IN TARGET", "MATCHED")</f>
        <v>MATCHED</v>
      </c>
    </row>
    <row r="32" spans="1:7" x14ac:dyDescent="0.35">
      <c r="A32" t="s">
        <v>61</v>
      </c>
      <c r="B32" t="s">
        <v>19</v>
      </c>
      <c r="C32" t="s">
        <v>10</v>
      </c>
      <c r="D32">
        <v>50</v>
      </c>
      <c r="E32">
        <v>202</v>
      </c>
      <c r="G32" t="str">
        <f>IF(COUNTIFS(
    Sheet1!$B:$B, B32,
    Sheet1!$C:$C, C32,
    Sheet1!$D:$D, D32,
    Sheet1!$E:$E, E32
) = 0, "NO MATCH IN TARGET", "MATCHED")</f>
        <v>MATCHED</v>
      </c>
    </row>
    <row r="33" spans="1:7" x14ac:dyDescent="0.35">
      <c r="A33" s="1">
        <v>46237.768750000003</v>
      </c>
      <c r="B33" s="2" t="s">
        <v>21</v>
      </c>
      <c r="C33" s="2" t="s">
        <v>10</v>
      </c>
      <c r="D33" s="3">
        <v>100</v>
      </c>
      <c r="E33" s="3">
        <v>327</v>
      </c>
      <c r="G33" t="str">
        <f>IF(COUNTIFS(
    Sheet1!$B:$B, B33,
    Sheet1!$C:$C, C33,
    Sheet1!$D:$D, D33,
    Sheet1!$E:$E, E33
) = 0, "NO MATCH IN TARGET", "MATCHED")</f>
        <v>MATCHED</v>
      </c>
    </row>
    <row r="34" spans="1:7" x14ac:dyDescent="0.35">
      <c r="A34" t="s">
        <v>76</v>
      </c>
      <c r="B34" t="s">
        <v>9</v>
      </c>
      <c r="C34" t="s">
        <v>10</v>
      </c>
      <c r="D34">
        <v>30</v>
      </c>
      <c r="E34">
        <v>860</v>
      </c>
      <c r="G34" t="str">
        <f>IF(COUNTIFS(
    Sheet1!$B:$B, B34,
    Sheet1!$C:$C, C34,
    Sheet1!$D:$D, D34,
    Sheet1!$E:$E, E34
) = 0, "NO MATCH IN TARGET", "MATCHED")</f>
        <v>MATCHED</v>
      </c>
    </row>
    <row r="35" spans="1:7" x14ac:dyDescent="0.35">
      <c r="A35" s="1">
        <v>46238.635567129626</v>
      </c>
      <c r="B35" s="2" t="s">
        <v>39</v>
      </c>
      <c r="C35" s="2" t="s">
        <v>10</v>
      </c>
      <c r="D35" s="3">
        <v>5</v>
      </c>
      <c r="E35" s="3">
        <v>812</v>
      </c>
      <c r="G35" t="str">
        <f>IF(COUNTIFS(
    Sheet1!$B:$B, B35,
    Sheet1!$C:$C, C35,
    Sheet1!$D:$D, D35,
    Sheet1!$E:$E, E35
) = 0, "NO MATCH IN TARGET", "MATCHED")</f>
        <v>MATCHED</v>
      </c>
    </row>
    <row r="36" spans="1:7" x14ac:dyDescent="0.35">
      <c r="A36" t="s">
        <v>76</v>
      </c>
      <c r="B36" t="s">
        <v>56</v>
      </c>
      <c r="C36" t="s">
        <v>10</v>
      </c>
      <c r="D36">
        <v>5</v>
      </c>
      <c r="E36">
        <v>452</v>
      </c>
      <c r="G36" t="str">
        <f>IF(COUNTIFS(
    Sheet1!$B:$B, B36,
    Sheet1!$C:$C, C36,
    Sheet1!$D:$D, D36,
    Sheet1!$E:$E, E36
) = 0, "NO MATCH IN TARGET", "MATCHED")</f>
        <v>MATCHED</v>
      </c>
    </row>
    <row r="37" spans="1:7" x14ac:dyDescent="0.35">
      <c r="A37" s="1">
        <v>46238.690462962964</v>
      </c>
      <c r="B37" s="2" t="s">
        <v>6</v>
      </c>
      <c r="C37" s="2" t="s">
        <v>10</v>
      </c>
      <c r="D37" s="3">
        <v>20</v>
      </c>
      <c r="E37" s="3">
        <v>281</v>
      </c>
      <c r="G37" t="str">
        <f>IF(COUNTIFS(
    Sheet1!$B:$B, B37,
    Sheet1!$C:$C, C37,
    Sheet1!$D:$D, D37,
    Sheet1!$E:$E, E37
) = 0, "NO MATCH IN TARGET", "MATCHED")</f>
        <v>MATCHED</v>
      </c>
    </row>
    <row r="38" spans="1:7" x14ac:dyDescent="0.35">
      <c r="A38" s="1">
        <v>46237.635555555556</v>
      </c>
      <c r="B38" s="2" t="s">
        <v>41</v>
      </c>
      <c r="C38" s="2" t="s">
        <v>10</v>
      </c>
      <c r="D38" s="3">
        <v>1</v>
      </c>
      <c r="E38" s="3">
        <v>4110</v>
      </c>
      <c r="G38" t="str">
        <f>IF(COUNTIFS(
    Sheet1!$B:$B, B38,
    Sheet1!$C:$C, C38,
    Sheet1!$D:$D, D38,
    Sheet1!$E:$E, E38
) = 0, "NO MATCH IN TARGET", "MATCHED")</f>
        <v>MATCHED</v>
      </c>
    </row>
    <row r="39" spans="1:7" x14ac:dyDescent="0.35">
      <c r="A39" s="1">
        <v>46237.69027777778</v>
      </c>
      <c r="B39" s="2" t="s">
        <v>77</v>
      </c>
      <c r="C39" s="2" t="s">
        <v>10</v>
      </c>
      <c r="D39" s="3">
        <v>10</v>
      </c>
      <c r="E39" s="3">
        <v>251</v>
      </c>
      <c r="G39" t="str">
        <f>IF(COUNTIFS(
    Sheet1!$B:$B, B39,
    Sheet1!$C:$C, C39,
    Sheet1!$D:$D, D39,
    Sheet1!$E:$E, E39
) = 0, "NO MATCH IN TARGET", "MATCHED")</f>
        <v>MATCHED</v>
      </c>
    </row>
    <row r="40" spans="1:7" x14ac:dyDescent="0.35">
      <c r="A40" t="s">
        <v>78</v>
      </c>
      <c r="B40" t="s">
        <v>29</v>
      </c>
      <c r="C40" t="s">
        <v>10</v>
      </c>
      <c r="D40">
        <v>10</v>
      </c>
      <c r="E40">
        <v>1410</v>
      </c>
      <c r="G40" t="str">
        <f>IF(COUNTIFS(
    Sheet1!$B:$B, B40,
    Sheet1!$C:$C, C40,
    Sheet1!$D:$D, D40,
    Sheet1!$E:$E, E40
) = 0, "NO MATCH IN TARGET", "MATCHED")</f>
        <v>MATCHED</v>
      </c>
    </row>
    <row r="41" spans="1:7" x14ac:dyDescent="0.35">
      <c r="A41" t="s">
        <v>79</v>
      </c>
      <c r="B41" t="s">
        <v>30</v>
      </c>
      <c r="C41" t="s">
        <v>10</v>
      </c>
      <c r="D41">
        <v>1</v>
      </c>
      <c r="E41">
        <v>4560</v>
      </c>
      <c r="G41" t="str">
        <f>IF(COUNTIFS(
    Sheet1!$B:$B, B41,
    Sheet1!$C:$C, C41,
    Sheet1!$D:$D, D41,
    Sheet1!$E:$E, E41
) = 0, "NO MATCH IN TARGET", "MATCHED")</f>
        <v>MATCHED</v>
      </c>
    </row>
    <row r="42" spans="1:7" x14ac:dyDescent="0.35">
      <c r="A42" s="1">
        <v>46237.768750000003</v>
      </c>
      <c r="B42" s="2" t="s">
        <v>21</v>
      </c>
      <c r="C42" s="2" t="s">
        <v>10</v>
      </c>
      <c r="D42" s="3">
        <v>100</v>
      </c>
      <c r="E42" s="3">
        <v>331</v>
      </c>
      <c r="G42" t="str">
        <f>IF(COUNTIFS(
    Sheet1!$B:$B, B42,
    Sheet1!$C:$C, C42,
    Sheet1!$D:$D, D42,
    Sheet1!$E:$E, E42
) = 0, "NO MATCH IN TARGET", "MATCHED")</f>
        <v>MATCHED</v>
      </c>
    </row>
    <row r="43" spans="1:7" x14ac:dyDescent="0.35">
      <c r="A43" s="1">
        <v>46233.688194444447</v>
      </c>
      <c r="B43" s="2" t="s">
        <v>53</v>
      </c>
      <c r="C43" s="2" t="s">
        <v>10</v>
      </c>
      <c r="D43" s="3">
        <v>2</v>
      </c>
      <c r="E43" s="3">
        <v>3760</v>
      </c>
      <c r="G43" t="str">
        <f>IF(COUNTIFS(
    Sheet1!$B:$B, B43,
    Sheet1!$C:$C, C43,
    Sheet1!$D:$D, D43,
    Sheet1!$E:$E, E43
) = 0, "NO MATCH IN TARGET", "MATCHED")</f>
        <v>MATCHED</v>
      </c>
    </row>
    <row r="44" spans="1:7" x14ac:dyDescent="0.35">
      <c r="A44" t="s">
        <v>78</v>
      </c>
      <c r="B44" t="s">
        <v>29</v>
      </c>
      <c r="C44" t="s">
        <v>10</v>
      </c>
      <c r="D44">
        <v>10</v>
      </c>
      <c r="E44">
        <v>1420</v>
      </c>
      <c r="G44" t="str">
        <f>IF(COUNTIFS(
    Sheet1!$B:$B, B44,
    Sheet1!$C:$C, C44,
    Sheet1!$D:$D, D44,
    Sheet1!$E:$E, E44
) = 0, "NO MATCH IN TARGET", "MATCHED")</f>
        <v>MATCHED</v>
      </c>
    </row>
    <row r="45" spans="1:7" x14ac:dyDescent="0.35">
      <c r="A45" t="s">
        <v>80</v>
      </c>
      <c r="B45" t="s">
        <v>24</v>
      </c>
      <c r="C45" t="s">
        <v>10</v>
      </c>
      <c r="D45">
        <v>5</v>
      </c>
      <c r="E45">
        <v>366</v>
      </c>
      <c r="G45" t="str">
        <f>IF(COUNTIFS(
    Sheet1!$B:$B, B45,
    Sheet1!$C:$C, C45,
    Sheet1!$D:$D, D45,
    Sheet1!$E:$E, E45
) = 0, "NO MATCH IN TARGET", "MATCHED")</f>
        <v>MATCHED</v>
      </c>
    </row>
    <row r="46" spans="1:7" x14ac:dyDescent="0.35">
      <c r="A46" t="s">
        <v>63</v>
      </c>
      <c r="B46" t="s">
        <v>15</v>
      </c>
      <c r="C46" t="s">
        <v>10</v>
      </c>
      <c r="D46">
        <v>200</v>
      </c>
      <c r="E46">
        <v>115.25</v>
      </c>
      <c r="G46" t="str">
        <f>IF(COUNTIFS(
    Sheet1!$B:$B, B46,
    Sheet1!$C:$C, C46,
    Sheet1!$D:$D, D46,
    Sheet1!$E:$E, E46
) = 0, "NO MATCH IN TARGET", "MATCHED")</f>
        <v>MATCHED</v>
      </c>
    </row>
    <row r="47" spans="1:7" x14ac:dyDescent="0.35">
      <c r="A47" t="s">
        <v>81</v>
      </c>
      <c r="B47" t="s">
        <v>19</v>
      </c>
      <c r="C47" t="s">
        <v>10</v>
      </c>
      <c r="D47">
        <v>50</v>
      </c>
      <c r="E47">
        <v>206</v>
      </c>
      <c r="G47" t="str">
        <f>IF(COUNTIFS(
    Sheet1!$B:$B, B47,
    Sheet1!$C:$C, C47,
    Sheet1!$D:$D, D47,
    Sheet1!$E:$E, E47
) = 0, "NO MATCH IN TARGET", "MATCHED")</f>
        <v>MATCHED</v>
      </c>
    </row>
    <row r="48" spans="1:7" x14ac:dyDescent="0.35">
      <c r="A48" t="s">
        <v>69</v>
      </c>
      <c r="B48" t="s">
        <v>18</v>
      </c>
      <c r="C48" t="s">
        <v>10</v>
      </c>
      <c r="D48">
        <v>10</v>
      </c>
      <c r="E48">
        <v>640</v>
      </c>
      <c r="G48" t="str">
        <f>IF(COUNTIFS(
    Sheet1!$B:$B, B48,
    Sheet1!$C:$C, C48,
    Sheet1!$D:$D, D48,
    Sheet1!$E:$E, E48
) = 0, "NO MATCH IN TARGET", "MATCHED")</f>
        <v>MATCHED</v>
      </c>
    </row>
    <row r="49" spans="1:7" x14ac:dyDescent="0.35">
      <c r="A49" t="s">
        <v>70</v>
      </c>
      <c r="B49" t="s">
        <v>18</v>
      </c>
      <c r="C49" t="s">
        <v>10</v>
      </c>
      <c r="D49">
        <v>5</v>
      </c>
      <c r="E49">
        <v>640</v>
      </c>
      <c r="G49" t="str">
        <f>IF(COUNTIFS(
    Sheet1!$B:$B, B49,
    Sheet1!$C:$C, C49,
    Sheet1!$D:$D, D49,
    Sheet1!$E:$E, E49
) = 0, "NO MATCH IN TARGET", "MATCHED")</f>
        <v>MATCHED</v>
      </c>
    </row>
    <row r="50" spans="1:7" x14ac:dyDescent="0.35">
      <c r="A50" t="s">
        <v>82</v>
      </c>
      <c r="B50" t="s">
        <v>18</v>
      </c>
      <c r="C50" t="s">
        <v>10</v>
      </c>
      <c r="D50">
        <v>30</v>
      </c>
      <c r="E50">
        <v>640</v>
      </c>
      <c r="G50" t="str">
        <f>IF(COUNTIFS(
    Sheet1!$B:$B, B50,
    Sheet1!$C:$C, C50,
    Sheet1!$D:$D, D50,
    Sheet1!$E:$E, E50
) = 0, "NO MATCH IN TARGET", "MATCHED")</f>
        <v>MATCHED</v>
      </c>
    </row>
    <row r="51" spans="1:7" x14ac:dyDescent="0.35">
      <c r="A51" t="s">
        <v>74</v>
      </c>
      <c r="B51" t="s">
        <v>33</v>
      </c>
      <c r="C51" t="s">
        <v>10</v>
      </c>
      <c r="D51">
        <v>40</v>
      </c>
      <c r="E51">
        <v>878</v>
      </c>
      <c r="G51" t="str">
        <f>IF(COUNTIFS(
    Sheet1!$B:$B, B51,
    Sheet1!$C:$C, C51,
    Sheet1!$D:$D, D51,
    Sheet1!$E:$E, E51
) = 0, "NO MATCH IN TARGET", "MATCHED")</f>
        <v>MATCHED</v>
      </c>
    </row>
    <row r="52" spans="1:7" x14ac:dyDescent="0.35">
      <c r="A52" t="s">
        <v>83</v>
      </c>
      <c r="B52" t="s">
        <v>31</v>
      </c>
      <c r="C52" t="s">
        <v>10</v>
      </c>
      <c r="D52">
        <v>8</v>
      </c>
      <c r="E52">
        <v>2370</v>
      </c>
      <c r="G52" t="str">
        <f>IF(COUNTIFS(
    Sheet1!$B:$B, B52,
    Sheet1!$C:$C, C52,
    Sheet1!$D:$D, D52,
    Sheet1!$E:$E, E52
) = 0, "NO MATCH IN TARGET", "MATCHED")</f>
        <v>MATCHED</v>
      </c>
    </row>
    <row r="53" spans="1:7" x14ac:dyDescent="0.35">
      <c r="A53" t="s">
        <v>79</v>
      </c>
      <c r="B53" t="s">
        <v>27</v>
      </c>
      <c r="C53" t="s">
        <v>10</v>
      </c>
      <c r="D53">
        <v>10</v>
      </c>
      <c r="E53">
        <v>1030</v>
      </c>
      <c r="G53" t="str">
        <f>IF(COUNTIFS(
    Sheet1!$B:$B, B53,
    Sheet1!$C:$C, C53,
    Sheet1!$D:$D, D53,
    Sheet1!$E:$E, E53
) = 0, "NO MATCH IN TARGET", "MATCHED")</f>
        <v>MATCHED</v>
      </c>
    </row>
    <row r="54" spans="1:7" x14ac:dyDescent="0.35">
      <c r="A54" t="s">
        <v>84</v>
      </c>
      <c r="B54" t="s">
        <v>11</v>
      </c>
      <c r="C54" t="s">
        <v>10</v>
      </c>
      <c r="D54">
        <v>30</v>
      </c>
      <c r="E54">
        <v>2435</v>
      </c>
      <c r="G54" t="str">
        <f>IF(COUNTIFS(
    Sheet1!$B:$B, B54,
    Sheet1!$C:$C, C54,
    Sheet1!$D:$D, D54,
    Sheet1!$E:$E, E54
) = 0, "NO MATCH IN TARGET", "MATCHED")</f>
        <v>MATCHED</v>
      </c>
    </row>
    <row r="55" spans="1:7" x14ac:dyDescent="0.35">
      <c r="A55" t="s">
        <v>85</v>
      </c>
      <c r="B55" t="s">
        <v>21</v>
      </c>
      <c r="C55" t="s">
        <v>10</v>
      </c>
      <c r="D55">
        <v>100</v>
      </c>
      <c r="E55">
        <v>335</v>
      </c>
      <c r="G55" t="str">
        <f>IF(COUNTIFS(
    Sheet1!$B:$B, B55,
    Sheet1!$C:$C, C55,
    Sheet1!$D:$D, D55,
    Sheet1!$E:$E, E55
) = 0, "NO MATCH IN TARGET", "MATCHED")</f>
        <v>MATCHED</v>
      </c>
    </row>
    <row r="56" spans="1:7" x14ac:dyDescent="0.35">
      <c r="A56" t="s">
        <v>86</v>
      </c>
      <c r="B56" t="s">
        <v>6</v>
      </c>
      <c r="C56" t="s">
        <v>10</v>
      </c>
      <c r="D56">
        <v>30</v>
      </c>
      <c r="E56">
        <v>286</v>
      </c>
      <c r="G56" t="str">
        <f>IF(COUNTIFS(
    Sheet1!$B:$B, B56,
    Sheet1!$C:$C, C56,
    Sheet1!$D:$D, D56,
    Sheet1!$E:$E, E56
) = 0, "NO MATCH IN TARGET", "MATCHED")</f>
        <v>MATCHED</v>
      </c>
    </row>
    <row r="57" spans="1:7" x14ac:dyDescent="0.35">
      <c r="A57" t="s">
        <v>79</v>
      </c>
      <c r="B57" t="s">
        <v>42</v>
      </c>
      <c r="C57" t="s">
        <v>10</v>
      </c>
      <c r="D57">
        <v>1</v>
      </c>
      <c r="E57">
        <v>17552</v>
      </c>
      <c r="G57" t="str">
        <f>IF(COUNTIFS(
    Sheet1!$B:$B, B57,
    Sheet1!$C:$C, C57,
    Sheet1!$D:$D, D57,
    Sheet1!$E:$E, E57
) = 0, "NO MATCH IN TARGET", "MATCHED")</f>
        <v>MATCHED</v>
      </c>
    </row>
    <row r="58" spans="1:7" x14ac:dyDescent="0.35">
      <c r="A58" t="s">
        <v>61</v>
      </c>
      <c r="B58" t="s">
        <v>20</v>
      </c>
      <c r="C58" t="s">
        <v>10</v>
      </c>
      <c r="D58">
        <v>5</v>
      </c>
      <c r="E58">
        <v>1614</v>
      </c>
      <c r="G58" t="str">
        <f>IF(COUNTIFS(
    Sheet1!$B:$B, B58,
    Sheet1!$C:$C, C58,
    Sheet1!$D:$D, D58,
    Sheet1!$E:$E, E58
) = 0, "NO MATCH IN TARGET", "MATCHED")</f>
        <v>MATCHED</v>
      </c>
    </row>
    <row r="59" spans="1:7" x14ac:dyDescent="0.35">
      <c r="A59" t="s">
        <v>83</v>
      </c>
      <c r="B59" t="s">
        <v>36</v>
      </c>
      <c r="C59" t="s">
        <v>10</v>
      </c>
      <c r="D59">
        <v>30</v>
      </c>
      <c r="E59">
        <v>1007</v>
      </c>
      <c r="G59" t="str">
        <f>IF(COUNTIFS(
    Sheet1!$B:$B, B59,
    Sheet1!$C:$C, C59,
    Sheet1!$D:$D, D59,
    Sheet1!$E:$E, E59
) = 0, "NO MATCH IN TARGET", "MATCHED")</f>
        <v>MATCHED</v>
      </c>
    </row>
    <row r="60" spans="1:7" x14ac:dyDescent="0.35">
      <c r="A60" s="1">
        <v>46233.688194444447</v>
      </c>
      <c r="B60" s="2" t="s">
        <v>53</v>
      </c>
      <c r="C60" s="2" t="s">
        <v>10</v>
      </c>
      <c r="D60" s="3">
        <v>3</v>
      </c>
      <c r="E60" s="3">
        <v>3810</v>
      </c>
      <c r="G60" t="str">
        <f>IF(COUNTIFS(
    Sheet1!$B:$B, B60,
    Sheet1!$C:$C, C60,
    Sheet1!$D:$D, D60,
    Sheet1!$E:$E, E60
) = 0, "NO MATCH IN TARGET", "MATCHED")</f>
        <v>MATCHED</v>
      </c>
    </row>
    <row r="61" spans="1:7" x14ac:dyDescent="0.35">
      <c r="A61" s="1">
        <v>46237.635520833333</v>
      </c>
      <c r="B61" s="2" t="s">
        <v>35</v>
      </c>
      <c r="C61" s="2" t="s">
        <v>10</v>
      </c>
      <c r="D61" s="3">
        <v>20</v>
      </c>
      <c r="E61" s="3">
        <v>220.1</v>
      </c>
      <c r="G61" t="str">
        <f>IF(COUNTIFS(
    Sheet1!$B:$B, B61,
    Sheet1!$C:$C, C61,
    Sheet1!$D:$D, D61,
    Sheet1!$E:$E, E61
) = 0, "NO MATCH IN TARGET", "MATCHED")</f>
        <v>MATCHED</v>
      </c>
    </row>
    <row r="62" spans="1:7" x14ac:dyDescent="0.35">
      <c r="A62" t="s">
        <v>87</v>
      </c>
      <c r="B62" t="s">
        <v>9</v>
      </c>
      <c r="C62" t="s">
        <v>10</v>
      </c>
      <c r="D62">
        <v>11</v>
      </c>
      <c r="E62">
        <v>882</v>
      </c>
      <c r="G62" t="str">
        <f>IF(COUNTIFS(
    Sheet1!$B:$B, B62,
    Sheet1!$C:$C, C62,
    Sheet1!$D:$D, D62,
    Sheet1!$E:$E, E62
) = 0, "NO MATCH IN TARGET", "MATCHED")</f>
        <v>MATCHED</v>
      </c>
    </row>
    <row r="63" spans="1:7" x14ac:dyDescent="0.35">
      <c r="A63" t="s">
        <v>87</v>
      </c>
      <c r="B63" t="s">
        <v>88</v>
      </c>
      <c r="C63" t="s">
        <v>10</v>
      </c>
      <c r="D63">
        <v>45</v>
      </c>
      <c r="E63">
        <v>136.1</v>
      </c>
      <c r="G63" t="str">
        <f>IF(COUNTIFS(
    Sheet1!$B:$B, B63,
    Sheet1!$C:$C, C63,
    Sheet1!$D:$D, D63,
    Sheet1!$E:$E, E63
) = 0, "NO MATCH IN TARGET", "MATCHED")</f>
        <v>NO MATCH IN TARGET</v>
      </c>
    </row>
    <row r="64" spans="1:7" x14ac:dyDescent="0.35">
      <c r="A64" t="s">
        <v>79</v>
      </c>
      <c r="B64" t="s">
        <v>30</v>
      </c>
      <c r="C64" t="s">
        <v>10</v>
      </c>
      <c r="D64">
        <v>1</v>
      </c>
      <c r="E64">
        <v>4640</v>
      </c>
      <c r="G64" t="str">
        <f>IF(COUNTIFS(
    Sheet1!$B:$B, B64,
    Sheet1!$C:$C, C64,
    Sheet1!$D:$D, D64,
    Sheet1!$E:$E, E64
) = 0, "NO MATCH IN TARGET", "MATCHED")</f>
        <v>MATCHED</v>
      </c>
    </row>
    <row r="65" spans="1:7" x14ac:dyDescent="0.35">
      <c r="A65" t="s">
        <v>89</v>
      </c>
      <c r="B65" t="s">
        <v>88</v>
      </c>
      <c r="C65" t="s">
        <v>10</v>
      </c>
      <c r="D65">
        <v>45</v>
      </c>
      <c r="E65">
        <v>136.15</v>
      </c>
      <c r="G65" t="str">
        <f>IF(COUNTIFS(
    Sheet1!$B:$B, B65,
    Sheet1!$C:$C, C65,
    Sheet1!$D:$D, D65,
    Sheet1!$E:$E, E65
) = 0, "NO MATCH IN TARGET", "MATCHED")</f>
        <v>MATCHED</v>
      </c>
    </row>
    <row r="66" spans="1:7" x14ac:dyDescent="0.35">
      <c r="A66" t="s">
        <v>60</v>
      </c>
      <c r="B66" t="s">
        <v>25</v>
      </c>
      <c r="C66" t="s">
        <v>10</v>
      </c>
      <c r="D66">
        <v>25</v>
      </c>
      <c r="E66">
        <v>190.1</v>
      </c>
      <c r="G66" t="str">
        <f>IF(COUNTIFS(
    Sheet1!$B:$B, B66,
    Sheet1!$C:$C, C66,
    Sheet1!$D:$D, D66,
    Sheet1!$E:$E, E66
) = 0, "NO MATCH IN TARGET", "MATCHED")</f>
        <v>MATCHED</v>
      </c>
    </row>
    <row r="67" spans="1:7" x14ac:dyDescent="0.35">
      <c r="A67" t="s">
        <v>69</v>
      </c>
      <c r="B67" t="s">
        <v>21</v>
      </c>
      <c r="C67" t="s">
        <v>10</v>
      </c>
      <c r="D67">
        <v>100</v>
      </c>
      <c r="E67">
        <v>337</v>
      </c>
      <c r="G67" t="str">
        <f>IF(COUNTIFS(
    Sheet1!$B:$B, B67,
    Sheet1!$C:$C, C67,
    Sheet1!$D:$D, D67,
    Sheet1!$E:$E, E67
) = 0, "NO MATCH IN TARGET", "MATCHED")</f>
        <v>MATCHED</v>
      </c>
    </row>
    <row r="68" spans="1:7" x14ac:dyDescent="0.35">
      <c r="A68" t="s">
        <v>78</v>
      </c>
      <c r="B68" t="s">
        <v>29</v>
      </c>
      <c r="C68" t="s">
        <v>10</v>
      </c>
      <c r="D68">
        <v>10</v>
      </c>
      <c r="E68">
        <v>1440</v>
      </c>
      <c r="G68" t="str">
        <f>IF(COUNTIFS(
    Sheet1!$B:$B, B68,
    Sheet1!$C:$C, C68,
    Sheet1!$D:$D, D68,
    Sheet1!$E:$E, E68
) = 0, "NO MATCH IN TARGET", "MATCHED")</f>
        <v>MATCHED</v>
      </c>
    </row>
    <row r="69" spans="1:7" x14ac:dyDescent="0.35">
      <c r="A69" t="s">
        <v>90</v>
      </c>
      <c r="B69" t="s">
        <v>41</v>
      </c>
      <c r="C69" t="s">
        <v>10</v>
      </c>
      <c r="D69">
        <v>1</v>
      </c>
      <c r="E69">
        <v>4206</v>
      </c>
      <c r="G69" t="str">
        <f>IF(COUNTIFS(
    Sheet1!$B:$B, B69,
    Sheet1!$C:$C, C69,
    Sheet1!$D:$D, D69,
    Sheet1!$E:$E, E69
) = 0, "NO MATCH IN TARGET", "MATCHED")</f>
        <v>MATCHED</v>
      </c>
    </row>
    <row r="70" spans="1:7" x14ac:dyDescent="0.35">
      <c r="A70" s="1">
        <v>46237.63553240741</v>
      </c>
      <c r="B70" s="2" t="s">
        <v>53</v>
      </c>
      <c r="C70" s="2" t="s">
        <v>10</v>
      </c>
      <c r="D70" s="3">
        <v>2</v>
      </c>
      <c r="E70" s="3">
        <v>3830</v>
      </c>
      <c r="G70" t="str">
        <f>IF(COUNTIFS(
    Sheet1!$B:$B, B70,
    Sheet1!$C:$C, C70,
    Sheet1!$D:$D, D70,
    Sheet1!$E:$E, E70
) = 0, "NO MATCH IN TARGET", "MATCHED")</f>
        <v>MATCHED</v>
      </c>
    </row>
    <row r="71" spans="1:7" x14ac:dyDescent="0.35">
      <c r="A71" t="s">
        <v>81</v>
      </c>
      <c r="B71" t="s">
        <v>11</v>
      </c>
      <c r="C71" t="s">
        <v>10</v>
      </c>
      <c r="D71">
        <v>30</v>
      </c>
      <c r="E71">
        <v>2460</v>
      </c>
      <c r="G71" t="str">
        <f>IF(COUNTIFS(
    Sheet1!$B:$B, B71,
    Sheet1!$C:$C, C71,
    Sheet1!$D:$D, D71,
    Sheet1!$E:$E, E71
) = 0, "NO MATCH IN TARGET", "MATCHED")</f>
        <v>MATCHED</v>
      </c>
    </row>
    <row r="72" spans="1:7" x14ac:dyDescent="0.35">
      <c r="A72" t="s">
        <v>78</v>
      </c>
      <c r="B72" t="s">
        <v>39</v>
      </c>
      <c r="C72" t="s">
        <v>10</v>
      </c>
      <c r="D72">
        <v>25</v>
      </c>
      <c r="E72">
        <v>836</v>
      </c>
      <c r="G72" t="str">
        <f>IF(COUNTIFS(
    Sheet1!$B:$B, B72,
    Sheet1!$C:$C, C72,
    Sheet1!$D:$D, D72,
    Sheet1!$E:$E, E72
) = 0, "NO MATCH IN TARGET", "MATCHED")</f>
        <v>MATCHED</v>
      </c>
    </row>
    <row r="73" spans="1:7" x14ac:dyDescent="0.35">
      <c r="A73" t="s">
        <v>87</v>
      </c>
      <c r="B73" t="s">
        <v>91</v>
      </c>
      <c r="C73" t="s">
        <v>10</v>
      </c>
      <c r="D73">
        <v>25</v>
      </c>
      <c r="E73">
        <v>196</v>
      </c>
      <c r="G73" t="str">
        <f>IF(COUNTIFS(
    Sheet1!$B:$B, B73,
    Sheet1!$C:$C, C73,
    Sheet1!$D:$D, D73,
    Sheet1!$E:$E, E73
) = 0, "NO MATCH IN TARGET", "MATCHED")</f>
        <v>MATCHED</v>
      </c>
    </row>
    <row r="74" spans="1:7" x14ac:dyDescent="0.35">
      <c r="A74" t="s">
        <v>83</v>
      </c>
      <c r="B74" t="s">
        <v>31</v>
      </c>
      <c r="C74" t="s">
        <v>10</v>
      </c>
      <c r="D74">
        <v>7</v>
      </c>
      <c r="E74">
        <v>2401</v>
      </c>
      <c r="G74" t="str">
        <f>IF(COUNTIFS(
    Sheet1!$B:$B, B74,
    Sheet1!$C:$C, C74,
    Sheet1!$D:$D, D74,
    Sheet1!$E:$E, E74
) = 0, "NO MATCH IN TARGET", "MATCHED")</f>
        <v>MATCHED</v>
      </c>
    </row>
    <row r="75" spans="1:7" x14ac:dyDescent="0.35">
      <c r="A75" t="s">
        <v>78</v>
      </c>
      <c r="B75" t="s">
        <v>39</v>
      </c>
      <c r="C75" t="s">
        <v>10</v>
      </c>
      <c r="D75">
        <v>5</v>
      </c>
      <c r="E75">
        <v>838</v>
      </c>
      <c r="G75" t="str">
        <f>IF(COUNTIFS(
    Sheet1!$B:$B, B75,
    Sheet1!$C:$C, C75,
    Sheet1!$D:$D, D75,
    Sheet1!$E:$E, E75
) = 0, "NO MATCH IN TARGET", "MATCHED")</f>
        <v>MATCHED</v>
      </c>
    </row>
    <row r="76" spans="1:7" x14ac:dyDescent="0.35">
      <c r="A76" t="s">
        <v>92</v>
      </c>
      <c r="B76" t="s">
        <v>11</v>
      </c>
      <c r="C76" t="s">
        <v>10</v>
      </c>
      <c r="D76">
        <v>5</v>
      </c>
      <c r="E76">
        <v>2470</v>
      </c>
      <c r="G76" t="str">
        <f>IF(COUNTIFS(
    Sheet1!$B:$B, B76,
    Sheet1!$C:$C, C76,
    Sheet1!$D:$D, D76,
    Sheet1!$E:$E, E76
) = 0, "NO MATCH IN TARGET", "MATCHED")</f>
        <v>MATCHED</v>
      </c>
    </row>
    <row r="77" spans="1:7" x14ac:dyDescent="0.35">
      <c r="A77" t="s">
        <v>93</v>
      </c>
      <c r="B77" t="s">
        <v>62</v>
      </c>
      <c r="C77" t="s">
        <v>10</v>
      </c>
      <c r="D77">
        <v>500</v>
      </c>
      <c r="E77">
        <v>33.159999999999997</v>
      </c>
      <c r="G77" t="str">
        <f>IF(COUNTIFS(
    Sheet1!$B:$B, B77,
    Sheet1!$C:$C, C77,
    Sheet1!$D:$D, D77,
    Sheet1!$E:$E, E77
) = 0, "NO MATCH IN TARGET", "MATCHED")</f>
        <v>MATCHED</v>
      </c>
    </row>
    <row r="78" spans="1:7" x14ac:dyDescent="0.35">
      <c r="A78" s="1">
        <v>46237.63553240741</v>
      </c>
      <c r="B78" s="2" t="s">
        <v>53</v>
      </c>
      <c r="C78" s="2" t="s">
        <v>10</v>
      </c>
      <c r="D78" s="3">
        <v>2</v>
      </c>
      <c r="E78" s="3">
        <v>3856</v>
      </c>
      <c r="G78" t="str">
        <f>IF(COUNTIFS(
    Sheet1!$B:$B, B78,
    Sheet1!$C:$C, C78,
    Sheet1!$D:$D, D78,
    Sheet1!$E:$E, E78
) = 0, "NO MATCH IN TARGET", "MATCHED")</f>
        <v>MATCHED</v>
      </c>
    </row>
    <row r="79" spans="1:7" x14ac:dyDescent="0.35">
      <c r="A79" t="s">
        <v>78</v>
      </c>
      <c r="B79" t="s">
        <v>29</v>
      </c>
      <c r="C79" t="s">
        <v>10</v>
      </c>
      <c r="D79">
        <v>10</v>
      </c>
      <c r="E79">
        <v>1452</v>
      </c>
      <c r="G79" t="str">
        <f>IF(COUNTIFS(
    Sheet1!$B:$B, B79,
    Sheet1!$C:$C, C79,
    Sheet1!$D:$D, D79,
    Sheet1!$E:$E, E79
) = 0, "NO MATCH IN TARGET", "MATCHED")</f>
        <v>MATCHED</v>
      </c>
    </row>
    <row r="80" spans="1:7" x14ac:dyDescent="0.35">
      <c r="A80" t="s">
        <v>94</v>
      </c>
      <c r="B80" t="s">
        <v>16</v>
      </c>
      <c r="C80" t="s">
        <v>10</v>
      </c>
      <c r="D80">
        <v>3</v>
      </c>
      <c r="E80">
        <v>4710</v>
      </c>
      <c r="G80" t="str">
        <f>IF(COUNTIFS(
    Sheet1!$B:$B, B80,
    Sheet1!$C:$C, C80,
    Sheet1!$D:$D, D80,
    Sheet1!$E:$E, E80
) = 0, "NO MATCH IN TARGET", "MATCHED")</f>
        <v>MATCHED</v>
      </c>
    </row>
    <row r="81" spans="1:7" x14ac:dyDescent="0.35">
      <c r="A81" s="1">
        <v>46233.688194444447</v>
      </c>
      <c r="B81" s="2" t="s">
        <v>32</v>
      </c>
      <c r="C81" s="2" t="s">
        <v>10</v>
      </c>
      <c r="D81" s="3">
        <v>5</v>
      </c>
      <c r="E81" s="3">
        <v>702</v>
      </c>
      <c r="G81" t="str">
        <f>IF(COUNTIFS(
    Sheet1!$B:$B, B81,
    Sheet1!$C:$C, C81,
    Sheet1!$D:$D, D81,
    Sheet1!$E:$E, E81
) = 0, "NO MATCH IN TARGET", "MATCHED")</f>
        <v>MATCHED</v>
      </c>
    </row>
    <row r="82" spans="1:7" x14ac:dyDescent="0.35">
      <c r="A82" t="s">
        <v>95</v>
      </c>
      <c r="B82" t="s">
        <v>21</v>
      </c>
      <c r="C82" t="s">
        <v>10</v>
      </c>
      <c r="D82">
        <v>100</v>
      </c>
      <c r="E82">
        <v>340.2</v>
      </c>
      <c r="G82" t="str">
        <f>IF(COUNTIFS(
    Sheet1!$B:$B, B82,
    Sheet1!$C:$C, C82,
    Sheet1!$D:$D, D82,
    Sheet1!$E:$E, E82
) = 0, "NO MATCH IN TARGET", "MATCHED")</f>
        <v>MATCHED</v>
      </c>
    </row>
    <row r="83" spans="1:7" x14ac:dyDescent="0.35">
      <c r="A83" t="s">
        <v>96</v>
      </c>
      <c r="B83" t="s">
        <v>37</v>
      </c>
      <c r="C83" t="s">
        <v>10</v>
      </c>
      <c r="D83">
        <v>1</v>
      </c>
      <c r="E83">
        <v>13552</v>
      </c>
      <c r="G83" t="str">
        <f>IF(COUNTIFS(
    Sheet1!$B:$B, B83,
    Sheet1!$C:$C, C83,
    Sheet1!$D:$D, D83,
    Sheet1!$E:$E, E83
) = 0, "NO MATCH IN TARGET", "MATCHED")</f>
        <v>MATCHED</v>
      </c>
    </row>
    <row r="84" spans="1:7" x14ac:dyDescent="0.35">
      <c r="A84" t="s">
        <v>90</v>
      </c>
      <c r="B84" t="s">
        <v>50</v>
      </c>
      <c r="C84" t="s">
        <v>10</v>
      </c>
      <c r="D84">
        <v>3</v>
      </c>
      <c r="E84">
        <v>3310</v>
      </c>
      <c r="G84" t="str">
        <f>IF(COUNTIFS(
    Sheet1!$B:$B, B84,
    Sheet1!$C:$C, C84,
    Sheet1!$D:$D, D84,
    Sheet1!$E:$E, E84
) = 0, "NO MATCH IN TARGET", "MATCHED")</f>
        <v>MATCHED</v>
      </c>
    </row>
    <row r="85" spans="1:7" x14ac:dyDescent="0.35">
      <c r="A85" t="s">
        <v>93</v>
      </c>
      <c r="B85" t="s">
        <v>17</v>
      </c>
      <c r="C85" t="s">
        <v>10</v>
      </c>
      <c r="D85">
        <v>40</v>
      </c>
      <c r="E85">
        <v>426</v>
      </c>
      <c r="G85" t="str">
        <f>IF(COUNTIFS(
    Sheet1!$B:$B, B85,
    Sheet1!$C:$C, C85,
    Sheet1!$D:$D, D85,
    Sheet1!$E:$E, E85
) = 0, "NO MATCH IN TARGET", "MATCHED")</f>
        <v>MATCHED</v>
      </c>
    </row>
    <row r="86" spans="1:7" x14ac:dyDescent="0.35">
      <c r="A86" t="s">
        <v>90</v>
      </c>
      <c r="B86" t="s">
        <v>38</v>
      </c>
      <c r="C86" t="s">
        <v>10</v>
      </c>
      <c r="D86">
        <v>8</v>
      </c>
      <c r="E86">
        <v>2352</v>
      </c>
      <c r="G86" t="str">
        <f>IF(COUNTIFS(
    Sheet1!$B:$B, B86,
    Sheet1!$C:$C, C86,
    Sheet1!$D:$D, D86,
    Sheet1!$E:$E, E86
) = 0, "NO MATCH IN TARGET", "MATCHED")</f>
        <v>MATCHED</v>
      </c>
    </row>
    <row r="87" spans="1:7" x14ac:dyDescent="0.35">
      <c r="A87" t="s">
        <v>97</v>
      </c>
      <c r="B87" t="s">
        <v>33</v>
      </c>
      <c r="C87" t="s">
        <v>10</v>
      </c>
      <c r="D87">
        <v>40</v>
      </c>
      <c r="E87">
        <v>897</v>
      </c>
      <c r="G87" t="str">
        <f>IF(COUNTIFS(
    Sheet1!$B:$B, B87,
    Sheet1!$C:$C, C87,
    Sheet1!$D:$D, D87,
    Sheet1!$E:$E, E87
) = 0, "NO MATCH IN TARGET", "MATCHED")</f>
        <v>MATCHED</v>
      </c>
    </row>
    <row r="88" spans="1:7" x14ac:dyDescent="0.35">
      <c r="A88" t="s">
        <v>78</v>
      </c>
      <c r="B88" t="s">
        <v>44</v>
      </c>
      <c r="C88" t="s">
        <v>10</v>
      </c>
      <c r="D88">
        <v>69</v>
      </c>
      <c r="E88">
        <v>1277</v>
      </c>
      <c r="G88" t="str">
        <f>IF(COUNTIFS(
    Sheet1!$B:$B, B88,
    Sheet1!$C:$C, C88,
    Sheet1!$D:$D, D88,
    Sheet1!$E:$E, E88
) = 0, "NO MATCH IN TARGET", "MATCHED")</f>
        <v>MATCHED</v>
      </c>
    </row>
    <row r="89" spans="1:7" x14ac:dyDescent="0.35">
      <c r="A89" t="s">
        <v>81</v>
      </c>
      <c r="B89" t="s">
        <v>11</v>
      </c>
      <c r="C89" t="s">
        <v>10</v>
      </c>
      <c r="D89">
        <v>5</v>
      </c>
      <c r="E89">
        <v>2490</v>
      </c>
      <c r="G89" t="str">
        <f>IF(COUNTIFS(
    Sheet1!$B:$B, B89,
    Sheet1!$C:$C, C89,
    Sheet1!$D:$D, D89,
    Sheet1!$E:$E, E89
) = 0, "NO MATCH IN TARGET", "MATCHED")</f>
        <v>MATCHED</v>
      </c>
    </row>
    <row r="90" spans="1:7" x14ac:dyDescent="0.35">
      <c r="A90" s="1">
        <v>46238.64472222222</v>
      </c>
      <c r="B90" s="2" t="s">
        <v>53</v>
      </c>
      <c r="C90" s="2" t="s">
        <v>10</v>
      </c>
      <c r="D90" s="3">
        <v>5</v>
      </c>
      <c r="E90" s="3">
        <v>3888</v>
      </c>
      <c r="G90" t="str">
        <f>IF(COUNTIFS(
    Sheet1!$B:$B, B90,
    Sheet1!$C:$C, C90,
    Sheet1!$D:$D, D90,
    Sheet1!$E:$E, E90
) = 0, "NO MATCH IN TARGET", "MATCHED")</f>
        <v>MATCHED</v>
      </c>
    </row>
    <row r="91" spans="1:7" x14ac:dyDescent="0.35">
      <c r="A91" t="s">
        <v>60</v>
      </c>
      <c r="B91" t="s">
        <v>19</v>
      </c>
      <c r="C91" t="s">
        <v>10</v>
      </c>
      <c r="D91">
        <v>50</v>
      </c>
      <c r="E91">
        <v>212</v>
      </c>
      <c r="G91" t="str">
        <f>IF(COUNTIFS(
    Sheet1!$B:$B, B91,
    Sheet1!$C:$C, C91,
    Sheet1!$D:$D, D91,
    Sheet1!$E:$E, E91
) = 0, "NO MATCH IN TARGET", "MATCHED")</f>
        <v>MATCHED</v>
      </c>
    </row>
    <row r="92" spans="1:7" x14ac:dyDescent="0.35">
      <c r="A92" t="s">
        <v>98</v>
      </c>
      <c r="B92" t="s">
        <v>46</v>
      </c>
      <c r="C92" t="s">
        <v>10</v>
      </c>
      <c r="D92">
        <v>5</v>
      </c>
      <c r="E92">
        <v>1132</v>
      </c>
      <c r="G92" t="str">
        <f>IF(COUNTIFS(
    Sheet1!$B:$B, B92,
    Sheet1!$C:$C, C92,
    Sheet1!$D:$D, D92,
    Sheet1!$E:$E, E92
) = 0, "NO MATCH IN TARGET", "MATCHED")</f>
        <v>MATCHED</v>
      </c>
    </row>
    <row r="93" spans="1:7" x14ac:dyDescent="0.35">
      <c r="A93" t="s">
        <v>90</v>
      </c>
      <c r="B93" t="s">
        <v>45</v>
      </c>
      <c r="C93" t="s">
        <v>10</v>
      </c>
      <c r="D93">
        <v>5</v>
      </c>
      <c r="E93">
        <v>2888</v>
      </c>
      <c r="G93" t="str">
        <f>IF(COUNTIFS(
    Sheet1!$B:$B, B93,
    Sheet1!$C:$C, C93,
    Sheet1!$D:$D, D93,
    Sheet1!$E:$E, E93
) = 0, "NO MATCH IN TARGET", "MATCHED")</f>
        <v>MATCHED</v>
      </c>
    </row>
    <row r="94" spans="1:7" x14ac:dyDescent="0.35">
      <c r="A94" t="s">
        <v>79</v>
      </c>
      <c r="B94" t="s">
        <v>52</v>
      </c>
      <c r="C94" t="s">
        <v>10</v>
      </c>
      <c r="D94">
        <v>2</v>
      </c>
      <c r="E94">
        <v>2460</v>
      </c>
      <c r="G94" t="str">
        <f>IF(COUNTIFS(
    Sheet1!$B:$B, B94,
    Sheet1!$C:$C, C94,
    Sheet1!$D:$D, D94,
    Sheet1!$E:$E, E94
) = 0, "NO MATCH IN TARGET", "MATCHED")</f>
        <v>MATCHED</v>
      </c>
    </row>
    <row r="95" spans="1:7" x14ac:dyDescent="0.35">
      <c r="A95" t="s">
        <v>79</v>
      </c>
      <c r="B95" t="s">
        <v>47</v>
      </c>
      <c r="C95" t="s">
        <v>10</v>
      </c>
      <c r="D95">
        <v>10</v>
      </c>
      <c r="E95">
        <v>1166</v>
      </c>
      <c r="G95" t="str">
        <f>IF(COUNTIFS(
    Sheet1!$B:$B, B95,
    Sheet1!$C:$C, C95,
    Sheet1!$D:$D, D95,
    Sheet1!$E:$E, E95
) = 0, "NO MATCH IN TARGET", "MATCHED")</f>
        <v>MATCHED</v>
      </c>
    </row>
    <row r="96" spans="1:7" x14ac:dyDescent="0.35">
      <c r="A96" t="s">
        <v>78</v>
      </c>
      <c r="B96" t="s">
        <v>39</v>
      </c>
      <c r="C96" t="s">
        <v>10</v>
      </c>
      <c r="D96">
        <v>50</v>
      </c>
      <c r="E96">
        <v>850</v>
      </c>
      <c r="G96" t="str">
        <f>IF(COUNTIFS(
    Sheet1!$B:$B, B96,
    Sheet1!$C:$C, C96,
    Sheet1!$D:$D, D96,
    Sheet1!$E:$E, E96
) = 0, "NO MATCH IN TARGET", "MATCHED")</f>
        <v>MATCHED</v>
      </c>
    </row>
    <row r="97" spans="1:7" x14ac:dyDescent="0.35">
      <c r="A97" t="s">
        <v>70</v>
      </c>
      <c r="B97" t="s">
        <v>21</v>
      </c>
      <c r="C97" t="s">
        <v>10</v>
      </c>
      <c r="D97">
        <v>50</v>
      </c>
      <c r="E97">
        <v>344</v>
      </c>
      <c r="G97" t="str">
        <f>IF(COUNTIFS(
    Sheet1!$B:$B, B97,
    Sheet1!$C:$C, C97,
    Sheet1!$D:$D, D97,
    Sheet1!$E:$E, E97
) = 0, "NO MATCH IN TARGET", "MATCHED")</f>
        <v>MATCHED</v>
      </c>
    </row>
    <row r="98" spans="1:7" x14ac:dyDescent="0.35">
      <c r="A98" t="s">
        <v>80</v>
      </c>
      <c r="B98" t="s">
        <v>18</v>
      </c>
      <c r="C98" t="s">
        <v>10</v>
      </c>
      <c r="D98">
        <v>5</v>
      </c>
      <c r="E98">
        <v>660</v>
      </c>
      <c r="G98" t="str">
        <f>IF(COUNTIFS(
    Sheet1!$B:$B, B98,
    Sheet1!$C:$C, C98,
    Sheet1!$D:$D, D98,
    Sheet1!$E:$E, E98
) = 0, "NO MATCH IN TARGET", "MATCHED")</f>
        <v>MATCHED</v>
      </c>
    </row>
    <row r="99" spans="1:7" x14ac:dyDescent="0.35">
      <c r="A99" s="1">
        <v>46238.63554398148</v>
      </c>
      <c r="B99" s="2" t="s">
        <v>28</v>
      </c>
      <c r="C99" s="2" t="s">
        <v>10</v>
      </c>
      <c r="D99" s="3">
        <v>2</v>
      </c>
      <c r="E99" s="3">
        <v>2552</v>
      </c>
      <c r="G99" t="str">
        <f>IF(COUNTIFS(
    Sheet1!$B:$B, B99,
    Sheet1!$C:$C, C99,
    Sheet1!$D:$D, D99,
    Sheet1!$E:$E, E99
) = 0, "NO MATCH IN TARGET", "MATCHED")</f>
        <v>MATCHED</v>
      </c>
    </row>
    <row r="100" spans="1:7" x14ac:dyDescent="0.35">
      <c r="A100" t="s">
        <v>83</v>
      </c>
      <c r="B100" t="s">
        <v>40</v>
      </c>
      <c r="C100" t="s">
        <v>10</v>
      </c>
      <c r="D100">
        <v>10</v>
      </c>
      <c r="E100">
        <v>1251</v>
      </c>
      <c r="G100" t="str">
        <f>IF(COUNTIFS(
    Sheet1!$B:$B, B100,
    Sheet1!$C:$C, C100,
    Sheet1!$D:$D, D100,
    Sheet1!$E:$E, E100
) = 0, "NO MATCH IN TARGET", "MATCHED")</f>
        <v>MATCHED</v>
      </c>
    </row>
    <row r="101" spans="1:7" x14ac:dyDescent="0.35">
      <c r="A101" t="s">
        <v>99</v>
      </c>
      <c r="B101" t="s">
        <v>42</v>
      </c>
      <c r="C101" t="s">
        <v>10</v>
      </c>
      <c r="D101">
        <v>1</v>
      </c>
      <c r="E101">
        <v>18052</v>
      </c>
      <c r="G101" t="str">
        <f>IF(COUNTIFS(
    Sheet1!$B:$B, B101,
    Sheet1!$C:$C, C101,
    Sheet1!$D:$D, D101,
    Sheet1!$E:$E, E101
) = 0, "NO MATCH IN TARGET", "MATCHED")</f>
        <v>MATCHED</v>
      </c>
    </row>
    <row r="102" spans="1:7" x14ac:dyDescent="0.35">
      <c r="A102" t="s">
        <v>100</v>
      </c>
      <c r="B102" t="s">
        <v>11</v>
      </c>
      <c r="C102" t="s">
        <v>10</v>
      </c>
      <c r="D102">
        <v>5</v>
      </c>
      <c r="E102">
        <v>2510</v>
      </c>
      <c r="G102" t="str">
        <f>IF(COUNTIFS(
    Sheet1!$B:$B, B102,
    Sheet1!$C:$C, C102,
    Sheet1!$D:$D, D102,
    Sheet1!$E:$E, E102
) = 0, "NO MATCH IN TARGET", "MATCHED")</f>
        <v>MATCHED</v>
      </c>
    </row>
    <row r="103" spans="1:7" x14ac:dyDescent="0.35">
      <c r="A103" s="1">
        <v>46237.635567129626</v>
      </c>
      <c r="B103" s="2" t="s">
        <v>32</v>
      </c>
      <c r="C103" s="2" t="s">
        <v>10</v>
      </c>
      <c r="D103" s="3">
        <v>5</v>
      </c>
      <c r="E103" s="3">
        <v>712</v>
      </c>
      <c r="G103" t="str">
        <f>IF(COUNTIFS(
    Sheet1!$B:$B, B103,
    Sheet1!$C:$C, C103,
    Sheet1!$D:$D, D103,
    Sheet1!$E:$E, E103
) = 0, "NO MATCH IN TARGET", "MATCHED")</f>
        <v>MATCHED</v>
      </c>
    </row>
    <row r="104" spans="1:7" x14ac:dyDescent="0.35">
      <c r="A104" t="s">
        <v>90</v>
      </c>
      <c r="B104" t="s">
        <v>41</v>
      </c>
      <c r="C104" t="s">
        <v>10</v>
      </c>
      <c r="D104">
        <v>1</v>
      </c>
      <c r="E104">
        <v>4306</v>
      </c>
      <c r="G104" t="str">
        <f>IF(COUNTIFS(
    Sheet1!$B:$B, B104,
    Sheet1!$C:$C, C104,
    Sheet1!$D:$D, D104,
    Sheet1!$E:$E, E104
) = 0, "NO MATCH IN TARGET", "MATCHED")</f>
        <v>MATCHED</v>
      </c>
    </row>
    <row r="105" spans="1:7" x14ac:dyDescent="0.35">
      <c r="A105" t="s">
        <v>83</v>
      </c>
      <c r="B105" t="s">
        <v>43</v>
      </c>
      <c r="C105" t="s">
        <v>10</v>
      </c>
      <c r="D105">
        <v>100</v>
      </c>
      <c r="E105">
        <v>390</v>
      </c>
      <c r="G105" t="str">
        <f>IF(COUNTIFS(
    Sheet1!$B:$B, B105,
    Sheet1!$C:$C, C105,
    Sheet1!$D:$D, D105,
    Sheet1!$E:$E, E105
) = 0, "NO MATCH IN TARGET", "MATCHED")</f>
        <v>MATCHED</v>
      </c>
    </row>
    <row r="106" spans="1:7" x14ac:dyDescent="0.35">
      <c r="A106" t="s">
        <v>101</v>
      </c>
      <c r="B106" t="s">
        <v>28</v>
      </c>
      <c r="C106" t="s">
        <v>10</v>
      </c>
      <c r="D106">
        <v>2</v>
      </c>
      <c r="E106">
        <v>2560</v>
      </c>
      <c r="G106" t="str">
        <f>IF(COUNTIFS(
    Sheet1!$B:$B, B106,
    Sheet1!$C:$C, C106,
    Sheet1!$D:$D, D106,
    Sheet1!$E:$E, E106
) = 0, "NO MATCH IN TARGET", "MATCHED")</f>
        <v>MATCHED</v>
      </c>
    </row>
    <row r="107" spans="1:7" x14ac:dyDescent="0.35">
      <c r="A107" t="s">
        <v>102</v>
      </c>
      <c r="B107" t="s">
        <v>19</v>
      </c>
      <c r="C107" t="s">
        <v>10</v>
      </c>
      <c r="D107">
        <v>150</v>
      </c>
      <c r="E107">
        <v>214</v>
      </c>
      <c r="G107" t="str">
        <f>IF(COUNTIFS(
    Sheet1!$B:$B, B107,
    Sheet1!$C:$C, C107,
    Sheet1!$D:$D, D107,
    Sheet1!$E:$E, E107
) = 0, "NO MATCH IN TARGET", "MATCHED")</f>
        <v>MATCHED</v>
      </c>
    </row>
    <row r="108" spans="1:7" x14ac:dyDescent="0.35">
      <c r="A108" t="s">
        <v>103</v>
      </c>
      <c r="B108" t="s">
        <v>20</v>
      </c>
      <c r="C108" t="s">
        <v>10</v>
      </c>
      <c r="D108">
        <v>10</v>
      </c>
      <c r="E108">
        <v>1666</v>
      </c>
      <c r="G108" t="str">
        <f>IF(COUNTIFS(
    Sheet1!$B:$B, B108,
    Sheet1!$C:$C, C108,
    Sheet1!$D:$D, D108,
    Sheet1!$E:$E, E108
) = 0, "NO MATCH IN TARGET", "MATCHED")</f>
        <v>MATCHED</v>
      </c>
    </row>
    <row r="109" spans="1:7" x14ac:dyDescent="0.35">
      <c r="A109" t="s">
        <v>104</v>
      </c>
      <c r="B109" t="s">
        <v>46</v>
      </c>
      <c r="C109" t="s">
        <v>10</v>
      </c>
      <c r="D109">
        <v>5</v>
      </c>
      <c r="E109">
        <v>1142</v>
      </c>
      <c r="G109" t="str">
        <f>IF(COUNTIFS(
    Sheet1!$B:$B, B109,
    Sheet1!$C:$C, C109,
    Sheet1!$D:$D, D109,
    Sheet1!$E:$E, E109
) = 0, "NO MATCH IN TARGET", "MATCHED")</f>
        <v>MATCHED</v>
      </c>
    </row>
    <row r="110" spans="1:7" x14ac:dyDescent="0.35">
      <c r="A110" t="s">
        <v>105</v>
      </c>
      <c r="B110" t="s">
        <v>23</v>
      </c>
      <c r="C110" t="s">
        <v>10</v>
      </c>
      <c r="D110">
        <v>5</v>
      </c>
      <c r="E110">
        <v>560</v>
      </c>
      <c r="G110" t="str">
        <f>IF(COUNTIFS(
    Sheet1!$B:$B, B110,
    Sheet1!$C:$C, C110,
    Sheet1!$D:$D, D110,
    Sheet1!$E:$E, E110
) = 0, "NO MATCH IN TARGET", "MATCHED")</f>
        <v>MATCHED</v>
      </c>
    </row>
    <row r="111" spans="1:7" x14ac:dyDescent="0.35">
      <c r="A111" t="s">
        <v>106</v>
      </c>
      <c r="B111" t="s">
        <v>34</v>
      </c>
      <c r="C111" t="s">
        <v>10</v>
      </c>
      <c r="D111">
        <v>25</v>
      </c>
      <c r="E111">
        <v>764</v>
      </c>
      <c r="G111" t="str">
        <f>IF(COUNTIFS(
    Sheet1!$B:$B, B111,
    Sheet1!$C:$C, C111,
    Sheet1!$D:$D, D111,
    Sheet1!$E:$E, E111
) = 0, "NO MATCH IN TARGET", "MATCHED")</f>
        <v>MATCHED</v>
      </c>
    </row>
    <row r="112" spans="1:7" x14ac:dyDescent="0.35">
      <c r="A112" t="s">
        <v>86</v>
      </c>
      <c r="B112" t="s">
        <v>6</v>
      </c>
      <c r="C112" t="s">
        <v>10</v>
      </c>
      <c r="D112">
        <v>20</v>
      </c>
      <c r="E112">
        <v>296</v>
      </c>
      <c r="G112" t="str">
        <f>IF(COUNTIFS(
    Sheet1!$B:$B, B112,
    Sheet1!$C:$C, C112,
    Sheet1!$D:$D, D112,
    Sheet1!$E:$E, E112
) = 0, "NO MATCH IN TARGET", "MATCHED")</f>
        <v>NO MATCH IN TARGET</v>
      </c>
    </row>
    <row r="113" spans="1:7" x14ac:dyDescent="0.35">
      <c r="A113" t="s">
        <v>107</v>
      </c>
      <c r="B113" t="s">
        <v>40</v>
      </c>
      <c r="C113" t="s">
        <v>10</v>
      </c>
      <c r="D113">
        <v>10</v>
      </c>
      <c r="E113">
        <v>1260</v>
      </c>
      <c r="G113" t="str">
        <f>IF(COUNTIFS(
    Sheet1!$B:$B, B113,
    Sheet1!$C:$C, C113,
    Sheet1!$D:$D, D113,
    Sheet1!$E:$E, E113
) = 0, "NO MATCH IN TARGET", "MATCHED")</f>
        <v>MATCHED</v>
      </c>
    </row>
    <row r="114" spans="1:7" x14ac:dyDescent="0.35">
      <c r="A114" t="s">
        <v>108</v>
      </c>
      <c r="B114" t="s">
        <v>22</v>
      </c>
      <c r="C114" t="s">
        <v>10</v>
      </c>
      <c r="D114">
        <v>150</v>
      </c>
      <c r="E114">
        <v>128</v>
      </c>
      <c r="G114" t="str">
        <f>IF(COUNTIFS(
    Sheet1!$B:$B, B114,
    Sheet1!$C:$C, C114,
    Sheet1!$D:$D, D114,
    Sheet1!$E:$E, E114
) = 0, "NO MATCH IN TARGET", "MATCHED")</f>
        <v>MATCHED</v>
      </c>
    </row>
    <row r="115" spans="1:7" x14ac:dyDescent="0.35">
      <c r="A115" t="s">
        <v>109</v>
      </c>
      <c r="B115" t="s">
        <v>53</v>
      </c>
      <c r="C115" t="s">
        <v>10</v>
      </c>
      <c r="D115">
        <v>5</v>
      </c>
      <c r="E115">
        <v>3938</v>
      </c>
      <c r="G115" t="str">
        <f>IF(COUNTIFS(
    Sheet1!$B:$B, B115,
    Sheet1!$C:$C, C115,
    Sheet1!$D:$D, D115,
    Sheet1!$E:$E, E115
) = 0, "NO MATCH IN TARGET", "MATCHED")</f>
        <v>MATCHED</v>
      </c>
    </row>
    <row r="116" spans="1:7" x14ac:dyDescent="0.35">
      <c r="A116" t="s">
        <v>109</v>
      </c>
      <c r="B116" t="s">
        <v>35</v>
      </c>
      <c r="C116" t="s">
        <v>10</v>
      </c>
      <c r="D116">
        <v>200</v>
      </c>
      <c r="E116">
        <v>227.5</v>
      </c>
      <c r="G116" t="str">
        <f>IF(COUNTIFS(
    Sheet1!$B:$B, B116,
    Sheet1!$C:$C, C116,
    Sheet1!$D:$D, D116,
    Sheet1!$E:$E, E116
) = 0, "NO MATCH IN TARGET", "MATCHED")</f>
        <v>MATCHED</v>
      </c>
    </row>
    <row r="117" spans="1:7" x14ac:dyDescent="0.35">
      <c r="A117" t="s">
        <v>110</v>
      </c>
      <c r="B117" t="s">
        <v>21</v>
      </c>
      <c r="C117" t="s">
        <v>10</v>
      </c>
      <c r="D117">
        <v>50</v>
      </c>
      <c r="E117">
        <v>348</v>
      </c>
      <c r="G117" t="str">
        <f>IF(COUNTIFS(
    Sheet1!$B:$B, B117,
    Sheet1!$C:$C, C117,
    Sheet1!$D:$D, D117,
    Sheet1!$E:$E, E117
) = 0, "NO MATCH IN TARGET", "MATCHED")</f>
        <v>MATCHED</v>
      </c>
    </row>
    <row r="118" spans="1:7" x14ac:dyDescent="0.35">
      <c r="A118" t="s">
        <v>109</v>
      </c>
      <c r="B118" t="s">
        <v>53</v>
      </c>
      <c r="C118" t="s">
        <v>10</v>
      </c>
      <c r="D118">
        <v>10</v>
      </c>
      <c r="E118">
        <v>3950</v>
      </c>
      <c r="G118" t="str">
        <f>IF(COUNTIFS(
    Sheet1!$B:$B, B118,
    Sheet1!$C:$C, C118,
    Sheet1!$D:$D, D118,
    Sheet1!$E:$E, E118
) = 0, "NO MATCH IN TARGET", "MATCHED")</f>
        <v>MATCHED</v>
      </c>
    </row>
    <row r="119" spans="1:7" x14ac:dyDescent="0.35">
      <c r="A119" t="s">
        <v>101</v>
      </c>
      <c r="B119" t="s">
        <v>44</v>
      </c>
      <c r="C119" t="s">
        <v>10</v>
      </c>
      <c r="D119">
        <v>3</v>
      </c>
      <c r="E119">
        <v>1302</v>
      </c>
      <c r="G119" t="str">
        <f>IF(COUNTIFS(
    Sheet1!$B:$B, B119,
    Sheet1!$C:$C, C119,
    Sheet1!$D:$D, D119,
    Sheet1!$E:$E, E119
) = 0, "NO MATCH IN TARGET", "MATCHED")</f>
        <v>MATCHED</v>
      </c>
    </row>
    <row r="120" spans="1:7" x14ac:dyDescent="0.35">
      <c r="A120" t="s">
        <v>111</v>
      </c>
      <c r="B120" t="s">
        <v>11</v>
      </c>
      <c r="C120" t="s">
        <v>10</v>
      </c>
      <c r="D120">
        <v>5</v>
      </c>
      <c r="E120">
        <v>2540</v>
      </c>
      <c r="G120" t="str">
        <f>IF(COUNTIFS(
    Sheet1!$B:$B, B120,
    Sheet1!$C:$C, C120,
    Sheet1!$D:$D, D120,
    Sheet1!$E:$E, E120
) = 0, "NO MATCH IN TARGET", "MATCHED")</f>
        <v>MATCHED</v>
      </c>
    </row>
    <row r="121" spans="1:7" x14ac:dyDescent="0.35">
      <c r="A121" t="s">
        <v>99</v>
      </c>
      <c r="B121" t="s">
        <v>33</v>
      </c>
      <c r="C121" t="s">
        <v>10</v>
      </c>
      <c r="D121">
        <v>20</v>
      </c>
      <c r="E121">
        <v>917</v>
      </c>
      <c r="G121" t="str">
        <f>IF(COUNTIFS(
    Sheet1!$B:$B, B121,
    Sheet1!$C:$C, C121,
    Sheet1!$D:$D, D121,
    Sheet1!$E:$E, E121
) = 0, "NO MATCH IN TARGET", "MATCHED")</f>
        <v>MATCHED</v>
      </c>
    </row>
    <row r="122" spans="1:7" x14ac:dyDescent="0.35">
      <c r="A122" t="s">
        <v>112</v>
      </c>
      <c r="B122" t="s">
        <v>17</v>
      </c>
      <c r="C122" t="s">
        <v>10</v>
      </c>
      <c r="D122">
        <v>40</v>
      </c>
      <c r="E122">
        <v>436</v>
      </c>
      <c r="G122" t="str">
        <f>IF(COUNTIFS(
    Sheet1!$B:$B, B122,
    Sheet1!$C:$C, C122,
    Sheet1!$D:$D, D122,
    Sheet1!$E:$E, E122
) = 0, "NO MATCH IN TARGET", "MATCHED")</f>
        <v>MATCHED</v>
      </c>
    </row>
    <row r="123" spans="1:7" x14ac:dyDescent="0.35">
      <c r="A123" t="s">
        <v>104</v>
      </c>
      <c r="B123" t="s">
        <v>45</v>
      </c>
      <c r="C123" t="s">
        <v>10</v>
      </c>
      <c r="D123">
        <v>5</v>
      </c>
      <c r="E123">
        <v>2938</v>
      </c>
      <c r="G123" t="str">
        <f>IF(COUNTIFS(
    Sheet1!$B:$B, B123,
    Sheet1!$C:$C, C123,
    Sheet1!$D:$D, D123,
    Sheet1!$E:$E, E123
) = 0, "NO MATCH IN TARGET", "MATCHED")</f>
        <v>MATCHED</v>
      </c>
    </row>
    <row r="124" spans="1:7" x14ac:dyDescent="0.35">
      <c r="A124" t="s">
        <v>104</v>
      </c>
      <c r="B124" t="s">
        <v>46</v>
      </c>
      <c r="C124" t="s">
        <v>10</v>
      </c>
      <c r="D124">
        <v>5</v>
      </c>
      <c r="E124">
        <v>1152</v>
      </c>
      <c r="G124" t="str">
        <f>IF(COUNTIFS(
    Sheet1!$B:$B, B124,
    Sheet1!$C:$C, C124,
    Sheet1!$D:$D, D124,
    Sheet1!$E:$E, E124
) = 0, "NO MATCH IN TARGET", "MATCHED")</f>
        <v>MATCHED</v>
      </c>
    </row>
    <row r="125" spans="1:7" x14ac:dyDescent="0.35">
      <c r="A125" t="s">
        <v>113</v>
      </c>
      <c r="B125" t="s">
        <v>9</v>
      </c>
      <c r="C125" t="s">
        <v>10</v>
      </c>
      <c r="D125">
        <v>5</v>
      </c>
      <c r="E125">
        <v>916</v>
      </c>
      <c r="G125" t="str">
        <f>IF(COUNTIFS(
    Sheet1!$B:$B, B125,
    Sheet1!$C:$C, C125,
    Sheet1!$D:$D, D125,
    Sheet1!$E:$E, E125
) = 0, "NO MATCH IN TARGET", "MATCHED")</f>
        <v>NO MATCH IN TARGET</v>
      </c>
    </row>
    <row r="126" spans="1:7" x14ac:dyDescent="0.35">
      <c r="A126" t="s">
        <v>107</v>
      </c>
      <c r="B126" t="s">
        <v>27</v>
      </c>
      <c r="C126" t="s">
        <v>10</v>
      </c>
      <c r="D126">
        <v>2</v>
      </c>
      <c r="E126">
        <v>1076</v>
      </c>
      <c r="G126" t="str">
        <f>IF(COUNTIFS(
    Sheet1!$B:$B, B126,
    Sheet1!$C:$C, C126,
    Sheet1!$D:$D, D126,
    Sheet1!$E:$E, E126
) = 0, "NO MATCH IN TARGET", "MATCHED")</f>
        <v>NO MATCH IN TARGET</v>
      </c>
    </row>
    <row r="127" spans="1:7" x14ac:dyDescent="0.35">
      <c r="A127" t="s">
        <v>114</v>
      </c>
      <c r="B127" t="s">
        <v>35</v>
      </c>
      <c r="C127" t="s">
        <v>10</v>
      </c>
      <c r="D127">
        <v>200</v>
      </c>
      <c r="E127">
        <v>229</v>
      </c>
      <c r="G127" t="str">
        <f>IF(COUNTIFS(
    Sheet1!$B:$B, B127,
    Sheet1!$C:$C, C127,
    Sheet1!$D:$D, D127,
    Sheet1!$E:$E, E127
) = 0, "NO MATCH IN TARGET", "MATCHED")</f>
        <v>NO MATCH IN TARGET</v>
      </c>
    </row>
    <row r="128" spans="1:7" x14ac:dyDescent="0.35">
      <c r="A128" t="s">
        <v>106</v>
      </c>
      <c r="B128" t="s">
        <v>47</v>
      </c>
      <c r="C128" t="s">
        <v>10</v>
      </c>
      <c r="D128">
        <v>5</v>
      </c>
      <c r="E128">
        <v>1188</v>
      </c>
      <c r="G128" t="str">
        <f>IF(COUNTIFS(
    Sheet1!$B:$B, B128,
    Sheet1!$C:$C, C128,
    Sheet1!$D:$D, D128,
    Sheet1!$E:$E, E128
) = 0, "NO MATCH IN TARGET", "MATCHED")</f>
        <v>MATCHED</v>
      </c>
    </row>
    <row r="129" spans="1:7" x14ac:dyDescent="0.35">
      <c r="A129" t="s">
        <v>101</v>
      </c>
      <c r="B129" t="s">
        <v>48</v>
      </c>
      <c r="C129" t="s">
        <v>10</v>
      </c>
      <c r="D129">
        <v>100</v>
      </c>
      <c r="E129">
        <v>87.3</v>
      </c>
      <c r="G129" t="str">
        <f>IF(COUNTIFS(
    Sheet1!$B:$B, B129,
    Sheet1!$C:$C, C129,
    Sheet1!$D:$D, D129,
    Sheet1!$E:$E, E129
) = 0, "NO MATCH IN TARGET", "MATCHED")</f>
        <v>MATCHED</v>
      </c>
    </row>
    <row r="130" spans="1:7" x14ac:dyDescent="0.35">
      <c r="A130" t="s">
        <v>95</v>
      </c>
      <c r="B130" t="s">
        <v>12</v>
      </c>
      <c r="C130" t="s">
        <v>10</v>
      </c>
      <c r="D130">
        <v>50</v>
      </c>
      <c r="E130">
        <v>203.5</v>
      </c>
      <c r="G130" t="str">
        <f>IF(COUNTIFS(
    Sheet1!$B:$B, B130,
    Sheet1!$C:$C, C130,
    Sheet1!$D:$D, D130,
    Sheet1!$E:$E, E130
) = 0, "NO MATCH IN TARGET", "MATCHED")</f>
        <v>NO MATCH IN TARGET</v>
      </c>
    </row>
    <row r="131" spans="1:7" x14ac:dyDescent="0.35">
      <c r="A131" t="s">
        <v>115</v>
      </c>
      <c r="B131" t="s">
        <v>11</v>
      </c>
      <c r="C131" t="s">
        <v>10</v>
      </c>
      <c r="D131">
        <v>10</v>
      </c>
      <c r="E131">
        <v>2552</v>
      </c>
      <c r="G131" t="str">
        <f>IF(COUNTIFS(
    Sheet1!$B:$B, B131,
    Sheet1!$C:$C, C131,
    Sheet1!$D:$D, D131,
    Sheet1!$E:$E, E131
) = 0, "NO MATCH IN TARGET", "MATCHED")</f>
        <v>MATCHED</v>
      </c>
    </row>
    <row r="132" spans="1:7" x14ac:dyDescent="0.35">
      <c r="A132" t="s">
        <v>106</v>
      </c>
      <c r="B132" t="s">
        <v>49</v>
      </c>
      <c r="C132" t="s">
        <v>10</v>
      </c>
      <c r="D132">
        <v>4</v>
      </c>
      <c r="E132">
        <v>1066</v>
      </c>
      <c r="G132" t="str">
        <f>IF(COUNTIFS(
    Sheet1!$B:$B, B132,
    Sheet1!$C:$C, C132,
    Sheet1!$D:$D, D132,
    Sheet1!$E:$E, E132
) = 0, "NO MATCH IN TARGET", "MATCHED")</f>
        <v>MATCHED</v>
      </c>
    </row>
    <row r="133" spans="1:7" x14ac:dyDescent="0.35">
      <c r="A133" t="s">
        <v>99</v>
      </c>
      <c r="B133" t="s">
        <v>50</v>
      </c>
      <c r="C133" t="s">
        <v>10</v>
      </c>
      <c r="D133">
        <v>2</v>
      </c>
      <c r="E133">
        <v>3410</v>
      </c>
      <c r="G133" t="str">
        <f>IF(COUNTIFS(
    Sheet1!$B:$B, B133,
    Sheet1!$C:$C, C133,
    Sheet1!$D:$D, D133,
    Sheet1!$E:$E, E133
) = 0, "NO MATCH IN TARGET", "MATCHED")</f>
        <v>MATCHED</v>
      </c>
    </row>
    <row r="134" spans="1:7" x14ac:dyDescent="0.35">
      <c r="A134" t="s">
        <v>97</v>
      </c>
      <c r="B134" t="s">
        <v>35</v>
      </c>
      <c r="C134" t="s">
        <v>10</v>
      </c>
      <c r="D134">
        <v>200</v>
      </c>
      <c r="E134">
        <v>230.5</v>
      </c>
      <c r="G134" t="str">
        <f>IF(COUNTIFS(
    Sheet1!$B:$B, B134,
    Sheet1!$C:$C, C134,
    Sheet1!$D:$D, D134,
    Sheet1!$E:$E, E134
) = 0, "NO MATCH IN TARGET", "MATCHED")</f>
        <v>NO MATCH IN TARGET</v>
      </c>
    </row>
    <row r="135" spans="1:7" x14ac:dyDescent="0.35">
      <c r="A135" t="s">
        <v>101</v>
      </c>
      <c r="B135" t="s">
        <v>32</v>
      </c>
      <c r="C135" t="s">
        <v>10</v>
      </c>
      <c r="D135">
        <v>5</v>
      </c>
      <c r="E135">
        <v>726</v>
      </c>
      <c r="G135" t="str">
        <f>IF(COUNTIFS(
    Sheet1!$B:$B, B135,
    Sheet1!$C:$C, C135,
    Sheet1!$D:$D, D135,
    Sheet1!$E:$E, E135
) = 0, "NO MATCH IN TARGET", "MATCHED")</f>
        <v>NO MATCH IN TARGET</v>
      </c>
    </row>
    <row r="136" spans="1:7" x14ac:dyDescent="0.35">
      <c r="A136" t="s">
        <v>116</v>
      </c>
      <c r="B136" t="s">
        <v>46</v>
      </c>
      <c r="C136" t="s">
        <v>10</v>
      </c>
      <c r="D136">
        <v>5</v>
      </c>
      <c r="E136">
        <v>1161</v>
      </c>
      <c r="G136" t="str">
        <f>IF(COUNTIFS(
    Sheet1!$B:$B, B136,
    Sheet1!$C:$C, C136,
    Sheet1!$D:$D, D136,
    Sheet1!$E:$E, E136
) = 0, "NO MATCH IN TARGET", "MATCHED")</f>
        <v>NO MATCH IN TARGET</v>
      </c>
    </row>
    <row r="137" spans="1:7" x14ac:dyDescent="0.35">
      <c r="A137" t="s">
        <v>113</v>
      </c>
      <c r="B137" t="s">
        <v>21</v>
      </c>
      <c r="C137" t="s">
        <v>10</v>
      </c>
      <c r="D137">
        <v>50</v>
      </c>
      <c r="E137">
        <v>352</v>
      </c>
      <c r="G137" t="str">
        <f>IF(COUNTIFS(
    Sheet1!$B:$B, B137,
    Sheet1!$C:$C, C137,
    Sheet1!$D:$D, D137,
    Sheet1!$E:$E, E137
) = 0, "NO MATCH IN TARGET", "MATCHED")</f>
        <v>NO MATCH IN TARGET</v>
      </c>
    </row>
    <row r="138" spans="1:7" x14ac:dyDescent="0.35">
      <c r="A138" t="s">
        <v>92</v>
      </c>
      <c r="B138" t="s">
        <v>23</v>
      </c>
      <c r="C138" t="s">
        <v>10</v>
      </c>
      <c r="D138">
        <v>5</v>
      </c>
      <c r="E138">
        <v>569</v>
      </c>
      <c r="G138" t="str">
        <f>IF(COUNTIFS(
    Sheet1!$B:$B, B138,
    Sheet1!$C:$C, C138,
    Sheet1!$D:$D, D138,
    Sheet1!$E:$E, E138
) = 0, "NO MATCH IN TARGET", "MATCHED")</f>
        <v>MATCHED</v>
      </c>
    </row>
    <row r="139" spans="1:7" x14ac:dyDescent="0.35">
      <c r="A139" t="s">
        <v>104</v>
      </c>
      <c r="B139" t="s">
        <v>46</v>
      </c>
      <c r="C139" t="s">
        <v>10</v>
      </c>
      <c r="D139">
        <v>5</v>
      </c>
      <c r="E139">
        <v>1162</v>
      </c>
      <c r="G139" t="str">
        <f>IF(COUNTIFS(
    Sheet1!$B:$B, B139,
    Sheet1!$C:$C, C139,
    Sheet1!$D:$D, D139,
    Sheet1!$E:$E, E139
) = 0, "NO MATCH IN TARGET", "MATCHED")</f>
        <v>MATCHED</v>
      </c>
    </row>
    <row r="140" spans="1:7" x14ac:dyDescent="0.35">
      <c r="A140" t="s">
        <v>113</v>
      </c>
      <c r="B140" t="s">
        <v>14</v>
      </c>
      <c r="C140" t="s">
        <v>10</v>
      </c>
      <c r="D140">
        <v>50</v>
      </c>
      <c r="E140">
        <v>286</v>
      </c>
      <c r="G140" t="str">
        <f>IF(COUNTIFS(
    Sheet1!$B:$B, B140,
    Sheet1!$C:$C, C140,
    Sheet1!$D:$D, D140,
    Sheet1!$E:$E, E140
) = 0, "NO MATCH IN TARGET", "MATCHED")</f>
        <v>NO MATCH IN TARGET</v>
      </c>
    </row>
    <row r="141" spans="1:7" x14ac:dyDescent="0.35">
      <c r="A141" t="s">
        <v>101</v>
      </c>
      <c r="B141" t="s">
        <v>36</v>
      </c>
      <c r="C141" t="s">
        <v>10</v>
      </c>
      <c r="D141">
        <v>2</v>
      </c>
      <c r="E141">
        <v>1060</v>
      </c>
      <c r="G141" t="str">
        <f>IF(COUNTIFS(
    Sheet1!$B:$B, B141,
    Sheet1!$C:$C, C141,
    Sheet1!$D:$D, D141,
    Sheet1!$E:$E, E141
) = 0, "NO MATCH IN TARGET", "MATCHED")</f>
        <v>NO MATCH IN TARGET</v>
      </c>
    </row>
    <row r="142" spans="1:7" x14ac:dyDescent="0.35">
      <c r="A142" t="s">
        <v>100</v>
      </c>
      <c r="B142" t="s">
        <v>11</v>
      </c>
      <c r="C142" t="s">
        <v>7</v>
      </c>
      <c r="D142">
        <v>10</v>
      </c>
      <c r="E142">
        <v>2636</v>
      </c>
      <c r="G142" t="str">
        <f>IF(COUNTIFS(
    Sheet1!$B:$B, B142,
    Sheet1!$C:$C, C142,
    Sheet1!$D:$D, D142,
    Sheet1!$E:$E, E142
) = 0, "NO MATCH IN TARGET", "MATCHED")</f>
        <v>MATCHED</v>
      </c>
    </row>
    <row r="143" spans="1:7" x14ac:dyDescent="0.35">
      <c r="A143" t="s">
        <v>101</v>
      </c>
      <c r="B143" t="s">
        <v>29</v>
      </c>
      <c r="C143" t="s">
        <v>7</v>
      </c>
      <c r="D143">
        <v>10</v>
      </c>
      <c r="E143">
        <v>1548</v>
      </c>
      <c r="G143" t="str">
        <f>IF(COUNTIFS(
    Sheet1!$B:$B, B143,
    Sheet1!$C:$C, C143,
    Sheet1!$D:$D, D143,
    Sheet1!$E:$E, E143
) = 0, "NO MATCH IN TARGET", "MATCHED")</f>
        <v>MATCHED</v>
      </c>
    </row>
    <row r="144" spans="1:7" x14ac:dyDescent="0.35">
      <c r="A144" t="s">
        <v>117</v>
      </c>
      <c r="B144" t="s">
        <v>39</v>
      </c>
      <c r="C144" t="s">
        <v>7</v>
      </c>
      <c r="D144">
        <v>20</v>
      </c>
      <c r="E144">
        <v>896</v>
      </c>
      <c r="G144" t="str">
        <f>IF(COUNTIFS(
    Sheet1!$B:$B, B144,
    Sheet1!$C:$C, C144,
    Sheet1!$D:$D, D144,
    Sheet1!$E:$E, E144
) = 0, "NO MATCH IN TARGET", "MATCHED")</f>
        <v>MATCHED</v>
      </c>
    </row>
    <row r="145" spans="1:7" x14ac:dyDescent="0.35">
      <c r="A145" t="s">
        <v>97</v>
      </c>
      <c r="B145" t="s">
        <v>35</v>
      </c>
      <c r="C145" t="s">
        <v>7</v>
      </c>
      <c r="D145">
        <v>100</v>
      </c>
      <c r="E145">
        <v>238.2</v>
      </c>
      <c r="G145" t="str">
        <f>IF(COUNTIFS(
    Sheet1!$B:$B, B145,
    Sheet1!$C:$C, C145,
    Sheet1!$D:$D, D145,
    Sheet1!$E:$E, E145
) = 0, "NO MATCH IN TARGET", "MATCHED")</f>
        <v>MATCHED</v>
      </c>
    </row>
    <row r="146" spans="1:7" x14ac:dyDescent="0.35">
      <c r="A146" t="s">
        <v>117</v>
      </c>
      <c r="B146" t="s">
        <v>40</v>
      </c>
      <c r="C146" t="s">
        <v>7</v>
      </c>
      <c r="D146">
        <v>10</v>
      </c>
      <c r="E146">
        <v>1320</v>
      </c>
      <c r="G146" t="str">
        <f>IF(COUNTIFS(
    Sheet1!$B:$B, B146,
    Sheet1!$C:$C, C146,
    Sheet1!$D:$D, D146,
    Sheet1!$E:$E, E146
) = 0, "NO MATCH IN TARGET", "MATCHED")</f>
        <v>MATCHED</v>
      </c>
    </row>
    <row r="147" spans="1:7" x14ac:dyDescent="0.35">
      <c r="A147" t="s">
        <v>87</v>
      </c>
      <c r="B147" t="s">
        <v>11</v>
      </c>
      <c r="C147" t="s">
        <v>7</v>
      </c>
      <c r="D147">
        <v>10</v>
      </c>
      <c r="E147">
        <v>2648</v>
      </c>
      <c r="G147" t="str">
        <f>IF(COUNTIFS(
    Sheet1!$B:$B, B147,
    Sheet1!$C:$C, C147,
    Sheet1!$D:$D, D147,
    Sheet1!$E:$E, E147
) = 0, "NO MATCH IN TARGET", "MATCHED")</f>
        <v>MATCHED</v>
      </c>
    </row>
    <row r="148" spans="1:7" x14ac:dyDescent="0.35">
      <c r="A148" t="s">
        <v>99</v>
      </c>
      <c r="B148" t="s">
        <v>53</v>
      </c>
      <c r="C148" t="s">
        <v>7</v>
      </c>
      <c r="D148">
        <v>5</v>
      </c>
      <c r="E148">
        <v>4129</v>
      </c>
      <c r="G148" t="str">
        <f>IF(COUNTIFS(
    Sheet1!$B:$B, B148,
    Sheet1!$C:$C, C148,
    Sheet1!$D:$D, D148,
    Sheet1!$E:$E, E148
) = 0, "NO MATCH IN TARGET", "MATCHED")</f>
        <v>MATCHED</v>
      </c>
    </row>
    <row r="149" spans="1:7" x14ac:dyDescent="0.35">
      <c r="A149" t="s">
        <v>99</v>
      </c>
      <c r="B149" t="s">
        <v>33</v>
      </c>
      <c r="C149" t="s">
        <v>7</v>
      </c>
      <c r="D149">
        <v>10</v>
      </c>
      <c r="E149">
        <v>957</v>
      </c>
      <c r="G149" t="str">
        <f>IF(COUNTIFS(
    Sheet1!$B:$B, B149,
    Sheet1!$C:$C, C149,
    Sheet1!$D:$D, D149,
    Sheet1!$E:$E, E149
) = 0, "NO MATCH IN TARGET", "MATCHED")</f>
        <v>MATCHED</v>
      </c>
    </row>
    <row r="150" spans="1:7" x14ac:dyDescent="0.35">
      <c r="A150" t="s">
        <v>101</v>
      </c>
      <c r="B150" t="s">
        <v>48</v>
      </c>
      <c r="C150" t="s">
        <v>7</v>
      </c>
      <c r="D150">
        <v>200</v>
      </c>
      <c r="E150">
        <v>90.75</v>
      </c>
      <c r="G150" t="str">
        <f>IF(COUNTIFS(
    Sheet1!$B:$B, B150,
    Sheet1!$C:$C, C150,
    Sheet1!$D:$D, D150,
    Sheet1!$E:$E, E150
) = 0, "NO MATCH IN TARGET", "MATCHED")</f>
        <v>MATCHED</v>
      </c>
    </row>
    <row r="151" spans="1:7" x14ac:dyDescent="0.35">
      <c r="A151" t="s">
        <v>97</v>
      </c>
      <c r="B151" t="s">
        <v>35</v>
      </c>
      <c r="C151" t="s">
        <v>7</v>
      </c>
      <c r="D151">
        <v>200</v>
      </c>
      <c r="E151">
        <v>239</v>
      </c>
      <c r="G151" t="str">
        <f>IF(COUNTIFS(
    Sheet1!$B:$B, B151,
    Sheet1!$C:$C, C151,
    Sheet1!$D:$D, D151,
    Sheet1!$E:$E, E151
) = 0, "NO MATCH IN TARGET", "MATCHED")</f>
        <v>MATCHED</v>
      </c>
    </row>
    <row r="152" spans="1:7" x14ac:dyDescent="0.35">
      <c r="A152" t="s">
        <v>69</v>
      </c>
      <c r="B152" t="s">
        <v>21</v>
      </c>
      <c r="C152" t="s">
        <v>7</v>
      </c>
      <c r="D152">
        <v>50</v>
      </c>
      <c r="E152">
        <v>365</v>
      </c>
      <c r="G152" t="str">
        <f>IF(COUNTIFS(
    Sheet1!$B:$B, B152,
    Sheet1!$C:$C, C152,
    Sheet1!$D:$D, D152,
    Sheet1!$E:$E, E152
) = 0, "NO MATCH IN TARGET", "MATCHED")</f>
        <v>MATCHED</v>
      </c>
    </row>
    <row r="153" spans="1:7" x14ac:dyDescent="0.35">
      <c r="A153" s="1">
        <v>46237.768750000003</v>
      </c>
      <c r="B153" s="2" t="s">
        <v>22</v>
      </c>
      <c r="C153" s="2" t="s">
        <v>7</v>
      </c>
      <c r="D153" s="3">
        <v>150</v>
      </c>
      <c r="E153" s="4">
        <v>134.80000000000001</v>
      </c>
      <c r="G153" t="str">
        <f>IF(COUNTIFS(
    Sheet1!$B:$B, B153,
    Sheet1!$C:$C, C153,
    Sheet1!$D:$D, D153,
    Sheet1!$E:$E, E153
) = 0, "NO MATCH IN TARGET", "MATCHED")</f>
        <v>MATCHED</v>
      </c>
    </row>
    <row r="154" spans="1:7" x14ac:dyDescent="0.35">
      <c r="A154" t="s">
        <v>79</v>
      </c>
      <c r="B154" t="s">
        <v>42</v>
      </c>
      <c r="C154" t="s">
        <v>7</v>
      </c>
      <c r="D154">
        <v>1</v>
      </c>
      <c r="E154">
        <v>19198</v>
      </c>
      <c r="G154" t="str">
        <f>IF(COUNTIFS(
    Sheet1!$B:$B, B154,
    Sheet1!$C:$C, C154,
    Sheet1!$D:$D, D154,
    Sheet1!$E:$E, E154
) = 0, "NO MATCH IN TARGET", "MATCHED")</f>
        <v>MATCHED</v>
      </c>
    </row>
    <row r="155" spans="1:7" x14ac:dyDescent="0.35">
      <c r="A155" t="s">
        <v>118</v>
      </c>
      <c r="B155" t="s">
        <v>55</v>
      </c>
      <c r="C155" t="s">
        <v>7</v>
      </c>
      <c r="D155">
        <v>150</v>
      </c>
      <c r="E155">
        <v>123.4</v>
      </c>
      <c r="G155" t="str">
        <f>IF(COUNTIFS(
    Sheet1!$B:$B, B155,
    Sheet1!$C:$C, C155,
    Sheet1!$D:$D, D155,
    Sheet1!$E:$E, E155
) = 0, "NO MATCH IN TARGET", "MATCHED")</f>
        <v>MATCHED</v>
      </c>
    </row>
    <row r="156" spans="1:7" x14ac:dyDescent="0.35">
      <c r="A156" t="s">
        <v>92</v>
      </c>
      <c r="B156" t="s">
        <v>11</v>
      </c>
      <c r="C156" t="s">
        <v>7</v>
      </c>
      <c r="D156">
        <v>10</v>
      </c>
      <c r="E156">
        <v>2672</v>
      </c>
      <c r="G156" t="str">
        <f>IF(COUNTIFS(
    Sheet1!$B:$B, B156,
    Sheet1!$C:$C, C156,
    Sheet1!$D:$D, D156,
    Sheet1!$E:$E, E156
) = 0, "NO MATCH IN TARGET", "MATCHED")</f>
        <v>MATCHED</v>
      </c>
    </row>
    <row r="157" spans="1:7" x14ac:dyDescent="0.35">
      <c r="A157" t="s">
        <v>97</v>
      </c>
      <c r="B157" t="s">
        <v>54</v>
      </c>
      <c r="C157" t="s">
        <v>7</v>
      </c>
      <c r="D157">
        <v>5</v>
      </c>
      <c r="E157">
        <v>3980</v>
      </c>
      <c r="G157" t="str">
        <f>IF(COUNTIFS(
    Sheet1!$B:$B, B157,
    Sheet1!$C:$C, C157,
    Sheet1!$D:$D, D157,
    Sheet1!$E:$E, E157
) = 0, "NO MATCH IN TARGET", "MATCHED")</f>
        <v>MATCHED</v>
      </c>
    </row>
    <row r="158" spans="1:7" x14ac:dyDescent="0.35">
      <c r="A158" t="s">
        <v>119</v>
      </c>
      <c r="B158" t="s">
        <v>48</v>
      </c>
      <c r="C158" t="s">
        <v>7</v>
      </c>
      <c r="D158">
        <v>200</v>
      </c>
      <c r="E158">
        <v>91.75</v>
      </c>
      <c r="G158" t="str">
        <f>IF(COUNTIFS(
    Sheet1!$B:$B, B158,
    Sheet1!$C:$C, C158,
    Sheet1!$D:$D, D158,
    Sheet1!$E:$E, E158
) = 0, "NO MATCH IN TARGET", "MATCHED")</f>
        <v>MATCHED</v>
      </c>
    </row>
    <row r="159" spans="1:7" x14ac:dyDescent="0.35">
      <c r="A159" t="s">
        <v>79</v>
      </c>
      <c r="B159" t="s">
        <v>53</v>
      </c>
      <c r="C159" t="s">
        <v>7</v>
      </c>
      <c r="D159">
        <v>5</v>
      </c>
      <c r="E159">
        <v>4177</v>
      </c>
      <c r="G159" t="str">
        <f>IF(COUNTIFS(
    Sheet1!$B:$B, B159,
    Sheet1!$C:$C, C159,
    Sheet1!$D:$D, D159,
    Sheet1!$E:$E, E159
) = 0, "NO MATCH IN TARGET", "MATCHED")</f>
        <v>MATCHED</v>
      </c>
    </row>
    <row r="160" spans="1:7" x14ac:dyDescent="0.35">
      <c r="A160" t="s">
        <v>87</v>
      </c>
      <c r="B160" t="s">
        <v>12</v>
      </c>
      <c r="C160" t="s">
        <v>7</v>
      </c>
      <c r="D160">
        <v>50</v>
      </c>
      <c r="E160">
        <v>214</v>
      </c>
      <c r="G160" t="str">
        <f>IF(COUNTIFS(
    Sheet1!$B:$B, B160,
    Sheet1!$C:$C, C160,
    Sheet1!$D:$D, D160,
    Sheet1!$E:$E, E160
) = 0, "NO MATCH IN TARGET", "MATCHED")</f>
        <v>MATCHED</v>
      </c>
    </row>
    <row r="161" spans="1:7" x14ac:dyDescent="0.35">
      <c r="A161" t="s">
        <v>120</v>
      </c>
      <c r="B161" t="s">
        <v>26</v>
      </c>
      <c r="C161" t="s">
        <v>7</v>
      </c>
      <c r="D161">
        <v>30</v>
      </c>
      <c r="E161">
        <v>940</v>
      </c>
      <c r="G161" t="str">
        <f>IF(COUNTIFS(
    Sheet1!$B:$B, B161,
    Sheet1!$C:$C, C161,
    Sheet1!$D:$D, D161,
    Sheet1!$E:$E, E161
) = 0, "NO MATCH IN TARGET", "MATCHED")</f>
        <v>MATCHED</v>
      </c>
    </row>
    <row r="162" spans="1:7" x14ac:dyDescent="0.35">
      <c r="A162" t="s">
        <v>120</v>
      </c>
      <c r="B162" t="s">
        <v>22</v>
      </c>
      <c r="C162" t="s">
        <v>7</v>
      </c>
      <c r="D162">
        <v>150</v>
      </c>
      <c r="E162">
        <v>136</v>
      </c>
      <c r="G162" t="str">
        <f>IF(COUNTIFS(
    Sheet1!$B:$B, B162,
    Sheet1!$C:$C, C162,
    Sheet1!$D:$D, D162,
    Sheet1!$E:$E, E162
) = 0, "NO MATCH IN TARGET", "MATCHED")</f>
        <v>MATCHED</v>
      </c>
    </row>
    <row r="163" spans="1:7" x14ac:dyDescent="0.35">
      <c r="A163" t="s">
        <v>87</v>
      </c>
      <c r="B163" t="s">
        <v>21</v>
      </c>
      <c r="C163" t="s">
        <v>7</v>
      </c>
      <c r="D163">
        <v>67</v>
      </c>
      <c r="E163">
        <v>369</v>
      </c>
      <c r="G163" t="str">
        <f>IF(COUNTIFS(
    Sheet1!$B:$B, B163,
    Sheet1!$C:$C, C163,
    Sheet1!$D:$D, D163,
    Sheet1!$E:$E, E163
) = 0, "NO MATCH IN TARGET", "MATCHED")</f>
        <v>MATCHED</v>
      </c>
    </row>
    <row r="164" spans="1:7" x14ac:dyDescent="0.35">
      <c r="A164" t="s">
        <v>90</v>
      </c>
      <c r="B164" t="s">
        <v>46</v>
      </c>
      <c r="C164" t="s">
        <v>7</v>
      </c>
      <c r="D164">
        <v>10</v>
      </c>
      <c r="E164">
        <v>1221</v>
      </c>
      <c r="G164" t="str">
        <f>IF(COUNTIFS(
    Sheet1!$B:$B, B164,
    Sheet1!$C:$C, C164,
    Sheet1!$D:$D, D164,
    Sheet1!$E:$E, E164
) = 0, "NO MATCH IN TARGET", "MATCHED")</f>
        <v>MATCHED</v>
      </c>
    </row>
    <row r="165" spans="1:7" x14ac:dyDescent="0.35">
      <c r="A165" t="s">
        <v>113</v>
      </c>
      <c r="B165" t="s">
        <v>14</v>
      </c>
      <c r="C165" t="s">
        <v>7</v>
      </c>
      <c r="D165">
        <v>120</v>
      </c>
      <c r="E165">
        <v>300.5</v>
      </c>
      <c r="G165" t="str">
        <f>IF(COUNTIFS(
    Sheet1!$B:$B, B165,
    Sheet1!$C:$C, C165,
    Sheet1!$D:$D, D165,
    Sheet1!$E:$E, E165
) = 0, "NO MATCH IN TARGET", "MATCHED")</f>
        <v>MATCHED</v>
      </c>
    </row>
    <row r="166" spans="1:7" x14ac:dyDescent="0.35">
      <c r="A166" t="s">
        <v>81</v>
      </c>
      <c r="B166" t="s">
        <v>11</v>
      </c>
      <c r="C166" t="s">
        <v>7</v>
      </c>
      <c r="D166">
        <v>10</v>
      </c>
      <c r="E166">
        <v>2696</v>
      </c>
      <c r="G166" t="str">
        <f>IF(COUNTIFS(
    Sheet1!$B:$B, B166,
    Sheet1!$C:$C, C166,
    Sheet1!$D:$D, D166,
    Sheet1!$E:$E, E166
) = 0, "NO MATCH IN TARGET", "MATCHED")</f>
        <v>MATCHED</v>
      </c>
    </row>
    <row r="167" spans="1:7" x14ac:dyDescent="0.35">
      <c r="A167" t="s">
        <v>83</v>
      </c>
      <c r="B167" t="s">
        <v>40</v>
      </c>
      <c r="C167" t="s">
        <v>7</v>
      </c>
      <c r="D167">
        <v>10</v>
      </c>
      <c r="E167">
        <v>1348</v>
      </c>
      <c r="G167" t="str">
        <f>IF(COUNTIFS(
    Sheet1!$B:$B, B167,
    Sheet1!$C:$C, C167,
    Sheet1!$D:$D, D167,
    Sheet1!$E:$E, E167
) = 0, "NO MATCH IN TARGET", "MATCHED")</f>
        <v>MATCHED</v>
      </c>
    </row>
    <row r="168" spans="1:7" x14ac:dyDescent="0.35">
      <c r="A168" t="s">
        <v>121</v>
      </c>
      <c r="B168" t="s">
        <v>55</v>
      </c>
      <c r="C168" t="s">
        <v>7</v>
      </c>
      <c r="D168">
        <v>150</v>
      </c>
      <c r="E168">
        <v>124.9</v>
      </c>
      <c r="G168" t="str">
        <f>IF(COUNTIFS(
    Sheet1!$B:$B, B168,
    Sheet1!$C:$C, C168,
    Sheet1!$D:$D, D168,
    Sheet1!$E:$E, E168
) = 0, "NO MATCH IN TARGET", "MATCHED")</f>
        <v>MATCHED</v>
      </c>
    </row>
    <row r="169" spans="1:7" x14ac:dyDescent="0.35">
      <c r="A169" t="s">
        <v>122</v>
      </c>
      <c r="B169" t="s">
        <v>6</v>
      </c>
      <c r="C169" t="s">
        <v>7</v>
      </c>
      <c r="D169">
        <v>50</v>
      </c>
      <c r="E169">
        <v>317</v>
      </c>
      <c r="G169" t="str">
        <f>IF(COUNTIFS(
    Sheet1!$B:$B, B169,
    Sheet1!$C:$C, C169,
    Sheet1!$D:$D, D169,
    Sheet1!$E:$E, E169
) = 0, "NO MATCH IN TARGET", "MATCHED")</f>
        <v>MATCHED</v>
      </c>
    </row>
    <row r="170" spans="1:7" x14ac:dyDescent="0.35">
      <c r="A170" t="s">
        <v>123</v>
      </c>
      <c r="B170" t="s">
        <v>26</v>
      </c>
      <c r="C170" t="s">
        <v>7</v>
      </c>
      <c r="D170">
        <v>30</v>
      </c>
      <c r="E170">
        <v>948</v>
      </c>
      <c r="G170" t="str">
        <f>IF(COUNTIFS(
    Sheet1!$B:$B, B170,
    Sheet1!$C:$C, C170,
    Sheet1!$D:$D, D170,
    Sheet1!$E:$E, E170
) = 0, "NO MATCH IN TARGET", "MATCHED")</f>
        <v>NO MATCH IN TARGET</v>
      </c>
    </row>
    <row r="171" spans="1:7" x14ac:dyDescent="0.35">
      <c r="A171" t="s">
        <v>97</v>
      </c>
      <c r="B171" t="s">
        <v>33</v>
      </c>
      <c r="C171" t="s">
        <v>7</v>
      </c>
      <c r="D171">
        <v>10</v>
      </c>
      <c r="E171">
        <v>977</v>
      </c>
      <c r="G171" t="str">
        <f>IF(COUNTIFS(
    Sheet1!$B:$B, B171,
    Sheet1!$C:$C, C171,
    Sheet1!$D:$D, D171,
    Sheet1!$E:$E, E171
) = 0, "NO MATCH IN TARGET", "MATCHED")</f>
        <v>MATCHED</v>
      </c>
    </row>
    <row r="172" spans="1:7" x14ac:dyDescent="0.35">
      <c r="A172" t="s">
        <v>124</v>
      </c>
      <c r="B172" t="s">
        <v>25</v>
      </c>
      <c r="C172" t="s">
        <v>7</v>
      </c>
      <c r="D172">
        <v>25</v>
      </c>
      <c r="E172">
        <v>210</v>
      </c>
      <c r="G172" t="str">
        <f>IF(COUNTIFS(
    Sheet1!$B:$B, B172,
    Sheet1!$C:$C, C172,
    Sheet1!$D:$D, D172,
    Sheet1!$E:$E, E172
) = 0, "NO MATCH IN TARGET", "MATCHED")</f>
        <v>MATCHED</v>
      </c>
    </row>
    <row r="173" spans="1:7" x14ac:dyDescent="0.35">
      <c r="A173" t="s">
        <v>119</v>
      </c>
      <c r="B173" t="s">
        <v>48</v>
      </c>
      <c r="C173" t="s">
        <v>7</v>
      </c>
      <c r="D173">
        <v>200</v>
      </c>
      <c r="E173">
        <v>92.75</v>
      </c>
      <c r="G173" t="str">
        <f>IF(COUNTIFS(
    Sheet1!$B:$B, B173,
    Sheet1!$C:$C, C173,
    Sheet1!$D:$D, D173,
    Sheet1!$E:$E, E173
) = 0, "NO MATCH IN TARGET", "MATCHED")</f>
        <v>MATCHED</v>
      </c>
    </row>
    <row r="174" spans="1:7" x14ac:dyDescent="0.35">
      <c r="A174" t="s">
        <v>97</v>
      </c>
      <c r="B174" t="s">
        <v>35</v>
      </c>
      <c r="C174" t="s">
        <v>7</v>
      </c>
      <c r="D174">
        <v>200</v>
      </c>
      <c r="E174">
        <v>244</v>
      </c>
      <c r="G174" t="str">
        <f>IF(COUNTIFS(
    Sheet1!$B:$B, B174,
    Sheet1!$C:$C, C174,
    Sheet1!$D:$D, D174,
    Sheet1!$E:$E, E174
) = 0, "NO MATCH IN TARGET", "MATCHED")</f>
        <v>MATCHED</v>
      </c>
    </row>
    <row r="175" spans="1:7" x14ac:dyDescent="0.35">
      <c r="A175" t="s">
        <v>85</v>
      </c>
      <c r="B175" t="s">
        <v>21</v>
      </c>
      <c r="C175" t="s">
        <v>7</v>
      </c>
      <c r="D175">
        <v>67</v>
      </c>
      <c r="E175">
        <v>373</v>
      </c>
      <c r="G175" t="str">
        <f>IF(COUNTIFS(
    Sheet1!$B:$B, B175,
    Sheet1!$C:$C, C175,
    Sheet1!$D:$D, D175,
    Sheet1!$E:$E, E175
) = 0, "NO MATCH IN TARGET", "MATCHED")</f>
        <v>MATCHED</v>
      </c>
    </row>
    <row r="176" spans="1:7" x14ac:dyDescent="0.35">
      <c r="A176" t="s">
        <v>81</v>
      </c>
      <c r="B176" t="s">
        <v>11</v>
      </c>
      <c r="C176" t="s">
        <v>7</v>
      </c>
      <c r="D176">
        <v>10</v>
      </c>
      <c r="E176">
        <v>2720</v>
      </c>
      <c r="G176" t="str">
        <f>IF(COUNTIFS(
    Sheet1!$B:$B, B176,
    Sheet1!$C:$C, C176,
    Sheet1!$D:$D, D176,
    Sheet1!$E:$E, E176
) = 0, "NO MATCH IN TARGET", "MATCHED")</f>
        <v>MATCHED</v>
      </c>
    </row>
    <row r="177" spans="1:7" x14ac:dyDescent="0.35">
      <c r="A177" t="s">
        <v>125</v>
      </c>
      <c r="B177" t="s">
        <v>54</v>
      </c>
      <c r="C177" t="s">
        <v>7</v>
      </c>
      <c r="D177">
        <v>5</v>
      </c>
      <c r="E177">
        <v>4040</v>
      </c>
      <c r="G177" t="str">
        <f>IF(COUNTIFS(
    Sheet1!$B:$B, B177,
    Sheet1!$C:$C, C177,
    Sheet1!$D:$D, D177,
    Sheet1!$E:$E, E177
) = 0, "NO MATCH IN TARGET", "MATCHED")</f>
        <v>MATCHED</v>
      </c>
    </row>
    <row r="178" spans="1:7" x14ac:dyDescent="0.35">
      <c r="A178" t="s">
        <v>126</v>
      </c>
      <c r="B178" t="s">
        <v>17</v>
      </c>
      <c r="C178" t="s">
        <v>7</v>
      </c>
      <c r="D178">
        <v>5</v>
      </c>
      <c r="E178">
        <v>467.25</v>
      </c>
      <c r="G178" t="str">
        <f>IF(COUNTIFS(
    Sheet1!$B:$B, B178,
    Sheet1!$C:$C, C178,
    Sheet1!$D:$D, D178,
    Sheet1!$E:$E, E178
) = 0, "NO MATCH IN TARGET", "MATCHED")</f>
        <v>MATCHED</v>
      </c>
    </row>
    <row r="179" spans="1:7" x14ac:dyDescent="0.35">
      <c r="A179" t="s">
        <v>78</v>
      </c>
      <c r="B179" t="s">
        <v>50</v>
      </c>
      <c r="C179" t="s">
        <v>7</v>
      </c>
      <c r="D179">
        <v>5</v>
      </c>
      <c r="E179">
        <v>3633</v>
      </c>
      <c r="G179" t="str">
        <f>IF(COUNTIFS(
    Sheet1!$B:$B, B179,
    Sheet1!$C:$C, C179,
    Sheet1!$D:$D, D179,
    Sheet1!$E:$E, E179
) = 0, "NO MATCH IN TARGET", "MATCHED")</f>
        <v>MATCHED</v>
      </c>
    </row>
    <row r="180" spans="1:7" x14ac:dyDescent="0.35">
      <c r="A180" t="s">
        <v>78</v>
      </c>
      <c r="B180" t="s">
        <v>34</v>
      </c>
      <c r="C180" t="s">
        <v>7</v>
      </c>
      <c r="D180">
        <v>20</v>
      </c>
      <c r="E180">
        <v>825</v>
      </c>
      <c r="G180" t="str">
        <f>IF(COUNTIFS(
    Sheet1!$B:$B, B180,
    Sheet1!$C:$C, C180,
    Sheet1!$D:$D, D180,
    Sheet1!$E:$E, E180
) = 0, "NO MATCH IN TARGET", "MATCHED")</f>
        <v>MATCHED</v>
      </c>
    </row>
    <row r="181" spans="1:7" x14ac:dyDescent="0.35">
      <c r="A181" t="s">
        <v>78</v>
      </c>
      <c r="B181" t="s">
        <v>55</v>
      </c>
      <c r="C181" t="s">
        <v>7</v>
      </c>
      <c r="D181">
        <v>150</v>
      </c>
      <c r="E181">
        <v>125.9</v>
      </c>
      <c r="G181" t="str">
        <f>IF(COUNTIFS(
    Sheet1!$B:$B, B181,
    Sheet1!$C:$C, C181,
    Sheet1!$D:$D, D181,
    Sheet1!$E:$E, E181
) = 0, "NO MATCH IN TARGET", "MATCHED")</f>
        <v>MATCHED</v>
      </c>
    </row>
    <row r="182" spans="1:7" x14ac:dyDescent="0.35">
      <c r="A182" t="s">
        <v>75</v>
      </c>
      <c r="B182" t="s">
        <v>40</v>
      </c>
      <c r="C182" t="s">
        <v>7</v>
      </c>
      <c r="D182">
        <v>10</v>
      </c>
      <c r="E182">
        <v>1360</v>
      </c>
      <c r="G182" t="str">
        <f>IF(COUNTIFS(
    Sheet1!$B:$B, B182,
    Sheet1!$C:$C, C182,
    Sheet1!$D:$D, D182,
    Sheet1!$E:$E, E182
) = 0, "NO MATCH IN TARGET", "MATCHED")</f>
        <v>MATCHED</v>
      </c>
    </row>
    <row r="183" spans="1:7" x14ac:dyDescent="0.35">
      <c r="A183" t="s">
        <v>79</v>
      </c>
      <c r="B183" t="s">
        <v>52</v>
      </c>
      <c r="C183" t="s">
        <v>7</v>
      </c>
      <c r="D183">
        <v>2</v>
      </c>
      <c r="E183">
        <v>2690</v>
      </c>
      <c r="G183" t="str">
        <f>IF(COUNTIFS(
    Sheet1!$B:$B, B183,
    Sheet1!$C:$C, C183,
    Sheet1!$D:$D, D183,
    Sheet1!$E:$E, E183
) = 0, "NO MATCH IN TARGET", "MATCHED")</f>
        <v>MATCHED</v>
      </c>
    </row>
    <row r="184" spans="1:7" x14ac:dyDescent="0.35">
      <c r="A184" t="s">
        <v>127</v>
      </c>
      <c r="B184" t="s">
        <v>6</v>
      </c>
      <c r="C184" t="s">
        <v>7</v>
      </c>
      <c r="D184">
        <v>40</v>
      </c>
      <c r="E184">
        <v>320.5</v>
      </c>
      <c r="G184" t="str">
        <f>IF(COUNTIFS(
    Sheet1!$B:$B, B184,
    Sheet1!$C:$C, C184,
    Sheet1!$D:$D, D184,
    Sheet1!$E:$E, E184
) = 0, "NO MATCH IN TARGET", "MATCHED")</f>
        <v>MATCHED</v>
      </c>
    </row>
    <row r="185" spans="1:7" x14ac:dyDescent="0.35">
      <c r="A185" t="s">
        <v>83</v>
      </c>
      <c r="B185" t="s">
        <v>43</v>
      </c>
      <c r="C185" t="s">
        <v>7</v>
      </c>
      <c r="D185">
        <v>20</v>
      </c>
      <c r="E185">
        <v>424</v>
      </c>
      <c r="G185" t="str">
        <f>IF(COUNTIFS(
    Sheet1!$B:$B, B185,
    Sheet1!$C:$C, C185,
    Sheet1!$D:$D, D185,
    Sheet1!$E:$E, E185
) = 0, "NO MATCH IN TARGET", "MATCHED")</f>
        <v>MATCHED</v>
      </c>
    </row>
    <row r="186" spans="1:7" x14ac:dyDescent="0.35">
      <c r="A186" t="s">
        <v>113</v>
      </c>
      <c r="B186" t="s">
        <v>12</v>
      </c>
      <c r="C186" t="s">
        <v>7</v>
      </c>
      <c r="D186">
        <v>65</v>
      </c>
      <c r="E186">
        <v>219</v>
      </c>
      <c r="G186" t="str">
        <f>IF(COUNTIFS(
    Sheet1!$B:$B, B186,
    Sheet1!$C:$C, C186,
    Sheet1!$D:$D, D186,
    Sheet1!$E:$E, E186
) = 0, "NO MATCH IN TARGET", "MATCHED")</f>
        <v>MATCHED</v>
      </c>
    </row>
    <row r="187" spans="1:7" x14ac:dyDescent="0.35">
      <c r="A187" t="s">
        <v>83</v>
      </c>
      <c r="B187" t="s">
        <v>52</v>
      </c>
      <c r="C187" t="s">
        <v>7</v>
      </c>
      <c r="D187">
        <v>3</v>
      </c>
      <c r="E187">
        <v>2710</v>
      </c>
      <c r="G187" t="str">
        <f>IF(COUNTIFS(
    Sheet1!$B:$B, B187,
    Sheet1!$C:$C, C187,
    Sheet1!$D:$D, D187,
    Sheet1!$E:$E, E187
) = 0, "NO MATCH IN TARGET", "MATCHED")</f>
        <v>MATCHED</v>
      </c>
    </row>
    <row r="188" spans="1:7" x14ac:dyDescent="0.35">
      <c r="A188" s="1">
        <v>46237.768750000003</v>
      </c>
      <c r="B188" s="2" t="s">
        <v>25</v>
      </c>
      <c r="C188" s="2" t="s">
        <v>7</v>
      </c>
      <c r="D188" s="3">
        <v>25</v>
      </c>
      <c r="E188" s="4">
        <v>214</v>
      </c>
      <c r="G188" t="str">
        <f>IF(COUNTIFS(
    Sheet1!$B:$B, B188,
    Sheet1!$C:$C, C188,
    Sheet1!$D:$D, D188,
    Sheet1!$E:$E, E188
) = 0, "NO MATCH IN TARGET", "MATCHED")</f>
        <v>MATCHED</v>
      </c>
    </row>
    <row r="189" spans="1:7" x14ac:dyDescent="0.35">
      <c r="A189" t="s">
        <v>97</v>
      </c>
      <c r="B189" t="s">
        <v>33</v>
      </c>
      <c r="C189" t="s">
        <v>7</v>
      </c>
      <c r="D189">
        <v>10</v>
      </c>
      <c r="E189">
        <v>997</v>
      </c>
      <c r="G189" t="str">
        <f>IF(COUNTIFS(
    Sheet1!$B:$B, B189,
    Sheet1!$C:$C, C189,
    Sheet1!$D:$D, D189,
    Sheet1!$E:$E, E189
) = 0, "NO MATCH IN TARGET", "MATCHED")</f>
        <v>MATCHED</v>
      </c>
    </row>
    <row r="190" spans="1:7" x14ac:dyDescent="0.35">
      <c r="A190" t="s">
        <v>79</v>
      </c>
      <c r="B190" t="s">
        <v>27</v>
      </c>
      <c r="C190" t="s">
        <v>7</v>
      </c>
      <c r="D190">
        <v>9</v>
      </c>
      <c r="E190">
        <v>1170</v>
      </c>
      <c r="G190" t="str">
        <f>IF(COUNTIFS(
    Sheet1!$B:$B, B190,
    Sheet1!$C:$C, C190,
    Sheet1!$D:$D, D190,
    Sheet1!$E:$E, E190
) = 0, "NO MATCH IN TARGET", "MATCHED")</f>
        <v>NO MATCH IN TARGET</v>
      </c>
    </row>
    <row r="191" spans="1:7" x14ac:dyDescent="0.35">
      <c r="A191" t="s">
        <v>97</v>
      </c>
      <c r="B191" t="s">
        <v>35</v>
      </c>
      <c r="C191" t="s">
        <v>7</v>
      </c>
      <c r="D191">
        <v>200</v>
      </c>
      <c r="E191">
        <v>249</v>
      </c>
      <c r="G191" t="str">
        <f>IF(COUNTIFS(
    Sheet1!$B:$B, B191,
    Sheet1!$C:$C, C191,
    Sheet1!$D:$D, D191,
    Sheet1!$E:$E, E191
) = 0, "NO MATCH IN TARGET", "MATCHED")</f>
        <v>MATCHED</v>
      </c>
    </row>
    <row r="192" spans="1:7" x14ac:dyDescent="0.35">
      <c r="A192" t="s">
        <v>92</v>
      </c>
      <c r="B192" t="s">
        <v>11</v>
      </c>
      <c r="C192" t="s">
        <v>7</v>
      </c>
      <c r="D192">
        <v>10</v>
      </c>
      <c r="E192">
        <v>2770</v>
      </c>
      <c r="G192" t="str">
        <f>IF(COUNTIFS(
    Sheet1!$B:$B, B192,
    Sheet1!$C:$C, C192,
    Sheet1!$D:$D, D192,
    Sheet1!$E:$E, E192
) = 0, "NO MATCH IN TARGET", "MATCHED")</f>
        <v>MATCHED</v>
      </c>
    </row>
    <row r="193" spans="1:7" x14ac:dyDescent="0.35">
      <c r="A193" t="s">
        <v>113</v>
      </c>
      <c r="B193" t="s">
        <v>18</v>
      </c>
      <c r="C193" t="s">
        <v>7</v>
      </c>
      <c r="D193">
        <v>5</v>
      </c>
      <c r="E193">
        <v>730</v>
      </c>
      <c r="G193" t="str">
        <f>IF(COUNTIFS(
    Sheet1!$B:$B, B193,
    Sheet1!$C:$C, C193,
    Sheet1!$D:$D, D193,
    Sheet1!$E:$E, E193
) = 0, "NO MATCH IN TARGET", "MATCHED")</f>
        <v>MATCHED</v>
      </c>
    </row>
    <row r="194" spans="1:7" x14ac:dyDescent="0.35">
      <c r="A194" t="s">
        <v>78</v>
      </c>
      <c r="B194" t="s">
        <v>44</v>
      </c>
      <c r="C194" t="s">
        <v>7</v>
      </c>
      <c r="D194">
        <v>7</v>
      </c>
      <c r="E194">
        <v>1424</v>
      </c>
      <c r="G194" t="str">
        <f>IF(COUNTIFS(
    Sheet1!$B:$B, B194,
    Sheet1!$C:$C, C194,
    Sheet1!$D:$D, D194,
    Sheet1!$E:$E, E194
) = 0, "NO MATCH IN TARGET", "MATCHED")</f>
        <v>MATCHED</v>
      </c>
    </row>
    <row r="195" spans="1:7" x14ac:dyDescent="0.35">
      <c r="A195" s="1">
        <v>46237.768750000003</v>
      </c>
      <c r="B195" s="2" t="s">
        <v>26</v>
      </c>
      <c r="C195" s="2" t="s">
        <v>7</v>
      </c>
      <c r="D195" s="3">
        <v>30</v>
      </c>
      <c r="E195" s="4">
        <v>974</v>
      </c>
      <c r="G195" t="str">
        <f>IF(COUNTIFS(
    Sheet1!$B:$B, B195,
    Sheet1!$C:$C, C195,
    Sheet1!$D:$D, D195,
    Sheet1!$E:$E, E195
) = 0, "NO MATCH IN TARGET", "MATCHED")</f>
        <v>MATCHED</v>
      </c>
    </row>
    <row r="196" spans="1:7" x14ac:dyDescent="0.35">
      <c r="A196" t="s">
        <v>90</v>
      </c>
      <c r="B196" t="s">
        <v>50</v>
      </c>
      <c r="C196" t="s">
        <v>7</v>
      </c>
      <c r="D196">
        <v>1</v>
      </c>
      <c r="E196">
        <v>3710</v>
      </c>
      <c r="G196" t="str">
        <f>IF(COUNTIFS(
    Sheet1!$B:$B, B196,
    Sheet1!$C:$C, C196,
    Sheet1!$D:$D, D196,
    Sheet1!$E:$E, E196
) = 0, "NO MATCH IN TARGET", "MATCHED")</f>
        <v>MATCHED</v>
      </c>
    </row>
    <row r="197" spans="1:7" x14ac:dyDescent="0.35">
      <c r="A197" t="s">
        <v>113</v>
      </c>
      <c r="B197" t="s">
        <v>14</v>
      </c>
      <c r="C197" t="s">
        <v>7</v>
      </c>
      <c r="D197">
        <v>100</v>
      </c>
      <c r="E197">
        <v>310.5</v>
      </c>
      <c r="G197" t="str">
        <f>IF(COUNTIFS(
    Sheet1!$B:$B, B197,
    Sheet1!$C:$C, C197,
    Sheet1!$D:$D, D197,
    Sheet1!$E:$E, E197
) = 0, "NO MATCH IN TARGET", "MATCHED")</f>
        <v>MATCHED</v>
      </c>
    </row>
    <row r="198" spans="1:7" x14ac:dyDescent="0.35">
      <c r="A198" t="s">
        <v>78</v>
      </c>
      <c r="B198" t="s">
        <v>32</v>
      </c>
      <c r="C198" t="s">
        <v>7</v>
      </c>
      <c r="D198">
        <v>5</v>
      </c>
      <c r="E198">
        <v>790</v>
      </c>
      <c r="G198" t="str">
        <f>IF(COUNTIFS(
    Sheet1!$B:$B, B198,
    Sheet1!$C:$C, C198,
    Sheet1!$D:$D, D198,
    Sheet1!$E:$E, E198
) = 0, "NO MATCH IN TARGET", "MATCHED")</f>
        <v>MATCHED</v>
      </c>
    </row>
    <row r="199" spans="1:7" x14ac:dyDescent="0.35">
      <c r="A199" t="s">
        <v>83</v>
      </c>
      <c r="B199" t="s">
        <v>28</v>
      </c>
      <c r="C199" t="s">
        <v>7</v>
      </c>
      <c r="D199">
        <v>3</v>
      </c>
      <c r="E199">
        <v>2846</v>
      </c>
      <c r="G199" t="str">
        <f>IF(COUNTIFS(
    Sheet1!$B:$B, B199,
    Sheet1!$C:$C, C199,
    Sheet1!$D:$D, D199,
    Sheet1!$E:$E, E199
) = 0, "NO MATCH IN TARGET", "MATCHED")</f>
        <v>MATCHED</v>
      </c>
    </row>
    <row r="200" spans="1:7" x14ac:dyDescent="0.35">
      <c r="A200" t="s">
        <v>128</v>
      </c>
      <c r="B200" t="s">
        <v>129</v>
      </c>
      <c r="C200" t="s">
        <v>7</v>
      </c>
      <c r="D200">
        <v>11</v>
      </c>
      <c r="E200">
        <v>548</v>
      </c>
      <c r="G200" t="str">
        <f>IF(COUNTIFS(
    Sheet1!$B:$B, B200,
    Sheet1!$C:$C, C200,
    Sheet1!$D:$D, D200,
    Sheet1!$E:$E, E200
) = 0, "NO MATCH IN TARGET", "MATCHED")</f>
        <v>MATCHED</v>
      </c>
    </row>
    <row r="201" spans="1:7" x14ac:dyDescent="0.35">
      <c r="A201" s="1">
        <v>46238.69059027778</v>
      </c>
      <c r="B201" s="2" t="s">
        <v>26</v>
      </c>
      <c r="C201" s="2" t="s">
        <v>7</v>
      </c>
      <c r="D201" s="3">
        <v>5</v>
      </c>
      <c r="E201" s="3">
        <v>986</v>
      </c>
      <c r="G201" t="str">
        <f>IF(COUNTIFS(
    Sheet1!$B:$B, B201,
    Sheet1!$C:$C, C201,
    Sheet1!$D:$D, D201,
    Sheet1!$E:$E, E201
) = 0, "NO MATCH IN TARGET", "MATCHED")</f>
        <v>MATCHED</v>
      </c>
    </row>
    <row r="202" spans="1:7" ht="15" thickBot="1" x14ac:dyDescent="0.4">
      <c r="A202" t="s">
        <v>116</v>
      </c>
      <c r="B202" t="s">
        <v>51</v>
      </c>
      <c r="C202" t="s">
        <v>7</v>
      </c>
      <c r="D202">
        <v>50</v>
      </c>
      <c r="E202">
        <v>480</v>
      </c>
      <c r="G202" t="str">
        <f>IF(COUNTIFS(
    Sheet1!$B:$B, B202,
    Sheet1!$C:$C, C202,
    Sheet1!$D:$D, D202,
    Sheet1!$E:$E, E202
) = 0, "NO MATCH IN TARGET", "MATCHED")</f>
        <v>MATCHED</v>
      </c>
    </row>
    <row r="203" spans="1:7" ht="15" thickBot="1" x14ac:dyDescent="0.4">
      <c r="A203" s="5">
        <v>46234.686805555553</v>
      </c>
      <c r="B203" s="6" t="s">
        <v>14</v>
      </c>
      <c r="C203" s="6" t="s">
        <v>7</v>
      </c>
      <c r="D203" s="7">
        <v>100</v>
      </c>
      <c r="E203" s="8">
        <v>314</v>
      </c>
      <c r="G203" t="str">
        <f>IF(COUNTIFS(
    Sheet1!$B:$B, B203,
    Sheet1!$C:$C, C203,
    Sheet1!$D:$D, D203,
    Sheet1!$E:$E, E203
) = 0, "NO MATCH IN TARGET", "MATCHED")</f>
        <v>MATCHED</v>
      </c>
    </row>
    <row r="204" spans="1:7" ht="15" thickBot="1" x14ac:dyDescent="0.4">
      <c r="A204" s="5">
        <v>46237.635520833333</v>
      </c>
      <c r="B204" s="6" t="s">
        <v>33</v>
      </c>
      <c r="C204" s="6" t="s">
        <v>7</v>
      </c>
      <c r="D204" s="7">
        <v>10</v>
      </c>
      <c r="E204" s="8">
        <v>1024</v>
      </c>
      <c r="G204" t="str">
        <f>IF(COUNTIFS(
    Sheet1!$B:$B, B204,
    Sheet1!$C:$C, C204,
    Sheet1!$D:$D, D204,
    Sheet1!$E:$E, E204
) = 0, "NO MATCH IN TARGET", "MATCHED")</f>
        <v>MATCHED</v>
      </c>
    </row>
    <row r="205" spans="1:7" ht="15" thickBot="1" x14ac:dyDescent="0.4">
      <c r="A205" s="5">
        <v>46238.690567129626</v>
      </c>
      <c r="B205" s="6" t="s">
        <v>25</v>
      </c>
      <c r="C205" s="6" t="s">
        <v>7</v>
      </c>
      <c r="D205" s="7">
        <v>25</v>
      </c>
      <c r="E205" s="7">
        <v>220</v>
      </c>
      <c r="G205" t="str">
        <f>IF(COUNTIFS(
    Sheet1!$B:$B, B205,
    Sheet1!$C:$C, C205,
    Sheet1!$D:$D, D205,
    Sheet1!$E:$E, E205
) = 0, "NO MATCH IN TARGET", "MATCHED")</f>
        <v>MATCHED</v>
      </c>
    </row>
    <row r="206" spans="1:7" ht="15" thickBot="1" x14ac:dyDescent="0.4">
      <c r="A206" s="5">
        <v>46233.688194444447</v>
      </c>
      <c r="B206" s="9" t="s">
        <v>26</v>
      </c>
      <c r="C206" s="6" t="s">
        <v>7</v>
      </c>
      <c r="D206" s="7">
        <v>40</v>
      </c>
      <c r="E206" s="10">
        <v>996</v>
      </c>
      <c r="G206" t="str">
        <f>IF(COUNTIFS(
    Sheet1!$B:$B, B206,
    Sheet1!$C:$C, C206,
    Sheet1!$D:$D, D206,
    Sheet1!$E:$E, E206
) = 0, "NO MATCH IN TARGET", "MATCHED")</f>
        <v>MATCHED</v>
      </c>
    </row>
    <row r="207" spans="1:7" ht="15" thickBot="1" x14ac:dyDescent="0.4">
      <c r="A207" s="11" t="s">
        <v>69</v>
      </c>
      <c r="B207" s="11" t="s">
        <v>18</v>
      </c>
      <c r="C207" s="11" t="s">
        <v>7</v>
      </c>
      <c r="D207" s="11">
        <v>11</v>
      </c>
      <c r="E207" s="11">
        <v>749</v>
      </c>
      <c r="G207" t="str">
        <f>IF(COUNTIFS(
    Sheet1!$B:$B, B207,
    Sheet1!$C:$C, C207,
    Sheet1!$D:$D, D207,
    Sheet1!$E:$E, E207
) = 0, "NO MATCH IN TARGET", "MATCHED")</f>
        <v>MATCHED</v>
      </c>
    </row>
    <row r="208" spans="1:7" ht="15" thickBot="1" x14ac:dyDescent="0.4">
      <c r="A208" s="11" t="s">
        <v>130</v>
      </c>
      <c r="B208" s="11" t="s">
        <v>14</v>
      </c>
      <c r="C208" s="11" t="s">
        <v>7</v>
      </c>
      <c r="D208" s="11">
        <v>100</v>
      </c>
      <c r="E208" s="11">
        <v>318</v>
      </c>
      <c r="G208" t="str">
        <f>IF(COUNTIFS(
    Sheet1!$B:$B, B208,
    Sheet1!$C:$C, C208,
    Sheet1!$D:$D, D208,
    Sheet1!$E:$E, E208
) = 0, "NO MATCH IN TARGET", "MATCHED")</f>
        <v>MATCHED</v>
      </c>
    </row>
    <row r="209" spans="1:7" ht="15" thickBot="1" x14ac:dyDescent="0.4">
      <c r="A209" t="s">
        <v>131</v>
      </c>
      <c r="B209" s="11" t="s">
        <v>50</v>
      </c>
      <c r="C209" s="11" t="s">
        <v>7</v>
      </c>
      <c r="D209" s="11">
        <v>1</v>
      </c>
      <c r="E209" s="11">
        <v>3810</v>
      </c>
      <c r="G209" t="str">
        <f>IF(COUNTIFS(
    Sheet1!$B:$B, B209,
    Sheet1!$C:$C, C209,
    Sheet1!$D:$D, D209,
    Sheet1!$E:$E, E209
) = 0, "NO MATCH IN TARGET", "MATCHED")</f>
        <v>MATCHED</v>
      </c>
    </row>
    <row r="210" spans="1:7" ht="15" thickBot="1" x14ac:dyDescent="0.4">
      <c r="A210" s="5">
        <v>46238.690578703703</v>
      </c>
      <c r="B210" s="6" t="s">
        <v>26</v>
      </c>
      <c r="C210" s="6" t="s">
        <v>7</v>
      </c>
      <c r="D210" s="7">
        <v>5</v>
      </c>
      <c r="E210" s="7">
        <v>1002</v>
      </c>
      <c r="G210" t="str">
        <f>IF(COUNTIFS(
    Sheet1!$B:$B, B210,
    Sheet1!$C:$C, C210,
    Sheet1!$D:$D, D210,
    Sheet1!$E:$E, E210
) = 0, "NO MATCH IN TARGET", "MATCHED")</f>
        <v>MATCHED</v>
      </c>
    </row>
    <row r="211" spans="1:7" ht="15" thickBot="1" x14ac:dyDescent="0.4">
      <c r="A211" s="5">
        <v>46234.686805555553</v>
      </c>
      <c r="B211" s="6" t="s">
        <v>14</v>
      </c>
      <c r="C211" s="6" t="s">
        <v>7</v>
      </c>
      <c r="D211" s="7">
        <v>100</v>
      </c>
      <c r="E211" s="8">
        <v>319</v>
      </c>
      <c r="G211" t="str">
        <f>IF(COUNTIFS(
    Sheet1!$B:$B, B211,
    Sheet1!$C:$C, C211,
    Sheet1!$D:$D, D211,
    Sheet1!$E:$E, E211
) = 0, "NO MATCH IN TARGET", "MATCHED")</f>
        <v>MATCHED</v>
      </c>
    </row>
    <row r="212" spans="1:7" ht="15" thickBot="1" x14ac:dyDescent="0.4">
      <c r="A212" s="11" t="s">
        <v>60</v>
      </c>
      <c r="B212" s="11" t="s">
        <v>23</v>
      </c>
      <c r="C212" s="11" t="s">
        <v>7</v>
      </c>
      <c r="D212" s="11">
        <v>5</v>
      </c>
      <c r="E212" s="11">
        <v>635.75</v>
      </c>
      <c r="G212" t="str">
        <f>IF(COUNTIFS(
    Sheet1!$B:$B, B212,
    Sheet1!$C:$C, C212,
    Sheet1!$D:$D, D212,
    Sheet1!$E:$E, E212
) = 0, "NO MATCH IN TARGET", "MATCHED")</f>
        <v>MATCHED</v>
      </c>
    </row>
    <row r="213" spans="1:7" ht="15" thickBot="1" x14ac:dyDescent="0.4">
      <c r="A213" s="5">
        <v>46233.688194444447</v>
      </c>
      <c r="B213" s="9" t="s">
        <v>12</v>
      </c>
      <c r="C213" s="6" t="s">
        <v>7</v>
      </c>
      <c r="D213" s="7">
        <v>40</v>
      </c>
      <c r="E213" s="10">
        <v>229</v>
      </c>
      <c r="G213" t="str">
        <f>IF(COUNTIFS(
    Sheet1!$B:$B, B213,
    Sheet1!$C:$C, C213,
    Sheet1!$D:$D, D213,
    Sheet1!$E:$E, E213
) = 0, "NO MATCH IN TARGET", "MATCHED")</f>
        <v>MATCHED</v>
      </c>
    </row>
    <row r="214" spans="1:7" ht="15" thickBot="1" x14ac:dyDescent="0.4">
      <c r="A214" s="11" t="s">
        <v>113</v>
      </c>
      <c r="B214" s="11" t="s">
        <v>24</v>
      </c>
      <c r="C214" s="11" t="s">
        <v>7</v>
      </c>
      <c r="D214" s="11">
        <v>5</v>
      </c>
      <c r="E214" s="11">
        <v>435</v>
      </c>
      <c r="G214" t="str">
        <f>IF(COUNTIFS(
    Sheet1!$B:$B, B214,
    Sheet1!$C:$C, C214,
    Sheet1!$D:$D, D214,
    Sheet1!$E:$E, E214
) = 0, "NO MATCH IN TARGET", "MATCHED")</f>
        <v>MATCHED</v>
      </c>
    </row>
    <row r="215" spans="1:7" ht="15" thickBot="1" x14ac:dyDescent="0.4">
      <c r="A215" s="11" t="s">
        <v>90</v>
      </c>
      <c r="B215" s="11" t="s">
        <v>45</v>
      </c>
      <c r="C215" s="11" t="s">
        <v>7</v>
      </c>
      <c r="D215" s="11">
        <v>3</v>
      </c>
      <c r="E215" s="11">
        <v>3341</v>
      </c>
      <c r="G215" t="str">
        <f>IF(COUNTIFS(
    Sheet1!$B:$B, B215,
    Sheet1!$C:$C, C215,
    Sheet1!$D:$D, D215,
    Sheet1!$E:$E, E215
) = 0, "NO MATCH IN TARGET", "MATCHED")</f>
        <v>MATCHED</v>
      </c>
    </row>
    <row r="216" spans="1:7" ht="15" thickBot="1" x14ac:dyDescent="0.4">
      <c r="A216" s="11" t="s">
        <v>130</v>
      </c>
      <c r="B216" s="11" t="s">
        <v>14</v>
      </c>
      <c r="C216" s="11" t="s">
        <v>7</v>
      </c>
      <c r="D216" s="11">
        <v>150</v>
      </c>
      <c r="E216" s="11">
        <v>323</v>
      </c>
      <c r="G216" t="str">
        <f>IF(COUNTIFS(
    Sheet1!$B:$B, B216,
    Sheet1!$C:$C, C216,
    Sheet1!$D:$D, D216,
    Sheet1!$E:$E, E216
) = 0, "NO MATCH IN TARGET", "MATCHED")</f>
        <v>MATCHED</v>
      </c>
    </row>
    <row r="217" spans="1:7" ht="15" thickBot="1" x14ac:dyDescent="0.4">
      <c r="A217" s="5">
        <v>46234.6875</v>
      </c>
      <c r="B217" s="6" t="s">
        <v>51</v>
      </c>
      <c r="C217" s="6" t="s">
        <v>7</v>
      </c>
      <c r="D217" s="7">
        <v>35</v>
      </c>
      <c r="E217" s="8">
        <v>494</v>
      </c>
      <c r="G217" t="str">
        <f>IF(COUNTIFS(
    Sheet1!$B:$B, B217,
    Sheet1!$C:$C, C217,
    Sheet1!$D:$D, D217,
    Sheet1!$E:$E, E217
) = 0, "NO MATCH IN TARGET", "MATCHED")</f>
        <v>MATCHED</v>
      </c>
    </row>
    <row r="218" spans="1:7" x14ac:dyDescent="0.35">
      <c r="A218" t="s">
        <v>132</v>
      </c>
      <c r="B218" t="s">
        <v>133</v>
      </c>
      <c r="C218" t="s">
        <v>7</v>
      </c>
      <c r="D218">
        <v>23</v>
      </c>
      <c r="E218">
        <v>890</v>
      </c>
      <c r="G218" t="str">
        <f>IF(COUNTIFS(
    Sheet1!$B:$B, B218,
    Sheet1!$C:$C, C218,
    Sheet1!$D:$D, D218,
    Sheet1!$E:$E, E218
) = 0, "NO MATCH IN TARGET", "MATCHED")</f>
        <v>MATCHED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2026-08-10T17:23:11Z</dcterms:created>
  <dcterms:modified xsi:type="dcterms:W3CDTF">2026-08-11T15:11:50Z</dcterms:modified>
</cp:coreProperties>
</file>