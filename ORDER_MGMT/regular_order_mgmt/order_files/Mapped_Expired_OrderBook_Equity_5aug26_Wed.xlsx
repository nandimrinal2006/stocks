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E1F7563-B4A1-49D0-8A69-4844C7A719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Sheet1!$A$1:$K$187</definedName>
    <definedName name="_xlnm._FilterDatabase" localSheetId="1" hidden="1">Sheet3!$G$1:$G$173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186" i="1"/>
  <c r="G42" i="1"/>
  <c r="G39" i="1"/>
  <c r="G78" i="1"/>
  <c r="G82" i="1"/>
  <c r="G175" i="1"/>
  <c r="G21" i="1"/>
  <c r="G23" i="1"/>
  <c r="G17" i="1"/>
  <c r="G104" i="1"/>
  <c r="G47" i="1"/>
  <c r="G31" i="1"/>
  <c r="G36" i="1"/>
  <c r="G5" i="1"/>
  <c r="G10" i="1"/>
  <c r="G24" i="1"/>
  <c r="G11" i="1"/>
  <c r="G16" i="1"/>
  <c r="G64" i="1"/>
  <c r="G69" i="1"/>
  <c r="G92" i="1"/>
  <c r="G45" i="1"/>
  <c r="G61" i="1"/>
  <c r="G83" i="1"/>
  <c r="G90" i="1"/>
  <c r="G86" i="1"/>
  <c r="G97" i="1"/>
  <c r="G33" i="1"/>
  <c r="G38" i="1"/>
  <c r="G50" i="1"/>
  <c r="G81" i="1"/>
  <c r="G56" i="1"/>
  <c r="G80" i="1"/>
  <c r="G106" i="1"/>
  <c r="G102" i="1"/>
  <c r="G141" i="1"/>
  <c r="G130" i="1"/>
  <c r="G182" i="1"/>
  <c r="G167" i="1"/>
  <c r="G171" i="1"/>
  <c r="G152" i="1"/>
  <c r="G158" i="1"/>
  <c r="G133" i="1"/>
  <c r="G146" i="1"/>
  <c r="G119" i="1"/>
  <c r="G116" i="1"/>
  <c r="G184" i="1"/>
  <c r="G178" i="1"/>
  <c r="G132" i="1"/>
  <c r="G161" i="1"/>
  <c r="G162" i="1"/>
  <c r="G148" i="1"/>
  <c r="G155" i="1"/>
  <c r="G136" i="1"/>
  <c r="G127" i="1"/>
  <c r="G134" i="1"/>
  <c r="G129" i="1"/>
  <c r="G87" i="1"/>
  <c r="G44" i="1"/>
  <c r="G73" i="1"/>
  <c r="G62" i="1"/>
  <c r="G143" i="1"/>
  <c r="G120" i="1"/>
  <c r="G126" i="1"/>
  <c r="G117" i="1"/>
  <c r="G114" i="1"/>
  <c r="G115" i="1"/>
  <c r="G72" i="1"/>
  <c r="G100" i="1"/>
  <c r="G131" i="1"/>
  <c r="G51" i="1"/>
  <c r="G29" i="1"/>
  <c r="G41" i="1"/>
  <c r="G30" i="1"/>
  <c r="G54" i="1"/>
  <c r="G57" i="1"/>
  <c r="G53" i="1"/>
  <c r="G59" i="1"/>
  <c r="G63" i="1"/>
  <c r="G101" i="1"/>
  <c r="G75" i="1"/>
  <c r="G91" i="1"/>
  <c r="G58" i="1"/>
  <c r="G79" i="1"/>
  <c r="G139" i="1"/>
  <c r="G40" i="1"/>
  <c r="G49" i="1"/>
  <c r="G60" i="1"/>
  <c r="G77" i="1"/>
  <c r="G84" i="1"/>
  <c r="G96" i="1"/>
  <c r="G66" i="1"/>
  <c r="G99" i="1"/>
  <c r="G105" i="1"/>
  <c r="G52" i="1"/>
  <c r="G95" i="1"/>
  <c r="G94" i="1"/>
  <c r="G108" i="1"/>
  <c r="G107" i="1"/>
  <c r="G89" i="1"/>
  <c r="G93" i="1"/>
  <c r="G88" i="1"/>
  <c r="G103" i="1"/>
  <c r="G176" i="1"/>
  <c r="G170" i="1"/>
  <c r="G163" i="1"/>
  <c r="G154" i="1"/>
  <c r="G177" i="1"/>
  <c r="G150" i="1"/>
  <c r="G160" i="1"/>
  <c r="G147" i="1"/>
  <c r="G164" i="1"/>
  <c r="G149" i="1"/>
  <c r="G128" i="1"/>
  <c r="G113" i="1"/>
  <c r="G145" i="1"/>
  <c r="G122" i="1"/>
  <c r="G169" i="1"/>
  <c r="G151" i="1"/>
  <c r="G173" i="1"/>
  <c r="G157" i="1"/>
  <c r="G140" i="1"/>
  <c r="G135" i="1"/>
  <c r="G138" i="1"/>
  <c r="G125" i="1"/>
  <c r="G109" i="1"/>
  <c r="G144" i="1"/>
  <c r="G121" i="1"/>
  <c r="G110" i="1"/>
  <c r="G159" i="1"/>
  <c r="G142" i="1"/>
  <c r="G111" i="1"/>
  <c r="G187" i="1"/>
  <c r="G74" i="1"/>
  <c r="G65" i="1"/>
  <c r="G55" i="1"/>
  <c r="G98" i="1"/>
  <c r="G85" i="1"/>
  <c r="G48" i="1"/>
  <c r="G76" i="1"/>
  <c r="G46" i="1"/>
  <c r="G32" i="1"/>
  <c r="G70" i="1"/>
  <c r="G35" i="1"/>
  <c r="G34" i="1"/>
  <c r="G68" i="1"/>
  <c r="G43" i="1"/>
  <c r="G71" i="1"/>
  <c r="G25" i="1"/>
  <c r="G26" i="1"/>
  <c r="G20" i="1"/>
  <c r="G14" i="1"/>
  <c r="G28" i="1"/>
  <c r="G27" i="1"/>
  <c r="G37" i="1"/>
  <c r="G18" i="1"/>
  <c r="G22" i="1"/>
  <c r="G19" i="1"/>
  <c r="G12" i="1"/>
  <c r="G13" i="1"/>
  <c r="G15" i="1"/>
  <c r="G8" i="1"/>
  <c r="G7" i="1"/>
  <c r="G9" i="1"/>
  <c r="G4" i="1"/>
  <c r="G3" i="1"/>
  <c r="G2" i="1"/>
  <c r="G118" i="1"/>
  <c r="G124" i="1"/>
  <c r="G153" i="1"/>
  <c r="G123" i="1"/>
  <c r="G165" i="1"/>
  <c r="G168" i="1"/>
  <c r="G174" i="1"/>
  <c r="G172" i="1"/>
  <c r="G166" i="1"/>
  <c r="G180" i="1"/>
  <c r="G181" i="1"/>
  <c r="G183" i="1"/>
  <c r="G179" i="1"/>
  <c r="G185" i="1"/>
  <c r="G156" i="1"/>
  <c r="G112" i="1"/>
  <c r="G137" i="1"/>
  <c r="G67" i="1"/>
  <c r="K6" i="1"/>
  <c r="K186" i="1"/>
  <c r="K42" i="1"/>
  <c r="K39" i="1"/>
  <c r="K78" i="1"/>
  <c r="K82" i="1"/>
  <c r="K175" i="1"/>
  <c r="K21" i="1"/>
  <c r="K23" i="1"/>
  <c r="K17" i="1"/>
  <c r="K104" i="1"/>
  <c r="K47" i="1"/>
  <c r="K31" i="1"/>
  <c r="K36" i="1"/>
  <c r="K5" i="1"/>
  <c r="K10" i="1"/>
  <c r="K24" i="1"/>
  <c r="K11" i="1"/>
  <c r="K16" i="1"/>
  <c r="K64" i="1"/>
  <c r="K69" i="1"/>
  <c r="K92" i="1"/>
  <c r="K45" i="1"/>
  <c r="K61" i="1"/>
  <c r="K83" i="1"/>
  <c r="K90" i="1"/>
  <c r="K86" i="1"/>
  <c r="K97" i="1"/>
  <c r="K33" i="1"/>
  <c r="K38" i="1"/>
  <c r="K50" i="1"/>
  <c r="K81" i="1"/>
  <c r="K56" i="1"/>
  <c r="K80" i="1"/>
  <c r="K106" i="1"/>
  <c r="K102" i="1"/>
  <c r="K141" i="1"/>
  <c r="K130" i="1"/>
  <c r="K182" i="1"/>
  <c r="K167" i="1"/>
  <c r="K171" i="1"/>
  <c r="K152" i="1"/>
  <c r="K158" i="1"/>
  <c r="K133" i="1"/>
  <c r="K146" i="1"/>
  <c r="K119" i="1"/>
  <c r="K116" i="1"/>
  <c r="K184" i="1"/>
  <c r="K178" i="1"/>
  <c r="K132" i="1"/>
  <c r="K161" i="1"/>
  <c r="K162" i="1"/>
  <c r="K148" i="1"/>
  <c r="K155" i="1"/>
  <c r="K136" i="1"/>
  <c r="K127" i="1"/>
  <c r="K134" i="1"/>
  <c r="K129" i="1"/>
  <c r="K87" i="1"/>
  <c r="K44" i="1"/>
  <c r="K73" i="1"/>
  <c r="K62" i="1"/>
  <c r="K143" i="1"/>
  <c r="K120" i="1"/>
  <c r="K126" i="1"/>
  <c r="K117" i="1"/>
  <c r="K114" i="1"/>
  <c r="K115" i="1"/>
  <c r="K72" i="1"/>
  <c r="K100" i="1"/>
  <c r="K131" i="1"/>
  <c r="K51" i="1"/>
  <c r="K29" i="1"/>
  <c r="K41" i="1"/>
  <c r="K30" i="1"/>
  <c r="K54" i="1"/>
  <c r="K57" i="1"/>
  <c r="K53" i="1"/>
  <c r="K59" i="1"/>
  <c r="K63" i="1"/>
  <c r="K101" i="1"/>
  <c r="K75" i="1"/>
  <c r="K91" i="1"/>
  <c r="K58" i="1"/>
  <c r="K79" i="1"/>
  <c r="K139" i="1"/>
  <c r="K40" i="1"/>
  <c r="K49" i="1"/>
  <c r="K60" i="1"/>
  <c r="K77" i="1"/>
  <c r="K84" i="1"/>
  <c r="K96" i="1"/>
  <c r="K66" i="1"/>
  <c r="K99" i="1"/>
  <c r="K105" i="1"/>
  <c r="K52" i="1"/>
  <c r="K95" i="1"/>
  <c r="K94" i="1"/>
  <c r="K108" i="1"/>
  <c r="K107" i="1"/>
  <c r="K89" i="1"/>
  <c r="K93" i="1"/>
  <c r="K88" i="1"/>
  <c r="K103" i="1"/>
  <c r="K176" i="1"/>
  <c r="K170" i="1"/>
  <c r="K163" i="1"/>
  <c r="K154" i="1"/>
  <c r="K177" i="1"/>
  <c r="K150" i="1"/>
  <c r="K160" i="1"/>
  <c r="K147" i="1"/>
  <c r="K164" i="1"/>
  <c r="K149" i="1"/>
  <c r="K128" i="1"/>
  <c r="K113" i="1"/>
  <c r="K145" i="1"/>
  <c r="K122" i="1"/>
  <c r="K169" i="1"/>
  <c r="K151" i="1"/>
  <c r="K173" i="1"/>
  <c r="K157" i="1"/>
  <c r="K140" i="1"/>
  <c r="K135" i="1"/>
  <c r="K138" i="1"/>
  <c r="K125" i="1"/>
  <c r="K109" i="1"/>
  <c r="K144" i="1"/>
  <c r="K121" i="1"/>
  <c r="K110" i="1"/>
  <c r="K159" i="1"/>
  <c r="K142" i="1"/>
  <c r="K111" i="1"/>
  <c r="K187" i="1"/>
  <c r="K74" i="1"/>
  <c r="K65" i="1"/>
  <c r="K55" i="1"/>
  <c r="K98" i="1"/>
  <c r="K85" i="1"/>
  <c r="K48" i="1"/>
  <c r="K76" i="1"/>
  <c r="K46" i="1"/>
  <c r="K32" i="1"/>
  <c r="K70" i="1"/>
  <c r="K35" i="1"/>
  <c r="K34" i="1"/>
  <c r="K68" i="1"/>
  <c r="K43" i="1"/>
  <c r="K71" i="1"/>
  <c r="K25" i="1"/>
  <c r="K26" i="1"/>
  <c r="K20" i="1"/>
  <c r="K14" i="1"/>
  <c r="K28" i="1"/>
  <c r="K27" i="1"/>
  <c r="K37" i="1"/>
  <c r="K18" i="1"/>
  <c r="K22" i="1"/>
  <c r="K19" i="1"/>
  <c r="K12" i="1"/>
  <c r="K13" i="1"/>
  <c r="K15" i="1"/>
  <c r="K8" i="1"/>
  <c r="K7" i="1"/>
  <c r="K9" i="1"/>
  <c r="K4" i="1"/>
  <c r="K3" i="1"/>
  <c r="K2" i="1"/>
  <c r="K118" i="1"/>
  <c r="K124" i="1"/>
  <c r="K153" i="1"/>
  <c r="K123" i="1"/>
  <c r="K165" i="1"/>
  <c r="K168" i="1"/>
  <c r="K174" i="1"/>
  <c r="K172" i="1"/>
  <c r="K166" i="1"/>
  <c r="K180" i="1"/>
  <c r="K181" i="1"/>
  <c r="K183" i="1"/>
  <c r="K179" i="1"/>
  <c r="K185" i="1"/>
  <c r="K156" i="1"/>
  <c r="K112" i="1"/>
  <c r="K137" i="1"/>
  <c r="K67" i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2" i="3"/>
  <c r="G3" i="3"/>
  <c r="G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23" authorId="0" shapeId="0" xr:uid="{DF41FE75-EFF7-44B3-937B-BD1E47391EBA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 5*2530+5*2510 : 5 aug 26</t>
        </r>
      </text>
    </comment>
    <comment ref="E137" authorId="0" shapeId="0" xr:uid="{4E3F915A-550B-414D-96B1-24EDCE31694B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Bought 10@2590</t>
        </r>
      </text>
    </comment>
  </commentList>
</comments>
</file>

<file path=xl/sharedStrings.xml><?xml version="1.0" encoding="utf-8"?>
<sst xmlns="http://schemas.openxmlformats.org/spreadsheetml/2006/main" count="1415" uniqueCount="166">
  <si>
    <t>Date</t>
  </si>
  <si>
    <t>Stock</t>
  </si>
  <si>
    <t>Order Type (Buy/Sell)</t>
  </si>
  <si>
    <t>Quantity</t>
  </si>
  <si>
    <t>Price</t>
  </si>
  <si>
    <t>Status</t>
  </si>
  <si>
    <t>05 AUG 2026 07:02:46 PM</t>
  </si>
  <si>
    <t>IGILEQ</t>
  </si>
  <si>
    <t>B</t>
  </si>
  <si>
    <t>Expired</t>
  </si>
  <si>
    <t>05 AUG 2026 07:02:45 PM</t>
  </si>
  <si>
    <t>KERNEXEQ</t>
  </si>
  <si>
    <t>05 AUG 2026 07:02:44 PM</t>
  </si>
  <si>
    <t>NSDLEQ</t>
  </si>
  <si>
    <t>S</t>
  </si>
  <si>
    <t>05 AUG 2026 07:02:43 PM</t>
  </si>
  <si>
    <t>E2EEQ</t>
  </si>
  <si>
    <t>05 AUG 2026 07:02:42 PM</t>
  </si>
  <si>
    <t>JUSTDIALEQ</t>
  </si>
  <si>
    <t>05 AUG 2026 06:57:06 PM</t>
  </si>
  <si>
    <t>SILVERBEESEQ</t>
  </si>
  <si>
    <t>05 AUG 2026 06:57:04 PM</t>
  </si>
  <si>
    <t>GRSEEQ</t>
  </si>
  <si>
    <t>05 AUG 2026 06:57:00 PM</t>
  </si>
  <si>
    <t>TMCVEQ</t>
  </si>
  <si>
    <t>05 AUG 2026 06:56:59 PM</t>
  </si>
  <si>
    <t>ARE&amp;MEQ</t>
  </si>
  <si>
    <t>NETWEBEQ</t>
  </si>
  <si>
    <t>APOLLOTYREEQ</t>
  </si>
  <si>
    <t>05 AUG 2026 04:43:14 PM</t>
  </si>
  <si>
    <t>HUDCOEQ</t>
  </si>
  <si>
    <t>LALPATHLABEQ</t>
  </si>
  <si>
    <t>GOLDBEESEQ</t>
  </si>
  <si>
    <t>05 AUG 2026 06:56:58 PM</t>
  </si>
  <si>
    <t>SENCOEQ</t>
  </si>
  <si>
    <t>05 AUG 2026 04:43:10 PM</t>
  </si>
  <si>
    <t>05 AUG 2026 04:43:08 PM</t>
  </si>
  <si>
    <t>EXIDEINDEQ</t>
  </si>
  <si>
    <t>05 AUG 2026 04:43:04 PM</t>
  </si>
  <si>
    <t>SCIEQ</t>
  </si>
  <si>
    <t>05 AUG 2026 06:56:56 PM</t>
  </si>
  <si>
    <t>ITBEESEQ</t>
  </si>
  <si>
    <t>05 AUG 2026 04:43:15 PM</t>
  </si>
  <si>
    <t>05 AUG 2026 04:43:03 PM</t>
  </si>
  <si>
    <t>05 AUG 2026 06:56:53 PM</t>
  </si>
  <si>
    <t>URBANCOEQ</t>
  </si>
  <si>
    <t>05 AUG 2026 04:43:06 PM</t>
  </si>
  <si>
    <t>ZENTECEQ</t>
  </si>
  <si>
    <t>05 AUG 2026 06:56:54 PM</t>
  </si>
  <si>
    <t>IRCONEQ</t>
  </si>
  <si>
    <t>05 AUG 2026 04:43:07 PM</t>
  </si>
  <si>
    <t>RAILTELEQ</t>
  </si>
  <si>
    <t>WAAREERTLEQ</t>
  </si>
  <si>
    <t>MOSCHIPEQ</t>
  </si>
  <si>
    <t>05 AUG 2026 03:15:11 PM</t>
  </si>
  <si>
    <t>BELEQ</t>
  </si>
  <si>
    <t>05 AUG 2026 03:15:13 PM</t>
  </si>
  <si>
    <t>BSEEQ</t>
  </si>
  <si>
    <t>05 AUG 2026 03:28:52 PM</t>
  </si>
  <si>
    <t>MAXHEALTHEQ</t>
  </si>
  <si>
    <t>CDSLEQ</t>
  </si>
  <si>
    <t>05 AUG 2026 03:15:10 PM</t>
  </si>
  <si>
    <t>HALEQ</t>
  </si>
  <si>
    <t>MAZDOCKEQ</t>
  </si>
  <si>
    <t>05 AUG 2026 03:28:44 PM</t>
  </si>
  <si>
    <t>BDLEQ</t>
  </si>
  <si>
    <t>05 AUG 2026 03:28:50 PM</t>
  </si>
  <si>
    <t>RVNLEQ</t>
  </si>
  <si>
    <t>05 AUG 2026 03:28:51 PM</t>
  </si>
  <si>
    <t>IRFCEQ</t>
  </si>
  <si>
    <t>IREDAEQ</t>
  </si>
  <si>
    <t>05 AUG 2026 03:15:12 PM</t>
  </si>
  <si>
    <t>NAM-INDIAEQ</t>
  </si>
  <si>
    <t>05 AUG 2026 03:28:46 PM</t>
  </si>
  <si>
    <t>05 AUG 2026 03:15:09 PM</t>
  </si>
  <si>
    <t>KAYNESEQ</t>
  </si>
  <si>
    <t>BAJFINANCEEQ</t>
  </si>
  <si>
    <t>LODHAEQ</t>
  </si>
  <si>
    <t>KFINTECHEQ</t>
  </si>
  <si>
    <t>CGPOWEREQ</t>
  </si>
  <si>
    <t>TRENTEQ</t>
  </si>
  <si>
    <t>MCXEQ</t>
  </si>
  <si>
    <t>TCSEQ</t>
  </si>
  <si>
    <t>TVSMOTOREQ</t>
  </si>
  <si>
    <t>SOLARINDSEQ</t>
  </si>
  <si>
    <t>HDFCAMCEQ</t>
  </si>
  <si>
    <t>05 AUG 2026 03:28:53 PM</t>
  </si>
  <si>
    <t>SBINEQ</t>
  </si>
  <si>
    <t>05 AUG 2026 03:15:14 PM</t>
  </si>
  <si>
    <t>05 AUG 2026 03:28:45 PM</t>
  </si>
  <si>
    <t>INDHOTELEQ</t>
  </si>
  <si>
    <t>05 AUG 2026 03:15:08 PM</t>
  </si>
  <si>
    <t>DIXONEQ</t>
  </si>
  <si>
    <t>CAMSEQ</t>
  </si>
  <si>
    <t>COCHINSHIPEQ</t>
  </si>
  <si>
    <t>LTEQ</t>
  </si>
  <si>
    <t>05 AUG 2026 03:28:49 PM</t>
  </si>
  <si>
    <t>VBLEQ</t>
  </si>
  <si>
    <t>CONCOREQ</t>
  </si>
  <si>
    <t>05 AUG 2026 03:28:47 PM</t>
  </si>
  <si>
    <t>05 AUG 2026 01:03:31 PM</t>
  </si>
  <si>
    <t>05 AUG 2026 09:00:43 AM</t>
  </si>
  <si>
    <t>PRINCEPIPEEQ</t>
  </si>
  <si>
    <t>ABBEQ</t>
  </si>
  <si>
    <t>SONACOMSEQ</t>
  </si>
  <si>
    <t>NSE Code</t>
  </si>
  <si>
    <t>Latest Recorded Price</t>
  </si>
  <si>
    <t>NSE:IGIL</t>
  </si>
  <si>
    <t>NSE:KERNEX</t>
  </si>
  <si>
    <t>NSE:NSDL</t>
  </si>
  <si>
    <t>NSE:E2E</t>
  </si>
  <si>
    <t>NSE:JUSTDIAL</t>
  </si>
  <si>
    <t>NSE:SILVERBEES</t>
  </si>
  <si>
    <t>NSE:TMCV</t>
  </si>
  <si>
    <t>NSE:ARE&amp;M</t>
  </si>
  <si>
    <t>NSE:NETWEB</t>
  </si>
  <si>
    <t>NSE:APOLLOTYRE</t>
  </si>
  <si>
    <t>NSE:HUDCO</t>
  </si>
  <si>
    <t>NSE:LALPATHLAB</t>
  </si>
  <si>
    <t>NSE:GOLDBEES</t>
  </si>
  <si>
    <t>NSE:SENCO</t>
  </si>
  <si>
    <t>NSE:EXIDEIND</t>
  </si>
  <si>
    <t>NSE:SCI</t>
  </si>
  <si>
    <t>NSE:ITBEES</t>
  </si>
  <si>
    <t>NSE:URBANCO</t>
  </si>
  <si>
    <t>NSE:ZENTEC</t>
  </si>
  <si>
    <t>NSE:IRCON</t>
  </si>
  <si>
    <t>NSE:GRSE</t>
  </si>
  <si>
    <t>NSE:RAILTEL</t>
  </si>
  <si>
    <t>NSE:WAAREERTL</t>
  </si>
  <si>
    <t>NSE:MOSCHIP</t>
  </si>
  <si>
    <t>NSE:BEL</t>
  </si>
  <si>
    <t>NSE:BSE</t>
  </si>
  <si>
    <t>NSE:MAXHEALTH</t>
  </si>
  <si>
    <t>NSE:CDSL</t>
  </si>
  <si>
    <t>NSE:HAL</t>
  </si>
  <si>
    <t>NSE:MAZDOCK</t>
  </si>
  <si>
    <t>NSE:BDL</t>
  </si>
  <si>
    <t>NSE:RVNL</t>
  </si>
  <si>
    <t>NSE:IRFC</t>
  </si>
  <si>
    <t>NSE:IREDA</t>
  </si>
  <si>
    <t>NSE:NAM-INDIA</t>
  </si>
  <si>
    <t>NSE:KAYNES</t>
  </si>
  <si>
    <t>NSE:BAJFINANCE</t>
  </si>
  <si>
    <t>NSE:LODHA</t>
  </si>
  <si>
    <t>NSE:KFINTECH</t>
  </si>
  <si>
    <t>NSE:CGPOWER</t>
  </si>
  <si>
    <t>NSE:TRENT</t>
  </si>
  <si>
    <t>NSE:MCX</t>
  </si>
  <si>
    <t>NSE:TCS</t>
  </si>
  <si>
    <t>NSE:TVSMOTOR</t>
  </si>
  <si>
    <t>NSE:SOLARINDS</t>
  </si>
  <si>
    <t>NSE:HDFCAMC</t>
  </si>
  <si>
    <t>NSE:SBIN</t>
  </si>
  <si>
    <t>NSE:INDHOTEL</t>
  </si>
  <si>
    <t>NSE:DIXON</t>
  </si>
  <si>
    <t>NSE:CAMS</t>
  </si>
  <si>
    <t>NSE:COCHINSHIP</t>
  </si>
  <si>
    <t>NSE:LT</t>
  </si>
  <si>
    <t>NSE:VBL</t>
  </si>
  <si>
    <t>NSE:CONCOR</t>
  </si>
  <si>
    <t>NSE:Stock</t>
  </si>
  <si>
    <t>NSE:PRINCEPIPE</t>
  </si>
  <si>
    <t>NSE:ABB</t>
  </si>
  <si>
    <t>NSE:SONACOMS</t>
  </si>
  <si>
    <t>%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</si>
</sst>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1" xfId="0" applyBorder="1"/>
    <xf numFmtId="0" fontId="0" fillId="2" borderId="0" xfId="0" applyFill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22" fontId="1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0"/>
  <sheetViews>
    <sheetView tabSelected="1" workbookViewId="0">
      <selection activeCell="A2" sqref="A2:XFD2"/>
    </sheetView>
  </sheetViews>
  <sheetFormatPr defaultRowHeight="14.5" x14ac:dyDescent="0.35"/>
  <cols>
    <col min="1" max="1" width="23.1796875" customWidth="1"/>
    <col min="2" max="2" width="12.90625" customWidth="1"/>
    <col min="7" max="7" width="13.81640625" customWidth="1"/>
    <col min="8" max="8" width="19.81640625" customWidth="1"/>
    <col min="9" max="9" width="21.54296875" customWidth="1"/>
  </cols>
  <sheetData>
    <row r="1" spans="1:11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165</v>
      </c>
      <c r="H1" s="9" t="s">
        <v>105</v>
      </c>
      <c r="I1" s="10" t="s">
        <v>106</v>
      </c>
    </row>
    <row r="2" spans="1:11" ht="15" hidden="1" thickBot="1" x14ac:dyDescent="0.4">
      <c r="A2" s="13">
        <v>46234.6875</v>
      </c>
      <c r="B2" s="15" t="s">
        <v>27</v>
      </c>
      <c r="C2" s="15" t="s">
        <v>8</v>
      </c>
      <c r="D2" s="16">
        <v>1</v>
      </c>
      <c r="E2" s="16">
        <v>3914</v>
      </c>
      <c r="F2" s="15" t="s">
        <v>9</v>
      </c>
      <c r="G2">
        <f t="shared" ref="G2:G33" si="0">((E2-I2)/E2)*100</f>
        <v>-24.936126724578436</v>
      </c>
      <c r="H2" s="9" t="s">
        <v>115</v>
      </c>
      <c r="I2" s="11">
        <v>4890</v>
      </c>
      <c r="K2" t="str">
        <f t="shared" ref="K2:K33" si="1">IF(COUNTIFS( $B$2:$B$979, B2, $C$2:$C$979, C2, $D$2:$D$979, D2, $E$2:$E$979, E2) &gt; 1, "Duplicate", "Unique")</f>
        <v>Unique</v>
      </c>
    </row>
    <row r="3" spans="1:11" ht="15" hidden="1" thickBot="1" x14ac:dyDescent="0.4">
      <c r="A3" s="13">
        <v>46237.768750000003</v>
      </c>
      <c r="B3" s="15" t="s">
        <v>11</v>
      </c>
      <c r="C3" s="15" t="s">
        <v>8</v>
      </c>
      <c r="D3" s="16">
        <v>1</v>
      </c>
      <c r="E3" s="16">
        <v>2064</v>
      </c>
      <c r="F3" s="15" t="s">
        <v>9</v>
      </c>
      <c r="G3">
        <f t="shared" si="0"/>
        <v>-23.837209302325583</v>
      </c>
      <c r="H3" s="9" t="s">
        <v>108</v>
      </c>
      <c r="I3" s="11">
        <v>2556</v>
      </c>
      <c r="K3" t="str">
        <f t="shared" si="1"/>
        <v>Unique</v>
      </c>
    </row>
    <row r="4" spans="1:11" ht="15" hidden="1" thickBot="1" x14ac:dyDescent="0.4">
      <c r="A4" s="13">
        <v>46234.6875</v>
      </c>
      <c r="B4" s="15" t="s">
        <v>27</v>
      </c>
      <c r="C4" s="15" t="s">
        <v>8</v>
      </c>
      <c r="D4" s="16">
        <v>1</v>
      </c>
      <c r="E4" s="16">
        <v>4014</v>
      </c>
      <c r="F4" s="15" t="s">
        <v>9</v>
      </c>
      <c r="G4">
        <f t="shared" si="0"/>
        <v>-21.823617339312406</v>
      </c>
      <c r="H4" s="9" t="s">
        <v>115</v>
      </c>
      <c r="I4" s="11">
        <v>4890</v>
      </c>
      <c r="K4" t="str">
        <f t="shared" si="1"/>
        <v>Unique</v>
      </c>
    </row>
    <row r="5" spans="1:11" ht="15" hidden="1" thickBot="1" x14ac:dyDescent="0.4">
      <c r="A5" t="s">
        <v>33</v>
      </c>
      <c r="B5" t="s">
        <v>34</v>
      </c>
      <c r="C5" t="s">
        <v>8</v>
      </c>
      <c r="D5">
        <v>25</v>
      </c>
      <c r="E5">
        <v>336</v>
      </c>
      <c r="F5" t="s">
        <v>9</v>
      </c>
      <c r="G5">
        <f t="shared" si="0"/>
        <v>-18.898809523809522</v>
      </c>
      <c r="H5" s="9" t="s">
        <v>120</v>
      </c>
      <c r="I5" s="11">
        <v>399.5</v>
      </c>
      <c r="K5" t="str">
        <f t="shared" si="1"/>
        <v>Unique</v>
      </c>
    </row>
    <row r="6" spans="1:11" ht="15" hidden="1" thickBot="1" x14ac:dyDescent="0.4">
      <c r="A6" t="s">
        <v>10</v>
      </c>
      <c r="B6" t="s">
        <v>11</v>
      </c>
      <c r="C6" t="s">
        <v>8</v>
      </c>
      <c r="D6">
        <v>2</v>
      </c>
      <c r="E6">
        <v>2164</v>
      </c>
      <c r="F6" t="s">
        <v>9</v>
      </c>
      <c r="G6">
        <f t="shared" si="0"/>
        <v>-18.11460258780037</v>
      </c>
      <c r="H6" s="9" t="s">
        <v>108</v>
      </c>
      <c r="I6" s="11">
        <v>2556</v>
      </c>
      <c r="K6" t="str">
        <f t="shared" si="1"/>
        <v>Unique</v>
      </c>
    </row>
    <row r="7" spans="1:11" ht="15" hidden="1" thickBot="1" x14ac:dyDescent="0.4">
      <c r="A7" s="13">
        <v>46237.69027777778</v>
      </c>
      <c r="B7" s="15" t="s">
        <v>27</v>
      </c>
      <c r="C7" s="15" t="s">
        <v>8</v>
      </c>
      <c r="D7" s="16">
        <v>1</v>
      </c>
      <c r="E7" s="16">
        <v>4164</v>
      </c>
      <c r="F7" s="15" t="s">
        <v>9</v>
      </c>
      <c r="G7">
        <f t="shared" si="0"/>
        <v>-17.435158501440924</v>
      </c>
      <c r="H7" s="9" t="s">
        <v>115</v>
      </c>
      <c r="I7" s="11">
        <v>4890</v>
      </c>
      <c r="K7" t="str">
        <f t="shared" si="1"/>
        <v>Unique</v>
      </c>
    </row>
    <row r="8" spans="1:11" ht="29.5" hidden="1" thickBot="1" x14ac:dyDescent="0.4">
      <c r="A8" s="13">
        <v>46237.63553240741</v>
      </c>
      <c r="B8" s="15" t="s">
        <v>104</v>
      </c>
      <c r="C8" s="15" t="s">
        <v>8</v>
      </c>
      <c r="D8" s="16">
        <v>4</v>
      </c>
      <c r="E8" s="16">
        <v>701</v>
      </c>
      <c r="F8" s="15" t="s">
        <v>9</v>
      </c>
      <c r="G8">
        <f t="shared" si="0"/>
        <v>-16.533523537803134</v>
      </c>
      <c r="H8" s="9" t="s">
        <v>164</v>
      </c>
      <c r="I8" s="11">
        <v>816.9</v>
      </c>
      <c r="K8" t="str">
        <f t="shared" si="1"/>
        <v>Unique</v>
      </c>
    </row>
    <row r="9" spans="1:11" ht="15" hidden="1" thickBot="1" x14ac:dyDescent="0.4">
      <c r="A9" s="13">
        <v>46237.69027777778</v>
      </c>
      <c r="B9" s="15" t="s">
        <v>37</v>
      </c>
      <c r="C9" s="15" t="s">
        <v>8</v>
      </c>
      <c r="D9" s="16">
        <v>29</v>
      </c>
      <c r="E9" s="16">
        <v>401</v>
      </c>
      <c r="F9" s="15" t="s">
        <v>9</v>
      </c>
      <c r="G9">
        <f t="shared" si="0"/>
        <v>-16.50872817955112</v>
      </c>
      <c r="H9" s="9" t="s">
        <v>121</v>
      </c>
      <c r="I9" s="11">
        <v>467.2</v>
      </c>
      <c r="K9" t="str">
        <f t="shared" si="1"/>
        <v>Unique</v>
      </c>
    </row>
    <row r="10" spans="1:11" ht="15" hidden="1" thickBot="1" x14ac:dyDescent="0.4">
      <c r="A10" t="s">
        <v>35</v>
      </c>
      <c r="B10" t="s">
        <v>34</v>
      </c>
      <c r="C10" t="s">
        <v>8</v>
      </c>
      <c r="D10">
        <v>25</v>
      </c>
      <c r="E10">
        <v>352</v>
      </c>
      <c r="F10" t="s">
        <v>9</v>
      </c>
      <c r="G10">
        <f t="shared" si="0"/>
        <v>-13.494318181818182</v>
      </c>
      <c r="H10" s="9" t="s">
        <v>120</v>
      </c>
      <c r="I10" s="11">
        <v>399.5</v>
      </c>
      <c r="K10" t="str">
        <f t="shared" si="1"/>
        <v>Unique</v>
      </c>
    </row>
    <row r="11" spans="1:11" ht="15" hidden="1" thickBot="1" x14ac:dyDescent="0.4">
      <c r="A11" t="s">
        <v>36</v>
      </c>
      <c r="B11" t="s">
        <v>11</v>
      </c>
      <c r="C11" t="s">
        <v>8</v>
      </c>
      <c r="D11">
        <v>1</v>
      </c>
      <c r="E11">
        <v>2264</v>
      </c>
      <c r="F11" t="s">
        <v>9</v>
      </c>
      <c r="G11">
        <f t="shared" si="0"/>
        <v>-12.897526501766784</v>
      </c>
      <c r="H11" s="9" t="s">
        <v>108</v>
      </c>
      <c r="I11" s="11">
        <v>2556</v>
      </c>
      <c r="K11" t="str">
        <f t="shared" si="1"/>
        <v>Unique</v>
      </c>
    </row>
    <row r="12" spans="1:11" ht="15" hidden="1" thickBot="1" x14ac:dyDescent="0.4">
      <c r="A12" s="13">
        <v>46237.768750000003</v>
      </c>
      <c r="B12" s="15" t="s">
        <v>7</v>
      </c>
      <c r="C12" s="15" t="s">
        <v>8</v>
      </c>
      <c r="D12" s="16">
        <v>100</v>
      </c>
      <c r="E12" s="16">
        <v>322</v>
      </c>
      <c r="F12" s="15" t="s">
        <v>9</v>
      </c>
      <c r="G12">
        <f t="shared" si="0"/>
        <v>-12.0807453416149</v>
      </c>
      <c r="H12" s="9" t="s">
        <v>107</v>
      </c>
      <c r="I12" s="11">
        <v>360.9</v>
      </c>
      <c r="K12" t="str">
        <f t="shared" si="1"/>
        <v>Unique</v>
      </c>
    </row>
    <row r="13" spans="1:11" ht="15" hidden="1" thickBot="1" x14ac:dyDescent="0.4">
      <c r="A13" s="13">
        <v>46237.768750000003</v>
      </c>
      <c r="B13" s="15" t="s">
        <v>41</v>
      </c>
      <c r="C13" s="15" t="s">
        <v>8</v>
      </c>
      <c r="D13" s="16">
        <v>200</v>
      </c>
      <c r="E13" s="16">
        <v>31.01</v>
      </c>
      <c r="F13" s="15" t="s">
        <v>9</v>
      </c>
      <c r="G13">
        <f t="shared" si="0"/>
        <v>-12.060625604643658</v>
      </c>
      <c r="H13" s="9" t="s">
        <v>123</v>
      </c>
      <c r="I13" s="11">
        <v>34.75</v>
      </c>
      <c r="K13" t="str">
        <f t="shared" si="1"/>
        <v>Unique</v>
      </c>
    </row>
    <row r="14" spans="1:11" ht="15" hidden="1" thickBot="1" x14ac:dyDescent="0.4">
      <c r="A14" s="13">
        <v>46238.690509259257</v>
      </c>
      <c r="B14" s="15" t="s">
        <v>27</v>
      </c>
      <c r="C14" s="15" t="s">
        <v>8</v>
      </c>
      <c r="D14" s="16">
        <v>1</v>
      </c>
      <c r="E14" s="16">
        <v>4364</v>
      </c>
      <c r="F14" s="15" t="s">
        <v>9</v>
      </c>
      <c r="G14">
        <f t="shared" si="0"/>
        <v>-12.053162236480294</v>
      </c>
      <c r="H14" s="9" t="s">
        <v>115</v>
      </c>
      <c r="I14" s="11">
        <v>4890</v>
      </c>
      <c r="K14" t="str">
        <f t="shared" si="1"/>
        <v>Unique</v>
      </c>
    </row>
    <row r="15" spans="1:11" ht="15" hidden="1" thickBot="1" x14ac:dyDescent="0.4">
      <c r="A15" s="13">
        <v>46237.635497685187</v>
      </c>
      <c r="B15" s="15" t="s">
        <v>103</v>
      </c>
      <c r="C15" s="15" t="s">
        <v>8</v>
      </c>
      <c r="D15" s="16">
        <v>1</v>
      </c>
      <c r="E15" s="16">
        <v>6920</v>
      </c>
      <c r="F15" s="15" t="s">
        <v>9</v>
      </c>
      <c r="G15">
        <f t="shared" si="0"/>
        <v>-11.517341040462428</v>
      </c>
      <c r="H15" s="9" t="s">
        <v>163</v>
      </c>
      <c r="I15" s="11">
        <v>7717</v>
      </c>
      <c r="K15" t="str">
        <f t="shared" si="1"/>
        <v>Unique</v>
      </c>
    </row>
    <row r="16" spans="1:11" ht="15" hidden="1" thickBot="1" x14ac:dyDescent="0.4">
      <c r="A16" t="s">
        <v>33</v>
      </c>
      <c r="B16" t="s">
        <v>37</v>
      </c>
      <c r="C16" t="s">
        <v>8</v>
      </c>
      <c r="D16">
        <v>5</v>
      </c>
      <c r="E16">
        <v>419</v>
      </c>
      <c r="F16" t="s">
        <v>9</v>
      </c>
      <c r="G16">
        <f t="shared" si="0"/>
        <v>-11.503579952267302</v>
      </c>
      <c r="H16" s="9" t="s">
        <v>121</v>
      </c>
      <c r="I16" s="11">
        <v>467.2</v>
      </c>
      <c r="K16" t="str">
        <f t="shared" si="1"/>
        <v>Unique</v>
      </c>
    </row>
    <row r="17" spans="1:11" ht="15" hidden="1" thickBot="1" x14ac:dyDescent="0.4">
      <c r="A17" t="s">
        <v>25</v>
      </c>
      <c r="B17" t="s">
        <v>27</v>
      </c>
      <c r="C17" t="s">
        <v>8</v>
      </c>
      <c r="D17">
        <v>2</v>
      </c>
      <c r="E17">
        <v>4410</v>
      </c>
      <c r="F17" t="s">
        <v>9</v>
      </c>
      <c r="G17">
        <f t="shared" si="0"/>
        <v>-10.884353741496598</v>
      </c>
      <c r="H17" s="9" t="s">
        <v>115</v>
      </c>
      <c r="I17" s="11">
        <v>4890</v>
      </c>
      <c r="K17" t="str">
        <f t="shared" si="1"/>
        <v>Unique</v>
      </c>
    </row>
    <row r="18" spans="1:11" ht="15" hidden="1" thickBot="1" x14ac:dyDescent="0.4">
      <c r="A18" s="13">
        <v>46233.688194444447</v>
      </c>
      <c r="B18" s="15" t="s">
        <v>83</v>
      </c>
      <c r="C18" s="15" t="s">
        <v>8</v>
      </c>
      <c r="D18" s="16">
        <v>2</v>
      </c>
      <c r="E18" s="16">
        <v>4010</v>
      </c>
      <c r="F18" s="15" t="s">
        <v>9</v>
      </c>
      <c r="G18">
        <f t="shared" si="0"/>
        <v>-10.513715710723201</v>
      </c>
      <c r="H18" s="9" t="s">
        <v>150</v>
      </c>
      <c r="I18" s="11">
        <v>4431.6000000000004</v>
      </c>
      <c r="K18" t="str">
        <f t="shared" si="1"/>
        <v>Unique</v>
      </c>
    </row>
    <row r="19" spans="1:11" ht="15" hidden="1" thickBot="1" x14ac:dyDescent="0.4">
      <c r="A19" s="13">
        <v>46237.768750000003</v>
      </c>
      <c r="B19" s="15" t="s">
        <v>7</v>
      </c>
      <c r="C19" s="15" t="s">
        <v>8</v>
      </c>
      <c r="D19" s="16">
        <v>100</v>
      </c>
      <c r="E19" s="16">
        <v>327</v>
      </c>
      <c r="F19" s="15" t="s">
        <v>9</v>
      </c>
      <c r="G19">
        <f t="shared" si="0"/>
        <v>-10.366972477064214</v>
      </c>
      <c r="H19" s="9" t="s">
        <v>107</v>
      </c>
      <c r="I19" s="11">
        <v>360.9</v>
      </c>
      <c r="K19" t="str">
        <f t="shared" si="1"/>
        <v>Unique</v>
      </c>
    </row>
    <row r="20" spans="1:11" ht="15" hidden="1" thickBot="1" x14ac:dyDescent="0.4">
      <c r="A20" s="13">
        <v>46237.69027777778</v>
      </c>
      <c r="B20" s="15" t="s">
        <v>26</v>
      </c>
      <c r="C20" s="15" t="s">
        <v>8</v>
      </c>
      <c r="D20" s="16">
        <v>5</v>
      </c>
      <c r="E20" s="16">
        <v>852</v>
      </c>
      <c r="F20" s="15" t="s">
        <v>9</v>
      </c>
      <c r="G20">
        <f t="shared" si="0"/>
        <v>-10.258215962441312</v>
      </c>
      <c r="H20" s="9" t="s">
        <v>114</v>
      </c>
      <c r="I20" s="11">
        <v>939.4</v>
      </c>
      <c r="K20" t="str">
        <f t="shared" si="1"/>
        <v>Unique</v>
      </c>
    </row>
    <row r="21" spans="1:11" ht="15" hidden="1" thickBot="1" x14ac:dyDescent="0.4">
      <c r="A21" t="s">
        <v>23</v>
      </c>
      <c r="B21" t="s">
        <v>24</v>
      </c>
      <c r="C21" t="s">
        <v>8</v>
      </c>
      <c r="D21">
        <v>7</v>
      </c>
      <c r="E21">
        <v>411</v>
      </c>
      <c r="F21" t="s">
        <v>9</v>
      </c>
      <c r="G21">
        <f t="shared" si="0"/>
        <v>-9.7080291970802861</v>
      </c>
      <c r="H21" s="9" t="s">
        <v>113</v>
      </c>
      <c r="I21" s="11">
        <v>450.9</v>
      </c>
      <c r="K21" t="str">
        <f t="shared" si="1"/>
        <v>Unique</v>
      </c>
    </row>
    <row r="22" spans="1:11" ht="15" hidden="1" thickBot="1" x14ac:dyDescent="0.4">
      <c r="A22" s="13">
        <v>46237.69027777778</v>
      </c>
      <c r="B22" s="15" t="s">
        <v>102</v>
      </c>
      <c r="C22" s="15" t="s">
        <v>8</v>
      </c>
      <c r="D22" s="16">
        <v>10</v>
      </c>
      <c r="E22" s="16">
        <v>251</v>
      </c>
      <c r="F22" s="15" t="s">
        <v>9</v>
      </c>
      <c r="G22">
        <f t="shared" si="0"/>
        <v>-9.5418326693227051</v>
      </c>
      <c r="H22" s="9" t="s">
        <v>162</v>
      </c>
      <c r="I22" s="11">
        <v>274.95</v>
      </c>
      <c r="K22" t="str">
        <f t="shared" si="1"/>
        <v>Unique</v>
      </c>
    </row>
    <row r="23" spans="1:11" ht="15" hidden="1" thickBot="1" x14ac:dyDescent="0.4">
      <c r="A23" t="s">
        <v>25</v>
      </c>
      <c r="B23" t="s">
        <v>26</v>
      </c>
      <c r="C23" t="s">
        <v>8</v>
      </c>
      <c r="D23">
        <v>30</v>
      </c>
      <c r="E23">
        <v>860</v>
      </c>
      <c r="F23" t="s">
        <v>9</v>
      </c>
      <c r="G23">
        <f t="shared" si="0"/>
        <v>-9.2325581395348806</v>
      </c>
      <c r="H23" s="9" t="s">
        <v>114</v>
      </c>
      <c r="I23" s="11">
        <v>939.4</v>
      </c>
      <c r="K23" t="str">
        <f t="shared" si="1"/>
        <v>Unique</v>
      </c>
    </row>
    <row r="24" spans="1:11" ht="15" hidden="1" thickBot="1" x14ac:dyDescent="0.4">
      <c r="A24" t="s">
        <v>33</v>
      </c>
      <c r="B24" t="s">
        <v>34</v>
      </c>
      <c r="C24" t="s">
        <v>8</v>
      </c>
      <c r="D24">
        <v>5</v>
      </c>
      <c r="E24">
        <v>366</v>
      </c>
      <c r="F24" t="s">
        <v>9</v>
      </c>
      <c r="G24">
        <f t="shared" si="0"/>
        <v>-9.1530054644808754</v>
      </c>
      <c r="H24" s="9" t="s">
        <v>120</v>
      </c>
      <c r="I24" s="11">
        <v>399.5</v>
      </c>
      <c r="K24" t="str">
        <f t="shared" si="1"/>
        <v>Unique</v>
      </c>
    </row>
    <row r="25" spans="1:11" ht="15" hidden="1" thickBot="1" x14ac:dyDescent="0.4">
      <c r="A25" s="13">
        <v>46233.688194444447</v>
      </c>
      <c r="B25" s="15" t="s">
        <v>83</v>
      </c>
      <c r="C25" s="15" t="s">
        <v>8</v>
      </c>
      <c r="D25" s="16">
        <v>2</v>
      </c>
      <c r="E25" s="16">
        <v>4060</v>
      </c>
      <c r="F25" s="15" t="s">
        <v>9</v>
      </c>
      <c r="G25">
        <f t="shared" si="0"/>
        <v>-9.1527093596059199</v>
      </c>
      <c r="H25" s="9" t="s">
        <v>150</v>
      </c>
      <c r="I25" s="11">
        <v>4431.6000000000004</v>
      </c>
      <c r="K25" t="str">
        <f t="shared" si="1"/>
        <v>Unique</v>
      </c>
    </row>
    <row r="26" spans="1:11" ht="15" hidden="1" thickBot="1" x14ac:dyDescent="0.4">
      <c r="A26" s="13">
        <v>46237.768750000003</v>
      </c>
      <c r="B26" s="15" t="s">
        <v>7</v>
      </c>
      <c r="C26" s="15" t="s">
        <v>8</v>
      </c>
      <c r="D26" s="16">
        <v>100</v>
      </c>
      <c r="E26" s="16">
        <v>331</v>
      </c>
      <c r="F26" s="15" t="s">
        <v>9</v>
      </c>
      <c r="G26">
        <f t="shared" si="0"/>
        <v>-9.0332326283987854</v>
      </c>
      <c r="H26" s="9" t="s">
        <v>107</v>
      </c>
      <c r="I26" s="11">
        <v>360.9</v>
      </c>
      <c r="K26" t="str">
        <f t="shared" si="1"/>
        <v>Unique</v>
      </c>
    </row>
    <row r="27" spans="1:11" ht="15" hidden="1" thickBot="1" x14ac:dyDescent="0.4">
      <c r="A27" s="13">
        <v>46238.635567129626</v>
      </c>
      <c r="B27" s="15" t="s">
        <v>79</v>
      </c>
      <c r="C27" s="15" t="s">
        <v>8</v>
      </c>
      <c r="D27" s="16">
        <v>5</v>
      </c>
      <c r="E27" s="16">
        <v>812</v>
      </c>
      <c r="F27" s="15" t="s">
        <v>9</v>
      </c>
      <c r="G27">
        <f t="shared" si="0"/>
        <v>-8.6330049261083772</v>
      </c>
      <c r="H27" s="9" t="s">
        <v>146</v>
      </c>
      <c r="I27" s="11">
        <v>882.1</v>
      </c>
      <c r="K27" t="str">
        <f t="shared" si="1"/>
        <v>Unique</v>
      </c>
    </row>
    <row r="28" spans="1:11" ht="15" hidden="1" thickBot="1" x14ac:dyDescent="0.4">
      <c r="A28" s="13">
        <v>46238.690462962964</v>
      </c>
      <c r="B28" s="15" t="s">
        <v>39</v>
      </c>
      <c r="C28" s="15" t="s">
        <v>8</v>
      </c>
      <c r="D28" s="16">
        <v>37</v>
      </c>
      <c r="E28" s="16">
        <v>277</v>
      </c>
      <c r="F28" s="15" t="s">
        <v>9</v>
      </c>
      <c r="G28">
        <f t="shared" si="0"/>
        <v>-8.3754512635379008</v>
      </c>
      <c r="H28" s="9" t="s">
        <v>122</v>
      </c>
      <c r="I28" s="11">
        <v>300.2</v>
      </c>
      <c r="K28" t="str">
        <f t="shared" si="1"/>
        <v>Unique</v>
      </c>
    </row>
    <row r="29" spans="1:11" ht="15" hidden="1" thickBot="1" x14ac:dyDescent="0.4">
      <c r="A29" t="s">
        <v>61</v>
      </c>
      <c r="B29" t="s">
        <v>76</v>
      </c>
      <c r="C29" t="s">
        <v>8</v>
      </c>
      <c r="D29">
        <v>4</v>
      </c>
      <c r="E29">
        <v>1066</v>
      </c>
      <c r="F29" t="s">
        <v>9</v>
      </c>
      <c r="G29">
        <f t="shared" si="0"/>
        <v>-8.1707317073170653</v>
      </c>
      <c r="H29" s="9" t="s">
        <v>143</v>
      </c>
      <c r="I29" s="11">
        <v>1153.0999999999999</v>
      </c>
      <c r="K29" t="str">
        <f t="shared" si="1"/>
        <v>Unique</v>
      </c>
    </row>
    <row r="30" spans="1:11" ht="15" hidden="1" thickBot="1" x14ac:dyDescent="0.4">
      <c r="A30" t="s">
        <v>74</v>
      </c>
      <c r="B30" t="s">
        <v>78</v>
      </c>
      <c r="C30" t="s">
        <v>8</v>
      </c>
      <c r="D30">
        <v>40</v>
      </c>
      <c r="E30">
        <v>878</v>
      </c>
      <c r="F30" t="s">
        <v>9</v>
      </c>
      <c r="G30">
        <f t="shared" si="0"/>
        <v>-8.0580865603644654</v>
      </c>
      <c r="H30" s="9" t="s">
        <v>145</v>
      </c>
      <c r="I30" s="11">
        <v>948.75</v>
      </c>
      <c r="K30" t="str">
        <f t="shared" si="1"/>
        <v>Unique</v>
      </c>
    </row>
    <row r="31" spans="1:11" ht="15" hidden="1" thickBot="1" x14ac:dyDescent="0.4">
      <c r="A31" t="s">
        <v>23</v>
      </c>
      <c r="B31" t="s">
        <v>31</v>
      </c>
      <c r="C31" t="s">
        <v>8</v>
      </c>
      <c r="D31">
        <v>4</v>
      </c>
      <c r="E31">
        <v>1751</v>
      </c>
      <c r="F31" t="s">
        <v>9</v>
      </c>
      <c r="G31">
        <f t="shared" si="0"/>
        <v>-8.0525414049114783</v>
      </c>
      <c r="H31" s="9" t="s">
        <v>118</v>
      </c>
      <c r="I31" s="11">
        <v>1892</v>
      </c>
      <c r="K31" t="str">
        <f t="shared" si="1"/>
        <v>Unique</v>
      </c>
    </row>
    <row r="32" spans="1:11" ht="15" hidden="1" thickBot="1" x14ac:dyDescent="0.4">
      <c r="A32" s="13">
        <v>46237.635555555556</v>
      </c>
      <c r="B32" s="15" t="s">
        <v>83</v>
      </c>
      <c r="C32" s="15" t="s">
        <v>8</v>
      </c>
      <c r="D32" s="16">
        <v>1</v>
      </c>
      <c r="E32" s="16">
        <v>4110</v>
      </c>
      <c r="F32" s="15" t="s">
        <v>9</v>
      </c>
      <c r="G32">
        <f t="shared" si="0"/>
        <v>-7.8248175182481834</v>
      </c>
      <c r="H32" s="9" t="s">
        <v>150</v>
      </c>
      <c r="I32" s="11">
        <v>4431.6000000000004</v>
      </c>
      <c r="K32" t="str">
        <f t="shared" si="1"/>
        <v>Unique</v>
      </c>
    </row>
    <row r="33" spans="1:11" ht="15" hidden="1" thickBot="1" x14ac:dyDescent="0.4">
      <c r="A33" t="s">
        <v>42</v>
      </c>
      <c r="B33" t="s">
        <v>7</v>
      </c>
      <c r="C33" t="s">
        <v>8</v>
      </c>
      <c r="D33">
        <v>100</v>
      </c>
      <c r="E33">
        <v>335</v>
      </c>
      <c r="F33" t="s">
        <v>9</v>
      </c>
      <c r="G33">
        <f t="shared" si="0"/>
        <v>-7.731343283582083</v>
      </c>
      <c r="H33" s="9" t="s">
        <v>107</v>
      </c>
      <c r="I33" s="11">
        <v>360.9</v>
      </c>
      <c r="K33" t="str">
        <f t="shared" si="1"/>
        <v>Unique</v>
      </c>
    </row>
    <row r="34" spans="1:11" ht="15" hidden="1" thickBot="1" x14ac:dyDescent="0.4">
      <c r="A34" s="13">
        <v>46237.635555555556</v>
      </c>
      <c r="B34" s="15" t="s">
        <v>80</v>
      </c>
      <c r="C34" s="15" t="s">
        <v>8</v>
      </c>
      <c r="D34" s="16">
        <v>5</v>
      </c>
      <c r="E34" s="16">
        <v>2888</v>
      </c>
      <c r="F34" s="15" t="s">
        <v>9</v>
      </c>
      <c r="G34">
        <f t="shared" ref="G34:G65" si="2">((E34-I34)/E34)*100</f>
        <v>-7.6869806094182831</v>
      </c>
      <c r="H34" s="9" t="s">
        <v>147</v>
      </c>
      <c r="I34" s="11">
        <v>3110</v>
      </c>
      <c r="K34" t="str">
        <f t="shared" ref="K34:K65" si="3">IF(COUNTIFS( $B$2:$B$979, B34, $C$2:$C$979, C34, $D$2:$D$979, D34, $E$2:$E$979, E34) &gt; 1, "Duplicate", "Unique")</f>
        <v>Unique</v>
      </c>
    </row>
    <row r="35" spans="1:11" ht="15" hidden="1" thickBot="1" x14ac:dyDescent="0.4">
      <c r="A35" s="13">
        <v>46233.688194444447</v>
      </c>
      <c r="B35" s="15" t="s">
        <v>95</v>
      </c>
      <c r="C35" s="15" t="s">
        <v>8</v>
      </c>
      <c r="D35" s="16">
        <v>2</v>
      </c>
      <c r="E35" s="16">
        <v>3760</v>
      </c>
      <c r="F35" s="15" t="s">
        <v>9</v>
      </c>
      <c r="G35">
        <f t="shared" si="2"/>
        <v>-7.6329787234042561</v>
      </c>
      <c r="H35" s="9" t="s">
        <v>158</v>
      </c>
      <c r="I35" s="11">
        <v>4047</v>
      </c>
      <c r="K35" t="str">
        <f t="shared" si="3"/>
        <v>Unique</v>
      </c>
    </row>
    <row r="36" spans="1:11" ht="15" hidden="1" thickBot="1" x14ac:dyDescent="0.4">
      <c r="A36" t="s">
        <v>25</v>
      </c>
      <c r="B36" t="s">
        <v>32</v>
      </c>
      <c r="C36" t="s">
        <v>8</v>
      </c>
      <c r="D36">
        <v>100</v>
      </c>
      <c r="E36">
        <v>111</v>
      </c>
      <c r="F36" t="s">
        <v>9</v>
      </c>
      <c r="G36">
        <f t="shared" si="2"/>
        <v>-7.5135135135135176</v>
      </c>
      <c r="H36" s="9" t="s">
        <v>119</v>
      </c>
      <c r="I36" s="11">
        <v>119.34</v>
      </c>
      <c r="K36" t="str">
        <f t="shared" si="3"/>
        <v>Unique</v>
      </c>
    </row>
    <row r="37" spans="1:11" ht="15" hidden="1" thickBot="1" x14ac:dyDescent="0.4">
      <c r="A37" s="13">
        <v>46237.63554398148</v>
      </c>
      <c r="B37" s="15" t="s">
        <v>82</v>
      </c>
      <c r="C37" s="15" t="s">
        <v>8</v>
      </c>
      <c r="D37" s="16">
        <v>9</v>
      </c>
      <c r="E37" s="16">
        <v>2251</v>
      </c>
      <c r="F37" s="15" t="s">
        <v>9</v>
      </c>
      <c r="G37">
        <f t="shared" si="2"/>
        <v>-7.2501110617503253</v>
      </c>
      <c r="H37" s="9" t="s">
        <v>149</v>
      </c>
      <c r="I37" s="11">
        <v>2414.1999999999998</v>
      </c>
      <c r="K37" t="str">
        <f t="shared" si="3"/>
        <v>Unique</v>
      </c>
    </row>
    <row r="38" spans="1:11" ht="15" hidden="1" thickBot="1" x14ac:dyDescent="0.4">
      <c r="A38" t="s">
        <v>42</v>
      </c>
      <c r="B38" t="s">
        <v>7</v>
      </c>
      <c r="C38" t="s">
        <v>8</v>
      </c>
      <c r="D38">
        <v>100</v>
      </c>
      <c r="E38">
        <v>337</v>
      </c>
      <c r="F38" t="s">
        <v>9</v>
      </c>
      <c r="G38">
        <f t="shared" si="2"/>
        <v>-7.0919881305637906</v>
      </c>
      <c r="H38" s="9" t="s">
        <v>107</v>
      </c>
      <c r="I38" s="11">
        <v>360.9</v>
      </c>
      <c r="K38" t="str">
        <f t="shared" si="3"/>
        <v>Unique</v>
      </c>
    </row>
    <row r="39" spans="1:11" ht="15" hidden="1" thickBot="1" x14ac:dyDescent="0.4">
      <c r="A39" t="s">
        <v>17</v>
      </c>
      <c r="B39" t="s">
        <v>18</v>
      </c>
      <c r="C39" t="s">
        <v>8</v>
      </c>
      <c r="D39">
        <v>30</v>
      </c>
      <c r="E39">
        <v>640</v>
      </c>
      <c r="F39" t="s">
        <v>9</v>
      </c>
      <c r="G39">
        <f t="shared" si="2"/>
        <v>-7.03125</v>
      </c>
      <c r="H39" s="9" t="s">
        <v>111</v>
      </c>
      <c r="I39" s="11">
        <v>685</v>
      </c>
      <c r="K39" t="str">
        <f t="shared" si="3"/>
        <v>Unique</v>
      </c>
    </row>
    <row r="40" spans="1:11" ht="15" hidden="1" thickBot="1" x14ac:dyDescent="0.4">
      <c r="A40" t="s">
        <v>71</v>
      </c>
      <c r="B40" t="s">
        <v>72</v>
      </c>
      <c r="C40" t="s">
        <v>8</v>
      </c>
      <c r="D40">
        <v>5</v>
      </c>
      <c r="E40">
        <v>1132</v>
      </c>
      <c r="F40" t="s">
        <v>9</v>
      </c>
      <c r="G40">
        <f t="shared" si="2"/>
        <v>-7.0229681978798588</v>
      </c>
      <c r="H40" s="9" t="s">
        <v>141</v>
      </c>
      <c r="I40" s="11">
        <v>1211.5</v>
      </c>
      <c r="K40" t="str">
        <f t="shared" si="3"/>
        <v>Unique</v>
      </c>
    </row>
    <row r="41" spans="1:11" ht="15" hidden="1" thickBot="1" x14ac:dyDescent="0.4">
      <c r="A41" t="s">
        <v>61</v>
      </c>
      <c r="B41" t="s">
        <v>77</v>
      </c>
      <c r="C41" t="s">
        <v>8</v>
      </c>
      <c r="D41">
        <v>10</v>
      </c>
      <c r="E41">
        <v>1166</v>
      </c>
      <c r="F41" t="s">
        <v>9</v>
      </c>
      <c r="G41">
        <f t="shared" si="2"/>
        <v>-6.9554030874785511</v>
      </c>
      <c r="H41" s="9" t="s">
        <v>144</v>
      </c>
      <c r="I41" s="11">
        <v>1247.0999999999999</v>
      </c>
      <c r="K41" t="str">
        <f t="shared" si="3"/>
        <v>Unique</v>
      </c>
    </row>
    <row r="42" spans="1:11" ht="15" hidden="1" thickBot="1" x14ac:dyDescent="0.4">
      <c r="A42" t="s">
        <v>15</v>
      </c>
      <c r="B42" t="s">
        <v>16</v>
      </c>
      <c r="C42" t="s">
        <v>8</v>
      </c>
      <c r="D42">
        <v>5</v>
      </c>
      <c r="E42">
        <v>560</v>
      </c>
      <c r="F42" t="s">
        <v>9</v>
      </c>
      <c r="G42">
        <f t="shared" si="2"/>
        <v>-6.90178571428571</v>
      </c>
      <c r="H42" s="9" t="s">
        <v>110</v>
      </c>
      <c r="I42" s="11">
        <v>598.65</v>
      </c>
      <c r="K42" t="str">
        <f t="shared" si="3"/>
        <v>Unique</v>
      </c>
    </row>
    <row r="43" spans="1:11" ht="15" hidden="1" thickBot="1" x14ac:dyDescent="0.4">
      <c r="A43" s="13">
        <v>46238.690462962964</v>
      </c>
      <c r="B43" s="15" t="s">
        <v>39</v>
      </c>
      <c r="C43" s="15" t="s">
        <v>8</v>
      </c>
      <c r="D43" s="16">
        <v>20</v>
      </c>
      <c r="E43" s="16">
        <v>281</v>
      </c>
      <c r="F43" s="15" t="s">
        <v>9</v>
      </c>
      <c r="G43">
        <f t="shared" si="2"/>
        <v>-6.8327402135231283</v>
      </c>
      <c r="H43" s="9" t="s">
        <v>122</v>
      </c>
      <c r="I43" s="11">
        <v>300.2</v>
      </c>
      <c r="K43" t="str">
        <f t="shared" si="3"/>
        <v>Unique</v>
      </c>
    </row>
    <row r="44" spans="1:11" ht="15" hidden="1" thickBot="1" x14ac:dyDescent="0.4">
      <c r="A44" t="s">
        <v>54</v>
      </c>
      <c r="B44" t="s">
        <v>59</v>
      </c>
      <c r="C44" t="s">
        <v>8</v>
      </c>
      <c r="D44">
        <v>30</v>
      </c>
      <c r="E44">
        <v>1007</v>
      </c>
      <c r="F44" t="s">
        <v>9</v>
      </c>
      <c r="G44">
        <f t="shared" si="2"/>
        <v>-6.7527308838133067</v>
      </c>
      <c r="H44" s="9" t="s">
        <v>133</v>
      </c>
      <c r="I44" s="11">
        <v>1075</v>
      </c>
      <c r="K44" t="str">
        <f t="shared" si="3"/>
        <v>Unique</v>
      </c>
    </row>
    <row r="45" spans="1:11" ht="15" hidden="1" thickBot="1" x14ac:dyDescent="0.4">
      <c r="A45" t="s">
        <v>43</v>
      </c>
      <c r="B45" t="s">
        <v>26</v>
      </c>
      <c r="C45" t="s">
        <v>8</v>
      </c>
      <c r="D45">
        <v>11</v>
      </c>
      <c r="E45">
        <v>882</v>
      </c>
      <c r="F45" t="s">
        <v>9</v>
      </c>
      <c r="G45">
        <f t="shared" si="2"/>
        <v>-6.5079365079365052</v>
      </c>
      <c r="H45" s="9" t="s">
        <v>114</v>
      </c>
      <c r="I45" s="11">
        <v>939.4</v>
      </c>
      <c r="K45" t="str">
        <f t="shared" si="3"/>
        <v>Unique</v>
      </c>
    </row>
    <row r="46" spans="1:11" ht="15" hidden="1" thickBot="1" x14ac:dyDescent="0.4">
      <c r="A46" s="13">
        <v>46238.635555555556</v>
      </c>
      <c r="B46" s="15" t="s">
        <v>93</v>
      </c>
      <c r="C46" s="15" t="s">
        <v>8</v>
      </c>
      <c r="D46" s="16">
        <v>25</v>
      </c>
      <c r="E46" s="16">
        <v>764</v>
      </c>
      <c r="F46" s="15" t="s">
        <v>9</v>
      </c>
      <c r="G46">
        <f t="shared" si="2"/>
        <v>-6.2630890052356047</v>
      </c>
      <c r="H46" s="9" t="s">
        <v>156</v>
      </c>
      <c r="I46" s="11">
        <v>811.85</v>
      </c>
      <c r="K46" t="str">
        <f t="shared" si="3"/>
        <v>Unique</v>
      </c>
    </row>
    <row r="47" spans="1:11" ht="15" hidden="1" thickBot="1" x14ac:dyDescent="0.4">
      <c r="A47" t="s">
        <v>29</v>
      </c>
      <c r="B47" t="s">
        <v>30</v>
      </c>
      <c r="C47" t="s">
        <v>8</v>
      </c>
      <c r="D47">
        <v>25</v>
      </c>
      <c r="E47">
        <v>190.1</v>
      </c>
      <c r="F47" t="s">
        <v>9</v>
      </c>
      <c r="G47">
        <f t="shared" si="2"/>
        <v>-6.2598632298790147</v>
      </c>
      <c r="H47" s="9" t="s">
        <v>117</v>
      </c>
      <c r="I47" s="11">
        <v>202</v>
      </c>
      <c r="K47" t="str">
        <f t="shared" si="3"/>
        <v>Unique</v>
      </c>
    </row>
    <row r="48" spans="1:11" ht="15" hidden="1" thickBot="1" x14ac:dyDescent="0.4">
      <c r="A48" s="13">
        <v>46233.688194444447</v>
      </c>
      <c r="B48" s="15" t="s">
        <v>95</v>
      </c>
      <c r="C48" s="15" t="s">
        <v>8</v>
      </c>
      <c r="D48" s="16">
        <v>3</v>
      </c>
      <c r="E48" s="16">
        <v>3810</v>
      </c>
      <c r="F48" s="15" t="s">
        <v>9</v>
      </c>
      <c r="G48">
        <f t="shared" si="2"/>
        <v>-6.2204724409448815</v>
      </c>
      <c r="H48" s="9" t="s">
        <v>158</v>
      </c>
      <c r="I48" s="11">
        <v>4047</v>
      </c>
      <c r="K48" t="str">
        <f t="shared" si="3"/>
        <v>Unique</v>
      </c>
    </row>
    <row r="49" spans="1:11" ht="15" hidden="1" thickBot="1" x14ac:dyDescent="0.4">
      <c r="A49" t="s">
        <v>71</v>
      </c>
      <c r="B49" t="s">
        <v>72</v>
      </c>
      <c r="C49" t="s">
        <v>8</v>
      </c>
      <c r="D49">
        <v>5</v>
      </c>
      <c r="E49">
        <v>1142</v>
      </c>
      <c r="F49" t="s">
        <v>9</v>
      </c>
      <c r="G49">
        <f t="shared" si="2"/>
        <v>-6.0858143607705779</v>
      </c>
      <c r="H49" s="9" t="s">
        <v>141</v>
      </c>
      <c r="I49" s="11">
        <v>1211.5</v>
      </c>
      <c r="K49" t="str">
        <f t="shared" si="3"/>
        <v>Unique</v>
      </c>
    </row>
    <row r="50" spans="1:11" ht="15" hidden="1" thickBot="1" x14ac:dyDescent="0.4">
      <c r="A50" t="s">
        <v>42</v>
      </c>
      <c r="B50" t="s">
        <v>7</v>
      </c>
      <c r="C50" t="s">
        <v>8</v>
      </c>
      <c r="D50">
        <v>100</v>
      </c>
      <c r="E50">
        <v>340.2</v>
      </c>
      <c r="F50" t="s">
        <v>9</v>
      </c>
      <c r="G50">
        <f t="shared" si="2"/>
        <v>-6.084656084656082</v>
      </c>
      <c r="H50" s="9" t="s">
        <v>107</v>
      </c>
      <c r="I50" s="11">
        <v>360.9</v>
      </c>
      <c r="K50" t="str">
        <f t="shared" si="3"/>
        <v>Unique</v>
      </c>
    </row>
    <row r="51" spans="1:11" ht="15" hidden="1" thickBot="1" x14ac:dyDescent="0.4">
      <c r="A51" t="s">
        <v>71</v>
      </c>
      <c r="B51" t="s">
        <v>57</v>
      </c>
      <c r="C51" t="s">
        <v>8</v>
      </c>
      <c r="D51">
        <v>1</v>
      </c>
      <c r="E51">
        <v>3310</v>
      </c>
      <c r="F51" t="s">
        <v>9</v>
      </c>
      <c r="G51">
        <f t="shared" si="2"/>
        <v>-6.0725075528700909</v>
      </c>
      <c r="H51" s="9" t="s">
        <v>132</v>
      </c>
      <c r="I51" s="11">
        <v>3511</v>
      </c>
      <c r="K51" t="str">
        <f t="shared" si="3"/>
        <v>Unique</v>
      </c>
    </row>
    <row r="52" spans="1:11" ht="15" hidden="1" thickBot="1" x14ac:dyDescent="0.4">
      <c r="A52" t="s">
        <v>91</v>
      </c>
      <c r="B52" t="s">
        <v>92</v>
      </c>
      <c r="C52" t="s">
        <v>8</v>
      </c>
      <c r="D52">
        <v>1</v>
      </c>
      <c r="E52">
        <v>13552</v>
      </c>
      <c r="F52" t="s">
        <v>9</v>
      </c>
      <c r="G52">
        <f t="shared" si="2"/>
        <v>-5.9622195985832347</v>
      </c>
      <c r="H52" s="9" t="s">
        <v>155</v>
      </c>
      <c r="I52" s="11">
        <v>14360</v>
      </c>
      <c r="K52" t="str">
        <f t="shared" si="3"/>
        <v>Unique</v>
      </c>
    </row>
    <row r="53" spans="1:11" ht="15" hidden="1" thickBot="1" x14ac:dyDescent="0.4">
      <c r="A53" t="s">
        <v>71</v>
      </c>
      <c r="B53" t="s">
        <v>80</v>
      </c>
      <c r="C53" t="s">
        <v>8</v>
      </c>
      <c r="D53">
        <v>5</v>
      </c>
      <c r="E53">
        <v>2938</v>
      </c>
      <c r="F53" t="s">
        <v>9</v>
      </c>
      <c r="G53">
        <f t="shared" si="2"/>
        <v>-5.8543226684819611</v>
      </c>
      <c r="H53" s="9" t="s">
        <v>147</v>
      </c>
      <c r="I53" s="11">
        <v>3110</v>
      </c>
      <c r="K53" t="str">
        <f t="shared" si="3"/>
        <v>Unique</v>
      </c>
    </row>
    <row r="54" spans="1:11" ht="15" hidden="1" thickBot="1" x14ac:dyDescent="0.4">
      <c r="A54" t="s">
        <v>74</v>
      </c>
      <c r="B54" t="s">
        <v>78</v>
      </c>
      <c r="C54" t="s">
        <v>8</v>
      </c>
      <c r="D54">
        <v>40</v>
      </c>
      <c r="E54">
        <v>897</v>
      </c>
      <c r="F54" t="s">
        <v>9</v>
      </c>
      <c r="G54">
        <f t="shared" si="2"/>
        <v>-5.7692307692307692</v>
      </c>
      <c r="H54" s="9" t="s">
        <v>145</v>
      </c>
      <c r="I54" s="11">
        <v>948.75</v>
      </c>
      <c r="K54" t="str">
        <f t="shared" si="3"/>
        <v>Unique</v>
      </c>
    </row>
    <row r="55" spans="1:11" ht="15" hidden="1" thickBot="1" x14ac:dyDescent="0.4">
      <c r="A55" s="13">
        <v>46237.63553240741</v>
      </c>
      <c r="B55" s="15" t="s">
        <v>95</v>
      </c>
      <c r="C55" s="15" t="s">
        <v>8</v>
      </c>
      <c r="D55" s="16">
        <v>2</v>
      </c>
      <c r="E55" s="16">
        <v>3830</v>
      </c>
      <c r="F55" s="15" t="s">
        <v>9</v>
      </c>
      <c r="G55">
        <f t="shared" si="2"/>
        <v>-5.6657963446475197</v>
      </c>
      <c r="H55" s="9" t="s">
        <v>158</v>
      </c>
      <c r="I55" s="11">
        <v>4047</v>
      </c>
      <c r="K55" t="str">
        <f t="shared" si="3"/>
        <v>Unique</v>
      </c>
    </row>
    <row r="56" spans="1:11" ht="15" hidden="1" thickBot="1" x14ac:dyDescent="0.4">
      <c r="A56" t="s">
        <v>44</v>
      </c>
      <c r="B56" t="s">
        <v>20</v>
      </c>
      <c r="C56" t="s">
        <v>8</v>
      </c>
      <c r="D56">
        <v>50</v>
      </c>
      <c r="E56">
        <v>202</v>
      </c>
      <c r="F56" t="s">
        <v>9</v>
      </c>
      <c r="G56">
        <f t="shared" si="2"/>
        <v>-5.6435643564356468</v>
      </c>
      <c r="H56" s="9" t="s">
        <v>112</v>
      </c>
      <c r="I56" s="11">
        <v>213.4</v>
      </c>
      <c r="K56" t="str">
        <f t="shared" si="3"/>
        <v>Unique</v>
      </c>
    </row>
    <row r="57" spans="1:11" ht="15" hidden="1" thickBot="1" x14ac:dyDescent="0.4">
      <c r="A57" t="s">
        <v>56</v>
      </c>
      <c r="B57" t="s">
        <v>79</v>
      </c>
      <c r="C57" t="s">
        <v>8</v>
      </c>
      <c r="D57">
        <v>25</v>
      </c>
      <c r="E57">
        <v>836</v>
      </c>
      <c r="F57" t="s">
        <v>9</v>
      </c>
      <c r="G57">
        <f t="shared" si="2"/>
        <v>-5.514354066985649</v>
      </c>
      <c r="H57" s="9" t="s">
        <v>146</v>
      </c>
      <c r="I57" s="11">
        <v>882.1</v>
      </c>
      <c r="K57" t="str">
        <f t="shared" si="3"/>
        <v>Unique</v>
      </c>
    </row>
    <row r="58" spans="1:11" ht="15" hidden="1" thickBot="1" x14ac:dyDescent="0.4">
      <c r="A58" t="s">
        <v>71</v>
      </c>
      <c r="B58" t="s">
        <v>83</v>
      </c>
      <c r="C58" t="s">
        <v>8</v>
      </c>
      <c r="D58">
        <v>1</v>
      </c>
      <c r="E58">
        <v>4206</v>
      </c>
      <c r="F58" t="s">
        <v>9</v>
      </c>
      <c r="G58">
        <f t="shared" si="2"/>
        <v>-5.3637660485021481</v>
      </c>
      <c r="H58" s="9" t="s">
        <v>150</v>
      </c>
      <c r="I58" s="11">
        <v>4431.6000000000004</v>
      </c>
      <c r="K58" t="str">
        <f t="shared" si="3"/>
        <v>Unique</v>
      </c>
    </row>
    <row r="59" spans="1:11" ht="15" hidden="1" thickBot="1" x14ac:dyDescent="0.4">
      <c r="A59" t="s">
        <v>56</v>
      </c>
      <c r="B59" t="s">
        <v>79</v>
      </c>
      <c r="C59" t="s">
        <v>8</v>
      </c>
      <c r="D59">
        <v>5</v>
      </c>
      <c r="E59">
        <v>838</v>
      </c>
      <c r="F59" t="s">
        <v>9</v>
      </c>
      <c r="G59">
        <f t="shared" si="2"/>
        <v>-5.262529832935563</v>
      </c>
      <c r="H59" s="9" t="s">
        <v>146</v>
      </c>
      <c r="I59" s="11">
        <v>882.1</v>
      </c>
      <c r="K59" t="str">
        <f t="shared" si="3"/>
        <v>Unique</v>
      </c>
    </row>
    <row r="60" spans="1:11" ht="15" hidden="1" thickBot="1" x14ac:dyDescent="0.4">
      <c r="A60" t="s">
        <v>71</v>
      </c>
      <c r="B60" t="s">
        <v>72</v>
      </c>
      <c r="C60" t="s">
        <v>8</v>
      </c>
      <c r="D60">
        <v>5</v>
      </c>
      <c r="E60">
        <v>1152</v>
      </c>
      <c r="F60" t="s">
        <v>9</v>
      </c>
      <c r="G60">
        <f t="shared" si="2"/>
        <v>-5.1649305555555554</v>
      </c>
      <c r="H60" s="9" t="s">
        <v>141</v>
      </c>
      <c r="I60" s="11">
        <v>1211.5</v>
      </c>
      <c r="K60" t="str">
        <f t="shared" si="3"/>
        <v>Unique</v>
      </c>
    </row>
    <row r="61" spans="1:11" ht="15" hidden="1" thickBot="1" x14ac:dyDescent="0.4">
      <c r="A61" t="s">
        <v>44</v>
      </c>
      <c r="B61" t="s">
        <v>45</v>
      </c>
      <c r="C61" t="s">
        <v>8</v>
      </c>
      <c r="D61">
        <v>45</v>
      </c>
      <c r="E61">
        <v>136.15</v>
      </c>
      <c r="F61" t="s">
        <v>9</v>
      </c>
      <c r="G61">
        <f t="shared" si="2"/>
        <v>-5.0312155710613249</v>
      </c>
      <c r="H61" s="9" t="s">
        <v>124</v>
      </c>
      <c r="I61" s="11">
        <v>143</v>
      </c>
      <c r="K61" t="str">
        <f t="shared" si="3"/>
        <v>Unique</v>
      </c>
    </row>
    <row r="62" spans="1:11" ht="15" hidden="1" thickBot="1" x14ac:dyDescent="0.4">
      <c r="A62" t="s">
        <v>61</v>
      </c>
      <c r="B62" t="s">
        <v>62</v>
      </c>
      <c r="C62" t="s">
        <v>8</v>
      </c>
      <c r="D62">
        <v>15</v>
      </c>
      <c r="E62">
        <v>4415</v>
      </c>
      <c r="F62" t="s">
        <v>9</v>
      </c>
      <c r="G62">
        <f t="shared" si="2"/>
        <v>-4.992072480181192</v>
      </c>
      <c r="H62" s="9" t="s">
        <v>135</v>
      </c>
      <c r="I62" s="11">
        <v>4635.3999999999996</v>
      </c>
      <c r="K62" t="str">
        <f t="shared" si="3"/>
        <v>Unique</v>
      </c>
    </row>
    <row r="63" spans="1:11" ht="15" hidden="1" thickBot="1" x14ac:dyDescent="0.4">
      <c r="A63" t="s">
        <v>61</v>
      </c>
      <c r="B63" t="s">
        <v>77</v>
      </c>
      <c r="C63" t="s">
        <v>8</v>
      </c>
      <c r="D63">
        <v>5</v>
      </c>
      <c r="E63">
        <v>1188</v>
      </c>
      <c r="F63" t="s">
        <v>9</v>
      </c>
      <c r="G63">
        <f t="shared" si="2"/>
        <v>-4.9747474747474669</v>
      </c>
      <c r="H63" s="9" t="s">
        <v>144</v>
      </c>
      <c r="I63" s="11">
        <v>1247.0999999999999</v>
      </c>
      <c r="K63" t="str">
        <f t="shared" si="3"/>
        <v>Unique</v>
      </c>
    </row>
    <row r="64" spans="1:11" ht="15" hidden="1" thickBot="1" x14ac:dyDescent="0.4">
      <c r="A64" t="s">
        <v>38</v>
      </c>
      <c r="B64" t="s">
        <v>39</v>
      </c>
      <c r="C64" t="s">
        <v>8</v>
      </c>
      <c r="D64">
        <v>20</v>
      </c>
      <c r="E64">
        <v>286</v>
      </c>
      <c r="F64" t="s">
        <v>9</v>
      </c>
      <c r="G64">
        <f t="shared" si="2"/>
        <v>-4.9650349650349614</v>
      </c>
      <c r="H64" s="9" t="s">
        <v>122</v>
      </c>
      <c r="I64" s="11">
        <v>300.2</v>
      </c>
      <c r="K64" t="str">
        <f t="shared" si="3"/>
        <v>Unique</v>
      </c>
    </row>
    <row r="65" spans="1:11" ht="15" hidden="1" thickBot="1" x14ac:dyDescent="0.4">
      <c r="A65" s="13">
        <v>46237.63553240741</v>
      </c>
      <c r="B65" s="15" t="s">
        <v>95</v>
      </c>
      <c r="C65" s="15" t="s">
        <v>8</v>
      </c>
      <c r="D65" s="16">
        <v>2</v>
      </c>
      <c r="E65" s="16">
        <v>3856</v>
      </c>
      <c r="F65" s="15" t="s">
        <v>9</v>
      </c>
      <c r="G65">
        <f t="shared" si="2"/>
        <v>-4.953319502074689</v>
      </c>
      <c r="H65" s="9" t="s">
        <v>158</v>
      </c>
      <c r="I65" s="11">
        <v>4047</v>
      </c>
      <c r="K65" t="str">
        <f t="shared" si="3"/>
        <v>Unique</v>
      </c>
    </row>
    <row r="66" spans="1:11" ht="15" hidden="1" thickBot="1" x14ac:dyDescent="0.4">
      <c r="A66" t="s">
        <v>74</v>
      </c>
      <c r="B66" t="s">
        <v>87</v>
      </c>
      <c r="C66" t="s">
        <v>8</v>
      </c>
      <c r="D66">
        <v>15</v>
      </c>
      <c r="E66">
        <v>1005</v>
      </c>
      <c r="F66" t="s">
        <v>9</v>
      </c>
      <c r="G66">
        <f t="shared" ref="G66:G97" si="4">((E66-I66)/E66)*100</f>
        <v>-4.9253731343283587</v>
      </c>
      <c r="H66" s="9" t="s">
        <v>153</v>
      </c>
      <c r="I66" s="11">
        <v>1054.5</v>
      </c>
      <c r="K66" t="str">
        <f t="shared" ref="K66:K97" si="5">IF(COUNTIFS( $B$2:$B$979, B66, $C$2:$C$979, C66, $D$2:$D$979, D66, $E$2:$E$979, E66) &gt; 1, "Duplicate", "Unique")</f>
        <v>Unique</v>
      </c>
    </row>
    <row r="67" spans="1:11" ht="15" hidden="1" thickBot="1" x14ac:dyDescent="0.4">
      <c r="A67" t="s">
        <v>6</v>
      </c>
      <c r="B67" t="s">
        <v>7</v>
      </c>
      <c r="C67" t="s">
        <v>8</v>
      </c>
      <c r="D67">
        <v>50</v>
      </c>
      <c r="E67">
        <v>344</v>
      </c>
      <c r="F67" t="s">
        <v>9</v>
      </c>
      <c r="G67">
        <f t="shared" si="4"/>
        <v>-4.9127906976744118</v>
      </c>
      <c r="H67" s="9" t="s">
        <v>107</v>
      </c>
      <c r="I67" s="11">
        <v>360.9</v>
      </c>
      <c r="K67" t="str">
        <f t="shared" si="5"/>
        <v>Unique</v>
      </c>
    </row>
    <row r="68" spans="1:11" ht="15" hidden="1" thickBot="1" x14ac:dyDescent="0.4">
      <c r="A68" s="13">
        <v>46237.63553240741</v>
      </c>
      <c r="B68" s="15" t="s">
        <v>84</v>
      </c>
      <c r="C68" s="15" t="s">
        <v>8</v>
      </c>
      <c r="D68" s="16">
        <v>1</v>
      </c>
      <c r="E68" s="16">
        <v>17552</v>
      </c>
      <c r="F68" s="15" t="s">
        <v>9</v>
      </c>
      <c r="G68">
        <f t="shared" si="4"/>
        <v>-4.8028714676390152</v>
      </c>
      <c r="H68" s="9" t="s">
        <v>151</v>
      </c>
      <c r="I68" s="11">
        <v>18395</v>
      </c>
      <c r="K68" t="str">
        <f t="shared" si="5"/>
        <v>Unique</v>
      </c>
    </row>
    <row r="69" spans="1:11" ht="15" hidden="1" thickBot="1" x14ac:dyDescent="0.4">
      <c r="A69" t="s">
        <v>40</v>
      </c>
      <c r="B69" t="s">
        <v>41</v>
      </c>
      <c r="C69" t="s">
        <v>8</v>
      </c>
      <c r="D69">
        <v>500</v>
      </c>
      <c r="E69">
        <v>33.159999999999997</v>
      </c>
      <c r="F69" t="s">
        <v>9</v>
      </c>
      <c r="G69">
        <f t="shared" si="4"/>
        <v>-4.7949336550060426</v>
      </c>
      <c r="H69" s="9" t="s">
        <v>123</v>
      </c>
      <c r="I69" s="11">
        <v>34.75</v>
      </c>
      <c r="K69" t="str">
        <f t="shared" si="5"/>
        <v>Unique</v>
      </c>
    </row>
    <row r="70" spans="1:11" ht="15" hidden="1" thickBot="1" x14ac:dyDescent="0.4">
      <c r="A70" s="13">
        <v>46233.688194444447</v>
      </c>
      <c r="B70" s="15" t="s">
        <v>90</v>
      </c>
      <c r="C70" s="15" t="s">
        <v>8</v>
      </c>
      <c r="D70" s="16">
        <v>5</v>
      </c>
      <c r="E70" s="16">
        <v>702</v>
      </c>
      <c r="F70" s="15" t="s">
        <v>9</v>
      </c>
      <c r="G70">
        <f t="shared" si="4"/>
        <v>-4.700854700854701</v>
      </c>
      <c r="H70" s="9" t="s">
        <v>154</v>
      </c>
      <c r="I70" s="11">
        <v>735</v>
      </c>
      <c r="K70" t="str">
        <f t="shared" si="5"/>
        <v>Unique</v>
      </c>
    </row>
    <row r="71" spans="1:11" ht="15" hidden="1" thickBot="1" x14ac:dyDescent="0.4">
      <c r="A71" s="13">
        <v>46234.6875</v>
      </c>
      <c r="B71" s="15" t="s">
        <v>57</v>
      </c>
      <c r="C71" s="15" t="s">
        <v>8</v>
      </c>
      <c r="D71" s="16">
        <v>1</v>
      </c>
      <c r="E71" s="16">
        <v>3360</v>
      </c>
      <c r="F71" s="15" t="s">
        <v>9</v>
      </c>
      <c r="G71">
        <f t="shared" si="4"/>
        <v>-4.4940476190476186</v>
      </c>
      <c r="H71" s="9" t="s">
        <v>132</v>
      </c>
      <c r="I71" s="11">
        <v>3511</v>
      </c>
      <c r="K71" t="str">
        <f t="shared" si="5"/>
        <v>Unique</v>
      </c>
    </row>
    <row r="72" spans="1:11" ht="15" hidden="1" thickBot="1" x14ac:dyDescent="0.4">
      <c r="A72" t="s">
        <v>71</v>
      </c>
      <c r="B72" t="s">
        <v>72</v>
      </c>
      <c r="C72" t="s">
        <v>8</v>
      </c>
      <c r="D72">
        <v>5</v>
      </c>
      <c r="E72">
        <v>1161</v>
      </c>
      <c r="F72" t="s">
        <v>9</v>
      </c>
      <c r="G72">
        <f t="shared" si="4"/>
        <v>-4.3496985357450475</v>
      </c>
      <c r="H72" s="9" t="s">
        <v>141</v>
      </c>
      <c r="I72" s="11">
        <v>1211.5</v>
      </c>
      <c r="K72" t="str">
        <f t="shared" si="5"/>
        <v>Unique</v>
      </c>
    </row>
    <row r="73" spans="1:11" ht="15" hidden="1" thickBot="1" x14ac:dyDescent="0.4">
      <c r="A73" t="s">
        <v>56</v>
      </c>
      <c r="B73" t="s">
        <v>60</v>
      </c>
      <c r="C73" t="s">
        <v>8</v>
      </c>
      <c r="D73">
        <v>69</v>
      </c>
      <c r="E73">
        <v>1277</v>
      </c>
      <c r="F73" t="s">
        <v>9</v>
      </c>
      <c r="G73">
        <f t="shared" si="4"/>
        <v>-4.1503523884103366</v>
      </c>
      <c r="H73" s="9" t="s">
        <v>134</v>
      </c>
      <c r="I73" s="11">
        <v>1330</v>
      </c>
      <c r="K73" t="str">
        <f t="shared" si="5"/>
        <v>Unique</v>
      </c>
    </row>
    <row r="74" spans="1:11" ht="15" hidden="1" thickBot="1" x14ac:dyDescent="0.4">
      <c r="A74" s="13">
        <v>46238.64472222222</v>
      </c>
      <c r="B74" s="15" t="s">
        <v>95</v>
      </c>
      <c r="C74" s="15" t="s">
        <v>8</v>
      </c>
      <c r="D74" s="16">
        <v>5</v>
      </c>
      <c r="E74" s="16">
        <v>3888</v>
      </c>
      <c r="F74" s="15" t="s">
        <v>9</v>
      </c>
      <c r="G74">
        <f t="shared" si="4"/>
        <v>-4.0895061728395063</v>
      </c>
      <c r="H74" s="9" t="s">
        <v>158</v>
      </c>
      <c r="I74" s="11">
        <v>4047</v>
      </c>
      <c r="K74" t="str">
        <f t="shared" si="5"/>
        <v>Unique</v>
      </c>
    </row>
    <row r="75" spans="1:11" ht="15" hidden="1" thickBot="1" x14ac:dyDescent="0.4">
      <c r="A75" t="s">
        <v>61</v>
      </c>
      <c r="B75" t="s">
        <v>62</v>
      </c>
      <c r="C75" t="s">
        <v>8</v>
      </c>
      <c r="D75">
        <v>2</v>
      </c>
      <c r="E75">
        <v>4456</v>
      </c>
      <c r="F75" t="s">
        <v>9</v>
      </c>
      <c r="G75">
        <f t="shared" si="4"/>
        <v>-4.0260323159784477</v>
      </c>
      <c r="H75" s="9" t="s">
        <v>135</v>
      </c>
      <c r="I75" s="11">
        <v>4635.3999999999996</v>
      </c>
      <c r="K75" t="str">
        <f t="shared" si="5"/>
        <v>Unique</v>
      </c>
    </row>
    <row r="76" spans="1:11" ht="15" hidden="1" thickBot="1" x14ac:dyDescent="0.4">
      <c r="A76" s="13">
        <v>46237.635520833333</v>
      </c>
      <c r="B76" s="15" t="s">
        <v>67</v>
      </c>
      <c r="C76" s="15" t="s">
        <v>8</v>
      </c>
      <c r="D76" s="16">
        <v>20</v>
      </c>
      <c r="E76" s="16">
        <v>220.1</v>
      </c>
      <c r="F76" s="15" t="s">
        <v>9</v>
      </c>
      <c r="G76">
        <f t="shared" si="4"/>
        <v>-3.8709677419354889</v>
      </c>
      <c r="H76" s="9" t="s">
        <v>138</v>
      </c>
      <c r="I76" s="11">
        <v>228.62</v>
      </c>
      <c r="K76" t="str">
        <f t="shared" si="5"/>
        <v>Unique</v>
      </c>
    </row>
    <row r="77" spans="1:11" ht="15" hidden="1" thickBot="1" x14ac:dyDescent="0.4">
      <c r="A77" t="s">
        <v>54</v>
      </c>
      <c r="B77" t="s">
        <v>85</v>
      </c>
      <c r="C77" t="s">
        <v>8</v>
      </c>
      <c r="D77">
        <v>2</v>
      </c>
      <c r="E77">
        <v>2460</v>
      </c>
      <c r="F77" t="s">
        <v>9</v>
      </c>
      <c r="G77">
        <f t="shared" si="4"/>
        <v>-3.8699186991869845</v>
      </c>
      <c r="H77" s="9" t="s">
        <v>152</v>
      </c>
      <c r="I77" s="11">
        <v>2555.1999999999998</v>
      </c>
      <c r="K77" t="str">
        <f t="shared" si="5"/>
        <v>Unique</v>
      </c>
    </row>
    <row r="78" spans="1:11" ht="15" hidden="1" thickBot="1" x14ac:dyDescent="0.4">
      <c r="A78" t="s">
        <v>15</v>
      </c>
      <c r="B78" t="s">
        <v>18</v>
      </c>
      <c r="C78" t="s">
        <v>8</v>
      </c>
      <c r="D78">
        <v>5</v>
      </c>
      <c r="E78">
        <v>660</v>
      </c>
      <c r="F78" t="s">
        <v>9</v>
      </c>
      <c r="G78">
        <f t="shared" si="4"/>
        <v>-3.7878787878787881</v>
      </c>
      <c r="H78" s="9" t="s">
        <v>111</v>
      </c>
      <c r="I78" s="11">
        <v>685</v>
      </c>
      <c r="K78" t="str">
        <f t="shared" si="5"/>
        <v>Unique</v>
      </c>
    </row>
    <row r="79" spans="1:11" ht="15" hidden="1" thickBot="1" x14ac:dyDescent="0.4">
      <c r="A79" t="s">
        <v>56</v>
      </c>
      <c r="B79" t="s">
        <v>79</v>
      </c>
      <c r="C79" t="s">
        <v>8</v>
      </c>
      <c r="D79">
        <v>50</v>
      </c>
      <c r="E79">
        <v>850</v>
      </c>
      <c r="F79" t="s">
        <v>9</v>
      </c>
      <c r="G79">
        <f t="shared" si="4"/>
        <v>-3.7764705882352971</v>
      </c>
      <c r="H79" s="9" t="s">
        <v>146</v>
      </c>
      <c r="I79" s="11">
        <v>882.1</v>
      </c>
      <c r="K79" t="str">
        <f t="shared" si="5"/>
        <v>Unique</v>
      </c>
    </row>
    <row r="80" spans="1:11" ht="15" hidden="1" thickBot="1" x14ac:dyDescent="0.4">
      <c r="A80" t="s">
        <v>43</v>
      </c>
      <c r="B80" t="s">
        <v>28</v>
      </c>
      <c r="C80" t="s">
        <v>8</v>
      </c>
      <c r="D80">
        <v>40</v>
      </c>
      <c r="E80">
        <v>426</v>
      </c>
      <c r="F80" t="s">
        <v>9</v>
      </c>
      <c r="G80">
        <f t="shared" si="4"/>
        <v>-3.755868544600939</v>
      </c>
      <c r="H80" s="9" t="s">
        <v>116</v>
      </c>
      <c r="I80" s="11">
        <v>442</v>
      </c>
      <c r="K80" t="str">
        <f t="shared" si="5"/>
        <v>Unique</v>
      </c>
    </row>
    <row r="81" spans="1:11" ht="15" hidden="1" thickBot="1" x14ac:dyDescent="0.4">
      <c r="A81" t="s">
        <v>42</v>
      </c>
      <c r="B81" t="s">
        <v>7</v>
      </c>
      <c r="C81" t="s">
        <v>8</v>
      </c>
      <c r="D81">
        <v>50</v>
      </c>
      <c r="E81">
        <v>348</v>
      </c>
      <c r="F81" t="s">
        <v>9</v>
      </c>
      <c r="G81">
        <f t="shared" si="4"/>
        <v>-3.7068965517241317</v>
      </c>
      <c r="H81" s="9" t="s">
        <v>107</v>
      </c>
      <c r="I81" s="11">
        <v>360.9</v>
      </c>
      <c r="K81" t="str">
        <f t="shared" si="5"/>
        <v>Unique</v>
      </c>
    </row>
    <row r="82" spans="1:11" ht="15" hidden="1" thickBot="1" x14ac:dyDescent="0.4">
      <c r="A82" t="s">
        <v>19</v>
      </c>
      <c r="B82" t="s">
        <v>20</v>
      </c>
      <c r="C82" t="s">
        <v>8</v>
      </c>
      <c r="D82">
        <v>50</v>
      </c>
      <c r="E82">
        <v>206</v>
      </c>
      <c r="F82" t="s">
        <v>9</v>
      </c>
      <c r="G82">
        <f t="shared" si="4"/>
        <v>-3.5922330097087403</v>
      </c>
      <c r="H82" s="9" t="s">
        <v>112</v>
      </c>
      <c r="I82" s="11">
        <v>213.4</v>
      </c>
      <c r="K82" t="str">
        <f t="shared" si="5"/>
        <v>Unique</v>
      </c>
    </row>
    <row r="83" spans="1:11" ht="15" hidden="1" thickBot="1" x14ac:dyDescent="0.4">
      <c r="A83" t="s">
        <v>46</v>
      </c>
      <c r="B83" t="s">
        <v>47</v>
      </c>
      <c r="C83" t="s">
        <v>8</v>
      </c>
      <c r="D83">
        <v>5</v>
      </c>
      <c r="E83">
        <v>1614</v>
      </c>
      <c r="F83" t="s">
        <v>9</v>
      </c>
      <c r="G83">
        <f t="shared" si="4"/>
        <v>-3.5315985130111525</v>
      </c>
      <c r="H83" s="9" t="s">
        <v>125</v>
      </c>
      <c r="I83" s="11">
        <v>1671</v>
      </c>
      <c r="K83" t="str">
        <f t="shared" si="5"/>
        <v>Unique</v>
      </c>
    </row>
    <row r="84" spans="1:11" ht="15" hidden="1" thickBot="1" x14ac:dyDescent="0.4">
      <c r="A84" t="s">
        <v>74</v>
      </c>
      <c r="B84" t="s">
        <v>78</v>
      </c>
      <c r="C84" t="s">
        <v>8</v>
      </c>
      <c r="D84">
        <v>20</v>
      </c>
      <c r="E84">
        <v>917</v>
      </c>
      <c r="F84" t="s">
        <v>9</v>
      </c>
      <c r="G84">
        <f t="shared" si="4"/>
        <v>-3.4623773173391492</v>
      </c>
      <c r="H84" s="9" t="s">
        <v>145</v>
      </c>
      <c r="I84" s="11">
        <v>948.75</v>
      </c>
      <c r="K84" t="str">
        <f t="shared" si="5"/>
        <v>Unique</v>
      </c>
    </row>
    <row r="85" spans="1:11" ht="15" hidden="1" thickBot="1" x14ac:dyDescent="0.4">
      <c r="A85" s="13">
        <v>46237.635567129626</v>
      </c>
      <c r="B85" s="15" t="s">
        <v>90</v>
      </c>
      <c r="C85" s="15" t="s">
        <v>8</v>
      </c>
      <c r="D85" s="16">
        <v>5</v>
      </c>
      <c r="E85" s="16">
        <v>712</v>
      </c>
      <c r="F85" s="15" t="s">
        <v>9</v>
      </c>
      <c r="G85">
        <f t="shared" si="4"/>
        <v>-3.2303370786516856</v>
      </c>
      <c r="H85" s="9" t="s">
        <v>154</v>
      </c>
      <c r="I85" s="11">
        <v>735</v>
      </c>
      <c r="K85" t="str">
        <f t="shared" si="5"/>
        <v>Unique</v>
      </c>
    </row>
    <row r="86" spans="1:11" ht="15" hidden="1" thickBot="1" x14ac:dyDescent="0.4">
      <c r="A86" t="s">
        <v>50</v>
      </c>
      <c r="B86" t="s">
        <v>22</v>
      </c>
      <c r="C86" t="s">
        <v>8</v>
      </c>
      <c r="D86">
        <v>30</v>
      </c>
      <c r="E86">
        <v>2435</v>
      </c>
      <c r="F86" t="s">
        <v>9</v>
      </c>
      <c r="G86">
        <f t="shared" si="4"/>
        <v>-3.1211498973305956</v>
      </c>
      <c r="H86" s="9" t="s">
        <v>127</v>
      </c>
      <c r="I86" s="11">
        <v>2511</v>
      </c>
      <c r="K86" t="str">
        <f t="shared" si="5"/>
        <v>Unique</v>
      </c>
    </row>
    <row r="87" spans="1:11" ht="15" hidden="1" thickBot="1" x14ac:dyDescent="0.4">
      <c r="A87" t="s">
        <v>58</v>
      </c>
      <c r="B87" t="s">
        <v>57</v>
      </c>
      <c r="C87" t="s">
        <v>8</v>
      </c>
      <c r="D87">
        <v>2</v>
      </c>
      <c r="E87">
        <v>3410</v>
      </c>
      <c r="F87" t="s">
        <v>9</v>
      </c>
      <c r="G87">
        <f t="shared" si="4"/>
        <v>-2.9618768328445748</v>
      </c>
      <c r="H87" s="9" t="s">
        <v>132</v>
      </c>
      <c r="I87" s="11">
        <v>3511</v>
      </c>
      <c r="K87" t="str">
        <f t="shared" si="5"/>
        <v>Unique</v>
      </c>
    </row>
    <row r="88" spans="1:11" ht="15" hidden="1" thickBot="1" x14ac:dyDescent="0.4">
      <c r="A88" t="s">
        <v>73</v>
      </c>
      <c r="B88" t="s">
        <v>83</v>
      </c>
      <c r="C88" t="s">
        <v>8</v>
      </c>
      <c r="D88">
        <v>1</v>
      </c>
      <c r="E88">
        <v>4306</v>
      </c>
      <c r="F88" t="s">
        <v>9</v>
      </c>
      <c r="G88">
        <f t="shared" si="4"/>
        <v>-2.9168601950766457</v>
      </c>
      <c r="H88" s="9" t="s">
        <v>150</v>
      </c>
      <c r="I88" s="11">
        <v>4431.6000000000004</v>
      </c>
      <c r="K88" t="str">
        <f t="shared" si="5"/>
        <v>Unique</v>
      </c>
    </row>
    <row r="89" spans="1:11" ht="15" hidden="1" thickBot="1" x14ac:dyDescent="0.4">
      <c r="A89" t="s">
        <v>73</v>
      </c>
      <c r="B89" t="s">
        <v>95</v>
      </c>
      <c r="C89" t="s">
        <v>8</v>
      </c>
      <c r="D89">
        <v>5</v>
      </c>
      <c r="E89">
        <v>3938</v>
      </c>
      <c r="F89" t="s">
        <v>9</v>
      </c>
      <c r="G89">
        <f t="shared" si="4"/>
        <v>-2.7679024885728798</v>
      </c>
      <c r="H89" s="9" t="s">
        <v>158</v>
      </c>
      <c r="I89" s="11">
        <v>4047</v>
      </c>
      <c r="K89" t="str">
        <f t="shared" si="5"/>
        <v>Unique</v>
      </c>
    </row>
    <row r="90" spans="1:11" ht="15" hidden="1" thickBot="1" x14ac:dyDescent="0.4">
      <c r="A90" t="s">
        <v>48</v>
      </c>
      <c r="B90" t="s">
        <v>49</v>
      </c>
      <c r="C90" t="s">
        <v>8</v>
      </c>
      <c r="D90">
        <v>150</v>
      </c>
      <c r="E90">
        <v>128</v>
      </c>
      <c r="F90" t="s">
        <v>9</v>
      </c>
      <c r="G90">
        <f t="shared" si="4"/>
        <v>-2.6562500000000044</v>
      </c>
      <c r="H90" s="9" t="s">
        <v>126</v>
      </c>
      <c r="I90" s="11">
        <v>131.4</v>
      </c>
      <c r="K90" t="str">
        <f t="shared" si="5"/>
        <v>Unique</v>
      </c>
    </row>
    <row r="91" spans="1:11" ht="15" hidden="1" thickBot="1" x14ac:dyDescent="0.4">
      <c r="A91" t="s">
        <v>68</v>
      </c>
      <c r="B91" t="s">
        <v>82</v>
      </c>
      <c r="C91" t="s">
        <v>8</v>
      </c>
      <c r="D91">
        <v>8</v>
      </c>
      <c r="E91">
        <v>2352</v>
      </c>
      <c r="F91" t="s">
        <v>9</v>
      </c>
      <c r="G91">
        <f t="shared" si="4"/>
        <v>-2.6445578231292441</v>
      </c>
      <c r="H91" s="9" t="s">
        <v>149</v>
      </c>
      <c r="I91" s="11">
        <v>2414.1999999999998</v>
      </c>
      <c r="K91" t="str">
        <f t="shared" si="5"/>
        <v>Unique</v>
      </c>
    </row>
    <row r="92" spans="1:11" ht="15" hidden="1" thickBot="1" x14ac:dyDescent="0.4">
      <c r="A92" t="s">
        <v>42</v>
      </c>
      <c r="B92" t="s">
        <v>7</v>
      </c>
      <c r="C92" t="s">
        <v>8</v>
      </c>
      <c r="D92">
        <v>50</v>
      </c>
      <c r="E92">
        <v>352</v>
      </c>
      <c r="F92" t="s">
        <v>9</v>
      </c>
      <c r="G92">
        <f t="shared" si="4"/>
        <v>-2.5284090909090842</v>
      </c>
      <c r="H92" s="9" t="s">
        <v>107</v>
      </c>
      <c r="I92" s="11">
        <v>360.9</v>
      </c>
      <c r="K92" t="str">
        <f t="shared" si="5"/>
        <v>Unique</v>
      </c>
    </row>
    <row r="93" spans="1:11" ht="15" hidden="1" thickBot="1" x14ac:dyDescent="0.4">
      <c r="A93" t="s">
        <v>96</v>
      </c>
      <c r="B93" t="s">
        <v>95</v>
      </c>
      <c r="C93" t="s">
        <v>8</v>
      </c>
      <c r="D93">
        <v>10</v>
      </c>
      <c r="E93">
        <v>3950</v>
      </c>
      <c r="F93" t="s">
        <v>9</v>
      </c>
      <c r="G93">
        <f t="shared" si="4"/>
        <v>-2.4556962025316453</v>
      </c>
      <c r="H93" s="9" t="s">
        <v>158</v>
      </c>
      <c r="I93" s="11">
        <v>4047</v>
      </c>
      <c r="K93" t="str">
        <f t="shared" si="5"/>
        <v>Unique</v>
      </c>
    </row>
    <row r="94" spans="1:11" ht="15" hidden="1" thickBot="1" x14ac:dyDescent="0.4">
      <c r="A94" t="s">
        <v>64</v>
      </c>
      <c r="B94" t="s">
        <v>93</v>
      </c>
      <c r="C94" t="s">
        <v>8</v>
      </c>
      <c r="D94">
        <v>20</v>
      </c>
      <c r="E94">
        <v>793</v>
      </c>
      <c r="F94" t="s">
        <v>9</v>
      </c>
      <c r="G94">
        <f t="shared" si="4"/>
        <v>-2.3770491803278717</v>
      </c>
      <c r="H94" s="9" t="s">
        <v>156</v>
      </c>
      <c r="I94" s="11">
        <v>811.85</v>
      </c>
      <c r="K94" t="str">
        <f t="shared" si="5"/>
        <v>Unique</v>
      </c>
    </row>
    <row r="95" spans="1:11" ht="15" hidden="1" thickBot="1" x14ac:dyDescent="0.4">
      <c r="A95" t="s">
        <v>73</v>
      </c>
      <c r="B95" t="s">
        <v>78</v>
      </c>
      <c r="C95" t="s">
        <v>8</v>
      </c>
      <c r="D95">
        <v>10</v>
      </c>
      <c r="E95">
        <v>927</v>
      </c>
      <c r="F95" t="s">
        <v>9</v>
      </c>
      <c r="G95">
        <f t="shared" si="4"/>
        <v>-2.3462783171521036</v>
      </c>
      <c r="H95" s="9" t="s">
        <v>145</v>
      </c>
      <c r="I95" s="11">
        <v>948.75</v>
      </c>
      <c r="K95" t="str">
        <f t="shared" si="5"/>
        <v>Unique</v>
      </c>
    </row>
    <row r="96" spans="1:11" ht="15" hidden="1" thickBot="1" x14ac:dyDescent="0.4">
      <c r="A96" t="s">
        <v>86</v>
      </c>
      <c r="B96" t="s">
        <v>60</v>
      </c>
      <c r="C96" t="s">
        <v>8</v>
      </c>
      <c r="D96">
        <v>3</v>
      </c>
      <c r="E96">
        <v>1302</v>
      </c>
      <c r="F96" t="s">
        <v>9</v>
      </c>
      <c r="G96">
        <f t="shared" si="4"/>
        <v>-2.1505376344086025</v>
      </c>
      <c r="H96" s="9" t="s">
        <v>134</v>
      </c>
      <c r="I96" s="11">
        <v>1330</v>
      </c>
      <c r="K96" t="str">
        <f t="shared" si="5"/>
        <v>Unique</v>
      </c>
    </row>
    <row r="97" spans="1:11" ht="15" hidden="1" thickBot="1" x14ac:dyDescent="0.4">
      <c r="A97" t="s">
        <v>48</v>
      </c>
      <c r="B97" t="s">
        <v>22</v>
      </c>
      <c r="C97" t="s">
        <v>8</v>
      </c>
      <c r="D97">
        <v>30</v>
      </c>
      <c r="E97">
        <v>2460</v>
      </c>
      <c r="F97" t="s">
        <v>9</v>
      </c>
      <c r="G97">
        <f t="shared" si="4"/>
        <v>-2.0731707317073171</v>
      </c>
      <c r="H97" s="9" t="s">
        <v>127</v>
      </c>
      <c r="I97" s="11">
        <v>2511</v>
      </c>
      <c r="K97" t="str">
        <f t="shared" si="5"/>
        <v>Unique</v>
      </c>
    </row>
    <row r="98" spans="1:11" ht="15" hidden="1" thickBot="1" x14ac:dyDescent="0.4">
      <c r="A98" s="13">
        <v>46238.63554398148</v>
      </c>
      <c r="B98" s="15" t="s">
        <v>81</v>
      </c>
      <c r="C98" s="15" t="s">
        <v>8</v>
      </c>
      <c r="D98" s="16">
        <v>2</v>
      </c>
      <c r="E98" s="16">
        <v>2552</v>
      </c>
      <c r="F98" s="15" t="s">
        <v>9</v>
      </c>
      <c r="G98">
        <f t="shared" ref="G98:G129" si="6">((E98-I98)/E98)*100</f>
        <v>-1.8221003134796239</v>
      </c>
      <c r="H98" s="9" t="s">
        <v>148</v>
      </c>
      <c r="I98" s="11">
        <v>2598.5</v>
      </c>
      <c r="K98" t="str">
        <f t="shared" ref="K98:K129" si="7">IF(COUNTIFS( $B$2:$B$979, B98, $C$2:$C$979, C98, $D$2:$D$979, D98, $E$2:$E$979, E98) &gt; 1, "Duplicate", "Unique")</f>
        <v>Unique</v>
      </c>
    </row>
    <row r="99" spans="1:11" ht="15" hidden="1" thickBot="1" x14ac:dyDescent="0.4">
      <c r="A99" t="s">
        <v>88</v>
      </c>
      <c r="B99" t="s">
        <v>69</v>
      </c>
      <c r="C99" t="s">
        <v>8</v>
      </c>
      <c r="D99">
        <v>100</v>
      </c>
      <c r="E99">
        <v>87.3</v>
      </c>
      <c r="F99" t="s">
        <v>9</v>
      </c>
      <c r="G99">
        <f t="shared" si="6"/>
        <v>-1.8098510882016017</v>
      </c>
      <c r="H99" s="9" t="s">
        <v>139</v>
      </c>
      <c r="I99" s="11">
        <v>88.88</v>
      </c>
      <c r="K99" t="str">
        <f t="shared" si="7"/>
        <v>Unique</v>
      </c>
    </row>
    <row r="100" spans="1:11" ht="15" hidden="1" thickBot="1" x14ac:dyDescent="0.4">
      <c r="A100" t="s">
        <v>73</v>
      </c>
      <c r="B100" t="s">
        <v>62</v>
      </c>
      <c r="C100" t="s">
        <v>8</v>
      </c>
      <c r="D100">
        <v>1</v>
      </c>
      <c r="E100">
        <v>4560</v>
      </c>
      <c r="F100" t="s">
        <v>9</v>
      </c>
      <c r="G100">
        <f t="shared" si="6"/>
        <v>-1.6535087719298167</v>
      </c>
      <c r="H100" s="9" t="s">
        <v>135</v>
      </c>
      <c r="I100" s="11">
        <v>4635.3999999999996</v>
      </c>
      <c r="K100" t="str">
        <f t="shared" si="7"/>
        <v>Unique</v>
      </c>
    </row>
    <row r="101" spans="1:11" ht="15" hidden="1" thickBot="1" x14ac:dyDescent="0.4">
      <c r="A101" t="s">
        <v>58</v>
      </c>
      <c r="B101" t="s">
        <v>81</v>
      </c>
      <c r="C101" t="s">
        <v>8</v>
      </c>
      <c r="D101">
        <v>2</v>
      </c>
      <c r="E101">
        <v>2560</v>
      </c>
      <c r="F101" t="s">
        <v>9</v>
      </c>
      <c r="G101">
        <f t="shared" si="6"/>
        <v>-1.50390625</v>
      </c>
      <c r="H101" s="9" t="s">
        <v>148</v>
      </c>
      <c r="I101" s="11">
        <v>2598.5</v>
      </c>
      <c r="K101" t="str">
        <f t="shared" si="7"/>
        <v>Unique</v>
      </c>
    </row>
    <row r="102" spans="1:11" ht="15" hidden="1" thickBot="1" x14ac:dyDescent="0.4">
      <c r="A102" t="s">
        <v>38</v>
      </c>
      <c r="B102" t="s">
        <v>39</v>
      </c>
      <c r="C102" t="s">
        <v>8</v>
      </c>
      <c r="D102">
        <v>20</v>
      </c>
      <c r="E102">
        <v>296</v>
      </c>
      <c r="F102" t="s">
        <v>9</v>
      </c>
      <c r="G102">
        <f t="shared" si="6"/>
        <v>-1.4189189189189151</v>
      </c>
      <c r="H102" s="9" t="s">
        <v>122</v>
      </c>
      <c r="I102" s="11">
        <v>300.2</v>
      </c>
      <c r="K102" t="str">
        <f t="shared" si="7"/>
        <v>Unique</v>
      </c>
    </row>
    <row r="103" spans="1:11" ht="15" hidden="1" thickBot="1" x14ac:dyDescent="0.4">
      <c r="A103" t="s">
        <v>58</v>
      </c>
      <c r="B103" t="s">
        <v>59</v>
      </c>
      <c r="C103" t="s">
        <v>8</v>
      </c>
      <c r="D103">
        <v>2</v>
      </c>
      <c r="E103">
        <v>1060</v>
      </c>
      <c r="F103" t="s">
        <v>9</v>
      </c>
      <c r="G103">
        <f t="shared" si="6"/>
        <v>-1.4150943396226416</v>
      </c>
      <c r="H103" s="9" t="s">
        <v>133</v>
      </c>
      <c r="I103" s="11">
        <v>1075</v>
      </c>
      <c r="K103" t="str">
        <f t="shared" si="7"/>
        <v>Unique</v>
      </c>
    </row>
    <row r="104" spans="1:11" ht="15" hidden="1" thickBot="1" x14ac:dyDescent="0.4">
      <c r="A104" t="s">
        <v>23</v>
      </c>
      <c r="B104" t="s">
        <v>28</v>
      </c>
      <c r="C104" t="s">
        <v>8</v>
      </c>
      <c r="D104">
        <v>40</v>
      </c>
      <c r="E104">
        <v>436</v>
      </c>
      <c r="F104" t="s">
        <v>9</v>
      </c>
      <c r="G104">
        <f t="shared" si="6"/>
        <v>-1.3761467889908259</v>
      </c>
      <c r="H104" s="9" t="s">
        <v>116</v>
      </c>
      <c r="I104" s="11">
        <v>442</v>
      </c>
      <c r="K104" t="str">
        <f t="shared" si="7"/>
        <v>Unique</v>
      </c>
    </row>
    <row r="105" spans="1:11" ht="15" hidden="1" thickBot="1" x14ac:dyDescent="0.4">
      <c r="A105" t="s">
        <v>89</v>
      </c>
      <c r="B105" t="s">
        <v>90</v>
      </c>
      <c r="C105" t="s">
        <v>8</v>
      </c>
      <c r="D105">
        <v>5</v>
      </c>
      <c r="E105">
        <v>726</v>
      </c>
      <c r="F105" t="s">
        <v>9</v>
      </c>
      <c r="G105">
        <f t="shared" si="6"/>
        <v>-1.2396694214876034</v>
      </c>
      <c r="H105" s="9" t="s">
        <v>154</v>
      </c>
      <c r="I105" s="11">
        <v>735</v>
      </c>
      <c r="K105" t="str">
        <f t="shared" si="7"/>
        <v>Unique</v>
      </c>
    </row>
    <row r="106" spans="1:11" ht="15" hidden="1" thickBot="1" x14ac:dyDescent="0.4">
      <c r="A106" t="s">
        <v>43</v>
      </c>
      <c r="B106" t="s">
        <v>51</v>
      </c>
      <c r="C106" t="s">
        <v>8</v>
      </c>
      <c r="D106">
        <v>50</v>
      </c>
      <c r="E106">
        <v>286</v>
      </c>
      <c r="F106" t="s">
        <v>9</v>
      </c>
      <c r="G106">
        <f t="shared" si="6"/>
        <v>-1.2237762237762237</v>
      </c>
      <c r="H106" s="9" t="s">
        <v>128</v>
      </c>
      <c r="I106" s="11">
        <v>289.5</v>
      </c>
      <c r="K106" t="str">
        <f t="shared" si="7"/>
        <v>Unique</v>
      </c>
    </row>
    <row r="107" spans="1:11" ht="15" hidden="1" thickBot="1" x14ac:dyDescent="0.4">
      <c r="A107" t="s">
        <v>88</v>
      </c>
      <c r="B107" t="s">
        <v>94</v>
      </c>
      <c r="C107" t="s">
        <v>8</v>
      </c>
      <c r="D107">
        <v>10</v>
      </c>
      <c r="E107">
        <v>1410</v>
      </c>
      <c r="F107" t="s">
        <v>9</v>
      </c>
      <c r="G107">
        <f t="shared" si="6"/>
        <v>-0.70921985815602839</v>
      </c>
      <c r="H107" s="9" t="s">
        <v>157</v>
      </c>
      <c r="I107" s="11">
        <v>1420</v>
      </c>
      <c r="K107" t="str">
        <f t="shared" si="7"/>
        <v>Unique</v>
      </c>
    </row>
    <row r="108" spans="1:11" ht="15" hidden="1" thickBot="1" x14ac:dyDescent="0.4">
      <c r="A108" t="s">
        <v>89</v>
      </c>
      <c r="B108" t="s">
        <v>67</v>
      </c>
      <c r="C108" t="s">
        <v>8</v>
      </c>
      <c r="D108">
        <v>200</v>
      </c>
      <c r="E108">
        <v>227.5</v>
      </c>
      <c r="F108" t="s">
        <v>9</v>
      </c>
      <c r="G108">
        <f t="shared" si="6"/>
        <v>-0.49230769230769433</v>
      </c>
      <c r="H108" s="9" t="s">
        <v>138</v>
      </c>
      <c r="I108" s="11">
        <v>228.62</v>
      </c>
      <c r="K108" t="str">
        <f t="shared" si="7"/>
        <v>Unique</v>
      </c>
    </row>
    <row r="109" spans="1:11" ht="15" thickBot="1" x14ac:dyDescent="0.4">
      <c r="A109" t="s">
        <v>73</v>
      </c>
      <c r="B109" t="s">
        <v>87</v>
      </c>
      <c r="C109" t="s">
        <v>14</v>
      </c>
      <c r="D109">
        <v>10</v>
      </c>
      <c r="E109">
        <v>1056</v>
      </c>
      <c r="F109" t="s">
        <v>9</v>
      </c>
      <c r="G109">
        <f t="shared" si="6"/>
        <v>0.14204545454545456</v>
      </c>
      <c r="H109" s="9" t="s">
        <v>153</v>
      </c>
      <c r="I109" s="11">
        <v>1054.5</v>
      </c>
      <c r="K109" t="str">
        <f t="shared" si="7"/>
        <v>Unique</v>
      </c>
    </row>
    <row r="110" spans="1:11" ht="15" thickBot="1" x14ac:dyDescent="0.4">
      <c r="A110" t="s">
        <v>64</v>
      </c>
      <c r="B110" t="s">
        <v>72</v>
      </c>
      <c r="C110" t="s">
        <v>14</v>
      </c>
      <c r="D110">
        <v>10</v>
      </c>
      <c r="E110">
        <v>1221</v>
      </c>
      <c r="F110" t="s">
        <v>9</v>
      </c>
      <c r="G110">
        <f t="shared" si="6"/>
        <v>0.77805077805077805</v>
      </c>
      <c r="H110" s="9" t="s">
        <v>141</v>
      </c>
      <c r="I110" s="11">
        <v>1211.5</v>
      </c>
      <c r="K110" t="str">
        <f t="shared" si="7"/>
        <v>Unique</v>
      </c>
    </row>
    <row r="111" spans="1:11" ht="15" thickBot="1" x14ac:dyDescent="0.4">
      <c r="A111" t="s">
        <v>89</v>
      </c>
      <c r="B111" t="s">
        <v>79</v>
      </c>
      <c r="C111" t="s">
        <v>14</v>
      </c>
      <c r="D111">
        <v>20</v>
      </c>
      <c r="E111">
        <v>896</v>
      </c>
      <c r="F111" t="s">
        <v>9</v>
      </c>
      <c r="G111">
        <f t="shared" si="6"/>
        <v>1.5513392857142831</v>
      </c>
      <c r="H111" s="9" t="s">
        <v>146</v>
      </c>
      <c r="I111" s="11">
        <v>882.1</v>
      </c>
      <c r="K111" t="str">
        <f t="shared" si="7"/>
        <v>Unique</v>
      </c>
    </row>
    <row r="112" spans="1:11" ht="15" thickBot="1" x14ac:dyDescent="0.4">
      <c r="A112" t="s">
        <v>101</v>
      </c>
      <c r="B112" t="s">
        <v>84</v>
      </c>
      <c r="C112" t="s">
        <v>14</v>
      </c>
      <c r="D112">
        <v>1</v>
      </c>
      <c r="E112">
        <v>18698</v>
      </c>
      <c r="F112" s="15" t="s">
        <v>9</v>
      </c>
      <c r="G112">
        <f t="shared" si="6"/>
        <v>1.6204941704995188</v>
      </c>
      <c r="H112" s="9" t="s">
        <v>151</v>
      </c>
      <c r="I112" s="11">
        <v>18395</v>
      </c>
      <c r="K112" t="str">
        <f t="shared" si="7"/>
        <v>Unique</v>
      </c>
    </row>
    <row r="113" spans="1:11" ht="15" thickBot="1" x14ac:dyDescent="0.4">
      <c r="A113" t="s">
        <v>66</v>
      </c>
      <c r="B113" t="s">
        <v>95</v>
      </c>
      <c r="C113" t="s">
        <v>14</v>
      </c>
      <c r="D113">
        <v>5</v>
      </c>
      <c r="E113">
        <v>4129</v>
      </c>
      <c r="F113" t="s">
        <v>9</v>
      </c>
      <c r="G113">
        <f t="shared" si="6"/>
        <v>1.9859530152579317</v>
      </c>
      <c r="H113" s="9" t="s">
        <v>158</v>
      </c>
      <c r="I113" s="11">
        <v>4047</v>
      </c>
      <c r="K113" t="str">
        <f t="shared" si="7"/>
        <v>Unique</v>
      </c>
    </row>
    <row r="114" spans="1:11" ht="15" thickBot="1" x14ac:dyDescent="0.4">
      <c r="A114" t="s">
        <v>68</v>
      </c>
      <c r="B114" t="s">
        <v>69</v>
      </c>
      <c r="C114" t="s">
        <v>14</v>
      </c>
      <c r="D114">
        <v>200</v>
      </c>
      <c r="E114">
        <v>90.75</v>
      </c>
      <c r="F114" t="s">
        <v>9</v>
      </c>
      <c r="G114">
        <f t="shared" si="6"/>
        <v>2.0606060606060654</v>
      </c>
      <c r="H114" s="9" t="s">
        <v>139</v>
      </c>
      <c r="I114" s="11">
        <v>88.88</v>
      </c>
      <c r="K114" t="str">
        <f t="shared" si="7"/>
        <v>Unique</v>
      </c>
    </row>
    <row r="115" spans="1:11" ht="15" thickBot="1" x14ac:dyDescent="0.4">
      <c r="A115" t="s">
        <v>58</v>
      </c>
      <c r="B115" t="s">
        <v>70</v>
      </c>
      <c r="C115" t="s">
        <v>14</v>
      </c>
      <c r="D115">
        <v>150</v>
      </c>
      <c r="E115">
        <v>123.4</v>
      </c>
      <c r="F115" t="s">
        <v>9</v>
      </c>
      <c r="G115">
        <f t="shared" si="6"/>
        <v>2.1069692058346909</v>
      </c>
      <c r="H115" s="9" t="s">
        <v>140</v>
      </c>
      <c r="I115" s="11">
        <v>120.8</v>
      </c>
      <c r="K115" t="str">
        <f t="shared" si="7"/>
        <v>Unique</v>
      </c>
    </row>
    <row r="116" spans="1:11" ht="15" thickBot="1" x14ac:dyDescent="0.4">
      <c r="A116" t="s">
        <v>44</v>
      </c>
      <c r="B116" t="s">
        <v>20</v>
      </c>
      <c r="C116" t="s">
        <v>14</v>
      </c>
      <c r="D116">
        <v>50</v>
      </c>
      <c r="E116">
        <v>218</v>
      </c>
      <c r="F116" t="s">
        <v>9</v>
      </c>
      <c r="G116">
        <f t="shared" si="6"/>
        <v>2.1100917431192636</v>
      </c>
      <c r="H116" s="9" t="s">
        <v>112</v>
      </c>
      <c r="I116" s="11">
        <v>213.4</v>
      </c>
      <c r="K116" t="str">
        <f t="shared" si="7"/>
        <v>Unique</v>
      </c>
    </row>
    <row r="117" spans="1:11" ht="15" thickBot="1" x14ac:dyDescent="0.4">
      <c r="A117" t="s">
        <v>66</v>
      </c>
      <c r="B117" t="s">
        <v>67</v>
      </c>
      <c r="C117" t="s">
        <v>14</v>
      </c>
      <c r="D117">
        <v>200</v>
      </c>
      <c r="E117">
        <v>234</v>
      </c>
      <c r="F117" t="s">
        <v>9</v>
      </c>
      <c r="G117">
        <f t="shared" si="6"/>
        <v>2.2991452991452972</v>
      </c>
      <c r="H117" s="9" t="s">
        <v>138</v>
      </c>
      <c r="I117" s="11">
        <v>228.62</v>
      </c>
      <c r="K117" t="str">
        <f t="shared" si="7"/>
        <v>Unique</v>
      </c>
    </row>
    <row r="118" spans="1:11" ht="15" thickBot="1" x14ac:dyDescent="0.4">
      <c r="A118" s="13">
        <v>46237.768750000003</v>
      </c>
      <c r="B118" s="15" t="s">
        <v>49</v>
      </c>
      <c r="C118" s="15" t="s">
        <v>14</v>
      </c>
      <c r="D118" s="16">
        <v>150</v>
      </c>
      <c r="E118" s="17">
        <v>134.80000000000001</v>
      </c>
      <c r="F118" s="15" t="s">
        <v>9</v>
      </c>
      <c r="G118">
        <f t="shared" si="6"/>
        <v>2.5222551928783425</v>
      </c>
      <c r="H118" s="9" t="s">
        <v>126</v>
      </c>
      <c r="I118" s="11">
        <v>131.4</v>
      </c>
      <c r="K118" t="str">
        <f t="shared" si="7"/>
        <v>Unique</v>
      </c>
    </row>
    <row r="119" spans="1:11" ht="15" thickBot="1" x14ac:dyDescent="0.4">
      <c r="A119" t="s">
        <v>44</v>
      </c>
      <c r="B119" t="s">
        <v>53</v>
      </c>
      <c r="C119" t="s">
        <v>14</v>
      </c>
      <c r="D119">
        <v>100</v>
      </c>
      <c r="E119">
        <v>214</v>
      </c>
      <c r="F119" t="s">
        <v>9</v>
      </c>
      <c r="G119">
        <f t="shared" si="6"/>
        <v>2.6214953271028101</v>
      </c>
      <c r="H119" s="9" t="s">
        <v>130</v>
      </c>
      <c r="I119" s="11">
        <v>208.39</v>
      </c>
      <c r="K119" t="str">
        <f t="shared" si="7"/>
        <v>Unique</v>
      </c>
    </row>
    <row r="120" spans="1:11" ht="15" thickBot="1" x14ac:dyDescent="0.4">
      <c r="A120" t="s">
        <v>64</v>
      </c>
      <c r="B120" t="s">
        <v>63</v>
      </c>
      <c r="C120" t="s">
        <v>14</v>
      </c>
      <c r="D120">
        <v>8</v>
      </c>
      <c r="E120">
        <v>2440</v>
      </c>
      <c r="F120" t="s">
        <v>9</v>
      </c>
      <c r="G120">
        <f t="shared" si="6"/>
        <v>2.622950819672131</v>
      </c>
      <c r="H120" s="9" t="s">
        <v>136</v>
      </c>
      <c r="I120" s="11">
        <v>2376</v>
      </c>
      <c r="K120" t="str">
        <f t="shared" si="7"/>
        <v>Unique</v>
      </c>
    </row>
    <row r="121" spans="1:11" ht="15" thickBot="1" x14ac:dyDescent="0.4">
      <c r="A121" t="s">
        <v>99</v>
      </c>
      <c r="B121" t="s">
        <v>94</v>
      </c>
      <c r="C121" t="s">
        <v>14</v>
      </c>
      <c r="D121">
        <v>10</v>
      </c>
      <c r="E121">
        <v>1460</v>
      </c>
      <c r="F121" t="s">
        <v>9</v>
      </c>
      <c r="G121">
        <f t="shared" si="6"/>
        <v>2.7397260273972601</v>
      </c>
      <c r="H121" s="9" t="s">
        <v>157</v>
      </c>
      <c r="I121" s="11">
        <v>1420</v>
      </c>
      <c r="K121" t="str">
        <f t="shared" si="7"/>
        <v>Unique</v>
      </c>
    </row>
    <row r="122" spans="1:11" ht="15" thickBot="1" x14ac:dyDescent="0.4">
      <c r="A122" t="s">
        <v>74</v>
      </c>
      <c r="B122" t="s">
        <v>78</v>
      </c>
      <c r="C122" t="s">
        <v>14</v>
      </c>
      <c r="D122">
        <v>10</v>
      </c>
      <c r="E122">
        <v>977</v>
      </c>
      <c r="F122" t="s">
        <v>9</v>
      </c>
      <c r="G122">
        <f t="shared" si="6"/>
        <v>2.8915046059365404</v>
      </c>
      <c r="H122" s="9" t="s">
        <v>145</v>
      </c>
      <c r="I122" s="11">
        <v>948.75</v>
      </c>
      <c r="K122" t="str">
        <f t="shared" si="7"/>
        <v>Unique</v>
      </c>
    </row>
    <row r="123" spans="1:11" ht="15" thickBot="1" x14ac:dyDescent="0.4">
      <c r="A123" s="18">
        <v>46239</v>
      </c>
      <c r="B123" s="15" t="s">
        <v>22</v>
      </c>
      <c r="C123" s="15" t="s">
        <v>14</v>
      </c>
      <c r="D123" s="16">
        <v>10</v>
      </c>
      <c r="E123" s="16">
        <v>2590</v>
      </c>
      <c r="F123" s="15" t="s">
        <v>9</v>
      </c>
      <c r="G123">
        <f t="shared" si="6"/>
        <v>3.0501930501930499</v>
      </c>
      <c r="H123" s="9" t="s">
        <v>127</v>
      </c>
      <c r="I123" s="11">
        <v>2511</v>
      </c>
      <c r="K123" t="str">
        <f t="shared" si="7"/>
        <v>Unique</v>
      </c>
    </row>
    <row r="124" spans="1:11" ht="15" thickBot="1" x14ac:dyDescent="0.4">
      <c r="A124" s="13">
        <v>46238.63553240741</v>
      </c>
      <c r="B124" s="15" t="s">
        <v>95</v>
      </c>
      <c r="C124" s="15" t="s">
        <v>14</v>
      </c>
      <c r="D124" s="16">
        <v>5</v>
      </c>
      <c r="E124" s="16">
        <v>4177</v>
      </c>
      <c r="F124" s="15" t="s">
        <v>9</v>
      </c>
      <c r="G124">
        <f t="shared" si="6"/>
        <v>3.1122815417763947</v>
      </c>
      <c r="H124" s="9" t="s">
        <v>158</v>
      </c>
      <c r="I124" s="11">
        <v>4047</v>
      </c>
      <c r="K124" t="str">
        <f t="shared" si="7"/>
        <v>Unique</v>
      </c>
    </row>
    <row r="125" spans="1:11" ht="15" thickBot="1" x14ac:dyDescent="0.4">
      <c r="A125" t="s">
        <v>88</v>
      </c>
      <c r="B125" t="s">
        <v>69</v>
      </c>
      <c r="C125" t="s">
        <v>14</v>
      </c>
      <c r="D125">
        <v>200</v>
      </c>
      <c r="E125">
        <v>91.75</v>
      </c>
      <c r="F125" t="s">
        <v>9</v>
      </c>
      <c r="G125">
        <f t="shared" si="6"/>
        <v>3.1280653950953732</v>
      </c>
      <c r="H125" s="9" t="s">
        <v>139</v>
      </c>
      <c r="I125" s="11">
        <v>88.88</v>
      </c>
      <c r="K125" t="str">
        <f t="shared" si="7"/>
        <v>Unique</v>
      </c>
    </row>
    <row r="126" spans="1:11" ht="15" thickBot="1" x14ac:dyDescent="0.4">
      <c r="A126" t="s">
        <v>54</v>
      </c>
      <c r="B126" t="s">
        <v>65</v>
      </c>
      <c r="C126" t="s">
        <v>14</v>
      </c>
      <c r="D126">
        <v>10</v>
      </c>
      <c r="E126">
        <v>1280</v>
      </c>
      <c r="F126" t="s">
        <v>9</v>
      </c>
      <c r="G126">
        <f t="shared" si="6"/>
        <v>3.2031249999999996</v>
      </c>
      <c r="H126" s="9" t="s">
        <v>137</v>
      </c>
      <c r="I126" s="11">
        <v>1239</v>
      </c>
      <c r="K126" t="str">
        <f t="shared" si="7"/>
        <v>Unique</v>
      </c>
    </row>
    <row r="127" spans="1:11" ht="15" thickBot="1" x14ac:dyDescent="0.4">
      <c r="A127" t="s">
        <v>42</v>
      </c>
      <c r="B127" t="s">
        <v>7</v>
      </c>
      <c r="C127" t="s">
        <v>14</v>
      </c>
      <c r="D127">
        <v>67</v>
      </c>
      <c r="E127">
        <v>373</v>
      </c>
      <c r="F127" t="s">
        <v>9</v>
      </c>
      <c r="G127">
        <f t="shared" si="6"/>
        <v>3.2439678284182363</v>
      </c>
      <c r="H127" s="9" t="s">
        <v>107</v>
      </c>
      <c r="I127" s="11">
        <v>360.9</v>
      </c>
      <c r="K127" t="str">
        <f t="shared" si="7"/>
        <v>Unique</v>
      </c>
    </row>
    <row r="128" spans="1:11" ht="15" thickBot="1" x14ac:dyDescent="0.4">
      <c r="A128" t="s">
        <v>88</v>
      </c>
      <c r="B128" t="s">
        <v>70</v>
      </c>
      <c r="C128" t="s">
        <v>14</v>
      </c>
      <c r="D128">
        <v>150</v>
      </c>
      <c r="E128">
        <v>124.9</v>
      </c>
      <c r="F128" t="s">
        <v>9</v>
      </c>
      <c r="G128">
        <f t="shared" si="6"/>
        <v>3.2826261008807109</v>
      </c>
      <c r="H128" s="9" t="s">
        <v>140</v>
      </c>
      <c r="I128" s="11">
        <v>120.8</v>
      </c>
      <c r="K128" t="str">
        <f t="shared" si="7"/>
        <v>Unique</v>
      </c>
    </row>
    <row r="129" spans="1:11" ht="15" thickBot="1" x14ac:dyDescent="0.4">
      <c r="A129" t="s">
        <v>56</v>
      </c>
      <c r="B129" t="s">
        <v>57</v>
      </c>
      <c r="C129" t="s">
        <v>14</v>
      </c>
      <c r="D129">
        <v>5</v>
      </c>
      <c r="E129">
        <v>3633</v>
      </c>
      <c r="F129" t="s">
        <v>9</v>
      </c>
      <c r="G129">
        <f t="shared" si="6"/>
        <v>3.3581062482796589</v>
      </c>
      <c r="H129" s="9" t="s">
        <v>132</v>
      </c>
      <c r="I129" s="11">
        <v>3511</v>
      </c>
      <c r="K129" t="str">
        <f t="shared" si="7"/>
        <v>Unique</v>
      </c>
    </row>
    <row r="130" spans="1:11" ht="15" thickBot="1" x14ac:dyDescent="0.4">
      <c r="A130" t="s">
        <v>46</v>
      </c>
      <c r="B130" t="s">
        <v>49</v>
      </c>
      <c r="C130" t="s">
        <v>14</v>
      </c>
      <c r="D130">
        <v>150</v>
      </c>
      <c r="E130">
        <v>136</v>
      </c>
      <c r="F130" t="s">
        <v>9</v>
      </c>
      <c r="G130">
        <f t="shared" ref="G130:G161" si="8">((E130-I130)/E130)*100</f>
        <v>3.3823529411764661</v>
      </c>
      <c r="H130" s="9" t="s">
        <v>126</v>
      </c>
      <c r="I130" s="11">
        <v>131.4</v>
      </c>
      <c r="K130" t="str">
        <f t="shared" ref="K130:K161" si="9">IF(COUNTIFS( $B$2:$B$979, B130, $C$2:$C$979, C130, $D$2:$D$979, D130, $E$2:$E$979, E130) &gt; 1, "Duplicate", "Unique")</f>
        <v>Unique</v>
      </c>
    </row>
    <row r="131" spans="1:11" ht="15" thickBot="1" x14ac:dyDescent="0.4">
      <c r="A131" t="s">
        <v>74</v>
      </c>
      <c r="B131" t="s">
        <v>75</v>
      </c>
      <c r="C131" t="s">
        <v>14</v>
      </c>
      <c r="D131">
        <v>5</v>
      </c>
      <c r="E131">
        <v>4040</v>
      </c>
      <c r="F131" t="s">
        <v>9</v>
      </c>
      <c r="G131">
        <f t="shared" si="8"/>
        <v>3.5148514851485153</v>
      </c>
      <c r="H131" s="9" t="s">
        <v>142</v>
      </c>
      <c r="I131" s="11">
        <v>3898</v>
      </c>
      <c r="K131" t="str">
        <f t="shared" si="9"/>
        <v>Unique</v>
      </c>
    </row>
    <row r="132" spans="1:11" ht="15" thickBot="1" x14ac:dyDescent="0.4">
      <c r="A132" t="s">
        <v>44</v>
      </c>
      <c r="B132" t="s">
        <v>51</v>
      </c>
      <c r="C132" t="s">
        <v>14</v>
      </c>
      <c r="D132">
        <v>120</v>
      </c>
      <c r="E132">
        <v>300.5</v>
      </c>
      <c r="F132" t="s">
        <v>9</v>
      </c>
      <c r="G132">
        <f t="shared" si="8"/>
        <v>3.6605657237936775</v>
      </c>
      <c r="H132" s="9" t="s">
        <v>128</v>
      </c>
      <c r="I132" s="11">
        <v>289.5</v>
      </c>
      <c r="K132" t="str">
        <f t="shared" si="9"/>
        <v>Unique</v>
      </c>
    </row>
    <row r="133" spans="1:11" ht="15" thickBot="1" x14ac:dyDescent="0.4">
      <c r="A133" t="s">
        <v>44</v>
      </c>
      <c r="B133" t="s">
        <v>30</v>
      </c>
      <c r="C133" t="s">
        <v>14</v>
      </c>
      <c r="D133">
        <v>25</v>
      </c>
      <c r="E133">
        <v>210</v>
      </c>
      <c r="F133" t="s">
        <v>9</v>
      </c>
      <c r="G133">
        <f t="shared" si="8"/>
        <v>3.8095238095238098</v>
      </c>
      <c r="H133" s="9" t="s">
        <v>117</v>
      </c>
      <c r="I133" s="11">
        <v>202</v>
      </c>
      <c r="K133" t="str">
        <f t="shared" si="9"/>
        <v>Unique</v>
      </c>
    </row>
    <row r="134" spans="1:11" ht="15" thickBot="1" x14ac:dyDescent="0.4">
      <c r="A134" t="s">
        <v>54</v>
      </c>
      <c r="B134" t="s">
        <v>55</v>
      </c>
      <c r="C134" t="s">
        <v>14</v>
      </c>
      <c r="D134">
        <v>100</v>
      </c>
      <c r="E134">
        <v>405</v>
      </c>
      <c r="F134" t="s">
        <v>9</v>
      </c>
      <c r="G134">
        <f t="shared" si="8"/>
        <v>3.8518518518518579</v>
      </c>
      <c r="H134" s="9" t="s">
        <v>131</v>
      </c>
      <c r="I134" s="11">
        <v>389.4</v>
      </c>
      <c r="K134" t="str">
        <f t="shared" si="9"/>
        <v>Unique</v>
      </c>
    </row>
    <row r="135" spans="1:11" ht="15" thickBot="1" x14ac:dyDescent="0.4">
      <c r="A135" t="s">
        <v>74</v>
      </c>
      <c r="B135" t="s">
        <v>67</v>
      </c>
      <c r="C135" t="s">
        <v>14</v>
      </c>
      <c r="D135">
        <v>100</v>
      </c>
      <c r="E135">
        <v>238.2</v>
      </c>
      <c r="F135" t="s">
        <v>9</v>
      </c>
      <c r="G135">
        <f t="shared" si="8"/>
        <v>4.0218303946263578</v>
      </c>
      <c r="H135" s="9" t="s">
        <v>138</v>
      </c>
      <c r="I135" s="11">
        <v>228.62</v>
      </c>
      <c r="K135" t="str">
        <f t="shared" si="9"/>
        <v>Unique</v>
      </c>
    </row>
    <row r="136" spans="1:11" s="8" customFormat="1" ht="15" thickBot="1" x14ac:dyDescent="0.4">
      <c r="A136" s="7" t="s">
        <v>40</v>
      </c>
      <c r="B136" s="7" t="s">
        <v>22</v>
      </c>
      <c r="C136" s="7" t="s">
        <v>14</v>
      </c>
      <c r="D136" s="7">
        <v>10</v>
      </c>
      <c r="E136" s="7">
        <v>2618</v>
      </c>
      <c r="F136" s="7" t="s">
        <v>9</v>
      </c>
      <c r="G136">
        <f t="shared" si="8"/>
        <v>4.0870893812070284</v>
      </c>
      <c r="H136" s="9" t="s">
        <v>127</v>
      </c>
      <c r="I136" s="11">
        <v>2511</v>
      </c>
      <c r="J136"/>
      <c r="K136" t="str">
        <f t="shared" si="9"/>
        <v>Unique</v>
      </c>
    </row>
    <row r="137" spans="1:11" ht="15" thickBot="1" x14ac:dyDescent="0.4">
      <c r="A137" s="7" t="s">
        <v>50</v>
      </c>
      <c r="B137" s="7" t="s">
        <v>22</v>
      </c>
      <c r="C137" s="7" t="s">
        <v>14</v>
      </c>
      <c r="D137" s="7">
        <v>10</v>
      </c>
      <c r="E137" s="7">
        <v>2620</v>
      </c>
      <c r="F137" s="7" t="s">
        <v>9</v>
      </c>
      <c r="G137">
        <f t="shared" si="8"/>
        <v>4.1603053435114496</v>
      </c>
      <c r="H137" s="9" t="s">
        <v>127</v>
      </c>
      <c r="I137" s="11">
        <v>2511</v>
      </c>
      <c r="K137" t="str">
        <f t="shared" si="9"/>
        <v>Unique</v>
      </c>
    </row>
    <row r="138" spans="1:11" ht="15" thickBot="1" x14ac:dyDescent="0.4">
      <c r="A138" s="7" t="s">
        <v>88</v>
      </c>
      <c r="B138" s="7" t="s">
        <v>69</v>
      </c>
      <c r="C138" s="7" t="s">
        <v>14</v>
      </c>
      <c r="D138" s="7">
        <v>200</v>
      </c>
      <c r="E138" s="7">
        <v>92.75</v>
      </c>
      <c r="F138" s="7" t="s">
        <v>9</v>
      </c>
      <c r="G138">
        <f t="shared" si="8"/>
        <v>4.1725067385444792</v>
      </c>
      <c r="H138" s="9" t="s">
        <v>139</v>
      </c>
      <c r="I138" s="11">
        <v>88.88</v>
      </c>
      <c r="K138" t="str">
        <f t="shared" si="9"/>
        <v>Unique</v>
      </c>
    </row>
    <row r="139" spans="1:11" ht="15" thickBot="1" x14ac:dyDescent="0.4">
      <c r="A139" s="7" t="s">
        <v>61</v>
      </c>
      <c r="B139" s="7" t="s">
        <v>84</v>
      </c>
      <c r="C139" s="7" t="s">
        <v>14</v>
      </c>
      <c r="D139" s="7">
        <v>1</v>
      </c>
      <c r="E139" s="7">
        <v>19198</v>
      </c>
      <c r="F139" s="7" t="s">
        <v>9</v>
      </c>
      <c r="G139">
        <f t="shared" si="8"/>
        <v>4.182727367434107</v>
      </c>
      <c r="H139" s="9" t="s">
        <v>151</v>
      </c>
      <c r="I139" s="11">
        <v>18395</v>
      </c>
      <c r="K139" t="str">
        <f t="shared" si="9"/>
        <v>Unique</v>
      </c>
    </row>
    <row r="140" spans="1:11" ht="15" thickBot="1" x14ac:dyDescent="0.4">
      <c r="A140" s="7" t="s">
        <v>74</v>
      </c>
      <c r="B140" s="7" t="s">
        <v>67</v>
      </c>
      <c r="C140" s="7" t="s">
        <v>14</v>
      </c>
      <c r="D140" s="7">
        <v>200</v>
      </c>
      <c r="E140" s="7">
        <v>239</v>
      </c>
      <c r="F140" s="7" t="s">
        <v>9</v>
      </c>
      <c r="G140">
        <f t="shared" si="8"/>
        <v>4.3430962343096216</v>
      </c>
      <c r="H140" s="9" t="s">
        <v>138</v>
      </c>
      <c r="I140" s="11">
        <v>228.62</v>
      </c>
      <c r="K140" t="str">
        <f t="shared" si="9"/>
        <v>Unique</v>
      </c>
    </row>
    <row r="141" spans="1:11" ht="15" thickBot="1" x14ac:dyDescent="0.4">
      <c r="A141" s="7" t="s">
        <v>21</v>
      </c>
      <c r="B141" s="7" t="s">
        <v>52</v>
      </c>
      <c r="C141" s="7" t="s">
        <v>14</v>
      </c>
      <c r="D141" s="7">
        <v>30</v>
      </c>
      <c r="E141" s="7">
        <v>948</v>
      </c>
      <c r="F141" s="7" t="s">
        <v>9</v>
      </c>
      <c r="G141">
        <f t="shared" si="8"/>
        <v>4.5358649789029535</v>
      </c>
      <c r="H141" s="9" t="s">
        <v>129</v>
      </c>
      <c r="I141" s="11">
        <v>905</v>
      </c>
      <c r="K141" t="str">
        <f t="shared" si="9"/>
        <v>Unique</v>
      </c>
    </row>
    <row r="142" spans="1:11" ht="15" thickBot="1" x14ac:dyDescent="0.4">
      <c r="A142" s="7" t="s">
        <v>54</v>
      </c>
      <c r="B142" s="7" t="s">
        <v>65</v>
      </c>
      <c r="C142" s="7" t="s">
        <v>14</v>
      </c>
      <c r="D142" s="7">
        <v>10</v>
      </c>
      <c r="E142" s="7">
        <v>1298</v>
      </c>
      <c r="F142" s="7" t="s">
        <v>9</v>
      </c>
      <c r="G142">
        <f t="shared" si="8"/>
        <v>4.5454545454545459</v>
      </c>
      <c r="H142" s="9" t="s">
        <v>137</v>
      </c>
      <c r="I142" s="11">
        <v>1239</v>
      </c>
      <c r="K142" t="str">
        <f t="shared" si="9"/>
        <v>Unique</v>
      </c>
    </row>
    <row r="143" spans="1:11" ht="15" thickBot="1" x14ac:dyDescent="0.4">
      <c r="A143" s="7" t="s">
        <v>54</v>
      </c>
      <c r="B143" s="7" t="s">
        <v>63</v>
      </c>
      <c r="C143" s="7" t="s">
        <v>14</v>
      </c>
      <c r="D143" s="7">
        <v>7</v>
      </c>
      <c r="E143" s="7">
        <v>2490</v>
      </c>
      <c r="F143" s="7" t="s">
        <v>9</v>
      </c>
      <c r="G143">
        <f t="shared" si="8"/>
        <v>4.5783132530120483</v>
      </c>
      <c r="H143" s="9" t="s">
        <v>136</v>
      </c>
      <c r="I143" s="11">
        <v>2376</v>
      </c>
      <c r="K143" t="str">
        <f t="shared" si="9"/>
        <v>Unique</v>
      </c>
    </row>
    <row r="144" spans="1:11" ht="15" thickBot="1" x14ac:dyDescent="0.4">
      <c r="A144" s="7" t="s">
        <v>88</v>
      </c>
      <c r="B144" s="7" t="s">
        <v>94</v>
      </c>
      <c r="C144" s="7" t="s">
        <v>14</v>
      </c>
      <c r="D144" s="7">
        <v>10</v>
      </c>
      <c r="E144" s="7">
        <v>1490</v>
      </c>
      <c r="F144" s="7" t="s">
        <v>9</v>
      </c>
      <c r="G144">
        <f t="shared" si="8"/>
        <v>4.6979865771812079</v>
      </c>
      <c r="H144" s="9" t="s">
        <v>157</v>
      </c>
      <c r="I144" s="11">
        <v>1420</v>
      </c>
      <c r="K144" t="str">
        <f t="shared" si="9"/>
        <v>Unique</v>
      </c>
    </row>
    <row r="145" spans="1:11" ht="15" thickBot="1" x14ac:dyDescent="0.4">
      <c r="A145" s="7" t="s">
        <v>74</v>
      </c>
      <c r="B145" s="7" t="s">
        <v>78</v>
      </c>
      <c r="C145" s="7" t="s">
        <v>14</v>
      </c>
      <c r="D145" s="7">
        <v>10</v>
      </c>
      <c r="E145" s="7">
        <v>997</v>
      </c>
      <c r="F145" s="7" t="s">
        <v>9</v>
      </c>
      <c r="G145">
        <f t="shared" si="8"/>
        <v>4.8395185556670013</v>
      </c>
      <c r="H145" s="9" t="s">
        <v>145</v>
      </c>
      <c r="I145" s="11">
        <v>948.75</v>
      </c>
      <c r="K145" t="str">
        <f t="shared" si="9"/>
        <v>Unique</v>
      </c>
    </row>
    <row r="146" spans="1:11" ht="15" thickBot="1" x14ac:dyDescent="0.4">
      <c r="A146" s="7" t="s">
        <v>44</v>
      </c>
      <c r="B146" s="7" t="s">
        <v>53</v>
      </c>
      <c r="C146" s="7" t="s">
        <v>14</v>
      </c>
      <c r="D146" s="7">
        <v>65</v>
      </c>
      <c r="E146" s="7">
        <v>219</v>
      </c>
      <c r="F146" s="7" t="s">
        <v>9</v>
      </c>
      <c r="G146">
        <f t="shared" si="8"/>
        <v>4.8447488584474954</v>
      </c>
      <c r="H146" s="9" t="s">
        <v>130</v>
      </c>
      <c r="I146" s="11">
        <v>208.39</v>
      </c>
      <c r="K146" t="str">
        <f t="shared" si="9"/>
        <v>Unique</v>
      </c>
    </row>
    <row r="147" spans="1:11" ht="15" thickBot="1" x14ac:dyDescent="0.4">
      <c r="A147" s="7" t="s">
        <v>54</v>
      </c>
      <c r="B147" s="7" t="s">
        <v>85</v>
      </c>
      <c r="C147" s="7" t="s">
        <v>14</v>
      </c>
      <c r="D147" s="7">
        <v>2</v>
      </c>
      <c r="E147" s="7">
        <v>2690</v>
      </c>
      <c r="F147" s="7" t="s">
        <v>9</v>
      </c>
      <c r="G147">
        <f t="shared" si="8"/>
        <v>5.0111524163568841</v>
      </c>
      <c r="H147" s="9" t="s">
        <v>152</v>
      </c>
      <c r="I147" s="11">
        <v>2555.1999999999998</v>
      </c>
      <c r="K147" t="str">
        <f t="shared" si="9"/>
        <v>Unique</v>
      </c>
    </row>
    <row r="148" spans="1:11" ht="15" thickBot="1" x14ac:dyDescent="0.4">
      <c r="A148" s="7" t="s">
        <v>50</v>
      </c>
      <c r="B148" s="7" t="s">
        <v>22</v>
      </c>
      <c r="C148" s="7" t="s">
        <v>14</v>
      </c>
      <c r="D148" s="7">
        <v>10</v>
      </c>
      <c r="E148" s="7">
        <v>2648</v>
      </c>
      <c r="F148" s="7" t="s">
        <v>9</v>
      </c>
      <c r="G148">
        <f t="shared" si="8"/>
        <v>5.1737160120845918</v>
      </c>
      <c r="H148" s="9" t="s">
        <v>127</v>
      </c>
      <c r="I148" s="11">
        <v>2511</v>
      </c>
      <c r="K148" t="str">
        <f t="shared" si="9"/>
        <v>Unique</v>
      </c>
    </row>
    <row r="149" spans="1:11" ht="15" thickBot="1" x14ac:dyDescent="0.4">
      <c r="A149" s="7" t="s">
        <v>61</v>
      </c>
      <c r="B149" s="7" t="s">
        <v>62</v>
      </c>
      <c r="C149" s="7" t="s">
        <v>14</v>
      </c>
      <c r="D149" s="7">
        <v>1</v>
      </c>
      <c r="E149" s="7">
        <v>4890</v>
      </c>
      <c r="F149" s="7" t="s">
        <v>9</v>
      </c>
      <c r="G149">
        <f t="shared" si="8"/>
        <v>5.2065439672801705</v>
      </c>
      <c r="H149" s="9" t="s">
        <v>135</v>
      </c>
      <c r="I149" s="11">
        <v>4635.3999999999996</v>
      </c>
      <c r="K149" t="str">
        <f t="shared" si="9"/>
        <v>Unique</v>
      </c>
    </row>
    <row r="150" spans="1:11" ht="15" thickBot="1" x14ac:dyDescent="0.4">
      <c r="A150" s="7" t="s">
        <v>88</v>
      </c>
      <c r="B150" s="7" t="s">
        <v>98</v>
      </c>
      <c r="C150" s="7" t="s">
        <v>14</v>
      </c>
      <c r="D150" s="7">
        <v>11</v>
      </c>
      <c r="E150" s="7">
        <v>548</v>
      </c>
      <c r="F150" s="7" t="s">
        <v>9</v>
      </c>
      <c r="G150">
        <f t="shared" si="8"/>
        <v>5.2919708029197077</v>
      </c>
      <c r="H150" s="9" t="s">
        <v>160</v>
      </c>
      <c r="I150" s="11">
        <v>519</v>
      </c>
      <c r="K150" t="str">
        <f t="shared" si="9"/>
        <v>Unique</v>
      </c>
    </row>
    <row r="151" spans="1:11" ht="15" thickBot="1" x14ac:dyDescent="0.4">
      <c r="A151" s="7" t="s">
        <v>56</v>
      </c>
      <c r="B151" s="7" t="s">
        <v>57</v>
      </c>
      <c r="C151" s="7" t="s">
        <v>14</v>
      </c>
      <c r="D151" s="7">
        <v>1</v>
      </c>
      <c r="E151" s="7">
        <v>3710</v>
      </c>
      <c r="F151" s="7" t="s">
        <v>9</v>
      </c>
      <c r="G151">
        <f t="shared" si="8"/>
        <v>5.3638814016172507</v>
      </c>
      <c r="H151" s="9" t="s">
        <v>132</v>
      </c>
      <c r="I151" s="11">
        <v>3511</v>
      </c>
      <c r="K151" t="str">
        <f t="shared" si="9"/>
        <v>Unique</v>
      </c>
    </row>
    <row r="152" spans="1:11" ht="15" thickBot="1" x14ac:dyDescent="0.4">
      <c r="A152" s="7" t="s">
        <v>43</v>
      </c>
      <c r="B152" s="7" t="s">
        <v>28</v>
      </c>
      <c r="C152" s="7" t="s">
        <v>14</v>
      </c>
      <c r="D152" s="7">
        <v>5</v>
      </c>
      <c r="E152" s="7">
        <v>467.25</v>
      </c>
      <c r="F152" s="7" t="s">
        <v>9</v>
      </c>
      <c r="G152">
        <f t="shared" si="8"/>
        <v>5.4039593365436058</v>
      </c>
      <c r="H152" s="9" t="s">
        <v>116</v>
      </c>
      <c r="I152" s="11">
        <v>442</v>
      </c>
      <c r="K152" t="str">
        <f t="shared" si="9"/>
        <v>Unique</v>
      </c>
    </row>
    <row r="153" spans="1:11" ht="15" thickBot="1" x14ac:dyDescent="0.4">
      <c r="A153" s="2">
        <v>46237.768750000003</v>
      </c>
      <c r="B153" s="1" t="s">
        <v>30</v>
      </c>
      <c r="C153" s="1" t="s">
        <v>14</v>
      </c>
      <c r="D153" s="3">
        <v>25</v>
      </c>
      <c r="E153" s="4">
        <v>214</v>
      </c>
      <c r="F153" s="1" t="s">
        <v>9</v>
      </c>
      <c r="G153">
        <f t="shared" si="8"/>
        <v>5.6074766355140184</v>
      </c>
      <c r="H153" s="9" t="s">
        <v>117</v>
      </c>
      <c r="I153" s="11">
        <v>202</v>
      </c>
      <c r="K153" t="str">
        <f t="shared" si="9"/>
        <v>Unique</v>
      </c>
    </row>
    <row r="154" spans="1:11" ht="15" thickBot="1" x14ac:dyDescent="0.4">
      <c r="A154" s="7" t="s">
        <v>54</v>
      </c>
      <c r="B154" s="7" t="s">
        <v>85</v>
      </c>
      <c r="C154" s="7" t="s">
        <v>14</v>
      </c>
      <c r="D154" s="7">
        <v>3</v>
      </c>
      <c r="E154" s="7">
        <v>2710</v>
      </c>
      <c r="F154" s="7" t="s">
        <v>9</v>
      </c>
      <c r="G154">
        <f t="shared" si="8"/>
        <v>5.7121771217712247</v>
      </c>
      <c r="H154" s="9" t="s">
        <v>152</v>
      </c>
      <c r="I154" s="11">
        <v>2555.1999999999998</v>
      </c>
      <c r="K154" t="str">
        <f t="shared" si="9"/>
        <v>Unique</v>
      </c>
    </row>
    <row r="155" spans="1:11" ht="15" thickBot="1" x14ac:dyDescent="0.4">
      <c r="A155" s="7" t="s">
        <v>50</v>
      </c>
      <c r="B155" s="7" t="s">
        <v>22</v>
      </c>
      <c r="C155" s="7" t="s">
        <v>14</v>
      </c>
      <c r="D155" s="7">
        <v>10</v>
      </c>
      <c r="E155" s="7">
        <v>2672</v>
      </c>
      <c r="F155" s="7" t="s">
        <v>9</v>
      </c>
      <c r="G155">
        <f t="shared" si="8"/>
        <v>6.0254491017964078</v>
      </c>
      <c r="H155" s="9" t="s">
        <v>127</v>
      </c>
      <c r="I155" s="11">
        <v>2511</v>
      </c>
      <c r="K155" t="str">
        <f t="shared" si="9"/>
        <v>Unique</v>
      </c>
    </row>
    <row r="156" spans="1:11" ht="15" thickBot="1" x14ac:dyDescent="0.4">
      <c r="A156" s="7" t="s">
        <v>100</v>
      </c>
      <c r="B156" s="7" t="s">
        <v>18</v>
      </c>
      <c r="C156" s="7" t="s">
        <v>14</v>
      </c>
      <c r="D156" s="7">
        <v>5</v>
      </c>
      <c r="E156" s="7">
        <v>730</v>
      </c>
      <c r="F156" s="7" t="s">
        <v>9</v>
      </c>
      <c r="G156">
        <f t="shared" si="8"/>
        <v>6.1643835616438354</v>
      </c>
      <c r="H156" s="9" t="s">
        <v>111</v>
      </c>
      <c r="I156" s="11">
        <v>685</v>
      </c>
      <c r="K156" t="str">
        <f t="shared" si="9"/>
        <v>Unique</v>
      </c>
    </row>
    <row r="157" spans="1:11" ht="15" thickBot="1" x14ac:dyDescent="0.4">
      <c r="A157" s="7" t="s">
        <v>74</v>
      </c>
      <c r="B157" s="7" t="s">
        <v>67</v>
      </c>
      <c r="C157" s="7" t="s">
        <v>14</v>
      </c>
      <c r="D157" s="7">
        <v>200</v>
      </c>
      <c r="E157" s="7">
        <v>244</v>
      </c>
      <c r="F157" s="7" t="s">
        <v>9</v>
      </c>
      <c r="G157">
        <f t="shared" si="8"/>
        <v>6.3032786885245882</v>
      </c>
      <c r="H157" s="9" t="s">
        <v>138</v>
      </c>
      <c r="I157" s="11">
        <v>228.62</v>
      </c>
      <c r="K157" t="str">
        <f t="shared" si="9"/>
        <v>Unique</v>
      </c>
    </row>
    <row r="158" spans="1:11" ht="15" thickBot="1" x14ac:dyDescent="0.4">
      <c r="A158" s="7" t="s">
        <v>44</v>
      </c>
      <c r="B158" s="7" t="s">
        <v>39</v>
      </c>
      <c r="C158" s="7" t="s">
        <v>14</v>
      </c>
      <c r="D158" s="7">
        <v>40</v>
      </c>
      <c r="E158" s="7">
        <v>320.5</v>
      </c>
      <c r="F158" s="7" t="s">
        <v>9</v>
      </c>
      <c r="G158">
        <f t="shared" si="8"/>
        <v>6.3338533541341686</v>
      </c>
      <c r="H158" s="9" t="s">
        <v>122</v>
      </c>
      <c r="I158" s="11">
        <v>300.2</v>
      </c>
      <c r="K158" t="str">
        <f t="shared" si="9"/>
        <v>Unique</v>
      </c>
    </row>
    <row r="159" spans="1:11" ht="15" thickBot="1" x14ac:dyDescent="0.4">
      <c r="A159" s="7" t="s">
        <v>54</v>
      </c>
      <c r="B159" s="7" t="s">
        <v>65</v>
      </c>
      <c r="C159" s="7" t="s">
        <v>14</v>
      </c>
      <c r="D159" s="7">
        <v>10</v>
      </c>
      <c r="E159" s="7">
        <v>1324</v>
      </c>
      <c r="F159" s="7" t="s">
        <v>9</v>
      </c>
      <c r="G159">
        <f t="shared" si="8"/>
        <v>6.4199395770392753</v>
      </c>
      <c r="H159" s="9" t="s">
        <v>137</v>
      </c>
      <c r="I159" s="11">
        <v>1239</v>
      </c>
      <c r="K159" t="str">
        <f t="shared" si="9"/>
        <v>Unique</v>
      </c>
    </row>
    <row r="160" spans="1:11" ht="15" thickBot="1" x14ac:dyDescent="0.4">
      <c r="A160" s="7" t="s">
        <v>56</v>
      </c>
      <c r="B160" s="7" t="s">
        <v>60</v>
      </c>
      <c r="C160" s="7" t="s">
        <v>14</v>
      </c>
      <c r="D160" s="7">
        <v>7</v>
      </c>
      <c r="E160" s="7">
        <v>1424</v>
      </c>
      <c r="F160" s="7" t="s">
        <v>9</v>
      </c>
      <c r="G160">
        <f t="shared" si="8"/>
        <v>6.6011235955056176</v>
      </c>
      <c r="H160" s="9" t="s">
        <v>134</v>
      </c>
      <c r="I160" s="11">
        <v>1330</v>
      </c>
      <c r="K160" t="str">
        <f t="shared" si="9"/>
        <v>Unique</v>
      </c>
    </row>
    <row r="161" spans="1:11" ht="15" thickBot="1" x14ac:dyDescent="0.4">
      <c r="A161" s="7" t="s">
        <v>44</v>
      </c>
      <c r="B161" s="7" t="s">
        <v>51</v>
      </c>
      <c r="C161" s="7" t="s">
        <v>14</v>
      </c>
      <c r="D161" s="7">
        <v>100</v>
      </c>
      <c r="E161" s="7">
        <v>310.5</v>
      </c>
      <c r="F161" s="7" t="s">
        <v>9</v>
      </c>
      <c r="G161">
        <f t="shared" si="8"/>
        <v>6.7632850241545892</v>
      </c>
      <c r="H161" s="9" t="s">
        <v>128</v>
      </c>
      <c r="I161" s="11">
        <v>289.5</v>
      </c>
      <c r="K161" t="str">
        <f t="shared" si="9"/>
        <v>Unique</v>
      </c>
    </row>
    <row r="162" spans="1:11" ht="15" thickBot="1" x14ac:dyDescent="0.4">
      <c r="A162" s="7" t="s">
        <v>17</v>
      </c>
      <c r="B162" s="7" t="s">
        <v>22</v>
      </c>
      <c r="C162" s="7" t="s">
        <v>14</v>
      </c>
      <c r="D162" s="7">
        <v>10</v>
      </c>
      <c r="E162" s="7">
        <v>2696</v>
      </c>
      <c r="F162" s="7" t="s">
        <v>9</v>
      </c>
      <c r="G162">
        <f t="shared" ref="G162:G187" si="10">((E162-I162)/E162)*100</f>
        <v>6.8620178041543021</v>
      </c>
      <c r="H162" s="9" t="s">
        <v>127</v>
      </c>
      <c r="I162" s="11">
        <v>2511</v>
      </c>
      <c r="K162" t="str">
        <f t="shared" ref="K162:K187" si="11">IF(COUNTIFS( $B$2:$B$979, B162, $C$2:$C$979, C162, $D$2:$D$979, D162, $E$2:$E$979, E162) &gt; 1, "Duplicate", "Unique")</f>
        <v>Unique</v>
      </c>
    </row>
    <row r="163" spans="1:11" ht="15" thickBot="1" x14ac:dyDescent="0.4">
      <c r="A163" s="7" t="s">
        <v>71</v>
      </c>
      <c r="B163" s="7" t="s">
        <v>80</v>
      </c>
      <c r="C163" s="7" t="s">
        <v>14</v>
      </c>
      <c r="D163" s="7">
        <v>3</v>
      </c>
      <c r="E163" s="7">
        <v>3341</v>
      </c>
      <c r="F163" s="7" t="s">
        <v>9</v>
      </c>
      <c r="G163">
        <f t="shared" si="10"/>
        <v>6.9140975755761751</v>
      </c>
      <c r="H163" s="9" t="s">
        <v>147</v>
      </c>
      <c r="I163" s="11">
        <v>3110</v>
      </c>
      <c r="K163" t="str">
        <f t="shared" si="11"/>
        <v>Unique</v>
      </c>
    </row>
    <row r="164" spans="1:11" ht="15" thickBot="1" x14ac:dyDescent="0.4">
      <c r="A164" s="7" t="s">
        <v>56</v>
      </c>
      <c r="B164" s="7" t="s">
        <v>90</v>
      </c>
      <c r="C164" s="7" t="s">
        <v>14</v>
      </c>
      <c r="D164" s="7">
        <v>5</v>
      </c>
      <c r="E164" s="7">
        <v>790</v>
      </c>
      <c r="F164" s="7" t="s">
        <v>9</v>
      </c>
      <c r="G164">
        <f t="shared" si="10"/>
        <v>6.962025316455696</v>
      </c>
      <c r="H164" s="9" t="s">
        <v>154</v>
      </c>
      <c r="I164" s="11">
        <v>735</v>
      </c>
      <c r="K164" t="str">
        <f t="shared" si="11"/>
        <v>Unique</v>
      </c>
    </row>
    <row r="165" spans="1:11" ht="29.5" thickBot="1" x14ac:dyDescent="0.4">
      <c r="A165" s="2">
        <v>46237.768750000003</v>
      </c>
      <c r="B165" s="1" t="s">
        <v>52</v>
      </c>
      <c r="C165" s="1" t="s">
        <v>14</v>
      </c>
      <c r="D165" s="3">
        <v>30</v>
      </c>
      <c r="E165" s="4">
        <v>974</v>
      </c>
      <c r="F165" s="1" t="s">
        <v>9</v>
      </c>
      <c r="G165">
        <f t="shared" si="10"/>
        <v>7.0841889117043113</v>
      </c>
      <c r="H165" s="9" t="s">
        <v>129</v>
      </c>
      <c r="I165" s="11">
        <v>905</v>
      </c>
      <c r="K165" t="str">
        <f t="shared" si="11"/>
        <v>Unique</v>
      </c>
    </row>
    <row r="166" spans="1:11" ht="15" thickBot="1" x14ac:dyDescent="0.4">
      <c r="A166" s="2">
        <v>46237.635520833333</v>
      </c>
      <c r="B166" s="1" t="s">
        <v>78</v>
      </c>
      <c r="C166" s="1" t="s">
        <v>14</v>
      </c>
      <c r="D166" s="3">
        <v>10</v>
      </c>
      <c r="E166" s="4">
        <v>1024</v>
      </c>
      <c r="F166" s="1" t="s">
        <v>9</v>
      </c>
      <c r="G166">
        <f t="shared" si="10"/>
        <v>7.3486328125</v>
      </c>
      <c r="H166" s="9" t="s">
        <v>145</v>
      </c>
      <c r="I166" s="11">
        <v>948.75</v>
      </c>
      <c r="K166" t="str">
        <f t="shared" si="11"/>
        <v>Unique</v>
      </c>
    </row>
    <row r="167" spans="1:11" ht="15" thickBot="1" x14ac:dyDescent="0.4">
      <c r="A167" s="7" t="s">
        <v>50</v>
      </c>
      <c r="B167" s="7" t="s">
        <v>22</v>
      </c>
      <c r="C167" s="7" t="s">
        <v>14</v>
      </c>
      <c r="D167" s="7">
        <v>10</v>
      </c>
      <c r="E167" s="7">
        <v>2720</v>
      </c>
      <c r="F167" s="7" t="s">
        <v>9</v>
      </c>
      <c r="G167">
        <f t="shared" si="10"/>
        <v>7.6838235294117654</v>
      </c>
      <c r="H167" s="9" t="s">
        <v>127</v>
      </c>
      <c r="I167" s="11">
        <v>2511</v>
      </c>
      <c r="K167" t="str">
        <f t="shared" si="11"/>
        <v>Unique</v>
      </c>
    </row>
    <row r="168" spans="1:11" ht="15" thickBot="1" x14ac:dyDescent="0.4">
      <c r="A168" s="2">
        <v>46234.686805555553</v>
      </c>
      <c r="B168" s="1" t="s">
        <v>51</v>
      </c>
      <c r="C168" s="1" t="s">
        <v>14</v>
      </c>
      <c r="D168" s="3">
        <v>100</v>
      </c>
      <c r="E168" s="4">
        <v>314</v>
      </c>
      <c r="F168" s="1" t="s">
        <v>9</v>
      </c>
      <c r="G168">
        <f t="shared" si="10"/>
        <v>7.8025477707006363</v>
      </c>
      <c r="H168" s="9" t="s">
        <v>128</v>
      </c>
      <c r="I168" s="11">
        <v>289.5</v>
      </c>
      <c r="K168" t="str">
        <f t="shared" si="11"/>
        <v>Unique</v>
      </c>
    </row>
    <row r="169" spans="1:11" ht="15" thickBot="1" x14ac:dyDescent="0.4">
      <c r="A169" s="7" t="s">
        <v>56</v>
      </c>
      <c r="B169" s="7" t="s">
        <v>57</v>
      </c>
      <c r="C169" s="7" t="s">
        <v>14</v>
      </c>
      <c r="D169" s="7">
        <v>1</v>
      </c>
      <c r="E169" s="7">
        <v>3810</v>
      </c>
      <c r="F169" s="7" t="s">
        <v>9</v>
      </c>
      <c r="G169">
        <f t="shared" si="10"/>
        <v>7.8477690288713919</v>
      </c>
      <c r="H169" s="9" t="s">
        <v>132</v>
      </c>
      <c r="I169" s="11">
        <v>3511</v>
      </c>
      <c r="K169" t="str">
        <f t="shared" si="11"/>
        <v>Unique</v>
      </c>
    </row>
    <row r="170" spans="1:11" ht="15" thickBot="1" x14ac:dyDescent="0.4">
      <c r="A170" s="7" t="s">
        <v>54</v>
      </c>
      <c r="B170" s="7" t="s">
        <v>55</v>
      </c>
      <c r="C170" s="7" t="s">
        <v>14</v>
      </c>
      <c r="D170" s="7">
        <v>20</v>
      </c>
      <c r="E170" s="7">
        <v>424</v>
      </c>
      <c r="F170" s="7" t="s">
        <v>9</v>
      </c>
      <c r="G170">
        <f t="shared" si="10"/>
        <v>8.160377358490571</v>
      </c>
      <c r="H170" s="9" t="s">
        <v>131</v>
      </c>
      <c r="I170" s="11">
        <v>389.4</v>
      </c>
      <c r="K170" t="str">
        <f t="shared" si="11"/>
        <v>Unique</v>
      </c>
    </row>
    <row r="171" spans="1:11" ht="15" thickBot="1" x14ac:dyDescent="0.4">
      <c r="A171" s="7" t="s">
        <v>44</v>
      </c>
      <c r="B171" s="7" t="s">
        <v>34</v>
      </c>
      <c r="C171" s="7" t="s">
        <v>14</v>
      </c>
      <c r="D171" s="7">
        <v>5</v>
      </c>
      <c r="E171" s="7">
        <v>435</v>
      </c>
      <c r="F171" s="7" t="s">
        <v>9</v>
      </c>
      <c r="G171">
        <f t="shared" si="10"/>
        <v>8.1609195402298855</v>
      </c>
      <c r="H171" s="9" t="s">
        <v>120</v>
      </c>
      <c r="I171" s="11">
        <v>399.5</v>
      </c>
      <c r="K171" t="str">
        <f t="shared" si="11"/>
        <v>Unique</v>
      </c>
    </row>
    <row r="172" spans="1:11" ht="15" thickBot="1" x14ac:dyDescent="0.4">
      <c r="A172" s="2">
        <v>46238.690567129626</v>
      </c>
      <c r="B172" s="1" t="s">
        <v>30</v>
      </c>
      <c r="C172" s="1" t="s">
        <v>14</v>
      </c>
      <c r="D172" s="3">
        <v>25</v>
      </c>
      <c r="E172" s="3">
        <v>220</v>
      </c>
      <c r="F172" s="1" t="s">
        <v>9</v>
      </c>
      <c r="G172">
        <f t="shared" si="10"/>
        <v>8.1818181818181817</v>
      </c>
      <c r="H172" s="9" t="s">
        <v>117</v>
      </c>
      <c r="I172" s="11">
        <v>202</v>
      </c>
      <c r="K172" t="str">
        <f t="shared" si="11"/>
        <v>Unique</v>
      </c>
    </row>
    <row r="173" spans="1:11" ht="15" thickBot="1" x14ac:dyDescent="0.4">
      <c r="A173" s="7" t="s">
        <v>74</v>
      </c>
      <c r="B173" s="7" t="s">
        <v>67</v>
      </c>
      <c r="C173" s="7" t="s">
        <v>14</v>
      </c>
      <c r="D173" s="7">
        <v>200</v>
      </c>
      <c r="E173" s="7">
        <v>249</v>
      </c>
      <c r="F173" s="7" t="s">
        <v>9</v>
      </c>
      <c r="G173">
        <f t="shared" si="10"/>
        <v>8.1847389558232919</v>
      </c>
      <c r="H173" s="9" t="s">
        <v>138</v>
      </c>
      <c r="I173" s="11">
        <v>228.62</v>
      </c>
      <c r="K173" t="str">
        <f t="shared" si="11"/>
        <v>Unique</v>
      </c>
    </row>
    <row r="174" spans="1:11" ht="29.5" thickBot="1" x14ac:dyDescent="0.4">
      <c r="A174" s="13">
        <v>46238.69059027778</v>
      </c>
      <c r="B174" s="1" t="s">
        <v>52</v>
      </c>
      <c r="C174" s="1" t="s">
        <v>14</v>
      </c>
      <c r="D174" s="3">
        <v>5</v>
      </c>
      <c r="E174" s="3">
        <v>986</v>
      </c>
      <c r="F174" s="1" t="s">
        <v>9</v>
      </c>
      <c r="G174">
        <f t="shared" si="10"/>
        <v>8.2150101419878307</v>
      </c>
      <c r="H174" s="9" t="s">
        <v>129</v>
      </c>
      <c r="I174" s="11">
        <v>905</v>
      </c>
      <c r="K174" t="str">
        <f t="shared" si="11"/>
        <v>Unique</v>
      </c>
    </row>
    <row r="175" spans="1:11" ht="15" thickBot="1" x14ac:dyDescent="0.4">
      <c r="A175" s="7" t="s">
        <v>19</v>
      </c>
      <c r="B175" s="7" t="s">
        <v>18</v>
      </c>
      <c r="C175" s="7" t="s">
        <v>14</v>
      </c>
      <c r="D175" s="7">
        <v>11</v>
      </c>
      <c r="E175" s="7">
        <v>749</v>
      </c>
      <c r="F175" s="7" t="s">
        <v>9</v>
      </c>
      <c r="G175">
        <f t="shared" si="10"/>
        <v>8.544726301735647</v>
      </c>
      <c r="H175" s="9" t="s">
        <v>111</v>
      </c>
      <c r="I175" s="11">
        <v>685</v>
      </c>
      <c r="K175" t="str">
        <f t="shared" si="11"/>
        <v>Unique</v>
      </c>
    </row>
    <row r="176" spans="1:11" ht="15" thickBot="1" x14ac:dyDescent="0.4">
      <c r="A176" s="7" t="s">
        <v>71</v>
      </c>
      <c r="B176" s="7" t="s">
        <v>97</v>
      </c>
      <c r="C176" s="7" t="s">
        <v>14</v>
      </c>
      <c r="D176" s="7">
        <v>50</v>
      </c>
      <c r="E176" s="7">
        <v>480</v>
      </c>
      <c r="F176" s="7" t="s">
        <v>9</v>
      </c>
      <c r="G176">
        <f t="shared" si="10"/>
        <v>8.6770833333333286</v>
      </c>
      <c r="H176" s="9" t="s">
        <v>159</v>
      </c>
      <c r="I176" s="11">
        <v>438.35</v>
      </c>
      <c r="K176" t="str">
        <f t="shared" si="11"/>
        <v>Unique</v>
      </c>
    </row>
    <row r="177" spans="1:11" ht="15" thickBot="1" x14ac:dyDescent="0.4">
      <c r="A177" s="7" t="s">
        <v>54</v>
      </c>
      <c r="B177" s="7" t="s">
        <v>81</v>
      </c>
      <c r="C177" s="7" t="s">
        <v>14</v>
      </c>
      <c r="D177" s="7">
        <v>3</v>
      </c>
      <c r="E177" s="7">
        <v>2846</v>
      </c>
      <c r="F177" s="7" t="s">
        <v>9</v>
      </c>
      <c r="G177">
        <f t="shared" si="10"/>
        <v>8.6964160224877016</v>
      </c>
      <c r="H177" s="9" t="s">
        <v>148</v>
      </c>
      <c r="I177" s="11">
        <v>2598.5</v>
      </c>
      <c r="K177" t="str">
        <f t="shared" si="11"/>
        <v>Unique</v>
      </c>
    </row>
    <row r="178" spans="1:11" ht="15" thickBot="1" x14ac:dyDescent="0.4">
      <c r="A178" s="7" t="s">
        <v>44</v>
      </c>
      <c r="B178" s="7" t="s">
        <v>51</v>
      </c>
      <c r="C178" s="7" t="s">
        <v>14</v>
      </c>
      <c r="D178" s="7">
        <v>100</v>
      </c>
      <c r="E178" s="7">
        <v>318</v>
      </c>
      <c r="F178" s="7" t="s">
        <v>9</v>
      </c>
      <c r="G178">
        <f t="shared" si="10"/>
        <v>8.9622641509433958</v>
      </c>
      <c r="H178" s="9" t="s">
        <v>128</v>
      </c>
      <c r="I178" s="11">
        <v>289.5</v>
      </c>
      <c r="K178" t="str">
        <f t="shared" si="11"/>
        <v>Unique</v>
      </c>
    </row>
    <row r="179" spans="1:11" ht="15" thickBot="1" x14ac:dyDescent="0.4">
      <c r="A179" s="2">
        <v>46233.688194444447</v>
      </c>
      <c r="B179" s="5" t="s">
        <v>53</v>
      </c>
      <c r="C179" s="1" t="s">
        <v>14</v>
      </c>
      <c r="D179" s="3">
        <v>40</v>
      </c>
      <c r="E179" s="6">
        <v>229</v>
      </c>
      <c r="F179" s="1" t="s">
        <v>9</v>
      </c>
      <c r="G179">
        <f t="shared" si="10"/>
        <v>9.0000000000000071</v>
      </c>
      <c r="H179" s="9" t="s">
        <v>130</v>
      </c>
      <c r="I179" s="11">
        <v>208.39</v>
      </c>
      <c r="K179" t="str">
        <f t="shared" si="11"/>
        <v>Unique</v>
      </c>
    </row>
    <row r="180" spans="1:11" ht="29.5" thickBot="1" x14ac:dyDescent="0.4">
      <c r="A180" s="2">
        <v>46233.688194444447</v>
      </c>
      <c r="B180" s="5" t="s">
        <v>52</v>
      </c>
      <c r="C180" s="1" t="s">
        <v>14</v>
      </c>
      <c r="D180" s="3">
        <v>40</v>
      </c>
      <c r="E180" s="6">
        <v>996</v>
      </c>
      <c r="F180" s="1" t="s">
        <v>9</v>
      </c>
      <c r="G180">
        <f t="shared" si="10"/>
        <v>9.1365461847389557</v>
      </c>
      <c r="H180" s="9" t="s">
        <v>129</v>
      </c>
      <c r="I180" s="11">
        <v>905</v>
      </c>
      <c r="K180" t="str">
        <f t="shared" si="11"/>
        <v>Unique</v>
      </c>
    </row>
    <row r="181" spans="1:11" ht="15" thickBot="1" x14ac:dyDescent="0.4">
      <c r="A181" s="2">
        <v>46234.686805555553</v>
      </c>
      <c r="B181" s="1" t="s">
        <v>51</v>
      </c>
      <c r="C181" s="1" t="s">
        <v>14</v>
      </c>
      <c r="D181" s="3">
        <v>100</v>
      </c>
      <c r="E181" s="4">
        <v>319</v>
      </c>
      <c r="F181" s="1" t="s">
        <v>9</v>
      </c>
      <c r="G181">
        <f t="shared" si="10"/>
        <v>9.2476489028213162</v>
      </c>
      <c r="H181" s="9" t="s">
        <v>128</v>
      </c>
      <c r="I181" s="11">
        <v>289.5</v>
      </c>
      <c r="K181" t="str">
        <f t="shared" si="11"/>
        <v>Unique</v>
      </c>
    </row>
    <row r="182" spans="1:11" ht="15" thickBot="1" x14ac:dyDescent="0.4">
      <c r="A182" s="7" t="s">
        <v>21</v>
      </c>
      <c r="B182" s="7" t="s">
        <v>22</v>
      </c>
      <c r="C182" s="7" t="s">
        <v>14</v>
      </c>
      <c r="D182" s="7">
        <v>10</v>
      </c>
      <c r="E182" s="7">
        <v>2770</v>
      </c>
      <c r="F182" s="7" t="s">
        <v>9</v>
      </c>
      <c r="G182">
        <f t="shared" si="10"/>
        <v>9.3501805054151621</v>
      </c>
      <c r="H182" s="9" t="s">
        <v>127</v>
      </c>
      <c r="I182" s="11">
        <v>2511</v>
      </c>
      <c r="K182" t="str">
        <f t="shared" si="11"/>
        <v>Unique</v>
      </c>
    </row>
    <row r="183" spans="1:11" ht="29.5" thickBot="1" x14ac:dyDescent="0.4">
      <c r="A183" s="2">
        <v>46238.690578703703</v>
      </c>
      <c r="B183" s="1" t="s">
        <v>52</v>
      </c>
      <c r="C183" s="1" t="s">
        <v>14</v>
      </c>
      <c r="D183" s="3">
        <v>5</v>
      </c>
      <c r="E183" s="3">
        <v>1002</v>
      </c>
      <c r="F183" s="1" t="s">
        <v>9</v>
      </c>
      <c r="G183">
        <f t="shared" si="10"/>
        <v>9.6806387225548907</v>
      </c>
      <c r="H183" s="9" t="s">
        <v>129</v>
      </c>
      <c r="I183" s="11">
        <v>905</v>
      </c>
      <c r="K183" t="str">
        <f t="shared" si="11"/>
        <v>Unique</v>
      </c>
    </row>
    <row r="184" spans="1:11" ht="15" thickBot="1" x14ac:dyDescent="0.4">
      <c r="A184" s="7" t="s">
        <v>44</v>
      </c>
      <c r="B184" s="7" t="s">
        <v>51</v>
      </c>
      <c r="C184" s="7" t="s">
        <v>14</v>
      </c>
      <c r="D184" s="7">
        <v>150</v>
      </c>
      <c r="E184" s="7">
        <v>323</v>
      </c>
      <c r="F184" s="7" t="s">
        <v>9</v>
      </c>
      <c r="G184">
        <f t="shared" si="10"/>
        <v>10.371517027863778</v>
      </c>
      <c r="H184" s="9" t="s">
        <v>128</v>
      </c>
      <c r="I184" s="11">
        <v>289.5</v>
      </c>
      <c r="K184" t="str">
        <f t="shared" si="11"/>
        <v>Unique</v>
      </c>
    </row>
    <row r="185" spans="1:11" ht="15" thickBot="1" x14ac:dyDescent="0.4">
      <c r="A185" s="13">
        <v>46234.6875</v>
      </c>
      <c r="B185" s="15" t="s">
        <v>97</v>
      </c>
      <c r="C185" s="15" t="s">
        <v>14</v>
      </c>
      <c r="D185" s="16">
        <v>35</v>
      </c>
      <c r="E185" s="17">
        <v>494</v>
      </c>
      <c r="F185" s="15" t="s">
        <v>9</v>
      </c>
      <c r="G185">
        <f t="shared" si="10"/>
        <v>11.265182186234814</v>
      </c>
      <c r="H185" s="9" t="s">
        <v>159</v>
      </c>
      <c r="I185" s="11">
        <v>438.35</v>
      </c>
      <c r="K185" t="str">
        <f t="shared" si="11"/>
        <v>Unique</v>
      </c>
    </row>
    <row r="186" spans="1:11" ht="15" thickBot="1" x14ac:dyDescent="0.4">
      <c r="A186" t="s">
        <v>12</v>
      </c>
      <c r="B186" t="s">
        <v>13</v>
      </c>
      <c r="C186" t="s">
        <v>14</v>
      </c>
      <c r="D186">
        <v>23</v>
      </c>
      <c r="E186">
        <v>890</v>
      </c>
      <c r="F186" s="7" t="s">
        <v>9</v>
      </c>
      <c r="G186" t="e">
        <f t="shared" si="10"/>
        <v>#N/A</v>
      </c>
      <c r="H186" s="9" t="s">
        <v>109</v>
      </c>
      <c r="I186" s="12" t="e">
        <v>#N/A</v>
      </c>
      <c r="K186" t="str">
        <f t="shared" si="11"/>
        <v>Unique</v>
      </c>
    </row>
    <row r="187" spans="1:11" ht="58.5" hidden="1" thickBot="1" x14ac:dyDescent="0.4">
      <c r="A187" s="14" t="s">
        <v>0</v>
      </c>
      <c r="B187" s="14" t="s">
        <v>1</v>
      </c>
      <c r="C187" s="14" t="s">
        <v>2</v>
      </c>
      <c r="D187" s="14" t="s">
        <v>3</v>
      </c>
      <c r="E187" s="14" t="s">
        <v>4</v>
      </c>
      <c r="F187" s="14" t="s">
        <v>5</v>
      </c>
      <c r="G187" t="e">
        <f t="shared" si="10"/>
        <v>#VALUE!</v>
      </c>
      <c r="H187" s="9" t="s">
        <v>161</v>
      </c>
      <c r="I187" s="12" t="e">
        <v>#N/A</v>
      </c>
      <c r="J187" s="8"/>
      <c r="K187" t="str">
        <f t="shared" si="11"/>
        <v>Unique</v>
      </c>
    </row>
    <row r="188" spans="1:11" ht="15" thickBot="1" x14ac:dyDescent="0.4">
      <c r="H188" s="9"/>
      <c r="I188" s="9"/>
    </row>
    <row r="189" spans="1:11" ht="15" thickBot="1" x14ac:dyDescent="0.4">
      <c r="H189" s="9"/>
      <c r="I189" s="9"/>
    </row>
    <row r="190" spans="1:11" ht="15" thickBot="1" x14ac:dyDescent="0.4">
      <c r="H190" s="9"/>
      <c r="I190" s="9"/>
    </row>
    <row r="191" spans="1:11" ht="15" thickBot="1" x14ac:dyDescent="0.4">
      <c r="H191" s="9"/>
      <c r="I191" s="9"/>
    </row>
    <row r="192" spans="1:11" ht="15" thickBot="1" x14ac:dyDescent="0.4">
      <c r="H192" s="9"/>
      <c r="I192" s="9"/>
    </row>
    <row r="193" spans="8:9" ht="15" thickBot="1" x14ac:dyDescent="0.4">
      <c r="H193" s="9"/>
      <c r="I193" s="9"/>
    </row>
    <row r="194" spans="8:9" ht="15" thickBot="1" x14ac:dyDescent="0.4">
      <c r="H194" s="9"/>
      <c r="I194" s="9"/>
    </row>
    <row r="195" spans="8:9" ht="15" thickBot="1" x14ac:dyDescent="0.4">
      <c r="H195" s="9"/>
      <c r="I195" s="9"/>
    </row>
    <row r="196" spans="8:9" ht="15" thickBot="1" x14ac:dyDescent="0.4">
      <c r="H196" s="9"/>
      <c r="I196" s="9"/>
    </row>
    <row r="197" spans="8:9" ht="15" thickBot="1" x14ac:dyDescent="0.4">
      <c r="H197" s="9"/>
      <c r="I197" s="9"/>
    </row>
    <row r="198" spans="8:9" ht="15" thickBot="1" x14ac:dyDescent="0.4">
      <c r="H198" s="9"/>
      <c r="I198" s="9"/>
    </row>
    <row r="199" spans="8:9" ht="15" thickBot="1" x14ac:dyDescent="0.4">
      <c r="H199" s="9"/>
      <c r="I199" s="9"/>
    </row>
    <row r="200" spans="8:9" ht="15" thickBot="1" x14ac:dyDescent="0.4">
      <c r="H200" s="9"/>
      <c r="I200" s="9"/>
    </row>
    <row r="201" spans="8:9" ht="15" thickBot="1" x14ac:dyDescent="0.4">
      <c r="H201" s="9"/>
      <c r="I201" s="9"/>
    </row>
    <row r="202" spans="8:9" ht="15" thickBot="1" x14ac:dyDescent="0.4">
      <c r="H202" s="9"/>
      <c r="I202" s="9"/>
    </row>
    <row r="203" spans="8:9" ht="15" thickBot="1" x14ac:dyDescent="0.4">
      <c r="H203" s="9"/>
      <c r="I203" s="9"/>
    </row>
    <row r="204" spans="8:9" ht="15" thickBot="1" x14ac:dyDescent="0.4">
      <c r="H204" s="9"/>
      <c r="I204" s="9"/>
    </row>
    <row r="205" spans="8:9" ht="15" thickBot="1" x14ac:dyDescent="0.4">
      <c r="H205" s="9"/>
      <c r="I205" s="9"/>
    </row>
    <row r="206" spans="8:9" ht="15" thickBot="1" x14ac:dyDescent="0.4">
      <c r="H206" s="9"/>
      <c r="I206" s="9"/>
    </row>
    <row r="207" spans="8:9" ht="15" thickBot="1" x14ac:dyDescent="0.4">
      <c r="H207" s="9"/>
      <c r="I207" s="9"/>
    </row>
    <row r="208" spans="8:9" ht="15" thickBot="1" x14ac:dyDescent="0.4">
      <c r="H208" s="9"/>
      <c r="I208" s="9"/>
    </row>
    <row r="209" spans="8:9" ht="15" thickBot="1" x14ac:dyDescent="0.4">
      <c r="H209" s="9"/>
      <c r="I209" s="9"/>
    </row>
    <row r="210" spans="8:9" ht="15" thickBot="1" x14ac:dyDescent="0.4">
      <c r="H210" s="9"/>
      <c r="I210" s="9"/>
    </row>
    <row r="211" spans="8:9" ht="15" thickBot="1" x14ac:dyDescent="0.4">
      <c r="H211" s="9"/>
      <c r="I211" s="9"/>
    </row>
    <row r="212" spans="8:9" ht="15" thickBot="1" x14ac:dyDescent="0.4">
      <c r="H212" s="9"/>
      <c r="I212" s="9"/>
    </row>
    <row r="213" spans="8:9" ht="15" thickBot="1" x14ac:dyDescent="0.4">
      <c r="H213" s="9"/>
      <c r="I213" s="9"/>
    </row>
    <row r="214" spans="8:9" ht="15" thickBot="1" x14ac:dyDescent="0.4">
      <c r="H214" s="9"/>
      <c r="I214" s="9"/>
    </row>
    <row r="215" spans="8:9" ht="15" thickBot="1" x14ac:dyDescent="0.4">
      <c r="H215" s="9"/>
      <c r="I215" s="9"/>
    </row>
    <row r="216" spans="8:9" ht="15" thickBot="1" x14ac:dyDescent="0.4">
      <c r="H216" s="9"/>
      <c r="I216" s="9"/>
    </row>
    <row r="217" spans="8:9" ht="15" thickBot="1" x14ac:dyDescent="0.4">
      <c r="H217" s="9"/>
      <c r="I217" s="9"/>
    </row>
    <row r="218" spans="8:9" ht="15" thickBot="1" x14ac:dyDescent="0.4">
      <c r="H218" s="9"/>
      <c r="I218" s="9"/>
    </row>
    <row r="219" spans="8:9" ht="15" thickBot="1" x14ac:dyDescent="0.4">
      <c r="H219" s="9"/>
      <c r="I219" s="9"/>
    </row>
    <row r="220" spans="8:9" ht="15" thickBot="1" x14ac:dyDescent="0.4">
      <c r="H220" s="9"/>
      <c r="I220" s="9"/>
    </row>
    <row r="221" spans="8:9" ht="15" thickBot="1" x14ac:dyDescent="0.4">
      <c r="H221" s="9"/>
      <c r="I221" s="9"/>
    </row>
    <row r="222" spans="8:9" ht="15" thickBot="1" x14ac:dyDescent="0.4">
      <c r="H222" s="9"/>
      <c r="I222" s="9"/>
    </row>
    <row r="223" spans="8:9" ht="15" thickBot="1" x14ac:dyDescent="0.4">
      <c r="H223" s="9"/>
      <c r="I223" s="9"/>
    </row>
    <row r="224" spans="8:9" ht="15" thickBot="1" x14ac:dyDescent="0.4">
      <c r="H224" s="9"/>
      <c r="I224" s="9"/>
    </row>
    <row r="225" spans="8:9" ht="15" thickBot="1" x14ac:dyDescent="0.4">
      <c r="H225" s="9"/>
      <c r="I225" s="9"/>
    </row>
    <row r="226" spans="8:9" ht="15" thickBot="1" x14ac:dyDescent="0.4">
      <c r="H226" s="9"/>
      <c r="I226" s="9"/>
    </row>
    <row r="227" spans="8:9" ht="15" thickBot="1" x14ac:dyDescent="0.4">
      <c r="H227" s="9"/>
      <c r="I227" s="9"/>
    </row>
    <row r="228" spans="8:9" ht="15" thickBot="1" x14ac:dyDescent="0.4">
      <c r="H228" s="9"/>
      <c r="I228" s="9"/>
    </row>
    <row r="229" spans="8:9" ht="15" thickBot="1" x14ac:dyDescent="0.4">
      <c r="H229" s="9"/>
      <c r="I229" s="9"/>
    </row>
    <row r="230" spans="8:9" ht="15" thickBot="1" x14ac:dyDescent="0.4">
      <c r="H230" s="9"/>
      <c r="I230" s="9"/>
    </row>
    <row r="231" spans="8:9" ht="15" thickBot="1" x14ac:dyDescent="0.4">
      <c r="H231" s="9"/>
      <c r="I231" s="9"/>
    </row>
    <row r="232" spans="8:9" ht="15" thickBot="1" x14ac:dyDescent="0.4">
      <c r="H232" s="9"/>
      <c r="I232" s="9"/>
    </row>
    <row r="233" spans="8:9" ht="15" thickBot="1" x14ac:dyDescent="0.4">
      <c r="H233" s="9"/>
      <c r="I233" s="9"/>
    </row>
    <row r="234" spans="8:9" ht="15" thickBot="1" x14ac:dyDescent="0.4">
      <c r="H234" s="9"/>
      <c r="I234" s="9"/>
    </row>
    <row r="235" spans="8:9" ht="15" thickBot="1" x14ac:dyDescent="0.4">
      <c r="H235" s="9"/>
      <c r="I235" s="9"/>
    </row>
    <row r="236" spans="8:9" ht="15" thickBot="1" x14ac:dyDescent="0.4">
      <c r="H236" s="9"/>
      <c r="I236" s="9"/>
    </row>
    <row r="237" spans="8:9" ht="15" thickBot="1" x14ac:dyDescent="0.4">
      <c r="H237" s="9"/>
      <c r="I237" s="9"/>
    </row>
    <row r="238" spans="8:9" ht="15" thickBot="1" x14ac:dyDescent="0.4">
      <c r="H238" s="9"/>
      <c r="I238" s="9"/>
    </row>
    <row r="239" spans="8:9" ht="15" thickBot="1" x14ac:dyDescent="0.4">
      <c r="H239" s="9"/>
      <c r="I239" s="9"/>
    </row>
    <row r="240" spans="8:9" ht="15" thickBot="1" x14ac:dyDescent="0.4">
      <c r="H240" s="9"/>
      <c r="I240" s="9"/>
    </row>
    <row r="241" spans="8:9" ht="15" thickBot="1" x14ac:dyDescent="0.4">
      <c r="H241" s="9"/>
      <c r="I241" s="9"/>
    </row>
    <row r="242" spans="8:9" ht="15" thickBot="1" x14ac:dyDescent="0.4">
      <c r="H242" s="9"/>
      <c r="I242" s="9"/>
    </row>
    <row r="243" spans="8:9" ht="15" thickBot="1" x14ac:dyDescent="0.4">
      <c r="H243" s="9"/>
      <c r="I243" s="9"/>
    </row>
    <row r="244" spans="8:9" ht="15" thickBot="1" x14ac:dyDescent="0.4">
      <c r="H244" s="9"/>
      <c r="I244" s="9"/>
    </row>
    <row r="245" spans="8:9" ht="15" thickBot="1" x14ac:dyDescent="0.4">
      <c r="H245" s="9"/>
      <c r="I245" s="9"/>
    </row>
    <row r="246" spans="8:9" ht="15" thickBot="1" x14ac:dyDescent="0.4">
      <c r="H246" s="9"/>
      <c r="I246" s="9"/>
    </row>
    <row r="247" spans="8:9" ht="15" thickBot="1" x14ac:dyDescent="0.4">
      <c r="H247" s="9"/>
      <c r="I247" s="9"/>
    </row>
    <row r="248" spans="8:9" ht="15" thickBot="1" x14ac:dyDescent="0.4">
      <c r="H248" s="9"/>
      <c r="I248" s="9"/>
    </row>
    <row r="249" spans="8:9" ht="15" thickBot="1" x14ac:dyDescent="0.4">
      <c r="H249" s="9"/>
      <c r="I249" s="9"/>
    </row>
    <row r="250" spans="8:9" ht="15" thickBot="1" x14ac:dyDescent="0.4">
      <c r="H250" s="9"/>
      <c r="I250" s="9"/>
    </row>
    <row r="251" spans="8:9" ht="15" thickBot="1" x14ac:dyDescent="0.4">
      <c r="H251" s="9"/>
      <c r="I251" s="9"/>
    </row>
    <row r="252" spans="8:9" ht="15" thickBot="1" x14ac:dyDescent="0.4">
      <c r="H252" s="9"/>
      <c r="I252" s="9"/>
    </row>
    <row r="253" spans="8:9" ht="15" thickBot="1" x14ac:dyDescent="0.4">
      <c r="H253" s="9"/>
      <c r="I253" s="9"/>
    </row>
    <row r="254" spans="8:9" ht="15" thickBot="1" x14ac:dyDescent="0.4">
      <c r="H254" s="9"/>
      <c r="I254" s="9"/>
    </row>
    <row r="255" spans="8:9" ht="15" thickBot="1" x14ac:dyDescent="0.4">
      <c r="H255" s="9"/>
      <c r="I255" s="9"/>
    </row>
    <row r="256" spans="8:9" ht="15" thickBot="1" x14ac:dyDescent="0.4">
      <c r="H256" s="9"/>
      <c r="I256" s="9"/>
    </row>
    <row r="257" spans="8:9" ht="15" thickBot="1" x14ac:dyDescent="0.4">
      <c r="H257" s="9"/>
      <c r="I257" s="9"/>
    </row>
    <row r="258" spans="8:9" ht="15" thickBot="1" x14ac:dyDescent="0.4">
      <c r="H258" s="9"/>
      <c r="I258" s="9"/>
    </row>
    <row r="259" spans="8:9" ht="15" thickBot="1" x14ac:dyDescent="0.4">
      <c r="H259" s="9"/>
      <c r="I259" s="9"/>
    </row>
    <row r="260" spans="8:9" ht="15" thickBot="1" x14ac:dyDescent="0.4">
      <c r="H260" s="9"/>
      <c r="I260" s="9"/>
    </row>
    <row r="261" spans="8:9" ht="15" thickBot="1" x14ac:dyDescent="0.4">
      <c r="H261" s="9"/>
      <c r="I261" s="9"/>
    </row>
    <row r="262" spans="8:9" ht="15" thickBot="1" x14ac:dyDescent="0.4">
      <c r="H262" s="9"/>
      <c r="I262" s="9"/>
    </row>
    <row r="263" spans="8:9" ht="15" thickBot="1" x14ac:dyDescent="0.4">
      <c r="H263" s="9"/>
      <c r="I263" s="9"/>
    </row>
    <row r="264" spans="8:9" ht="15" thickBot="1" x14ac:dyDescent="0.4">
      <c r="H264" s="9"/>
      <c r="I264" s="9"/>
    </row>
    <row r="265" spans="8:9" ht="15" thickBot="1" x14ac:dyDescent="0.4">
      <c r="H265" s="9"/>
      <c r="I265" s="9"/>
    </row>
    <row r="266" spans="8:9" ht="15" thickBot="1" x14ac:dyDescent="0.4">
      <c r="H266" s="9"/>
      <c r="I266" s="9"/>
    </row>
    <row r="267" spans="8:9" ht="15" thickBot="1" x14ac:dyDescent="0.4">
      <c r="H267" s="9"/>
      <c r="I267" s="9"/>
    </row>
    <row r="268" spans="8:9" ht="15" thickBot="1" x14ac:dyDescent="0.4">
      <c r="H268" s="9"/>
      <c r="I268" s="9"/>
    </row>
    <row r="269" spans="8:9" ht="15" thickBot="1" x14ac:dyDescent="0.4">
      <c r="H269" s="9"/>
      <c r="I269" s="9"/>
    </row>
    <row r="270" spans="8:9" ht="15" thickBot="1" x14ac:dyDescent="0.4">
      <c r="H270" s="9"/>
      <c r="I270" s="9"/>
    </row>
    <row r="271" spans="8:9" ht="15" thickBot="1" x14ac:dyDescent="0.4">
      <c r="H271" s="9"/>
      <c r="I271" s="9"/>
    </row>
    <row r="272" spans="8:9" ht="15" thickBot="1" x14ac:dyDescent="0.4">
      <c r="H272" s="9"/>
      <c r="I272" s="9"/>
    </row>
    <row r="273" spans="8:9" ht="15" thickBot="1" x14ac:dyDescent="0.4">
      <c r="H273" s="9"/>
      <c r="I273" s="9"/>
    </row>
    <row r="274" spans="8:9" ht="15" thickBot="1" x14ac:dyDescent="0.4">
      <c r="H274" s="9"/>
      <c r="I274" s="9"/>
    </row>
    <row r="275" spans="8:9" ht="15" thickBot="1" x14ac:dyDescent="0.4">
      <c r="H275" s="9"/>
      <c r="I275" s="9"/>
    </row>
    <row r="276" spans="8:9" ht="15" thickBot="1" x14ac:dyDescent="0.4">
      <c r="H276" s="9"/>
      <c r="I276" s="9"/>
    </row>
    <row r="277" spans="8:9" ht="15" thickBot="1" x14ac:dyDescent="0.4">
      <c r="H277" s="9"/>
      <c r="I277" s="9"/>
    </row>
    <row r="278" spans="8:9" ht="15" thickBot="1" x14ac:dyDescent="0.4">
      <c r="H278" s="9"/>
      <c r="I278" s="9"/>
    </row>
    <row r="279" spans="8:9" ht="15" thickBot="1" x14ac:dyDescent="0.4">
      <c r="H279" s="9"/>
      <c r="I279" s="9"/>
    </row>
    <row r="280" spans="8:9" ht="15" thickBot="1" x14ac:dyDescent="0.4">
      <c r="H280" s="9"/>
      <c r="I280" s="9"/>
    </row>
    <row r="281" spans="8:9" ht="15" thickBot="1" x14ac:dyDescent="0.4">
      <c r="H281" s="9"/>
      <c r="I281" s="9"/>
    </row>
    <row r="282" spans="8:9" ht="15" thickBot="1" x14ac:dyDescent="0.4">
      <c r="H282" s="9"/>
      <c r="I282" s="9"/>
    </row>
    <row r="283" spans="8:9" ht="15" thickBot="1" x14ac:dyDescent="0.4">
      <c r="H283" s="9"/>
      <c r="I283" s="9"/>
    </row>
    <row r="284" spans="8:9" ht="15" thickBot="1" x14ac:dyDescent="0.4">
      <c r="H284" s="9"/>
      <c r="I284" s="9"/>
    </row>
    <row r="285" spans="8:9" ht="15" thickBot="1" x14ac:dyDescent="0.4">
      <c r="H285" s="9"/>
      <c r="I285" s="9"/>
    </row>
    <row r="286" spans="8:9" ht="15" thickBot="1" x14ac:dyDescent="0.4">
      <c r="H286" s="9"/>
      <c r="I286" s="9"/>
    </row>
    <row r="287" spans="8:9" ht="15" thickBot="1" x14ac:dyDescent="0.4">
      <c r="H287" s="9"/>
      <c r="I287" s="9"/>
    </row>
    <row r="288" spans="8:9" ht="15" thickBot="1" x14ac:dyDescent="0.4">
      <c r="H288" s="9"/>
      <c r="I288" s="9"/>
    </row>
    <row r="289" spans="8:9" ht="15" thickBot="1" x14ac:dyDescent="0.4">
      <c r="H289" s="9"/>
      <c r="I289" s="9"/>
    </row>
    <row r="290" spans="8:9" ht="15" thickBot="1" x14ac:dyDescent="0.4">
      <c r="H290" s="9"/>
      <c r="I290" s="9"/>
    </row>
    <row r="291" spans="8:9" ht="15" thickBot="1" x14ac:dyDescent="0.4">
      <c r="H291" s="9"/>
      <c r="I291" s="9"/>
    </row>
    <row r="292" spans="8:9" ht="15" thickBot="1" x14ac:dyDescent="0.4">
      <c r="H292" s="9"/>
      <c r="I292" s="9"/>
    </row>
    <row r="293" spans="8:9" ht="15" thickBot="1" x14ac:dyDescent="0.4">
      <c r="H293" s="9"/>
      <c r="I293" s="9"/>
    </row>
    <row r="294" spans="8:9" ht="15" thickBot="1" x14ac:dyDescent="0.4">
      <c r="H294" s="9"/>
      <c r="I294" s="9"/>
    </row>
    <row r="295" spans="8:9" ht="15" thickBot="1" x14ac:dyDescent="0.4">
      <c r="H295" s="9"/>
      <c r="I295" s="9"/>
    </row>
    <row r="296" spans="8:9" ht="15" thickBot="1" x14ac:dyDescent="0.4">
      <c r="H296" s="9"/>
      <c r="I296" s="9"/>
    </row>
    <row r="297" spans="8:9" ht="15" thickBot="1" x14ac:dyDescent="0.4">
      <c r="H297" s="9"/>
      <c r="I297" s="9"/>
    </row>
    <row r="298" spans="8:9" ht="15" thickBot="1" x14ac:dyDescent="0.4">
      <c r="H298" s="9"/>
      <c r="I298" s="9"/>
    </row>
    <row r="299" spans="8:9" ht="15" thickBot="1" x14ac:dyDescent="0.4">
      <c r="H299" s="9"/>
      <c r="I299" s="9"/>
    </row>
    <row r="300" spans="8:9" ht="15" thickBot="1" x14ac:dyDescent="0.4">
      <c r="H300" s="9"/>
      <c r="I300" s="9"/>
    </row>
    <row r="301" spans="8:9" ht="15" thickBot="1" x14ac:dyDescent="0.4">
      <c r="H301" s="9"/>
      <c r="I301" s="9"/>
    </row>
    <row r="302" spans="8:9" ht="15" thickBot="1" x14ac:dyDescent="0.4">
      <c r="H302" s="9"/>
      <c r="I302" s="9"/>
    </row>
    <row r="303" spans="8:9" ht="15" thickBot="1" x14ac:dyDescent="0.4">
      <c r="H303" s="9"/>
      <c r="I303" s="9"/>
    </row>
    <row r="304" spans="8:9" ht="15" thickBot="1" x14ac:dyDescent="0.4">
      <c r="H304" s="9"/>
      <c r="I304" s="9"/>
    </row>
    <row r="305" spans="8:9" ht="15" thickBot="1" x14ac:dyDescent="0.4">
      <c r="H305" s="9"/>
      <c r="I305" s="9"/>
    </row>
    <row r="306" spans="8:9" ht="15" thickBot="1" x14ac:dyDescent="0.4">
      <c r="H306" s="9"/>
      <c r="I306" s="9"/>
    </row>
    <row r="307" spans="8:9" ht="15" thickBot="1" x14ac:dyDescent="0.4">
      <c r="H307" s="9"/>
      <c r="I307" s="9"/>
    </row>
    <row r="308" spans="8:9" ht="15" thickBot="1" x14ac:dyDescent="0.4">
      <c r="H308" s="9"/>
      <c r="I308" s="9"/>
    </row>
    <row r="309" spans="8:9" ht="15" thickBot="1" x14ac:dyDescent="0.4">
      <c r="H309" s="9"/>
      <c r="I309" s="9"/>
    </row>
    <row r="310" spans="8:9" ht="15" thickBot="1" x14ac:dyDescent="0.4">
      <c r="H310" s="9"/>
      <c r="I310" s="9"/>
    </row>
    <row r="311" spans="8:9" ht="15" thickBot="1" x14ac:dyDescent="0.4">
      <c r="H311" s="9"/>
      <c r="I311" s="9"/>
    </row>
    <row r="312" spans="8:9" ht="15" thickBot="1" x14ac:dyDescent="0.4">
      <c r="H312" s="9"/>
      <c r="I312" s="9"/>
    </row>
    <row r="313" spans="8:9" ht="15" thickBot="1" x14ac:dyDescent="0.4">
      <c r="H313" s="9"/>
      <c r="I313" s="9"/>
    </row>
    <row r="314" spans="8:9" ht="15" thickBot="1" x14ac:dyDescent="0.4">
      <c r="H314" s="9"/>
      <c r="I314" s="9"/>
    </row>
    <row r="315" spans="8:9" ht="15" thickBot="1" x14ac:dyDescent="0.4">
      <c r="H315" s="9"/>
      <c r="I315" s="9"/>
    </row>
    <row r="316" spans="8:9" ht="15" thickBot="1" x14ac:dyDescent="0.4">
      <c r="H316" s="9"/>
      <c r="I316" s="9"/>
    </row>
    <row r="317" spans="8:9" ht="15" thickBot="1" x14ac:dyDescent="0.4">
      <c r="H317" s="9"/>
      <c r="I317" s="9"/>
    </row>
    <row r="318" spans="8:9" ht="15" thickBot="1" x14ac:dyDescent="0.4">
      <c r="H318" s="9"/>
      <c r="I318" s="9"/>
    </row>
    <row r="319" spans="8:9" ht="15" thickBot="1" x14ac:dyDescent="0.4">
      <c r="H319" s="9"/>
      <c r="I319" s="9"/>
    </row>
    <row r="320" spans="8:9" ht="15" thickBot="1" x14ac:dyDescent="0.4">
      <c r="H320" s="9"/>
      <c r="I320" s="9"/>
    </row>
    <row r="321" spans="8:9" ht="15" thickBot="1" x14ac:dyDescent="0.4">
      <c r="H321" s="9"/>
      <c r="I321" s="9"/>
    </row>
    <row r="322" spans="8:9" ht="15" thickBot="1" x14ac:dyDescent="0.4">
      <c r="H322" s="9"/>
      <c r="I322" s="9"/>
    </row>
    <row r="323" spans="8:9" ht="15" thickBot="1" x14ac:dyDescent="0.4">
      <c r="H323" s="9"/>
      <c r="I323" s="9"/>
    </row>
    <row r="324" spans="8:9" ht="15" thickBot="1" x14ac:dyDescent="0.4">
      <c r="H324" s="9"/>
      <c r="I324" s="9"/>
    </row>
    <row r="325" spans="8:9" ht="15" thickBot="1" x14ac:dyDescent="0.4">
      <c r="H325" s="9"/>
      <c r="I325" s="9"/>
    </row>
    <row r="326" spans="8:9" ht="15" thickBot="1" x14ac:dyDescent="0.4">
      <c r="H326" s="9"/>
      <c r="I326" s="9"/>
    </row>
    <row r="327" spans="8:9" ht="15" thickBot="1" x14ac:dyDescent="0.4">
      <c r="H327" s="9"/>
      <c r="I327" s="9"/>
    </row>
    <row r="328" spans="8:9" ht="15" thickBot="1" x14ac:dyDescent="0.4">
      <c r="H328" s="9"/>
      <c r="I328" s="9"/>
    </row>
    <row r="329" spans="8:9" ht="15" thickBot="1" x14ac:dyDescent="0.4">
      <c r="H329" s="9"/>
      <c r="I329" s="9"/>
    </row>
    <row r="330" spans="8:9" ht="15" thickBot="1" x14ac:dyDescent="0.4">
      <c r="H330" s="9"/>
      <c r="I330" s="9"/>
    </row>
    <row r="331" spans="8:9" ht="15" thickBot="1" x14ac:dyDescent="0.4">
      <c r="H331" s="9"/>
      <c r="I331" s="9"/>
    </row>
    <row r="332" spans="8:9" ht="15" thickBot="1" x14ac:dyDescent="0.4">
      <c r="H332" s="9"/>
      <c r="I332" s="9"/>
    </row>
    <row r="333" spans="8:9" ht="15" thickBot="1" x14ac:dyDescent="0.4">
      <c r="H333" s="9"/>
      <c r="I333" s="9"/>
    </row>
    <row r="334" spans="8:9" ht="15" thickBot="1" x14ac:dyDescent="0.4">
      <c r="H334" s="9"/>
      <c r="I334" s="9"/>
    </row>
    <row r="335" spans="8:9" ht="15" thickBot="1" x14ac:dyDescent="0.4">
      <c r="H335" s="9"/>
      <c r="I335" s="9"/>
    </row>
    <row r="336" spans="8:9" ht="15" thickBot="1" x14ac:dyDescent="0.4">
      <c r="H336" s="9"/>
      <c r="I336" s="9"/>
    </row>
    <row r="337" spans="8:9" ht="15" thickBot="1" x14ac:dyDescent="0.4">
      <c r="H337" s="9"/>
      <c r="I337" s="9"/>
    </row>
    <row r="338" spans="8:9" ht="15" thickBot="1" x14ac:dyDescent="0.4">
      <c r="H338" s="9"/>
      <c r="I338" s="9"/>
    </row>
    <row r="339" spans="8:9" ht="15" thickBot="1" x14ac:dyDescent="0.4">
      <c r="H339" s="9"/>
      <c r="I339" s="9"/>
    </row>
    <row r="340" spans="8:9" ht="15" thickBot="1" x14ac:dyDescent="0.4">
      <c r="H340" s="9"/>
      <c r="I340" s="9"/>
    </row>
    <row r="341" spans="8:9" ht="15" thickBot="1" x14ac:dyDescent="0.4">
      <c r="H341" s="9"/>
      <c r="I341" s="9"/>
    </row>
    <row r="342" spans="8:9" ht="15" thickBot="1" x14ac:dyDescent="0.4">
      <c r="H342" s="9"/>
      <c r="I342" s="9"/>
    </row>
    <row r="343" spans="8:9" ht="15" thickBot="1" x14ac:dyDescent="0.4">
      <c r="H343" s="9"/>
      <c r="I343" s="9"/>
    </row>
    <row r="344" spans="8:9" ht="15" thickBot="1" x14ac:dyDescent="0.4">
      <c r="H344" s="9"/>
      <c r="I344" s="9"/>
    </row>
    <row r="345" spans="8:9" ht="15" thickBot="1" x14ac:dyDescent="0.4">
      <c r="H345" s="9"/>
      <c r="I345" s="9"/>
    </row>
    <row r="346" spans="8:9" ht="15" thickBot="1" x14ac:dyDescent="0.4">
      <c r="H346" s="9"/>
      <c r="I346" s="9"/>
    </row>
    <row r="347" spans="8:9" ht="15" thickBot="1" x14ac:dyDescent="0.4">
      <c r="H347" s="9"/>
      <c r="I347" s="9"/>
    </row>
    <row r="348" spans="8:9" ht="15" thickBot="1" x14ac:dyDescent="0.4">
      <c r="H348" s="9"/>
      <c r="I348" s="9"/>
    </row>
    <row r="349" spans="8:9" ht="15" thickBot="1" x14ac:dyDescent="0.4">
      <c r="H349" s="9"/>
      <c r="I349" s="9"/>
    </row>
    <row r="350" spans="8:9" ht="15" thickBot="1" x14ac:dyDescent="0.4">
      <c r="H350" s="9"/>
      <c r="I350" s="9"/>
    </row>
    <row r="351" spans="8:9" ht="15" thickBot="1" x14ac:dyDescent="0.4">
      <c r="H351" s="9"/>
      <c r="I351" s="9"/>
    </row>
    <row r="352" spans="8:9" ht="15" thickBot="1" x14ac:dyDescent="0.4">
      <c r="H352" s="9"/>
      <c r="I352" s="9"/>
    </row>
    <row r="353" spans="8:9" ht="15" thickBot="1" x14ac:dyDescent="0.4">
      <c r="H353" s="9"/>
      <c r="I353" s="9"/>
    </row>
    <row r="354" spans="8:9" ht="15" thickBot="1" x14ac:dyDescent="0.4">
      <c r="H354" s="9"/>
      <c r="I354" s="9"/>
    </row>
    <row r="355" spans="8:9" ht="15" thickBot="1" x14ac:dyDescent="0.4">
      <c r="H355" s="9"/>
      <c r="I355" s="9"/>
    </row>
    <row r="356" spans="8:9" ht="15" thickBot="1" x14ac:dyDescent="0.4">
      <c r="H356" s="9"/>
      <c r="I356" s="9"/>
    </row>
    <row r="357" spans="8:9" ht="15" thickBot="1" x14ac:dyDescent="0.4">
      <c r="H357" s="9"/>
      <c r="I357" s="9"/>
    </row>
    <row r="358" spans="8:9" ht="15" thickBot="1" x14ac:dyDescent="0.4">
      <c r="H358" s="9"/>
      <c r="I358" s="9"/>
    </row>
    <row r="359" spans="8:9" ht="15" thickBot="1" x14ac:dyDescent="0.4">
      <c r="H359" s="9"/>
      <c r="I359" s="9"/>
    </row>
    <row r="360" spans="8:9" ht="15" thickBot="1" x14ac:dyDescent="0.4">
      <c r="H360" s="9"/>
      <c r="I360" s="9"/>
    </row>
    <row r="361" spans="8:9" ht="15" thickBot="1" x14ac:dyDescent="0.4">
      <c r="H361" s="9"/>
      <c r="I361" s="9"/>
    </row>
    <row r="362" spans="8:9" ht="15" thickBot="1" x14ac:dyDescent="0.4">
      <c r="H362" s="9"/>
      <c r="I362" s="9"/>
    </row>
    <row r="363" spans="8:9" ht="15" thickBot="1" x14ac:dyDescent="0.4">
      <c r="H363" s="9"/>
      <c r="I363" s="9"/>
    </row>
    <row r="364" spans="8:9" ht="15" thickBot="1" x14ac:dyDescent="0.4">
      <c r="H364" s="9"/>
      <c r="I364" s="9"/>
    </row>
    <row r="365" spans="8:9" ht="15" thickBot="1" x14ac:dyDescent="0.4">
      <c r="H365" s="9"/>
      <c r="I365" s="9"/>
    </row>
    <row r="366" spans="8:9" ht="15" thickBot="1" x14ac:dyDescent="0.4">
      <c r="H366" s="9"/>
      <c r="I366" s="9"/>
    </row>
    <row r="367" spans="8:9" ht="15" thickBot="1" x14ac:dyDescent="0.4">
      <c r="H367" s="9"/>
      <c r="I367" s="9"/>
    </row>
    <row r="368" spans="8:9" ht="15" thickBot="1" x14ac:dyDescent="0.4">
      <c r="H368" s="9"/>
      <c r="I368" s="9"/>
    </row>
    <row r="369" spans="8:9" ht="15" thickBot="1" x14ac:dyDescent="0.4">
      <c r="H369" s="9"/>
      <c r="I369" s="9"/>
    </row>
    <row r="370" spans="8:9" ht="15" thickBot="1" x14ac:dyDescent="0.4">
      <c r="H370" s="9"/>
      <c r="I370" s="9"/>
    </row>
    <row r="371" spans="8:9" ht="15" thickBot="1" x14ac:dyDescent="0.4">
      <c r="H371" s="9"/>
      <c r="I371" s="9"/>
    </row>
    <row r="372" spans="8:9" ht="15" thickBot="1" x14ac:dyDescent="0.4">
      <c r="H372" s="9"/>
      <c r="I372" s="9"/>
    </row>
    <row r="373" spans="8:9" ht="15" thickBot="1" x14ac:dyDescent="0.4">
      <c r="H373" s="9"/>
      <c r="I373" s="9"/>
    </row>
    <row r="374" spans="8:9" ht="15" thickBot="1" x14ac:dyDescent="0.4">
      <c r="H374" s="9"/>
      <c r="I374" s="9"/>
    </row>
    <row r="375" spans="8:9" ht="15" thickBot="1" x14ac:dyDescent="0.4">
      <c r="H375" s="9"/>
      <c r="I375" s="9"/>
    </row>
    <row r="376" spans="8:9" ht="15" thickBot="1" x14ac:dyDescent="0.4">
      <c r="H376" s="9"/>
      <c r="I376" s="9"/>
    </row>
    <row r="377" spans="8:9" ht="15" thickBot="1" x14ac:dyDescent="0.4">
      <c r="H377" s="9"/>
      <c r="I377" s="9"/>
    </row>
    <row r="378" spans="8:9" ht="15" thickBot="1" x14ac:dyDescent="0.4">
      <c r="H378" s="9"/>
      <c r="I378" s="9"/>
    </row>
    <row r="379" spans="8:9" ht="15" thickBot="1" x14ac:dyDescent="0.4">
      <c r="H379" s="9"/>
      <c r="I379" s="9"/>
    </row>
    <row r="380" spans="8:9" ht="15" thickBot="1" x14ac:dyDescent="0.4">
      <c r="H380" s="9"/>
      <c r="I380" s="9"/>
    </row>
    <row r="381" spans="8:9" ht="15" thickBot="1" x14ac:dyDescent="0.4">
      <c r="H381" s="9"/>
      <c r="I381" s="9"/>
    </row>
    <row r="382" spans="8:9" ht="15" thickBot="1" x14ac:dyDescent="0.4">
      <c r="H382" s="9"/>
      <c r="I382" s="9"/>
    </row>
    <row r="383" spans="8:9" ht="15" thickBot="1" x14ac:dyDescent="0.4">
      <c r="H383" s="9"/>
      <c r="I383" s="9"/>
    </row>
    <row r="384" spans="8:9" ht="15" thickBot="1" x14ac:dyDescent="0.4">
      <c r="H384" s="9"/>
      <c r="I384" s="9"/>
    </row>
    <row r="385" spans="8:9" ht="15" thickBot="1" x14ac:dyDescent="0.4">
      <c r="H385" s="9"/>
      <c r="I385" s="9"/>
    </row>
    <row r="386" spans="8:9" ht="15" thickBot="1" x14ac:dyDescent="0.4">
      <c r="H386" s="9"/>
      <c r="I386" s="9"/>
    </row>
    <row r="387" spans="8:9" ht="15" thickBot="1" x14ac:dyDescent="0.4">
      <c r="H387" s="9"/>
      <c r="I387" s="9"/>
    </row>
    <row r="388" spans="8:9" ht="15" thickBot="1" x14ac:dyDescent="0.4">
      <c r="H388" s="9"/>
      <c r="I388" s="9"/>
    </row>
    <row r="389" spans="8:9" ht="15" thickBot="1" x14ac:dyDescent="0.4">
      <c r="H389" s="9"/>
      <c r="I389" s="9"/>
    </row>
    <row r="390" spans="8:9" ht="15" thickBot="1" x14ac:dyDescent="0.4">
      <c r="H390" s="9"/>
      <c r="I390" s="9"/>
    </row>
    <row r="391" spans="8:9" ht="15" thickBot="1" x14ac:dyDescent="0.4">
      <c r="H391" s="9"/>
      <c r="I391" s="9"/>
    </row>
    <row r="392" spans="8:9" ht="15" thickBot="1" x14ac:dyDescent="0.4">
      <c r="H392" s="9"/>
      <c r="I392" s="9"/>
    </row>
    <row r="393" spans="8:9" ht="15" thickBot="1" x14ac:dyDescent="0.4">
      <c r="H393" s="9"/>
      <c r="I393" s="9"/>
    </row>
    <row r="394" spans="8:9" ht="15" thickBot="1" x14ac:dyDescent="0.4">
      <c r="H394" s="9"/>
      <c r="I394" s="9"/>
    </row>
    <row r="395" spans="8:9" ht="15" thickBot="1" x14ac:dyDescent="0.4">
      <c r="H395" s="9"/>
      <c r="I395" s="9"/>
    </row>
    <row r="396" spans="8:9" ht="15" thickBot="1" x14ac:dyDescent="0.4">
      <c r="H396" s="9"/>
      <c r="I396" s="9"/>
    </row>
    <row r="397" spans="8:9" ht="15" thickBot="1" x14ac:dyDescent="0.4">
      <c r="H397" s="9"/>
      <c r="I397" s="9"/>
    </row>
    <row r="398" spans="8:9" ht="15" thickBot="1" x14ac:dyDescent="0.4">
      <c r="H398" s="9"/>
      <c r="I398" s="9"/>
    </row>
    <row r="399" spans="8:9" ht="15" thickBot="1" x14ac:dyDescent="0.4">
      <c r="H399" s="9"/>
      <c r="I399" s="9"/>
    </row>
    <row r="400" spans="8:9" ht="15" thickBot="1" x14ac:dyDescent="0.4">
      <c r="H400" s="9"/>
      <c r="I400" s="9"/>
    </row>
    <row r="401" spans="8:9" ht="15" thickBot="1" x14ac:dyDescent="0.4">
      <c r="H401" s="9"/>
      <c r="I401" s="9"/>
    </row>
    <row r="402" spans="8:9" ht="15" thickBot="1" x14ac:dyDescent="0.4">
      <c r="H402" s="9"/>
      <c r="I402" s="9"/>
    </row>
    <row r="403" spans="8:9" ht="15" thickBot="1" x14ac:dyDescent="0.4">
      <c r="H403" s="9"/>
      <c r="I403" s="9"/>
    </row>
    <row r="404" spans="8:9" ht="15" thickBot="1" x14ac:dyDescent="0.4">
      <c r="H404" s="9"/>
      <c r="I404" s="9"/>
    </row>
    <row r="405" spans="8:9" ht="15" thickBot="1" x14ac:dyDescent="0.4">
      <c r="H405" s="9"/>
      <c r="I405" s="9"/>
    </row>
    <row r="406" spans="8:9" ht="15" thickBot="1" x14ac:dyDescent="0.4">
      <c r="H406" s="9"/>
      <c r="I406" s="9"/>
    </row>
    <row r="407" spans="8:9" ht="15" thickBot="1" x14ac:dyDescent="0.4">
      <c r="H407" s="9"/>
      <c r="I407" s="9"/>
    </row>
    <row r="408" spans="8:9" ht="15" thickBot="1" x14ac:dyDescent="0.4">
      <c r="H408" s="9"/>
      <c r="I408" s="9"/>
    </row>
    <row r="409" spans="8:9" ht="15" thickBot="1" x14ac:dyDescent="0.4">
      <c r="H409" s="9"/>
      <c r="I409" s="9"/>
    </row>
    <row r="410" spans="8:9" ht="15" thickBot="1" x14ac:dyDescent="0.4">
      <c r="H410" s="9"/>
      <c r="I410" s="9"/>
    </row>
    <row r="411" spans="8:9" ht="15" thickBot="1" x14ac:dyDescent="0.4">
      <c r="H411" s="9"/>
      <c r="I411" s="9"/>
    </row>
    <row r="412" spans="8:9" ht="15" thickBot="1" x14ac:dyDescent="0.4">
      <c r="H412" s="9"/>
      <c r="I412" s="9"/>
    </row>
    <row r="413" spans="8:9" ht="15" thickBot="1" x14ac:dyDescent="0.4">
      <c r="H413" s="9"/>
      <c r="I413" s="9"/>
    </row>
    <row r="414" spans="8:9" ht="15" thickBot="1" x14ac:dyDescent="0.4">
      <c r="H414" s="9"/>
      <c r="I414" s="9"/>
    </row>
    <row r="415" spans="8:9" ht="15" thickBot="1" x14ac:dyDescent="0.4">
      <c r="H415" s="9"/>
      <c r="I415" s="9"/>
    </row>
    <row r="416" spans="8:9" ht="15" thickBot="1" x14ac:dyDescent="0.4">
      <c r="H416" s="9"/>
      <c r="I416" s="9"/>
    </row>
    <row r="417" spans="8:9" ht="15" thickBot="1" x14ac:dyDescent="0.4">
      <c r="H417" s="9"/>
      <c r="I417" s="9"/>
    </row>
    <row r="418" spans="8:9" ht="15" thickBot="1" x14ac:dyDescent="0.4">
      <c r="H418" s="9"/>
      <c r="I418" s="9"/>
    </row>
    <row r="419" spans="8:9" ht="15" thickBot="1" x14ac:dyDescent="0.4">
      <c r="H419" s="9"/>
      <c r="I419" s="9"/>
    </row>
    <row r="420" spans="8:9" ht="15" thickBot="1" x14ac:dyDescent="0.4">
      <c r="H420" s="9"/>
      <c r="I420" s="9"/>
    </row>
    <row r="421" spans="8:9" ht="15" thickBot="1" x14ac:dyDescent="0.4">
      <c r="H421" s="9"/>
      <c r="I421" s="9"/>
    </row>
    <row r="422" spans="8:9" ht="15" thickBot="1" x14ac:dyDescent="0.4">
      <c r="H422" s="9"/>
      <c r="I422" s="9"/>
    </row>
    <row r="423" spans="8:9" ht="15" thickBot="1" x14ac:dyDescent="0.4">
      <c r="H423" s="9"/>
      <c r="I423" s="9"/>
    </row>
    <row r="424" spans="8:9" ht="15" thickBot="1" x14ac:dyDescent="0.4">
      <c r="H424" s="9"/>
      <c r="I424" s="9"/>
    </row>
    <row r="425" spans="8:9" ht="15" thickBot="1" x14ac:dyDescent="0.4">
      <c r="H425" s="9"/>
      <c r="I425" s="9"/>
    </row>
    <row r="426" spans="8:9" ht="15" thickBot="1" x14ac:dyDescent="0.4">
      <c r="H426" s="9"/>
      <c r="I426" s="9"/>
    </row>
    <row r="427" spans="8:9" ht="15" thickBot="1" x14ac:dyDescent="0.4">
      <c r="H427" s="9"/>
      <c r="I427" s="9"/>
    </row>
    <row r="428" spans="8:9" ht="15" thickBot="1" x14ac:dyDescent="0.4">
      <c r="H428" s="9"/>
      <c r="I428" s="9"/>
    </row>
    <row r="429" spans="8:9" ht="15" thickBot="1" x14ac:dyDescent="0.4">
      <c r="H429" s="9"/>
      <c r="I429" s="9"/>
    </row>
    <row r="430" spans="8:9" ht="15" thickBot="1" x14ac:dyDescent="0.4">
      <c r="H430" s="9"/>
      <c r="I430" s="9"/>
    </row>
    <row r="431" spans="8:9" ht="15" thickBot="1" x14ac:dyDescent="0.4">
      <c r="H431" s="9"/>
      <c r="I431" s="9"/>
    </row>
    <row r="432" spans="8:9" ht="15" thickBot="1" x14ac:dyDescent="0.4">
      <c r="H432" s="9"/>
      <c r="I432" s="9"/>
    </row>
    <row r="433" spans="8:9" ht="15" thickBot="1" x14ac:dyDescent="0.4">
      <c r="H433" s="9"/>
      <c r="I433" s="9"/>
    </row>
    <row r="434" spans="8:9" ht="15" thickBot="1" x14ac:dyDescent="0.4">
      <c r="H434" s="9"/>
      <c r="I434" s="9"/>
    </row>
    <row r="435" spans="8:9" ht="15" thickBot="1" x14ac:dyDescent="0.4">
      <c r="H435" s="9"/>
      <c r="I435" s="9"/>
    </row>
    <row r="436" spans="8:9" ht="15" thickBot="1" x14ac:dyDescent="0.4">
      <c r="H436" s="9"/>
      <c r="I436" s="9"/>
    </row>
    <row r="437" spans="8:9" ht="15" thickBot="1" x14ac:dyDescent="0.4">
      <c r="H437" s="9"/>
      <c r="I437" s="9"/>
    </row>
    <row r="438" spans="8:9" ht="15" thickBot="1" x14ac:dyDescent="0.4">
      <c r="H438" s="9"/>
      <c r="I438" s="9"/>
    </row>
    <row r="439" spans="8:9" ht="15" thickBot="1" x14ac:dyDescent="0.4">
      <c r="H439" s="9"/>
      <c r="I439" s="9"/>
    </row>
    <row r="440" spans="8:9" ht="15" thickBot="1" x14ac:dyDescent="0.4">
      <c r="H440" s="9"/>
      <c r="I440" s="9"/>
    </row>
    <row r="441" spans="8:9" ht="15" thickBot="1" x14ac:dyDescent="0.4">
      <c r="H441" s="9"/>
      <c r="I441" s="9"/>
    </row>
    <row r="442" spans="8:9" ht="15" thickBot="1" x14ac:dyDescent="0.4">
      <c r="H442" s="9"/>
      <c r="I442" s="9"/>
    </row>
    <row r="443" spans="8:9" ht="15" thickBot="1" x14ac:dyDescent="0.4">
      <c r="H443" s="9"/>
      <c r="I443" s="9"/>
    </row>
    <row r="444" spans="8:9" ht="15" thickBot="1" x14ac:dyDescent="0.4">
      <c r="H444" s="9"/>
      <c r="I444" s="9"/>
    </row>
    <row r="445" spans="8:9" ht="15" thickBot="1" x14ac:dyDescent="0.4">
      <c r="H445" s="9"/>
      <c r="I445" s="9"/>
    </row>
    <row r="446" spans="8:9" ht="15" thickBot="1" x14ac:dyDescent="0.4">
      <c r="H446" s="9"/>
      <c r="I446" s="9"/>
    </row>
    <row r="447" spans="8:9" ht="15" thickBot="1" x14ac:dyDescent="0.4">
      <c r="H447" s="9"/>
      <c r="I447" s="9"/>
    </row>
    <row r="448" spans="8:9" ht="15" thickBot="1" x14ac:dyDescent="0.4">
      <c r="H448" s="9"/>
      <c r="I448" s="9"/>
    </row>
    <row r="449" spans="8:9" ht="15" thickBot="1" x14ac:dyDescent="0.4">
      <c r="H449" s="9"/>
      <c r="I449" s="9"/>
    </row>
    <row r="450" spans="8:9" ht="15" thickBot="1" x14ac:dyDescent="0.4">
      <c r="H450" s="9"/>
      <c r="I450" s="9"/>
    </row>
    <row r="451" spans="8:9" ht="15" thickBot="1" x14ac:dyDescent="0.4">
      <c r="H451" s="9"/>
      <c r="I451" s="9"/>
    </row>
    <row r="452" spans="8:9" ht="15" thickBot="1" x14ac:dyDescent="0.4">
      <c r="H452" s="9"/>
      <c r="I452" s="9"/>
    </row>
    <row r="453" spans="8:9" ht="15" thickBot="1" x14ac:dyDescent="0.4">
      <c r="H453" s="9"/>
      <c r="I453" s="9"/>
    </row>
    <row r="454" spans="8:9" ht="15" thickBot="1" x14ac:dyDescent="0.4">
      <c r="H454" s="9"/>
      <c r="I454" s="9"/>
    </row>
    <row r="455" spans="8:9" ht="15" thickBot="1" x14ac:dyDescent="0.4">
      <c r="H455" s="9"/>
      <c r="I455" s="9"/>
    </row>
    <row r="456" spans="8:9" ht="15" thickBot="1" x14ac:dyDescent="0.4">
      <c r="H456" s="9"/>
      <c r="I456" s="9"/>
    </row>
    <row r="457" spans="8:9" ht="15" thickBot="1" x14ac:dyDescent="0.4">
      <c r="H457" s="9"/>
      <c r="I457" s="9"/>
    </row>
    <row r="458" spans="8:9" ht="15" thickBot="1" x14ac:dyDescent="0.4">
      <c r="H458" s="9"/>
      <c r="I458" s="9"/>
    </row>
    <row r="459" spans="8:9" ht="15" thickBot="1" x14ac:dyDescent="0.4">
      <c r="H459" s="9"/>
      <c r="I459" s="9"/>
    </row>
    <row r="460" spans="8:9" ht="15" thickBot="1" x14ac:dyDescent="0.4">
      <c r="H460" s="9"/>
      <c r="I460" s="9"/>
    </row>
    <row r="461" spans="8:9" ht="15" thickBot="1" x14ac:dyDescent="0.4">
      <c r="H461" s="9"/>
      <c r="I461" s="9"/>
    </row>
    <row r="462" spans="8:9" ht="15" thickBot="1" x14ac:dyDescent="0.4">
      <c r="H462" s="9"/>
      <c r="I462" s="9"/>
    </row>
    <row r="463" spans="8:9" ht="15" thickBot="1" x14ac:dyDescent="0.4">
      <c r="H463" s="9"/>
      <c r="I463" s="9"/>
    </row>
    <row r="464" spans="8:9" ht="15" thickBot="1" x14ac:dyDescent="0.4">
      <c r="H464" s="9"/>
      <c r="I464" s="9"/>
    </row>
    <row r="465" spans="8:9" ht="15" thickBot="1" x14ac:dyDescent="0.4">
      <c r="H465" s="9"/>
      <c r="I465" s="9"/>
    </row>
    <row r="466" spans="8:9" ht="15" thickBot="1" x14ac:dyDescent="0.4">
      <c r="H466" s="9"/>
      <c r="I466" s="9"/>
    </row>
    <row r="467" spans="8:9" ht="15" thickBot="1" x14ac:dyDescent="0.4">
      <c r="H467" s="9"/>
      <c r="I467" s="9"/>
    </row>
    <row r="468" spans="8:9" ht="15" thickBot="1" x14ac:dyDescent="0.4">
      <c r="H468" s="9"/>
      <c r="I468" s="9"/>
    </row>
    <row r="469" spans="8:9" ht="15" thickBot="1" x14ac:dyDescent="0.4">
      <c r="H469" s="9"/>
      <c r="I469" s="9"/>
    </row>
    <row r="470" spans="8:9" ht="15" thickBot="1" x14ac:dyDescent="0.4">
      <c r="H470" s="9"/>
      <c r="I470" s="9"/>
    </row>
    <row r="471" spans="8:9" ht="15" thickBot="1" x14ac:dyDescent="0.4">
      <c r="H471" s="9"/>
      <c r="I471" s="9"/>
    </row>
    <row r="472" spans="8:9" ht="15" thickBot="1" x14ac:dyDescent="0.4">
      <c r="H472" s="9"/>
      <c r="I472" s="9"/>
    </row>
    <row r="473" spans="8:9" ht="15" thickBot="1" x14ac:dyDescent="0.4">
      <c r="H473" s="9"/>
      <c r="I473" s="9"/>
    </row>
    <row r="474" spans="8:9" ht="15" thickBot="1" x14ac:dyDescent="0.4">
      <c r="H474" s="9"/>
      <c r="I474" s="9"/>
    </row>
    <row r="475" spans="8:9" ht="15" thickBot="1" x14ac:dyDescent="0.4">
      <c r="H475" s="9"/>
      <c r="I475" s="9"/>
    </row>
    <row r="476" spans="8:9" ht="15" thickBot="1" x14ac:dyDescent="0.4">
      <c r="H476" s="9"/>
      <c r="I476" s="9"/>
    </row>
    <row r="477" spans="8:9" ht="15" thickBot="1" x14ac:dyDescent="0.4">
      <c r="H477" s="9"/>
      <c r="I477" s="9"/>
    </row>
    <row r="478" spans="8:9" ht="15" thickBot="1" x14ac:dyDescent="0.4">
      <c r="H478" s="9"/>
      <c r="I478" s="9"/>
    </row>
    <row r="479" spans="8:9" ht="15" thickBot="1" x14ac:dyDescent="0.4">
      <c r="H479" s="9"/>
      <c r="I479" s="9"/>
    </row>
    <row r="480" spans="8:9" ht="15" thickBot="1" x14ac:dyDescent="0.4">
      <c r="H480" s="9"/>
      <c r="I480" s="9"/>
    </row>
    <row r="481" spans="8:9" ht="15" thickBot="1" x14ac:dyDescent="0.4">
      <c r="H481" s="9"/>
      <c r="I481" s="9"/>
    </row>
    <row r="482" spans="8:9" ht="15" thickBot="1" x14ac:dyDescent="0.4">
      <c r="H482" s="9"/>
      <c r="I482" s="9"/>
    </row>
    <row r="483" spans="8:9" ht="15" thickBot="1" x14ac:dyDescent="0.4">
      <c r="H483" s="9"/>
      <c r="I483" s="9"/>
    </row>
    <row r="484" spans="8:9" ht="15" thickBot="1" x14ac:dyDescent="0.4">
      <c r="H484" s="9"/>
      <c r="I484" s="9"/>
    </row>
    <row r="485" spans="8:9" ht="15" thickBot="1" x14ac:dyDescent="0.4">
      <c r="H485" s="9"/>
      <c r="I485" s="9"/>
    </row>
    <row r="486" spans="8:9" ht="15" thickBot="1" x14ac:dyDescent="0.4">
      <c r="H486" s="9"/>
      <c r="I486" s="9"/>
    </row>
    <row r="487" spans="8:9" ht="15" thickBot="1" x14ac:dyDescent="0.4">
      <c r="H487" s="9"/>
      <c r="I487" s="9"/>
    </row>
    <row r="488" spans="8:9" ht="15" thickBot="1" x14ac:dyDescent="0.4">
      <c r="H488" s="9"/>
      <c r="I488" s="9"/>
    </row>
    <row r="489" spans="8:9" ht="15" thickBot="1" x14ac:dyDescent="0.4">
      <c r="H489" s="9"/>
      <c r="I489" s="9"/>
    </row>
    <row r="490" spans="8:9" ht="15" thickBot="1" x14ac:dyDescent="0.4">
      <c r="H490" s="9"/>
      <c r="I490" s="9"/>
    </row>
    <row r="491" spans="8:9" ht="15" thickBot="1" x14ac:dyDescent="0.4">
      <c r="H491" s="9"/>
      <c r="I491" s="9"/>
    </row>
    <row r="492" spans="8:9" ht="15" thickBot="1" x14ac:dyDescent="0.4">
      <c r="H492" s="9"/>
      <c r="I492" s="9"/>
    </row>
    <row r="493" spans="8:9" ht="15" thickBot="1" x14ac:dyDescent="0.4">
      <c r="H493" s="9"/>
      <c r="I493" s="9"/>
    </row>
    <row r="494" spans="8:9" ht="15" thickBot="1" x14ac:dyDescent="0.4">
      <c r="H494" s="9"/>
      <c r="I494" s="9"/>
    </row>
    <row r="495" spans="8:9" ht="15" thickBot="1" x14ac:dyDescent="0.4">
      <c r="H495" s="9"/>
      <c r="I495" s="9"/>
    </row>
    <row r="496" spans="8:9" ht="15" thickBot="1" x14ac:dyDescent="0.4">
      <c r="H496" s="9"/>
      <c r="I496" s="9"/>
    </row>
    <row r="497" spans="8:9" ht="15" thickBot="1" x14ac:dyDescent="0.4">
      <c r="H497" s="9"/>
      <c r="I497" s="9"/>
    </row>
    <row r="498" spans="8:9" ht="15" thickBot="1" x14ac:dyDescent="0.4">
      <c r="H498" s="9"/>
      <c r="I498" s="9"/>
    </row>
    <row r="499" spans="8:9" ht="15" thickBot="1" x14ac:dyDescent="0.4">
      <c r="H499" s="9"/>
      <c r="I499" s="9"/>
    </row>
    <row r="500" spans="8:9" ht="15" thickBot="1" x14ac:dyDescent="0.4">
      <c r="H500" s="9"/>
      <c r="I500" s="9"/>
    </row>
    <row r="501" spans="8:9" ht="15" thickBot="1" x14ac:dyDescent="0.4">
      <c r="H501" s="9"/>
      <c r="I501" s="9"/>
    </row>
    <row r="502" spans="8:9" ht="15" thickBot="1" x14ac:dyDescent="0.4">
      <c r="H502" s="9"/>
      <c r="I502" s="9"/>
    </row>
    <row r="503" spans="8:9" ht="15" thickBot="1" x14ac:dyDescent="0.4">
      <c r="H503" s="9"/>
      <c r="I503" s="9"/>
    </row>
    <row r="504" spans="8:9" ht="15" thickBot="1" x14ac:dyDescent="0.4">
      <c r="H504" s="9"/>
      <c r="I504" s="9"/>
    </row>
    <row r="505" spans="8:9" ht="15" thickBot="1" x14ac:dyDescent="0.4">
      <c r="H505" s="9"/>
      <c r="I505" s="9"/>
    </row>
    <row r="506" spans="8:9" ht="15" thickBot="1" x14ac:dyDescent="0.4">
      <c r="H506" s="9"/>
      <c r="I506" s="9"/>
    </row>
    <row r="507" spans="8:9" ht="15" thickBot="1" x14ac:dyDescent="0.4">
      <c r="H507" s="9"/>
      <c r="I507" s="9"/>
    </row>
    <row r="508" spans="8:9" ht="15" thickBot="1" x14ac:dyDescent="0.4">
      <c r="H508" s="9"/>
      <c r="I508" s="9"/>
    </row>
    <row r="509" spans="8:9" ht="15" thickBot="1" x14ac:dyDescent="0.4">
      <c r="H509" s="9"/>
      <c r="I509" s="9"/>
    </row>
    <row r="510" spans="8:9" ht="15" thickBot="1" x14ac:dyDescent="0.4">
      <c r="H510" s="9"/>
      <c r="I510" s="9"/>
    </row>
    <row r="511" spans="8:9" ht="15" thickBot="1" x14ac:dyDescent="0.4">
      <c r="H511" s="9"/>
      <c r="I511" s="9"/>
    </row>
    <row r="512" spans="8:9" ht="15" thickBot="1" x14ac:dyDescent="0.4">
      <c r="H512" s="9"/>
      <c r="I512" s="9"/>
    </row>
    <row r="513" spans="8:9" ht="15" thickBot="1" x14ac:dyDescent="0.4">
      <c r="H513" s="9"/>
      <c r="I513" s="9"/>
    </row>
    <row r="514" spans="8:9" ht="15" thickBot="1" x14ac:dyDescent="0.4">
      <c r="H514" s="9"/>
      <c r="I514" s="9"/>
    </row>
    <row r="515" spans="8:9" ht="15" thickBot="1" x14ac:dyDescent="0.4">
      <c r="H515" s="9"/>
      <c r="I515" s="9"/>
    </row>
    <row r="516" spans="8:9" ht="15" thickBot="1" x14ac:dyDescent="0.4">
      <c r="H516" s="9"/>
      <c r="I516" s="9"/>
    </row>
    <row r="517" spans="8:9" ht="15" thickBot="1" x14ac:dyDescent="0.4">
      <c r="H517" s="9"/>
      <c r="I517" s="9"/>
    </row>
    <row r="518" spans="8:9" ht="15" thickBot="1" x14ac:dyDescent="0.4">
      <c r="H518" s="9"/>
      <c r="I518" s="9"/>
    </row>
    <row r="519" spans="8:9" ht="15" thickBot="1" x14ac:dyDescent="0.4">
      <c r="H519" s="9"/>
      <c r="I519" s="9"/>
    </row>
    <row r="520" spans="8:9" ht="15" thickBot="1" x14ac:dyDescent="0.4">
      <c r="H520" s="9"/>
      <c r="I520" s="9"/>
    </row>
    <row r="521" spans="8:9" ht="15" thickBot="1" x14ac:dyDescent="0.4">
      <c r="H521" s="9"/>
      <c r="I521" s="9"/>
    </row>
    <row r="522" spans="8:9" ht="15" thickBot="1" x14ac:dyDescent="0.4">
      <c r="H522" s="9"/>
      <c r="I522" s="9"/>
    </row>
    <row r="523" spans="8:9" ht="15" thickBot="1" x14ac:dyDescent="0.4">
      <c r="H523" s="9"/>
      <c r="I523" s="9"/>
    </row>
    <row r="524" spans="8:9" ht="15" thickBot="1" x14ac:dyDescent="0.4">
      <c r="H524" s="9"/>
      <c r="I524" s="9"/>
    </row>
    <row r="525" spans="8:9" ht="15" thickBot="1" x14ac:dyDescent="0.4">
      <c r="H525" s="9"/>
      <c r="I525" s="9"/>
    </row>
    <row r="526" spans="8:9" ht="15" thickBot="1" x14ac:dyDescent="0.4">
      <c r="H526" s="9"/>
      <c r="I526" s="9"/>
    </row>
    <row r="527" spans="8:9" ht="15" thickBot="1" x14ac:dyDescent="0.4">
      <c r="H527" s="9"/>
      <c r="I527" s="9"/>
    </row>
    <row r="528" spans="8:9" ht="15" thickBot="1" x14ac:dyDescent="0.4">
      <c r="H528" s="9"/>
      <c r="I528" s="9"/>
    </row>
    <row r="529" spans="8:9" ht="15" thickBot="1" x14ac:dyDescent="0.4">
      <c r="H529" s="9"/>
      <c r="I529" s="9"/>
    </row>
    <row r="530" spans="8:9" ht="15" thickBot="1" x14ac:dyDescent="0.4">
      <c r="H530" s="9"/>
      <c r="I530" s="9"/>
    </row>
    <row r="531" spans="8:9" ht="15" thickBot="1" x14ac:dyDescent="0.4">
      <c r="H531" s="9"/>
      <c r="I531" s="9"/>
    </row>
    <row r="532" spans="8:9" ht="15" thickBot="1" x14ac:dyDescent="0.4">
      <c r="H532" s="9"/>
      <c r="I532" s="9"/>
    </row>
    <row r="533" spans="8:9" ht="15" thickBot="1" x14ac:dyDescent="0.4">
      <c r="H533" s="9"/>
      <c r="I533" s="9"/>
    </row>
    <row r="534" spans="8:9" ht="15" thickBot="1" x14ac:dyDescent="0.4">
      <c r="H534" s="9"/>
      <c r="I534" s="9"/>
    </row>
    <row r="535" spans="8:9" ht="15" thickBot="1" x14ac:dyDescent="0.4">
      <c r="H535" s="9"/>
      <c r="I535" s="9"/>
    </row>
    <row r="536" spans="8:9" ht="15" thickBot="1" x14ac:dyDescent="0.4">
      <c r="H536" s="9"/>
      <c r="I536" s="9"/>
    </row>
    <row r="537" spans="8:9" ht="15" thickBot="1" x14ac:dyDescent="0.4">
      <c r="H537" s="9"/>
      <c r="I537" s="9"/>
    </row>
    <row r="538" spans="8:9" ht="15" thickBot="1" x14ac:dyDescent="0.4">
      <c r="H538" s="9"/>
      <c r="I538" s="9"/>
    </row>
    <row r="539" spans="8:9" ht="15" thickBot="1" x14ac:dyDescent="0.4">
      <c r="H539" s="9"/>
      <c r="I539" s="9"/>
    </row>
    <row r="540" spans="8:9" ht="15" thickBot="1" x14ac:dyDescent="0.4">
      <c r="H540" s="9"/>
      <c r="I540" s="9"/>
    </row>
    <row r="541" spans="8:9" ht="15" thickBot="1" x14ac:dyDescent="0.4">
      <c r="H541" s="9"/>
      <c r="I541" s="9"/>
    </row>
    <row r="542" spans="8:9" ht="15" thickBot="1" x14ac:dyDescent="0.4">
      <c r="H542" s="9"/>
      <c r="I542" s="9"/>
    </row>
    <row r="543" spans="8:9" ht="15" thickBot="1" x14ac:dyDescent="0.4">
      <c r="H543" s="9"/>
      <c r="I543" s="9"/>
    </row>
    <row r="544" spans="8:9" ht="15" thickBot="1" x14ac:dyDescent="0.4">
      <c r="H544" s="9"/>
      <c r="I544" s="9"/>
    </row>
    <row r="545" spans="8:9" ht="15" thickBot="1" x14ac:dyDescent="0.4">
      <c r="H545" s="9"/>
      <c r="I545" s="9"/>
    </row>
    <row r="546" spans="8:9" ht="15" thickBot="1" x14ac:dyDescent="0.4">
      <c r="H546" s="9"/>
      <c r="I546" s="9"/>
    </row>
    <row r="547" spans="8:9" ht="15" thickBot="1" x14ac:dyDescent="0.4">
      <c r="H547" s="9"/>
      <c r="I547" s="9"/>
    </row>
    <row r="548" spans="8:9" ht="15" thickBot="1" x14ac:dyDescent="0.4">
      <c r="H548" s="9"/>
      <c r="I548" s="9"/>
    </row>
    <row r="549" spans="8:9" ht="15" thickBot="1" x14ac:dyDescent="0.4">
      <c r="H549" s="9"/>
      <c r="I549" s="9"/>
    </row>
    <row r="550" spans="8:9" ht="15" thickBot="1" x14ac:dyDescent="0.4">
      <c r="H550" s="9"/>
      <c r="I550" s="9"/>
    </row>
    <row r="551" spans="8:9" ht="15" thickBot="1" x14ac:dyDescent="0.4">
      <c r="H551" s="9"/>
      <c r="I551" s="9"/>
    </row>
    <row r="552" spans="8:9" ht="15" thickBot="1" x14ac:dyDescent="0.4">
      <c r="H552" s="9"/>
      <c r="I552" s="9"/>
    </row>
    <row r="553" spans="8:9" ht="15" thickBot="1" x14ac:dyDescent="0.4">
      <c r="H553" s="9"/>
      <c r="I553" s="9"/>
    </row>
    <row r="554" spans="8:9" ht="15" thickBot="1" x14ac:dyDescent="0.4">
      <c r="H554" s="9"/>
      <c r="I554" s="9"/>
    </row>
    <row r="555" spans="8:9" ht="15" thickBot="1" x14ac:dyDescent="0.4">
      <c r="H555" s="9"/>
      <c r="I555" s="9"/>
    </row>
    <row r="556" spans="8:9" ht="15" thickBot="1" x14ac:dyDescent="0.4">
      <c r="H556" s="9"/>
      <c r="I556" s="9"/>
    </row>
    <row r="557" spans="8:9" ht="15" thickBot="1" x14ac:dyDescent="0.4">
      <c r="H557" s="9"/>
      <c r="I557" s="9"/>
    </row>
    <row r="558" spans="8:9" ht="15" thickBot="1" x14ac:dyDescent="0.4">
      <c r="H558" s="9"/>
      <c r="I558" s="9"/>
    </row>
    <row r="559" spans="8:9" ht="15" thickBot="1" x14ac:dyDescent="0.4">
      <c r="H559" s="9"/>
      <c r="I559" s="9"/>
    </row>
    <row r="560" spans="8:9" ht="15" thickBot="1" x14ac:dyDescent="0.4">
      <c r="H560" s="9"/>
      <c r="I560" s="9"/>
    </row>
    <row r="561" spans="8:9" ht="15" thickBot="1" x14ac:dyDescent="0.4">
      <c r="H561" s="9"/>
      <c r="I561" s="9"/>
    </row>
    <row r="562" spans="8:9" ht="15" thickBot="1" x14ac:dyDescent="0.4">
      <c r="H562" s="9"/>
      <c r="I562" s="9"/>
    </row>
    <row r="563" spans="8:9" ht="15" thickBot="1" x14ac:dyDescent="0.4">
      <c r="H563" s="9"/>
      <c r="I563" s="9"/>
    </row>
    <row r="564" spans="8:9" ht="15" thickBot="1" x14ac:dyDescent="0.4">
      <c r="H564" s="9"/>
      <c r="I564" s="9"/>
    </row>
    <row r="565" spans="8:9" ht="15" thickBot="1" x14ac:dyDescent="0.4">
      <c r="H565" s="9"/>
      <c r="I565" s="9"/>
    </row>
    <row r="566" spans="8:9" ht="15" thickBot="1" x14ac:dyDescent="0.4">
      <c r="H566" s="9"/>
      <c r="I566" s="9"/>
    </row>
    <row r="567" spans="8:9" ht="15" thickBot="1" x14ac:dyDescent="0.4">
      <c r="H567" s="9"/>
      <c r="I567" s="9"/>
    </row>
    <row r="568" spans="8:9" ht="15" thickBot="1" x14ac:dyDescent="0.4">
      <c r="H568" s="9"/>
      <c r="I568" s="9"/>
    </row>
    <row r="569" spans="8:9" ht="15" thickBot="1" x14ac:dyDescent="0.4">
      <c r="H569" s="9"/>
      <c r="I569" s="9"/>
    </row>
    <row r="570" spans="8:9" ht="15" thickBot="1" x14ac:dyDescent="0.4">
      <c r="H570" s="9"/>
      <c r="I570" s="9"/>
    </row>
    <row r="571" spans="8:9" ht="15" thickBot="1" x14ac:dyDescent="0.4">
      <c r="H571" s="9"/>
      <c r="I571" s="9"/>
    </row>
    <row r="572" spans="8:9" ht="15" thickBot="1" x14ac:dyDescent="0.4">
      <c r="H572" s="9"/>
      <c r="I572" s="9"/>
    </row>
    <row r="573" spans="8:9" ht="15" thickBot="1" x14ac:dyDescent="0.4">
      <c r="H573" s="9"/>
      <c r="I573" s="9"/>
    </row>
    <row r="574" spans="8:9" ht="15" thickBot="1" x14ac:dyDescent="0.4">
      <c r="H574" s="9"/>
      <c r="I574" s="9"/>
    </row>
    <row r="575" spans="8:9" ht="15" thickBot="1" x14ac:dyDescent="0.4">
      <c r="H575" s="9"/>
      <c r="I575" s="9"/>
    </row>
    <row r="576" spans="8:9" ht="15" thickBot="1" x14ac:dyDescent="0.4">
      <c r="H576" s="9"/>
      <c r="I576" s="9"/>
    </row>
    <row r="577" spans="8:9" ht="15" thickBot="1" x14ac:dyDescent="0.4">
      <c r="H577" s="9"/>
      <c r="I577" s="9"/>
    </row>
    <row r="578" spans="8:9" ht="15" thickBot="1" x14ac:dyDescent="0.4">
      <c r="H578" s="9"/>
      <c r="I578" s="9"/>
    </row>
    <row r="579" spans="8:9" ht="15" thickBot="1" x14ac:dyDescent="0.4">
      <c r="H579" s="9"/>
      <c r="I579" s="9"/>
    </row>
    <row r="580" spans="8:9" ht="15" thickBot="1" x14ac:dyDescent="0.4">
      <c r="H580" s="9"/>
      <c r="I580" s="9"/>
    </row>
    <row r="581" spans="8:9" ht="15" thickBot="1" x14ac:dyDescent="0.4">
      <c r="H581" s="9"/>
      <c r="I581" s="9"/>
    </row>
    <row r="582" spans="8:9" ht="15" thickBot="1" x14ac:dyDescent="0.4">
      <c r="H582" s="9"/>
      <c r="I582" s="9"/>
    </row>
    <row r="583" spans="8:9" ht="15" thickBot="1" x14ac:dyDescent="0.4">
      <c r="H583" s="9"/>
      <c r="I583" s="9"/>
    </row>
    <row r="584" spans="8:9" ht="15" thickBot="1" x14ac:dyDescent="0.4">
      <c r="H584" s="9"/>
      <c r="I584" s="9"/>
    </row>
    <row r="585" spans="8:9" ht="15" thickBot="1" x14ac:dyDescent="0.4">
      <c r="H585" s="9"/>
      <c r="I585" s="9"/>
    </row>
    <row r="586" spans="8:9" ht="15" thickBot="1" x14ac:dyDescent="0.4">
      <c r="H586" s="9"/>
      <c r="I586" s="9"/>
    </row>
    <row r="587" spans="8:9" ht="15" thickBot="1" x14ac:dyDescent="0.4">
      <c r="H587" s="9"/>
      <c r="I587" s="9"/>
    </row>
    <row r="588" spans="8:9" ht="15" thickBot="1" x14ac:dyDescent="0.4">
      <c r="H588" s="9"/>
      <c r="I588" s="9"/>
    </row>
    <row r="589" spans="8:9" ht="15" thickBot="1" x14ac:dyDescent="0.4">
      <c r="H589" s="9"/>
      <c r="I589" s="9"/>
    </row>
    <row r="590" spans="8:9" ht="15" thickBot="1" x14ac:dyDescent="0.4">
      <c r="H590" s="9"/>
      <c r="I590" s="9"/>
    </row>
    <row r="591" spans="8:9" ht="15" thickBot="1" x14ac:dyDescent="0.4">
      <c r="H591" s="9"/>
      <c r="I591" s="9"/>
    </row>
    <row r="592" spans="8:9" ht="15" thickBot="1" x14ac:dyDescent="0.4">
      <c r="H592" s="9"/>
      <c r="I592" s="9"/>
    </row>
    <row r="593" spans="8:9" ht="15" thickBot="1" x14ac:dyDescent="0.4">
      <c r="H593" s="9"/>
      <c r="I593" s="9"/>
    </row>
    <row r="594" spans="8:9" ht="15" thickBot="1" x14ac:dyDescent="0.4">
      <c r="H594" s="9"/>
      <c r="I594" s="9"/>
    </row>
    <row r="595" spans="8:9" ht="15" thickBot="1" x14ac:dyDescent="0.4">
      <c r="H595" s="9"/>
      <c r="I595" s="9"/>
    </row>
    <row r="596" spans="8:9" ht="15" thickBot="1" x14ac:dyDescent="0.4">
      <c r="H596" s="9"/>
      <c r="I596" s="9"/>
    </row>
    <row r="597" spans="8:9" ht="15" thickBot="1" x14ac:dyDescent="0.4">
      <c r="H597" s="9"/>
      <c r="I597" s="9"/>
    </row>
    <row r="598" spans="8:9" ht="15" thickBot="1" x14ac:dyDescent="0.4">
      <c r="H598" s="9"/>
      <c r="I598" s="9"/>
    </row>
    <row r="599" spans="8:9" ht="15" thickBot="1" x14ac:dyDescent="0.4">
      <c r="H599" s="9"/>
      <c r="I599" s="9"/>
    </row>
    <row r="600" spans="8:9" ht="15" thickBot="1" x14ac:dyDescent="0.4">
      <c r="H600" s="9"/>
      <c r="I600" s="9"/>
    </row>
    <row r="601" spans="8:9" ht="15" thickBot="1" x14ac:dyDescent="0.4">
      <c r="H601" s="9"/>
      <c r="I601" s="9"/>
    </row>
    <row r="602" spans="8:9" ht="15" thickBot="1" x14ac:dyDescent="0.4">
      <c r="H602" s="9"/>
      <c r="I602" s="9"/>
    </row>
    <row r="603" spans="8:9" ht="15" thickBot="1" x14ac:dyDescent="0.4">
      <c r="H603" s="9"/>
      <c r="I603" s="9"/>
    </row>
    <row r="604" spans="8:9" ht="15" thickBot="1" x14ac:dyDescent="0.4">
      <c r="H604" s="9"/>
      <c r="I604" s="9"/>
    </row>
    <row r="605" spans="8:9" ht="15" thickBot="1" x14ac:dyDescent="0.4">
      <c r="H605" s="9"/>
      <c r="I605" s="9"/>
    </row>
    <row r="606" spans="8:9" ht="15" thickBot="1" x14ac:dyDescent="0.4">
      <c r="H606" s="9"/>
      <c r="I606" s="9"/>
    </row>
    <row r="607" spans="8:9" ht="15" thickBot="1" x14ac:dyDescent="0.4">
      <c r="H607" s="9"/>
      <c r="I607" s="9"/>
    </row>
    <row r="608" spans="8:9" ht="15" thickBot="1" x14ac:dyDescent="0.4">
      <c r="H608" s="9"/>
      <c r="I608" s="9"/>
    </row>
    <row r="609" spans="8:9" ht="15" thickBot="1" x14ac:dyDescent="0.4">
      <c r="H609" s="9"/>
      <c r="I609" s="9"/>
    </row>
    <row r="610" spans="8:9" ht="15" thickBot="1" x14ac:dyDescent="0.4">
      <c r="H610" s="9"/>
      <c r="I610" s="9"/>
    </row>
    <row r="611" spans="8:9" ht="15" thickBot="1" x14ac:dyDescent="0.4">
      <c r="H611" s="9"/>
      <c r="I611" s="9"/>
    </row>
    <row r="612" spans="8:9" ht="15" thickBot="1" x14ac:dyDescent="0.4">
      <c r="H612" s="9"/>
      <c r="I612" s="9"/>
    </row>
    <row r="613" spans="8:9" ht="15" thickBot="1" x14ac:dyDescent="0.4">
      <c r="H613" s="9"/>
      <c r="I613" s="9"/>
    </row>
    <row r="614" spans="8:9" ht="15" thickBot="1" x14ac:dyDescent="0.4">
      <c r="H614" s="9"/>
      <c r="I614" s="9"/>
    </row>
    <row r="615" spans="8:9" ht="15" thickBot="1" x14ac:dyDescent="0.4">
      <c r="H615" s="9"/>
      <c r="I615" s="9"/>
    </row>
    <row r="616" spans="8:9" ht="15" thickBot="1" x14ac:dyDescent="0.4">
      <c r="H616" s="9"/>
      <c r="I616" s="9"/>
    </row>
    <row r="617" spans="8:9" ht="15" thickBot="1" x14ac:dyDescent="0.4">
      <c r="H617" s="9"/>
      <c r="I617" s="9"/>
    </row>
    <row r="618" spans="8:9" ht="15" thickBot="1" x14ac:dyDescent="0.4">
      <c r="H618" s="9"/>
      <c r="I618" s="9"/>
    </row>
    <row r="619" spans="8:9" ht="15" thickBot="1" x14ac:dyDescent="0.4">
      <c r="H619" s="9"/>
      <c r="I619" s="9"/>
    </row>
    <row r="620" spans="8:9" ht="15" thickBot="1" x14ac:dyDescent="0.4">
      <c r="H620" s="9"/>
      <c r="I620" s="9"/>
    </row>
    <row r="621" spans="8:9" ht="15" thickBot="1" x14ac:dyDescent="0.4">
      <c r="H621" s="9"/>
      <c r="I621" s="9"/>
    </row>
    <row r="622" spans="8:9" ht="15" thickBot="1" x14ac:dyDescent="0.4">
      <c r="H622" s="9"/>
      <c r="I622" s="9"/>
    </row>
    <row r="623" spans="8:9" ht="15" thickBot="1" x14ac:dyDescent="0.4">
      <c r="H623" s="9"/>
      <c r="I623" s="9"/>
    </row>
    <row r="624" spans="8:9" ht="15" thickBot="1" x14ac:dyDescent="0.4">
      <c r="H624" s="9"/>
      <c r="I624" s="9"/>
    </row>
    <row r="625" spans="8:9" ht="15" thickBot="1" x14ac:dyDescent="0.4">
      <c r="H625" s="9"/>
      <c r="I625" s="9"/>
    </row>
    <row r="626" spans="8:9" ht="15" thickBot="1" x14ac:dyDescent="0.4">
      <c r="H626" s="9"/>
      <c r="I626" s="9"/>
    </row>
    <row r="627" spans="8:9" ht="15" thickBot="1" x14ac:dyDescent="0.4">
      <c r="H627" s="9"/>
      <c r="I627" s="9"/>
    </row>
    <row r="628" spans="8:9" ht="15" thickBot="1" x14ac:dyDescent="0.4">
      <c r="H628" s="9"/>
      <c r="I628" s="9"/>
    </row>
    <row r="629" spans="8:9" ht="15" thickBot="1" x14ac:dyDescent="0.4">
      <c r="H629" s="9"/>
      <c r="I629" s="9"/>
    </row>
    <row r="630" spans="8:9" ht="15" thickBot="1" x14ac:dyDescent="0.4">
      <c r="H630" s="9"/>
      <c r="I630" s="9"/>
    </row>
    <row r="631" spans="8:9" ht="15" thickBot="1" x14ac:dyDescent="0.4">
      <c r="H631" s="9"/>
      <c r="I631" s="9"/>
    </row>
    <row r="632" spans="8:9" ht="15" thickBot="1" x14ac:dyDescent="0.4">
      <c r="H632" s="9"/>
      <c r="I632" s="9"/>
    </row>
    <row r="633" spans="8:9" ht="15" thickBot="1" x14ac:dyDescent="0.4">
      <c r="H633" s="9"/>
      <c r="I633" s="9"/>
    </row>
    <row r="634" spans="8:9" ht="15" thickBot="1" x14ac:dyDescent="0.4">
      <c r="H634" s="9"/>
      <c r="I634" s="9"/>
    </row>
    <row r="635" spans="8:9" ht="15" thickBot="1" x14ac:dyDescent="0.4">
      <c r="H635" s="9"/>
      <c r="I635" s="9"/>
    </row>
    <row r="636" spans="8:9" ht="15" thickBot="1" x14ac:dyDescent="0.4">
      <c r="H636" s="9"/>
      <c r="I636" s="9"/>
    </row>
    <row r="637" spans="8:9" ht="15" thickBot="1" x14ac:dyDescent="0.4">
      <c r="H637" s="9"/>
      <c r="I637" s="9"/>
    </row>
    <row r="638" spans="8:9" ht="15" thickBot="1" x14ac:dyDescent="0.4">
      <c r="H638" s="9"/>
      <c r="I638" s="9"/>
    </row>
    <row r="639" spans="8:9" ht="15" thickBot="1" x14ac:dyDescent="0.4">
      <c r="H639" s="9"/>
      <c r="I639" s="9"/>
    </row>
    <row r="640" spans="8:9" ht="15" thickBot="1" x14ac:dyDescent="0.4">
      <c r="H640" s="9"/>
      <c r="I640" s="9"/>
    </row>
    <row r="641" spans="8:9" ht="15" thickBot="1" x14ac:dyDescent="0.4">
      <c r="H641" s="9"/>
      <c r="I641" s="9"/>
    </row>
    <row r="642" spans="8:9" ht="15" thickBot="1" x14ac:dyDescent="0.4">
      <c r="H642" s="9"/>
      <c r="I642" s="9"/>
    </row>
    <row r="643" spans="8:9" ht="15" thickBot="1" x14ac:dyDescent="0.4">
      <c r="H643" s="9"/>
      <c r="I643" s="9"/>
    </row>
    <row r="644" spans="8:9" ht="15" thickBot="1" x14ac:dyDescent="0.4">
      <c r="H644" s="9"/>
      <c r="I644" s="9"/>
    </row>
    <row r="645" spans="8:9" ht="15" thickBot="1" x14ac:dyDescent="0.4">
      <c r="H645" s="9"/>
      <c r="I645" s="9"/>
    </row>
    <row r="646" spans="8:9" ht="15" thickBot="1" x14ac:dyDescent="0.4">
      <c r="H646" s="9"/>
      <c r="I646" s="9"/>
    </row>
    <row r="647" spans="8:9" ht="15" thickBot="1" x14ac:dyDescent="0.4">
      <c r="H647" s="9"/>
      <c r="I647" s="9"/>
    </row>
    <row r="648" spans="8:9" ht="15" thickBot="1" x14ac:dyDescent="0.4">
      <c r="H648" s="9"/>
      <c r="I648" s="9"/>
    </row>
    <row r="649" spans="8:9" ht="15" thickBot="1" x14ac:dyDescent="0.4">
      <c r="H649" s="9"/>
      <c r="I649" s="9"/>
    </row>
    <row r="650" spans="8:9" ht="15" thickBot="1" x14ac:dyDescent="0.4">
      <c r="H650" s="9"/>
      <c r="I650" s="9"/>
    </row>
    <row r="651" spans="8:9" ht="15" thickBot="1" x14ac:dyDescent="0.4">
      <c r="H651" s="9"/>
      <c r="I651" s="9"/>
    </row>
    <row r="652" spans="8:9" ht="15" thickBot="1" x14ac:dyDescent="0.4">
      <c r="H652" s="9"/>
      <c r="I652" s="9"/>
    </row>
    <row r="653" spans="8:9" ht="15" thickBot="1" x14ac:dyDescent="0.4">
      <c r="H653" s="9"/>
      <c r="I653" s="9"/>
    </row>
    <row r="654" spans="8:9" ht="15" thickBot="1" x14ac:dyDescent="0.4">
      <c r="H654" s="9"/>
      <c r="I654" s="9"/>
    </row>
    <row r="655" spans="8:9" ht="15" thickBot="1" x14ac:dyDescent="0.4">
      <c r="H655" s="9"/>
      <c r="I655" s="9"/>
    </row>
    <row r="656" spans="8:9" ht="15" thickBot="1" x14ac:dyDescent="0.4">
      <c r="H656" s="9"/>
      <c r="I656" s="9"/>
    </row>
    <row r="657" spans="8:9" ht="15" thickBot="1" x14ac:dyDescent="0.4">
      <c r="H657" s="9"/>
      <c r="I657" s="9"/>
    </row>
    <row r="658" spans="8:9" ht="15" thickBot="1" x14ac:dyDescent="0.4">
      <c r="H658" s="9"/>
      <c r="I658" s="9"/>
    </row>
    <row r="659" spans="8:9" ht="15" thickBot="1" x14ac:dyDescent="0.4">
      <c r="H659" s="9"/>
      <c r="I659" s="9"/>
    </row>
    <row r="660" spans="8:9" ht="15" thickBot="1" x14ac:dyDescent="0.4">
      <c r="H660" s="9"/>
      <c r="I660" s="9"/>
    </row>
    <row r="661" spans="8:9" ht="15" thickBot="1" x14ac:dyDescent="0.4">
      <c r="H661" s="9"/>
      <c r="I661" s="9"/>
    </row>
    <row r="662" spans="8:9" ht="15" thickBot="1" x14ac:dyDescent="0.4">
      <c r="H662" s="9"/>
      <c r="I662" s="9"/>
    </row>
    <row r="663" spans="8:9" ht="15" thickBot="1" x14ac:dyDescent="0.4">
      <c r="H663" s="9"/>
      <c r="I663" s="9"/>
    </row>
    <row r="664" spans="8:9" ht="15" thickBot="1" x14ac:dyDescent="0.4">
      <c r="H664" s="9"/>
      <c r="I664" s="9"/>
    </row>
    <row r="665" spans="8:9" ht="15" thickBot="1" x14ac:dyDescent="0.4">
      <c r="H665" s="9"/>
      <c r="I665" s="9"/>
    </row>
    <row r="666" spans="8:9" ht="15" thickBot="1" x14ac:dyDescent="0.4">
      <c r="H666" s="9"/>
      <c r="I666" s="9"/>
    </row>
    <row r="667" spans="8:9" ht="15" thickBot="1" x14ac:dyDescent="0.4">
      <c r="H667" s="9"/>
      <c r="I667" s="9"/>
    </row>
    <row r="668" spans="8:9" ht="15" thickBot="1" x14ac:dyDescent="0.4">
      <c r="H668" s="9"/>
      <c r="I668" s="9"/>
    </row>
    <row r="669" spans="8:9" ht="15" thickBot="1" x14ac:dyDescent="0.4">
      <c r="H669" s="9"/>
      <c r="I669" s="9"/>
    </row>
    <row r="670" spans="8:9" ht="15" thickBot="1" x14ac:dyDescent="0.4">
      <c r="H670" s="9"/>
      <c r="I670" s="9"/>
    </row>
    <row r="671" spans="8:9" ht="15" thickBot="1" x14ac:dyDescent="0.4">
      <c r="H671" s="9"/>
      <c r="I671" s="9"/>
    </row>
    <row r="672" spans="8:9" ht="15" thickBot="1" x14ac:dyDescent="0.4">
      <c r="H672" s="9"/>
      <c r="I672" s="9"/>
    </row>
    <row r="673" spans="8:9" ht="15" thickBot="1" x14ac:dyDescent="0.4">
      <c r="H673" s="9"/>
      <c r="I673" s="9"/>
    </row>
    <row r="674" spans="8:9" ht="15" thickBot="1" x14ac:dyDescent="0.4">
      <c r="H674" s="9"/>
      <c r="I674" s="9"/>
    </row>
    <row r="675" spans="8:9" ht="15" thickBot="1" x14ac:dyDescent="0.4">
      <c r="H675" s="9"/>
      <c r="I675" s="9"/>
    </row>
    <row r="676" spans="8:9" ht="15" thickBot="1" x14ac:dyDescent="0.4">
      <c r="H676" s="9"/>
      <c r="I676" s="9"/>
    </row>
    <row r="677" spans="8:9" ht="15" thickBot="1" x14ac:dyDescent="0.4">
      <c r="H677" s="9"/>
      <c r="I677" s="9"/>
    </row>
    <row r="678" spans="8:9" ht="15" thickBot="1" x14ac:dyDescent="0.4">
      <c r="H678" s="9"/>
      <c r="I678" s="9"/>
    </row>
    <row r="679" spans="8:9" ht="15" thickBot="1" x14ac:dyDescent="0.4">
      <c r="H679" s="9"/>
      <c r="I679" s="9"/>
    </row>
    <row r="680" spans="8:9" ht="15" thickBot="1" x14ac:dyDescent="0.4">
      <c r="H680" s="9"/>
      <c r="I680" s="9"/>
    </row>
    <row r="681" spans="8:9" ht="15" thickBot="1" x14ac:dyDescent="0.4">
      <c r="H681" s="9"/>
      <c r="I681" s="9"/>
    </row>
    <row r="682" spans="8:9" ht="15" thickBot="1" x14ac:dyDescent="0.4">
      <c r="H682" s="9"/>
      <c r="I682" s="9"/>
    </row>
    <row r="683" spans="8:9" ht="15" thickBot="1" x14ac:dyDescent="0.4">
      <c r="H683" s="9"/>
      <c r="I683" s="9"/>
    </row>
    <row r="684" spans="8:9" ht="15" thickBot="1" x14ac:dyDescent="0.4">
      <c r="H684" s="9"/>
      <c r="I684" s="9"/>
    </row>
    <row r="685" spans="8:9" ht="15" thickBot="1" x14ac:dyDescent="0.4">
      <c r="H685" s="9"/>
      <c r="I685" s="9"/>
    </row>
    <row r="686" spans="8:9" ht="15" thickBot="1" x14ac:dyDescent="0.4">
      <c r="H686" s="9"/>
      <c r="I686" s="9"/>
    </row>
    <row r="687" spans="8:9" ht="15" thickBot="1" x14ac:dyDescent="0.4">
      <c r="H687" s="9"/>
      <c r="I687" s="9"/>
    </row>
    <row r="688" spans="8:9" ht="15" thickBot="1" x14ac:dyDescent="0.4">
      <c r="H688" s="9"/>
      <c r="I688" s="9"/>
    </row>
    <row r="689" spans="8:9" ht="15" thickBot="1" x14ac:dyDescent="0.4">
      <c r="H689" s="9"/>
      <c r="I689" s="9"/>
    </row>
    <row r="690" spans="8:9" ht="15" thickBot="1" x14ac:dyDescent="0.4">
      <c r="H690" s="9"/>
      <c r="I690" s="9"/>
    </row>
    <row r="691" spans="8:9" ht="15" thickBot="1" x14ac:dyDescent="0.4">
      <c r="H691" s="9"/>
      <c r="I691" s="9"/>
    </row>
    <row r="692" spans="8:9" ht="15" thickBot="1" x14ac:dyDescent="0.4">
      <c r="H692" s="9"/>
      <c r="I692" s="9"/>
    </row>
    <row r="693" spans="8:9" ht="15" thickBot="1" x14ac:dyDescent="0.4">
      <c r="H693" s="9"/>
      <c r="I693" s="9"/>
    </row>
    <row r="694" spans="8:9" ht="15" thickBot="1" x14ac:dyDescent="0.4">
      <c r="H694" s="9"/>
      <c r="I694" s="9"/>
    </row>
    <row r="695" spans="8:9" ht="15" thickBot="1" x14ac:dyDescent="0.4">
      <c r="H695" s="9"/>
      <c r="I695" s="9"/>
    </row>
    <row r="696" spans="8:9" ht="15" thickBot="1" x14ac:dyDescent="0.4">
      <c r="H696" s="9"/>
      <c r="I696" s="9"/>
    </row>
    <row r="697" spans="8:9" ht="15" thickBot="1" x14ac:dyDescent="0.4">
      <c r="H697" s="9"/>
      <c r="I697" s="9"/>
    </row>
    <row r="698" spans="8:9" ht="15" thickBot="1" x14ac:dyDescent="0.4">
      <c r="H698" s="9"/>
      <c r="I698" s="9"/>
    </row>
    <row r="699" spans="8:9" ht="15" thickBot="1" x14ac:dyDescent="0.4">
      <c r="H699" s="9"/>
      <c r="I699" s="9"/>
    </row>
    <row r="700" spans="8:9" ht="15" thickBot="1" x14ac:dyDescent="0.4">
      <c r="H700" s="9"/>
      <c r="I700" s="9"/>
    </row>
    <row r="701" spans="8:9" ht="15" thickBot="1" x14ac:dyDescent="0.4">
      <c r="H701" s="9"/>
      <c r="I701" s="9"/>
    </row>
    <row r="702" spans="8:9" ht="15" thickBot="1" x14ac:dyDescent="0.4">
      <c r="H702" s="9"/>
      <c r="I702" s="9"/>
    </row>
    <row r="703" spans="8:9" ht="15" thickBot="1" x14ac:dyDescent="0.4">
      <c r="H703" s="9"/>
      <c r="I703" s="9"/>
    </row>
    <row r="704" spans="8:9" ht="15" thickBot="1" x14ac:dyDescent="0.4">
      <c r="H704" s="9"/>
      <c r="I704" s="9"/>
    </row>
    <row r="705" spans="8:9" ht="15" thickBot="1" x14ac:dyDescent="0.4">
      <c r="H705" s="9"/>
      <c r="I705" s="9"/>
    </row>
    <row r="706" spans="8:9" ht="15" thickBot="1" x14ac:dyDescent="0.4">
      <c r="H706" s="9"/>
      <c r="I706" s="9"/>
    </row>
    <row r="707" spans="8:9" ht="15" thickBot="1" x14ac:dyDescent="0.4">
      <c r="H707" s="9"/>
      <c r="I707" s="9"/>
    </row>
    <row r="708" spans="8:9" ht="15" thickBot="1" x14ac:dyDescent="0.4">
      <c r="H708" s="9"/>
      <c r="I708" s="9"/>
    </row>
    <row r="709" spans="8:9" ht="15" thickBot="1" x14ac:dyDescent="0.4">
      <c r="H709" s="9"/>
      <c r="I709" s="9"/>
    </row>
    <row r="710" spans="8:9" ht="15" thickBot="1" x14ac:dyDescent="0.4">
      <c r="H710" s="9"/>
      <c r="I710" s="9"/>
    </row>
    <row r="711" spans="8:9" ht="15" thickBot="1" x14ac:dyDescent="0.4">
      <c r="H711" s="9"/>
      <c r="I711" s="9"/>
    </row>
    <row r="712" spans="8:9" ht="15" thickBot="1" x14ac:dyDescent="0.4">
      <c r="H712" s="9"/>
      <c r="I712" s="9"/>
    </row>
    <row r="713" spans="8:9" ht="15" thickBot="1" x14ac:dyDescent="0.4">
      <c r="H713" s="9"/>
      <c r="I713" s="9"/>
    </row>
    <row r="714" spans="8:9" ht="15" thickBot="1" x14ac:dyDescent="0.4">
      <c r="H714" s="9"/>
      <c r="I714" s="9"/>
    </row>
    <row r="715" spans="8:9" ht="15" thickBot="1" x14ac:dyDescent="0.4">
      <c r="H715" s="9"/>
      <c r="I715" s="9"/>
    </row>
    <row r="716" spans="8:9" ht="15" thickBot="1" x14ac:dyDescent="0.4">
      <c r="H716" s="9"/>
      <c r="I716" s="9"/>
    </row>
    <row r="717" spans="8:9" ht="15" thickBot="1" x14ac:dyDescent="0.4">
      <c r="H717" s="9"/>
      <c r="I717" s="9"/>
    </row>
    <row r="718" spans="8:9" ht="15" thickBot="1" x14ac:dyDescent="0.4">
      <c r="H718" s="9"/>
      <c r="I718" s="9"/>
    </row>
    <row r="719" spans="8:9" ht="15" thickBot="1" x14ac:dyDescent="0.4">
      <c r="H719" s="9"/>
      <c r="I719" s="9"/>
    </row>
    <row r="720" spans="8:9" ht="15" thickBot="1" x14ac:dyDescent="0.4">
      <c r="H720" s="9"/>
      <c r="I720" s="9"/>
    </row>
    <row r="721" spans="8:9" ht="15" thickBot="1" x14ac:dyDescent="0.4">
      <c r="H721" s="9"/>
      <c r="I721" s="9"/>
    </row>
    <row r="722" spans="8:9" ht="15" thickBot="1" x14ac:dyDescent="0.4">
      <c r="H722" s="9"/>
      <c r="I722" s="9"/>
    </row>
    <row r="723" spans="8:9" ht="15" thickBot="1" x14ac:dyDescent="0.4">
      <c r="H723" s="9"/>
      <c r="I723" s="9"/>
    </row>
    <row r="724" spans="8:9" ht="15" thickBot="1" x14ac:dyDescent="0.4">
      <c r="H724" s="9"/>
      <c r="I724" s="9"/>
    </row>
    <row r="725" spans="8:9" ht="15" thickBot="1" x14ac:dyDescent="0.4">
      <c r="H725" s="9"/>
      <c r="I725" s="9"/>
    </row>
    <row r="726" spans="8:9" ht="15" thickBot="1" x14ac:dyDescent="0.4">
      <c r="H726" s="9"/>
      <c r="I726" s="9"/>
    </row>
    <row r="727" spans="8:9" ht="15" thickBot="1" x14ac:dyDescent="0.4">
      <c r="H727" s="9"/>
      <c r="I727" s="9"/>
    </row>
    <row r="728" spans="8:9" ht="15" thickBot="1" x14ac:dyDescent="0.4">
      <c r="H728" s="9"/>
      <c r="I728" s="9"/>
    </row>
    <row r="729" spans="8:9" ht="15" thickBot="1" x14ac:dyDescent="0.4">
      <c r="H729" s="9"/>
      <c r="I729" s="9"/>
    </row>
    <row r="730" spans="8:9" ht="15" thickBot="1" x14ac:dyDescent="0.4">
      <c r="H730" s="9"/>
      <c r="I730" s="9"/>
    </row>
    <row r="731" spans="8:9" ht="15" thickBot="1" x14ac:dyDescent="0.4">
      <c r="H731" s="9"/>
      <c r="I731" s="9"/>
    </row>
    <row r="732" spans="8:9" ht="15" thickBot="1" x14ac:dyDescent="0.4">
      <c r="H732" s="9"/>
      <c r="I732" s="9"/>
    </row>
    <row r="733" spans="8:9" ht="15" thickBot="1" x14ac:dyDescent="0.4">
      <c r="H733" s="9"/>
      <c r="I733" s="9"/>
    </row>
    <row r="734" spans="8:9" ht="15" thickBot="1" x14ac:dyDescent="0.4">
      <c r="H734" s="9"/>
      <c r="I734" s="9"/>
    </row>
    <row r="735" spans="8:9" ht="15" thickBot="1" x14ac:dyDescent="0.4">
      <c r="H735" s="9"/>
      <c r="I735" s="9"/>
    </row>
    <row r="736" spans="8:9" ht="15" thickBot="1" x14ac:dyDescent="0.4">
      <c r="H736" s="9"/>
      <c r="I736" s="9"/>
    </row>
    <row r="737" spans="8:9" ht="15" thickBot="1" x14ac:dyDescent="0.4">
      <c r="H737" s="9"/>
      <c r="I737" s="9"/>
    </row>
    <row r="738" spans="8:9" ht="15" thickBot="1" x14ac:dyDescent="0.4">
      <c r="H738" s="9"/>
      <c r="I738" s="9"/>
    </row>
    <row r="739" spans="8:9" ht="15" thickBot="1" x14ac:dyDescent="0.4">
      <c r="H739" s="9"/>
      <c r="I739" s="9"/>
    </row>
    <row r="740" spans="8:9" ht="15" thickBot="1" x14ac:dyDescent="0.4">
      <c r="H740" s="9"/>
      <c r="I740" s="9"/>
    </row>
    <row r="741" spans="8:9" ht="15" thickBot="1" x14ac:dyDescent="0.4">
      <c r="H741" s="9"/>
      <c r="I741" s="9"/>
    </row>
    <row r="742" spans="8:9" ht="15" thickBot="1" x14ac:dyDescent="0.4">
      <c r="H742" s="9"/>
      <c r="I742" s="9"/>
    </row>
    <row r="743" spans="8:9" ht="15" thickBot="1" x14ac:dyDescent="0.4">
      <c r="H743" s="9"/>
      <c r="I743" s="9"/>
    </row>
    <row r="744" spans="8:9" ht="15" thickBot="1" x14ac:dyDescent="0.4">
      <c r="H744" s="9"/>
      <c r="I744" s="9"/>
    </row>
    <row r="745" spans="8:9" ht="15" thickBot="1" x14ac:dyDescent="0.4">
      <c r="H745" s="9"/>
      <c r="I745" s="9"/>
    </row>
    <row r="746" spans="8:9" ht="15" thickBot="1" x14ac:dyDescent="0.4">
      <c r="H746" s="9"/>
      <c r="I746" s="9"/>
    </row>
    <row r="747" spans="8:9" ht="15" thickBot="1" x14ac:dyDescent="0.4">
      <c r="H747" s="9"/>
      <c r="I747" s="9"/>
    </row>
    <row r="748" spans="8:9" ht="15" thickBot="1" x14ac:dyDescent="0.4">
      <c r="H748" s="9"/>
      <c r="I748" s="9"/>
    </row>
    <row r="749" spans="8:9" ht="15" thickBot="1" x14ac:dyDescent="0.4">
      <c r="H749" s="9"/>
      <c r="I749" s="9"/>
    </row>
    <row r="750" spans="8:9" ht="15" thickBot="1" x14ac:dyDescent="0.4">
      <c r="H750" s="9"/>
      <c r="I750" s="9"/>
    </row>
    <row r="751" spans="8:9" ht="15" thickBot="1" x14ac:dyDescent="0.4">
      <c r="H751" s="9"/>
      <c r="I751" s="9"/>
    </row>
    <row r="752" spans="8:9" ht="15" thickBot="1" x14ac:dyDescent="0.4">
      <c r="H752" s="9"/>
      <c r="I752" s="9"/>
    </row>
    <row r="753" spans="8:9" ht="15" thickBot="1" x14ac:dyDescent="0.4">
      <c r="H753" s="9"/>
      <c r="I753" s="9"/>
    </row>
    <row r="754" spans="8:9" ht="15" thickBot="1" x14ac:dyDescent="0.4">
      <c r="H754" s="9"/>
      <c r="I754" s="9"/>
    </row>
    <row r="755" spans="8:9" ht="15" thickBot="1" x14ac:dyDescent="0.4">
      <c r="H755" s="9"/>
      <c r="I755" s="9"/>
    </row>
    <row r="756" spans="8:9" ht="15" thickBot="1" x14ac:dyDescent="0.4">
      <c r="H756" s="9"/>
      <c r="I756" s="9"/>
    </row>
    <row r="757" spans="8:9" ht="15" thickBot="1" x14ac:dyDescent="0.4">
      <c r="H757" s="9"/>
      <c r="I757" s="9"/>
    </row>
    <row r="758" spans="8:9" ht="15" thickBot="1" x14ac:dyDescent="0.4">
      <c r="H758" s="9"/>
      <c r="I758" s="9"/>
    </row>
    <row r="759" spans="8:9" ht="15" thickBot="1" x14ac:dyDescent="0.4">
      <c r="H759" s="9"/>
      <c r="I759" s="9"/>
    </row>
    <row r="760" spans="8:9" ht="15" thickBot="1" x14ac:dyDescent="0.4">
      <c r="H760" s="9"/>
      <c r="I760" s="9"/>
    </row>
    <row r="761" spans="8:9" ht="15" thickBot="1" x14ac:dyDescent="0.4">
      <c r="H761" s="9"/>
      <c r="I761" s="9"/>
    </row>
    <row r="762" spans="8:9" ht="15" thickBot="1" x14ac:dyDescent="0.4">
      <c r="H762" s="9"/>
      <c r="I762" s="9"/>
    </row>
    <row r="763" spans="8:9" ht="15" thickBot="1" x14ac:dyDescent="0.4">
      <c r="H763" s="9"/>
      <c r="I763" s="9"/>
    </row>
    <row r="764" spans="8:9" ht="15" thickBot="1" x14ac:dyDescent="0.4">
      <c r="H764" s="9"/>
      <c r="I764" s="9"/>
    </row>
    <row r="765" spans="8:9" ht="15" thickBot="1" x14ac:dyDescent="0.4">
      <c r="H765" s="9"/>
      <c r="I765" s="9"/>
    </row>
    <row r="766" spans="8:9" ht="15" thickBot="1" x14ac:dyDescent="0.4">
      <c r="H766" s="9"/>
      <c r="I766" s="9"/>
    </row>
    <row r="767" spans="8:9" ht="15" thickBot="1" x14ac:dyDescent="0.4">
      <c r="H767" s="9"/>
      <c r="I767" s="9"/>
    </row>
    <row r="768" spans="8:9" ht="15" thickBot="1" x14ac:dyDescent="0.4">
      <c r="H768" s="9"/>
      <c r="I768" s="9"/>
    </row>
    <row r="769" spans="8:9" ht="15" thickBot="1" x14ac:dyDescent="0.4">
      <c r="H769" s="9"/>
      <c r="I769" s="9"/>
    </row>
    <row r="770" spans="8:9" ht="15" thickBot="1" x14ac:dyDescent="0.4">
      <c r="H770" s="9"/>
      <c r="I770" s="9"/>
    </row>
    <row r="771" spans="8:9" ht="15" thickBot="1" x14ac:dyDescent="0.4">
      <c r="H771" s="9"/>
      <c r="I771" s="9"/>
    </row>
    <row r="772" spans="8:9" ht="15" thickBot="1" x14ac:dyDescent="0.4">
      <c r="H772" s="9"/>
      <c r="I772" s="9"/>
    </row>
    <row r="773" spans="8:9" ht="15" thickBot="1" x14ac:dyDescent="0.4">
      <c r="H773" s="9"/>
      <c r="I773" s="9"/>
    </row>
    <row r="774" spans="8:9" ht="15" thickBot="1" x14ac:dyDescent="0.4">
      <c r="H774" s="9"/>
      <c r="I774" s="9"/>
    </row>
    <row r="775" spans="8:9" ht="15" thickBot="1" x14ac:dyDescent="0.4">
      <c r="H775" s="9"/>
      <c r="I775" s="9"/>
    </row>
    <row r="776" spans="8:9" ht="15" thickBot="1" x14ac:dyDescent="0.4">
      <c r="H776" s="9"/>
      <c r="I776" s="9"/>
    </row>
    <row r="777" spans="8:9" ht="15" thickBot="1" x14ac:dyDescent="0.4">
      <c r="H777" s="9"/>
      <c r="I777" s="9"/>
    </row>
    <row r="778" spans="8:9" ht="15" thickBot="1" x14ac:dyDescent="0.4">
      <c r="H778" s="9"/>
      <c r="I778" s="9"/>
    </row>
    <row r="779" spans="8:9" ht="15" thickBot="1" x14ac:dyDescent="0.4">
      <c r="H779" s="9"/>
      <c r="I779" s="9"/>
    </row>
    <row r="780" spans="8:9" ht="15" thickBot="1" x14ac:dyDescent="0.4">
      <c r="H780" s="9"/>
      <c r="I780" s="9"/>
    </row>
    <row r="781" spans="8:9" ht="15" thickBot="1" x14ac:dyDescent="0.4">
      <c r="H781" s="9"/>
      <c r="I781" s="9"/>
    </row>
    <row r="782" spans="8:9" ht="15" thickBot="1" x14ac:dyDescent="0.4">
      <c r="H782" s="9"/>
      <c r="I782" s="9"/>
    </row>
    <row r="783" spans="8:9" ht="15" thickBot="1" x14ac:dyDescent="0.4">
      <c r="H783" s="9"/>
      <c r="I783" s="9"/>
    </row>
    <row r="784" spans="8:9" ht="15" thickBot="1" x14ac:dyDescent="0.4">
      <c r="H784" s="9"/>
      <c r="I784" s="9"/>
    </row>
    <row r="785" spans="8:9" ht="15" thickBot="1" x14ac:dyDescent="0.4">
      <c r="H785" s="9"/>
      <c r="I785" s="9"/>
    </row>
    <row r="786" spans="8:9" ht="15" thickBot="1" x14ac:dyDescent="0.4">
      <c r="H786" s="9"/>
      <c r="I786" s="9"/>
    </row>
    <row r="787" spans="8:9" ht="15" thickBot="1" x14ac:dyDescent="0.4">
      <c r="H787" s="9"/>
      <c r="I787" s="9"/>
    </row>
    <row r="788" spans="8:9" ht="15" thickBot="1" x14ac:dyDescent="0.4">
      <c r="H788" s="9"/>
      <c r="I788" s="9"/>
    </row>
    <row r="789" spans="8:9" ht="15" thickBot="1" x14ac:dyDescent="0.4">
      <c r="H789" s="9"/>
      <c r="I789" s="9"/>
    </row>
    <row r="790" spans="8:9" ht="15" thickBot="1" x14ac:dyDescent="0.4">
      <c r="H790" s="9"/>
      <c r="I790" s="9"/>
    </row>
    <row r="791" spans="8:9" ht="15" thickBot="1" x14ac:dyDescent="0.4">
      <c r="H791" s="9"/>
      <c r="I791" s="9"/>
    </row>
    <row r="792" spans="8:9" ht="15" thickBot="1" x14ac:dyDescent="0.4">
      <c r="H792" s="9"/>
      <c r="I792" s="9"/>
    </row>
    <row r="793" spans="8:9" ht="15" thickBot="1" x14ac:dyDescent="0.4">
      <c r="H793" s="9"/>
      <c r="I793" s="9"/>
    </row>
    <row r="794" spans="8:9" ht="15" thickBot="1" x14ac:dyDescent="0.4">
      <c r="H794" s="9"/>
      <c r="I794" s="9"/>
    </row>
    <row r="795" spans="8:9" ht="15" thickBot="1" x14ac:dyDescent="0.4">
      <c r="H795" s="9"/>
      <c r="I795" s="9"/>
    </row>
    <row r="796" spans="8:9" ht="15" thickBot="1" x14ac:dyDescent="0.4">
      <c r="H796" s="9"/>
      <c r="I796" s="9"/>
    </row>
    <row r="797" spans="8:9" ht="15" thickBot="1" x14ac:dyDescent="0.4">
      <c r="H797" s="9"/>
      <c r="I797" s="9"/>
    </row>
    <row r="798" spans="8:9" ht="15" thickBot="1" x14ac:dyDescent="0.4">
      <c r="H798" s="9"/>
      <c r="I798" s="9"/>
    </row>
    <row r="799" spans="8:9" ht="15" thickBot="1" x14ac:dyDescent="0.4">
      <c r="H799" s="9"/>
      <c r="I799" s="9"/>
    </row>
    <row r="800" spans="8:9" ht="15" thickBot="1" x14ac:dyDescent="0.4">
      <c r="H800" s="9"/>
      <c r="I800" s="9"/>
    </row>
    <row r="801" spans="8:9" ht="15" thickBot="1" x14ac:dyDescent="0.4">
      <c r="H801" s="9"/>
      <c r="I801" s="9"/>
    </row>
    <row r="802" spans="8:9" ht="15" thickBot="1" x14ac:dyDescent="0.4">
      <c r="H802" s="9"/>
      <c r="I802" s="9"/>
    </row>
    <row r="803" spans="8:9" ht="15" thickBot="1" x14ac:dyDescent="0.4">
      <c r="H803" s="9"/>
      <c r="I803" s="9"/>
    </row>
    <row r="804" spans="8:9" ht="15" thickBot="1" x14ac:dyDescent="0.4">
      <c r="H804" s="9"/>
      <c r="I804" s="9"/>
    </row>
    <row r="805" spans="8:9" ht="15" thickBot="1" x14ac:dyDescent="0.4">
      <c r="H805" s="9"/>
      <c r="I805" s="9"/>
    </row>
    <row r="806" spans="8:9" ht="15" thickBot="1" x14ac:dyDescent="0.4">
      <c r="H806" s="9"/>
      <c r="I806" s="9"/>
    </row>
    <row r="807" spans="8:9" ht="15" thickBot="1" x14ac:dyDescent="0.4">
      <c r="H807" s="9"/>
      <c r="I807" s="9"/>
    </row>
    <row r="808" spans="8:9" ht="15" thickBot="1" x14ac:dyDescent="0.4">
      <c r="H808" s="9"/>
      <c r="I808" s="9"/>
    </row>
    <row r="809" spans="8:9" ht="15" thickBot="1" x14ac:dyDescent="0.4">
      <c r="H809" s="9"/>
      <c r="I809" s="9"/>
    </row>
    <row r="810" spans="8:9" ht="15" thickBot="1" x14ac:dyDescent="0.4">
      <c r="H810" s="9"/>
      <c r="I810" s="9"/>
    </row>
    <row r="811" spans="8:9" ht="15" thickBot="1" x14ac:dyDescent="0.4">
      <c r="H811" s="9"/>
      <c r="I811" s="9"/>
    </row>
    <row r="812" spans="8:9" ht="15" thickBot="1" x14ac:dyDescent="0.4">
      <c r="H812" s="9"/>
      <c r="I812" s="9"/>
    </row>
    <row r="813" spans="8:9" ht="15" thickBot="1" x14ac:dyDescent="0.4">
      <c r="H813" s="9"/>
      <c r="I813" s="9"/>
    </row>
    <row r="814" spans="8:9" ht="15" thickBot="1" x14ac:dyDescent="0.4">
      <c r="H814" s="9"/>
      <c r="I814" s="9"/>
    </row>
    <row r="815" spans="8:9" ht="15" thickBot="1" x14ac:dyDescent="0.4">
      <c r="H815" s="9"/>
      <c r="I815" s="9"/>
    </row>
    <row r="816" spans="8:9" ht="15" thickBot="1" x14ac:dyDescent="0.4">
      <c r="H816" s="9"/>
      <c r="I816" s="9"/>
    </row>
    <row r="817" spans="8:9" ht="15" thickBot="1" x14ac:dyDescent="0.4">
      <c r="H817" s="9"/>
      <c r="I817" s="9"/>
    </row>
    <row r="818" spans="8:9" ht="15" thickBot="1" x14ac:dyDescent="0.4">
      <c r="H818" s="9"/>
      <c r="I818" s="9"/>
    </row>
    <row r="819" spans="8:9" ht="15" thickBot="1" x14ac:dyDescent="0.4">
      <c r="H819" s="9"/>
      <c r="I819" s="9"/>
    </row>
    <row r="820" spans="8:9" ht="15" thickBot="1" x14ac:dyDescent="0.4">
      <c r="H820" s="9"/>
      <c r="I820" s="9"/>
    </row>
    <row r="821" spans="8:9" ht="15" thickBot="1" x14ac:dyDescent="0.4">
      <c r="H821" s="9"/>
      <c r="I821" s="9"/>
    </row>
    <row r="822" spans="8:9" ht="15" thickBot="1" x14ac:dyDescent="0.4">
      <c r="H822" s="9"/>
      <c r="I822" s="9"/>
    </row>
    <row r="823" spans="8:9" ht="15" thickBot="1" x14ac:dyDescent="0.4">
      <c r="H823" s="9"/>
      <c r="I823" s="9"/>
    </row>
    <row r="824" spans="8:9" ht="15" thickBot="1" x14ac:dyDescent="0.4">
      <c r="H824" s="9"/>
      <c r="I824" s="9"/>
    </row>
    <row r="825" spans="8:9" ht="15" thickBot="1" x14ac:dyDescent="0.4">
      <c r="H825" s="9"/>
      <c r="I825" s="9"/>
    </row>
    <row r="826" spans="8:9" ht="15" thickBot="1" x14ac:dyDescent="0.4">
      <c r="H826" s="9"/>
      <c r="I826" s="9"/>
    </row>
    <row r="827" spans="8:9" ht="15" thickBot="1" x14ac:dyDescent="0.4">
      <c r="H827" s="9"/>
      <c r="I827" s="9"/>
    </row>
    <row r="828" spans="8:9" ht="15" thickBot="1" x14ac:dyDescent="0.4">
      <c r="H828" s="9"/>
      <c r="I828" s="9"/>
    </row>
    <row r="829" spans="8:9" ht="15" thickBot="1" x14ac:dyDescent="0.4">
      <c r="H829" s="9"/>
      <c r="I829" s="9"/>
    </row>
    <row r="830" spans="8:9" ht="15" thickBot="1" x14ac:dyDescent="0.4">
      <c r="H830" s="9"/>
      <c r="I830" s="9"/>
    </row>
    <row r="831" spans="8:9" ht="15" thickBot="1" x14ac:dyDescent="0.4">
      <c r="H831" s="9"/>
      <c r="I831" s="9"/>
    </row>
    <row r="832" spans="8:9" ht="15" thickBot="1" x14ac:dyDescent="0.4">
      <c r="H832" s="9"/>
      <c r="I832" s="9"/>
    </row>
    <row r="833" spans="8:9" ht="15" thickBot="1" x14ac:dyDescent="0.4">
      <c r="H833" s="9"/>
      <c r="I833" s="9"/>
    </row>
    <row r="834" spans="8:9" ht="15" thickBot="1" x14ac:dyDescent="0.4">
      <c r="H834" s="9"/>
      <c r="I834" s="9"/>
    </row>
    <row r="835" spans="8:9" ht="15" thickBot="1" x14ac:dyDescent="0.4">
      <c r="H835" s="9"/>
      <c r="I835" s="9"/>
    </row>
    <row r="836" spans="8:9" ht="15" thickBot="1" x14ac:dyDescent="0.4">
      <c r="H836" s="9"/>
      <c r="I836" s="9"/>
    </row>
    <row r="837" spans="8:9" ht="15" thickBot="1" x14ac:dyDescent="0.4">
      <c r="H837" s="9"/>
      <c r="I837" s="9"/>
    </row>
    <row r="838" spans="8:9" ht="15" thickBot="1" x14ac:dyDescent="0.4">
      <c r="H838" s="9"/>
      <c r="I838" s="9"/>
    </row>
    <row r="839" spans="8:9" ht="15" thickBot="1" x14ac:dyDescent="0.4">
      <c r="H839" s="9"/>
      <c r="I839" s="9"/>
    </row>
    <row r="840" spans="8:9" ht="15" thickBot="1" x14ac:dyDescent="0.4">
      <c r="H840" s="9"/>
      <c r="I840" s="9"/>
    </row>
    <row r="841" spans="8:9" ht="15" thickBot="1" x14ac:dyDescent="0.4">
      <c r="H841" s="9"/>
      <c r="I841" s="9"/>
    </row>
    <row r="842" spans="8:9" ht="15" thickBot="1" x14ac:dyDescent="0.4">
      <c r="H842" s="9"/>
      <c r="I842" s="9"/>
    </row>
    <row r="843" spans="8:9" ht="15" thickBot="1" x14ac:dyDescent="0.4">
      <c r="H843" s="9"/>
      <c r="I843" s="9"/>
    </row>
    <row r="844" spans="8:9" ht="15" thickBot="1" x14ac:dyDescent="0.4">
      <c r="H844" s="9"/>
      <c r="I844" s="9"/>
    </row>
    <row r="845" spans="8:9" ht="15" thickBot="1" x14ac:dyDescent="0.4">
      <c r="H845" s="9"/>
      <c r="I845" s="9"/>
    </row>
    <row r="846" spans="8:9" ht="15" thickBot="1" x14ac:dyDescent="0.4">
      <c r="H846" s="9"/>
      <c r="I846" s="9"/>
    </row>
    <row r="847" spans="8:9" ht="15" thickBot="1" x14ac:dyDescent="0.4">
      <c r="H847" s="9"/>
      <c r="I847" s="9"/>
    </row>
    <row r="848" spans="8:9" ht="15" thickBot="1" x14ac:dyDescent="0.4">
      <c r="H848" s="9"/>
      <c r="I848" s="9"/>
    </row>
    <row r="849" spans="8:9" ht="15" thickBot="1" x14ac:dyDescent="0.4">
      <c r="H849" s="9"/>
      <c r="I849" s="9"/>
    </row>
    <row r="850" spans="8:9" ht="15" thickBot="1" x14ac:dyDescent="0.4">
      <c r="H850" s="9"/>
      <c r="I850" s="9"/>
    </row>
    <row r="851" spans="8:9" ht="15" thickBot="1" x14ac:dyDescent="0.4">
      <c r="H851" s="9"/>
      <c r="I851" s="9"/>
    </row>
    <row r="852" spans="8:9" ht="15" thickBot="1" x14ac:dyDescent="0.4">
      <c r="H852" s="9"/>
      <c r="I852" s="9"/>
    </row>
    <row r="853" spans="8:9" ht="15" thickBot="1" x14ac:dyDescent="0.4">
      <c r="H853" s="9"/>
      <c r="I853" s="9"/>
    </row>
    <row r="854" spans="8:9" ht="15" thickBot="1" x14ac:dyDescent="0.4">
      <c r="H854" s="9"/>
      <c r="I854" s="9"/>
    </row>
    <row r="855" spans="8:9" ht="15" thickBot="1" x14ac:dyDescent="0.4">
      <c r="H855" s="9"/>
      <c r="I855" s="9"/>
    </row>
    <row r="856" spans="8:9" ht="15" thickBot="1" x14ac:dyDescent="0.4">
      <c r="H856" s="9"/>
      <c r="I856" s="9"/>
    </row>
    <row r="857" spans="8:9" ht="15" thickBot="1" x14ac:dyDescent="0.4">
      <c r="H857" s="9"/>
      <c r="I857" s="9"/>
    </row>
    <row r="858" spans="8:9" ht="15" thickBot="1" x14ac:dyDescent="0.4">
      <c r="H858" s="9"/>
      <c r="I858" s="9"/>
    </row>
    <row r="859" spans="8:9" ht="15" thickBot="1" x14ac:dyDescent="0.4">
      <c r="H859" s="9"/>
      <c r="I859" s="9"/>
    </row>
    <row r="860" spans="8:9" ht="15" thickBot="1" x14ac:dyDescent="0.4">
      <c r="H860" s="9"/>
      <c r="I860" s="9"/>
    </row>
    <row r="861" spans="8:9" ht="15" thickBot="1" x14ac:dyDescent="0.4">
      <c r="H861" s="9"/>
      <c r="I861" s="9"/>
    </row>
    <row r="862" spans="8:9" ht="15" thickBot="1" x14ac:dyDescent="0.4">
      <c r="H862" s="9"/>
      <c r="I862" s="9"/>
    </row>
    <row r="863" spans="8:9" ht="15" thickBot="1" x14ac:dyDescent="0.4">
      <c r="H863" s="9"/>
      <c r="I863" s="9"/>
    </row>
    <row r="864" spans="8:9" ht="15" thickBot="1" x14ac:dyDescent="0.4">
      <c r="H864" s="9"/>
      <c r="I864" s="9"/>
    </row>
    <row r="865" spans="8:9" ht="15" thickBot="1" x14ac:dyDescent="0.4">
      <c r="H865" s="9"/>
      <c r="I865" s="9"/>
    </row>
    <row r="866" spans="8:9" ht="15" thickBot="1" x14ac:dyDescent="0.4">
      <c r="H866" s="9"/>
      <c r="I866" s="9"/>
    </row>
    <row r="867" spans="8:9" ht="15" thickBot="1" x14ac:dyDescent="0.4">
      <c r="H867" s="9"/>
      <c r="I867" s="9"/>
    </row>
    <row r="868" spans="8:9" ht="15" thickBot="1" x14ac:dyDescent="0.4">
      <c r="H868" s="9"/>
      <c r="I868" s="9"/>
    </row>
    <row r="869" spans="8:9" ht="15" thickBot="1" x14ac:dyDescent="0.4">
      <c r="H869" s="9"/>
      <c r="I869" s="9"/>
    </row>
    <row r="870" spans="8:9" ht="15" thickBot="1" x14ac:dyDescent="0.4">
      <c r="H870" s="9"/>
      <c r="I870" s="9"/>
    </row>
    <row r="871" spans="8:9" ht="15" thickBot="1" x14ac:dyDescent="0.4">
      <c r="H871" s="9"/>
      <c r="I871" s="9"/>
    </row>
    <row r="872" spans="8:9" ht="15" thickBot="1" x14ac:dyDescent="0.4">
      <c r="H872" s="9"/>
      <c r="I872" s="9"/>
    </row>
    <row r="873" spans="8:9" ht="15" thickBot="1" x14ac:dyDescent="0.4">
      <c r="H873" s="9"/>
      <c r="I873" s="9"/>
    </row>
    <row r="874" spans="8:9" ht="15" thickBot="1" x14ac:dyDescent="0.4">
      <c r="H874" s="9"/>
      <c r="I874" s="9"/>
    </row>
    <row r="875" spans="8:9" ht="15" thickBot="1" x14ac:dyDescent="0.4">
      <c r="H875" s="9"/>
      <c r="I875" s="9"/>
    </row>
    <row r="876" spans="8:9" ht="15" thickBot="1" x14ac:dyDescent="0.4">
      <c r="H876" s="9"/>
      <c r="I876" s="9"/>
    </row>
    <row r="877" spans="8:9" ht="15" thickBot="1" x14ac:dyDescent="0.4">
      <c r="H877" s="9"/>
      <c r="I877" s="9"/>
    </row>
    <row r="878" spans="8:9" ht="15" thickBot="1" x14ac:dyDescent="0.4">
      <c r="H878" s="9"/>
      <c r="I878" s="9"/>
    </row>
    <row r="879" spans="8:9" ht="15" thickBot="1" x14ac:dyDescent="0.4">
      <c r="H879" s="9"/>
      <c r="I879" s="9"/>
    </row>
    <row r="880" spans="8:9" ht="15" thickBot="1" x14ac:dyDescent="0.4">
      <c r="H880" s="9"/>
      <c r="I880" s="9"/>
    </row>
    <row r="881" spans="8:9" ht="15" thickBot="1" x14ac:dyDescent="0.4">
      <c r="H881" s="9"/>
      <c r="I881" s="9"/>
    </row>
    <row r="882" spans="8:9" ht="15" thickBot="1" x14ac:dyDescent="0.4">
      <c r="H882" s="9"/>
      <c r="I882" s="9"/>
    </row>
    <row r="883" spans="8:9" ht="15" thickBot="1" x14ac:dyDescent="0.4">
      <c r="H883" s="9"/>
      <c r="I883" s="9"/>
    </row>
    <row r="884" spans="8:9" ht="15" thickBot="1" x14ac:dyDescent="0.4">
      <c r="H884" s="9"/>
      <c r="I884" s="9"/>
    </row>
    <row r="885" spans="8:9" ht="15" thickBot="1" x14ac:dyDescent="0.4">
      <c r="H885" s="9"/>
      <c r="I885" s="9"/>
    </row>
    <row r="886" spans="8:9" ht="15" thickBot="1" x14ac:dyDescent="0.4">
      <c r="H886" s="9"/>
      <c r="I886" s="9"/>
    </row>
    <row r="887" spans="8:9" ht="15" thickBot="1" x14ac:dyDescent="0.4">
      <c r="H887" s="9"/>
      <c r="I887" s="9"/>
    </row>
    <row r="888" spans="8:9" ht="15" thickBot="1" x14ac:dyDescent="0.4">
      <c r="H888" s="9"/>
      <c r="I888" s="9"/>
    </row>
    <row r="889" spans="8:9" ht="15" thickBot="1" x14ac:dyDescent="0.4">
      <c r="H889" s="9"/>
      <c r="I889" s="9"/>
    </row>
    <row r="890" spans="8:9" ht="15" thickBot="1" x14ac:dyDescent="0.4">
      <c r="H890" s="9"/>
      <c r="I890" s="9"/>
    </row>
    <row r="891" spans="8:9" ht="15" thickBot="1" x14ac:dyDescent="0.4">
      <c r="H891" s="9"/>
      <c r="I891" s="9"/>
    </row>
    <row r="892" spans="8:9" ht="15" thickBot="1" x14ac:dyDescent="0.4">
      <c r="H892" s="9"/>
      <c r="I892" s="9"/>
    </row>
    <row r="893" spans="8:9" ht="15" thickBot="1" x14ac:dyDescent="0.4">
      <c r="H893" s="9"/>
      <c r="I893" s="9"/>
    </row>
    <row r="894" spans="8:9" ht="15" thickBot="1" x14ac:dyDescent="0.4">
      <c r="H894" s="9"/>
      <c r="I894" s="9"/>
    </row>
    <row r="895" spans="8:9" ht="15" thickBot="1" x14ac:dyDescent="0.4">
      <c r="H895" s="9"/>
      <c r="I895" s="9"/>
    </row>
    <row r="896" spans="8:9" ht="15" thickBot="1" x14ac:dyDescent="0.4">
      <c r="H896" s="9"/>
      <c r="I896" s="9"/>
    </row>
    <row r="897" spans="8:9" ht="15" thickBot="1" x14ac:dyDescent="0.4">
      <c r="H897" s="9"/>
      <c r="I897" s="9"/>
    </row>
    <row r="898" spans="8:9" ht="15" thickBot="1" x14ac:dyDescent="0.4">
      <c r="H898" s="9"/>
      <c r="I898" s="9"/>
    </row>
    <row r="899" spans="8:9" ht="15" thickBot="1" x14ac:dyDescent="0.4">
      <c r="H899" s="9"/>
      <c r="I899" s="9"/>
    </row>
    <row r="900" spans="8:9" ht="15" thickBot="1" x14ac:dyDescent="0.4">
      <c r="H900" s="9"/>
      <c r="I900" s="9"/>
    </row>
    <row r="901" spans="8:9" ht="15" thickBot="1" x14ac:dyDescent="0.4">
      <c r="H901" s="9"/>
      <c r="I901" s="9"/>
    </row>
    <row r="902" spans="8:9" ht="15" thickBot="1" x14ac:dyDescent="0.4">
      <c r="H902" s="9"/>
      <c r="I902" s="9"/>
    </row>
    <row r="903" spans="8:9" ht="15" thickBot="1" x14ac:dyDescent="0.4">
      <c r="H903" s="9"/>
      <c r="I903" s="9"/>
    </row>
    <row r="904" spans="8:9" ht="15" thickBot="1" x14ac:dyDescent="0.4">
      <c r="H904" s="9"/>
      <c r="I904" s="9"/>
    </row>
    <row r="905" spans="8:9" ht="15" thickBot="1" x14ac:dyDescent="0.4">
      <c r="H905" s="9"/>
      <c r="I905" s="9"/>
    </row>
    <row r="906" spans="8:9" ht="15" thickBot="1" x14ac:dyDescent="0.4">
      <c r="H906" s="9"/>
      <c r="I906" s="9"/>
    </row>
    <row r="907" spans="8:9" ht="15" thickBot="1" x14ac:dyDescent="0.4">
      <c r="H907" s="9"/>
      <c r="I907" s="9"/>
    </row>
    <row r="908" spans="8:9" ht="15" thickBot="1" x14ac:dyDescent="0.4">
      <c r="H908" s="9"/>
      <c r="I908" s="9"/>
    </row>
    <row r="909" spans="8:9" ht="15" thickBot="1" x14ac:dyDescent="0.4">
      <c r="H909" s="9"/>
      <c r="I909" s="9"/>
    </row>
    <row r="910" spans="8:9" ht="15" thickBot="1" x14ac:dyDescent="0.4">
      <c r="H910" s="9"/>
      <c r="I910" s="9"/>
    </row>
    <row r="911" spans="8:9" ht="15" thickBot="1" x14ac:dyDescent="0.4">
      <c r="H911" s="9"/>
      <c r="I911" s="9"/>
    </row>
    <row r="912" spans="8:9" ht="15" thickBot="1" x14ac:dyDescent="0.4">
      <c r="H912" s="9"/>
      <c r="I912" s="9"/>
    </row>
    <row r="913" spans="8:9" ht="15" thickBot="1" x14ac:dyDescent="0.4">
      <c r="H913" s="9"/>
      <c r="I913" s="9"/>
    </row>
    <row r="914" spans="8:9" ht="15" thickBot="1" x14ac:dyDescent="0.4">
      <c r="H914" s="9"/>
      <c r="I914" s="9"/>
    </row>
    <row r="915" spans="8:9" ht="15" thickBot="1" x14ac:dyDescent="0.4">
      <c r="H915" s="9"/>
      <c r="I915" s="9"/>
    </row>
    <row r="916" spans="8:9" ht="15" thickBot="1" x14ac:dyDescent="0.4">
      <c r="H916" s="9"/>
      <c r="I916" s="9"/>
    </row>
    <row r="917" spans="8:9" ht="15" thickBot="1" x14ac:dyDescent="0.4">
      <c r="H917" s="9"/>
      <c r="I917" s="9"/>
    </row>
    <row r="918" spans="8:9" ht="15" thickBot="1" x14ac:dyDescent="0.4">
      <c r="H918" s="9"/>
      <c r="I918" s="9"/>
    </row>
    <row r="919" spans="8:9" ht="15" thickBot="1" x14ac:dyDescent="0.4">
      <c r="H919" s="9"/>
      <c r="I919" s="9"/>
    </row>
    <row r="920" spans="8:9" ht="15" thickBot="1" x14ac:dyDescent="0.4">
      <c r="H920" s="9"/>
      <c r="I920" s="9"/>
    </row>
    <row r="921" spans="8:9" ht="15" thickBot="1" x14ac:dyDescent="0.4">
      <c r="H921" s="9"/>
      <c r="I921" s="9"/>
    </row>
    <row r="922" spans="8:9" ht="15" thickBot="1" x14ac:dyDescent="0.4">
      <c r="H922" s="9"/>
      <c r="I922" s="9"/>
    </row>
    <row r="923" spans="8:9" ht="15" thickBot="1" x14ac:dyDescent="0.4">
      <c r="H923" s="9"/>
      <c r="I923" s="9"/>
    </row>
    <row r="924" spans="8:9" ht="15" thickBot="1" x14ac:dyDescent="0.4">
      <c r="H924" s="9"/>
      <c r="I924" s="9"/>
    </row>
    <row r="925" spans="8:9" ht="15" thickBot="1" x14ac:dyDescent="0.4">
      <c r="H925" s="9"/>
      <c r="I925" s="9"/>
    </row>
    <row r="926" spans="8:9" ht="15" thickBot="1" x14ac:dyDescent="0.4">
      <c r="H926" s="9"/>
      <c r="I926" s="9"/>
    </row>
    <row r="927" spans="8:9" ht="15" thickBot="1" x14ac:dyDescent="0.4">
      <c r="H927" s="9"/>
      <c r="I927" s="9"/>
    </row>
    <row r="928" spans="8:9" ht="15" thickBot="1" x14ac:dyDescent="0.4">
      <c r="H928" s="9"/>
      <c r="I928" s="9"/>
    </row>
    <row r="929" spans="8:9" ht="15" thickBot="1" x14ac:dyDescent="0.4">
      <c r="H929" s="9"/>
      <c r="I929" s="9"/>
    </row>
    <row r="930" spans="8:9" ht="15" thickBot="1" x14ac:dyDescent="0.4">
      <c r="H930" s="9"/>
      <c r="I930" s="9"/>
    </row>
    <row r="931" spans="8:9" ht="15" thickBot="1" x14ac:dyDescent="0.4">
      <c r="H931" s="9"/>
      <c r="I931" s="9"/>
    </row>
    <row r="932" spans="8:9" ht="15" thickBot="1" x14ac:dyDescent="0.4">
      <c r="H932" s="9"/>
      <c r="I932" s="9"/>
    </row>
    <row r="933" spans="8:9" ht="15" thickBot="1" x14ac:dyDescent="0.4">
      <c r="H933" s="9"/>
      <c r="I933" s="9"/>
    </row>
    <row r="934" spans="8:9" ht="15" thickBot="1" x14ac:dyDescent="0.4">
      <c r="H934" s="9"/>
      <c r="I934" s="9"/>
    </row>
    <row r="935" spans="8:9" ht="15" thickBot="1" x14ac:dyDescent="0.4">
      <c r="H935" s="9"/>
      <c r="I935" s="9"/>
    </row>
    <row r="936" spans="8:9" ht="15" thickBot="1" x14ac:dyDescent="0.4">
      <c r="H936" s="9"/>
      <c r="I936" s="9"/>
    </row>
    <row r="937" spans="8:9" ht="15" thickBot="1" x14ac:dyDescent="0.4">
      <c r="H937" s="9"/>
      <c r="I937" s="9"/>
    </row>
    <row r="938" spans="8:9" ht="15" thickBot="1" x14ac:dyDescent="0.4">
      <c r="H938" s="9"/>
      <c r="I938" s="9"/>
    </row>
    <row r="939" spans="8:9" ht="15" thickBot="1" x14ac:dyDescent="0.4">
      <c r="H939" s="9"/>
      <c r="I939" s="9"/>
    </row>
    <row r="940" spans="8:9" ht="15" thickBot="1" x14ac:dyDescent="0.4">
      <c r="H940" s="9"/>
      <c r="I940" s="9"/>
    </row>
    <row r="941" spans="8:9" ht="15" thickBot="1" x14ac:dyDescent="0.4">
      <c r="H941" s="9"/>
      <c r="I941" s="9"/>
    </row>
    <row r="942" spans="8:9" ht="15" thickBot="1" x14ac:dyDescent="0.4">
      <c r="H942" s="9"/>
      <c r="I942" s="9"/>
    </row>
    <row r="943" spans="8:9" ht="15" thickBot="1" x14ac:dyDescent="0.4">
      <c r="H943" s="9"/>
      <c r="I943" s="9"/>
    </row>
    <row r="944" spans="8:9" ht="15" thickBot="1" x14ac:dyDescent="0.4">
      <c r="H944" s="9"/>
      <c r="I944" s="9"/>
    </row>
    <row r="945" spans="8:9" ht="15" thickBot="1" x14ac:dyDescent="0.4">
      <c r="H945" s="9"/>
      <c r="I945" s="9"/>
    </row>
    <row r="946" spans="8:9" ht="15" thickBot="1" x14ac:dyDescent="0.4">
      <c r="H946" s="9"/>
      <c r="I946" s="9"/>
    </row>
    <row r="947" spans="8:9" ht="15" thickBot="1" x14ac:dyDescent="0.4">
      <c r="H947" s="9"/>
      <c r="I947" s="9"/>
    </row>
    <row r="948" spans="8:9" ht="15" thickBot="1" x14ac:dyDescent="0.4">
      <c r="H948" s="9"/>
      <c r="I948" s="9"/>
    </row>
    <row r="949" spans="8:9" ht="15" thickBot="1" x14ac:dyDescent="0.4">
      <c r="H949" s="9"/>
      <c r="I949" s="9"/>
    </row>
    <row r="950" spans="8:9" ht="15" thickBot="1" x14ac:dyDescent="0.4">
      <c r="H950" s="9"/>
      <c r="I950" s="9"/>
    </row>
    <row r="951" spans="8:9" ht="15" thickBot="1" x14ac:dyDescent="0.4">
      <c r="H951" s="9"/>
      <c r="I951" s="9"/>
    </row>
    <row r="952" spans="8:9" ht="15" thickBot="1" x14ac:dyDescent="0.4">
      <c r="H952" s="9"/>
      <c r="I952" s="9"/>
    </row>
    <row r="953" spans="8:9" ht="15" thickBot="1" x14ac:dyDescent="0.4">
      <c r="H953" s="9"/>
      <c r="I953" s="9"/>
    </row>
    <row r="954" spans="8:9" ht="15" thickBot="1" x14ac:dyDescent="0.4">
      <c r="H954" s="9"/>
      <c r="I954" s="9"/>
    </row>
    <row r="955" spans="8:9" ht="15" thickBot="1" x14ac:dyDescent="0.4">
      <c r="H955" s="9"/>
      <c r="I955" s="9"/>
    </row>
    <row r="956" spans="8:9" ht="15" thickBot="1" x14ac:dyDescent="0.4">
      <c r="H956" s="9"/>
      <c r="I956" s="9"/>
    </row>
    <row r="957" spans="8:9" ht="15" thickBot="1" x14ac:dyDescent="0.4">
      <c r="H957" s="9"/>
      <c r="I957" s="9"/>
    </row>
    <row r="958" spans="8:9" ht="15" thickBot="1" x14ac:dyDescent="0.4">
      <c r="H958" s="9"/>
      <c r="I958" s="9"/>
    </row>
    <row r="959" spans="8:9" ht="15" thickBot="1" x14ac:dyDescent="0.4">
      <c r="H959" s="9"/>
      <c r="I959" s="9"/>
    </row>
    <row r="960" spans="8:9" ht="15" thickBot="1" x14ac:dyDescent="0.4">
      <c r="H960" s="9"/>
      <c r="I960" s="9"/>
    </row>
    <row r="961" spans="8:9" ht="15" thickBot="1" x14ac:dyDescent="0.4">
      <c r="H961" s="9"/>
      <c r="I961" s="9"/>
    </row>
    <row r="962" spans="8:9" ht="15" thickBot="1" x14ac:dyDescent="0.4">
      <c r="H962" s="9"/>
      <c r="I962" s="9"/>
    </row>
    <row r="963" spans="8:9" ht="15" thickBot="1" x14ac:dyDescent="0.4">
      <c r="H963" s="9"/>
      <c r="I963" s="9"/>
    </row>
    <row r="964" spans="8:9" ht="15" thickBot="1" x14ac:dyDescent="0.4">
      <c r="H964" s="9"/>
      <c r="I964" s="9"/>
    </row>
    <row r="965" spans="8:9" ht="15" thickBot="1" x14ac:dyDescent="0.4">
      <c r="H965" s="9"/>
      <c r="I965" s="9"/>
    </row>
    <row r="966" spans="8:9" ht="15" thickBot="1" x14ac:dyDescent="0.4">
      <c r="H966" s="9"/>
      <c r="I966" s="9"/>
    </row>
    <row r="967" spans="8:9" ht="15" thickBot="1" x14ac:dyDescent="0.4">
      <c r="H967" s="9"/>
      <c r="I967" s="9"/>
    </row>
    <row r="968" spans="8:9" ht="15" thickBot="1" x14ac:dyDescent="0.4">
      <c r="H968" s="9"/>
      <c r="I968" s="9"/>
    </row>
    <row r="969" spans="8:9" ht="15" thickBot="1" x14ac:dyDescent="0.4">
      <c r="H969" s="9"/>
      <c r="I969" s="9"/>
    </row>
    <row r="970" spans="8:9" ht="15" thickBot="1" x14ac:dyDescent="0.4">
      <c r="H970" s="9"/>
      <c r="I970" s="9"/>
    </row>
    <row r="971" spans="8:9" ht="15" thickBot="1" x14ac:dyDescent="0.4">
      <c r="H971" s="9"/>
      <c r="I971" s="9"/>
    </row>
    <row r="972" spans="8:9" ht="15" thickBot="1" x14ac:dyDescent="0.4">
      <c r="H972" s="9"/>
      <c r="I972" s="9"/>
    </row>
    <row r="973" spans="8:9" ht="15" thickBot="1" x14ac:dyDescent="0.4">
      <c r="H973" s="9"/>
      <c r="I973" s="9"/>
    </row>
    <row r="974" spans="8:9" ht="15" thickBot="1" x14ac:dyDescent="0.4">
      <c r="H974" s="9"/>
      <c r="I974" s="9"/>
    </row>
    <row r="975" spans="8:9" ht="15" thickBot="1" x14ac:dyDescent="0.4">
      <c r="H975" s="9"/>
      <c r="I975" s="9"/>
    </row>
    <row r="976" spans="8:9" ht="15" thickBot="1" x14ac:dyDescent="0.4">
      <c r="H976" s="9"/>
      <c r="I976" s="9"/>
    </row>
    <row r="977" spans="8:9" ht="15" thickBot="1" x14ac:dyDescent="0.4">
      <c r="H977" s="9"/>
      <c r="I977" s="9"/>
    </row>
    <row r="978" spans="8:9" ht="15" thickBot="1" x14ac:dyDescent="0.4">
      <c r="H978" s="9"/>
      <c r="I978" s="9"/>
    </row>
    <row r="979" spans="8:9" ht="15" thickBot="1" x14ac:dyDescent="0.4">
      <c r="H979" s="9"/>
      <c r="I979" s="9"/>
    </row>
    <row r="980" spans="8:9" ht="15" thickBot="1" x14ac:dyDescent="0.4">
      <c r="H980" s="9"/>
      <c r="I980" s="9"/>
    </row>
    <row r="981" spans="8:9" ht="15" thickBot="1" x14ac:dyDescent="0.4">
      <c r="H981" s="9"/>
      <c r="I981" s="9"/>
    </row>
    <row r="982" spans="8:9" ht="15" thickBot="1" x14ac:dyDescent="0.4">
      <c r="H982" s="9"/>
      <c r="I982" s="9"/>
    </row>
    <row r="983" spans="8:9" ht="15" thickBot="1" x14ac:dyDescent="0.4">
      <c r="H983" s="9"/>
      <c r="I983" s="9"/>
    </row>
    <row r="984" spans="8:9" ht="15" thickBot="1" x14ac:dyDescent="0.4">
      <c r="H984" s="9"/>
      <c r="I984" s="9"/>
    </row>
    <row r="985" spans="8:9" ht="15" thickBot="1" x14ac:dyDescent="0.4">
      <c r="H985" s="9"/>
      <c r="I985" s="9"/>
    </row>
    <row r="986" spans="8:9" ht="15" thickBot="1" x14ac:dyDescent="0.4">
      <c r="H986" s="9"/>
      <c r="I986" s="9"/>
    </row>
    <row r="987" spans="8:9" ht="15" thickBot="1" x14ac:dyDescent="0.4">
      <c r="H987" s="9"/>
      <c r="I987" s="9"/>
    </row>
    <row r="988" spans="8:9" ht="15" thickBot="1" x14ac:dyDescent="0.4">
      <c r="H988" s="9"/>
      <c r="I988" s="9"/>
    </row>
    <row r="989" spans="8:9" ht="15" thickBot="1" x14ac:dyDescent="0.4">
      <c r="H989" s="9"/>
      <c r="I989" s="9"/>
    </row>
    <row r="990" spans="8:9" ht="15" thickBot="1" x14ac:dyDescent="0.4">
      <c r="H990" s="9"/>
      <c r="I990" s="9"/>
    </row>
    <row r="991" spans="8:9" ht="15" thickBot="1" x14ac:dyDescent="0.4">
      <c r="H991" s="9"/>
      <c r="I991" s="9"/>
    </row>
    <row r="992" spans="8:9" ht="15" thickBot="1" x14ac:dyDescent="0.4">
      <c r="H992" s="9"/>
      <c r="I992" s="9"/>
    </row>
    <row r="993" spans="8:9" ht="15" thickBot="1" x14ac:dyDescent="0.4">
      <c r="H993" s="9"/>
      <c r="I993" s="9"/>
    </row>
    <row r="994" spans="8:9" ht="15" thickBot="1" x14ac:dyDescent="0.4">
      <c r="H994" s="9"/>
      <c r="I994" s="9"/>
    </row>
    <row r="995" spans="8:9" ht="15" thickBot="1" x14ac:dyDescent="0.4">
      <c r="H995" s="9"/>
      <c r="I995" s="9"/>
    </row>
    <row r="996" spans="8:9" ht="15" thickBot="1" x14ac:dyDescent="0.4">
      <c r="H996" s="9"/>
      <c r="I996" s="9"/>
    </row>
    <row r="997" spans="8:9" ht="15" thickBot="1" x14ac:dyDescent="0.4">
      <c r="H997" s="9"/>
      <c r="I997" s="9"/>
    </row>
    <row r="998" spans="8:9" ht="15" thickBot="1" x14ac:dyDescent="0.4">
      <c r="H998" s="9"/>
      <c r="I998" s="9"/>
    </row>
    <row r="999" spans="8:9" ht="15" thickBot="1" x14ac:dyDescent="0.4">
      <c r="H999" s="9"/>
      <c r="I999" s="9"/>
    </row>
    <row r="1000" spans="8:9" ht="15" thickBot="1" x14ac:dyDescent="0.4">
      <c r="H1000" s="9"/>
      <c r="I1000" s="9"/>
    </row>
  </sheetData>
  <autoFilter ref="A1:K187" xr:uid="{00000000-0001-0000-0000-000000000000}">
    <filterColumn colId="2">
      <filters>
        <filter val="S"/>
      </filters>
    </filterColumn>
    <sortState xmlns:xlrd2="http://schemas.microsoft.com/office/spreadsheetml/2017/richdata2" ref="A2:K187">
      <sortCondition ref="G1"/>
    </sortState>
  </autoFilter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FFFE-AFAF-46C8-8D7E-BA9E5132D10C}">
  <sheetPr filterMode="1"/>
  <dimension ref="A1:G173"/>
  <sheetViews>
    <sheetView topLeftCell="A127" workbookViewId="0">
      <selection activeCell="J161" sqref="J161"/>
    </sheetView>
  </sheetViews>
  <sheetFormatPr defaultRowHeight="14.5" x14ac:dyDescent="0.35"/>
  <cols>
    <col min="1" max="1" width="15.7265625" customWidth="1"/>
    <col min="2" max="2" width="17.453125" customWidth="1"/>
    <col min="3" max="3" width="18.1796875" customWidth="1"/>
  </cols>
  <sheetData>
    <row r="1" spans="1:7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thickBot="1" x14ac:dyDescent="0.4">
      <c r="A2" s="2">
        <v>46238.635520833333</v>
      </c>
      <c r="B2" s="1" t="s">
        <v>67</v>
      </c>
      <c r="C2" s="1" t="s">
        <v>8</v>
      </c>
      <c r="D2" s="3">
        <v>200</v>
      </c>
      <c r="E2" s="3">
        <v>230.1</v>
      </c>
      <c r="F2" s="1" t="s">
        <v>9</v>
      </c>
      <c r="G2" t="str">
        <f>IF(COUNTIFS(
    Sheet1!$B:$B, B2,
    Sheet1!$C:$C, C2,
    Sheet1!$D:$D, D2,
    Sheet1!$E:$E, E2
) = 0, "NO MATCH IN TARGET", "MATCHED")</f>
        <v>NO MATCH IN TARGET</v>
      </c>
    </row>
    <row r="3" spans="1:7" ht="15" hidden="1" thickBot="1" x14ac:dyDescent="0.4">
      <c r="A3" s="2">
        <v>46238.644733796296</v>
      </c>
      <c r="B3" s="1" t="s">
        <v>59</v>
      </c>
      <c r="C3" s="1" t="s">
        <v>8</v>
      </c>
      <c r="D3" s="3">
        <v>2</v>
      </c>
      <c r="E3" s="3">
        <v>1060</v>
      </c>
      <c r="F3" s="1" t="s">
        <v>9</v>
      </c>
      <c r="G3" t="str">
        <f>IF(COUNTIFS(
    Sheet1!$B:$B, B3,
    Sheet1!$C:$C, C3,
    Sheet1!$D:$D, D3,
    Sheet1!$E:$E, E3
) = 0, "NO MATCH IN TARGET", "MATCHED")</f>
        <v>MATCHED</v>
      </c>
    </row>
    <row r="4" spans="1:7" ht="15" thickBot="1" x14ac:dyDescent="0.4">
      <c r="A4" s="2">
        <v>46238.690474537034</v>
      </c>
      <c r="B4" s="1" t="s">
        <v>22</v>
      </c>
      <c r="C4" s="1" t="s">
        <v>8</v>
      </c>
      <c r="D4" s="3">
        <v>5</v>
      </c>
      <c r="E4" s="3">
        <v>2530</v>
      </c>
      <c r="F4" s="1" t="s">
        <v>9</v>
      </c>
      <c r="G4" t="str">
        <f>IF(COUNTIFS(
    Sheet1!$B:$B, B4,
    Sheet1!$C:$C, C4,
    Sheet1!$D:$D, D4,
    Sheet1!$E:$E, E4
) = 0, "NO MATCH IN TARGET", "MATCHED")</f>
        <v>NO MATCH IN TARGET</v>
      </c>
    </row>
    <row r="5" spans="1:7" ht="15" thickBot="1" x14ac:dyDescent="0.4">
      <c r="A5" s="2">
        <v>46238.690578703703</v>
      </c>
      <c r="B5" s="1" t="s">
        <v>18</v>
      </c>
      <c r="C5" s="1" t="s">
        <v>8</v>
      </c>
      <c r="D5" s="3">
        <v>10</v>
      </c>
      <c r="E5" s="3">
        <v>701</v>
      </c>
      <c r="F5" s="1" t="s">
        <v>9</v>
      </c>
      <c r="G5" t="str">
        <f>IF(COUNTIFS(
    Sheet1!$B:$B, B5,
    Sheet1!$C:$C, C5,
    Sheet1!$D:$D, D5,
    Sheet1!$E:$E, E5
) = 0, "NO MATCH IN TARGET", "MATCHED")</f>
        <v>NO MATCH IN TARGET</v>
      </c>
    </row>
    <row r="6" spans="1:7" ht="15" thickBot="1" x14ac:dyDescent="0.4">
      <c r="A6" s="2">
        <v>46238.644733796296</v>
      </c>
      <c r="B6" s="1" t="s">
        <v>69</v>
      </c>
      <c r="C6" s="1" t="s">
        <v>8</v>
      </c>
      <c r="D6" s="3">
        <v>200</v>
      </c>
      <c r="E6" s="3">
        <v>88.75</v>
      </c>
      <c r="F6" s="1" t="s">
        <v>9</v>
      </c>
      <c r="G6" t="str">
        <f>IF(COUNTIFS(
    Sheet1!$B:$B, B6,
    Sheet1!$C:$C, C6,
    Sheet1!$D:$D, D6,
    Sheet1!$E:$E, E6
) = 0, "NO MATCH IN TARGET", "MATCHED")</f>
        <v>NO MATCH IN TARGET</v>
      </c>
    </row>
    <row r="7" spans="1:7" ht="15" thickBot="1" x14ac:dyDescent="0.4">
      <c r="A7" s="2">
        <v>46238.635578703703</v>
      </c>
      <c r="B7" s="1" t="s">
        <v>70</v>
      </c>
      <c r="C7" s="1" t="s">
        <v>8</v>
      </c>
      <c r="D7" s="3">
        <v>150</v>
      </c>
      <c r="E7" s="3">
        <v>119</v>
      </c>
      <c r="F7" s="1" t="s">
        <v>9</v>
      </c>
      <c r="G7" t="str">
        <f>IF(COUNTIFS(
    Sheet1!$B:$B, B7,
    Sheet1!$C:$C, C7,
    Sheet1!$D:$D, D7,
    Sheet1!$E:$E, E7
) = 0, "NO MATCH IN TARGET", "MATCHED")</f>
        <v>NO MATCH IN TARGET</v>
      </c>
    </row>
    <row r="8" spans="1:7" ht="15" hidden="1" thickBot="1" x14ac:dyDescent="0.4">
      <c r="A8" s="2">
        <v>46238.644733796296</v>
      </c>
      <c r="B8" s="1" t="s">
        <v>83</v>
      </c>
      <c r="C8" s="1" t="s">
        <v>8</v>
      </c>
      <c r="D8" s="3">
        <v>1</v>
      </c>
      <c r="E8" s="3">
        <v>4306</v>
      </c>
      <c r="F8" s="1" t="s">
        <v>9</v>
      </c>
      <c r="G8" t="str">
        <f>IF(COUNTIFS(
    Sheet1!$B:$B, B8,
    Sheet1!$C:$C, C8,
    Sheet1!$D:$D, D8,
    Sheet1!$E:$E, E8
) = 0, "NO MATCH IN TARGET", "MATCHED")</f>
        <v>MATCHED</v>
      </c>
    </row>
    <row r="9" spans="1:7" ht="15" hidden="1" thickBot="1" x14ac:dyDescent="0.4">
      <c r="A9" s="2">
        <v>46238.644756944443</v>
      </c>
      <c r="B9" s="1" t="s">
        <v>95</v>
      </c>
      <c r="C9" s="1" t="s">
        <v>8</v>
      </c>
      <c r="D9" s="3">
        <v>10</v>
      </c>
      <c r="E9" s="3">
        <v>3950</v>
      </c>
      <c r="F9" s="1" t="s">
        <v>9</v>
      </c>
      <c r="G9" t="str">
        <f>IF(COUNTIFS(
    Sheet1!$B:$B, B9,
    Sheet1!$C:$C, C9,
    Sheet1!$D:$D, D9,
    Sheet1!$E:$E, E9
) = 0, "NO MATCH IN TARGET", "MATCHED")</f>
        <v>MATCHED</v>
      </c>
    </row>
    <row r="10" spans="1:7" ht="15" hidden="1" thickBot="1" x14ac:dyDescent="0.4">
      <c r="A10" s="2">
        <v>46238.690451388888</v>
      </c>
      <c r="B10" s="1" t="s">
        <v>39</v>
      </c>
      <c r="C10" s="1" t="s">
        <v>8</v>
      </c>
      <c r="D10" s="3">
        <v>20</v>
      </c>
      <c r="E10" s="3">
        <v>296</v>
      </c>
      <c r="F10" s="1" t="s">
        <v>9</v>
      </c>
      <c r="G10" t="str">
        <f>IF(COUNTIFS(
    Sheet1!$B:$B, B10,
    Sheet1!$C:$C, C10,
    Sheet1!$D:$D, D10,
    Sheet1!$E:$E, E10
) = 0, "NO MATCH IN TARGET", "MATCHED")</f>
        <v>MATCHED</v>
      </c>
    </row>
    <row r="11" spans="1:7" ht="15" thickBot="1" x14ac:dyDescent="0.4">
      <c r="A11" s="2">
        <v>46238.690381944441</v>
      </c>
      <c r="B11" s="1" t="s">
        <v>22</v>
      </c>
      <c r="C11" s="1" t="s">
        <v>8</v>
      </c>
      <c r="D11" s="3">
        <v>5</v>
      </c>
      <c r="E11" s="3">
        <v>2510</v>
      </c>
      <c r="F11" s="1" t="s">
        <v>9</v>
      </c>
      <c r="G11" t="str">
        <f>IF(COUNTIFS(
    Sheet1!$B:$B, B11,
    Sheet1!$C:$C, C11,
    Sheet1!$D:$D, D11,
    Sheet1!$E:$E, E11
) = 0, "NO MATCH IN TARGET", "MATCHED")</f>
        <v>NO MATCH IN TARGET</v>
      </c>
    </row>
    <row r="12" spans="1:7" ht="15" hidden="1" thickBot="1" x14ac:dyDescent="0.4">
      <c r="A12" s="2">
        <v>46238.64472222222</v>
      </c>
      <c r="B12" s="1" t="s">
        <v>95</v>
      </c>
      <c r="C12" s="1" t="s">
        <v>8</v>
      </c>
      <c r="D12" s="3">
        <v>5</v>
      </c>
      <c r="E12" s="3">
        <v>3938</v>
      </c>
      <c r="F12" s="1" t="s">
        <v>9</v>
      </c>
      <c r="G12" t="str">
        <f>IF(COUNTIFS(
    Sheet1!$B:$B, B12,
    Sheet1!$C:$C, C12,
    Sheet1!$D:$D, D12,
    Sheet1!$E:$E, E12
) = 0, "NO MATCH IN TARGET", "MATCHED")</f>
        <v>MATCHED</v>
      </c>
    </row>
    <row r="13" spans="1:7" ht="15" hidden="1" thickBot="1" x14ac:dyDescent="0.4">
      <c r="A13" s="2">
        <v>46238.644756944443</v>
      </c>
      <c r="B13" s="1" t="s">
        <v>94</v>
      </c>
      <c r="C13" s="1" t="s">
        <v>8</v>
      </c>
      <c r="D13" s="3">
        <v>10</v>
      </c>
      <c r="E13" s="3">
        <v>1410</v>
      </c>
      <c r="F13" s="1" t="s">
        <v>9</v>
      </c>
      <c r="G13" t="str">
        <f>IF(COUNTIFS(
    Sheet1!$B:$B, B13,
    Sheet1!$C:$C, C13,
    Sheet1!$D:$D, D13,
    Sheet1!$E:$E, E13
) = 0, "NO MATCH IN TARGET", "MATCHED")</f>
        <v>MATCHED</v>
      </c>
    </row>
    <row r="14" spans="1:7" ht="15" hidden="1" thickBot="1" x14ac:dyDescent="0.4">
      <c r="A14" s="2">
        <v>46238.690451388888</v>
      </c>
      <c r="B14" s="1" t="s">
        <v>51</v>
      </c>
      <c r="C14" s="1" t="s">
        <v>8</v>
      </c>
      <c r="D14" s="3">
        <v>50</v>
      </c>
      <c r="E14" s="3">
        <v>286</v>
      </c>
      <c r="F14" s="1" t="s">
        <v>9</v>
      </c>
      <c r="G14" t="str">
        <f>IF(COUNTIFS(
    Sheet1!$B:$B, B14,
    Sheet1!$C:$C, C14,
    Sheet1!$D:$D, D14,
    Sheet1!$E:$E, E14
) = 0, "NO MATCH IN TARGET", "MATCHED")</f>
        <v>MATCHED</v>
      </c>
    </row>
    <row r="15" spans="1:7" ht="15" hidden="1" thickBot="1" x14ac:dyDescent="0.4">
      <c r="A15" s="2">
        <v>46238.64472222222</v>
      </c>
      <c r="B15" s="1" t="s">
        <v>67</v>
      </c>
      <c r="C15" s="1" t="s">
        <v>8</v>
      </c>
      <c r="D15" s="3">
        <v>200</v>
      </c>
      <c r="E15" s="3">
        <v>227.5</v>
      </c>
      <c r="F15" s="1" t="s">
        <v>9</v>
      </c>
      <c r="G15" t="str">
        <f>IF(COUNTIFS(
    Sheet1!$B:$B, B15,
    Sheet1!$C:$C, C15,
    Sheet1!$D:$D, D15,
    Sheet1!$E:$E, E15
) = 0, "NO MATCH IN TARGET", "MATCHED")</f>
        <v>MATCHED</v>
      </c>
    </row>
    <row r="16" spans="1:7" ht="15" hidden="1" thickBot="1" x14ac:dyDescent="0.4">
      <c r="A16" s="2">
        <v>46238.64471064815</v>
      </c>
      <c r="B16" s="1" t="s">
        <v>93</v>
      </c>
      <c r="C16" s="1" t="s">
        <v>8</v>
      </c>
      <c r="D16" s="3">
        <v>20</v>
      </c>
      <c r="E16" s="3">
        <v>793</v>
      </c>
      <c r="F16" s="1" t="s">
        <v>9</v>
      </c>
      <c r="G16" t="str">
        <f>IF(COUNTIFS(
    Sheet1!$B:$B, B16,
    Sheet1!$C:$C, C16,
    Sheet1!$D:$D, D16,
    Sheet1!$E:$E, E16
) = 0, "NO MATCH IN TARGET", "MATCHED")</f>
        <v>MATCHED</v>
      </c>
    </row>
    <row r="17" spans="1:7" ht="15" hidden="1" thickBot="1" x14ac:dyDescent="0.4">
      <c r="A17" s="2">
        <v>46238.64472222222</v>
      </c>
      <c r="B17" s="1" t="s">
        <v>78</v>
      </c>
      <c r="C17" s="1" t="s">
        <v>8</v>
      </c>
      <c r="D17" s="3">
        <v>10</v>
      </c>
      <c r="E17" s="3">
        <v>927</v>
      </c>
      <c r="F17" s="1" t="s">
        <v>9</v>
      </c>
      <c r="G17" t="str">
        <f>IF(COUNTIFS(
    Sheet1!$B:$B, B17,
    Sheet1!$C:$C, C17,
    Sheet1!$D:$D, D17,
    Sheet1!$E:$E, E17
) = 0, "NO MATCH IN TARGET", "MATCHED")</f>
        <v>MATCHED</v>
      </c>
    </row>
    <row r="18" spans="1:7" ht="15" hidden="1" thickBot="1" x14ac:dyDescent="0.4">
      <c r="A18" s="2">
        <v>46238.690358796295</v>
      </c>
      <c r="B18" s="1" t="s">
        <v>28</v>
      </c>
      <c r="C18" s="1" t="s">
        <v>8</v>
      </c>
      <c r="D18" s="3">
        <v>40</v>
      </c>
      <c r="E18" s="3">
        <v>426</v>
      </c>
      <c r="F18" s="1" t="s">
        <v>9</v>
      </c>
      <c r="G18" t="str">
        <f>IF(COUNTIFS(
    Sheet1!$B:$B, B18,
    Sheet1!$C:$C, C18,
    Sheet1!$D:$D, D18,
    Sheet1!$E:$E, E18
) = 0, "NO MATCH IN TARGET", "MATCHED")</f>
        <v>MATCHED</v>
      </c>
    </row>
    <row r="19" spans="1:7" ht="15" hidden="1" thickBot="1" x14ac:dyDescent="0.4">
      <c r="A19" s="2">
        <v>46238.690497685187</v>
      </c>
      <c r="B19" s="1" t="s">
        <v>20</v>
      </c>
      <c r="C19" s="1" t="s">
        <v>8</v>
      </c>
      <c r="D19" s="3">
        <v>50</v>
      </c>
      <c r="E19" s="3">
        <v>202</v>
      </c>
      <c r="F19" s="1" t="s">
        <v>9</v>
      </c>
      <c r="G19" t="str">
        <f>IF(COUNTIFS(
    Sheet1!$B:$B, B19,
    Sheet1!$C:$C, C19,
    Sheet1!$D:$D, D19,
    Sheet1!$E:$E, E19
) = 0, "NO MATCH IN TARGET", "MATCHED")</f>
        <v>MATCHED</v>
      </c>
    </row>
    <row r="20" spans="1:7" ht="15" hidden="1" thickBot="1" x14ac:dyDescent="0.4">
      <c r="A20" s="2">
        <v>46238.644768518519</v>
      </c>
      <c r="B20" s="1" t="s">
        <v>92</v>
      </c>
      <c r="C20" s="1" t="s">
        <v>8</v>
      </c>
      <c r="D20" s="3">
        <v>1</v>
      </c>
      <c r="E20" s="3">
        <v>13552</v>
      </c>
      <c r="F20" s="1" t="s">
        <v>9</v>
      </c>
      <c r="G20" t="str">
        <f>IF(COUNTIFS(
    Sheet1!$B:$B, B20,
    Sheet1!$C:$C, C20,
    Sheet1!$D:$D, D20,
    Sheet1!$E:$E, E20
) = 0, "NO MATCH IN TARGET", "MATCHED")</f>
        <v>MATCHED</v>
      </c>
    </row>
    <row r="21" spans="1:7" ht="15" hidden="1" thickBot="1" x14ac:dyDescent="0.4">
      <c r="A21" s="2">
        <v>46238.644733796296</v>
      </c>
      <c r="B21" s="1" t="s">
        <v>90</v>
      </c>
      <c r="C21" s="1" t="s">
        <v>8</v>
      </c>
      <c r="D21" s="3">
        <v>5</v>
      </c>
      <c r="E21" s="3">
        <v>726</v>
      </c>
      <c r="F21" s="1" t="s">
        <v>9</v>
      </c>
      <c r="G21" t="str">
        <f>IF(COUNTIFS(
    Sheet1!$B:$B, B21,
    Sheet1!$C:$C, C21,
    Sheet1!$D:$D, D21,
    Sheet1!$E:$E, E21
) = 0, "NO MATCH IN TARGET", "MATCHED")</f>
        <v>MATCHED</v>
      </c>
    </row>
    <row r="22" spans="1:7" ht="15" hidden="1" thickBot="1" x14ac:dyDescent="0.4">
      <c r="A22" s="2">
        <v>46238.690474537034</v>
      </c>
      <c r="B22" s="1" t="s">
        <v>22</v>
      </c>
      <c r="C22" s="1" t="s">
        <v>8</v>
      </c>
      <c r="D22" s="3">
        <v>10</v>
      </c>
      <c r="E22" s="3">
        <v>2480</v>
      </c>
      <c r="F22" s="1" t="s">
        <v>9</v>
      </c>
      <c r="G22" t="str">
        <f>IF(COUNTIFS(
    Sheet1!$B:$B, B22,
    Sheet1!$C:$C, C22,
    Sheet1!$D:$D, D22,
    Sheet1!$E:$E, E22
) = 0, "NO MATCH IN TARGET", "MATCHED")</f>
        <v>NO MATCH IN TARGET</v>
      </c>
    </row>
    <row r="23" spans="1:7" ht="15" hidden="1" thickBot="1" x14ac:dyDescent="0.4">
      <c r="A23" s="2">
        <v>46237.635578703703</v>
      </c>
      <c r="B23" s="1" t="s">
        <v>69</v>
      </c>
      <c r="C23" s="1" t="s">
        <v>8</v>
      </c>
      <c r="D23" s="3">
        <v>100</v>
      </c>
      <c r="E23" s="3">
        <v>87.3</v>
      </c>
      <c r="F23" s="1" t="s">
        <v>9</v>
      </c>
      <c r="G23" t="str">
        <f>IF(COUNTIFS(
    Sheet1!$B:$B, B23,
    Sheet1!$C:$C, C23,
    Sheet1!$D:$D, D23,
    Sheet1!$E:$E, E23
) = 0, "NO MATCH IN TARGET", "MATCHED")</f>
        <v>MATCHED</v>
      </c>
    </row>
    <row r="24" spans="1:7" ht="15" hidden="1" thickBot="1" x14ac:dyDescent="0.4">
      <c r="A24" s="2">
        <v>46238.64471064815</v>
      </c>
      <c r="B24" s="1" t="s">
        <v>87</v>
      </c>
      <c r="C24" s="1" t="s">
        <v>8</v>
      </c>
      <c r="D24" s="3">
        <v>15</v>
      </c>
      <c r="E24" s="3">
        <v>1005</v>
      </c>
      <c r="F24" s="1" t="s">
        <v>9</v>
      </c>
      <c r="G24" t="str">
        <f>IF(COUNTIFS(
    Sheet1!$B:$B, B24,
    Sheet1!$C:$C, C24,
    Sheet1!$D:$D, D24,
    Sheet1!$E:$E, E24
) = 0, "NO MATCH IN TARGET", "MATCHED")</f>
        <v>MATCHED</v>
      </c>
    </row>
    <row r="25" spans="1:7" ht="15" thickBot="1" x14ac:dyDescent="0.4">
      <c r="A25" s="2">
        <v>46238.64472222222</v>
      </c>
      <c r="B25" s="1" t="s">
        <v>95</v>
      </c>
      <c r="C25" s="1" t="s">
        <v>8</v>
      </c>
      <c r="D25" s="3">
        <v>5</v>
      </c>
      <c r="E25" s="3">
        <v>3888</v>
      </c>
      <c r="F25" s="1" t="s">
        <v>9</v>
      </c>
      <c r="G25" t="str">
        <f>IF(COUNTIFS(
    Sheet1!$B:$B, B25,
    Sheet1!$C:$C, C25,
    Sheet1!$D:$D, D25,
    Sheet1!$E:$E, E25
) = 0, "NO MATCH IN TARGET", "MATCHED")</f>
        <v>MATCHED</v>
      </c>
    </row>
    <row r="26" spans="1:7" ht="15" hidden="1" thickBot="1" x14ac:dyDescent="0.4">
      <c r="A26" s="2">
        <v>46238.644756944443</v>
      </c>
      <c r="B26" s="1" t="s">
        <v>60</v>
      </c>
      <c r="C26" s="1" t="s">
        <v>8</v>
      </c>
      <c r="D26" s="3">
        <v>3</v>
      </c>
      <c r="E26" s="3">
        <v>1302</v>
      </c>
      <c r="F26" s="1" t="s">
        <v>9</v>
      </c>
      <c r="G26" t="str">
        <f>IF(COUNTIFS(
    Sheet1!$B:$B, B26,
    Sheet1!$C:$C, C26,
    Sheet1!$D:$D, D26,
    Sheet1!$E:$E, E26
) = 0, "NO MATCH IN TARGET", "MATCHED")</f>
        <v>MATCHED</v>
      </c>
    </row>
    <row r="27" spans="1:7" ht="15" hidden="1" thickBot="1" x14ac:dyDescent="0.4">
      <c r="A27" s="2">
        <v>46238.690474537034</v>
      </c>
      <c r="B27" s="1" t="s">
        <v>49</v>
      </c>
      <c r="C27" s="1" t="s">
        <v>8</v>
      </c>
      <c r="D27" s="3">
        <v>150</v>
      </c>
      <c r="E27" s="3">
        <v>128</v>
      </c>
      <c r="F27" s="1" t="s">
        <v>9</v>
      </c>
      <c r="G27" t="str">
        <f>IF(COUNTIFS(
    Sheet1!$B:$B, B27,
    Sheet1!$C:$C, C27,
    Sheet1!$D:$D, D27,
    Sheet1!$E:$E, E27
) = 0, "NO MATCH IN TARGET", "MATCHED")</f>
        <v>MATCHED</v>
      </c>
    </row>
    <row r="28" spans="1:7" ht="15" hidden="1" thickBot="1" x14ac:dyDescent="0.4">
      <c r="A28" s="2">
        <v>46238.644768518519</v>
      </c>
      <c r="B28" s="1" t="s">
        <v>85</v>
      </c>
      <c r="C28" s="1" t="s">
        <v>8</v>
      </c>
      <c r="D28" s="3">
        <v>2</v>
      </c>
      <c r="E28" s="3">
        <v>2460</v>
      </c>
      <c r="F28" s="1" t="s">
        <v>9</v>
      </c>
      <c r="G28" t="str">
        <f>IF(COUNTIFS(
    Sheet1!$B:$B, B28,
    Sheet1!$C:$C, C28,
    Sheet1!$D:$D, D28,
    Sheet1!$E:$E, E28
) = 0, "NO MATCH IN TARGET", "MATCHED")</f>
        <v>MATCHED</v>
      </c>
    </row>
    <row r="29" spans="1:7" ht="15" hidden="1" thickBot="1" x14ac:dyDescent="0.4">
      <c r="A29" s="2">
        <v>46238.644756944443</v>
      </c>
      <c r="B29" s="1" t="s">
        <v>78</v>
      </c>
      <c r="C29" s="1" t="s">
        <v>8</v>
      </c>
      <c r="D29" s="3">
        <v>20</v>
      </c>
      <c r="E29" s="3">
        <v>917</v>
      </c>
      <c r="F29" s="1" t="s">
        <v>9</v>
      </c>
      <c r="G29" t="str">
        <f>IF(COUNTIFS(
    Sheet1!$B:$B, B29,
    Sheet1!$C:$C, C29,
    Sheet1!$D:$D, D29,
    Sheet1!$E:$E, E29
) = 0, "NO MATCH IN TARGET", "MATCHED")</f>
        <v>MATCHED</v>
      </c>
    </row>
    <row r="30" spans="1:7" ht="15" hidden="1" thickBot="1" x14ac:dyDescent="0.4">
      <c r="A30" s="2">
        <v>46238.690474537034</v>
      </c>
      <c r="B30" s="1" t="s">
        <v>22</v>
      </c>
      <c r="C30" s="1" t="s">
        <v>8</v>
      </c>
      <c r="D30" s="3">
        <v>30</v>
      </c>
      <c r="E30" s="3">
        <v>2460</v>
      </c>
      <c r="F30" s="1" t="s">
        <v>9</v>
      </c>
      <c r="G30" t="str">
        <f>IF(COUNTIFS(
    Sheet1!$B:$B, B30,
    Sheet1!$C:$C, C30,
    Sheet1!$D:$D, D30,
    Sheet1!$E:$E, E30
) = 0, "NO MATCH IN TARGET", "MATCHED")</f>
        <v>MATCHED</v>
      </c>
    </row>
    <row r="31" spans="1:7" ht="15" thickBot="1" x14ac:dyDescent="0.4">
      <c r="A31" s="2">
        <v>46234.6875</v>
      </c>
      <c r="B31" s="1" t="s">
        <v>22</v>
      </c>
      <c r="C31" s="1" t="s">
        <v>8</v>
      </c>
      <c r="D31" s="3">
        <v>10</v>
      </c>
      <c r="E31" s="3">
        <v>2460</v>
      </c>
      <c r="F31" s="1" t="s">
        <v>9</v>
      </c>
      <c r="G31" t="str">
        <f>IF(COUNTIFS(
    Sheet1!$B:$B, B31,
    Sheet1!$C:$C, C31,
    Sheet1!$D:$D, D31,
    Sheet1!$E:$E, E31
) = 0, "NO MATCH IN TARGET", "MATCHED")</f>
        <v>NO MATCH IN TARGET</v>
      </c>
    </row>
    <row r="32" spans="1:7" ht="15" hidden="1" thickBot="1" x14ac:dyDescent="0.4">
      <c r="A32" s="2">
        <v>46238.63554398148</v>
      </c>
      <c r="B32" s="1" t="s">
        <v>72</v>
      </c>
      <c r="C32" s="1" t="s">
        <v>8</v>
      </c>
      <c r="D32" s="3">
        <v>5</v>
      </c>
      <c r="E32" s="3">
        <v>1152</v>
      </c>
      <c r="F32" s="1" t="s">
        <v>9</v>
      </c>
      <c r="G32" t="str">
        <f>IF(COUNTIFS(
    Sheet1!$B:$B, B32,
    Sheet1!$C:$C, C32,
    Sheet1!$D:$D, D32,
    Sheet1!$E:$E, E32
) = 0, "NO MATCH IN TARGET", "MATCHED")</f>
        <v>MATCHED</v>
      </c>
    </row>
    <row r="33" spans="1:7" ht="15" thickBot="1" x14ac:dyDescent="0.4">
      <c r="A33" s="2">
        <v>46238.63553240741</v>
      </c>
      <c r="B33" s="1" t="s">
        <v>84</v>
      </c>
      <c r="C33" s="1" t="s">
        <v>8</v>
      </c>
      <c r="D33" s="3">
        <v>1</v>
      </c>
      <c r="E33" s="3">
        <v>18052</v>
      </c>
      <c r="F33" s="1" t="s">
        <v>9</v>
      </c>
      <c r="G33" t="str">
        <f>IF(COUNTIFS(
    Sheet1!$B:$B, B33,
    Sheet1!$C:$C, C33,
    Sheet1!$D:$D, D33,
    Sheet1!$E:$E, E33
) = 0, "NO MATCH IN TARGET", "MATCHED")</f>
        <v>NO MATCH IN TARGET</v>
      </c>
    </row>
    <row r="34" spans="1:7" ht="15" hidden="1" thickBot="1" x14ac:dyDescent="0.4">
      <c r="A34" s="2">
        <v>46238.635555555556</v>
      </c>
      <c r="B34" s="1" t="s">
        <v>83</v>
      </c>
      <c r="C34" s="1" t="s">
        <v>8</v>
      </c>
      <c r="D34" s="3">
        <v>1</v>
      </c>
      <c r="E34" s="3">
        <v>4206</v>
      </c>
      <c r="F34" s="1" t="s">
        <v>9</v>
      </c>
      <c r="G34" t="str">
        <f>IF(COUNTIFS(
    Sheet1!$B:$B, B34,
    Sheet1!$C:$C, C34,
    Sheet1!$D:$D, D34,
    Sheet1!$E:$E, E34
) = 0, "NO MATCH IN TARGET", "MATCHED")</f>
        <v>MATCHED</v>
      </c>
    </row>
    <row r="35" spans="1:7" ht="15" hidden="1" thickBot="1" x14ac:dyDescent="0.4">
      <c r="A35" s="2">
        <v>46238.635567129626</v>
      </c>
      <c r="B35" s="1" t="s">
        <v>79</v>
      </c>
      <c r="C35" s="1" t="s">
        <v>8</v>
      </c>
      <c r="D35" s="3">
        <v>50</v>
      </c>
      <c r="E35" s="3">
        <v>850</v>
      </c>
      <c r="F35" s="1" t="s">
        <v>9</v>
      </c>
      <c r="G35" t="str">
        <f>IF(COUNTIFS(
    Sheet1!$B:$B, B35,
    Sheet1!$C:$C, C35,
    Sheet1!$D:$D, D35,
    Sheet1!$E:$E, E35
) = 0, "NO MATCH IN TARGET", "MATCHED")</f>
        <v>MATCHED</v>
      </c>
    </row>
    <row r="36" spans="1:7" ht="15" thickBot="1" x14ac:dyDescent="0.4">
      <c r="A36" s="2">
        <v>46237.63553240741</v>
      </c>
      <c r="B36" s="1" t="s">
        <v>95</v>
      </c>
      <c r="C36" s="1" t="s">
        <v>8</v>
      </c>
      <c r="D36" s="3">
        <v>2</v>
      </c>
      <c r="E36" s="3">
        <v>3856</v>
      </c>
      <c r="F36" s="1" t="s">
        <v>9</v>
      </c>
      <c r="G36" t="str">
        <f>IF(COUNTIFS(
    Sheet1!$B:$B, B36,
    Sheet1!$C:$C, C36,
    Sheet1!$D:$D, D36,
    Sheet1!$E:$E, E36
) = 0, "NO MATCH IN TARGET", "MATCHED")</f>
        <v>MATCHED</v>
      </c>
    </row>
    <row r="37" spans="1:7" ht="15" hidden="1" thickBot="1" x14ac:dyDescent="0.4">
      <c r="A37" s="2">
        <v>46238.63554398148</v>
      </c>
      <c r="B37" s="1" t="s">
        <v>82</v>
      </c>
      <c r="C37" s="1" t="s">
        <v>8</v>
      </c>
      <c r="D37" s="3">
        <v>8</v>
      </c>
      <c r="E37" s="3">
        <v>2352</v>
      </c>
      <c r="F37" s="1" t="s">
        <v>9</v>
      </c>
      <c r="G37" t="str">
        <f>IF(COUNTIFS(
    Sheet1!$B:$B, B37,
    Sheet1!$C:$C, C37,
    Sheet1!$D:$D, D37,
    Sheet1!$E:$E, E37
) = 0, "NO MATCH IN TARGET", "MATCHED")</f>
        <v>MATCHED</v>
      </c>
    </row>
    <row r="38" spans="1:7" ht="15" thickBot="1" x14ac:dyDescent="0.4">
      <c r="A38" s="2">
        <v>46238.690532407411</v>
      </c>
      <c r="B38" s="1" t="s">
        <v>7</v>
      </c>
      <c r="C38" s="1" t="s">
        <v>8</v>
      </c>
      <c r="D38" s="3">
        <v>100</v>
      </c>
      <c r="E38" s="3">
        <v>344</v>
      </c>
      <c r="F38" s="1" t="s">
        <v>9</v>
      </c>
      <c r="G38" t="str">
        <f>IF(COUNTIFS(
    Sheet1!$B:$B, B38,
    Sheet1!$C:$C, C38,
    Sheet1!$D:$D, D38,
    Sheet1!$E:$E, E38
) = 0, "NO MATCH IN TARGET", "MATCHED")</f>
        <v>NO MATCH IN TARGET</v>
      </c>
    </row>
    <row r="39" spans="1:7" ht="15" hidden="1" thickBot="1" x14ac:dyDescent="0.4">
      <c r="A39" s="2">
        <v>46238.63553240741</v>
      </c>
      <c r="B39" s="1" t="s">
        <v>62</v>
      </c>
      <c r="C39" s="1" t="s">
        <v>8</v>
      </c>
      <c r="D39" s="3">
        <v>2</v>
      </c>
      <c r="E39" s="3">
        <v>4456</v>
      </c>
      <c r="F39" s="1" t="s">
        <v>9</v>
      </c>
      <c r="G39" t="str">
        <f>IF(COUNTIFS(
    Sheet1!$B:$B, B39,
    Sheet1!$C:$C, C39,
    Sheet1!$D:$D, D39,
    Sheet1!$E:$E, E39
) = 0, "NO MATCH IN TARGET", "MATCHED")</f>
        <v>MATCHED</v>
      </c>
    </row>
    <row r="40" spans="1:7" ht="15" hidden="1" thickBot="1" x14ac:dyDescent="0.4">
      <c r="A40" s="2">
        <v>46237.645300925928</v>
      </c>
      <c r="B40" s="1" t="s">
        <v>81</v>
      </c>
      <c r="C40" s="1" t="s">
        <v>8</v>
      </c>
      <c r="D40" s="3">
        <v>2</v>
      </c>
      <c r="E40" s="3">
        <v>2560</v>
      </c>
      <c r="F40" s="1" t="s">
        <v>9</v>
      </c>
      <c r="G40" t="str">
        <f>IF(COUNTIFS(
    Sheet1!$B:$B, B40,
    Sheet1!$C:$C, C40,
    Sheet1!$D:$D, D40,
    Sheet1!$E:$E, E40
) = 0, "NO MATCH IN TARGET", "MATCHED")</f>
        <v>MATCHED</v>
      </c>
    </row>
    <row r="41" spans="1:7" ht="15" hidden="1" thickBot="1" x14ac:dyDescent="0.4">
      <c r="A41" s="2">
        <v>46238.63553240741</v>
      </c>
      <c r="B41" s="1" t="s">
        <v>77</v>
      </c>
      <c r="C41" s="1" t="s">
        <v>8</v>
      </c>
      <c r="D41" s="3">
        <v>5</v>
      </c>
      <c r="E41" s="3">
        <v>1188</v>
      </c>
      <c r="F41" s="1" t="s">
        <v>9</v>
      </c>
      <c r="G41" t="str">
        <f>IF(COUNTIFS(
    Sheet1!$B:$B, B41,
    Sheet1!$C:$C, C41,
    Sheet1!$D:$D, D41,
    Sheet1!$E:$E, E41
) = 0, "NO MATCH IN TARGET", "MATCHED")</f>
        <v>MATCHED</v>
      </c>
    </row>
    <row r="42" spans="1:7" ht="15" hidden="1" thickBot="1" x14ac:dyDescent="0.4">
      <c r="A42" s="2">
        <v>46238.690486111111</v>
      </c>
      <c r="B42" s="1" t="s">
        <v>47</v>
      </c>
      <c r="C42" s="1" t="s">
        <v>8</v>
      </c>
      <c r="D42" s="3">
        <v>5</v>
      </c>
      <c r="E42" s="3">
        <v>1614</v>
      </c>
      <c r="F42" s="1" t="s">
        <v>9</v>
      </c>
      <c r="G42" t="str">
        <f>IF(COUNTIFS(
    Sheet1!$B:$B, B42,
    Sheet1!$C:$C, C42,
    Sheet1!$D:$D, D42,
    Sheet1!$E:$E, E42
) = 0, "NO MATCH IN TARGET", "MATCHED")</f>
        <v>MATCHED</v>
      </c>
    </row>
    <row r="43" spans="1:7" ht="15" hidden="1" thickBot="1" x14ac:dyDescent="0.4">
      <c r="A43" s="2">
        <v>46238.690613425926</v>
      </c>
      <c r="B43" s="1" t="s">
        <v>45</v>
      </c>
      <c r="C43" s="1" t="s">
        <v>8</v>
      </c>
      <c r="D43" s="3">
        <v>45</v>
      </c>
      <c r="E43" s="3">
        <v>136.15</v>
      </c>
      <c r="F43" s="1" t="s">
        <v>9</v>
      </c>
      <c r="G43" t="str">
        <f>IF(COUNTIFS(
    Sheet1!$B:$B, B43,
    Sheet1!$C:$C, C43,
    Sheet1!$D:$D, D43,
    Sheet1!$E:$E, E43
) = 0, "NO MATCH IN TARGET", "MATCHED")</f>
        <v>MATCHED</v>
      </c>
    </row>
    <row r="44" spans="1:7" ht="15" thickBot="1" x14ac:dyDescent="0.4">
      <c r="A44" s="2">
        <v>46237.63553240741</v>
      </c>
      <c r="B44" s="1" t="s">
        <v>95</v>
      </c>
      <c r="C44" s="1" t="s">
        <v>8</v>
      </c>
      <c r="D44" s="3">
        <v>2</v>
      </c>
      <c r="E44" s="3">
        <v>3830</v>
      </c>
      <c r="F44" s="1" t="s">
        <v>9</v>
      </c>
      <c r="G44" t="str">
        <f>IF(COUNTIFS(
    Sheet1!$B:$B, B44,
    Sheet1!$C:$C, C44,
    Sheet1!$D:$D, D44,
    Sheet1!$E:$E, E44
) = 0, "NO MATCH IN TARGET", "MATCHED")</f>
        <v>MATCHED</v>
      </c>
    </row>
    <row r="45" spans="1:7" ht="15" thickBot="1" x14ac:dyDescent="0.4">
      <c r="A45" s="2">
        <v>46238.63554398148</v>
      </c>
      <c r="B45" s="1" t="s">
        <v>81</v>
      </c>
      <c r="C45" s="1" t="s">
        <v>8</v>
      </c>
      <c r="D45" s="3">
        <v>2</v>
      </c>
      <c r="E45" s="3">
        <v>2552</v>
      </c>
      <c r="F45" s="1" t="s">
        <v>9</v>
      </c>
      <c r="G45" t="str">
        <f>IF(COUNTIFS(
    Sheet1!$B:$B, B45,
    Sheet1!$C:$C, C45,
    Sheet1!$D:$D, D45,
    Sheet1!$E:$E, E45
) = 0, "NO MATCH IN TARGET", "MATCHED")</f>
        <v>MATCHED</v>
      </c>
    </row>
    <row r="46" spans="1:7" ht="15" hidden="1" thickBot="1" x14ac:dyDescent="0.4">
      <c r="A46" s="2">
        <v>46238.63554398148</v>
      </c>
      <c r="B46" s="1" t="s">
        <v>72</v>
      </c>
      <c r="C46" s="1" t="s">
        <v>8</v>
      </c>
      <c r="D46" s="3">
        <v>5</v>
      </c>
      <c r="E46" s="3">
        <v>1142</v>
      </c>
      <c r="F46" s="1" t="s">
        <v>9</v>
      </c>
      <c r="G46" t="str">
        <f>IF(COUNTIFS(
    Sheet1!$B:$B, B46,
    Sheet1!$C:$C, C46,
    Sheet1!$D:$D, D46,
    Sheet1!$E:$E, E46
) = 0, "NO MATCH IN TARGET", "MATCHED")</f>
        <v>MATCHED</v>
      </c>
    </row>
    <row r="47" spans="1:7" ht="15" hidden="1" thickBot="1" x14ac:dyDescent="0.4">
      <c r="A47" s="2">
        <v>46238.690486111111</v>
      </c>
      <c r="B47" s="1" t="s">
        <v>22</v>
      </c>
      <c r="C47" s="1" t="s">
        <v>8</v>
      </c>
      <c r="D47" s="3">
        <v>30</v>
      </c>
      <c r="E47" s="3">
        <v>2435</v>
      </c>
      <c r="F47" s="1" t="s">
        <v>9</v>
      </c>
      <c r="G47" t="str">
        <f>IF(COUNTIFS(
    Sheet1!$B:$B, B47,
    Sheet1!$C:$C, C47,
    Sheet1!$D:$D, D47,
    Sheet1!$E:$E, E47
) = 0, "NO MATCH IN TARGET", "MATCHED")</f>
        <v>MATCHED</v>
      </c>
    </row>
    <row r="48" spans="1:7" ht="15" hidden="1" thickBot="1" x14ac:dyDescent="0.4">
      <c r="A48" s="2">
        <v>46238.690462962964</v>
      </c>
      <c r="B48" s="1" t="s">
        <v>26</v>
      </c>
      <c r="C48" s="1" t="s">
        <v>8</v>
      </c>
      <c r="D48" s="3">
        <v>11</v>
      </c>
      <c r="E48" s="3">
        <v>882</v>
      </c>
      <c r="F48" s="1" t="s">
        <v>9</v>
      </c>
      <c r="G48" t="str">
        <f>IF(COUNTIFS(
    Sheet1!$B:$B, B48,
    Sheet1!$C:$C, C48,
    Sheet1!$D:$D, D48,
    Sheet1!$E:$E, E48
) = 0, "NO MATCH IN TARGET", "MATCHED")</f>
        <v>MATCHED</v>
      </c>
    </row>
    <row r="49" spans="1:7" ht="15" hidden="1" thickBot="1" x14ac:dyDescent="0.4">
      <c r="A49" s="2">
        <v>46238.690474537034</v>
      </c>
      <c r="B49" s="1" t="s">
        <v>41</v>
      </c>
      <c r="C49" s="1" t="s">
        <v>8</v>
      </c>
      <c r="D49" s="3">
        <v>500</v>
      </c>
      <c r="E49" s="3">
        <v>33.159999999999997</v>
      </c>
      <c r="F49" s="1" t="s">
        <v>9</v>
      </c>
      <c r="G49" t="str">
        <f>IF(COUNTIFS(
    Sheet1!$B:$B, B49,
    Sheet1!$C:$C, C49,
    Sheet1!$D:$D, D49,
    Sheet1!$E:$E, E49
) = 0, "NO MATCH IN TARGET", "MATCHED")</f>
        <v>MATCHED</v>
      </c>
    </row>
    <row r="50" spans="1:7" ht="15" hidden="1" thickBot="1" x14ac:dyDescent="0.4">
      <c r="A50" s="2">
        <v>46238.635555555556</v>
      </c>
      <c r="B50" s="1" t="s">
        <v>80</v>
      </c>
      <c r="C50" s="1" t="s">
        <v>8</v>
      </c>
      <c r="D50" s="3">
        <v>5</v>
      </c>
      <c r="E50" s="3">
        <v>2938</v>
      </c>
      <c r="F50" s="1" t="s">
        <v>9</v>
      </c>
      <c r="G50" t="str">
        <f>IF(COUNTIFS(
    Sheet1!$B:$B, B50,
    Sheet1!$C:$C, C50,
    Sheet1!$D:$D, D50,
    Sheet1!$E:$E, E50
) = 0, "NO MATCH IN TARGET", "MATCHED")</f>
        <v>MATCHED</v>
      </c>
    </row>
    <row r="51" spans="1:7" ht="15" thickBot="1" x14ac:dyDescent="0.4">
      <c r="A51" s="2">
        <v>46237.635567129626</v>
      </c>
      <c r="B51" s="1" t="s">
        <v>90</v>
      </c>
      <c r="C51" s="1" t="s">
        <v>8</v>
      </c>
      <c r="D51" s="3">
        <v>5</v>
      </c>
      <c r="E51" s="3">
        <v>712</v>
      </c>
      <c r="F51" s="1" t="s">
        <v>9</v>
      </c>
      <c r="G51" t="str">
        <f>IF(COUNTIFS(
    Sheet1!$B:$B, B51,
    Sheet1!$C:$C, C51,
    Sheet1!$D:$D, D51,
    Sheet1!$E:$E, E51
) = 0, "NO MATCH IN TARGET", "MATCHED")</f>
        <v>MATCHED</v>
      </c>
    </row>
    <row r="52" spans="1:7" ht="15" thickBot="1" x14ac:dyDescent="0.4">
      <c r="A52" s="2">
        <v>46233.688194444447</v>
      </c>
      <c r="B52" s="1" t="s">
        <v>95</v>
      </c>
      <c r="C52" s="1" t="s">
        <v>8</v>
      </c>
      <c r="D52" s="3">
        <v>3</v>
      </c>
      <c r="E52" s="3">
        <v>3810</v>
      </c>
      <c r="F52" s="1" t="s">
        <v>9</v>
      </c>
      <c r="G52" t="str">
        <f>IF(COUNTIFS(
    Sheet1!$B:$B, B52,
    Sheet1!$C:$C, C52,
    Sheet1!$D:$D, D52,
    Sheet1!$E:$E, E52
) = 0, "NO MATCH IN TARGET", "MATCHED")</f>
        <v>MATCHED</v>
      </c>
    </row>
    <row r="53" spans="1:7" ht="15" hidden="1" thickBot="1" x14ac:dyDescent="0.4">
      <c r="A53" s="2">
        <v>46238.690451388888</v>
      </c>
      <c r="B53" s="1" t="s">
        <v>39</v>
      </c>
      <c r="C53" s="1" t="s">
        <v>8</v>
      </c>
      <c r="D53" s="3">
        <v>20</v>
      </c>
      <c r="E53" s="3">
        <v>286</v>
      </c>
      <c r="F53" s="1" t="s">
        <v>9</v>
      </c>
      <c r="G53" t="str">
        <f>IF(COUNTIFS(
    Sheet1!$B:$B, B53,
    Sheet1!$C:$C, C53,
    Sheet1!$D:$D, D53,
    Sheet1!$E:$E, E53
) = 0, "NO MATCH IN TARGET", "MATCHED")</f>
        <v>MATCHED</v>
      </c>
    </row>
    <row r="54" spans="1:7" ht="15" hidden="1" thickBot="1" x14ac:dyDescent="0.4">
      <c r="A54" s="2">
        <v>46237.63553240741</v>
      </c>
      <c r="B54" s="1" t="s">
        <v>62</v>
      </c>
      <c r="C54" s="1" t="s">
        <v>8</v>
      </c>
      <c r="D54" s="3">
        <v>15</v>
      </c>
      <c r="E54" s="3">
        <v>4415</v>
      </c>
      <c r="F54" s="1" t="s">
        <v>9</v>
      </c>
      <c r="G54" t="str">
        <f>IF(COUNTIFS(
    Sheet1!$B:$B, B54,
    Sheet1!$C:$C, C54,
    Sheet1!$D:$D, D54,
    Sheet1!$E:$E, E54
) = 0, "NO MATCH IN TARGET", "MATCHED")</f>
        <v>MATCHED</v>
      </c>
    </row>
    <row r="55" spans="1:7" ht="15" thickBot="1" x14ac:dyDescent="0.4">
      <c r="A55" s="2">
        <v>46237.635520833333</v>
      </c>
      <c r="B55" s="1" t="s">
        <v>67</v>
      </c>
      <c r="C55" s="1" t="s">
        <v>8</v>
      </c>
      <c r="D55" s="3">
        <v>20</v>
      </c>
      <c r="E55" s="3">
        <v>220.1</v>
      </c>
      <c r="F55" s="1" t="s">
        <v>9</v>
      </c>
      <c r="G55" t="str">
        <f>IF(COUNTIFS(
    Sheet1!$B:$B, B55,
    Sheet1!$C:$C, C55,
    Sheet1!$D:$D, D55,
    Sheet1!$E:$E, E55
) = 0, "NO MATCH IN TARGET", "MATCHED")</f>
        <v>MATCHED</v>
      </c>
    </row>
    <row r="56" spans="1:7" ht="15" hidden="1" thickBot="1" x14ac:dyDescent="0.4">
      <c r="A56" s="2">
        <v>46238.690520833334</v>
      </c>
      <c r="B56" s="1" t="s">
        <v>7</v>
      </c>
      <c r="C56" s="1" t="s">
        <v>8</v>
      </c>
      <c r="D56" s="3">
        <v>100</v>
      </c>
      <c r="E56" s="3">
        <v>340.2</v>
      </c>
      <c r="F56" s="1" t="s">
        <v>9</v>
      </c>
      <c r="G56" t="str">
        <f>IF(COUNTIFS(
    Sheet1!$B:$B, B56,
    Sheet1!$C:$C, C56,
    Sheet1!$D:$D, D56,
    Sheet1!$E:$E, E56
) = 0, "NO MATCH IN TARGET", "MATCHED")</f>
        <v>MATCHED</v>
      </c>
    </row>
    <row r="57" spans="1:7" ht="15" hidden="1" thickBot="1" x14ac:dyDescent="0.4">
      <c r="A57" s="2">
        <v>46238.635567129626</v>
      </c>
      <c r="B57" s="1" t="s">
        <v>79</v>
      </c>
      <c r="C57" s="1" t="s">
        <v>8</v>
      </c>
      <c r="D57" s="3">
        <v>25</v>
      </c>
      <c r="E57" s="3">
        <v>836</v>
      </c>
      <c r="F57" s="1" t="s">
        <v>9</v>
      </c>
      <c r="G57" t="str">
        <f>IF(COUNTIFS(
    Sheet1!$B:$B, B57,
    Sheet1!$C:$C, C57,
    Sheet1!$D:$D, D57,
    Sheet1!$E:$E, E57
) = 0, "NO MATCH IN TARGET", "MATCHED")</f>
        <v>MATCHED</v>
      </c>
    </row>
    <row r="58" spans="1:7" ht="15" hidden="1" thickBot="1" x14ac:dyDescent="0.4">
      <c r="A58" s="2">
        <v>46238.63554398148</v>
      </c>
      <c r="B58" s="1" t="s">
        <v>72</v>
      </c>
      <c r="C58" s="1" t="s">
        <v>8</v>
      </c>
      <c r="D58" s="3">
        <v>5</v>
      </c>
      <c r="E58" s="3">
        <v>1132</v>
      </c>
      <c r="F58" s="1" t="s">
        <v>9</v>
      </c>
      <c r="G58" t="str">
        <f>IF(COUNTIFS(
    Sheet1!$B:$B, B58,
    Sheet1!$C:$C, C58,
    Sheet1!$D:$D, D58,
    Sheet1!$E:$E, E58
) = 0, "NO MATCH IN TARGET", "MATCHED")</f>
        <v>MATCHED</v>
      </c>
    </row>
    <row r="59" spans="1:7" ht="15" hidden="1" thickBot="1" x14ac:dyDescent="0.4">
      <c r="A59" s="2">
        <v>46237.69027777778</v>
      </c>
      <c r="B59" s="1" t="s">
        <v>32</v>
      </c>
      <c r="C59" s="1" t="s">
        <v>8</v>
      </c>
      <c r="D59" s="3">
        <v>100</v>
      </c>
      <c r="E59" s="3">
        <v>111</v>
      </c>
      <c r="F59" s="1" t="s">
        <v>9</v>
      </c>
      <c r="G59" t="str">
        <f>IF(COUNTIFS(
    Sheet1!$B:$B, B59,
    Sheet1!$C:$C, C59,
    Sheet1!$D:$D, D59,
    Sheet1!$E:$E, E59
) = 0, "NO MATCH IN TARGET", "MATCHED")</f>
        <v>MATCHED</v>
      </c>
    </row>
    <row r="60" spans="1:7" ht="15" hidden="1" thickBot="1" x14ac:dyDescent="0.4">
      <c r="A60" s="2">
        <v>46238.635520833333</v>
      </c>
      <c r="B60" s="1" t="s">
        <v>78</v>
      </c>
      <c r="C60" s="1" t="s">
        <v>8</v>
      </c>
      <c r="D60" s="3">
        <v>40</v>
      </c>
      <c r="E60" s="3">
        <v>897</v>
      </c>
      <c r="F60" s="1" t="s">
        <v>9</v>
      </c>
      <c r="G60" t="str">
        <f>IF(COUNTIFS(
    Sheet1!$B:$B, B60,
    Sheet1!$C:$C, C60,
    Sheet1!$D:$D, D60,
    Sheet1!$E:$E, E60
) = 0, "NO MATCH IN TARGET", "MATCHED")</f>
        <v>MATCHED</v>
      </c>
    </row>
    <row r="61" spans="1:7" ht="15" hidden="1" thickBot="1" x14ac:dyDescent="0.4">
      <c r="A61" s="2">
        <v>46238.690567129626</v>
      </c>
      <c r="B61" s="1" t="s">
        <v>34</v>
      </c>
      <c r="C61" s="1" t="s">
        <v>8</v>
      </c>
      <c r="D61" s="3">
        <v>5</v>
      </c>
      <c r="E61" s="3">
        <v>366</v>
      </c>
      <c r="F61" s="1" t="s">
        <v>9</v>
      </c>
      <c r="G61" t="str">
        <f>IF(COUNTIFS(
    Sheet1!$B:$B, B61,
    Sheet1!$C:$C, C61,
    Sheet1!$D:$D, D61,
    Sheet1!$E:$E, E61
) = 0, "NO MATCH IN TARGET", "MATCHED")</f>
        <v>MATCHED</v>
      </c>
    </row>
    <row r="62" spans="1:7" ht="15" thickBot="1" x14ac:dyDescent="0.4">
      <c r="A62" s="2">
        <v>46238.635555555556</v>
      </c>
      <c r="B62" s="1" t="s">
        <v>93</v>
      </c>
      <c r="C62" s="1" t="s">
        <v>8</v>
      </c>
      <c r="D62" s="3">
        <v>25</v>
      </c>
      <c r="E62" s="3">
        <v>764</v>
      </c>
      <c r="F62" s="1" t="s">
        <v>9</v>
      </c>
      <c r="G62" t="str">
        <f>IF(COUNTIFS(
    Sheet1!$B:$B, B62,
    Sheet1!$C:$C, C62,
    Sheet1!$D:$D, D62,
    Sheet1!$E:$E, E62
) = 0, "NO MATCH IN TARGET", "MATCHED")</f>
        <v>MATCHED</v>
      </c>
    </row>
    <row r="63" spans="1:7" ht="15" thickBot="1" x14ac:dyDescent="0.4">
      <c r="A63" s="2">
        <v>46237.635555555556</v>
      </c>
      <c r="B63" s="1" t="s">
        <v>83</v>
      </c>
      <c r="C63" s="1" t="s">
        <v>8</v>
      </c>
      <c r="D63" s="3">
        <v>1</v>
      </c>
      <c r="E63" s="3">
        <v>4110</v>
      </c>
      <c r="F63" s="1" t="s">
        <v>9</v>
      </c>
      <c r="G63" t="str">
        <f>IF(COUNTIFS(
    Sheet1!$B:$B, B63,
    Sheet1!$C:$C, C63,
    Sheet1!$D:$D, D63,
    Sheet1!$E:$E, E63
) = 0, "NO MATCH IN TARGET", "MATCHED")</f>
        <v>MATCHED</v>
      </c>
    </row>
    <row r="64" spans="1:7" ht="15" hidden="1" thickBot="1" x14ac:dyDescent="0.4">
      <c r="A64" s="2">
        <v>46238.690497685187</v>
      </c>
      <c r="B64" s="1" t="s">
        <v>7</v>
      </c>
      <c r="C64" s="1" t="s">
        <v>8</v>
      </c>
      <c r="D64" s="3">
        <v>100</v>
      </c>
      <c r="E64" s="3">
        <v>337</v>
      </c>
      <c r="F64" s="1" t="s">
        <v>9</v>
      </c>
      <c r="G64" t="str">
        <f>IF(COUNTIFS(
    Sheet1!$B:$B, B64,
    Sheet1!$C:$C, C64,
    Sheet1!$D:$D, D64,
    Sheet1!$E:$E, E64
) = 0, "NO MATCH IN TARGET", "MATCHED")</f>
        <v>MATCHED</v>
      </c>
    </row>
    <row r="65" spans="1:7" ht="15" thickBot="1" x14ac:dyDescent="0.4">
      <c r="A65" s="2">
        <v>46233.688194444447</v>
      </c>
      <c r="B65" s="1" t="s">
        <v>90</v>
      </c>
      <c r="C65" s="1" t="s">
        <v>8</v>
      </c>
      <c r="D65" s="3">
        <v>5</v>
      </c>
      <c r="E65" s="3">
        <v>702</v>
      </c>
      <c r="F65" s="1" t="s">
        <v>9</v>
      </c>
      <c r="G65" t="str">
        <f>IF(COUNTIFS(
    Sheet1!$B:$B, B65,
    Sheet1!$C:$C, C65,
    Sheet1!$D:$D, D65,
    Sheet1!$E:$E, E65
) = 0, "NO MATCH IN TARGET", "MATCHED")</f>
        <v>MATCHED</v>
      </c>
    </row>
    <row r="66" spans="1:7" ht="15" hidden="1" thickBot="1" x14ac:dyDescent="0.4">
      <c r="A66" s="2">
        <v>46238.63553240741</v>
      </c>
      <c r="B66" s="1" t="s">
        <v>77</v>
      </c>
      <c r="C66" s="1" t="s">
        <v>8</v>
      </c>
      <c r="D66" s="3">
        <v>10</v>
      </c>
      <c r="E66" s="3">
        <v>1166</v>
      </c>
      <c r="F66" s="1" t="s">
        <v>9</v>
      </c>
      <c r="G66" t="str">
        <f>IF(COUNTIFS(
    Sheet1!$B:$B, B66,
    Sheet1!$C:$C, C66,
    Sheet1!$D:$D, D66,
    Sheet1!$E:$E, E66
) = 0, "NO MATCH IN TARGET", "MATCHED")</f>
        <v>MATCHED</v>
      </c>
    </row>
    <row r="67" spans="1:7" ht="15" thickBot="1" x14ac:dyDescent="0.4">
      <c r="A67" s="2">
        <v>46233.688194444447</v>
      </c>
      <c r="B67" s="1" t="s">
        <v>95</v>
      </c>
      <c r="C67" s="1" t="s">
        <v>8</v>
      </c>
      <c r="D67" s="3">
        <v>2</v>
      </c>
      <c r="E67" s="3">
        <v>3760</v>
      </c>
      <c r="F67" s="1" t="s">
        <v>9</v>
      </c>
      <c r="G67" t="str">
        <f>IF(COUNTIFS(
    Sheet1!$B:$B, B67,
    Sheet1!$C:$C, C67,
    Sheet1!$D:$D, D67,
    Sheet1!$E:$E, E67
) = 0, "NO MATCH IN TARGET", "MATCHED")</f>
        <v>MATCHED</v>
      </c>
    </row>
    <row r="68" spans="1:7" ht="15" thickBot="1" x14ac:dyDescent="0.4">
      <c r="A68" s="2">
        <v>46237.635555555556</v>
      </c>
      <c r="B68" s="1" t="s">
        <v>80</v>
      </c>
      <c r="C68" s="1" t="s">
        <v>8</v>
      </c>
      <c r="D68" s="3">
        <v>5</v>
      </c>
      <c r="E68" s="3">
        <v>2888</v>
      </c>
      <c r="F68" s="1" t="s">
        <v>9</v>
      </c>
      <c r="G68" t="str">
        <f>IF(COUNTIFS(
    Sheet1!$B:$B, B68,
    Sheet1!$C:$C, C68,
    Sheet1!$D:$D, D68,
    Sheet1!$E:$E, E68
) = 0, "NO MATCH IN TARGET", "MATCHED")</f>
        <v>MATCHED</v>
      </c>
    </row>
    <row r="69" spans="1:7" ht="15" thickBot="1" x14ac:dyDescent="0.4">
      <c r="A69" s="2">
        <v>46237.63553240741</v>
      </c>
      <c r="B69" s="1" t="s">
        <v>84</v>
      </c>
      <c r="C69" s="1" t="s">
        <v>8</v>
      </c>
      <c r="D69" s="3">
        <v>1</v>
      </c>
      <c r="E69" s="3">
        <v>17552</v>
      </c>
      <c r="F69" s="1" t="s">
        <v>9</v>
      </c>
      <c r="G69" t="str">
        <f>IF(COUNTIFS(
    Sheet1!$B:$B, B69,
    Sheet1!$C:$C, C69,
    Sheet1!$D:$D, D69,
    Sheet1!$E:$E, E69
) = 0, "NO MATCH IN TARGET", "MATCHED")</f>
        <v>MATCHED</v>
      </c>
    </row>
    <row r="70" spans="1:7" ht="15" hidden="1" thickBot="1" x14ac:dyDescent="0.4">
      <c r="A70" s="2">
        <v>46238.690497685187</v>
      </c>
      <c r="B70" s="1" t="s">
        <v>31</v>
      </c>
      <c r="C70" s="1" t="s">
        <v>8</v>
      </c>
      <c r="D70" s="3">
        <v>4</v>
      </c>
      <c r="E70" s="3">
        <v>1751</v>
      </c>
      <c r="F70" s="1" t="s">
        <v>9</v>
      </c>
      <c r="G70" t="str">
        <f>IF(COUNTIFS(
    Sheet1!$B:$B, B70,
    Sheet1!$C:$C, C70,
    Sheet1!$D:$D, D70,
    Sheet1!$E:$E, E70
) = 0, "NO MATCH IN TARGET", "MATCHED")</f>
        <v>MATCHED</v>
      </c>
    </row>
    <row r="71" spans="1:7" ht="15" hidden="1" thickBot="1" x14ac:dyDescent="0.4">
      <c r="A71" s="2">
        <v>46238.690532407411</v>
      </c>
      <c r="B71" s="1" t="s">
        <v>7</v>
      </c>
      <c r="C71" s="1" t="s">
        <v>8</v>
      </c>
      <c r="D71" s="3">
        <v>100</v>
      </c>
      <c r="E71" s="3">
        <v>335</v>
      </c>
      <c r="F71" s="1" t="s">
        <v>9</v>
      </c>
      <c r="G71" t="str">
        <f>IF(COUNTIFS(
    Sheet1!$B:$B, B71,
    Sheet1!$C:$C, C71,
    Sheet1!$D:$D, D71,
    Sheet1!$E:$E, E71
) = 0, "NO MATCH IN TARGET", "MATCHED")</f>
        <v>MATCHED</v>
      </c>
    </row>
    <row r="72" spans="1:7" ht="15" thickBot="1" x14ac:dyDescent="0.4">
      <c r="A72" s="2">
        <v>46238.690462962964</v>
      </c>
      <c r="B72" s="1" t="s">
        <v>39</v>
      </c>
      <c r="C72" s="1" t="s">
        <v>8</v>
      </c>
      <c r="D72" s="3">
        <v>20</v>
      </c>
      <c r="E72" s="3">
        <v>281</v>
      </c>
      <c r="F72" s="1" t="s">
        <v>9</v>
      </c>
      <c r="G72" t="str">
        <f>IF(COUNTIFS(
    Sheet1!$B:$B, B72,
    Sheet1!$C:$C, C72,
    Sheet1!$D:$D, D72,
    Sheet1!$E:$E, E72
) = 0, "NO MATCH IN TARGET", "MATCHED")</f>
        <v>MATCHED</v>
      </c>
    </row>
    <row r="73" spans="1:7" ht="15" hidden="1" thickBot="1" x14ac:dyDescent="0.4">
      <c r="A73" s="2">
        <v>46238.690509259257</v>
      </c>
      <c r="B73" s="1" t="s">
        <v>30</v>
      </c>
      <c r="C73" s="1" t="s">
        <v>8</v>
      </c>
      <c r="D73" s="3">
        <v>25</v>
      </c>
      <c r="E73" s="3">
        <v>190.1</v>
      </c>
      <c r="F73" s="1" t="s">
        <v>9</v>
      </c>
      <c r="G73" t="str">
        <f>IF(COUNTIFS(
    Sheet1!$B:$B, B73,
    Sheet1!$C:$C, C73,
    Sheet1!$D:$D, D73,
    Sheet1!$E:$E, E73
) = 0, "NO MATCH IN TARGET", "MATCHED")</f>
        <v>MATCHED</v>
      </c>
    </row>
    <row r="74" spans="1:7" ht="15" thickBot="1" x14ac:dyDescent="0.4">
      <c r="A74" s="2">
        <v>46234.6875</v>
      </c>
      <c r="B74" s="1" t="s">
        <v>57</v>
      </c>
      <c r="C74" s="1" t="s">
        <v>8</v>
      </c>
      <c r="D74" s="3">
        <v>1</v>
      </c>
      <c r="E74" s="3">
        <v>3360</v>
      </c>
      <c r="F74" s="1" t="s">
        <v>9</v>
      </c>
      <c r="G74" t="str">
        <f>IF(COUNTIFS(
    Sheet1!$B:$B, B74,
    Sheet1!$C:$C, C74,
    Sheet1!$D:$D, D74,
    Sheet1!$E:$E, E74
) = 0, "NO MATCH IN TARGET", "MATCHED")</f>
        <v>MATCHED</v>
      </c>
    </row>
    <row r="75" spans="1:7" ht="15" hidden="1" thickBot="1" x14ac:dyDescent="0.4">
      <c r="A75" s="2">
        <v>46238.690428240741</v>
      </c>
      <c r="B75" s="1" t="s">
        <v>27</v>
      </c>
      <c r="C75" s="1" t="s">
        <v>8</v>
      </c>
      <c r="D75" s="3">
        <v>2</v>
      </c>
      <c r="E75" s="3">
        <v>4410</v>
      </c>
      <c r="F75" s="1" t="s">
        <v>9</v>
      </c>
      <c r="G75" t="str">
        <f>IF(COUNTIFS(
    Sheet1!$B:$B, B75,
    Sheet1!$C:$C, C75,
    Sheet1!$D:$D, D75,
    Sheet1!$E:$E, E75
) = 0, "NO MATCH IN TARGET", "MATCHED")</f>
        <v>MATCHED</v>
      </c>
    </row>
    <row r="76" spans="1:7" ht="15" hidden="1" thickBot="1" x14ac:dyDescent="0.4">
      <c r="A76" s="2">
        <v>46237.63553240741</v>
      </c>
      <c r="B76" s="1" t="s">
        <v>76</v>
      </c>
      <c r="C76" s="1" t="s">
        <v>8</v>
      </c>
      <c r="D76" s="3">
        <v>4</v>
      </c>
      <c r="E76" s="3">
        <v>1066</v>
      </c>
      <c r="F76" s="1" t="s">
        <v>9</v>
      </c>
      <c r="G76" t="str">
        <f>IF(COUNTIFS(
    Sheet1!$B:$B, B76,
    Sheet1!$C:$C, C76,
    Sheet1!$D:$D, D76,
    Sheet1!$E:$E, E76
) = 0, "NO MATCH IN TARGET", "MATCHED")</f>
        <v>MATCHED</v>
      </c>
    </row>
    <row r="77" spans="1:7" ht="15" hidden="1" thickBot="1" x14ac:dyDescent="0.4">
      <c r="A77" s="2">
        <v>46238.690358796295</v>
      </c>
      <c r="B77" s="1" t="s">
        <v>26</v>
      </c>
      <c r="C77" s="1" t="s">
        <v>8</v>
      </c>
      <c r="D77" s="3">
        <v>30</v>
      </c>
      <c r="E77" s="3">
        <v>860</v>
      </c>
      <c r="F77" s="1" t="s">
        <v>9</v>
      </c>
      <c r="G77" t="str">
        <f>IF(COUNTIFS(
    Sheet1!$B:$B, B77,
    Sheet1!$C:$C, C77,
    Sheet1!$D:$D, D77,
    Sheet1!$E:$E, E77
) = 0, "NO MATCH IN TARGET", "MATCHED")</f>
        <v>MATCHED</v>
      </c>
    </row>
    <row r="78" spans="1:7" ht="15" thickBot="1" x14ac:dyDescent="0.4">
      <c r="A78" s="2">
        <v>46233.688194444447</v>
      </c>
      <c r="B78" s="1" t="s">
        <v>83</v>
      </c>
      <c r="C78" s="1" t="s">
        <v>8</v>
      </c>
      <c r="D78" s="3">
        <v>2</v>
      </c>
      <c r="E78" s="3">
        <v>4060</v>
      </c>
      <c r="F78" s="1" t="s">
        <v>9</v>
      </c>
      <c r="G78" t="str">
        <f>IF(COUNTIFS(
    Sheet1!$B:$B, B78,
    Sheet1!$C:$C, C78,
    Sheet1!$D:$D, D78,
    Sheet1!$E:$E, E78
) = 0, "NO MATCH IN TARGET", "MATCHED")</f>
        <v>MATCHED</v>
      </c>
    </row>
    <row r="79" spans="1:7" ht="15" thickBot="1" x14ac:dyDescent="0.4">
      <c r="A79" s="2">
        <v>46237.768750000003</v>
      </c>
      <c r="B79" s="1" t="s">
        <v>7</v>
      </c>
      <c r="C79" s="1" t="s">
        <v>8</v>
      </c>
      <c r="D79" s="3">
        <v>100</v>
      </c>
      <c r="E79" s="3">
        <v>331</v>
      </c>
      <c r="F79" s="1" t="s">
        <v>9</v>
      </c>
      <c r="G79" t="str">
        <f>IF(COUNTIFS(
    Sheet1!$B:$B, B79,
    Sheet1!$C:$C, C79,
    Sheet1!$D:$D, D79,
    Sheet1!$E:$E, E79
) = 0, "NO MATCH IN TARGET", "MATCHED")</f>
        <v>MATCHED</v>
      </c>
    </row>
    <row r="80" spans="1:7" ht="15" thickBot="1" x14ac:dyDescent="0.4">
      <c r="A80" s="2">
        <v>46237.69027777778</v>
      </c>
      <c r="B80" s="1" t="s">
        <v>26</v>
      </c>
      <c r="C80" s="1" t="s">
        <v>8</v>
      </c>
      <c r="D80" s="3">
        <v>5</v>
      </c>
      <c r="E80" s="3">
        <v>852</v>
      </c>
      <c r="F80" s="1" t="s">
        <v>9</v>
      </c>
      <c r="G80" t="str">
        <f>IF(COUNTIFS(
    Sheet1!$B:$B, B80,
    Sheet1!$C:$C, C80,
    Sheet1!$D:$D, D80,
    Sheet1!$E:$E, E80
) = 0, "NO MATCH IN TARGET", "MATCHED")</f>
        <v>MATCHED</v>
      </c>
    </row>
    <row r="81" spans="1:7" ht="15" hidden="1" thickBot="1" x14ac:dyDescent="0.4">
      <c r="A81" s="2">
        <v>46237.768750000003</v>
      </c>
      <c r="B81" s="1" t="s">
        <v>24</v>
      </c>
      <c r="C81" s="1" t="s">
        <v>8</v>
      </c>
      <c r="D81" s="3">
        <v>7</v>
      </c>
      <c r="E81" s="3">
        <v>411</v>
      </c>
      <c r="F81" s="1" t="s">
        <v>9</v>
      </c>
      <c r="G81" t="str">
        <f>IF(COUNTIFS(
    Sheet1!$B:$B, B81,
    Sheet1!$C:$C, C81,
    Sheet1!$D:$D, D81,
    Sheet1!$E:$E, E81
) = 0, "NO MATCH IN TARGET", "MATCHED")</f>
        <v>MATCHED</v>
      </c>
    </row>
    <row r="82" spans="1:7" ht="15" thickBot="1" x14ac:dyDescent="0.4">
      <c r="A82" s="2">
        <v>46238.690509259257</v>
      </c>
      <c r="B82" s="1" t="s">
        <v>27</v>
      </c>
      <c r="C82" s="1" t="s">
        <v>8</v>
      </c>
      <c r="D82" s="3">
        <v>1</v>
      </c>
      <c r="E82" s="3">
        <v>4364</v>
      </c>
      <c r="F82" s="1" t="s">
        <v>9</v>
      </c>
      <c r="G82" t="str">
        <f>IF(COUNTIFS(
    Sheet1!$B:$B, B82,
    Sheet1!$C:$C, C82,
    Sheet1!$D:$D, D82,
    Sheet1!$E:$E, E82
) = 0, "NO MATCH IN TARGET", "MATCHED")</f>
        <v>MATCHED</v>
      </c>
    </row>
    <row r="83" spans="1:7" ht="15" thickBot="1" x14ac:dyDescent="0.4">
      <c r="A83" s="2">
        <v>46238.690462962964</v>
      </c>
      <c r="B83" s="1" t="s">
        <v>39</v>
      </c>
      <c r="C83" s="1" t="s">
        <v>8</v>
      </c>
      <c r="D83" s="3">
        <v>37</v>
      </c>
      <c r="E83" s="3">
        <v>277</v>
      </c>
      <c r="F83" s="1" t="s">
        <v>9</v>
      </c>
      <c r="G83" t="str">
        <f>IF(COUNTIFS(
    Sheet1!$B:$B, B83,
    Sheet1!$C:$C, C83,
    Sheet1!$D:$D, D83,
    Sheet1!$E:$E, E83
) = 0, "NO MATCH IN TARGET", "MATCHED")</f>
        <v>MATCHED</v>
      </c>
    </row>
    <row r="84" spans="1:7" ht="15" thickBot="1" x14ac:dyDescent="0.4">
      <c r="A84" s="2">
        <v>46238.635567129626</v>
      </c>
      <c r="B84" s="1" t="s">
        <v>79</v>
      </c>
      <c r="C84" s="1" t="s">
        <v>8</v>
      </c>
      <c r="D84" s="3">
        <v>5</v>
      </c>
      <c r="E84" s="3">
        <v>812</v>
      </c>
      <c r="F84" s="1" t="s">
        <v>9</v>
      </c>
      <c r="G84" t="str">
        <f>IF(COUNTIFS(
    Sheet1!$B:$B, B84,
    Sheet1!$C:$C, C84,
    Sheet1!$D:$D, D84,
    Sheet1!$E:$E, E84
) = 0, "NO MATCH IN TARGET", "MATCHED")</f>
        <v>MATCHED</v>
      </c>
    </row>
    <row r="85" spans="1:7" ht="15" thickBot="1" x14ac:dyDescent="0.4">
      <c r="A85" s="2">
        <v>46237.63554398148</v>
      </c>
      <c r="B85" s="1" t="s">
        <v>82</v>
      </c>
      <c r="C85" s="1" t="s">
        <v>8</v>
      </c>
      <c r="D85" s="3">
        <v>9</v>
      </c>
      <c r="E85" s="3">
        <v>2251</v>
      </c>
      <c r="F85" s="1" t="s">
        <v>9</v>
      </c>
      <c r="G85" t="str">
        <f>IF(COUNTIFS(
    Sheet1!$B:$B, B85,
    Sheet1!$C:$C, C85,
    Sheet1!$D:$D, D85,
    Sheet1!$E:$E, E85
) = 0, "NO MATCH IN TARGET", "MATCHED")</f>
        <v>MATCHED</v>
      </c>
    </row>
    <row r="86" spans="1:7" ht="15" thickBot="1" x14ac:dyDescent="0.4">
      <c r="A86" s="2">
        <v>46233.688194444447</v>
      </c>
      <c r="B86" s="1" t="s">
        <v>83</v>
      </c>
      <c r="C86" s="1" t="s">
        <v>8</v>
      </c>
      <c r="D86" s="3">
        <v>2</v>
      </c>
      <c r="E86" s="3">
        <v>4010</v>
      </c>
      <c r="F86" s="1" t="s">
        <v>9</v>
      </c>
      <c r="G86" t="str">
        <f>IF(COUNTIFS(
    Sheet1!$B:$B, B86,
    Sheet1!$C:$C, C86,
    Sheet1!$D:$D, D86,
    Sheet1!$E:$E, E86
) = 0, "NO MATCH IN TARGET", "MATCHED")</f>
        <v>MATCHED</v>
      </c>
    </row>
    <row r="87" spans="1:7" ht="15" thickBot="1" x14ac:dyDescent="0.4">
      <c r="A87" s="2">
        <v>46237.69027777778</v>
      </c>
      <c r="B87" s="1" t="s">
        <v>102</v>
      </c>
      <c r="C87" s="1" t="s">
        <v>8</v>
      </c>
      <c r="D87" s="3">
        <v>10</v>
      </c>
      <c r="E87" s="3">
        <v>251</v>
      </c>
      <c r="F87" s="1" t="s">
        <v>9</v>
      </c>
      <c r="G87" t="str">
        <f>IF(COUNTIFS(
    Sheet1!$B:$B, B87,
    Sheet1!$C:$C, C87,
    Sheet1!$D:$D, D87,
    Sheet1!$E:$E, E87
) = 0, "NO MATCH IN TARGET", "MATCHED")</f>
        <v>MATCHED</v>
      </c>
    </row>
    <row r="88" spans="1:7" ht="15" thickBot="1" x14ac:dyDescent="0.4">
      <c r="A88" s="2">
        <v>46237.768750000003</v>
      </c>
      <c r="B88" s="1" t="s">
        <v>7</v>
      </c>
      <c r="C88" s="1" t="s">
        <v>8</v>
      </c>
      <c r="D88" s="3">
        <v>100</v>
      </c>
      <c r="E88" s="3">
        <v>327</v>
      </c>
      <c r="F88" s="1" t="s">
        <v>9</v>
      </c>
      <c r="G88" t="str">
        <f>IF(COUNTIFS(
    Sheet1!$B:$B, B88,
    Sheet1!$C:$C, C88,
    Sheet1!$D:$D, D88,
    Sheet1!$E:$E, E88
) = 0, "NO MATCH IN TARGET", "MATCHED")</f>
        <v>MATCHED</v>
      </c>
    </row>
    <row r="89" spans="1:7" ht="15" hidden="1" thickBot="1" x14ac:dyDescent="0.4">
      <c r="A89" s="2">
        <v>46234.6875</v>
      </c>
      <c r="B89" s="1" t="s">
        <v>34</v>
      </c>
      <c r="C89" s="1" t="s">
        <v>8</v>
      </c>
      <c r="D89" s="3">
        <v>25</v>
      </c>
      <c r="E89" s="3">
        <v>352</v>
      </c>
      <c r="F89" s="1" t="s">
        <v>9</v>
      </c>
      <c r="G89" t="str">
        <f>IF(COUNTIFS(
    Sheet1!$B:$B, B89,
    Sheet1!$C:$C, C89,
    Sheet1!$D:$D, D89,
    Sheet1!$E:$E, E89
) = 0, "NO MATCH IN TARGET", "MATCHED")</f>
        <v>MATCHED</v>
      </c>
    </row>
    <row r="90" spans="1:7" ht="15" thickBot="1" x14ac:dyDescent="0.4">
      <c r="A90" s="2">
        <v>46238.690393518518</v>
      </c>
      <c r="B90" s="1" t="s">
        <v>16</v>
      </c>
      <c r="C90" s="1" t="s">
        <v>8</v>
      </c>
      <c r="D90" s="3">
        <v>5</v>
      </c>
      <c r="E90" s="3">
        <v>516</v>
      </c>
      <c r="F90" s="1" t="s">
        <v>9</v>
      </c>
      <c r="G90" t="str">
        <f>IF(COUNTIFS(
    Sheet1!$B:$B, B90,
    Sheet1!$C:$C, C90,
    Sheet1!$D:$D, D90,
    Sheet1!$E:$E, E90
) = 0, "NO MATCH IN TARGET", "MATCHED")</f>
        <v>NO MATCH IN TARGET</v>
      </c>
    </row>
    <row r="91" spans="1:7" ht="15" thickBot="1" x14ac:dyDescent="0.4">
      <c r="A91" s="2">
        <v>46237.768750000003</v>
      </c>
      <c r="B91" s="1" t="s">
        <v>7</v>
      </c>
      <c r="C91" s="1" t="s">
        <v>8</v>
      </c>
      <c r="D91" s="3">
        <v>100</v>
      </c>
      <c r="E91" s="3">
        <v>322</v>
      </c>
      <c r="F91" s="1" t="s">
        <v>9</v>
      </c>
      <c r="G91" t="str">
        <f>IF(COUNTIFS(
    Sheet1!$B:$B, B91,
    Sheet1!$C:$C, C91,
    Sheet1!$D:$D, D91,
    Sheet1!$E:$E, E91
) = 0, "NO MATCH IN TARGET", "MATCHED")</f>
        <v>MATCHED</v>
      </c>
    </row>
    <row r="92" spans="1:7" ht="15" thickBot="1" x14ac:dyDescent="0.4">
      <c r="A92" s="2">
        <v>46237.768750000003</v>
      </c>
      <c r="B92" s="1" t="s">
        <v>41</v>
      </c>
      <c r="C92" s="1" t="s">
        <v>8</v>
      </c>
      <c r="D92" s="3">
        <v>200</v>
      </c>
      <c r="E92" s="3">
        <v>31.01</v>
      </c>
      <c r="F92" s="1" t="s">
        <v>9</v>
      </c>
      <c r="G92" t="str">
        <f>IF(COUNTIFS(
    Sheet1!$B:$B, B92,
    Sheet1!$C:$C, C92,
    Sheet1!$D:$D, D92,
    Sheet1!$E:$E, E92
) = 0, "NO MATCH IN TARGET", "MATCHED")</f>
        <v>MATCHED</v>
      </c>
    </row>
    <row r="93" spans="1:7" ht="15" thickBot="1" x14ac:dyDescent="0.4">
      <c r="A93" s="2">
        <v>46237.635497685187</v>
      </c>
      <c r="B93" s="1" t="s">
        <v>103</v>
      </c>
      <c r="C93" s="1" t="s">
        <v>8</v>
      </c>
      <c r="D93" s="3">
        <v>1</v>
      </c>
      <c r="E93" s="3">
        <v>6920</v>
      </c>
      <c r="F93" s="1" t="s">
        <v>9</v>
      </c>
      <c r="G93" t="str">
        <f>IF(COUNTIFS(
    Sheet1!$B:$B, B93,
    Sheet1!$C:$C, C93,
    Sheet1!$D:$D, D93,
    Sheet1!$E:$E, E93
) = 0, "NO MATCH IN TARGET", "MATCHED")</f>
        <v>MATCHED</v>
      </c>
    </row>
    <row r="94" spans="1:7" ht="15" thickBot="1" x14ac:dyDescent="0.4">
      <c r="A94" s="2">
        <v>46237.63553240741</v>
      </c>
      <c r="B94" s="1" t="s">
        <v>104</v>
      </c>
      <c r="C94" s="1" t="s">
        <v>8</v>
      </c>
      <c r="D94" s="3">
        <v>4</v>
      </c>
      <c r="E94" s="3">
        <v>701</v>
      </c>
      <c r="F94" s="1" t="s">
        <v>9</v>
      </c>
      <c r="G94" t="str">
        <f>IF(COUNTIFS(
    Sheet1!$B:$B, B94,
    Sheet1!$C:$C, C94,
    Sheet1!$D:$D, D94,
    Sheet1!$E:$E, E94
) = 0, "NO MATCH IN TARGET", "MATCHED")</f>
        <v>MATCHED</v>
      </c>
    </row>
    <row r="95" spans="1:7" ht="15" thickBot="1" x14ac:dyDescent="0.4">
      <c r="A95" s="2">
        <v>46233.688194444447</v>
      </c>
      <c r="B95" s="1" t="s">
        <v>11</v>
      </c>
      <c r="C95" s="1" t="s">
        <v>8</v>
      </c>
      <c r="D95" s="3">
        <v>1</v>
      </c>
      <c r="E95" s="3">
        <v>2164</v>
      </c>
      <c r="F95" s="1" t="s">
        <v>9</v>
      </c>
      <c r="G95" t="str">
        <f>IF(COUNTIFS(
    Sheet1!$B:$B, B95,
    Sheet1!$C:$C, C95,
    Sheet1!$D:$D, D95,
    Sheet1!$E:$E, E95
) = 0, "NO MATCH IN TARGET", "MATCHED")</f>
        <v>NO MATCH IN TARGET</v>
      </c>
    </row>
    <row r="96" spans="1:7" ht="15" thickBot="1" x14ac:dyDescent="0.4">
      <c r="A96" s="2">
        <v>46237.69027777778</v>
      </c>
      <c r="B96" s="1" t="s">
        <v>27</v>
      </c>
      <c r="C96" s="1" t="s">
        <v>8</v>
      </c>
      <c r="D96" s="3">
        <v>1</v>
      </c>
      <c r="E96" s="3">
        <v>4164</v>
      </c>
      <c r="F96" s="1" t="s">
        <v>9</v>
      </c>
      <c r="G96" t="str">
        <f>IF(COUNTIFS(
    Sheet1!$B:$B, B96,
    Sheet1!$C:$C, C96,
    Sheet1!$D:$D, D96,
    Sheet1!$E:$E, E96
) = 0, "NO MATCH IN TARGET", "MATCHED")</f>
        <v>MATCHED</v>
      </c>
    </row>
    <row r="97" spans="1:7" ht="15" thickBot="1" x14ac:dyDescent="0.4">
      <c r="A97" s="2">
        <v>46237.69027777778</v>
      </c>
      <c r="B97" s="1" t="s">
        <v>37</v>
      </c>
      <c r="C97" s="1" t="s">
        <v>8</v>
      </c>
      <c r="D97" s="3">
        <v>29</v>
      </c>
      <c r="E97" s="3">
        <v>401</v>
      </c>
      <c r="F97" s="1" t="s">
        <v>9</v>
      </c>
      <c r="G97" t="str">
        <f>IF(COUNTIFS(
    Sheet1!$B:$B, B97,
    Sheet1!$C:$C, C97,
    Sheet1!$D:$D, D97,
    Sheet1!$E:$E, E97
) = 0, "NO MATCH IN TARGET", "MATCHED")</f>
        <v>MATCHED</v>
      </c>
    </row>
    <row r="98" spans="1:7" ht="15" thickBot="1" x14ac:dyDescent="0.4">
      <c r="A98" s="2">
        <v>46237.768750000003</v>
      </c>
      <c r="B98" s="1" t="s">
        <v>16</v>
      </c>
      <c r="C98" s="1" t="s">
        <v>8</v>
      </c>
      <c r="D98" s="3">
        <v>15</v>
      </c>
      <c r="E98" s="3">
        <v>492</v>
      </c>
      <c r="F98" s="1" t="s">
        <v>9</v>
      </c>
      <c r="G98" t="str">
        <f>IF(COUNTIFS(
    Sheet1!$B:$B, B98,
    Sheet1!$C:$C, C98,
    Sheet1!$D:$D, D98,
    Sheet1!$E:$E, E98
) = 0, "NO MATCH IN TARGET", "MATCHED")</f>
        <v>NO MATCH IN TARGET</v>
      </c>
    </row>
    <row r="99" spans="1:7" ht="15" thickBot="1" x14ac:dyDescent="0.4">
      <c r="A99" s="2">
        <v>46234.6875</v>
      </c>
      <c r="B99" s="1" t="s">
        <v>27</v>
      </c>
      <c r="C99" s="1" t="s">
        <v>8</v>
      </c>
      <c r="D99" s="3">
        <v>1</v>
      </c>
      <c r="E99" s="3">
        <v>4014</v>
      </c>
      <c r="F99" s="1" t="s">
        <v>9</v>
      </c>
      <c r="G99" t="str">
        <f>IF(COUNTIFS(
    Sheet1!$B:$B, B99,
    Sheet1!$C:$C, C99,
    Sheet1!$D:$D, D99,
    Sheet1!$E:$E, E99
) = 0, "NO MATCH IN TARGET", "MATCHED")</f>
        <v>MATCHED</v>
      </c>
    </row>
    <row r="100" spans="1:7" ht="15" thickBot="1" x14ac:dyDescent="0.4">
      <c r="A100" s="2">
        <v>46237.768750000003</v>
      </c>
      <c r="B100" s="1" t="s">
        <v>11</v>
      </c>
      <c r="C100" s="1" t="s">
        <v>8</v>
      </c>
      <c r="D100" s="3">
        <v>1</v>
      </c>
      <c r="E100" s="3">
        <v>2064</v>
      </c>
      <c r="F100" s="1" t="s">
        <v>9</v>
      </c>
      <c r="G100" t="str">
        <f>IF(COUNTIFS(
    Sheet1!$B:$B, B100,
    Sheet1!$C:$C, C100,
    Sheet1!$D:$D, D100,
    Sheet1!$E:$E, E100
) = 0, "NO MATCH IN TARGET", "MATCHED")</f>
        <v>MATCHED</v>
      </c>
    </row>
    <row r="101" spans="1:7" ht="15" thickBot="1" x14ac:dyDescent="0.4">
      <c r="A101" s="2">
        <v>46234.6875</v>
      </c>
      <c r="B101" s="1" t="s">
        <v>27</v>
      </c>
      <c r="C101" s="1" t="s">
        <v>8</v>
      </c>
      <c r="D101" s="3">
        <v>1</v>
      </c>
      <c r="E101" s="3">
        <v>3914</v>
      </c>
      <c r="F101" s="1" t="s">
        <v>9</v>
      </c>
      <c r="G101" t="str">
        <f>IF(COUNTIFS(
    Sheet1!$B:$B, B101,
    Sheet1!$C:$C, C101,
    Sheet1!$D:$D, D101,
    Sheet1!$E:$E, E101
) = 0, "NO MATCH IN TARGET", "MATCHED")</f>
        <v>MATCHED</v>
      </c>
    </row>
    <row r="102" spans="1:7" ht="15" thickBot="1" x14ac:dyDescent="0.4">
      <c r="A102" s="2">
        <v>46234.6875</v>
      </c>
      <c r="B102" s="1" t="s">
        <v>16</v>
      </c>
      <c r="C102" s="1" t="s">
        <v>8</v>
      </c>
      <c r="D102" s="3">
        <v>10</v>
      </c>
      <c r="E102" s="3">
        <v>468</v>
      </c>
      <c r="F102" s="1" t="s">
        <v>9</v>
      </c>
      <c r="G102" t="str">
        <f>IF(COUNTIFS(
    Sheet1!$B:$B, B102,
    Sheet1!$C:$C, C102,
    Sheet1!$D:$D, D102,
    Sheet1!$E:$E, E102
) = 0, "NO MATCH IN TARGET", "MATCHED")</f>
        <v>NO MATCH IN TARGET</v>
      </c>
    </row>
    <row r="103" spans="1:7" ht="15" thickBot="1" x14ac:dyDescent="0.4">
      <c r="A103" s="2">
        <v>46238.644733796296</v>
      </c>
      <c r="B103" s="1" t="s">
        <v>79</v>
      </c>
      <c r="C103" s="1" t="s">
        <v>14</v>
      </c>
      <c r="D103" s="3">
        <v>5</v>
      </c>
      <c r="E103" s="3">
        <v>886</v>
      </c>
      <c r="F103" s="1" t="s">
        <v>9</v>
      </c>
      <c r="G103" t="str">
        <f>IF(COUNTIFS(
    Sheet1!$B:$B, B103,
    Sheet1!$C:$C, C103,
    Sheet1!$D:$D, D103,
    Sheet1!$E:$E, E103
) = 0, "NO MATCH IN TARGET", "MATCHED")</f>
        <v>NO MATCH IN TARGET</v>
      </c>
    </row>
    <row r="104" spans="1:7" ht="15" hidden="1" thickBot="1" x14ac:dyDescent="0.4">
      <c r="A104" s="2">
        <v>46238.644733796296</v>
      </c>
      <c r="B104" s="1" t="s">
        <v>65</v>
      </c>
      <c r="C104" s="1" t="s">
        <v>14</v>
      </c>
      <c r="D104" s="3">
        <v>10</v>
      </c>
      <c r="E104" s="3">
        <v>1280</v>
      </c>
      <c r="F104" s="1" t="s">
        <v>9</v>
      </c>
      <c r="G104" t="str">
        <f>IF(COUNTIFS(
    Sheet1!$B:$B, B104,
    Sheet1!$C:$C, C104,
    Sheet1!$D:$D, D104,
    Sheet1!$E:$E, E104
) = 0, "NO MATCH IN TARGET", "MATCHED")</f>
        <v>MATCHED</v>
      </c>
    </row>
    <row r="105" spans="1:7" ht="15" thickBot="1" x14ac:dyDescent="0.4">
      <c r="A105" s="2">
        <v>46238.64472222222</v>
      </c>
      <c r="B105" s="1" t="s">
        <v>72</v>
      </c>
      <c r="C105" s="1" t="s">
        <v>14</v>
      </c>
      <c r="D105" s="3">
        <v>5</v>
      </c>
      <c r="E105" s="3">
        <v>1211</v>
      </c>
      <c r="F105" s="1" t="s">
        <v>9</v>
      </c>
      <c r="G105" t="str">
        <f>IF(COUNTIFS(
    Sheet1!$B:$B, B105,
    Sheet1!$C:$C, C105,
    Sheet1!$D:$D, D105,
    Sheet1!$E:$E, E105
) = 0, "NO MATCH IN TARGET", "MATCHED")</f>
        <v>NO MATCH IN TARGET</v>
      </c>
    </row>
    <row r="106" spans="1:7" ht="15" hidden="1" thickBot="1" x14ac:dyDescent="0.4">
      <c r="A106" s="2">
        <v>46238.64471064815</v>
      </c>
      <c r="B106" s="1" t="s">
        <v>79</v>
      </c>
      <c r="C106" s="1" t="s">
        <v>14</v>
      </c>
      <c r="D106" s="3">
        <v>20</v>
      </c>
      <c r="E106" s="3">
        <v>896</v>
      </c>
      <c r="F106" s="1" t="s">
        <v>9</v>
      </c>
      <c r="G106" t="str">
        <f>IF(COUNTIFS(
    Sheet1!$B:$B, B106,
    Sheet1!$C:$C, C106,
    Sheet1!$D:$D, D106,
    Sheet1!$E:$E, E106
) = 0, "NO MATCH IN TARGET", "MATCHED")</f>
        <v>MATCHED</v>
      </c>
    </row>
    <row r="107" spans="1:7" ht="15" thickBot="1" x14ac:dyDescent="0.4">
      <c r="A107" s="2">
        <v>46237.768750000003</v>
      </c>
      <c r="B107" s="1" t="s">
        <v>28</v>
      </c>
      <c r="C107" s="1" t="s">
        <v>14</v>
      </c>
      <c r="D107" s="3">
        <v>40</v>
      </c>
      <c r="E107" s="4">
        <v>444</v>
      </c>
      <c r="F107" s="1" t="s">
        <v>9</v>
      </c>
      <c r="G107" t="str">
        <f>IF(COUNTIFS(
    Sheet1!$B:$B, B107,
    Sheet1!$C:$C, C107,
    Sheet1!$D:$D, D107,
    Sheet1!$E:$E, E107
) = 0, "NO MATCH IN TARGET", "MATCHED")</f>
        <v>NO MATCH IN TARGET</v>
      </c>
    </row>
    <row r="108" spans="1:7" ht="15" hidden="1" thickBot="1" x14ac:dyDescent="0.4">
      <c r="A108" s="2">
        <v>46238.644768518519</v>
      </c>
      <c r="B108" s="1" t="s">
        <v>94</v>
      </c>
      <c r="C108" s="1" t="s">
        <v>14</v>
      </c>
      <c r="D108" s="3">
        <v>10</v>
      </c>
      <c r="E108" s="3">
        <v>1460</v>
      </c>
      <c r="F108" s="1" t="s">
        <v>9</v>
      </c>
      <c r="G108" t="str">
        <f>IF(COUNTIFS(
    Sheet1!$B:$B, B108,
    Sheet1!$C:$C, C108,
    Sheet1!$D:$D, D108,
    Sheet1!$E:$E, E108
) = 0, "NO MATCH IN TARGET", "MATCHED")</f>
        <v>MATCHED</v>
      </c>
    </row>
    <row r="109" spans="1:7" ht="15" thickBot="1" x14ac:dyDescent="0.4">
      <c r="A109" s="2">
        <v>46238.690578703703</v>
      </c>
      <c r="B109" s="1" t="s">
        <v>7</v>
      </c>
      <c r="C109" s="1" t="s">
        <v>14</v>
      </c>
      <c r="D109" s="3">
        <v>50</v>
      </c>
      <c r="E109" s="3">
        <v>365</v>
      </c>
      <c r="F109" s="1" t="s">
        <v>9</v>
      </c>
      <c r="G109" t="str">
        <f>IF(COUNTIFS(
    Sheet1!$B:$B, B109,
    Sheet1!$C:$C, C109,
    Sheet1!$D:$D, D109,
    Sheet1!$E:$E, E109
) = 0, "NO MATCH IN TARGET", "MATCHED")</f>
        <v>NO MATCH IN TARGET</v>
      </c>
    </row>
    <row r="110" spans="1:7" ht="15" thickBot="1" x14ac:dyDescent="0.4">
      <c r="A110" s="2">
        <v>46237.768750000003</v>
      </c>
      <c r="B110" s="1" t="s">
        <v>37</v>
      </c>
      <c r="C110" s="1" t="s">
        <v>14</v>
      </c>
      <c r="D110" s="3">
        <v>5</v>
      </c>
      <c r="E110" s="4">
        <v>469</v>
      </c>
      <c r="F110" s="1" t="s">
        <v>9</v>
      </c>
      <c r="G110" t="str">
        <f>IF(COUNTIFS(
    Sheet1!$B:$B, B110,
    Sheet1!$C:$C, C110,
    Sheet1!$D:$D, D110,
    Sheet1!$E:$E, E110
) = 0, "NO MATCH IN TARGET", "MATCHED")</f>
        <v>NO MATCH IN TARGET</v>
      </c>
    </row>
    <row r="111" spans="1:7" ht="15" hidden="1" thickBot="1" x14ac:dyDescent="0.4">
      <c r="A111" s="2">
        <v>46238.690474537034</v>
      </c>
      <c r="B111" s="1" t="s">
        <v>22</v>
      </c>
      <c r="C111" s="1" t="s">
        <v>14</v>
      </c>
      <c r="D111" s="3">
        <v>10</v>
      </c>
      <c r="E111" s="3">
        <v>2599</v>
      </c>
      <c r="F111" s="1" t="s">
        <v>9</v>
      </c>
      <c r="G111" t="str">
        <f>IF(COUNTIFS(
    Sheet1!$B:$B, B111,
    Sheet1!$C:$C, C111,
    Sheet1!$D:$D, D111,
    Sheet1!$E:$E, E111
) = 0, "NO MATCH IN TARGET", "MATCHED")</f>
        <v>NO MATCH IN TARGET</v>
      </c>
    </row>
    <row r="112" spans="1:7" ht="15" hidden="1" thickBot="1" x14ac:dyDescent="0.4">
      <c r="A112" s="2">
        <v>46238.64471064815</v>
      </c>
      <c r="B112" s="1" t="s">
        <v>87</v>
      </c>
      <c r="C112" s="1" t="s">
        <v>14</v>
      </c>
      <c r="D112" s="3">
        <v>10</v>
      </c>
      <c r="E112" s="3">
        <v>1056</v>
      </c>
      <c r="F112" s="1" t="s">
        <v>9</v>
      </c>
      <c r="G112" t="str">
        <f>IF(COUNTIFS(
    Sheet1!$B:$B, B112,
    Sheet1!$C:$C, C112,
    Sheet1!$D:$D, D112,
    Sheet1!$E:$E, E112
) = 0, "NO MATCH IN TARGET", "MATCHED")</f>
        <v>MATCHED</v>
      </c>
    </row>
    <row r="113" spans="1:7" ht="15" thickBot="1" x14ac:dyDescent="0.4">
      <c r="A113" s="2">
        <v>46238.690462962964</v>
      </c>
      <c r="B113" s="1" t="s">
        <v>28</v>
      </c>
      <c r="C113" s="1" t="s">
        <v>14</v>
      </c>
      <c r="D113" s="3">
        <v>40</v>
      </c>
      <c r="E113" s="3">
        <v>446</v>
      </c>
      <c r="F113" s="1" t="s">
        <v>9</v>
      </c>
      <c r="G113" t="str">
        <f>IF(COUNTIFS(
    Sheet1!$B:$B, B113,
    Sheet1!$C:$C, C113,
    Sheet1!$D:$D, D113,
    Sheet1!$E:$E, E113
) = 0, "NO MATCH IN TARGET", "MATCHED")</f>
        <v>NO MATCH IN TARGET</v>
      </c>
    </row>
    <row r="114" spans="1:7" ht="15" thickBot="1" x14ac:dyDescent="0.4">
      <c r="A114" s="2">
        <v>46237.768750000003</v>
      </c>
      <c r="B114" s="1" t="s">
        <v>49</v>
      </c>
      <c r="C114" s="1" t="s">
        <v>14</v>
      </c>
      <c r="D114" s="3">
        <v>150</v>
      </c>
      <c r="E114" s="4">
        <v>134.80000000000001</v>
      </c>
      <c r="F114" s="1" t="s">
        <v>9</v>
      </c>
      <c r="G114" t="str">
        <f>IF(COUNTIFS(
    Sheet1!$B:$B, B114,
    Sheet1!$C:$C, C114,
    Sheet1!$D:$D, D114,
    Sheet1!$E:$E, E114
) = 0, "NO MATCH IN TARGET", "MATCHED")</f>
        <v>MATCHED</v>
      </c>
    </row>
    <row r="115" spans="1:7" ht="15" hidden="1" thickBot="1" x14ac:dyDescent="0.4">
      <c r="A115" s="2">
        <v>46238.64472222222</v>
      </c>
      <c r="B115" s="1" t="s">
        <v>72</v>
      </c>
      <c r="C115" s="1" t="s">
        <v>14</v>
      </c>
      <c r="D115" s="3">
        <v>10</v>
      </c>
      <c r="E115" s="3">
        <v>1221</v>
      </c>
      <c r="F115" s="1" t="s">
        <v>9</v>
      </c>
      <c r="G115" t="str">
        <f>IF(COUNTIFS(
    Sheet1!$B:$B, B115,
    Sheet1!$C:$C, C115,
    Sheet1!$D:$D, D115,
    Sheet1!$E:$E, E115
) = 0, "NO MATCH IN TARGET", "MATCHED")</f>
        <v>MATCHED</v>
      </c>
    </row>
    <row r="116" spans="1:7" ht="15" hidden="1" thickBot="1" x14ac:dyDescent="0.4">
      <c r="A116" s="2">
        <v>46238.644768518519</v>
      </c>
      <c r="B116" s="1" t="s">
        <v>69</v>
      </c>
      <c r="C116" s="1" t="s">
        <v>14</v>
      </c>
      <c r="D116" s="3">
        <v>200</v>
      </c>
      <c r="E116" s="3">
        <v>91.75</v>
      </c>
      <c r="F116" s="1" t="s">
        <v>9</v>
      </c>
      <c r="G116" t="str">
        <f>IF(COUNTIFS(
    Sheet1!$B:$B, B116,
    Sheet1!$C:$C, C116,
    Sheet1!$D:$D, D116,
    Sheet1!$E:$E, E116
) = 0, "NO MATCH IN TARGET", "MATCHED")</f>
        <v>MATCHED</v>
      </c>
    </row>
    <row r="117" spans="1:7" ht="15" thickBot="1" x14ac:dyDescent="0.4">
      <c r="A117" s="2">
        <v>46237.69027777778</v>
      </c>
      <c r="B117" s="1" t="s">
        <v>11</v>
      </c>
      <c r="C117" s="1" t="s">
        <v>14</v>
      </c>
      <c r="D117" s="3">
        <v>1</v>
      </c>
      <c r="E117" s="4">
        <v>2496</v>
      </c>
      <c r="F117" s="1" t="s">
        <v>9</v>
      </c>
      <c r="G117" t="str">
        <f>IF(COUNTIFS(
    Sheet1!$B:$B, B117,
    Sheet1!$C:$C, C117,
    Sheet1!$D:$D, D117,
    Sheet1!$E:$E, E117
) = 0, "NO MATCH IN TARGET", "MATCHED")</f>
        <v>NO MATCH IN TARGET</v>
      </c>
    </row>
    <row r="118" spans="1:7" ht="15" hidden="1" thickBot="1" x14ac:dyDescent="0.4">
      <c r="A118" s="2">
        <v>46238.644733796296</v>
      </c>
      <c r="B118" s="1" t="s">
        <v>65</v>
      </c>
      <c r="C118" s="1" t="s">
        <v>14</v>
      </c>
      <c r="D118" s="3">
        <v>10</v>
      </c>
      <c r="E118" s="3">
        <v>1298</v>
      </c>
      <c r="F118" s="1" t="s">
        <v>9</v>
      </c>
      <c r="G118" t="str">
        <f>IF(COUNTIFS(
    Sheet1!$B:$B, B118,
    Sheet1!$C:$C, C118,
    Sheet1!$D:$D, D118,
    Sheet1!$E:$E, E118
) = 0, "NO MATCH IN TARGET", "MATCHED")</f>
        <v>MATCHED</v>
      </c>
    </row>
    <row r="119" spans="1:7" ht="15" thickBot="1" x14ac:dyDescent="0.4">
      <c r="A119" s="2">
        <v>46234.686805555553</v>
      </c>
      <c r="B119" s="1" t="s">
        <v>28</v>
      </c>
      <c r="C119" s="1" t="s">
        <v>14</v>
      </c>
      <c r="D119" s="3">
        <v>40</v>
      </c>
      <c r="E119" s="4">
        <v>448</v>
      </c>
      <c r="F119" s="1" t="s">
        <v>9</v>
      </c>
      <c r="G119" t="str">
        <f>IF(COUNTIFS(
    Sheet1!$B:$B, B119,
    Sheet1!$C:$C, C119,
    Sheet1!$D:$D, D119,
    Sheet1!$E:$E, E119
) = 0, "NO MATCH IN TARGET", "MATCHED")</f>
        <v>NO MATCH IN TARGET</v>
      </c>
    </row>
    <row r="120" spans="1:7" ht="15" hidden="1" thickBot="1" x14ac:dyDescent="0.4">
      <c r="A120" s="2">
        <v>46238.690474537034</v>
      </c>
      <c r="B120" s="1" t="s">
        <v>22</v>
      </c>
      <c r="C120" s="1" t="s">
        <v>14</v>
      </c>
      <c r="D120" s="3">
        <v>10</v>
      </c>
      <c r="E120" s="3">
        <v>2620</v>
      </c>
      <c r="F120" s="1" t="s">
        <v>9</v>
      </c>
      <c r="G120" t="str">
        <f>IF(COUNTIFS(
    Sheet1!$B:$B, B120,
    Sheet1!$C:$C, C120,
    Sheet1!$D:$D, D120,
    Sheet1!$E:$E, E120
) = 0, "NO MATCH IN TARGET", "MATCHED")</f>
        <v>MATCHED</v>
      </c>
    </row>
    <row r="121" spans="1:7" ht="15" hidden="1" thickBot="1" x14ac:dyDescent="0.4">
      <c r="A121" s="2">
        <v>46238.635520833333</v>
      </c>
      <c r="B121" s="1" t="s">
        <v>67</v>
      </c>
      <c r="C121" s="1" t="s">
        <v>14</v>
      </c>
      <c r="D121" s="3">
        <v>100</v>
      </c>
      <c r="E121" s="3">
        <v>238.2</v>
      </c>
      <c r="F121" s="1" t="s">
        <v>9</v>
      </c>
      <c r="G121" t="str">
        <f>IF(COUNTIFS(
    Sheet1!$B:$B, B121,
    Sheet1!$C:$C, C121,
    Sheet1!$D:$D, D121,
    Sheet1!$E:$E, E121
) = 0, "NO MATCH IN TARGET", "MATCHED")</f>
        <v>MATCHED</v>
      </c>
    </row>
    <row r="122" spans="1:7" ht="15" hidden="1" thickBot="1" x14ac:dyDescent="0.4">
      <c r="A122" s="2">
        <v>46238.635555555556</v>
      </c>
      <c r="B122" s="1" t="s">
        <v>57</v>
      </c>
      <c r="C122" s="1" t="s">
        <v>14</v>
      </c>
      <c r="D122" s="3">
        <v>1</v>
      </c>
      <c r="E122" s="3">
        <v>3710</v>
      </c>
      <c r="F122" s="1" t="s">
        <v>9</v>
      </c>
      <c r="G122" t="str">
        <f>IF(COUNTIFS(
    Sheet1!$B:$B, B122,
    Sheet1!$C:$C, C122,
    Sheet1!$D:$D, D122,
    Sheet1!$E:$E, E122
) = 0, "NO MATCH IN TARGET", "MATCHED")</f>
        <v>MATCHED</v>
      </c>
    </row>
    <row r="123" spans="1:7" ht="15" hidden="1" thickBot="1" x14ac:dyDescent="0.4">
      <c r="A123" s="2">
        <v>46238.690474537034</v>
      </c>
      <c r="B123" s="1" t="s">
        <v>49</v>
      </c>
      <c r="C123" s="1" t="s">
        <v>14</v>
      </c>
      <c r="D123" s="3">
        <v>150</v>
      </c>
      <c r="E123" s="3">
        <v>136</v>
      </c>
      <c r="F123" s="1" t="s">
        <v>9</v>
      </c>
      <c r="G123" t="str">
        <f>IF(COUNTIFS(
    Sheet1!$B:$B, B123,
    Sheet1!$C:$C, C123,
    Sheet1!$D:$D, D123,
    Sheet1!$E:$E, E123
) = 0, "NO MATCH IN TARGET", "MATCHED")</f>
        <v>MATCHED</v>
      </c>
    </row>
    <row r="124" spans="1:7" ht="15" hidden="1" thickBot="1" x14ac:dyDescent="0.4">
      <c r="A124" s="2">
        <v>46238.635520833333</v>
      </c>
      <c r="B124" s="1" t="s">
        <v>78</v>
      </c>
      <c r="C124" s="1" t="s">
        <v>14</v>
      </c>
      <c r="D124" s="3">
        <v>10</v>
      </c>
      <c r="E124" s="3">
        <v>977</v>
      </c>
      <c r="F124" s="1" t="s">
        <v>9</v>
      </c>
      <c r="G124" t="str">
        <f>IF(COUNTIFS(
    Sheet1!$B:$B, B124,
    Sheet1!$C:$C, C124,
    Sheet1!$D:$D, D124,
    Sheet1!$E:$E, E124
) = 0, "NO MATCH IN TARGET", "MATCHED")</f>
        <v>MATCHED</v>
      </c>
    </row>
    <row r="125" spans="1:7" ht="15" hidden="1" thickBot="1" x14ac:dyDescent="0.4">
      <c r="A125" s="2">
        <v>46238.63553240741</v>
      </c>
      <c r="B125" s="1" t="s">
        <v>95</v>
      </c>
      <c r="C125" s="1" t="s">
        <v>14</v>
      </c>
      <c r="D125" s="3">
        <v>5</v>
      </c>
      <c r="E125" s="3">
        <v>4129</v>
      </c>
      <c r="F125" s="1" t="s">
        <v>9</v>
      </c>
      <c r="G125" t="str">
        <f>IF(COUNTIFS(
    Sheet1!$B:$B, B125,
    Sheet1!$C:$C, C125,
    Sheet1!$D:$D, D125,
    Sheet1!$E:$E, E125
) = 0, "NO MATCH IN TARGET", "MATCHED")</f>
        <v>MATCHED</v>
      </c>
    </row>
    <row r="126" spans="1:7" ht="15" hidden="1" thickBot="1" x14ac:dyDescent="0.4">
      <c r="A126" s="2">
        <v>46238.635520833333</v>
      </c>
      <c r="B126" s="1" t="s">
        <v>67</v>
      </c>
      <c r="C126" s="1" t="s">
        <v>14</v>
      </c>
      <c r="D126" s="3">
        <v>200</v>
      </c>
      <c r="E126" s="3">
        <v>239</v>
      </c>
      <c r="F126" s="1" t="s">
        <v>9</v>
      </c>
      <c r="G126" t="str">
        <f>IF(COUNTIFS(
    Sheet1!$B:$B, B126,
    Sheet1!$C:$C, C126,
    Sheet1!$D:$D, D126,
    Sheet1!$E:$E, E126
) = 0, "NO MATCH IN TARGET", "MATCHED")</f>
        <v>MATCHED</v>
      </c>
    </row>
    <row r="127" spans="1:7" ht="15" thickBot="1" x14ac:dyDescent="0.4">
      <c r="A127" s="2">
        <v>46238.690474537034</v>
      </c>
      <c r="B127" s="1" t="s">
        <v>22</v>
      </c>
      <c r="C127" s="1" t="s">
        <v>14</v>
      </c>
      <c r="D127" s="3">
        <v>10</v>
      </c>
      <c r="E127" s="3">
        <v>2632</v>
      </c>
      <c r="F127" s="1" t="s">
        <v>9</v>
      </c>
      <c r="G127" t="str">
        <f>IF(COUNTIFS(
    Sheet1!$B:$B, B127,
    Sheet1!$C:$C, C127,
    Sheet1!$D:$D, D127,
    Sheet1!$E:$E, E127
) = 0, "NO MATCH IN TARGET", "MATCHED")</f>
        <v>NO MATCH IN TARGET</v>
      </c>
    </row>
    <row r="128" spans="1:7" ht="15" hidden="1" thickBot="1" x14ac:dyDescent="0.4">
      <c r="A128" s="2">
        <v>46238.690451388888</v>
      </c>
      <c r="B128" s="1" t="s">
        <v>51</v>
      </c>
      <c r="C128" s="1" t="s">
        <v>14</v>
      </c>
      <c r="D128" s="3">
        <v>120</v>
      </c>
      <c r="E128" s="3">
        <v>300.5</v>
      </c>
      <c r="F128" s="1" t="s">
        <v>9</v>
      </c>
      <c r="G128" t="str">
        <f>IF(COUNTIFS(
    Sheet1!$B:$B, B128,
    Sheet1!$C:$C, C128,
    Sheet1!$D:$D, D128,
    Sheet1!$E:$E, E128
) = 0, "NO MATCH IN TARGET", "MATCHED")</f>
        <v>MATCHED</v>
      </c>
    </row>
    <row r="129" spans="1:7" ht="15" thickBot="1" x14ac:dyDescent="0.4">
      <c r="A129" s="2">
        <v>46238.690393518518</v>
      </c>
      <c r="B129" s="1" t="s">
        <v>20</v>
      </c>
      <c r="C129" s="1" t="s">
        <v>14</v>
      </c>
      <c r="D129" s="3">
        <v>50</v>
      </c>
      <c r="E129" s="3">
        <v>214</v>
      </c>
      <c r="F129" s="1" t="s">
        <v>9</v>
      </c>
      <c r="G129" t="str">
        <f>IF(COUNTIFS(
    Sheet1!$B:$B, B129,
    Sheet1!$C:$C, C129,
    Sheet1!$D:$D, D129,
    Sheet1!$E:$E, E129
) = 0, "NO MATCH IN TARGET", "MATCHED")</f>
        <v>NO MATCH IN TARGET</v>
      </c>
    </row>
    <row r="130" spans="1:7" ht="15" hidden="1" thickBot="1" x14ac:dyDescent="0.4">
      <c r="A130" s="2">
        <v>46238.690486111111</v>
      </c>
      <c r="B130" s="1" t="s">
        <v>53</v>
      </c>
      <c r="C130" s="1" t="s">
        <v>14</v>
      </c>
      <c r="D130" s="3">
        <v>100</v>
      </c>
      <c r="E130" s="3">
        <v>214</v>
      </c>
      <c r="F130" s="1" t="s">
        <v>9</v>
      </c>
      <c r="G130" t="str">
        <f>IF(COUNTIFS(
    Sheet1!$B:$B, B130,
    Sheet1!$C:$C, C130,
    Sheet1!$D:$D, D130,
    Sheet1!$E:$E, E130
) = 0, "NO MATCH IN TARGET", "MATCHED")</f>
        <v>MATCHED</v>
      </c>
    </row>
    <row r="131" spans="1:7" ht="15" hidden="1" thickBot="1" x14ac:dyDescent="0.4">
      <c r="A131" s="2">
        <v>46238.635578703703</v>
      </c>
      <c r="B131" s="1" t="s">
        <v>69</v>
      </c>
      <c r="C131" s="1" t="s">
        <v>14</v>
      </c>
      <c r="D131" s="3">
        <v>200</v>
      </c>
      <c r="E131" s="3">
        <v>92.75</v>
      </c>
      <c r="F131" s="1" t="s">
        <v>9</v>
      </c>
      <c r="G131" t="str">
        <f>IF(COUNTIFS(
    Sheet1!$B:$B, B131,
    Sheet1!$C:$C, C131,
    Sheet1!$D:$D, D131,
    Sheet1!$E:$E, E131
) = 0, "NO MATCH IN TARGET", "MATCHED")</f>
        <v>MATCHED</v>
      </c>
    </row>
    <row r="132" spans="1:7" ht="15" hidden="1" thickBot="1" x14ac:dyDescent="0.4">
      <c r="A132" s="2">
        <v>46238.635578703703</v>
      </c>
      <c r="B132" s="1" t="s">
        <v>70</v>
      </c>
      <c r="C132" s="1" t="s">
        <v>14</v>
      </c>
      <c r="D132" s="3">
        <v>150</v>
      </c>
      <c r="E132" s="3">
        <v>124.9</v>
      </c>
      <c r="F132" s="1" t="s">
        <v>9</v>
      </c>
      <c r="G132" t="str">
        <f>IF(COUNTIFS(
    Sheet1!$B:$B, B132,
    Sheet1!$C:$C, C132,
    Sheet1!$D:$D, D132,
    Sheet1!$E:$E, E132
) = 0, "NO MATCH IN TARGET", "MATCHED")</f>
        <v>MATCHED</v>
      </c>
    </row>
    <row r="133" spans="1:7" ht="15" hidden="1" thickBot="1" x14ac:dyDescent="0.4">
      <c r="A133" s="2">
        <v>46238.69059027778</v>
      </c>
      <c r="B133" s="1" t="s">
        <v>52</v>
      </c>
      <c r="C133" s="1" t="s">
        <v>14</v>
      </c>
      <c r="D133" s="3">
        <v>30</v>
      </c>
      <c r="E133" s="3">
        <v>948</v>
      </c>
      <c r="F133" s="1" t="s">
        <v>9</v>
      </c>
      <c r="G133" t="str">
        <f>IF(COUNTIFS(
    Sheet1!$B:$B, B133,
    Sheet1!$C:$C, C133,
    Sheet1!$D:$D, D133,
    Sheet1!$E:$E, E133
) = 0, "NO MATCH IN TARGET", "MATCHED")</f>
        <v>MATCHED</v>
      </c>
    </row>
    <row r="134" spans="1:7" ht="15" hidden="1" thickBot="1" x14ac:dyDescent="0.4">
      <c r="A134" s="2">
        <v>46238.690474537034</v>
      </c>
      <c r="B134" s="1" t="s">
        <v>22</v>
      </c>
      <c r="C134" s="1" t="s">
        <v>14</v>
      </c>
      <c r="D134" s="3">
        <v>10</v>
      </c>
      <c r="E134" s="3">
        <v>2648</v>
      </c>
      <c r="F134" s="1" t="s">
        <v>9</v>
      </c>
      <c r="G134" t="str">
        <f>IF(COUNTIFS(
    Sheet1!$B:$B, B134,
    Sheet1!$C:$C, C134,
    Sheet1!$D:$D, D134,
    Sheet1!$E:$E, E134
) = 0, "NO MATCH IN TARGET", "MATCHED")</f>
        <v>MATCHED</v>
      </c>
    </row>
    <row r="135" spans="1:7" ht="15" hidden="1" thickBot="1" x14ac:dyDescent="0.4">
      <c r="A135" s="2">
        <v>46238.635567129626</v>
      </c>
      <c r="B135" s="1" t="s">
        <v>94</v>
      </c>
      <c r="C135" s="1" t="s">
        <v>14</v>
      </c>
      <c r="D135" s="3">
        <v>10</v>
      </c>
      <c r="E135" s="3">
        <v>1490</v>
      </c>
      <c r="F135" s="1" t="s">
        <v>9</v>
      </c>
      <c r="G135" t="str">
        <f>IF(COUNTIFS(
    Sheet1!$B:$B, B135,
    Sheet1!$C:$C, C135,
    Sheet1!$D:$D, D135,
    Sheet1!$E:$E, E135
) = 0, "NO MATCH IN TARGET", "MATCHED")</f>
        <v>MATCHED</v>
      </c>
    </row>
    <row r="136" spans="1:7" ht="15" thickBot="1" x14ac:dyDescent="0.4">
      <c r="A136" s="2">
        <v>46238.690578703703</v>
      </c>
      <c r="B136" s="1" t="s">
        <v>7</v>
      </c>
      <c r="C136" s="1" t="s">
        <v>14</v>
      </c>
      <c r="D136" s="3">
        <v>67</v>
      </c>
      <c r="E136" s="3">
        <v>373</v>
      </c>
      <c r="F136" s="1" t="s">
        <v>9</v>
      </c>
      <c r="G136" t="str">
        <f>IF(COUNTIFS(
    Sheet1!$B:$B, B136,
    Sheet1!$C:$C, C136,
    Sheet1!$D:$D, D136,
    Sheet1!$E:$E, E136
) = 0, "NO MATCH IN TARGET", "MATCHED")</f>
        <v>MATCHED</v>
      </c>
    </row>
    <row r="137" spans="1:7" ht="15" thickBot="1" x14ac:dyDescent="0.4">
      <c r="A137" s="2">
        <v>46238.63553240741</v>
      </c>
      <c r="B137" s="1" t="s">
        <v>95</v>
      </c>
      <c r="C137" s="1" t="s">
        <v>14</v>
      </c>
      <c r="D137" s="3">
        <v>5</v>
      </c>
      <c r="E137" s="3">
        <v>4177</v>
      </c>
      <c r="F137" s="1" t="s">
        <v>9</v>
      </c>
      <c r="G137" t="str">
        <f>IF(COUNTIFS(
    Sheet1!$B:$B, B137,
    Sheet1!$C:$C, C137,
    Sheet1!$D:$D, D137,
    Sheet1!$E:$E, E137
) = 0, "NO MATCH IN TARGET", "MATCHED")</f>
        <v>MATCHED</v>
      </c>
    </row>
    <row r="138" spans="1:7" ht="15" thickBot="1" x14ac:dyDescent="0.4">
      <c r="A138" s="2">
        <v>46237.645312499997</v>
      </c>
      <c r="B138" s="1" t="s">
        <v>70</v>
      </c>
      <c r="C138" s="1" t="s">
        <v>14</v>
      </c>
      <c r="D138" s="3">
        <v>150</v>
      </c>
      <c r="E138" s="4">
        <v>125.9</v>
      </c>
      <c r="F138" s="1" t="s">
        <v>9</v>
      </c>
      <c r="G138" t="str">
        <f>IF(COUNTIFS(
    Sheet1!$B:$B, B138,
    Sheet1!$C:$C, C138,
    Sheet1!$D:$D, D138,
    Sheet1!$E:$E, E138
) = 0, "NO MATCH IN TARGET", "MATCHED")</f>
        <v>NO MATCH IN TARGET</v>
      </c>
    </row>
    <row r="139" spans="1:7" ht="15" hidden="1" thickBot="1" x14ac:dyDescent="0.4">
      <c r="A139" s="2">
        <v>46238.63554398148</v>
      </c>
      <c r="B139" s="1" t="s">
        <v>65</v>
      </c>
      <c r="C139" s="1" t="s">
        <v>14</v>
      </c>
      <c r="D139" s="3">
        <v>10</v>
      </c>
      <c r="E139" s="3">
        <v>1324</v>
      </c>
      <c r="F139" s="1" t="s">
        <v>9</v>
      </c>
      <c r="G139" t="str">
        <f>IF(COUNTIFS(
    Sheet1!$B:$B, B139,
    Sheet1!$C:$C, C139,
    Sheet1!$D:$D, D139,
    Sheet1!$E:$E, E139
) = 0, "NO MATCH IN TARGET", "MATCHED")</f>
        <v>MATCHED</v>
      </c>
    </row>
    <row r="140" spans="1:7" ht="15" thickBot="1" x14ac:dyDescent="0.4">
      <c r="A140" s="2">
        <v>46237.768750000003</v>
      </c>
      <c r="B140" s="1" t="s">
        <v>30</v>
      </c>
      <c r="C140" s="1" t="s">
        <v>14</v>
      </c>
      <c r="D140" s="3">
        <v>25</v>
      </c>
      <c r="E140" s="4">
        <v>214</v>
      </c>
      <c r="F140" s="1" t="s">
        <v>9</v>
      </c>
      <c r="G140" t="str">
        <f>IF(COUNTIFS(
    Sheet1!$B:$B, B140,
    Sheet1!$C:$C, C140,
    Sheet1!$D:$D, D140,
    Sheet1!$E:$E, E140
) = 0, "NO MATCH IN TARGET", "MATCHED")</f>
        <v>MATCHED</v>
      </c>
    </row>
    <row r="141" spans="1:7" ht="15" hidden="1" thickBot="1" x14ac:dyDescent="0.4">
      <c r="A141" s="2">
        <v>46237.768750000003</v>
      </c>
      <c r="B141" s="1" t="s">
        <v>20</v>
      </c>
      <c r="C141" s="1" t="s">
        <v>14</v>
      </c>
      <c r="D141" s="3">
        <v>50</v>
      </c>
      <c r="E141" s="4">
        <v>218</v>
      </c>
      <c r="F141" s="1" t="s">
        <v>9</v>
      </c>
      <c r="G141" t="str">
        <f>IF(COUNTIFS(
    Sheet1!$B:$B, B141,
    Sheet1!$C:$C, C141,
    Sheet1!$D:$D, D141,
    Sheet1!$E:$E, E141
) = 0, "NO MATCH IN TARGET", "MATCHED")</f>
        <v>MATCHED</v>
      </c>
    </row>
    <row r="142" spans="1:7" ht="15" hidden="1" thickBot="1" x14ac:dyDescent="0.4">
      <c r="A142" s="2">
        <v>46238.635520833333</v>
      </c>
      <c r="B142" s="1" t="s">
        <v>78</v>
      </c>
      <c r="C142" s="1" t="s">
        <v>14</v>
      </c>
      <c r="D142" s="3">
        <v>10</v>
      </c>
      <c r="E142" s="3">
        <v>997</v>
      </c>
      <c r="F142" s="1" t="s">
        <v>9</v>
      </c>
      <c r="G142" t="str">
        <f>IF(COUNTIFS(
    Sheet1!$B:$B, B142,
    Sheet1!$C:$C, C142,
    Sheet1!$D:$D, D142,
    Sheet1!$E:$E, E142
) = 0, "NO MATCH IN TARGET", "MATCHED")</f>
        <v>MATCHED</v>
      </c>
    </row>
    <row r="143" spans="1:7" ht="15" hidden="1" thickBot="1" x14ac:dyDescent="0.4">
      <c r="A143" s="2">
        <v>46238.63553240741</v>
      </c>
      <c r="B143" s="1" t="s">
        <v>62</v>
      </c>
      <c r="C143" s="1" t="s">
        <v>14</v>
      </c>
      <c r="D143" s="3">
        <v>1</v>
      </c>
      <c r="E143" s="3">
        <v>4890</v>
      </c>
      <c r="F143" s="1" t="s">
        <v>9</v>
      </c>
      <c r="G143" t="str">
        <f>IF(COUNTIFS(
    Sheet1!$B:$B, B143,
    Sheet1!$C:$C, C143,
    Sheet1!$D:$D, D143,
    Sheet1!$E:$E, E143
) = 0, "NO MATCH IN TARGET", "MATCHED")</f>
        <v>MATCHED</v>
      </c>
    </row>
    <row r="144" spans="1:7" ht="15" hidden="1" thickBot="1" x14ac:dyDescent="0.4">
      <c r="A144" s="2">
        <v>46238.635520833333</v>
      </c>
      <c r="B144" s="1" t="s">
        <v>67</v>
      </c>
      <c r="C144" s="1" t="s">
        <v>14</v>
      </c>
      <c r="D144" s="3">
        <v>200</v>
      </c>
      <c r="E144" s="3">
        <v>244</v>
      </c>
      <c r="F144" s="1" t="s">
        <v>9</v>
      </c>
      <c r="G144" t="str">
        <f>IF(COUNTIFS(
    Sheet1!$B:$B, B144,
    Sheet1!$C:$C, C144,
    Sheet1!$D:$D, D144,
    Sheet1!$E:$E, E144
) = 0, "NO MATCH IN TARGET", "MATCHED")</f>
        <v>MATCHED</v>
      </c>
    </row>
    <row r="145" spans="1:7" ht="15" thickBot="1" x14ac:dyDescent="0.4">
      <c r="A145" s="2">
        <v>46237.69027777778</v>
      </c>
      <c r="B145" s="1" t="s">
        <v>22</v>
      </c>
      <c r="C145" s="1" t="s">
        <v>14</v>
      </c>
      <c r="D145" s="3">
        <v>10</v>
      </c>
      <c r="E145" s="4">
        <v>2690</v>
      </c>
      <c r="F145" s="1" t="s">
        <v>9</v>
      </c>
      <c r="G145" t="str">
        <f>IF(COUNTIFS(
    Sheet1!$B:$B, B145,
    Sheet1!$C:$C, C145,
    Sheet1!$D:$D, D145,
    Sheet1!$E:$E, E145
) = 0, "NO MATCH IN TARGET", "MATCHED")</f>
        <v>NO MATCH IN TARGET</v>
      </c>
    </row>
    <row r="146" spans="1:7" ht="15" hidden="1" thickBot="1" x14ac:dyDescent="0.4">
      <c r="A146" s="2">
        <v>46238.690555555557</v>
      </c>
      <c r="B146" s="1" t="s">
        <v>53</v>
      </c>
      <c r="C146" s="1" t="s">
        <v>14</v>
      </c>
      <c r="D146" s="3">
        <v>65</v>
      </c>
      <c r="E146" s="3">
        <v>219</v>
      </c>
      <c r="F146" s="1" t="s">
        <v>9</v>
      </c>
      <c r="G146" t="str">
        <f>IF(COUNTIFS(
    Sheet1!$B:$B, B146,
    Sheet1!$C:$C, C146,
    Sheet1!$D:$D, D146,
    Sheet1!$E:$E, E146
) = 0, "NO MATCH IN TARGET", "MATCHED")</f>
        <v>MATCHED</v>
      </c>
    </row>
    <row r="147" spans="1:7" ht="15" hidden="1" thickBot="1" x14ac:dyDescent="0.4">
      <c r="A147" s="2">
        <v>46238.635555555556</v>
      </c>
      <c r="B147" s="1" t="s">
        <v>57</v>
      </c>
      <c r="C147" s="1" t="s">
        <v>14</v>
      </c>
      <c r="D147" s="3">
        <v>1</v>
      </c>
      <c r="E147" s="3">
        <v>3810</v>
      </c>
      <c r="F147" s="1" t="s">
        <v>9</v>
      </c>
      <c r="G147" t="str">
        <f>IF(COUNTIFS(
    Sheet1!$B:$B, B147,
    Sheet1!$C:$C, C147,
    Sheet1!$D:$D, D147,
    Sheet1!$E:$E, E147
) = 0, "NO MATCH IN TARGET", "MATCHED")</f>
        <v>MATCHED</v>
      </c>
    </row>
    <row r="148" spans="1:7" ht="15" hidden="1" thickBot="1" x14ac:dyDescent="0.4">
      <c r="A148" s="2">
        <v>46238.635567129626</v>
      </c>
      <c r="B148" s="1" t="s">
        <v>90</v>
      </c>
      <c r="C148" s="1" t="s">
        <v>14</v>
      </c>
      <c r="D148" s="3">
        <v>5</v>
      </c>
      <c r="E148" s="3">
        <v>790</v>
      </c>
      <c r="F148" s="1" t="s">
        <v>9</v>
      </c>
      <c r="G148" t="str">
        <f>IF(COUNTIFS(
    Sheet1!$B:$B, B148,
    Sheet1!$C:$C, C148,
    Sheet1!$D:$D, D148,
    Sheet1!$E:$E, E148
) = 0, "NO MATCH IN TARGET", "MATCHED")</f>
        <v>MATCHED</v>
      </c>
    </row>
    <row r="149" spans="1:7" ht="15" hidden="1" thickBot="1" x14ac:dyDescent="0.4">
      <c r="A149" s="2">
        <v>46238.63554398148</v>
      </c>
      <c r="B149" s="1" t="s">
        <v>85</v>
      </c>
      <c r="C149" s="1" t="s">
        <v>14</v>
      </c>
      <c r="D149" s="3">
        <v>2</v>
      </c>
      <c r="E149" s="3">
        <v>2690</v>
      </c>
      <c r="F149" s="1" t="s">
        <v>9</v>
      </c>
      <c r="G149" t="str">
        <f>IF(COUNTIFS(
    Sheet1!$B:$B, B149,
    Sheet1!$C:$C, C149,
    Sheet1!$D:$D, D149,
    Sheet1!$E:$E, E149
) = 0, "NO MATCH IN TARGET", "MATCHED")</f>
        <v>MATCHED</v>
      </c>
    </row>
    <row r="150" spans="1:7" ht="15" hidden="1" thickBot="1" x14ac:dyDescent="0.4">
      <c r="A150" s="2">
        <v>46237.635567129626</v>
      </c>
      <c r="B150" s="1" t="s">
        <v>60</v>
      </c>
      <c r="C150" s="1" t="s">
        <v>14</v>
      </c>
      <c r="D150" s="3">
        <v>7</v>
      </c>
      <c r="E150" s="4">
        <v>1424</v>
      </c>
      <c r="F150" s="1" t="s">
        <v>9</v>
      </c>
      <c r="G150" t="str">
        <f>IF(COUNTIFS(
    Sheet1!$B:$B, B150,
    Sheet1!$C:$C, C150,
    Sheet1!$D:$D, D150,
    Sheet1!$E:$E, E150
) = 0, "NO MATCH IN TARGET", "MATCHED")</f>
        <v>MATCHED</v>
      </c>
    </row>
    <row r="151" spans="1:7" ht="15" hidden="1" thickBot="1" x14ac:dyDescent="0.4">
      <c r="A151" s="2">
        <v>46238.635578703703</v>
      </c>
      <c r="B151" s="1" t="s">
        <v>98</v>
      </c>
      <c r="C151" s="1" t="s">
        <v>14</v>
      </c>
      <c r="D151" s="3">
        <v>11</v>
      </c>
      <c r="E151" s="3">
        <v>548</v>
      </c>
      <c r="F151" s="1" t="s">
        <v>9</v>
      </c>
      <c r="G151" t="str">
        <f>IF(COUNTIFS(
    Sheet1!$B:$B, B151,
    Sheet1!$C:$C, C151,
    Sheet1!$D:$D, D151,
    Sheet1!$E:$E, E151
) = 0, "NO MATCH IN TARGET", "MATCHED")</f>
        <v>MATCHED</v>
      </c>
    </row>
    <row r="152" spans="1:7" ht="15" thickBot="1" x14ac:dyDescent="0.4">
      <c r="A152" s="2">
        <v>46237.768750000003</v>
      </c>
      <c r="B152" s="1" t="s">
        <v>52</v>
      </c>
      <c r="C152" s="1" t="s">
        <v>14</v>
      </c>
      <c r="D152" s="3">
        <v>30</v>
      </c>
      <c r="E152" s="4">
        <v>974</v>
      </c>
      <c r="F152" s="1" t="s">
        <v>9</v>
      </c>
      <c r="G152" t="str">
        <f>IF(COUNTIFS(
    Sheet1!$B:$B, B152,
    Sheet1!$C:$C, C152,
    Sheet1!$D:$D, D152,
    Sheet1!$E:$E, E152
) = 0, "NO MATCH IN TARGET", "MATCHED")</f>
        <v>MATCHED</v>
      </c>
    </row>
    <row r="153" spans="1:7" ht="15" hidden="1" thickBot="1" x14ac:dyDescent="0.4">
      <c r="A153" s="2">
        <v>46238.690358796295</v>
      </c>
      <c r="B153" s="1" t="s">
        <v>39</v>
      </c>
      <c r="C153" s="1" t="s">
        <v>14</v>
      </c>
      <c r="D153" s="3">
        <v>40</v>
      </c>
      <c r="E153" s="3">
        <v>320.5</v>
      </c>
      <c r="F153" s="1" t="s">
        <v>9</v>
      </c>
      <c r="G153" t="str">
        <f>IF(COUNTIFS(
    Sheet1!$B:$B, B153,
    Sheet1!$C:$C, C153,
    Sheet1!$D:$D, D153,
    Sheet1!$E:$E, E153
) = 0, "NO MATCH IN TARGET", "MATCHED")</f>
        <v>MATCHED</v>
      </c>
    </row>
    <row r="154" spans="1:7" ht="15" hidden="1" thickBot="1" x14ac:dyDescent="0.4">
      <c r="A154" s="2">
        <v>46238.63554398148</v>
      </c>
      <c r="B154" s="1" t="s">
        <v>81</v>
      </c>
      <c r="C154" s="1" t="s">
        <v>14</v>
      </c>
      <c r="D154" s="3">
        <v>3</v>
      </c>
      <c r="E154" s="3">
        <v>2846</v>
      </c>
      <c r="F154" s="1" t="s">
        <v>9</v>
      </c>
      <c r="G154" t="str">
        <f>IF(COUNTIFS(
    Sheet1!$B:$B, B154,
    Sheet1!$C:$C, C154,
    Sheet1!$D:$D, D154,
    Sheet1!$E:$E, E154
) = 0, "NO MATCH IN TARGET", "MATCHED")</f>
        <v>MATCHED</v>
      </c>
    </row>
    <row r="155" spans="1:7" ht="15" hidden="1" thickBot="1" x14ac:dyDescent="0.4">
      <c r="A155" s="2">
        <v>46237.69027777778</v>
      </c>
      <c r="B155" s="1" t="s">
        <v>22</v>
      </c>
      <c r="C155" s="1" t="s">
        <v>14</v>
      </c>
      <c r="D155" s="3">
        <v>10</v>
      </c>
      <c r="E155" s="4">
        <v>2720</v>
      </c>
      <c r="F155" s="1" t="s">
        <v>9</v>
      </c>
      <c r="G155" t="str">
        <f>IF(COUNTIFS(
    Sheet1!$B:$B, B155,
    Sheet1!$C:$C, C155,
    Sheet1!$D:$D, D155,
    Sheet1!$E:$E, E155
) = 0, "NO MATCH IN TARGET", "MATCHED")</f>
        <v>MATCHED</v>
      </c>
    </row>
    <row r="156" spans="1:7" ht="15" hidden="1" thickBot="1" x14ac:dyDescent="0.4">
      <c r="A156" s="2">
        <v>46238.690451388888</v>
      </c>
      <c r="B156" s="1" t="s">
        <v>51</v>
      </c>
      <c r="C156" s="1" t="s">
        <v>14</v>
      </c>
      <c r="D156" s="3">
        <v>100</v>
      </c>
      <c r="E156" s="3">
        <v>310.5</v>
      </c>
      <c r="F156" s="1" t="s">
        <v>9</v>
      </c>
      <c r="G156" t="str">
        <f>IF(COUNTIFS(
    Sheet1!$B:$B, B156,
    Sheet1!$C:$C, C156,
    Sheet1!$D:$D, D156,
    Sheet1!$E:$E, E156
) = 0, "NO MATCH IN TARGET", "MATCHED")</f>
        <v>MATCHED</v>
      </c>
    </row>
    <row r="157" spans="1:7" ht="15" hidden="1" thickBot="1" x14ac:dyDescent="0.4">
      <c r="A157" s="2">
        <v>46237.63554398148</v>
      </c>
      <c r="B157" s="1" t="s">
        <v>85</v>
      </c>
      <c r="C157" s="1" t="s">
        <v>14</v>
      </c>
      <c r="D157" s="3">
        <v>3</v>
      </c>
      <c r="E157" s="4">
        <v>2710</v>
      </c>
      <c r="F157" s="1" t="s">
        <v>9</v>
      </c>
      <c r="G157" t="str">
        <f>IF(COUNTIFS(
    Sheet1!$B:$B, B157,
    Sheet1!$C:$C, C157,
    Sheet1!$D:$D, D157,
    Sheet1!$E:$E, E157
) = 0, "NO MATCH IN TARGET", "MATCHED")</f>
        <v>MATCHED</v>
      </c>
    </row>
    <row r="158" spans="1:7" ht="15" hidden="1" thickBot="1" x14ac:dyDescent="0.4">
      <c r="A158" s="2">
        <v>46233.688194444447</v>
      </c>
      <c r="B158" s="5" t="s">
        <v>28</v>
      </c>
      <c r="C158" s="1" t="s">
        <v>14</v>
      </c>
      <c r="D158" s="3">
        <v>5</v>
      </c>
      <c r="E158" s="6">
        <v>467.25</v>
      </c>
      <c r="F158" s="1" t="s">
        <v>9</v>
      </c>
      <c r="G158" t="str">
        <f>IF(COUNTIFS(
    Sheet1!$B:$B, B158,
    Sheet1!$C:$C, C158,
    Sheet1!$D:$D, D158,
    Sheet1!$E:$E, E158
) = 0, "NO MATCH IN TARGET", "MATCHED")</f>
        <v>MATCHED</v>
      </c>
    </row>
    <row r="159" spans="1:7" ht="15" thickBot="1" x14ac:dyDescent="0.4">
      <c r="A159" s="2">
        <v>46234.686805555553</v>
      </c>
      <c r="B159" s="1" t="s">
        <v>51</v>
      </c>
      <c r="C159" s="1" t="s">
        <v>14</v>
      </c>
      <c r="D159" s="3">
        <v>100</v>
      </c>
      <c r="E159" s="4">
        <v>314</v>
      </c>
      <c r="F159" s="1" t="s">
        <v>9</v>
      </c>
      <c r="G159" t="str">
        <f>IF(COUNTIFS(
    Sheet1!$B:$B, B159,
    Sheet1!$C:$C, C159,
    Sheet1!$D:$D, D159,
    Sheet1!$E:$E, E159
) = 0, "NO MATCH IN TARGET", "MATCHED")</f>
        <v>MATCHED</v>
      </c>
    </row>
    <row r="160" spans="1:7" ht="15" thickBot="1" x14ac:dyDescent="0.4">
      <c r="A160" s="2">
        <v>46238.69059027778</v>
      </c>
      <c r="B160" s="1" t="s">
        <v>52</v>
      </c>
      <c r="C160" s="1" t="s">
        <v>14</v>
      </c>
      <c r="D160" s="3">
        <v>5</v>
      </c>
      <c r="E160" s="3">
        <v>986</v>
      </c>
      <c r="F160" s="1" t="s">
        <v>9</v>
      </c>
      <c r="G160" t="str">
        <f>IF(COUNTIFS(
    Sheet1!$B:$B, B160,
    Sheet1!$C:$C, C160,
    Sheet1!$D:$D, D160,
    Sheet1!$E:$E, E160
) = 0, "NO MATCH IN TARGET", "MATCHED")</f>
        <v>MATCHED</v>
      </c>
    </row>
    <row r="161" spans="1:7" ht="15" thickBot="1" x14ac:dyDescent="0.4">
      <c r="A161" s="2">
        <v>46238.690567129626</v>
      </c>
      <c r="B161" s="1" t="s">
        <v>30</v>
      </c>
      <c r="C161" s="1" t="s">
        <v>14</v>
      </c>
      <c r="D161" s="3">
        <v>25</v>
      </c>
      <c r="E161" s="3">
        <v>220</v>
      </c>
      <c r="F161" s="1" t="s">
        <v>9</v>
      </c>
      <c r="G161" t="str">
        <f>IF(COUNTIFS(
    Sheet1!$B:$B, B161,
    Sheet1!$C:$C, C161,
    Sheet1!$D:$D, D161,
    Sheet1!$E:$E, E161
) = 0, "NO MATCH IN TARGET", "MATCHED")</f>
        <v>MATCHED</v>
      </c>
    </row>
    <row r="162" spans="1:7" ht="15" thickBot="1" x14ac:dyDescent="0.4">
      <c r="A162" s="2">
        <v>46237.635520833333</v>
      </c>
      <c r="B162" s="1" t="s">
        <v>78</v>
      </c>
      <c r="C162" s="1" t="s">
        <v>14</v>
      </c>
      <c r="D162" s="3">
        <v>10</v>
      </c>
      <c r="E162" s="4">
        <v>1024</v>
      </c>
      <c r="F162" s="1" t="s">
        <v>9</v>
      </c>
      <c r="G162" t="str">
        <f>IF(COUNTIFS(
    Sheet1!$B:$B, B162,
    Sheet1!$C:$C, C162,
    Sheet1!$D:$D, D162,
    Sheet1!$E:$E, E162
) = 0, "NO MATCH IN TARGET", "MATCHED")</f>
        <v>MATCHED</v>
      </c>
    </row>
    <row r="163" spans="1:7" ht="15" hidden="1" thickBot="1" x14ac:dyDescent="0.4">
      <c r="A163" s="2">
        <v>46238.635555555556</v>
      </c>
      <c r="B163" s="1" t="s">
        <v>80</v>
      </c>
      <c r="C163" s="1" t="s">
        <v>14</v>
      </c>
      <c r="D163" s="3">
        <v>3</v>
      </c>
      <c r="E163" s="3">
        <v>3341</v>
      </c>
      <c r="F163" s="1" t="s">
        <v>9</v>
      </c>
      <c r="G163" t="str">
        <f>IF(COUNTIFS(
    Sheet1!$B:$B, B163,
    Sheet1!$C:$C, C163,
    Sheet1!$D:$D, D163,
    Sheet1!$E:$E, E163
) = 0, "NO MATCH IN TARGET", "MATCHED")</f>
        <v>MATCHED</v>
      </c>
    </row>
    <row r="164" spans="1:7" ht="15" hidden="1" thickBot="1" x14ac:dyDescent="0.4">
      <c r="A164" s="2">
        <v>46237.69027777778</v>
      </c>
      <c r="B164" s="1" t="s">
        <v>22</v>
      </c>
      <c r="C164" s="1" t="s">
        <v>14</v>
      </c>
      <c r="D164" s="3">
        <v>10</v>
      </c>
      <c r="E164" s="4">
        <v>2770</v>
      </c>
      <c r="F164" s="1" t="s">
        <v>9</v>
      </c>
      <c r="G164" t="str">
        <f>IF(COUNTIFS(
    Sheet1!$B:$B, B164,
    Sheet1!$C:$C, C164,
    Sheet1!$D:$D, D164,
    Sheet1!$E:$E, E164
) = 0, "NO MATCH IN TARGET", "MATCHED")</f>
        <v>MATCHED</v>
      </c>
    </row>
    <row r="165" spans="1:7" ht="15" hidden="1" thickBot="1" x14ac:dyDescent="0.4">
      <c r="A165" s="2">
        <v>46233.688194444447</v>
      </c>
      <c r="B165" s="5" t="s">
        <v>55</v>
      </c>
      <c r="C165" s="1" t="s">
        <v>14</v>
      </c>
      <c r="D165" s="3">
        <v>20</v>
      </c>
      <c r="E165" s="6">
        <v>424</v>
      </c>
      <c r="F165" s="1" t="s">
        <v>9</v>
      </c>
      <c r="G165" t="str">
        <f>IF(COUNTIFS(
    Sheet1!$B:$B, B165,
    Sheet1!$C:$C, C165,
    Sheet1!$D:$D, D165,
    Sheet1!$E:$E, E165
) = 0, "NO MATCH IN TARGET", "MATCHED")</f>
        <v>MATCHED</v>
      </c>
    </row>
    <row r="166" spans="1:7" ht="15" hidden="1" thickBot="1" x14ac:dyDescent="0.4">
      <c r="A166" s="2">
        <v>46238.635555555556</v>
      </c>
      <c r="B166" s="1" t="s">
        <v>97</v>
      </c>
      <c r="C166" s="1" t="s">
        <v>14</v>
      </c>
      <c r="D166" s="3">
        <v>50</v>
      </c>
      <c r="E166" s="3">
        <v>480</v>
      </c>
      <c r="F166" s="1" t="s">
        <v>9</v>
      </c>
      <c r="G166" t="str">
        <f>IF(COUNTIFS(
    Sheet1!$B:$B, B166,
    Sheet1!$C:$C, C166,
    Sheet1!$D:$D, D166,
    Sheet1!$E:$E, E166
) = 0, "NO MATCH IN TARGET", "MATCHED")</f>
        <v>MATCHED</v>
      </c>
    </row>
    <row r="167" spans="1:7" ht="15" thickBot="1" x14ac:dyDescent="0.4">
      <c r="A167" s="2">
        <v>46233.688194444447</v>
      </c>
      <c r="B167" s="5" t="s">
        <v>52</v>
      </c>
      <c r="C167" s="1" t="s">
        <v>14</v>
      </c>
      <c r="D167" s="3">
        <v>40</v>
      </c>
      <c r="E167" s="6">
        <v>996</v>
      </c>
      <c r="F167" s="1" t="s">
        <v>9</v>
      </c>
      <c r="G167" t="str">
        <f>IF(COUNTIFS(
    Sheet1!$B:$B, B167,
    Sheet1!$C:$C, C167,
    Sheet1!$D:$D, D167,
    Sheet1!$E:$E, E167
) = 0, "NO MATCH IN TARGET", "MATCHED")</f>
        <v>MATCHED</v>
      </c>
    </row>
    <row r="168" spans="1:7" ht="15" thickBot="1" x14ac:dyDescent="0.4">
      <c r="A168" s="2">
        <v>46234.686805555553</v>
      </c>
      <c r="B168" s="1" t="s">
        <v>51</v>
      </c>
      <c r="C168" s="1" t="s">
        <v>14</v>
      </c>
      <c r="D168" s="3">
        <v>100</v>
      </c>
      <c r="E168" s="4">
        <v>319</v>
      </c>
      <c r="F168" s="1" t="s">
        <v>9</v>
      </c>
      <c r="G168" t="str">
        <f>IF(COUNTIFS(
    Sheet1!$B:$B, B168,
    Sheet1!$C:$C, C168,
    Sheet1!$D:$D, D168,
    Sheet1!$E:$E, E168
) = 0, "NO MATCH IN TARGET", "MATCHED")</f>
        <v>MATCHED</v>
      </c>
    </row>
    <row r="169" spans="1:7" ht="15" thickBot="1" x14ac:dyDescent="0.4">
      <c r="A169" s="2">
        <v>46238.690578703703</v>
      </c>
      <c r="B169" s="1" t="s">
        <v>52</v>
      </c>
      <c r="C169" s="1" t="s">
        <v>14</v>
      </c>
      <c r="D169" s="3">
        <v>5</v>
      </c>
      <c r="E169" s="3">
        <v>1002</v>
      </c>
      <c r="F169" s="1" t="s">
        <v>9</v>
      </c>
      <c r="G169" t="str">
        <f>IF(COUNTIFS(
    Sheet1!$B:$B, B169,
    Sheet1!$C:$C, C169,
    Sheet1!$D:$D, D169,
    Sheet1!$E:$E, E169
) = 0, "NO MATCH IN TARGET", "MATCHED")</f>
        <v>MATCHED</v>
      </c>
    </row>
    <row r="170" spans="1:7" ht="15" thickBot="1" x14ac:dyDescent="0.4">
      <c r="A170" s="2">
        <v>46233.688194444447</v>
      </c>
      <c r="B170" s="5" t="s">
        <v>53</v>
      </c>
      <c r="C170" s="1" t="s">
        <v>14</v>
      </c>
      <c r="D170" s="3">
        <v>40</v>
      </c>
      <c r="E170" s="6">
        <v>229</v>
      </c>
      <c r="F170" s="1" t="s">
        <v>9</v>
      </c>
      <c r="G170" t="str">
        <f>IF(COUNTIFS(
    Sheet1!$B:$B, B170,
    Sheet1!$C:$C, C170,
    Sheet1!$D:$D, D170,
    Sheet1!$E:$E, E170
) = 0, "NO MATCH IN TARGET", "MATCHED")</f>
        <v>MATCHED</v>
      </c>
    </row>
    <row r="171" spans="1:7" ht="15" hidden="1" thickBot="1" x14ac:dyDescent="0.4">
      <c r="A171" s="2">
        <v>46234.686805555553</v>
      </c>
      <c r="B171" s="1" t="s">
        <v>51</v>
      </c>
      <c r="C171" s="1" t="s">
        <v>14</v>
      </c>
      <c r="D171" s="3">
        <v>150</v>
      </c>
      <c r="E171" s="4">
        <v>323</v>
      </c>
      <c r="F171" s="1" t="s">
        <v>9</v>
      </c>
      <c r="G171" t="str">
        <f>IF(COUNTIFS(
    Sheet1!$B:$B, B171,
    Sheet1!$C:$C, C171,
    Sheet1!$D:$D, D171,
    Sheet1!$E:$E, E171
) = 0, "NO MATCH IN TARGET", "MATCHED")</f>
        <v>MATCHED</v>
      </c>
    </row>
    <row r="172" spans="1:7" ht="15" thickBot="1" x14ac:dyDescent="0.4">
      <c r="A172" s="2">
        <v>46234.6875</v>
      </c>
      <c r="B172" s="1" t="s">
        <v>97</v>
      </c>
      <c r="C172" s="1" t="s">
        <v>14</v>
      </c>
      <c r="D172" s="3">
        <v>35</v>
      </c>
      <c r="E172" s="4">
        <v>494</v>
      </c>
      <c r="F172" s="1" t="s">
        <v>9</v>
      </c>
      <c r="G172" t="str">
        <f>IF(COUNTIFS(
    Sheet1!$B:$B, B172,
    Sheet1!$C:$C, C172,
    Sheet1!$D:$D, D172,
    Sheet1!$E:$E, E172
) = 0, "NO MATCH IN TARGET", "MATCHED")</f>
        <v>MATCHED</v>
      </c>
    </row>
    <row r="173" spans="1:7" ht="15" hidden="1" thickBot="1" x14ac:dyDescent="0.4">
      <c r="A173" s="2">
        <v>46237.768750000003</v>
      </c>
      <c r="B173" s="1" t="s">
        <v>34</v>
      </c>
      <c r="C173" s="1" t="s">
        <v>14</v>
      </c>
      <c r="D173" s="3">
        <v>5</v>
      </c>
      <c r="E173" s="4">
        <v>435</v>
      </c>
      <c r="F173" s="1" t="s">
        <v>9</v>
      </c>
      <c r="G173" t="str">
        <f>IF(COUNTIFS(
    Sheet1!$B:$B, B173,
    Sheet1!$C:$C, C173,
    Sheet1!$D:$D, D173,
    Sheet1!$E:$E, E173
) = 0, "NO MATCH IN TARGET", "MATCHED")</f>
        <v>MATCHED</v>
      </c>
    </row>
  </sheetData>
  <autoFilter ref="G1:G173" xr:uid="{42A1FFFE-AFAF-46C8-8D7E-BA9E5132D10C}">
    <filterColumn colId="0">
      <filters>
        <filter val="NO MATCH IN TARG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2026-08-05T13:45:49Z</dcterms:created>
  <dcterms:modified xsi:type="dcterms:W3CDTF">2026-08-05T16:27:58Z</dcterms:modified>
</cp:coreProperties>
</file>