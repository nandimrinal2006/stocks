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A5AE1D4A-4A76-4F44-B891-C2C74B963C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" sheetId="4" r:id="rId1"/>
    <sheet name="Sheet2" sheetId="2" r:id="rId2"/>
    <sheet name="Final_backup" sheetId="1" r:id="rId3"/>
    <sheet name="Backup" sheetId="3" r:id="rId4"/>
  </sheets>
  <definedNames>
    <definedName name="_xlnm._FilterDatabase" localSheetId="0" hidden="1">Final!$A$1:$I$177</definedName>
    <definedName name="_xlnm._FilterDatabase" localSheetId="2" hidden="1">Final_backup!$A$1:$H$185</definedName>
    <definedName name="_xlnm._FilterDatabase" localSheetId="1" hidden="1">Sheet2!$G$1:$G$202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3" i="4" l="1"/>
  <c r="I57" i="4"/>
  <c r="I73" i="4"/>
  <c r="I82" i="4"/>
  <c r="I14" i="4"/>
  <c r="I157" i="4"/>
  <c r="I61" i="4"/>
  <c r="I27" i="4"/>
  <c r="I32" i="4"/>
  <c r="I51" i="4"/>
  <c r="I96" i="4"/>
  <c r="I34" i="4"/>
  <c r="I29" i="4"/>
  <c r="I115" i="4"/>
  <c r="I56" i="4"/>
  <c r="I21" i="4"/>
  <c r="I22" i="4"/>
  <c r="I165" i="4"/>
  <c r="I31" i="4"/>
  <c r="I55" i="4"/>
  <c r="I95" i="4"/>
  <c r="I77" i="4"/>
  <c r="I86" i="4"/>
  <c r="I62" i="4"/>
  <c r="I43" i="4"/>
  <c r="I160" i="4"/>
  <c r="I85" i="4"/>
  <c r="I91" i="4"/>
  <c r="I103" i="4"/>
  <c r="I102" i="4"/>
  <c r="I33" i="4"/>
  <c r="I40" i="4"/>
  <c r="I48" i="4"/>
  <c r="I66" i="4"/>
  <c r="I150" i="4"/>
  <c r="I133" i="4"/>
  <c r="I132" i="4"/>
  <c r="I127" i="4"/>
  <c r="I140" i="4"/>
  <c r="I138" i="4"/>
  <c r="I131" i="4"/>
  <c r="I117" i="4"/>
  <c r="I137" i="4"/>
  <c r="I124" i="4"/>
  <c r="I164" i="4"/>
  <c r="I173" i="4"/>
  <c r="I147" i="4"/>
  <c r="I141" i="4"/>
  <c r="I129" i="4"/>
  <c r="I151" i="4"/>
  <c r="I97" i="4"/>
  <c r="I87" i="4"/>
  <c r="I167" i="4"/>
  <c r="I80" i="4"/>
  <c r="I88" i="4"/>
  <c r="I143" i="4"/>
  <c r="I93" i="4"/>
  <c r="I105" i="4"/>
  <c r="I136" i="4"/>
  <c r="I99" i="4"/>
  <c r="I69" i="4"/>
  <c r="I71" i="4"/>
  <c r="I47" i="4"/>
  <c r="I67" i="4"/>
  <c r="I44" i="4"/>
  <c r="I20" i="4"/>
  <c r="I76" i="4"/>
  <c r="I72" i="4"/>
  <c r="I65" i="4"/>
  <c r="I42" i="4"/>
  <c r="I38" i="4"/>
  <c r="I63" i="4"/>
  <c r="I58" i="4"/>
  <c r="I54" i="4"/>
  <c r="I135" i="4"/>
  <c r="I100" i="4"/>
  <c r="I70" i="4"/>
  <c r="I98" i="4"/>
  <c r="I59" i="4"/>
  <c r="I75" i="4"/>
  <c r="I79" i="4"/>
  <c r="I94" i="4"/>
  <c r="I104" i="4"/>
  <c r="I152" i="4"/>
  <c r="I83" i="4"/>
  <c r="I46" i="4"/>
  <c r="I119" i="4"/>
  <c r="I84" i="4"/>
  <c r="I90" i="4"/>
  <c r="I78" i="4"/>
  <c r="I110" i="4"/>
  <c r="I155" i="4"/>
  <c r="I153" i="4"/>
  <c r="I109" i="4"/>
  <c r="I107" i="4"/>
  <c r="I126" i="4"/>
  <c r="I122" i="4"/>
  <c r="I116" i="4"/>
  <c r="I120" i="4"/>
  <c r="I108" i="4"/>
  <c r="I146" i="4"/>
  <c r="I128" i="4"/>
  <c r="I139" i="4"/>
  <c r="I112" i="4"/>
  <c r="I148" i="4"/>
  <c r="I130" i="4"/>
  <c r="I125" i="4"/>
  <c r="I170" i="4"/>
  <c r="I158" i="4"/>
  <c r="I111" i="4"/>
  <c r="I123" i="4"/>
  <c r="I118" i="4"/>
  <c r="I149" i="4"/>
  <c r="I161" i="4"/>
  <c r="I159" i="4"/>
  <c r="I145" i="4"/>
  <c r="I156" i="4"/>
  <c r="I114" i="4"/>
  <c r="I162" i="4"/>
  <c r="I168" i="4"/>
  <c r="I163" i="4"/>
  <c r="I154" i="4"/>
  <c r="I144" i="4"/>
  <c r="I171" i="4"/>
  <c r="I166" i="4"/>
  <c r="I121" i="4"/>
  <c r="I174" i="4"/>
  <c r="I169" i="4"/>
  <c r="I172" i="4"/>
  <c r="I175" i="4"/>
  <c r="I176" i="4"/>
  <c r="I177" i="4"/>
  <c r="I101" i="4"/>
  <c r="I106" i="4"/>
  <c r="I64" i="4"/>
  <c r="I92" i="4"/>
  <c r="I89" i="4"/>
  <c r="I81" i="4"/>
  <c r="I68" i="4"/>
  <c r="I60" i="4"/>
  <c r="I53" i="4"/>
  <c r="I52" i="4"/>
  <c r="I74" i="4"/>
  <c r="I36" i="4"/>
  <c r="I50" i="4"/>
  <c r="I17" i="4"/>
  <c r="I45" i="4"/>
  <c r="I41" i="4"/>
  <c r="I49" i="4"/>
  <c r="I35" i="4"/>
  <c r="I39" i="4"/>
  <c r="I37" i="4"/>
  <c r="I30" i="4"/>
  <c r="I15" i="4"/>
  <c r="I26" i="4"/>
  <c r="I28" i="4"/>
  <c r="I18" i="4"/>
  <c r="I19" i="4"/>
  <c r="I24" i="4"/>
  <c r="I8" i="4"/>
  <c r="I23" i="4"/>
  <c r="I7" i="4"/>
  <c r="I25" i="4"/>
  <c r="I6" i="4"/>
  <c r="I11" i="4"/>
  <c r="I12" i="4"/>
  <c r="I4" i="4"/>
  <c r="I10" i="4"/>
  <c r="I16" i="4"/>
  <c r="I13" i="4"/>
  <c r="I5" i="4"/>
  <c r="I2" i="4"/>
  <c r="I9" i="4"/>
  <c r="I3" i="4"/>
  <c r="I142" i="4"/>
  <c r="I134" i="4"/>
  <c r="H178" i="1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9" i="1"/>
  <c r="H180" i="1"/>
  <c r="H181" i="1"/>
  <c r="H182" i="1"/>
  <c r="H183" i="1"/>
  <c r="H184" i="1"/>
  <c r="H185" i="1"/>
  <c r="H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" i="2"/>
</calcChain>
</file>

<file path=xl/sharedStrings.xml><?xml version="1.0" encoding="utf-8"?>
<sst xmlns="http://schemas.openxmlformats.org/spreadsheetml/2006/main" count="2840" uniqueCount="166">
  <si>
    <t>Date</t>
  </si>
  <si>
    <t>Stock</t>
  </si>
  <si>
    <t>Order Type (Buy/Sell)</t>
  </si>
  <si>
    <t>Quantity</t>
  </si>
  <si>
    <t>Price</t>
  </si>
  <si>
    <t>Status</t>
  </si>
  <si>
    <t>04 AUG 2026 04:34:18 PM</t>
  </si>
  <si>
    <t>MOSCHIPEQ</t>
  </si>
  <si>
    <t>S</t>
  </si>
  <si>
    <t>Expired</t>
  </si>
  <si>
    <t>GRSEEQ</t>
  </si>
  <si>
    <t>B</t>
  </si>
  <si>
    <t>04 AUG 2026 04:34:17 PM</t>
  </si>
  <si>
    <t>04 AUG 2026 04:34:10 PM</t>
  </si>
  <si>
    <t>E2EEQ</t>
  </si>
  <si>
    <t>04 AUG 2026 04:34:07 PM</t>
  </si>
  <si>
    <t>SCIEQ</t>
  </si>
  <si>
    <t>04 AUG 2026 04:34:29 PM</t>
  </si>
  <si>
    <t>URBANCOEQ</t>
  </si>
  <si>
    <t>ARE&amp;MEQ</t>
  </si>
  <si>
    <t>04 AUG 2026 04:34:16 PM</t>
  </si>
  <si>
    <t>04 AUG 2026 04:34:15 PM</t>
  </si>
  <si>
    <t>04 AUG 2026 04:34:19 PM</t>
  </si>
  <si>
    <t>LALPATHLABEQ</t>
  </si>
  <si>
    <t>04 AUG 2026 04:34:13 PM</t>
  </si>
  <si>
    <t>NETWEBEQ</t>
  </si>
  <si>
    <t>04 AUG 2026 04:34:20 PM</t>
  </si>
  <si>
    <t>04 AUG 2026 04:34:25 PM</t>
  </si>
  <si>
    <t>HUDCOEQ</t>
  </si>
  <si>
    <t>ITBEESEQ</t>
  </si>
  <si>
    <t>04 AUG 2026 04:34:09 PM</t>
  </si>
  <si>
    <t>IRCONEQ</t>
  </si>
  <si>
    <t>APOLLOTYREEQ</t>
  </si>
  <si>
    <t>ZENTECEQ</t>
  </si>
  <si>
    <t>SENCOEQ</t>
  </si>
  <si>
    <t>RAILTELEQ</t>
  </si>
  <si>
    <t>SILVERBEESEQ</t>
  </si>
  <si>
    <t>04 AUG 2026 04:34:26 PM</t>
  </si>
  <si>
    <t>JUSTDIALEQ</t>
  </si>
  <si>
    <t>04 AUG 2026 04:34:22 PM</t>
  </si>
  <si>
    <t>IGILEQ</t>
  </si>
  <si>
    <t>04 AUG 2026 04:34:21 PM</t>
  </si>
  <si>
    <t>04 AUG 2026 04:34:24 PM</t>
  </si>
  <si>
    <t>04 AUG 2026 04:34:27 PM</t>
  </si>
  <si>
    <t>WAAREERTLEQ</t>
  </si>
  <si>
    <t>04 AUG 2026 03:15:10 PM</t>
  </si>
  <si>
    <t>HALEQ</t>
  </si>
  <si>
    <t>LTEQ</t>
  </si>
  <si>
    <t>04 AUG 2026 03:15:12 PM</t>
  </si>
  <si>
    <t>BSEEQ</t>
  </si>
  <si>
    <t>04 AUG 2026 03:28:27 PM</t>
  </si>
  <si>
    <t>04 AUG 2026 03:28:24 PM</t>
  </si>
  <si>
    <t>KFINTECHEQ</t>
  </si>
  <si>
    <t>TRENTEQ</t>
  </si>
  <si>
    <t>04 AUG 2026 03:28:23 PM</t>
  </si>
  <si>
    <t>SBINEQ</t>
  </si>
  <si>
    <t>CAMSEQ</t>
  </si>
  <si>
    <t>04 AUG 2026 03:15:11 PM</t>
  </si>
  <si>
    <t>BDLEQ</t>
  </si>
  <si>
    <t>COCHINSHIPEQ</t>
  </si>
  <si>
    <t>04 AUG 2026 03:15:09 PM</t>
  </si>
  <si>
    <t>RVNLEQ</t>
  </si>
  <si>
    <t>04 AUG 2026 03:15:14 PM</t>
  </si>
  <si>
    <t>IREDAEQ</t>
  </si>
  <si>
    <t>04 AUG 2026 03:15:13 PM</t>
  </si>
  <si>
    <t>CGPOWEREQ</t>
  </si>
  <si>
    <t>SOLARINDSEQ</t>
  </si>
  <si>
    <t>TCSEQ</t>
  </si>
  <si>
    <t>04 AUG 2026 03:28:28 PM</t>
  </si>
  <si>
    <t>HDFCAMCEQ</t>
  </si>
  <si>
    <t>NAM-INDIAEQ</t>
  </si>
  <si>
    <t>LODHAEQ</t>
  </si>
  <si>
    <t>IRFCEQ</t>
  </si>
  <si>
    <t>04 AUG 2026 03:28:25 PM</t>
  </si>
  <si>
    <t>TVSMOTOREQ</t>
  </si>
  <si>
    <t>MCXEQ</t>
  </si>
  <si>
    <t>MAXHEALTHEQ</t>
  </si>
  <si>
    <t>INDHOTELEQ</t>
  </si>
  <si>
    <t>DIXONEQ</t>
  </si>
  <si>
    <t>CDSLEQ</t>
  </si>
  <si>
    <t>CONCOREQ</t>
  </si>
  <si>
    <t>VBLEQ</t>
  </si>
  <si>
    <t>03 AUG 2026 03:29:09 PM</t>
  </si>
  <si>
    <t>03 AUG 2026 03:29:14 PM</t>
  </si>
  <si>
    <t>03 AUG 2026 03:29:11 PM</t>
  </si>
  <si>
    <t>03 AUG 2026 03:29:12 PM</t>
  </si>
  <si>
    <t>03 AUG 2026 03:29:15 PM</t>
  </si>
  <si>
    <t>03 AUG 2026 03:29:07 PM</t>
  </si>
  <si>
    <t>03 AUG 2026 03:29:13 PM</t>
  </si>
  <si>
    <t>03 AUG 2026 03:15:09 PM</t>
  </si>
  <si>
    <t>03 AUG 2026 03:15:13 PM</t>
  </si>
  <si>
    <t>03 AUG 2026 03:15:11 PM</t>
  </si>
  <si>
    <t>KERNEXEQ</t>
  </si>
  <si>
    <t>03 AUG 2026 03:15:14 PM</t>
  </si>
  <si>
    <t>EXIDEINDEQ</t>
  </si>
  <si>
    <t>BELEQ</t>
  </si>
  <si>
    <t>03 AUG 2026 03:29:10 PM</t>
  </si>
  <si>
    <t>03 AUG 2026 03:29:08 PM</t>
  </si>
  <si>
    <t>03 AUG 2026 03:29:06 PM</t>
  </si>
  <si>
    <t>03 AUG 2026 03:15:10 PM</t>
  </si>
  <si>
    <t>03 AUG 2026 03:15:12 PM</t>
  </si>
  <si>
    <t>PRINCEPIPEEQ</t>
  </si>
  <si>
    <t>GOLDBEESEQ</t>
  </si>
  <si>
    <t>BAJFINANCEEQ</t>
  </si>
  <si>
    <t>TMCVEQ</t>
  </si>
  <si>
    <t>ABBEQ</t>
  </si>
  <si>
    <t>03 AUG 2026 03:15:07 PM</t>
  </si>
  <si>
    <t>SONACOMSEQ</t>
  </si>
  <si>
    <t>Is Duplicate?</t>
  </si>
  <si>
    <t>NSE Code</t>
  </si>
  <si>
    <t>Latest Recorded Price</t>
  </si>
  <si>
    <t>NSE:MOSCHIP</t>
  </si>
  <si>
    <t>NSE:GRSE</t>
  </si>
  <si>
    <t>NSE:E2E</t>
  </si>
  <si>
    <t>NSE:SCI</t>
  </si>
  <si>
    <t>NSE:URBANCO</t>
  </si>
  <si>
    <t>NSE:ARE&amp;M</t>
  </si>
  <si>
    <t>NSE:LALPATHLAB</t>
  </si>
  <si>
    <t>NSE:NETWEB</t>
  </si>
  <si>
    <t>NSE:HUDCO</t>
  </si>
  <si>
    <t>NSE:ITBEES</t>
  </si>
  <si>
    <t>NSE:IRCON</t>
  </si>
  <si>
    <t>NSE:APOLLOTYRE</t>
  </si>
  <si>
    <t>NSE:ZENTEC</t>
  </si>
  <si>
    <t>NSE:SENCO</t>
  </si>
  <si>
    <t>NSE:RAILTEL</t>
  </si>
  <si>
    <t>NSE:SILVERBEES</t>
  </si>
  <si>
    <t>NSE:JUSTDIAL</t>
  </si>
  <si>
    <t>NSE:IGIL</t>
  </si>
  <si>
    <t>NSE:WAAREERTL</t>
  </si>
  <si>
    <t>NSE:HAL</t>
  </si>
  <si>
    <t>NSE:LT</t>
  </si>
  <si>
    <t>NSE:BSE</t>
  </si>
  <si>
    <t>NSE:KFINTECH</t>
  </si>
  <si>
    <t>NSE:TRENT</t>
  </si>
  <si>
    <t>NSE:SBIN</t>
  </si>
  <si>
    <t>NSE:CAMS</t>
  </si>
  <si>
    <t>NSE:BDL</t>
  </si>
  <si>
    <t>NSE:COCHINSHIP</t>
  </si>
  <si>
    <t>NSE:RVNL</t>
  </si>
  <si>
    <t>NSE:IREDA</t>
  </si>
  <si>
    <t>NSE:CGPOWER</t>
  </si>
  <si>
    <t>NSE:SOLARINDS</t>
  </si>
  <si>
    <t>NSE:TCS</t>
  </si>
  <si>
    <t>NSE:HDFCAMC</t>
  </si>
  <si>
    <t>NSE:NAM-INDIA</t>
  </si>
  <si>
    <t>NSE:LODHA</t>
  </si>
  <si>
    <t>NSE:IRFC</t>
  </si>
  <si>
    <t>NSE:TVSMOTOR</t>
  </si>
  <si>
    <t>NSE:MCX</t>
  </si>
  <si>
    <t>NSE:MAXHEALTH</t>
  </si>
  <si>
    <t>NSE:INDHOTEL</t>
  </si>
  <si>
    <t>NSE:DIXON</t>
  </si>
  <si>
    <t>NSE:CDSL</t>
  </si>
  <si>
    <t>NSE:CONCOR</t>
  </si>
  <si>
    <t>NSE:VBL</t>
  </si>
  <si>
    <t>NSE:KERNEX</t>
  </si>
  <si>
    <t>NSE:EXIDEIND</t>
  </si>
  <si>
    <t>NSE:BEL</t>
  </si>
  <si>
    <t>NSE:PRINCEPIPE</t>
  </si>
  <si>
    <t>NSE:GOLDBEES</t>
  </si>
  <si>
    <t>NSE:BAJFINANCE</t>
  </si>
  <si>
    <t>NSE:TMCV</t>
  </si>
  <si>
    <t>NSE:ABB</t>
  </si>
  <si>
    <t>NSE:SONACOMS</t>
  </si>
  <si>
    <t>%Difference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</si>
</sst>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/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22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0" fillId="2" borderId="0" xfId="0" applyFill="1"/>
    <xf numFmtId="0" fontId="3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792B-E190-40C3-A300-236277A9A431}">
  <sheetPr filterMode="1"/>
  <dimension ref="A1:I177"/>
  <sheetViews>
    <sheetView tabSelected="1" topLeftCell="A164" workbookViewId="0">
      <selection activeCell="A178" sqref="A178:XFD178"/>
    </sheetView>
  </sheetViews>
  <sheetFormatPr defaultRowHeight="14.5" x14ac:dyDescent="0.35"/>
  <cols>
    <col min="1" max="1" width="15.7265625" customWidth="1"/>
    <col min="2" max="2" width="13.08984375" customWidth="1"/>
    <col min="3" max="3" width="17.90625" customWidth="1"/>
    <col min="7" max="7" width="17.7265625" customWidth="1"/>
    <col min="8" max="8" width="22.54296875" customWidth="1"/>
    <col min="9" max="9" width="13.26953125" customWidth="1"/>
  </cols>
  <sheetData>
    <row r="1" spans="1:9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109</v>
      </c>
      <c r="H1" s="18" t="s">
        <v>110</v>
      </c>
      <c r="I1" s="20" t="s">
        <v>165</v>
      </c>
    </row>
    <row r="2" spans="1:9" ht="15" hidden="1" thickBot="1" x14ac:dyDescent="0.4">
      <c r="A2" s="5">
        <v>46234.6875</v>
      </c>
      <c r="B2" s="1" t="s">
        <v>14</v>
      </c>
      <c r="C2" s="1" t="s">
        <v>11</v>
      </c>
      <c r="D2" s="6">
        <v>10</v>
      </c>
      <c r="E2" s="6">
        <v>468</v>
      </c>
      <c r="F2" s="1" t="s">
        <v>9</v>
      </c>
      <c r="G2" s="17" t="s">
        <v>113</v>
      </c>
      <c r="H2" s="19">
        <v>570.15</v>
      </c>
      <c r="I2">
        <f>((E2-H2)/E2)*100</f>
        <v>-21.826923076923073</v>
      </c>
    </row>
    <row r="3" spans="1:9" ht="15" hidden="1" thickBot="1" x14ac:dyDescent="0.4">
      <c r="A3" s="5">
        <v>46234.6875</v>
      </c>
      <c r="B3" s="1" t="s">
        <v>25</v>
      </c>
      <c r="C3" s="1" t="s">
        <v>11</v>
      </c>
      <c r="D3" s="6">
        <v>1</v>
      </c>
      <c r="E3" s="6">
        <v>3914</v>
      </c>
      <c r="F3" s="1" t="s">
        <v>9</v>
      </c>
      <c r="G3" s="17" t="s">
        <v>118</v>
      </c>
      <c r="H3" s="19">
        <v>4731.3999999999996</v>
      </c>
      <c r="I3">
        <f>((E3-H3)/E3)*100</f>
        <v>-20.884006131834433</v>
      </c>
    </row>
    <row r="4" spans="1:9" ht="15" hidden="1" thickBot="1" x14ac:dyDescent="0.4">
      <c r="A4" s="5">
        <v>46237.768750000003</v>
      </c>
      <c r="B4" s="1" t="s">
        <v>92</v>
      </c>
      <c r="C4" s="1" t="s">
        <v>11</v>
      </c>
      <c r="D4" s="6">
        <v>1</v>
      </c>
      <c r="E4" s="6">
        <v>2064</v>
      </c>
      <c r="F4" s="1" t="s">
        <v>9</v>
      </c>
      <c r="G4" s="17" t="s">
        <v>156</v>
      </c>
      <c r="H4" s="19">
        <v>2439</v>
      </c>
      <c r="I4">
        <f>((E4-H4)/E4)*100</f>
        <v>-18.168604651162788</v>
      </c>
    </row>
    <row r="5" spans="1:9" ht="15" hidden="1" thickBot="1" x14ac:dyDescent="0.4">
      <c r="A5" s="5">
        <v>46234.6875</v>
      </c>
      <c r="B5" s="1" t="s">
        <v>25</v>
      </c>
      <c r="C5" s="1" t="s">
        <v>11</v>
      </c>
      <c r="D5" s="6">
        <v>1</v>
      </c>
      <c r="E5" s="6">
        <v>4014</v>
      </c>
      <c r="F5" s="1" t="s">
        <v>9</v>
      </c>
      <c r="G5" s="17" t="s">
        <v>118</v>
      </c>
      <c r="H5" s="19">
        <v>4731.3999999999996</v>
      </c>
      <c r="I5">
        <f>((E5-H5)/E5)*100</f>
        <v>-17.872446437468849</v>
      </c>
    </row>
    <row r="6" spans="1:9" ht="15" hidden="1" thickBot="1" x14ac:dyDescent="0.4">
      <c r="A6" s="5">
        <v>46237.768750000003</v>
      </c>
      <c r="B6" s="1" t="s">
        <v>14</v>
      </c>
      <c r="C6" s="1" t="s">
        <v>11</v>
      </c>
      <c r="D6" s="6">
        <v>15</v>
      </c>
      <c r="E6" s="6">
        <v>492</v>
      </c>
      <c r="F6" s="1" t="s">
        <v>9</v>
      </c>
      <c r="G6" s="17" t="s">
        <v>113</v>
      </c>
      <c r="H6" s="19">
        <v>570.15</v>
      </c>
      <c r="I6">
        <f>((E6-H6)/E6)*100</f>
        <v>-15.88414634146341</v>
      </c>
    </row>
    <row r="7" spans="1:9" ht="15" hidden="1" thickBot="1" x14ac:dyDescent="0.4">
      <c r="A7" s="5">
        <v>46237.69027777778</v>
      </c>
      <c r="B7" s="1" t="s">
        <v>94</v>
      </c>
      <c r="C7" s="1" t="s">
        <v>11</v>
      </c>
      <c r="D7" s="6">
        <v>29</v>
      </c>
      <c r="E7" s="6">
        <v>401</v>
      </c>
      <c r="F7" s="1" t="s">
        <v>9</v>
      </c>
      <c r="G7" s="17" t="s">
        <v>157</v>
      </c>
      <c r="H7" s="19">
        <v>460</v>
      </c>
      <c r="I7">
        <f>((E7-H7)/E7)*100</f>
        <v>-14.713216957605985</v>
      </c>
    </row>
    <row r="8" spans="1:9" ht="15" hidden="1" thickBot="1" x14ac:dyDescent="0.4">
      <c r="A8" s="5">
        <v>46237.69027777778</v>
      </c>
      <c r="B8" s="1" t="s">
        <v>25</v>
      </c>
      <c r="C8" s="1" t="s">
        <v>11</v>
      </c>
      <c r="D8" s="6">
        <v>1</v>
      </c>
      <c r="E8" s="6">
        <v>4164</v>
      </c>
      <c r="F8" s="1" t="s">
        <v>9</v>
      </c>
      <c r="G8" s="17" t="s">
        <v>118</v>
      </c>
      <c r="H8" s="19">
        <v>4731.3999999999996</v>
      </c>
      <c r="I8">
        <f>((E8-H8)/E8)*100</f>
        <v>-13.626320845341008</v>
      </c>
    </row>
    <row r="9" spans="1:9" ht="15" hidden="1" thickBot="1" x14ac:dyDescent="0.4">
      <c r="A9" s="5">
        <v>46233.688194444447</v>
      </c>
      <c r="B9" s="1" t="s">
        <v>92</v>
      </c>
      <c r="C9" s="1" t="s">
        <v>11</v>
      </c>
      <c r="D9" s="6">
        <v>1</v>
      </c>
      <c r="E9" s="6">
        <v>2164</v>
      </c>
      <c r="F9" s="1" t="s">
        <v>9</v>
      </c>
      <c r="G9" s="17" t="s">
        <v>156</v>
      </c>
      <c r="H9" s="19">
        <v>2439</v>
      </c>
      <c r="I9">
        <f>((E9-H9)/E9)*100</f>
        <v>-12.707948243992606</v>
      </c>
    </row>
    <row r="10" spans="1:9" ht="15" hidden="1" thickBot="1" x14ac:dyDescent="0.4">
      <c r="A10" s="5">
        <v>46237.63553240741</v>
      </c>
      <c r="B10" s="1" t="s">
        <v>107</v>
      </c>
      <c r="C10" s="1" t="s">
        <v>11</v>
      </c>
      <c r="D10" s="6">
        <v>4</v>
      </c>
      <c r="E10" s="6">
        <v>701</v>
      </c>
      <c r="F10" s="1" t="s">
        <v>9</v>
      </c>
      <c r="G10" s="17" t="s">
        <v>164</v>
      </c>
      <c r="H10" s="19">
        <v>787</v>
      </c>
      <c r="I10">
        <f>((E10-H10)/E10)*100</f>
        <v>-12.268188302425106</v>
      </c>
    </row>
    <row r="11" spans="1:9" ht="15" hidden="1" thickBot="1" x14ac:dyDescent="0.4">
      <c r="A11" s="5">
        <v>46237.635497685187</v>
      </c>
      <c r="B11" s="1" t="s">
        <v>105</v>
      </c>
      <c r="C11" s="1" t="s">
        <v>11</v>
      </c>
      <c r="D11" s="6">
        <v>1</v>
      </c>
      <c r="E11" s="6">
        <v>6920</v>
      </c>
      <c r="F11" s="1" t="s">
        <v>9</v>
      </c>
      <c r="G11" s="17" t="s">
        <v>163</v>
      </c>
      <c r="H11" s="19">
        <v>7763</v>
      </c>
      <c r="I11">
        <f>((E11-H11)/E11)*100</f>
        <v>-12.182080924855491</v>
      </c>
    </row>
    <row r="12" spans="1:9" ht="15" hidden="1" thickBot="1" x14ac:dyDescent="0.4">
      <c r="A12" s="5">
        <v>46237.768750000003</v>
      </c>
      <c r="B12" s="1" t="s">
        <v>29</v>
      </c>
      <c r="C12" s="1" t="s">
        <v>11</v>
      </c>
      <c r="D12" s="6">
        <v>200</v>
      </c>
      <c r="E12" s="6">
        <v>31.01</v>
      </c>
      <c r="F12" s="1" t="s">
        <v>9</v>
      </c>
      <c r="G12" s="17" t="s">
        <v>120</v>
      </c>
      <c r="H12" s="19">
        <v>34.700000000000003</v>
      </c>
      <c r="I12">
        <f>((E12-H12)/E12)*100</f>
        <v>-11.899387294421159</v>
      </c>
    </row>
    <row r="13" spans="1:9" ht="15" hidden="1" thickBot="1" x14ac:dyDescent="0.4">
      <c r="A13" s="5">
        <v>46237.768750000003</v>
      </c>
      <c r="B13" s="1" t="s">
        <v>40</v>
      </c>
      <c r="C13" s="1" t="s">
        <v>11</v>
      </c>
      <c r="D13" s="6">
        <v>100</v>
      </c>
      <c r="E13" s="6">
        <v>322</v>
      </c>
      <c r="F13" s="1" t="s">
        <v>9</v>
      </c>
      <c r="G13" s="17" t="s">
        <v>128</v>
      </c>
      <c r="H13" s="19">
        <v>358</v>
      </c>
      <c r="I13">
        <f>((E13-H13)/E13)*100</f>
        <v>-11.180124223602485</v>
      </c>
    </row>
    <row r="14" spans="1:9" ht="15" hidden="1" thickBot="1" x14ac:dyDescent="0.4">
      <c r="A14" s="5">
        <v>46238.690393518518</v>
      </c>
      <c r="B14" s="1" t="s">
        <v>14</v>
      </c>
      <c r="C14" s="1" t="s">
        <v>11</v>
      </c>
      <c r="D14" s="6">
        <v>5</v>
      </c>
      <c r="E14" s="6">
        <v>516</v>
      </c>
      <c r="F14" s="1" t="s">
        <v>9</v>
      </c>
      <c r="G14" s="17" t="s">
        <v>113</v>
      </c>
      <c r="H14" s="19">
        <v>570.15</v>
      </c>
      <c r="I14">
        <f>((E14-H14)/E14)*100</f>
        <v>-10.494186046511624</v>
      </c>
    </row>
    <row r="15" spans="1:9" ht="15" hidden="1" thickBot="1" x14ac:dyDescent="0.4">
      <c r="A15" s="5">
        <v>46234.6875</v>
      </c>
      <c r="B15" s="1" t="s">
        <v>34</v>
      </c>
      <c r="C15" s="1" t="s">
        <v>11</v>
      </c>
      <c r="D15" s="6">
        <v>25</v>
      </c>
      <c r="E15" s="6">
        <v>352</v>
      </c>
      <c r="F15" s="1" t="s">
        <v>9</v>
      </c>
      <c r="G15" s="17" t="s">
        <v>124</v>
      </c>
      <c r="H15" s="19">
        <v>387</v>
      </c>
      <c r="I15">
        <f>((E15-H15)/E15)*100</f>
        <v>-9.9431818181818183</v>
      </c>
    </row>
    <row r="16" spans="1:9" ht="15" hidden="1" thickBot="1" x14ac:dyDescent="0.4">
      <c r="A16" s="5">
        <v>46237.768750000003</v>
      </c>
      <c r="B16" s="1" t="s">
        <v>40</v>
      </c>
      <c r="C16" s="1" t="s">
        <v>11</v>
      </c>
      <c r="D16" s="6">
        <v>100</v>
      </c>
      <c r="E16" s="6">
        <v>327</v>
      </c>
      <c r="F16" s="1" t="s">
        <v>9</v>
      </c>
      <c r="G16" s="17" t="s">
        <v>128</v>
      </c>
      <c r="H16" s="19">
        <v>358</v>
      </c>
      <c r="I16">
        <f>((E16-H16)/E16)*100</f>
        <v>-9.4801223241590211</v>
      </c>
    </row>
    <row r="17" spans="1:9" ht="15" hidden="1" thickBot="1" x14ac:dyDescent="0.4">
      <c r="A17" s="5">
        <v>46237.69027777778</v>
      </c>
      <c r="B17" s="1" t="s">
        <v>101</v>
      </c>
      <c r="C17" s="1" t="s">
        <v>11</v>
      </c>
      <c r="D17" s="6">
        <v>10</v>
      </c>
      <c r="E17" s="6">
        <v>251</v>
      </c>
      <c r="F17" s="1" t="s">
        <v>9</v>
      </c>
      <c r="G17" s="17" t="s">
        <v>159</v>
      </c>
      <c r="H17" s="19">
        <v>274.5</v>
      </c>
      <c r="I17">
        <f>((E17-H17)/E17)*100</f>
        <v>-9.3625498007968133</v>
      </c>
    </row>
    <row r="18" spans="1:9" ht="15" hidden="1" thickBot="1" x14ac:dyDescent="0.4">
      <c r="A18" s="5">
        <v>46233.688194444447</v>
      </c>
      <c r="B18" s="1" t="s">
        <v>74</v>
      </c>
      <c r="C18" s="1" t="s">
        <v>11</v>
      </c>
      <c r="D18" s="6">
        <v>2</v>
      </c>
      <c r="E18" s="6">
        <v>4010</v>
      </c>
      <c r="F18" s="1" t="s">
        <v>9</v>
      </c>
      <c r="G18" s="17" t="s">
        <v>148</v>
      </c>
      <c r="H18" s="19">
        <v>4360</v>
      </c>
      <c r="I18">
        <f>((E18-H18)/E18)*100</f>
        <v>-8.7281795511221958</v>
      </c>
    </row>
    <row r="19" spans="1:9" ht="15" hidden="1" thickBot="1" x14ac:dyDescent="0.4">
      <c r="A19" s="5">
        <v>46237.63554398148</v>
      </c>
      <c r="B19" s="1" t="s">
        <v>67</v>
      </c>
      <c r="C19" s="1" t="s">
        <v>11</v>
      </c>
      <c r="D19" s="6">
        <v>9</v>
      </c>
      <c r="E19" s="6">
        <v>2251</v>
      </c>
      <c r="F19" s="1" t="s">
        <v>9</v>
      </c>
      <c r="G19" s="17" t="s">
        <v>143</v>
      </c>
      <c r="H19" s="19">
        <v>2443.8000000000002</v>
      </c>
      <c r="I19">
        <f>((E19-H19)/E19)*100</f>
        <v>-8.565082185695255</v>
      </c>
    </row>
    <row r="20" spans="1:9" ht="15" hidden="1" thickBot="1" x14ac:dyDescent="0.4">
      <c r="A20" s="5">
        <v>46238.635567129626</v>
      </c>
      <c r="B20" s="1" t="s">
        <v>65</v>
      </c>
      <c r="C20" s="1" t="s">
        <v>11</v>
      </c>
      <c r="D20" s="6">
        <v>5</v>
      </c>
      <c r="E20" s="6">
        <v>812</v>
      </c>
      <c r="F20" s="1" t="s">
        <v>9</v>
      </c>
      <c r="G20" s="17" t="s">
        <v>141</v>
      </c>
      <c r="H20" s="19">
        <v>881.35</v>
      </c>
      <c r="I20">
        <f>((E20-H20)/E20)*100</f>
        <v>-8.5406403940886726</v>
      </c>
    </row>
    <row r="21" spans="1:9" ht="15" hidden="1" thickBot="1" x14ac:dyDescent="0.4">
      <c r="A21" s="5">
        <v>46238.690462962964</v>
      </c>
      <c r="B21" s="1" t="s">
        <v>16</v>
      </c>
      <c r="C21" s="1" t="s">
        <v>11</v>
      </c>
      <c r="D21" s="6">
        <v>37</v>
      </c>
      <c r="E21" s="6">
        <v>277</v>
      </c>
      <c r="F21" s="1" t="s">
        <v>9</v>
      </c>
      <c r="G21" s="17" t="s">
        <v>114</v>
      </c>
      <c r="H21" s="19">
        <v>300.35000000000002</v>
      </c>
      <c r="I21">
        <f>((E21-H21)/E21)*100</f>
        <v>-8.4296028880866523</v>
      </c>
    </row>
    <row r="22" spans="1:9" ht="15" hidden="1" thickBot="1" x14ac:dyDescent="0.4">
      <c r="A22" s="5">
        <v>46238.690509259257</v>
      </c>
      <c r="B22" s="1" t="s">
        <v>25</v>
      </c>
      <c r="C22" s="1" t="s">
        <v>11</v>
      </c>
      <c r="D22" s="6">
        <v>1</v>
      </c>
      <c r="E22" s="6">
        <v>4364</v>
      </c>
      <c r="F22" s="1" t="s">
        <v>9</v>
      </c>
      <c r="G22" s="17" t="s">
        <v>118</v>
      </c>
      <c r="H22" s="19">
        <v>4731.3999999999996</v>
      </c>
      <c r="I22">
        <f>((E22-H22)/E22)*100</f>
        <v>-8.4188817598533383</v>
      </c>
    </row>
    <row r="23" spans="1:9" ht="15" hidden="1" thickBot="1" x14ac:dyDescent="0.4">
      <c r="A23" s="5">
        <v>46237.768750000003</v>
      </c>
      <c r="B23" s="1" t="s">
        <v>104</v>
      </c>
      <c r="C23" s="1" t="s">
        <v>11</v>
      </c>
      <c r="D23" s="6">
        <v>7</v>
      </c>
      <c r="E23" s="6">
        <v>411</v>
      </c>
      <c r="F23" s="1" t="s">
        <v>9</v>
      </c>
      <c r="G23" s="17" t="s">
        <v>162</v>
      </c>
      <c r="H23" s="19">
        <v>445.6</v>
      </c>
      <c r="I23">
        <f>((E23-H23)/E23)*100</f>
        <v>-8.4184914841849192</v>
      </c>
    </row>
    <row r="24" spans="1:9" ht="15" hidden="1" thickBot="1" x14ac:dyDescent="0.4">
      <c r="A24" s="5">
        <v>46237.69027777778</v>
      </c>
      <c r="B24" s="1" t="s">
        <v>19</v>
      </c>
      <c r="C24" s="1" t="s">
        <v>11</v>
      </c>
      <c r="D24" s="6">
        <v>5</v>
      </c>
      <c r="E24" s="6">
        <v>852</v>
      </c>
      <c r="F24" s="1" t="s">
        <v>9</v>
      </c>
      <c r="G24" s="17" t="s">
        <v>116</v>
      </c>
      <c r="H24" s="19">
        <v>922.95</v>
      </c>
      <c r="I24">
        <f>((E24-H24)/E24)*100</f>
        <v>-8.3274647887323994</v>
      </c>
    </row>
    <row r="25" spans="1:9" ht="15" hidden="1" thickBot="1" x14ac:dyDescent="0.4">
      <c r="A25" s="5">
        <v>46237.768750000003</v>
      </c>
      <c r="B25" s="1" t="s">
        <v>40</v>
      </c>
      <c r="C25" s="1" t="s">
        <v>11</v>
      </c>
      <c r="D25" s="6">
        <v>100</v>
      </c>
      <c r="E25" s="6">
        <v>331</v>
      </c>
      <c r="F25" s="1" t="s">
        <v>9</v>
      </c>
      <c r="G25" s="17" t="s">
        <v>128</v>
      </c>
      <c r="H25" s="19">
        <v>358</v>
      </c>
      <c r="I25">
        <f>((E25-H25)/E25)*100</f>
        <v>-8.1570996978851973</v>
      </c>
    </row>
    <row r="26" spans="1:9" ht="15" hidden="1" thickBot="1" x14ac:dyDescent="0.4">
      <c r="A26" s="5">
        <v>46233.688194444447</v>
      </c>
      <c r="B26" s="1" t="s">
        <v>74</v>
      </c>
      <c r="C26" s="1" t="s">
        <v>11</v>
      </c>
      <c r="D26" s="6">
        <v>2</v>
      </c>
      <c r="E26" s="6">
        <v>4060</v>
      </c>
      <c r="F26" s="1" t="s">
        <v>9</v>
      </c>
      <c r="G26" s="17" t="s">
        <v>148</v>
      </c>
      <c r="H26" s="19">
        <v>4360</v>
      </c>
      <c r="I26">
        <f>((E26-H26)/E26)*100</f>
        <v>-7.389162561576355</v>
      </c>
    </row>
    <row r="27" spans="1:9" ht="15" hidden="1" thickBot="1" x14ac:dyDescent="0.4">
      <c r="A27" s="5">
        <v>46238.690358796295</v>
      </c>
      <c r="B27" s="1" t="s">
        <v>19</v>
      </c>
      <c r="C27" s="1" t="s">
        <v>11</v>
      </c>
      <c r="D27" s="6">
        <v>30</v>
      </c>
      <c r="E27" s="6">
        <v>860</v>
      </c>
      <c r="F27" s="1" t="s">
        <v>9</v>
      </c>
      <c r="G27" s="17" t="s">
        <v>116</v>
      </c>
      <c r="H27" s="19">
        <v>922.95</v>
      </c>
      <c r="I27">
        <f>((E27-H27)/E27)*100</f>
        <v>-7.3197674418604715</v>
      </c>
    </row>
    <row r="28" spans="1:9" ht="29.5" hidden="1" thickBot="1" x14ac:dyDescent="0.4">
      <c r="A28" s="5">
        <v>46237.63553240741</v>
      </c>
      <c r="B28" s="1" t="s">
        <v>103</v>
      </c>
      <c r="C28" s="1" t="s">
        <v>11</v>
      </c>
      <c r="D28" s="6">
        <v>4</v>
      </c>
      <c r="E28" s="6">
        <v>1066</v>
      </c>
      <c r="F28" s="1" t="s">
        <v>9</v>
      </c>
      <c r="G28" s="17" t="s">
        <v>161</v>
      </c>
      <c r="H28" s="19">
        <v>1143.8</v>
      </c>
      <c r="I28">
        <f>((E28-H28)/E28)*100</f>
        <v>-7.2983114446529038</v>
      </c>
    </row>
    <row r="29" spans="1:9" ht="15" hidden="1" thickBot="1" x14ac:dyDescent="0.4">
      <c r="A29" s="5">
        <v>46238.690428240741</v>
      </c>
      <c r="B29" s="1" t="s">
        <v>25</v>
      </c>
      <c r="C29" s="1" t="s">
        <v>11</v>
      </c>
      <c r="D29" s="6">
        <v>2</v>
      </c>
      <c r="E29" s="6">
        <v>4410</v>
      </c>
      <c r="F29" s="1" t="s">
        <v>9</v>
      </c>
      <c r="G29" s="17" t="s">
        <v>118</v>
      </c>
      <c r="H29" s="19">
        <v>4731.3999999999996</v>
      </c>
      <c r="I29">
        <f>((E29-H29)/E29)*100</f>
        <v>-7.2879818594104222</v>
      </c>
    </row>
    <row r="30" spans="1:9" ht="15" hidden="1" thickBot="1" x14ac:dyDescent="0.4">
      <c r="A30" s="5">
        <v>46234.6875</v>
      </c>
      <c r="B30" s="1" t="s">
        <v>49</v>
      </c>
      <c r="C30" s="1" t="s">
        <v>11</v>
      </c>
      <c r="D30" s="6">
        <v>1</v>
      </c>
      <c r="E30" s="6">
        <v>3360</v>
      </c>
      <c r="F30" s="1" t="s">
        <v>9</v>
      </c>
      <c r="G30" s="17" t="s">
        <v>132</v>
      </c>
      <c r="H30" s="19">
        <v>3597.9</v>
      </c>
      <c r="I30">
        <f>((E30-H30)/E30)*100</f>
        <v>-7.080357142857145</v>
      </c>
    </row>
    <row r="31" spans="1:9" ht="15" hidden="1" thickBot="1" x14ac:dyDescent="0.4">
      <c r="A31" s="5">
        <v>46238.690509259257</v>
      </c>
      <c r="B31" s="1" t="s">
        <v>28</v>
      </c>
      <c r="C31" s="1" t="s">
        <v>11</v>
      </c>
      <c r="D31" s="6">
        <v>25</v>
      </c>
      <c r="E31" s="6">
        <v>190.1</v>
      </c>
      <c r="F31" s="1" t="s">
        <v>9</v>
      </c>
      <c r="G31" s="17" t="s">
        <v>119</v>
      </c>
      <c r="H31" s="19">
        <v>203.5</v>
      </c>
      <c r="I31">
        <f>((E31-H31)/E31)*100</f>
        <v>-7.0489216201998977</v>
      </c>
    </row>
    <row r="32" spans="1:9" ht="15" hidden="1" thickBot="1" x14ac:dyDescent="0.4">
      <c r="A32" s="5">
        <v>46238.690462962964</v>
      </c>
      <c r="B32" s="1" t="s">
        <v>16</v>
      </c>
      <c r="C32" s="1" t="s">
        <v>11</v>
      </c>
      <c r="D32" s="6">
        <v>20</v>
      </c>
      <c r="E32" s="6">
        <v>281</v>
      </c>
      <c r="F32" s="1" t="s">
        <v>9</v>
      </c>
      <c r="G32" s="17" t="s">
        <v>114</v>
      </c>
      <c r="H32" s="19">
        <v>300.35000000000002</v>
      </c>
      <c r="I32">
        <f>((E32-H32)/E32)*100</f>
        <v>-6.8861209964412886</v>
      </c>
    </row>
    <row r="33" spans="1:9" ht="15" hidden="1" thickBot="1" x14ac:dyDescent="0.4">
      <c r="A33" s="5">
        <v>46238.690532407411</v>
      </c>
      <c r="B33" s="1" t="s">
        <v>40</v>
      </c>
      <c r="C33" s="1" t="s">
        <v>11</v>
      </c>
      <c r="D33" s="6">
        <v>100</v>
      </c>
      <c r="E33" s="6">
        <v>335</v>
      </c>
      <c r="F33" s="1" t="s">
        <v>9</v>
      </c>
      <c r="G33" s="17" t="s">
        <v>128</v>
      </c>
      <c r="H33" s="19">
        <v>358</v>
      </c>
      <c r="I33">
        <f>((E33-H33)/E33)*100</f>
        <v>-6.8656716417910451</v>
      </c>
    </row>
    <row r="34" spans="1:9" ht="29.5" hidden="1" thickBot="1" x14ac:dyDescent="0.4">
      <c r="A34" s="5">
        <v>46238.690497685187</v>
      </c>
      <c r="B34" s="1" t="s">
        <v>23</v>
      </c>
      <c r="C34" s="1" t="s">
        <v>11</v>
      </c>
      <c r="D34" s="6">
        <v>4</v>
      </c>
      <c r="E34" s="6">
        <v>1751</v>
      </c>
      <c r="F34" s="1" t="s">
        <v>9</v>
      </c>
      <c r="G34" s="17" t="s">
        <v>117</v>
      </c>
      <c r="H34" s="19">
        <v>1871</v>
      </c>
      <c r="I34">
        <f>((E34-H34)/E34)*100</f>
        <v>-6.8532267275842367</v>
      </c>
    </row>
    <row r="35" spans="1:9" ht="15" hidden="1" thickBot="1" x14ac:dyDescent="0.4">
      <c r="A35" s="5">
        <v>46237.63553240741</v>
      </c>
      <c r="B35" s="1" t="s">
        <v>66</v>
      </c>
      <c r="C35" s="1" t="s">
        <v>11</v>
      </c>
      <c r="D35" s="6">
        <v>1</v>
      </c>
      <c r="E35" s="6">
        <v>17552</v>
      </c>
      <c r="F35" s="1" t="s">
        <v>9</v>
      </c>
      <c r="G35" s="17" t="s">
        <v>142</v>
      </c>
      <c r="H35" s="19">
        <v>18711</v>
      </c>
      <c r="I35">
        <f>((E35-H35)/E35)*100</f>
        <v>-6.6032360984503189</v>
      </c>
    </row>
    <row r="36" spans="1:9" ht="15" hidden="1" thickBot="1" x14ac:dyDescent="0.4">
      <c r="A36" s="5">
        <v>46237.635555555556</v>
      </c>
      <c r="B36" s="1" t="s">
        <v>53</v>
      </c>
      <c r="C36" s="1" t="s">
        <v>11</v>
      </c>
      <c r="D36" s="6">
        <v>5</v>
      </c>
      <c r="E36" s="6">
        <v>2888</v>
      </c>
      <c r="F36" s="1" t="s">
        <v>9</v>
      </c>
      <c r="G36" s="17" t="s">
        <v>134</v>
      </c>
      <c r="H36" s="19">
        <v>3077</v>
      </c>
      <c r="I36">
        <f>((E36-H36)/E36)*100</f>
        <v>-6.5443213296398888</v>
      </c>
    </row>
    <row r="37" spans="1:9" ht="15" hidden="1" thickBot="1" x14ac:dyDescent="0.4">
      <c r="A37" s="5">
        <v>46233.688194444447</v>
      </c>
      <c r="B37" s="1" t="s">
        <v>47</v>
      </c>
      <c r="C37" s="1" t="s">
        <v>11</v>
      </c>
      <c r="D37" s="6">
        <v>2</v>
      </c>
      <c r="E37" s="6">
        <v>3760</v>
      </c>
      <c r="F37" s="1" t="s">
        <v>9</v>
      </c>
      <c r="G37" s="17" t="s">
        <v>131</v>
      </c>
      <c r="H37" s="19">
        <v>4001</v>
      </c>
      <c r="I37">
        <f>((E37-H37)/E37)*100</f>
        <v>-6.4095744680851068</v>
      </c>
    </row>
    <row r="38" spans="1:9" ht="15" hidden="1" thickBot="1" x14ac:dyDescent="0.4">
      <c r="A38" s="5">
        <v>46238.63553240741</v>
      </c>
      <c r="B38" s="1" t="s">
        <v>71</v>
      </c>
      <c r="C38" s="1" t="s">
        <v>11</v>
      </c>
      <c r="D38" s="6">
        <v>10</v>
      </c>
      <c r="E38" s="6">
        <v>1166</v>
      </c>
      <c r="F38" s="1" t="s">
        <v>9</v>
      </c>
      <c r="G38" s="17" t="s">
        <v>146</v>
      </c>
      <c r="H38" s="19">
        <v>1239.7</v>
      </c>
      <c r="I38">
        <f>((E38-H38)/E38)*100</f>
        <v>-6.3207547169811367</v>
      </c>
    </row>
    <row r="39" spans="1:9" ht="15" hidden="1" thickBot="1" x14ac:dyDescent="0.4">
      <c r="A39" s="5">
        <v>46233.688194444447</v>
      </c>
      <c r="B39" s="1" t="s">
        <v>77</v>
      </c>
      <c r="C39" s="1" t="s">
        <v>11</v>
      </c>
      <c r="D39" s="6">
        <v>5</v>
      </c>
      <c r="E39" s="6">
        <v>702</v>
      </c>
      <c r="F39" s="1" t="s">
        <v>9</v>
      </c>
      <c r="G39" s="17" t="s">
        <v>151</v>
      </c>
      <c r="H39" s="19">
        <v>745.8</v>
      </c>
      <c r="I39">
        <f>((E39-H39)/E39)*100</f>
        <v>-6.2393162393162331</v>
      </c>
    </row>
    <row r="40" spans="1:9" ht="15" hidden="1" thickBot="1" x14ac:dyDescent="0.4">
      <c r="A40" s="5">
        <v>46238.690497685187</v>
      </c>
      <c r="B40" s="1" t="s">
        <v>40</v>
      </c>
      <c r="C40" s="1" t="s">
        <v>11</v>
      </c>
      <c r="D40" s="6">
        <v>100</v>
      </c>
      <c r="E40" s="6">
        <v>337</v>
      </c>
      <c r="F40" s="1" t="s">
        <v>9</v>
      </c>
      <c r="G40" s="17" t="s">
        <v>128</v>
      </c>
      <c r="H40" s="19">
        <v>358</v>
      </c>
      <c r="I40">
        <f>((E40-H40)/E40)*100</f>
        <v>-6.2314540059347179</v>
      </c>
    </row>
    <row r="41" spans="1:9" ht="15" hidden="1" thickBot="1" x14ac:dyDescent="0.4">
      <c r="A41" s="5">
        <v>46237.635555555556</v>
      </c>
      <c r="B41" s="1" t="s">
        <v>74</v>
      </c>
      <c r="C41" s="1" t="s">
        <v>11</v>
      </c>
      <c r="D41" s="6">
        <v>1</v>
      </c>
      <c r="E41" s="6">
        <v>4110</v>
      </c>
      <c r="F41" s="1" t="s">
        <v>9</v>
      </c>
      <c r="G41" s="17" t="s">
        <v>148</v>
      </c>
      <c r="H41" s="19">
        <v>4360</v>
      </c>
      <c r="I41">
        <f>((E41-H41)/E41)*100</f>
        <v>-6.0827250608272507</v>
      </c>
    </row>
    <row r="42" spans="1:9" ht="15" hidden="1" thickBot="1" x14ac:dyDescent="0.4">
      <c r="A42" s="5">
        <v>46238.635555555556</v>
      </c>
      <c r="B42" s="1" t="s">
        <v>56</v>
      </c>
      <c r="C42" s="1" t="s">
        <v>11</v>
      </c>
      <c r="D42" s="6">
        <v>25</v>
      </c>
      <c r="E42" s="6">
        <v>764</v>
      </c>
      <c r="F42" s="1" t="s">
        <v>9</v>
      </c>
      <c r="G42" s="17" t="s">
        <v>136</v>
      </c>
      <c r="H42" s="19">
        <v>809.4</v>
      </c>
      <c r="I42">
        <f>((E42-H42)/E42)*100</f>
        <v>-5.942408376963348</v>
      </c>
    </row>
    <row r="43" spans="1:9" ht="15" hidden="1" thickBot="1" x14ac:dyDescent="0.4">
      <c r="A43" s="5">
        <v>46238.690567129626</v>
      </c>
      <c r="B43" s="1" t="s">
        <v>34</v>
      </c>
      <c r="C43" s="1" t="s">
        <v>11</v>
      </c>
      <c r="D43" s="6">
        <v>5</v>
      </c>
      <c r="E43" s="6">
        <v>366</v>
      </c>
      <c r="F43" s="1" t="s">
        <v>9</v>
      </c>
      <c r="G43" s="17" t="s">
        <v>124</v>
      </c>
      <c r="H43" s="19">
        <v>387</v>
      </c>
      <c r="I43">
        <f>((E43-H43)/E43)*100</f>
        <v>-5.7377049180327866</v>
      </c>
    </row>
    <row r="44" spans="1:9" ht="15" hidden="1" thickBot="1" x14ac:dyDescent="0.4">
      <c r="A44" s="5">
        <v>46238.635520833333</v>
      </c>
      <c r="B44" s="1" t="s">
        <v>52</v>
      </c>
      <c r="C44" s="1" t="s">
        <v>11</v>
      </c>
      <c r="D44" s="6">
        <v>40</v>
      </c>
      <c r="E44" s="6">
        <v>897</v>
      </c>
      <c r="F44" s="1" t="s">
        <v>9</v>
      </c>
      <c r="G44" s="17" t="s">
        <v>133</v>
      </c>
      <c r="H44" s="19">
        <v>947</v>
      </c>
      <c r="I44">
        <f>((E44-H44)/E44)*100</f>
        <v>-5.574136008918618</v>
      </c>
    </row>
    <row r="45" spans="1:9" ht="15" hidden="1" thickBot="1" x14ac:dyDescent="0.4">
      <c r="A45" s="5">
        <v>46237.69027777778</v>
      </c>
      <c r="B45" s="1" t="s">
        <v>102</v>
      </c>
      <c r="C45" s="1" t="s">
        <v>11</v>
      </c>
      <c r="D45" s="6">
        <v>100</v>
      </c>
      <c r="E45" s="6">
        <v>111</v>
      </c>
      <c r="F45" s="1" t="s">
        <v>9</v>
      </c>
      <c r="G45" s="17" t="s">
        <v>160</v>
      </c>
      <c r="H45" s="19">
        <v>117.09</v>
      </c>
      <c r="I45">
        <f>((E45-H45)/E45)*100</f>
        <v>-5.4864864864864895</v>
      </c>
    </row>
    <row r="46" spans="1:9" ht="15" hidden="1" thickBot="1" x14ac:dyDescent="0.4">
      <c r="A46" s="5">
        <v>46238.63554398148</v>
      </c>
      <c r="B46" s="1" t="s">
        <v>70</v>
      </c>
      <c r="C46" s="1" t="s">
        <v>11</v>
      </c>
      <c r="D46" s="6">
        <v>5</v>
      </c>
      <c r="E46" s="6">
        <v>1132</v>
      </c>
      <c r="F46" s="1" t="s">
        <v>9</v>
      </c>
      <c r="G46" s="17" t="s">
        <v>145</v>
      </c>
      <c r="H46" s="19">
        <v>1194</v>
      </c>
      <c r="I46">
        <f>((E46-H46)/E46)*100</f>
        <v>-5.4770318021201412</v>
      </c>
    </row>
    <row r="47" spans="1:9" ht="15" hidden="1" thickBot="1" x14ac:dyDescent="0.4">
      <c r="A47" s="5">
        <v>46238.635567129626</v>
      </c>
      <c r="B47" s="1" t="s">
        <v>65</v>
      </c>
      <c r="C47" s="1" t="s">
        <v>11</v>
      </c>
      <c r="D47" s="6">
        <v>25</v>
      </c>
      <c r="E47" s="6">
        <v>836</v>
      </c>
      <c r="F47" s="1" t="s">
        <v>9</v>
      </c>
      <c r="G47" s="17" t="s">
        <v>141</v>
      </c>
      <c r="H47" s="19">
        <v>881.35</v>
      </c>
      <c r="I47">
        <f>((E47-H47)/E47)*100</f>
        <v>-5.424641148325362</v>
      </c>
    </row>
    <row r="48" spans="1:9" ht="15" hidden="1" thickBot="1" x14ac:dyDescent="0.4">
      <c r="A48" s="5">
        <v>46238.690520833334</v>
      </c>
      <c r="B48" s="1" t="s">
        <v>40</v>
      </c>
      <c r="C48" s="1" t="s">
        <v>11</v>
      </c>
      <c r="D48" s="6">
        <v>100</v>
      </c>
      <c r="E48" s="6">
        <v>340.2</v>
      </c>
      <c r="F48" s="1" t="s">
        <v>9</v>
      </c>
      <c r="G48" s="17" t="s">
        <v>128</v>
      </c>
      <c r="H48" s="19">
        <v>358</v>
      </c>
      <c r="I48">
        <f>((E48-H48)/E48)*100</f>
        <v>-5.2322163433274582</v>
      </c>
    </row>
    <row r="49" spans="1:9" ht="15" hidden="1" thickBot="1" x14ac:dyDescent="0.4">
      <c r="A49" s="5">
        <v>46237.635520833333</v>
      </c>
      <c r="B49" s="1" t="s">
        <v>61</v>
      </c>
      <c r="C49" s="1" t="s">
        <v>11</v>
      </c>
      <c r="D49" s="6">
        <v>20</v>
      </c>
      <c r="E49" s="6">
        <v>220.1</v>
      </c>
      <c r="F49" s="1" t="s">
        <v>9</v>
      </c>
      <c r="G49" s="17" t="s">
        <v>139</v>
      </c>
      <c r="H49" s="19">
        <v>231.4</v>
      </c>
      <c r="I49">
        <f>((E49-H49)/E49)*100</f>
        <v>-5.1340299863698373</v>
      </c>
    </row>
    <row r="50" spans="1:9" ht="15" hidden="1" thickBot="1" x14ac:dyDescent="0.4">
      <c r="A50" s="5">
        <v>46237.63553240741</v>
      </c>
      <c r="B50" s="1" t="s">
        <v>46</v>
      </c>
      <c r="C50" s="1" t="s">
        <v>11</v>
      </c>
      <c r="D50" s="6">
        <v>15</v>
      </c>
      <c r="E50" s="6">
        <v>4415</v>
      </c>
      <c r="F50" s="1" t="s">
        <v>9</v>
      </c>
      <c r="G50" s="17" t="s">
        <v>130</v>
      </c>
      <c r="H50" s="19">
        <v>4638</v>
      </c>
      <c r="I50">
        <f>((E50-H50)/E50)*100</f>
        <v>-5.0509626274065678</v>
      </c>
    </row>
    <row r="51" spans="1:9" ht="15" hidden="1" thickBot="1" x14ac:dyDescent="0.4">
      <c r="A51" s="5">
        <v>46238.690451388888</v>
      </c>
      <c r="B51" s="1" t="s">
        <v>16</v>
      </c>
      <c r="C51" s="1" t="s">
        <v>11</v>
      </c>
      <c r="D51" s="6">
        <v>20</v>
      </c>
      <c r="E51" s="6">
        <v>286</v>
      </c>
      <c r="F51" s="1" t="s">
        <v>9</v>
      </c>
      <c r="G51" s="17" t="s">
        <v>114</v>
      </c>
      <c r="H51" s="19">
        <v>300.35000000000002</v>
      </c>
      <c r="I51">
        <f>((E51-H51)/E51)*100</f>
        <v>-5.0174825174825255</v>
      </c>
    </row>
    <row r="52" spans="1:9" ht="15" hidden="1" thickBot="1" x14ac:dyDescent="0.4">
      <c r="A52" s="5">
        <v>46233.688194444447</v>
      </c>
      <c r="B52" s="1" t="s">
        <v>47</v>
      </c>
      <c r="C52" s="1" t="s">
        <v>11</v>
      </c>
      <c r="D52" s="6">
        <v>3</v>
      </c>
      <c r="E52" s="6">
        <v>3810</v>
      </c>
      <c r="F52" s="1" t="s">
        <v>9</v>
      </c>
      <c r="G52" s="17" t="s">
        <v>131</v>
      </c>
      <c r="H52" s="19">
        <v>4001</v>
      </c>
      <c r="I52">
        <f>((E52-H52)/E52)*100</f>
        <v>-5.0131233595800522</v>
      </c>
    </row>
    <row r="53" spans="1:9" ht="15" hidden="1" thickBot="1" x14ac:dyDescent="0.4">
      <c r="A53" s="5">
        <v>46237.635567129626</v>
      </c>
      <c r="B53" s="1" t="s">
        <v>77</v>
      </c>
      <c r="C53" s="1" t="s">
        <v>11</v>
      </c>
      <c r="D53" s="6">
        <v>5</v>
      </c>
      <c r="E53" s="6">
        <v>712</v>
      </c>
      <c r="F53" s="1" t="s">
        <v>9</v>
      </c>
      <c r="G53" s="17" t="s">
        <v>151</v>
      </c>
      <c r="H53" s="19">
        <v>745.8</v>
      </c>
      <c r="I53">
        <f>((E53-H53)/E53)*100</f>
        <v>-4.747191011235949</v>
      </c>
    </row>
    <row r="54" spans="1:9" ht="15" hidden="1" thickBot="1" x14ac:dyDescent="0.4">
      <c r="A54" s="5">
        <v>46238.635555555556</v>
      </c>
      <c r="B54" s="1" t="s">
        <v>53</v>
      </c>
      <c r="C54" s="1" t="s">
        <v>11</v>
      </c>
      <c r="D54" s="6">
        <v>5</v>
      </c>
      <c r="E54" s="6">
        <v>2938</v>
      </c>
      <c r="F54" s="1" t="s">
        <v>9</v>
      </c>
      <c r="G54" s="17" t="s">
        <v>134</v>
      </c>
      <c r="H54" s="19">
        <v>3077</v>
      </c>
      <c r="I54">
        <f>((E54-H54)/E54)*100</f>
        <v>-4.7311095983662357</v>
      </c>
    </row>
    <row r="55" spans="1:9" ht="15" hidden="1" thickBot="1" x14ac:dyDescent="0.4">
      <c r="A55" s="5">
        <v>46238.690474537034</v>
      </c>
      <c r="B55" s="1" t="s">
        <v>29</v>
      </c>
      <c r="C55" s="1" t="s">
        <v>11</v>
      </c>
      <c r="D55" s="6">
        <v>500</v>
      </c>
      <c r="E55" s="6">
        <v>33.159999999999997</v>
      </c>
      <c r="F55" s="1" t="s">
        <v>9</v>
      </c>
      <c r="G55" s="17" t="s">
        <v>120</v>
      </c>
      <c r="H55" s="19">
        <v>34.700000000000003</v>
      </c>
      <c r="I55">
        <f>((E55-H55)/E55)*100</f>
        <v>-4.6441495778046029</v>
      </c>
    </row>
    <row r="56" spans="1:9" ht="15" hidden="1" thickBot="1" x14ac:dyDescent="0.4">
      <c r="A56" s="5">
        <v>46238.690462962964</v>
      </c>
      <c r="B56" s="1" t="s">
        <v>19</v>
      </c>
      <c r="C56" s="1" t="s">
        <v>11</v>
      </c>
      <c r="D56" s="6">
        <v>11</v>
      </c>
      <c r="E56" s="6">
        <v>882</v>
      </c>
      <c r="F56" s="1" t="s">
        <v>9</v>
      </c>
      <c r="G56" s="17" t="s">
        <v>116</v>
      </c>
      <c r="H56" s="19">
        <v>922.95</v>
      </c>
      <c r="I56">
        <f>((E56-H56)/E56)*100</f>
        <v>-4.6428571428571477</v>
      </c>
    </row>
    <row r="57" spans="1:9" ht="15" hidden="1" thickBot="1" x14ac:dyDescent="0.4">
      <c r="A57" s="5">
        <v>46238.690486111111</v>
      </c>
      <c r="B57" s="1" t="s">
        <v>10</v>
      </c>
      <c r="C57" s="1" t="s">
        <v>11</v>
      </c>
      <c r="D57" s="6">
        <v>30</v>
      </c>
      <c r="E57" s="6">
        <v>2435</v>
      </c>
      <c r="F57" s="1" t="s">
        <v>9</v>
      </c>
      <c r="G57" s="17" t="s">
        <v>112</v>
      </c>
      <c r="H57" s="19">
        <v>2548</v>
      </c>
      <c r="I57">
        <f>((E57-H57)/E57)*100</f>
        <v>-4.6406570841889119</v>
      </c>
    </row>
    <row r="58" spans="1:9" ht="15" hidden="1" thickBot="1" x14ac:dyDescent="0.4">
      <c r="A58" s="5">
        <v>46238.63554398148</v>
      </c>
      <c r="B58" s="1" t="s">
        <v>70</v>
      </c>
      <c r="C58" s="1" t="s">
        <v>11</v>
      </c>
      <c r="D58" s="6">
        <v>5</v>
      </c>
      <c r="E58" s="6">
        <v>1142</v>
      </c>
      <c r="F58" s="1" t="s">
        <v>9</v>
      </c>
      <c r="G58" s="17" t="s">
        <v>145</v>
      </c>
      <c r="H58" s="19">
        <v>1194</v>
      </c>
      <c r="I58">
        <f>((E58-H58)/E58)*100</f>
        <v>-4.5534150612959721</v>
      </c>
    </row>
    <row r="59" spans="1:9" ht="15" hidden="1" thickBot="1" x14ac:dyDescent="0.4">
      <c r="A59" s="5">
        <v>46238.63554398148</v>
      </c>
      <c r="B59" s="1" t="s">
        <v>75</v>
      </c>
      <c r="C59" s="1" t="s">
        <v>11</v>
      </c>
      <c r="D59" s="6">
        <v>2</v>
      </c>
      <c r="E59" s="6">
        <v>2552</v>
      </c>
      <c r="F59" s="1" t="s">
        <v>9</v>
      </c>
      <c r="G59" s="17" t="s">
        <v>149</v>
      </c>
      <c r="H59" s="19">
        <v>2667</v>
      </c>
      <c r="I59">
        <f>((E59-H59)/E59)*100</f>
        <v>-4.5062695924764888</v>
      </c>
    </row>
    <row r="60" spans="1:9" ht="15" hidden="1" thickBot="1" x14ac:dyDescent="0.4">
      <c r="A60" s="5">
        <v>46237.63553240741</v>
      </c>
      <c r="B60" s="1" t="s">
        <v>47</v>
      </c>
      <c r="C60" s="1" t="s">
        <v>11</v>
      </c>
      <c r="D60" s="6">
        <v>2</v>
      </c>
      <c r="E60" s="6">
        <v>3830</v>
      </c>
      <c r="F60" s="1" t="s">
        <v>9</v>
      </c>
      <c r="G60" s="17" t="s">
        <v>131</v>
      </c>
      <c r="H60" s="19">
        <v>4001</v>
      </c>
      <c r="I60">
        <f>((E60-H60)/E60)*100</f>
        <v>-4.464751958224543</v>
      </c>
    </row>
    <row r="61" spans="1:9" ht="15" hidden="1" thickBot="1" x14ac:dyDescent="0.4">
      <c r="A61" s="5">
        <v>46238.690613425926</v>
      </c>
      <c r="B61" s="1" t="s">
        <v>18</v>
      </c>
      <c r="C61" s="1" t="s">
        <v>11</v>
      </c>
      <c r="D61" s="6">
        <v>45</v>
      </c>
      <c r="E61" s="6">
        <v>136.15</v>
      </c>
      <c r="F61" s="1" t="s">
        <v>9</v>
      </c>
      <c r="G61" s="17" t="s">
        <v>115</v>
      </c>
      <c r="H61" s="19">
        <v>142.19999999999999</v>
      </c>
      <c r="I61">
        <f>((E61-H61)/E61)*100</f>
        <v>-4.4436283510833512</v>
      </c>
    </row>
    <row r="62" spans="1:9" ht="15" hidden="1" thickBot="1" x14ac:dyDescent="0.4">
      <c r="A62" s="5">
        <v>46238.690486111111</v>
      </c>
      <c r="B62" s="1" t="s">
        <v>33</v>
      </c>
      <c r="C62" s="1" t="s">
        <v>11</v>
      </c>
      <c r="D62" s="6">
        <v>5</v>
      </c>
      <c r="E62" s="6">
        <v>1614</v>
      </c>
      <c r="F62" s="1" t="s">
        <v>9</v>
      </c>
      <c r="G62" s="17" t="s">
        <v>123</v>
      </c>
      <c r="H62" s="19">
        <v>1685</v>
      </c>
      <c r="I62">
        <f>((E62-H62)/E62)*100</f>
        <v>-4.3990086741016103</v>
      </c>
    </row>
    <row r="63" spans="1:9" ht="15" hidden="1" thickBot="1" x14ac:dyDescent="0.4">
      <c r="A63" s="5">
        <v>46238.63553240741</v>
      </c>
      <c r="B63" s="1" t="s">
        <v>71</v>
      </c>
      <c r="C63" s="1" t="s">
        <v>11</v>
      </c>
      <c r="D63" s="6">
        <v>5</v>
      </c>
      <c r="E63" s="6">
        <v>1188</v>
      </c>
      <c r="F63" s="1" t="s">
        <v>9</v>
      </c>
      <c r="G63" s="17" t="s">
        <v>146</v>
      </c>
      <c r="H63" s="19">
        <v>1239.7</v>
      </c>
      <c r="I63">
        <f>((E63-H63)/E63)*100</f>
        <v>-4.3518518518518556</v>
      </c>
    </row>
    <row r="64" spans="1:9" ht="15" hidden="1" thickBot="1" x14ac:dyDescent="0.4">
      <c r="A64" s="5">
        <v>46237.645300925928</v>
      </c>
      <c r="B64" s="1" t="s">
        <v>75</v>
      </c>
      <c r="C64" s="1" t="s">
        <v>11</v>
      </c>
      <c r="D64" s="6">
        <v>2</v>
      </c>
      <c r="E64" s="6">
        <v>2560</v>
      </c>
      <c r="F64" s="1" t="s">
        <v>9</v>
      </c>
      <c r="G64" s="17" t="s">
        <v>149</v>
      </c>
      <c r="H64" s="19">
        <v>2667</v>
      </c>
      <c r="I64">
        <f>((E64-H64)/E64)*100</f>
        <v>-4.1796875</v>
      </c>
    </row>
    <row r="65" spans="1:9" ht="15" hidden="1" thickBot="1" x14ac:dyDescent="0.4">
      <c r="A65" s="5">
        <v>46238.63553240741</v>
      </c>
      <c r="B65" s="1" t="s">
        <v>46</v>
      </c>
      <c r="C65" s="1" t="s">
        <v>11</v>
      </c>
      <c r="D65" s="6">
        <v>2</v>
      </c>
      <c r="E65" s="6">
        <v>4456</v>
      </c>
      <c r="F65" s="1" t="s">
        <v>9</v>
      </c>
      <c r="G65" s="17" t="s">
        <v>130</v>
      </c>
      <c r="H65" s="19">
        <v>4638</v>
      </c>
      <c r="I65">
        <f>((E65-H65)/E65)*100</f>
        <v>-4.0843806104129268</v>
      </c>
    </row>
    <row r="66" spans="1:9" ht="15" hidden="1" thickBot="1" x14ac:dyDescent="0.4">
      <c r="A66" s="5">
        <v>46238.690532407411</v>
      </c>
      <c r="B66" s="1" t="s">
        <v>40</v>
      </c>
      <c r="C66" s="1" t="s">
        <v>11</v>
      </c>
      <c r="D66" s="6">
        <v>100</v>
      </c>
      <c r="E66" s="6">
        <v>344</v>
      </c>
      <c r="F66" s="1" t="s">
        <v>9</v>
      </c>
      <c r="G66" s="17" t="s">
        <v>128</v>
      </c>
      <c r="H66" s="19">
        <v>358</v>
      </c>
      <c r="I66">
        <f>((E66-H66)/E66)*100</f>
        <v>-4.0697674418604652</v>
      </c>
    </row>
    <row r="67" spans="1:9" ht="15" hidden="1" thickBot="1" x14ac:dyDescent="0.4">
      <c r="A67" s="5">
        <v>46238.63554398148</v>
      </c>
      <c r="B67" s="1" t="s">
        <v>67</v>
      </c>
      <c r="C67" s="1" t="s">
        <v>11</v>
      </c>
      <c r="D67" s="6">
        <v>8</v>
      </c>
      <c r="E67" s="6">
        <v>2352</v>
      </c>
      <c r="F67" s="1" t="s">
        <v>9</v>
      </c>
      <c r="G67" s="17" t="s">
        <v>143</v>
      </c>
      <c r="H67" s="19">
        <v>2443.8000000000002</v>
      </c>
      <c r="I67">
        <f>((E67-H67)/E67)*100</f>
        <v>-3.9030612244898037</v>
      </c>
    </row>
    <row r="68" spans="1:9" ht="15" hidden="1" thickBot="1" x14ac:dyDescent="0.4">
      <c r="A68" s="5">
        <v>46237.63553240741</v>
      </c>
      <c r="B68" s="1" t="s">
        <v>47</v>
      </c>
      <c r="C68" s="1" t="s">
        <v>11</v>
      </c>
      <c r="D68" s="6">
        <v>2</v>
      </c>
      <c r="E68" s="6">
        <v>3856</v>
      </c>
      <c r="F68" s="1" t="s">
        <v>9</v>
      </c>
      <c r="G68" s="17" t="s">
        <v>131</v>
      </c>
      <c r="H68" s="19">
        <v>4001</v>
      </c>
      <c r="I68">
        <f>((E68-H68)/E68)*100</f>
        <v>-3.7603734439834025</v>
      </c>
    </row>
    <row r="69" spans="1:9" ht="15" hidden="1" thickBot="1" x14ac:dyDescent="0.4">
      <c r="A69" s="5">
        <v>46238.635567129626</v>
      </c>
      <c r="B69" s="1" t="s">
        <v>65</v>
      </c>
      <c r="C69" s="1" t="s">
        <v>11</v>
      </c>
      <c r="D69" s="6">
        <v>50</v>
      </c>
      <c r="E69" s="6">
        <v>850</v>
      </c>
      <c r="F69" s="1" t="s">
        <v>9</v>
      </c>
      <c r="G69" s="17" t="s">
        <v>141</v>
      </c>
      <c r="H69" s="19">
        <v>881.35</v>
      </c>
      <c r="I69">
        <f>((E69-H69)/E69)*100</f>
        <v>-3.6882352941176499</v>
      </c>
    </row>
    <row r="70" spans="1:9" ht="15" hidden="1" thickBot="1" x14ac:dyDescent="0.4">
      <c r="A70" s="5">
        <v>46238.635555555556</v>
      </c>
      <c r="B70" s="1" t="s">
        <v>74</v>
      </c>
      <c r="C70" s="1" t="s">
        <v>11</v>
      </c>
      <c r="D70" s="6">
        <v>1</v>
      </c>
      <c r="E70" s="6">
        <v>4206</v>
      </c>
      <c r="F70" s="1" t="s">
        <v>9</v>
      </c>
      <c r="G70" s="17" t="s">
        <v>148</v>
      </c>
      <c r="H70" s="19">
        <v>4360</v>
      </c>
      <c r="I70">
        <f>((E70-H70)/E70)*100</f>
        <v>-3.6614360437470279</v>
      </c>
    </row>
    <row r="71" spans="1:9" ht="15" hidden="1" thickBot="1" x14ac:dyDescent="0.4">
      <c r="A71" s="5">
        <v>46238.63553240741</v>
      </c>
      <c r="B71" s="1" t="s">
        <v>66</v>
      </c>
      <c r="C71" s="1" t="s">
        <v>11</v>
      </c>
      <c r="D71" s="6">
        <v>1</v>
      </c>
      <c r="E71" s="6">
        <v>18052</v>
      </c>
      <c r="F71" s="1" t="s">
        <v>9</v>
      </c>
      <c r="G71" s="17" t="s">
        <v>142</v>
      </c>
      <c r="H71" s="19">
        <v>18711</v>
      </c>
      <c r="I71">
        <f>((E71-H71)/E71)*100</f>
        <v>-3.6505650343452247</v>
      </c>
    </row>
    <row r="72" spans="1:9" ht="15" hidden="1" thickBot="1" x14ac:dyDescent="0.4">
      <c r="A72" s="5">
        <v>46238.63554398148</v>
      </c>
      <c r="B72" s="1" t="s">
        <v>70</v>
      </c>
      <c r="C72" s="1" t="s">
        <v>11</v>
      </c>
      <c r="D72" s="6">
        <v>5</v>
      </c>
      <c r="E72" s="6">
        <v>1152</v>
      </c>
      <c r="F72" s="1" t="s">
        <v>9</v>
      </c>
      <c r="G72" s="17" t="s">
        <v>145</v>
      </c>
      <c r="H72" s="19">
        <v>1194</v>
      </c>
      <c r="I72">
        <f>((E72-H72)/E72)*100</f>
        <v>-3.6458333333333335</v>
      </c>
    </row>
    <row r="73" spans="1:9" ht="15" hidden="1" thickBot="1" x14ac:dyDescent="0.4">
      <c r="A73" s="5">
        <v>46238.690474537034</v>
      </c>
      <c r="B73" s="1" t="s">
        <v>10</v>
      </c>
      <c r="C73" s="1" t="s">
        <v>11</v>
      </c>
      <c r="D73" s="6">
        <v>30</v>
      </c>
      <c r="E73" s="6">
        <v>2460</v>
      </c>
      <c r="F73" s="1" t="s">
        <v>9</v>
      </c>
      <c r="G73" s="17" t="s">
        <v>112</v>
      </c>
      <c r="H73" s="19">
        <v>2548</v>
      </c>
      <c r="I73">
        <f>((E73-H73)/E73)*100</f>
        <v>-3.5772357723577239</v>
      </c>
    </row>
    <row r="74" spans="1:9" ht="15" hidden="1" thickBot="1" x14ac:dyDescent="0.4">
      <c r="A74" s="5">
        <v>46234.6875</v>
      </c>
      <c r="B74" s="1" t="s">
        <v>10</v>
      </c>
      <c r="C74" s="1" t="s">
        <v>11</v>
      </c>
      <c r="D74" s="6">
        <v>10</v>
      </c>
      <c r="E74" s="6">
        <v>2460</v>
      </c>
      <c r="F74" s="1" t="s">
        <v>9</v>
      </c>
      <c r="G74" s="17" t="s">
        <v>112</v>
      </c>
      <c r="H74" s="19">
        <v>2548</v>
      </c>
      <c r="I74">
        <f>((E74-H74)/E74)*100</f>
        <v>-3.5772357723577239</v>
      </c>
    </row>
    <row r="75" spans="1:9" ht="15" hidden="1" thickBot="1" x14ac:dyDescent="0.4">
      <c r="A75" s="5">
        <v>46238.644756944443</v>
      </c>
      <c r="B75" s="1" t="s">
        <v>52</v>
      </c>
      <c r="C75" s="1" t="s">
        <v>11</v>
      </c>
      <c r="D75" s="6">
        <v>20</v>
      </c>
      <c r="E75" s="6">
        <v>917</v>
      </c>
      <c r="F75" s="1" t="s">
        <v>9</v>
      </c>
      <c r="G75" s="17" t="s">
        <v>133</v>
      </c>
      <c r="H75" s="19">
        <v>947</v>
      </c>
      <c r="I75">
        <f>((E75-H75)/E75)*100</f>
        <v>-3.2715376226826609</v>
      </c>
    </row>
    <row r="76" spans="1:9" ht="15" hidden="1" thickBot="1" x14ac:dyDescent="0.4">
      <c r="A76" s="5">
        <v>46238.644768518519</v>
      </c>
      <c r="B76" s="1" t="s">
        <v>69</v>
      </c>
      <c r="C76" s="1" t="s">
        <v>11</v>
      </c>
      <c r="D76" s="6">
        <v>2</v>
      </c>
      <c r="E76" s="6">
        <v>2460</v>
      </c>
      <c r="F76" s="1" t="s">
        <v>9</v>
      </c>
      <c r="G76" s="17" t="s">
        <v>144</v>
      </c>
      <c r="H76" s="19">
        <v>2535</v>
      </c>
      <c r="I76">
        <f>((E76-H76)/E76)*100</f>
        <v>-3.0487804878048781</v>
      </c>
    </row>
    <row r="77" spans="1:9" ht="15" hidden="1" thickBot="1" x14ac:dyDescent="0.4">
      <c r="A77" s="5">
        <v>46238.690474537034</v>
      </c>
      <c r="B77" s="1" t="s">
        <v>31</v>
      </c>
      <c r="C77" s="1" t="s">
        <v>11</v>
      </c>
      <c r="D77" s="6">
        <v>150</v>
      </c>
      <c r="E77" s="6">
        <v>128</v>
      </c>
      <c r="F77" s="1" t="s">
        <v>9</v>
      </c>
      <c r="G77" s="17" t="s">
        <v>121</v>
      </c>
      <c r="H77" s="19">
        <v>131.85</v>
      </c>
      <c r="I77">
        <f>((E77-H77)/E77)*100</f>
        <v>-3.0078124999999956</v>
      </c>
    </row>
    <row r="78" spans="1:9" ht="15" hidden="1" thickBot="1" x14ac:dyDescent="0.4">
      <c r="A78" s="5">
        <v>46238.644756944443</v>
      </c>
      <c r="B78" s="1" t="s">
        <v>79</v>
      </c>
      <c r="C78" s="1" t="s">
        <v>11</v>
      </c>
      <c r="D78" s="6">
        <v>3</v>
      </c>
      <c r="E78" s="6">
        <v>1302</v>
      </c>
      <c r="F78" s="1" t="s">
        <v>9</v>
      </c>
      <c r="G78" s="17" t="s">
        <v>153</v>
      </c>
      <c r="H78" s="19">
        <v>1340</v>
      </c>
      <c r="I78">
        <f>((E78-H78)/E78)*100</f>
        <v>-2.9185867895545314</v>
      </c>
    </row>
    <row r="79" spans="1:9" ht="15" hidden="1" thickBot="1" x14ac:dyDescent="0.4">
      <c r="A79" s="5">
        <v>46238.64472222222</v>
      </c>
      <c r="B79" s="1" t="s">
        <v>47</v>
      </c>
      <c r="C79" s="1" t="s">
        <v>11</v>
      </c>
      <c r="D79" s="6">
        <v>5</v>
      </c>
      <c r="E79" s="6">
        <v>3888</v>
      </c>
      <c r="F79" s="1" t="s">
        <v>9</v>
      </c>
      <c r="G79" s="17" t="s">
        <v>131</v>
      </c>
      <c r="H79" s="19">
        <v>4001</v>
      </c>
      <c r="I79">
        <f>((E79-H79)/E79)*100</f>
        <v>-2.9063786008230452</v>
      </c>
    </row>
    <row r="80" spans="1:9" ht="15" hidden="1" thickBot="1" x14ac:dyDescent="0.4">
      <c r="A80" s="5">
        <v>46238.64471064815</v>
      </c>
      <c r="B80" s="1" t="s">
        <v>55</v>
      </c>
      <c r="C80" s="1" t="s">
        <v>11</v>
      </c>
      <c r="D80" s="6">
        <v>15</v>
      </c>
      <c r="E80" s="6">
        <v>1005</v>
      </c>
      <c r="F80" s="1" t="s">
        <v>9</v>
      </c>
      <c r="G80" s="17" t="s">
        <v>135</v>
      </c>
      <c r="H80" s="19">
        <v>1034</v>
      </c>
      <c r="I80">
        <f>((E80-H80)/E80)*100</f>
        <v>-2.8855721393034823</v>
      </c>
    </row>
    <row r="81" spans="1:9" ht="15" hidden="1" thickBot="1" x14ac:dyDescent="0.4">
      <c r="A81" s="5">
        <v>46237.635578703703</v>
      </c>
      <c r="B81" s="1" t="s">
        <v>72</v>
      </c>
      <c r="C81" s="1" t="s">
        <v>11</v>
      </c>
      <c r="D81" s="6">
        <v>100</v>
      </c>
      <c r="E81" s="6">
        <v>87.3</v>
      </c>
      <c r="F81" s="1" t="s">
        <v>9</v>
      </c>
      <c r="G81" s="17" t="s">
        <v>147</v>
      </c>
      <c r="H81" s="19">
        <v>89.7</v>
      </c>
      <c r="I81">
        <f>((E81-H81)/E81)*100</f>
        <v>-2.749140893470797</v>
      </c>
    </row>
    <row r="82" spans="1:9" ht="15" hidden="1" thickBot="1" x14ac:dyDescent="0.4">
      <c r="A82" s="5">
        <v>46238.690474537034</v>
      </c>
      <c r="B82" s="1" t="s">
        <v>10</v>
      </c>
      <c r="C82" s="1" t="s">
        <v>11</v>
      </c>
      <c r="D82" s="6">
        <v>10</v>
      </c>
      <c r="E82" s="6">
        <v>2480</v>
      </c>
      <c r="F82" s="1" t="s">
        <v>9</v>
      </c>
      <c r="G82" s="17" t="s">
        <v>112</v>
      </c>
      <c r="H82" s="19">
        <v>2548</v>
      </c>
      <c r="I82">
        <f>((E82-H82)/E82)*100</f>
        <v>-2.741935483870968</v>
      </c>
    </row>
    <row r="83" spans="1:9" ht="15" hidden="1" thickBot="1" x14ac:dyDescent="0.4">
      <c r="A83" s="5">
        <v>46238.644733796296</v>
      </c>
      <c r="B83" s="1" t="s">
        <v>77</v>
      </c>
      <c r="C83" s="1" t="s">
        <v>11</v>
      </c>
      <c r="D83" s="6">
        <v>5</v>
      </c>
      <c r="E83" s="6">
        <v>726</v>
      </c>
      <c r="F83" s="1" t="s">
        <v>9</v>
      </c>
      <c r="G83" s="17" t="s">
        <v>151</v>
      </c>
      <c r="H83" s="19">
        <v>745.8</v>
      </c>
      <c r="I83">
        <f>((E83-H83)/E83)*100</f>
        <v>-2.7272727272727209</v>
      </c>
    </row>
    <row r="84" spans="1:9" ht="15" hidden="1" thickBot="1" x14ac:dyDescent="0.4">
      <c r="A84" s="5">
        <v>46238.644768518519</v>
      </c>
      <c r="B84" s="1" t="s">
        <v>78</v>
      </c>
      <c r="C84" s="1" t="s">
        <v>11</v>
      </c>
      <c r="D84" s="6">
        <v>1</v>
      </c>
      <c r="E84" s="6">
        <v>13552</v>
      </c>
      <c r="F84" s="1" t="s">
        <v>9</v>
      </c>
      <c r="G84" s="17" t="s">
        <v>152</v>
      </c>
      <c r="H84" s="19">
        <v>13908</v>
      </c>
      <c r="I84">
        <f>((E84-H84)/E84)*100</f>
        <v>-2.6269185360094451</v>
      </c>
    </row>
    <row r="85" spans="1:9" ht="15" hidden="1" thickBot="1" x14ac:dyDescent="0.4">
      <c r="A85" s="5">
        <v>46238.690497685187</v>
      </c>
      <c r="B85" s="1" t="s">
        <v>36</v>
      </c>
      <c r="C85" s="1" t="s">
        <v>11</v>
      </c>
      <c r="D85" s="6">
        <v>50</v>
      </c>
      <c r="E85" s="6">
        <v>202</v>
      </c>
      <c r="F85" s="1" t="s">
        <v>9</v>
      </c>
      <c r="G85" s="17" t="s">
        <v>126</v>
      </c>
      <c r="H85" s="19">
        <v>207.08</v>
      </c>
      <c r="I85">
        <f>((E85-H85)/E85)*100</f>
        <v>-2.5148514851485211</v>
      </c>
    </row>
    <row r="86" spans="1:9" ht="29.5" hidden="1" thickBot="1" x14ac:dyDescent="0.4">
      <c r="A86" s="5">
        <v>46238.690358796295</v>
      </c>
      <c r="B86" s="1" t="s">
        <v>32</v>
      </c>
      <c r="C86" s="1" t="s">
        <v>11</v>
      </c>
      <c r="D86" s="6">
        <v>40</v>
      </c>
      <c r="E86" s="6">
        <v>426</v>
      </c>
      <c r="F86" s="1" t="s">
        <v>9</v>
      </c>
      <c r="G86" s="17" t="s">
        <v>122</v>
      </c>
      <c r="H86" s="19">
        <v>436.5</v>
      </c>
      <c r="I86">
        <f>((E86-H86)/E86)*100</f>
        <v>-2.464788732394366</v>
      </c>
    </row>
    <row r="87" spans="1:9" ht="15" hidden="1" thickBot="1" x14ac:dyDescent="0.4">
      <c r="A87" s="5">
        <v>46238.64472222222</v>
      </c>
      <c r="B87" s="1" t="s">
        <v>52</v>
      </c>
      <c r="C87" s="1" t="s">
        <v>11</v>
      </c>
      <c r="D87" s="6">
        <v>10</v>
      </c>
      <c r="E87" s="6">
        <v>927</v>
      </c>
      <c r="F87" s="1" t="s">
        <v>9</v>
      </c>
      <c r="G87" s="17" t="s">
        <v>133</v>
      </c>
      <c r="H87" s="19">
        <v>947</v>
      </c>
      <c r="I87">
        <f>((E87-H87)/E87)*100</f>
        <v>-2.1574973031283711</v>
      </c>
    </row>
    <row r="88" spans="1:9" ht="15" hidden="1" thickBot="1" x14ac:dyDescent="0.4">
      <c r="A88" s="5">
        <v>46238.64471064815</v>
      </c>
      <c r="B88" s="1" t="s">
        <v>56</v>
      </c>
      <c r="C88" s="1" t="s">
        <v>11</v>
      </c>
      <c r="D88" s="6">
        <v>20</v>
      </c>
      <c r="E88" s="6">
        <v>793</v>
      </c>
      <c r="F88" s="1" t="s">
        <v>9</v>
      </c>
      <c r="G88" s="17" t="s">
        <v>136</v>
      </c>
      <c r="H88" s="19">
        <v>809.4</v>
      </c>
      <c r="I88">
        <f>((E88-H88)/E88)*100</f>
        <v>-2.0680958385876389</v>
      </c>
    </row>
    <row r="89" spans="1:9" ht="15" hidden="1" thickBot="1" x14ac:dyDescent="0.4">
      <c r="A89" s="5">
        <v>46233.688194444447</v>
      </c>
      <c r="B89" s="1" t="s">
        <v>10</v>
      </c>
      <c r="C89" s="1" t="s">
        <v>11</v>
      </c>
      <c r="D89" s="6">
        <v>5</v>
      </c>
      <c r="E89" s="6">
        <v>2502</v>
      </c>
      <c r="F89" s="1" t="s">
        <v>9</v>
      </c>
      <c r="G89" s="17" t="s">
        <v>112</v>
      </c>
      <c r="H89" s="19">
        <v>2548</v>
      </c>
      <c r="I89">
        <f>((E89-H89)/E89)*100</f>
        <v>-1.8385291766586729</v>
      </c>
    </row>
    <row r="90" spans="1:9" ht="15" hidden="1" thickBot="1" x14ac:dyDescent="0.4">
      <c r="A90" s="5">
        <v>46238.64472222222</v>
      </c>
      <c r="B90" s="1" t="s">
        <v>61</v>
      </c>
      <c r="C90" s="1" t="s">
        <v>11</v>
      </c>
      <c r="D90" s="6">
        <v>200</v>
      </c>
      <c r="E90" s="6">
        <v>227.5</v>
      </c>
      <c r="F90" s="1" t="s">
        <v>9</v>
      </c>
      <c r="G90" s="17" t="s">
        <v>139</v>
      </c>
      <c r="H90" s="19">
        <v>231.4</v>
      </c>
      <c r="I90">
        <f>((E90-H90)/E90)*100</f>
        <v>-1.7142857142857169</v>
      </c>
    </row>
    <row r="91" spans="1:9" ht="15" hidden="1" thickBot="1" x14ac:dyDescent="0.4">
      <c r="A91" s="5">
        <v>46238.690451388888</v>
      </c>
      <c r="B91" s="1" t="s">
        <v>35</v>
      </c>
      <c r="C91" s="1" t="s">
        <v>11</v>
      </c>
      <c r="D91" s="6">
        <v>50</v>
      </c>
      <c r="E91" s="6">
        <v>286</v>
      </c>
      <c r="F91" s="1" t="s">
        <v>9</v>
      </c>
      <c r="G91" s="17" t="s">
        <v>125</v>
      </c>
      <c r="H91" s="19">
        <v>290.85000000000002</v>
      </c>
      <c r="I91">
        <f>((E91-H91)/E91)*100</f>
        <v>-1.6958041958042038</v>
      </c>
    </row>
    <row r="92" spans="1:9" ht="15" hidden="1" thickBot="1" x14ac:dyDescent="0.4">
      <c r="A92" s="5">
        <v>46237.69027777778</v>
      </c>
      <c r="B92" s="1" t="s">
        <v>10</v>
      </c>
      <c r="C92" s="1" t="s">
        <v>11</v>
      </c>
      <c r="D92" s="6">
        <v>5</v>
      </c>
      <c r="E92" s="6">
        <v>2506</v>
      </c>
      <c r="F92" s="1" t="s">
        <v>9</v>
      </c>
      <c r="G92" s="17" t="s">
        <v>112</v>
      </c>
      <c r="H92" s="19">
        <v>2548</v>
      </c>
      <c r="I92">
        <f>((E92-H92)/E92)*100</f>
        <v>-1.6759776536312849</v>
      </c>
    </row>
    <row r="93" spans="1:9" ht="29.5" hidden="1" thickBot="1" x14ac:dyDescent="0.4">
      <c r="A93" s="5">
        <v>46238.644756944443</v>
      </c>
      <c r="B93" s="1" t="s">
        <v>59</v>
      </c>
      <c r="C93" s="1" t="s">
        <v>11</v>
      </c>
      <c r="D93" s="6">
        <v>10</v>
      </c>
      <c r="E93" s="6">
        <v>1410</v>
      </c>
      <c r="F93" s="1" t="s">
        <v>9</v>
      </c>
      <c r="G93" s="17" t="s">
        <v>138</v>
      </c>
      <c r="H93" s="19">
        <v>1432.6</v>
      </c>
      <c r="I93">
        <f>((E93-H93)/E93)*100</f>
        <v>-1.6028368794326175</v>
      </c>
    </row>
    <row r="94" spans="1:9" ht="15" hidden="1" thickBot="1" x14ac:dyDescent="0.4">
      <c r="A94" s="5">
        <v>46238.64472222222</v>
      </c>
      <c r="B94" s="1" t="s">
        <v>47</v>
      </c>
      <c r="C94" s="1" t="s">
        <v>11</v>
      </c>
      <c r="D94" s="6">
        <v>5</v>
      </c>
      <c r="E94" s="6">
        <v>3938</v>
      </c>
      <c r="F94" s="1" t="s">
        <v>9</v>
      </c>
      <c r="G94" s="17" t="s">
        <v>131</v>
      </c>
      <c r="H94" s="19">
        <v>4001</v>
      </c>
      <c r="I94">
        <f>((E94-H94)/E94)*100</f>
        <v>-1.5997968511934992</v>
      </c>
    </row>
    <row r="95" spans="1:9" ht="15" hidden="1" thickBot="1" x14ac:dyDescent="0.4">
      <c r="A95" s="5">
        <v>46238.690381944441</v>
      </c>
      <c r="B95" s="1" t="s">
        <v>10</v>
      </c>
      <c r="C95" s="1" t="s">
        <v>11</v>
      </c>
      <c r="D95" s="6">
        <v>5</v>
      </c>
      <c r="E95" s="6">
        <v>2510</v>
      </c>
      <c r="F95" s="1" t="s">
        <v>9</v>
      </c>
      <c r="G95" s="17" t="s">
        <v>112</v>
      </c>
      <c r="H95" s="19">
        <v>2548</v>
      </c>
      <c r="I95">
        <f>((E95-H95)/E95)*100</f>
        <v>-1.5139442231075697</v>
      </c>
    </row>
    <row r="96" spans="1:9" ht="15" hidden="1" thickBot="1" x14ac:dyDescent="0.4">
      <c r="A96" s="5">
        <v>46238.690451388888</v>
      </c>
      <c r="B96" s="1" t="s">
        <v>16</v>
      </c>
      <c r="C96" s="1" t="s">
        <v>11</v>
      </c>
      <c r="D96" s="6">
        <v>20</v>
      </c>
      <c r="E96" s="6">
        <v>296</v>
      </c>
      <c r="F96" s="1" t="s">
        <v>9</v>
      </c>
      <c r="G96" s="17" t="s">
        <v>114</v>
      </c>
      <c r="H96" s="19">
        <v>300.35000000000002</v>
      </c>
      <c r="I96">
        <f>((E96-H96)/E96)*100</f>
        <v>-1.4695945945946023</v>
      </c>
    </row>
    <row r="97" spans="1:9" ht="15" hidden="1" thickBot="1" x14ac:dyDescent="0.4">
      <c r="A97" s="5">
        <v>46238.644756944443</v>
      </c>
      <c r="B97" s="1" t="s">
        <v>47</v>
      </c>
      <c r="C97" s="1" t="s">
        <v>11</v>
      </c>
      <c r="D97" s="6">
        <v>10</v>
      </c>
      <c r="E97" s="6">
        <v>3950</v>
      </c>
      <c r="F97" s="1" t="s">
        <v>9</v>
      </c>
      <c r="G97" s="17" t="s">
        <v>131</v>
      </c>
      <c r="H97" s="19">
        <v>4001</v>
      </c>
      <c r="I97">
        <f>((E97-H97)/E97)*100</f>
        <v>-1.2911392405063291</v>
      </c>
    </row>
    <row r="98" spans="1:9" ht="15" hidden="1" thickBot="1" x14ac:dyDescent="0.4">
      <c r="A98" s="5">
        <v>46238.644733796296</v>
      </c>
      <c r="B98" s="1" t="s">
        <v>74</v>
      </c>
      <c r="C98" s="1" t="s">
        <v>11</v>
      </c>
      <c r="D98" s="6">
        <v>1</v>
      </c>
      <c r="E98" s="6">
        <v>4306</v>
      </c>
      <c r="F98" s="1" t="s">
        <v>9</v>
      </c>
      <c r="G98" s="17" t="s">
        <v>148</v>
      </c>
      <c r="H98" s="19">
        <v>4360</v>
      </c>
      <c r="I98">
        <f>((E98-H98)/E98)*100</f>
        <v>-1.2540640966093821</v>
      </c>
    </row>
    <row r="99" spans="1:9" ht="15" hidden="1" thickBot="1" x14ac:dyDescent="0.4">
      <c r="A99" s="5">
        <v>46238.635578703703</v>
      </c>
      <c r="B99" s="1" t="s">
        <v>63</v>
      </c>
      <c r="C99" s="1" t="s">
        <v>11</v>
      </c>
      <c r="D99" s="6">
        <v>150</v>
      </c>
      <c r="E99" s="6">
        <v>119</v>
      </c>
      <c r="F99" s="1" t="s">
        <v>9</v>
      </c>
      <c r="G99" s="17" t="s">
        <v>140</v>
      </c>
      <c r="H99" s="19">
        <v>120.34</v>
      </c>
      <c r="I99">
        <f>((E99-H99)/E99)*100</f>
        <v>-1.1260504201680701</v>
      </c>
    </row>
    <row r="100" spans="1:9" ht="15" hidden="1" thickBot="1" x14ac:dyDescent="0.4">
      <c r="A100" s="5">
        <v>46238.644733796296</v>
      </c>
      <c r="B100" s="1" t="s">
        <v>72</v>
      </c>
      <c r="C100" s="1" t="s">
        <v>11</v>
      </c>
      <c r="D100" s="6">
        <v>200</v>
      </c>
      <c r="E100" s="6">
        <v>88.75</v>
      </c>
      <c r="F100" s="1" t="s">
        <v>9</v>
      </c>
      <c r="G100" s="17" t="s">
        <v>147</v>
      </c>
      <c r="H100" s="19">
        <v>89.7</v>
      </c>
      <c r="I100">
        <f>((E100-H100)/E100)*100</f>
        <v>-1.0704225352112708</v>
      </c>
    </row>
    <row r="101" spans="1:9" ht="15" hidden="1" thickBot="1" x14ac:dyDescent="0.4">
      <c r="A101" s="5">
        <v>46237.635578703703</v>
      </c>
      <c r="B101" s="1" t="s">
        <v>72</v>
      </c>
      <c r="C101" s="1" t="s">
        <v>11</v>
      </c>
      <c r="D101" s="6">
        <v>200</v>
      </c>
      <c r="E101" s="6">
        <v>88.85</v>
      </c>
      <c r="F101" s="1" t="s">
        <v>9</v>
      </c>
      <c r="G101" s="17" t="s">
        <v>147</v>
      </c>
      <c r="H101" s="19">
        <v>89.7</v>
      </c>
      <c r="I101">
        <f>((E101-H101)/E101)*100</f>
        <v>-0.95666854248734789</v>
      </c>
    </row>
    <row r="102" spans="1:9" ht="15" hidden="1" thickBot="1" x14ac:dyDescent="0.4">
      <c r="A102" s="5">
        <v>46238.690578703703</v>
      </c>
      <c r="B102" s="1" t="s">
        <v>38</v>
      </c>
      <c r="C102" s="1" t="s">
        <v>11</v>
      </c>
      <c r="D102" s="6">
        <v>10</v>
      </c>
      <c r="E102" s="6">
        <v>701</v>
      </c>
      <c r="F102" s="1" t="s">
        <v>9</v>
      </c>
      <c r="G102" s="17" t="s">
        <v>127</v>
      </c>
      <c r="H102" s="19">
        <v>706</v>
      </c>
      <c r="I102">
        <f>((E102-H102)/E102)*100</f>
        <v>-0.71326676176890158</v>
      </c>
    </row>
    <row r="103" spans="1:9" ht="15" hidden="1" thickBot="1" x14ac:dyDescent="0.4">
      <c r="A103" s="5">
        <v>46238.690474537034</v>
      </c>
      <c r="B103" s="1" t="s">
        <v>10</v>
      </c>
      <c r="C103" s="1" t="s">
        <v>11</v>
      </c>
      <c r="D103" s="6">
        <v>5</v>
      </c>
      <c r="E103" s="6">
        <v>2530</v>
      </c>
      <c r="F103" s="1" t="s">
        <v>9</v>
      </c>
      <c r="G103" s="17" t="s">
        <v>112</v>
      </c>
      <c r="H103" s="19">
        <v>2548</v>
      </c>
      <c r="I103">
        <f>((E103-H103)/E103)*100</f>
        <v>-0.71146245059288538</v>
      </c>
    </row>
    <row r="104" spans="1:9" ht="29.5" hidden="1" thickBot="1" x14ac:dyDescent="0.4">
      <c r="A104" s="5">
        <v>46238.644733796296</v>
      </c>
      <c r="B104" s="1" t="s">
        <v>76</v>
      </c>
      <c r="C104" s="1" t="s">
        <v>11</v>
      </c>
      <c r="D104" s="6">
        <v>2</v>
      </c>
      <c r="E104" s="6">
        <v>1060</v>
      </c>
      <c r="F104" s="1" t="s">
        <v>9</v>
      </c>
      <c r="G104" s="17" t="s">
        <v>150</v>
      </c>
      <c r="H104" s="19">
        <v>1066.0999999999999</v>
      </c>
      <c r="I104">
        <f>((E104-H104)/E104)*100</f>
        <v>-0.57547169811319898</v>
      </c>
    </row>
    <row r="105" spans="1:9" ht="15" hidden="1" thickBot="1" x14ac:dyDescent="0.4">
      <c r="A105" s="5">
        <v>46238.635520833333</v>
      </c>
      <c r="B105" s="1" t="s">
        <v>61</v>
      </c>
      <c r="C105" s="1" t="s">
        <v>11</v>
      </c>
      <c r="D105" s="6">
        <v>200</v>
      </c>
      <c r="E105" s="6">
        <v>230.1</v>
      </c>
      <c r="F105" s="1" t="s">
        <v>9</v>
      </c>
      <c r="G105" s="17" t="s">
        <v>139</v>
      </c>
      <c r="H105" s="19">
        <v>231.4</v>
      </c>
      <c r="I105">
        <f>((E105-H105)/E105)*100</f>
        <v>-0.56497175141243428</v>
      </c>
    </row>
    <row r="106" spans="1:9" ht="15" hidden="1" thickBot="1" x14ac:dyDescent="0.4">
      <c r="A106" s="5">
        <v>46237.635578703703</v>
      </c>
      <c r="B106" s="1" t="s">
        <v>63</v>
      </c>
      <c r="C106" s="1" t="s">
        <v>11</v>
      </c>
      <c r="D106" s="6">
        <v>150</v>
      </c>
      <c r="E106" s="6">
        <v>120.45</v>
      </c>
      <c r="F106" s="1" t="s">
        <v>9</v>
      </c>
      <c r="G106" s="17" t="s">
        <v>140</v>
      </c>
      <c r="H106" s="19">
        <v>120.34</v>
      </c>
      <c r="I106">
        <f>((E106-H106)/E106)*100</f>
        <v>9.1324200913241546E-2</v>
      </c>
    </row>
    <row r="107" spans="1:9" ht="15" thickBot="1" x14ac:dyDescent="0.4">
      <c r="A107" s="5">
        <v>46238.644733796296</v>
      </c>
      <c r="B107" s="1" t="s">
        <v>65</v>
      </c>
      <c r="C107" s="1" t="s">
        <v>8</v>
      </c>
      <c r="D107" s="6">
        <v>5</v>
      </c>
      <c r="E107" s="6">
        <v>886</v>
      </c>
      <c r="F107" s="1" t="s">
        <v>9</v>
      </c>
      <c r="G107" s="17" t="s">
        <v>141</v>
      </c>
      <c r="H107" s="19">
        <v>881.35</v>
      </c>
      <c r="I107">
        <f>((E107-H107)/E107)*100</f>
        <v>0.52483069977426378</v>
      </c>
    </row>
    <row r="108" spans="1:9" ht="15" thickBot="1" x14ac:dyDescent="0.4">
      <c r="A108" s="5">
        <v>46238.644733796296</v>
      </c>
      <c r="B108" s="1" t="s">
        <v>58</v>
      </c>
      <c r="C108" s="1" t="s">
        <v>8</v>
      </c>
      <c r="D108" s="6">
        <v>10</v>
      </c>
      <c r="E108" s="6">
        <v>1280</v>
      </c>
      <c r="F108" s="1" t="s">
        <v>9</v>
      </c>
      <c r="G108" s="17" t="s">
        <v>137</v>
      </c>
      <c r="H108" s="19">
        <v>1265</v>
      </c>
      <c r="I108">
        <f>((E108-H108)/E108)*100</f>
        <v>1.171875</v>
      </c>
    </row>
    <row r="109" spans="1:9" ht="15" thickBot="1" x14ac:dyDescent="0.4">
      <c r="A109" s="5">
        <v>46238.64472222222</v>
      </c>
      <c r="B109" s="1" t="s">
        <v>70</v>
      </c>
      <c r="C109" s="1" t="s">
        <v>8</v>
      </c>
      <c r="D109" s="6">
        <v>5</v>
      </c>
      <c r="E109" s="6">
        <v>1211</v>
      </c>
      <c r="F109" s="1" t="s">
        <v>9</v>
      </c>
      <c r="G109" s="17" t="s">
        <v>145</v>
      </c>
      <c r="H109" s="19">
        <v>1194</v>
      </c>
      <c r="I109">
        <f>((E109-H109)/E109)*100</f>
        <v>1.4037985136251032</v>
      </c>
    </row>
    <row r="110" spans="1:9" ht="15" thickBot="1" x14ac:dyDescent="0.4">
      <c r="A110" s="5">
        <v>46238.64471064815</v>
      </c>
      <c r="B110" s="1" t="s">
        <v>65</v>
      </c>
      <c r="C110" s="1" t="s">
        <v>8</v>
      </c>
      <c r="D110" s="6">
        <v>20</v>
      </c>
      <c r="E110" s="6">
        <v>896</v>
      </c>
      <c r="F110" s="1" t="s">
        <v>9</v>
      </c>
      <c r="G110" s="17" t="s">
        <v>141</v>
      </c>
      <c r="H110" s="19">
        <v>881.35</v>
      </c>
      <c r="I110">
        <f>((E110-H110)/E110)*100</f>
        <v>1.6350446428571401</v>
      </c>
    </row>
    <row r="111" spans="1:9" ht="29.5" thickBot="1" x14ac:dyDescent="0.4">
      <c r="A111" s="5">
        <v>46237.768750000003</v>
      </c>
      <c r="B111" s="1" t="s">
        <v>32</v>
      </c>
      <c r="C111" s="1" t="s">
        <v>8</v>
      </c>
      <c r="D111" s="6">
        <v>40</v>
      </c>
      <c r="E111" s="7">
        <v>444</v>
      </c>
      <c r="F111" s="1" t="s">
        <v>9</v>
      </c>
      <c r="G111" s="17" t="s">
        <v>122</v>
      </c>
      <c r="H111" s="19">
        <v>436.5</v>
      </c>
      <c r="I111">
        <f>((E111-H111)/E111)*100</f>
        <v>1.6891891891891893</v>
      </c>
    </row>
    <row r="112" spans="1:9" ht="29.5" thickBot="1" x14ac:dyDescent="0.4">
      <c r="A112" s="5">
        <v>46238.644768518519</v>
      </c>
      <c r="B112" s="1" t="s">
        <v>59</v>
      </c>
      <c r="C112" s="1" t="s">
        <v>8</v>
      </c>
      <c r="D112" s="6">
        <v>10</v>
      </c>
      <c r="E112" s="6">
        <v>1460</v>
      </c>
      <c r="F112" s="1" t="s">
        <v>9</v>
      </c>
      <c r="G112" s="17" t="s">
        <v>138</v>
      </c>
      <c r="H112" s="19">
        <v>1432.6</v>
      </c>
      <c r="I112">
        <f>((E112-H112)/E112)*100</f>
        <v>1.8767123287671297</v>
      </c>
    </row>
    <row r="113" spans="1:9" ht="15" thickBot="1" x14ac:dyDescent="0.4">
      <c r="A113" s="5">
        <v>46238.690578703703</v>
      </c>
      <c r="B113" s="1" t="s">
        <v>40</v>
      </c>
      <c r="C113" s="1" t="s">
        <v>8</v>
      </c>
      <c r="D113" s="6">
        <v>50</v>
      </c>
      <c r="E113" s="6">
        <v>365</v>
      </c>
      <c r="F113" s="1" t="s">
        <v>9</v>
      </c>
      <c r="G113" s="17" t="s">
        <v>128</v>
      </c>
      <c r="H113" s="19">
        <v>358</v>
      </c>
      <c r="I113">
        <f>((E113-H113)/E113)*100</f>
        <v>1.9178082191780823</v>
      </c>
    </row>
    <row r="114" spans="1:9" ht="15" thickBot="1" x14ac:dyDescent="0.4">
      <c r="A114" s="5">
        <v>46237.768750000003</v>
      </c>
      <c r="B114" s="1" t="s">
        <v>94</v>
      </c>
      <c r="C114" s="1" t="s">
        <v>8</v>
      </c>
      <c r="D114" s="6">
        <v>5</v>
      </c>
      <c r="E114" s="7">
        <v>469</v>
      </c>
      <c r="F114" s="1" t="s">
        <v>9</v>
      </c>
      <c r="G114" s="17" t="s">
        <v>157</v>
      </c>
      <c r="H114" s="19">
        <v>460</v>
      </c>
      <c r="I114">
        <f>((E114-H114)/E114)*100</f>
        <v>1.9189765458422177</v>
      </c>
    </row>
    <row r="115" spans="1:9" ht="15" thickBot="1" x14ac:dyDescent="0.4">
      <c r="A115" s="5">
        <v>46238.690474537034</v>
      </c>
      <c r="B115" s="1" t="s">
        <v>10</v>
      </c>
      <c r="C115" s="1" t="s">
        <v>8</v>
      </c>
      <c r="D115" s="6">
        <v>10</v>
      </c>
      <c r="E115" s="6">
        <v>2599</v>
      </c>
      <c r="F115" s="1" t="s">
        <v>9</v>
      </c>
      <c r="G115" s="17" t="s">
        <v>112</v>
      </c>
      <c r="H115" s="19">
        <v>2548</v>
      </c>
      <c r="I115">
        <f>((E115-H115)/E115)*100</f>
        <v>1.9622931896883418</v>
      </c>
    </row>
    <row r="116" spans="1:9" ht="15" thickBot="1" x14ac:dyDescent="0.4">
      <c r="A116" s="5">
        <v>46238.64471064815</v>
      </c>
      <c r="B116" s="1" t="s">
        <v>55</v>
      </c>
      <c r="C116" s="1" t="s">
        <v>8</v>
      </c>
      <c r="D116" s="6">
        <v>10</v>
      </c>
      <c r="E116" s="6">
        <v>1056</v>
      </c>
      <c r="F116" s="1" t="s">
        <v>9</v>
      </c>
      <c r="G116" s="17" t="s">
        <v>135</v>
      </c>
      <c r="H116" s="19">
        <v>1034</v>
      </c>
      <c r="I116">
        <f>((E116-H116)/E116)*100</f>
        <v>2.083333333333333</v>
      </c>
    </row>
    <row r="117" spans="1:9" ht="29.5" thickBot="1" x14ac:dyDescent="0.4">
      <c r="A117" s="5">
        <v>46238.690462962964</v>
      </c>
      <c r="B117" s="1" t="s">
        <v>32</v>
      </c>
      <c r="C117" s="1" t="s">
        <v>8</v>
      </c>
      <c r="D117" s="6">
        <v>40</v>
      </c>
      <c r="E117" s="6">
        <v>446</v>
      </c>
      <c r="F117" s="1" t="s">
        <v>9</v>
      </c>
      <c r="G117" s="17" t="s">
        <v>122</v>
      </c>
      <c r="H117" s="19">
        <v>436.5</v>
      </c>
      <c r="I117">
        <f>((E117-H117)/E117)*100</f>
        <v>2.1300448430493271</v>
      </c>
    </row>
    <row r="118" spans="1:9" ht="15" thickBot="1" x14ac:dyDescent="0.4">
      <c r="A118" s="5">
        <v>46237.768750000003</v>
      </c>
      <c r="B118" s="1" t="s">
        <v>31</v>
      </c>
      <c r="C118" s="1" t="s">
        <v>8</v>
      </c>
      <c r="D118" s="6">
        <v>150</v>
      </c>
      <c r="E118" s="7">
        <v>134.80000000000001</v>
      </c>
      <c r="F118" s="1" t="s">
        <v>9</v>
      </c>
      <c r="G118" s="17" t="s">
        <v>121</v>
      </c>
      <c r="H118" s="19">
        <v>131.85</v>
      </c>
      <c r="I118">
        <f>((E118-H118)/E118)*100</f>
        <v>2.1884272997032763</v>
      </c>
    </row>
    <row r="119" spans="1:9" ht="15" thickBot="1" x14ac:dyDescent="0.4">
      <c r="A119" s="5">
        <v>46238.64472222222</v>
      </c>
      <c r="B119" s="1" t="s">
        <v>70</v>
      </c>
      <c r="C119" s="1" t="s">
        <v>8</v>
      </c>
      <c r="D119" s="6">
        <v>10</v>
      </c>
      <c r="E119" s="6">
        <v>1221</v>
      </c>
      <c r="F119" s="1" t="s">
        <v>9</v>
      </c>
      <c r="G119" s="17" t="s">
        <v>145</v>
      </c>
      <c r="H119" s="19">
        <v>1194</v>
      </c>
      <c r="I119">
        <f>((E119-H119)/E119)*100</f>
        <v>2.2113022113022112</v>
      </c>
    </row>
    <row r="120" spans="1:9" ht="15" thickBot="1" x14ac:dyDescent="0.4">
      <c r="A120" s="5">
        <v>46238.644768518519</v>
      </c>
      <c r="B120" s="1" t="s">
        <v>72</v>
      </c>
      <c r="C120" s="1" t="s">
        <v>8</v>
      </c>
      <c r="D120" s="6">
        <v>200</v>
      </c>
      <c r="E120" s="6">
        <v>91.75</v>
      </c>
      <c r="F120" s="1" t="s">
        <v>9</v>
      </c>
      <c r="G120" s="17" t="s">
        <v>147</v>
      </c>
      <c r="H120" s="19">
        <v>89.7</v>
      </c>
      <c r="I120">
        <f>((E120-H120)/E120)*100</f>
        <v>2.2343324250681169</v>
      </c>
    </row>
    <row r="121" spans="1:9" ht="15" thickBot="1" x14ac:dyDescent="0.4">
      <c r="A121" s="5">
        <v>46237.69027777778</v>
      </c>
      <c r="B121" s="1" t="s">
        <v>92</v>
      </c>
      <c r="C121" s="1" t="s">
        <v>8</v>
      </c>
      <c r="D121" s="6">
        <v>1</v>
      </c>
      <c r="E121" s="7">
        <v>2496</v>
      </c>
      <c r="F121" s="1" t="s">
        <v>9</v>
      </c>
      <c r="G121" s="17" t="s">
        <v>156</v>
      </c>
      <c r="H121" s="19">
        <v>2439</v>
      </c>
      <c r="I121">
        <f>((E121-H121)/E121)*100</f>
        <v>2.2836538461538458</v>
      </c>
    </row>
    <row r="122" spans="1:9" ht="15" thickBot="1" x14ac:dyDescent="0.4">
      <c r="A122" s="5">
        <v>46238.644733796296</v>
      </c>
      <c r="B122" s="1" t="s">
        <v>58</v>
      </c>
      <c r="C122" s="1" t="s">
        <v>8</v>
      </c>
      <c r="D122" s="6">
        <v>10</v>
      </c>
      <c r="E122" s="6">
        <v>1298</v>
      </c>
      <c r="F122" s="1" t="s">
        <v>9</v>
      </c>
      <c r="G122" s="17" t="s">
        <v>137</v>
      </c>
      <c r="H122" s="19">
        <v>1265</v>
      </c>
      <c r="I122">
        <f>((E122-H122)/E122)*100</f>
        <v>2.5423728813559325</v>
      </c>
    </row>
    <row r="123" spans="1:9" ht="29.5" thickBot="1" x14ac:dyDescent="0.4">
      <c r="A123" s="5">
        <v>46234.686805555553</v>
      </c>
      <c r="B123" s="1" t="s">
        <v>32</v>
      </c>
      <c r="C123" s="1" t="s">
        <v>8</v>
      </c>
      <c r="D123" s="6">
        <v>40</v>
      </c>
      <c r="E123" s="7">
        <v>448</v>
      </c>
      <c r="F123" s="1" t="s">
        <v>9</v>
      </c>
      <c r="G123" s="17" t="s">
        <v>122</v>
      </c>
      <c r="H123" s="19">
        <v>436.5</v>
      </c>
      <c r="I123">
        <f>((E123-H123)/E123)*100</f>
        <v>2.5669642857142856</v>
      </c>
    </row>
    <row r="124" spans="1:9" ht="15" thickBot="1" x14ac:dyDescent="0.4">
      <c r="A124" s="5">
        <v>46238.690474537034</v>
      </c>
      <c r="B124" s="1" t="s">
        <v>10</v>
      </c>
      <c r="C124" s="1" t="s">
        <v>8</v>
      </c>
      <c r="D124" s="6">
        <v>10</v>
      </c>
      <c r="E124" s="6">
        <v>2620</v>
      </c>
      <c r="F124" s="1" t="s">
        <v>9</v>
      </c>
      <c r="G124" s="17" t="s">
        <v>112</v>
      </c>
      <c r="H124" s="19">
        <v>2548</v>
      </c>
      <c r="I124">
        <f>((E124-H124)/E124)*100</f>
        <v>2.7480916030534353</v>
      </c>
    </row>
    <row r="125" spans="1:9" ht="15" thickBot="1" x14ac:dyDescent="0.4">
      <c r="A125" s="5">
        <v>46238.635520833333</v>
      </c>
      <c r="B125" s="1" t="s">
        <v>61</v>
      </c>
      <c r="C125" s="1" t="s">
        <v>8</v>
      </c>
      <c r="D125" s="6">
        <v>100</v>
      </c>
      <c r="E125" s="6">
        <v>238.2</v>
      </c>
      <c r="F125" s="1" t="s">
        <v>9</v>
      </c>
      <c r="G125" s="17" t="s">
        <v>139</v>
      </c>
      <c r="H125" s="19">
        <v>231.4</v>
      </c>
      <c r="I125">
        <f>((E125-H125)/E125)*100</f>
        <v>2.8547439126784142</v>
      </c>
    </row>
    <row r="126" spans="1:9" ht="15" thickBot="1" x14ac:dyDescent="0.4">
      <c r="A126" s="5">
        <v>46238.635555555556</v>
      </c>
      <c r="B126" s="1" t="s">
        <v>49</v>
      </c>
      <c r="C126" s="1" t="s">
        <v>8</v>
      </c>
      <c r="D126" s="6">
        <v>1</v>
      </c>
      <c r="E126" s="6">
        <v>3710</v>
      </c>
      <c r="F126" s="1" t="s">
        <v>9</v>
      </c>
      <c r="G126" s="17" t="s">
        <v>132</v>
      </c>
      <c r="H126" s="19">
        <v>3597.9</v>
      </c>
      <c r="I126">
        <f>((E126-H126)/E126)*100</f>
        <v>3.021563342318057</v>
      </c>
    </row>
    <row r="127" spans="1:9" ht="15" thickBot="1" x14ac:dyDescent="0.4">
      <c r="A127" s="5">
        <v>46238.690474537034</v>
      </c>
      <c r="B127" s="1" t="s">
        <v>31</v>
      </c>
      <c r="C127" s="1" t="s">
        <v>8</v>
      </c>
      <c r="D127" s="6">
        <v>150</v>
      </c>
      <c r="E127" s="6">
        <v>136</v>
      </c>
      <c r="F127" s="1" t="s">
        <v>9</v>
      </c>
      <c r="G127" s="17" t="s">
        <v>121</v>
      </c>
      <c r="H127" s="19">
        <v>131.85</v>
      </c>
      <c r="I127">
        <f>((E127-H127)/E127)*100</f>
        <v>3.0514705882352984</v>
      </c>
    </row>
    <row r="128" spans="1:9" ht="15" thickBot="1" x14ac:dyDescent="0.4">
      <c r="A128" s="5">
        <v>46238.635520833333</v>
      </c>
      <c r="B128" s="1" t="s">
        <v>52</v>
      </c>
      <c r="C128" s="1" t="s">
        <v>8</v>
      </c>
      <c r="D128" s="6">
        <v>10</v>
      </c>
      <c r="E128" s="6">
        <v>977</v>
      </c>
      <c r="F128" s="1" t="s">
        <v>9</v>
      </c>
      <c r="G128" s="17" t="s">
        <v>133</v>
      </c>
      <c r="H128" s="19">
        <v>947</v>
      </c>
      <c r="I128">
        <f>((E128-H128)/E128)*100</f>
        <v>3.0706243602865912</v>
      </c>
    </row>
    <row r="129" spans="1:9" ht="15" thickBot="1" x14ac:dyDescent="0.4">
      <c r="A129" s="5">
        <v>46238.63553240741</v>
      </c>
      <c r="B129" s="1" t="s">
        <v>47</v>
      </c>
      <c r="C129" s="1" t="s">
        <v>8</v>
      </c>
      <c r="D129" s="6">
        <v>5</v>
      </c>
      <c r="E129" s="6">
        <v>4129</v>
      </c>
      <c r="F129" s="1" t="s">
        <v>9</v>
      </c>
      <c r="G129" s="17" t="s">
        <v>131</v>
      </c>
      <c r="H129" s="19">
        <v>4001</v>
      </c>
      <c r="I129">
        <f>((E129-H129)/E129)*100</f>
        <v>3.1000242189392102</v>
      </c>
    </row>
    <row r="130" spans="1:9" ht="15" thickBot="1" x14ac:dyDescent="0.4">
      <c r="A130" s="5">
        <v>46238.635520833333</v>
      </c>
      <c r="B130" s="1" t="s">
        <v>61</v>
      </c>
      <c r="C130" s="1" t="s">
        <v>8</v>
      </c>
      <c r="D130" s="6">
        <v>200</v>
      </c>
      <c r="E130" s="6">
        <v>239</v>
      </c>
      <c r="F130" s="1" t="s">
        <v>9</v>
      </c>
      <c r="G130" s="17" t="s">
        <v>139</v>
      </c>
      <c r="H130" s="19">
        <v>231.4</v>
      </c>
      <c r="I130">
        <f>((E130-H130)/E130)*100</f>
        <v>3.1799163179916294</v>
      </c>
    </row>
    <row r="131" spans="1:9" ht="15" thickBot="1" x14ac:dyDescent="0.4">
      <c r="A131" s="5">
        <v>46238.690474537034</v>
      </c>
      <c r="B131" s="1" t="s">
        <v>10</v>
      </c>
      <c r="C131" s="1" t="s">
        <v>8</v>
      </c>
      <c r="D131" s="6">
        <v>10</v>
      </c>
      <c r="E131" s="6">
        <v>2632</v>
      </c>
      <c r="F131" s="1" t="s">
        <v>9</v>
      </c>
      <c r="G131" s="17" t="s">
        <v>112</v>
      </c>
      <c r="H131" s="19">
        <v>2548</v>
      </c>
      <c r="I131">
        <f>((E131-H131)/E131)*100</f>
        <v>3.1914893617021276</v>
      </c>
    </row>
    <row r="132" spans="1:9" ht="15" thickBot="1" x14ac:dyDescent="0.4">
      <c r="A132" s="5">
        <v>46238.690451388888</v>
      </c>
      <c r="B132" s="1" t="s">
        <v>35</v>
      </c>
      <c r="C132" s="1" t="s">
        <v>8</v>
      </c>
      <c r="D132" s="6">
        <v>120</v>
      </c>
      <c r="E132" s="6">
        <v>300.5</v>
      </c>
      <c r="F132" s="1" t="s">
        <v>9</v>
      </c>
      <c r="G132" s="17" t="s">
        <v>125</v>
      </c>
      <c r="H132" s="19">
        <v>290.85000000000002</v>
      </c>
      <c r="I132">
        <f>((E132-H132)/E132)*100</f>
        <v>3.2113144758735364</v>
      </c>
    </row>
    <row r="133" spans="1:9" ht="15" thickBot="1" x14ac:dyDescent="0.4">
      <c r="A133" s="5">
        <v>46238.690393518518</v>
      </c>
      <c r="B133" s="1" t="s">
        <v>36</v>
      </c>
      <c r="C133" s="1" t="s">
        <v>8</v>
      </c>
      <c r="D133" s="6">
        <v>50</v>
      </c>
      <c r="E133" s="6">
        <v>214</v>
      </c>
      <c r="F133" s="1" t="s">
        <v>9</v>
      </c>
      <c r="G133" s="17" t="s">
        <v>126</v>
      </c>
      <c r="H133" s="19">
        <v>207.08</v>
      </c>
      <c r="I133">
        <f>((E133-H133)/E133)*100</f>
        <v>3.2336448598130785</v>
      </c>
    </row>
    <row r="134" spans="1:9" ht="15" thickBot="1" x14ac:dyDescent="0.4">
      <c r="A134" s="5">
        <v>46238.690486111111</v>
      </c>
      <c r="B134" s="1" t="s">
        <v>7</v>
      </c>
      <c r="C134" s="1" t="s">
        <v>8</v>
      </c>
      <c r="D134" s="6">
        <v>100</v>
      </c>
      <c r="E134" s="6">
        <v>214</v>
      </c>
      <c r="F134" s="1" t="s">
        <v>9</v>
      </c>
      <c r="G134" s="17" t="s">
        <v>111</v>
      </c>
      <c r="H134" s="19">
        <v>207</v>
      </c>
      <c r="I134">
        <f>((E134-H134)/E134)*100</f>
        <v>3.2710280373831773</v>
      </c>
    </row>
    <row r="135" spans="1:9" ht="15" thickBot="1" x14ac:dyDescent="0.4">
      <c r="A135" s="5">
        <v>46238.635578703703</v>
      </c>
      <c r="B135" s="1" t="s">
        <v>72</v>
      </c>
      <c r="C135" s="1" t="s">
        <v>8</v>
      </c>
      <c r="D135" s="6">
        <v>200</v>
      </c>
      <c r="E135" s="6">
        <v>92.75</v>
      </c>
      <c r="F135" s="1" t="s">
        <v>9</v>
      </c>
      <c r="G135" s="17" t="s">
        <v>147</v>
      </c>
      <c r="H135" s="19">
        <v>89.7</v>
      </c>
      <c r="I135">
        <f>((E135-H135)/E135)*100</f>
        <v>3.28840970350404</v>
      </c>
    </row>
    <row r="136" spans="1:9" ht="15" thickBot="1" x14ac:dyDescent="0.4">
      <c r="A136" s="5">
        <v>46238.635578703703</v>
      </c>
      <c r="B136" s="1" t="s">
        <v>63</v>
      </c>
      <c r="C136" s="1" t="s">
        <v>8</v>
      </c>
      <c r="D136" s="6">
        <v>150</v>
      </c>
      <c r="E136" s="6">
        <v>124.9</v>
      </c>
      <c r="F136" s="1" t="s">
        <v>9</v>
      </c>
      <c r="G136" s="17" t="s">
        <v>140</v>
      </c>
      <c r="H136" s="19">
        <v>120.34</v>
      </c>
      <c r="I136">
        <f>((E136-H136)/E136)*100</f>
        <v>3.6509207365892729</v>
      </c>
    </row>
    <row r="137" spans="1:9" ht="29.5" thickBot="1" x14ac:dyDescent="0.4">
      <c r="A137" s="5">
        <v>46238.69059027778</v>
      </c>
      <c r="B137" s="1" t="s">
        <v>44</v>
      </c>
      <c r="C137" s="1" t="s">
        <v>8</v>
      </c>
      <c r="D137" s="6">
        <v>30</v>
      </c>
      <c r="E137" s="6">
        <v>948</v>
      </c>
      <c r="F137" s="1" t="s">
        <v>9</v>
      </c>
      <c r="G137" s="17" t="s">
        <v>129</v>
      </c>
      <c r="H137" s="19">
        <v>913</v>
      </c>
      <c r="I137">
        <f>((E137-H137)/E137)*100</f>
        <v>3.6919831223628692</v>
      </c>
    </row>
    <row r="138" spans="1:9" ht="15" thickBot="1" x14ac:dyDescent="0.4">
      <c r="A138" s="5">
        <v>46238.690474537034</v>
      </c>
      <c r="B138" s="1" t="s">
        <v>10</v>
      </c>
      <c r="C138" s="1" t="s">
        <v>8</v>
      </c>
      <c r="D138" s="6">
        <v>10</v>
      </c>
      <c r="E138" s="6">
        <v>2648</v>
      </c>
      <c r="F138" s="1" t="s">
        <v>9</v>
      </c>
      <c r="G138" s="17" t="s">
        <v>112</v>
      </c>
      <c r="H138" s="19">
        <v>2548</v>
      </c>
      <c r="I138">
        <f>((E138-H138)/E138)*100</f>
        <v>3.7764350453172204</v>
      </c>
    </row>
    <row r="139" spans="1:9" ht="29.5" thickBot="1" x14ac:dyDescent="0.4">
      <c r="A139" s="5">
        <v>46238.635567129626</v>
      </c>
      <c r="B139" s="1" t="s">
        <v>59</v>
      </c>
      <c r="C139" s="1" t="s">
        <v>8</v>
      </c>
      <c r="D139" s="6">
        <v>10</v>
      </c>
      <c r="E139" s="6">
        <v>1490</v>
      </c>
      <c r="F139" s="1" t="s">
        <v>9</v>
      </c>
      <c r="G139" s="17" t="s">
        <v>138</v>
      </c>
      <c r="H139" s="19">
        <v>1432.6</v>
      </c>
      <c r="I139">
        <f>((E139-H139)/E139)*100</f>
        <v>3.8523489932885964</v>
      </c>
    </row>
    <row r="140" spans="1:9" ht="15" thickBot="1" x14ac:dyDescent="0.4">
      <c r="A140" s="5">
        <v>46238.690578703703</v>
      </c>
      <c r="B140" s="1" t="s">
        <v>40</v>
      </c>
      <c r="C140" s="1" t="s">
        <v>8</v>
      </c>
      <c r="D140" s="6">
        <v>67</v>
      </c>
      <c r="E140" s="6">
        <v>373</v>
      </c>
      <c r="F140" s="1" t="s">
        <v>9</v>
      </c>
      <c r="G140" s="17" t="s">
        <v>128</v>
      </c>
      <c r="H140" s="19">
        <v>358</v>
      </c>
      <c r="I140">
        <f>((E140-H140)/E140)*100</f>
        <v>4.0214477211796247</v>
      </c>
    </row>
    <row r="141" spans="1:9" ht="15" thickBot="1" x14ac:dyDescent="0.4">
      <c r="A141" s="5">
        <v>46238.63553240741</v>
      </c>
      <c r="B141" s="1" t="s">
        <v>47</v>
      </c>
      <c r="C141" s="1" t="s">
        <v>8</v>
      </c>
      <c r="D141" s="6">
        <v>5</v>
      </c>
      <c r="E141" s="6">
        <v>4177</v>
      </c>
      <c r="F141" s="1" t="s">
        <v>9</v>
      </c>
      <c r="G141" s="17" t="s">
        <v>131</v>
      </c>
      <c r="H141" s="19">
        <v>4001</v>
      </c>
      <c r="I141">
        <f>((E141-H141)/E141)*100</f>
        <v>4.2135503950203494</v>
      </c>
    </row>
    <row r="142" spans="1:9" ht="15" thickBot="1" x14ac:dyDescent="0.4">
      <c r="A142" s="5">
        <v>46237.645312499997</v>
      </c>
      <c r="B142" s="1" t="s">
        <v>63</v>
      </c>
      <c r="C142" s="1" t="s">
        <v>8</v>
      </c>
      <c r="D142" s="6">
        <v>150</v>
      </c>
      <c r="E142" s="7">
        <v>125.9</v>
      </c>
      <c r="F142" s="1" t="s">
        <v>9</v>
      </c>
      <c r="G142" s="17" t="s">
        <v>140</v>
      </c>
      <c r="H142" s="19">
        <v>120.34</v>
      </c>
      <c r="I142">
        <f>((E142-H142)/E142)*100</f>
        <v>4.4162033359809385</v>
      </c>
    </row>
    <row r="143" spans="1:9" ht="15" thickBot="1" x14ac:dyDescent="0.4">
      <c r="A143" s="5">
        <v>46238.63554398148</v>
      </c>
      <c r="B143" s="1" t="s">
        <v>58</v>
      </c>
      <c r="C143" s="1" t="s">
        <v>8</v>
      </c>
      <c r="D143" s="6">
        <v>10</v>
      </c>
      <c r="E143" s="6">
        <v>1324</v>
      </c>
      <c r="F143" s="1" t="s">
        <v>9</v>
      </c>
      <c r="G143" s="17" t="s">
        <v>137</v>
      </c>
      <c r="H143" s="19">
        <v>1265</v>
      </c>
      <c r="I143">
        <f>((E143-H143)/E143)*100</f>
        <v>4.4561933534743199</v>
      </c>
    </row>
    <row r="144" spans="1:9" ht="15" thickBot="1" x14ac:dyDescent="0.4">
      <c r="A144" s="5">
        <v>46237.768750000003</v>
      </c>
      <c r="B144" s="1" t="s">
        <v>28</v>
      </c>
      <c r="C144" s="1" t="s">
        <v>8</v>
      </c>
      <c r="D144" s="6">
        <v>25</v>
      </c>
      <c r="E144" s="7">
        <v>214</v>
      </c>
      <c r="F144" s="1" t="s">
        <v>9</v>
      </c>
      <c r="G144" s="17" t="s">
        <v>119</v>
      </c>
      <c r="H144" s="19">
        <v>203.5</v>
      </c>
      <c r="I144">
        <f>((E144-H144)/E144)*100</f>
        <v>4.9065420560747661</v>
      </c>
    </row>
    <row r="145" spans="1:9" ht="15" thickBot="1" x14ac:dyDescent="0.4">
      <c r="A145" s="5">
        <v>46237.768750000003</v>
      </c>
      <c r="B145" s="1" t="s">
        <v>36</v>
      </c>
      <c r="C145" s="1" t="s">
        <v>8</v>
      </c>
      <c r="D145" s="6">
        <v>50</v>
      </c>
      <c r="E145" s="7">
        <v>218</v>
      </c>
      <c r="F145" s="1" t="s">
        <v>9</v>
      </c>
      <c r="G145" s="17" t="s">
        <v>126</v>
      </c>
      <c r="H145" s="19">
        <v>207.08</v>
      </c>
      <c r="I145">
        <f>((E145-H145)/E145)*100</f>
        <v>5.0091743119265999</v>
      </c>
    </row>
    <row r="146" spans="1:9" ht="15" thickBot="1" x14ac:dyDescent="0.4">
      <c r="A146" s="5">
        <v>46238.635520833333</v>
      </c>
      <c r="B146" s="1" t="s">
        <v>52</v>
      </c>
      <c r="C146" s="1" t="s">
        <v>8</v>
      </c>
      <c r="D146" s="6">
        <v>10</v>
      </c>
      <c r="E146" s="6">
        <v>997</v>
      </c>
      <c r="F146" s="1" t="s">
        <v>9</v>
      </c>
      <c r="G146" s="17" t="s">
        <v>133</v>
      </c>
      <c r="H146" s="19">
        <v>947</v>
      </c>
      <c r="I146">
        <f>((E146-H146)/E146)*100</f>
        <v>5.0150451354062184</v>
      </c>
    </row>
    <row r="147" spans="1:9" ht="15" thickBot="1" x14ac:dyDescent="0.4">
      <c r="A147" s="5">
        <v>46238.63553240741</v>
      </c>
      <c r="B147" s="1" t="s">
        <v>46</v>
      </c>
      <c r="C147" s="1" t="s">
        <v>8</v>
      </c>
      <c r="D147" s="6">
        <v>1</v>
      </c>
      <c r="E147" s="6">
        <v>4890</v>
      </c>
      <c r="F147" s="1" t="s">
        <v>9</v>
      </c>
      <c r="G147" s="17" t="s">
        <v>130</v>
      </c>
      <c r="H147" s="19">
        <v>4638</v>
      </c>
      <c r="I147">
        <f>((E147-H147)/E147)*100</f>
        <v>5.1533742331288348</v>
      </c>
    </row>
    <row r="148" spans="1:9" ht="15" thickBot="1" x14ac:dyDescent="0.4">
      <c r="A148" s="5">
        <v>46238.635520833333</v>
      </c>
      <c r="B148" s="1" t="s">
        <v>61</v>
      </c>
      <c r="C148" s="1" t="s">
        <v>8</v>
      </c>
      <c r="D148" s="6">
        <v>200</v>
      </c>
      <c r="E148" s="6">
        <v>244</v>
      </c>
      <c r="F148" s="1" t="s">
        <v>9</v>
      </c>
      <c r="G148" s="17" t="s">
        <v>139</v>
      </c>
      <c r="H148" s="19">
        <v>231.4</v>
      </c>
      <c r="I148">
        <f>((E148-H148)/E148)*100</f>
        <v>5.1639344262295062</v>
      </c>
    </row>
    <row r="149" spans="1:9" ht="15" thickBot="1" x14ac:dyDescent="0.4">
      <c r="A149" s="5">
        <v>46237.69027777778</v>
      </c>
      <c r="B149" s="1" t="s">
        <v>10</v>
      </c>
      <c r="C149" s="1" t="s">
        <v>8</v>
      </c>
      <c r="D149" s="6">
        <v>10</v>
      </c>
      <c r="E149" s="7">
        <v>2690</v>
      </c>
      <c r="F149" s="1" t="s">
        <v>9</v>
      </c>
      <c r="G149" s="17" t="s">
        <v>112</v>
      </c>
      <c r="H149" s="19">
        <v>2548</v>
      </c>
      <c r="I149">
        <f>((E149-H149)/E149)*100</f>
        <v>5.2788104089219328</v>
      </c>
    </row>
    <row r="150" spans="1:9" ht="15" thickBot="1" x14ac:dyDescent="0.4">
      <c r="A150" s="5">
        <v>46238.690555555557</v>
      </c>
      <c r="B150" s="1" t="s">
        <v>7</v>
      </c>
      <c r="C150" s="1" t="s">
        <v>8</v>
      </c>
      <c r="D150" s="6">
        <v>65</v>
      </c>
      <c r="E150" s="6">
        <v>219</v>
      </c>
      <c r="F150" s="1" t="s">
        <v>9</v>
      </c>
      <c r="G150" s="17" t="s">
        <v>111</v>
      </c>
      <c r="H150" s="19">
        <v>207</v>
      </c>
      <c r="I150">
        <f>((E150-H150)/E150)*100</f>
        <v>5.4794520547945202</v>
      </c>
    </row>
    <row r="151" spans="1:9" ht="15" thickBot="1" x14ac:dyDescent="0.4">
      <c r="A151" s="5">
        <v>46238.635555555556</v>
      </c>
      <c r="B151" s="1" t="s">
        <v>49</v>
      </c>
      <c r="C151" s="1" t="s">
        <v>8</v>
      </c>
      <c r="D151" s="6">
        <v>1</v>
      </c>
      <c r="E151" s="6">
        <v>3810</v>
      </c>
      <c r="F151" s="1" t="s">
        <v>9</v>
      </c>
      <c r="G151" s="17" t="s">
        <v>132</v>
      </c>
      <c r="H151" s="19">
        <v>3597.9</v>
      </c>
      <c r="I151">
        <f>((E151-H151)/E151)*100</f>
        <v>5.5669291338582649</v>
      </c>
    </row>
    <row r="152" spans="1:9" ht="15" thickBot="1" x14ac:dyDescent="0.4">
      <c r="A152" s="5">
        <v>46238.635567129626</v>
      </c>
      <c r="B152" s="1" t="s">
        <v>77</v>
      </c>
      <c r="C152" s="1" t="s">
        <v>8</v>
      </c>
      <c r="D152" s="6">
        <v>5</v>
      </c>
      <c r="E152" s="6">
        <v>790</v>
      </c>
      <c r="F152" s="1" t="s">
        <v>9</v>
      </c>
      <c r="G152" s="17" t="s">
        <v>151</v>
      </c>
      <c r="H152" s="19">
        <v>745.8</v>
      </c>
      <c r="I152">
        <f>((E152-H152)/E152)*100</f>
        <v>5.5949367088607653</v>
      </c>
    </row>
    <row r="153" spans="1:9" ht="15" thickBot="1" x14ac:dyDescent="0.4">
      <c r="A153" s="5">
        <v>46238.63554398148</v>
      </c>
      <c r="B153" s="1" t="s">
        <v>69</v>
      </c>
      <c r="C153" s="1" t="s">
        <v>8</v>
      </c>
      <c r="D153" s="6">
        <v>2</v>
      </c>
      <c r="E153" s="6">
        <v>2690</v>
      </c>
      <c r="F153" s="1" t="s">
        <v>9</v>
      </c>
      <c r="G153" s="17" t="s">
        <v>144</v>
      </c>
      <c r="H153" s="19">
        <v>2535</v>
      </c>
      <c r="I153">
        <f>((E153-H153)/E153)*100</f>
        <v>5.7620817843866172</v>
      </c>
    </row>
    <row r="154" spans="1:9" ht="15" thickBot="1" x14ac:dyDescent="0.4">
      <c r="A154" s="5">
        <v>46237.635567129626</v>
      </c>
      <c r="B154" s="1" t="s">
        <v>79</v>
      </c>
      <c r="C154" s="1" t="s">
        <v>8</v>
      </c>
      <c r="D154" s="6">
        <v>7</v>
      </c>
      <c r="E154" s="7">
        <v>1424</v>
      </c>
      <c r="F154" s="1" t="s">
        <v>9</v>
      </c>
      <c r="G154" s="17" t="s">
        <v>153</v>
      </c>
      <c r="H154" s="19">
        <v>1340</v>
      </c>
      <c r="I154">
        <f>((E154-H154)/E154)*100</f>
        <v>5.8988764044943816</v>
      </c>
    </row>
    <row r="155" spans="1:9" ht="15" thickBot="1" x14ac:dyDescent="0.4">
      <c r="A155" s="5">
        <v>46238.635578703703</v>
      </c>
      <c r="B155" s="1" t="s">
        <v>80</v>
      </c>
      <c r="C155" s="1" t="s">
        <v>8</v>
      </c>
      <c r="D155" s="6">
        <v>11</v>
      </c>
      <c r="E155" s="6">
        <v>548</v>
      </c>
      <c r="F155" s="1" t="s">
        <v>9</v>
      </c>
      <c r="G155" s="17" t="s">
        <v>154</v>
      </c>
      <c r="H155" s="19">
        <v>514.85</v>
      </c>
      <c r="I155">
        <f>((E155-H155)/E155)*100</f>
        <v>6.0492700729926963</v>
      </c>
    </row>
    <row r="156" spans="1:9" ht="29.5" thickBot="1" x14ac:dyDescent="0.4">
      <c r="A156" s="5">
        <v>46237.768750000003</v>
      </c>
      <c r="B156" s="1" t="s">
        <v>44</v>
      </c>
      <c r="C156" s="1" t="s">
        <v>8</v>
      </c>
      <c r="D156" s="6">
        <v>30</v>
      </c>
      <c r="E156" s="7">
        <v>974</v>
      </c>
      <c r="F156" s="1" t="s">
        <v>9</v>
      </c>
      <c r="G156" s="17" t="s">
        <v>129</v>
      </c>
      <c r="H156" s="19">
        <v>913</v>
      </c>
      <c r="I156">
        <f>((E156-H156)/E156)*100</f>
        <v>6.2628336755646812</v>
      </c>
    </row>
    <row r="157" spans="1:9" ht="15" thickBot="1" x14ac:dyDescent="0.4">
      <c r="A157" s="5">
        <v>46238.690358796295</v>
      </c>
      <c r="B157" s="1" t="s">
        <v>16</v>
      </c>
      <c r="C157" s="1" t="s">
        <v>8</v>
      </c>
      <c r="D157" s="6">
        <v>40</v>
      </c>
      <c r="E157" s="6">
        <v>320.5</v>
      </c>
      <c r="F157" s="1" t="s">
        <v>9</v>
      </c>
      <c r="G157" s="17" t="s">
        <v>114</v>
      </c>
      <c r="H157" s="19">
        <v>300.35000000000002</v>
      </c>
      <c r="I157">
        <f>((E157-H157)/E157)*100</f>
        <v>6.2870514820592751</v>
      </c>
    </row>
    <row r="158" spans="1:9" ht="15" thickBot="1" x14ac:dyDescent="0.4">
      <c r="A158" s="5">
        <v>46238.63554398148</v>
      </c>
      <c r="B158" s="1" t="s">
        <v>75</v>
      </c>
      <c r="C158" s="1" t="s">
        <v>8</v>
      </c>
      <c r="D158" s="6">
        <v>3</v>
      </c>
      <c r="E158" s="6">
        <v>2846</v>
      </c>
      <c r="F158" s="1" t="s">
        <v>9</v>
      </c>
      <c r="G158" s="17" t="s">
        <v>149</v>
      </c>
      <c r="H158" s="19">
        <v>2667</v>
      </c>
      <c r="I158">
        <f>((E158-H158)/E158)*100</f>
        <v>6.28952916373858</v>
      </c>
    </row>
    <row r="159" spans="1:9" ht="15" thickBot="1" x14ac:dyDescent="0.4">
      <c r="A159" s="5">
        <v>46237.69027777778</v>
      </c>
      <c r="B159" s="1" t="s">
        <v>10</v>
      </c>
      <c r="C159" s="1" t="s">
        <v>8</v>
      </c>
      <c r="D159" s="6">
        <v>10</v>
      </c>
      <c r="E159" s="7">
        <v>2720</v>
      </c>
      <c r="F159" s="1" t="s">
        <v>9</v>
      </c>
      <c r="G159" s="17" t="s">
        <v>112</v>
      </c>
      <c r="H159" s="19">
        <v>2548</v>
      </c>
      <c r="I159">
        <f>((E159-H159)/E159)*100</f>
        <v>6.3235294117647056</v>
      </c>
    </row>
    <row r="160" spans="1:9" ht="15" thickBot="1" x14ac:dyDescent="0.4">
      <c r="A160" s="5">
        <v>46238.690451388888</v>
      </c>
      <c r="B160" s="1" t="s">
        <v>35</v>
      </c>
      <c r="C160" s="1" t="s">
        <v>8</v>
      </c>
      <c r="D160" s="6">
        <v>100</v>
      </c>
      <c r="E160" s="6">
        <v>310.5</v>
      </c>
      <c r="F160" s="1" t="s">
        <v>9</v>
      </c>
      <c r="G160" s="17" t="s">
        <v>125</v>
      </c>
      <c r="H160" s="19">
        <v>290.85000000000002</v>
      </c>
      <c r="I160">
        <f>((E160-H160)/E160)*100</f>
        <v>6.3285024154589298</v>
      </c>
    </row>
    <row r="161" spans="1:9" ht="15" thickBot="1" x14ac:dyDescent="0.4">
      <c r="A161" s="5">
        <v>46237.63554398148</v>
      </c>
      <c r="B161" s="1" t="s">
        <v>69</v>
      </c>
      <c r="C161" s="1" t="s">
        <v>8</v>
      </c>
      <c r="D161" s="6">
        <v>3</v>
      </c>
      <c r="E161" s="7">
        <v>2710</v>
      </c>
      <c r="F161" s="1" t="s">
        <v>9</v>
      </c>
      <c r="G161" s="17" t="s">
        <v>144</v>
      </c>
      <c r="H161" s="19">
        <v>2535</v>
      </c>
      <c r="I161">
        <f>((E161-H161)/E161)*100</f>
        <v>6.4575645756457565</v>
      </c>
    </row>
    <row r="162" spans="1:9" ht="29.5" thickBot="1" x14ac:dyDescent="0.4">
      <c r="A162" s="5">
        <v>46233.688194444447</v>
      </c>
      <c r="B162" s="8" t="s">
        <v>32</v>
      </c>
      <c r="C162" s="1" t="s">
        <v>8</v>
      </c>
      <c r="D162" s="6">
        <v>5</v>
      </c>
      <c r="E162" s="9">
        <v>467.25</v>
      </c>
      <c r="F162" s="1" t="s">
        <v>9</v>
      </c>
      <c r="G162" s="17" t="s">
        <v>122</v>
      </c>
      <c r="H162" s="19">
        <v>436.5</v>
      </c>
      <c r="I162">
        <f>((E162-H162)/E162)*100</f>
        <v>6.5810593900481535</v>
      </c>
    </row>
    <row r="163" spans="1:9" ht="15" thickBot="1" x14ac:dyDescent="0.4">
      <c r="A163" s="5">
        <v>46234.686805555553</v>
      </c>
      <c r="B163" s="1" t="s">
        <v>35</v>
      </c>
      <c r="C163" s="1" t="s">
        <v>8</v>
      </c>
      <c r="D163" s="6">
        <v>100</v>
      </c>
      <c r="E163" s="7">
        <v>314</v>
      </c>
      <c r="F163" s="1" t="s">
        <v>9</v>
      </c>
      <c r="G163" s="17" t="s">
        <v>125</v>
      </c>
      <c r="H163" s="19">
        <v>290.85000000000002</v>
      </c>
      <c r="I163">
        <f>((E163-H163)/E163)*100</f>
        <v>7.3726114649681458</v>
      </c>
    </row>
    <row r="164" spans="1:9" ht="29.5" thickBot="1" x14ac:dyDescent="0.4">
      <c r="A164" s="5">
        <v>46238.69059027778</v>
      </c>
      <c r="B164" s="1" t="s">
        <v>44</v>
      </c>
      <c r="C164" s="1" t="s">
        <v>8</v>
      </c>
      <c r="D164" s="6">
        <v>5</v>
      </c>
      <c r="E164" s="6">
        <v>986</v>
      </c>
      <c r="F164" s="1" t="s">
        <v>9</v>
      </c>
      <c r="G164" s="17" t="s">
        <v>129</v>
      </c>
      <c r="H164" s="19">
        <v>913</v>
      </c>
      <c r="I164">
        <f>((E164-H164)/E164)*100</f>
        <v>7.4036511156186622</v>
      </c>
    </row>
    <row r="165" spans="1:9" ht="15" thickBot="1" x14ac:dyDescent="0.4">
      <c r="A165" s="5">
        <v>46238.690567129626</v>
      </c>
      <c r="B165" s="1" t="s">
        <v>28</v>
      </c>
      <c r="C165" s="1" t="s">
        <v>8</v>
      </c>
      <c r="D165" s="6">
        <v>25</v>
      </c>
      <c r="E165" s="6">
        <v>220</v>
      </c>
      <c r="F165" s="1" t="s">
        <v>9</v>
      </c>
      <c r="G165" s="17" t="s">
        <v>119</v>
      </c>
      <c r="H165" s="19">
        <v>203.5</v>
      </c>
      <c r="I165">
        <f>((E165-H165)/E165)*100</f>
        <v>7.5</v>
      </c>
    </row>
    <row r="166" spans="1:9" ht="15" thickBot="1" x14ac:dyDescent="0.4">
      <c r="A166" s="5">
        <v>46237.635520833333</v>
      </c>
      <c r="B166" s="1" t="s">
        <v>52</v>
      </c>
      <c r="C166" s="1" t="s">
        <v>8</v>
      </c>
      <c r="D166" s="6">
        <v>10</v>
      </c>
      <c r="E166" s="7">
        <v>1024</v>
      </c>
      <c r="F166" s="1" t="s">
        <v>9</v>
      </c>
      <c r="G166" s="17" t="s">
        <v>133</v>
      </c>
      <c r="H166" s="19">
        <v>947</v>
      </c>
      <c r="I166">
        <f>((E166-H166)/E166)*100</f>
        <v>7.51953125</v>
      </c>
    </row>
    <row r="167" spans="1:9" ht="15" thickBot="1" x14ac:dyDescent="0.4">
      <c r="A167" s="5">
        <v>46238.635555555556</v>
      </c>
      <c r="B167" s="1" t="s">
        <v>53</v>
      </c>
      <c r="C167" s="1" t="s">
        <v>8</v>
      </c>
      <c r="D167" s="6">
        <v>3</v>
      </c>
      <c r="E167" s="6">
        <v>3341</v>
      </c>
      <c r="F167" s="1" t="s">
        <v>9</v>
      </c>
      <c r="G167" s="17" t="s">
        <v>134</v>
      </c>
      <c r="H167" s="19">
        <v>3077</v>
      </c>
      <c r="I167">
        <f>((E167-H167)/E167)*100</f>
        <v>7.9018258006584849</v>
      </c>
    </row>
    <row r="168" spans="1:9" ht="15" thickBot="1" x14ac:dyDescent="0.4">
      <c r="A168" s="5">
        <v>46237.69027777778</v>
      </c>
      <c r="B168" s="1" t="s">
        <v>10</v>
      </c>
      <c r="C168" s="1" t="s">
        <v>8</v>
      </c>
      <c r="D168" s="6">
        <v>10</v>
      </c>
      <c r="E168" s="7">
        <v>2770</v>
      </c>
      <c r="F168" s="1" t="s">
        <v>9</v>
      </c>
      <c r="G168" s="17" t="s">
        <v>112</v>
      </c>
      <c r="H168" s="19">
        <v>2548</v>
      </c>
      <c r="I168">
        <f>((E168-H168)/E168)*100</f>
        <v>8.0144404332129966</v>
      </c>
    </row>
    <row r="169" spans="1:9" ht="15" thickBot="1" x14ac:dyDescent="0.4">
      <c r="A169" s="5">
        <v>46233.688194444447</v>
      </c>
      <c r="B169" s="8" t="s">
        <v>95</v>
      </c>
      <c r="C169" s="1" t="s">
        <v>8</v>
      </c>
      <c r="D169" s="6">
        <v>20</v>
      </c>
      <c r="E169" s="9">
        <v>424</v>
      </c>
      <c r="F169" s="1" t="s">
        <v>9</v>
      </c>
      <c r="G169" s="17" t="s">
        <v>158</v>
      </c>
      <c r="H169" s="19">
        <v>389.95</v>
      </c>
      <c r="I169">
        <f>((E169-H169)/E169)*100</f>
        <v>8.0306603773584939</v>
      </c>
    </row>
    <row r="170" spans="1:9" ht="15" thickBot="1" x14ac:dyDescent="0.4">
      <c r="A170" s="5">
        <v>46238.635555555556</v>
      </c>
      <c r="B170" s="1" t="s">
        <v>81</v>
      </c>
      <c r="C170" s="1" t="s">
        <v>8</v>
      </c>
      <c r="D170" s="6">
        <v>50</v>
      </c>
      <c r="E170" s="6">
        <v>480</v>
      </c>
      <c r="F170" s="1" t="s">
        <v>9</v>
      </c>
      <c r="G170" s="17" t="s">
        <v>155</v>
      </c>
      <c r="H170" s="19">
        <v>440</v>
      </c>
      <c r="I170">
        <f>((E170-H170)/E170)*100</f>
        <v>8.3333333333333321</v>
      </c>
    </row>
    <row r="171" spans="1:9" ht="29.5" thickBot="1" x14ac:dyDescent="0.4">
      <c r="A171" s="5">
        <v>46233.688194444447</v>
      </c>
      <c r="B171" s="8" t="s">
        <v>44</v>
      </c>
      <c r="C171" s="1" t="s">
        <v>8</v>
      </c>
      <c r="D171" s="6">
        <v>40</v>
      </c>
      <c r="E171" s="9">
        <v>996</v>
      </c>
      <c r="F171" s="1" t="s">
        <v>9</v>
      </c>
      <c r="G171" s="17" t="s">
        <v>129</v>
      </c>
      <c r="H171" s="19">
        <v>913</v>
      </c>
      <c r="I171">
        <f>((E171-H171)/E171)*100</f>
        <v>8.3333333333333321</v>
      </c>
    </row>
    <row r="172" spans="1:9" ht="15" thickBot="1" x14ac:dyDescent="0.4">
      <c r="A172" s="5">
        <v>46234.686805555553</v>
      </c>
      <c r="B172" s="1" t="s">
        <v>35</v>
      </c>
      <c r="C172" s="1" t="s">
        <v>8</v>
      </c>
      <c r="D172" s="6">
        <v>100</v>
      </c>
      <c r="E172" s="7">
        <v>319</v>
      </c>
      <c r="F172" s="1" t="s">
        <v>9</v>
      </c>
      <c r="G172" s="17" t="s">
        <v>125</v>
      </c>
      <c r="H172" s="19">
        <v>290.85000000000002</v>
      </c>
      <c r="I172">
        <f>((E172-H172)/E172)*100</f>
        <v>8.8244514106583001</v>
      </c>
    </row>
    <row r="173" spans="1:9" ht="29.5" thickBot="1" x14ac:dyDescent="0.4">
      <c r="A173" s="5">
        <v>46238.690578703703</v>
      </c>
      <c r="B173" s="1" t="s">
        <v>44</v>
      </c>
      <c r="C173" s="1" t="s">
        <v>8</v>
      </c>
      <c r="D173" s="6">
        <v>5</v>
      </c>
      <c r="E173" s="6">
        <v>1002</v>
      </c>
      <c r="F173" s="1" t="s">
        <v>9</v>
      </c>
      <c r="G173" s="17" t="s">
        <v>129</v>
      </c>
      <c r="H173" s="19">
        <v>913</v>
      </c>
      <c r="I173">
        <f>((E173-H173)/E173)*100</f>
        <v>8.8822355289421164</v>
      </c>
    </row>
    <row r="174" spans="1:9" ht="15" thickBot="1" x14ac:dyDescent="0.4">
      <c r="A174" s="5">
        <v>46233.688194444447</v>
      </c>
      <c r="B174" s="8" t="s">
        <v>7</v>
      </c>
      <c r="C174" s="1" t="s">
        <v>8</v>
      </c>
      <c r="D174" s="6">
        <v>40</v>
      </c>
      <c r="E174" s="9">
        <v>229</v>
      </c>
      <c r="F174" s="1" t="s">
        <v>9</v>
      </c>
      <c r="G174" s="17" t="s">
        <v>111</v>
      </c>
      <c r="H174" s="19">
        <v>207</v>
      </c>
      <c r="I174">
        <f>((E174-H174)/E174)*100</f>
        <v>9.606986899563319</v>
      </c>
    </row>
    <row r="175" spans="1:9" ht="15" thickBot="1" x14ac:dyDescent="0.4">
      <c r="A175" s="5">
        <v>46234.686805555553</v>
      </c>
      <c r="B175" s="1" t="s">
        <v>35</v>
      </c>
      <c r="C175" s="1" t="s">
        <v>8</v>
      </c>
      <c r="D175" s="6">
        <v>150</v>
      </c>
      <c r="E175" s="7">
        <v>323</v>
      </c>
      <c r="F175" s="1" t="s">
        <v>9</v>
      </c>
      <c r="G175" s="17" t="s">
        <v>125</v>
      </c>
      <c r="H175" s="19">
        <v>290.85000000000002</v>
      </c>
      <c r="I175">
        <f>((E175-H175)/E175)*100</f>
        <v>9.9535603715170211</v>
      </c>
    </row>
    <row r="176" spans="1:9" ht="15" thickBot="1" x14ac:dyDescent="0.4">
      <c r="A176" s="5">
        <v>46234.6875</v>
      </c>
      <c r="B176" s="1" t="s">
        <v>81</v>
      </c>
      <c r="C176" s="1" t="s">
        <v>8</v>
      </c>
      <c r="D176" s="6">
        <v>35</v>
      </c>
      <c r="E176" s="7">
        <v>494</v>
      </c>
      <c r="F176" s="1" t="s">
        <v>9</v>
      </c>
      <c r="G176" s="17" t="s">
        <v>155</v>
      </c>
      <c r="H176" s="19">
        <v>440</v>
      </c>
      <c r="I176">
        <f>((E176-H176)/E176)*100</f>
        <v>10.931174089068826</v>
      </c>
    </row>
    <row r="177" spans="1:9" ht="15" thickBot="1" x14ac:dyDescent="0.4">
      <c r="A177" s="5">
        <v>46237.768750000003</v>
      </c>
      <c r="B177" s="1" t="s">
        <v>34</v>
      </c>
      <c r="C177" s="1" t="s">
        <v>8</v>
      </c>
      <c r="D177" s="6">
        <v>5</v>
      </c>
      <c r="E177" s="7">
        <v>435</v>
      </c>
      <c r="F177" s="1" t="s">
        <v>9</v>
      </c>
      <c r="G177" s="17" t="s">
        <v>124</v>
      </c>
      <c r="H177" s="19">
        <v>387</v>
      </c>
      <c r="I177">
        <f>((E177-H177)/E177)*100</f>
        <v>11.03448275862069</v>
      </c>
    </row>
  </sheetData>
  <autoFilter ref="A1:I177" xr:uid="{61D5792B-E190-40C3-A300-236277A9A431}">
    <filterColumn colId="2">
      <filters>
        <filter val="S"/>
      </filters>
    </filterColumn>
    <sortState xmlns:xlrd2="http://schemas.microsoft.com/office/spreadsheetml/2017/richdata2" ref="A2:I177">
      <sortCondition ref="I1:I17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B2DD-B8E9-4522-B3D2-83600935C32F}">
  <sheetPr filterMode="1"/>
  <dimension ref="A1:G202"/>
  <sheetViews>
    <sheetView topLeftCell="A191" workbookViewId="0">
      <selection sqref="A1:F199"/>
    </sheetView>
  </sheetViews>
  <sheetFormatPr defaultRowHeight="14.5" x14ac:dyDescent="0.35"/>
  <cols>
    <col min="1" max="1" width="19.7265625" customWidth="1"/>
  </cols>
  <sheetData>
    <row r="1" spans="1:7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7" ht="15" thickBot="1" x14ac:dyDescent="0.4">
      <c r="A2" s="3" t="s">
        <v>82</v>
      </c>
      <c r="B2" s="3" t="s">
        <v>47</v>
      </c>
      <c r="C2" s="3" t="s">
        <v>8</v>
      </c>
      <c r="D2" s="3">
        <v>10</v>
      </c>
      <c r="E2" s="4">
        <v>4048</v>
      </c>
      <c r="F2" s="3" t="s">
        <v>9</v>
      </c>
      <c r="G2" t="str">
        <f>IF(COUNTIFS(
    Final_backup!$B:$B, B2,
    Final_backup!$C:$C, C2,
    Final_backup!$D:$D, D2,
    Final_backup!$E:$E, E2
) = 0, "NO MATCH IN TARGET", "MATCHED")</f>
        <v>MATCHED</v>
      </c>
    </row>
    <row r="3" spans="1:7" ht="15" hidden="1" thickBot="1" x14ac:dyDescent="0.4">
      <c r="A3" s="3" t="s">
        <v>83</v>
      </c>
      <c r="B3" s="3" t="s">
        <v>59</v>
      </c>
      <c r="C3" s="3" t="s">
        <v>8</v>
      </c>
      <c r="D3" s="3">
        <v>10</v>
      </c>
      <c r="E3" s="4">
        <v>1460</v>
      </c>
      <c r="F3" s="3" t="s">
        <v>9</v>
      </c>
      <c r="G3" t="str">
        <f>IF(COUNTIFS(
    Final_backup!$B:$B, B3,
    Final_backup!$C:$C, C3,
    Final_backup!$D:$D, D3,
    Final_backup!$E:$E, E3
) = 0, "NO MATCH IN TARGET", "MATCHED")</f>
        <v>MATCHED</v>
      </c>
    </row>
    <row r="4" spans="1:7" ht="15" thickBot="1" x14ac:dyDescent="0.4">
      <c r="A4" s="3" t="s">
        <v>84</v>
      </c>
      <c r="B4" s="3" t="s">
        <v>52</v>
      </c>
      <c r="C4" s="3" t="s">
        <v>8</v>
      </c>
      <c r="D4" s="3">
        <v>10</v>
      </c>
      <c r="E4" s="4">
        <v>957</v>
      </c>
      <c r="F4" s="3" t="s">
        <v>9</v>
      </c>
      <c r="G4" t="str">
        <f>IF(COUNTIFS(
    Final_backup!$B:$B, B4,
    Final_backup!$C:$C, C4,
    Final_backup!$D:$D, D4,
    Final_backup!$E:$E, E4
) = 0, "NO MATCH IN TARGET", "MATCHED")</f>
        <v>MATCHED</v>
      </c>
    </row>
    <row r="5" spans="1:7" ht="29.5" thickBot="1" x14ac:dyDescent="0.4">
      <c r="A5" s="5">
        <v>46237.769108796296</v>
      </c>
      <c r="B5" s="1" t="s">
        <v>32</v>
      </c>
      <c r="C5" s="1" t="s">
        <v>8</v>
      </c>
      <c r="D5" s="6">
        <v>40</v>
      </c>
      <c r="E5" s="7">
        <v>444</v>
      </c>
      <c r="F5" s="1" t="s">
        <v>9</v>
      </c>
      <c r="G5" t="str">
        <f>IF(COUNTIFS(
    Final_backup!$B:$B, B5,
    Final_backup!$C:$C, C5,
    Final_backup!$D:$D, D5,
    Final_backup!$E:$E, E5
) = 0, "NO MATCH IN TARGET", "MATCHED")</f>
        <v>MATCHED</v>
      </c>
    </row>
    <row r="6" spans="1:7" ht="15" hidden="1" thickBot="1" x14ac:dyDescent="0.4">
      <c r="A6" s="5">
        <v>46237.690532407411</v>
      </c>
      <c r="B6" s="1" t="s">
        <v>10</v>
      </c>
      <c r="C6" s="1" t="s">
        <v>8</v>
      </c>
      <c r="D6" s="6">
        <v>10</v>
      </c>
      <c r="E6" s="7">
        <v>2620</v>
      </c>
      <c r="F6" s="1" t="s">
        <v>9</v>
      </c>
      <c r="G6" t="str">
        <f>IF(COUNTIFS(
    Final_backup!$B:$B, B6,
    Final_backup!$C:$C, C6,
    Final_backup!$D:$D, D6,
    Final_backup!$E:$E, E6
) = 0, "NO MATCH IN TARGET", "MATCHED")</f>
        <v>MATCHED</v>
      </c>
    </row>
    <row r="7" spans="1:7" ht="15" hidden="1" thickBot="1" x14ac:dyDescent="0.4">
      <c r="A7" s="3" t="s">
        <v>85</v>
      </c>
      <c r="B7" s="3" t="s">
        <v>58</v>
      </c>
      <c r="C7" s="3" t="s">
        <v>8</v>
      </c>
      <c r="D7" s="3">
        <v>10</v>
      </c>
      <c r="E7" s="4">
        <v>1280</v>
      </c>
      <c r="F7" s="3" t="s">
        <v>9</v>
      </c>
      <c r="G7" t="str">
        <f>IF(COUNTIFS(
    Final_backup!$B:$B, B7,
    Final_backup!$C:$C, C7,
    Final_backup!$D:$D, D7,
    Final_backup!$E:$E, E7
) = 0, "NO MATCH IN TARGET", "MATCHED")</f>
        <v>MATCHED</v>
      </c>
    </row>
    <row r="8" spans="1:7" ht="15" hidden="1" thickBot="1" x14ac:dyDescent="0.4">
      <c r="A8" s="3" t="s">
        <v>86</v>
      </c>
      <c r="B8" s="3" t="s">
        <v>72</v>
      </c>
      <c r="C8" s="3" t="s">
        <v>8</v>
      </c>
      <c r="D8" s="3">
        <v>200</v>
      </c>
      <c r="E8" s="4">
        <v>91.75</v>
      </c>
      <c r="F8" s="3" t="s">
        <v>9</v>
      </c>
      <c r="G8" t="str">
        <f>IF(COUNTIFS(
    Final_backup!$B:$B, B8,
    Final_backup!$C:$C, C8,
    Final_backup!$D:$D, D8,
    Final_backup!$E:$E, E8
) = 0, "NO MATCH IN TARGET", "MATCHED")</f>
        <v>MATCHED</v>
      </c>
    </row>
    <row r="9" spans="1:7" ht="15" hidden="1" thickBot="1" x14ac:dyDescent="0.4">
      <c r="A9" s="5">
        <v>46237.768877314818</v>
      </c>
      <c r="B9" s="1" t="s">
        <v>10</v>
      </c>
      <c r="C9" s="1" t="s">
        <v>8</v>
      </c>
      <c r="D9" s="6">
        <v>10</v>
      </c>
      <c r="E9" s="7">
        <v>2632</v>
      </c>
      <c r="F9" s="1" t="s">
        <v>9</v>
      </c>
      <c r="G9" t="str">
        <f>IF(COUNTIFS(
    Final_backup!$B:$B, B9,
    Final_backup!$C:$C, C9,
    Final_backup!$D:$D, D9,
    Final_backup!$E:$E, E9
) = 0, "NO MATCH IN TARGET", "MATCHED")</f>
        <v>MATCHED</v>
      </c>
    </row>
    <row r="10" spans="1:7" ht="15" thickBot="1" x14ac:dyDescent="0.4">
      <c r="A10" s="3" t="s">
        <v>87</v>
      </c>
      <c r="B10" s="3" t="s">
        <v>70</v>
      </c>
      <c r="C10" s="3" t="s">
        <v>8</v>
      </c>
      <c r="D10" s="3">
        <v>15</v>
      </c>
      <c r="E10" s="4">
        <v>1186</v>
      </c>
      <c r="F10" s="3" t="s">
        <v>9</v>
      </c>
      <c r="G10" t="str">
        <f>IF(COUNTIFS(
    Final_backup!$B:$B, B10,
    Final_backup!$C:$C, C10,
    Final_backup!$D:$D, D10,
    Final_backup!$E:$E, E10
) = 0, "NO MATCH IN TARGET", "MATCHED")</f>
        <v>MATCHED</v>
      </c>
    </row>
    <row r="11" spans="1:7" ht="15" hidden="1" thickBot="1" x14ac:dyDescent="0.4">
      <c r="A11" s="5">
        <v>46234.687488425923</v>
      </c>
      <c r="B11" s="1" t="s">
        <v>55</v>
      </c>
      <c r="C11" s="1" t="s">
        <v>8</v>
      </c>
      <c r="D11" s="6">
        <v>10</v>
      </c>
      <c r="E11" s="7">
        <v>1056</v>
      </c>
      <c r="F11" s="1" t="s">
        <v>9</v>
      </c>
      <c r="G11" t="str">
        <f>IF(COUNTIFS(
    Final_backup!$B:$B, B11,
    Final_backup!$C:$C, C11,
    Final_backup!$D:$D, D11,
    Final_backup!$E:$E, E11
) = 0, "NO MATCH IN TARGET", "MATCHED")</f>
        <v>MATCHED</v>
      </c>
    </row>
    <row r="12" spans="1:7" ht="15" hidden="1" thickBot="1" x14ac:dyDescent="0.4">
      <c r="A12" s="3" t="s">
        <v>82</v>
      </c>
      <c r="B12" s="3" t="s">
        <v>55</v>
      </c>
      <c r="C12" s="3" t="s">
        <v>8</v>
      </c>
      <c r="D12" s="3">
        <v>10</v>
      </c>
      <c r="E12" s="4">
        <v>1056</v>
      </c>
      <c r="F12" s="3" t="s">
        <v>9</v>
      </c>
      <c r="G12" t="str">
        <f>IF(COUNTIFS(
    Final_backup!$B:$B, B12,
    Final_backup!$C:$C, C12,
    Final_backup!$D:$D, D12,
    Final_backup!$E:$E, E12
) = 0, "NO MATCH IN TARGET", "MATCHED")</f>
        <v>MATCHED</v>
      </c>
    </row>
    <row r="13" spans="1:7" ht="15" hidden="1" thickBot="1" x14ac:dyDescent="0.4">
      <c r="A13" s="5">
        <v>46237.768877314818</v>
      </c>
      <c r="B13" s="1" t="s">
        <v>40</v>
      </c>
      <c r="C13" s="1" t="s">
        <v>8</v>
      </c>
      <c r="D13" s="6">
        <v>67</v>
      </c>
      <c r="E13" s="7">
        <v>373</v>
      </c>
      <c r="F13" s="1" t="s">
        <v>9</v>
      </c>
      <c r="G13" t="str">
        <f>IF(COUNTIFS(
    Final_backup!$B:$B, B13,
    Final_backup!$C:$C, C13,
    Final_backup!$D:$D, D13,
    Final_backup!$E:$E, E13
) = 0, "NO MATCH IN TARGET", "MATCHED")</f>
        <v>MATCHED</v>
      </c>
    </row>
    <row r="14" spans="1:7" ht="15" hidden="1" thickBot="1" x14ac:dyDescent="0.4">
      <c r="A14" s="3" t="s">
        <v>88</v>
      </c>
      <c r="B14" s="3" t="s">
        <v>61</v>
      </c>
      <c r="C14" s="3" t="s">
        <v>8</v>
      </c>
      <c r="D14" s="3">
        <v>100</v>
      </c>
      <c r="E14" s="4">
        <v>238.2</v>
      </c>
      <c r="F14" s="3" t="s">
        <v>9</v>
      </c>
      <c r="G14" t="str">
        <f>IF(COUNTIFS(
    Final_backup!$B:$B, B14,
    Final_backup!$C:$C, C14,
    Final_backup!$D:$D, D14,
    Final_backup!$E:$E, E14
) = 0, "NO MATCH IN TARGET", "MATCHED")</f>
        <v>MATCHED</v>
      </c>
    </row>
    <row r="15" spans="1:7" ht="29.5" thickBot="1" x14ac:dyDescent="0.4">
      <c r="A15" s="5">
        <v>46234.687488425923</v>
      </c>
      <c r="B15" s="1" t="s">
        <v>32</v>
      </c>
      <c r="C15" s="1" t="s">
        <v>8</v>
      </c>
      <c r="D15" s="6">
        <v>40</v>
      </c>
      <c r="E15" s="7">
        <v>448</v>
      </c>
      <c r="F15" s="1" t="s">
        <v>9</v>
      </c>
      <c r="G15" t="str">
        <f>IF(COUNTIFS(
    Final_backup!$B:$B, B15,
    Final_backup!$C:$C, C15,
    Final_backup!$D:$D, D15,
    Final_backup!$E:$E, E15
) = 0, "NO MATCH IN TARGET", "MATCHED")</f>
        <v>MATCHED</v>
      </c>
    </row>
    <row r="16" spans="1:7" ht="15" thickBot="1" x14ac:dyDescent="0.4">
      <c r="A16" s="5">
        <v>46237.769016203703</v>
      </c>
      <c r="B16" s="1" t="s">
        <v>31</v>
      </c>
      <c r="C16" s="1" t="s">
        <v>8</v>
      </c>
      <c r="D16" s="6">
        <v>150</v>
      </c>
      <c r="E16" s="7">
        <v>134.80000000000001</v>
      </c>
      <c r="F16" s="1" t="s">
        <v>9</v>
      </c>
      <c r="G16" t="str">
        <f>IF(COUNTIFS(
    Final_backup!$B:$B, B16,
    Final_backup!$C:$C, C16,
    Final_backup!$D:$D, D16,
    Final_backup!$E:$E, E16
) = 0, "NO MATCH IN TARGET", "MATCHED")</f>
        <v>MATCHED</v>
      </c>
    </row>
    <row r="17" spans="1:7" ht="15" hidden="1" thickBot="1" x14ac:dyDescent="0.4">
      <c r="A17" s="5">
        <v>46237.690532407411</v>
      </c>
      <c r="B17" s="1" t="s">
        <v>10</v>
      </c>
      <c r="C17" s="1" t="s">
        <v>8</v>
      </c>
      <c r="D17" s="6">
        <v>10</v>
      </c>
      <c r="E17" s="7">
        <v>2648</v>
      </c>
      <c r="F17" s="1" t="s">
        <v>9</v>
      </c>
      <c r="G17" t="str">
        <f>IF(COUNTIFS(
    Final_backup!$B:$B, B17,
    Final_backup!$C:$C, C17,
    Final_backup!$D:$D, D17,
    Final_backup!$E:$E, E17
) = 0, "NO MATCH IN TARGET", "MATCHED")</f>
        <v>MATCHED</v>
      </c>
    </row>
    <row r="18" spans="1:7" ht="29.5" hidden="1" thickBot="1" x14ac:dyDescent="0.4">
      <c r="A18" s="5">
        <v>46237.769108796296</v>
      </c>
      <c r="B18" s="1" t="s">
        <v>35</v>
      </c>
      <c r="C18" s="1" t="s">
        <v>8</v>
      </c>
      <c r="D18" s="6">
        <v>120</v>
      </c>
      <c r="E18" s="7">
        <v>300.5</v>
      </c>
      <c r="F18" s="1" t="s">
        <v>9</v>
      </c>
      <c r="G18" t="str">
        <f>IF(COUNTIFS(
    Final_backup!$B:$B, B18,
    Final_backup!$C:$C, C18,
    Final_backup!$D:$D, D18,
    Final_backup!$E:$E, E18
) = 0, "NO MATCH IN TARGET", "MATCHED")</f>
        <v>MATCHED</v>
      </c>
    </row>
    <row r="19" spans="1:7" ht="15" hidden="1" thickBot="1" x14ac:dyDescent="0.4">
      <c r="A19" s="5">
        <v>46234.6875462963</v>
      </c>
      <c r="B19" s="1" t="s">
        <v>58</v>
      </c>
      <c r="C19" s="1" t="s">
        <v>8</v>
      </c>
      <c r="D19" s="6">
        <v>10</v>
      </c>
      <c r="E19" s="7">
        <v>1298</v>
      </c>
      <c r="F19" s="1" t="s">
        <v>9</v>
      </c>
      <c r="G19" t="str">
        <f>IF(COUNTIFS(
    Final_backup!$B:$B, B19,
    Final_backup!$C:$C, C19,
    Final_backup!$D:$D, D19,
    Final_backup!$E:$E, E19
) = 0, "NO MATCH IN TARGET", "MATCHED")</f>
        <v>MATCHED</v>
      </c>
    </row>
    <row r="20" spans="1:7" ht="15" hidden="1" thickBot="1" x14ac:dyDescent="0.4">
      <c r="A20" s="3" t="s">
        <v>88</v>
      </c>
      <c r="B20" s="3" t="s">
        <v>58</v>
      </c>
      <c r="C20" s="3" t="s">
        <v>8</v>
      </c>
      <c r="D20" s="3">
        <v>10</v>
      </c>
      <c r="E20" s="4">
        <v>1298</v>
      </c>
      <c r="F20" s="3" t="s">
        <v>9</v>
      </c>
      <c r="G20" t="str">
        <f>IF(COUNTIFS(
    Final_backup!$B:$B, B20,
    Final_backup!$C:$C, C20,
    Final_backup!$D:$D, D20,
    Final_backup!$E:$E, E20
) = 0, "NO MATCH IN TARGET", "MATCHED")</f>
        <v>MATCHED</v>
      </c>
    </row>
    <row r="21" spans="1:7" ht="29.5" hidden="1" thickBot="1" x14ac:dyDescent="0.4">
      <c r="A21" s="5">
        <v>46237.768969907411</v>
      </c>
      <c r="B21" s="1" t="s">
        <v>44</v>
      </c>
      <c r="C21" s="1" t="s">
        <v>8</v>
      </c>
      <c r="D21" s="6">
        <v>30</v>
      </c>
      <c r="E21" s="7">
        <v>948</v>
      </c>
      <c r="F21" s="1" t="s">
        <v>9</v>
      </c>
      <c r="G21" t="str">
        <f>IF(COUNTIFS(
    Final_backup!$B:$B, B21,
    Final_backup!$C:$C, C21,
    Final_backup!$D:$D, D21,
    Final_backup!$E:$E, E21
) = 0, "NO MATCH IN TARGET", "MATCHED")</f>
        <v>MATCHED</v>
      </c>
    </row>
    <row r="22" spans="1:7" ht="29.5" thickBot="1" x14ac:dyDescent="0.4">
      <c r="A22" s="5">
        <v>46237.690567129626</v>
      </c>
      <c r="B22" s="1" t="s">
        <v>25</v>
      </c>
      <c r="C22" s="1" t="s">
        <v>8</v>
      </c>
      <c r="D22" s="6">
        <v>2</v>
      </c>
      <c r="E22" s="7">
        <v>4720</v>
      </c>
      <c r="F22" s="1" t="s">
        <v>9</v>
      </c>
      <c r="G22" t="str">
        <f>IF(COUNTIFS(
    Final_backup!$B:$B, B22,
    Final_backup!$C:$C, C22,
    Final_backup!$D:$D, D22,
    Final_backup!$E:$E, E22
) = 0, "NO MATCH IN TARGET", "MATCHED")</f>
        <v>MATCHED</v>
      </c>
    </row>
    <row r="23" spans="1:7" ht="29.5" hidden="1" thickBot="1" x14ac:dyDescent="0.4">
      <c r="A23" s="5">
        <v>46234.687592592592</v>
      </c>
      <c r="B23" s="1" t="s">
        <v>52</v>
      </c>
      <c r="C23" s="1" t="s">
        <v>8</v>
      </c>
      <c r="D23" s="6">
        <v>10</v>
      </c>
      <c r="E23" s="7">
        <v>977</v>
      </c>
      <c r="F23" s="1" t="s">
        <v>9</v>
      </c>
      <c r="G23" t="str">
        <f>IF(COUNTIFS(
    Final_backup!$B:$B, B23,
    Final_backup!$C:$C, C23,
    Final_backup!$D:$D, D23,
    Final_backup!$E:$E, E23
) = 0, "NO MATCH IN TARGET", "MATCHED")</f>
        <v>MATCHED</v>
      </c>
    </row>
    <row r="24" spans="1:7" ht="15" hidden="1" thickBot="1" x14ac:dyDescent="0.4">
      <c r="A24" s="3" t="s">
        <v>89</v>
      </c>
      <c r="B24" s="3" t="s">
        <v>52</v>
      </c>
      <c r="C24" s="3" t="s">
        <v>8</v>
      </c>
      <c r="D24" s="3">
        <v>10</v>
      </c>
      <c r="E24" s="4">
        <v>977</v>
      </c>
      <c r="F24" s="3" t="s">
        <v>9</v>
      </c>
      <c r="G24" t="str">
        <f>IF(COUNTIFS(
    Final_backup!$B:$B, B24,
    Final_backup!$C:$C, C24,
    Final_backup!$D:$D, D24,
    Final_backup!$E:$E, E24
) = 0, "NO MATCH IN TARGET", "MATCHED")</f>
        <v>MATCHED</v>
      </c>
    </row>
    <row r="25" spans="1:7" ht="29.5" hidden="1" thickBot="1" x14ac:dyDescent="0.4">
      <c r="A25" s="5">
        <v>46237.769108796296</v>
      </c>
      <c r="B25" s="1" t="s">
        <v>36</v>
      </c>
      <c r="C25" s="1" t="s">
        <v>8</v>
      </c>
      <c r="D25" s="6">
        <v>50</v>
      </c>
      <c r="E25" s="7">
        <v>214</v>
      </c>
      <c r="F25" s="1" t="s">
        <v>9</v>
      </c>
      <c r="G25" t="str">
        <f>IF(COUNTIFS(
    Final_backup!$B:$B, B25,
    Final_backup!$C:$C, C25,
    Final_backup!$D:$D, D25,
    Final_backup!$E:$E, E25
) = 0, "NO MATCH IN TARGET", "MATCHED")</f>
        <v>MATCHED</v>
      </c>
    </row>
    <row r="26" spans="1:7" ht="15" hidden="1" thickBot="1" x14ac:dyDescent="0.4">
      <c r="A26" s="5">
        <v>46234.687650462962</v>
      </c>
      <c r="B26" s="1" t="s">
        <v>49</v>
      </c>
      <c r="C26" s="1" t="s">
        <v>8</v>
      </c>
      <c r="D26" s="6">
        <v>1</v>
      </c>
      <c r="E26" s="7">
        <v>3710</v>
      </c>
      <c r="F26" s="1" t="s">
        <v>9</v>
      </c>
      <c r="G26" t="str">
        <f>IF(COUNTIFS(
    Final_backup!$B:$B, B26,
    Final_backup!$C:$C, C26,
    Final_backup!$D:$D, D26,
    Final_backup!$E:$E, E26
) = 0, "NO MATCH IN TARGET", "MATCHED")</f>
        <v>MATCHED</v>
      </c>
    </row>
    <row r="27" spans="1:7" ht="15" hidden="1" thickBot="1" x14ac:dyDescent="0.4">
      <c r="A27" s="3" t="s">
        <v>90</v>
      </c>
      <c r="B27" s="3" t="s">
        <v>49</v>
      </c>
      <c r="C27" s="3" t="s">
        <v>8</v>
      </c>
      <c r="D27" s="3">
        <v>1</v>
      </c>
      <c r="E27" s="4">
        <v>3710</v>
      </c>
      <c r="F27" s="3" t="s">
        <v>9</v>
      </c>
      <c r="G27" t="str">
        <f>IF(COUNTIFS(
    Final_backup!$B:$B, B27,
    Final_backup!$C:$C, C27,
    Final_backup!$D:$D, D27,
    Final_backup!$E:$E, E27
) = 0, "NO MATCH IN TARGET", "MATCHED")</f>
        <v>MATCHED</v>
      </c>
    </row>
    <row r="28" spans="1:7" ht="29.5" hidden="1" thickBot="1" x14ac:dyDescent="0.4">
      <c r="A28" s="5">
        <v>46234.687557870369</v>
      </c>
      <c r="B28" s="1" t="s">
        <v>65</v>
      </c>
      <c r="C28" s="1" t="s">
        <v>8</v>
      </c>
      <c r="D28" s="6">
        <v>5</v>
      </c>
      <c r="E28" s="7">
        <v>886</v>
      </c>
      <c r="F28" s="1" t="s">
        <v>9</v>
      </c>
      <c r="G28" t="str">
        <f>IF(COUNTIFS(
    Final_backup!$B:$B, B28,
    Final_backup!$C:$C, C28,
    Final_backup!$D:$D, D28,
    Final_backup!$E:$E, E28
) = 0, "NO MATCH IN TARGET", "MATCHED")</f>
        <v>MATCHED</v>
      </c>
    </row>
    <row r="29" spans="1:7" ht="15" hidden="1" thickBot="1" x14ac:dyDescent="0.4">
      <c r="A29" s="3" t="s">
        <v>90</v>
      </c>
      <c r="B29" s="3" t="s">
        <v>65</v>
      </c>
      <c r="C29" s="3" t="s">
        <v>8</v>
      </c>
      <c r="D29" s="3">
        <v>5</v>
      </c>
      <c r="E29" s="4">
        <v>886</v>
      </c>
      <c r="F29" s="3" t="s">
        <v>9</v>
      </c>
      <c r="G29" t="str">
        <f>IF(COUNTIFS(
    Final_backup!$B:$B, B29,
    Final_backup!$C:$C, C29,
    Final_backup!$D:$D, D29,
    Final_backup!$E:$E, E29
) = 0, "NO MATCH IN TARGET", "MATCHED")</f>
        <v>MATCHED</v>
      </c>
    </row>
    <row r="30" spans="1:7" ht="29.5" hidden="1" thickBot="1" x14ac:dyDescent="0.4">
      <c r="A30" s="5">
        <v>46233.688287037039</v>
      </c>
      <c r="B30" s="8" t="s">
        <v>70</v>
      </c>
      <c r="C30" s="1" t="s">
        <v>8</v>
      </c>
      <c r="D30" s="6">
        <v>5</v>
      </c>
      <c r="E30" s="9">
        <v>1211</v>
      </c>
      <c r="F30" s="1" t="s">
        <v>9</v>
      </c>
      <c r="G30" t="str">
        <f>IF(COUNTIFS(
    Final_backup!$B:$B, B30,
    Final_backup!$C:$C, C30,
    Final_backup!$D:$D, D30,
    Final_backup!$E:$E, E30
) = 0, "NO MATCH IN TARGET", "MATCHED")</f>
        <v>MATCHED</v>
      </c>
    </row>
    <row r="31" spans="1:7" ht="15" hidden="1" thickBot="1" x14ac:dyDescent="0.4">
      <c r="A31" s="3" t="s">
        <v>91</v>
      </c>
      <c r="B31" s="3" t="s">
        <v>70</v>
      </c>
      <c r="C31" s="3" t="s">
        <v>8</v>
      </c>
      <c r="D31" s="3">
        <v>5</v>
      </c>
      <c r="E31" s="4">
        <v>1211</v>
      </c>
      <c r="F31" s="3" t="s">
        <v>9</v>
      </c>
      <c r="G31" t="str">
        <f>IF(COUNTIFS(
    Final_backup!$B:$B, B31,
    Final_backup!$C:$C, C31,
    Final_backup!$D:$D, D31,
    Final_backup!$E:$E, E31
) = 0, "NO MATCH IN TARGET", "MATCHED")</f>
        <v>MATCHED</v>
      </c>
    </row>
    <row r="32" spans="1:7" ht="15" thickBot="1" x14ac:dyDescent="0.4">
      <c r="A32" s="5">
        <v>46237.690532407411</v>
      </c>
      <c r="B32" s="1" t="s">
        <v>10</v>
      </c>
      <c r="C32" s="1" t="s">
        <v>8</v>
      </c>
      <c r="D32" s="6">
        <v>10</v>
      </c>
      <c r="E32" s="7">
        <v>2690</v>
      </c>
      <c r="F32" s="1" t="s">
        <v>9</v>
      </c>
      <c r="G32" t="str">
        <f>IF(COUNTIFS(
    Final_backup!$B:$B, B32,
    Final_backup!$C:$C, C32,
    Final_backup!$D:$D, D32,
    Final_backup!$E:$E, E32
) = 0, "NO MATCH IN TARGET", "MATCHED")</f>
        <v>MATCHED</v>
      </c>
    </row>
    <row r="33" spans="1:7" ht="29.5" thickBot="1" x14ac:dyDescent="0.4">
      <c r="A33" s="5">
        <v>46237.769108796296</v>
      </c>
      <c r="B33" s="1" t="s">
        <v>92</v>
      </c>
      <c r="C33" s="1" t="s">
        <v>8</v>
      </c>
      <c r="D33" s="6">
        <v>1</v>
      </c>
      <c r="E33" s="7">
        <v>2396</v>
      </c>
      <c r="F33" s="1" t="s">
        <v>9</v>
      </c>
      <c r="G33" t="str">
        <f>IF(COUNTIFS(
    Final_backup!$B:$B, B33,
    Final_backup!$C:$C, C33,
    Final_backup!$D:$D, D33,
    Final_backup!$E:$E, E33
) = 0, "NO MATCH IN TARGET", "MATCHED")</f>
        <v>MATCHED</v>
      </c>
    </row>
    <row r="34" spans="1:7" ht="29.5" hidden="1" thickBot="1" x14ac:dyDescent="0.4">
      <c r="A34" s="5">
        <v>46237.769108796296</v>
      </c>
      <c r="B34" s="1" t="s">
        <v>7</v>
      </c>
      <c r="C34" s="1" t="s">
        <v>8</v>
      </c>
      <c r="D34" s="6">
        <v>65</v>
      </c>
      <c r="E34" s="7">
        <v>219</v>
      </c>
      <c r="F34" s="1" t="s">
        <v>9</v>
      </c>
      <c r="G34" t="str">
        <f>IF(COUNTIFS(
    Final_backup!$B:$B, B34,
    Final_backup!$C:$C, C34,
    Final_backup!$D:$D, D34,
    Final_backup!$E:$E, E34
) = 0, "NO MATCH IN TARGET", "MATCHED")</f>
        <v>MATCHED</v>
      </c>
    </row>
    <row r="35" spans="1:7" ht="29.5" hidden="1" thickBot="1" x14ac:dyDescent="0.4">
      <c r="A35" s="5">
        <v>46234.687557870369</v>
      </c>
      <c r="B35" s="1" t="s">
        <v>69</v>
      </c>
      <c r="C35" s="1" t="s">
        <v>8</v>
      </c>
      <c r="D35" s="6">
        <v>2</v>
      </c>
      <c r="E35" s="7">
        <v>2690</v>
      </c>
      <c r="F35" s="1" t="s">
        <v>9</v>
      </c>
      <c r="G35" t="str">
        <f>IF(COUNTIFS(
    Final_backup!$B:$B, B35,
    Final_backup!$C:$C, C35,
    Final_backup!$D:$D, D35,
    Final_backup!$E:$E, E35
) = 0, "NO MATCH IN TARGET", "MATCHED")</f>
        <v>MATCHED</v>
      </c>
    </row>
    <row r="36" spans="1:7" ht="15" hidden="1" thickBot="1" x14ac:dyDescent="0.4">
      <c r="A36" s="3" t="s">
        <v>91</v>
      </c>
      <c r="B36" s="3" t="s">
        <v>69</v>
      </c>
      <c r="C36" s="3" t="s">
        <v>8</v>
      </c>
      <c r="D36" s="3">
        <v>2</v>
      </c>
      <c r="E36" s="4">
        <v>2690</v>
      </c>
      <c r="F36" s="3" t="s">
        <v>9</v>
      </c>
      <c r="G36" t="str">
        <f>IF(COUNTIFS(
    Final_backup!$B:$B, B36,
    Final_backup!$C:$C, C36,
    Final_backup!$D:$D, D36,
    Final_backup!$E:$E, E36
) = 0, "NO MATCH IN TARGET", "MATCHED")</f>
        <v>MATCHED</v>
      </c>
    </row>
    <row r="37" spans="1:7" ht="29.5" hidden="1" thickBot="1" x14ac:dyDescent="0.4">
      <c r="A37" s="5">
        <v>46234.687569444446</v>
      </c>
      <c r="B37" s="1" t="s">
        <v>80</v>
      </c>
      <c r="C37" s="1" t="s">
        <v>8</v>
      </c>
      <c r="D37" s="6">
        <v>11</v>
      </c>
      <c r="E37" s="7">
        <v>548</v>
      </c>
      <c r="F37" s="1" t="s">
        <v>9</v>
      </c>
      <c r="G37" t="str">
        <f>IF(COUNTIFS(
    Final_backup!$B:$B, B37,
    Final_backup!$C:$C, C37,
    Final_backup!$D:$D, D37,
    Final_backup!$E:$E, E37
) = 0, "NO MATCH IN TARGET", "MATCHED")</f>
        <v>MATCHED</v>
      </c>
    </row>
    <row r="38" spans="1:7" ht="15" hidden="1" thickBot="1" x14ac:dyDescent="0.4">
      <c r="A38" s="3" t="s">
        <v>93</v>
      </c>
      <c r="B38" s="3" t="s">
        <v>80</v>
      </c>
      <c r="C38" s="3" t="s">
        <v>8</v>
      </c>
      <c r="D38" s="3">
        <v>11</v>
      </c>
      <c r="E38" s="4">
        <v>548</v>
      </c>
      <c r="F38" s="3" t="s">
        <v>9</v>
      </c>
      <c r="G38" t="str">
        <f>IF(COUNTIFS(
    Final_backup!$B:$B, B38,
    Final_backup!$C:$C, C38,
    Final_backup!$D:$D, D38,
    Final_backup!$E:$E, E38
) = 0, "NO MATCH IN TARGET", "MATCHED")</f>
        <v>MATCHED</v>
      </c>
    </row>
    <row r="39" spans="1:7" ht="15" thickBot="1" x14ac:dyDescent="0.4">
      <c r="A39" s="5">
        <v>46234.687523148146</v>
      </c>
      <c r="B39" s="1" t="s">
        <v>56</v>
      </c>
      <c r="C39" s="1" t="s">
        <v>8</v>
      </c>
      <c r="D39" s="6">
        <v>20</v>
      </c>
      <c r="E39" s="7">
        <v>836</v>
      </c>
      <c r="F39" s="1" t="s">
        <v>9</v>
      </c>
      <c r="G39" t="str">
        <f>IF(COUNTIFS(
    Final_backup!$B:$B, B39,
    Final_backup!$C:$C, C39,
    Final_backup!$D:$D, D39,
    Final_backup!$E:$E, E39
) = 0, "NO MATCH IN TARGET", "MATCHED")</f>
        <v>NO MATCH IN TARGET</v>
      </c>
    </row>
    <row r="40" spans="1:7" ht="15" thickBot="1" x14ac:dyDescent="0.4">
      <c r="A40" s="3" t="s">
        <v>90</v>
      </c>
      <c r="B40" s="3" t="s">
        <v>56</v>
      </c>
      <c r="C40" s="3" t="s">
        <v>8</v>
      </c>
      <c r="D40" s="3">
        <v>20</v>
      </c>
      <c r="E40" s="4">
        <v>836</v>
      </c>
      <c r="F40" s="3" t="s">
        <v>9</v>
      </c>
      <c r="G40" t="str">
        <f>IF(COUNTIFS(
    Final_backup!$B:$B, B40,
    Final_backup!$C:$C, C40,
    Final_backup!$D:$D, D40,
    Final_backup!$E:$E, E40
) = 0, "NO MATCH IN TARGET", "MATCHED")</f>
        <v>NO MATCH IN TARGET</v>
      </c>
    </row>
    <row r="41" spans="1:7" ht="29.5" hidden="1" thickBot="1" x14ac:dyDescent="0.4">
      <c r="A41" s="5">
        <v>46233.688287037039</v>
      </c>
      <c r="B41" s="8" t="s">
        <v>70</v>
      </c>
      <c r="C41" s="1" t="s">
        <v>8</v>
      </c>
      <c r="D41" s="6">
        <v>10</v>
      </c>
      <c r="E41" s="9">
        <v>1221</v>
      </c>
      <c r="F41" s="1" t="s">
        <v>9</v>
      </c>
      <c r="G41" t="str">
        <f>IF(COUNTIFS(
    Final_backup!$B:$B, B41,
    Final_backup!$C:$C, C41,
    Final_backup!$D:$D, D41,
    Final_backup!$E:$E, E41
) = 0, "NO MATCH IN TARGET", "MATCHED")</f>
        <v>MATCHED</v>
      </c>
    </row>
    <row r="42" spans="1:7" ht="15" hidden="1" thickBot="1" x14ac:dyDescent="0.4">
      <c r="A42" s="3" t="s">
        <v>91</v>
      </c>
      <c r="B42" s="3" t="s">
        <v>70</v>
      </c>
      <c r="C42" s="3" t="s">
        <v>8</v>
      </c>
      <c r="D42" s="3">
        <v>10</v>
      </c>
      <c r="E42" s="4">
        <v>1221</v>
      </c>
      <c r="F42" s="3" t="s">
        <v>9</v>
      </c>
      <c r="G42" t="str">
        <f>IF(COUNTIFS(
    Final_backup!$B:$B, B42,
    Final_backup!$C:$C, C42,
    Final_backup!$D:$D, D42,
    Final_backup!$E:$E, E42
) = 0, "NO MATCH IN TARGET", "MATCHED")</f>
        <v>MATCHED</v>
      </c>
    </row>
    <row r="43" spans="1:7" ht="15" hidden="1" thickBot="1" x14ac:dyDescent="0.4">
      <c r="A43" s="5">
        <v>46233.688356481478</v>
      </c>
      <c r="B43" s="8" t="s">
        <v>58</v>
      </c>
      <c r="C43" s="1" t="s">
        <v>8</v>
      </c>
      <c r="D43" s="6">
        <v>10</v>
      </c>
      <c r="E43" s="9">
        <v>1324</v>
      </c>
      <c r="F43" s="1" t="s">
        <v>9</v>
      </c>
      <c r="G43" t="str">
        <f>IF(COUNTIFS(
    Final_backup!$B:$B, B43,
    Final_backup!$C:$C, C43,
    Final_backup!$D:$D, D43,
    Final_backup!$E:$E, E43
) = 0, "NO MATCH IN TARGET", "MATCHED")</f>
        <v>MATCHED</v>
      </c>
    </row>
    <row r="44" spans="1:7" ht="15" hidden="1" thickBot="1" x14ac:dyDescent="0.4">
      <c r="A44" s="3" t="s">
        <v>91</v>
      </c>
      <c r="B44" s="3" t="s">
        <v>58</v>
      </c>
      <c r="C44" s="3" t="s">
        <v>8</v>
      </c>
      <c r="D44" s="3">
        <v>10</v>
      </c>
      <c r="E44" s="4">
        <v>1324</v>
      </c>
      <c r="F44" s="3" t="s">
        <v>9</v>
      </c>
      <c r="G44" t="str">
        <f>IF(COUNTIFS(
    Final_backup!$B:$B, B44,
    Final_backup!$C:$C, C44,
    Final_backup!$D:$D, D44,
    Final_backup!$E:$E, E44
) = 0, "NO MATCH IN TARGET", "MATCHED")</f>
        <v>MATCHED</v>
      </c>
    </row>
    <row r="45" spans="1:7" ht="29.5" thickBot="1" x14ac:dyDescent="0.4">
      <c r="A45" s="10">
        <v>46233.688344907408</v>
      </c>
      <c r="B45" s="11" t="s">
        <v>65</v>
      </c>
      <c r="C45" s="2" t="s">
        <v>8</v>
      </c>
      <c r="D45" s="7">
        <v>45</v>
      </c>
      <c r="E45" s="9">
        <v>896</v>
      </c>
      <c r="F45" s="1" t="s">
        <v>9</v>
      </c>
      <c r="G45" t="str">
        <f>IF(COUNTIFS(
    Final_backup!$B:$B, B45,
    Final_backup!$C:$C, C45,
    Final_backup!$D:$D, D45,
    Final_backup!$E:$E, E45
) = 0, "NO MATCH IN TARGET", "MATCHED")</f>
        <v>NO MATCH IN TARGET</v>
      </c>
    </row>
    <row r="46" spans="1:7" ht="15" thickBot="1" x14ac:dyDescent="0.4">
      <c r="A46" s="3" t="s">
        <v>90</v>
      </c>
      <c r="B46" s="3" t="s">
        <v>65</v>
      </c>
      <c r="C46" s="3" t="s">
        <v>8</v>
      </c>
      <c r="D46" s="3">
        <v>45</v>
      </c>
      <c r="E46" s="4">
        <v>896</v>
      </c>
      <c r="F46" s="3" t="s">
        <v>9</v>
      </c>
      <c r="G46" t="str">
        <f>IF(COUNTIFS(
    Final_backup!$B:$B, B46,
    Final_backup!$C:$C, C46,
    Final_backup!$D:$D, D46,
    Final_backup!$E:$E, E46
) = 0, "NO MATCH IN TARGET", "MATCHED")</f>
        <v>NO MATCH IN TARGET</v>
      </c>
    </row>
    <row r="47" spans="1:7" ht="29.5" thickBot="1" x14ac:dyDescent="0.4">
      <c r="A47" s="5">
        <v>46233.688391203701</v>
      </c>
      <c r="B47" s="8" t="s">
        <v>69</v>
      </c>
      <c r="C47" s="1" t="s">
        <v>8</v>
      </c>
      <c r="D47" s="6">
        <v>3</v>
      </c>
      <c r="E47" s="9">
        <v>2710</v>
      </c>
      <c r="F47" s="1" t="s">
        <v>9</v>
      </c>
      <c r="G47" t="str">
        <f>IF(COUNTIFS(
    Final_backup!$B:$B, B47,
    Final_backup!$C:$C, C47,
    Final_backup!$D:$D, D47,
    Final_backup!$E:$E, E47
) = 0, "NO MATCH IN TARGET", "MATCHED")</f>
        <v>MATCHED</v>
      </c>
    </row>
    <row r="48" spans="1:7" ht="15" thickBot="1" x14ac:dyDescent="0.4">
      <c r="A48" s="3" t="s">
        <v>91</v>
      </c>
      <c r="B48" s="3" t="s">
        <v>69</v>
      </c>
      <c r="C48" s="3" t="s">
        <v>8</v>
      </c>
      <c r="D48" s="3">
        <v>3</v>
      </c>
      <c r="E48" s="4">
        <v>2710</v>
      </c>
      <c r="F48" s="3" t="s">
        <v>9</v>
      </c>
      <c r="G48" t="str">
        <f>IF(COUNTIFS(
    Final_backup!$B:$B, B48,
    Final_backup!$C:$C, C48,
    Final_backup!$D:$D, D48,
    Final_backup!$E:$E, E48
) = 0, "NO MATCH IN TARGET", "MATCHED")</f>
        <v>MATCHED</v>
      </c>
    </row>
    <row r="49" spans="1:7" ht="15" thickBot="1" x14ac:dyDescent="0.4">
      <c r="A49" s="5">
        <v>46237.690532407411</v>
      </c>
      <c r="B49" s="1" t="s">
        <v>10</v>
      </c>
      <c r="C49" s="1" t="s">
        <v>8</v>
      </c>
      <c r="D49" s="6">
        <v>10</v>
      </c>
      <c r="E49" s="7">
        <v>2720</v>
      </c>
      <c r="F49" s="1" t="s">
        <v>9</v>
      </c>
      <c r="G49" t="str">
        <f>IF(COUNTIFS(
    Final_backup!$B:$B, B49,
    Final_backup!$C:$C, C49,
    Final_backup!$D:$D, D49,
    Final_backup!$E:$E, E49
) = 0, "NO MATCH IN TARGET", "MATCHED")</f>
        <v>MATCHED</v>
      </c>
    </row>
    <row r="50" spans="1:7" ht="29.5" hidden="1" thickBot="1" x14ac:dyDescent="0.4">
      <c r="A50" s="5">
        <v>46234.687604166669</v>
      </c>
      <c r="B50" s="1" t="s">
        <v>52</v>
      </c>
      <c r="C50" s="1" t="s">
        <v>8</v>
      </c>
      <c r="D50" s="6">
        <v>10</v>
      </c>
      <c r="E50" s="7">
        <v>997</v>
      </c>
      <c r="F50" s="1" t="s">
        <v>9</v>
      </c>
      <c r="G50" t="str">
        <f>IF(COUNTIFS(
    Final_backup!$B:$B, B50,
    Final_backup!$C:$C, C50,
    Final_backup!$D:$D, D50,
    Final_backup!$E:$E, E50
) = 0, "NO MATCH IN TARGET", "MATCHED")</f>
        <v>MATCHED</v>
      </c>
    </row>
    <row r="51" spans="1:7" ht="15" hidden="1" thickBot="1" x14ac:dyDescent="0.4">
      <c r="A51" s="3" t="s">
        <v>89</v>
      </c>
      <c r="B51" s="3" t="s">
        <v>52</v>
      </c>
      <c r="C51" s="3" t="s">
        <v>8</v>
      </c>
      <c r="D51" s="3">
        <v>10</v>
      </c>
      <c r="E51" s="4">
        <v>997</v>
      </c>
      <c r="F51" s="3" t="s">
        <v>9</v>
      </c>
      <c r="G51" t="str">
        <f>IF(COUNTIFS(
    Final_backup!$B:$B, B51,
    Final_backup!$C:$C, C51,
    Final_backup!$D:$D, D51,
    Final_backup!$E:$E, E51
) = 0, "NO MATCH IN TARGET", "MATCHED")</f>
        <v>MATCHED</v>
      </c>
    </row>
    <row r="52" spans="1:7" ht="29.5" thickBot="1" x14ac:dyDescent="0.4">
      <c r="A52" s="5">
        <v>46237.769108796296</v>
      </c>
      <c r="B52" s="1" t="s">
        <v>36</v>
      </c>
      <c r="C52" s="1" t="s">
        <v>8</v>
      </c>
      <c r="D52" s="6">
        <v>50</v>
      </c>
      <c r="E52" s="7">
        <v>218</v>
      </c>
      <c r="F52" s="1" t="s">
        <v>9</v>
      </c>
      <c r="G52" t="str">
        <f>IF(COUNTIFS(
    Final_backup!$B:$B, B52,
    Final_backup!$C:$C, C52,
    Final_backup!$D:$D, D52,
    Final_backup!$E:$E, E52
) = 0, "NO MATCH IN TARGET", "MATCHED")</f>
        <v>MATCHED</v>
      </c>
    </row>
    <row r="53" spans="1:7" ht="29.5" hidden="1" thickBot="1" x14ac:dyDescent="0.4">
      <c r="A53" s="5">
        <v>46234.687534722223</v>
      </c>
      <c r="B53" s="1" t="s">
        <v>77</v>
      </c>
      <c r="C53" s="1" t="s">
        <v>8</v>
      </c>
      <c r="D53" s="6">
        <v>5</v>
      </c>
      <c r="E53" s="7">
        <v>790</v>
      </c>
      <c r="F53" s="1" t="s">
        <v>9</v>
      </c>
      <c r="G53" t="str">
        <f>IF(COUNTIFS(
    Final_backup!$B:$B, B53,
    Final_backup!$C:$C, C53,
    Final_backup!$D:$D, D53,
    Final_backup!$E:$E, E53
) = 0, "NO MATCH IN TARGET", "MATCHED")</f>
        <v>MATCHED</v>
      </c>
    </row>
    <row r="54" spans="1:7" ht="15" hidden="1" thickBot="1" x14ac:dyDescent="0.4">
      <c r="A54" s="3" t="s">
        <v>90</v>
      </c>
      <c r="B54" s="3" t="s">
        <v>77</v>
      </c>
      <c r="C54" s="3" t="s">
        <v>8</v>
      </c>
      <c r="D54" s="3">
        <v>5</v>
      </c>
      <c r="E54" s="4">
        <v>790</v>
      </c>
      <c r="F54" s="3" t="s">
        <v>9</v>
      </c>
      <c r="G54" t="str">
        <f>IF(COUNTIFS(
    Final_backup!$B:$B, B54,
    Final_backup!$C:$C, C54,
    Final_backup!$D:$D, D54,
    Final_backup!$E:$E, E54
) = 0, "NO MATCH IN TARGET", "MATCHED")</f>
        <v>MATCHED</v>
      </c>
    </row>
    <row r="55" spans="1:7" ht="29.5" thickBot="1" x14ac:dyDescent="0.4">
      <c r="A55" s="5">
        <v>46237.769108796296</v>
      </c>
      <c r="B55" s="1" t="s">
        <v>44</v>
      </c>
      <c r="C55" s="1" t="s">
        <v>8</v>
      </c>
      <c r="D55" s="6">
        <v>30</v>
      </c>
      <c r="E55" s="7">
        <v>974</v>
      </c>
      <c r="F55" s="1" t="s">
        <v>9</v>
      </c>
      <c r="G55" t="str">
        <f>IF(COUNTIFS(
    Final_backup!$B:$B, B55,
    Final_backup!$C:$C, C55,
    Final_backup!$D:$D, D55,
    Final_backup!$E:$E, E55
) = 0, "NO MATCH IN TARGET", "MATCHED")</f>
        <v>MATCHED</v>
      </c>
    </row>
    <row r="56" spans="1:7" ht="29.5" thickBot="1" x14ac:dyDescent="0.4">
      <c r="A56" s="5">
        <v>46237.769108796296</v>
      </c>
      <c r="B56" s="1" t="s">
        <v>94</v>
      </c>
      <c r="C56" s="1" t="s">
        <v>8</v>
      </c>
      <c r="D56" s="6">
        <v>5</v>
      </c>
      <c r="E56" s="7">
        <v>469</v>
      </c>
      <c r="F56" s="1" t="s">
        <v>9</v>
      </c>
      <c r="G56" t="str">
        <f>IF(COUNTIFS(
    Final_backup!$B:$B, B56,
    Final_backup!$C:$C, C56,
    Final_backup!$D:$D, D56,
    Final_backup!$E:$E, E56
) = 0, "NO MATCH IN TARGET", "MATCHED")</f>
        <v>MATCHED</v>
      </c>
    </row>
    <row r="57" spans="1:7" ht="29.5" hidden="1" thickBot="1" x14ac:dyDescent="0.4">
      <c r="A57" s="5">
        <v>46237.769108796296</v>
      </c>
      <c r="B57" s="1" t="s">
        <v>35</v>
      </c>
      <c r="C57" s="1" t="s">
        <v>8</v>
      </c>
      <c r="D57" s="6">
        <v>100</v>
      </c>
      <c r="E57" s="7">
        <v>310.5</v>
      </c>
      <c r="F57" s="1" t="s">
        <v>9</v>
      </c>
      <c r="G57" t="str">
        <f>IF(COUNTIFS(
    Final_backup!$B:$B, B57,
    Final_backup!$C:$C, C57,
    Final_backup!$D:$D, D57,
    Final_backup!$E:$E, E57
) = 0, "NO MATCH IN TARGET", "MATCHED")</f>
        <v>MATCHED</v>
      </c>
    </row>
    <row r="58" spans="1:7" ht="15" thickBot="1" x14ac:dyDescent="0.4">
      <c r="A58" s="5">
        <v>46234.687638888892</v>
      </c>
      <c r="B58" s="1" t="s">
        <v>49</v>
      </c>
      <c r="C58" s="1" t="s">
        <v>8</v>
      </c>
      <c r="D58" s="6">
        <v>1</v>
      </c>
      <c r="E58" s="7">
        <v>3804</v>
      </c>
      <c r="F58" s="1" t="s">
        <v>9</v>
      </c>
      <c r="G58" t="str">
        <f>IF(COUNTIFS(
    Final_backup!$B:$B, B58,
    Final_backup!$C:$C, C58,
    Final_backup!$D:$D, D58,
    Final_backup!$E:$E, E58
) = 0, "NO MATCH IN TARGET", "MATCHED")</f>
        <v>NO MATCH IN TARGET</v>
      </c>
    </row>
    <row r="59" spans="1:7" ht="15" thickBot="1" x14ac:dyDescent="0.4">
      <c r="A59" s="3" t="s">
        <v>90</v>
      </c>
      <c r="B59" s="3" t="s">
        <v>49</v>
      </c>
      <c r="C59" s="3" t="s">
        <v>8</v>
      </c>
      <c r="D59" s="3">
        <v>1</v>
      </c>
      <c r="E59" s="4">
        <v>3804</v>
      </c>
      <c r="F59" s="3" t="s">
        <v>9</v>
      </c>
      <c r="G59" t="str">
        <f>IF(COUNTIFS(
    Final_backup!$B:$B, B59,
    Final_backup!$C:$C, C59,
    Final_backup!$D:$D, D59,
    Final_backup!$E:$E, E59
) = 0, "NO MATCH IN TARGET", "MATCHED")</f>
        <v>NO MATCH IN TARGET</v>
      </c>
    </row>
    <row r="60" spans="1:7" ht="29.5" thickBot="1" x14ac:dyDescent="0.4">
      <c r="A60" s="5">
        <v>46233.688310185185</v>
      </c>
      <c r="B60" s="8" t="s">
        <v>32</v>
      </c>
      <c r="C60" s="1" t="s">
        <v>8</v>
      </c>
      <c r="D60" s="6">
        <v>5</v>
      </c>
      <c r="E60" s="9">
        <v>467.25</v>
      </c>
      <c r="F60" s="1" t="s">
        <v>9</v>
      </c>
      <c r="G60" t="str">
        <f>IF(COUNTIFS(
    Final_backup!$B:$B, B60,
    Final_backup!$C:$C, C60,
    Final_backup!$D:$D, D60,
    Final_backup!$E:$E, E60
) = 0, "NO MATCH IN TARGET", "MATCHED")</f>
        <v>MATCHED</v>
      </c>
    </row>
    <row r="61" spans="1:7" ht="29.5" hidden="1" thickBot="1" x14ac:dyDescent="0.4">
      <c r="A61" s="5">
        <v>46237.769108796296</v>
      </c>
      <c r="B61" s="1" t="s">
        <v>44</v>
      </c>
      <c r="C61" s="1" t="s">
        <v>8</v>
      </c>
      <c r="D61" s="6">
        <v>5</v>
      </c>
      <c r="E61" s="7">
        <v>986</v>
      </c>
      <c r="F61" s="1" t="s">
        <v>9</v>
      </c>
      <c r="G61" t="str">
        <f>IF(COUNTIFS(
    Final_backup!$B:$B, B61,
    Final_backup!$C:$C, C61,
    Final_backup!$D:$D, D61,
    Final_backup!$E:$E, E61
) = 0, "NO MATCH IN TARGET", "MATCHED")</f>
        <v>MATCHED</v>
      </c>
    </row>
    <row r="62" spans="1:7" ht="15" thickBot="1" x14ac:dyDescent="0.4">
      <c r="A62" s="5">
        <v>46237.690532407411</v>
      </c>
      <c r="B62" s="1" t="s">
        <v>10</v>
      </c>
      <c r="C62" s="1" t="s">
        <v>8</v>
      </c>
      <c r="D62" s="6">
        <v>10</v>
      </c>
      <c r="E62" s="7">
        <v>2770</v>
      </c>
      <c r="F62" s="1" t="s">
        <v>9</v>
      </c>
      <c r="G62" t="str">
        <f>IF(COUNTIFS(
    Final_backup!$B:$B, B62,
    Final_backup!$C:$C, C62,
    Final_backup!$D:$D, D62,
    Final_backup!$E:$E, E62
) = 0, "NO MATCH IN TARGET", "MATCHED")</f>
        <v>MATCHED</v>
      </c>
    </row>
    <row r="63" spans="1:7" ht="29.5" thickBot="1" x14ac:dyDescent="0.4">
      <c r="A63" s="5">
        <v>46234.687476851854</v>
      </c>
      <c r="B63" s="1" t="s">
        <v>35</v>
      </c>
      <c r="C63" s="1" t="s">
        <v>8</v>
      </c>
      <c r="D63" s="6">
        <v>100</v>
      </c>
      <c r="E63" s="7">
        <v>314</v>
      </c>
      <c r="F63" s="1" t="s">
        <v>9</v>
      </c>
      <c r="G63" t="str">
        <f>IF(COUNTIFS(
    Final_backup!$B:$B, B63,
    Final_backup!$C:$C, C63,
    Final_backup!$D:$D, D63,
    Final_backup!$E:$E, E63
) = 0, "NO MATCH IN TARGET", "MATCHED")</f>
        <v>MATCHED</v>
      </c>
    </row>
    <row r="64" spans="1:7" ht="15" thickBot="1" x14ac:dyDescent="0.4">
      <c r="A64" s="5">
        <v>46233.688460648147</v>
      </c>
      <c r="B64" s="8" t="s">
        <v>79</v>
      </c>
      <c r="C64" s="1" t="s">
        <v>8</v>
      </c>
      <c r="D64" s="6">
        <v>7</v>
      </c>
      <c r="E64" s="9">
        <v>1424</v>
      </c>
      <c r="F64" s="1" t="s">
        <v>9</v>
      </c>
      <c r="G64" t="str">
        <f>IF(COUNTIFS(
    Final_backup!$B:$B, B64,
    Final_backup!$C:$C, C64,
    Final_backup!$D:$D, D64,
    Final_backup!$E:$E, E64
) = 0, "NO MATCH IN TARGET", "MATCHED")</f>
        <v>MATCHED</v>
      </c>
    </row>
    <row r="65" spans="1:7" ht="15" thickBot="1" x14ac:dyDescent="0.4">
      <c r="A65" s="3" t="s">
        <v>90</v>
      </c>
      <c r="B65" s="3" t="s">
        <v>79</v>
      </c>
      <c r="C65" s="3" t="s">
        <v>8</v>
      </c>
      <c r="D65" s="3">
        <v>7</v>
      </c>
      <c r="E65" s="4">
        <v>1424</v>
      </c>
      <c r="F65" s="3" t="s">
        <v>9</v>
      </c>
      <c r="G65" t="str">
        <f>IF(COUNTIFS(
    Final_backup!$B:$B, B65,
    Final_backup!$C:$C, C65,
    Final_backup!$D:$D, D65,
    Final_backup!$E:$E, E65
) = 0, "NO MATCH IN TARGET", "MATCHED")</f>
        <v>MATCHED</v>
      </c>
    </row>
    <row r="66" spans="1:7" ht="15" hidden="1" thickBot="1" x14ac:dyDescent="0.4">
      <c r="A66" s="5">
        <v>46234.687662037039</v>
      </c>
      <c r="B66" s="1" t="s">
        <v>81</v>
      </c>
      <c r="C66" s="1" t="s">
        <v>8</v>
      </c>
      <c r="D66" s="6">
        <v>50</v>
      </c>
      <c r="E66" s="7">
        <v>480</v>
      </c>
      <c r="F66" s="1" t="s">
        <v>9</v>
      </c>
      <c r="G66" t="str">
        <f>IF(COUNTIFS(
    Final_backup!$B:$B, B66,
    Final_backup!$C:$C, C66,
    Final_backup!$D:$D, D66,
    Final_backup!$E:$E, E66
) = 0, "NO MATCH IN TARGET", "MATCHED")</f>
        <v>MATCHED</v>
      </c>
    </row>
    <row r="67" spans="1:7" ht="15" hidden="1" thickBot="1" x14ac:dyDescent="0.4">
      <c r="A67" s="3" t="s">
        <v>90</v>
      </c>
      <c r="B67" s="3" t="s">
        <v>81</v>
      </c>
      <c r="C67" s="3" t="s">
        <v>8</v>
      </c>
      <c r="D67" s="3">
        <v>50</v>
      </c>
      <c r="E67" s="4">
        <v>480</v>
      </c>
      <c r="F67" s="3" t="s">
        <v>9</v>
      </c>
      <c r="G67" t="str">
        <f>IF(COUNTIFS(
    Final_backup!$B:$B, B67,
    Final_backup!$C:$C, C67,
    Final_backup!$D:$D, D67,
    Final_backup!$E:$E, E67
) = 0, "NO MATCH IN TARGET", "MATCHED")</f>
        <v>MATCHED</v>
      </c>
    </row>
    <row r="68" spans="1:7" ht="29.5" thickBot="1" x14ac:dyDescent="0.4">
      <c r="A68" s="5">
        <v>46237.769062500003</v>
      </c>
      <c r="B68" s="1" t="s">
        <v>28</v>
      </c>
      <c r="C68" s="1" t="s">
        <v>8</v>
      </c>
      <c r="D68" s="6">
        <v>25</v>
      </c>
      <c r="E68" s="7">
        <v>214</v>
      </c>
      <c r="F68" s="1" t="s">
        <v>9</v>
      </c>
      <c r="G68" t="str">
        <f>IF(COUNTIFS(
    Final_backup!$B:$B, B68,
    Final_backup!$C:$C, C68,
    Final_backup!$D:$D, D68,
    Final_backup!$E:$E, E68
) = 0, "NO MATCH IN TARGET", "MATCHED")</f>
        <v>MATCHED</v>
      </c>
    </row>
    <row r="69" spans="1:7" ht="29.5" thickBot="1" x14ac:dyDescent="0.4">
      <c r="A69" s="5">
        <v>46233.688530092593</v>
      </c>
      <c r="B69" s="8" t="s">
        <v>44</v>
      </c>
      <c r="C69" s="1" t="s">
        <v>8</v>
      </c>
      <c r="D69" s="6">
        <v>40</v>
      </c>
      <c r="E69" s="9">
        <v>996</v>
      </c>
      <c r="F69" s="1" t="s">
        <v>9</v>
      </c>
      <c r="G69" t="str">
        <f>IF(COUNTIFS(
    Final_backup!$B:$B, B69,
    Final_backup!$C:$C, C69,
    Final_backup!$D:$D, D69,
    Final_backup!$E:$E, E69
) = 0, "NO MATCH IN TARGET", "MATCHED")</f>
        <v>MATCHED</v>
      </c>
    </row>
    <row r="70" spans="1:7" ht="29.5" thickBot="1" x14ac:dyDescent="0.4">
      <c r="A70" s="5">
        <v>46233.688402777778</v>
      </c>
      <c r="B70" s="8" t="s">
        <v>52</v>
      </c>
      <c r="C70" s="1" t="s">
        <v>8</v>
      </c>
      <c r="D70" s="6">
        <v>10</v>
      </c>
      <c r="E70" s="9">
        <v>1024</v>
      </c>
      <c r="F70" s="1" t="s">
        <v>9</v>
      </c>
      <c r="G70" t="str">
        <f>IF(COUNTIFS(
    Final_backup!$B:$B, B70,
    Final_backup!$C:$C, C70,
    Final_backup!$D:$D, D70,
    Final_backup!$E:$E, E70
) = 0, "NO MATCH IN TARGET", "MATCHED")</f>
        <v>MATCHED</v>
      </c>
    </row>
    <row r="71" spans="1:7" ht="15" thickBot="1" x14ac:dyDescent="0.4">
      <c r="A71" s="3" t="s">
        <v>89</v>
      </c>
      <c r="B71" s="3" t="s">
        <v>52</v>
      </c>
      <c r="C71" s="3" t="s">
        <v>8</v>
      </c>
      <c r="D71" s="3">
        <v>10</v>
      </c>
      <c r="E71" s="4">
        <v>1024</v>
      </c>
      <c r="F71" s="3" t="s">
        <v>9</v>
      </c>
      <c r="G71" t="str">
        <f>IF(COUNTIFS(
    Final_backup!$B:$B, B71,
    Final_backup!$C:$C, C71,
    Final_backup!$D:$D, D71,
    Final_backup!$E:$E, E71
) = 0, "NO MATCH IN TARGET", "MATCHED")</f>
        <v>MATCHED</v>
      </c>
    </row>
    <row r="72" spans="1:7" ht="29.5" thickBot="1" x14ac:dyDescent="0.4">
      <c r="A72" s="5">
        <v>46237.690555555557</v>
      </c>
      <c r="B72" s="1" t="s">
        <v>92</v>
      </c>
      <c r="C72" s="1" t="s">
        <v>8</v>
      </c>
      <c r="D72" s="6">
        <v>1</v>
      </c>
      <c r="E72" s="7">
        <v>2496</v>
      </c>
      <c r="F72" s="1" t="s">
        <v>9</v>
      </c>
      <c r="G72" t="str">
        <f>IF(COUNTIFS(
    Final_backup!$B:$B, B72,
    Final_backup!$C:$C, C72,
    Final_backup!$D:$D, D72,
    Final_backup!$E:$E, E72
) = 0, "NO MATCH IN TARGET", "MATCHED")</f>
        <v>MATCHED</v>
      </c>
    </row>
    <row r="73" spans="1:7" ht="29.5" hidden="1" thickBot="1" x14ac:dyDescent="0.4">
      <c r="A73" s="5">
        <v>46237.769108796296</v>
      </c>
      <c r="B73" s="1" t="s">
        <v>44</v>
      </c>
      <c r="C73" s="1" t="s">
        <v>8</v>
      </c>
      <c r="D73" s="6">
        <v>5</v>
      </c>
      <c r="E73" s="7">
        <v>1002</v>
      </c>
      <c r="F73" s="1" t="s">
        <v>9</v>
      </c>
      <c r="G73" t="str">
        <f>IF(COUNTIFS(
    Final_backup!$B:$B, B73,
    Final_backup!$C:$C, C73,
    Final_backup!$D:$D, D73,
    Final_backup!$E:$E, E73
) = 0, "NO MATCH IN TARGET", "MATCHED")</f>
        <v>MATCHED</v>
      </c>
    </row>
    <row r="74" spans="1:7" ht="29.5" thickBot="1" x14ac:dyDescent="0.4">
      <c r="A74" s="5">
        <v>46233.688460648147</v>
      </c>
      <c r="B74" s="8" t="s">
        <v>7</v>
      </c>
      <c r="C74" s="1" t="s">
        <v>8</v>
      </c>
      <c r="D74" s="6">
        <v>40</v>
      </c>
      <c r="E74" s="9">
        <v>229</v>
      </c>
      <c r="F74" s="1" t="s">
        <v>9</v>
      </c>
      <c r="G74" t="str">
        <f>IF(COUNTIFS(
    Final_backup!$B:$B, B74,
    Final_backup!$C:$C, C74,
    Final_backup!$D:$D, D74,
    Final_backup!$E:$E, E74
) = 0, "NO MATCH IN TARGET", "MATCHED")</f>
        <v>MATCHED</v>
      </c>
    </row>
    <row r="75" spans="1:7" ht="15" thickBot="1" x14ac:dyDescent="0.4">
      <c r="A75" s="5">
        <v>46233.688344907408</v>
      </c>
      <c r="B75" s="8" t="s">
        <v>95</v>
      </c>
      <c r="C75" s="1" t="s">
        <v>8</v>
      </c>
      <c r="D75" s="6">
        <v>20</v>
      </c>
      <c r="E75" s="9">
        <v>424</v>
      </c>
      <c r="F75" s="1" t="s">
        <v>9</v>
      </c>
      <c r="G75" t="str">
        <f>IF(COUNTIFS(
    Final_backup!$B:$B, B75,
    Final_backup!$C:$C, C75,
    Final_backup!$D:$D, D75,
    Final_backup!$E:$E, E75
) = 0, "NO MATCH IN TARGET", "MATCHED")</f>
        <v>MATCHED</v>
      </c>
    </row>
    <row r="76" spans="1:7" ht="29.5" thickBot="1" x14ac:dyDescent="0.4">
      <c r="A76" s="5">
        <v>46234.687476851854</v>
      </c>
      <c r="B76" s="1" t="s">
        <v>35</v>
      </c>
      <c r="C76" s="1" t="s">
        <v>8</v>
      </c>
      <c r="D76" s="6">
        <v>100</v>
      </c>
      <c r="E76" s="7">
        <v>319</v>
      </c>
      <c r="F76" s="1" t="s">
        <v>9</v>
      </c>
      <c r="G76" t="str">
        <f>IF(COUNTIFS(
    Final_backup!$B:$B, B76,
    Final_backup!$C:$C, C76,
    Final_backup!$D:$D, D76,
    Final_backup!$E:$E, E76
) = 0, "NO MATCH IN TARGET", "MATCHED")</f>
        <v>MATCHED</v>
      </c>
    </row>
    <row r="77" spans="1:7" ht="29.5" thickBot="1" x14ac:dyDescent="0.4">
      <c r="A77" s="5">
        <v>46234.687476851854</v>
      </c>
      <c r="B77" s="1" t="s">
        <v>35</v>
      </c>
      <c r="C77" s="1" t="s">
        <v>8</v>
      </c>
      <c r="D77" s="6">
        <v>150</v>
      </c>
      <c r="E77" s="7">
        <v>323</v>
      </c>
      <c r="F77" s="1" t="s">
        <v>9</v>
      </c>
      <c r="G77" t="str">
        <f>IF(COUNTIFS(
    Final_backup!$B:$B, B77,
    Final_backup!$C:$C, C77,
    Final_backup!$D:$D, D77,
    Final_backup!$E:$E, E77
) = 0, "NO MATCH IN TARGET", "MATCHED")</f>
        <v>MATCHED</v>
      </c>
    </row>
    <row r="78" spans="1:7" ht="15" thickBot="1" x14ac:dyDescent="0.4">
      <c r="A78" s="5">
        <v>46234.687673611108</v>
      </c>
      <c r="B78" s="1" t="s">
        <v>81</v>
      </c>
      <c r="C78" s="1" t="s">
        <v>8</v>
      </c>
      <c r="D78" s="6">
        <v>35</v>
      </c>
      <c r="E78" s="7">
        <v>494</v>
      </c>
      <c r="F78" s="1" t="s">
        <v>9</v>
      </c>
      <c r="G78" t="str">
        <f>IF(COUNTIFS(
    Final_backup!$B:$B, B78,
    Final_backup!$C:$C, C78,
    Final_backup!$D:$D, D78,
    Final_backup!$E:$E, E78
) = 0, "NO MATCH IN TARGET", "MATCHED")</f>
        <v>MATCHED</v>
      </c>
    </row>
    <row r="79" spans="1:7" ht="29.5" thickBot="1" x14ac:dyDescent="0.4">
      <c r="A79" s="5">
        <v>46237.769108796296</v>
      </c>
      <c r="B79" s="1" t="s">
        <v>34</v>
      </c>
      <c r="C79" s="1" t="s">
        <v>8</v>
      </c>
      <c r="D79" s="6">
        <v>5</v>
      </c>
      <c r="E79" s="7">
        <v>435</v>
      </c>
      <c r="F79" s="1" t="s">
        <v>9</v>
      </c>
      <c r="G79" t="str">
        <f>IF(COUNTIFS(
    Final_backup!$B:$B, B79,
    Final_backup!$C:$C, C79,
    Final_backup!$D:$D, D79,
    Final_backup!$E:$E, E79
) = 0, "NO MATCH IN TARGET", "MATCHED")</f>
        <v>MATCHED</v>
      </c>
    </row>
    <row r="80" spans="1:7" ht="29.5" hidden="1" thickBot="1" x14ac:dyDescent="0.4">
      <c r="A80" s="5">
        <v>46237.769108796296</v>
      </c>
      <c r="B80" s="1" t="s">
        <v>38</v>
      </c>
      <c r="C80" s="1" t="s">
        <v>11</v>
      </c>
      <c r="D80" s="6">
        <v>10</v>
      </c>
      <c r="E80" s="6">
        <v>701</v>
      </c>
      <c r="F80" s="1" t="s">
        <v>9</v>
      </c>
      <c r="G80" t="str">
        <f>IF(COUNTIFS(
    Final_backup!$B:$B, B80,
    Final_backup!$C:$C, C80,
    Final_backup!$D:$D, D80,
    Final_backup!$E:$E, E80
) = 0, "NO MATCH IN TARGET", "MATCHED")</f>
        <v>MATCHED</v>
      </c>
    </row>
    <row r="81" spans="1:7" ht="29.5" thickBot="1" x14ac:dyDescent="0.4">
      <c r="A81" s="5">
        <v>46237.690613425926</v>
      </c>
      <c r="B81" s="1" t="s">
        <v>7</v>
      </c>
      <c r="C81" s="1" t="s">
        <v>11</v>
      </c>
      <c r="D81" s="6">
        <v>100</v>
      </c>
      <c r="E81" s="6">
        <v>208</v>
      </c>
      <c r="F81" s="1" t="s">
        <v>9</v>
      </c>
      <c r="G81" t="str">
        <f>IF(COUNTIFS(
    Final_backup!$B:$B, B81,
    Final_backup!$C:$C, C81,
    Final_backup!$D:$D, D81,
    Final_backup!$E:$E, E81
) = 0, "NO MATCH IN TARGET", "MATCHED")</f>
        <v>MATCHED</v>
      </c>
    </row>
    <row r="82" spans="1:7" ht="15" thickBot="1" x14ac:dyDescent="0.4">
      <c r="A82" s="5">
        <v>46237.769120370373</v>
      </c>
      <c r="B82" s="1" t="s">
        <v>10</v>
      </c>
      <c r="C82" s="1" t="s">
        <v>11</v>
      </c>
      <c r="D82" s="6">
        <v>10</v>
      </c>
      <c r="E82" s="6">
        <v>2553</v>
      </c>
      <c r="F82" s="1" t="s">
        <v>9</v>
      </c>
      <c r="G82" t="str">
        <f>IF(COUNTIFS(
    Final_backup!$B:$B, B82,
    Final_backup!$C:$C, C82,
    Final_backup!$D:$D, D82,
    Final_backup!$E:$E, E82
) = 0, "NO MATCH IN TARGET", "MATCHED")</f>
        <v>MATCHED</v>
      </c>
    </row>
    <row r="83" spans="1:7" ht="15" hidden="1" thickBot="1" x14ac:dyDescent="0.4">
      <c r="A83" s="3" t="s">
        <v>83</v>
      </c>
      <c r="B83" s="3" t="s">
        <v>61</v>
      </c>
      <c r="C83" s="3" t="s">
        <v>11</v>
      </c>
      <c r="D83" s="3">
        <v>200</v>
      </c>
      <c r="E83" s="3">
        <v>230.1</v>
      </c>
      <c r="F83" s="3" t="s">
        <v>9</v>
      </c>
      <c r="G83" t="str">
        <f>IF(COUNTIFS(
    Final_backup!$B:$B, B83,
    Final_backup!$C:$C, C83,
    Final_backup!$D:$D, D83,
    Final_backup!$E:$E, E83
) = 0, "NO MATCH IN TARGET", "MATCHED")</f>
        <v>MATCHED</v>
      </c>
    </row>
    <row r="84" spans="1:7" ht="15" hidden="1" thickBot="1" x14ac:dyDescent="0.4">
      <c r="A84" s="3" t="s">
        <v>96</v>
      </c>
      <c r="B84" s="3" t="s">
        <v>47</v>
      </c>
      <c r="C84" s="3" t="s">
        <v>11</v>
      </c>
      <c r="D84" s="3">
        <v>5</v>
      </c>
      <c r="E84" s="3">
        <v>3938</v>
      </c>
      <c r="F84" s="3" t="s">
        <v>9</v>
      </c>
      <c r="G84" t="str">
        <f>IF(COUNTIFS(
    Final_backup!$B:$B, B84,
    Final_backup!$C:$C, C84,
    Final_backup!$D:$D, D84,
    Final_backup!$E:$E, E84
) = 0, "NO MATCH IN TARGET", "MATCHED")</f>
        <v>MATCHED</v>
      </c>
    </row>
    <row r="85" spans="1:7" ht="15" hidden="1" thickBot="1" x14ac:dyDescent="0.4">
      <c r="A85" s="5">
        <v>46234.687650462962</v>
      </c>
      <c r="B85" s="1" t="s">
        <v>79</v>
      </c>
      <c r="C85" s="1" t="s">
        <v>11</v>
      </c>
      <c r="D85" s="6">
        <v>3</v>
      </c>
      <c r="E85" s="6">
        <v>1302</v>
      </c>
      <c r="F85" s="1" t="s">
        <v>9</v>
      </c>
      <c r="G85" t="str">
        <f>IF(COUNTIFS(
    Final_backup!$B:$B, B85,
    Final_backup!$C:$C, C85,
    Final_backup!$D:$D, D85,
    Final_backup!$E:$E, E85
) = 0, "NO MATCH IN TARGET", "MATCHED")</f>
        <v>MATCHED</v>
      </c>
    </row>
    <row r="86" spans="1:7" ht="15" hidden="1" thickBot="1" x14ac:dyDescent="0.4">
      <c r="A86" s="3" t="s">
        <v>97</v>
      </c>
      <c r="B86" s="3" t="s">
        <v>79</v>
      </c>
      <c r="C86" s="3" t="s">
        <v>11</v>
      </c>
      <c r="D86" s="3">
        <v>3</v>
      </c>
      <c r="E86" s="3">
        <v>1302</v>
      </c>
      <c r="F86" s="3" t="s">
        <v>9</v>
      </c>
      <c r="G86" t="str">
        <f>IF(COUNTIFS(
    Final_backup!$B:$B, B86,
    Final_backup!$C:$C, C86,
    Final_backup!$D:$D, D86,
    Final_backup!$E:$E, E86
) = 0, "NO MATCH IN TARGET", "MATCHED")</f>
        <v>MATCHED</v>
      </c>
    </row>
    <row r="87" spans="1:7" ht="15" thickBot="1" x14ac:dyDescent="0.4">
      <c r="A87" s="3" t="s">
        <v>93</v>
      </c>
      <c r="B87" s="3" t="s">
        <v>72</v>
      </c>
      <c r="C87" s="3" t="s">
        <v>11</v>
      </c>
      <c r="D87" s="3">
        <v>200</v>
      </c>
      <c r="E87" s="3">
        <v>88.85</v>
      </c>
      <c r="F87" s="3" t="s">
        <v>9</v>
      </c>
      <c r="G87" t="str">
        <f>IF(COUNTIFS(
    Final_backup!$B:$B, B87,
    Final_backup!$C:$C, C87,
    Final_backup!$D:$D, D87,
    Final_backup!$E:$E, E87
) = 0, "NO MATCH IN TARGET", "MATCHED")</f>
        <v>MATCHED</v>
      </c>
    </row>
    <row r="88" spans="1:7" ht="15" hidden="1" thickBot="1" x14ac:dyDescent="0.4">
      <c r="A88" s="5">
        <v>46237.690532407411</v>
      </c>
      <c r="B88" s="1" t="s">
        <v>10</v>
      </c>
      <c r="C88" s="1" t="s">
        <v>11</v>
      </c>
      <c r="D88" s="6">
        <v>5</v>
      </c>
      <c r="E88" s="6">
        <v>2530</v>
      </c>
      <c r="F88" s="1" t="s">
        <v>9</v>
      </c>
      <c r="G88" t="str">
        <f>IF(COUNTIFS(
    Final_backup!$B:$B, B88,
    Final_backup!$C:$C, C88,
    Final_backup!$D:$D, D88,
    Final_backup!$E:$E, E88
) = 0, "NO MATCH IN TARGET", "MATCHED")</f>
        <v>MATCHED</v>
      </c>
    </row>
    <row r="89" spans="1:7" ht="29.5" hidden="1" thickBot="1" x14ac:dyDescent="0.4">
      <c r="A89" s="5">
        <v>46237.690474537034</v>
      </c>
      <c r="B89" s="1" t="s">
        <v>35</v>
      </c>
      <c r="C89" s="1" t="s">
        <v>11</v>
      </c>
      <c r="D89" s="6">
        <v>50</v>
      </c>
      <c r="E89" s="6">
        <v>286</v>
      </c>
      <c r="F89" s="1" t="s">
        <v>9</v>
      </c>
      <c r="G89" t="str">
        <f>IF(COUNTIFS(
    Final_backup!$B:$B, B89,
    Final_backup!$C:$C, C89,
    Final_backup!$D:$D, D89,
    Final_backup!$E:$E, E89
) = 0, "NO MATCH IN TARGET", "MATCHED")</f>
        <v>MATCHED</v>
      </c>
    </row>
    <row r="90" spans="1:7" ht="15" thickBot="1" x14ac:dyDescent="0.4">
      <c r="A90" s="3" t="s">
        <v>93</v>
      </c>
      <c r="B90" s="3" t="s">
        <v>63</v>
      </c>
      <c r="C90" s="3" t="s">
        <v>11</v>
      </c>
      <c r="D90" s="3">
        <v>150</v>
      </c>
      <c r="E90" s="3">
        <v>120.45</v>
      </c>
      <c r="F90" s="3" t="s">
        <v>9</v>
      </c>
      <c r="G90" t="str">
        <f>IF(COUNTIFS(
    Final_backup!$B:$B, B90,
    Final_backup!$C:$C, C90,
    Final_backup!$D:$D, D90,
    Final_backup!$E:$E, E90
) = 0, "NO MATCH IN TARGET", "MATCHED")</f>
        <v>MATCHED</v>
      </c>
    </row>
    <row r="91" spans="1:7" ht="29.5" hidden="1" thickBot="1" x14ac:dyDescent="0.4">
      <c r="A91" s="5">
        <v>46237.769108796296</v>
      </c>
      <c r="B91" s="1" t="s">
        <v>36</v>
      </c>
      <c r="C91" s="1" t="s">
        <v>11</v>
      </c>
      <c r="D91" s="6">
        <v>50</v>
      </c>
      <c r="E91" s="6">
        <v>202</v>
      </c>
      <c r="F91" s="1" t="s">
        <v>9</v>
      </c>
      <c r="G91" t="str">
        <f>IF(COUNTIFS(
    Final_backup!$B:$B, B91,
    Final_backup!$C:$C, C91,
    Final_backup!$D:$D, D91,
    Final_backup!$E:$E, E91
) = 0, "NO MATCH IN TARGET", "MATCHED")</f>
        <v>MATCHED</v>
      </c>
    </row>
    <row r="92" spans="1:7" ht="15" hidden="1" thickBot="1" x14ac:dyDescent="0.4">
      <c r="A92" s="3" t="s">
        <v>93</v>
      </c>
      <c r="B92" s="3" t="s">
        <v>59</v>
      </c>
      <c r="C92" s="3" t="s">
        <v>11</v>
      </c>
      <c r="D92" s="3">
        <v>10</v>
      </c>
      <c r="E92" s="3">
        <v>1410</v>
      </c>
      <c r="F92" s="3" t="s">
        <v>9</v>
      </c>
      <c r="G92" t="str">
        <f>IF(COUNTIFS(
    Final_backup!$B:$B, B92,
    Final_backup!$C:$C, C92,
    Final_backup!$D:$D, D92,
    Final_backup!$E:$E, E92
) = 0, "NO MATCH IN TARGET", "MATCHED")</f>
        <v>MATCHED</v>
      </c>
    </row>
    <row r="93" spans="1:7" ht="15" hidden="1" thickBot="1" x14ac:dyDescent="0.4">
      <c r="A93" s="3" t="s">
        <v>89</v>
      </c>
      <c r="B93" s="3" t="s">
        <v>61</v>
      </c>
      <c r="C93" s="3" t="s">
        <v>11</v>
      </c>
      <c r="D93" s="3">
        <v>200</v>
      </c>
      <c r="E93" s="3">
        <v>227.5</v>
      </c>
      <c r="F93" s="3" t="s">
        <v>9</v>
      </c>
      <c r="G93" t="str">
        <f>IF(COUNTIFS(
    Final_backup!$B:$B, B93,
    Final_backup!$C:$C, C93,
    Final_backup!$D:$D, D93,
    Final_backup!$E:$E, E93
) = 0, "NO MATCH IN TARGET", "MATCHED")</f>
        <v>MATCHED</v>
      </c>
    </row>
    <row r="94" spans="1:7" ht="29.5" hidden="1" thickBot="1" x14ac:dyDescent="0.4">
      <c r="A94" s="5">
        <v>46237.768877314818</v>
      </c>
      <c r="B94" s="1" t="s">
        <v>34</v>
      </c>
      <c r="C94" s="1" t="s">
        <v>11</v>
      </c>
      <c r="D94" s="6">
        <v>5</v>
      </c>
      <c r="E94" s="6">
        <v>366</v>
      </c>
      <c r="F94" s="1" t="s">
        <v>9</v>
      </c>
      <c r="G94" t="str">
        <f>IF(COUNTIFS(
    Final_backup!$B:$B, B94,
    Final_backup!$C:$C, C94,
    Final_backup!$D:$D, D94,
    Final_backup!$E:$E, E94
) = 0, "NO MATCH IN TARGET", "MATCHED")</f>
        <v>MATCHED</v>
      </c>
    </row>
    <row r="95" spans="1:7" ht="15" hidden="1" thickBot="1" x14ac:dyDescent="0.4">
      <c r="A95" s="5">
        <v>46234.687673611108</v>
      </c>
      <c r="B95" s="1" t="s">
        <v>78</v>
      </c>
      <c r="C95" s="1" t="s">
        <v>11</v>
      </c>
      <c r="D95" s="6">
        <v>1</v>
      </c>
      <c r="E95" s="6">
        <v>13552</v>
      </c>
      <c r="F95" s="1" t="s">
        <v>9</v>
      </c>
      <c r="G95" t="str">
        <f>IF(COUNTIFS(
    Final_backup!$B:$B, B95,
    Final_backup!$C:$C, C95,
    Final_backup!$D:$D, D95,
    Final_backup!$E:$E, E95
) = 0, "NO MATCH IN TARGET", "MATCHED")</f>
        <v>MATCHED</v>
      </c>
    </row>
    <row r="96" spans="1:7" ht="15" hidden="1" thickBot="1" x14ac:dyDescent="0.4">
      <c r="A96" s="3" t="s">
        <v>86</v>
      </c>
      <c r="B96" s="3" t="s">
        <v>78</v>
      </c>
      <c r="C96" s="3" t="s">
        <v>11</v>
      </c>
      <c r="D96" s="3">
        <v>1</v>
      </c>
      <c r="E96" s="3">
        <v>13552</v>
      </c>
      <c r="F96" s="3" t="s">
        <v>9</v>
      </c>
      <c r="G96" t="str">
        <f>IF(COUNTIFS(
    Final_backup!$B:$B, B96,
    Final_backup!$C:$C, C96,
    Final_backup!$D:$D, D96,
    Final_backup!$E:$E, E96
) = 0, "NO MATCH IN TARGET", "MATCHED")</f>
        <v>MATCHED</v>
      </c>
    </row>
    <row r="97" spans="1:7" ht="29.5" hidden="1" thickBot="1" x14ac:dyDescent="0.4">
      <c r="A97" s="5">
        <v>46237.769074074073</v>
      </c>
      <c r="B97" s="1" t="s">
        <v>33</v>
      </c>
      <c r="C97" s="1" t="s">
        <v>11</v>
      </c>
      <c r="D97" s="6">
        <v>5</v>
      </c>
      <c r="E97" s="6">
        <v>1614</v>
      </c>
      <c r="F97" s="1" t="s">
        <v>9</v>
      </c>
      <c r="G97" t="str">
        <f>IF(COUNTIFS(
    Final_backup!$B:$B, B97,
    Final_backup!$C:$C, C97,
    Final_backup!$D:$D, D97,
    Final_backup!$E:$E, E97
) = 0, "NO MATCH IN TARGET", "MATCHED")</f>
        <v>MATCHED</v>
      </c>
    </row>
    <row r="98" spans="1:7" ht="29.5" hidden="1" thickBot="1" x14ac:dyDescent="0.4">
      <c r="A98" s="5">
        <v>46237.690474537034</v>
      </c>
      <c r="B98" s="1" t="s">
        <v>32</v>
      </c>
      <c r="C98" s="1" t="s">
        <v>11</v>
      </c>
      <c r="D98" s="6">
        <v>40</v>
      </c>
      <c r="E98" s="6">
        <v>426</v>
      </c>
      <c r="F98" s="1" t="s">
        <v>9</v>
      </c>
      <c r="G98" t="str">
        <f>IF(COUNTIFS(
    Final_backup!$B:$B, B98,
    Final_backup!$C:$C, C98,
    Final_backup!$D:$D, D98,
    Final_backup!$E:$E, E98
) = 0, "NO MATCH IN TARGET", "MATCHED")</f>
        <v>MATCHED</v>
      </c>
    </row>
    <row r="99" spans="1:7" ht="29.5" hidden="1" thickBot="1" x14ac:dyDescent="0.4">
      <c r="A99" s="5">
        <v>46234.6874537037</v>
      </c>
      <c r="B99" s="1" t="s">
        <v>70</v>
      </c>
      <c r="C99" s="1" t="s">
        <v>11</v>
      </c>
      <c r="D99" s="6">
        <v>5</v>
      </c>
      <c r="E99" s="6">
        <v>1131</v>
      </c>
      <c r="F99" s="1" t="s">
        <v>9</v>
      </c>
      <c r="G99" t="str">
        <f>IF(COUNTIFS(
    Final_backup!$B:$B, B99,
    Final_backup!$C:$C, C99,
    Final_backup!$D:$D, D99,
    Final_backup!$E:$E, E99
) = 0, "NO MATCH IN TARGET", "MATCHED")</f>
        <v>MATCHED</v>
      </c>
    </row>
    <row r="100" spans="1:7" ht="15" hidden="1" thickBot="1" x14ac:dyDescent="0.4">
      <c r="A100" s="3" t="s">
        <v>98</v>
      </c>
      <c r="B100" s="3" t="s">
        <v>70</v>
      </c>
      <c r="C100" s="3" t="s">
        <v>11</v>
      </c>
      <c r="D100" s="3">
        <v>5</v>
      </c>
      <c r="E100" s="3">
        <v>1131</v>
      </c>
      <c r="F100" s="3" t="s">
        <v>9</v>
      </c>
      <c r="G100" t="str">
        <f>IF(COUNTIFS(
    Final_backup!$B:$B, B100,
    Final_backup!$C:$C, C100,
    Final_backup!$D:$D, D100,
    Final_backup!$E:$E, E100
) = 0, "NO MATCH IN TARGET", "MATCHED")</f>
        <v>MATCHED</v>
      </c>
    </row>
    <row r="101" spans="1:7" ht="29.5" hidden="1" thickBot="1" x14ac:dyDescent="0.4">
      <c r="A101" s="5">
        <v>46234.687534722223</v>
      </c>
      <c r="B101" s="1" t="s">
        <v>77</v>
      </c>
      <c r="C101" s="1" t="s">
        <v>11</v>
      </c>
      <c r="D101" s="6">
        <v>5</v>
      </c>
      <c r="E101" s="6">
        <v>726</v>
      </c>
      <c r="F101" s="1" t="s">
        <v>9</v>
      </c>
      <c r="G101" t="str">
        <f>IF(COUNTIFS(
    Final_backup!$B:$B, B101,
    Final_backup!$C:$C, C101,
    Final_backup!$D:$D, D101,
    Final_backup!$E:$E, E101
) = 0, "NO MATCH IN TARGET", "MATCHED")</f>
        <v>MATCHED</v>
      </c>
    </row>
    <row r="102" spans="1:7" ht="15" hidden="1" thickBot="1" x14ac:dyDescent="0.4">
      <c r="A102" s="3" t="s">
        <v>97</v>
      </c>
      <c r="B102" s="3" t="s">
        <v>77</v>
      </c>
      <c r="C102" s="3" t="s">
        <v>11</v>
      </c>
      <c r="D102" s="3">
        <v>5</v>
      </c>
      <c r="E102" s="3">
        <v>726</v>
      </c>
      <c r="F102" s="3" t="s">
        <v>9</v>
      </c>
      <c r="G102" t="str">
        <f>IF(COUNTIFS(
    Final_backup!$B:$B, B102,
    Final_backup!$C:$C, C102,
    Final_backup!$D:$D, D102,
    Final_backup!$E:$E, E102
) = 0, "NO MATCH IN TARGET", "MATCHED")</f>
        <v>MATCHED</v>
      </c>
    </row>
    <row r="103" spans="1:7" ht="15" hidden="1" thickBot="1" x14ac:dyDescent="0.4">
      <c r="A103" s="5">
        <v>46237.76903935185</v>
      </c>
      <c r="B103" s="1" t="s">
        <v>31</v>
      </c>
      <c r="C103" s="1" t="s">
        <v>11</v>
      </c>
      <c r="D103" s="6">
        <v>150</v>
      </c>
      <c r="E103" s="6">
        <v>128</v>
      </c>
      <c r="F103" s="1" t="s">
        <v>9</v>
      </c>
      <c r="G103" t="str">
        <f>IF(COUNTIFS(
    Final_backup!$B:$B, B103,
    Final_backup!$C:$C, C103,
    Final_backup!$D:$D, D103,
    Final_backup!$E:$E, E103
) = 0, "NO MATCH IN TARGET", "MATCHED")</f>
        <v>MATCHED</v>
      </c>
    </row>
    <row r="104" spans="1:7" ht="29.5" hidden="1" thickBot="1" x14ac:dyDescent="0.4">
      <c r="A104" s="5">
        <v>46234.687627314815</v>
      </c>
      <c r="B104" s="1" t="s">
        <v>76</v>
      </c>
      <c r="C104" s="1" t="s">
        <v>11</v>
      </c>
      <c r="D104" s="6">
        <v>2</v>
      </c>
      <c r="E104" s="6">
        <v>1060</v>
      </c>
      <c r="F104" s="1" t="s">
        <v>9</v>
      </c>
      <c r="G104" t="str">
        <f>IF(COUNTIFS(
    Final_backup!$B:$B, B104,
    Final_backup!$C:$C, C104,
    Final_backup!$D:$D, D104,
    Final_backup!$E:$E, E104
) = 0, "NO MATCH IN TARGET", "MATCHED")</f>
        <v>MATCHED</v>
      </c>
    </row>
    <row r="105" spans="1:7" ht="15" hidden="1" thickBot="1" x14ac:dyDescent="0.4">
      <c r="A105" s="3" t="s">
        <v>99</v>
      </c>
      <c r="B105" s="3" t="s">
        <v>76</v>
      </c>
      <c r="C105" s="3" t="s">
        <v>11</v>
      </c>
      <c r="D105" s="3">
        <v>2</v>
      </c>
      <c r="E105" s="3">
        <v>1060</v>
      </c>
      <c r="F105" s="3" t="s">
        <v>9</v>
      </c>
      <c r="G105" t="str">
        <f>IF(COUNTIFS(
    Final_backup!$B:$B, B105,
    Final_backup!$C:$C, C105,
    Final_backup!$D:$D, D105,
    Final_backup!$E:$E, E105
) = 0, "NO MATCH IN TARGET", "MATCHED")</f>
        <v>MATCHED</v>
      </c>
    </row>
    <row r="106" spans="1:7" ht="15" hidden="1" thickBot="1" x14ac:dyDescent="0.4">
      <c r="A106" s="5">
        <v>46234.687569444446</v>
      </c>
      <c r="B106" s="1" t="s">
        <v>47</v>
      </c>
      <c r="C106" s="1" t="s">
        <v>11</v>
      </c>
      <c r="D106" s="6">
        <v>5</v>
      </c>
      <c r="E106" s="6">
        <v>3888</v>
      </c>
      <c r="F106" s="1" t="s">
        <v>9</v>
      </c>
      <c r="G106" t="str">
        <f>IF(COUNTIFS(
    Final_backup!$B:$B, B106,
    Final_backup!$C:$C, C106,
    Final_backup!$D:$D, D106,
    Final_backup!$E:$E, E106
) = 0, "NO MATCH IN TARGET", "MATCHED")</f>
        <v>MATCHED</v>
      </c>
    </row>
    <row r="107" spans="1:7" ht="15" hidden="1" thickBot="1" x14ac:dyDescent="0.4">
      <c r="A107" s="3" t="s">
        <v>85</v>
      </c>
      <c r="B107" s="3" t="s">
        <v>47</v>
      </c>
      <c r="C107" s="3" t="s">
        <v>11</v>
      </c>
      <c r="D107" s="3">
        <v>5</v>
      </c>
      <c r="E107" s="3">
        <v>3888</v>
      </c>
      <c r="F107" s="3" t="s">
        <v>9</v>
      </c>
      <c r="G107" t="str">
        <f>IF(COUNTIFS(
    Final_backup!$B:$B, B107,
    Final_backup!$C:$C, C107,
    Final_backup!$D:$D, D107,
    Final_backup!$E:$E, E107
) = 0, "NO MATCH IN TARGET", "MATCHED")</f>
        <v>MATCHED</v>
      </c>
    </row>
    <row r="108" spans="1:7" ht="15" hidden="1" thickBot="1" x14ac:dyDescent="0.4">
      <c r="A108" s="5">
        <v>46234.687592592592</v>
      </c>
      <c r="B108" s="1" t="s">
        <v>10</v>
      </c>
      <c r="C108" s="1" t="s">
        <v>11</v>
      </c>
      <c r="D108" s="6">
        <v>5</v>
      </c>
      <c r="E108" s="6">
        <v>2510</v>
      </c>
      <c r="F108" s="1" t="s">
        <v>9</v>
      </c>
      <c r="G108" t="str">
        <f>IF(COUNTIFS(
    Final_backup!$B:$B, B108,
    Final_backup!$C:$C, C108,
    Final_backup!$D:$D, D108,
    Final_backup!$E:$E, E108
) = 0, "NO MATCH IN TARGET", "MATCHED")</f>
        <v>MATCHED</v>
      </c>
    </row>
    <row r="109" spans="1:7" ht="15" thickBot="1" x14ac:dyDescent="0.4">
      <c r="A109" s="3" t="s">
        <v>83</v>
      </c>
      <c r="B109" s="3" t="s">
        <v>75</v>
      </c>
      <c r="C109" s="3" t="s">
        <v>11</v>
      </c>
      <c r="D109" s="3">
        <v>2</v>
      </c>
      <c r="E109" s="3">
        <v>2560</v>
      </c>
      <c r="F109" s="3" t="s">
        <v>9</v>
      </c>
      <c r="G109" t="str">
        <f>IF(COUNTIFS(
    Final_backup!$B:$B, B109,
    Final_backup!$C:$C, C109,
    Final_backup!$D:$D, D109,
    Final_backup!$E:$E, E109
) = 0, "NO MATCH IN TARGET", "MATCHED")</f>
        <v>MATCHED</v>
      </c>
    </row>
    <row r="110" spans="1:7" ht="15" thickBot="1" x14ac:dyDescent="0.4">
      <c r="A110" s="5">
        <v>46237.690532407411</v>
      </c>
      <c r="B110" s="1" t="s">
        <v>10</v>
      </c>
      <c r="C110" s="1" t="s">
        <v>11</v>
      </c>
      <c r="D110" s="6">
        <v>5</v>
      </c>
      <c r="E110" s="6">
        <v>2506</v>
      </c>
      <c r="F110" s="1" t="s">
        <v>9</v>
      </c>
      <c r="G110" t="str">
        <f>IF(COUNTIFS(
    Final_backup!$B:$B, B110,
    Final_backup!$C:$C, C110,
    Final_backup!$D:$D, D110,
    Final_backup!$E:$E, E110
) = 0, "NO MATCH IN TARGET", "MATCHED")</f>
        <v>MATCHED</v>
      </c>
    </row>
    <row r="111" spans="1:7" ht="29.5" hidden="1" thickBot="1" x14ac:dyDescent="0.4">
      <c r="A111" s="5">
        <v>46234.687592592592</v>
      </c>
      <c r="B111" s="1" t="s">
        <v>52</v>
      </c>
      <c r="C111" s="1" t="s">
        <v>11</v>
      </c>
      <c r="D111" s="6">
        <v>20</v>
      </c>
      <c r="E111" s="6">
        <v>917</v>
      </c>
      <c r="F111" s="1" t="s">
        <v>9</v>
      </c>
      <c r="G111" t="str">
        <f>IF(COUNTIFS(
    Final_backup!$B:$B, B111,
    Final_backup!$C:$C, C111,
    Final_backup!$D:$D, D111,
    Final_backup!$E:$E, E111
) = 0, "NO MATCH IN TARGET", "MATCHED")</f>
        <v>MATCHED</v>
      </c>
    </row>
    <row r="112" spans="1:7" ht="15" hidden="1" thickBot="1" x14ac:dyDescent="0.4">
      <c r="A112" s="3" t="s">
        <v>85</v>
      </c>
      <c r="B112" s="3" t="s">
        <v>52</v>
      </c>
      <c r="C112" s="3" t="s">
        <v>11</v>
      </c>
      <c r="D112" s="3">
        <v>20</v>
      </c>
      <c r="E112" s="3">
        <v>917</v>
      </c>
      <c r="F112" s="3" t="s">
        <v>9</v>
      </c>
      <c r="G112" t="str">
        <f>IF(COUNTIFS(
    Final_backup!$B:$B, B112,
    Final_backup!$C:$C, C112,
    Final_backup!$D:$D, D112,
    Final_backup!$E:$E, E112
) = 0, "NO MATCH IN TARGET", "MATCHED")</f>
        <v>MATCHED</v>
      </c>
    </row>
    <row r="113" spans="1:7" ht="15" hidden="1" thickBot="1" x14ac:dyDescent="0.4">
      <c r="A113" s="3" t="s">
        <v>83</v>
      </c>
      <c r="B113" s="3" t="s">
        <v>66</v>
      </c>
      <c r="C113" s="3" t="s">
        <v>11</v>
      </c>
      <c r="D113" s="3">
        <v>1</v>
      </c>
      <c r="E113" s="3">
        <v>18052</v>
      </c>
      <c r="F113" s="3" t="s">
        <v>9</v>
      </c>
      <c r="G113" t="str">
        <f>IF(COUNTIFS(
    Final_backup!$B:$B, B113,
    Final_backup!$C:$C, C113,
    Final_backup!$D:$D, D113,
    Final_backup!$E:$E, E113
) = 0, "NO MATCH IN TARGET", "MATCHED")</f>
        <v>MATCHED</v>
      </c>
    </row>
    <row r="114" spans="1:7" ht="15" thickBot="1" x14ac:dyDescent="0.4">
      <c r="A114" s="5">
        <v>46233.688402777778</v>
      </c>
      <c r="B114" s="1" t="s">
        <v>10</v>
      </c>
      <c r="C114" s="1" t="s">
        <v>11</v>
      </c>
      <c r="D114" s="6">
        <v>5</v>
      </c>
      <c r="E114" s="6">
        <v>2502</v>
      </c>
      <c r="F114" s="1" t="s">
        <v>9</v>
      </c>
      <c r="G114" t="str">
        <f>IF(COUNTIFS(
    Final_backup!$B:$B, B114,
    Final_backup!$C:$C, C114,
    Final_backup!$D:$D, D114,
    Final_backup!$E:$E, E114
) = 0, "NO MATCH IN TARGET", "MATCHED")</f>
        <v>MATCHED</v>
      </c>
    </row>
    <row r="115" spans="1:7" ht="15" hidden="1" thickBot="1" x14ac:dyDescent="0.4">
      <c r="A115" s="5">
        <v>46234.687662037039</v>
      </c>
      <c r="B115" s="1" t="s">
        <v>75</v>
      </c>
      <c r="C115" s="1" t="s">
        <v>11</v>
      </c>
      <c r="D115" s="6">
        <v>2</v>
      </c>
      <c r="E115" s="6">
        <v>2552</v>
      </c>
      <c r="F115" s="1" t="s">
        <v>9</v>
      </c>
      <c r="G115" t="str">
        <f>IF(COUNTIFS(
    Final_backup!$B:$B, B115,
    Final_backup!$C:$C, C115,
    Final_backup!$D:$D, D115,
    Final_backup!$E:$E, E115
) = 0, "NO MATCH IN TARGET", "MATCHED")</f>
        <v>MATCHED</v>
      </c>
    </row>
    <row r="116" spans="1:7" ht="29.5" hidden="1" thickBot="1" x14ac:dyDescent="0.4">
      <c r="A116" s="5">
        <v>46234.687581018516</v>
      </c>
      <c r="B116" s="1" t="s">
        <v>74</v>
      </c>
      <c r="C116" s="1" t="s">
        <v>11</v>
      </c>
      <c r="D116" s="6">
        <v>1</v>
      </c>
      <c r="E116" s="6">
        <v>4206</v>
      </c>
      <c r="F116" s="1" t="s">
        <v>9</v>
      </c>
      <c r="G116" t="str">
        <f>IF(COUNTIFS(
    Final_backup!$B:$B, B116,
    Final_backup!$C:$C, C116,
    Final_backup!$D:$D, D116,
    Final_backup!$E:$E, E116
) = 0, "NO MATCH IN TARGET", "MATCHED")</f>
        <v>MATCHED</v>
      </c>
    </row>
    <row r="117" spans="1:7" ht="15" hidden="1" thickBot="1" x14ac:dyDescent="0.4">
      <c r="A117" s="3" t="s">
        <v>100</v>
      </c>
      <c r="B117" s="3" t="s">
        <v>74</v>
      </c>
      <c r="C117" s="3" t="s">
        <v>11</v>
      </c>
      <c r="D117" s="3">
        <v>1</v>
      </c>
      <c r="E117" s="3">
        <v>4206</v>
      </c>
      <c r="F117" s="3" t="s">
        <v>9</v>
      </c>
      <c r="G117" t="str">
        <f>IF(COUNTIFS(
    Final_backup!$B:$B, B117,
    Final_backup!$C:$C, C117,
    Final_backup!$D:$D, D117,
    Final_backup!$E:$E, E117
) = 0, "NO MATCH IN TARGET", "MATCHED")</f>
        <v>MATCHED</v>
      </c>
    </row>
    <row r="118" spans="1:7" ht="15" thickBot="1" x14ac:dyDescent="0.4">
      <c r="A118" s="5">
        <v>46234.687557870369</v>
      </c>
      <c r="B118" s="1" t="s">
        <v>72</v>
      </c>
      <c r="C118" s="1" t="s">
        <v>11</v>
      </c>
      <c r="D118" s="6">
        <v>100</v>
      </c>
      <c r="E118" s="6">
        <v>87.3</v>
      </c>
      <c r="F118" s="1" t="s">
        <v>9</v>
      </c>
      <c r="G118" t="str">
        <f>IF(COUNTIFS(
    Final_backup!$B:$B, B118,
    Final_backup!$C:$C, C118,
    Final_backup!$D:$D, D118,
    Final_backup!$E:$E, E118
) = 0, "NO MATCH IN TARGET", "MATCHED")</f>
        <v>MATCHED</v>
      </c>
    </row>
    <row r="119" spans="1:7" ht="15" thickBot="1" x14ac:dyDescent="0.4">
      <c r="A119" s="3" t="s">
        <v>93</v>
      </c>
      <c r="B119" s="3" t="s">
        <v>72</v>
      </c>
      <c r="C119" s="3" t="s">
        <v>11</v>
      </c>
      <c r="D119" s="3">
        <v>100</v>
      </c>
      <c r="E119" s="3">
        <v>87.3</v>
      </c>
      <c r="F119" s="3" t="s">
        <v>9</v>
      </c>
      <c r="G119" t="str">
        <f>IF(COUNTIFS(
    Final_backup!$B:$B, B119,
    Final_backup!$C:$C, C119,
    Final_backup!$D:$D, D119,
    Final_backup!$E:$E, E119
) = 0, "NO MATCH IN TARGET", "MATCHED")</f>
        <v>MATCHED</v>
      </c>
    </row>
    <row r="120" spans="1:7" ht="15" hidden="1" thickBot="1" x14ac:dyDescent="0.4">
      <c r="A120" s="5">
        <v>46234.687476851854</v>
      </c>
      <c r="B120" s="1" t="s">
        <v>53</v>
      </c>
      <c r="C120" s="1" t="s">
        <v>11</v>
      </c>
      <c r="D120" s="6">
        <v>5</v>
      </c>
      <c r="E120" s="6">
        <v>2938</v>
      </c>
      <c r="F120" s="1" t="s">
        <v>9</v>
      </c>
      <c r="G120" t="str">
        <f>IF(COUNTIFS(
    Final_backup!$B:$B, B120,
    Final_backup!$C:$C, C120,
    Final_backup!$D:$D, D120,
    Final_backup!$E:$E, E120
) = 0, "NO MATCH IN TARGET", "MATCHED")</f>
        <v>MATCHED</v>
      </c>
    </row>
    <row r="121" spans="1:7" ht="15" hidden="1" thickBot="1" x14ac:dyDescent="0.4">
      <c r="A121" s="3" t="s">
        <v>100</v>
      </c>
      <c r="B121" s="3" t="s">
        <v>53</v>
      </c>
      <c r="C121" s="3" t="s">
        <v>11</v>
      </c>
      <c r="D121" s="3">
        <v>5</v>
      </c>
      <c r="E121" s="3">
        <v>2938</v>
      </c>
      <c r="F121" s="3" t="s">
        <v>9</v>
      </c>
      <c r="G121" t="str">
        <f>IF(COUNTIFS(
    Final_backup!$B:$B, B121,
    Final_backup!$C:$C, C121,
    Final_backup!$D:$D, D121,
    Final_backup!$E:$E, E121
) = 0, "NO MATCH IN TARGET", "MATCHED")</f>
        <v>MATCHED</v>
      </c>
    </row>
    <row r="122" spans="1:7" ht="15" hidden="1" thickBot="1" x14ac:dyDescent="0.4">
      <c r="A122" s="5">
        <v>46237.769108796296</v>
      </c>
      <c r="B122" s="1" t="s">
        <v>29</v>
      </c>
      <c r="C122" s="1" t="s">
        <v>11</v>
      </c>
      <c r="D122" s="6">
        <v>500</v>
      </c>
      <c r="E122" s="6">
        <v>33.159999999999997</v>
      </c>
      <c r="F122" s="1" t="s">
        <v>9</v>
      </c>
      <c r="G122" t="str">
        <f>IF(COUNTIFS(
    Final_backup!$B:$B, B122,
    Final_backup!$C:$C, C122,
    Final_backup!$D:$D, D122,
    Final_backup!$E:$E, E122
) = 0, "NO MATCH IN TARGET", "MATCHED")</f>
        <v>MATCHED</v>
      </c>
    </row>
    <row r="123" spans="1:7" ht="15" thickBot="1" x14ac:dyDescent="0.4">
      <c r="A123" s="3" t="s">
        <v>99</v>
      </c>
      <c r="B123" s="3" t="s">
        <v>47</v>
      </c>
      <c r="C123" s="3" t="s">
        <v>11</v>
      </c>
      <c r="D123" s="3">
        <v>2</v>
      </c>
      <c r="E123" s="3">
        <v>3856</v>
      </c>
      <c r="F123" s="3" t="s">
        <v>9</v>
      </c>
      <c r="G123" t="str">
        <f>IF(COUNTIFS(
    Final_backup!$B:$B, B123,
    Final_backup!$C:$C, C123,
    Final_backup!$D:$D, D123,
    Final_backup!$E:$E, E123
) = 0, "NO MATCH IN TARGET", "MATCHED")</f>
        <v>MATCHED</v>
      </c>
    </row>
    <row r="124" spans="1:7" ht="15" thickBot="1" x14ac:dyDescent="0.4">
      <c r="A124" s="5">
        <v>46237.768935185188</v>
      </c>
      <c r="B124" s="1" t="s">
        <v>40</v>
      </c>
      <c r="C124" s="1" t="s">
        <v>11</v>
      </c>
      <c r="D124" s="6">
        <v>50</v>
      </c>
      <c r="E124" s="6">
        <v>352</v>
      </c>
      <c r="F124" s="1" t="s">
        <v>9</v>
      </c>
      <c r="G124" t="str">
        <f>IF(COUNTIFS(
    Final_backup!$B:$B, B124,
    Final_backup!$C:$C, C124,
    Final_backup!$D:$D, D124,
    Final_backup!$E:$E, E124
) = 0, "NO MATCH IN TARGET", "MATCHED")</f>
        <v>MATCHED</v>
      </c>
    </row>
    <row r="125" spans="1:7" ht="29.5" hidden="1" thickBot="1" x14ac:dyDescent="0.4">
      <c r="A125" s="5">
        <v>46234.6874537037</v>
      </c>
      <c r="B125" s="1" t="s">
        <v>70</v>
      </c>
      <c r="C125" s="1" t="s">
        <v>11</v>
      </c>
      <c r="D125" s="6">
        <v>5</v>
      </c>
      <c r="E125" s="6">
        <v>1121</v>
      </c>
      <c r="F125" s="1" t="s">
        <v>9</v>
      </c>
      <c r="G125" t="str">
        <f>IF(COUNTIFS(
    Final_backup!$B:$B, B125,
    Final_backup!$C:$C, C125,
    Final_backup!$D:$D, D125,
    Final_backup!$E:$E, E125
) = 0, "NO MATCH IN TARGET", "MATCHED")</f>
        <v>MATCHED</v>
      </c>
    </row>
    <row r="126" spans="1:7" ht="15" hidden="1" thickBot="1" x14ac:dyDescent="0.4">
      <c r="A126" s="3" t="s">
        <v>100</v>
      </c>
      <c r="B126" s="3" t="s">
        <v>70</v>
      </c>
      <c r="C126" s="3" t="s">
        <v>11</v>
      </c>
      <c r="D126" s="3">
        <v>5</v>
      </c>
      <c r="E126" s="3">
        <v>1121</v>
      </c>
      <c r="F126" s="3" t="s">
        <v>9</v>
      </c>
      <c r="G126" t="str">
        <f>IF(COUNTIFS(
    Final_backup!$B:$B, B126,
    Final_backup!$C:$C, C126,
    Final_backup!$D:$D, D126,
    Final_backup!$E:$E, E126
) = 0, "NO MATCH IN TARGET", "MATCHED")</f>
        <v>MATCHED</v>
      </c>
    </row>
    <row r="127" spans="1:7" ht="29.5" hidden="1" thickBot="1" x14ac:dyDescent="0.4">
      <c r="A127" s="5">
        <v>46234.6875</v>
      </c>
      <c r="B127" s="1" t="s">
        <v>71</v>
      </c>
      <c r="C127" s="1" t="s">
        <v>11</v>
      </c>
      <c r="D127" s="6">
        <v>5</v>
      </c>
      <c r="E127" s="6">
        <v>1188</v>
      </c>
      <c r="F127" s="1" t="s">
        <v>9</v>
      </c>
      <c r="G127" t="str">
        <f>IF(COUNTIFS(
    Final_backup!$B:$B, B127,
    Final_backup!$C:$C, C127,
    Final_backup!$D:$D, D127,
    Final_backup!$E:$E, E127
) = 0, "NO MATCH IN TARGET", "MATCHED")</f>
        <v>MATCHED</v>
      </c>
    </row>
    <row r="128" spans="1:7" ht="15" hidden="1" thickBot="1" x14ac:dyDescent="0.4">
      <c r="A128" s="3" t="s">
        <v>99</v>
      </c>
      <c r="B128" s="3" t="s">
        <v>71</v>
      </c>
      <c r="C128" s="3" t="s">
        <v>11</v>
      </c>
      <c r="D128" s="3">
        <v>5</v>
      </c>
      <c r="E128" s="3">
        <v>1188</v>
      </c>
      <c r="F128" s="3" t="s">
        <v>9</v>
      </c>
      <c r="G128" t="str">
        <f>IF(COUNTIFS(
    Final_backup!$B:$B, B128,
    Final_backup!$C:$C, C128,
    Final_backup!$D:$D, D128,
    Final_backup!$E:$E, E128
) = 0, "NO MATCH IN TARGET", "MATCHED")</f>
        <v>MATCHED</v>
      </c>
    </row>
    <row r="129" spans="1:7" ht="15" hidden="1" thickBot="1" x14ac:dyDescent="0.4">
      <c r="A129" s="5">
        <v>46234.687592592592</v>
      </c>
      <c r="B129" s="1" t="s">
        <v>10</v>
      </c>
      <c r="C129" s="1" t="s">
        <v>11</v>
      </c>
      <c r="D129" s="6">
        <v>10</v>
      </c>
      <c r="E129" s="6">
        <v>2480</v>
      </c>
      <c r="F129" s="1" t="s">
        <v>9</v>
      </c>
      <c r="G129" t="str">
        <f>IF(COUNTIFS(
    Final_backup!$B:$B, B129,
    Final_backup!$C:$C, C129,
    Final_backup!$D:$D, D129,
    Final_backup!$E:$E, E129
) = 0, "NO MATCH IN TARGET", "MATCHED")</f>
        <v>MATCHED</v>
      </c>
    </row>
    <row r="130" spans="1:7" ht="29.5" hidden="1" thickBot="1" x14ac:dyDescent="0.4">
      <c r="A130" s="5">
        <v>46237.690613425926</v>
      </c>
      <c r="B130" s="1" t="s">
        <v>28</v>
      </c>
      <c r="C130" s="1" t="s">
        <v>11</v>
      </c>
      <c r="D130" s="6">
        <v>25</v>
      </c>
      <c r="E130" s="6">
        <v>190.1</v>
      </c>
      <c r="F130" s="1" t="s">
        <v>9</v>
      </c>
      <c r="G130" t="str">
        <f>IF(COUNTIFS(
    Final_backup!$B:$B, B130,
    Final_backup!$C:$C, C130,
    Final_backup!$D:$D, D130,
    Final_backup!$E:$E, E130
) = 0, "NO MATCH IN TARGET", "MATCHED")</f>
        <v>MATCHED</v>
      </c>
    </row>
    <row r="131" spans="1:7" ht="15" hidden="1" thickBot="1" x14ac:dyDescent="0.4">
      <c r="A131" s="3" t="s">
        <v>91</v>
      </c>
      <c r="B131" s="3" t="s">
        <v>67</v>
      </c>
      <c r="C131" s="3" t="s">
        <v>11</v>
      </c>
      <c r="D131" s="3">
        <v>8</v>
      </c>
      <c r="E131" s="3">
        <v>2352</v>
      </c>
      <c r="F131" s="3" t="s">
        <v>9</v>
      </c>
      <c r="G131" t="str">
        <f>IF(COUNTIFS(
    Final_backup!$B:$B, B131,
    Final_backup!$C:$C, C131,
    Final_backup!$D:$D, D131,
    Final_backup!$E:$E, E131
) = 0, "NO MATCH IN TARGET", "MATCHED")</f>
        <v>MATCHED</v>
      </c>
    </row>
    <row r="132" spans="1:7" ht="15" hidden="1" thickBot="1" x14ac:dyDescent="0.4">
      <c r="A132" s="5">
        <v>46234.687511574077</v>
      </c>
      <c r="B132" s="1" t="s">
        <v>56</v>
      </c>
      <c r="C132" s="1" t="s">
        <v>11</v>
      </c>
      <c r="D132" s="6">
        <v>25</v>
      </c>
      <c r="E132" s="6">
        <v>764</v>
      </c>
      <c r="F132" s="1" t="s">
        <v>9</v>
      </c>
      <c r="G132" t="str">
        <f>IF(COUNTIFS(
    Final_backup!$B:$B, B132,
    Final_backup!$C:$C, C132,
    Final_backup!$D:$D, D132,
    Final_backup!$E:$E, E132
) = 0, "NO MATCH IN TARGET", "MATCHED")</f>
        <v>MATCHED</v>
      </c>
    </row>
    <row r="133" spans="1:7" ht="15" hidden="1" thickBot="1" x14ac:dyDescent="0.4">
      <c r="A133" s="3" t="s">
        <v>100</v>
      </c>
      <c r="B133" s="3" t="s">
        <v>56</v>
      </c>
      <c r="C133" s="3" t="s">
        <v>11</v>
      </c>
      <c r="D133" s="3">
        <v>25</v>
      </c>
      <c r="E133" s="3">
        <v>764</v>
      </c>
      <c r="F133" s="3" t="s">
        <v>9</v>
      </c>
      <c r="G133" t="str">
        <f>IF(COUNTIFS(
    Final_backup!$B:$B, B133,
    Final_backup!$C:$C, C133,
    Final_backup!$D:$D, D133,
    Final_backup!$E:$E, E133
) = 0, "NO MATCH IN TARGET", "MATCHED")</f>
        <v>MATCHED</v>
      </c>
    </row>
    <row r="134" spans="1:7" x14ac:dyDescent="0.35">
      <c r="A134" s="12">
        <v>46234.687581018516</v>
      </c>
      <c r="B134" s="13" t="s">
        <v>47</v>
      </c>
      <c r="C134" s="13" t="s">
        <v>11</v>
      </c>
      <c r="D134" s="14">
        <v>2</v>
      </c>
      <c r="E134" s="14">
        <v>3830</v>
      </c>
      <c r="F134" s="13" t="s">
        <v>9</v>
      </c>
      <c r="G134" t="str">
        <f>IF(COUNTIFS(
    Final_backup!$B:$B, B134,
    Final_backup!$C:$C, C134,
    Final_backup!$D:$D, D134,
    Final_backup!$E:$E, E134
) = 0, "NO MATCH IN TARGET", "MATCHED")</f>
        <v>MATCHED</v>
      </c>
    </row>
    <row r="135" spans="1:7" x14ac:dyDescent="0.35">
      <c r="A135" t="s">
        <v>99</v>
      </c>
      <c r="B135" t="s">
        <v>47</v>
      </c>
      <c r="C135" t="s">
        <v>11</v>
      </c>
      <c r="D135">
        <v>2</v>
      </c>
      <c r="E135">
        <v>3830</v>
      </c>
      <c r="F135" t="s">
        <v>9</v>
      </c>
      <c r="G135" t="str">
        <f>IF(COUNTIFS(
    Final_backup!$B:$B, B135,
    Final_backup!$C:$C, C135,
    Final_backup!$D:$D, D135,
    Final_backup!$E:$E, E135
) = 0, "NO MATCH IN TARGET", "MATCHED")</f>
        <v>MATCHED</v>
      </c>
    </row>
    <row r="136" spans="1:7" hidden="1" x14ac:dyDescent="0.35">
      <c r="A136" s="12">
        <v>46234.687569444446</v>
      </c>
      <c r="B136" s="13" t="s">
        <v>46</v>
      </c>
      <c r="C136" s="13" t="s">
        <v>11</v>
      </c>
      <c r="D136" s="14">
        <v>2</v>
      </c>
      <c r="E136" s="14">
        <v>4456</v>
      </c>
      <c r="F136" s="13" t="s">
        <v>9</v>
      </c>
      <c r="G136" t="str">
        <f>IF(COUNTIFS(
    Final_backup!$B:$B, B136,
    Final_backup!$C:$C, C136,
    Final_backup!$D:$D, D136,
    Final_backup!$E:$E, E136
) = 0, "NO MATCH IN TARGET", "MATCHED")</f>
        <v>MATCHED</v>
      </c>
    </row>
    <row r="137" spans="1:7" ht="58" hidden="1" x14ac:dyDescent="0.35">
      <c r="A137" s="13" t="s">
        <v>0</v>
      </c>
      <c r="B137" s="13" t="s">
        <v>1</v>
      </c>
      <c r="C137" s="13" t="s">
        <v>2</v>
      </c>
      <c r="D137" s="13" t="s">
        <v>3</v>
      </c>
      <c r="E137" s="13" t="s">
        <v>4</v>
      </c>
      <c r="F137" s="13" t="s">
        <v>5</v>
      </c>
      <c r="G137" t="str">
        <f>IF(COUNTIFS(
    Final_backup!$B:$B, B137,
    Final_backup!$C:$C, C137,
    Final_backup!$D:$D, D137,
    Final_backup!$E:$E, E137
) = 0, "NO MATCH IN TARGET", "MATCHED")</f>
        <v>MATCHED</v>
      </c>
    </row>
    <row r="138" spans="1:7" hidden="1" x14ac:dyDescent="0.35">
      <c r="A138" s="15" t="s">
        <v>0</v>
      </c>
      <c r="B138" s="15" t="s">
        <v>1</v>
      </c>
      <c r="C138" s="15" t="s">
        <v>2</v>
      </c>
      <c r="D138" s="15" t="s">
        <v>3</v>
      </c>
      <c r="E138" s="15" t="s">
        <v>4</v>
      </c>
      <c r="F138" s="15" t="s">
        <v>5</v>
      </c>
      <c r="G138" t="str">
        <f>IF(COUNTIFS(
    Final_backup!$B:$B, B138,
    Final_backup!$C:$C, C138,
    Final_backup!$D:$D, D138,
    Final_backup!$E:$E, E138
) = 0, "NO MATCH IN TARGET", "MATCHED")</f>
        <v>MATCHED</v>
      </c>
    </row>
    <row r="139" spans="1:7" hidden="1" x14ac:dyDescent="0.35">
      <c r="A139" t="s">
        <v>99</v>
      </c>
      <c r="B139" t="s">
        <v>46</v>
      </c>
      <c r="C139" t="s">
        <v>11</v>
      </c>
      <c r="D139">
        <v>2</v>
      </c>
      <c r="E139">
        <v>4456</v>
      </c>
      <c r="F139" t="s">
        <v>9</v>
      </c>
      <c r="G139" t="str">
        <f>IF(COUNTIFS(
    Final_backup!$B:$B, B139,
    Final_backup!$C:$C, C139,
    Final_backup!$D:$D, D139,
    Final_backup!$E:$E, E139
) = 0, "NO MATCH IN TARGET", "MATCHED")</f>
        <v>MATCHED</v>
      </c>
    </row>
    <row r="140" spans="1:7" ht="29" hidden="1" x14ac:dyDescent="0.35">
      <c r="A140" s="12">
        <v>46234.6874537037</v>
      </c>
      <c r="B140" s="13" t="s">
        <v>70</v>
      </c>
      <c r="C140" s="13" t="s">
        <v>11</v>
      </c>
      <c r="D140" s="14">
        <v>5</v>
      </c>
      <c r="E140" s="14">
        <v>1111</v>
      </c>
      <c r="F140" s="13" t="s">
        <v>9</v>
      </c>
      <c r="G140" t="str">
        <f>IF(COUNTIFS(
    Final_backup!$B:$B, B140,
    Final_backup!$C:$C, C140,
    Final_backup!$D:$D, D140,
    Final_backup!$E:$E, E140
) = 0, "NO MATCH IN TARGET", "MATCHED")</f>
        <v>MATCHED</v>
      </c>
    </row>
    <row r="141" spans="1:7" hidden="1" x14ac:dyDescent="0.35">
      <c r="A141" t="s">
        <v>100</v>
      </c>
      <c r="B141" t="s">
        <v>70</v>
      </c>
      <c r="C141" t="s">
        <v>11</v>
      </c>
      <c r="D141">
        <v>5</v>
      </c>
      <c r="E141">
        <v>1111</v>
      </c>
      <c r="F141" t="s">
        <v>9</v>
      </c>
      <c r="G141" t="str">
        <f>IF(COUNTIFS(
    Final_backup!$B:$B, B141,
    Final_backup!$C:$C, C141,
    Final_backup!$D:$D, D141,
    Final_backup!$E:$E, E141
) = 0, "NO MATCH IN TARGET", "MATCHED")</f>
        <v>MATCHED</v>
      </c>
    </row>
    <row r="142" spans="1:7" ht="29" hidden="1" x14ac:dyDescent="0.35">
      <c r="A142" s="12">
        <v>46234.687581018516</v>
      </c>
      <c r="B142" s="13" t="s">
        <v>69</v>
      </c>
      <c r="C142" s="13" t="s">
        <v>11</v>
      </c>
      <c r="D142" s="14">
        <v>2</v>
      </c>
      <c r="E142" s="14">
        <v>2460</v>
      </c>
      <c r="F142" s="13" t="s">
        <v>9</v>
      </c>
      <c r="G142" t="str">
        <f>IF(COUNTIFS(
    Final_backup!$B:$B, B142,
    Final_backup!$C:$C, C142,
    Final_backup!$D:$D, D142,
    Final_backup!$E:$E, E142
) = 0, "NO MATCH IN TARGET", "MATCHED")</f>
        <v>MATCHED</v>
      </c>
    </row>
    <row r="143" spans="1:7" hidden="1" x14ac:dyDescent="0.35">
      <c r="A143" t="s">
        <v>91</v>
      </c>
      <c r="B143" t="s">
        <v>69</v>
      </c>
      <c r="C143" t="s">
        <v>11</v>
      </c>
      <c r="D143">
        <v>2</v>
      </c>
      <c r="E143">
        <v>2460</v>
      </c>
      <c r="F143" t="s">
        <v>9</v>
      </c>
      <c r="G143" t="str">
        <f>IF(COUNTIFS(
    Final_backup!$B:$B, B143,
    Final_backup!$C:$C, C143,
    Final_backup!$D:$D, D143,
    Final_backup!$E:$E, E143
) = 0, "NO MATCH IN TARGET", "MATCHED")</f>
        <v>MATCHED</v>
      </c>
    </row>
    <row r="144" spans="1:7" ht="29" x14ac:dyDescent="0.35">
      <c r="A144" s="12">
        <v>46234.687534722223</v>
      </c>
      <c r="B144" s="13" t="s">
        <v>77</v>
      </c>
      <c r="C144" s="13" t="s">
        <v>11</v>
      </c>
      <c r="D144" s="14">
        <v>5</v>
      </c>
      <c r="E144" s="14">
        <v>712</v>
      </c>
      <c r="F144" s="13" t="s">
        <v>9</v>
      </c>
      <c r="G144" t="str">
        <f>IF(COUNTIFS(
    Final_backup!$B:$B, B144,
    Final_backup!$C:$C, C144,
    Final_backup!$D:$D, D144,
    Final_backup!$E:$E, E144
) = 0, "NO MATCH IN TARGET", "MATCHED")</f>
        <v>MATCHED</v>
      </c>
    </row>
    <row r="145" spans="1:7" x14ac:dyDescent="0.35">
      <c r="A145" t="s">
        <v>90</v>
      </c>
      <c r="B145" t="s">
        <v>77</v>
      </c>
      <c r="C145" t="s">
        <v>11</v>
      </c>
      <c r="D145">
        <v>5</v>
      </c>
      <c r="E145">
        <v>712</v>
      </c>
      <c r="F145" t="s">
        <v>9</v>
      </c>
      <c r="G145" t="str">
        <f>IF(COUNTIFS(
    Final_backup!$B:$B, B145,
    Final_backup!$C:$C, C145,
    Final_backup!$D:$D, D145,
    Final_backup!$E:$E, E145
) = 0, "NO MATCH IN TARGET", "MATCHED")</f>
        <v>MATCHED</v>
      </c>
    </row>
    <row r="146" spans="1:7" ht="29" hidden="1" x14ac:dyDescent="0.35">
      <c r="A146" s="12">
        <v>46234.6875462963</v>
      </c>
      <c r="B146" s="13" t="s">
        <v>65</v>
      </c>
      <c r="C146" s="13" t="s">
        <v>11</v>
      </c>
      <c r="D146" s="14">
        <v>5</v>
      </c>
      <c r="E146" s="14">
        <v>812</v>
      </c>
      <c r="F146" s="13" t="s">
        <v>9</v>
      </c>
      <c r="G146" t="str">
        <f>IF(COUNTIFS(
    Final_backup!$B:$B, B146,
    Final_backup!$C:$C, C146,
    Final_backup!$D:$D, D146,
    Final_backup!$E:$E, E146
) = 0, "NO MATCH IN TARGET", "MATCHED")</f>
        <v>MATCHED</v>
      </c>
    </row>
    <row r="147" spans="1:7" hidden="1" x14ac:dyDescent="0.35">
      <c r="A147" t="s">
        <v>90</v>
      </c>
      <c r="B147" t="s">
        <v>65</v>
      </c>
      <c r="C147" t="s">
        <v>11</v>
      </c>
      <c r="D147">
        <v>5</v>
      </c>
      <c r="E147">
        <v>812</v>
      </c>
      <c r="F147" t="s">
        <v>9</v>
      </c>
      <c r="G147" t="str">
        <f>IF(COUNTIFS(
    Final_backup!$B:$B, B147,
    Final_backup!$C:$C, C147,
    Final_backup!$D:$D, D147,
    Final_backup!$E:$E, E147
) = 0, "NO MATCH IN TARGET", "MATCHED")</f>
        <v>MATCHED</v>
      </c>
    </row>
    <row r="148" spans="1:7" x14ac:dyDescent="0.35">
      <c r="A148" s="12">
        <v>46233.688402777778</v>
      </c>
      <c r="B148" s="13" t="s">
        <v>47</v>
      </c>
      <c r="C148" s="13" t="s">
        <v>11</v>
      </c>
      <c r="D148" s="14">
        <v>3</v>
      </c>
      <c r="E148" s="14">
        <v>3810</v>
      </c>
      <c r="F148" s="13" t="s">
        <v>9</v>
      </c>
      <c r="G148" t="str">
        <f>IF(COUNTIFS(
    Final_backup!$B:$B, B148,
    Final_backup!$C:$C, C148,
    Final_backup!$D:$D, D148,
    Final_backup!$E:$E, E148
) = 0, "NO MATCH IN TARGET", "MATCHED")</f>
        <v>MATCHED</v>
      </c>
    </row>
    <row r="149" spans="1:7" ht="29" hidden="1" x14ac:dyDescent="0.35">
      <c r="A149" s="12">
        <v>46237.690567129626</v>
      </c>
      <c r="B149" s="13" t="s">
        <v>25</v>
      </c>
      <c r="C149" s="13" t="s">
        <v>11</v>
      </c>
      <c r="D149" s="14">
        <v>1</v>
      </c>
      <c r="E149" s="14">
        <v>4364</v>
      </c>
      <c r="F149" s="13" t="s">
        <v>9</v>
      </c>
      <c r="G149" t="str">
        <f>IF(COUNTIFS(
    Final_backup!$B:$B, B149,
    Final_backup!$C:$C, C149,
    Final_backup!$D:$D, D149,
    Final_backup!$E:$E, E149
) = 0, "NO MATCH IN TARGET", "MATCHED")</f>
        <v>MATCHED</v>
      </c>
    </row>
    <row r="150" spans="1:7" x14ac:dyDescent="0.35">
      <c r="A150" s="12">
        <v>46234.687581018516</v>
      </c>
      <c r="B150" s="13" t="s">
        <v>10</v>
      </c>
      <c r="C150" s="13" t="s">
        <v>11</v>
      </c>
      <c r="D150" s="14">
        <v>10</v>
      </c>
      <c r="E150" s="14">
        <v>2460</v>
      </c>
      <c r="F150" s="13" t="s">
        <v>9</v>
      </c>
      <c r="G150" t="str">
        <f>IF(COUNTIFS(
    Final_backup!$B:$B, B150,
    Final_backup!$C:$C, C150,
    Final_backup!$D:$D, D150,
    Final_backup!$E:$E, E150
) = 0, "NO MATCH IN TARGET", "MATCHED")</f>
        <v>MATCHED</v>
      </c>
    </row>
    <row r="151" spans="1:7" x14ac:dyDescent="0.35">
      <c r="A151" s="12">
        <v>46234.687476851854</v>
      </c>
      <c r="B151" s="13" t="s">
        <v>53</v>
      </c>
      <c r="C151" s="13" t="s">
        <v>11</v>
      </c>
      <c r="D151" s="14">
        <v>5</v>
      </c>
      <c r="E151" s="14">
        <v>2888</v>
      </c>
      <c r="F151" s="13" t="s">
        <v>9</v>
      </c>
      <c r="G151" t="str">
        <f>IF(COUNTIFS(
    Final_backup!$B:$B, B151,
    Final_backup!$C:$C, C151,
    Final_backup!$D:$D, D151,
    Final_backup!$E:$E, E151
) = 0, "NO MATCH IN TARGET", "MATCHED")</f>
        <v>MATCHED</v>
      </c>
    </row>
    <row r="152" spans="1:7" x14ac:dyDescent="0.35">
      <c r="A152" t="s">
        <v>100</v>
      </c>
      <c r="B152" t="s">
        <v>53</v>
      </c>
      <c r="C152" t="s">
        <v>11</v>
      </c>
      <c r="D152">
        <v>5</v>
      </c>
      <c r="E152">
        <v>2888</v>
      </c>
      <c r="F152" t="s">
        <v>9</v>
      </c>
      <c r="G152" t="str">
        <f>IF(COUNTIFS(
    Final_backup!$B:$B, B152,
    Final_backup!$C:$C, C152,
    Final_backup!$D:$D, D152,
    Final_backup!$E:$E, E152
) = 0, "NO MATCH IN TARGET", "MATCHED")</f>
        <v>MATCHED</v>
      </c>
    </row>
    <row r="153" spans="1:7" ht="29" hidden="1" x14ac:dyDescent="0.35">
      <c r="A153" s="12">
        <v>46234.687604166669</v>
      </c>
      <c r="B153" s="13" t="s">
        <v>52</v>
      </c>
      <c r="C153" s="13" t="s">
        <v>11</v>
      </c>
      <c r="D153" s="14">
        <v>40</v>
      </c>
      <c r="E153" s="14">
        <v>897</v>
      </c>
      <c r="F153" s="13" t="s">
        <v>9</v>
      </c>
      <c r="G153" t="str">
        <f>IF(COUNTIFS(
    Final_backup!$B:$B, B153,
    Final_backup!$C:$C, C153,
    Final_backup!$D:$D, D153,
    Final_backup!$E:$E, E153
) = 0, "NO MATCH IN TARGET", "MATCHED")</f>
        <v>MATCHED</v>
      </c>
    </row>
    <row r="154" spans="1:7" hidden="1" x14ac:dyDescent="0.35">
      <c r="A154" t="s">
        <v>89</v>
      </c>
      <c r="B154" t="s">
        <v>52</v>
      </c>
      <c r="C154" t="s">
        <v>11</v>
      </c>
      <c r="D154">
        <v>40</v>
      </c>
      <c r="E154">
        <v>897</v>
      </c>
      <c r="F154" t="s">
        <v>9</v>
      </c>
      <c r="G154" t="str">
        <f>IF(COUNTIFS(
    Final_backup!$B:$B, B154,
    Final_backup!$C:$C, C154,
    Final_backup!$D:$D, D154,
    Final_backup!$E:$E, E154
) = 0, "NO MATCH IN TARGET", "MATCHED")</f>
        <v>MATCHED</v>
      </c>
    </row>
    <row r="155" spans="1:7" x14ac:dyDescent="0.35">
      <c r="A155" s="12">
        <v>46234.687557870369</v>
      </c>
      <c r="B155" s="13" t="s">
        <v>46</v>
      </c>
      <c r="C155" s="13" t="s">
        <v>11</v>
      </c>
      <c r="D155" s="14">
        <v>15</v>
      </c>
      <c r="E155" s="14">
        <v>4415</v>
      </c>
      <c r="F155" s="13" t="s">
        <v>9</v>
      </c>
      <c r="G155" t="str">
        <f>IF(COUNTIFS(
    Final_backup!$B:$B, B155,
    Final_backup!$C:$C, C155,
    Final_backup!$D:$D, D155,
    Final_backup!$E:$E, E155
) = 0, "NO MATCH IN TARGET", "MATCHED")</f>
        <v>MATCHED</v>
      </c>
    </row>
    <row r="156" spans="1:7" x14ac:dyDescent="0.35">
      <c r="A156" t="s">
        <v>99</v>
      </c>
      <c r="B156" t="s">
        <v>46</v>
      </c>
      <c r="C156" t="s">
        <v>11</v>
      </c>
      <c r="D156">
        <v>15</v>
      </c>
      <c r="E156">
        <v>4415</v>
      </c>
      <c r="F156" t="s">
        <v>9</v>
      </c>
      <c r="G156" t="str">
        <f>IF(COUNTIFS(
    Final_backup!$B:$B, B156,
    Final_backup!$C:$C, C156,
    Final_backup!$D:$D, D156,
    Final_backup!$E:$E, E156
) = 0, "NO MATCH IN TARGET", "MATCHED")</f>
        <v>MATCHED</v>
      </c>
    </row>
    <row r="157" spans="1:7" hidden="1" x14ac:dyDescent="0.35">
      <c r="A157" s="12">
        <v>46237.768877314818</v>
      </c>
      <c r="B157" s="13" t="s">
        <v>16</v>
      </c>
      <c r="C157" s="13" t="s">
        <v>11</v>
      </c>
      <c r="D157" s="14">
        <v>37</v>
      </c>
      <c r="E157" s="14">
        <v>277</v>
      </c>
      <c r="F157" s="13" t="s">
        <v>9</v>
      </c>
      <c r="G157" t="str">
        <f>IF(COUNTIFS(
    Final_backup!$B:$B, B157,
    Final_backup!$C:$C, C157,
    Final_backup!$D:$D, D157,
    Final_backup!$E:$E, E157
) = 0, "NO MATCH IN TARGET", "MATCHED")</f>
        <v>MATCHED</v>
      </c>
    </row>
    <row r="158" spans="1:7" ht="29" x14ac:dyDescent="0.35">
      <c r="A158" s="12">
        <v>46237.690567129626</v>
      </c>
      <c r="B158" s="13" t="s">
        <v>101</v>
      </c>
      <c r="C158" s="13" t="s">
        <v>11</v>
      </c>
      <c r="D158" s="14">
        <v>10</v>
      </c>
      <c r="E158" s="14">
        <v>251</v>
      </c>
      <c r="F158" s="13" t="s">
        <v>9</v>
      </c>
      <c r="G158" t="str">
        <f>IF(COUNTIFS(
    Final_backup!$B:$B, B158,
    Final_backup!$C:$C, C158,
    Final_backup!$D:$D, D158,
    Final_backup!$E:$E, E158
) = 0, "NO MATCH IN TARGET", "MATCHED")</f>
        <v>MATCHED</v>
      </c>
    </row>
    <row r="159" spans="1:7" ht="29" x14ac:dyDescent="0.35">
      <c r="A159" s="12">
        <v>46237.690578703703</v>
      </c>
      <c r="B159" s="13" t="s">
        <v>102</v>
      </c>
      <c r="C159" s="13" t="s">
        <v>11</v>
      </c>
      <c r="D159" s="14">
        <v>100</v>
      </c>
      <c r="E159" s="14">
        <v>111</v>
      </c>
      <c r="F159" s="13" t="s">
        <v>9</v>
      </c>
      <c r="G159" t="str">
        <f>IF(COUNTIFS(
    Final_backup!$B:$B, B159,
    Final_backup!$C:$C, C159,
    Final_backup!$D:$D, D159,
    Final_backup!$E:$E, E159
) = 0, "NO MATCH IN TARGET", "MATCHED")</f>
        <v>MATCHED</v>
      </c>
    </row>
    <row r="160" spans="1:7" ht="29" hidden="1" x14ac:dyDescent="0.35">
      <c r="A160" s="12">
        <v>46237.690462962964</v>
      </c>
      <c r="B160" s="13" t="s">
        <v>19</v>
      </c>
      <c r="C160" s="13" t="s">
        <v>11</v>
      </c>
      <c r="D160" s="14">
        <v>11</v>
      </c>
      <c r="E160" s="14">
        <v>882</v>
      </c>
      <c r="F160" s="13" t="s">
        <v>9</v>
      </c>
      <c r="G160" t="str">
        <f>IF(COUNTIFS(
    Final_backup!$B:$B, B160,
    Final_backup!$C:$C, C160,
    Final_backup!$D:$D, D160,
    Final_backup!$E:$E, E160
) = 0, "NO MATCH IN TARGET", "MATCHED")</f>
        <v>MATCHED</v>
      </c>
    </row>
    <row r="161" spans="1:7" ht="29" x14ac:dyDescent="0.35">
      <c r="A161" s="12">
        <v>46234.687592592592</v>
      </c>
      <c r="B161" s="13" t="s">
        <v>74</v>
      </c>
      <c r="C161" s="13" t="s">
        <v>11</v>
      </c>
      <c r="D161" s="14">
        <v>1</v>
      </c>
      <c r="E161" s="14">
        <v>4110</v>
      </c>
      <c r="F161" s="13" t="s">
        <v>9</v>
      </c>
      <c r="G161" t="str">
        <f>IF(COUNTIFS(
    Final_backup!$B:$B, B161,
    Final_backup!$C:$C, C161,
    Final_backup!$D:$D, D161,
    Final_backup!$E:$E, E161
) = 0, "NO MATCH IN TARGET", "MATCHED")</f>
        <v>MATCHED</v>
      </c>
    </row>
    <row r="162" spans="1:7" x14ac:dyDescent="0.35">
      <c r="A162" t="s">
        <v>100</v>
      </c>
      <c r="B162" t="s">
        <v>74</v>
      </c>
      <c r="C162" t="s">
        <v>11</v>
      </c>
      <c r="D162">
        <v>1</v>
      </c>
      <c r="E162">
        <v>4110</v>
      </c>
      <c r="F162" t="s">
        <v>9</v>
      </c>
      <c r="G162" t="str">
        <f>IF(COUNTIFS(
    Final_backup!$B:$B, B162,
    Final_backup!$C:$C, C162,
    Final_backup!$D:$D, D162,
    Final_backup!$E:$E, E162
) = 0, "NO MATCH IN TARGET", "MATCHED")</f>
        <v>MATCHED</v>
      </c>
    </row>
    <row r="163" spans="1:7" x14ac:dyDescent="0.35">
      <c r="A163" t="s">
        <v>89</v>
      </c>
      <c r="B163" t="s">
        <v>61</v>
      </c>
      <c r="C163" t="s">
        <v>11</v>
      </c>
      <c r="D163">
        <v>20</v>
      </c>
      <c r="E163">
        <v>220.1</v>
      </c>
      <c r="F163" t="s">
        <v>9</v>
      </c>
      <c r="G163" t="str">
        <f>IF(COUNTIFS(
    Final_backup!$B:$B, B163,
    Final_backup!$C:$C, C163,
    Final_backup!$D:$D, D163,
    Final_backup!$E:$E, E163
) = 0, "NO MATCH IN TARGET", "MATCHED")</f>
        <v>MATCHED</v>
      </c>
    </row>
    <row r="164" spans="1:7" x14ac:dyDescent="0.35">
      <c r="A164" t="s">
        <v>99</v>
      </c>
      <c r="B164" t="s">
        <v>66</v>
      </c>
      <c r="C164" t="s">
        <v>11</v>
      </c>
      <c r="D164">
        <v>1</v>
      </c>
      <c r="E164">
        <v>17552</v>
      </c>
      <c r="F164" t="s">
        <v>9</v>
      </c>
      <c r="G164" t="str">
        <f>IF(COUNTIFS(
    Final_backup!$B:$B, B164,
    Final_backup!$C:$C, C164,
    Final_backup!$D:$D, D164,
    Final_backup!$E:$E, E164
) = 0, "NO MATCH IN TARGET", "MATCHED")</f>
        <v>MATCHED</v>
      </c>
    </row>
    <row r="165" spans="1:7" hidden="1" x14ac:dyDescent="0.35">
      <c r="A165" s="12">
        <v>46237.769120370373</v>
      </c>
      <c r="B165" s="13" t="s">
        <v>40</v>
      </c>
      <c r="C165" s="13" t="s">
        <v>11</v>
      </c>
      <c r="D165" s="14">
        <v>100</v>
      </c>
      <c r="E165" s="14">
        <v>344</v>
      </c>
      <c r="F165" s="13" t="s">
        <v>9</v>
      </c>
      <c r="G165" t="str">
        <f>IF(COUNTIFS(
    Final_backup!$B:$B, B165,
    Final_backup!$C:$C, C165,
    Final_backup!$D:$D, D165,
    Final_backup!$E:$E, E165
) = 0, "NO MATCH IN TARGET", "MATCHED")</f>
        <v>MATCHED</v>
      </c>
    </row>
    <row r="166" spans="1:7" ht="29" x14ac:dyDescent="0.35">
      <c r="A166" s="12">
        <v>46233.688356481478</v>
      </c>
      <c r="B166" s="13" t="s">
        <v>77</v>
      </c>
      <c r="C166" s="13" t="s">
        <v>11</v>
      </c>
      <c r="D166" s="14">
        <v>5</v>
      </c>
      <c r="E166" s="14">
        <v>702</v>
      </c>
      <c r="F166" s="13" t="s">
        <v>9</v>
      </c>
      <c r="G166" t="str">
        <f>IF(COUNTIFS(
    Final_backup!$B:$B, B166,
    Final_backup!$C:$C, C166,
    Final_backup!$D:$D, D166,
    Final_backup!$E:$E, E166
) = 0, "NO MATCH IN TARGET", "MATCHED")</f>
        <v>MATCHED</v>
      </c>
    </row>
    <row r="167" spans="1:7" x14ac:dyDescent="0.35">
      <c r="A167" s="12">
        <v>46233.688402777778</v>
      </c>
      <c r="B167" s="13" t="s">
        <v>47</v>
      </c>
      <c r="C167" s="13" t="s">
        <v>11</v>
      </c>
      <c r="D167" s="14">
        <v>2</v>
      </c>
      <c r="E167" s="14">
        <v>3760</v>
      </c>
      <c r="F167" s="13" t="s">
        <v>9</v>
      </c>
      <c r="G167" t="str">
        <f>IF(COUNTIFS(
    Final_backup!$B:$B, B167,
    Final_backup!$C:$C, C167,
    Final_backup!$D:$D, D167,
    Final_backup!$E:$E, E167
) = 0, "NO MATCH IN TARGET", "MATCHED")</f>
        <v>MATCHED</v>
      </c>
    </row>
    <row r="168" spans="1:7" x14ac:dyDescent="0.35">
      <c r="A168" s="12">
        <v>46234.687638888892</v>
      </c>
      <c r="B168" s="13" t="s">
        <v>49</v>
      </c>
      <c r="C168" s="13" t="s">
        <v>11</v>
      </c>
      <c r="D168" s="14">
        <v>1</v>
      </c>
      <c r="E168" s="14">
        <v>3360</v>
      </c>
      <c r="F168" s="13" t="s">
        <v>9</v>
      </c>
      <c r="G168" t="str">
        <f>IF(COUNTIFS(
    Final_backup!$B:$B, B168,
    Final_backup!$C:$C, C168,
    Final_backup!$D:$D, D168,
    Final_backup!$E:$E, E168
) = 0, "NO MATCH IN TARGET", "MATCHED")</f>
        <v>MATCHED</v>
      </c>
    </row>
    <row r="169" spans="1:7" ht="29" x14ac:dyDescent="0.35">
      <c r="A169" s="12">
        <v>46234.687662037039</v>
      </c>
      <c r="B169" s="13" t="s">
        <v>34</v>
      </c>
      <c r="C169" s="13" t="s">
        <v>11</v>
      </c>
      <c r="D169" s="14">
        <v>25</v>
      </c>
      <c r="E169" s="14">
        <v>352</v>
      </c>
      <c r="F169" s="13" t="s">
        <v>9</v>
      </c>
      <c r="G169" t="str">
        <f>IF(COUNTIFS(
    Final_backup!$B:$B, B169,
    Final_backup!$C:$C, C169,
    Final_backup!$D:$D, D169,
    Final_backup!$E:$E, E169
) = 0, "NO MATCH IN TARGET", "MATCHED")</f>
        <v>MATCHED</v>
      </c>
    </row>
    <row r="170" spans="1:7" ht="29" x14ac:dyDescent="0.35">
      <c r="A170" s="12">
        <v>46233.688402777778</v>
      </c>
      <c r="B170" s="13" t="s">
        <v>74</v>
      </c>
      <c r="C170" s="13" t="s">
        <v>11</v>
      </c>
      <c r="D170" s="14">
        <v>2</v>
      </c>
      <c r="E170" s="14">
        <v>4060</v>
      </c>
      <c r="F170" s="13" t="s">
        <v>9</v>
      </c>
      <c r="G170" t="str">
        <f>IF(COUNTIFS(
    Final_backup!$B:$B, B170,
    Final_backup!$C:$C, C170,
    Final_backup!$D:$D, D170,
    Final_backup!$E:$E, E170
) = 0, "NO MATCH IN TARGET", "MATCHED")</f>
        <v>MATCHED</v>
      </c>
    </row>
    <row r="171" spans="1:7" ht="29" hidden="1" x14ac:dyDescent="0.35">
      <c r="A171" s="12">
        <v>46237.768946759257</v>
      </c>
      <c r="B171" s="13" t="s">
        <v>18</v>
      </c>
      <c r="C171" s="13" t="s">
        <v>11</v>
      </c>
      <c r="D171" s="14">
        <v>45</v>
      </c>
      <c r="E171" s="14">
        <v>136.15</v>
      </c>
      <c r="F171" s="13" t="s">
        <v>9</v>
      </c>
      <c r="G171" t="str">
        <f>IF(COUNTIFS(
    Final_backup!$B:$B, B171,
    Final_backup!$C:$C, C171,
    Final_backup!$D:$D, D171,
    Final_backup!$E:$E, E171
) = 0, "NO MATCH IN TARGET", "MATCHED")</f>
        <v>MATCHED</v>
      </c>
    </row>
    <row r="172" spans="1:7" ht="29" x14ac:dyDescent="0.35">
      <c r="A172" s="12">
        <v>46234.687511574077</v>
      </c>
      <c r="B172" s="13" t="s">
        <v>103</v>
      </c>
      <c r="C172" s="13" t="s">
        <v>11</v>
      </c>
      <c r="D172" s="14">
        <v>4</v>
      </c>
      <c r="E172" s="14">
        <v>1066</v>
      </c>
      <c r="F172" s="13" t="s">
        <v>9</v>
      </c>
      <c r="G172" t="str">
        <f>IF(COUNTIFS(
    Final_backup!$B:$B, B172,
    Final_backup!$C:$C, C172,
    Final_backup!$D:$D, D172,
    Final_backup!$E:$E, E172
) = 0, "NO MATCH IN TARGET", "MATCHED")</f>
        <v>MATCHED</v>
      </c>
    </row>
    <row r="173" spans="1:7" x14ac:dyDescent="0.35">
      <c r="A173" t="s">
        <v>99</v>
      </c>
      <c r="B173" t="s">
        <v>103</v>
      </c>
      <c r="C173" t="s">
        <v>11</v>
      </c>
      <c r="D173">
        <v>4</v>
      </c>
      <c r="E173">
        <v>1066</v>
      </c>
      <c r="F173" t="s">
        <v>9</v>
      </c>
      <c r="G173" t="str">
        <f>IF(COUNTIFS(
    Final_backup!$B:$B, B173,
    Final_backup!$C:$C, C173,
    Final_backup!$D:$D, D173,
    Final_backup!$E:$E, E173
) = 0, "NO MATCH IN TARGET", "MATCHED")</f>
        <v>MATCHED</v>
      </c>
    </row>
    <row r="174" spans="1:7" hidden="1" x14ac:dyDescent="0.35">
      <c r="A174" s="12">
        <v>46237.690625000003</v>
      </c>
      <c r="B174" s="13" t="s">
        <v>40</v>
      </c>
      <c r="C174" s="13" t="s">
        <v>11</v>
      </c>
      <c r="D174" s="14">
        <v>100</v>
      </c>
      <c r="E174" s="14">
        <v>340.2</v>
      </c>
      <c r="F174" s="13" t="s">
        <v>9</v>
      </c>
      <c r="G174" t="str">
        <f>IF(COUNTIFS(
    Final_backup!$B:$B, B174,
    Final_backup!$C:$C, C174,
    Final_backup!$D:$D, D174,
    Final_backup!$E:$E, E174
) = 0, "NO MATCH IN TARGET", "MATCHED")</f>
        <v>MATCHED</v>
      </c>
    </row>
    <row r="175" spans="1:7" hidden="1" x14ac:dyDescent="0.35">
      <c r="A175" s="12">
        <v>46237.690625000003</v>
      </c>
      <c r="B175" s="13" t="s">
        <v>40</v>
      </c>
      <c r="C175" s="13" t="s">
        <v>11</v>
      </c>
      <c r="D175" s="14">
        <v>100</v>
      </c>
      <c r="E175" s="14">
        <v>337</v>
      </c>
      <c r="F175" s="13" t="s">
        <v>9</v>
      </c>
      <c r="G175" t="str">
        <f>IF(COUNTIFS(
    Final_backup!$B:$B, B175,
    Final_backup!$C:$C, C175,
    Final_backup!$D:$D, D175,
    Final_backup!$E:$E, E175
) = 0, "NO MATCH IN TARGET", "MATCHED")</f>
        <v>MATCHED</v>
      </c>
    </row>
    <row r="176" spans="1:7" ht="29" x14ac:dyDescent="0.35">
      <c r="A176" s="12">
        <v>46233.688402777778</v>
      </c>
      <c r="B176" s="13" t="s">
        <v>74</v>
      </c>
      <c r="C176" s="13" t="s">
        <v>11</v>
      </c>
      <c r="D176" s="14">
        <v>2</v>
      </c>
      <c r="E176" s="14">
        <v>4010</v>
      </c>
      <c r="F176" s="13" t="s">
        <v>9</v>
      </c>
      <c r="G176" t="str">
        <f>IF(COUNTIFS(
    Final_backup!$B:$B, B176,
    Final_backup!$C:$C, C176,
    Final_backup!$D:$D, D176,
    Final_backup!$E:$E, E176
) = 0, "NO MATCH IN TARGET", "MATCHED")</f>
        <v>MATCHED</v>
      </c>
    </row>
    <row r="177" spans="1:7" ht="29" hidden="1" x14ac:dyDescent="0.35">
      <c r="A177" s="12">
        <v>46237.690474537034</v>
      </c>
      <c r="B177" s="13" t="s">
        <v>19</v>
      </c>
      <c r="C177" s="13" t="s">
        <v>11</v>
      </c>
      <c r="D177" s="14">
        <v>30</v>
      </c>
      <c r="E177" s="14">
        <v>860</v>
      </c>
      <c r="F177" s="13" t="s">
        <v>9</v>
      </c>
      <c r="G177" t="str">
        <f>IF(COUNTIFS(
    Final_backup!$B:$B, B177,
    Final_backup!$C:$C, C177,
    Final_backup!$D:$D, D177,
    Final_backup!$E:$E, E177
) = 0, "NO MATCH IN TARGET", "MATCHED")</f>
        <v>MATCHED</v>
      </c>
    </row>
    <row r="178" spans="1:7" ht="29" hidden="1" x14ac:dyDescent="0.35">
      <c r="A178" s="12">
        <v>46237.768877314818</v>
      </c>
      <c r="B178" s="13" t="s">
        <v>23</v>
      </c>
      <c r="C178" s="13" t="s">
        <v>11</v>
      </c>
      <c r="D178" s="14">
        <v>4</v>
      </c>
      <c r="E178" s="14">
        <v>1751</v>
      </c>
      <c r="F178" s="13" t="s">
        <v>9</v>
      </c>
      <c r="G178" t="str">
        <f>IF(COUNTIFS(
    Final_backup!$B:$B, B178,
    Final_backup!$C:$C, C178,
    Final_backup!$D:$D, D178,
    Final_backup!$E:$E, E178
) = 0, "NO MATCH IN TARGET", "MATCHED")</f>
        <v>MATCHED</v>
      </c>
    </row>
    <row r="179" spans="1:7" x14ac:dyDescent="0.35">
      <c r="A179" t="s">
        <v>91</v>
      </c>
      <c r="B179" t="s">
        <v>67</v>
      </c>
      <c r="C179" t="s">
        <v>11</v>
      </c>
      <c r="D179">
        <v>9</v>
      </c>
      <c r="E179">
        <v>2251</v>
      </c>
      <c r="F179" t="s">
        <v>9</v>
      </c>
      <c r="G179" t="str">
        <f>IF(COUNTIFS(
    Final_backup!$B:$B, B179,
    Final_backup!$C:$C, C179,
    Final_backup!$D:$D, D179,
    Final_backup!$E:$E, E179
) = 0, "NO MATCH IN TARGET", "MATCHED")</f>
        <v>MATCHED</v>
      </c>
    </row>
    <row r="180" spans="1:7" hidden="1" x14ac:dyDescent="0.35">
      <c r="A180" s="12">
        <v>46234.687685185185</v>
      </c>
      <c r="B180" s="13" t="s">
        <v>40</v>
      </c>
      <c r="C180" s="13" t="s">
        <v>11</v>
      </c>
      <c r="D180" s="14">
        <v>100</v>
      </c>
      <c r="E180" s="14">
        <v>335</v>
      </c>
      <c r="F180" s="13" t="s">
        <v>9</v>
      </c>
      <c r="G180" t="str">
        <f>IF(COUNTIFS(
    Final_backup!$B:$B, B180,
    Final_backup!$C:$C, C180,
    Final_backup!$D:$D, D180,
    Final_backup!$E:$E, E180
) = 0, "NO MATCH IN TARGET", "MATCHED")</f>
        <v>MATCHED</v>
      </c>
    </row>
    <row r="181" spans="1:7" ht="29" x14ac:dyDescent="0.35">
      <c r="A181" s="12">
        <v>46237.690474537034</v>
      </c>
      <c r="B181" s="13" t="s">
        <v>19</v>
      </c>
      <c r="C181" s="13" t="s">
        <v>11</v>
      </c>
      <c r="D181" s="14">
        <v>5</v>
      </c>
      <c r="E181" s="14">
        <v>852</v>
      </c>
      <c r="F181" s="13" t="s">
        <v>9</v>
      </c>
      <c r="G181" t="str">
        <f>IF(COUNTIFS(
    Final_backup!$B:$B, B181,
    Final_backup!$C:$C, C181,
    Final_backup!$D:$D, D181,
    Final_backup!$E:$E, E181
) = 0, "NO MATCH IN TARGET", "MATCHED")</f>
        <v>MATCHED</v>
      </c>
    </row>
    <row r="182" spans="1:7" ht="29" x14ac:dyDescent="0.35">
      <c r="A182" s="12">
        <v>46237.690567129626</v>
      </c>
      <c r="B182" s="13" t="s">
        <v>25</v>
      </c>
      <c r="C182" s="13" t="s">
        <v>11</v>
      </c>
      <c r="D182" s="14">
        <v>1</v>
      </c>
      <c r="E182" s="14">
        <v>4164</v>
      </c>
      <c r="F182" s="13" t="s">
        <v>9</v>
      </c>
      <c r="G182" t="str">
        <f>IF(COUNTIFS(
    Final_backup!$B:$B, B182,
    Final_backup!$C:$C, C182,
    Final_backup!$D:$D, D182,
    Final_backup!$E:$E, E182
) = 0, "NO MATCH IN TARGET", "MATCHED")</f>
        <v>MATCHED</v>
      </c>
    </row>
    <row r="183" spans="1:7" x14ac:dyDescent="0.35">
      <c r="A183" s="12">
        <v>46237.769074074073</v>
      </c>
      <c r="B183" s="13" t="s">
        <v>104</v>
      </c>
      <c r="C183" s="13" t="s">
        <v>11</v>
      </c>
      <c r="D183" s="14">
        <v>7</v>
      </c>
      <c r="E183" s="14">
        <v>411</v>
      </c>
      <c r="F183" s="13" t="s">
        <v>9</v>
      </c>
      <c r="G183" t="str">
        <f>IF(COUNTIFS(
    Final_backup!$B:$B, B183,
    Final_backup!$C:$C, C183,
    Final_backup!$D:$D, D183,
    Final_backup!$E:$E, E183
) = 0, "NO MATCH IN TARGET", "MATCHED")</f>
        <v>MATCHED</v>
      </c>
    </row>
    <row r="184" spans="1:7" ht="29" x14ac:dyDescent="0.35">
      <c r="A184" s="12">
        <v>46237.690486111111</v>
      </c>
      <c r="B184" s="13" t="s">
        <v>94</v>
      </c>
      <c r="C184" s="13" t="s">
        <v>11</v>
      </c>
      <c r="D184" s="14">
        <v>29</v>
      </c>
      <c r="E184" s="14">
        <v>401</v>
      </c>
      <c r="F184" s="13" t="s">
        <v>9</v>
      </c>
      <c r="G184" t="str">
        <f>IF(COUNTIFS(
    Final_backup!$B:$B, B184,
    Final_backup!$C:$C, C184,
    Final_backup!$D:$D, D184,
    Final_backup!$E:$E, E184
) = 0, "NO MATCH IN TARGET", "MATCHED")</f>
        <v>MATCHED</v>
      </c>
    </row>
    <row r="185" spans="1:7" x14ac:dyDescent="0.35">
      <c r="A185" s="12">
        <v>46237.769120370373</v>
      </c>
      <c r="B185" s="13" t="s">
        <v>40</v>
      </c>
      <c r="C185" s="13" t="s">
        <v>11</v>
      </c>
      <c r="D185" s="14">
        <v>100</v>
      </c>
      <c r="E185" s="14">
        <v>331</v>
      </c>
      <c r="F185" s="13" t="s">
        <v>9</v>
      </c>
      <c r="G185" t="str">
        <f>IF(COUNTIFS(
    Final_backup!$B:$B, B185,
    Final_backup!$C:$C, C185,
    Final_backup!$D:$D, D185,
    Final_backup!$E:$E, E185
) = 0, "NO MATCH IN TARGET", "MATCHED")</f>
        <v>MATCHED</v>
      </c>
    </row>
    <row r="186" spans="1:7" x14ac:dyDescent="0.35">
      <c r="A186" s="12">
        <v>46237.768946759257</v>
      </c>
      <c r="B186" s="13" t="s">
        <v>14</v>
      </c>
      <c r="C186" s="13" t="s">
        <v>11</v>
      </c>
      <c r="D186" s="14">
        <v>15</v>
      </c>
      <c r="E186" s="14">
        <v>492</v>
      </c>
      <c r="F186" s="13" t="s">
        <v>9</v>
      </c>
      <c r="G186" t="str">
        <f>IF(COUNTIFS(
    Final_backup!$B:$B, B186,
    Final_backup!$C:$C, C186,
    Final_backup!$D:$D, D186,
    Final_backup!$E:$E, E186
) = 0, "NO MATCH IN TARGET", "MATCHED")</f>
        <v>MATCHED</v>
      </c>
    </row>
    <row r="187" spans="1:7" x14ac:dyDescent="0.35">
      <c r="A187" s="12">
        <v>46234.6875</v>
      </c>
      <c r="B187" s="13" t="s">
        <v>105</v>
      </c>
      <c r="C187" s="13" t="s">
        <v>11</v>
      </c>
      <c r="D187" s="14">
        <v>1</v>
      </c>
      <c r="E187" s="14">
        <v>6920</v>
      </c>
      <c r="F187" s="13" t="s">
        <v>9</v>
      </c>
      <c r="G187" t="str">
        <f>IF(COUNTIFS(
    Final_backup!$B:$B, B187,
    Final_backup!$C:$C, C187,
    Final_backup!$D:$D, D187,
    Final_backup!$E:$E, E187
) = 0, "NO MATCH IN TARGET", "MATCHED")</f>
        <v>MATCHED</v>
      </c>
    </row>
    <row r="188" spans="1:7" x14ac:dyDescent="0.35">
      <c r="A188" t="s">
        <v>106</v>
      </c>
      <c r="B188" t="s">
        <v>105</v>
      </c>
      <c r="C188" t="s">
        <v>11</v>
      </c>
      <c r="D188">
        <v>1</v>
      </c>
      <c r="E188">
        <v>6920</v>
      </c>
      <c r="F188" t="s">
        <v>9</v>
      </c>
      <c r="G188" t="str">
        <f>IF(COUNTIFS(
    Final_backup!$B:$B, B188,
    Final_backup!$C:$C, C188,
    Final_backup!$D:$D, D188,
    Final_backup!$E:$E, E188
) = 0, "NO MATCH IN TARGET", "MATCHED")</f>
        <v>MATCHED</v>
      </c>
    </row>
    <row r="189" spans="1:7" x14ac:dyDescent="0.35">
      <c r="A189" s="12">
        <v>46237.768877314818</v>
      </c>
      <c r="B189" s="13" t="s">
        <v>29</v>
      </c>
      <c r="C189" s="13" t="s">
        <v>11</v>
      </c>
      <c r="D189" s="14">
        <v>200</v>
      </c>
      <c r="E189" s="14">
        <v>31.01</v>
      </c>
      <c r="F189" s="13" t="s">
        <v>9</v>
      </c>
      <c r="G189" t="str">
        <f>IF(COUNTIFS(
    Final_backup!$B:$B, B189,
    Final_backup!$C:$C, C189,
    Final_backup!$D:$D, D189,
    Final_backup!$E:$E, E189
) = 0, "NO MATCH IN TARGET", "MATCHED")</f>
        <v>MATCHED</v>
      </c>
    </row>
    <row r="190" spans="1:7" ht="29" x14ac:dyDescent="0.35">
      <c r="A190" s="12">
        <v>46237.768877314818</v>
      </c>
      <c r="B190" s="13" t="s">
        <v>92</v>
      </c>
      <c r="C190" s="13" t="s">
        <v>11</v>
      </c>
      <c r="D190" s="14">
        <v>1</v>
      </c>
      <c r="E190" s="14">
        <v>2064</v>
      </c>
      <c r="F190" s="13" t="s">
        <v>9</v>
      </c>
      <c r="G190" t="str">
        <f>IF(COUNTIFS(
    Final_backup!$B:$B, B190,
    Final_backup!$C:$C, C190,
    Final_backup!$D:$D, D190,
    Final_backup!$E:$E, E190
) = 0, "NO MATCH IN TARGET", "MATCHED")</f>
        <v>MATCHED</v>
      </c>
    </row>
    <row r="191" spans="1:7" ht="29" x14ac:dyDescent="0.35">
      <c r="A191" s="12">
        <v>46234.687581018516</v>
      </c>
      <c r="B191" s="13" t="s">
        <v>107</v>
      </c>
      <c r="C191" s="13" t="s">
        <v>11</v>
      </c>
      <c r="D191" s="14">
        <v>4</v>
      </c>
      <c r="E191" s="14">
        <v>701</v>
      </c>
      <c r="F191" s="13" t="s">
        <v>9</v>
      </c>
      <c r="G191" t="str">
        <f>IF(COUNTIFS(
    Final_backup!$B:$B, B191,
    Final_backup!$C:$C, C191,
    Final_backup!$D:$D, D191,
    Final_backup!$E:$E, E191
) = 0, "NO MATCH IN TARGET", "MATCHED")</f>
        <v>MATCHED</v>
      </c>
    </row>
    <row r="192" spans="1:7" x14ac:dyDescent="0.35">
      <c r="A192" t="s">
        <v>99</v>
      </c>
      <c r="B192" t="s">
        <v>107</v>
      </c>
      <c r="C192" t="s">
        <v>11</v>
      </c>
      <c r="D192">
        <v>4</v>
      </c>
      <c r="E192">
        <v>701</v>
      </c>
      <c r="F192" t="s">
        <v>9</v>
      </c>
      <c r="G192" t="str">
        <f>IF(COUNTIFS(
    Final_backup!$B:$B, B192,
    Final_backup!$C:$C, C192,
    Final_backup!$D:$D, D192,
    Final_backup!$E:$E, E192
) = 0, "NO MATCH IN TARGET", "MATCHED")</f>
        <v>MATCHED</v>
      </c>
    </row>
    <row r="193" spans="1:7" x14ac:dyDescent="0.35">
      <c r="A193" s="12">
        <v>46237.769120370373</v>
      </c>
      <c r="B193" s="13" t="s">
        <v>40</v>
      </c>
      <c r="C193" s="13" t="s">
        <v>11</v>
      </c>
      <c r="D193" s="14">
        <v>100</v>
      </c>
      <c r="E193" s="14">
        <v>327</v>
      </c>
      <c r="F193" s="13" t="s">
        <v>9</v>
      </c>
      <c r="G193" t="str">
        <f>IF(COUNTIFS(
    Final_backup!$B:$B, B193,
    Final_backup!$C:$C, C193,
    Final_backup!$D:$D, D193,
    Final_backup!$E:$E, E193
) = 0, "NO MATCH IN TARGET", "MATCHED")</f>
        <v>MATCHED</v>
      </c>
    </row>
    <row r="194" spans="1:7" x14ac:dyDescent="0.35">
      <c r="A194" s="12">
        <v>46237.769120370373</v>
      </c>
      <c r="B194" s="13" t="s">
        <v>40</v>
      </c>
      <c r="C194" s="13" t="s">
        <v>11</v>
      </c>
      <c r="D194" s="14">
        <v>100</v>
      </c>
      <c r="E194" s="14">
        <v>322</v>
      </c>
      <c r="F194" s="13" t="s">
        <v>9</v>
      </c>
      <c r="G194" t="str">
        <f>IF(COUNTIFS(
    Final_backup!$B:$B, B194,
    Final_backup!$C:$C, C194,
    Final_backup!$D:$D, D194,
    Final_backup!$E:$E, E194
) = 0, "NO MATCH IN TARGET", "MATCHED")</f>
        <v>MATCHED</v>
      </c>
    </row>
    <row r="195" spans="1:7" ht="29" x14ac:dyDescent="0.35">
      <c r="A195" s="12">
        <v>46234.687615740739</v>
      </c>
      <c r="B195" s="13" t="s">
        <v>25</v>
      </c>
      <c r="C195" s="13" t="s">
        <v>11</v>
      </c>
      <c r="D195" s="14">
        <v>1</v>
      </c>
      <c r="E195" s="14">
        <v>4014</v>
      </c>
      <c r="F195" s="13" t="s">
        <v>9</v>
      </c>
      <c r="G195" t="str">
        <f>IF(COUNTIFS(
    Final_backup!$B:$B, B195,
    Final_backup!$C:$C, C195,
    Final_backup!$D:$D, D195,
    Final_backup!$E:$E, E195
) = 0, "NO MATCH IN TARGET", "MATCHED")</f>
        <v>MATCHED</v>
      </c>
    </row>
    <row r="196" spans="1:7" x14ac:dyDescent="0.35">
      <c r="A196" s="12">
        <v>46234.687615740739</v>
      </c>
      <c r="B196" s="13" t="s">
        <v>14</v>
      </c>
      <c r="C196" s="13" t="s">
        <v>11</v>
      </c>
      <c r="D196" s="14">
        <v>10</v>
      </c>
      <c r="E196" s="14">
        <v>468</v>
      </c>
      <c r="F196" s="13" t="s">
        <v>9</v>
      </c>
      <c r="G196" t="str">
        <f>IF(COUNTIFS(
    Final_backup!$B:$B, B196,
    Final_backup!$C:$C, C196,
    Final_backup!$D:$D, D196,
    Final_backup!$E:$E, E196
) = 0, "NO MATCH IN TARGET", "MATCHED")</f>
        <v>MATCHED</v>
      </c>
    </row>
    <row r="197" spans="1:7" ht="29" x14ac:dyDescent="0.35">
      <c r="A197" s="12">
        <v>46233.688414351855</v>
      </c>
      <c r="B197" s="13" t="s">
        <v>92</v>
      </c>
      <c r="C197" s="13" t="s">
        <v>11</v>
      </c>
      <c r="D197" s="14">
        <v>1</v>
      </c>
      <c r="E197" s="14">
        <v>1964</v>
      </c>
      <c r="F197" s="13" t="s">
        <v>9</v>
      </c>
      <c r="G197" t="str">
        <f>IF(COUNTIFS(
    Final_backup!$B:$B, B197,
    Final_backup!$C:$C, C197,
    Final_backup!$D:$D, D197,
    Final_backup!$E:$E, E197
) = 0, "NO MATCH IN TARGET", "MATCHED")</f>
        <v>MATCHED</v>
      </c>
    </row>
    <row r="198" spans="1:7" ht="29" x14ac:dyDescent="0.35">
      <c r="A198" s="12">
        <v>46234.687627314815</v>
      </c>
      <c r="B198" s="13" t="s">
        <v>25</v>
      </c>
      <c r="C198" s="13" t="s">
        <v>11</v>
      </c>
      <c r="D198" s="14">
        <v>1</v>
      </c>
      <c r="E198" s="14">
        <v>3914</v>
      </c>
      <c r="F198" s="13" t="s">
        <v>9</v>
      </c>
      <c r="G198" t="str">
        <f>IF(COUNTIFS(
    Final_backup!$B:$B, B198,
    Final_backup!$C:$C, C198,
    Final_backup!$D:$D, D198,
    Final_backup!$E:$E, E198
) = 0, "NO MATCH IN TARGET", "MATCHED")</f>
        <v>MATCHED</v>
      </c>
    </row>
    <row r="199" spans="1:7" x14ac:dyDescent="0.35">
      <c r="A199" t="s">
        <v>86</v>
      </c>
      <c r="B199" t="s">
        <v>63</v>
      </c>
      <c r="C199" t="s">
        <v>8</v>
      </c>
      <c r="D199">
        <v>150</v>
      </c>
      <c r="E199" s="16">
        <v>125.9</v>
      </c>
      <c r="F199" t="s">
        <v>9</v>
      </c>
      <c r="G199" t="str">
        <f>IF(COUNTIFS(
    Final_backup!$B:$B, B199,
    Final_backup!$C:$C, C199,
    Final_backup!$D:$D, D199,
    Final_backup!$E:$E, E199
) = 0, "NO MATCH IN TARGET", "MATCHED")</f>
        <v>MATCHED</v>
      </c>
    </row>
    <row r="200" spans="1:7" hidden="1" x14ac:dyDescent="0.35">
      <c r="A200" t="s">
        <v>91</v>
      </c>
      <c r="B200" t="s">
        <v>75</v>
      </c>
      <c r="C200" t="s">
        <v>8</v>
      </c>
      <c r="D200">
        <v>3</v>
      </c>
      <c r="E200" s="16">
        <v>2846</v>
      </c>
      <c r="F200" t="s">
        <v>9</v>
      </c>
      <c r="G200" t="str">
        <f>IF(COUNTIFS(
    Final_backup!$B:$B, B200,
    Final_backup!$C:$C, C200,
    Final_backup!$D:$D, D200,
    Final_backup!$E:$E, E200
) = 0, "NO MATCH IN TARGET", "MATCHED")</f>
        <v>MATCHED</v>
      </c>
    </row>
    <row r="201" spans="1:7" hidden="1" x14ac:dyDescent="0.35"/>
    <row r="202" spans="1:7" hidden="1" x14ac:dyDescent="0.35"/>
  </sheetData>
  <autoFilter ref="G1:G202" xr:uid="{3102B2DD-B8E9-4522-B3D2-83600935C32F}">
    <filterColumn colId="0">
      <filters>
        <filter val="NO MATCH IN TARGE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"/>
  <sheetViews>
    <sheetView workbookViewId="0">
      <selection activeCell="K13" sqref="K13"/>
    </sheetView>
  </sheetViews>
  <sheetFormatPr defaultRowHeight="14.5" x14ac:dyDescent="0.35"/>
  <cols>
    <col min="1" max="1" width="17.1796875" customWidth="1"/>
    <col min="2" max="2" width="16.36328125" customWidth="1"/>
    <col min="8" max="8" width="13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108</v>
      </c>
    </row>
    <row r="2" spans="1:8" x14ac:dyDescent="0.35">
      <c r="A2" t="s">
        <v>6</v>
      </c>
      <c r="B2" t="s">
        <v>7</v>
      </c>
      <c r="C2" t="s">
        <v>8</v>
      </c>
      <c r="D2">
        <v>10</v>
      </c>
      <c r="E2">
        <v>212</v>
      </c>
      <c r="F2" t="s">
        <v>9</v>
      </c>
      <c r="H2" t="str">
        <f>IF(COUNTIFS( $B$2:$B$981, B2, $C$2:$C$981, C2, $D$2:$D$981, D2, $E$2:$E$981, E2) &gt; 1, "Duplicate", "Unique")</f>
        <v>Unique</v>
      </c>
    </row>
    <row r="3" spans="1:8" x14ac:dyDescent="0.35">
      <c r="A3" t="s">
        <v>6</v>
      </c>
      <c r="B3" t="s">
        <v>10</v>
      </c>
      <c r="C3" t="s">
        <v>11</v>
      </c>
      <c r="D3">
        <v>30</v>
      </c>
      <c r="E3">
        <v>2435</v>
      </c>
      <c r="F3" t="s">
        <v>9</v>
      </c>
      <c r="H3" t="str">
        <f>IF(COUNTIFS( $B$2:$B$981, B3, $C$2:$C$981, C3, $D$2:$D$981, D3, $E$2:$E$981, E3) &gt; 1, "Duplicate", "Unique")</f>
        <v>Unique</v>
      </c>
    </row>
    <row r="4" spans="1:8" x14ac:dyDescent="0.35">
      <c r="A4" t="s">
        <v>12</v>
      </c>
      <c r="B4" t="s">
        <v>10</v>
      </c>
      <c r="C4" t="s">
        <v>11</v>
      </c>
      <c r="D4">
        <v>30</v>
      </c>
      <c r="E4">
        <v>2460</v>
      </c>
      <c r="F4" t="s">
        <v>9</v>
      </c>
      <c r="H4" t="str">
        <f>IF(COUNTIFS( $B$2:$B$981, B4, $C$2:$C$981, C4, $D$2:$D$981, D4, $E$2:$E$981, E4) &gt; 1, "Duplicate", "Unique")</f>
        <v>Unique</v>
      </c>
    </row>
    <row r="5" spans="1:8" x14ac:dyDescent="0.35">
      <c r="A5" t="s">
        <v>12</v>
      </c>
      <c r="B5" t="s">
        <v>10</v>
      </c>
      <c r="C5" t="s">
        <v>11</v>
      </c>
      <c r="D5">
        <v>10</v>
      </c>
      <c r="E5">
        <v>2480</v>
      </c>
      <c r="F5" t="s">
        <v>9</v>
      </c>
      <c r="H5" t="str">
        <f>IF(COUNTIFS( $B$2:$B$981, B5, $C$2:$C$981, C5, $D$2:$D$981, D5, $E$2:$E$981, E5) &gt; 1, "Duplicate", "Unique")</f>
        <v>Unique</v>
      </c>
    </row>
    <row r="6" spans="1:8" x14ac:dyDescent="0.35">
      <c r="A6" t="s">
        <v>13</v>
      </c>
      <c r="B6" t="s">
        <v>14</v>
      </c>
      <c r="C6" t="s">
        <v>11</v>
      </c>
      <c r="D6">
        <v>5</v>
      </c>
      <c r="E6">
        <v>516</v>
      </c>
      <c r="F6" t="s">
        <v>9</v>
      </c>
      <c r="H6" t="str">
        <f>IF(COUNTIFS( $B$2:$B$981, B6, $C$2:$C$981, C6, $D$2:$D$981, D6, $E$2:$E$981, E6) &gt; 1, "Duplicate", "Unique")</f>
        <v>Unique</v>
      </c>
    </row>
    <row r="7" spans="1:8" x14ac:dyDescent="0.35">
      <c r="A7" t="s">
        <v>15</v>
      </c>
      <c r="B7" t="s">
        <v>16</v>
      </c>
      <c r="C7" t="s">
        <v>8</v>
      </c>
      <c r="D7">
        <v>40</v>
      </c>
      <c r="E7">
        <v>320.5</v>
      </c>
      <c r="F7" t="s">
        <v>9</v>
      </c>
      <c r="H7" t="str">
        <f>IF(COUNTIFS( $B$2:$B$981, B7, $C$2:$C$981, C7, $D$2:$D$981, D7, $E$2:$E$981, E7) &gt; 1, "Duplicate", "Unique")</f>
        <v>Unique</v>
      </c>
    </row>
    <row r="8" spans="1:8" x14ac:dyDescent="0.35">
      <c r="A8" t="s">
        <v>17</v>
      </c>
      <c r="B8" t="s">
        <v>18</v>
      </c>
      <c r="C8" t="s">
        <v>11</v>
      </c>
      <c r="D8">
        <v>45</v>
      </c>
      <c r="E8">
        <v>136.15</v>
      </c>
      <c r="F8" t="s">
        <v>9</v>
      </c>
      <c r="H8" t="str">
        <f>IF(COUNTIFS( $B$2:$B$981, B8, $C$2:$C$981, C8, $D$2:$D$981, D8, $E$2:$E$981, E8) &gt; 1, "Duplicate", "Unique")</f>
        <v>Unique</v>
      </c>
    </row>
    <row r="9" spans="1:8" x14ac:dyDescent="0.35">
      <c r="A9" t="s">
        <v>15</v>
      </c>
      <c r="B9" t="s">
        <v>19</v>
      </c>
      <c r="C9" t="s">
        <v>11</v>
      </c>
      <c r="D9">
        <v>30</v>
      </c>
      <c r="E9">
        <v>860</v>
      </c>
      <c r="F9" t="s">
        <v>9</v>
      </c>
      <c r="H9" t="str">
        <f>IF(COUNTIFS( $B$2:$B$981, B9, $C$2:$C$981, C9, $D$2:$D$981, D9, $E$2:$E$981, E9) &gt; 1, "Duplicate", "Unique")</f>
        <v>Unique</v>
      </c>
    </row>
    <row r="10" spans="1:8" x14ac:dyDescent="0.35">
      <c r="A10" t="s">
        <v>20</v>
      </c>
      <c r="B10" t="s">
        <v>16</v>
      </c>
      <c r="C10" t="s">
        <v>11</v>
      </c>
      <c r="D10">
        <v>20</v>
      </c>
      <c r="E10">
        <v>281</v>
      </c>
      <c r="F10" t="s">
        <v>9</v>
      </c>
      <c r="H10" t="str">
        <f>IF(COUNTIFS( $B$2:$B$981, B10, $C$2:$C$981, C10, $D$2:$D$981, D10, $E$2:$E$981, E10) &gt; 1, "Duplicate", "Unique")</f>
        <v>Unique</v>
      </c>
    </row>
    <row r="11" spans="1:8" x14ac:dyDescent="0.35">
      <c r="A11" t="s">
        <v>21</v>
      </c>
      <c r="B11" t="s">
        <v>16</v>
      </c>
      <c r="C11" t="s">
        <v>11</v>
      </c>
      <c r="D11">
        <v>20</v>
      </c>
      <c r="E11">
        <v>286</v>
      </c>
      <c r="F11" t="s">
        <v>9</v>
      </c>
      <c r="H11" t="str">
        <f>IF(COUNTIFS( $B$2:$B$981, B11, $C$2:$C$981, C11, $D$2:$D$981, D11, $E$2:$E$981, E11) &gt; 1, "Duplicate", "Unique")</f>
        <v>Unique</v>
      </c>
    </row>
    <row r="12" spans="1:8" x14ac:dyDescent="0.35">
      <c r="A12" t="s">
        <v>21</v>
      </c>
      <c r="B12" t="s">
        <v>16</v>
      </c>
      <c r="C12" t="s">
        <v>11</v>
      </c>
      <c r="D12">
        <v>20</v>
      </c>
      <c r="E12">
        <v>296</v>
      </c>
      <c r="F12" t="s">
        <v>9</v>
      </c>
      <c r="H12" t="str">
        <f>IF(COUNTIFS( $B$2:$B$981, B12, $C$2:$C$981, C12, $D$2:$D$981, D12, $E$2:$E$981, E12) &gt; 1, "Duplicate", "Unique")</f>
        <v>Unique</v>
      </c>
    </row>
    <row r="13" spans="1:8" x14ac:dyDescent="0.35">
      <c r="A13" t="s">
        <v>22</v>
      </c>
      <c r="B13" t="s">
        <v>23</v>
      </c>
      <c r="C13" t="s">
        <v>11</v>
      </c>
      <c r="D13">
        <v>4</v>
      </c>
      <c r="E13">
        <v>1751</v>
      </c>
      <c r="F13" t="s">
        <v>9</v>
      </c>
      <c r="H13" t="str">
        <f>IF(COUNTIFS( $B$2:$B$981, B13, $C$2:$C$981, C13, $D$2:$D$981, D13, $E$2:$E$981, E13) &gt; 1, "Duplicate", "Unique")</f>
        <v>Unique</v>
      </c>
    </row>
    <row r="14" spans="1:8" x14ac:dyDescent="0.35">
      <c r="A14" t="s">
        <v>24</v>
      </c>
      <c r="B14" t="s">
        <v>25</v>
      </c>
      <c r="C14" t="s">
        <v>11</v>
      </c>
      <c r="D14">
        <v>2</v>
      </c>
      <c r="E14">
        <v>4410</v>
      </c>
      <c r="F14" t="s">
        <v>9</v>
      </c>
      <c r="H14" t="str">
        <f>IF(COUNTIFS( $B$2:$B$981, B14, $C$2:$C$981, C14, $D$2:$D$981, D14, $E$2:$E$981, E14) &gt; 1, "Duplicate", "Unique")</f>
        <v>Unique</v>
      </c>
    </row>
    <row r="15" spans="1:8" x14ac:dyDescent="0.35">
      <c r="A15" t="s">
        <v>12</v>
      </c>
      <c r="B15" t="s">
        <v>10</v>
      </c>
      <c r="C15" t="s">
        <v>8</v>
      </c>
      <c r="D15">
        <v>10</v>
      </c>
      <c r="E15">
        <v>2599</v>
      </c>
      <c r="F15" t="s">
        <v>9</v>
      </c>
      <c r="H15" t="str">
        <f>IF(COUNTIFS( $B$2:$B$981, B15, $C$2:$C$981, C15, $D$2:$D$981, D15, $E$2:$E$981, E15) &gt; 1, "Duplicate", "Unique")</f>
        <v>Unique</v>
      </c>
    </row>
    <row r="16" spans="1:8" x14ac:dyDescent="0.35">
      <c r="A16" t="s">
        <v>20</v>
      </c>
      <c r="B16" t="s">
        <v>19</v>
      </c>
      <c r="C16" t="s">
        <v>11</v>
      </c>
      <c r="D16">
        <v>11</v>
      </c>
      <c r="E16">
        <v>882</v>
      </c>
      <c r="F16" t="s">
        <v>9</v>
      </c>
      <c r="H16" t="str">
        <f>IF(COUNTIFS( $B$2:$B$981, B16, $C$2:$C$981, C16, $D$2:$D$981, D16, $E$2:$E$981, E16) &gt; 1, "Duplicate", "Unique")</f>
        <v>Unique</v>
      </c>
    </row>
    <row r="17" spans="1:8" x14ac:dyDescent="0.35">
      <c r="A17" t="s">
        <v>20</v>
      </c>
      <c r="B17" t="s">
        <v>16</v>
      </c>
      <c r="C17" t="s">
        <v>11</v>
      </c>
      <c r="D17">
        <v>37</v>
      </c>
      <c r="E17">
        <v>277</v>
      </c>
      <c r="F17" t="s">
        <v>9</v>
      </c>
      <c r="H17" t="str">
        <f>IF(COUNTIFS( $B$2:$B$981, B17, $C$2:$C$981, C17, $D$2:$D$981, D17, $E$2:$E$981, E17) &gt; 1, "Duplicate", "Unique")</f>
        <v>Unique</v>
      </c>
    </row>
    <row r="18" spans="1:8" x14ac:dyDescent="0.35">
      <c r="A18" t="s">
        <v>26</v>
      </c>
      <c r="B18" t="s">
        <v>25</v>
      </c>
      <c r="C18" t="s">
        <v>11</v>
      </c>
      <c r="D18">
        <v>1</v>
      </c>
      <c r="E18">
        <v>4364</v>
      </c>
      <c r="F18" t="s">
        <v>9</v>
      </c>
      <c r="H18" t="str">
        <f>IF(COUNTIFS( $B$2:$B$981, B18, $C$2:$C$981, C18, $D$2:$D$981, D18, $E$2:$E$981, E18) &gt; 1, "Duplicate", "Unique")</f>
        <v>Unique</v>
      </c>
    </row>
    <row r="19" spans="1:8" x14ac:dyDescent="0.35">
      <c r="A19" t="s">
        <v>27</v>
      </c>
      <c r="B19" t="s">
        <v>28</v>
      </c>
      <c r="C19" t="s">
        <v>8</v>
      </c>
      <c r="D19">
        <v>25</v>
      </c>
      <c r="E19">
        <v>220</v>
      </c>
      <c r="F19" t="s">
        <v>9</v>
      </c>
      <c r="H19" t="str">
        <f>IF(COUNTIFS( $B$2:$B$981, B19, $C$2:$C$981, C19, $D$2:$D$981, D19, $E$2:$E$981, E19) &gt; 1, "Duplicate", "Unique")</f>
        <v>Unique</v>
      </c>
    </row>
    <row r="20" spans="1:8" x14ac:dyDescent="0.35">
      <c r="A20" t="s">
        <v>26</v>
      </c>
      <c r="B20" t="s">
        <v>28</v>
      </c>
      <c r="C20" t="s">
        <v>11</v>
      </c>
      <c r="D20">
        <v>25</v>
      </c>
      <c r="E20">
        <v>190.1</v>
      </c>
      <c r="F20" t="s">
        <v>9</v>
      </c>
      <c r="H20" t="str">
        <f>IF(COUNTIFS( $B$2:$B$981, B20, $C$2:$C$981, C20, $D$2:$D$981, D20, $E$2:$E$981, E20) &gt; 1, "Duplicate", "Unique")</f>
        <v>Unique</v>
      </c>
    </row>
    <row r="21" spans="1:8" x14ac:dyDescent="0.35">
      <c r="A21" t="s">
        <v>12</v>
      </c>
      <c r="B21" t="s">
        <v>29</v>
      </c>
      <c r="C21" t="s">
        <v>11</v>
      </c>
      <c r="D21">
        <v>500</v>
      </c>
      <c r="E21">
        <v>33.159999999999997</v>
      </c>
      <c r="F21" t="s">
        <v>9</v>
      </c>
      <c r="H21" t="str">
        <f>IF(COUNTIFS( $B$2:$B$981, B21, $C$2:$C$981, C21, $D$2:$D$981, D21, $E$2:$E$981, E21) &gt; 1, "Duplicate", "Unique")</f>
        <v>Unique</v>
      </c>
    </row>
    <row r="22" spans="1:8" x14ac:dyDescent="0.35">
      <c r="A22" t="s">
        <v>30</v>
      </c>
      <c r="B22" t="s">
        <v>10</v>
      </c>
      <c r="C22" t="s">
        <v>11</v>
      </c>
      <c r="D22">
        <v>5</v>
      </c>
      <c r="E22">
        <v>2510</v>
      </c>
      <c r="F22" t="s">
        <v>9</v>
      </c>
      <c r="H22" t="str">
        <f>IF(COUNTIFS( $B$2:$B$981, B22, $C$2:$C$981, C22, $D$2:$D$981, D22, $E$2:$E$981, E22) &gt; 1, "Duplicate", "Unique")</f>
        <v>Unique</v>
      </c>
    </row>
    <row r="23" spans="1:8" x14ac:dyDescent="0.35">
      <c r="A23" t="s">
        <v>12</v>
      </c>
      <c r="B23" t="s">
        <v>31</v>
      </c>
      <c r="C23" t="s">
        <v>11</v>
      </c>
      <c r="D23">
        <v>150</v>
      </c>
      <c r="E23">
        <v>128</v>
      </c>
      <c r="F23" t="s">
        <v>9</v>
      </c>
      <c r="H23" t="str">
        <f>IF(COUNTIFS( $B$2:$B$981, B23, $C$2:$C$981, C23, $D$2:$D$981, D23, $E$2:$E$981, E23) &gt; 1, "Duplicate", "Unique")</f>
        <v>Unique</v>
      </c>
    </row>
    <row r="24" spans="1:8" x14ac:dyDescent="0.35">
      <c r="A24" t="s">
        <v>15</v>
      </c>
      <c r="B24" t="s">
        <v>32</v>
      </c>
      <c r="C24" t="s">
        <v>11</v>
      </c>
      <c r="D24">
        <v>40</v>
      </c>
      <c r="E24">
        <v>426</v>
      </c>
      <c r="F24" t="s">
        <v>9</v>
      </c>
      <c r="H24" t="str">
        <f>IF(COUNTIFS( $B$2:$B$981, B24, $C$2:$C$981, C24, $D$2:$D$981, D24, $E$2:$E$981, E24) &gt; 1, "Duplicate", "Unique")</f>
        <v>Unique</v>
      </c>
    </row>
    <row r="25" spans="1:8" x14ac:dyDescent="0.35">
      <c r="A25" t="s">
        <v>6</v>
      </c>
      <c r="B25" t="s">
        <v>33</v>
      </c>
      <c r="C25" t="s">
        <v>11</v>
      </c>
      <c r="D25">
        <v>5</v>
      </c>
      <c r="E25">
        <v>1614</v>
      </c>
      <c r="F25" t="s">
        <v>9</v>
      </c>
      <c r="H25" t="str">
        <f>IF(COUNTIFS( $B$2:$B$981, B25, $C$2:$C$981, C25, $D$2:$D$981, D25, $E$2:$E$981, E25) &gt; 1, "Duplicate", "Unique")</f>
        <v>Unique</v>
      </c>
    </row>
    <row r="26" spans="1:8" x14ac:dyDescent="0.35">
      <c r="A26" t="s">
        <v>27</v>
      </c>
      <c r="B26" t="s">
        <v>34</v>
      </c>
      <c r="C26" t="s">
        <v>11</v>
      </c>
      <c r="D26">
        <v>5</v>
      </c>
      <c r="E26">
        <v>366</v>
      </c>
      <c r="F26" t="s">
        <v>9</v>
      </c>
      <c r="H26" t="str">
        <f>IF(COUNTIFS( $B$2:$B$981, B26, $C$2:$C$981, C26, $D$2:$D$981, D26, $E$2:$E$981, E26) &gt; 1, "Duplicate", "Unique")</f>
        <v>Unique</v>
      </c>
    </row>
    <row r="27" spans="1:8" x14ac:dyDescent="0.35">
      <c r="A27" t="s">
        <v>21</v>
      </c>
      <c r="B27" t="s">
        <v>35</v>
      </c>
      <c r="C27" t="s">
        <v>8</v>
      </c>
      <c r="D27">
        <v>100</v>
      </c>
      <c r="E27">
        <v>310.5</v>
      </c>
      <c r="F27" t="s">
        <v>9</v>
      </c>
      <c r="H27" t="str">
        <f>IF(COUNTIFS( $B$2:$B$981, B27, $C$2:$C$981, C27, $D$2:$D$981, D27, $E$2:$E$981, E27) &gt; 1, "Duplicate", "Unique")</f>
        <v>Unique</v>
      </c>
    </row>
    <row r="28" spans="1:8" x14ac:dyDescent="0.35">
      <c r="A28" t="s">
        <v>22</v>
      </c>
      <c r="B28" t="s">
        <v>36</v>
      </c>
      <c r="C28" t="s">
        <v>11</v>
      </c>
      <c r="D28">
        <v>50</v>
      </c>
      <c r="E28">
        <v>202</v>
      </c>
      <c r="F28" t="s">
        <v>9</v>
      </c>
      <c r="H28" t="str">
        <f>IF(COUNTIFS( $B$2:$B$981, B28, $C$2:$C$981, C28, $D$2:$D$981, D28, $E$2:$E$981, E28) &gt; 1, "Duplicate", "Unique")</f>
        <v>Unique</v>
      </c>
    </row>
    <row r="29" spans="1:8" x14ac:dyDescent="0.35">
      <c r="A29" t="s">
        <v>21</v>
      </c>
      <c r="B29" t="s">
        <v>35</v>
      </c>
      <c r="C29" t="s">
        <v>11</v>
      </c>
      <c r="D29">
        <v>50</v>
      </c>
      <c r="E29">
        <v>286</v>
      </c>
      <c r="F29" t="s">
        <v>9</v>
      </c>
      <c r="H29" t="str">
        <f>IF(COUNTIFS( $B$2:$B$981, B29, $C$2:$C$981, C29, $D$2:$D$981, D29, $E$2:$E$981, E29) &gt; 1, "Duplicate", "Unique")</f>
        <v>Unique</v>
      </c>
    </row>
    <row r="30" spans="1:8" x14ac:dyDescent="0.35">
      <c r="A30" t="s">
        <v>12</v>
      </c>
      <c r="B30" t="s">
        <v>10</v>
      </c>
      <c r="C30" t="s">
        <v>11</v>
      </c>
      <c r="D30">
        <v>5</v>
      </c>
      <c r="E30">
        <v>2530</v>
      </c>
      <c r="F30" t="s">
        <v>9</v>
      </c>
      <c r="H30" t="str">
        <f>IF(COUNTIFS( $B$2:$B$981, B30, $C$2:$C$981, C30, $D$2:$D$981, D30, $E$2:$E$981, E30) &gt; 1, "Duplicate", "Unique")</f>
        <v>Unique</v>
      </c>
    </row>
    <row r="31" spans="1:8" x14ac:dyDescent="0.35">
      <c r="A31" t="s">
        <v>37</v>
      </c>
      <c r="B31" t="s">
        <v>38</v>
      </c>
      <c r="C31" t="s">
        <v>11</v>
      </c>
      <c r="D31">
        <v>10</v>
      </c>
      <c r="E31">
        <v>701</v>
      </c>
      <c r="F31" t="s">
        <v>9</v>
      </c>
      <c r="H31" t="str">
        <f>IF(COUNTIFS( $B$2:$B$981, B31, $C$2:$C$981, C31, $D$2:$D$981, D31, $E$2:$E$981, E31) &gt; 1, "Duplicate", "Unique")</f>
        <v>Unique</v>
      </c>
    </row>
    <row r="32" spans="1:8" x14ac:dyDescent="0.35">
      <c r="A32" t="s">
        <v>39</v>
      </c>
      <c r="B32" t="s">
        <v>40</v>
      </c>
      <c r="C32" t="s">
        <v>11</v>
      </c>
      <c r="D32">
        <v>100</v>
      </c>
      <c r="E32">
        <v>335</v>
      </c>
      <c r="F32" t="s">
        <v>9</v>
      </c>
      <c r="H32" t="str">
        <f>IF(COUNTIFS( $B$2:$B$981, B32, $C$2:$C$981, C32, $D$2:$D$981, D32, $E$2:$E$981, E32) &gt; 1, "Duplicate", "Unique")</f>
        <v>Unique</v>
      </c>
    </row>
    <row r="33" spans="1:8" x14ac:dyDescent="0.35">
      <c r="A33" t="s">
        <v>22</v>
      </c>
      <c r="B33" t="s">
        <v>40</v>
      </c>
      <c r="C33" t="s">
        <v>11</v>
      </c>
      <c r="D33">
        <v>100</v>
      </c>
      <c r="E33">
        <v>337</v>
      </c>
      <c r="F33" t="s">
        <v>9</v>
      </c>
      <c r="H33" t="str">
        <f>IF(COUNTIFS( $B$2:$B$981, B33, $C$2:$C$981, C33, $D$2:$D$981, D33, $E$2:$E$981, E33) &gt; 1, "Duplicate", "Unique")</f>
        <v>Unique</v>
      </c>
    </row>
    <row r="34" spans="1:8" x14ac:dyDescent="0.35">
      <c r="A34" t="s">
        <v>41</v>
      </c>
      <c r="B34" t="s">
        <v>40</v>
      </c>
      <c r="C34" t="s">
        <v>11</v>
      </c>
      <c r="D34">
        <v>100</v>
      </c>
      <c r="E34">
        <v>340.2</v>
      </c>
      <c r="F34" t="s">
        <v>9</v>
      </c>
      <c r="H34" t="str">
        <f>IF(COUNTIFS( $B$2:$B$981, B34, $C$2:$C$981, C34, $D$2:$D$981, D34, $E$2:$E$981, E34) &gt; 1, "Duplicate", "Unique")</f>
        <v>Unique</v>
      </c>
    </row>
    <row r="35" spans="1:8" x14ac:dyDescent="0.35">
      <c r="A35" t="s">
        <v>39</v>
      </c>
      <c r="B35" t="s">
        <v>40</v>
      </c>
      <c r="C35" t="s">
        <v>11</v>
      </c>
      <c r="D35">
        <v>100</v>
      </c>
      <c r="E35">
        <v>344</v>
      </c>
      <c r="F35" t="s">
        <v>9</v>
      </c>
      <c r="H35" t="str">
        <f>IF(COUNTIFS( $B$2:$B$981, B35, $C$2:$C$981, C35, $D$2:$D$981, D35, $E$2:$E$981, E35) &gt; 1, "Duplicate", "Unique")</f>
        <v>Unique</v>
      </c>
    </row>
    <row r="36" spans="1:8" x14ac:dyDescent="0.35">
      <c r="A36" t="s">
        <v>42</v>
      </c>
      <c r="B36" t="s">
        <v>7</v>
      </c>
      <c r="C36" t="s">
        <v>8</v>
      </c>
      <c r="D36">
        <v>65</v>
      </c>
      <c r="E36">
        <v>219</v>
      </c>
      <c r="F36" t="s">
        <v>9</v>
      </c>
      <c r="H36" t="str">
        <f>IF(COUNTIFS( $B$2:$B$981, B36, $C$2:$C$981, C36, $D$2:$D$981, D36, $E$2:$E$981, E36) &gt; 1, "Duplicate", "Unique")</f>
        <v>Unique</v>
      </c>
    </row>
    <row r="37" spans="1:8" x14ac:dyDescent="0.35">
      <c r="A37" t="s">
        <v>13</v>
      </c>
      <c r="B37" t="s">
        <v>36</v>
      </c>
      <c r="C37" t="s">
        <v>8</v>
      </c>
      <c r="D37">
        <v>50</v>
      </c>
      <c r="E37">
        <v>214</v>
      </c>
      <c r="F37" t="s">
        <v>9</v>
      </c>
      <c r="H37" t="str">
        <f>IF(COUNTIFS( $B$2:$B$981, B37, $C$2:$C$981, C37, $D$2:$D$981, D37, $E$2:$E$981, E37) &gt; 1, "Duplicate", "Unique")</f>
        <v>Unique</v>
      </c>
    </row>
    <row r="38" spans="1:8" x14ac:dyDescent="0.35">
      <c r="A38" t="s">
        <v>21</v>
      </c>
      <c r="B38" t="s">
        <v>35</v>
      </c>
      <c r="C38" t="s">
        <v>8</v>
      </c>
      <c r="D38">
        <v>120</v>
      </c>
      <c r="E38">
        <v>300.5</v>
      </c>
      <c r="F38" t="s">
        <v>9</v>
      </c>
      <c r="H38" t="str">
        <f>IF(COUNTIFS( $B$2:$B$981, B38, $C$2:$C$981, C38, $D$2:$D$981, D38, $E$2:$E$981, E38) &gt; 1, "Duplicate", "Unique")</f>
        <v>Unique</v>
      </c>
    </row>
    <row r="39" spans="1:8" x14ac:dyDescent="0.35">
      <c r="A39" t="s">
        <v>12</v>
      </c>
      <c r="B39" t="s">
        <v>31</v>
      </c>
      <c r="C39" t="s">
        <v>8</v>
      </c>
      <c r="D39">
        <v>150</v>
      </c>
      <c r="E39">
        <v>136</v>
      </c>
      <c r="F39" t="s">
        <v>9</v>
      </c>
      <c r="H39" t="str">
        <f>IF(COUNTIFS( $B$2:$B$981, B39, $C$2:$C$981, C39, $D$2:$D$981, D39, $E$2:$E$981, E39) &gt; 1, "Duplicate", "Unique")</f>
        <v>Unique</v>
      </c>
    </row>
    <row r="40" spans="1:8" x14ac:dyDescent="0.35">
      <c r="A40" t="s">
        <v>37</v>
      </c>
      <c r="B40" t="s">
        <v>40</v>
      </c>
      <c r="C40" t="s">
        <v>8</v>
      </c>
      <c r="D40">
        <v>67</v>
      </c>
      <c r="E40">
        <v>373</v>
      </c>
      <c r="F40" t="s">
        <v>9</v>
      </c>
      <c r="H40" t="str">
        <f>IF(COUNTIFS( $B$2:$B$981, B40, $C$2:$C$981, C40, $D$2:$D$981, D40, $E$2:$E$981, E40) &gt; 1, "Duplicate", "Unique")</f>
        <v>Unique</v>
      </c>
    </row>
    <row r="41" spans="1:8" x14ac:dyDescent="0.35">
      <c r="A41" t="s">
        <v>12</v>
      </c>
      <c r="B41" t="s">
        <v>10</v>
      </c>
      <c r="C41" t="s">
        <v>8</v>
      </c>
      <c r="D41">
        <v>10</v>
      </c>
      <c r="E41">
        <v>2648</v>
      </c>
      <c r="F41" t="s">
        <v>9</v>
      </c>
      <c r="H41" t="str">
        <f>IF(COUNTIFS( $B$2:$B$981, B41, $C$2:$C$981, C41, $D$2:$D$981, D41, $E$2:$E$981, E41) &gt; 1, "Duplicate", "Unique")</f>
        <v>Unique</v>
      </c>
    </row>
    <row r="42" spans="1:8" x14ac:dyDescent="0.35">
      <c r="A42" t="s">
        <v>12</v>
      </c>
      <c r="B42" t="s">
        <v>10</v>
      </c>
      <c r="C42" t="s">
        <v>8</v>
      </c>
      <c r="D42">
        <v>10</v>
      </c>
      <c r="E42">
        <v>2632</v>
      </c>
      <c r="F42" t="s">
        <v>9</v>
      </c>
      <c r="H42" t="str">
        <f>IF(COUNTIFS( $B$2:$B$981, B42, $C$2:$C$981, C42, $D$2:$D$981, D42, $E$2:$E$981, E42) &gt; 1, "Duplicate", "Unique")</f>
        <v>Unique</v>
      </c>
    </row>
    <row r="43" spans="1:8" x14ac:dyDescent="0.35">
      <c r="A43" t="s">
        <v>20</v>
      </c>
      <c r="B43" t="s">
        <v>32</v>
      </c>
      <c r="C43" t="s">
        <v>8</v>
      </c>
      <c r="D43">
        <v>40</v>
      </c>
      <c r="E43">
        <v>446</v>
      </c>
      <c r="F43" t="s">
        <v>9</v>
      </c>
      <c r="H43" t="str">
        <f>IF(COUNTIFS( $B$2:$B$981, B43, $C$2:$C$981, C43, $D$2:$D$981, D43, $E$2:$E$981, E43) &gt; 1, "Duplicate", "Unique")</f>
        <v>Unique</v>
      </c>
    </row>
    <row r="44" spans="1:8" x14ac:dyDescent="0.35">
      <c r="A44" t="s">
        <v>43</v>
      </c>
      <c r="B44" t="s">
        <v>44</v>
      </c>
      <c r="C44" t="s">
        <v>8</v>
      </c>
      <c r="D44">
        <v>30</v>
      </c>
      <c r="E44">
        <v>948</v>
      </c>
      <c r="F44" t="s">
        <v>9</v>
      </c>
      <c r="H44" t="str">
        <f>IF(COUNTIFS( $B$2:$B$981, B44, $C$2:$C$981, C44, $D$2:$D$981, D44, $E$2:$E$981, E44) &gt; 1, "Duplicate", "Unique")</f>
        <v>Unique</v>
      </c>
    </row>
    <row r="45" spans="1:8" x14ac:dyDescent="0.35">
      <c r="A45" t="s">
        <v>12</v>
      </c>
      <c r="B45" t="s">
        <v>10</v>
      </c>
      <c r="C45" t="s">
        <v>8</v>
      </c>
      <c r="D45">
        <v>10</v>
      </c>
      <c r="E45">
        <v>2620</v>
      </c>
      <c r="F45" t="s">
        <v>9</v>
      </c>
      <c r="H45" t="str">
        <f>IF(COUNTIFS( $B$2:$B$981, B45, $C$2:$C$981, C45, $D$2:$D$981, D45, $E$2:$E$981, E45) &gt; 1, "Duplicate", "Unique")</f>
        <v>Unique</v>
      </c>
    </row>
    <row r="46" spans="1:8" x14ac:dyDescent="0.35">
      <c r="A46" t="s">
        <v>43</v>
      </c>
      <c r="B46" t="s">
        <v>44</v>
      </c>
      <c r="C46" t="s">
        <v>8</v>
      </c>
      <c r="D46">
        <v>5</v>
      </c>
      <c r="E46">
        <v>986</v>
      </c>
      <c r="F46" t="s">
        <v>9</v>
      </c>
      <c r="H46" t="str">
        <f>IF(COUNTIFS( $B$2:$B$981, B46, $C$2:$C$981, C46, $D$2:$D$981, D46, $E$2:$E$981, E46) &gt; 1, "Duplicate", "Unique")</f>
        <v>Unique</v>
      </c>
    </row>
    <row r="47" spans="1:8" x14ac:dyDescent="0.35">
      <c r="A47" t="s">
        <v>37</v>
      </c>
      <c r="B47" t="s">
        <v>44</v>
      </c>
      <c r="C47" t="s">
        <v>8</v>
      </c>
      <c r="D47">
        <v>5</v>
      </c>
      <c r="E47">
        <v>1002</v>
      </c>
      <c r="F47" t="s">
        <v>9</v>
      </c>
      <c r="H47" t="str">
        <f>IF(COUNTIFS( $B$2:$B$981, B47, $C$2:$C$981, C47, $D$2:$D$981, D47, $E$2:$E$981, E47) &gt; 1, "Duplicate", "Unique")</f>
        <v>Unique</v>
      </c>
    </row>
    <row r="48" spans="1:8" x14ac:dyDescent="0.35">
      <c r="A48" t="s">
        <v>45</v>
      </c>
      <c r="B48" t="s">
        <v>46</v>
      </c>
      <c r="C48" t="s">
        <v>8</v>
      </c>
      <c r="D48">
        <v>1</v>
      </c>
      <c r="E48">
        <v>4890</v>
      </c>
      <c r="F48" t="s">
        <v>9</v>
      </c>
      <c r="H48" t="str">
        <f>IF(COUNTIFS( $B$2:$B$981, B48, $C$2:$C$981, C48, $D$2:$D$981, D48, $E$2:$E$981, E48) &gt; 1, "Duplicate", "Unique")</f>
        <v>Unique</v>
      </c>
    </row>
    <row r="49" spans="1:8" x14ac:dyDescent="0.35">
      <c r="A49" t="s">
        <v>45</v>
      </c>
      <c r="B49" t="s">
        <v>47</v>
      </c>
      <c r="C49" t="s">
        <v>8</v>
      </c>
      <c r="D49">
        <v>5</v>
      </c>
      <c r="E49">
        <v>4177</v>
      </c>
      <c r="F49" t="s">
        <v>9</v>
      </c>
      <c r="H49" t="str">
        <f>IF(COUNTIFS( $B$2:$B$981, B49, $C$2:$C$981, C49, $D$2:$D$981, D49, $E$2:$E$981, E49) &gt; 1, "Duplicate", "Unique")</f>
        <v>Unique</v>
      </c>
    </row>
    <row r="50" spans="1:8" x14ac:dyDescent="0.35">
      <c r="A50" t="s">
        <v>45</v>
      </c>
      <c r="B50" t="s">
        <v>47</v>
      </c>
      <c r="C50" t="s">
        <v>8</v>
      </c>
      <c r="D50">
        <v>5</v>
      </c>
      <c r="E50">
        <v>4129</v>
      </c>
      <c r="F50" t="s">
        <v>9</v>
      </c>
      <c r="H50" t="str">
        <f>IF(COUNTIFS( $B$2:$B$981, B50, $C$2:$C$981, C50, $D$2:$D$981, D50, $E$2:$E$981, E50) &gt; 1, "Duplicate", "Unique")</f>
        <v>Unique</v>
      </c>
    </row>
    <row r="51" spans="1:8" x14ac:dyDescent="0.35">
      <c r="A51" t="s">
        <v>48</v>
      </c>
      <c r="B51" t="s">
        <v>49</v>
      </c>
      <c r="C51" t="s">
        <v>8</v>
      </c>
      <c r="D51">
        <v>1</v>
      </c>
      <c r="E51">
        <v>3810</v>
      </c>
      <c r="F51" t="s">
        <v>9</v>
      </c>
      <c r="H51" t="str">
        <f>IF(COUNTIFS( $B$2:$B$981, B51, $C$2:$C$981, C51, $D$2:$D$981, D51, $E$2:$E$981, E51) &gt; 1, "Duplicate", "Unique")</f>
        <v>Unique</v>
      </c>
    </row>
    <row r="52" spans="1:8" x14ac:dyDescent="0.35">
      <c r="A52" t="s">
        <v>50</v>
      </c>
      <c r="B52" t="s">
        <v>47</v>
      </c>
      <c r="C52" t="s">
        <v>11</v>
      </c>
      <c r="D52">
        <v>10</v>
      </c>
      <c r="E52">
        <v>3950</v>
      </c>
      <c r="F52" t="s">
        <v>9</v>
      </c>
      <c r="H52" t="str">
        <f>IF(COUNTIFS( $B$2:$B$981, B52, $C$2:$C$981, C52, $D$2:$D$981, D52, $E$2:$E$981, E52) &gt; 1, "Duplicate", "Unique")</f>
        <v>Unique</v>
      </c>
    </row>
    <row r="53" spans="1:8" x14ac:dyDescent="0.35">
      <c r="A53" t="s">
        <v>51</v>
      </c>
      <c r="B53" t="s">
        <v>52</v>
      </c>
      <c r="C53" t="s">
        <v>11</v>
      </c>
      <c r="D53">
        <v>10</v>
      </c>
      <c r="E53">
        <v>927</v>
      </c>
      <c r="F53" t="s">
        <v>9</v>
      </c>
      <c r="H53" t="str">
        <f>IF(COUNTIFS( $B$2:$B$981, B53, $C$2:$C$981, C53, $D$2:$D$981, D53, $E$2:$E$981, E53) &gt; 1, "Duplicate", "Unique")</f>
        <v>Unique</v>
      </c>
    </row>
    <row r="54" spans="1:8" x14ac:dyDescent="0.35">
      <c r="A54" t="s">
        <v>48</v>
      </c>
      <c r="B54" t="s">
        <v>53</v>
      </c>
      <c r="C54" t="s">
        <v>8</v>
      </c>
      <c r="D54">
        <v>3</v>
      </c>
      <c r="E54">
        <v>3341</v>
      </c>
      <c r="F54" t="s">
        <v>9</v>
      </c>
      <c r="H54" t="str">
        <f>IF(COUNTIFS( $B$2:$B$981, B54, $C$2:$C$981, C54, $D$2:$D$981, D54, $E$2:$E$981, E54) &gt; 1, "Duplicate", "Unique")</f>
        <v>Unique</v>
      </c>
    </row>
    <row r="55" spans="1:8" x14ac:dyDescent="0.35">
      <c r="A55" t="s">
        <v>54</v>
      </c>
      <c r="B55" t="s">
        <v>55</v>
      </c>
      <c r="C55" t="s">
        <v>11</v>
      </c>
      <c r="D55">
        <v>15</v>
      </c>
      <c r="E55">
        <v>1005</v>
      </c>
      <c r="F55" t="s">
        <v>9</v>
      </c>
      <c r="H55" t="str">
        <f>IF(COUNTIFS( $B$2:$B$981, B55, $C$2:$C$981, C55, $D$2:$D$981, D55, $E$2:$E$981, E55) &gt; 1, "Duplicate", "Unique")</f>
        <v>Unique</v>
      </c>
    </row>
    <row r="56" spans="1:8" x14ac:dyDescent="0.35">
      <c r="A56" t="s">
        <v>54</v>
      </c>
      <c r="B56" t="s">
        <v>56</v>
      </c>
      <c r="C56" t="s">
        <v>11</v>
      </c>
      <c r="D56">
        <v>20</v>
      </c>
      <c r="E56">
        <v>793</v>
      </c>
      <c r="F56" t="s">
        <v>9</v>
      </c>
      <c r="H56" t="str">
        <f>IF(COUNTIFS( $B$2:$B$981, B56, $C$2:$C$981, C56, $D$2:$D$981, D56, $E$2:$E$981, E56) &gt; 1, "Duplicate", "Unique")</f>
        <v>Unique</v>
      </c>
    </row>
    <row r="57" spans="1:8" x14ac:dyDescent="0.35">
      <c r="A57" t="s">
        <v>57</v>
      </c>
      <c r="B57" t="s">
        <v>58</v>
      </c>
      <c r="C57" t="s">
        <v>8</v>
      </c>
      <c r="D57">
        <v>10</v>
      </c>
      <c r="E57">
        <v>1324</v>
      </c>
      <c r="F57" t="s">
        <v>9</v>
      </c>
      <c r="H57" t="str">
        <f>IF(COUNTIFS( $B$2:$B$981, B57, $C$2:$C$981, C57, $D$2:$D$981, D57, $E$2:$E$981, E57) &gt; 1, "Duplicate", "Unique")</f>
        <v>Unique</v>
      </c>
    </row>
    <row r="58" spans="1:8" x14ac:dyDescent="0.35">
      <c r="A58" t="s">
        <v>50</v>
      </c>
      <c r="B58" t="s">
        <v>59</v>
      </c>
      <c r="C58" t="s">
        <v>11</v>
      </c>
      <c r="D58">
        <v>10</v>
      </c>
      <c r="E58">
        <v>1410</v>
      </c>
      <c r="F58" t="s">
        <v>9</v>
      </c>
      <c r="H58" t="str">
        <f>IF(COUNTIFS( $B$2:$B$981, B58, $C$2:$C$981, C58, $D$2:$D$981, D58, $E$2:$E$981, E58) &gt; 1, "Duplicate", "Unique")</f>
        <v>Unique</v>
      </c>
    </row>
    <row r="59" spans="1:8" x14ac:dyDescent="0.35">
      <c r="A59" t="s">
        <v>60</v>
      </c>
      <c r="B59" t="s">
        <v>61</v>
      </c>
      <c r="C59" t="s">
        <v>11</v>
      </c>
      <c r="D59">
        <v>200</v>
      </c>
      <c r="E59">
        <v>230.1</v>
      </c>
      <c r="F59" t="s">
        <v>9</v>
      </c>
      <c r="H59" t="str">
        <f>IF(COUNTIFS( $B$2:$B$981, B59, $C$2:$C$981, C59, $D$2:$D$981, D59, $E$2:$E$981, E59) &gt; 1, "Duplicate", "Unique")</f>
        <v>Unique</v>
      </c>
    </row>
    <row r="60" spans="1:8" x14ac:dyDescent="0.35">
      <c r="A60" t="s">
        <v>62</v>
      </c>
      <c r="B60" t="s">
        <v>63</v>
      </c>
      <c r="C60" t="s">
        <v>8</v>
      </c>
      <c r="D60">
        <v>150</v>
      </c>
      <c r="E60">
        <v>124.9</v>
      </c>
      <c r="F60" t="s">
        <v>9</v>
      </c>
      <c r="H60" t="str">
        <f>IF(COUNTIFS( $B$2:$B$981, B60, $C$2:$C$981, C60, $D$2:$D$981, D60, $E$2:$E$981, E60) &gt; 1, "Duplicate", "Unique")</f>
        <v>Unique</v>
      </c>
    </row>
    <row r="61" spans="1:8" x14ac:dyDescent="0.35">
      <c r="A61" t="s">
        <v>62</v>
      </c>
      <c r="B61" t="s">
        <v>63</v>
      </c>
      <c r="C61" t="s">
        <v>11</v>
      </c>
      <c r="D61">
        <v>150</v>
      </c>
      <c r="E61">
        <v>119</v>
      </c>
      <c r="F61" t="s">
        <v>9</v>
      </c>
      <c r="H61" t="str">
        <f>IF(COUNTIFS( $B$2:$B$981, B61, $C$2:$C$981, C61, $D$2:$D$981, D61, $E$2:$E$981, E61) &gt; 1, "Duplicate", "Unique")</f>
        <v>Unique</v>
      </c>
    </row>
    <row r="62" spans="1:8" x14ac:dyDescent="0.35">
      <c r="A62" t="s">
        <v>64</v>
      </c>
      <c r="B62" t="s">
        <v>65</v>
      </c>
      <c r="C62" t="s">
        <v>11</v>
      </c>
      <c r="D62">
        <v>50</v>
      </c>
      <c r="E62">
        <v>850</v>
      </c>
      <c r="F62" t="s">
        <v>9</v>
      </c>
      <c r="H62" t="str">
        <f>IF(COUNTIFS( $B$2:$B$981, B62, $C$2:$C$981, C62, $D$2:$D$981, D62, $E$2:$E$981, E62) &gt; 1, "Duplicate", "Unique")</f>
        <v>Unique</v>
      </c>
    </row>
    <row r="63" spans="1:8" x14ac:dyDescent="0.35">
      <c r="A63" t="s">
        <v>45</v>
      </c>
      <c r="B63" t="s">
        <v>66</v>
      </c>
      <c r="C63" t="s">
        <v>11</v>
      </c>
      <c r="D63">
        <v>1</v>
      </c>
      <c r="E63">
        <v>18052</v>
      </c>
      <c r="F63" t="s">
        <v>9</v>
      </c>
      <c r="H63" t="str">
        <f>IF(COUNTIFS( $B$2:$B$981, B63, $C$2:$C$981, C63, $D$2:$D$981, D63, $E$2:$E$981, E63) &gt; 1, "Duplicate", "Unique")</f>
        <v>Unique</v>
      </c>
    </row>
    <row r="64" spans="1:8" x14ac:dyDescent="0.35">
      <c r="A64" t="s">
        <v>64</v>
      </c>
      <c r="B64" t="s">
        <v>65</v>
      </c>
      <c r="C64" t="s">
        <v>11</v>
      </c>
      <c r="D64">
        <v>25</v>
      </c>
      <c r="E64">
        <v>836</v>
      </c>
      <c r="F64" t="s">
        <v>9</v>
      </c>
      <c r="H64" t="str">
        <f>IF(COUNTIFS( $B$2:$B$981, B64, $C$2:$C$981, C64, $D$2:$D$981, D64, $E$2:$E$981, E64) &gt; 1, "Duplicate", "Unique")</f>
        <v>Unique</v>
      </c>
    </row>
    <row r="65" spans="1:8" x14ac:dyDescent="0.35">
      <c r="A65" t="s">
        <v>57</v>
      </c>
      <c r="B65" t="s">
        <v>67</v>
      </c>
      <c r="C65" t="s">
        <v>11</v>
      </c>
      <c r="D65">
        <v>8</v>
      </c>
      <c r="E65">
        <v>2352</v>
      </c>
      <c r="F65" t="s">
        <v>9</v>
      </c>
      <c r="H65" t="str">
        <f>IF(COUNTIFS( $B$2:$B$981, B65, $C$2:$C$981, C65, $D$2:$D$981, D65, $E$2:$E$981, E65) &gt; 1, "Duplicate", "Unique")</f>
        <v>Unique</v>
      </c>
    </row>
    <row r="66" spans="1:8" x14ac:dyDescent="0.35">
      <c r="A66" t="s">
        <v>60</v>
      </c>
      <c r="B66" t="s">
        <v>52</v>
      </c>
      <c r="C66" t="s">
        <v>11</v>
      </c>
      <c r="D66">
        <v>40</v>
      </c>
      <c r="E66">
        <v>897</v>
      </c>
      <c r="F66" t="s">
        <v>9</v>
      </c>
      <c r="H66" t="str">
        <f>IF(COUNTIFS( $B$2:$B$981, B66, $C$2:$C$981, C66, $D$2:$D$981, D66, $E$2:$E$981, E66) &gt; 1, "Duplicate", "Unique")</f>
        <v>Unique</v>
      </c>
    </row>
    <row r="67" spans="1:8" x14ac:dyDescent="0.35">
      <c r="A67" t="s">
        <v>64</v>
      </c>
      <c r="B67" t="s">
        <v>65</v>
      </c>
      <c r="C67" t="s">
        <v>11</v>
      </c>
      <c r="D67">
        <v>5</v>
      </c>
      <c r="E67">
        <v>812</v>
      </c>
      <c r="F67" t="s">
        <v>9</v>
      </c>
      <c r="H67" t="str">
        <f>IF(COUNTIFS( $B$2:$B$981, B67, $C$2:$C$981, C67, $D$2:$D$981, D67, $E$2:$E$981, E67) &gt; 1, "Duplicate", "Unique")</f>
        <v>Unique</v>
      </c>
    </row>
    <row r="68" spans="1:8" x14ac:dyDescent="0.35">
      <c r="A68" t="s">
        <v>68</v>
      </c>
      <c r="B68" t="s">
        <v>69</v>
      </c>
      <c r="C68" t="s">
        <v>11</v>
      </c>
      <c r="D68">
        <v>2</v>
      </c>
      <c r="E68">
        <v>2460</v>
      </c>
      <c r="F68" t="s">
        <v>9</v>
      </c>
      <c r="H68" t="str">
        <f>IF(COUNTIFS( $B$2:$B$981, B68, $C$2:$C$981, C68, $D$2:$D$981, D68, $E$2:$E$981, E68) &gt; 1, "Duplicate", "Unique")</f>
        <v>Unique</v>
      </c>
    </row>
    <row r="69" spans="1:8" x14ac:dyDescent="0.35">
      <c r="A69" t="s">
        <v>57</v>
      </c>
      <c r="B69" t="s">
        <v>70</v>
      </c>
      <c r="C69" t="s">
        <v>11</v>
      </c>
      <c r="D69">
        <v>5</v>
      </c>
      <c r="E69">
        <v>1111</v>
      </c>
      <c r="F69" t="s">
        <v>9</v>
      </c>
      <c r="H69" t="str">
        <f>IF(COUNTIFS( $B$2:$B$981, B69, $C$2:$C$981, C69, $D$2:$D$981, D69, $E$2:$E$981, E69) &gt; 1, "Duplicate", "Unique")</f>
        <v>Unique</v>
      </c>
    </row>
    <row r="70" spans="1:8" x14ac:dyDescent="0.35">
      <c r="A70" t="s">
        <v>45</v>
      </c>
      <c r="B70" t="s">
        <v>46</v>
      </c>
      <c r="C70" t="s">
        <v>11</v>
      </c>
      <c r="D70">
        <v>2</v>
      </c>
      <c r="E70">
        <v>4456</v>
      </c>
      <c r="F70" t="s">
        <v>9</v>
      </c>
      <c r="H70" t="str">
        <f>IF(COUNTIFS( $B$2:$B$981, B70, $C$2:$C$981, C70, $D$2:$D$981, D70, $E$2:$E$981, E70) &gt; 1, "Duplicate", "Unique")</f>
        <v>Unique</v>
      </c>
    </row>
    <row r="71" spans="1:8" x14ac:dyDescent="0.35">
      <c r="A71" t="s">
        <v>48</v>
      </c>
      <c r="B71" t="s">
        <v>56</v>
      </c>
      <c r="C71" t="s">
        <v>11</v>
      </c>
      <c r="D71">
        <v>25</v>
      </c>
      <c r="E71">
        <v>764</v>
      </c>
      <c r="F71" t="s">
        <v>9</v>
      </c>
      <c r="H71" t="str">
        <f>IF(COUNTIFS( $B$2:$B$981, B71, $C$2:$C$981, C71, $D$2:$D$981, D71, $E$2:$E$981, E71) &gt; 1, "Duplicate", "Unique")</f>
        <v>Unique</v>
      </c>
    </row>
    <row r="72" spans="1:8" x14ac:dyDescent="0.35">
      <c r="A72" t="s">
        <v>45</v>
      </c>
      <c r="B72" t="s">
        <v>71</v>
      </c>
      <c r="C72" t="s">
        <v>11</v>
      </c>
      <c r="D72">
        <v>10</v>
      </c>
      <c r="E72">
        <v>1166</v>
      </c>
      <c r="F72" t="s">
        <v>9</v>
      </c>
      <c r="H72" t="str">
        <f>IF(COUNTIFS( $B$2:$B$981, B72, $C$2:$C$981, C72, $D$2:$D$981, D72, $E$2:$E$981, E72) &gt; 1, "Duplicate", "Unique")</f>
        <v>Unique</v>
      </c>
    </row>
    <row r="73" spans="1:8" x14ac:dyDescent="0.35">
      <c r="A73" t="s">
        <v>45</v>
      </c>
      <c r="B73" t="s">
        <v>71</v>
      </c>
      <c r="C73" t="s">
        <v>11</v>
      </c>
      <c r="D73">
        <v>5</v>
      </c>
      <c r="E73">
        <v>1188</v>
      </c>
      <c r="F73" t="s">
        <v>9</v>
      </c>
      <c r="H73" t="str">
        <f>IF(COUNTIFS( $B$2:$B$981, B73, $C$2:$C$981, C73, $D$2:$D$981, D73, $E$2:$E$981, E73) &gt; 1, "Duplicate", "Unique")</f>
        <v>Unique</v>
      </c>
    </row>
    <row r="74" spans="1:8" x14ac:dyDescent="0.35">
      <c r="A74" t="s">
        <v>57</v>
      </c>
      <c r="B74" t="s">
        <v>70</v>
      </c>
      <c r="C74" t="s">
        <v>11</v>
      </c>
      <c r="D74">
        <v>5</v>
      </c>
      <c r="E74">
        <v>1121</v>
      </c>
      <c r="F74" t="s">
        <v>9</v>
      </c>
      <c r="H74" t="str">
        <f>IF(COUNTIFS( $B$2:$B$981, B74, $C$2:$C$981, C74, $D$2:$D$981, D74, $E$2:$E$981, E74) &gt; 1, "Duplicate", "Unique")</f>
        <v>Unique</v>
      </c>
    </row>
    <row r="75" spans="1:8" x14ac:dyDescent="0.35">
      <c r="A75" t="s">
        <v>48</v>
      </c>
      <c r="B75" t="s">
        <v>53</v>
      </c>
      <c r="C75" t="s">
        <v>11</v>
      </c>
      <c r="D75">
        <v>5</v>
      </c>
      <c r="E75">
        <v>2938</v>
      </c>
      <c r="F75" t="s">
        <v>9</v>
      </c>
      <c r="H75" t="str">
        <f>IF(COUNTIFS( $B$2:$B$981, B75, $C$2:$C$981, C75, $D$2:$D$981, D75, $E$2:$E$981, E75) &gt; 1, "Duplicate", "Unique")</f>
        <v>Unique</v>
      </c>
    </row>
    <row r="76" spans="1:8" x14ac:dyDescent="0.35">
      <c r="A76" t="s">
        <v>62</v>
      </c>
      <c r="B76" t="s">
        <v>72</v>
      </c>
      <c r="C76" t="s">
        <v>8</v>
      </c>
      <c r="D76">
        <v>200</v>
      </c>
      <c r="E76">
        <v>92.75</v>
      </c>
      <c r="F76" t="s">
        <v>9</v>
      </c>
      <c r="H76" t="str">
        <f>IF(COUNTIFS( $B$2:$B$981, B76, $C$2:$C$981, C76, $D$2:$D$981, D76, $E$2:$E$981, E76) &gt; 1, "Duplicate", "Unique")</f>
        <v>Unique</v>
      </c>
    </row>
    <row r="77" spans="1:8" x14ac:dyDescent="0.35">
      <c r="A77" t="s">
        <v>73</v>
      </c>
      <c r="B77" t="s">
        <v>72</v>
      </c>
      <c r="C77" t="s">
        <v>11</v>
      </c>
      <c r="D77">
        <v>200</v>
      </c>
      <c r="E77">
        <v>88.75</v>
      </c>
      <c r="F77" t="s">
        <v>9</v>
      </c>
      <c r="H77" t="str">
        <f>IF(COUNTIFS( $B$2:$B$981, B77, $C$2:$C$981, C77, $D$2:$D$981, D77, $E$2:$E$981, E77) &gt; 1, "Duplicate", "Unique")</f>
        <v>Unique</v>
      </c>
    </row>
    <row r="78" spans="1:8" x14ac:dyDescent="0.35">
      <c r="A78" t="s">
        <v>48</v>
      </c>
      <c r="B78" t="s">
        <v>74</v>
      </c>
      <c r="C78" t="s">
        <v>11</v>
      </c>
      <c r="D78">
        <v>1</v>
      </c>
      <c r="E78">
        <v>4206</v>
      </c>
      <c r="F78" t="s">
        <v>9</v>
      </c>
      <c r="H78" t="str">
        <f>IF(COUNTIFS( $B$2:$B$981, B78, $C$2:$C$981, C78, $D$2:$D$981, D78, $E$2:$E$981, E78) &gt; 1, "Duplicate", "Unique")</f>
        <v>Unique</v>
      </c>
    </row>
    <row r="79" spans="1:8" x14ac:dyDescent="0.35">
      <c r="A79" t="s">
        <v>73</v>
      </c>
      <c r="B79" t="s">
        <v>74</v>
      </c>
      <c r="C79" t="s">
        <v>11</v>
      </c>
      <c r="D79">
        <v>1</v>
      </c>
      <c r="E79">
        <v>4306</v>
      </c>
      <c r="F79" t="s">
        <v>9</v>
      </c>
      <c r="H79" t="str">
        <f>IF(COUNTIFS( $B$2:$B$981, B79, $C$2:$C$981, C79, $D$2:$D$981, D79, $E$2:$E$981, E79) &gt; 1, "Duplicate", "Unique")</f>
        <v>Unique</v>
      </c>
    </row>
    <row r="80" spans="1:8" x14ac:dyDescent="0.35">
      <c r="A80" t="s">
        <v>57</v>
      </c>
      <c r="B80" t="s">
        <v>75</v>
      </c>
      <c r="C80" t="s">
        <v>11</v>
      </c>
      <c r="D80">
        <v>2</v>
      </c>
      <c r="E80">
        <v>2552</v>
      </c>
      <c r="F80" t="s">
        <v>9</v>
      </c>
      <c r="H80" t="str">
        <f>IF(COUNTIFS( $B$2:$B$981, B80, $C$2:$C$981, C80, $D$2:$D$981, D80, $E$2:$E$981, E80) &gt; 1, "Duplicate", "Unique")</f>
        <v>Unique</v>
      </c>
    </row>
    <row r="81" spans="1:8" x14ac:dyDescent="0.35">
      <c r="A81" t="s">
        <v>50</v>
      </c>
      <c r="B81" t="s">
        <v>52</v>
      </c>
      <c r="C81" t="s">
        <v>11</v>
      </c>
      <c r="D81">
        <v>20</v>
      </c>
      <c r="E81">
        <v>917</v>
      </c>
      <c r="F81" t="s">
        <v>9</v>
      </c>
      <c r="H81" t="str">
        <f>IF(COUNTIFS( $B$2:$B$981, B81, $C$2:$C$981, C81, $D$2:$D$981, D81, $E$2:$E$981, E81) &gt; 1, "Duplicate", "Unique")</f>
        <v>Unique</v>
      </c>
    </row>
    <row r="82" spans="1:8" x14ac:dyDescent="0.35">
      <c r="A82" t="s">
        <v>51</v>
      </c>
      <c r="B82" t="s">
        <v>47</v>
      </c>
      <c r="C82" t="s">
        <v>11</v>
      </c>
      <c r="D82">
        <v>5</v>
      </c>
      <c r="E82">
        <v>3888</v>
      </c>
      <c r="F82" t="s">
        <v>9</v>
      </c>
      <c r="H82" t="str">
        <f>IF(COUNTIFS( $B$2:$B$981, B82, $C$2:$C$981, C82, $D$2:$D$981, D82, $E$2:$E$981, E82) &gt; 1, "Duplicate", "Unique")</f>
        <v>Unique</v>
      </c>
    </row>
    <row r="83" spans="1:8" x14ac:dyDescent="0.35">
      <c r="A83" t="s">
        <v>51</v>
      </c>
      <c r="B83" t="s">
        <v>47</v>
      </c>
      <c r="C83" t="s">
        <v>11</v>
      </c>
      <c r="D83">
        <v>5</v>
      </c>
      <c r="E83">
        <v>3938</v>
      </c>
      <c r="F83" t="s">
        <v>9</v>
      </c>
      <c r="H83" t="str">
        <f>IF(COUNTIFS( $B$2:$B$981, B83, $C$2:$C$981, C83, $D$2:$D$981, D83, $E$2:$E$981, E83) &gt; 1, "Duplicate", "Unique")</f>
        <v>Unique</v>
      </c>
    </row>
    <row r="84" spans="1:8" x14ac:dyDescent="0.35">
      <c r="A84" t="s">
        <v>73</v>
      </c>
      <c r="B84" t="s">
        <v>76</v>
      </c>
      <c r="C84" t="s">
        <v>11</v>
      </c>
      <c r="D84">
        <v>2</v>
      </c>
      <c r="E84">
        <v>1060</v>
      </c>
      <c r="F84" t="s">
        <v>9</v>
      </c>
      <c r="H84" t="str">
        <f>IF(COUNTIFS( $B$2:$B$981, B84, $C$2:$C$981, C84, $D$2:$D$981, D84, $E$2:$E$981, E84) &gt; 1, "Duplicate", "Unique")</f>
        <v>Unique</v>
      </c>
    </row>
    <row r="85" spans="1:8" x14ac:dyDescent="0.35">
      <c r="A85" t="s">
        <v>64</v>
      </c>
      <c r="B85" t="s">
        <v>77</v>
      </c>
      <c r="C85" t="s">
        <v>8</v>
      </c>
      <c r="D85">
        <v>5</v>
      </c>
      <c r="E85">
        <v>790</v>
      </c>
      <c r="F85" t="s">
        <v>9</v>
      </c>
      <c r="H85" t="str">
        <f>IF(COUNTIFS( $B$2:$B$981, B85, $C$2:$C$981, C85, $D$2:$D$981, D85, $E$2:$E$981, E85) &gt; 1, "Duplicate", "Unique")</f>
        <v>Unique</v>
      </c>
    </row>
    <row r="86" spans="1:8" x14ac:dyDescent="0.35">
      <c r="A86" t="s">
        <v>73</v>
      </c>
      <c r="B86" t="s">
        <v>77</v>
      </c>
      <c r="C86" t="s">
        <v>11</v>
      </c>
      <c r="D86">
        <v>5</v>
      </c>
      <c r="E86">
        <v>726</v>
      </c>
      <c r="F86" t="s">
        <v>9</v>
      </c>
      <c r="H86" t="str">
        <f>IF(COUNTIFS( $B$2:$B$981, B86, $C$2:$C$981, C86, $D$2:$D$981, D86, $E$2:$E$981, E86) &gt; 1, "Duplicate", "Unique")</f>
        <v>Unique</v>
      </c>
    </row>
    <row r="87" spans="1:8" x14ac:dyDescent="0.35">
      <c r="A87" t="s">
        <v>57</v>
      </c>
      <c r="B87" t="s">
        <v>70</v>
      </c>
      <c r="C87" t="s">
        <v>11</v>
      </c>
      <c r="D87">
        <v>5</v>
      </c>
      <c r="E87">
        <v>1131</v>
      </c>
      <c r="F87" t="s">
        <v>9</v>
      </c>
      <c r="H87" t="str">
        <f>IF(COUNTIFS( $B$2:$B$981, B87, $C$2:$C$981, C87, $D$2:$D$981, D87, $E$2:$E$981, E87) &gt; 1, "Duplicate", "Unique")</f>
        <v>Unique</v>
      </c>
    </row>
    <row r="88" spans="1:8" x14ac:dyDescent="0.35">
      <c r="A88" t="s">
        <v>51</v>
      </c>
      <c r="B88" t="s">
        <v>70</v>
      </c>
      <c r="C88" t="s">
        <v>8</v>
      </c>
      <c r="D88">
        <v>10</v>
      </c>
      <c r="E88">
        <v>1221</v>
      </c>
      <c r="F88" t="s">
        <v>9</v>
      </c>
      <c r="H88" t="str">
        <f>IF(COUNTIFS( $B$2:$B$981, B88, $C$2:$C$981, C88, $D$2:$D$981, D88, $E$2:$E$981, E88) &gt; 1, "Duplicate", "Unique")</f>
        <v>Unique</v>
      </c>
    </row>
    <row r="89" spans="1:8" x14ac:dyDescent="0.35">
      <c r="A89" t="s">
        <v>68</v>
      </c>
      <c r="B89" t="s">
        <v>78</v>
      </c>
      <c r="C89" t="s">
        <v>11</v>
      </c>
      <c r="D89">
        <v>1</v>
      </c>
      <c r="E89">
        <v>13552</v>
      </c>
      <c r="F89" t="s">
        <v>9</v>
      </c>
      <c r="H89" t="str">
        <f>IF(COUNTIFS( $B$2:$B$981, B89, $C$2:$C$981, C89, $D$2:$D$981, D89, $E$2:$E$981, E89) &gt; 1, "Duplicate", "Unique")</f>
        <v>Unique</v>
      </c>
    </row>
    <row r="90" spans="1:8" x14ac:dyDescent="0.35">
      <c r="A90" t="s">
        <v>51</v>
      </c>
      <c r="B90" t="s">
        <v>61</v>
      </c>
      <c r="C90" t="s">
        <v>11</v>
      </c>
      <c r="D90">
        <v>200</v>
      </c>
      <c r="E90">
        <v>227.5</v>
      </c>
      <c r="F90" t="s">
        <v>9</v>
      </c>
      <c r="H90" t="str">
        <f>IF(COUNTIFS( $B$2:$B$981, B90, $C$2:$C$981, C90, $D$2:$D$981, D90, $E$2:$E$981, E90) &gt; 1, "Duplicate", "Unique")</f>
        <v>Unique</v>
      </c>
    </row>
    <row r="91" spans="1:8" x14ac:dyDescent="0.35">
      <c r="A91" t="s">
        <v>50</v>
      </c>
      <c r="B91" t="s">
        <v>79</v>
      </c>
      <c r="C91" t="s">
        <v>11</v>
      </c>
      <c r="D91">
        <v>3</v>
      </c>
      <c r="E91">
        <v>1302</v>
      </c>
      <c r="F91" t="s">
        <v>9</v>
      </c>
      <c r="H91" t="str">
        <f>IF(COUNTIFS( $B$2:$B$981, B91, $C$2:$C$981, C91, $D$2:$D$981, D91, $E$2:$E$981, E91) &gt; 1, "Duplicate", "Unique")</f>
        <v>Unique</v>
      </c>
    </row>
    <row r="92" spans="1:8" x14ac:dyDescent="0.35">
      <c r="A92" t="s">
        <v>54</v>
      </c>
      <c r="B92" t="s">
        <v>65</v>
      </c>
      <c r="C92" t="s">
        <v>8</v>
      </c>
      <c r="D92">
        <v>20</v>
      </c>
      <c r="E92">
        <v>896</v>
      </c>
      <c r="F92" t="s">
        <v>9</v>
      </c>
      <c r="H92" t="str">
        <f>IF(COUNTIFS( $B$2:$B$981, B92, $C$2:$C$981, C92, $D$2:$D$981, D92, $E$2:$E$981, E92) &gt; 1, "Duplicate", "Unique")</f>
        <v>Unique</v>
      </c>
    </row>
    <row r="93" spans="1:8" x14ac:dyDescent="0.35">
      <c r="A93" t="s">
        <v>62</v>
      </c>
      <c r="B93" t="s">
        <v>80</v>
      </c>
      <c r="C93" t="s">
        <v>8</v>
      </c>
      <c r="D93">
        <v>11</v>
      </c>
      <c r="E93">
        <v>548</v>
      </c>
      <c r="F93" t="s">
        <v>9</v>
      </c>
      <c r="H93" t="str">
        <f>IF(COUNTIFS( $B$2:$B$981, B93, $C$2:$C$981, C93, $D$2:$D$981, D93, $E$2:$E$981, E93) &gt; 1, "Duplicate", "Unique")</f>
        <v>Unique</v>
      </c>
    </row>
    <row r="94" spans="1:8" x14ac:dyDescent="0.35">
      <c r="A94" t="s">
        <v>57</v>
      </c>
      <c r="B94" t="s">
        <v>69</v>
      </c>
      <c r="C94" t="s">
        <v>8</v>
      </c>
      <c r="D94">
        <v>2</v>
      </c>
      <c r="E94">
        <v>2690</v>
      </c>
      <c r="F94" t="s">
        <v>9</v>
      </c>
      <c r="H94" t="str">
        <f>IF(COUNTIFS( $B$2:$B$981, B94, $C$2:$C$981, C94, $D$2:$D$981, D94, $E$2:$E$981, E94) &gt; 1, "Duplicate", "Unique")</f>
        <v>Unique</v>
      </c>
    </row>
    <row r="95" spans="1:8" x14ac:dyDescent="0.35">
      <c r="A95" t="s">
        <v>51</v>
      </c>
      <c r="B95" t="s">
        <v>70</v>
      </c>
      <c r="C95" t="s">
        <v>8</v>
      </c>
      <c r="D95">
        <v>5</v>
      </c>
      <c r="E95">
        <v>1211</v>
      </c>
      <c r="F95" t="s">
        <v>9</v>
      </c>
      <c r="H95" t="str">
        <f>IF(COUNTIFS( $B$2:$B$981, B95, $C$2:$C$981, C95, $D$2:$D$981, D95, $E$2:$E$981, E95) &gt; 1, "Duplicate", "Unique")</f>
        <v>Unique</v>
      </c>
    </row>
    <row r="96" spans="1:8" x14ac:dyDescent="0.35">
      <c r="A96" t="s">
        <v>73</v>
      </c>
      <c r="B96" t="s">
        <v>65</v>
      </c>
      <c r="C96" t="s">
        <v>8</v>
      </c>
      <c r="D96">
        <v>5</v>
      </c>
      <c r="E96">
        <v>886</v>
      </c>
      <c r="F96" t="s">
        <v>9</v>
      </c>
      <c r="H96" t="str">
        <f>IF(COUNTIFS( $B$2:$B$981, B96, $C$2:$C$981, C96, $D$2:$D$981, D96, $E$2:$E$981, E96) &gt; 1, "Duplicate", "Unique")</f>
        <v>Unique</v>
      </c>
    </row>
    <row r="97" spans="1:8" x14ac:dyDescent="0.35">
      <c r="A97" t="s">
        <v>48</v>
      </c>
      <c r="B97" t="s">
        <v>49</v>
      </c>
      <c r="C97" t="s">
        <v>8</v>
      </c>
      <c r="D97">
        <v>1</v>
      </c>
      <c r="E97">
        <v>3710</v>
      </c>
      <c r="F97" t="s">
        <v>9</v>
      </c>
      <c r="H97" t="str">
        <f>IF(COUNTIFS( $B$2:$B$981, B97, $C$2:$C$981, C97, $D$2:$D$981, D97, $E$2:$E$981, E97) &gt; 1, "Duplicate", "Unique")</f>
        <v>Unique</v>
      </c>
    </row>
    <row r="98" spans="1:8" x14ac:dyDescent="0.35">
      <c r="A98" t="s">
        <v>73</v>
      </c>
      <c r="B98" t="s">
        <v>58</v>
      </c>
      <c r="C98" t="s">
        <v>8</v>
      </c>
      <c r="D98">
        <v>10</v>
      </c>
      <c r="E98">
        <v>1298</v>
      </c>
      <c r="F98" t="s">
        <v>9</v>
      </c>
      <c r="H98" t="str">
        <f>IF(COUNTIFS( $B$2:$B$981, B98, $C$2:$C$981, C98, $D$2:$D$981, D98, $E$2:$E$981, E98) &gt; 1, "Duplicate", "Unique")</f>
        <v>Unique</v>
      </c>
    </row>
    <row r="99" spans="1:8" x14ac:dyDescent="0.35">
      <c r="A99" t="s">
        <v>54</v>
      </c>
      <c r="B99" t="s">
        <v>55</v>
      </c>
      <c r="C99" t="s">
        <v>8</v>
      </c>
      <c r="D99">
        <v>10</v>
      </c>
      <c r="E99">
        <v>1056</v>
      </c>
      <c r="F99" t="s">
        <v>9</v>
      </c>
      <c r="H99" t="str">
        <f>IF(COUNTIFS( $B$2:$B$981, B99, $C$2:$C$981, C99, $D$2:$D$981, D99, $E$2:$E$981, E99) &gt; 1, "Duplicate", "Unique")</f>
        <v>Unique</v>
      </c>
    </row>
    <row r="100" spans="1:8" x14ac:dyDescent="0.35">
      <c r="A100" t="s">
        <v>68</v>
      </c>
      <c r="B100" t="s">
        <v>72</v>
      </c>
      <c r="C100" t="s">
        <v>8</v>
      </c>
      <c r="D100">
        <v>200</v>
      </c>
      <c r="E100">
        <v>91.75</v>
      </c>
      <c r="F100" t="s">
        <v>9</v>
      </c>
      <c r="H100" t="str">
        <f>IF(COUNTIFS( $B$2:$B$981, B100, $C$2:$C$981, C100, $D$2:$D$981, D100, $E$2:$E$981, E100) &gt; 1, "Duplicate", "Unique")</f>
        <v>Unique</v>
      </c>
    </row>
    <row r="101" spans="1:8" x14ac:dyDescent="0.35">
      <c r="A101" t="s">
        <v>73</v>
      </c>
      <c r="B101" t="s">
        <v>58</v>
      </c>
      <c r="C101" t="s">
        <v>8</v>
      </c>
      <c r="D101">
        <v>10</v>
      </c>
      <c r="E101">
        <v>1280</v>
      </c>
      <c r="F101" t="s">
        <v>9</v>
      </c>
      <c r="H101" t="str">
        <f>IF(COUNTIFS( $B$2:$B$981, B101, $C$2:$C$981, C101, $D$2:$D$981, D101, $E$2:$E$981, E101) &gt; 1, "Duplicate", "Unique")</f>
        <v>Unique</v>
      </c>
    </row>
    <row r="102" spans="1:8" x14ac:dyDescent="0.35">
      <c r="A102" t="s">
        <v>60</v>
      </c>
      <c r="B102" t="s">
        <v>52</v>
      </c>
      <c r="C102" t="s">
        <v>8</v>
      </c>
      <c r="D102">
        <v>10</v>
      </c>
      <c r="E102">
        <v>997</v>
      </c>
      <c r="F102" t="s">
        <v>9</v>
      </c>
      <c r="H102" t="str">
        <f>IF(COUNTIFS( $B$2:$B$981, B102, $C$2:$C$981, C102, $D$2:$D$981, D102, $E$2:$E$981, E102) &gt; 1, "Duplicate", "Unique")</f>
        <v>Unique</v>
      </c>
    </row>
    <row r="103" spans="1:8" x14ac:dyDescent="0.35">
      <c r="A103" t="s">
        <v>60</v>
      </c>
      <c r="B103" t="s">
        <v>52</v>
      </c>
      <c r="C103" t="s">
        <v>8</v>
      </c>
      <c r="D103">
        <v>10</v>
      </c>
      <c r="E103">
        <v>977</v>
      </c>
      <c r="F103" t="s">
        <v>9</v>
      </c>
      <c r="H103" t="str">
        <f>IF(COUNTIFS( $B$2:$B$981, B103, $C$2:$C$981, C103, $D$2:$D$981, D103, $E$2:$E$981, E103) &gt; 1, "Duplicate", "Unique")</f>
        <v>Unique</v>
      </c>
    </row>
    <row r="104" spans="1:8" x14ac:dyDescent="0.35">
      <c r="A104" t="s">
        <v>64</v>
      </c>
      <c r="B104" t="s">
        <v>59</v>
      </c>
      <c r="C104" t="s">
        <v>8</v>
      </c>
      <c r="D104">
        <v>10</v>
      </c>
      <c r="E104">
        <v>1490</v>
      </c>
      <c r="F104" t="s">
        <v>9</v>
      </c>
      <c r="H104" t="str">
        <f>IF(COUNTIFS( $B$2:$B$981, B104, $C$2:$C$981, C104, $D$2:$D$981, D104, $E$2:$E$981, E104) &gt; 1, "Duplicate", "Unique")</f>
        <v>Unique</v>
      </c>
    </row>
    <row r="105" spans="1:8" x14ac:dyDescent="0.35">
      <c r="A105" t="s">
        <v>68</v>
      </c>
      <c r="B105" t="s">
        <v>59</v>
      </c>
      <c r="C105" t="s">
        <v>8</v>
      </c>
      <c r="D105">
        <v>10</v>
      </c>
      <c r="E105">
        <v>1460</v>
      </c>
      <c r="F105" t="s">
        <v>9</v>
      </c>
      <c r="H105" t="str">
        <f>IF(COUNTIFS( $B$2:$B$981, B105, $C$2:$C$981, C105, $D$2:$D$981, D105, $E$2:$E$981, E105) &gt; 1, "Duplicate", "Unique")</f>
        <v>Unique</v>
      </c>
    </row>
    <row r="106" spans="1:8" x14ac:dyDescent="0.35">
      <c r="A106" t="s">
        <v>60</v>
      </c>
      <c r="B106" t="s">
        <v>61</v>
      </c>
      <c r="C106" t="s">
        <v>8</v>
      </c>
      <c r="D106">
        <v>200</v>
      </c>
      <c r="E106">
        <v>244</v>
      </c>
      <c r="F106" t="s">
        <v>9</v>
      </c>
      <c r="H106" t="str">
        <f>IF(COUNTIFS( $B$2:$B$981, B106, $C$2:$C$981, C106, $D$2:$D$981, D106, $E$2:$E$981, E106) &gt; 1, "Duplicate", "Unique")</f>
        <v>Unique</v>
      </c>
    </row>
    <row r="107" spans="1:8" x14ac:dyDescent="0.35">
      <c r="A107" t="s">
        <v>60</v>
      </c>
      <c r="B107" t="s">
        <v>61</v>
      </c>
      <c r="C107" t="s">
        <v>8</v>
      </c>
      <c r="D107">
        <v>200</v>
      </c>
      <c r="E107">
        <v>239</v>
      </c>
      <c r="F107" t="s">
        <v>9</v>
      </c>
      <c r="H107" t="str">
        <f>IF(COUNTIFS( $B$2:$B$981, B107, $C$2:$C$981, C107, $D$2:$D$981, D107, $E$2:$E$981, E107) &gt; 1, "Duplicate", "Unique")</f>
        <v>Unique</v>
      </c>
    </row>
    <row r="108" spans="1:8" x14ac:dyDescent="0.35">
      <c r="A108" t="s">
        <v>60</v>
      </c>
      <c r="B108" t="s">
        <v>61</v>
      </c>
      <c r="C108" t="s">
        <v>8</v>
      </c>
      <c r="D108">
        <v>100</v>
      </c>
      <c r="E108">
        <v>238.2</v>
      </c>
      <c r="F108" t="s">
        <v>9</v>
      </c>
      <c r="H108" t="str">
        <f>IF(COUNTIFS( $B$2:$B$981, B108, $C$2:$C$981, C108, $D$2:$D$981, D108, $E$2:$E$981, E108) &gt; 1, "Duplicate", "Unique")</f>
        <v>Unique</v>
      </c>
    </row>
    <row r="109" spans="1:8" x14ac:dyDescent="0.35">
      <c r="A109" t="s">
        <v>48</v>
      </c>
      <c r="B109" t="s">
        <v>81</v>
      </c>
      <c r="C109" t="s">
        <v>8</v>
      </c>
      <c r="D109">
        <v>50</v>
      </c>
      <c r="E109">
        <v>480</v>
      </c>
      <c r="F109" t="s">
        <v>9</v>
      </c>
      <c r="H109" t="str">
        <f>IF(COUNTIFS( $B$2:$B$981, B109, $C$2:$C$981, C109, $D$2:$D$981, D109, $E$2:$E$981, E109) &gt; 1, "Duplicate", "Unique")</f>
        <v>Unique</v>
      </c>
    </row>
    <row r="110" spans="1:8" ht="15" thickBot="1" x14ac:dyDescent="0.4">
      <c r="A110" t="s">
        <v>57</v>
      </c>
      <c r="B110" t="s">
        <v>75</v>
      </c>
      <c r="C110" t="s">
        <v>8</v>
      </c>
      <c r="D110">
        <v>3</v>
      </c>
      <c r="E110">
        <v>2846</v>
      </c>
      <c r="F110" t="s">
        <v>9</v>
      </c>
      <c r="H110" t="str">
        <f>IF(COUNTIFS( $B$2:$B$981, B110, $C$2:$C$981, C110, $D$2:$D$981, D110, $E$2:$E$981, E110) &gt; 1, "Duplicate", "Unique")</f>
        <v>Unique</v>
      </c>
    </row>
    <row r="111" spans="1:8" ht="58.5" thickBot="1" x14ac:dyDescent="0.4">
      <c r="A111" s="1" t="s">
        <v>0</v>
      </c>
      <c r="B111" s="1" t="s">
        <v>1</v>
      </c>
      <c r="C111" s="1" t="s">
        <v>2</v>
      </c>
      <c r="D111" s="1" t="s">
        <v>3</v>
      </c>
      <c r="E111" s="2" t="s">
        <v>4</v>
      </c>
      <c r="F111" s="1" t="s">
        <v>5</v>
      </c>
      <c r="H111" t="str">
        <f>IF(COUNTIFS( $B$2:$B$981, B111, $C$2:$C$981, C111, $D$2:$D$981, D111, $E$2:$E$981, E111) &gt; 1, "Duplicate", "Unique")</f>
        <v>Unique</v>
      </c>
    </row>
    <row r="112" spans="1:8" ht="15" thickBot="1" x14ac:dyDescent="0.4">
      <c r="A112" s="3" t="s">
        <v>82</v>
      </c>
      <c r="B112" s="3" t="s">
        <v>47</v>
      </c>
      <c r="C112" s="3" t="s">
        <v>8</v>
      </c>
      <c r="D112" s="3">
        <v>10</v>
      </c>
      <c r="E112" s="4">
        <v>4048</v>
      </c>
      <c r="F112" s="3" t="s">
        <v>9</v>
      </c>
      <c r="H112" t="str">
        <f>IF(COUNTIFS( $B$2:$B$981, B112, $C$2:$C$981, C112, $D$2:$D$981, D112, $E$2:$E$981, E112) &gt; 1, "Duplicate", "Unique")</f>
        <v>Unique</v>
      </c>
    </row>
    <row r="113" spans="1:8" ht="15" thickBot="1" x14ac:dyDescent="0.4">
      <c r="A113" s="3" t="s">
        <v>84</v>
      </c>
      <c r="B113" s="3" t="s">
        <v>52</v>
      </c>
      <c r="C113" s="3" t="s">
        <v>8</v>
      </c>
      <c r="D113" s="3">
        <v>10</v>
      </c>
      <c r="E113" s="4">
        <v>957</v>
      </c>
      <c r="F113" s="3" t="s">
        <v>9</v>
      </c>
      <c r="H113" t="str">
        <f>IF(COUNTIFS( $B$2:$B$981, B113, $C$2:$C$981, C113, $D$2:$D$981, D113, $E$2:$E$981, E113) &gt; 1, "Duplicate", "Unique")</f>
        <v>Unique</v>
      </c>
    </row>
    <row r="114" spans="1:8" ht="15" thickBot="1" x14ac:dyDescent="0.4">
      <c r="A114" s="5">
        <v>46237.769108796296</v>
      </c>
      <c r="B114" s="1" t="s">
        <v>32</v>
      </c>
      <c r="C114" s="1" t="s">
        <v>8</v>
      </c>
      <c r="D114" s="6">
        <v>40</v>
      </c>
      <c r="E114" s="7">
        <v>444</v>
      </c>
      <c r="F114" s="1" t="s">
        <v>9</v>
      </c>
      <c r="H114" t="str">
        <f>IF(COUNTIFS( $B$2:$B$981, B114, $C$2:$C$981, C114, $D$2:$D$981, D114, $E$2:$E$981, E114) &gt; 1, "Duplicate", "Unique")</f>
        <v>Unique</v>
      </c>
    </row>
    <row r="115" spans="1:8" ht="15" thickBot="1" x14ac:dyDescent="0.4">
      <c r="A115" s="3" t="s">
        <v>87</v>
      </c>
      <c r="B115" s="3" t="s">
        <v>70</v>
      </c>
      <c r="C115" s="3" t="s">
        <v>8</v>
      </c>
      <c r="D115" s="3">
        <v>15</v>
      </c>
      <c r="E115" s="4">
        <v>1186</v>
      </c>
      <c r="F115" s="3" t="s">
        <v>9</v>
      </c>
      <c r="H115" t="str">
        <f>IF(COUNTIFS( $B$2:$B$981, B115, $C$2:$C$981, C115, $D$2:$D$981, D115, $E$2:$E$981, E115) &gt; 1, "Duplicate", "Unique")</f>
        <v>Unique</v>
      </c>
    </row>
    <row r="116" spans="1:8" ht="15" thickBot="1" x14ac:dyDescent="0.4">
      <c r="A116" s="5">
        <v>46234.687488425923</v>
      </c>
      <c r="B116" s="1" t="s">
        <v>32</v>
      </c>
      <c r="C116" s="1" t="s">
        <v>8</v>
      </c>
      <c r="D116" s="6">
        <v>40</v>
      </c>
      <c r="E116" s="7">
        <v>448</v>
      </c>
      <c r="F116" s="1" t="s">
        <v>9</v>
      </c>
      <c r="H116" t="str">
        <f>IF(COUNTIFS( $B$2:$B$981, B116, $C$2:$C$981, C116, $D$2:$D$981, D116, $E$2:$E$981, E116) &gt; 1, "Duplicate", "Unique")</f>
        <v>Unique</v>
      </c>
    </row>
    <row r="117" spans="1:8" ht="15" thickBot="1" x14ac:dyDescent="0.4">
      <c r="A117" s="5">
        <v>46237.769016203703</v>
      </c>
      <c r="B117" s="1" t="s">
        <v>31</v>
      </c>
      <c r="C117" s="1" t="s">
        <v>8</v>
      </c>
      <c r="D117" s="6">
        <v>150</v>
      </c>
      <c r="E117" s="7">
        <v>134.80000000000001</v>
      </c>
      <c r="F117" s="1" t="s">
        <v>9</v>
      </c>
      <c r="H117" t="str">
        <f>IF(COUNTIFS( $B$2:$B$981, B117, $C$2:$C$981, C117, $D$2:$D$981, D117, $E$2:$E$981, E117) &gt; 1, "Duplicate", "Unique")</f>
        <v>Unique</v>
      </c>
    </row>
    <row r="118" spans="1:8" ht="15" thickBot="1" x14ac:dyDescent="0.4">
      <c r="A118" s="5">
        <v>46237.690567129626</v>
      </c>
      <c r="B118" s="1" t="s">
        <v>25</v>
      </c>
      <c r="C118" s="1" t="s">
        <v>8</v>
      </c>
      <c r="D118" s="6">
        <v>2</v>
      </c>
      <c r="E118" s="7">
        <v>4720</v>
      </c>
      <c r="F118" s="1" t="s">
        <v>9</v>
      </c>
      <c r="H118" t="str">
        <f>IF(COUNTIFS( $B$2:$B$981, B118, $C$2:$C$981, C118, $D$2:$D$981, D118, $E$2:$E$981, E118) &gt; 1, "Duplicate", "Unique")</f>
        <v>Unique</v>
      </c>
    </row>
    <row r="119" spans="1:8" ht="15" thickBot="1" x14ac:dyDescent="0.4">
      <c r="A119" s="5">
        <v>46237.690532407411</v>
      </c>
      <c r="B119" s="1" t="s">
        <v>10</v>
      </c>
      <c r="C119" s="1" t="s">
        <v>8</v>
      </c>
      <c r="D119" s="6">
        <v>10</v>
      </c>
      <c r="E119" s="7">
        <v>2690</v>
      </c>
      <c r="F119" s="1" t="s">
        <v>9</v>
      </c>
      <c r="H119" t="str">
        <f>IF(COUNTIFS( $B$2:$B$981, B119, $C$2:$C$981, C119, $D$2:$D$981, D119, $E$2:$E$981, E119) &gt; 1, "Duplicate", "Unique")</f>
        <v>Unique</v>
      </c>
    </row>
    <row r="120" spans="1:8" ht="15" thickBot="1" x14ac:dyDescent="0.4">
      <c r="A120" s="5">
        <v>46237.769108796296</v>
      </c>
      <c r="B120" s="1" t="s">
        <v>92</v>
      </c>
      <c r="C120" s="1" t="s">
        <v>8</v>
      </c>
      <c r="D120" s="6">
        <v>1</v>
      </c>
      <c r="E120" s="7">
        <v>2396</v>
      </c>
      <c r="F120" s="1" t="s">
        <v>9</v>
      </c>
      <c r="H120" t="str">
        <f>IF(COUNTIFS( $B$2:$B$981, B120, $C$2:$C$981, C120, $D$2:$D$981, D120, $E$2:$E$981, E120) &gt; 1, "Duplicate", "Unique")</f>
        <v>Unique</v>
      </c>
    </row>
    <row r="121" spans="1:8" ht="15" thickBot="1" x14ac:dyDescent="0.4">
      <c r="A121" s="3" t="s">
        <v>91</v>
      </c>
      <c r="B121" s="3" t="s">
        <v>69</v>
      </c>
      <c r="C121" s="3" t="s">
        <v>8</v>
      </c>
      <c r="D121" s="3">
        <v>3</v>
      </c>
      <c r="E121" s="4">
        <v>2710</v>
      </c>
      <c r="F121" s="3" t="s">
        <v>9</v>
      </c>
      <c r="H121" t="str">
        <f>IF(COUNTIFS( $B$2:$B$981, B121, $C$2:$C$981, C121, $D$2:$D$981, D121, $E$2:$E$981, E121) &gt; 1, "Duplicate", "Unique")</f>
        <v>Unique</v>
      </c>
    </row>
    <row r="122" spans="1:8" ht="15" thickBot="1" x14ac:dyDescent="0.4">
      <c r="A122" s="5">
        <v>46237.690532407411</v>
      </c>
      <c r="B122" s="1" t="s">
        <v>10</v>
      </c>
      <c r="C122" s="1" t="s">
        <v>8</v>
      </c>
      <c r="D122" s="6">
        <v>10</v>
      </c>
      <c r="E122" s="7">
        <v>2720</v>
      </c>
      <c r="F122" s="1" t="s">
        <v>9</v>
      </c>
      <c r="H122" t="str">
        <f>IF(COUNTIFS( $B$2:$B$981, B122, $C$2:$C$981, C122, $D$2:$D$981, D122, $E$2:$E$981, E122) &gt; 1, "Duplicate", "Unique")</f>
        <v>Unique</v>
      </c>
    </row>
    <row r="123" spans="1:8" ht="15" thickBot="1" x14ac:dyDescent="0.4">
      <c r="A123" s="5">
        <v>46237.769108796296</v>
      </c>
      <c r="B123" s="1" t="s">
        <v>36</v>
      </c>
      <c r="C123" s="1" t="s">
        <v>8</v>
      </c>
      <c r="D123" s="6">
        <v>50</v>
      </c>
      <c r="E123" s="7">
        <v>218</v>
      </c>
      <c r="F123" s="1" t="s">
        <v>9</v>
      </c>
      <c r="H123" t="str">
        <f>IF(COUNTIFS( $B$2:$B$981, B123, $C$2:$C$981, C123, $D$2:$D$981, D123, $E$2:$E$981, E123) &gt; 1, "Duplicate", "Unique")</f>
        <v>Unique</v>
      </c>
    </row>
    <row r="124" spans="1:8" ht="15" thickBot="1" x14ac:dyDescent="0.4">
      <c r="A124" s="5">
        <v>46237.769108796296</v>
      </c>
      <c r="B124" s="1" t="s">
        <v>44</v>
      </c>
      <c r="C124" s="1" t="s">
        <v>8</v>
      </c>
      <c r="D124" s="6">
        <v>30</v>
      </c>
      <c r="E124" s="7">
        <v>974</v>
      </c>
      <c r="F124" s="1" t="s">
        <v>9</v>
      </c>
      <c r="H124" t="str">
        <f>IF(COUNTIFS( $B$2:$B$981, B124, $C$2:$C$981, C124, $D$2:$D$981, D124, $E$2:$E$981, E124) &gt; 1, "Duplicate", "Unique")</f>
        <v>Unique</v>
      </c>
    </row>
    <row r="125" spans="1:8" ht="15" thickBot="1" x14ac:dyDescent="0.4">
      <c r="A125" s="5">
        <v>46237.769108796296</v>
      </c>
      <c r="B125" s="1" t="s">
        <v>94</v>
      </c>
      <c r="C125" s="1" t="s">
        <v>8</v>
      </c>
      <c r="D125" s="6">
        <v>5</v>
      </c>
      <c r="E125" s="7">
        <v>469</v>
      </c>
      <c r="F125" s="1" t="s">
        <v>9</v>
      </c>
      <c r="H125" t="str">
        <f>IF(COUNTIFS( $B$2:$B$981, B125, $C$2:$C$981, C125, $D$2:$D$981, D125, $E$2:$E$981, E125) &gt; 1, "Duplicate", "Unique")</f>
        <v>Unique</v>
      </c>
    </row>
    <row r="126" spans="1:8" ht="15" thickBot="1" x14ac:dyDescent="0.4">
      <c r="A126" s="5">
        <v>46233.688310185185</v>
      </c>
      <c r="B126" s="8" t="s">
        <v>32</v>
      </c>
      <c r="C126" s="1" t="s">
        <v>8</v>
      </c>
      <c r="D126" s="6">
        <v>5</v>
      </c>
      <c r="E126" s="9">
        <v>467.25</v>
      </c>
      <c r="F126" s="1" t="s">
        <v>9</v>
      </c>
      <c r="H126" t="str">
        <f>IF(COUNTIFS( $B$2:$B$981, B126, $C$2:$C$981, C126, $D$2:$D$981, D126, $E$2:$E$981, E126) &gt; 1, "Duplicate", "Unique")</f>
        <v>Unique</v>
      </c>
    </row>
    <row r="127" spans="1:8" ht="15" thickBot="1" x14ac:dyDescent="0.4">
      <c r="A127" s="5">
        <v>46237.690532407411</v>
      </c>
      <c r="B127" s="1" t="s">
        <v>10</v>
      </c>
      <c r="C127" s="1" t="s">
        <v>8</v>
      </c>
      <c r="D127" s="6">
        <v>10</v>
      </c>
      <c r="E127" s="7">
        <v>2770</v>
      </c>
      <c r="F127" s="1" t="s">
        <v>9</v>
      </c>
      <c r="H127" t="str">
        <f>IF(COUNTIFS( $B$2:$B$981, B127, $C$2:$C$981, C127, $D$2:$D$981, D127, $E$2:$E$981, E127) &gt; 1, "Duplicate", "Unique")</f>
        <v>Unique</v>
      </c>
    </row>
    <row r="128" spans="1:8" ht="15" thickBot="1" x14ac:dyDescent="0.4">
      <c r="A128" s="5">
        <v>46234.687476851854</v>
      </c>
      <c r="B128" s="1" t="s">
        <v>35</v>
      </c>
      <c r="C128" s="1" t="s">
        <v>8</v>
      </c>
      <c r="D128" s="6">
        <v>100</v>
      </c>
      <c r="E128" s="7">
        <v>314</v>
      </c>
      <c r="F128" s="1" t="s">
        <v>9</v>
      </c>
      <c r="H128" t="str">
        <f>IF(COUNTIFS( $B$2:$B$981, B128, $C$2:$C$981, C128, $D$2:$D$981, D128, $E$2:$E$981, E128) &gt; 1, "Duplicate", "Unique")</f>
        <v>Unique</v>
      </c>
    </row>
    <row r="129" spans="1:8" ht="15" thickBot="1" x14ac:dyDescent="0.4">
      <c r="A129" s="3" t="s">
        <v>90</v>
      </c>
      <c r="B129" s="3" t="s">
        <v>79</v>
      </c>
      <c r="C129" s="3" t="s">
        <v>8</v>
      </c>
      <c r="D129" s="3">
        <v>7</v>
      </c>
      <c r="E129" s="4">
        <v>1424</v>
      </c>
      <c r="F129" s="3" t="s">
        <v>9</v>
      </c>
      <c r="H129" t="str">
        <f>IF(COUNTIFS( $B$2:$B$981, B129, $C$2:$C$981, C129, $D$2:$D$981, D129, $E$2:$E$981, E129) &gt; 1, "Duplicate", "Unique")</f>
        <v>Unique</v>
      </c>
    </row>
    <row r="130" spans="1:8" ht="15" thickBot="1" x14ac:dyDescent="0.4">
      <c r="A130" s="5">
        <v>46237.769062500003</v>
      </c>
      <c r="B130" s="1" t="s">
        <v>28</v>
      </c>
      <c r="C130" s="1" t="s">
        <v>8</v>
      </c>
      <c r="D130" s="6">
        <v>25</v>
      </c>
      <c r="E130" s="7">
        <v>214</v>
      </c>
      <c r="F130" s="1" t="s">
        <v>9</v>
      </c>
      <c r="H130" t="str">
        <f>IF(COUNTIFS( $B$2:$B$981, B130, $C$2:$C$981, C130, $D$2:$D$981, D130, $E$2:$E$981, E130) &gt; 1, "Duplicate", "Unique")</f>
        <v>Unique</v>
      </c>
    </row>
    <row r="131" spans="1:8" ht="15" thickBot="1" x14ac:dyDescent="0.4">
      <c r="A131" s="5">
        <v>46233.688530092593</v>
      </c>
      <c r="B131" s="8" t="s">
        <v>44</v>
      </c>
      <c r="C131" s="1" t="s">
        <v>8</v>
      </c>
      <c r="D131" s="6">
        <v>40</v>
      </c>
      <c r="E131" s="9">
        <v>996</v>
      </c>
      <c r="F131" s="1" t="s">
        <v>9</v>
      </c>
      <c r="H131" t="str">
        <f>IF(COUNTIFS( $B$2:$B$981, B131, $C$2:$C$981, C131, $D$2:$D$981, D131, $E$2:$E$981, E131) &gt; 1, "Duplicate", "Unique")</f>
        <v>Unique</v>
      </c>
    </row>
    <row r="132" spans="1:8" ht="15" thickBot="1" x14ac:dyDescent="0.4">
      <c r="A132" s="3" t="s">
        <v>89</v>
      </c>
      <c r="B132" s="3" t="s">
        <v>52</v>
      </c>
      <c r="C132" s="3" t="s">
        <v>8</v>
      </c>
      <c r="D132" s="3">
        <v>10</v>
      </c>
      <c r="E132" s="4">
        <v>1024</v>
      </c>
      <c r="F132" s="3" t="s">
        <v>9</v>
      </c>
      <c r="H132" t="str">
        <f>IF(COUNTIFS( $B$2:$B$981, B132, $C$2:$C$981, C132, $D$2:$D$981, D132, $E$2:$E$981, E132) &gt; 1, "Duplicate", "Unique")</f>
        <v>Unique</v>
      </c>
    </row>
    <row r="133" spans="1:8" ht="15" thickBot="1" x14ac:dyDescent="0.4">
      <c r="A133" s="5">
        <v>46237.690555555557</v>
      </c>
      <c r="B133" s="1" t="s">
        <v>92</v>
      </c>
      <c r="C133" s="1" t="s">
        <v>8</v>
      </c>
      <c r="D133" s="6">
        <v>1</v>
      </c>
      <c r="E133" s="7">
        <v>2496</v>
      </c>
      <c r="F133" s="1" t="s">
        <v>9</v>
      </c>
      <c r="H133" t="str">
        <f>IF(COUNTIFS( $B$2:$B$981, B133, $C$2:$C$981, C133, $D$2:$D$981, D133, $E$2:$E$981, E133) &gt; 1, "Duplicate", "Unique")</f>
        <v>Unique</v>
      </c>
    </row>
    <row r="134" spans="1:8" ht="15" thickBot="1" x14ac:dyDescent="0.4">
      <c r="A134" s="5">
        <v>46233.688460648147</v>
      </c>
      <c r="B134" s="8" t="s">
        <v>7</v>
      </c>
      <c r="C134" s="1" t="s">
        <v>8</v>
      </c>
      <c r="D134" s="6">
        <v>40</v>
      </c>
      <c r="E134" s="9">
        <v>229</v>
      </c>
      <c r="F134" s="1" t="s">
        <v>9</v>
      </c>
      <c r="H134" t="str">
        <f>IF(COUNTIFS( $B$2:$B$981, B134, $C$2:$C$981, C134, $D$2:$D$981, D134, $E$2:$E$981, E134) &gt; 1, "Duplicate", "Unique")</f>
        <v>Unique</v>
      </c>
    </row>
    <row r="135" spans="1:8" ht="15" thickBot="1" x14ac:dyDescent="0.4">
      <c r="A135" s="5">
        <v>46233.688344907408</v>
      </c>
      <c r="B135" s="8" t="s">
        <v>95</v>
      </c>
      <c r="C135" s="1" t="s">
        <v>8</v>
      </c>
      <c r="D135" s="6">
        <v>20</v>
      </c>
      <c r="E135" s="9">
        <v>424</v>
      </c>
      <c r="F135" s="1" t="s">
        <v>9</v>
      </c>
      <c r="H135" t="str">
        <f>IF(COUNTIFS( $B$2:$B$981, B135, $C$2:$C$981, C135, $D$2:$D$981, D135, $E$2:$E$981, E135) &gt; 1, "Duplicate", "Unique")</f>
        <v>Unique</v>
      </c>
    </row>
    <row r="136" spans="1:8" ht="15" thickBot="1" x14ac:dyDescent="0.4">
      <c r="A136" s="5">
        <v>46234.687476851854</v>
      </c>
      <c r="B136" s="1" t="s">
        <v>35</v>
      </c>
      <c r="C136" s="1" t="s">
        <v>8</v>
      </c>
      <c r="D136" s="6">
        <v>100</v>
      </c>
      <c r="E136" s="7">
        <v>319</v>
      </c>
      <c r="F136" s="1" t="s">
        <v>9</v>
      </c>
      <c r="H136" t="str">
        <f>IF(COUNTIFS( $B$2:$B$981, B136, $C$2:$C$981, C136, $D$2:$D$981, D136, $E$2:$E$981, E136) &gt; 1, "Duplicate", "Unique")</f>
        <v>Unique</v>
      </c>
    </row>
    <row r="137" spans="1:8" ht="15" thickBot="1" x14ac:dyDescent="0.4">
      <c r="A137" s="5">
        <v>46234.687476851854</v>
      </c>
      <c r="B137" s="1" t="s">
        <v>35</v>
      </c>
      <c r="C137" s="1" t="s">
        <v>8</v>
      </c>
      <c r="D137" s="6">
        <v>150</v>
      </c>
      <c r="E137" s="7">
        <v>323</v>
      </c>
      <c r="F137" s="1" t="s">
        <v>9</v>
      </c>
      <c r="H137" t="str">
        <f>IF(COUNTIFS( $B$2:$B$981, B137, $C$2:$C$981, C137, $D$2:$D$981, D137, $E$2:$E$981, E137) &gt; 1, "Duplicate", "Unique")</f>
        <v>Unique</v>
      </c>
    </row>
    <row r="138" spans="1:8" ht="15" thickBot="1" x14ac:dyDescent="0.4">
      <c r="A138" s="5">
        <v>46234.687673611108</v>
      </c>
      <c r="B138" s="1" t="s">
        <v>81</v>
      </c>
      <c r="C138" s="1" t="s">
        <v>8</v>
      </c>
      <c r="D138" s="6">
        <v>35</v>
      </c>
      <c r="E138" s="7">
        <v>494</v>
      </c>
      <c r="F138" s="1" t="s">
        <v>9</v>
      </c>
      <c r="H138" t="str">
        <f>IF(COUNTIFS( $B$2:$B$981, B138, $C$2:$C$981, C138, $D$2:$D$981, D138, $E$2:$E$981, E138) &gt; 1, "Duplicate", "Unique")</f>
        <v>Unique</v>
      </c>
    </row>
    <row r="139" spans="1:8" ht="15" thickBot="1" x14ac:dyDescent="0.4">
      <c r="A139" s="5">
        <v>46237.769108796296</v>
      </c>
      <c r="B139" s="1" t="s">
        <v>34</v>
      </c>
      <c r="C139" s="1" t="s">
        <v>8</v>
      </c>
      <c r="D139" s="6">
        <v>5</v>
      </c>
      <c r="E139" s="7">
        <v>435</v>
      </c>
      <c r="F139" s="1" t="s">
        <v>9</v>
      </c>
      <c r="H139" t="str">
        <f>IF(COUNTIFS( $B$2:$B$981, B139, $C$2:$C$981, C139, $D$2:$D$981, D139, $E$2:$E$981, E139) &gt; 1, "Duplicate", "Unique")</f>
        <v>Unique</v>
      </c>
    </row>
    <row r="140" spans="1:8" ht="15" thickBot="1" x14ac:dyDescent="0.4">
      <c r="A140" s="5">
        <v>46237.690613425926</v>
      </c>
      <c r="B140" s="1" t="s">
        <v>7</v>
      </c>
      <c r="C140" s="1" t="s">
        <v>11</v>
      </c>
      <c r="D140" s="6">
        <v>100</v>
      </c>
      <c r="E140" s="6">
        <v>208</v>
      </c>
      <c r="F140" s="1" t="s">
        <v>9</v>
      </c>
      <c r="H140" t="str">
        <f>IF(COUNTIFS( $B$2:$B$981, B140, $C$2:$C$981, C140, $D$2:$D$981, D140, $E$2:$E$981, E140) &gt; 1, "Duplicate", "Unique")</f>
        <v>Unique</v>
      </c>
    </row>
    <row r="141" spans="1:8" ht="15" thickBot="1" x14ac:dyDescent="0.4">
      <c r="A141" s="5">
        <v>46237.769120370373</v>
      </c>
      <c r="B141" s="1" t="s">
        <v>10</v>
      </c>
      <c r="C141" s="1" t="s">
        <v>11</v>
      </c>
      <c r="D141" s="6">
        <v>10</v>
      </c>
      <c r="E141" s="6">
        <v>2553</v>
      </c>
      <c r="F141" s="1" t="s">
        <v>9</v>
      </c>
      <c r="H141" t="str">
        <f>IF(COUNTIFS( $B$2:$B$981, B141, $C$2:$C$981, C141, $D$2:$D$981, D141, $E$2:$E$981, E141) &gt; 1, "Duplicate", "Unique")</f>
        <v>Unique</v>
      </c>
    </row>
    <row r="142" spans="1:8" ht="15" thickBot="1" x14ac:dyDescent="0.4">
      <c r="A142" s="3" t="s">
        <v>93</v>
      </c>
      <c r="B142" s="3" t="s">
        <v>72</v>
      </c>
      <c r="C142" s="3" t="s">
        <v>11</v>
      </c>
      <c r="D142" s="3">
        <v>200</v>
      </c>
      <c r="E142" s="3">
        <v>88.85</v>
      </c>
      <c r="F142" s="3" t="s">
        <v>9</v>
      </c>
      <c r="H142" t="str">
        <f>IF(COUNTIFS( $B$2:$B$981, B142, $C$2:$C$981, C142, $D$2:$D$981, D142, $E$2:$E$981, E142) &gt; 1, "Duplicate", "Unique")</f>
        <v>Unique</v>
      </c>
    </row>
    <row r="143" spans="1:8" ht="15" thickBot="1" x14ac:dyDescent="0.4">
      <c r="A143" s="3" t="s">
        <v>93</v>
      </c>
      <c r="B143" s="3" t="s">
        <v>63</v>
      </c>
      <c r="C143" s="3" t="s">
        <v>11</v>
      </c>
      <c r="D143" s="3">
        <v>150</v>
      </c>
      <c r="E143" s="3">
        <v>120.45</v>
      </c>
      <c r="F143" s="3" t="s">
        <v>9</v>
      </c>
      <c r="H143" t="str">
        <f>IF(COUNTIFS( $B$2:$B$981, B143, $C$2:$C$981, C143, $D$2:$D$981, D143, $E$2:$E$981, E143) &gt; 1, "Duplicate", "Unique")</f>
        <v>Unique</v>
      </c>
    </row>
    <row r="144" spans="1:8" ht="15" thickBot="1" x14ac:dyDescent="0.4">
      <c r="A144" s="3" t="s">
        <v>83</v>
      </c>
      <c r="B144" s="3" t="s">
        <v>75</v>
      </c>
      <c r="C144" s="3" t="s">
        <v>11</v>
      </c>
      <c r="D144" s="3">
        <v>2</v>
      </c>
      <c r="E144" s="3">
        <v>2560</v>
      </c>
      <c r="F144" s="3" t="s">
        <v>9</v>
      </c>
      <c r="H144" t="str">
        <f>IF(COUNTIFS( $B$2:$B$981, B144, $C$2:$C$981, C144, $D$2:$D$981, D144, $E$2:$E$981, E144) &gt; 1, "Duplicate", "Unique")</f>
        <v>Unique</v>
      </c>
    </row>
    <row r="145" spans="1:8" ht="15" thickBot="1" x14ac:dyDescent="0.4">
      <c r="A145" s="5">
        <v>46237.690532407411</v>
      </c>
      <c r="B145" s="1" t="s">
        <v>10</v>
      </c>
      <c r="C145" s="1" t="s">
        <v>11</v>
      </c>
      <c r="D145" s="6">
        <v>5</v>
      </c>
      <c r="E145" s="6">
        <v>2506</v>
      </c>
      <c r="F145" s="1" t="s">
        <v>9</v>
      </c>
      <c r="H145" t="str">
        <f>IF(COUNTIFS( $B$2:$B$981, B145, $C$2:$C$981, C145, $D$2:$D$981, D145, $E$2:$E$981, E145) &gt; 1, "Duplicate", "Unique")</f>
        <v>Unique</v>
      </c>
    </row>
    <row r="146" spans="1:8" ht="15" thickBot="1" x14ac:dyDescent="0.4">
      <c r="A146" s="5">
        <v>46233.688402777778</v>
      </c>
      <c r="B146" s="1" t="s">
        <v>10</v>
      </c>
      <c r="C146" s="1" t="s">
        <v>11</v>
      </c>
      <c r="D146" s="6">
        <v>5</v>
      </c>
      <c r="E146" s="6">
        <v>2502</v>
      </c>
      <c r="F146" s="1" t="s">
        <v>9</v>
      </c>
      <c r="H146" t="str">
        <f>IF(COUNTIFS( $B$2:$B$981, B146, $C$2:$C$981, C146, $D$2:$D$981, D146, $E$2:$E$981, E146) &gt; 1, "Duplicate", "Unique")</f>
        <v>Unique</v>
      </c>
    </row>
    <row r="147" spans="1:8" ht="15" thickBot="1" x14ac:dyDescent="0.4">
      <c r="A147" s="3" t="s">
        <v>93</v>
      </c>
      <c r="B147" s="3" t="s">
        <v>72</v>
      </c>
      <c r="C147" s="3" t="s">
        <v>11</v>
      </c>
      <c r="D147" s="3">
        <v>100</v>
      </c>
      <c r="E147" s="3">
        <v>87.3</v>
      </c>
      <c r="F147" s="3" t="s">
        <v>9</v>
      </c>
      <c r="H147" t="str">
        <f>IF(COUNTIFS( $B$2:$B$981, B147, $C$2:$C$981, C147, $D$2:$D$981, D147, $E$2:$E$981, E147) &gt; 1, "Duplicate", "Unique")</f>
        <v>Unique</v>
      </c>
    </row>
    <row r="148" spans="1:8" ht="15" thickBot="1" x14ac:dyDescent="0.4">
      <c r="A148" s="3" t="s">
        <v>99</v>
      </c>
      <c r="B148" s="3" t="s">
        <v>47</v>
      </c>
      <c r="C148" s="3" t="s">
        <v>11</v>
      </c>
      <c r="D148" s="3">
        <v>2</v>
      </c>
      <c r="E148" s="3">
        <v>3856</v>
      </c>
      <c r="F148" s="3" t="s">
        <v>9</v>
      </c>
      <c r="H148" t="str">
        <f>IF(COUNTIFS( $B$2:$B$981, B148, $C$2:$C$981, C148, $D$2:$D$981, D148, $E$2:$E$981, E148) &gt; 1, "Duplicate", "Unique")</f>
        <v>Unique</v>
      </c>
    </row>
    <row r="149" spans="1:8" ht="15" thickBot="1" x14ac:dyDescent="0.4">
      <c r="A149" s="5">
        <v>46237.768935185188</v>
      </c>
      <c r="B149" s="1" t="s">
        <v>40</v>
      </c>
      <c r="C149" s="1" t="s">
        <v>11</v>
      </c>
      <c r="D149" s="6">
        <v>50</v>
      </c>
      <c r="E149" s="6">
        <v>352</v>
      </c>
      <c r="F149" s="1" t="s">
        <v>9</v>
      </c>
      <c r="H149" t="str">
        <f>IF(COUNTIFS( $B$2:$B$981, B149, $C$2:$C$981, C149, $D$2:$D$981, D149, $E$2:$E$981, E149) &gt; 1, "Duplicate", "Unique")</f>
        <v>Unique</v>
      </c>
    </row>
    <row r="150" spans="1:8" x14ac:dyDescent="0.35">
      <c r="A150" t="s">
        <v>99</v>
      </c>
      <c r="B150" t="s">
        <v>47</v>
      </c>
      <c r="C150" t="s">
        <v>11</v>
      </c>
      <c r="D150">
        <v>2</v>
      </c>
      <c r="E150">
        <v>3830</v>
      </c>
      <c r="F150" t="s">
        <v>9</v>
      </c>
      <c r="H150" t="str">
        <f>IF(COUNTIFS( $B$2:$B$981, B150, $C$2:$C$981, C150, $D$2:$D$981, D150, $E$2:$E$981, E150) &gt; 1, "Duplicate", "Unique")</f>
        <v>Unique</v>
      </c>
    </row>
    <row r="151" spans="1:8" x14ac:dyDescent="0.35">
      <c r="A151" t="s">
        <v>90</v>
      </c>
      <c r="B151" t="s">
        <v>77</v>
      </c>
      <c r="C151" t="s">
        <v>11</v>
      </c>
      <c r="D151">
        <v>5</v>
      </c>
      <c r="E151">
        <v>712</v>
      </c>
      <c r="F151" t="s">
        <v>9</v>
      </c>
      <c r="H151" t="str">
        <f>IF(COUNTIFS( $B$2:$B$981, B151, $C$2:$C$981, C151, $D$2:$D$981, D151, $E$2:$E$981, E151) &gt; 1, "Duplicate", "Unique")</f>
        <v>Unique</v>
      </c>
    </row>
    <row r="152" spans="1:8" x14ac:dyDescent="0.35">
      <c r="A152" s="12">
        <v>46233.688402777778</v>
      </c>
      <c r="B152" s="13" t="s">
        <v>47</v>
      </c>
      <c r="C152" s="13" t="s">
        <v>11</v>
      </c>
      <c r="D152" s="14">
        <v>3</v>
      </c>
      <c r="E152" s="14">
        <v>3810</v>
      </c>
      <c r="F152" s="13" t="s">
        <v>9</v>
      </c>
      <c r="H152" t="str">
        <f>IF(COUNTIFS( $B$2:$B$981, B152, $C$2:$C$981, C152, $D$2:$D$981, D152, $E$2:$E$981, E152) &gt; 1, "Duplicate", "Unique")</f>
        <v>Unique</v>
      </c>
    </row>
    <row r="153" spans="1:8" x14ac:dyDescent="0.35">
      <c r="A153" s="12">
        <v>46234.687581018516</v>
      </c>
      <c r="B153" s="13" t="s">
        <v>10</v>
      </c>
      <c r="C153" s="13" t="s">
        <v>11</v>
      </c>
      <c r="D153" s="14">
        <v>10</v>
      </c>
      <c r="E153" s="14">
        <v>2460</v>
      </c>
      <c r="F153" s="13" t="s">
        <v>9</v>
      </c>
      <c r="H153" t="str">
        <f>IF(COUNTIFS( $B$2:$B$981, B153, $C$2:$C$981, C153, $D$2:$D$981, D153, $E$2:$E$981, E153) &gt; 1, "Duplicate", "Unique")</f>
        <v>Unique</v>
      </c>
    </row>
    <row r="154" spans="1:8" x14ac:dyDescent="0.35">
      <c r="A154" t="s">
        <v>100</v>
      </c>
      <c r="B154" t="s">
        <v>53</v>
      </c>
      <c r="C154" t="s">
        <v>11</v>
      </c>
      <c r="D154">
        <v>5</v>
      </c>
      <c r="E154">
        <v>2888</v>
      </c>
      <c r="F154" t="s">
        <v>9</v>
      </c>
      <c r="H154" t="str">
        <f>IF(COUNTIFS( $B$2:$B$981, B154, $C$2:$C$981, C154, $D$2:$D$981, D154, $E$2:$E$981, E154) &gt; 1, "Duplicate", "Unique")</f>
        <v>Unique</v>
      </c>
    </row>
    <row r="155" spans="1:8" x14ac:dyDescent="0.35">
      <c r="A155" t="s">
        <v>99</v>
      </c>
      <c r="B155" t="s">
        <v>46</v>
      </c>
      <c r="C155" t="s">
        <v>11</v>
      </c>
      <c r="D155">
        <v>15</v>
      </c>
      <c r="E155">
        <v>4415</v>
      </c>
      <c r="F155" t="s">
        <v>9</v>
      </c>
      <c r="H155" t="str">
        <f>IF(COUNTIFS( $B$2:$B$981, B155, $C$2:$C$981, C155, $D$2:$D$981, D155, $E$2:$E$981, E155) &gt; 1, "Duplicate", "Unique")</f>
        <v>Unique</v>
      </c>
    </row>
    <row r="156" spans="1:8" x14ac:dyDescent="0.35">
      <c r="A156" s="12">
        <v>46237.690567129626</v>
      </c>
      <c r="B156" s="13" t="s">
        <v>101</v>
      </c>
      <c r="C156" s="13" t="s">
        <v>11</v>
      </c>
      <c r="D156" s="14">
        <v>10</v>
      </c>
      <c r="E156" s="14">
        <v>251</v>
      </c>
      <c r="F156" s="13" t="s">
        <v>9</v>
      </c>
      <c r="H156" t="str">
        <f>IF(COUNTIFS( $B$2:$B$981, B156, $C$2:$C$981, C156, $D$2:$D$981, D156, $E$2:$E$981, E156) &gt; 1, "Duplicate", "Unique")</f>
        <v>Unique</v>
      </c>
    </row>
    <row r="157" spans="1:8" x14ac:dyDescent="0.35">
      <c r="A157" s="12">
        <v>46237.690578703703</v>
      </c>
      <c r="B157" s="13" t="s">
        <v>102</v>
      </c>
      <c r="C157" s="13" t="s">
        <v>11</v>
      </c>
      <c r="D157" s="14">
        <v>100</v>
      </c>
      <c r="E157" s="14">
        <v>111</v>
      </c>
      <c r="F157" s="13" t="s">
        <v>9</v>
      </c>
      <c r="H157" t="str">
        <f>IF(COUNTIFS( $B$2:$B$981, B157, $C$2:$C$981, C157, $D$2:$D$981, D157, $E$2:$E$981, E157) &gt; 1, "Duplicate", "Unique")</f>
        <v>Unique</v>
      </c>
    </row>
    <row r="158" spans="1:8" x14ac:dyDescent="0.35">
      <c r="A158" t="s">
        <v>100</v>
      </c>
      <c r="B158" t="s">
        <v>74</v>
      </c>
      <c r="C158" t="s">
        <v>11</v>
      </c>
      <c r="D158">
        <v>1</v>
      </c>
      <c r="E158">
        <v>4110</v>
      </c>
      <c r="F158" t="s">
        <v>9</v>
      </c>
      <c r="H158" t="str">
        <f>IF(COUNTIFS( $B$2:$B$981, B158, $C$2:$C$981, C158, $D$2:$D$981, D158, $E$2:$E$981, E158) &gt; 1, "Duplicate", "Unique")</f>
        <v>Unique</v>
      </c>
    </row>
    <row r="159" spans="1:8" x14ac:dyDescent="0.35">
      <c r="A159" t="s">
        <v>89</v>
      </c>
      <c r="B159" t="s">
        <v>61</v>
      </c>
      <c r="C159" t="s">
        <v>11</v>
      </c>
      <c r="D159">
        <v>20</v>
      </c>
      <c r="E159">
        <v>220.1</v>
      </c>
      <c r="F159" t="s">
        <v>9</v>
      </c>
      <c r="H159" t="str">
        <f>IF(COUNTIFS( $B$2:$B$981, B159, $C$2:$C$981, C159, $D$2:$D$981, D159, $E$2:$E$981, E159) &gt; 1, "Duplicate", "Unique")</f>
        <v>Unique</v>
      </c>
    </row>
    <row r="160" spans="1:8" x14ac:dyDescent="0.35">
      <c r="A160" t="s">
        <v>99</v>
      </c>
      <c r="B160" t="s">
        <v>66</v>
      </c>
      <c r="C160" t="s">
        <v>11</v>
      </c>
      <c r="D160">
        <v>1</v>
      </c>
      <c r="E160">
        <v>17552</v>
      </c>
      <c r="F160" t="s">
        <v>9</v>
      </c>
      <c r="H160" t="str">
        <f>IF(COUNTIFS( $B$2:$B$981, B160, $C$2:$C$981, C160, $D$2:$D$981, D160, $E$2:$E$981, E160) &gt; 1, "Duplicate", "Unique")</f>
        <v>Unique</v>
      </c>
    </row>
    <row r="161" spans="1:8" x14ac:dyDescent="0.35">
      <c r="A161" s="12">
        <v>46233.688356481478</v>
      </c>
      <c r="B161" s="13" t="s">
        <v>77</v>
      </c>
      <c r="C161" s="13" t="s">
        <v>11</v>
      </c>
      <c r="D161" s="14">
        <v>5</v>
      </c>
      <c r="E161" s="14">
        <v>702</v>
      </c>
      <c r="F161" s="13" t="s">
        <v>9</v>
      </c>
      <c r="H161" t="str">
        <f>IF(COUNTIFS( $B$2:$B$981, B161, $C$2:$C$981, C161, $D$2:$D$981, D161, $E$2:$E$981, E161) &gt; 1, "Duplicate", "Unique")</f>
        <v>Unique</v>
      </c>
    </row>
    <row r="162" spans="1:8" x14ac:dyDescent="0.35">
      <c r="A162" s="12">
        <v>46233.688402777778</v>
      </c>
      <c r="B162" s="13" t="s">
        <v>47</v>
      </c>
      <c r="C162" s="13" t="s">
        <v>11</v>
      </c>
      <c r="D162" s="14">
        <v>2</v>
      </c>
      <c r="E162" s="14">
        <v>3760</v>
      </c>
      <c r="F162" s="13" t="s">
        <v>9</v>
      </c>
      <c r="H162" t="str">
        <f>IF(COUNTIFS( $B$2:$B$981, B162, $C$2:$C$981, C162, $D$2:$D$981, D162, $E$2:$E$981, E162) &gt; 1, "Duplicate", "Unique")</f>
        <v>Unique</v>
      </c>
    </row>
    <row r="163" spans="1:8" x14ac:dyDescent="0.35">
      <c r="A163" s="12">
        <v>46234.687638888892</v>
      </c>
      <c r="B163" s="13" t="s">
        <v>49</v>
      </c>
      <c r="C163" s="13" t="s">
        <v>11</v>
      </c>
      <c r="D163" s="14">
        <v>1</v>
      </c>
      <c r="E163" s="14">
        <v>3360</v>
      </c>
      <c r="F163" s="13" t="s">
        <v>9</v>
      </c>
      <c r="H163" t="str">
        <f>IF(COUNTIFS( $B$2:$B$981, B163, $C$2:$C$981, C163, $D$2:$D$981, D163, $E$2:$E$981, E163) &gt; 1, "Duplicate", "Unique")</f>
        <v>Unique</v>
      </c>
    </row>
    <row r="164" spans="1:8" x14ac:dyDescent="0.35">
      <c r="A164" s="12">
        <v>46234.687662037039</v>
      </c>
      <c r="B164" s="13" t="s">
        <v>34</v>
      </c>
      <c r="C164" s="13" t="s">
        <v>11</v>
      </c>
      <c r="D164" s="14">
        <v>25</v>
      </c>
      <c r="E164" s="14">
        <v>352</v>
      </c>
      <c r="F164" s="13" t="s">
        <v>9</v>
      </c>
      <c r="H164" t="str">
        <f>IF(COUNTIFS( $B$2:$B$981, B164, $C$2:$C$981, C164, $D$2:$D$981, D164, $E$2:$E$981, E164) &gt; 1, "Duplicate", "Unique")</f>
        <v>Unique</v>
      </c>
    </row>
    <row r="165" spans="1:8" x14ac:dyDescent="0.35">
      <c r="A165" s="12">
        <v>46233.688402777778</v>
      </c>
      <c r="B165" s="13" t="s">
        <v>74</v>
      </c>
      <c r="C165" s="13" t="s">
        <v>11</v>
      </c>
      <c r="D165" s="14">
        <v>2</v>
      </c>
      <c r="E165" s="14">
        <v>4060</v>
      </c>
      <c r="F165" s="13" t="s">
        <v>9</v>
      </c>
      <c r="H165" t="str">
        <f>IF(COUNTIFS( $B$2:$B$981, B165, $C$2:$C$981, C165, $D$2:$D$981, D165, $E$2:$E$981, E165) &gt; 1, "Duplicate", "Unique")</f>
        <v>Unique</v>
      </c>
    </row>
    <row r="166" spans="1:8" x14ac:dyDescent="0.35">
      <c r="A166" t="s">
        <v>99</v>
      </c>
      <c r="B166" t="s">
        <v>103</v>
      </c>
      <c r="C166" t="s">
        <v>11</v>
      </c>
      <c r="D166">
        <v>4</v>
      </c>
      <c r="E166">
        <v>1066</v>
      </c>
      <c r="F166" t="s">
        <v>9</v>
      </c>
      <c r="H166" t="str">
        <f>IF(COUNTIFS( $B$2:$B$981, B166, $C$2:$C$981, C166, $D$2:$D$981, D166, $E$2:$E$981, E166) &gt; 1, "Duplicate", "Unique")</f>
        <v>Unique</v>
      </c>
    </row>
    <row r="167" spans="1:8" x14ac:dyDescent="0.35">
      <c r="A167" s="12">
        <v>46233.688402777778</v>
      </c>
      <c r="B167" s="13" t="s">
        <v>74</v>
      </c>
      <c r="C167" s="13" t="s">
        <v>11</v>
      </c>
      <c r="D167" s="14">
        <v>2</v>
      </c>
      <c r="E167" s="14">
        <v>4010</v>
      </c>
      <c r="F167" s="13" t="s">
        <v>9</v>
      </c>
      <c r="H167" t="str">
        <f>IF(COUNTIFS( $B$2:$B$981, B167, $C$2:$C$981, C167, $D$2:$D$981, D167, $E$2:$E$981, E167) &gt; 1, "Duplicate", "Unique")</f>
        <v>Unique</v>
      </c>
    </row>
    <row r="168" spans="1:8" x14ac:dyDescent="0.35">
      <c r="A168" t="s">
        <v>91</v>
      </c>
      <c r="B168" t="s">
        <v>67</v>
      </c>
      <c r="C168" t="s">
        <v>11</v>
      </c>
      <c r="D168">
        <v>9</v>
      </c>
      <c r="E168">
        <v>2251</v>
      </c>
      <c r="F168" t="s">
        <v>9</v>
      </c>
      <c r="H168" t="str">
        <f>IF(COUNTIFS( $B$2:$B$981, B168, $C$2:$C$981, C168, $D$2:$D$981, D168, $E$2:$E$981, E168) &gt; 1, "Duplicate", "Unique")</f>
        <v>Unique</v>
      </c>
    </row>
    <row r="169" spans="1:8" x14ac:dyDescent="0.35">
      <c r="A169" s="12">
        <v>46237.690474537034</v>
      </c>
      <c r="B169" s="13" t="s">
        <v>19</v>
      </c>
      <c r="C169" s="13" t="s">
        <v>11</v>
      </c>
      <c r="D169" s="14">
        <v>5</v>
      </c>
      <c r="E169" s="14">
        <v>852</v>
      </c>
      <c r="F169" s="13" t="s">
        <v>9</v>
      </c>
      <c r="H169" t="str">
        <f>IF(COUNTIFS( $B$2:$B$981, B169, $C$2:$C$981, C169, $D$2:$D$981, D169, $E$2:$E$981, E169) &gt; 1, "Duplicate", "Unique")</f>
        <v>Unique</v>
      </c>
    </row>
    <row r="170" spans="1:8" x14ac:dyDescent="0.35">
      <c r="A170" s="12">
        <v>46237.690567129626</v>
      </c>
      <c r="B170" s="13" t="s">
        <v>25</v>
      </c>
      <c r="C170" s="13" t="s">
        <v>11</v>
      </c>
      <c r="D170" s="14">
        <v>1</v>
      </c>
      <c r="E170" s="14">
        <v>4164</v>
      </c>
      <c r="F170" s="13" t="s">
        <v>9</v>
      </c>
      <c r="H170" t="str">
        <f>IF(COUNTIFS( $B$2:$B$981, B170, $C$2:$C$981, C170, $D$2:$D$981, D170, $E$2:$E$981, E170) &gt; 1, "Duplicate", "Unique")</f>
        <v>Unique</v>
      </c>
    </row>
    <row r="171" spans="1:8" x14ac:dyDescent="0.35">
      <c r="A171" s="12">
        <v>46237.769074074073</v>
      </c>
      <c r="B171" s="13" t="s">
        <v>104</v>
      </c>
      <c r="C171" s="13" t="s">
        <v>11</v>
      </c>
      <c r="D171" s="14">
        <v>7</v>
      </c>
      <c r="E171" s="14">
        <v>411</v>
      </c>
      <c r="F171" s="13" t="s">
        <v>9</v>
      </c>
      <c r="H171" t="str">
        <f>IF(COUNTIFS( $B$2:$B$981, B171, $C$2:$C$981, C171, $D$2:$D$981, D171, $E$2:$E$981, E171) &gt; 1, "Duplicate", "Unique")</f>
        <v>Unique</v>
      </c>
    </row>
    <row r="172" spans="1:8" x14ac:dyDescent="0.35">
      <c r="A172" s="12">
        <v>46237.690486111111</v>
      </c>
      <c r="B172" s="13" t="s">
        <v>94</v>
      </c>
      <c r="C172" s="13" t="s">
        <v>11</v>
      </c>
      <c r="D172" s="14">
        <v>29</v>
      </c>
      <c r="E172" s="14">
        <v>401</v>
      </c>
      <c r="F172" s="13" t="s">
        <v>9</v>
      </c>
      <c r="H172" t="str">
        <f>IF(COUNTIFS( $B$2:$B$981, B172, $C$2:$C$981, C172, $D$2:$D$981, D172, $E$2:$E$981, E172) &gt; 1, "Duplicate", "Unique")</f>
        <v>Unique</v>
      </c>
    </row>
    <row r="173" spans="1:8" x14ac:dyDescent="0.35">
      <c r="A173" s="12">
        <v>46237.769120370373</v>
      </c>
      <c r="B173" s="13" t="s">
        <v>40</v>
      </c>
      <c r="C173" s="13" t="s">
        <v>11</v>
      </c>
      <c r="D173" s="14">
        <v>100</v>
      </c>
      <c r="E173" s="14">
        <v>331</v>
      </c>
      <c r="F173" s="13" t="s">
        <v>9</v>
      </c>
      <c r="H173" t="str">
        <f>IF(COUNTIFS( $B$2:$B$981, B173, $C$2:$C$981, C173, $D$2:$D$981, D173, $E$2:$E$981, E173) &gt; 1, "Duplicate", "Unique")</f>
        <v>Unique</v>
      </c>
    </row>
    <row r="174" spans="1:8" x14ac:dyDescent="0.35">
      <c r="A174" s="12">
        <v>46237.768946759257</v>
      </c>
      <c r="B174" s="13" t="s">
        <v>14</v>
      </c>
      <c r="C174" s="13" t="s">
        <v>11</v>
      </c>
      <c r="D174" s="14">
        <v>15</v>
      </c>
      <c r="E174" s="14">
        <v>492</v>
      </c>
      <c r="F174" s="13" t="s">
        <v>9</v>
      </c>
      <c r="H174" t="str">
        <f>IF(COUNTIFS( $B$2:$B$981, B174, $C$2:$C$981, C174, $D$2:$D$981, D174, $E$2:$E$981, E174) &gt; 1, "Duplicate", "Unique")</f>
        <v>Unique</v>
      </c>
    </row>
    <row r="175" spans="1:8" x14ac:dyDescent="0.35">
      <c r="A175" t="s">
        <v>106</v>
      </c>
      <c r="B175" t="s">
        <v>105</v>
      </c>
      <c r="C175" t="s">
        <v>11</v>
      </c>
      <c r="D175">
        <v>1</v>
      </c>
      <c r="E175">
        <v>6920</v>
      </c>
      <c r="F175" t="s">
        <v>9</v>
      </c>
      <c r="H175" t="str">
        <f>IF(COUNTIFS( $B$2:$B$981, B175, $C$2:$C$981, C175, $D$2:$D$981, D175, $E$2:$E$981, E175) &gt; 1, "Duplicate", "Unique")</f>
        <v>Unique</v>
      </c>
    </row>
    <row r="176" spans="1:8" x14ac:dyDescent="0.35">
      <c r="A176" s="12">
        <v>46237.768877314818</v>
      </c>
      <c r="B176" s="13" t="s">
        <v>29</v>
      </c>
      <c r="C176" s="13" t="s">
        <v>11</v>
      </c>
      <c r="D176" s="14">
        <v>200</v>
      </c>
      <c r="E176" s="14">
        <v>31.01</v>
      </c>
      <c r="F176" s="13" t="s">
        <v>9</v>
      </c>
      <c r="H176" t="str">
        <f>IF(COUNTIFS( $B$2:$B$981, B176, $C$2:$C$981, C176, $D$2:$D$981, D176, $E$2:$E$981, E176) &gt; 1, "Duplicate", "Unique")</f>
        <v>Unique</v>
      </c>
    </row>
    <row r="177" spans="1:8" x14ac:dyDescent="0.35">
      <c r="A177" s="12">
        <v>46237.768877314818</v>
      </c>
      <c r="B177" s="13" t="s">
        <v>92</v>
      </c>
      <c r="C177" s="13" t="s">
        <v>11</v>
      </c>
      <c r="D177" s="14">
        <v>1</v>
      </c>
      <c r="E177" s="14">
        <v>2064</v>
      </c>
      <c r="F177" s="13" t="s">
        <v>9</v>
      </c>
      <c r="H177" t="str">
        <f>IF(COUNTIFS( $B$2:$B$981, B177, $C$2:$C$981, C177, $D$2:$D$981, D177, $E$2:$E$981, E177) &gt; 1, "Duplicate", "Unique")</f>
        <v>Unique</v>
      </c>
    </row>
    <row r="178" spans="1:8" x14ac:dyDescent="0.35">
      <c r="A178" t="s">
        <v>99</v>
      </c>
      <c r="B178" t="s">
        <v>107</v>
      </c>
      <c r="C178" t="s">
        <v>11</v>
      </c>
      <c r="D178">
        <v>4</v>
      </c>
      <c r="E178">
        <v>701</v>
      </c>
      <c r="F178" t="s">
        <v>9</v>
      </c>
      <c r="H178" t="str">
        <f>IF(COUNTIFS( $B$2:$B$981, B178, $C$2:$C$981, C178, $D$2:$D$981, D178, $E$2:$E$981, E178) &gt; 1, "Duplicate", "Unique")</f>
        <v>Unique</v>
      </c>
    </row>
    <row r="179" spans="1:8" x14ac:dyDescent="0.35">
      <c r="A179" s="12">
        <v>46237.769120370373</v>
      </c>
      <c r="B179" s="13" t="s">
        <v>40</v>
      </c>
      <c r="C179" s="13" t="s">
        <v>11</v>
      </c>
      <c r="D179" s="14">
        <v>100</v>
      </c>
      <c r="E179" s="14">
        <v>327</v>
      </c>
      <c r="F179" s="13" t="s">
        <v>9</v>
      </c>
      <c r="H179" t="str">
        <f>IF(COUNTIFS( $B$2:$B$981, B179, $C$2:$C$981, C179, $D$2:$D$981, D179, $E$2:$E$981, E179) &gt; 1, "Duplicate", "Unique")</f>
        <v>Unique</v>
      </c>
    </row>
    <row r="180" spans="1:8" x14ac:dyDescent="0.35">
      <c r="A180" s="12">
        <v>46237.769120370373</v>
      </c>
      <c r="B180" s="13" t="s">
        <v>40</v>
      </c>
      <c r="C180" s="13" t="s">
        <v>11</v>
      </c>
      <c r="D180" s="14">
        <v>100</v>
      </c>
      <c r="E180" s="14">
        <v>322</v>
      </c>
      <c r="F180" s="13" t="s">
        <v>9</v>
      </c>
      <c r="H180" t="str">
        <f>IF(COUNTIFS( $B$2:$B$981, B180, $C$2:$C$981, C180, $D$2:$D$981, D180, $E$2:$E$981, E180) &gt; 1, "Duplicate", "Unique")</f>
        <v>Unique</v>
      </c>
    </row>
    <row r="181" spans="1:8" x14ac:dyDescent="0.35">
      <c r="A181" s="12">
        <v>46234.687615740739</v>
      </c>
      <c r="B181" s="13" t="s">
        <v>25</v>
      </c>
      <c r="C181" s="13" t="s">
        <v>11</v>
      </c>
      <c r="D181" s="14">
        <v>1</v>
      </c>
      <c r="E181" s="14">
        <v>4014</v>
      </c>
      <c r="F181" s="13" t="s">
        <v>9</v>
      </c>
      <c r="H181" t="str">
        <f>IF(COUNTIFS( $B$2:$B$981, B181, $C$2:$C$981, C181, $D$2:$D$981, D181, $E$2:$E$981, E181) &gt; 1, "Duplicate", "Unique")</f>
        <v>Unique</v>
      </c>
    </row>
    <row r="182" spans="1:8" x14ac:dyDescent="0.35">
      <c r="A182" s="12">
        <v>46234.687615740739</v>
      </c>
      <c r="B182" s="13" t="s">
        <v>14</v>
      </c>
      <c r="C182" s="13" t="s">
        <v>11</v>
      </c>
      <c r="D182" s="14">
        <v>10</v>
      </c>
      <c r="E182" s="14">
        <v>468</v>
      </c>
      <c r="F182" s="13" t="s">
        <v>9</v>
      </c>
      <c r="H182" t="str">
        <f>IF(COUNTIFS( $B$2:$B$981, B182, $C$2:$C$981, C182, $D$2:$D$981, D182, $E$2:$E$981, E182) &gt; 1, "Duplicate", "Unique")</f>
        <v>Unique</v>
      </c>
    </row>
    <row r="183" spans="1:8" x14ac:dyDescent="0.35">
      <c r="A183" s="12">
        <v>46233.688414351855</v>
      </c>
      <c r="B183" s="13" t="s">
        <v>92</v>
      </c>
      <c r="C183" s="13" t="s">
        <v>11</v>
      </c>
      <c r="D183" s="14">
        <v>1</v>
      </c>
      <c r="E183" s="14">
        <v>1964</v>
      </c>
      <c r="F183" s="13" t="s">
        <v>9</v>
      </c>
      <c r="H183" t="str">
        <f>IF(COUNTIFS( $B$2:$B$981, B183, $C$2:$C$981, C183, $D$2:$D$981, D183, $E$2:$E$981, E183) &gt; 1, "Duplicate", "Unique")</f>
        <v>Unique</v>
      </c>
    </row>
    <row r="184" spans="1:8" x14ac:dyDescent="0.35">
      <c r="A184" s="12">
        <v>46234.687627314815</v>
      </c>
      <c r="B184" s="13" t="s">
        <v>25</v>
      </c>
      <c r="C184" s="13" t="s">
        <v>11</v>
      </c>
      <c r="D184" s="14">
        <v>1</v>
      </c>
      <c r="E184" s="14">
        <v>3914</v>
      </c>
      <c r="F184" s="13" t="s">
        <v>9</v>
      </c>
      <c r="H184" t="str">
        <f>IF(COUNTIFS( $B$2:$B$981, B184, $C$2:$C$981, C184, $D$2:$D$981, D184, $E$2:$E$981, E184) &gt; 1, "Duplicate", "Unique")</f>
        <v>Unique</v>
      </c>
    </row>
    <row r="185" spans="1:8" x14ac:dyDescent="0.35">
      <c r="A185" t="s">
        <v>86</v>
      </c>
      <c r="B185" t="s">
        <v>63</v>
      </c>
      <c r="C185" t="s">
        <v>8</v>
      </c>
      <c r="D185">
        <v>150</v>
      </c>
      <c r="E185" s="16">
        <v>125.9</v>
      </c>
      <c r="F185" t="s">
        <v>9</v>
      </c>
      <c r="H185" t="str">
        <f>IF(COUNTIFS( $B$2:$B$981, B185, $C$2:$C$981, C185, $D$2:$D$981, D185, $E$2:$E$981, E185) &gt; 1, "Duplicate", "Unique")</f>
        <v>Unique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D304-638A-4A0C-9F83-9CFB66B99BA5}">
  <dimension ref="A1:H204"/>
  <sheetViews>
    <sheetView workbookViewId="0">
      <selection sqref="A1:XFD1048576"/>
    </sheetView>
  </sheetViews>
  <sheetFormatPr defaultRowHeight="14.5" x14ac:dyDescent="0.35"/>
  <cols>
    <col min="1" max="1" width="17.1796875" customWidth="1"/>
    <col min="2" max="2" width="16.36328125" customWidth="1"/>
    <col min="8" max="8" width="13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108</v>
      </c>
    </row>
    <row r="2" spans="1:8" x14ac:dyDescent="0.35">
      <c r="A2" t="s">
        <v>6</v>
      </c>
      <c r="B2" t="s">
        <v>7</v>
      </c>
      <c r="C2" t="s">
        <v>8</v>
      </c>
      <c r="D2">
        <v>10</v>
      </c>
      <c r="E2">
        <v>212</v>
      </c>
      <c r="F2" t="s">
        <v>9</v>
      </c>
      <c r="H2" t="str">
        <f>IF(COUNTIFS( $B$2:$B$1000, B2, $C$2:$C$1000, C2, $D$2:$D$1000, D2, $E$2:$E$1000, E2) &gt; 1, "Duplicate", "Unique")</f>
        <v>Unique</v>
      </c>
    </row>
    <row r="3" spans="1:8" x14ac:dyDescent="0.35">
      <c r="A3" t="s">
        <v>6</v>
      </c>
      <c r="B3" t="s">
        <v>10</v>
      </c>
      <c r="C3" t="s">
        <v>11</v>
      </c>
      <c r="D3">
        <v>30</v>
      </c>
      <c r="E3">
        <v>2435</v>
      </c>
      <c r="F3" t="s">
        <v>9</v>
      </c>
      <c r="H3" t="str">
        <f t="shared" ref="H3:H66" si="0">IF(COUNTIFS( $B$2:$B$1000, B3, $C$2:$C$1000, C3, $D$2:$D$1000, D3, $E$2:$E$1000, E3) &gt; 1, "Duplicate", "Unique")</f>
        <v>Unique</v>
      </c>
    </row>
    <row r="4" spans="1:8" x14ac:dyDescent="0.35">
      <c r="A4" t="s">
        <v>12</v>
      </c>
      <c r="B4" t="s">
        <v>10</v>
      </c>
      <c r="C4" t="s">
        <v>11</v>
      </c>
      <c r="D4">
        <v>30</v>
      </c>
      <c r="E4">
        <v>2460</v>
      </c>
      <c r="F4" t="s">
        <v>9</v>
      </c>
      <c r="H4" t="str">
        <f t="shared" si="0"/>
        <v>Unique</v>
      </c>
    </row>
    <row r="5" spans="1:8" x14ac:dyDescent="0.35">
      <c r="A5" t="s">
        <v>12</v>
      </c>
      <c r="B5" t="s">
        <v>10</v>
      </c>
      <c r="C5" t="s">
        <v>11</v>
      </c>
      <c r="D5">
        <v>10</v>
      </c>
      <c r="E5">
        <v>2480</v>
      </c>
      <c r="F5" t="s">
        <v>9</v>
      </c>
      <c r="H5" t="str">
        <f t="shared" si="0"/>
        <v>Unique</v>
      </c>
    </row>
    <row r="6" spans="1:8" x14ac:dyDescent="0.35">
      <c r="A6" t="s">
        <v>13</v>
      </c>
      <c r="B6" t="s">
        <v>14</v>
      </c>
      <c r="C6" t="s">
        <v>11</v>
      </c>
      <c r="D6">
        <v>5</v>
      </c>
      <c r="E6">
        <v>516</v>
      </c>
      <c r="F6" t="s">
        <v>9</v>
      </c>
      <c r="H6" t="str">
        <f t="shared" si="0"/>
        <v>Unique</v>
      </c>
    </row>
    <row r="7" spans="1:8" x14ac:dyDescent="0.35">
      <c r="A7" t="s">
        <v>15</v>
      </c>
      <c r="B7" t="s">
        <v>16</v>
      </c>
      <c r="C7" t="s">
        <v>8</v>
      </c>
      <c r="D7">
        <v>40</v>
      </c>
      <c r="E7">
        <v>320.5</v>
      </c>
      <c r="F7" t="s">
        <v>9</v>
      </c>
      <c r="H7" t="str">
        <f t="shared" si="0"/>
        <v>Unique</v>
      </c>
    </row>
    <row r="8" spans="1:8" x14ac:dyDescent="0.35">
      <c r="A8" t="s">
        <v>17</v>
      </c>
      <c r="B8" t="s">
        <v>18</v>
      </c>
      <c r="C8" t="s">
        <v>11</v>
      </c>
      <c r="D8">
        <v>45</v>
      </c>
      <c r="E8">
        <v>136.15</v>
      </c>
      <c r="F8" t="s">
        <v>9</v>
      </c>
      <c r="H8" t="str">
        <f t="shared" si="0"/>
        <v>Unique</v>
      </c>
    </row>
    <row r="9" spans="1:8" x14ac:dyDescent="0.35">
      <c r="A9" t="s">
        <v>15</v>
      </c>
      <c r="B9" t="s">
        <v>19</v>
      </c>
      <c r="C9" t="s">
        <v>11</v>
      </c>
      <c r="D9">
        <v>30</v>
      </c>
      <c r="E9">
        <v>860</v>
      </c>
      <c r="F9" t="s">
        <v>9</v>
      </c>
      <c r="H9" t="str">
        <f t="shared" si="0"/>
        <v>Unique</v>
      </c>
    </row>
    <row r="10" spans="1:8" x14ac:dyDescent="0.35">
      <c r="A10" t="s">
        <v>20</v>
      </c>
      <c r="B10" t="s">
        <v>16</v>
      </c>
      <c r="C10" t="s">
        <v>11</v>
      </c>
      <c r="D10">
        <v>20</v>
      </c>
      <c r="E10">
        <v>281</v>
      </c>
      <c r="F10" t="s">
        <v>9</v>
      </c>
      <c r="H10" t="str">
        <f t="shared" si="0"/>
        <v>Unique</v>
      </c>
    </row>
    <row r="11" spans="1:8" x14ac:dyDescent="0.35">
      <c r="A11" t="s">
        <v>21</v>
      </c>
      <c r="B11" t="s">
        <v>16</v>
      </c>
      <c r="C11" t="s">
        <v>11</v>
      </c>
      <c r="D11">
        <v>20</v>
      </c>
      <c r="E11">
        <v>286</v>
      </c>
      <c r="F11" t="s">
        <v>9</v>
      </c>
      <c r="H11" t="str">
        <f t="shared" si="0"/>
        <v>Unique</v>
      </c>
    </row>
    <row r="12" spans="1:8" x14ac:dyDescent="0.35">
      <c r="A12" t="s">
        <v>21</v>
      </c>
      <c r="B12" t="s">
        <v>16</v>
      </c>
      <c r="C12" t="s">
        <v>11</v>
      </c>
      <c r="D12">
        <v>20</v>
      </c>
      <c r="E12">
        <v>296</v>
      </c>
      <c r="F12" t="s">
        <v>9</v>
      </c>
      <c r="H12" t="str">
        <f t="shared" si="0"/>
        <v>Unique</v>
      </c>
    </row>
    <row r="13" spans="1:8" x14ac:dyDescent="0.35">
      <c r="A13" t="s">
        <v>22</v>
      </c>
      <c r="B13" t="s">
        <v>23</v>
      </c>
      <c r="C13" t="s">
        <v>11</v>
      </c>
      <c r="D13">
        <v>4</v>
      </c>
      <c r="E13">
        <v>1751</v>
      </c>
      <c r="F13" t="s">
        <v>9</v>
      </c>
      <c r="H13" t="str">
        <f t="shared" si="0"/>
        <v>Unique</v>
      </c>
    </row>
    <row r="14" spans="1:8" x14ac:dyDescent="0.35">
      <c r="A14" t="s">
        <v>24</v>
      </c>
      <c r="B14" t="s">
        <v>25</v>
      </c>
      <c r="C14" t="s">
        <v>11</v>
      </c>
      <c r="D14">
        <v>2</v>
      </c>
      <c r="E14">
        <v>4410</v>
      </c>
      <c r="F14" t="s">
        <v>9</v>
      </c>
      <c r="H14" t="str">
        <f t="shared" si="0"/>
        <v>Unique</v>
      </c>
    </row>
    <row r="15" spans="1:8" x14ac:dyDescent="0.35">
      <c r="A15" t="s">
        <v>12</v>
      </c>
      <c r="B15" t="s">
        <v>10</v>
      </c>
      <c r="C15" t="s">
        <v>8</v>
      </c>
      <c r="D15">
        <v>10</v>
      </c>
      <c r="E15">
        <v>2599</v>
      </c>
      <c r="F15" t="s">
        <v>9</v>
      </c>
      <c r="H15" t="str">
        <f t="shared" si="0"/>
        <v>Unique</v>
      </c>
    </row>
    <row r="16" spans="1:8" x14ac:dyDescent="0.35">
      <c r="A16" t="s">
        <v>20</v>
      </c>
      <c r="B16" t="s">
        <v>19</v>
      </c>
      <c r="C16" t="s">
        <v>11</v>
      </c>
      <c r="D16">
        <v>11</v>
      </c>
      <c r="E16">
        <v>882</v>
      </c>
      <c r="F16" t="s">
        <v>9</v>
      </c>
      <c r="H16" t="str">
        <f t="shared" si="0"/>
        <v>Unique</v>
      </c>
    </row>
    <row r="17" spans="1:8" x14ac:dyDescent="0.35">
      <c r="A17" t="s">
        <v>20</v>
      </c>
      <c r="B17" t="s">
        <v>16</v>
      </c>
      <c r="C17" t="s">
        <v>11</v>
      </c>
      <c r="D17">
        <v>37</v>
      </c>
      <c r="E17">
        <v>277</v>
      </c>
      <c r="F17" t="s">
        <v>9</v>
      </c>
      <c r="H17" t="str">
        <f t="shared" si="0"/>
        <v>Unique</v>
      </c>
    </row>
    <row r="18" spans="1:8" x14ac:dyDescent="0.35">
      <c r="A18" t="s">
        <v>26</v>
      </c>
      <c r="B18" t="s">
        <v>25</v>
      </c>
      <c r="C18" t="s">
        <v>11</v>
      </c>
      <c r="D18">
        <v>1</v>
      </c>
      <c r="E18">
        <v>4364</v>
      </c>
      <c r="F18" t="s">
        <v>9</v>
      </c>
      <c r="H18" t="str">
        <f t="shared" si="0"/>
        <v>Unique</v>
      </c>
    </row>
    <row r="19" spans="1:8" x14ac:dyDescent="0.35">
      <c r="A19" t="s">
        <v>27</v>
      </c>
      <c r="B19" t="s">
        <v>28</v>
      </c>
      <c r="C19" t="s">
        <v>8</v>
      </c>
      <c r="D19">
        <v>25</v>
      </c>
      <c r="E19">
        <v>220</v>
      </c>
      <c r="F19" t="s">
        <v>9</v>
      </c>
      <c r="H19" t="str">
        <f t="shared" si="0"/>
        <v>Unique</v>
      </c>
    </row>
    <row r="20" spans="1:8" x14ac:dyDescent="0.35">
      <c r="A20" t="s">
        <v>26</v>
      </c>
      <c r="B20" t="s">
        <v>28</v>
      </c>
      <c r="C20" t="s">
        <v>11</v>
      </c>
      <c r="D20">
        <v>25</v>
      </c>
      <c r="E20">
        <v>190.1</v>
      </c>
      <c r="F20" t="s">
        <v>9</v>
      </c>
      <c r="H20" t="str">
        <f t="shared" si="0"/>
        <v>Unique</v>
      </c>
    </row>
    <row r="21" spans="1:8" x14ac:dyDescent="0.35">
      <c r="A21" t="s">
        <v>12</v>
      </c>
      <c r="B21" t="s">
        <v>29</v>
      </c>
      <c r="C21" t="s">
        <v>11</v>
      </c>
      <c r="D21">
        <v>500</v>
      </c>
      <c r="E21">
        <v>33.159999999999997</v>
      </c>
      <c r="F21" t="s">
        <v>9</v>
      </c>
      <c r="H21" t="str">
        <f t="shared" si="0"/>
        <v>Unique</v>
      </c>
    </row>
    <row r="22" spans="1:8" x14ac:dyDescent="0.35">
      <c r="A22" t="s">
        <v>30</v>
      </c>
      <c r="B22" t="s">
        <v>10</v>
      </c>
      <c r="C22" t="s">
        <v>11</v>
      </c>
      <c r="D22">
        <v>5</v>
      </c>
      <c r="E22">
        <v>2510</v>
      </c>
      <c r="F22" t="s">
        <v>9</v>
      </c>
      <c r="H22" t="str">
        <f t="shared" si="0"/>
        <v>Unique</v>
      </c>
    </row>
    <row r="23" spans="1:8" x14ac:dyDescent="0.35">
      <c r="A23" t="s">
        <v>12</v>
      </c>
      <c r="B23" t="s">
        <v>31</v>
      </c>
      <c r="C23" t="s">
        <v>11</v>
      </c>
      <c r="D23">
        <v>150</v>
      </c>
      <c r="E23">
        <v>128</v>
      </c>
      <c r="F23" t="s">
        <v>9</v>
      </c>
      <c r="H23" t="str">
        <f t="shared" si="0"/>
        <v>Unique</v>
      </c>
    </row>
    <row r="24" spans="1:8" x14ac:dyDescent="0.35">
      <c r="A24" t="s">
        <v>15</v>
      </c>
      <c r="B24" t="s">
        <v>32</v>
      </c>
      <c r="C24" t="s">
        <v>11</v>
      </c>
      <c r="D24">
        <v>40</v>
      </c>
      <c r="E24">
        <v>426</v>
      </c>
      <c r="F24" t="s">
        <v>9</v>
      </c>
      <c r="H24" t="str">
        <f t="shared" si="0"/>
        <v>Unique</v>
      </c>
    </row>
    <row r="25" spans="1:8" x14ac:dyDescent="0.35">
      <c r="A25" t="s">
        <v>6</v>
      </c>
      <c r="B25" t="s">
        <v>33</v>
      </c>
      <c r="C25" t="s">
        <v>11</v>
      </c>
      <c r="D25">
        <v>5</v>
      </c>
      <c r="E25">
        <v>1614</v>
      </c>
      <c r="F25" t="s">
        <v>9</v>
      </c>
      <c r="H25" t="str">
        <f t="shared" si="0"/>
        <v>Unique</v>
      </c>
    </row>
    <row r="26" spans="1:8" x14ac:dyDescent="0.35">
      <c r="A26" t="s">
        <v>27</v>
      </c>
      <c r="B26" t="s">
        <v>34</v>
      </c>
      <c r="C26" t="s">
        <v>11</v>
      </c>
      <c r="D26">
        <v>5</v>
      </c>
      <c r="E26">
        <v>366</v>
      </c>
      <c r="F26" t="s">
        <v>9</v>
      </c>
      <c r="H26" t="str">
        <f t="shared" si="0"/>
        <v>Unique</v>
      </c>
    </row>
    <row r="27" spans="1:8" x14ac:dyDescent="0.35">
      <c r="A27" t="s">
        <v>21</v>
      </c>
      <c r="B27" t="s">
        <v>35</v>
      </c>
      <c r="C27" t="s">
        <v>8</v>
      </c>
      <c r="D27">
        <v>100</v>
      </c>
      <c r="E27">
        <v>310.5</v>
      </c>
      <c r="F27" t="s">
        <v>9</v>
      </c>
      <c r="H27" t="str">
        <f t="shared" si="0"/>
        <v>Unique</v>
      </c>
    </row>
    <row r="28" spans="1:8" x14ac:dyDescent="0.35">
      <c r="A28" t="s">
        <v>22</v>
      </c>
      <c r="B28" t="s">
        <v>36</v>
      </c>
      <c r="C28" t="s">
        <v>11</v>
      </c>
      <c r="D28">
        <v>50</v>
      </c>
      <c r="E28">
        <v>202</v>
      </c>
      <c r="F28" t="s">
        <v>9</v>
      </c>
      <c r="H28" t="str">
        <f t="shared" si="0"/>
        <v>Unique</v>
      </c>
    </row>
    <row r="29" spans="1:8" x14ac:dyDescent="0.35">
      <c r="A29" t="s">
        <v>21</v>
      </c>
      <c r="B29" t="s">
        <v>35</v>
      </c>
      <c r="C29" t="s">
        <v>11</v>
      </c>
      <c r="D29">
        <v>50</v>
      </c>
      <c r="E29">
        <v>286</v>
      </c>
      <c r="F29" t="s">
        <v>9</v>
      </c>
      <c r="H29" t="str">
        <f t="shared" si="0"/>
        <v>Unique</v>
      </c>
    </row>
    <row r="30" spans="1:8" x14ac:dyDescent="0.35">
      <c r="A30" t="s">
        <v>12</v>
      </c>
      <c r="B30" t="s">
        <v>10</v>
      </c>
      <c r="C30" t="s">
        <v>11</v>
      </c>
      <c r="D30">
        <v>5</v>
      </c>
      <c r="E30">
        <v>2530</v>
      </c>
      <c r="F30" t="s">
        <v>9</v>
      </c>
      <c r="H30" t="str">
        <f t="shared" si="0"/>
        <v>Unique</v>
      </c>
    </row>
    <row r="31" spans="1:8" x14ac:dyDescent="0.35">
      <c r="A31" t="s">
        <v>37</v>
      </c>
      <c r="B31" t="s">
        <v>38</v>
      </c>
      <c r="C31" t="s">
        <v>11</v>
      </c>
      <c r="D31">
        <v>10</v>
      </c>
      <c r="E31">
        <v>701</v>
      </c>
      <c r="F31" t="s">
        <v>9</v>
      </c>
      <c r="H31" t="str">
        <f t="shared" si="0"/>
        <v>Unique</v>
      </c>
    </row>
    <row r="32" spans="1:8" x14ac:dyDescent="0.35">
      <c r="A32" t="s">
        <v>39</v>
      </c>
      <c r="B32" t="s">
        <v>40</v>
      </c>
      <c r="C32" t="s">
        <v>11</v>
      </c>
      <c r="D32">
        <v>100</v>
      </c>
      <c r="E32">
        <v>335</v>
      </c>
      <c r="F32" t="s">
        <v>9</v>
      </c>
      <c r="H32" t="str">
        <f t="shared" si="0"/>
        <v>Unique</v>
      </c>
    </row>
    <row r="33" spans="1:8" x14ac:dyDescent="0.35">
      <c r="A33" t="s">
        <v>22</v>
      </c>
      <c r="B33" t="s">
        <v>40</v>
      </c>
      <c r="C33" t="s">
        <v>11</v>
      </c>
      <c r="D33">
        <v>100</v>
      </c>
      <c r="E33">
        <v>337</v>
      </c>
      <c r="F33" t="s">
        <v>9</v>
      </c>
      <c r="H33" t="str">
        <f t="shared" si="0"/>
        <v>Unique</v>
      </c>
    </row>
    <row r="34" spans="1:8" x14ac:dyDescent="0.35">
      <c r="A34" t="s">
        <v>41</v>
      </c>
      <c r="B34" t="s">
        <v>40</v>
      </c>
      <c r="C34" t="s">
        <v>11</v>
      </c>
      <c r="D34">
        <v>100</v>
      </c>
      <c r="E34">
        <v>340.2</v>
      </c>
      <c r="F34" t="s">
        <v>9</v>
      </c>
      <c r="H34" t="str">
        <f t="shared" si="0"/>
        <v>Unique</v>
      </c>
    </row>
    <row r="35" spans="1:8" x14ac:dyDescent="0.35">
      <c r="A35" t="s">
        <v>39</v>
      </c>
      <c r="B35" t="s">
        <v>40</v>
      </c>
      <c r="C35" t="s">
        <v>11</v>
      </c>
      <c r="D35">
        <v>100</v>
      </c>
      <c r="E35">
        <v>344</v>
      </c>
      <c r="F35" t="s">
        <v>9</v>
      </c>
      <c r="H35" t="str">
        <f t="shared" si="0"/>
        <v>Unique</v>
      </c>
    </row>
    <row r="36" spans="1:8" x14ac:dyDescent="0.35">
      <c r="A36" t="s">
        <v>42</v>
      </c>
      <c r="B36" t="s">
        <v>7</v>
      </c>
      <c r="C36" t="s">
        <v>8</v>
      </c>
      <c r="D36">
        <v>65</v>
      </c>
      <c r="E36">
        <v>219</v>
      </c>
      <c r="F36" t="s">
        <v>9</v>
      </c>
      <c r="H36" t="str">
        <f t="shared" si="0"/>
        <v>Unique</v>
      </c>
    </row>
    <row r="37" spans="1:8" x14ac:dyDescent="0.35">
      <c r="A37" t="s">
        <v>13</v>
      </c>
      <c r="B37" t="s">
        <v>36</v>
      </c>
      <c r="C37" t="s">
        <v>8</v>
      </c>
      <c r="D37">
        <v>50</v>
      </c>
      <c r="E37">
        <v>214</v>
      </c>
      <c r="F37" t="s">
        <v>9</v>
      </c>
      <c r="H37" t="str">
        <f t="shared" si="0"/>
        <v>Unique</v>
      </c>
    </row>
    <row r="38" spans="1:8" x14ac:dyDescent="0.35">
      <c r="A38" t="s">
        <v>21</v>
      </c>
      <c r="B38" t="s">
        <v>35</v>
      </c>
      <c r="C38" t="s">
        <v>8</v>
      </c>
      <c r="D38">
        <v>120</v>
      </c>
      <c r="E38">
        <v>300.5</v>
      </c>
      <c r="F38" t="s">
        <v>9</v>
      </c>
      <c r="H38" t="str">
        <f t="shared" si="0"/>
        <v>Unique</v>
      </c>
    </row>
    <row r="39" spans="1:8" x14ac:dyDescent="0.35">
      <c r="A39" t="s">
        <v>12</v>
      </c>
      <c r="B39" t="s">
        <v>31</v>
      </c>
      <c r="C39" t="s">
        <v>8</v>
      </c>
      <c r="D39">
        <v>150</v>
      </c>
      <c r="E39">
        <v>136</v>
      </c>
      <c r="F39" t="s">
        <v>9</v>
      </c>
      <c r="H39" t="str">
        <f t="shared" si="0"/>
        <v>Unique</v>
      </c>
    </row>
    <row r="40" spans="1:8" x14ac:dyDescent="0.35">
      <c r="A40" t="s">
        <v>37</v>
      </c>
      <c r="B40" t="s">
        <v>40</v>
      </c>
      <c r="C40" t="s">
        <v>8</v>
      </c>
      <c r="D40">
        <v>67</v>
      </c>
      <c r="E40">
        <v>373</v>
      </c>
      <c r="F40" t="s">
        <v>9</v>
      </c>
      <c r="H40" t="str">
        <f t="shared" si="0"/>
        <v>Unique</v>
      </c>
    </row>
    <row r="41" spans="1:8" x14ac:dyDescent="0.35">
      <c r="A41" t="s">
        <v>12</v>
      </c>
      <c r="B41" t="s">
        <v>10</v>
      </c>
      <c r="C41" t="s">
        <v>8</v>
      </c>
      <c r="D41">
        <v>10</v>
      </c>
      <c r="E41">
        <v>2648</v>
      </c>
      <c r="F41" t="s">
        <v>9</v>
      </c>
      <c r="H41" t="str">
        <f t="shared" si="0"/>
        <v>Unique</v>
      </c>
    </row>
    <row r="42" spans="1:8" x14ac:dyDescent="0.35">
      <c r="A42" t="s">
        <v>12</v>
      </c>
      <c r="B42" t="s">
        <v>10</v>
      </c>
      <c r="C42" t="s">
        <v>8</v>
      </c>
      <c r="D42">
        <v>10</v>
      </c>
      <c r="E42">
        <v>2632</v>
      </c>
      <c r="F42" t="s">
        <v>9</v>
      </c>
      <c r="H42" t="str">
        <f t="shared" si="0"/>
        <v>Unique</v>
      </c>
    </row>
    <row r="43" spans="1:8" x14ac:dyDescent="0.35">
      <c r="A43" t="s">
        <v>20</v>
      </c>
      <c r="B43" t="s">
        <v>32</v>
      </c>
      <c r="C43" t="s">
        <v>8</v>
      </c>
      <c r="D43">
        <v>40</v>
      </c>
      <c r="E43">
        <v>446</v>
      </c>
      <c r="F43" t="s">
        <v>9</v>
      </c>
      <c r="H43" t="str">
        <f t="shared" si="0"/>
        <v>Unique</v>
      </c>
    </row>
    <row r="44" spans="1:8" x14ac:dyDescent="0.35">
      <c r="A44" t="s">
        <v>43</v>
      </c>
      <c r="B44" t="s">
        <v>44</v>
      </c>
      <c r="C44" t="s">
        <v>8</v>
      </c>
      <c r="D44">
        <v>30</v>
      </c>
      <c r="E44">
        <v>948</v>
      </c>
      <c r="F44" t="s">
        <v>9</v>
      </c>
      <c r="H44" t="str">
        <f t="shared" si="0"/>
        <v>Unique</v>
      </c>
    </row>
    <row r="45" spans="1:8" x14ac:dyDescent="0.35">
      <c r="A45" t="s">
        <v>12</v>
      </c>
      <c r="B45" t="s">
        <v>10</v>
      </c>
      <c r="C45" t="s">
        <v>8</v>
      </c>
      <c r="D45">
        <v>10</v>
      </c>
      <c r="E45">
        <v>2620</v>
      </c>
      <c r="F45" t="s">
        <v>9</v>
      </c>
      <c r="H45" t="str">
        <f t="shared" si="0"/>
        <v>Unique</v>
      </c>
    </row>
    <row r="46" spans="1:8" x14ac:dyDescent="0.35">
      <c r="A46" t="s">
        <v>43</v>
      </c>
      <c r="B46" t="s">
        <v>44</v>
      </c>
      <c r="C46" t="s">
        <v>8</v>
      </c>
      <c r="D46">
        <v>5</v>
      </c>
      <c r="E46">
        <v>986</v>
      </c>
      <c r="F46" t="s">
        <v>9</v>
      </c>
      <c r="H46" t="str">
        <f t="shared" si="0"/>
        <v>Unique</v>
      </c>
    </row>
    <row r="47" spans="1:8" x14ac:dyDescent="0.35">
      <c r="A47" t="s">
        <v>37</v>
      </c>
      <c r="B47" t="s">
        <v>44</v>
      </c>
      <c r="C47" t="s">
        <v>8</v>
      </c>
      <c r="D47">
        <v>5</v>
      </c>
      <c r="E47">
        <v>1002</v>
      </c>
      <c r="F47" t="s">
        <v>9</v>
      </c>
      <c r="H47" t="str">
        <f t="shared" si="0"/>
        <v>Unique</v>
      </c>
    </row>
    <row r="48" spans="1:8" x14ac:dyDescent="0.3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H48" t="str">
        <f t="shared" si="0"/>
        <v>Duplicate</v>
      </c>
    </row>
    <row r="49" spans="1:8" x14ac:dyDescent="0.35">
      <c r="A49" t="s">
        <v>45</v>
      </c>
      <c r="B49" t="s">
        <v>46</v>
      </c>
      <c r="C49" t="s">
        <v>8</v>
      </c>
      <c r="D49">
        <v>1</v>
      </c>
      <c r="E49">
        <v>4890</v>
      </c>
      <c r="F49" t="s">
        <v>9</v>
      </c>
      <c r="H49" t="str">
        <f t="shared" si="0"/>
        <v>Unique</v>
      </c>
    </row>
    <row r="50" spans="1:8" x14ac:dyDescent="0.35">
      <c r="A50" t="s">
        <v>45</v>
      </c>
      <c r="B50" t="s">
        <v>47</v>
      </c>
      <c r="C50" t="s">
        <v>8</v>
      </c>
      <c r="D50">
        <v>5</v>
      </c>
      <c r="E50">
        <v>4177</v>
      </c>
      <c r="F50" t="s">
        <v>9</v>
      </c>
      <c r="H50" t="str">
        <f t="shared" si="0"/>
        <v>Unique</v>
      </c>
    </row>
    <row r="51" spans="1:8" x14ac:dyDescent="0.35">
      <c r="A51" t="s">
        <v>45</v>
      </c>
      <c r="B51" t="s">
        <v>47</v>
      </c>
      <c r="C51" t="s">
        <v>8</v>
      </c>
      <c r="D51">
        <v>5</v>
      </c>
      <c r="E51">
        <v>4129</v>
      </c>
      <c r="F51" t="s">
        <v>9</v>
      </c>
      <c r="H51" t="str">
        <f t="shared" si="0"/>
        <v>Unique</v>
      </c>
    </row>
    <row r="52" spans="1:8" x14ac:dyDescent="0.35">
      <c r="A52" t="s">
        <v>48</v>
      </c>
      <c r="B52" t="s">
        <v>49</v>
      </c>
      <c r="C52" t="s">
        <v>8</v>
      </c>
      <c r="D52">
        <v>1</v>
      </c>
      <c r="E52">
        <v>3810</v>
      </c>
      <c r="F52" t="s">
        <v>9</v>
      </c>
      <c r="H52" t="str">
        <f t="shared" si="0"/>
        <v>Unique</v>
      </c>
    </row>
    <row r="53" spans="1:8" x14ac:dyDescent="0.35">
      <c r="A53" t="s">
        <v>50</v>
      </c>
      <c r="B53" t="s">
        <v>47</v>
      </c>
      <c r="C53" t="s">
        <v>11</v>
      </c>
      <c r="D53">
        <v>10</v>
      </c>
      <c r="E53">
        <v>3950</v>
      </c>
      <c r="F53" t="s">
        <v>9</v>
      </c>
      <c r="H53" t="str">
        <f t="shared" si="0"/>
        <v>Unique</v>
      </c>
    </row>
    <row r="54" spans="1:8" x14ac:dyDescent="0.35">
      <c r="A54" t="s">
        <v>51</v>
      </c>
      <c r="B54" t="s">
        <v>52</v>
      </c>
      <c r="C54" t="s">
        <v>11</v>
      </c>
      <c r="D54">
        <v>10</v>
      </c>
      <c r="E54">
        <v>927</v>
      </c>
      <c r="F54" t="s">
        <v>9</v>
      </c>
      <c r="H54" t="str">
        <f t="shared" si="0"/>
        <v>Unique</v>
      </c>
    </row>
    <row r="55" spans="1:8" x14ac:dyDescent="0.35">
      <c r="A55" t="s">
        <v>48</v>
      </c>
      <c r="B55" t="s">
        <v>53</v>
      </c>
      <c r="C55" t="s">
        <v>8</v>
      </c>
      <c r="D55">
        <v>3</v>
      </c>
      <c r="E55">
        <v>3341</v>
      </c>
      <c r="F55" t="s">
        <v>9</v>
      </c>
      <c r="H55" t="str">
        <f t="shared" si="0"/>
        <v>Unique</v>
      </c>
    </row>
    <row r="56" spans="1:8" x14ac:dyDescent="0.35">
      <c r="A56" t="s">
        <v>54</v>
      </c>
      <c r="B56" t="s">
        <v>55</v>
      </c>
      <c r="C56" t="s">
        <v>11</v>
      </c>
      <c r="D56">
        <v>15</v>
      </c>
      <c r="E56">
        <v>1005</v>
      </c>
      <c r="F56" t="s">
        <v>9</v>
      </c>
      <c r="H56" t="str">
        <f t="shared" si="0"/>
        <v>Unique</v>
      </c>
    </row>
    <row r="57" spans="1:8" x14ac:dyDescent="0.35">
      <c r="A57" t="s">
        <v>54</v>
      </c>
      <c r="B57" t="s">
        <v>56</v>
      </c>
      <c r="C57" t="s">
        <v>11</v>
      </c>
      <c r="D57">
        <v>20</v>
      </c>
      <c r="E57">
        <v>793</v>
      </c>
      <c r="F57" t="s">
        <v>9</v>
      </c>
      <c r="H57" t="str">
        <f t="shared" si="0"/>
        <v>Unique</v>
      </c>
    </row>
    <row r="58" spans="1:8" x14ac:dyDescent="0.35">
      <c r="A58" t="s">
        <v>57</v>
      </c>
      <c r="B58" t="s">
        <v>58</v>
      </c>
      <c r="C58" t="s">
        <v>8</v>
      </c>
      <c r="D58">
        <v>10</v>
      </c>
      <c r="E58">
        <v>1324</v>
      </c>
      <c r="F58" t="s">
        <v>9</v>
      </c>
      <c r="H58" t="str">
        <f t="shared" si="0"/>
        <v>Unique</v>
      </c>
    </row>
    <row r="59" spans="1:8" x14ac:dyDescent="0.35">
      <c r="A59" t="s">
        <v>50</v>
      </c>
      <c r="B59" t="s">
        <v>59</v>
      </c>
      <c r="C59" t="s">
        <v>11</v>
      </c>
      <c r="D59">
        <v>10</v>
      </c>
      <c r="E59">
        <v>1410</v>
      </c>
      <c r="F59" t="s">
        <v>9</v>
      </c>
      <c r="H59" t="str">
        <f t="shared" si="0"/>
        <v>Unique</v>
      </c>
    </row>
    <row r="60" spans="1:8" x14ac:dyDescent="0.35">
      <c r="A60" t="s">
        <v>60</v>
      </c>
      <c r="B60" t="s">
        <v>61</v>
      </c>
      <c r="C60" t="s">
        <v>11</v>
      </c>
      <c r="D60">
        <v>200</v>
      </c>
      <c r="E60">
        <v>230.1</v>
      </c>
      <c r="F60" t="s">
        <v>9</v>
      </c>
      <c r="H60" t="str">
        <f t="shared" si="0"/>
        <v>Unique</v>
      </c>
    </row>
    <row r="61" spans="1:8" x14ac:dyDescent="0.35">
      <c r="A61" t="s">
        <v>62</v>
      </c>
      <c r="B61" t="s">
        <v>63</v>
      </c>
      <c r="C61" t="s">
        <v>8</v>
      </c>
      <c r="D61">
        <v>150</v>
      </c>
      <c r="E61">
        <v>124.9</v>
      </c>
      <c r="F61" t="s">
        <v>9</v>
      </c>
      <c r="H61" t="str">
        <f t="shared" si="0"/>
        <v>Unique</v>
      </c>
    </row>
    <row r="62" spans="1:8" x14ac:dyDescent="0.35">
      <c r="A62" t="s">
        <v>62</v>
      </c>
      <c r="B62" t="s">
        <v>63</v>
      </c>
      <c r="C62" t="s">
        <v>11</v>
      </c>
      <c r="D62">
        <v>150</v>
      </c>
      <c r="E62">
        <v>119</v>
      </c>
      <c r="F62" t="s">
        <v>9</v>
      </c>
      <c r="H62" t="str">
        <f t="shared" si="0"/>
        <v>Unique</v>
      </c>
    </row>
    <row r="63" spans="1:8" x14ac:dyDescent="0.35">
      <c r="A63" t="s">
        <v>64</v>
      </c>
      <c r="B63" t="s">
        <v>65</v>
      </c>
      <c r="C63" t="s">
        <v>11</v>
      </c>
      <c r="D63">
        <v>50</v>
      </c>
      <c r="E63">
        <v>850</v>
      </c>
      <c r="F63" t="s">
        <v>9</v>
      </c>
      <c r="H63" t="str">
        <f t="shared" si="0"/>
        <v>Unique</v>
      </c>
    </row>
    <row r="64" spans="1:8" x14ac:dyDescent="0.35">
      <c r="A64" t="s">
        <v>45</v>
      </c>
      <c r="B64" t="s">
        <v>66</v>
      </c>
      <c r="C64" t="s">
        <v>11</v>
      </c>
      <c r="D64">
        <v>1</v>
      </c>
      <c r="E64">
        <v>18052</v>
      </c>
      <c r="F64" t="s">
        <v>9</v>
      </c>
      <c r="H64" t="str">
        <f t="shared" si="0"/>
        <v>Unique</v>
      </c>
    </row>
    <row r="65" spans="1:8" x14ac:dyDescent="0.35">
      <c r="A65" t="s">
        <v>64</v>
      </c>
      <c r="B65" t="s">
        <v>65</v>
      </c>
      <c r="C65" t="s">
        <v>11</v>
      </c>
      <c r="D65">
        <v>25</v>
      </c>
      <c r="E65">
        <v>836</v>
      </c>
      <c r="F65" t="s">
        <v>9</v>
      </c>
      <c r="H65" t="str">
        <f t="shared" si="0"/>
        <v>Unique</v>
      </c>
    </row>
    <row r="66" spans="1:8" x14ac:dyDescent="0.35">
      <c r="A66" t="s">
        <v>57</v>
      </c>
      <c r="B66" t="s">
        <v>67</v>
      </c>
      <c r="C66" t="s">
        <v>11</v>
      </c>
      <c r="D66">
        <v>8</v>
      </c>
      <c r="E66">
        <v>2352</v>
      </c>
      <c r="F66" t="s">
        <v>9</v>
      </c>
      <c r="H66" t="str">
        <f t="shared" si="0"/>
        <v>Unique</v>
      </c>
    </row>
    <row r="67" spans="1:8" x14ac:dyDescent="0.35">
      <c r="A67" t="s">
        <v>60</v>
      </c>
      <c r="B67" t="s">
        <v>52</v>
      </c>
      <c r="C67" t="s">
        <v>11</v>
      </c>
      <c r="D67">
        <v>40</v>
      </c>
      <c r="E67">
        <v>897</v>
      </c>
      <c r="F67" t="s">
        <v>9</v>
      </c>
      <c r="H67" t="str">
        <f t="shared" ref="H67:H130" si="1">IF(COUNTIFS( $B$2:$B$1000, B67, $C$2:$C$1000, C67, $D$2:$D$1000, D67, $E$2:$E$1000, E67) &gt; 1, "Duplicate", "Unique")</f>
        <v>Unique</v>
      </c>
    </row>
    <row r="68" spans="1:8" x14ac:dyDescent="0.35">
      <c r="A68" t="s">
        <v>64</v>
      </c>
      <c r="B68" t="s">
        <v>65</v>
      </c>
      <c r="C68" t="s">
        <v>11</v>
      </c>
      <c r="D68">
        <v>5</v>
      </c>
      <c r="E68">
        <v>812</v>
      </c>
      <c r="F68" t="s">
        <v>9</v>
      </c>
      <c r="H68" t="str">
        <f t="shared" si="1"/>
        <v>Unique</v>
      </c>
    </row>
    <row r="69" spans="1:8" x14ac:dyDescent="0.35">
      <c r="A69" t="s">
        <v>68</v>
      </c>
      <c r="B69" t="s">
        <v>69</v>
      </c>
      <c r="C69" t="s">
        <v>11</v>
      </c>
      <c r="D69">
        <v>2</v>
      </c>
      <c r="E69">
        <v>2460</v>
      </c>
      <c r="F69" t="s">
        <v>9</v>
      </c>
      <c r="H69" t="str">
        <f t="shared" si="1"/>
        <v>Unique</v>
      </c>
    </row>
    <row r="70" spans="1:8" x14ac:dyDescent="0.35">
      <c r="A70" t="s">
        <v>57</v>
      </c>
      <c r="B70" t="s">
        <v>70</v>
      </c>
      <c r="C70" t="s">
        <v>11</v>
      </c>
      <c r="D70">
        <v>5</v>
      </c>
      <c r="E70">
        <v>1111</v>
      </c>
      <c r="F70" t="s">
        <v>9</v>
      </c>
      <c r="H70" t="str">
        <f t="shared" si="1"/>
        <v>Unique</v>
      </c>
    </row>
    <row r="71" spans="1:8" x14ac:dyDescent="0.35">
      <c r="A71" t="s">
        <v>45</v>
      </c>
      <c r="B71" t="s">
        <v>46</v>
      </c>
      <c r="C71" t="s">
        <v>11</v>
      </c>
      <c r="D71">
        <v>2</v>
      </c>
      <c r="E71">
        <v>4456</v>
      </c>
      <c r="F71" t="s">
        <v>9</v>
      </c>
      <c r="H71" t="str">
        <f t="shared" si="1"/>
        <v>Unique</v>
      </c>
    </row>
    <row r="72" spans="1:8" x14ac:dyDescent="0.35">
      <c r="A72" t="s">
        <v>48</v>
      </c>
      <c r="B72" t="s">
        <v>56</v>
      </c>
      <c r="C72" t="s">
        <v>11</v>
      </c>
      <c r="D72">
        <v>25</v>
      </c>
      <c r="E72">
        <v>764</v>
      </c>
      <c r="F72" t="s">
        <v>9</v>
      </c>
      <c r="H72" t="str">
        <f t="shared" si="1"/>
        <v>Unique</v>
      </c>
    </row>
    <row r="73" spans="1:8" x14ac:dyDescent="0.35">
      <c r="A73" t="s">
        <v>45</v>
      </c>
      <c r="B73" t="s">
        <v>71</v>
      </c>
      <c r="C73" t="s">
        <v>11</v>
      </c>
      <c r="D73">
        <v>10</v>
      </c>
      <c r="E73">
        <v>1166</v>
      </c>
      <c r="F73" t="s">
        <v>9</v>
      </c>
      <c r="H73" t="str">
        <f t="shared" si="1"/>
        <v>Unique</v>
      </c>
    </row>
    <row r="74" spans="1:8" x14ac:dyDescent="0.35">
      <c r="A74" t="s">
        <v>45</v>
      </c>
      <c r="B74" t="s">
        <v>71</v>
      </c>
      <c r="C74" t="s">
        <v>11</v>
      </c>
      <c r="D74">
        <v>5</v>
      </c>
      <c r="E74">
        <v>1188</v>
      </c>
      <c r="F74" t="s">
        <v>9</v>
      </c>
      <c r="H74" t="str">
        <f t="shared" si="1"/>
        <v>Unique</v>
      </c>
    </row>
    <row r="75" spans="1:8" x14ac:dyDescent="0.35">
      <c r="A75" t="s">
        <v>57</v>
      </c>
      <c r="B75" t="s">
        <v>70</v>
      </c>
      <c r="C75" t="s">
        <v>11</v>
      </c>
      <c r="D75">
        <v>5</v>
      </c>
      <c r="E75">
        <v>1121</v>
      </c>
      <c r="F75" t="s">
        <v>9</v>
      </c>
      <c r="H75" t="str">
        <f t="shared" si="1"/>
        <v>Unique</v>
      </c>
    </row>
    <row r="76" spans="1:8" x14ac:dyDescent="0.35">
      <c r="A76" t="s">
        <v>48</v>
      </c>
      <c r="B76" t="s">
        <v>53</v>
      </c>
      <c r="C76" t="s">
        <v>11</v>
      </c>
      <c r="D76">
        <v>5</v>
      </c>
      <c r="E76">
        <v>2938</v>
      </c>
      <c r="F76" t="s">
        <v>9</v>
      </c>
      <c r="H76" t="str">
        <f t="shared" si="1"/>
        <v>Unique</v>
      </c>
    </row>
    <row r="77" spans="1:8" x14ac:dyDescent="0.35">
      <c r="A77" t="s">
        <v>62</v>
      </c>
      <c r="B77" t="s">
        <v>72</v>
      </c>
      <c r="C77" t="s">
        <v>8</v>
      </c>
      <c r="D77">
        <v>200</v>
      </c>
      <c r="E77">
        <v>92.75</v>
      </c>
      <c r="F77" t="s">
        <v>9</v>
      </c>
      <c r="H77" t="str">
        <f t="shared" si="1"/>
        <v>Unique</v>
      </c>
    </row>
    <row r="78" spans="1:8" x14ac:dyDescent="0.35">
      <c r="A78" t="s">
        <v>73</v>
      </c>
      <c r="B78" t="s">
        <v>72</v>
      </c>
      <c r="C78" t="s">
        <v>11</v>
      </c>
      <c r="D78">
        <v>200</v>
      </c>
      <c r="E78">
        <v>88.75</v>
      </c>
      <c r="F78" t="s">
        <v>9</v>
      </c>
      <c r="H78" t="str">
        <f t="shared" si="1"/>
        <v>Unique</v>
      </c>
    </row>
    <row r="79" spans="1:8" x14ac:dyDescent="0.35">
      <c r="A79" t="s">
        <v>48</v>
      </c>
      <c r="B79" t="s">
        <v>74</v>
      </c>
      <c r="C79" t="s">
        <v>11</v>
      </c>
      <c r="D79">
        <v>1</v>
      </c>
      <c r="E79">
        <v>4206</v>
      </c>
      <c r="F79" t="s">
        <v>9</v>
      </c>
      <c r="H79" t="str">
        <f t="shared" si="1"/>
        <v>Unique</v>
      </c>
    </row>
    <row r="80" spans="1:8" x14ac:dyDescent="0.35">
      <c r="A80" t="s">
        <v>73</v>
      </c>
      <c r="B80" t="s">
        <v>74</v>
      </c>
      <c r="C80" t="s">
        <v>11</v>
      </c>
      <c r="D80">
        <v>1</v>
      </c>
      <c r="E80">
        <v>4306</v>
      </c>
      <c r="F80" t="s">
        <v>9</v>
      </c>
      <c r="H80" t="str">
        <f t="shared" si="1"/>
        <v>Unique</v>
      </c>
    </row>
    <row r="81" spans="1:8" x14ac:dyDescent="0.35">
      <c r="A81" t="s">
        <v>57</v>
      </c>
      <c r="B81" t="s">
        <v>75</v>
      </c>
      <c r="C81" t="s">
        <v>11</v>
      </c>
      <c r="D81">
        <v>2</v>
      </c>
      <c r="E81">
        <v>2552</v>
      </c>
      <c r="F81" t="s">
        <v>9</v>
      </c>
      <c r="H81" t="str">
        <f t="shared" si="1"/>
        <v>Unique</v>
      </c>
    </row>
    <row r="82" spans="1:8" x14ac:dyDescent="0.35">
      <c r="A82" t="s">
        <v>50</v>
      </c>
      <c r="B82" t="s">
        <v>52</v>
      </c>
      <c r="C82" t="s">
        <v>11</v>
      </c>
      <c r="D82">
        <v>20</v>
      </c>
      <c r="E82">
        <v>917</v>
      </c>
      <c r="F82" t="s">
        <v>9</v>
      </c>
      <c r="H82" t="str">
        <f t="shared" si="1"/>
        <v>Unique</v>
      </c>
    </row>
    <row r="83" spans="1:8" x14ac:dyDescent="0.35">
      <c r="A83" t="s">
        <v>51</v>
      </c>
      <c r="B83" t="s">
        <v>47</v>
      </c>
      <c r="C83" t="s">
        <v>11</v>
      </c>
      <c r="D83">
        <v>5</v>
      </c>
      <c r="E83">
        <v>3888</v>
      </c>
      <c r="F83" t="s">
        <v>9</v>
      </c>
      <c r="H83" t="str">
        <f t="shared" si="1"/>
        <v>Unique</v>
      </c>
    </row>
    <row r="84" spans="1:8" x14ac:dyDescent="0.35">
      <c r="A84" t="s">
        <v>51</v>
      </c>
      <c r="B84" t="s">
        <v>47</v>
      </c>
      <c r="C84" t="s">
        <v>11</v>
      </c>
      <c r="D84">
        <v>5</v>
      </c>
      <c r="E84">
        <v>3938</v>
      </c>
      <c r="F84" t="s">
        <v>9</v>
      </c>
      <c r="H84" t="str">
        <f t="shared" si="1"/>
        <v>Unique</v>
      </c>
    </row>
    <row r="85" spans="1:8" x14ac:dyDescent="0.35">
      <c r="A85" t="s">
        <v>73</v>
      </c>
      <c r="B85" t="s">
        <v>76</v>
      </c>
      <c r="C85" t="s">
        <v>11</v>
      </c>
      <c r="D85">
        <v>2</v>
      </c>
      <c r="E85">
        <v>1060</v>
      </c>
      <c r="F85" t="s">
        <v>9</v>
      </c>
      <c r="H85" t="str">
        <f t="shared" si="1"/>
        <v>Unique</v>
      </c>
    </row>
    <row r="86" spans="1:8" x14ac:dyDescent="0.35">
      <c r="A86" t="s">
        <v>64</v>
      </c>
      <c r="B86" t="s">
        <v>77</v>
      </c>
      <c r="C86" t="s">
        <v>8</v>
      </c>
      <c r="D86">
        <v>5</v>
      </c>
      <c r="E86">
        <v>790</v>
      </c>
      <c r="F86" t="s">
        <v>9</v>
      </c>
      <c r="H86" t="str">
        <f t="shared" si="1"/>
        <v>Unique</v>
      </c>
    </row>
    <row r="87" spans="1:8" x14ac:dyDescent="0.35">
      <c r="A87" t="s">
        <v>73</v>
      </c>
      <c r="B87" t="s">
        <v>77</v>
      </c>
      <c r="C87" t="s">
        <v>11</v>
      </c>
      <c r="D87">
        <v>5</v>
      </c>
      <c r="E87">
        <v>726</v>
      </c>
      <c r="F87" t="s">
        <v>9</v>
      </c>
      <c r="H87" t="str">
        <f t="shared" si="1"/>
        <v>Unique</v>
      </c>
    </row>
    <row r="88" spans="1:8" x14ac:dyDescent="0.35">
      <c r="A88" t="s">
        <v>57</v>
      </c>
      <c r="B88" t="s">
        <v>70</v>
      </c>
      <c r="C88" t="s">
        <v>11</v>
      </c>
      <c r="D88">
        <v>5</v>
      </c>
      <c r="E88">
        <v>1131</v>
      </c>
      <c r="F88" t="s">
        <v>9</v>
      </c>
      <c r="H88" t="str">
        <f t="shared" si="1"/>
        <v>Unique</v>
      </c>
    </row>
    <row r="89" spans="1:8" x14ac:dyDescent="0.35">
      <c r="A89" t="s">
        <v>51</v>
      </c>
      <c r="B89" t="s">
        <v>70</v>
      </c>
      <c r="C89" t="s">
        <v>8</v>
      </c>
      <c r="D89">
        <v>10</v>
      </c>
      <c r="E89">
        <v>1221</v>
      </c>
      <c r="F89" t="s">
        <v>9</v>
      </c>
      <c r="H89" t="str">
        <f t="shared" si="1"/>
        <v>Unique</v>
      </c>
    </row>
    <row r="90" spans="1:8" x14ac:dyDescent="0.35">
      <c r="A90" t="s">
        <v>68</v>
      </c>
      <c r="B90" t="s">
        <v>78</v>
      </c>
      <c r="C90" t="s">
        <v>11</v>
      </c>
      <c r="D90">
        <v>1</v>
      </c>
      <c r="E90">
        <v>13552</v>
      </c>
      <c r="F90" t="s">
        <v>9</v>
      </c>
      <c r="H90" t="str">
        <f t="shared" si="1"/>
        <v>Unique</v>
      </c>
    </row>
    <row r="91" spans="1:8" x14ac:dyDescent="0.35">
      <c r="A91" t="s">
        <v>51</v>
      </c>
      <c r="B91" t="s">
        <v>61</v>
      </c>
      <c r="C91" t="s">
        <v>11</v>
      </c>
      <c r="D91">
        <v>200</v>
      </c>
      <c r="E91">
        <v>227.5</v>
      </c>
      <c r="F91" t="s">
        <v>9</v>
      </c>
      <c r="H91" t="str">
        <f t="shared" si="1"/>
        <v>Unique</v>
      </c>
    </row>
    <row r="92" spans="1:8" x14ac:dyDescent="0.35">
      <c r="A92" t="s">
        <v>50</v>
      </c>
      <c r="B92" t="s">
        <v>79</v>
      </c>
      <c r="C92" t="s">
        <v>11</v>
      </c>
      <c r="D92">
        <v>3</v>
      </c>
      <c r="E92">
        <v>1302</v>
      </c>
      <c r="F92" t="s">
        <v>9</v>
      </c>
      <c r="H92" t="str">
        <f t="shared" si="1"/>
        <v>Unique</v>
      </c>
    </row>
    <row r="93" spans="1:8" x14ac:dyDescent="0.35">
      <c r="A93" t="s">
        <v>54</v>
      </c>
      <c r="B93" t="s">
        <v>65</v>
      </c>
      <c r="C93" t="s">
        <v>8</v>
      </c>
      <c r="D93">
        <v>20</v>
      </c>
      <c r="E93">
        <v>896</v>
      </c>
      <c r="F93" t="s">
        <v>9</v>
      </c>
      <c r="H93" t="str">
        <f t="shared" si="1"/>
        <v>Unique</v>
      </c>
    </row>
    <row r="94" spans="1:8" x14ac:dyDescent="0.35">
      <c r="A94" t="s">
        <v>62</v>
      </c>
      <c r="B94" t="s">
        <v>80</v>
      </c>
      <c r="C94" t="s">
        <v>8</v>
      </c>
      <c r="D94">
        <v>11</v>
      </c>
      <c r="E94">
        <v>548</v>
      </c>
      <c r="F94" t="s">
        <v>9</v>
      </c>
      <c r="H94" t="str">
        <f t="shared" si="1"/>
        <v>Unique</v>
      </c>
    </row>
    <row r="95" spans="1:8" x14ac:dyDescent="0.35">
      <c r="A95" t="s">
        <v>57</v>
      </c>
      <c r="B95" t="s">
        <v>69</v>
      </c>
      <c r="C95" t="s">
        <v>8</v>
      </c>
      <c r="D95">
        <v>2</v>
      </c>
      <c r="E95">
        <v>2690</v>
      </c>
      <c r="F95" t="s">
        <v>9</v>
      </c>
      <c r="H95" t="str">
        <f t="shared" si="1"/>
        <v>Unique</v>
      </c>
    </row>
    <row r="96" spans="1:8" x14ac:dyDescent="0.35">
      <c r="A96" t="s">
        <v>51</v>
      </c>
      <c r="B96" t="s">
        <v>70</v>
      </c>
      <c r="C96" t="s">
        <v>8</v>
      </c>
      <c r="D96">
        <v>5</v>
      </c>
      <c r="E96">
        <v>1211</v>
      </c>
      <c r="F96" t="s">
        <v>9</v>
      </c>
      <c r="H96" t="str">
        <f t="shared" si="1"/>
        <v>Unique</v>
      </c>
    </row>
    <row r="97" spans="1:8" x14ac:dyDescent="0.35">
      <c r="A97" t="s">
        <v>73</v>
      </c>
      <c r="B97" t="s">
        <v>65</v>
      </c>
      <c r="C97" t="s">
        <v>8</v>
      </c>
      <c r="D97">
        <v>5</v>
      </c>
      <c r="E97">
        <v>886</v>
      </c>
      <c r="F97" t="s">
        <v>9</v>
      </c>
      <c r="H97" t="str">
        <f t="shared" si="1"/>
        <v>Unique</v>
      </c>
    </row>
    <row r="98" spans="1:8" x14ac:dyDescent="0.35">
      <c r="A98" t="s">
        <v>48</v>
      </c>
      <c r="B98" t="s">
        <v>49</v>
      </c>
      <c r="C98" t="s">
        <v>8</v>
      </c>
      <c r="D98">
        <v>1</v>
      </c>
      <c r="E98">
        <v>3710</v>
      </c>
      <c r="F98" t="s">
        <v>9</v>
      </c>
      <c r="H98" t="str">
        <f t="shared" si="1"/>
        <v>Unique</v>
      </c>
    </row>
    <row r="99" spans="1:8" x14ac:dyDescent="0.35">
      <c r="A99" t="s">
        <v>73</v>
      </c>
      <c r="B99" t="s">
        <v>58</v>
      </c>
      <c r="C99" t="s">
        <v>8</v>
      </c>
      <c r="D99">
        <v>10</v>
      </c>
      <c r="E99">
        <v>1298</v>
      </c>
      <c r="F99" t="s">
        <v>9</v>
      </c>
      <c r="H99" t="str">
        <f t="shared" si="1"/>
        <v>Unique</v>
      </c>
    </row>
    <row r="100" spans="1:8" x14ac:dyDescent="0.35">
      <c r="A100" t="s">
        <v>54</v>
      </c>
      <c r="B100" t="s">
        <v>55</v>
      </c>
      <c r="C100" t="s">
        <v>8</v>
      </c>
      <c r="D100">
        <v>10</v>
      </c>
      <c r="E100">
        <v>1056</v>
      </c>
      <c r="F100" t="s">
        <v>9</v>
      </c>
      <c r="H100" t="str">
        <f t="shared" si="1"/>
        <v>Unique</v>
      </c>
    </row>
    <row r="101" spans="1:8" x14ac:dyDescent="0.35">
      <c r="A101" t="s">
        <v>68</v>
      </c>
      <c r="B101" t="s">
        <v>72</v>
      </c>
      <c r="C101" t="s">
        <v>8</v>
      </c>
      <c r="D101">
        <v>200</v>
      </c>
      <c r="E101">
        <v>91.75</v>
      </c>
      <c r="F101" t="s">
        <v>9</v>
      </c>
      <c r="H101" t="str">
        <f t="shared" si="1"/>
        <v>Unique</v>
      </c>
    </row>
    <row r="102" spans="1:8" x14ac:dyDescent="0.35">
      <c r="A102" t="s">
        <v>73</v>
      </c>
      <c r="B102" t="s">
        <v>58</v>
      </c>
      <c r="C102" t="s">
        <v>8</v>
      </c>
      <c r="D102">
        <v>10</v>
      </c>
      <c r="E102">
        <v>1280</v>
      </c>
      <c r="F102" t="s">
        <v>9</v>
      </c>
      <c r="H102" t="str">
        <f t="shared" si="1"/>
        <v>Unique</v>
      </c>
    </row>
    <row r="103" spans="1:8" x14ac:dyDescent="0.35">
      <c r="A103" t="s">
        <v>60</v>
      </c>
      <c r="B103" t="s">
        <v>52</v>
      </c>
      <c r="C103" t="s">
        <v>8</v>
      </c>
      <c r="D103">
        <v>10</v>
      </c>
      <c r="E103">
        <v>997</v>
      </c>
      <c r="F103" t="s">
        <v>9</v>
      </c>
      <c r="H103" t="str">
        <f t="shared" si="1"/>
        <v>Unique</v>
      </c>
    </row>
    <row r="104" spans="1:8" x14ac:dyDescent="0.35">
      <c r="A104" t="s">
        <v>60</v>
      </c>
      <c r="B104" t="s">
        <v>52</v>
      </c>
      <c r="C104" t="s">
        <v>8</v>
      </c>
      <c r="D104">
        <v>10</v>
      </c>
      <c r="E104">
        <v>977</v>
      </c>
      <c r="F104" t="s">
        <v>9</v>
      </c>
      <c r="H104" t="str">
        <f t="shared" si="1"/>
        <v>Unique</v>
      </c>
    </row>
    <row r="105" spans="1:8" x14ac:dyDescent="0.35">
      <c r="A105" t="s">
        <v>64</v>
      </c>
      <c r="B105" t="s">
        <v>59</v>
      </c>
      <c r="C105" t="s">
        <v>8</v>
      </c>
      <c r="D105">
        <v>10</v>
      </c>
      <c r="E105">
        <v>1490</v>
      </c>
      <c r="F105" t="s">
        <v>9</v>
      </c>
      <c r="H105" t="str">
        <f t="shared" si="1"/>
        <v>Unique</v>
      </c>
    </row>
    <row r="106" spans="1:8" x14ac:dyDescent="0.35">
      <c r="A106" t="s">
        <v>68</v>
      </c>
      <c r="B106" t="s">
        <v>59</v>
      </c>
      <c r="C106" t="s">
        <v>8</v>
      </c>
      <c r="D106">
        <v>10</v>
      </c>
      <c r="E106">
        <v>1460</v>
      </c>
      <c r="F106" t="s">
        <v>9</v>
      </c>
      <c r="H106" t="str">
        <f t="shared" si="1"/>
        <v>Unique</v>
      </c>
    </row>
    <row r="107" spans="1:8" x14ac:dyDescent="0.35">
      <c r="A107" t="s">
        <v>60</v>
      </c>
      <c r="B107" t="s">
        <v>61</v>
      </c>
      <c r="C107" t="s">
        <v>8</v>
      </c>
      <c r="D107">
        <v>200</v>
      </c>
      <c r="E107">
        <v>244</v>
      </c>
      <c r="F107" t="s">
        <v>9</v>
      </c>
      <c r="H107" t="str">
        <f t="shared" si="1"/>
        <v>Unique</v>
      </c>
    </row>
    <row r="108" spans="1:8" x14ac:dyDescent="0.35">
      <c r="A108" t="s">
        <v>60</v>
      </c>
      <c r="B108" t="s">
        <v>61</v>
      </c>
      <c r="C108" t="s">
        <v>8</v>
      </c>
      <c r="D108">
        <v>200</v>
      </c>
      <c r="E108">
        <v>239</v>
      </c>
      <c r="F108" t="s">
        <v>9</v>
      </c>
      <c r="H108" t="str">
        <f t="shared" si="1"/>
        <v>Unique</v>
      </c>
    </row>
    <row r="109" spans="1:8" x14ac:dyDescent="0.35">
      <c r="A109" t="s">
        <v>60</v>
      </c>
      <c r="B109" t="s">
        <v>61</v>
      </c>
      <c r="C109" t="s">
        <v>8</v>
      </c>
      <c r="D109">
        <v>100</v>
      </c>
      <c r="E109">
        <v>238.2</v>
      </c>
      <c r="F109" t="s">
        <v>9</v>
      </c>
      <c r="H109" t="str">
        <f t="shared" si="1"/>
        <v>Unique</v>
      </c>
    </row>
    <row r="110" spans="1:8" x14ac:dyDescent="0.35">
      <c r="A110" t="s">
        <v>48</v>
      </c>
      <c r="B110" t="s">
        <v>81</v>
      </c>
      <c r="C110" t="s">
        <v>8</v>
      </c>
      <c r="D110">
        <v>50</v>
      </c>
      <c r="E110">
        <v>480</v>
      </c>
      <c r="F110" t="s">
        <v>9</v>
      </c>
      <c r="H110" t="str">
        <f t="shared" si="1"/>
        <v>Unique</v>
      </c>
    </row>
    <row r="111" spans="1:8" ht="15" thickBot="1" x14ac:dyDescent="0.4">
      <c r="A111" t="s">
        <v>57</v>
      </c>
      <c r="B111" t="s">
        <v>75</v>
      </c>
      <c r="C111" t="s">
        <v>8</v>
      </c>
      <c r="D111">
        <v>3</v>
      </c>
      <c r="E111">
        <v>2846</v>
      </c>
      <c r="F111" t="s">
        <v>9</v>
      </c>
      <c r="H111" t="str">
        <f t="shared" si="1"/>
        <v>Unique</v>
      </c>
    </row>
    <row r="112" spans="1:8" ht="58.5" thickBot="1" x14ac:dyDescent="0.4">
      <c r="A112" s="1" t="s">
        <v>0</v>
      </c>
      <c r="B112" s="1" t="s">
        <v>1</v>
      </c>
      <c r="C112" s="1" t="s">
        <v>2</v>
      </c>
      <c r="D112" s="1" t="s">
        <v>3</v>
      </c>
      <c r="E112" s="2" t="s">
        <v>4</v>
      </c>
      <c r="F112" s="1" t="s">
        <v>5</v>
      </c>
      <c r="H112" t="str">
        <f t="shared" si="1"/>
        <v>Duplicate</v>
      </c>
    </row>
    <row r="113" spans="1:8" ht="15" thickBot="1" x14ac:dyDescent="0.4">
      <c r="A113" s="3" t="s">
        <v>82</v>
      </c>
      <c r="B113" s="3" t="s">
        <v>47</v>
      </c>
      <c r="C113" s="3" t="s">
        <v>8</v>
      </c>
      <c r="D113" s="3">
        <v>10</v>
      </c>
      <c r="E113" s="4">
        <v>4048</v>
      </c>
      <c r="F113" s="3" t="s">
        <v>9</v>
      </c>
      <c r="H113" t="str">
        <f t="shared" si="1"/>
        <v>Unique</v>
      </c>
    </row>
    <row r="114" spans="1:8" ht="15" thickBot="1" x14ac:dyDescent="0.4">
      <c r="A114" s="3" t="s">
        <v>84</v>
      </c>
      <c r="B114" s="3" t="s">
        <v>52</v>
      </c>
      <c r="C114" s="3" t="s">
        <v>8</v>
      </c>
      <c r="D114" s="3">
        <v>10</v>
      </c>
      <c r="E114" s="4">
        <v>957</v>
      </c>
      <c r="F114" s="3" t="s">
        <v>9</v>
      </c>
      <c r="H114" t="str">
        <f t="shared" si="1"/>
        <v>Unique</v>
      </c>
    </row>
    <row r="115" spans="1:8" ht="29.5" thickBot="1" x14ac:dyDescent="0.4">
      <c r="A115" s="5">
        <v>46237.769108796296</v>
      </c>
      <c r="B115" s="1" t="s">
        <v>32</v>
      </c>
      <c r="C115" s="1" t="s">
        <v>8</v>
      </c>
      <c r="D115" s="6">
        <v>40</v>
      </c>
      <c r="E115" s="7">
        <v>444</v>
      </c>
      <c r="F115" s="1" t="s">
        <v>9</v>
      </c>
      <c r="H115" t="str">
        <f t="shared" si="1"/>
        <v>Unique</v>
      </c>
    </row>
    <row r="116" spans="1:8" ht="15" thickBot="1" x14ac:dyDescent="0.4">
      <c r="A116" s="3" t="s">
        <v>87</v>
      </c>
      <c r="B116" s="3" t="s">
        <v>70</v>
      </c>
      <c r="C116" s="3" t="s">
        <v>8</v>
      </c>
      <c r="D116" s="3">
        <v>15</v>
      </c>
      <c r="E116" s="4">
        <v>1186</v>
      </c>
      <c r="F116" s="3" t="s">
        <v>9</v>
      </c>
      <c r="H116" t="str">
        <f t="shared" si="1"/>
        <v>Unique</v>
      </c>
    </row>
    <row r="117" spans="1:8" ht="29.5" thickBot="1" x14ac:dyDescent="0.4">
      <c r="A117" s="5">
        <v>46234.687488425923</v>
      </c>
      <c r="B117" s="1" t="s">
        <v>32</v>
      </c>
      <c r="C117" s="1" t="s">
        <v>8</v>
      </c>
      <c r="D117" s="6">
        <v>40</v>
      </c>
      <c r="E117" s="7">
        <v>448</v>
      </c>
      <c r="F117" s="1" t="s">
        <v>9</v>
      </c>
      <c r="H117" t="str">
        <f t="shared" si="1"/>
        <v>Unique</v>
      </c>
    </row>
    <row r="118" spans="1:8" ht="15" thickBot="1" x14ac:dyDescent="0.4">
      <c r="A118" s="5">
        <v>46237.769016203703</v>
      </c>
      <c r="B118" s="1" t="s">
        <v>31</v>
      </c>
      <c r="C118" s="1" t="s">
        <v>8</v>
      </c>
      <c r="D118" s="6">
        <v>150</v>
      </c>
      <c r="E118" s="7">
        <v>134.80000000000001</v>
      </c>
      <c r="F118" s="1" t="s">
        <v>9</v>
      </c>
      <c r="H118" t="str">
        <f t="shared" si="1"/>
        <v>Unique</v>
      </c>
    </row>
    <row r="119" spans="1:8" ht="29.5" thickBot="1" x14ac:dyDescent="0.4">
      <c r="A119" s="5">
        <v>46237.690567129626</v>
      </c>
      <c r="B119" s="1" t="s">
        <v>25</v>
      </c>
      <c r="C119" s="1" t="s">
        <v>8</v>
      </c>
      <c r="D119" s="6">
        <v>2</v>
      </c>
      <c r="E119" s="7">
        <v>4720</v>
      </c>
      <c r="F119" s="1" t="s">
        <v>9</v>
      </c>
      <c r="H119" t="str">
        <f t="shared" si="1"/>
        <v>Unique</v>
      </c>
    </row>
    <row r="120" spans="1:8" ht="15" thickBot="1" x14ac:dyDescent="0.4">
      <c r="A120" s="5">
        <v>46237.690532407411</v>
      </c>
      <c r="B120" s="1" t="s">
        <v>10</v>
      </c>
      <c r="C120" s="1" t="s">
        <v>8</v>
      </c>
      <c r="D120" s="6">
        <v>10</v>
      </c>
      <c r="E120" s="7">
        <v>2690</v>
      </c>
      <c r="F120" s="1" t="s">
        <v>9</v>
      </c>
      <c r="H120" t="str">
        <f t="shared" si="1"/>
        <v>Unique</v>
      </c>
    </row>
    <row r="121" spans="1:8" ht="29.5" thickBot="1" x14ac:dyDescent="0.4">
      <c r="A121" s="5">
        <v>46237.769108796296</v>
      </c>
      <c r="B121" s="1" t="s">
        <v>92</v>
      </c>
      <c r="C121" s="1" t="s">
        <v>8</v>
      </c>
      <c r="D121" s="6">
        <v>1</v>
      </c>
      <c r="E121" s="7">
        <v>2396</v>
      </c>
      <c r="F121" s="1" t="s">
        <v>9</v>
      </c>
      <c r="H121" t="str">
        <f t="shared" si="1"/>
        <v>Unique</v>
      </c>
    </row>
    <row r="122" spans="1:8" ht="15" thickBot="1" x14ac:dyDescent="0.4">
      <c r="A122" s="5">
        <v>46234.687523148146</v>
      </c>
      <c r="B122" s="1" t="s">
        <v>56</v>
      </c>
      <c r="C122" s="1" t="s">
        <v>8</v>
      </c>
      <c r="D122" s="6">
        <v>20</v>
      </c>
      <c r="E122" s="7">
        <v>836</v>
      </c>
      <c r="F122" s="1" t="s">
        <v>9</v>
      </c>
      <c r="H122" t="str">
        <f t="shared" si="1"/>
        <v>Duplicate</v>
      </c>
    </row>
    <row r="123" spans="1:8" ht="15" thickBot="1" x14ac:dyDescent="0.4">
      <c r="A123" s="3" t="s">
        <v>90</v>
      </c>
      <c r="B123" s="3" t="s">
        <v>56</v>
      </c>
      <c r="C123" s="3" t="s">
        <v>8</v>
      </c>
      <c r="D123" s="3">
        <v>20</v>
      </c>
      <c r="E123" s="4">
        <v>836</v>
      </c>
      <c r="F123" s="3" t="s">
        <v>9</v>
      </c>
      <c r="H123" t="str">
        <f t="shared" si="1"/>
        <v>Duplicate</v>
      </c>
    </row>
    <row r="124" spans="1:8" ht="29.5" thickBot="1" x14ac:dyDescent="0.4">
      <c r="A124" s="10">
        <v>46233.688344907408</v>
      </c>
      <c r="B124" s="11" t="s">
        <v>65</v>
      </c>
      <c r="C124" s="2" t="s">
        <v>8</v>
      </c>
      <c r="D124" s="7">
        <v>45</v>
      </c>
      <c r="E124" s="9">
        <v>896</v>
      </c>
      <c r="F124" s="1" t="s">
        <v>9</v>
      </c>
      <c r="H124" t="str">
        <f t="shared" si="1"/>
        <v>Duplicate</v>
      </c>
    </row>
    <row r="125" spans="1:8" ht="15" thickBot="1" x14ac:dyDescent="0.4">
      <c r="A125" s="3" t="s">
        <v>90</v>
      </c>
      <c r="B125" s="3" t="s">
        <v>65</v>
      </c>
      <c r="C125" s="3" t="s">
        <v>8</v>
      </c>
      <c r="D125" s="3">
        <v>45</v>
      </c>
      <c r="E125" s="4">
        <v>896</v>
      </c>
      <c r="F125" s="3" t="s">
        <v>9</v>
      </c>
      <c r="H125" t="str">
        <f t="shared" si="1"/>
        <v>Duplicate</v>
      </c>
    </row>
    <row r="126" spans="1:8" ht="29.5" thickBot="1" x14ac:dyDescent="0.4">
      <c r="A126" s="5">
        <v>46233.688391203701</v>
      </c>
      <c r="B126" s="8" t="s">
        <v>69</v>
      </c>
      <c r="C126" s="1" t="s">
        <v>8</v>
      </c>
      <c r="D126" s="6">
        <v>3</v>
      </c>
      <c r="E126" s="9">
        <v>2710</v>
      </c>
      <c r="F126" s="1" t="s">
        <v>9</v>
      </c>
      <c r="H126" t="str">
        <f t="shared" si="1"/>
        <v>Duplicate</v>
      </c>
    </row>
    <row r="127" spans="1:8" ht="15" thickBot="1" x14ac:dyDescent="0.4">
      <c r="A127" s="3" t="s">
        <v>91</v>
      </c>
      <c r="B127" s="3" t="s">
        <v>69</v>
      </c>
      <c r="C127" s="3" t="s">
        <v>8</v>
      </c>
      <c r="D127" s="3">
        <v>3</v>
      </c>
      <c r="E127" s="4">
        <v>2710</v>
      </c>
      <c r="F127" s="3" t="s">
        <v>9</v>
      </c>
      <c r="H127" t="str">
        <f t="shared" si="1"/>
        <v>Duplicate</v>
      </c>
    </row>
    <row r="128" spans="1:8" ht="15" thickBot="1" x14ac:dyDescent="0.4">
      <c r="A128" s="5">
        <v>46237.690532407411</v>
      </c>
      <c r="B128" s="1" t="s">
        <v>10</v>
      </c>
      <c r="C128" s="1" t="s">
        <v>8</v>
      </c>
      <c r="D128" s="6">
        <v>10</v>
      </c>
      <c r="E128" s="7">
        <v>2720</v>
      </c>
      <c r="F128" s="1" t="s">
        <v>9</v>
      </c>
      <c r="H128" t="str">
        <f t="shared" si="1"/>
        <v>Unique</v>
      </c>
    </row>
    <row r="129" spans="1:8" ht="29.5" thickBot="1" x14ac:dyDescent="0.4">
      <c r="A129" s="5">
        <v>46237.769108796296</v>
      </c>
      <c r="B129" s="1" t="s">
        <v>36</v>
      </c>
      <c r="C129" s="1" t="s">
        <v>8</v>
      </c>
      <c r="D129" s="6">
        <v>50</v>
      </c>
      <c r="E129" s="7">
        <v>218</v>
      </c>
      <c r="F129" s="1" t="s">
        <v>9</v>
      </c>
      <c r="H129" t="str">
        <f t="shared" si="1"/>
        <v>Unique</v>
      </c>
    </row>
    <row r="130" spans="1:8" ht="29.5" thickBot="1" x14ac:dyDescent="0.4">
      <c r="A130" s="5">
        <v>46237.769108796296</v>
      </c>
      <c r="B130" s="1" t="s">
        <v>44</v>
      </c>
      <c r="C130" s="1" t="s">
        <v>8</v>
      </c>
      <c r="D130" s="6">
        <v>30</v>
      </c>
      <c r="E130" s="7">
        <v>974</v>
      </c>
      <c r="F130" s="1" t="s">
        <v>9</v>
      </c>
      <c r="H130" t="str">
        <f t="shared" si="1"/>
        <v>Unique</v>
      </c>
    </row>
    <row r="131" spans="1:8" ht="29.5" thickBot="1" x14ac:dyDescent="0.4">
      <c r="A131" s="5">
        <v>46237.769108796296</v>
      </c>
      <c r="B131" s="1" t="s">
        <v>94</v>
      </c>
      <c r="C131" s="1" t="s">
        <v>8</v>
      </c>
      <c r="D131" s="6">
        <v>5</v>
      </c>
      <c r="E131" s="7">
        <v>469</v>
      </c>
      <c r="F131" s="1" t="s">
        <v>9</v>
      </c>
      <c r="H131" t="str">
        <f t="shared" ref="H131:H194" si="2">IF(COUNTIFS( $B$2:$B$1000, B131, $C$2:$C$1000, C131, $D$2:$D$1000, D131, $E$2:$E$1000, E131) &gt; 1, "Duplicate", "Unique")</f>
        <v>Unique</v>
      </c>
    </row>
    <row r="132" spans="1:8" ht="15" thickBot="1" x14ac:dyDescent="0.4">
      <c r="A132" s="5">
        <v>46234.687638888892</v>
      </c>
      <c r="B132" s="1" t="s">
        <v>49</v>
      </c>
      <c r="C132" s="1" t="s">
        <v>8</v>
      </c>
      <c r="D132" s="6">
        <v>1</v>
      </c>
      <c r="E132" s="7">
        <v>3804</v>
      </c>
      <c r="F132" s="1" t="s">
        <v>9</v>
      </c>
      <c r="H132" t="str">
        <f t="shared" si="2"/>
        <v>Duplicate</v>
      </c>
    </row>
    <row r="133" spans="1:8" ht="15" thickBot="1" x14ac:dyDescent="0.4">
      <c r="A133" s="3" t="s">
        <v>90</v>
      </c>
      <c r="B133" s="3" t="s">
        <v>49</v>
      </c>
      <c r="C133" s="3" t="s">
        <v>8</v>
      </c>
      <c r="D133" s="3">
        <v>1</v>
      </c>
      <c r="E133" s="4">
        <v>3804</v>
      </c>
      <c r="F133" s="3" t="s">
        <v>9</v>
      </c>
      <c r="H133" t="str">
        <f t="shared" si="2"/>
        <v>Duplicate</v>
      </c>
    </row>
    <row r="134" spans="1:8" ht="29.5" thickBot="1" x14ac:dyDescent="0.4">
      <c r="A134" s="5">
        <v>46233.688310185185</v>
      </c>
      <c r="B134" s="8" t="s">
        <v>32</v>
      </c>
      <c r="C134" s="1" t="s">
        <v>8</v>
      </c>
      <c r="D134" s="6">
        <v>5</v>
      </c>
      <c r="E134" s="9">
        <v>467.25</v>
      </c>
      <c r="F134" s="1" t="s">
        <v>9</v>
      </c>
      <c r="H134" t="str">
        <f t="shared" si="2"/>
        <v>Unique</v>
      </c>
    </row>
    <row r="135" spans="1:8" ht="15" thickBot="1" x14ac:dyDescent="0.4">
      <c r="A135" s="5">
        <v>46237.690532407411</v>
      </c>
      <c r="B135" s="1" t="s">
        <v>10</v>
      </c>
      <c r="C135" s="1" t="s">
        <v>8</v>
      </c>
      <c r="D135" s="6">
        <v>10</v>
      </c>
      <c r="E135" s="7">
        <v>2770</v>
      </c>
      <c r="F135" s="1" t="s">
        <v>9</v>
      </c>
      <c r="H135" t="str">
        <f t="shared" si="2"/>
        <v>Unique</v>
      </c>
    </row>
    <row r="136" spans="1:8" ht="29.5" thickBot="1" x14ac:dyDescent="0.4">
      <c r="A136" s="5">
        <v>46234.687476851854</v>
      </c>
      <c r="B136" s="1" t="s">
        <v>35</v>
      </c>
      <c r="C136" s="1" t="s">
        <v>8</v>
      </c>
      <c r="D136" s="6">
        <v>100</v>
      </c>
      <c r="E136" s="7">
        <v>314</v>
      </c>
      <c r="F136" s="1" t="s">
        <v>9</v>
      </c>
      <c r="H136" t="str">
        <f t="shared" si="2"/>
        <v>Unique</v>
      </c>
    </row>
    <row r="137" spans="1:8" ht="15" thickBot="1" x14ac:dyDescent="0.4">
      <c r="A137" s="5">
        <v>46233.688460648147</v>
      </c>
      <c r="B137" s="8" t="s">
        <v>79</v>
      </c>
      <c r="C137" s="1" t="s">
        <v>8</v>
      </c>
      <c r="D137" s="6">
        <v>7</v>
      </c>
      <c r="E137" s="9">
        <v>1424</v>
      </c>
      <c r="F137" s="1" t="s">
        <v>9</v>
      </c>
      <c r="H137" t="str">
        <f t="shared" si="2"/>
        <v>Duplicate</v>
      </c>
    </row>
    <row r="138" spans="1:8" ht="15" thickBot="1" x14ac:dyDescent="0.4">
      <c r="A138" s="3" t="s">
        <v>90</v>
      </c>
      <c r="B138" s="3" t="s">
        <v>79</v>
      </c>
      <c r="C138" s="3" t="s">
        <v>8</v>
      </c>
      <c r="D138" s="3">
        <v>7</v>
      </c>
      <c r="E138" s="4">
        <v>1424</v>
      </c>
      <c r="F138" s="3" t="s">
        <v>9</v>
      </c>
      <c r="H138" t="str">
        <f t="shared" si="2"/>
        <v>Duplicate</v>
      </c>
    </row>
    <row r="139" spans="1:8" ht="29.5" thickBot="1" x14ac:dyDescent="0.4">
      <c r="A139" s="5">
        <v>46237.769062500003</v>
      </c>
      <c r="B139" s="1" t="s">
        <v>28</v>
      </c>
      <c r="C139" s="1" t="s">
        <v>8</v>
      </c>
      <c r="D139" s="6">
        <v>25</v>
      </c>
      <c r="E139" s="7">
        <v>214</v>
      </c>
      <c r="F139" s="1" t="s">
        <v>9</v>
      </c>
      <c r="H139" t="str">
        <f t="shared" si="2"/>
        <v>Unique</v>
      </c>
    </row>
    <row r="140" spans="1:8" ht="29.5" thickBot="1" x14ac:dyDescent="0.4">
      <c r="A140" s="5">
        <v>46233.688530092593</v>
      </c>
      <c r="B140" s="8" t="s">
        <v>44</v>
      </c>
      <c r="C140" s="1" t="s">
        <v>8</v>
      </c>
      <c r="D140" s="6">
        <v>40</v>
      </c>
      <c r="E140" s="9">
        <v>996</v>
      </c>
      <c r="F140" s="1" t="s">
        <v>9</v>
      </c>
      <c r="H140" t="str">
        <f t="shared" si="2"/>
        <v>Unique</v>
      </c>
    </row>
    <row r="141" spans="1:8" ht="29.5" thickBot="1" x14ac:dyDescent="0.4">
      <c r="A141" s="5">
        <v>46233.688402777778</v>
      </c>
      <c r="B141" s="8" t="s">
        <v>52</v>
      </c>
      <c r="C141" s="1" t="s">
        <v>8</v>
      </c>
      <c r="D141" s="6">
        <v>10</v>
      </c>
      <c r="E141" s="9">
        <v>1024</v>
      </c>
      <c r="F141" s="1" t="s">
        <v>9</v>
      </c>
      <c r="H141" t="str">
        <f t="shared" si="2"/>
        <v>Duplicate</v>
      </c>
    </row>
    <row r="142" spans="1:8" ht="15" thickBot="1" x14ac:dyDescent="0.4">
      <c r="A142" s="3" t="s">
        <v>89</v>
      </c>
      <c r="B142" s="3" t="s">
        <v>52</v>
      </c>
      <c r="C142" s="3" t="s">
        <v>8</v>
      </c>
      <c r="D142" s="3">
        <v>10</v>
      </c>
      <c r="E142" s="4">
        <v>1024</v>
      </c>
      <c r="F142" s="3" t="s">
        <v>9</v>
      </c>
      <c r="H142" t="str">
        <f t="shared" si="2"/>
        <v>Duplicate</v>
      </c>
    </row>
    <row r="143" spans="1:8" ht="29.5" thickBot="1" x14ac:dyDescent="0.4">
      <c r="A143" s="5">
        <v>46237.690555555557</v>
      </c>
      <c r="B143" s="1" t="s">
        <v>92</v>
      </c>
      <c r="C143" s="1" t="s">
        <v>8</v>
      </c>
      <c r="D143" s="6">
        <v>1</v>
      </c>
      <c r="E143" s="7">
        <v>2496</v>
      </c>
      <c r="F143" s="1" t="s">
        <v>9</v>
      </c>
      <c r="H143" t="str">
        <f t="shared" si="2"/>
        <v>Unique</v>
      </c>
    </row>
    <row r="144" spans="1:8" ht="29.5" thickBot="1" x14ac:dyDescent="0.4">
      <c r="A144" s="5">
        <v>46233.688460648147</v>
      </c>
      <c r="B144" s="8" t="s">
        <v>7</v>
      </c>
      <c r="C144" s="1" t="s">
        <v>8</v>
      </c>
      <c r="D144" s="6">
        <v>40</v>
      </c>
      <c r="E144" s="9">
        <v>229</v>
      </c>
      <c r="F144" s="1" t="s">
        <v>9</v>
      </c>
      <c r="H144" t="str">
        <f t="shared" si="2"/>
        <v>Unique</v>
      </c>
    </row>
    <row r="145" spans="1:8" ht="15" thickBot="1" x14ac:dyDescent="0.4">
      <c r="A145" s="5">
        <v>46233.688344907408</v>
      </c>
      <c r="B145" s="8" t="s">
        <v>95</v>
      </c>
      <c r="C145" s="1" t="s">
        <v>8</v>
      </c>
      <c r="D145" s="6">
        <v>20</v>
      </c>
      <c r="E145" s="9">
        <v>424</v>
      </c>
      <c r="F145" s="1" t="s">
        <v>9</v>
      </c>
      <c r="H145" t="str">
        <f t="shared" si="2"/>
        <v>Unique</v>
      </c>
    </row>
    <row r="146" spans="1:8" ht="29.5" thickBot="1" x14ac:dyDescent="0.4">
      <c r="A146" s="5">
        <v>46234.687476851854</v>
      </c>
      <c r="B146" s="1" t="s">
        <v>35</v>
      </c>
      <c r="C146" s="1" t="s">
        <v>8</v>
      </c>
      <c r="D146" s="6">
        <v>100</v>
      </c>
      <c r="E146" s="7">
        <v>319</v>
      </c>
      <c r="F146" s="1" t="s">
        <v>9</v>
      </c>
      <c r="H146" t="str">
        <f t="shared" si="2"/>
        <v>Unique</v>
      </c>
    </row>
    <row r="147" spans="1:8" ht="29.5" thickBot="1" x14ac:dyDescent="0.4">
      <c r="A147" s="5">
        <v>46234.687476851854</v>
      </c>
      <c r="B147" s="1" t="s">
        <v>35</v>
      </c>
      <c r="C147" s="1" t="s">
        <v>8</v>
      </c>
      <c r="D147" s="6">
        <v>150</v>
      </c>
      <c r="E147" s="7">
        <v>323</v>
      </c>
      <c r="F147" s="1" t="s">
        <v>9</v>
      </c>
      <c r="H147" t="str">
        <f t="shared" si="2"/>
        <v>Unique</v>
      </c>
    </row>
    <row r="148" spans="1:8" ht="15" thickBot="1" x14ac:dyDescent="0.4">
      <c r="A148" s="5">
        <v>46234.687673611108</v>
      </c>
      <c r="B148" s="1" t="s">
        <v>81</v>
      </c>
      <c r="C148" s="1" t="s">
        <v>8</v>
      </c>
      <c r="D148" s="6">
        <v>35</v>
      </c>
      <c r="E148" s="7">
        <v>494</v>
      </c>
      <c r="F148" s="1" t="s">
        <v>9</v>
      </c>
      <c r="H148" t="str">
        <f t="shared" si="2"/>
        <v>Unique</v>
      </c>
    </row>
    <row r="149" spans="1:8" ht="29.5" thickBot="1" x14ac:dyDescent="0.4">
      <c r="A149" s="5">
        <v>46237.769108796296</v>
      </c>
      <c r="B149" s="1" t="s">
        <v>34</v>
      </c>
      <c r="C149" s="1" t="s">
        <v>8</v>
      </c>
      <c r="D149" s="6">
        <v>5</v>
      </c>
      <c r="E149" s="7">
        <v>435</v>
      </c>
      <c r="F149" s="1" t="s">
        <v>9</v>
      </c>
      <c r="H149" t="str">
        <f t="shared" si="2"/>
        <v>Unique</v>
      </c>
    </row>
    <row r="150" spans="1:8" ht="29.5" thickBot="1" x14ac:dyDescent="0.4">
      <c r="A150" s="5">
        <v>46237.690613425926</v>
      </c>
      <c r="B150" s="1" t="s">
        <v>7</v>
      </c>
      <c r="C150" s="1" t="s">
        <v>11</v>
      </c>
      <c r="D150" s="6">
        <v>100</v>
      </c>
      <c r="E150" s="6">
        <v>208</v>
      </c>
      <c r="F150" s="1" t="s">
        <v>9</v>
      </c>
      <c r="H150" t="str">
        <f t="shared" si="2"/>
        <v>Unique</v>
      </c>
    </row>
    <row r="151" spans="1:8" ht="15" thickBot="1" x14ac:dyDescent="0.4">
      <c r="A151" s="5">
        <v>46237.769120370373</v>
      </c>
      <c r="B151" s="1" t="s">
        <v>10</v>
      </c>
      <c r="C151" s="1" t="s">
        <v>11</v>
      </c>
      <c r="D151" s="6">
        <v>10</v>
      </c>
      <c r="E151" s="6">
        <v>2553</v>
      </c>
      <c r="F151" s="1" t="s">
        <v>9</v>
      </c>
      <c r="H151" t="str">
        <f t="shared" si="2"/>
        <v>Unique</v>
      </c>
    </row>
    <row r="152" spans="1:8" ht="15" thickBot="1" x14ac:dyDescent="0.4">
      <c r="A152" s="3" t="s">
        <v>93</v>
      </c>
      <c r="B152" s="3" t="s">
        <v>72</v>
      </c>
      <c r="C152" s="3" t="s">
        <v>11</v>
      </c>
      <c r="D152" s="3">
        <v>200</v>
      </c>
      <c r="E152" s="3">
        <v>88.85</v>
      </c>
      <c r="F152" s="3" t="s">
        <v>9</v>
      </c>
      <c r="H152" t="str">
        <f t="shared" si="2"/>
        <v>Unique</v>
      </c>
    </row>
    <row r="153" spans="1:8" ht="15" thickBot="1" x14ac:dyDescent="0.4">
      <c r="A153" s="3" t="s">
        <v>93</v>
      </c>
      <c r="B153" s="3" t="s">
        <v>63</v>
      </c>
      <c r="C153" s="3" t="s">
        <v>11</v>
      </c>
      <c r="D153" s="3">
        <v>150</v>
      </c>
      <c r="E153" s="3">
        <v>120.45</v>
      </c>
      <c r="F153" s="3" t="s">
        <v>9</v>
      </c>
      <c r="H153" t="str">
        <f t="shared" si="2"/>
        <v>Unique</v>
      </c>
    </row>
    <row r="154" spans="1:8" ht="15" thickBot="1" x14ac:dyDescent="0.4">
      <c r="A154" s="3" t="s">
        <v>83</v>
      </c>
      <c r="B154" s="3" t="s">
        <v>75</v>
      </c>
      <c r="C154" s="3" t="s">
        <v>11</v>
      </c>
      <c r="D154" s="3">
        <v>2</v>
      </c>
      <c r="E154" s="3">
        <v>2560</v>
      </c>
      <c r="F154" s="3" t="s">
        <v>9</v>
      </c>
      <c r="H154" t="str">
        <f t="shared" si="2"/>
        <v>Unique</v>
      </c>
    </row>
    <row r="155" spans="1:8" ht="15" thickBot="1" x14ac:dyDescent="0.4">
      <c r="A155" s="5">
        <v>46237.690532407411</v>
      </c>
      <c r="B155" s="1" t="s">
        <v>10</v>
      </c>
      <c r="C155" s="1" t="s">
        <v>11</v>
      </c>
      <c r="D155" s="6">
        <v>5</v>
      </c>
      <c r="E155" s="6">
        <v>2506</v>
      </c>
      <c r="F155" s="1" t="s">
        <v>9</v>
      </c>
      <c r="H155" t="str">
        <f t="shared" si="2"/>
        <v>Unique</v>
      </c>
    </row>
    <row r="156" spans="1:8" ht="15" thickBot="1" x14ac:dyDescent="0.4">
      <c r="A156" s="5">
        <v>46233.688402777778</v>
      </c>
      <c r="B156" s="1" t="s">
        <v>10</v>
      </c>
      <c r="C156" s="1" t="s">
        <v>11</v>
      </c>
      <c r="D156" s="6">
        <v>5</v>
      </c>
      <c r="E156" s="6">
        <v>2502</v>
      </c>
      <c r="F156" s="1" t="s">
        <v>9</v>
      </c>
      <c r="H156" t="str">
        <f t="shared" si="2"/>
        <v>Unique</v>
      </c>
    </row>
    <row r="157" spans="1:8" ht="15" thickBot="1" x14ac:dyDescent="0.4">
      <c r="A157" s="5">
        <v>46234.687557870369</v>
      </c>
      <c r="B157" s="1" t="s">
        <v>72</v>
      </c>
      <c r="C157" s="1" t="s">
        <v>11</v>
      </c>
      <c r="D157" s="6">
        <v>100</v>
      </c>
      <c r="E157" s="6">
        <v>87.3</v>
      </c>
      <c r="F157" s="1" t="s">
        <v>9</v>
      </c>
      <c r="H157" t="str">
        <f t="shared" si="2"/>
        <v>Duplicate</v>
      </c>
    </row>
    <row r="158" spans="1:8" ht="15" thickBot="1" x14ac:dyDescent="0.4">
      <c r="A158" s="3" t="s">
        <v>93</v>
      </c>
      <c r="B158" s="3" t="s">
        <v>72</v>
      </c>
      <c r="C158" s="3" t="s">
        <v>11</v>
      </c>
      <c r="D158" s="3">
        <v>100</v>
      </c>
      <c r="E158" s="3">
        <v>87.3</v>
      </c>
      <c r="F158" s="3" t="s">
        <v>9</v>
      </c>
      <c r="H158" t="str">
        <f t="shared" si="2"/>
        <v>Duplicate</v>
      </c>
    </row>
    <row r="159" spans="1:8" ht="15" thickBot="1" x14ac:dyDescent="0.4">
      <c r="A159" s="3" t="s">
        <v>99</v>
      </c>
      <c r="B159" s="3" t="s">
        <v>47</v>
      </c>
      <c r="C159" s="3" t="s">
        <v>11</v>
      </c>
      <c r="D159" s="3">
        <v>2</v>
      </c>
      <c r="E159" s="3">
        <v>3856</v>
      </c>
      <c r="F159" s="3" t="s">
        <v>9</v>
      </c>
      <c r="H159" t="str">
        <f t="shared" si="2"/>
        <v>Unique</v>
      </c>
    </row>
    <row r="160" spans="1:8" ht="15" thickBot="1" x14ac:dyDescent="0.4">
      <c r="A160" s="5">
        <v>46237.768935185188</v>
      </c>
      <c r="B160" s="1" t="s">
        <v>40</v>
      </c>
      <c r="C160" s="1" t="s">
        <v>11</v>
      </c>
      <c r="D160" s="6">
        <v>50</v>
      </c>
      <c r="E160" s="6">
        <v>352</v>
      </c>
      <c r="F160" s="1" t="s">
        <v>9</v>
      </c>
      <c r="H160" t="str">
        <f t="shared" si="2"/>
        <v>Unique</v>
      </c>
    </row>
    <row r="161" spans="1:8" x14ac:dyDescent="0.35">
      <c r="A161" s="12">
        <v>46234.687581018516</v>
      </c>
      <c r="B161" s="13" t="s">
        <v>47</v>
      </c>
      <c r="C161" s="13" t="s">
        <v>11</v>
      </c>
      <c r="D161" s="14">
        <v>2</v>
      </c>
      <c r="E161" s="14">
        <v>3830</v>
      </c>
      <c r="F161" s="13" t="s">
        <v>9</v>
      </c>
      <c r="H161" t="str">
        <f t="shared" si="2"/>
        <v>Duplicate</v>
      </c>
    </row>
    <row r="162" spans="1:8" x14ac:dyDescent="0.35">
      <c r="A162" t="s">
        <v>99</v>
      </c>
      <c r="B162" t="s">
        <v>47</v>
      </c>
      <c r="C162" t="s">
        <v>11</v>
      </c>
      <c r="D162">
        <v>2</v>
      </c>
      <c r="E162">
        <v>3830</v>
      </c>
      <c r="F162" t="s">
        <v>9</v>
      </c>
      <c r="H162" t="str">
        <f t="shared" si="2"/>
        <v>Duplicate</v>
      </c>
    </row>
    <row r="163" spans="1:8" ht="29" x14ac:dyDescent="0.35">
      <c r="A163" s="12">
        <v>46234.687534722223</v>
      </c>
      <c r="B163" s="13" t="s">
        <v>77</v>
      </c>
      <c r="C163" s="13" t="s">
        <v>11</v>
      </c>
      <c r="D163" s="14">
        <v>5</v>
      </c>
      <c r="E163" s="14">
        <v>712</v>
      </c>
      <c r="F163" s="13" t="s">
        <v>9</v>
      </c>
      <c r="H163" t="str">
        <f t="shared" si="2"/>
        <v>Duplicate</v>
      </c>
    </row>
    <row r="164" spans="1:8" x14ac:dyDescent="0.35">
      <c r="A164" t="s">
        <v>90</v>
      </c>
      <c r="B164" t="s">
        <v>77</v>
      </c>
      <c r="C164" t="s">
        <v>11</v>
      </c>
      <c r="D164">
        <v>5</v>
      </c>
      <c r="E164">
        <v>712</v>
      </c>
      <c r="F164" t="s">
        <v>9</v>
      </c>
      <c r="H164" t="str">
        <f t="shared" si="2"/>
        <v>Duplicate</v>
      </c>
    </row>
    <row r="165" spans="1:8" x14ac:dyDescent="0.35">
      <c r="A165" s="12">
        <v>46233.688402777778</v>
      </c>
      <c r="B165" s="13" t="s">
        <v>47</v>
      </c>
      <c r="C165" s="13" t="s">
        <v>11</v>
      </c>
      <c r="D165" s="14">
        <v>3</v>
      </c>
      <c r="E165" s="14">
        <v>3810</v>
      </c>
      <c r="F165" s="13" t="s">
        <v>9</v>
      </c>
      <c r="H165" t="str">
        <f t="shared" si="2"/>
        <v>Unique</v>
      </c>
    </row>
    <row r="166" spans="1:8" x14ac:dyDescent="0.35">
      <c r="A166" s="12">
        <v>46234.687581018516</v>
      </c>
      <c r="B166" s="13" t="s">
        <v>10</v>
      </c>
      <c r="C166" s="13" t="s">
        <v>11</v>
      </c>
      <c r="D166" s="14">
        <v>10</v>
      </c>
      <c r="E166" s="14">
        <v>2460</v>
      </c>
      <c r="F166" s="13" t="s">
        <v>9</v>
      </c>
      <c r="H166" t="str">
        <f t="shared" si="2"/>
        <v>Unique</v>
      </c>
    </row>
    <row r="167" spans="1:8" x14ac:dyDescent="0.35">
      <c r="A167" s="12">
        <v>46234.687476851854</v>
      </c>
      <c r="B167" s="13" t="s">
        <v>53</v>
      </c>
      <c r="C167" s="13" t="s">
        <v>11</v>
      </c>
      <c r="D167" s="14">
        <v>5</v>
      </c>
      <c r="E167" s="14">
        <v>2888</v>
      </c>
      <c r="F167" s="13" t="s">
        <v>9</v>
      </c>
      <c r="H167" t="str">
        <f t="shared" si="2"/>
        <v>Duplicate</v>
      </c>
    </row>
    <row r="168" spans="1:8" x14ac:dyDescent="0.35">
      <c r="A168" t="s">
        <v>100</v>
      </c>
      <c r="B168" t="s">
        <v>53</v>
      </c>
      <c r="C168" t="s">
        <v>11</v>
      </c>
      <c r="D168">
        <v>5</v>
      </c>
      <c r="E168">
        <v>2888</v>
      </c>
      <c r="F168" t="s">
        <v>9</v>
      </c>
      <c r="H168" t="str">
        <f t="shared" si="2"/>
        <v>Duplicate</v>
      </c>
    </row>
    <row r="169" spans="1:8" x14ac:dyDescent="0.35">
      <c r="A169" s="12">
        <v>46234.687557870369</v>
      </c>
      <c r="B169" s="13" t="s">
        <v>46</v>
      </c>
      <c r="C169" s="13" t="s">
        <v>11</v>
      </c>
      <c r="D169" s="14">
        <v>15</v>
      </c>
      <c r="E169" s="14">
        <v>4415</v>
      </c>
      <c r="F169" s="13" t="s">
        <v>9</v>
      </c>
      <c r="H169" t="str">
        <f t="shared" si="2"/>
        <v>Duplicate</v>
      </c>
    </row>
    <row r="170" spans="1:8" x14ac:dyDescent="0.35">
      <c r="A170" t="s">
        <v>99</v>
      </c>
      <c r="B170" t="s">
        <v>46</v>
      </c>
      <c r="C170" t="s">
        <v>11</v>
      </c>
      <c r="D170">
        <v>15</v>
      </c>
      <c r="E170">
        <v>4415</v>
      </c>
      <c r="F170" t="s">
        <v>9</v>
      </c>
      <c r="H170" t="str">
        <f t="shared" si="2"/>
        <v>Duplicate</v>
      </c>
    </row>
    <row r="171" spans="1:8" ht="29" x14ac:dyDescent="0.35">
      <c r="A171" s="12">
        <v>46237.690567129626</v>
      </c>
      <c r="B171" s="13" t="s">
        <v>101</v>
      </c>
      <c r="C171" s="13" t="s">
        <v>11</v>
      </c>
      <c r="D171" s="14">
        <v>10</v>
      </c>
      <c r="E171" s="14">
        <v>251</v>
      </c>
      <c r="F171" s="13" t="s">
        <v>9</v>
      </c>
      <c r="H171" t="str">
        <f t="shared" si="2"/>
        <v>Unique</v>
      </c>
    </row>
    <row r="172" spans="1:8" ht="29" x14ac:dyDescent="0.35">
      <c r="A172" s="12">
        <v>46237.690578703703</v>
      </c>
      <c r="B172" s="13" t="s">
        <v>102</v>
      </c>
      <c r="C172" s="13" t="s">
        <v>11</v>
      </c>
      <c r="D172" s="14">
        <v>100</v>
      </c>
      <c r="E172" s="14">
        <v>111</v>
      </c>
      <c r="F172" s="13" t="s">
        <v>9</v>
      </c>
      <c r="H172" t="str">
        <f t="shared" si="2"/>
        <v>Unique</v>
      </c>
    </row>
    <row r="173" spans="1:8" ht="29" x14ac:dyDescent="0.35">
      <c r="A173" s="12">
        <v>46234.687592592592</v>
      </c>
      <c r="B173" s="13" t="s">
        <v>74</v>
      </c>
      <c r="C173" s="13" t="s">
        <v>11</v>
      </c>
      <c r="D173" s="14">
        <v>1</v>
      </c>
      <c r="E173" s="14">
        <v>4110</v>
      </c>
      <c r="F173" s="13" t="s">
        <v>9</v>
      </c>
      <c r="H173" t="str">
        <f t="shared" si="2"/>
        <v>Duplicate</v>
      </c>
    </row>
    <row r="174" spans="1:8" x14ac:dyDescent="0.35">
      <c r="A174" t="s">
        <v>100</v>
      </c>
      <c r="B174" t="s">
        <v>74</v>
      </c>
      <c r="C174" t="s">
        <v>11</v>
      </c>
      <c r="D174">
        <v>1</v>
      </c>
      <c r="E174">
        <v>4110</v>
      </c>
      <c r="F174" t="s">
        <v>9</v>
      </c>
      <c r="H174" t="str">
        <f t="shared" si="2"/>
        <v>Duplicate</v>
      </c>
    </row>
    <row r="175" spans="1:8" x14ac:dyDescent="0.35">
      <c r="A175" t="s">
        <v>89</v>
      </c>
      <c r="B175" t="s">
        <v>61</v>
      </c>
      <c r="C175" t="s">
        <v>11</v>
      </c>
      <c r="D175">
        <v>20</v>
      </c>
      <c r="E175">
        <v>220.1</v>
      </c>
      <c r="F175" t="s">
        <v>9</v>
      </c>
      <c r="H175" t="str">
        <f t="shared" si="2"/>
        <v>Unique</v>
      </c>
    </row>
    <row r="176" spans="1:8" x14ac:dyDescent="0.35">
      <c r="A176" t="s">
        <v>99</v>
      </c>
      <c r="B176" t="s">
        <v>66</v>
      </c>
      <c r="C176" t="s">
        <v>11</v>
      </c>
      <c r="D176">
        <v>1</v>
      </c>
      <c r="E176">
        <v>17552</v>
      </c>
      <c r="F176" t="s">
        <v>9</v>
      </c>
      <c r="H176" t="str">
        <f t="shared" si="2"/>
        <v>Unique</v>
      </c>
    </row>
    <row r="177" spans="1:8" ht="29" x14ac:dyDescent="0.35">
      <c r="A177" s="12">
        <v>46233.688356481478</v>
      </c>
      <c r="B177" s="13" t="s">
        <v>77</v>
      </c>
      <c r="C177" s="13" t="s">
        <v>11</v>
      </c>
      <c r="D177" s="14">
        <v>5</v>
      </c>
      <c r="E177" s="14">
        <v>702</v>
      </c>
      <c r="F177" s="13" t="s">
        <v>9</v>
      </c>
      <c r="H177" t="str">
        <f t="shared" si="2"/>
        <v>Unique</v>
      </c>
    </row>
    <row r="178" spans="1:8" x14ac:dyDescent="0.35">
      <c r="A178" s="12">
        <v>46233.688402777778</v>
      </c>
      <c r="B178" s="13" t="s">
        <v>47</v>
      </c>
      <c r="C178" s="13" t="s">
        <v>11</v>
      </c>
      <c r="D178" s="14">
        <v>2</v>
      </c>
      <c r="E178" s="14">
        <v>3760</v>
      </c>
      <c r="F178" s="13" t="s">
        <v>9</v>
      </c>
      <c r="H178" t="str">
        <f t="shared" si="2"/>
        <v>Unique</v>
      </c>
    </row>
    <row r="179" spans="1:8" x14ac:dyDescent="0.35">
      <c r="A179" s="12">
        <v>46234.687638888892</v>
      </c>
      <c r="B179" s="13" t="s">
        <v>49</v>
      </c>
      <c r="C179" s="13" t="s">
        <v>11</v>
      </c>
      <c r="D179" s="14">
        <v>1</v>
      </c>
      <c r="E179" s="14">
        <v>3360</v>
      </c>
      <c r="F179" s="13" t="s">
        <v>9</v>
      </c>
      <c r="H179" t="str">
        <f t="shared" si="2"/>
        <v>Unique</v>
      </c>
    </row>
    <row r="180" spans="1:8" ht="29" x14ac:dyDescent="0.35">
      <c r="A180" s="12">
        <v>46234.687662037039</v>
      </c>
      <c r="B180" s="13" t="s">
        <v>34</v>
      </c>
      <c r="C180" s="13" t="s">
        <v>11</v>
      </c>
      <c r="D180" s="14">
        <v>25</v>
      </c>
      <c r="E180" s="14">
        <v>352</v>
      </c>
      <c r="F180" s="13" t="s">
        <v>9</v>
      </c>
      <c r="H180" t="str">
        <f t="shared" si="2"/>
        <v>Unique</v>
      </c>
    </row>
    <row r="181" spans="1:8" ht="29" x14ac:dyDescent="0.35">
      <c r="A181" s="12">
        <v>46233.688402777778</v>
      </c>
      <c r="B181" s="13" t="s">
        <v>74</v>
      </c>
      <c r="C181" s="13" t="s">
        <v>11</v>
      </c>
      <c r="D181" s="14">
        <v>2</v>
      </c>
      <c r="E181" s="14">
        <v>4060</v>
      </c>
      <c r="F181" s="13" t="s">
        <v>9</v>
      </c>
      <c r="H181" t="str">
        <f t="shared" si="2"/>
        <v>Unique</v>
      </c>
    </row>
    <row r="182" spans="1:8" ht="29" x14ac:dyDescent="0.35">
      <c r="A182" s="12">
        <v>46234.687511574077</v>
      </c>
      <c r="B182" s="13" t="s">
        <v>103</v>
      </c>
      <c r="C182" s="13" t="s">
        <v>11</v>
      </c>
      <c r="D182" s="14">
        <v>4</v>
      </c>
      <c r="E182" s="14">
        <v>1066</v>
      </c>
      <c r="F182" s="13" t="s">
        <v>9</v>
      </c>
      <c r="H182" t="str">
        <f t="shared" si="2"/>
        <v>Duplicate</v>
      </c>
    </row>
    <row r="183" spans="1:8" x14ac:dyDescent="0.35">
      <c r="A183" t="s">
        <v>99</v>
      </c>
      <c r="B183" t="s">
        <v>103</v>
      </c>
      <c r="C183" t="s">
        <v>11</v>
      </c>
      <c r="D183">
        <v>4</v>
      </c>
      <c r="E183">
        <v>1066</v>
      </c>
      <c r="F183" t="s">
        <v>9</v>
      </c>
      <c r="H183" t="str">
        <f t="shared" si="2"/>
        <v>Duplicate</v>
      </c>
    </row>
    <row r="184" spans="1:8" ht="29" x14ac:dyDescent="0.35">
      <c r="A184" s="12">
        <v>46233.688402777778</v>
      </c>
      <c r="B184" s="13" t="s">
        <v>74</v>
      </c>
      <c r="C184" s="13" t="s">
        <v>11</v>
      </c>
      <c r="D184" s="14">
        <v>2</v>
      </c>
      <c r="E184" s="14">
        <v>4010</v>
      </c>
      <c r="F184" s="13" t="s">
        <v>9</v>
      </c>
      <c r="H184" t="str">
        <f t="shared" si="2"/>
        <v>Unique</v>
      </c>
    </row>
    <row r="185" spans="1:8" x14ac:dyDescent="0.35">
      <c r="A185" t="s">
        <v>91</v>
      </c>
      <c r="B185" t="s">
        <v>67</v>
      </c>
      <c r="C185" t="s">
        <v>11</v>
      </c>
      <c r="D185">
        <v>9</v>
      </c>
      <c r="E185">
        <v>2251</v>
      </c>
      <c r="F185" t="s">
        <v>9</v>
      </c>
      <c r="H185" t="str">
        <f t="shared" si="2"/>
        <v>Unique</v>
      </c>
    </row>
    <row r="186" spans="1:8" ht="29" x14ac:dyDescent="0.35">
      <c r="A186" s="12">
        <v>46237.690474537034</v>
      </c>
      <c r="B186" s="13" t="s">
        <v>19</v>
      </c>
      <c r="C186" s="13" t="s">
        <v>11</v>
      </c>
      <c r="D186" s="14">
        <v>5</v>
      </c>
      <c r="E186" s="14">
        <v>852</v>
      </c>
      <c r="F186" s="13" t="s">
        <v>9</v>
      </c>
      <c r="H186" t="str">
        <f t="shared" si="2"/>
        <v>Unique</v>
      </c>
    </row>
    <row r="187" spans="1:8" ht="29" x14ac:dyDescent="0.35">
      <c r="A187" s="12">
        <v>46237.690567129626</v>
      </c>
      <c r="B187" s="13" t="s">
        <v>25</v>
      </c>
      <c r="C187" s="13" t="s">
        <v>11</v>
      </c>
      <c r="D187" s="14">
        <v>1</v>
      </c>
      <c r="E187" s="14">
        <v>4164</v>
      </c>
      <c r="F187" s="13" t="s">
        <v>9</v>
      </c>
      <c r="H187" t="str">
        <f t="shared" si="2"/>
        <v>Unique</v>
      </c>
    </row>
    <row r="188" spans="1:8" x14ac:dyDescent="0.35">
      <c r="A188" s="12">
        <v>46237.769074074073</v>
      </c>
      <c r="B188" s="13" t="s">
        <v>104</v>
      </c>
      <c r="C188" s="13" t="s">
        <v>11</v>
      </c>
      <c r="D188" s="14">
        <v>7</v>
      </c>
      <c r="E188" s="14">
        <v>411</v>
      </c>
      <c r="F188" s="13" t="s">
        <v>9</v>
      </c>
      <c r="H188" t="str">
        <f t="shared" si="2"/>
        <v>Unique</v>
      </c>
    </row>
    <row r="189" spans="1:8" ht="29" x14ac:dyDescent="0.35">
      <c r="A189" s="12">
        <v>46237.690486111111</v>
      </c>
      <c r="B189" s="13" t="s">
        <v>94</v>
      </c>
      <c r="C189" s="13" t="s">
        <v>11</v>
      </c>
      <c r="D189" s="14">
        <v>29</v>
      </c>
      <c r="E189" s="14">
        <v>401</v>
      </c>
      <c r="F189" s="13" t="s">
        <v>9</v>
      </c>
      <c r="H189" t="str">
        <f t="shared" si="2"/>
        <v>Unique</v>
      </c>
    </row>
    <row r="190" spans="1:8" x14ac:dyDescent="0.35">
      <c r="A190" s="12">
        <v>46237.769120370373</v>
      </c>
      <c r="B190" s="13" t="s">
        <v>40</v>
      </c>
      <c r="C190" s="13" t="s">
        <v>11</v>
      </c>
      <c r="D190" s="14">
        <v>100</v>
      </c>
      <c r="E190" s="14">
        <v>331</v>
      </c>
      <c r="F190" s="13" t="s">
        <v>9</v>
      </c>
      <c r="H190" t="str">
        <f t="shared" si="2"/>
        <v>Unique</v>
      </c>
    </row>
    <row r="191" spans="1:8" x14ac:dyDescent="0.35">
      <c r="A191" s="12">
        <v>46237.768946759257</v>
      </c>
      <c r="B191" s="13" t="s">
        <v>14</v>
      </c>
      <c r="C191" s="13" t="s">
        <v>11</v>
      </c>
      <c r="D191" s="14">
        <v>15</v>
      </c>
      <c r="E191" s="14">
        <v>492</v>
      </c>
      <c r="F191" s="13" t="s">
        <v>9</v>
      </c>
      <c r="H191" t="str">
        <f t="shared" si="2"/>
        <v>Unique</v>
      </c>
    </row>
    <row r="192" spans="1:8" x14ac:dyDescent="0.35">
      <c r="A192" s="12">
        <v>46234.6875</v>
      </c>
      <c r="B192" s="13" t="s">
        <v>105</v>
      </c>
      <c r="C192" s="13" t="s">
        <v>11</v>
      </c>
      <c r="D192" s="14">
        <v>1</v>
      </c>
      <c r="E192" s="14">
        <v>6920</v>
      </c>
      <c r="F192" s="13" t="s">
        <v>9</v>
      </c>
      <c r="H192" t="str">
        <f t="shared" si="2"/>
        <v>Duplicate</v>
      </c>
    </row>
    <row r="193" spans="1:8" x14ac:dyDescent="0.35">
      <c r="A193" t="s">
        <v>106</v>
      </c>
      <c r="B193" t="s">
        <v>105</v>
      </c>
      <c r="C193" t="s">
        <v>11</v>
      </c>
      <c r="D193">
        <v>1</v>
      </c>
      <c r="E193">
        <v>6920</v>
      </c>
      <c r="F193" t="s">
        <v>9</v>
      </c>
      <c r="H193" t="str">
        <f t="shared" si="2"/>
        <v>Duplicate</v>
      </c>
    </row>
    <row r="194" spans="1:8" x14ac:dyDescent="0.35">
      <c r="A194" s="12">
        <v>46237.768877314818</v>
      </c>
      <c r="B194" s="13" t="s">
        <v>29</v>
      </c>
      <c r="C194" s="13" t="s">
        <v>11</v>
      </c>
      <c r="D194" s="14">
        <v>200</v>
      </c>
      <c r="E194" s="14">
        <v>31.01</v>
      </c>
      <c r="F194" s="13" t="s">
        <v>9</v>
      </c>
      <c r="H194" t="str">
        <f t="shared" si="2"/>
        <v>Unique</v>
      </c>
    </row>
    <row r="195" spans="1:8" ht="29" x14ac:dyDescent="0.35">
      <c r="A195" s="12">
        <v>46237.768877314818</v>
      </c>
      <c r="B195" s="13" t="s">
        <v>92</v>
      </c>
      <c r="C195" s="13" t="s">
        <v>11</v>
      </c>
      <c r="D195" s="14">
        <v>1</v>
      </c>
      <c r="E195" s="14">
        <v>2064</v>
      </c>
      <c r="F195" s="13" t="s">
        <v>9</v>
      </c>
      <c r="H195" t="str">
        <f t="shared" ref="H195:H204" si="3">IF(COUNTIFS( $B$2:$B$1000, B195, $C$2:$C$1000, C195, $D$2:$D$1000, D195, $E$2:$E$1000, E195) &gt; 1, "Duplicate", "Unique")</f>
        <v>Unique</v>
      </c>
    </row>
    <row r="196" spans="1:8" ht="29" x14ac:dyDescent="0.35">
      <c r="A196" s="12">
        <v>46234.687581018516</v>
      </c>
      <c r="B196" s="13" t="s">
        <v>107</v>
      </c>
      <c r="C196" s="13" t="s">
        <v>11</v>
      </c>
      <c r="D196" s="14">
        <v>4</v>
      </c>
      <c r="E196" s="14">
        <v>701</v>
      </c>
      <c r="F196" s="13" t="s">
        <v>9</v>
      </c>
      <c r="H196" t="str">
        <f t="shared" si="3"/>
        <v>Duplicate</v>
      </c>
    </row>
    <row r="197" spans="1:8" x14ac:dyDescent="0.35">
      <c r="A197" t="s">
        <v>99</v>
      </c>
      <c r="B197" t="s">
        <v>107</v>
      </c>
      <c r="C197" t="s">
        <v>11</v>
      </c>
      <c r="D197">
        <v>4</v>
      </c>
      <c r="E197">
        <v>701</v>
      </c>
      <c r="F197" t="s">
        <v>9</v>
      </c>
      <c r="H197" t="str">
        <f t="shared" si="3"/>
        <v>Duplicate</v>
      </c>
    </row>
    <row r="198" spans="1:8" x14ac:dyDescent="0.35">
      <c r="A198" s="12">
        <v>46237.769120370373</v>
      </c>
      <c r="B198" s="13" t="s">
        <v>40</v>
      </c>
      <c r="C198" s="13" t="s">
        <v>11</v>
      </c>
      <c r="D198" s="14">
        <v>100</v>
      </c>
      <c r="E198" s="14">
        <v>327</v>
      </c>
      <c r="F198" s="13" t="s">
        <v>9</v>
      </c>
      <c r="H198" t="str">
        <f t="shared" si="3"/>
        <v>Unique</v>
      </c>
    </row>
    <row r="199" spans="1:8" x14ac:dyDescent="0.35">
      <c r="A199" s="12">
        <v>46237.769120370373</v>
      </c>
      <c r="B199" s="13" t="s">
        <v>40</v>
      </c>
      <c r="C199" s="13" t="s">
        <v>11</v>
      </c>
      <c r="D199" s="14">
        <v>100</v>
      </c>
      <c r="E199" s="14">
        <v>322</v>
      </c>
      <c r="F199" s="13" t="s">
        <v>9</v>
      </c>
      <c r="H199" t="str">
        <f t="shared" si="3"/>
        <v>Unique</v>
      </c>
    </row>
    <row r="200" spans="1:8" ht="29" x14ac:dyDescent="0.35">
      <c r="A200" s="12">
        <v>46234.687615740739</v>
      </c>
      <c r="B200" s="13" t="s">
        <v>25</v>
      </c>
      <c r="C200" s="13" t="s">
        <v>11</v>
      </c>
      <c r="D200" s="14">
        <v>1</v>
      </c>
      <c r="E200" s="14">
        <v>4014</v>
      </c>
      <c r="F200" s="13" t="s">
        <v>9</v>
      </c>
      <c r="H200" t="str">
        <f t="shared" si="3"/>
        <v>Unique</v>
      </c>
    </row>
    <row r="201" spans="1:8" x14ac:dyDescent="0.35">
      <c r="A201" s="12">
        <v>46234.687615740739</v>
      </c>
      <c r="B201" s="13" t="s">
        <v>14</v>
      </c>
      <c r="C201" s="13" t="s">
        <v>11</v>
      </c>
      <c r="D201" s="14">
        <v>10</v>
      </c>
      <c r="E201" s="14">
        <v>468</v>
      </c>
      <c r="F201" s="13" t="s">
        <v>9</v>
      </c>
      <c r="H201" t="str">
        <f t="shared" si="3"/>
        <v>Unique</v>
      </c>
    </row>
    <row r="202" spans="1:8" ht="29" x14ac:dyDescent="0.35">
      <c r="A202" s="12">
        <v>46233.688414351855</v>
      </c>
      <c r="B202" s="13" t="s">
        <v>92</v>
      </c>
      <c r="C202" s="13" t="s">
        <v>11</v>
      </c>
      <c r="D202" s="14">
        <v>1</v>
      </c>
      <c r="E202" s="14">
        <v>1964</v>
      </c>
      <c r="F202" s="13" t="s">
        <v>9</v>
      </c>
      <c r="H202" t="str">
        <f t="shared" si="3"/>
        <v>Unique</v>
      </c>
    </row>
    <row r="203" spans="1:8" ht="29" x14ac:dyDescent="0.35">
      <c r="A203" s="12">
        <v>46234.687627314815</v>
      </c>
      <c r="B203" s="13" t="s">
        <v>25</v>
      </c>
      <c r="C203" s="13" t="s">
        <v>11</v>
      </c>
      <c r="D203" s="14">
        <v>1</v>
      </c>
      <c r="E203" s="14">
        <v>3914</v>
      </c>
      <c r="F203" s="13" t="s">
        <v>9</v>
      </c>
      <c r="H203" t="str">
        <f t="shared" si="3"/>
        <v>Unique</v>
      </c>
    </row>
    <row r="204" spans="1:8" x14ac:dyDescent="0.35">
      <c r="A204" t="s">
        <v>86</v>
      </c>
      <c r="B204" t="s">
        <v>63</v>
      </c>
      <c r="C204" t="s">
        <v>8</v>
      </c>
      <c r="D204">
        <v>150</v>
      </c>
      <c r="E204" s="16">
        <v>125.9</v>
      </c>
      <c r="F204" t="s">
        <v>9</v>
      </c>
      <c r="H204" t="str">
        <f t="shared" si="3"/>
        <v>Unique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</vt:lpstr>
      <vt:lpstr>Sheet2</vt:lpstr>
      <vt:lpstr>Final_backup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2026-08-04T11:48:03Z</dcterms:created>
  <dcterms:modified xsi:type="dcterms:W3CDTF">2026-08-04T13:56:32Z</dcterms:modified>
</cp:coreProperties>
</file>