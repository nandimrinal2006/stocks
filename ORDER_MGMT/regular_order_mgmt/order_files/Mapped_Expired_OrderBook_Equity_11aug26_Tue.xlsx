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07E9D8D8-AF03-446D-A3A7-3E6F421B92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Sheet1!$A$1:$L$218</definedName>
    <definedName name="_xlnm._FilterDatabase" localSheetId="1" hidden="1">Sheet2!$G$1:$G$217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6" i="1" l="1"/>
  <c r="L151" i="1"/>
  <c r="L139" i="1"/>
  <c r="L68" i="1"/>
  <c r="L145" i="1"/>
  <c r="L43" i="1"/>
  <c r="L69" i="1"/>
  <c r="L111" i="1"/>
  <c r="L125" i="1"/>
  <c r="L132" i="1"/>
  <c r="L50" i="1"/>
  <c r="L196" i="1"/>
  <c r="L26" i="1"/>
  <c r="L38" i="1"/>
  <c r="L94" i="1"/>
  <c r="L110" i="1"/>
  <c r="L117" i="1"/>
  <c r="L92" i="1"/>
  <c r="L59" i="1"/>
  <c r="L21" i="1"/>
  <c r="L58" i="1"/>
  <c r="L124" i="1"/>
  <c r="L100" i="1"/>
  <c r="L106" i="1"/>
  <c r="L115" i="1"/>
  <c r="L37" i="1"/>
  <c r="L114" i="1"/>
  <c r="L89" i="1"/>
  <c r="L135" i="1"/>
  <c r="L112" i="1"/>
  <c r="L131" i="1"/>
  <c r="L128" i="1"/>
  <c r="L9" i="1"/>
  <c r="L28" i="1"/>
  <c r="L75" i="1"/>
  <c r="L97" i="1"/>
  <c r="L33" i="1"/>
  <c r="L133" i="1"/>
  <c r="L197" i="1"/>
  <c r="L200" i="1"/>
  <c r="L165" i="1"/>
  <c r="L199" i="1"/>
  <c r="L182" i="1"/>
  <c r="L180" i="1"/>
  <c r="L175" i="1"/>
  <c r="L150" i="1"/>
  <c r="L185" i="1"/>
  <c r="L169" i="1"/>
  <c r="L183" i="1"/>
  <c r="L160" i="1"/>
  <c r="L158" i="1"/>
  <c r="L174" i="1"/>
  <c r="L148" i="1"/>
  <c r="L144" i="1"/>
  <c r="L155" i="1"/>
  <c r="L163" i="1"/>
  <c r="L113" i="1"/>
  <c r="L136" i="1"/>
  <c r="L41" i="1"/>
  <c r="L78" i="1"/>
  <c r="L159" i="1"/>
  <c r="L66" i="1"/>
  <c r="L72" i="1"/>
  <c r="L104" i="1"/>
  <c r="L103" i="1"/>
  <c r="L83" i="1"/>
  <c r="L99" i="1"/>
  <c r="L88" i="1"/>
  <c r="L70" i="1"/>
  <c r="L98" i="1"/>
  <c r="L96" i="1"/>
  <c r="L91" i="1"/>
  <c r="L121" i="1"/>
  <c r="L116" i="1"/>
  <c r="L108" i="1"/>
  <c r="L93" i="1"/>
  <c r="L123" i="1"/>
  <c r="L95" i="1"/>
  <c r="L107" i="1"/>
  <c r="L90" i="1"/>
  <c r="L109" i="1"/>
  <c r="L118" i="1"/>
  <c r="L119" i="1"/>
  <c r="L130" i="1"/>
  <c r="L101" i="1"/>
  <c r="L126" i="1"/>
  <c r="L120" i="1"/>
  <c r="L129" i="1"/>
  <c r="L134" i="1"/>
  <c r="L127" i="1"/>
  <c r="L179" i="1"/>
  <c r="L189" i="1"/>
  <c r="L172" i="1"/>
  <c r="L171" i="1"/>
  <c r="L168" i="1"/>
  <c r="L162" i="1"/>
  <c r="L166" i="1"/>
  <c r="L167" i="1"/>
  <c r="L161" i="1"/>
  <c r="L152" i="1"/>
  <c r="L149" i="1"/>
  <c r="L157" i="1"/>
  <c r="L154" i="1"/>
  <c r="L164" i="1"/>
  <c r="L153" i="1"/>
  <c r="L156" i="1"/>
  <c r="L147" i="1"/>
  <c r="L143" i="1"/>
  <c r="L142" i="1"/>
  <c r="L141" i="1"/>
  <c r="L137" i="1"/>
  <c r="L138" i="1"/>
  <c r="L102" i="1"/>
  <c r="L105" i="1"/>
  <c r="L76" i="1"/>
  <c r="L85" i="1"/>
  <c r="L86" i="1"/>
  <c r="L87" i="1"/>
  <c r="L80" i="1"/>
  <c r="L84" i="1"/>
  <c r="L81" i="1"/>
  <c r="L74" i="1"/>
  <c r="L53" i="1"/>
  <c r="L15" i="1"/>
  <c r="L79" i="1"/>
  <c r="L73" i="1"/>
  <c r="L64" i="1"/>
  <c r="L71" i="1"/>
  <c r="L82" i="1"/>
  <c r="L55" i="1"/>
  <c r="L30" i="1"/>
  <c r="L67" i="1"/>
  <c r="L65" i="1"/>
  <c r="L60" i="1"/>
  <c r="L61" i="1"/>
  <c r="L19" i="1"/>
  <c r="L62" i="1"/>
  <c r="L29" i="1"/>
  <c r="L57" i="1"/>
  <c r="L54" i="1"/>
  <c r="L46" i="1"/>
  <c r="L77" i="1"/>
  <c r="L56" i="1"/>
  <c r="L35" i="1"/>
  <c r="L22" i="1"/>
  <c r="L40" i="1"/>
  <c r="L51" i="1"/>
  <c r="L45" i="1"/>
  <c r="L44" i="1"/>
  <c r="L48" i="1"/>
  <c r="L52" i="1"/>
  <c r="L63" i="1"/>
  <c r="L20" i="1"/>
  <c r="L39" i="1"/>
  <c r="L49" i="1"/>
  <c r="L32" i="1"/>
  <c r="L42" i="1"/>
  <c r="L47" i="1"/>
  <c r="L13" i="1"/>
  <c r="L34" i="1"/>
  <c r="L36" i="1"/>
  <c r="L17" i="1"/>
  <c r="L18" i="1"/>
  <c r="L31" i="1"/>
  <c r="L24" i="1"/>
  <c r="L27" i="1"/>
  <c r="L25" i="1"/>
  <c r="L10" i="1"/>
  <c r="L23" i="1"/>
  <c r="L16" i="1"/>
  <c r="L14" i="1"/>
  <c r="L11" i="1"/>
  <c r="L8" i="1"/>
  <c r="L12" i="1"/>
  <c r="L7" i="1"/>
  <c r="L6" i="1"/>
  <c r="L5" i="1"/>
  <c r="L4" i="1"/>
  <c r="L2" i="1"/>
  <c r="L3" i="1"/>
  <c r="L170" i="1"/>
  <c r="L177" i="1"/>
  <c r="L176" i="1"/>
  <c r="L178" i="1"/>
  <c r="L184" i="1"/>
  <c r="L140" i="1"/>
  <c r="L173" i="1"/>
  <c r="L193" i="1"/>
  <c r="L186" i="1"/>
  <c r="L198" i="1"/>
  <c r="L187" i="1"/>
  <c r="L194" i="1"/>
  <c r="L192" i="1"/>
  <c r="L181" i="1"/>
  <c r="L195" i="1"/>
  <c r="L208" i="1"/>
  <c r="L191" i="1"/>
  <c r="L206" i="1"/>
  <c r="L201" i="1"/>
  <c r="L203" i="1"/>
  <c r="L202" i="1"/>
  <c r="L205" i="1"/>
  <c r="L204" i="1"/>
  <c r="L188" i="1"/>
  <c r="L213" i="1"/>
  <c r="L190" i="1"/>
  <c r="L207" i="1"/>
  <c r="L209" i="1"/>
  <c r="L215" i="1"/>
  <c r="L212" i="1"/>
  <c r="L217" i="1"/>
  <c r="L210" i="1"/>
  <c r="L214" i="1"/>
  <c r="L216" i="1"/>
  <c r="L211" i="1"/>
  <c r="L218" i="1"/>
  <c r="L122" i="1"/>
  <c r="Q2" i="2" a="1"/>
  <c r="Q2" i="2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<sst xmlns="http://schemas.openxmlformats.org/spreadsheetml/2006/main" count="1439" uniqueCount="141">
  <si>
    <t>Date</t>
  </si>
  <si>
    <t>Stock</t>
  </si>
  <si>
    <t>Order Type (Buy/Sell)</t>
  </si>
  <si>
    <t>Quantity</t>
  </si>
  <si>
    <t>Price</t>
  </si>
  <si>
    <t>Status</t>
  </si>
  <si>
    <t>MOSCHIPEQ</t>
  </si>
  <si>
    <t>B</t>
  </si>
  <si>
    <t>Expired</t>
  </si>
  <si>
    <t>IRCONEQ</t>
  </si>
  <si>
    <t>S</t>
  </si>
  <si>
    <t>IGILEQ</t>
  </si>
  <si>
    <t>GRSEEQ</t>
  </si>
  <si>
    <t>ARE&amp;MEQ</t>
  </si>
  <si>
    <t>SILVERBEESEQ</t>
  </si>
  <si>
    <t>GOLDBEESEQ</t>
  </si>
  <si>
    <t>EXIDEINDEQ</t>
  </si>
  <si>
    <t>SENCOEQ</t>
  </si>
  <si>
    <t>HUDCOEQ</t>
  </si>
  <si>
    <t>APOLLOTYREEQ</t>
  </si>
  <si>
    <t>JUSTDIALEQ</t>
  </si>
  <si>
    <t>NETWEBEQ</t>
  </si>
  <si>
    <t>ZENTECEQ</t>
  </si>
  <si>
    <t>SCIEQ</t>
  </si>
  <si>
    <t>URBANCOEQ</t>
  </si>
  <si>
    <t>KERNEXEQ</t>
  </si>
  <si>
    <t>RAILTELEQ</t>
  </si>
  <si>
    <t>E2EEQ</t>
  </si>
  <si>
    <t>WAAREERTLEQ</t>
  </si>
  <si>
    <t>LTEQ</t>
  </si>
  <si>
    <t>MAXHEALTHEQ</t>
  </si>
  <si>
    <t>MCXEQ</t>
  </si>
  <si>
    <t>NAM-INDIAEQ</t>
  </si>
  <si>
    <t>BSEEQ</t>
  </si>
  <si>
    <t>HALEQ</t>
  </si>
  <si>
    <t>LODHAEQ</t>
  </si>
  <si>
    <t>BDLEQ</t>
  </si>
  <si>
    <t>DIXONEQ</t>
  </si>
  <si>
    <t>COCHINSHIPEQ</t>
  </si>
  <si>
    <t>CDSLEQ</t>
  </si>
  <si>
    <t>SOLARINDSEQ</t>
  </si>
  <si>
    <t>SBINEQ</t>
  </si>
  <si>
    <t>HDFCAMCEQ</t>
  </si>
  <si>
    <t>BAJFINANCEEQ</t>
  </si>
  <si>
    <t>KFINTECHEQ</t>
  </si>
  <si>
    <t>TVSMOTOREQ</t>
  </si>
  <si>
    <t>BELEQ</t>
  </si>
  <si>
    <t>CGPOWEREQ</t>
  </si>
  <si>
    <t>TCSEQ</t>
  </si>
  <si>
    <t>CAMSEQ</t>
  </si>
  <si>
    <t>TRENTEQ</t>
  </si>
  <si>
    <t>INDHOTELEQ</t>
  </si>
  <si>
    <t>IRFCEQ</t>
  </si>
  <si>
    <t>RVNLEQ</t>
  </si>
  <si>
    <t>IREDAEQ</t>
  </si>
  <si>
    <t>########</t>
  </si>
  <si>
    <t>MAFANGEQ</t>
  </si>
  <si>
    <t>ITBEESEQ</t>
  </si>
  <si>
    <t>MAZDOCKEQ</t>
  </si>
  <si>
    <t>PRINCEPIPEEQ</t>
  </si>
  <si>
    <t>TMCVEQ</t>
  </si>
  <si>
    <t>ABBEQ</t>
  </si>
  <si>
    <t>LALPATHLABEQ</t>
  </si>
  <si>
    <t>SONACOMSEQ</t>
  </si>
  <si>
    <t>AARTIPHARMEQ</t>
  </si>
  <si>
    <t>KAYNESEQ</t>
  </si>
  <si>
    <t>VBLEQ</t>
  </si>
  <si>
    <t>CONCOREQ</t>
  </si>
  <si>
    <t>NSDLEQ</t>
  </si>
  <si>
    <t>11 AUG 2026 10:29:12 AM</t>
  </si>
  <si>
    <t>Executed</t>
  </si>
  <si>
    <t>11 AUG 2026 10:12:07 AM</t>
  </si>
  <si>
    <t>11 AUG 2026 12:08:30 PM</t>
  </si>
  <si>
    <t>11 AUG 2026 09:49:40 AM</t>
  </si>
  <si>
    <t>11 AUG 2026 09:39:21 AM</t>
  </si>
  <si>
    <t>11 AUG 2026 09:00:41 AM</t>
  </si>
  <si>
    <t>11 AUG 2026 09:00:42 AM</t>
  </si>
  <si>
    <t>11 AUG 2026 09:00:40 AM</t>
  </si>
  <si>
    <t>%Difference</t>
  </si>
  <si>
    <t>NSE Code</t>
  </si>
  <si>
    <t>Latest Recorded Price</t>
  </si>
  <si>
    <t>NSE:MOSCHIP</t>
  </si>
  <si>
    <t>NSE:IRCON</t>
  </si>
  <si>
    <t>NSE:IGIL</t>
  </si>
  <si>
    <t>NSE:GRSE</t>
  </si>
  <si>
    <t>NSE:ARE&amp;M</t>
  </si>
  <si>
    <t>NSE:SILVERBEES</t>
  </si>
  <si>
    <t>NSE:GOLDBEES</t>
  </si>
  <si>
    <t>NSE:EXIDEIND</t>
  </si>
  <si>
    <t>NSE:SENCO</t>
  </si>
  <si>
    <t>NSE:HUDCO</t>
  </si>
  <si>
    <t>NSE:APOLLOTYRE</t>
  </si>
  <si>
    <t>NSE:JUSTDIAL</t>
  </si>
  <si>
    <t>NSE:NETWEB</t>
  </si>
  <si>
    <t>NSE:ZENTEC</t>
  </si>
  <si>
    <t>NSE:SCI</t>
  </si>
  <si>
    <t>NSE:URBANCO</t>
  </si>
  <si>
    <t>NSE:KERNEX</t>
  </si>
  <si>
    <t>NSE:RAILTEL</t>
  </si>
  <si>
    <t>NSE:E2E</t>
  </si>
  <si>
    <t>NSE:WAAREERTL</t>
  </si>
  <si>
    <t>NSE:LT</t>
  </si>
  <si>
    <t>NSE:MAXHEALTH</t>
  </si>
  <si>
    <t>NSE:MCX</t>
  </si>
  <si>
    <t>NSE:NAM-INDIA</t>
  </si>
  <si>
    <t>NSE:BSE</t>
  </si>
  <si>
    <t>NSE:HAL</t>
  </si>
  <si>
    <t>NSE:LODHA</t>
  </si>
  <si>
    <t>NSE:BDL</t>
  </si>
  <si>
    <t>NSE:DIXON</t>
  </si>
  <si>
    <t>NSE:COCHINSHIP</t>
  </si>
  <si>
    <t>NSE:CDSL</t>
  </si>
  <si>
    <t>NSE:SOLARINDS</t>
  </si>
  <si>
    <t>NSE:SBIN</t>
  </si>
  <si>
    <t>NSE:HDFCAMC</t>
  </si>
  <si>
    <t>NSE:BAJFINANCE</t>
  </si>
  <si>
    <t>NSE:KFINTECH</t>
  </si>
  <si>
    <t>NSE:TVSMOTOR</t>
  </si>
  <si>
    <t>NSE:BEL</t>
  </si>
  <si>
    <t>NSE:CGPOWER</t>
  </si>
  <si>
    <t>NSE:TCS</t>
  </si>
  <si>
    <t>NSE:CAMS</t>
  </si>
  <si>
    <t>NSE:TRENT</t>
  </si>
  <si>
    <t>NSE:INDHOTEL</t>
  </si>
  <si>
    <t>NSE:IRFC</t>
  </si>
  <si>
    <t>NSE:RVNL</t>
  </si>
  <si>
    <t>NSE:IREDA</t>
  </si>
  <si>
    <t>NSE:MAFANG</t>
  </si>
  <si>
    <t>NSE:ITBEES</t>
  </si>
  <si>
    <t>NSE:MAZDOCK</t>
  </si>
  <si>
    <t>NSE:PRINCEPIPE</t>
  </si>
  <si>
    <t>NSE:TMCV</t>
  </si>
  <si>
    <t>NSE:ABB</t>
  </si>
  <si>
    <t>NSE:LALPATHLAB</t>
  </si>
  <si>
    <t>NSE:SONACOMS</t>
  </si>
  <si>
    <t>NSE:AARTIPHARM</t>
  </si>
  <si>
    <t>NSE:KAYNES</t>
  </si>
  <si>
    <t>NSE:VBL</t>
  </si>
  <si>
    <t>NSE:CONCOR</t>
  </si>
  <si>
    <t>BSE:NSDL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</si>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</sst>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0" fillId="2" borderId="0" xfId="0" applyFill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5" fillId="3" borderId="1" xfId="0" applyFont="1" applyFill="1" applyBorder="1" applyAlignment="1">
      <alignment wrapText="1"/>
    </xf>
    <xf numFmtId="0" fontId="5" fillId="3" borderId="1" xfId="0" applyFont="1" applyFill="1" applyBorder="1" applyAlignment="1">
      <alignment horizontal="right" wrapText="1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5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right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218"/>
  <sheetViews>
    <sheetView tabSelected="1" workbookViewId="0">
      <selection activeCell="A208" activeCellId="1" sqref="A218:XFD218 A208:XFD208"/>
    </sheetView>
  </sheetViews>
  <sheetFormatPr defaultRowHeight="14.5" x14ac:dyDescent="0.35"/>
  <cols>
    <col min="1" max="1" width="20.81640625" customWidth="1"/>
    <col min="2" max="2" width="17.90625" customWidth="1"/>
  </cols>
  <sheetData>
    <row r="1" spans="1:12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78</v>
      </c>
      <c r="G1" s="9" t="s">
        <v>79</v>
      </c>
      <c r="H1" s="9" t="s">
        <v>80</v>
      </c>
      <c r="I1" s="1" t="s">
        <v>5</v>
      </c>
    </row>
    <row r="2" spans="1:12" ht="39" hidden="1" thickBot="1" x14ac:dyDescent="0.4">
      <c r="A2" s="2">
        <v>46303.767361111109</v>
      </c>
      <c r="B2" s="1" t="s">
        <v>64</v>
      </c>
      <c r="C2" s="1" t="s">
        <v>7</v>
      </c>
      <c r="D2" s="3">
        <v>2</v>
      </c>
      <c r="E2" s="3">
        <v>660</v>
      </c>
      <c r="F2" s="3">
        <v>-24.906132670000002</v>
      </c>
      <c r="G2" s="9" t="s">
        <v>135</v>
      </c>
      <c r="H2" s="10">
        <v>878.9</v>
      </c>
      <c r="I2" s="1" t="s">
        <v>8</v>
      </c>
      <c r="L2" t="str">
        <f>IF(COUNTIFS( $B$2:$B$963, B2, $C$2:$C$963, C2, $D$2:$D$963, D2, $E$2:$E$963, E2) &gt; 1, "Duplicate", "Unique")</f>
        <v>Unique</v>
      </c>
    </row>
    <row r="3" spans="1:12" ht="26.5" hidden="1" thickBot="1" x14ac:dyDescent="0.4">
      <c r="A3" s="4" t="s">
        <v>55</v>
      </c>
      <c r="B3" s="1" t="s">
        <v>21</v>
      </c>
      <c r="C3" s="1" t="s">
        <v>7</v>
      </c>
      <c r="D3" s="3">
        <v>1</v>
      </c>
      <c r="E3" s="3">
        <v>3914</v>
      </c>
      <c r="F3" s="3">
        <v>-19.465020580000001</v>
      </c>
      <c r="G3" s="9" t="s">
        <v>93</v>
      </c>
      <c r="H3" s="10">
        <v>4860</v>
      </c>
      <c r="I3" s="1" t="s">
        <v>8</v>
      </c>
      <c r="L3" t="str">
        <f>IF(COUNTIFS( $B$2:$B$963, B3, $C$2:$C$963, C3, $D$2:$D$963, D3, $E$2:$E$963, E3) &gt; 1, "Duplicate", "Unique")</f>
        <v>Unique</v>
      </c>
    </row>
    <row r="4" spans="1:12" ht="26.5" hidden="1" thickBot="1" x14ac:dyDescent="0.4">
      <c r="A4" s="4" t="s">
        <v>55</v>
      </c>
      <c r="B4" s="1" t="s">
        <v>21</v>
      </c>
      <c r="C4" s="1" t="s">
        <v>7</v>
      </c>
      <c r="D4" s="3">
        <v>1</v>
      </c>
      <c r="E4" s="3">
        <v>4014</v>
      </c>
      <c r="F4" s="3">
        <v>-17.407407410000001</v>
      </c>
      <c r="G4" s="9" t="s">
        <v>93</v>
      </c>
      <c r="H4" s="10">
        <v>4860</v>
      </c>
      <c r="I4" s="1" t="s">
        <v>8</v>
      </c>
      <c r="L4" t="str">
        <f>IF(COUNTIFS( $B$2:$B$963, B4, $C$2:$C$963, C4, $D$2:$D$963, D4, $E$2:$E$963, E4) &gt; 1, "Duplicate", "Unique")</f>
        <v>Unique</v>
      </c>
    </row>
    <row r="5" spans="1:12" ht="26.5" hidden="1" thickBot="1" x14ac:dyDescent="0.4">
      <c r="A5" s="4" t="s">
        <v>55</v>
      </c>
      <c r="B5" s="1" t="s">
        <v>16</v>
      </c>
      <c r="C5" s="1" t="s">
        <v>7</v>
      </c>
      <c r="D5" s="3">
        <v>29</v>
      </c>
      <c r="E5" s="3">
        <v>401</v>
      </c>
      <c r="F5" s="3">
        <v>-17.208630119999999</v>
      </c>
      <c r="G5" s="9" t="s">
        <v>88</v>
      </c>
      <c r="H5" s="10">
        <v>484.35</v>
      </c>
      <c r="I5" s="1" t="s">
        <v>8</v>
      </c>
      <c r="L5" t="str">
        <f>IF(COUNTIFS( $B$2:$B$963, B5, $C$2:$C$963, C5, $D$2:$D$963, D5, $E$2:$E$963, E5) &gt; 1, "Duplicate", "Unique")</f>
        <v>Unique</v>
      </c>
    </row>
    <row r="6" spans="1:12" ht="26.5" hidden="1" thickBot="1" x14ac:dyDescent="0.4">
      <c r="A6" s="2">
        <v>46150.788888888892</v>
      </c>
      <c r="B6" s="1" t="s">
        <v>17</v>
      </c>
      <c r="C6" s="1" t="s">
        <v>7</v>
      </c>
      <c r="D6" s="3">
        <v>25</v>
      </c>
      <c r="E6" s="3">
        <v>336</v>
      </c>
      <c r="F6" s="3">
        <v>-16.82138879</v>
      </c>
      <c r="G6" s="9" t="s">
        <v>89</v>
      </c>
      <c r="H6" s="10">
        <v>403.95</v>
      </c>
      <c r="I6" s="1" t="s">
        <v>8</v>
      </c>
      <c r="L6" t="str">
        <f>IF(COUNTIFS( $B$2:$B$963, B6, $C$2:$C$963, C6, $D$2:$D$963, D6, $E$2:$E$963, E6) &gt; 1, "Duplicate", "Unique")</f>
        <v>Unique</v>
      </c>
    </row>
    <row r="7" spans="1:12" ht="26.5" hidden="1" thickBot="1" x14ac:dyDescent="0.4">
      <c r="A7" s="4" t="s">
        <v>55</v>
      </c>
      <c r="B7" s="1" t="s">
        <v>21</v>
      </c>
      <c r="C7" s="1" t="s">
        <v>7</v>
      </c>
      <c r="D7" s="3">
        <v>1</v>
      </c>
      <c r="E7" s="3">
        <v>4164</v>
      </c>
      <c r="F7" s="3">
        <v>-14.320987649999999</v>
      </c>
      <c r="G7" s="9" t="s">
        <v>93</v>
      </c>
      <c r="H7" s="10">
        <v>4860</v>
      </c>
      <c r="I7" s="1" t="s">
        <v>8</v>
      </c>
      <c r="L7" t="str">
        <f>IF(COUNTIFS( $B$2:$B$963, B7, $C$2:$C$963, C7, $D$2:$D$963, D7, $E$2:$E$963, E7) &gt; 1, "Duplicate", "Unique")</f>
        <v>Unique</v>
      </c>
    </row>
    <row r="8" spans="1:12" ht="26.5" hidden="1" thickBot="1" x14ac:dyDescent="0.4">
      <c r="A8" s="2">
        <v>46239.788888888892</v>
      </c>
      <c r="B8" s="1" t="s">
        <v>16</v>
      </c>
      <c r="C8" s="1" t="s">
        <v>7</v>
      </c>
      <c r="D8" s="3">
        <v>5</v>
      </c>
      <c r="E8" s="3">
        <v>419</v>
      </c>
      <c r="F8" s="3">
        <v>-13.492309280000001</v>
      </c>
      <c r="G8" s="9" t="s">
        <v>88</v>
      </c>
      <c r="H8" s="10">
        <v>484.35</v>
      </c>
      <c r="I8" s="1" t="s">
        <v>8</v>
      </c>
      <c r="L8" t="str">
        <f>IF(COUNTIFS( $B$2:$B$963, B8, $C$2:$C$963, C8, $D$2:$D$963, D8, $E$2:$E$963, E8) &gt; 1, "Duplicate", "Unique")</f>
        <v>Unique</v>
      </c>
    </row>
    <row r="9" spans="1:12" ht="26.5" hidden="1" thickBot="1" x14ac:dyDescent="0.4">
      <c r="A9" s="2">
        <v>46245.693148148152</v>
      </c>
      <c r="B9" s="1" t="s">
        <v>25</v>
      </c>
      <c r="C9" s="1" t="s">
        <v>7</v>
      </c>
      <c r="D9" s="3">
        <v>2</v>
      </c>
      <c r="E9" s="3">
        <v>2064</v>
      </c>
      <c r="F9" s="3">
        <v>-13.094736839999999</v>
      </c>
      <c r="G9" s="9" t="s">
        <v>97</v>
      </c>
      <c r="H9" s="10">
        <v>2375</v>
      </c>
      <c r="I9" s="1" t="s">
        <v>8</v>
      </c>
      <c r="L9" t="str">
        <f>IF(COUNTIFS( $B$2:$B$963, B9, $C$2:$C$963, C9, $D$2:$D$963, D9, $E$2:$E$963, E9) &gt; 1, "Duplicate", "Unique")</f>
        <v>Unique</v>
      </c>
    </row>
    <row r="10" spans="1:12" ht="26.5" hidden="1" thickBot="1" x14ac:dyDescent="0.4">
      <c r="A10" s="4" t="s">
        <v>55</v>
      </c>
      <c r="B10" s="1" t="s">
        <v>25</v>
      </c>
      <c r="C10" s="1" t="s">
        <v>7</v>
      </c>
      <c r="D10" s="3">
        <v>1</v>
      </c>
      <c r="E10" s="3">
        <v>2064</v>
      </c>
      <c r="F10" s="3">
        <v>-13.094736839999999</v>
      </c>
      <c r="G10" s="9" t="s">
        <v>97</v>
      </c>
      <c r="H10" s="10">
        <v>2375</v>
      </c>
      <c r="I10" s="1" t="s">
        <v>8</v>
      </c>
      <c r="L10" t="str">
        <f>IF(COUNTIFS( $B$2:$B$963, B10, $C$2:$C$963, C10, $D$2:$D$963, D10, $E$2:$E$963, E10) &gt; 1, "Duplicate", "Unique")</f>
        <v>Unique</v>
      </c>
    </row>
    <row r="11" spans="1:12" ht="26.5" hidden="1" thickBot="1" x14ac:dyDescent="0.4">
      <c r="A11" s="2">
        <v>46211.765277777777</v>
      </c>
      <c r="B11" s="1" t="s">
        <v>17</v>
      </c>
      <c r="C11" s="1" t="s">
        <v>7</v>
      </c>
      <c r="D11" s="3">
        <v>25</v>
      </c>
      <c r="E11" s="3">
        <v>352</v>
      </c>
      <c r="F11" s="3">
        <v>-12.860502540000001</v>
      </c>
      <c r="G11" s="9" t="s">
        <v>89</v>
      </c>
      <c r="H11" s="10">
        <v>403.95</v>
      </c>
      <c r="I11" s="1" t="s">
        <v>8</v>
      </c>
      <c r="L11" t="str">
        <f>IF(COUNTIFS( $B$2:$B$963, B11, $C$2:$C$963, C11, $D$2:$D$963, D11, $E$2:$E$963, E11) &gt; 1, "Duplicate", "Unique")</f>
        <v>Unique</v>
      </c>
    </row>
    <row r="12" spans="1:12" ht="26.5" hidden="1" thickBot="1" x14ac:dyDescent="0.4">
      <c r="A12" s="4" t="s">
        <v>55</v>
      </c>
      <c r="B12" s="1" t="s">
        <v>63</v>
      </c>
      <c r="C12" s="1" t="s">
        <v>7</v>
      </c>
      <c r="D12" s="3">
        <v>4</v>
      </c>
      <c r="E12" s="3">
        <v>701</v>
      </c>
      <c r="F12" s="3">
        <v>-12.38047622</v>
      </c>
      <c r="G12" s="9" t="s">
        <v>134</v>
      </c>
      <c r="H12" s="10">
        <v>800.05</v>
      </c>
      <c r="I12" s="1" t="s">
        <v>8</v>
      </c>
      <c r="L12" t="str">
        <f>IF(COUNTIFS( $B$2:$B$963, B12, $C$2:$C$963, C12, $D$2:$D$963, D12, $E$2:$E$963, E12) &gt; 1, "Duplicate", "Unique")</f>
        <v>Unique</v>
      </c>
    </row>
    <row r="13" spans="1:12" ht="15" hidden="1" thickBot="1" x14ac:dyDescent="0.4">
      <c r="A13" s="2">
        <v>46244.76666666667</v>
      </c>
      <c r="B13" s="1" t="s">
        <v>27</v>
      </c>
      <c r="C13" s="1" t="s">
        <v>7</v>
      </c>
      <c r="D13" s="3">
        <v>5</v>
      </c>
      <c r="E13" s="3">
        <v>547</v>
      </c>
      <c r="F13" s="3">
        <v>-12.35378946</v>
      </c>
      <c r="G13" s="9" t="s">
        <v>99</v>
      </c>
      <c r="H13" s="10">
        <v>624.1</v>
      </c>
      <c r="I13" s="1" t="s">
        <v>8</v>
      </c>
      <c r="L13" t="str">
        <f>IF(COUNTIFS( $B$2:$B$963, B13, $C$2:$C$963, C13, $D$2:$D$963, D13, $E$2:$E$963, E13) &gt; 1, "Duplicate", "Unique")</f>
        <v>Unique</v>
      </c>
    </row>
    <row r="14" spans="1:12" ht="26.5" hidden="1" thickBot="1" x14ac:dyDescent="0.4">
      <c r="A14" s="4" t="s">
        <v>55</v>
      </c>
      <c r="B14" s="1" t="s">
        <v>57</v>
      </c>
      <c r="C14" s="1" t="s">
        <v>7</v>
      </c>
      <c r="D14" s="3">
        <v>200</v>
      </c>
      <c r="E14" s="3">
        <v>31.01</v>
      </c>
      <c r="F14" s="3">
        <v>-12.128081610000001</v>
      </c>
      <c r="G14" s="9" t="s">
        <v>128</v>
      </c>
      <c r="H14" s="10">
        <v>35.29</v>
      </c>
      <c r="I14" s="1" t="s">
        <v>8</v>
      </c>
      <c r="L14" t="str">
        <f>IF(COUNTIFS( $B$2:$B$963, B14, $C$2:$C$963, C14, $D$2:$D$963, D14, $E$2:$E$963, E14) &gt; 1, "Duplicate", "Unique")</f>
        <v>Unique</v>
      </c>
    </row>
    <row r="15" spans="1:12" ht="26.5" hidden="1" thickBot="1" x14ac:dyDescent="0.4">
      <c r="A15" s="2">
        <v>46245.693009259259</v>
      </c>
      <c r="B15" s="1" t="s">
        <v>13</v>
      </c>
      <c r="C15" s="1" t="s">
        <v>7</v>
      </c>
      <c r="D15" s="3">
        <v>5</v>
      </c>
      <c r="E15" s="3">
        <v>852</v>
      </c>
      <c r="F15" s="3">
        <v>-11.8651081</v>
      </c>
      <c r="G15" s="9" t="s">
        <v>85</v>
      </c>
      <c r="H15" s="10">
        <v>966.7</v>
      </c>
      <c r="I15" s="1" t="s">
        <v>8</v>
      </c>
      <c r="L15" t="str">
        <f>IF(COUNTIFS( $B$2:$B$963, B15, $C$2:$C$963, C15, $D$2:$D$963, D15, $E$2:$E$963, E15) &gt; 1, "Duplicate", "Unique")</f>
        <v>Unique</v>
      </c>
    </row>
    <row r="16" spans="1:12" ht="26.5" hidden="1" thickBot="1" x14ac:dyDescent="0.4">
      <c r="A16" s="2">
        <v>46181.6875</v>
      </c>
      <c r="B16" s="1" t="s">
        <v>15</v>
      </c>
      <c r="C16" s="1" t="s">
        <v>7</v>
      </c>
      <c r="D16" s="3">
        <v>100</v>
      </c>
      <c r="E16" s="3">
        <v>111</v>
      </c>
      <c r="F16" s="3">
        <v>-11.610129000000001</v>
      </c>
      <c r="G16" s="9" t="s">
        <v>87</v>
      </c>
      <c r="H16" s="10">
        <v>125.58</v>
      </c>
      <c r="I16" s="1" t="s">
        <v>8</v>
      </c>
      <c r="L16" t="str">
        <f>IF(COUNTIFS( $B$2:$B$963, B16, $C$2:$C$963, C16, $D$2:$D$963, D16, $E$2:$E$963, E16) &gt; 1, "Duplicate", "Unique")</f>
        <v>Unique</v>
      </c>
    </row>
    <row r="17" spans="1:12" ht="26.5" hidden="1" thickBot="1" x14ac:dyDescent="0.4">
      <c r="A17" s="2">
        <v>46211.6875</v>
      </c>
      <c r="B17" s="1" t="s">
        <v>20</v>
      </c>
      <c r="C17" s="1" t="s">
        <v>7</v>
      </c>
      <c r="D17" s="3">
        <v>20</v>
      </c>
      <c r="E17" s="3">
        <v>620</v>
      </c>
      <c r="F17" s="3">
        <v>-11.55492154</v>
      </c>
      <c r="G17" s="9" t="s">
        <v>92</v>
      </c>
      <c r="H17" s="10">
        <v>701</v>
      </c>
      <c r="I17" s="1" t="s">
        <v>8</v>
      </c>
      <c r="L17" t="str">
        <f>IF(COUNTIFS( $B$2:$B$963, B17, $C$2:$C$963, C17, $D$2:$D$963, D17, $E$2:$E$963, E17) &gt; 1, "Duplicate", "Unique")</f>
        <v>Unique</v>
      </c>
    </row>
    <row r="18" spans="1:12" ht="26.5" hidden="1" thickBot="1" x14ac:dyDescent="0.4">
      <c r="A18" s="2">
        <v>46240.6875</v>
      </c>
      <c r="B18" s="1" t="s">
        <v>20</v>
      </c>
      <c r="C18" s="1" t="s">
        <v>7</v>
      </c>
      <c r="D18" s="3">
        <v>30</v>
      </c>
      <c r="E18" s="3">
        <v>620</v>
      </c>
      <c r="F18" s="3">
        <v>-11.55492154</v>
      </c>
      <c r="G18" s="9" t="s">
        <v>92</v>
      </c>
      <c r="H18" s="10">
        <v>701</v>
      </c>
      <c r="I18" s="1" t="s">
        <v>8</v>
      </c>
      <c r="L18" t="str">
        <f>IF(COUNTIFS( $B$2:$B$963, B18, $C$2:$C$963, C18, $D$2:$D$963, D18, $E$2:$E$963, E18) &gt; 1, "Duplicate", "Unique")</f>
        <v>Unique</v>
      </c>
    </row>
    <row r="19" spans="1:12" ht="26.5" hidden="1" thickBot="1" x14ac:dyDescent="0.4">
      <c r="A19" s="2">
        <v>46240.6875</v>
      </c>
      <c r="B19" s="1" t="s">
        <v>22</v>
      </c>
      <c r="C19" s="1" t="s">
        <v>7</v>
      </c>
      <c r="D19" s="3">
        <v>5</v>
      </c>
      <c r="E19" s="3">
        <v>1614</v>
      </c>
      <c r="F19" s="3">
        <v>-11.50345433</v>
      </c>
      <c r="G19" s="9" t="s">
        <v>94</v>
      </c>
      <c r="H19" s="10">
        <v>1823.8</v>
      </c>
      <c r="I19" s="1" t="s">
        <v>8</v>
      </c>
      <c r="L19" t="str">
        <f>IF(COUNTIFS( $B$2:$B$963, B19, $C$2:$C$963, C19, $D$2:$D$963, D19, $E$2:$E$963, E19) &gt; 1, "Duplicate", "Unique")</f>
        <v>Unique</v>
      </c>
    </row>
    <row r="20" spans="1:12" ht="26.5" hidden="1" thickBot="1" x14ac:dyDescent="0.4">
      <c r="A20" s="2">
        <v>46244.635416666664</v>
      </c>
      <c r="B20" s="1" t="s">
        <v>31</v>
      </c>
      <c r="C20" s="1" t="s">
        <v>7</v>
      </c>
      <c r="D20" s="3">
        <v>2</v>
      </c>
      <c r="E20" s="3">
        <v>2560</v>
      </c>
      <c r="F20" s="3">
        <v>-11.16971442</v>
      </c>
      <c r="G20" s="9" t="s">
        <v>103</v>
      </c>
      <c r="H20" s="10">
        <v>2881.9</v>
      </c>
      <c r="I20" s="1" t="s">
        <v>8</v>
      </c>
      <c r="L20" t="str">
        <f>IF(COUNTIFS( $B$2:$B$963, B20, $C$2:$C$963, C20, $D$2:$D$963, D20, $E$2:$E$963, E20) &gt; 1, "Duplicate", "Unique")</f>
        <v>Unique</v>
      </c>
    </row>
    <row r="21" spans="1:12" ht="26.5" hidden="1" thickBot="1" x14ac:dyDescent="0.4">
      <c r="A21" s="2">
        <v>46245.693032407406</v>
      </c>
      <c r="B21" s="1" t="s">
        <v>13</v>
      </c>
      <c r="C21" s="1" t="s">
        <v>7</v>
      </c>
      <c r="D21" s="3">
        <v>30</v>
      </c>
      <c r="E21" s="3">
        <v>860</v>
      </c>
      <c r="F21" s="3">
        <v>-11.03755043</v>
      </c>
      <c r="G21" s="9" t="s">
        <v>85</v>
      </c>
      <c r="H21" s="10">
        <v>966.7</v>
      </c>
      <c r="I21" s="1" t="s">
        <v>8</v>
      </c>
      <c r="L21" t="str">
        <f>IF(COUNTIFS( $B$2:$B$963, B21, $C$2:$C$963, C21, $D$2:$D$963, D21, $E$2:$E$963, E21) &gt; 1, "Duplicate", "Unique")</f>
        <v>Unique</v>
      </c>
    </row>
    <row r="22" spans="1:12" ht="15" hidden="1" thickBot="1" x14ac:dyDescent="0.4">
      <c r="A22" s="2">
        <v>46150.793055555558</v>
      </c>
      <c r="B22" s="1" t="s">
        <v>27</v>
      </c>
      <c r="C22" s="1" t="s">
        <v>7</v>
      </c>
      <c r="D22" s="3">
        <v>5</v>
      </c>
      <c r="E22" s="3">
        <v>560</v>
      </c>
      <c r="F22" s="3">
        <v>-10.27078994</v>
      </c>
      <c r="G22" s="9" t="s">
        <v>99</v>
      </c>
      <c r="H22" s="10">
        <v>624.1</v>
      </c>
      <c r="I22" s="1" t="s">
        <v>8</v>
      </c>
      <c r="L22" t="str">
        <f>IF(COUNTIFS( $B$2:$B$963, B22, $C$2:$C$963, C22, $D$2:$D$963, D22, $E$2:$E$963, E22) &gt; 1, "Duplicate", "Unique")</f>
        <v>Unique</v>
      </c>
    </row>
    <row r="23" spans="1:12" ht="26.5" hidden="1" thickBot="1" x14ac:dyDescent="0.4">
      <c r="A23" s="4" t="s">
        <v>55</v>
      </c>
      <c r="B23" s="1" t="s">
        <v>21</v>
      </c>
      <c r="C23" s="1" t="s">
        <v>7</v>
      </c>
      <c r="D23" s="3">
        <v>1</v>
      </c>
      <c r="E23" s="3">
        <v>4364</v>
      </c>
      <c r="F23" s="3">
        <v>-10.205761320000001</v>
      </c>
      <c r="G23" s="9" t="s">
        <v>93</v>
      </c>
      <c r="H23" s="10">
        <v>4860</v>
      </c>
      <c r="I23" s="1" t="s">
        <v>8</v>
      </c>
      <c r="L23" t="str">
        <f>IF(COUNTIFS( $B$2:$B$963, B23, $C$2:$C$963, C23, $D$2:$D$963, D23, $E$2:$E$963, E23) &gt; 1, "Duplicate", "Unique")</f>
        <v>Unique</v>
      </c>
    </row>
    <row r="24" spans="1:12" ht="39" hidden="1" thickBot="1" x14ac:dyDescent="0.4">
      <c r="A24" s="2">
        <v>46241.765277777777</v>
      </c>
      <c r="B24" s="1" t="s">
        <v>62</v>
      </c>
      <c r="C24" s="1" t="s">
        <v>7</v>
      </c>
      <c r="D24" s="3">
        <v>4</v>
      </c>
      <c r="E24" s="3">
        <v>1751</v>
      </c>
      <c r="F24" s="3">
        <v>-10.20512821</v>
      </c>
      <c r="G24" s="9" t="s">
        <v>133</v>
      </c>
      <c r="H24" s="10">
        <v>1950</v>
      </c>
      <c r="I24" s="1" t="s">
        <v>8</v>
      </c>
      <c r="L24" t="str">
        <f>IF(COUNTIFS( $B$2:$B$963, B24, $C$2:$C$963, C24, $D$2:$D$963, D24, $E$2:$E$963, E24) &gt; 1, "Duplicate", "Unique")</f>
        <v>Unique</v>
      </c>
    </row>
    <row r="25" spans="1:12" ht="15" hidden="1" thickBot="1" x14ac:dyDescent="0.4">
      <c r="A25" s="2">
        <v>46239.635416666664</v>
      </c>
      <c r="B25" s="1" t="s">
        <v>34</v>
      </c>
      <c r="C25" s="1" t="s">
        <v>7</v>
      </c>
      <c r="D25" s="3">
        <v>15</v>
      </c>
      <c r="E25" s="3">
        <v>4415</v>
      </c>
      <c r="F25" s="3">
        <v>-9.5583415269999996</v>
      </c>
      <c r="G25" s="9" t="s">
        <v>106</v>
      </c>
      <c r="H25" s="10">
        <v>4881.6000000000004</v>
      </c>
      <c r="I25" s="1" t="s">
        <v>8</v>
      </c>
      <c r="L25" t="str">
        <f>IF(COUNTIFS( $B$2:$B$963, B25, $C$2:$C$963, C25, $D$2:$D$963, D25, $E$2:$E$963, E25) &gt; 1, "Duplicate", "Unique")</f>
        <v>Unique</v>
      </c>
    </row>
    <row r="26" spans="1:12" ht="26.5" hidden="1" thickBot="1" x14ac:dyDescent="0.4">
      <c r="A26" s="2">
        <v>46245.693101851852</v>
      </c>
      <c r="B26" s="1" t="s">
        <v>17</v>
      </c>
      <c r="C26" s="1" t="s">
        <v>7</v>
      </c>
      <c r="D26" s="3">
        <v>5</v>
      </c>
      <c r="E26" s="3">
        <v>366</v>
      </c>
      <c r="F26" s="3">
        <v>-9.3947270700000001</v>
      </c>
      <c r="G26" s="9" t="s">
        <v>89</v>
      </c>
      <c r="H26" s="10">
        <v>403.95</v>
      </c>
      <c r="I26" s="1" t="s">
        <v>8</v>
      </c>
      <c r="L26" t="str">
        <f>IF(COUNTIFS( $B$2:$B$963, B26, $C$2:$C$963, C26, $D$2:$D$963, D26, $E$2:$E$963, E26) &gt; 1, "Duplicate", "Unique")</f>
        <v>Unique</v>
      </c>
    </row>
    <row r="27" spans="1:12" ht="26.5" hidden="1" thickBot="1" x14ac:dyDescent="0.4">
      <c r="A27" s="2">
        <v>46241.6875</v>
      </c>
      <c r="B27" s="1" t="s">
        <v>21</v>
      </c>
      <c r="C27" s="1" t="s">
        <v>7</v>
      </c>
      <c r="D27" s="3">
        <v>2</v>
      </c>
      <c r="E27" s="3">
        <v>4410</v>
      </c>
      <c r="F27" s="3">
        <v>-9.2592592590000002</v>
      </c>
      <c r="G27" s="9" t="s">
        <v>93</v>
      </c>
      <c r="H27" s="10">
        <v>4860</v>
      </c>
      <c r="I27" s="1" t="s">
        <v>8</v>
      </c>
      <c r="L27" t="str">
        <f>IF(COUNTIFS( $B$2:$B$963, B27, $C$2:$C$963, C27, $D$2:$D$963, D27, $E$2:$E$963, E27) &gt; 1, "Duplicate", "Unique")</f>
        <v>Unique</v>
      </c>
    </row>
    <row r="28" spans="1:12" ht="26.5" hidden="1" thickBot="1" x14ac:dyDescent="0.4">
      <c r="A28" s="2">
        <v>46245.693101851852</v>
      </c>
      <c r="B28" s="1" t="s">
        <v>25</v>
      </c>
      <c r="C28" s="1" t="s">
        <v>7</v>
      </c>
      <c r="D28" s="3">
        <v>1</v>
      </c>
      <c r="E28" s="3">
        <v>2164</v>
      </c>
      <c r="F28" s="3">
        <v>-8.8842105260000004</v>
      </c>
      <c r="G28" s="9" t="s">
        <v>97</v>
      </c>
      <c r="H28" s="10">
        <v>2375</v>
      </c>
      <c r="I28" s="1" t="s">
        <v>8</v>
      </c>
      <c r="L28" t="str">
        <f>IF(COUNTIFS( $B$2:$B$963, B28, $C$2:$C$963, C28, $D$2:$D$963, D28, $E$2:$E$963, E28) &gt; 1, "Duplicate", "Unique")</f>
        <v>Unique</v>
      </c>
    </row>
    <row r="29" spans="1:12" ht="26.5" hidden="1" thickBot="1" x14ac:dyDescent="0.4">
      <c r="A29" s="2">
        <v>46240.6875</v>
      </c>
      <c r="B29" s="1" t="s">
        <v>25</v>
      </c>
      <c r="C29" s="1" t="s">
        <v>7</v>
      </c>
      <c r="D29" s="3">
        <v>2</v>
      </c>
      <c r="E29" s="3">
        <v>2164</v>
      </c>
      <c r="F29" s="3">
        <v>-8.8842105260000004</v>
      </c>
      <c r="G29" s="9" t="s">
        <v>97</v>
      </c>
      <c r="H29" s="10">
        <v>2375</v>
      </c>
      <c r="I29" s="1" t="s">
        <v>8</v>
      </c>
      <c r="L29" t="str">
        <f>IF(COUNTIFS( $B$2:$B$963, B29, $C$2:$C$963, C29, $D$2:$D$963, D29, $E$2:$E$963, E29) &gt; 1, "Duplicate", "Unique")</f>
        <v>Unique</v>
      </c>
    </row>
    <row r="30" spans="1:12" ht="15" hidden="1" thickBot="1" x14ac:dyDescent="0.4">
      <c r="A30" s="2">
        <v>46240.6875</v>
      </c>
      <c r="B30" s="1" t="s">
        <v>27</v>
      </c>
      <c r="C30" s="1" t="s">
        <v>7</v>
      </c>
      <c r="D30" s="3">
        <v>5</v>
      </c>
      <c r="E30" s="3">
        <v>569</v>
      </c>
      <c r="F30" s="3">
        <v>-8.8287133470000008</v>
      </c>
      <c r="G30" s="9" t="s">
        <v>99</v>
      </c>
      <c r="H30" s="10">
        <v>624.1</v>
      </c>
      <c r="I30" s="1" t="s">
        <v>8</v>
      </c>
      <c r="L30" t="str">
        <f>IF(COUNTIFS( $B$2:$B$963, B30, $C$2:$C$963, C30, $D$2:$D$963, D30, $E$2:$E$963, E30) &gt; 1, "Duplicate", "Unique")</f>
        <v>Unique</v>
      </c>
    </row>
    <row r="31" spans="1:12" ht="26.5" hidden="1" thickBot="1" x14ac:dyDescent="0.4">
      <c r="A31" s="4" t="s">
        <v>55</v>
      </c>
      <c r="B31" s="1" t="s">
        <v>45</v>
      </c>
      <c r="C31" s="1" t="s">
        <v>7</v>
      </c>
      <c r="D31" s="3">
        <v>2</v>
      </c>
      <c r="E31" s="3">
        <v>4010</v>
      </c>
      <c r="F31" s="3">
        <v>-8.8221919050000004</v>
      </c>
      <c r="G31" s="9" t="s">
        <v>117</v>
      </c>
      <c r="H31" s="10">
        <v>4398</v>
      </c>
      <c r="I31" s="1" t="s">
        <v>8</v>
      </c>
      <c r="L31" t="str">
        <f>IF(COUNTIFS( $B$2:$B$963, B31, $C$2:$C$963, C31, $D$2:$D$963, D31, $E$2:$E$963, E31) &gt; 1, "Duplicate", "Unique")</f>
        <v>Unique</v>
      </c>
    </row>
    <row r="32" spans="1:12" ht="26.5" hidden="1" thickBot="1" x14ac:dyDescent="0.4">
      <c r="A32" s="2">
        <v>46239.789583333331</v>
      </c>
      <c r="B32" s="1" t="s">
        <v>60</v>
      </c>
      <c r="C32" s="1" t="s">
        <v>7</v>
      </c>
      <c r="D32" s="3">
        <v>7</v>
      </c>
      <c r="E32" s="3">
        <v>411</v>
      </c>
      <c r="F32" s="3">
        <v>-8.798402308</v>
      </c>
      <c r="G32" s="9" t="s">
        <v>131</v>
      </c>
      <c r="H32" s="10">
        <v>450.65</v>
      </c>
      <c r="I32" s="1" t="s">
        <v>8</v>
      </c>
      <c r="L32" t="str">
        <f>IF(COUNTIFS( $B$2:$B$963, B32, $C$2:$C$963, C32, $D$2:$D$963, D32, $E$2:$E$963, E32) &gt; 1, "Duplicate", "Unique")</f>
        <v>Unique</v>
      </c>
    </row>
    <row r="33" spans="1:12" ht="26.5" hidden="1" thickBot="1" x14ac:dyDescent="0.4">
      <c r="A33" s="2">
        <v>46245.693009259259</v>
      </c>
      <c r="B33" s="1" t="s">
        <v>13</v>
      </c>
      <c r="C33" s="1" t="s">
        <v>7</v>
      </c>
      <c r="D33" s="3">
        <v>11</v>
      </c>
      <c r="E33" s="3">
        <v>882</v>
      </c>
      <c r="F33" s="3">
        <v>-8.7617668359999996</v>
      </c>
      <c r="G33" s="9" t="s">
        <v>85</v>
      </c>
      <c r="H33" s="10">
        <v>966.7</v>
      </c>
      <c r="I33" s="1" t="s">
        <v>8</v>
      </c>
      <c r="L33" t="str">
        <f>IF(COUNTIFS( $B$2:$B$963, B33, $C$2:$C$963, C33, $D$2:$D$963, D33, $E$2:$E$963, E33) &gt; 1, "Duplicate", "Unique")</f>
        <v>Unique</v>
      </c>
    </row>
    <row r="34" spans="1:12" ht="15" hidden="1" thickBot="1" x14ac:dyDescent="0.4">
      <c r="A34" s="2">
        <v>46240.635416666664</v>
      </c>
      <c r="B34" s="1" t="s">
        <v>34</v>
      </c>
      <c r="C34" s="1" t="s">
        <v>7</v>
      </c>
      <c r="D34" s="3">
        <v>2</v>
      </c>
      <c r="E34" s="3">
        <v>4456</v>
      </c>
      <c r="F34" s="3">
        <v>-8.7184529659999992</v>
      </c>
      <c r="G34" s="9" t="s">
        <v>106</v>
      </c>
      <c r="H34" s="10">
        <v>4881.6000000000004</v>
      </c>
      <c r="I34" s="1" t="s">
        <v>8</v>
      </c>
      <c r="L34" t="str">
        <f>IF(COUNTIFS( $B$2:$B$963, B34, $C$2:$C$963, C34, $D$2:$D$963, D34, $E$2:$E$963, E34) &gt; 1, "Duplicate", "Unique")</f>
        <v>Unique</v>
      </c>
    </row>
    <row r="35" spans="1:12" ht="26.5" hidden="1" thickBot="1" x14ac:dyDescent="0.4">
      <c r="A35" s="2">
        <v>46241.6875</v>
      </c>
      <c r="B35" s="1" t="s">
        <v>20</v>
      </c>
      <c r="C35" s="1" t="s">
        <v>7</v>
      </c>
      <c r="D35" s="3">
        <v>10</v>
      </c>
      <c r="E35" s="3">
        <v>640</v>
      </c>
      <c r="F35" s="3">
        <v>-8.7018544940000009</v>
      </c>
      <c r="G35" s="9" t="s">
        <v>92</v>
      </c>
      <c r="H35" s="10">
        <v>701</v>
      </c>
      <c r="I35" s="1" t="s">
        <v>8</v>
      </c>
      <c r="L35" t="str">
        <f>IF(COUNTIFS( $B$2:$B$963, B35, $C$2:$C$963, C35, $D$2:$D$963, D35, $E$2:$E$963, E35) &gt; 1, "Duplicate", "Unique")</f>
        <v>Unique</v>
      </c>
    </row>
    <row r="36" spans="1:12" ht="15" hidden="1" thickBot="1" x14ac:dyDescent="0.4">
      <c r="A36" s="4" t="s">
        <v>55</v>
      </c>
      <c r="B36" s="1" t="s">
        <v>61</v>
      </c>
      <c r="C36" s="1" t="s">
        <v>7</v>
      </c>
      <c r="D36" s="3">
        <v>1</v>
      </c>
      <c r="E36" s="3">
        <v>6920</v>
      </c>
      <c r="F36" s="3">
        <v>-8.6709779600000001</v>
      </c>
      <c r="G36" s="9" t="s">
        <v>132</v>
      </c>
      <c r="H36" s="10">
        <v>7577</v>
      </c>
      <c r="I36" s="1" t="s">
        <v>8</v>
      </c>
      <c r="L36" t="str">
        <f>IF(COUNTIFS( $B$2:$B$963, B36, $C$2:$C$963, C36, $D$2:$D$963, D36, $E$2:$E$963, E36) &gt; 1, "Duplicate", "Unique")</f>
        <v>Unique</v>
      </c>
    </row>
    <row r="37" spans="1:12" ht="26.5" hidden="1" thickBot="1" x14ac:dyDescent="0.4">
      <c r="A37" s="2">
        <v>46245.693032407406</v>
      </c>
      <c r="B37" s="1" t="s">
        <v>22</v>
      </c>
      <c r="C37" s="1" t="s">
        <v>7</v>
      </c>
      <c r="D37" s="3">
        <v>10</v>
      </c>
      <c r="E37" s="3">
        <v>1666</v>
      </c>
      <c r="F37" s="3">
        <v>-8.6522645029999996</v>
      </c>
      <c r="G37" s="9" t="s">
        <v>94</v>
      </c>
      <c r="H37" s="10">
        <v>1823.8</v>
      </c>
      <c r="I37" s="1" t="s">
        <v>8</v>
      </c>
      <c r="L37" t="str">
        <f>IF(COUNTIFS( $B$2:$B$963, B37, $C$2:$C$963, C37, $D$2:$D$963, D37, $E$2:$E$963, E37) &gt; 1, "Duplicate", "Unique")</f>
        <v>Unique</v>
      </c>
    </row>
    <row r="38" spans="1:12" ht="26.5" hidden="1" thickBot="1" x14ac:dyDescent="0.4">
      <c r="A38" s="2">
        <v>46245.693159722221</v>
      </c>
      <c r="B38" s="1" t="s">
        <v>15</v>
      </c>
      <c r="C38" s="1" t="s">
        <v>7</v>
      </c>
      <c r="D38" s="3">
        <v>200</v>
      </c>
      <c r="E38" s="3">
        <v>115.25</v>
      </c>
      <c r="F38" s="3">
        <v>-8.2258321389999995</v>
      </c>
      <c r="G38" s="9" t="s">
        <v>87</v>
      </c>
      <c r="H38" s="10">
        <v>125.58</v>
      </c>
      <c r="I38" s="1" t="s">
        <v>8</v>
      </c>
      <c r="L38" t="str">
        <f>IF(COUNTIFS( $B$2:$B$963, B38, $C$2:$C$963, C38, $D$2:$D$963, D38, $E$2:$E$963, E38) &gt; 1, "Duplicate", "Unique")</f>
        <v>Unique</v>
      </c>
    </row>
    <row r="39" spans="1:12" ht="15" hidden="1" thickBot="1" x14ac:dyDescent="0.4">
      <c r="A39" s="2">
        <v>46211.635416666664</v>
      </c>
      <c r="B39" s="1" t="s">
        <v>33</v>
      </c>
      <c r="C39" s="1" t="s">
        <v>7</v>
      </c>
      <c r="D39" s="3">
        <v>3</v>
      </c>
      <c r="E39" s="3">
        <v>3310</v>
      </c>
      <c r="F39" s="3">
        <v>-8.1576026640000006</v>
      </c>
      <c r="G39" s="9" t="s">
        <v>105</v>
      </c>
      <c r="H39" s="10">
        <v>3604</v>
      </c>
      <c r="I39" s="1" t="s">
        <v>8</v>
      </c>
      <c r="L39" t="str">
        <f>IF(COUNTIFS( $B$2:$B$963, B39, $C$2:$C$963, C39, $D$2:$D$963, D39, $E$2:$E$963, E39) &gt; 1, "Duplicate", "Unique")</f>
        <v>Unique</v>
      </c>
    </row>
    <row r="40" spans="1:12" ht="15" hidden="1" thickBot="1" x14ac:dyDescent="0.4">
      <c r="A40" s="2">
        <v>46240.635416666664</v>
      </c>
      <c r="B40" s="1" t="s">
        <v>48</v>
      </c>
      <c r="C40" s="1" t="s">
        <v>7</v>
      </c>
      <c r="D40" s="3">
        <v>9</v>
      </c>
      <c r="E40" s="3">
        <v>2251</v>
      </c>
      <c r="F40" s="3">
        <v>-7.8252323820000003</v>
      </c>
      <c r="G40" s="9" t="s">
        <v>120</v>
      </c>
      <c r="H40" s="10">
        <v>2442.1</v>
      </c>
      <c r="I40" s="1" t="s">
        <v>8</v>
      </c>
      <c r="L40" t="str">
        <f>IF(COUNTIFS( $B$2:$B$963, B40, $C$2:$C$963, C40, $D$2:$D$963, D40, $E$2:$E$963, E40) &gt; 1, "Duplicate", "Unique")</f>
        <v>Unique</v>
      </c>
    </row>
    <row r="41" spans="1:12" ht="26.5" hidden="1" thickBot="1" x14ac:dyDescent="0.4">
      <c r="A41" s="2">
        <v>46245.63554398148</v>
      </c>
      <c r="B41" s="1" t="s">
        <v>31</v>
      </c>
      <c r="C41" s="1" t="s">
        <v>7</v>
      </c>
      <c r="D41" s="3">
        <v>2</v>
      </c>
      <c r="E41" s="3">
        <v>2660</v>
      </c>
      <c r="F41" s="3">
        <v>-7.6997813940000004</v>
      </c>
      <c r="G41" s="9" t="s">
        <v>103</v>
      </c>
      <c r="H41" s="10">
        <v>2881.9</v>
      </c>
      <c r="I41" s="1" t="s">
        <v>8</v>
      </c>
      <c r="L41" t="str">
        <f>IF(COUNTIFS( $B$2:$B$963, B41, $C$2:$C$963, C41, $D$2:$D$963, D41, $E$2:$E$963, E41) &gt; 1, "Duplicate", "Unique")</f>
        <v>Unique</v>
      </c>
    </row>
    <row r="42" spans="1:12" ht="26.5" hidden="1" thickBot="1" x14ac:dyDescent="0.4">
      <c r="A42" s="4" t="s">
        <v>55</v>
      </c>
      <c r="B42" s="1" t="s">
        <v>45</v>
      </c>
      <c r="C42" s="1" t="s">
        <v>7</v>
      </c>
      <c r="D42" s="3">
        <v>2</v>
      </c>
      <c r="E42" s="3">
        <v>4060</v>
      </c>
      <c r="F42" s="3">
        <v>-7.6853115049999996</v>
      </c>
      <c r="G42" s="9" t="s">
        <v>117</v>
      </c>
      <c r="H42" s="10">
        <v>4398</v>
      </c>
      <c r="I42" s="1" t="s">
        <v>8</v>
      </c>
      <c r="L42" t="str">
        <f>IF(COUNTIFS( $B$2:$B$963, B42, $C$2:$C$963, C42, $D$2:$D$963, D42, $E$2:$E$963, E42) &gt; 1, "Duplicate", "Unique")</f>
        <v>Unique</v>
      </c>
    </row>
    <row r="43" spans="1:12" ht="26.5" hidden="1" thickBot="1" x14ac:dyDescent="0.4">
      <c r="A43" s="2">
        <v>46245.693171296298</v>
      </c>
      <c r="B43" s="1" t="s">
        <v>15</v>
      </c>
      <c r="C43" s="1" t="s">
        <v>7</v>
      </c>
      <c r="D43" s="3">
        <v>50</v>
      </c>
      <c r="E43" s="3">
        <v>116</v>
      </c>
      <c r="F43" s="3">
        <v>-7.6286032810000002</v>
      </c>
      <c r="G43" s="9" t="s">
        <v>87</v>
      </c>
      <c r="H43" s="10">
        <v>125.58</v>
      </c>
      <c r="I43" s="1" t="s">
        <v>8</v>
      </c>
      <c r="L43" t="str">
        <f>IF(COUNTIFS( $B$2:$B$963, B43, $C$2:$C$963, C43, $D$2:$D$963, D43, $E$2:$E$963, E43) &gt; 1, "Duplicate", "Unique")</f>
        <v>Unique</v>
      </c>
    </row>
    <row r="44" spans="1:12" ht="26.5" hidden="1" thickBot="1" x14ac:dyDescent="0.4">
      <c r="A44" s="4" t="s">
        <v>55</v>
      </c>
      <c r="B44" s="1" t="s">
        <v>47</v>
      </c>
      <c r="C44" s="1" t="s">
        <v>7</v>
      </c>
      <c r="D44" s="3">
        <v>5</v>
      </c>
      <c r="E44" s="3">
        <v>812</v>
      </c>
      <c r="F44" s="3">
        <v>-7.4116305589999998</v>
      </c>
      <c r="G44" s="9" t="s">
        <v>119</v>
      </c>
      <c r="H44" s="10">
        <v>877</v>
      </c>
      <c r="I44" s="1" t="s">
        <v>8</v>
      </c>
      <c r="L44" t="str">
        <f>IF(COUNTIFS( $B$2:$B$963, B44, $C$2:$C$963, C44, $D$2:$D$963, D44, $E$2:$E$963, E44) &gt; 1, "Duplicate", "Unique")</f>
        <v>Unique</v>
      </c>
    </row>
    <row r="45" spans="1:12" ht="26.5" hidden="1" thickBot="1" x14ac:dyDescent="0.4">
      <c r="A45" s="4" t="s">
        <v>55</v>
      </c>
      <c r="B45" s="1" t="s">
        <v>59</v>
      </c>
      <c r="C45" s="1" t="s">
        <v>7</v>
      </c>
      <c r="D45" s="3">
        <v>10</v>
      </c>
      <c r="E45" s="3">
        <v>251</v>
      </c>
      <c r="F45" s="3">
        <v>-7.3458840900000002</v>
      </c>
      <c r="G45" s="9" t="s">
        <v>130</v>
      </c>
      <c r="H45" s="10">
        <v>270.89999999999998</v>
      </c>
      <c r="I45" s="1" t="s">
        <v>8</v>
      </c>
      <c r="L45" t="str">
        <f>IF(COUNTIFS( $B$2:$B$963, B45, $C$2:$C$963, C45, $D$2:$D$963, D45, $E$2:$E$963, E45) &gt; 1, "Duplicate", "Unique")</f>
        <v>Unique</v>
      </c>
    </row>
    <row r="46" spans="1:12" ht="39" hidden="1" thickBot="1" x14ac:dyDescent="0.4">
      <c r="A46" s="2">
        <v>46211.6875</v>
      </c>
      <c r="B46" s="1" t="s">
        <v>14</v>
      </c>
      <c r="C46" s="1" t="s">
        <v>7</v>
      </c>
      <c r="D46" s="3">
        <v>50</v>
      </c>
      <c r="E46" s="3">
        <v>206</v>
      </c>
      <c r="F46" s="3">
        <v>-7.3282648789999998</v>
      </c>
      <c r="G46" s="9" t="s">
        <v>86</v>
      </c>
      <c r="H46" s="10">
        <v>222.29</v>
      </c>
      <c r="I46" s="1" t="s">
        <v>8</v>
      </c>
      <c r="L46" t="str">
        <f>IF(COUNTIFS( $B$2:$B$963, B46, $C$2:$C$963, C46, $D$2:$D$963, D46, $E$2:$E$963, E46) &gt; 1, "Duplicate", "Unique")</f>
        <v>Unique</v>
      </c>
    </row>
    <row r="47" spans="1:12" ht="15" hidden="1" thickBot="1" x14ac:dyDescent="0.4">
      <c r="A47" s="2">
        <v>46334.693055555559</v>
      </c>
      <c r="B47" s="1" t="s">
        <v>11</v>
      </c>
      <c r="C47" s="1" t="s">
        <v>7</v>
      </c>
      <c r="D47" s="3">
        <v>100</v>
      </c>
      <c r="E47" s="3">
        <v>322</v>
      </c>
      <c r="F47" s="3">
        <v>-7.1778610550000002</v>
      </c>
      <c r="G47" s="9" t="s">
        <v>83</v>
      </c>
      <c r="H47" s="10">
        <v>346.9</v>
      </c>
      <c r="I47" s="1" t="s">
        <v>8</v>
      </c>
      <c r="L47" t="str">
        <f>IF(COUNTIFS( $B$2:$B$963, B47, $C$2:$C$963, C47, $D$2:$D$963, D47, $E$2:$E$963, E47) &gt; 1, "Duplicate", "Unique")</f>
        <v>Unique</v>
      </c>
    </row>
    <row r="48" spans="1:12" ht="15" hidden="1" thickBot="1" x14ac:dyDescent="0.4">
      <c r="A48" s="4" t="s">
        <v>55</v>
      </c>
      <c r="B48" s="1" t="s">
        <v>29</v>
      </c>
      <c r="C48" s="1" t="s">
        <v>7</v>
      </c>
      <c r="D48" s="3">
        <v>2</v>
      </c>
      <c r="E48" s="3">
        <v>3760</v>
      </c>
      <c r="F48" s="3">
        <v>-7.103150093</v>
      </c>
      <c r="G48" s="9" t="s">
        <v>101</v>
      </c>
      <c r="H48" s="10">
        <v>4047.5</v>
      </c>
      <c r="I48" s="1" t="s">
        <v>8</v>
      </c>
      <c r="L48" t="str">
        <f>IF(COUNTIFS( $B$2:$B$963, B48, $C$2:$C$963, C48, $D$2:$D$963, D48, $E$2:$E$963, E48) &gt; 1, "Duplicate", "Unique")</f>
        <v>Unique</v>
      </c>
    </row>
    <row r="49" spans="1:12" ht="26.5" hidden="1" thickBot="1" x14ac:dyDescent="0.4">
      <c r="A49" s="2">
        <v>46244.635416666664</v>
      </c>
      <c r="B49" s="1" t="s">
        <v>58</v>
      </c>
      <c r="C49" s="1" t="s">
        <v>7</v>
      </c>
      <c r="D49" s="3">
        <v>8</v>
      </c>
      <c r="E49" s="3">
        <v>2370</v>
      </c>
      <c r="F49" s="3">
        <v>-7.098898514</v>
      </c>
      <c r="G49" s="9" t="s">
        <v>129</v>
      </c>
      <c r="H49" s="10">
        <v>2551.1</v>
      </c>
      <c r="I49" s="1" t="s">
        <v>8</v>
      </c>
      <c r="L49" t="str">
        <f>IF(COUNTIFS( $B$2:$B$963, B49, $C$2:$C$963, C49, $D$2:$D$963, D49, $E$2:$E$963, E49) &gt; 1, "Duplicate", "Unique")</f>
        <v>Unique</v>
      </c>
    </row>
    <row r="50" spans="1:12" ht="26.5" hidden="1" thickBot="1" x14ac:dyDescent="0.4">
      <c r="A50" s="2">
        <v>46245.692997685182</v>
      </c>
      <c r="B50" s="1" t="s">
        <v>16</v>
      </c>
      <c r="C50" s="1" t="s">
        <v>7</v>
      </c>
      <c r="D50" s="3">
        <v>5</v>
      </c>
      <c r="E50" s="3">
        <v>452</v>
      </c>
      <c r="F50" s="3">
        <v>-6.6790544030000003</v>
      </c>
      <c r="G50" s="9" t="s">
        <v>88</v>
      </c>
      <c r="H50" s="10">
        <v>484.35</v>
      </c>
      <c r="I50" s="1" t="s">
        <v>8</v>
      </c>
      <c r="L50" t="str">
        <f>IF(COUNTIFS( $B$2:$B$963, B50, $C$2:$C$963, C50, $D$2:$D$963, D50, $E$2:$E$963, E50) &gt; 1, "Duplicate", "Unique")</f>
        <v>Unique</v>
      </c>
    </row>
    <row r="51" spans="1:12" ht="15" hidden="1" thickBot="1" x14ac:dyDescent="0.4">
      <c r="A51" s="2">
        <v>46211.635416666664</v>
      </c>
      <c r="B51" s="1" t="s">
        <v>34</v>
      </c>
      <c r="C51" s="1" t="s">
        <v>7</v>
      </c>
      <c r="D51" s="3">
        <v>1</v>
      </c>
      <c r="E51" s="3">
        <v>4560</v>
      </c>
      <c r="F51" s="3">
        <v>-6.5880039330000004</v>
      </c>
      <c r="G51" s="9" t="s">
        <v>106</v>
      </c>
      <c r="H51" s="10">
        <v>4881.6000000000004</v>
      </c>
      <c r="I51" s="1" t="s">
        <v>8</v>
      </c>
      <c r="L51" t="str">
        <f>IF(COUNTIFS( $B$2:$B$963, B51, $C$2:$C$963, C51, $D$2:$D$963, D51, $E$2:$E$963, E51) &gt; 1, "Duplicate", "Unique")</f>
        <v>Unique</v>
      </c>
    </row>
    <row r="52" spans="1:12" ht="26.5" hidden="1" thickBot="1" x14ac:dyDescent="0.4">
      <c r="A52" s="4" t="s">
        <v>55</v>
      </c>
      <c r="B52" s="1" t="s">
        <v>45</v>
      </c>
      <c r="C52" s="1" t="s">
        <v>7</v>
      </c>
      <c r="D52" s="3">
        <v>1</v>
      </c>
      <c r="E52" s="3">
        <v>4110</v>
      </c>
      <c r="F52" s="3">
        <v>-6.5484311049999997</v>
      </c>
      <c r="G52" s="9" t="s">
        <v>117</v>
      </c>
      <c r="H52" s="10">
        <v>4398</v>
      </c>
      <c r="I52" s="1" t="s">
        <v>8</v>
      </c>
      <c r="L52" t="str">
        <f>IF(COUNTIFS( $B$2:$B$963, B52, $C$2:$C$963, C52, $D$2:$D$963, D52, $E$2:$E$963, E52) &gt; 1, "Duplicate", "Unique")</f>
        <v>Unique</v>
      </c>
    </row>
    <row r="53" spans="1:12" ht="26.5" hidden="1" thickBot="1" x14ac:dyDescent="0.4">
      <c r="A53" s="2">
        <v>46211.76458333333</v>
      </c>
      <c r="B53" s="1" t="s">
        <v>56</v>
      </c>
      <c r="C53" s="1" t="s">
        <v>7</v>
      </c>
      <c r="D53" s="3">
        <v>25</v>
      </c>
      <c r="E53" s="3">
        <v>196</v>
      </c>
      <c r="F53" s="3">
        <v>-6.5420560749999996</v>
      </c>
      <c r="G53" s="9" t="s">
        <v>127</v>
      </c>
      <c r="H53" s="10">
        <v>209.72</v>
      </c>
      <c r="I53" s="1" t="s">
        <v>8</v>
      </c>
      <c r="L53" t="str">
        <f>IF(COUNTIFS( $B$2:$B$963, B53, $C$2:$C$963, C53, $D$2:$D$963, D53, $E$2:$E$963, E53) &gt; 1, "Duplicate", "Unique")</f>
        <v>Unique</v>
      </c>
    </row>
    <row r="54" spans="1:12" ht="26.5" hidden="1" thickBot="1" x14ac:dyDescent="0.4">
      <c r="A54" s="2">
        <v>46211.635416666664</v>
      </c>
      <c r="B54" s="1" t="s">
        <v>40</v>
      </c>
      <c r="C54" s="1" t="s">
        <v>7</v>
      </c>
      <c r="D54" s="3">
        <v>1</v>
      </c>
      <c r="E54" s="3">
        <v>17552</v>
      </c>
      <c r="F54" s="3">
        <v>-6.0385438970000003</v>
      </c>
      <c r="G54" s="9" t="s">
        <v>112</v>
      </c>
      <c r="H54" s="10">
        <v>18680</v>
      </c>
      <c r="I54" s="1" t="s">
        <v>8</v>
      </c>
      <c r="L54" t="str">
        <f>IF(COUNTIFS( $B$2:$B$963, B54, $C$2:$C$963, C54, $D$2:$D$963, D54, $E$2:$E$963, E54) &gt; 1, "Duplicate", "Unique")</f>
        <v>Unique</v>
      </c>
    </row>
    <row r="55" spans="1:12" ht="26.5" hidden="1" thickBot="1" x14ac:dyDescent="0.4">
      <c r="A55" s="2">
        <v>46211.76458333333</v>
      </c>
      <c r="B55" s="1" t="s">
        <v>57</v>
      </c>
      <c r="C55" s="1" t="s">
        <v>7</v>
      </c>
      <c r="D55" s="3">
        <v>500</v>
      </c>
      <c r="E55" s="3">
        <v>33.159999999999997</v>
      </c>
      <c r="F55" s="3">
        <v>-6.0357041650000003</v>
      </c>
      <c r="G55" s="9" t="s">
        <v>128</v>
      </c>
      <c r="H55" s="10">
        <v>35.29</v>
      </c>
      <c r="I55" s="1" t="s">
        <v>8</v>
      </c>
      <c r="L55" t="str">
        <f>IF(COUNTIFS( $B$2:$B$963, B55, $C$2:$C$963, C55, $D$2:$D$963, D55, $E$2:$E$963, E55) &gt; 1, "Duplicate", "Unique")</f>
        <v>Unique</v>
      </c>
    </row>
    <row r="56" spans="1:12" ht="26.5" hidden="1" thickBot="1" x14ac:dyDescent="0.4">
      <c r="A56" s="2">
        <v>46244.635416666664</v>
      </c>
      <c r="B56" s="1" t="s">
        <v>58</v>
      </c>
      <c r="C56" s="1" t="s">
        <v>7</v>
      </c>
      <c r="D56" s="3">
        <v>7</v>
      </c>
      <c r="E56" s="3">
        <v>2401</v>
      </c>
      <c r="F56" s="3">
        <v>-5.8837364269999997</v>
      </c>
      <c r="G56" s="9" t="s">
        <v>129</v>
      </c>
      <c r="H56" s="10">
        <v>2551.1</v>
      </c>
      <c r="I56" s="1" t="s">
        <v>8</v>
      </c>
      <c r="L56" t="str">
        <f>IF(COUNTIFS( $B$2:$B$963, B56, $C$2:$C$963, C56, $D$2:$D$963, D56, $E$2:$E$963, E56) &gt; 1, "Duplicate", "Unique")</f>
        <v>Unique</v>
      </c>
    </row>
    <row r="57" spans="1:12" ht="15" hidden="1" thickBot="1" x14ac:dyDescent="0.4">
      <c r="A57" s="4" t="s">
        <v>55</v>
      </c>
      <c r="B57" s="1" t="s">
        <v>29</v>
      </c>
      <c r="C57" s="1" t="s">
        <v>7</v>
      </c>
      <c r="D57" s="3">
        <v>3</v>
      </c>
      <c r="E57" s="3">
        <v>3810</v>
      </c>
      <c r="F57" s="3">
        <v>-5.8678196419999997</v>
      </c>
      <c r="G57" s="9" t="s">
        <v>101</v>
      </c>
      <c r="H57" s="10">
        <v>4047.5</v>
      </c>
      <c r="I57" s="1" t="s">
        <v>8</v>
      </c>
      <c r="L57" t="str">
        <f>IF(COUNTIFS( $B$2:$B$963, B57, $C$2:$C$963, C57, $D$2:$D$963, D57, $E$2:$E$963, E57) &gt; 1, "Duplicate", "Unique")</f>
        <v>Unique</v>
      </c>
    </row>
    <row r="58" spans="1:12" ht="26.5" hidden="1" thickBot="1" x14ac:dyDescent="0.4">
      <c r="A58" s="2">
        <v>46245.693229166667</v>
      </c>
      <c r="B58" s="1" t="s">
        <v>20</v>
      </c>
      <c r="C58" s="1" t="s">
        <v>7</v>
      </c>
      <c r="D58" s="3">
        <v>5</v>
      </c>
      <c r="E58" s="3">
        <v>660</v>
      </c>
      <c r="F58" s="3">
        <v>-5.8487874470000003</v>
      </c>
      <c r="G58" s="9" t="s">
        <v>92</v>
      </c>
      <c r="H58" s="10">
        <v>701</v>
      </c>
      <c r="I58" s="1" t="s">
        <v>8</v>
      </c>
      <c r="L58" t="str">
        <f>IF(COUNTIFS( $B$2:$B$963, B58, $C$2:$C$963, C58, $D$2:$D$963, D58, $E$2:$E$963, E58) &gt; 1, "Duplicate", "Unique")</f>
        <v>Unique</v>
      </c>
    </row>
    <row r="59" spans="1:12" ht="26.5" hidden="1" thickBot="1" x14ac:dyDescent="0.4">
      <c r="A59" s="2">
        <v>46245.693159722221</v>
      </c>
      <c r="B59" s="1" t="s">
        <v>6</v>
      </c>
      <c r="C59" s="1" t="s">
        <v>7</v>
      </c>
      <c r="D59" s="3">
        <v>50</v>
      </c>
      <c r="E59" s="3">
        <v>196</v>
      </c>
      <c r="F59" s="3">
        <v>-5.769230769</v>
      </c>
      <c r="G59" s="9" t="s">
        <v>81</v>
      </c>
      <c r="H59" s="10">
        <v>208</v>
      </c>
      <c r="I59" s="1" t="s">
        <v>8</v>
      </c>
      <c r="L59" t="str">
        <f>IF(COUNTIFS( $B$2:$B$963, B59, $C$2:$C$963, C59, $D$2:$D$963, D59, $E$2:$E$963, E59) &gt; 1, "Duplicate", "Unique")</f>
        <v>Unique</v>
      </c>
    </row>
    <row r="60" spans="1:12" ht="15" hidden="1" thickBot="1" x14ac:dyDescent="0.4">
      <c r="A60" s="4" t="s">
        <v>55</v>
      </c>
      <c r="B60" s="1" t="s">
        <v>23</v>
      </c>
      <c r="C60" s="1" t="s">
        <v>7</v>
      </c>
      <c r="D60" s="3">
        <v>37</v>
      </c>
      <c r="E60" s="3">
        <v>277</v>
      </c>
      <c r="F60" s="3">
        <v>-5.766286783</v>
      </c>
      <c r="G60" s="9" t="s">
        <v>95</v>
      </c>
      <c r="H60" s="10">
        <v>293.95</v>
      </c>
      <c r="I60" s="1" t="s">
        <v>8</v>
      </c>
      <c r="L60" t="str">
        <f>IF(COUNTIFS( $B$2:$B$963, B60, $C$2:$C$963, C60, $D$2:$D$963, D60, $E$2:$E$963, E60) &gt; 1, "Duplicate", "Unique")</f>
        <v>Unique</v>
      </c>
    </row>
    <row r="61" spans="1:12" ht="26.5" hidden="1" thickBot="1" x14ac:dyDescent="0.4">
      <c r="A61" s="2">
        <v>46239.635416666664</v>
      </c>
      <c r="B61" s="1" t="s">
        <v>41</v>
      </c>
      <c r="C61" s="1" t="s">
        <v>7</v>
      </c>
      <c r="D61" s="3">
        <v>15</v>
      </c>
      <c r="E61" s="3">
        <v>1005</v>
      </c>
      <c r="F61" s="3">
        <v>-5.7488511679999998</v>
      </c>
      <c r="G61" s="9" t="s">
        <v>113</v>
      </c>
      <c r="H61" s="10">
        <v>1066.3</v>
      </c>
      <c r="I61" s="1" t="s">
        <v>8</v>
      </c>
      <c r="L61" t="str">
        <f>IF(COUNTIFS( $B$2:$B$963, B61, $C$2:$C$963, C61, $D$2:$D$963, D61, $E$2:$E$963, E61) &gt; 1, "Duplicate", "Unique")</f>
        <v>Unique</v>
      </c>
    </row>
    <row r="62" spans="1:12" ht="39" hidden="1" thickBot="1" x14ac:dyDescent="0.4">
      <c r="A62" s="2">
        <v>46211.635416666664</v>
      </c>
      <c r="B62" s="1" t="s">
        <v>38</v>
      </c>
      <c r="C62" s="1" t="s">
        <v>7</v>
      </c>
      <c r="D62" s="3">
        <v>10</v>
      </c>
      <c r="E62" s="3">
        <v>1410</v>
      </c>
      <c r="F62" s="3">
        <v>-5.7486631020000001</v>
      </c>
      <c r="G62" s="9" t="s">
        <v>110</v>
      </c>
      <c r="H62" s="10">
        <v>1496</v>
      </c>
      <c r="I62" s="1" t="s">
        <v>8</v>
      </c>
      <c r="L62" t="str">
        <f>IF(COUNTIFS( $B$2:$B$963, B62, $C$2:$C$963, C62, $D$2:$D$963, D62, $E$2:$E$963, E62) &gt; 1, "Duplicate", "Unique")</f>
        <v>Unique</v>
      </c>
    </row>
    <row r="63" spans="1:12" ht="15" hidden="1" thickBot="1" x14ac:dyDescent="0.4">
      <c r="A63" s="2">
        <v>46334.693055555559</v>
      </c>
      <c r="B63" s="1" t="s">
        <v>11</v>
      </c>
      <c r="C63" s="1" t="s">
        <v>7</v>
      </c>
      <c r="D63" s="3">
        <v>100</v>
      </c>
      <c r="E63" s="3">
        <v>327</v>
      </c>
      <c r="F63" s="3">
        <v>-5.7365234940000001</v>
      </c>
      <c r="G63" s="9" t="s">
        <v>83</v>
      </c>
      <c r="H63" s="10">
        <v>346.9</v>
      </c>
      <c r="I63" s="1" t="s">
        <v>8</v>
      </c>
      <c r="L63" t="str">
        <f>IF(COUNTIFS( $B$2:$B$963, B63, $C$2:$C$963, C63, $D$2:$D$963, D63, $E$2:$E$963, E63) &gt; 1, "Duplicate", "Unique")</f>
        <v>Unique</v>
      </c>
    </row>
    <row r="64" spans="1:12" ht="26.5" hidden="1" thickBot="1" x14ac:dyDescent="0.4">
      <c r="A64" s="2">
        <v>46239.635416666664</v>
      </c>
      <c r="B64" s="1" t="s">
        <v>44</v>
      </c>
      <c r="C64" s="1" t="s">
        <v>7</v>
      </c>
      <c r="D64" s="3">
        <v>40</v>
      </c>
      <c r="E64" s="3">
        <v>878</v>
      </c>
      <c r="F64" s="3">
        <v>-5.6116964090000003</v>
      </c>
      <c r="G64" s="9" t="s">
        <v>116</v>
      </c>
      <c r="H64" s="10">
        <v>930.2</v>
      </c>
      <c r="I64" s="1" t="s">
        <v>8</v>
      </c>
      <c r="L64" t="str">
        <f>IF(COUNTIFS( $B$2:$B$963, B64, $C$2:$C$963, C64, $D$2:$D$963, D64, $E$2:$E$963, E64) &gt; 1, "Duplicate", "Unique")</f>
        <v>Unique</v>
      </c>
    </row>
    <row r="65" spans="1:12" ht="26.5" hidden="1" thickBot="1" x14ac:dyDescent="0.4">
      <c r="A65" s="2">
        <v>46211.765277777777</v>
      </c>
      <c r="B65" s="1" t="s">
        <v>12</v>
      </c>
      <c r="C65" s="1" t="s">
        <v>7</v>
      </c>
      <c r="D65" s="3">
        <v>30</v>
      </c>
      <c r="E65" s="3">
        <v>2435</v>
      </c>
      <c r="F65" s="3">
        <v>-5.4736024839999997</v>
      </c>
      <c r="G65" s="9" t="s">
        <v>84</v>
      </c>
      <c r="H65" s="10">
        <v>2576</v>
      </c>
      <c r="I65" s="1" t="s">
        <v>8</v>
      </c>
      <c r="L65" t="str">
        <f>IF(COUNTIFS( $B$2:$B$963, B65, $C$2:$C$963, C65, $D$2:$D$963, D65, $E$2:$E$963, E65) &gt; 1, "Duplicate", "Unique")</f>
        <v>Unique</v>
      </c>
    </row>
    <row r="66" spans="1:12" ht="15" hidden="1" thickBot="1" x14ac:dyDescent="0.4">
      <c r="A66" s="2">
        <v>46245.635555555556</v>
      </c>
      <c r="B66" s="1" t="s">
        <v>33</v>
      </c>
      <c r="C66" s="1" t="s">
        <v>7</v>
      </c>
      <c r="D66" s="3">
        <v>2</v>
      </c>
      <c r="E66" s="3">
        <v>3410</v>
      </c>
      <c r="F66" s="3">
        <v>-5.3829078800000003</v>
      </c>
      <c r="G66" s="9" t="s">
        <v>105</v>
      </c>
      <c r="H66" s="10">
        <v>3604</v>
      </c>
      <c r="I66" s="1" t="s">
        <v>8</v>
      </c>
      <c r="L66" t="str">
        <f>IF(COUNTIFS( $B$2:$B$963, B66, $C$2:$C$963, C66, $D$2:$D$963, D66, $E$2:$E$963, E66) &gt; 1, "Duplicate", "Unique")</f>
        <v>Unique</v>
      </c>
    </row>
    <row r="67" spans="1:12" ht="15" hidden="1" thickBot="1" x14ac:dyDescent="0.4">
      <c r="A67" s="4" t="s">
        <v>55</v>
      </c>
      <c r="B67" s="1" t="s">
        <v>29</v>
      </c>
      <c r="C67" s="1" t="s">
        <v>7</v>
      </c>
      <c r="D67" s="3">
        <v>2</v>
      </c>
      <c r="E67" s="3">
        <v>3830</v>
      </c>
      <c r="F67" s="3">
        <v>-5.3736874610000003</v>
      </c>
      <c r="G67" s="9" t="s">
        <v>101</v>
      </c>
      <c r="H67" s="10">
        <v>4047.5</v>
      </c>
      <c r="I67" s="1" t="s">
        <v>8</v>
      </c>
      <c r="L67" t="str">
        <f>IF(COUNTIFS( $B$2:$B$963, B67, $C$2:$C$963, C67, $D$2:$D$963, D67, $E$2:$E$963, E67) &gt; 1, "Duplicate", "Unique")</f>
        <v>Unique</v>
      </c>
    </row>
    <row r="68" spans="1:12" ht="26.5" hidden="1" thickBot="1" x14ac:dyDescent="0.4">
      <c r="A68" s="2">
        <v>46245.693101851852</v>
      </c>
      <c r="B68" s="1" t="s">
        <v>13</v>
      </c>
      <c r="C68" s="1" t="s">
        <v>7</v>
      </c>
      <c r="D68" s="3">
        <v>5</v>
      </c>
      <c r="E68" s="3">
        <v>916</v>
      </c>
      <c r="F68" s="3">
        <v>-5.244646736</v>
      </c>
      <c r="G68" s="9" t="s">
        <v>85</v>
      </c>
      <c r="H68" s="10">
        <v>966.7</v>
      </c>
      <c r="I68" s="1" t="s">
        <v>8</v>
      </c>
      <c r="L68" t="str">
        <f>IF(COUNTIFS( $B$2:$B$963, B68, $C$2:$C$963, C68, $D$2:$D$963, D68, $E$2:$E$963, E68) &gt; 1, "Duplicate", "Unique")</f>
        <v>Unique</v>
      </c>
    </row>
    <row r="69" spans="1:12" ht="26.5" hidden="1" thickBot="1" x14ac:dyDescent="0.4">
      <c r="A69" s="2">
        <v>46245.693124999998</v>
      </c>
      <c r="B69" s="1" t="s">
        <v>15</v>
      </c>
      <c r="C69" s="1" t="s">
        <v>7</v>
      </c>
      <c r="D69" s="3">
        <v>50</v>
      </c>
      <c r="E69" s="3">
        <v>119</v>
      </c>
      <c r="F69" s="3">
        <v>-5.239687848</v>
      </c>
      <c r="G69" s="9" t="s">
        <v>87</v>
      </c>
      <c r="H69" s="10">
        <v>125.58</v>
      </c>
      <c r="I69" s="1" t="s">
        <v>8</v>
      </c>
      <c r="L69" t="str">
        <f>IF(COUNTIFS( $B$2:$B$963, B69, $C$2:$C$963, C69, $D$2:$D$963, D69, $E$2:$E$963, E69) &gt; 1, "Duplicate", "Unique")</f>
        <v>Unique</v>
      </c>
    </row>
    <row r="70" spans="1:12" ht="26.5" hidden="1" thickBot="1" x14ac:dyDescent="0.4">
      <c r="A70" s="2">
        <v>46245.635567129626</v>
      </c>
      <c r="B70" s="1" t="s">
        <v>39</v>
      </c>
      <c r="C70" s="1" t="s">
        <v>7</v>
      </c>
      <c r="D70" s="3">
        <v>69</v>
      </c>
      <c r="E70" s="3">
        <v>1277</v>
      </c>
      <c r="F70" s="3">
        <v>-5.1263001490000004</v>
      </c>
      <c r="G70" s="9" t="s">
        <v>111</v>
      </c>
      <c r="H70" s="10">
        <v>1346</v>
      </c>
      <c r="I70" s="1" t="s">
        <v>8</v>
      </c>
      <c r="L70" t="str">
        <f>IF(COUNTIFS( $B$2:$B$963, B70, $C$2:$C$963, C70, $D$2:$D$963, D70, $E$2:$E$963, E70) &gt; 1, "Duplicate", "Unique")</f>
        <v>Unique</v>
      </c>
    </row>
    <row r="71" spans="1:12" ht="39" hidden="1" thickBot="1" x14ac:dyDescent="0.4">
      <c r="A71" s="2">
        <v>46303.635416666664</v>
      </c>
      <c r="B71" s="1" t="s">
        <v>38</v>
      </c>
      <c r="C71" s="1" t="s">
        <v>7</v>
      </c>
      <c r="D71" s="3">
        <v>10</v>
      </c>
      <c r="E71" s="3">
        <v>1420</v>
      </c>
      <c r="F71" s="3">
        <v>-5.0802139039999998</v>
      </c>
      <c r="G71" s="9" t="s">
        <v>110</v>
      </c>
      <c r="H71" s="10">
        <v>1496</v>
      </c>
      <c r="I71" s="1" t="s">
        <v>8</v>
      </c>
      <c r="L71" t="str">
        <f>IF(COUNTIFS( $B$2:$B$963, B71, $C$2:$C$963, C71, $D$2:$D$963, D71, $E$2:$E$963, E71) &gt; 1, "Duplicate", "Unique")</f>
        <v>Unique</v>
      </c>
    </row>
    <row r="72" spans="1:12" ht="15" hidden="1" thickBot="1" x14ac:dyDescent="0.4">
      <c r="A72" s="2">
        <v>46245.63553240741</v>
      </c>
      <c r="B72" s="1" t="s">
        <v>34</v>
      </c>
      <c r="C72" s="1" t="s">
        <v>7</v>
      </c>
      <c r="D72" s="3">
        <v>1</v>
      </c>
      <c r="E72" s="3">
        <v>4640</v>
      </c>
      <c r="F72" s="3">
        <v>-4.9491969850000004</v>
      </c>
      <c r="G72" s="9" t="s">
        <v>106</v>
      </c>
      <c r="H72" s="10">
        <v>4881.6000000000004</v>
      </c>
      <c r="I72" s="1" t="s">
        <v>8</v>
      </c>
      <c r="L72" t="str">
        <f>IF(COUNTIFS( $B$2:$B$963, B72, $C$2:$C$963, C72, $D$2:$D$963, D72, $E$2:$E$963, E72) &gt; 1, "Duplicate", "Unique")</f>
        <v>Unique</v>
      </c>
    </row>
    <row r="73" spans="1:12" ht="15" hidden="1" thickBot="1" x14ac:dyDescent="0.4">
      <c r="A73" s="4" t="s">
        <v>55</v>
      </c>
      <c r="B73" s="1" t="s">
        <v>29</v>
      </c>
      <c r="C73" s="1" t="s">
        <v>7</v>
      </c>
      <c r="D73" s="3">
        <v>2</v>
      </c>
      <c r="E73" s="3">
        <v>3856</v>
      </c>
      <c r="F73" s="3">
        <v>-4.7313156269999999</v>
      </c>
      <c r="G73" s="9" t="s">
        <v>101</v>
      </c>
      <c r="H73" s="10">
        <v>4047.5</v>
      </c>
      <c r="I73" s="1" t="s">
        <v>8</v>
      </c>
      <c r="L73" t="str">
        <f>IF(COUNTIFS( $B$2:$B$963, B73, $C$2:$C$963, C73, $D$2:$D$963, D73, $E$2:$E$963, E73) &gt; 1, "Duplicate", "Unique")</f>
        <v>Unique</v>
      </c>
    </row>
    <row r="74" spans="1:12" ht="26.5" hidden="1" thickBot="1" x14ac:dyDescent="0.4">
      <c r="A74" s="2">
        <v>46211.635416666664</v>
      </c>
      <c r="B74" s="1" t="s">
        <v>47</v>
      </c>
      <c r="C74" s="1" t="s">
        <v>7</v>
      </c>
      <c r="D74" s="3">
        <v>25</v>
      </c>
      <c r="E74" s="3">
        <v>836</v>
      </c>
      <c r="F74" s="3">
        <v>-4.6750285060000003</v>
      </c>
      <c r="G74" s="9" t="s">
        <v>119</v>
      </c>
      <c r="H74" s="10">
        <v>877</v>
      </c>
      <c r="I74" s="1" t="s">
        <v>8</v>
      </c>
      <c r="L74" t="str">
        <f>IF(COUNTIFS( $B$2:$B$963, B74, $C$2:$C$963, C74, $D$2:$D$963, D74, $E$2:$E$963, E74) &gt; 1, "Duplicate", "Unique")</f>
        <v>Unique</v>
      </c>
    </row>
    <row r="75" spans="1:12" ht="26.5" hidden="1" thickBot="1" x14ac:dyDescent="0.4">
      <c r="A75" s="2">
        <v>46245.693032407406</v>
      </c>
      <c r="B75" s="1" t="s">
        <v>25</v>
      </c>
      <c r="C75" s="1" t="s">
        <v>7</v>
      </c>
      <c r="D75" s="3">
        <v>1</v>
      </c>
      <c r="E75" s="3">
        <v>2264</v>
      </c>
      <c r="F75" s="3">
        <v>-4.6736842110000003</v>
      </c>
      <c r="G75" s="9" t="s">
        <v>97</v>
      </c>
      <c r="H75" s="10">
        <v>2375</v>
      </c>
      <c r="I75" s="1" t="s">
        <v>8</v>
      </c>
      <c r="L75" t="str">
        <f>IF(COUNTIFS( $B$2:$B$963, B75, $C$2:$C$963, C75, $D$2:$D$963, D75, $E$2:$E$963, E75) &gt; 1, "Duplicate", "Unique")</f>
        <v>Unique</v>
      </c>
    </row>
    <row r="76" spans="1:12" ht="39" hidden="1" thickBot="1" x14ac:dyDescent="0.4">
      <c r="A76" s="2">
        <v>46244.76666666667</v>
      </c>
      <c r="B76" s="1" t="s">
        <v>14</v>
      </c>
      <c r="C76" s="1" t="s">
        <v>7</v>
      </c>
      <c r="D76" s="3">
        <v>50</v>
      </c>
      <c r="E76" s="3">
        <v>212</v>
      </c>
      <c r="F76" s="3">
        <v>-4.6290881280000002</v>
      </c>
      <c r="G76" s="9" t="s">
        <v>86</v>
      </c>
      <c r="H76" s="10">
        <v>222.29</v>
      </c>
      <c r="I76" s="1" t="s">
        <v>8</v>
      </c>
      <c r="L76" t="str">
        <f>IF(COUNTIFS( $B$2:$B$963, B76, $C$2:$C$963, C76, $D$2:$D$963, D76, $E$2:$E$963, E76) &gt; 1, "Duplicate", "Unique")</f>
        <v>Unique</v>
      </c>
    </row>
    <row r="77" spans="1:12" ht="15" hidden="1" thickBot="1" x14ac:dyDescent="0.4">
      <c r="A77" s="2">
        <v>46245.693136574075</v>
      </c>
      <c r="B77" s="1" t="s">
        <v>11</v>
      </c>
      <c r="C77" s="1" t="s">
        <v>7</v>
      </c>
      <c r="D77" s="3">
        <v>100</v>
      </c>
      <c r="E77" s="3">
        <v>331</v>
      </c>
      <c r="F77" s="3">
        <v>-4.583453445</v>
      </c>
      <c r="G77" s="9" t="s">
        <v>83</v>
      </c>
      <c r="H77" s="10">
        <v>346.9</v>
      </c>
      <c r="I77" s="1" t="s">
        <v>8</v>
      </c>
      <c r="L77" t="str">
        <f>IF(COUNTIFS( $B$2:$B$963, B77, $C$2:$C$963, C77, $D$2:$D$963, D77, $E$2:$E$963, E77) &gt; 1, "Duplicate", "Unique")</f>
        <v>Unique</v>
      </c>
    </row>
    <row r="78" spans="1:12" ht="26.5" hidden="1" thickBot="1" x14ac:dyDescent="0.4">
      <c r="A78" s="2">
        <v>46245.635555555556</v>
      </c>
      <c r="B78" s="1" t="s">
        <v>31</v>
      </c>
      <c r="C78" s="1" t="s">
        <v>7</v>
      </c>
      <c r="D78" s="3">
        <v>1</v>
      </c>
      <c r="E78" s="3">
        <v>2752</v>
      </c>
      <c r="F78" s="3">
        <v>-4.5074430059999999</v>
      </c>
      <c r="G78" s="9" t="s">
        <v>103</v>
      </c>
      <c r="H78" s="10">
        <v>2881.9</v>
      </c>
      <c r="I78" s="1" t="s">
        <v>8</v>
      </c>
      <c r="L78" t="str">
        <f>IF(COUNTIFS( $B$2:$B$963, B78, $C$2:$C$963, C78, $D$2:$D$963, D78, $E$2:$E$963, E78) &gt; 1, "Duplicate", "Unique")</f>
        <v>Unique</v>
      </c>
    </row>
    <row r="79" spans="1:12" ht="26.5" hidden="1" thickBot="1" x14ac:dyDescent="0.4">
      <c r="A79" s="2">
        <v>46211.6875</v>
      </c>
      <c r="B79" s="1" t="s">
        <v>12</v>
      </c>
      <c r="C79" s="1" t="s">
        <v>7</v>
      </c>
      <c r="D79" s="3">
        <v>30</v>
      </c>
      <c r="E79" s="3">
        <v>2460</v>
      </c>
      <c r="F79" s="3">
        <v>-4.5031055899999997</v>
      </c>
      <c r="G79" s="9" t="s">
        <v>84</v>
      </c>
      <c r="H79" s="10">
        <v>2576</v>
      </c>
      <c r="I79" s="1" t="s">
        <v>8</v>
      </c>
      <c r="L79" t="str">
        <f>IF(COUNTIFS( $B$2:$B$963, B79, $C$2:$C$963, C79, $D$2:$D$963, D79, $E$2:$E$963, E79) &gt; 1, "Duplicate", "Unique")</f>
        <v>Unique</v>
      </c>
    </row>
    <row r="80" spans="1:12" ht="26.5" hidden="1" thickBot="1" x14ac:dyDescent="0.4">
      <c r="A80" s="2">
        <v>46211.635416666664</v>
      </c>
      <c r="B80" s="1" t="s">
        <v>47</v>
      </c>
      <c r="C80" s="1" t="s">
        <v>7</v>
      </c>
      <c r="D80" s="3">
        <v>5</v>
      </c>
      <c r="E80" s="3">
        <v>838</v>
      </c>
      <c r="F80" s="3">
        <v>-4.4469783349999998</v>
      </c>
      <c r="G80" s="9" t="s">
        <v>119</v>
      </c>
      <c r="H80" s="10">
        <v>877</v>
      </c>
      <c r="I80" s="1" t="s">
        <v>8</v>
      </c>
      <c r="L80" t="str">
        <f>IF(COUNTIFS( $B$2:$B$963, B80, $C$2:$C$963, C80, $D$2:$D$963, D80, $E$2:$E$963, E80) &gt; 1, "Duplicate", "Unique")</f>
        <v>Unique</v>
      </c>
    </row>
    <row r="81" spans="1:12" ht="15" hidden="1" thickBot="1" x14ac:dyDescent="0.4">
      <c r="A81" s="4" t="s">
        <v>55</v>
      </c>
      <c r="B81" s="1" t="s">
        <v>23</v>
      </c>
      <c r="C81" s="1" t="s">
        <v>7</v>
      </c>
      <c r="D81" s="3">
        <v>20</v>
      </c>
      <c r="E81" s="3">
        <v>281</v>
      </c>
      <c r="F81" s="3">
        <v>-4.4055111409999999</v>
      </c>
      <c r="G81" s="9" t="s">
        <v>95</v>
      </c>
      <c r="H81" s="10">
        <v>293.95</v>
      </c>
      <c r="I81" s="1" t="s">
        <v>8</v>
      </c>
      <c r="L81" t="str">
        <f>IF(COUNTIFS( $B$2:$B$963, B81, $C$2:$C$963, C81, $D$2:$D$963, D81, $E$2:$E$963, E81) &gt; 1, "Duplicate", "Unique")</f>
        <v>Unique</v>
      </c>
    </row>
    <row r="82" spans="1:12" ht="26.5" hidden="1" thickBot="1" x14ac:dyDescent="0.4">
      <c r="A82" s="2">
        <v>46241.635416666664</v>
      </c>
      <c r="B82" s="1" t="s">
        <v>45</v>
      </c>
      <c r="C82" s="1" t="s">
        <v>7</v>
      </c>
      <c r="D82" s="3">
        <v>1</v>
      </c>
      <c r="E82" s="3">
        <v>4206</v>
      </c>
      <c r="F82" s="3">
        <v>-4.3656207370000004</v>
      </c>
      <c r="G82" s="9" t="s">
        <v>117</v>
      </c>
      <c r="H82" s="10">
        <v>4398</v>
      </c>
      <c r="I82" s="1" t="s">
        <v>8</v>
      </c>
      <c r="L82" t="str">
        <f>IF(COUNTIFS( $B$2:$B$963, B82, $C$2:$C$963, C82, $D$2:$D$963, D82, $E$2:$E$963, E82) &gt; 1, "Duplicate", "Unique")</f>
        <v>Unique</v>
      </c>
    </row>
    <row r="83" spans="1:12" ht="15" hidden="1" thickBot="1" x14ac:dyDescent="0.4">
      <c r="A83" s="2">
        <v>46245.63554398148</v>
      </c>
      <c r="B83" s="1" t="s">
        <v>36</v>
      </c>
      <c r="C83" s="1" t="s">
        <v>7</v>
      </c>
      <c r="D83" s="3">
        <v>10</v>
      </c>
      <c r="E83" s="3">
        <v>1251</v>
      </c>
      <c r="F83" s="3">
        <v>-4.3285408380000003</v>
      </c>
      <c r="G83" s="9" t="s">
        <v>108</v>
      </c>
      <c r="H83" s="10">
        <v>1307.5999999999999</v>
      </c>
      <c r="I83" s="1" t="s">
        <v>8</v>
      </c>
      <c r="L83" t="str">
        <f>IF(COUNTIFS( $B$2:$B$963, B83, $C$2:$C$963, C83, $D$2:$D$963, D83, $E$2:$E$963, E83) &gt; 1, "Duplicate", "Unique")</f>
        <v>Unique</v>
      </c>
    </row>
    <row r="84" spans="1:12" ht="26.5" hidden="1" thickBot="1" x14ac:dyDescent="0.4">
      <c r="A84" s="2">
        <v>46181.6875</v>
      </c>
      <c r="B84" s="1" t="s">
        <v>12</v>
      </c>
      <c r="C84" s="1" t="s">
        <v>7</v>
      </c>
      <c r="D84" s="3">
        <v>5</v>
      </c>
      <c r="E84" s="3">
        <v>2470</v>
      </c>
      <c r="F84" s="3">
        <v>-4.114906832</v>
      </c>
      <c r="G84" s="9" t="s">
        <v>84</v>
      </c>
      <c r="H84" s="10">
        <v>2576</v>
      </c>
      <c r="I84" s="1" t="s">
        <v>8</v>
      </c>
      <c r="L84" t="str">
        <f>IF(COUNTIFS( $B$2:$B$963, B84, $C$2:$C$963, C84, $D$2:$D$963, D84, $E$2:$E$963, E84) &gt; 1, "Duplicate", "Unique")</f>
        <v>Unique</v>
      </c>
    </row>
    <row r="85" spans="1:12" ht="26.5" hidden="1" thickBot="1" x14ac:dyDescent="0.4">
      <c r="A85" s="2">
        <v>46211.635416666664</v>
      </c>
      <c r="B85" s="1" t="s">
        <v>50</v>
      </c>
      <c r="C85" s="1" t="s">
        <v>7</v>
      </c>
      <c r="D85" s="3">
        <v>5</v>
      </c>
      <c r="E85" s="3">
        <v>2888</v>
      </c>
      <c r="F85" s="3">
        <v>-4.0212695250000001</v>
      </c>
      <c r="G85" s="9" t="s">
        <v>122</v>
      </c>
      <c r="H85" s="10">
        <v>3009</v>
      </c>
      <c r="I85" s="1" t="s">
        <v>8</v>
      </c>
      <c r="L85" t="str">
        <f>IF(COUNTIFS( $B$2:$B$963, B85, $C$2:$C$963, C85, $D$2:$D$963, D85, $E$2:$E$963, E85) &gt; 1, "Duplicate", "Unique")</f>
        <v>Unique</v>
      </c>
    </row>
    <row r="86" spans="1:12" ht="26.5" hidden="1" thickBot="1" x14ac:dyDescent="0.4">
      <c r="A86" s="2">
        <v>46245.645856481482</v>
      </c>
      <c r="B86" s="1" t="s">
        <v>53</v>
      </c>
      <c r="C86" s="1" t="s">
        <v>7</v>
      </c>
      <c r="D86" s="3">
        <v>20</v>
      </c>
      <c r="E86" s="3">
        <v>220.1</v>
      </c>
      <c r="F86" s="3">
        <v>-3.982899271</v>
      </c>
      <c r="G86" s="9" t="s">
        <v>125</v>
      </c>
      <c r="H86" s="10">
        <v>229.23</v>
      </c>
      <c r="I86" s="1" t="s">
        <v>8</v>
      </c>
      <c r="L86" t="str">
        <f>IF(COUNTIFS( $B$2:$B$963, B86, $C$2:$C$963, C86, $D$2:$D$963, D86, $E$2:$E$963, E86) &gt; 1, "Duplicate", "Unique")</f>
        <v>Unique</v>
      </c>
    </row>
    <row r="87" spans="1:12" ht="15" hidden="1" thickBot="1" x14ac:dyDescent="0.4">
      <c r="A87" s="4" t="s">
        <v>55</v>
      </c>
      <c r="B87" s="1" t="s">
        <v>29</v>
      </c>
      <c r="C87" s="1" t="s">
        <v>7</v>
      </c>
      <c r="D87" s="3">
        <v>5</v>
      </c>
      <c r="E87" s="3">
        <v>3888</v>
      </c>
      <c r="F87" s="3">
        <v>-3.9407041380000001</v>
      </c>
      <c r="G87" s="9" t="s">
        <v>101</v>
      </c>
      <c r="H87" s="10">
        <v>4047.5</v>
      </c>
      <c r="I87" s="1" t="s">
        <v>8</v>
      </c>
      <c r="L87" t="str">
        <f>IF(COUNTIFS( $B$2:$B$963, B87, $C$2:$C$963, C87, $D$2:$D$963, D87, $E$2:$E$963, E87) &gt; 1, "Duplicate", "Unique")</f>
        <v>Unique</v>
      </c>
    </row>
    <row r="88" spans="1:12" ht="39" hidden="1" thickBot="1" x14ac:dyDescent="0.4">
      <c r="A88" s="2">
        <v>46245.635567129626</v>
      </c>
      <c r="B88" s="1" t="s">
        <v>38</v>
      </c>
      <c r="C88" s="1" t="s">
        <v>7</v>
      </c>
      <c r="D88" s="3">
        <v>10</v>
      </c>
      <c r="E88" s="3">
        <v>1440</v>
      </c>
      <c r="F88" s="3">
        <v>-3.7433155079999998</v>
      </c>
      <c r="G88" s="9" t="s">
        <v>110</v>
      </c>
      <c r="H88" s="10">
        <v>1496</v>
      </c>
      <c r="I88" s="1" t="s">
        <v>8</v>
      </c>
      <c r="L88" t="str">
        <f>IF(COUNTIFS( $B$2:$B$963, B88, $C$2:$C$963, C88, $D$2:$D$963, D88, $E$2:$E$963, E88) &gt; 1, "Duplicate", "Unique")</f>
        <v>Unique</v>
      </c>
    </row>
    <row r="89" spans="1:12" ht="39" hidden="1" thickBot="1" x14ac:dyDescent="0.4">
      <c r="A89" s="2">
        <v>46245.693043981482</v>
      </c>
      <c r="B89" s="1" t="s">
        <v>14</v>
      </c>
      <c r="C89" s="1" t="s">
        <v>7</v>
      </c>
      <c r="D89" s="3">
        <v>150</v>
      </c>
      <c r="E89" s="3">
        <v>214</v>
      </c>
      <c r="F89" s="3">
        <v>-3.7293625439999998</v>
      </c>
      <c r="G89" s="9" t="s">
        <v>86</v>
      </c>
      <c r="H89" s="10">
        <v>222.29</v>
      </c>
      <c r="I89" s="1" t="s">
        <v>8</v>
      </c>
      <c r="L89" t="str">
        <f>IF(COUNTIFS( $B$2:$B$963, B89, $C$2:$C$963, C89, $D$2:$D$963, D89, $E$2:$E$963, E89) &gt; 1, "Duplicate", "Unique")</f>
        <v>Unique</v>
      </c>
    </row>
    <row r="90" spans="1:12" ht="15" hidden="1" thickBot="1" x14ac:dyDescent="0.4">
      <c r="A90" s="2">
        <v>46245.63554398148</v>
      </c>
      <c r="B90" s="1" t="s">
        <v>48</v>
      </c>
      <c r="C90" s="1" t="s">
        <v>7</v>
      </c>
      <c r="D90" s="3">
        <v>8</v>
      </c>
      <c r="E90" s="3">
        <v>2352</v>
      </c>
      <c r="F90" s="3">
        <v>-3.689447607</v>
      </c>
      <c r="G90" s="9" t="s">
        <v>120</v>
      </c>
      <c r="H90" s="10">
        <v>2442.1</v>
      </c>
      <c r="I90" s="1" t="s">
        <v>8</v>
      </c>
      <c r="L90" t="str">
        <f>IF(COUNTIFS( $B$2:$B$963, B90, $C$2:$C$963, C90, $D$2:$D$963, D90, $E$2:$E$963, E90) &gt; 1, "Duplicate", "Unique")</f>
        <v>Unique</v>
      </c>
    </row>
    <row r="91" spans="1:12" ht="15" hidden="1" thickBot="1" x14ac:dyDescent="0.4">
      <c r="A91" s="2">
        <v>46245.63554398148</v>
      </c>
      <c r="B91" s="1" t="s">
        <v>36</v>
      </c>
      <c r="C91" s="1" t="s">
        <v>7</v>
      </c>
      <c r="D91" s="3">
        <v>10</v>
      </c>
      <c r="E91" s="3">
        <v>1260</v>
      </c>
      <c r="F91" s="3">
        <v>-3.6402569589999998</v>
      </c>
      <c r="G91" s="9" t="s">
        <v>108</v>
      </c>
      <c r="H91" s="10">
        <v>1307.5999999999999</v>
      </c>
      <c r="I91" s="1" t="s">
        <v>8</v>
      </c>
      <c r="L91" t="str">
        <f>IF(COUNTIFS( $B$2:$B$963, B91, $C$2:$C$963, C91, $D$2:$D$963, D91, $E$2:$E$963, E91) &gt; 1, "Duplicate", "Unique")</f>
        <v>Unique</v>
      </c>
    </row>
    <row r="92" spans="1:12" ht="39" hidden="1" thickBot="1" x14ac:dyDescent="0.4">
      <c r="A92" s="2">
        <v>46245.693101851852</v>
      </c>
      <c r="B92" s="1" t="s">
        <v>19</v>
      </c>
      <c r="C92" s="1" t="s">
        <v>7</v>
      </c>
      <c r="D92" s="3">
        <v>40</v>
      </c>
      <c r="E92" s="3">
        <v>426</v>
      </c>
      <c r="F92" s="3">
        <v>-3.5762788589999999</v>
      </c>
      <c r="G92" s="9" t="s">
        <v>91</v>
      </c>
      <c r="H92" s="10">
        <v>441.8</v>
      </c>
      <c r="I92" s="1" t="s">
        <v>8</v>
      </c>
      <c r="L92" t="str">
        <f>IF(COUNTIFS( $B$2:$B$963, B92, $C$2:$C$963, C92, $D$2:$D$963, D92, $E$2:$E$963, E92) &gt; 1, "Duplicate", "Unique")</f>
        <v>Unique</v>
      </c>
    </row>
    <row r="93" spans="1:12" ht="26.5" hidden="1" thickBot="1" x14ac:dyDescent="0.4">
      <c r="A93" s="2">
        <v>46245.635520833333</v>
      </c>
      <c r="B93" s="1" t="s">
        <v>44</v>
      </c>
      <c r="C93" s="1" t="s">
        <v>7</v>
      </c>
      <c r="D93" s="3">
        <v>40</v>
      </c>
      <c r="E93" s="3">
        <v>897</v>
      </c>
      <c r="F93" s="3">
        <v>-3.5691249190000001</v>
      </c>
      <c r="G93" s="9" t="s">
        <v>116</v>
      </c>
      <c r="H93" s="10">
        <v>930.2</v>
      </c>
      <c r="I93" s="1" t="s">
        <v>8</v>
      </c>
      <c r="L93" t="str">
        <f>IF(COUNTIFS( $B$2:$B$963, B93, $C$2:$C$963, C93, $D$2:$D$963, D93, $E$2:$E$963, E93) &gt; 1, "Duplicate", "Unique")</f>
        <v>Unique</v>
      </c>
    </row>
    <row r="94" spans="1:12" ht="15" hidden="1" thickBot="1" x14ac:dyDescent="0.4">
      <c r="A94" s="2">
        <v>46245.693148148152</v>
      </c>
      <c r="B94" s="1" t="s">
        <v>11</v>
      </c>
      <c r="C94" s="1" t="s">
        <v>7</v>
      </c>
      <c r="D94" s="3">
        <v>100</v>
      </c>
      <c r="E94" s="3">
        <v>335</v>
      </c>
      <c r="F94" s="3">
        <v>-3.4303833959999999</v>
      </c>
      <c r="G94" s="9" t="s">
        <v>83</v>
      </c>
      <c r="H94" s="10">
        <v>346.9</v>
      </c>
      <c r="I94" s="1" t="s">
        <v>8</v>
      </c>
      <c r="L94" t="str">
        <f>IF(COUNTIFS( $B$2:$B$963, B94, $C$2:$C$963, C94, $D$2:$D$963, D94, $E$2:$E$963, E94) &gt; 1, "Duplicate", "Unique")</f>
        <v>Unique</v>
      </c>
    </row>
    <row r="95" spans="1:12" ht="15" hidden="1" thickBot="1" x14ac:dyDescent="0.4">
      <c r="A95" s="2">
        <v>46245.635555555556</v>
      </c>
      <c r="B95" s="1" t="s">
        <v>46</v>
      </c>
      <c r="C95" s="1" t="s">
        <v>7</v>
      </c>
      <c r="D95" s="3">
        <v>100</v>
      </c>
      <c r="E95" s="3">
        <v>390</v>
      </c>
      <c r="F95" s="3">
        <v>-3.4294911479999999</v>
      </c>
      <c r="G95" s="9" t="s">
        <v>118</v>
      </c>
      <c r="H95" s="10">
        <v>403.85</v>
      </c>
      <c r="I95" s="1" t="s">
        <v>8</v>
      </c>
      <c r="L95" t="str">
        <f>IF(COUNTIFS( $B$2:$B$963, B95, $C$2:$C$963, C95, $D$2:$D$963, D95, $E$2:$E$963, E95) &gt; 1, "Duplicate", "Unique")</f>
        <v>Unique</v>
      </c>
    </row>
    <row r="96" spans="1:12" ht="26.5" hidden="1" thickBot="1" x14ac:dyDescent="0.4">
      <c r="A96" s="2">
        <v>46245.635520833333</v>
      </c>
      <c r="B96" s="1" t="s">
        <v>41</v>
      </c>
      <c r="C96" s="1" t="s">
        <v>7</v>
      </c>
      <c r="D96" s="3">
        <v>10</v>
      </c>
      <c r="E96" s="3">
        <v>1030</v>
      </c>
      <c r="F96" s="3">
        <v>-3.4042952259999999</v>
      </c>
      <c r="G96" s="9" t="s">
        <v>113</v>
      </c>
      <c r="H96" s="10">
        <v>1066.3</v>
      </c>
      <c r="I96" s="1" t="s">
        <v>8</v>
      </c>
      <c r="L96" t="str">
        <f>IF(COUNTIFS( $B$2:$B$963, B96, $C$2:$C$963, C96, $D$2:$D$963, D96, $E$2:$E$963, E96) &gt; 1, "Duplicate", "Unique")</f>
        <v>Unique</v>
      </c>
    </row>
    <row r="97" spans="1:12" ht="26.5" hidden="1" thickBot="1" x14ac:dyDescent="0.4">
      <c r="A97" s="2">
        <v>46245.69321759259</v>
      </c>
      <c r="B97" s="1" t="s">
        <v>6</v>
      </c>
      <c r="C97" s="1" t="s">
        <v>7</v>
      </c>
      <c r="D97" s="3">
        <v>50</v>
      </c>
      <c r="E97" s="3">
        <v>201</v>
      </c>
      <c r="F97" s="3">
        <v>-3.365384615</v>
      </c>
      <c r="G97" s="9" t="s">
        <v>81</v>
      </c>
      <c r="H97" s="10">
        <v>208</v>
      </c>
      <c r="I97" s="1" t="s">
        <v>8</v>
      </c>
      <c r="L97" t="str">
        <f>IF(COUNTIFS( $B$2:$B$963, B97, $C$2:$C$963, C97, $D$2:$D$963, D97, $E$2:$E$963, E97) &gt; 1, "Duplicate", "Unique")</f>
        <v>Unique</v>
      </c>
    </row>
    <row r="98" spans="1:12" ht="26.5" hidden="1" thickBot="1" x14ac:dyDescent="0.4">
      <c r="A98" s="2">
        <v>46245.63553240741</v>
      </c>
      <c r="B98" s="1" t="s">
        <v>40</v>
      </c>
      <c r="C98" s="1" t="s">
        <v>7</v>
      </c>
      <c r="D98" s="3">
        <v>1</v>
      </c>
      <c r="E98" s="3">
        <v>18052</v>
      </c>
      <c r="F98" s="3">
        <v>-3.3618843680000001</v>
      </c>
      <c r="G98" s="9" t="s">
        <v>112</v>
      </c>
      <c r="H98" s="10">
        <v>18680</v>
      </c>
      <c r="I98" s="1" t="s">
        <v>8</v>
      </c>
      <c r="L98" t="str">
        <f>IF(COUNTIFS( $B$2:$B$963, B98, $C$2:$C$963, C98, $D$2:$D$963, D98, $E$2:$E$963, E98) &gt; 1, "Duplicate", "Unique")</f>
        <v>Unique</v>
      </c>
    </row>
    <row r="99" spans="1:12" ht="26.5" hidden="1" thickBot="1" x14ac:dyDescent="0.4">
      <c r="A99" s="2">
        <v>46245.635509259257</v>
      </c>
      <c r="B99" s="1" t="s">
        <v>37</v>
      </c>
      <c r="C99" s="1" t="s">
        <v>7</v>
      </c>
      <c r="D99" s="3">
        <v>1</v>
      </c>
      <c r="E99" s="3">
        <v>13552</v>
      </c>
      <c r="F99" s="3">
        <v>-3.3587677390000001</v>
      </c>
      <c r="G99" s="9" t="s">
        <v>109</v>
      </c>
      <c r="H99" s="10">
        <v>14023</v>
      </c>
      <c r="I99" s="1" t="s">
        <v>8</v>
      </c>
      <c r="L99" t="str">
        <f>IF(COUNTIFS( $B$2:$B$963, B99, $C$2:$C$963, C99, $D$2:$D$963, D99, $E$2:$E$963, E99) &gt; 1, "Duplicate", "Unique")</f>
        <v>Unique</v>
      </c>
    </row>
    <row r="100" spans="1:12" ht="26.5" hidden="1" thickBot="1" x14ac:dyDescent="0.4">
      <c r="A100" s="2">
        <v>46245.693032407406</v>
      </c>
      <c r="B100" s="1" t="s">
        <v>12</v>
      </c>
      <c r="C100" s="1" t="s">
        <v>7</v>
      </c>
      <c r="D100" s="3">
        <v>5</v>
      </c>
      <c r="E100" s="3">
        <v>2490</v>
      </c>
      <c r="F100" s="3">
        <v>-3.3385093170000002</v>
      </c>
      <c r="G100" s="9" t="s">
        <v>84</v>
      </c>
      <c r="H100" s="10">
        <v>2576</v>
      </c>
      <c r="I100" s="1" t="s">
        <v>8</v>
      </c>
      <c r="L100" t="str">
        <f>IF(COUNTIFS( $B$2:$B$963, B100, $C$2:$C$963, C100, $D$2:$D$963, D100, $E$2:$E$963, E100) &gt; 1, "Duplicate", "Unique")</f>
        <v>Unique</v>
      </c>
    </row>
    <row r="101" spans="1:12" ht="26.5" hidden="1" thickBot="1" x14ac:dyDescent="0.4">
      <c r="A101" s="2">
        <v>46245.635567129626</v>
      </c>
      <c r="B101" s="1" t="s">
        <v>39</v>
      </c>
      <c r="C101" s="1" t="s">
        <v>7</v>
      </c>
      <c r="D101" s="3">
        <v>3</v>
      </c>
      <c r="E101" s="3">
        <v>1302</v>
      </c>
      <c r="F101" s="3">
        <v>-3.268945022</v>
      </c>
      <c r="G101" s="9" t="s">
        <v>111</v>
      </c>
      <c r="H101" s="10">
        <v>1346</v>
      </c>
      <c r="I101" s="1" t="s">
        <v>8</v>
      </c>
      <c r="L101" t="str">
        <f>IF(COUNTIFS( $B$2:$B$963, B101, $C$2:$C$963, C101, $D$2:$D$963, D101, $E$2:$E$963, E101) &gt; 1, "Duplicate", "Unique")</f>
        <v>Unique</v>
      </c>
    </row>
    <row r="102" spans="1:12" ht="26.5" hidden="1" thickBot="1" x14ac:dyDescent="0.4">
      <c r="A102" s="4" t="s">
        <v>55</v>
      </c>
      <c r="B102" s="1" t="s">
        <v>51</v>
      </c>
      <c r="C102" s="1" t="s">
        <v>7</v>
      </c>
      <c r="D102" s="3">
        <v>5</v>
      </c>
      <c r="E102" s="3">
        <v>702</v>
      </c>
      <c r="F102" s="3">
        <v>-3.1657355680000001</v>
      </c>
      <c r="G102" s="9" t="s">
        <v>123</v>
      </c>
      <c r="H102" s="10">
        <v>724.95</v>
      </c>
      <c r="I102" s="1" t="s">
        <v>8</v>
      </c>
      <c r="L102" t="str">
        <f>IF(COUNTIFS( $B$2:$B$963, B102, $C$2:$C$963, C102, $D$2:$D$963, D102, $E$2:$E$963, E102) &gt; 1, "Duplicate", "Unique")</f>
        <v>Unique</v>
      </c>
    </row>
    <row r="103" spans="1:12" ht="26.5" hidden="1" thickBot="1" x14ac:dyDescent="0.4">
      <c r="A103" s="2">
        <v>46245.63553240741</v>
      </c>
      <c r="B103" s="1" t="s">
        <v>35</v>
      </c>
      <c r="C103" s="1" t="s">
        <v>7</v>
      </c>
      <c r="D103" s="3">
        <v>10</v>
      </c>
      <c r="E103" s="3">
        <v>1166</v>
      </c>
      <c r="F103" s="3">
        <v>-3.1561461789999998</v>
      </c>
      <c r="G103" s="9" t="s">
        <v>107</v>
      </c>
      <c r="H103" s="10">
        <v>1204</v>
      </c>
      <c r="I103" s="1" t="s">
        <v>8</v>
      </c>
      <c r="L103" t="str">
        <f>IF(COUNTIFS( $B$2:$B$963, B103, $C$2:$C$963, C103, $D$2:$D$963, D103, $E$2:$E$963, E103) &gt; 1, "Duplicate", "Unique")</f>
        <v>Unique</v>
      </c>
    </row>
    <row r="104" spans="1:12" ht="39" hidden="1" thickBot="1" x14ac:dyDescent="0.4">
      <c r="A104" s="2">
        <v>46245.63554398148</v>
      </c>
      <c r="B104" s="1" t="s">
        <v>30</v>
      </c>
      <c r="C104" s="1" t="s">
        <v>7</v>
      </c>
      <c r="D104" s="3">
        <v>30</v>
      </c>
      <c r="E104" s="3">
        <v>1007</v>
      </c>
      <c r="F104" s="3">
        <v>-3.1171829899999999</v>
      </c>
      <c r="G104" s="9" t="s">
        <v>102</v>
      </c>
      <c r="H104" s="10">
        <v>1039.4000000000001</v>
      </c>
      <c r="I104" s="1" t="s">
        <v>8</v>
      </c>
      <c r="L104" t="str">
        <f>IF(COUNTIFS( $B$2:$B$963, B104, $C$2:$C$963, C104, $D$2:$D$963, D104, $E$2:$E$963, E104) &gt; 1, "Duplicate", "Unique")</f>
        <v>Unique</v>
      </c>
    </row>
    <row r="105" spans="1:12" ht="26.5" hidden="1" thickBot="1" x14ac:dyDescent="0.4">
      <c r="A105" s="2">
        <v>46181.635416666664</v>
      </c>
      <c r="B105" s="1" t="s">
        <v>32</v>
      </c>
      <c r="C105" s="1" t="s">
        <v>7</v>
      </c>
      <c r="D105" s="3">
        <v>5</v>
      </c>
      <c r="E105" s="3">
        <v>1132</v>
      </c>
      <c r="F105" s="3">
        <v>-3.1070786610000001</v>
      </c>
      <c r="G105" s="9" t="s">
        <v>104</v>
      </c>
      <c r="H105" s="10">
        <v>1168.3</v>
      </c>
      <c r="I105" s="1" t="s">
        <v>8</v>
      </c>
      <c r="L105" t="str">
        <f>IF(COUNTIFS( $B$2:$B$963, B105, $C$2:$C$963, C105, $D$2:$D$963, D105, $E$2:$E$963, E105) &gt; 1, "Duplicate", "Unique")</f>
        <v>Unique</v>
      </c>
    </row>
    <row r="106" spans="1:12" ht="26.5" hidden="1" thickBot="1" x14ac:dyDescent="0.4">
      <c r="A106" s="2">
        <v>46245.693124999998</v>
      </c>
      <c r="B106" s="1" t="s">
        <v>21</v>
      </c>
      <c r="C106" s="1" t="s">
        <v>7</v>
      </c>
      <c r="D106" s="3">
        <v>3</v>
      </c>
      <c r="E106" s="3">
        <v>4710</v>
      </c>
      <c r="F106" s="3">
        <v>-3.0864197529999999</v>
      </c>
      <c r="G106" s="9" t="s">
        <v>93</v>
      </c>
      <c r="H106" s="10">
        <v>4860</v>
      </c>
      <c r="I106" s="1" t="s">
        <v>8</v>
      </c>
      <c r="L106" t="str">
        <f>IF(COUNTIFS( $B$2:$B$963, B106, $C$2:$C$963, C106, $D$2:$D$963, D106, $E$2:$E$963, E106) &gt; 1, "Duplicate", "Unique")</f>
        <v>Unique</v>
      </c>
    </row>
    <row r="107" spans="1:12" ht="26.5" hidden="1" thickBot="1" x14ac:dyDescent="0.4">
      <c r="A107" s="2">
        <v>46245.645833333336</v>
      </c>
      <c r="B107" s="1" t="s">
        <v>47</v>
      </c>
      <c r="C107" s="1" t="s">
        <v>7</v>
      </c>
      <c r="D107" s="3">
        <v>50</v>
      </c>
      <c r="E107" s="3">
        <v>850</v>
      </c>
      <c r="F107" s="3">
        <v>-3.0786773090000001</v>
      </c>
      <c r="G107" s="9" t="s">
        <v>119</v>
      </c>
      <c r="H107" s="10">
        <v>877</v>
      </c>
      <c r="I107" s="1" t="s">
        <v>8</v>
      </c>
      <c r="L107" t="str">
        <f>IF(COUNTIFS( $B$2:$B$963, B107, $C$2:$C$963, C107, $D$2:$D$963, D107, $E$2:$E$963, E107) &gt; 1, "Duplicate", "Unique")</f>
        <v>Unique</v>
      </c>
    </row>
    <row r="108" spans="1:12" ht="39" hidden="1" thickBot="1" x14ac:dyDescent="0.4">
      <c r="A108" s="2">
        <v>46245.635567129626</v>
      </c>
      <c r="B108" s="1" t="s">
        <v>38</v>
      </c>
      <c r="C108" s="1" t="s">
        <v>7</v>
      </c>
      <c r="D108" s="3">
        <v>10</v>
      </c>
      <c r="E108" s="3">
        <v>1452</v>
      </c>
      <c r="F108" s="3">
        <v>-2.9411764709999999</v>
      </c>
      <c r="G108" s="9" t="s">
        <v>110</v>
      </c>
      <c r="H108" s="10">
        <v>1496</v>
      </c>
      <c r="I108" s="1" t="s">
        <v>8</v>
      </c>
      <c r="L108" t="str">
        <f>IF(COUNTIFS( $B$2:$B$963, B108, $C$2:$C$963, C108, $D$2:$D$963, D108, $E$2:$E$963, E108) &gt; 1, "Duplicate", "Unique")</f>
        <v>Unique</v>
      </c>
    </row>
    <row r="109" spans="1:12" ht="26.5" hidden="1" thickBot="1" x14ac:dyDescent="0.4">
      <c r="A109" s="2">
        <v>46245.645821759259</v>
      </c>
      <c r="B109" s="1" t="s">
        <v>49</v>
      </c>
      <c r="C109" s="1" t="s">
        <v>7</v>
      </c>
      <c r="D109" s="3">
        <v>25</v>
      </c>
      <c r="E109" s="3">
        <v>764</v>
      </c>
      <c r="F109" s="3">
        <v>-2.8916428340000002</v>
      </c>
      <c r="G109" s="9" t="s">
        <v>121</v>
      </c>
      <c r="H109" s="10">
        <v>786.75</v>
      </c>
      <c r="I109" s="1" t="s">
        <v>8</v>
      </c>
      <c r="L109" t="str">
        <f>IF(COUNTIFS( $B$2:$B$963, B109, $C$2:$C$963, C109, $D$2:$D$963, D109, $E$2:$E$963, E109) &gt; 1, "Duplicate", "Unique")</f>
        <v>Unique</v>
      </c>
    </row>
    <row r="110" spans="1:12" ht="15" hidden="1" thickBot="1" x14ac:dyDescent="0.4">
      <c r="A110" s="2">
        <v>46245.693148148152</v>
      </c>
      <c r="B110" s="1" t="s">
        <v>11</v>
      </c>
      <c r="C110" s="1" t="s">
        <v>7</v>
      </c>
      <c r="D110" s="3">
        <v>100</v>
      </c>
      <c r="E110" s="3">
        <v>337</v>
      </c>
      <c r="F110" s="3">
        <v>-2.8538483710000002</v>
      </c>
      <c r="G110" s="9" t="s">
        <v>83</v>
      </c>
      <c r="H110" s="10">
        <v>346.9</v>
      </c>
      <c r="I110" s="1" t="s">
        <v>8</v>
      </c>
      <c r="L110" t="str">
        <f>IF(COUNTIFS( $B$2:$B$963, B110, $C$2:$C$963, C110, $D$2:$D$963, D110, $E$2:$E$963, E110) &gt; 1, "Duplicate", "Unique")</f>
        <v>Unique</v>
      </c>
    </row>
    <row r="111" spans="1:12" ht="26.5" hidden="1" thickBot="1" x14ac:dyDescent="0.4">
      <c r="A111" s="2">
        <v>46245.693124999998</v>
      </c>
      <c r="B111" s="1" t="s">
        <v>15</v>
      </c>
      <c r="C111" s="1" t="s">
        <v>7</v>
      </c>
      <c r="D111" s="3">
        <v>50</v>
      </c>
      <c r="E111" s="3">
        <v>122</v>
      </c>
      <c r="F111" s="3">
        <v>-2.8507724159999999</v>
      </c>
      <c r="G111" s="9" t="s">
        <v>87</v>
      </c>
      <c r="H111" s="10">
        <v>125.58</v>
      </c>
      <c r="I111" s="1" t="s">
        <v>8</v>
      </c>
      <c r="L111" t="str">
        <f>IF(COUNTIFS( $B$2:$B$963, B111, $C$2:$C$963, C111, $D$2:$D$963, D111, $E$2:$E$963, E111) &gt; 1, "Duplicate", "Unique")</f>
        <v>Unique</v>
      </c>
    </row>
    <row r="112" spans="1:12" ht="26.5" hidden="1" thickBot="1" x14ac:dyDescent="0.4">
      <c r="A112" s="2">
        <v>46245.693124999998</v>
      </c>
      <c r="B112" s="1" t="s">
        <v>24</v>
      </c>
      <c r="C112" s="1" t="s">
        <v>7</v>
      </c>
      <c r="D112" s="3">
        <v>45</v>
      </c>
      <c r="E112" s="3">
        <v>136.15</v>
      </c>
      <c r="F112" s="3">
        <v>-2.8194147040000002</v>
      </c>
      <c r="G112" s="9" t="s">
        <v>96</v>
      </c>
      <c r="H112" s="10">
        <v>140.1</v>
      </c>
      <c r="I112" s="1" t="s">
        <v>8</v>
      </c>
      <c r="L112" t="str">
        <f>IF(COUNTIFS( $B$2:$B$963, B112, $C$2:$C$963, C112, $D$2:$D$963, D112, $E$2:$E$963, E112) &gt; 1, "Duplicate", "Unique")</f>
        <v>Unique</v>
      </c>
    </row>
    <row r="113" spans="1:12" ht="15" hidden="1" thickBot="1" x14ac:dyDescent="0.4">
      <c r="A113" s="2">
        <v>46245.645833333336</v>
      </c>
      <c r="B113" s="1" t="s">
        <v>29</v>
      </c>
      <c r="C113" s="1" t="s">
        <v>7</v>
      </c>
      <c r="D113" s="3">
        <v>5</v>
      </c>
      <c r="E113" s="3">
        <v>3938</v>
      </c>
      <c r="F113" s="3">
        <v>-2.7053736869999998</v>
      </c>
      <c r="G113" s="9" t="s">
        <v>101</v>
      </c>
      <c r="H113" s="10">
        <v>4047.5</v>
      </c>
      <c r="I113" s="1" t="s">
        <v>8</v>
      </c>
      <c r="L113" t="str">
        <f>IF(COUNTIFS( $B$2:$B$963, B113, $C$2:$C$963, C113, $D$2:$D$963, D113, $E$2:$E$963, E113) &gt; 1, "Duplicate", "Unique")</f>
        <v>Unique</v>
      </c>
    </row>
    <row r="114" spans="1:12" ht="15" hidden="1" thickBot="1" x14ac:dyDescent="0.4">
      <c r="A114" s="2">
        <v>46245.692997685182</v>
      </c>
      <c r="B114" s="1" t="s">
        <v>23</v>
      </c>
      <c r="C114" s="1" t="s">
        <v>7</v>
      </c>
      <c r="D114" s="3">
        <v>30</v>
      </c>
      <c r="E114" s="3">
        <v>286</v>
      </c>
      <c r="F114" s="3">
        <v>-2.7045415890000002</v>
      </c>
      <c r="G114" s="9" t="s">
        <v>95</v>
      </c>
      <c r="H114" s="10">
        <v>293.95</v>
      </c>
      <c r="I114" s="1" t="s">
        <v>8</v>
      </c>
      <c r="L114" t="str">
        <f>IF(COUNTIFS( $B$2:$B$963, B114, $C$2:$C$963, C114, $D$2:$D$963, D114, $E$2:$E$963, E114) &gt; 1, "Duplicate", "Unique")</f>
        <v>Unique</v>
      </c>
    </row>
    <row r="115" spans="1:12" ht="26.5" hidden="1" thickBot="1" x14ac:dyDescent="0.4">
      <c r="A115" s="2">
        <v>46245.693067129629</v>
      </c>
      <c r="B115" s="1" t="s">
        <v>12</v>
      </c>
      <c r="C115" s="1" t="s">
        <v>7</v>
      </c>
      <c r="D115" s="3">
        <v>5</v>
      </c>
      <c r="E115" s="3">
        <v>2510</v>
      </c>
      <c r="F115" s="3">
        <v>-2.5621118009999999</v>
      </c>
      <c r="G115" s="9" t="s">
        <v>84</v>
      </c>
      <c r="H115" s="10">
        <v>2576</v>
      </c>
      <c r="I115" s="1" t="s">
        <v>8</v>
      </c>
      <c r="L115" t="str">
        <f>IF(COUNTIFS( $B$2:$B$963, B115, $C$2:$C$963, C115, $D$2:$D$963, D115, $E$2:$E$963, E115) &gt; 1, "Duplicate", "Unique")</f>
        <v>Unique</v>
      </c>
    </row>
    <row r="116" spans="1:12" ht="26.5" hidden="1" thickBot="1" x14ac:dyDescent="0.4">
      <c r="A116" s="2">
        <v>46245.645821759259</v>
      </c>
      <c r="B116" s="1" t="s">
        <v>43</v>
      </c>
      <c r="C116" s="1" t="s">
        <v>7</v>
      </c>
      <c r="D116" s="3">
        <v>4</v>
      </c>
      <c r="E116" s="3">
        <v>1066</v>
      </c>
      <c r="F116" s="3">
        <v>-2.5594149910000001</v>
      </c>
      <c r="G116" s="9" t="s">
        <v>115</v>
      </c>
      <c r="H116" s="10">
        <v>1094</v>
      </c>
      <c r="I116" s="1" t="s">
        <v>8</v>
      </c>
      <c r="L116" t="str">
        <f>IF(COUNTIFS( $B$2:$B$963, B116, $C$2:$C$963, C116, $D$2:$D$963, D116, $E$2:$E$963, E116) &gt; 1, "Duplicate", "Unique")</f>
        <v>Unique</v>
      </c>
    </row>
    <row r="117" spans="1:12" ht="26.5" hidden="1" thickBot="1" x14ac:dyDescent="0.4">
      <c r="A117" s="2">
        <v>46245.693136574075</v>
      </c>
      <c r="B117" s="1" t="s">
        <v>18</v>
      </c>
      <c r="C117" s="1" t="s">
        <v>7</v>
      </c>
      <c r="D117" s="3">
        <v>25</v>
      </c>
      <c r="E117" s="3">
        <v>190.1</v>
      </c>
      <c r="F117" s="3">
        <v>-2.5128205129999999</v>
      </c>
      <c r="G117" s="9" t="s">
        <v>90</v>
      </c>
      <c r="H117" s="10">
        <v>195</v>
      </c>
      <c r="I117" s="1" t="s">
        <v>8</v>
      </c>
      <c r="L117" t="str">
        <f>IF(COUNTIFS( $B$2:$B$963, B117, $C$2:$C$963, C117, $D$2:$D$963, D117, $E$2:$E$963, E117) &gt; 1, "Duplicate", "Unique")</f>
        <v>Unique</v>
      </c>
    </row>
    <row r="118" spans="1:12" ht="15" hidden="1" thickBot="1" x14ac:dyDescent="0.4">
      <c r="A118" s="2">
        <v>46245.645844907405</v>
      </c>
      <c r="B118" s="1" t="s">
        <v>29</v>
      </c>
      <c r="C118" s="1" t="s">
        <v>7</v>
      </c>
      <c r="D118" s="3">
        <v>10</v>
      </c>
      <c r="E118" s="3">
        <v>3950</v>
      </c>
      <c r="F118" s="3">
        <v>-2.4088943789999999</v>
      </c>
      <c r="G118" s="9" t="s">
        <v>101</v>
      </c>
      <c r="H118" s="10">
        <v>4047.5</v>
      </c>
      <c r="I118" s="1" t="s">
        <v>8</v>
      </c>
      <c r="L118" t="str">
        <f>IF(COUNTIFS( $B$2:$B$963, B118, $C$2:$C$963, C118, $D$2:$D$963, D118, $E$2:$E$963, E118) &gt; 1, "Duplicate", "Unique")</f>
        <v>Unique</v>
      </c>
    </row>
    <row r="119" spans="1:12" ht="26.5" hidden="1" thickBot="1" x14ac:dyDescent="0.4">
      <c r="A119" s="2">
        <v>46245.645810185182</v>
      </c>
      <c r="B119" s="1" t="s">
        <v>50</v>
      </c>
      <c r="C119" s="1" t="s">
        <v>7</v>
      </c>
      <c r="D119" s="3">
        <v>5</v>
      </c>
      <c r="E119" s="3">
        <v>2938</v>
      </c>
      <c r="F119" s="3">
        <v>-2.359587903</v>
      </c>
      <c r="G119" s="9" t="s">
        <v>122</v>
      </c>
      <c r="H119" s="10">
        <v>3009</v>
      </c>
      <c r="I119" s="1" t="s">
        <v>8</v>
      </c>
      <c r="L119" t="str">
        <f>IF(COUNTIFS( $B$2:$B$963, B119, $C$2:$C$963, C119, $D$2:$D$963, D119, $E$2:$E$963, E119) &gt; 1, "Duplicate", "Unique")</f>
        <v>Unique</v>
      </c>
    </row>
    <row r="120" spans="1:12" ht="26.5" hidden="1" thickBot="1" x14ac:dyDescent="0.4">
      <c r="A120" s="2">
        <v>46245.645810185182</v>
      </c>
      <c r="B120" s="1" t="s">
        <v>32</v>
      </c>
      <c r="C120" s="1" t="s">
        <v>7</v>
      </c>
      <c r="D120" s="3">
        <v>5</v>
      </c>
      <c r="E120" s="3">
        <v>1142</v>
      </c>
      <c r="F120" s="3">
        <v>-2.2511341269999998</v>
      </c>
      <c r="G120" s="9" t="s">
        <v>104</v>
      </c>
      <c r="H120" s="10">
        <v>1168.3</v>
      </c>
      <c r="I120" s="1" t="s">
        <v>8</v>
      </c>
      <c r="L120" t="str">
        <f>IF(COUNTIFS( $B$2:$B$963, B120, $C$2:$C$963, C120, $D$2:$D$963, D120, $E$2:$E$963, E120) &gt; 1, "Duplicate", "Unique")</f>
        <v>Unique</v>
      </c>
    </row>
    <row r="121" spans="1:12" ht="26.5" hidden="1" thickBot="1" x14ac:dyDescent="0.4">
      <c r="A121" s="2">
        <v>46245.645891203705</v>
      </c>
      <c r="B121" s="1" t="s">
        <v>42</v>
      </c>
      <c r="C121" s="1" t="s">
        <v>7</v>
      </c>
      <c r="D121" s="3">
        <v>2</v>
      </c>
      <c r="E121" s="3">
        <v>2460</v>
      </c>
      <c r="F121" s="3">
        <v>-2.1868787279999999</v>
      </c>
      <c r="G121" s="9" t="s">
        <v>114</v>
      </c>
      <c r="H121" s="10">
        <v>2515</v>
      </c>
      <c r="I121" s="1" t="s">
        <v>8</v>
      </c>
      <c r="L121" t="str">
        <f>IF(COUNTIFS( $B$2:$B$963, B121, $C$2:$C$963, C121, $D$2:$D$963, D121, $E$2:$E$963, E121) &gt; 1, "Duplicate", "Unique")</f>
        <v>Unique</v>
      </c>
    </row>
    <row r="122" spans="1:12" ht="26.5" hidden="1" thickBot="1" x14ac:dyDescent="0.4">
      <c r="A122" s="2">
        <v>46245.69321759259</v>
      </c>
      <c r="B122" s="1" t="s">
        <v>6</v>
      </c>
      <c r="C122" s="1" t="s">
        <v>7</v>
      </c>
      <c r="D122" s="3">
        <v>50</v>
      </c>
      <c r="E122" s="3">
        <v>203.5</v>
      </c>
      <c r="F122" s="3">
        <v>-2.163461538</v>
      </c>
      <c r="G122" s="9" t="s">
        <v>81</v>
      </c>
      <c r="H122" s="10">
        <v>208</v>
      </c>
      <c r="I122" s="1" t="s">
        <v>8</v>
      </c>
      <c r="L122" t="str">
        <f>IF(COUNTIFS( $B$2:$B$963, B122, $C$2:$C$963, C122, $D$2:$D$963, D122, $E$2:$E$963, E122) &gt; 1, "Duplicate", "Unique")</f>
        <v>Unique</v>
      </c>
    </row>
    <row r="123" spans="1:12" ht="26.5" hidden="1" thickBot="1" x14ac:dyDescent="0.4">
      <c r="A123" s="2">
        <v>46245.645844907405</v>
      </c>
      <c r="B123" s="1" t="s">
        <v>45</v>
      </c>
      <c r="C123" s="1" t="s">
        <v>7</v>
      </c>
      <c r="D123" s="3">
        <v>1</v>
      </c>
      <c r="E123" s="3">
        <v>4306</v>
      </c>
      <c r="F123" s="3">
        <v>-2.0918599360000001</v>
      </c>
      <c r="G123" s="9" t="s">
        <v>117</v>
      </c>
      <c r="H123" s="10">
        <v>4398</v>
      </c>
      <c r="I123" s="1" t="s">
        <v>8</v>
      </c>
      <c r="L123" t="str">
        <f>IF(COUNTIFS( $B$2:$B$963, B123, $C$2:$C$963, C123, $D$2:$D$963, D123, $E$2:$E$963, E123) &gt; 1, "Duplicate", "Unique")</f>
        <v>Unique</v>
      </c>
    </row>
    <row r="124" spans="1:12" ht="15" hidden="1" thickBot="1" x14ac:dyDescent="0.4">
      <c r="A124" s="2">
        <v>46245.693171296298</v>
      </c>
      <c r="B124" s="1" t="s">
        <v>11</v>
      </c>
      <c r="C124" s="1" t="s">
        <v>7</v>
      </c>
      <c r="D124" s="3">
        <v>100</v>
      </c>
      <c r="E124" s="3">
        <v>340.2</v>
      </c>
      <c r="F124" s="3">
        <v>-1.9313923319999999</v>
      </c>
      <c r="G124" s="9" t="s">
        <v>83</v>
      </c>
      <c r="H124" s="10">
        <v>346.9</v>
      </c>
      <c r="I124" s="1" t="s">
        <v>8</v>
      </c>
      <c r="L124" t="str">
        <f>IF(COUNTIFS( $B$2:$B$963, B124, $C$2:$C$963, C124, $D$2:$D$963, D124, $E$2:$E$963, E124) &gt; 1, "Duplicate", "Unique")</f>
        <v>Unique</v>
      </c>
    </row>
    <row r="125" spans="1:12" ht="39" hidden="1" thickBot="1" x14ac:dyDescent="0.4">
      <c r="A125" s="2">
        <v>46245.693032407406</v>
      </c>
      <c r="B125" s="1" t="s">
        <v>14</v>
      </c>
      <c r="C125" s="1" t="s">
        <v>7</v>
      </c>
      <c r="D125" s="3">
        <v>100</v>
      </c>
      <c r="E125" s="3">
        <v>218</v>
      </c>
      <c r="F125" s="3">
        <v>-1.929911377</v>
      </c>
      <c r="G125" s="9" t="s">
        <v>86</v>
      </c>
      <c r="H125" s="10">
        <v>222.29</v>
      </c>
      <c r="I125" s="1" t="s">
        <v>8</v>
      </c>
      <c r="L125" t="str">
        <f>IF(COUNTIFS( $B$2:$B$963, B125, $C$2:$C$963, C125, $D$2:$D$963, D125, $E$2:$E$963, E125) &gt; 1, "Duplicate", "Unique")</f>
        <v>Unique</v>
      </c>
    </row>
    <row r="126" spans="1:12" ht="26.5" hidden="1" thickBot="1" x14ac:dyDescent="0.4">
      <c r="A126" s="2">
        <v>46245.645891203705</v>
      </c>
      <c r="B126" s="1" t="s">
        <v>51</v>
      </c>
      <c r="C126" s="1" t="s">
        <v>7</v>
      </c>
      <c r="D126" s="3">
        <v>5</v>
      </c>
      <c r="E126" s="3">
        <v>712</v>
      </c>
      <c r="F126" s="3">
        <v>-1.786330092</v>
      </c>
      <c r="G126" s="9" t="s">
        <v>123</v>
      </c>
      <c r="H126" s="10">
        <v>724.95</v>
      </c>
      <c r="I126" s="1" t="s">
        <v>8</v>
      </c>
      <c r="L126" t="str">
        <f>IF(COUNTIFS( $B$2:$B$963, B126, $C$2:$C$963, C126, $D$2:$D$963, D126, $E$2:$E$963, E126) &gt; 1, "Duplicate", "Unique")</f>
        <v>Unique</v>
      </c>
    </row>
    <row r="127" spans="1:12" ht="26.5" hidden="1" thickBot="1" x14ac:dyDescent="0.4">
      <c r="A127" s="2">
        <v>46245.645844907405</v>
      </c>
      <c r="B127" s="1" t="s">
        <v>44</v>
      </c>
      <c r="C127" s="1" t="s">
        <v>7</v>
      </c>
      <c r="D127" s="3">
        <v>20</v>
      </c>
      <c r="E127" s="3">
        <v>917</v>
      </c>
      <c r="F127" s="3">
        <v>-1.4190496669999999</v>
      </c>
      <c r="G127" s="9" t="s">
        <v>116</v>
      </c>
      <c r="H127" s="10">
        <v>930.2</v>
      </c>
      <c r="I127" s="1" t="s">
        <v>8</v>
      </c>
      <c r="L127" t="str">
        <f>IF(COUNTIFS( $B$2:$B$963, B127, $C$2:$C$963, C127, $D$2:$D$963, D127, $E$2:$E$963, E127) &gt; 1, "Duplicate", "Unique")</f>
        <v>Unique</v>
      </c>
    </row>
    <row r="128" spans="1:12" ht="26.5" hidden="1" thickBot="1" x14ac:dyDescent="0.4">
      <c r="A128" s="2">
        <v>46245.693067129629</v>
      </c>
      <c r="B128" s="1" t="s">
        <v>12</v>
      </c>
      <c r="C128" s="1" t="s">
        <v>7</v>
      </c>
      <c r="D128" s="3">
        <v>5</v>
      </c>
      <c r="E128" s="3">
        <v>2540</v>
      </c>
      <c r="F128" s="3">
        <v>-1.397515528</v>
      </c>
      <c r="G128" s="9" t="s">
        <v>84</v>
      </c>
      <c r="H128" s="10">
        <v>2576</v>
      </c>
      <c r="I128" s="1" t="s">
        <v>8</v>
      </c>
      <c r="L128" t="str">
        <f>IF(COUNTIFS( $B$2:$B$963, B128, $C$2:$C$963, C128, $D$2:$D$963, D128, $E$2:$E$963, E128) &gt; 1, "Duplicate", "Unique")</f>
        <v>Unique</v>
      </c>
    </row>
    <row r="129" spans="1:12" ht="26.5" hidden="1" thickBot="1" x14ac:dyDescent="0.4">
      <c r="A129" s="2">
        <v>46245.645798611113</v>
      </c>
      <c r="B129" s="1" t="s">
        <v>32</v>
      </c>
      <c r="C129" s="1" t="s">
        <v>7</v>
      </c>
      <c r="D129" s="3">
        <v>5</v>
      </c>
      <c r="E129" s="3">
        <v>1152</v>
      </c>
      <c r="F129" s="3">
        <v>-1.3951895919999999</v>
      </c>
      <c r="G129" s="9" t="s">
        <v>104</v>
      </c>
      <c r="H129" s="10">
        <v>1168.3</v>
      </c>
      <c r="I129" s="1" t="s">
        <v>8</v>
      </c>
      <c r="L129" t="str">
        <f>IF(COUNTIFS( $B$2:$B$963, B129, $C$2:$C$963, C129, $D$2:$D$963, D129, $E$2:$E$963, E129) &gt; 1, "Duplicate", "Unique")</f>
        <v>Unique</v>
      </c>
    </row>
    <row r="130" spans="1:12" ht="26.5" hidden="1" thickBot="1" x14ac:dyDescent="0.4">
      <c r="A130" s="2">
        <v>46245.645810185182</v>
      </c>
      <c r="B130" s="1" t="s">
        <v>35</v>
      </c>
      <c r="C130" s="1" t="s">
        <v>7</v>
      </c>
      <c r="D130" s="3">
        <v>5</v>
      </c>
      <c r="E130" s="3">
        <v>1188</v>
      </c>
      <c r="F130" s="3">
        <v>-1.3289036540000001</v>
      </c>
      <c r="G130" s="9" t="s">
        <v>107</v>
      </c>
      <c r="H130" s="10">
        <v>1204</v>
      </c>
      <c r="I130" s="1" t="s">
        <v>8</v>
      </c>
      <c r="L130" t="str">
        <f>IF(COUNTIFS( $B$2:$B$963, B130, $C$2:$C$963, C130, $D$2:$D$963, D130, $E$2:$E$963, E130) &gt; 1, "Duplicate", "Unique")</f>
        <v>Unique</v>
      </c>
    </row>
    <row r="131" spans="1:12" ht="39" hidden="1" thickBot="1" x14ac:dyDescent="0.4">
      <c r="A131" s="2">
        <v>46245.693101851852</v>
      </c>
      <c r="B131" s="1" t="s">
        <v>19</v>
      </c>
      <c r="C131" s="1" t="s">
        <v>7</v>
      </c>
      <c r="D131" s="3">
        <v>40</v>
      </c>
      <c r="E131" s="3">
        <v>436</v>
      </c>
      <c r="F131" s="3">
        <v>-1.3128112270000001</v>
      </c>
      <c r="G131" s="9" t="s">
        <v>91</v>
      </c>
      <c r="H131" s="10">
        <v>441.8</v>
      </c>
      <c r="I131" s="1" t="s">
        <v>8</v>
      </c>
      <c r="L131" t="str">
        <f>IF(COUNTIFS( $B$2:$B$963, B131, $C$2:$C$963, C131, $D$2:$D$963, D131, $E$2:$E$963, E131) &gt; 1, "Duplicate", "Unique")</f>
        <v>Unique</v>
      </c>
    </row>
    <row r="132" spans="1:12" ht="39" hidden="1" thickBot="1" x14ac:dyDescent="0.4">
      <c r="A132" s="2">
        <v>46245.693032407406</v>
      </c>
      <c r="B132" s="1" t="s">
        <v>14</v>
      </c>
      <c r="C132" s="1" t="s">
        <v>7</v>
      </c>
      <c r="D132" s="3">
        <v>100</v>
      </c>
      <c r="E132" s="3">
        <v>220</v>
      </c>
      <c r="F132" s="3">
        <v>-1.030185793</v>
      </c>
      <c r="G132" s="9" t="s">
        <v>86</v>
      </c>
      <c r="H132" s="10">
        <v>222.29</v>
      </c>
      <c r="I132" s="1" t="s">
        <v>8</v>
      </c>
      <c r="L132" t="str">
        <f>IF(COUNTIFS( $B$2:$B$963, B132, $C$2:$C$963, C132, $D$2:$D$963, D132, $E$2:$E$963, E132) &gt; 1, "Duplicate", "Unique")</f>
        <v>Unique</v>
      </c>
    </row>
    <row r="133" spans="1:12" ht="26.5" hidden="1" thickBot="1" x14ac:dyDescent="0.4">
      <c r="A133" s="2">
        <v>46245.693055555559</v>
      </c>
      <c r="B133" s="1" t="s">
        <v>12</v>
      </c>
      <c r="C133" s="1" t="s">
        <v>7</v>
      </c>
      <c r="D133" s="3">
        <v>10</v>
      </c>
      <c r="E133" s="3">
        <v>2552</v>
      </c>
      <c r="F133" s="3">
        <v>-0.93167701859999996</v>
      </c>
      <c r="G133" s="9" t="s">
        <v>84</v>
      </c>
      <c r="H133" s="10">
        <v>2576</v>
      </c>
      <c r="I133" s="1" t="s">
        <v>8</v>
      </c>
      <c r="L133" t="str">
        <f>IF(COUNTIFS( $B$2:$B$963, B133, $C$2:$C$963, C133, $D$2:$D$963, D133, $E$2:$E$963, E133) &gt; 1, "Duplicate", "Unique")</f>
        <v>Unique</v>
      </c>
    </row>
    <row r="134" spans="1:12" ht="26.5" hidden="1" thickBot="1" x14ac:dyDescent="0.4">
      <c r="A134" s="2">
        <v>46245.645891203705</v>
      </c>
      <c r="B134" s="1" t="s">
        <v>52</v>
      </c>
      <c r="C134" s="1" t="s">
        <v>7</v>
      </c>
      <c r="D134" s="3">
        <v>100</v>
      </c>
      <c r="E134" s="3">
        <v>87.3</v>
      </c>
      <c r="F134" s="3">
        <v>-0.85178875639999996</v>
      </c>
      <c r="G134" s="9" t="s">
        <v>124</v>
      </c>
      <c r="H134" s="10">
        <v>88.05</v>
      </c>
      <c r="I134" s="1" t="s">
        <v>8</v>
      </c>
      <c r="L134" t="str">
        <f>IF(COUNTIFS( $B$2:$B$963, B134, $C$2:$C$963, C134, $D$2:$D$963, D134, $E$2:$E$963, E134) &gt; 1, "Duplicate", "Unique")</f>
        <v>Unique</v>
      </c>
    </row>
    <row r="135" spans="1:12" ht="15" hidden="1" thickBot="1" x14ac:dyDescent="0.4">
      <c r="A135" s="2">
        <v>46245.69321759259</v>
      </c>
      <c r="B135" s="1" t="s">
        <v>11</v>
      </c>
      <c r="C135" s="1" t="s">
        <v>7</v>
      </c>
      <c r="D135" s="3">
        <v>50</v>
      </c>
      <c r="E135" s="3">
        <v>344</v>
      </c>
      <c r="F135" s="3">
        <v>-0.83597578549999996</v>
      </c>
      <c r="G135" s="9" t="s">
        <v>83</v>
      </c>
      <c r="H135" s="10">
        <v>346.9</v>
      </c>
      <c r="I135" s="1" t="s">
        <v>8</v>
      </c>
      <c r="L135" t="str">
        <f>IF(COUNTIFS( $B$2:$B$963, B135, $C$2:$C$963, C135, $D$2:$D$963, D135, $E$2:$E$963, E135) &gt; 1, "Duplicate", "Unique")</f>
        <v>Unique</v>
      </c>
    </row>
    <row r="136" spans="1:12" ht="39" hidden="1" thickBot="1" x14ac:dyDescent="0.4">
      <c r="A136" s="2">
        <v>46245.645879629628</v>
      </c>
      <c r="B136" s="1" t="s">
        <v>30</v>
      </c>
      <c r="C136" s="1" t="s">
        <v>7</v>
      </c>
      <c r="D136" s="3">
        <v>2</v>
      </c>
      <c r="E136" s="3">
        <v>1036</v>
      </c>
      <c r="F136" s="3">
        <v>-0.32711179530000001</v>
      </c>
      <c r="G136" s="9" t="s">
        <v>102</v>
      </c>
      <c r="H136" s="10">
        <v>1039.4000000000001</v>
      </c>
      <c r="I136" s="1" t="s">
        <v>8</v>
      </c>
      <c r="L136" t="str">
        <f>IF(COUNTIFS( $B$2:$B$963, B136, $C$2:$C$963, C136, $D$2:$D$963, D136, $E$2:$E$963, E136) &gt; 1, "Duplicate", "Unique")</f>
        <v>Unique</v>
      </c>
    </row>
    <row r="137" spans="1:12" ht="15" thickBot="1" x14ac:dyDescent="0.4">
      <c r="A137" s="2">
        <v>46245.645879629628</v>
      </c>
      <c r="B137" s="1" t="s">
        <v>33</v>
      </c>
      <c r="C137" s="1" t="s">
        <v>10</v>
      </c>
      <c r="D137" s="3">
        <v>5</v>
      </c>
      <c r="E137" s="3">
        <v>3633</v>
      </c>
      <c r="F137" s="3">
        <v>0.80466148719999997</v>
      </c>
      <c r="G137" s="9" t="s">
        <v>105</v>
      </c>
      <c r="H137" s="10">
        <v>3604</v>
      </c>
      <c r="I137" s="1" t="s">
        <v>8</v>
      </c>
      <c r="L137" t="str">
        <f>IF(COUNTIFS( $B$2:$B$963, B137, $C$2:$C$963, C137, $D$2:$D$963, D137, $E$2:$E$963, E137) &gt; 1, "Duplicate", "Unique")</f>
        <v>Unique</v>
      </c>
    </row>
    <row r="138" spans="1:12" ht="15" thickBot="1" x14ac:dyDescent="0.4">
      <c r="A138" s="2">
        <v>46245.645844907405</v>
      </c>
      <c r="B138" s="1" t="s">
        <v>36</v>
      </c>
      <c r="C138" s="1" t="s">
        <v>10</v>
      </c>
      <c r="D138" s="3">
        <v>10</v>
      </c>
      <c r="E138" s="3">
        <v>1320</v>
      </c>
      <c r="F138" s="3">
        <v>0.94830223309999995</v>
      </c>
      <c r="G138" s="9" t="s">
        <v>108</v>
      </c>
      <c r="H138" s="10">
        <v>1307.5999999999999</v>
      </c>
      <c r="I138" s="1" t="s">
        <v>8</v>
      </c>
      <c r="L138" t="str">
        <f>IF(COUNTIFS( $B$2:$B$963, B138, $C$2:$C$963, C138, $D$2:$D$963, D138, $E$2:$E$963, E138) &gt; 1, "Duplicate", "Unique")</f>
        <v>Unique</v>
      </c>
    </row>
    <row r="139" spans="1:12" ht="26.5" thickBot="1" x14ac:dyDescent="0.4">
      <c r="A139" s="2">
        <v>46245.692997685182</v>
      </c>
      <c r="B139" s="1" t="s">
        <v>12</v>
      </c>
      <c r="C139" s="1" t="s">
        <v>10</v>
      </c>
      <c r="D139" s="3">
        <v>10</v>
      </c>
      <c r="E139" s="3">
        <v>2608</v>
      </c>
      <c r="F139" s="3">
        <v>1.242236025</v>
      </c>
      <c r="G139" s="9" t="s">
        <v>84</v>
      </c>
      <c r="H139" s="10">
        <v>2576</v>
      </c>
      <c r="I139" s="1" t="s">
        <v>8</v>
      </c>
      <c r="L139" t="str">
        <f>IF(COUNTIFS( $B$2:$B$963, B139, $C$2:$C$963, C139, $D$2:$D$963, D139, $E$2:$E$963, E139) &gt; 1, "Duplicate", "Unique")</f>
        <v>Unique</v>
      </c>
    </row>
    <row r="140" spans="1:12" ht="15" thickBot="1" x14ac:dyDescent="0.4">
      <c r="A140" s="2">
        <v>46211.765277777777</v>
      </c>
      <c r="B140" s="1" t="s">
        <v>27</v>
      </c>
      <c r="C140" s="1" t="s">
        <v>10</v>
      </c>
      <c r="D140" s="3">
        <v>5</v>
      </c>
      <c r="E140" s="3">
        <v>635.75</v>
      </c>
      <c r="F140" s="3">
        <v>1.866688031</v>
      </c>
      <c r="G140" s="9" t="s">
        <v>99</v>
      </c>
      <c r="H140" s="10">
        <v>624.1</v>
      </c>
      <c r="I140" s="1" t="s">
        <v>8</v>
      </c>
      <c r="L140" t="str">
        <f>IF(COUNTIFS( $B$2:$B$963, B140, $C$2:$C$963, C140, $D$2:$D$963, D140, $E$2:$E$963, E140) &gt; 1, "Duplicate", "Unique")</f>
        <v>Unique</v>
      </c>
    </row>
    <row r="141" spans="1:12" ht="15" thickBot="1" x14ac:dyDescent="0.4">
      <c r="A141" s="2">
        <v>46245.645833333336</v>
      </c>
      <c r="B141" s="1" t="s">
        <v>29</v>
      </c>
      <c r="C141" s="1" t="s">
        <v>10</v>
      </c>
      <c r="D141" s="3">
        <v>5</v>
      </c>
      <c r="E141" s="3">
        <v>4129</v>
      </c>
      <c r="F141" s="3">
        <v>2.0135886350000001</v>
      </c>
      <c r="G141" s="9" t="s">
        <v>101</v>
      </c>
      <c r="H141" s="10">
        <v>4047.5</v>
      </c>
      <c r="I141" s="1" t="s">
        <v>8</v>
      </c>
      <c r="L141" t="str">
        <f>IF(COUNTIFS( $B$2:$B$963, B141, $C$2:$C$963, C141, $D$2:$D$963, D141, $E$2:$E$963, E141) &gt; 1, "Duplicate", "Unique")</f>
        <v>Unique</v>
      </c>
    </row>
    <row r="142" spans="1:12" ht="26.5" thickBot="1" x14ac:dyDescent="0.4">
      <c r="A142" s="2">
        <v>46245.645856481482</v>
      </c>
      <c r="B142" s="1" t="s">
        <v>53</v>
      </c>
      <c r="C142" s="1" t="s">
        <v>10</v>
      </c>
      <c r="D142" s="3">
        <v>200</v>
      </c>
      <c r="E142" s="3">
        <v>234</v>
      </c>
      <c r="F142" s="3">
        <v>2.0808794659999998</v>
      </c>
      <c r="G142" s="9" t="s">
        <v>125</v>
      </c>
      <c r="H142" s="10">
        <v>229.23</v>
      </c>
      <c r="I142" s="1" t="s">
        <v>8</v>
      </c>
      <c r="L142" t="str">
        <f>IF(COUNTIFS( $B$2:$B$963, B142, $C$2:$C$963, C142, $D$2:$D$963, D142, $E$2:$E$963, E142) &gt; 1, "Duplicate", "Unique")</f>
        <v>Unique</v>
      </c>
    </row>
    <row r="143" spans="1:12" ht="26.5" thickBot="1" x14ac:dyDescent="0.4">
      <c r="A143" s="2">
        <v>46245.645833333336</v>
      </c>
      <c r="B143" s="1" t="s">
        <v>47</v>
      </c>
      <c r="C143" s="1" t="s">
        <v>10</v>
      </c>
      <c r="D143" s="3">
        <v>20</v>
      </c>
      <c r="E143" s="3">
        <v>896</v>
      </c>
      <c r="F143" s="3">
        <v>2.166476625</v>
      </c>
      <c r="G143" s="9" t="s">
        <v>119</v>
      </c>
      <c r="H143" s="10">
        <v>877</v>
      </c>
      <c r="I143" s="1" t="s">
        <v>8</v>
      </c>
      <c r="L143" t="str">
        <f>IF(COUNTIFS( $B$2:$B$963, B143, $C$2:$C$963, C143, $D$2:$D$963, D143, $E$2:$E$963, E143) &gt; 1, "Duplicate", "Unique")</f>
        <v>Unique</v>
      </c>
    </row>
    <row r="144" spans="1:12" ht="26.5" thickBot="1" x14ac:dyDescent="0.4">
      <c r="A144" s="2">
        <v>46245.693055555559</v>
      </c>
      <c r="B144" s="1" t="s">
        <v>12</v>
      </c>
      <c r="C144" s="1" t="s">
        <v>10</v>
      </c>
      <c r="D144" s="3">
        <v>10</v>
      </c>
      <c r="E144" s="3">
        <v>2636</v>
      </c>
      <c r="F144" s="3">
        <v>2.3291925469999999</v>
      </c>
      <c r="G144" s="9" t="s">
        <v>84</v>
      </c>
      <c r="H144" s="10">
        <v>2576</v>
      </c>
      <c r="I144" s="1" t="s">
        <v>8</v>
      </c>
      <c r="L144" t="str">
        <f>IF(COUNTIFS( $B$2:$B$963, B144, $C$2:$C$963, C144, $D$2:$D$963, D144, $E$2:$E$963, E144) &gt; 1, "Duplicate", "Unique")</f>
        <v>Unique</v>
      </c>
    </row>
    <row r="145" spans="1:12" s="17" customFormat="1" ht="39" thickBot="1" x14ac:dyDescent="0.4">
      <c r="A145" s="12">
        <v>46245.693032407406</v>
      </c>
      <c r="B145" s="13" t="s">
        <v>14</v>
      </c>
      <c r="C145" s="13" t="s">
        <v>10</v>
      </c>
      <c r="D145" s="14">
        <v>50</v>
      </c>
      <c r="E145" s="14">
        <v>228</v>
      </c>
      <c r="F145" s="14">
        <v>2.5687165410000001</v>
      </c>
      <c r="G145" s="15" t="s">
        <v>86</v>
      </c>
      <c r="H145" s="16">
        <v>222.29</v>
      </c>
      <c r="I145" s="13" t="s">
        <v>8</v>
      </c>
      <c r="J145" s="17" t="s">
        <v>140</v>
      </c>
      <c r="L145" s="17" t="str">
        <f>IF(COUNTIFS( $B$2:$B$963, B145, $C$2:$C$963, C145, $D$2:$D$963, D145, $E$2:$E$963, E145) &gt; 1, "Duplicate", "Unique")</f>
        <v>Unique</v>
      </c>
    </row>
    <row r="146" spans="1:12" ht="26.5" thickBot="1" x14ac:dyDescent="0.4">
      <c r="A146" s="2">
        <v>46245.693020833336</v>
      </c>
      <c r="B146" s="1" t="s">
        <v>9</v>
      </c>
      <c r="C146" s="1" t="s">
        <v>10</v>
      </c>
      <c r="D146" s="3">
        <v>150</v>
      </c>
      <c r="E146" s="3">
        <v>131.5</v>
      </c>
      <c r="F146" s="3">
        <v>2.6061173530000001</v>
      </c>
      <c r="G146" s="9" t="s">
        <v>82</v>
      </c>
      <c r="H146" s="10">
        <v>128.16</v>
      </c>
      <c r="I146" s="1" t="s">
        <v>8</v>
      </c>
      <c r="L146" t="str">
        <f>IF(COUNTIFS( $B$2:$B$963, B146, $C$2:$C$963, C146, $D$2:$D$963, D146, $E$2:$E$963, E146) &gt; 1, "Duplicate", "Unique")</f>
        <v>Unique</v>
      </c>
    </row>
    <row r="147" spans="1:12" ht="26.5" thickBot="1" x14ac:dyDescent="0.4">
      <c r="A147" s="2">
        <v>46245.645879629628</v>
      </c>
      <c r="B147" s="1" t="s">
        <v>40</v>
      </c>
      <c r="C147" s="1" t="s">
        <v>10</v>
      </c>
      <c r="D147" s="3">
        <v>1</v>
      </c>
      <c r="E147" s="3">
        <v>19198</v>
      </c>
      <c r="F147" s="3">
        <v>2.773019272</v>
      </c>
      <c r="G147" s="9" t="s">
        <v>112</v>
      </c>
      <c r="H147" s="10">
        <v>18680</v>
      </c>
      <c r="I147" s="1" t="s">
        <v>8</v>
      </c>
      <c r="L147" t="str">
        <f>IF(COUNTIFS( $B$2:$B$963, B147, $C$2:$C$963, C147, $D$2:$D$963, D147, $E$2:$E$963, E147) &gt; 1, "Duplicate", "Unique")</f>
        <v>Unique</v>
      </c>
    </row>
    <row r="148" spans="1:12" s="23" customFormat="1" ht="26.5" thickBot="1" x14ac:dyDescent="0.4">
      <c r="A148" s="18">
        <v>46245.693032407406</v>
      </c>
      <c r="B148" s="19" t="s">
        <v>12</v>
      </c>
      <c r="C148" s="19" t="s">
        <v>10</v>
      </c>
      <c r="D148" s="20">
        <v>10</v>
      </c>
      <c r="E148" s="20">
        <v>2648</v>
      </c>
      <c r="F148" s="20">
        <v>2.795031056</v>
      </c>
      <c r="G148" s="21" t="s">
        <v>84</v>
      </c>
      <c r="H148" s="22">
        <v>2576</v>
      </c>
      <c r="I148" s="19" t="s">
        <v>8</v>
      </c>
      <c r="L148" s="23" t="str">
        <f>IF(COUNTIFS( $B$2:$B$963, B148, $C$2:$C$963, C148, $D$2:$D$963, D148, $E$2:$E$963, E148) &gt; 1, "Duplicate", "Unique")</f>
        <v>Unique</v>
      </c>
    </row>
    <row r="149" spans="1:12" ht="26.5" thickBot="1" x14ac:dyDescent="0.4">
      <c r="A149" s="2">
        <v>46245.645856481482</v>
      </c>
      <c r="B149" s="1" t="s">
        <v>44</v>
      </c>
      <c r="C149" s="1" t="s">
        <v>10</v>
      </c>
      <c r="D149" s="3">
        <v>10</v>
      </c>
      <c r="E149" s="3">
        <v>957</v>
      </c>
      <c r="F149" s="3">
        <v>2.8811008390000001</v>
      </c>
      <c r="G149" s="9" t="s">
        <v>116</v>
      </c>
      <c r="H149" s="10">
        <v>930.2</v>
      </c>
      <c r="I149" s="1" t="s">
        <v>8</v>
      </c>
      <c r="L149" t="str">
        <f>IF(COUNTIFS( $B$2:$B$963, B149, $C$2:$C$963, C149, $D$2:$D$963, D149, $E$2:$E$963, E149) &gt; 1, "Duplicate", "Unique")</f>
        <v>Unique</v>
      </c>
    </row>
    <row r="150" spans="1:12" ht="26.5" thickBot="1" x14ac:dyDescent="0.4">
      <c r="A150" s="2">
        <v>46245.693136574075</v>
      </c>
      <c r="B150" s="1" t="s">
        <v>6</v>
      </c>
      <c r="C150" s="1" t="s">
        <v>10</v>
      </c>
      <c r="D150" s="3">
        <v>50</v>
      </c>
      <c r="E150" s="3">
        <v>214</v>
      </c>
      <c r="F150" s="3">
        <v>2.884615385</v>
      </c>
      <c r="G150" s="9" t="s">
        <v>81</v>
      </c>
      <c r="H150" s="10">
        <v>208</v>
      </c>
      <c r="I150" s="1" t="s">
        <v>8</v>
      </c>
      <c r="L150" t="str">
        <f>IF(COUNTIFS( $B$2:$B$963, B150, $C$2:$C$963, C150, $D$2:$D$963, D150, $E$2:$E$963, E150) &gt; 1, "Duplicate", "Unique")</f>
        <v>Unique</v>
      </c>
    </row>
    <row r="151" spans="1:12" ht="15" thickBot="1" x14ac:dyDescent="0.4">
      <c r="A151" s="2">
        <v>46245.69321759259</v>
      </c>
      <c r="B151" s="1" t="s">
        <v>11</v>
      </c>
      <c r="C151" s="1" t="s">
        <v>10</v>
      </c>
      <c r="D151" s="3">
        <v>50</v>
      </c>
      <c r="E151" s="3">
        <v>357</v>
      </c>
      <c r="F151" s="3">
        <v>2.9115018739999998</v>
      </c>
      <c r="G151" s="9" t="s">
        <v>83</v>
      </c>
      <c r="H151" s="10">
        <v>346.9</v>
      </c>
      <c r="I151" s="1" t="s">
        <v>8</v>
      </c>
      <c r="L151" t="str">
        <f>IF(COUNTIFS( $B$2:$B$963, B151, $C$2:$C$963, C151, $D$2:$D$963, D151, $E$2:$E$963, E151) &gt; 1, "Duplicate", "Unique")</f>
        <v>Unique</v>
      </c>
    </row>
    <row r="152" spans="1:12" ht="15" thickBot="1" x14ac:dyDescent="0.4">
      <c r="A152" s="2">
        <v>46245.645868055559</v>
      </c>
      <c r="B152" s="1" t="s">
        <v>33</v>
      </c>
      <c r="C152" s="1" t="s">
        <v>10</v>
      </c>
      <c r="D152" s="3">
        <v>1</v>
      </c>
      <c r="E152" s="3">
        <v>3710</v>
      </c>
      <c r="F152" s="3">
        <v>2.9411764709999999</v>
      </c>
      <c r="G152" s="9" t="s">
        <v>105</v>
      </c>
      <c r="H152" s="10">
        <v>3604</v>
      </c>
      <c r="I152" s="1" t="s">
        <v>8</v>
      </c>
      <c r="L152" t="str">
        <f>IF(COUNTIFS( $B$2:$B$963, B152, $C$2:$C$963, C152, $D$2:$D$963, D152, $E$2:$E$963, E152) &gt; 1, "Duplicate", "Unique")</f>
        <v>Unique</v>
      </c>
    </row>
    <row r="153" spans="1:12" ht="26.5" thickBot="1" x14ac:dyDescent="0.4">
      <c r="A153" s="2">
        <v>46245.635578703703</v>
      </c>
      <c r="B153" s="1" t="s">
        <v>52</v>
      </c>
      <c r="C153" s="1" t="s">
        <v>10</v>
      </c>
      <c r="D153" s="3">
        <v>200</v>
      </c>
      <c r="E153" s="3">
        <v>90.75</v>
      </c>
      <c r="F153" s="3">
        <v>3.0664395230000001</v>
      </c>
      <c r="G153" s="9" t="s">
        <v>124</v>
      </c>
      <c r="H153" s="10">
        <v>88.05</v>
      </c>
      <c r="I153" s="1" t="s">
        <v>8</v>
      </c>
      <c r="L153" t="str">
        <f>IF(COUNTIFS( $B$2:$B$963, B153, $C$2:$C$963, C153, $D$2:$D$963, D153, $E$2:$E$963, E153) &gt; 1, "Duplicate", "Unique")</f>
        <v>Unique</v>
      </c>
    </row>
    <row r="154" spans="1:12" ht="15" thickBot="1" x14ac:dyDescent="0.4">
      <c r="A154" s="2">
        <v>46245.645844907405</v>
      </c>
      <c r="B154" s="1" t="s">
        <v>36</v>
      </c>
      <c r="C154" s="1" t="s">
        <v>10</v>
      </c>
      <c r="D154" s="3">
        <v>10</v>
      </c>
      <c r="E154" s="3">
        <v>1348</v>
      </c>
      <c r="F154" s="3">
        <v>3.0896298560000002</v>
      </c>
      <c r="G154" s="9" t="s">
        <v>108</v>
      </c>
      <c r="H154" s="10">
        <v>1307.5999999999999</v>
      </c>
      <c r="I154" s="1" t="s">
        <v>8</v>
      </c>
      <c r="L154" t="str">
        <f>IF(COUNTIFS( $B$2:$B$963, B154, $C$2:$C$963, C154, $D$2:$D$963, D154, $E$2:$E$963, E154) &gt; 1, "Duplicate", "Unique")</f>
        <v>Unique</v>
      </c>
    </row>
    <row r="155" spans="1:12" ht="26.5" thickBot="1" x14ac:dyDescent="0.4">
      <c r="A155" s="2">
        <v>46245.693067129629</v>
      </c>
      <c r="B155" s="1" t="s">
        <v>26</v>
      </c>
      <c r="C155" s="1" t="s">
        <v>10</v>
      </c>
      <c r="D155" s="3">
        <v>50</v>
      </c>
      <c r="E155" s="3">
        <v>296</v>
      </c>
      <c r="F155" s="3">
        <v>3.0999651689999999</v>
      </c>
      <c r="G155" s="9" t="s">
        <v>98</v>
      </c>
      <c r="H155" s="10">
        <v>287.10000000000002</v>
      </c>
      <c r="I155" s="1" t="s">
        <v>8</v>
      </c>
      <c r="L155" t="str">
        <f>IF(COUNTIFS( $B$2:$B$963, B155, $C$2:$C$963, C155, $D$2:$D$963, D155, $E$2:$E$963, E155) &gt; 1, "Duplicate", "Unique")</f>
        <v>Unique</v>
      </c>
    </row>
    <row r="156" spans="1:12" ht="15" thickBot="1" x14ac:dyDescent="0.4">
      <c r="A156" s="2">
        <v>46245.63553240741</v>
      </c>
      <c r="B156" s="1" t="s">
        <v>29</v>
      </c>
      <c r="C156" s="1" t="s">
        <v>10</v>
      </c>
      <c r="D156" s="3">
        <v>5</v>
      </c>
      <c r="E156" s="3">
        <v>4177</v>
      </c>
      <c r="F156" s="3">
        <v>3.1995058680000001</v>
      </c>
      <c r="G156" s="9" t="s">
        <v>101</v>
      </c>
      <c r="H156" s="10">
        <v>4047.5</v>
      </c>
      <c r="I156" s="1" t="s">
        <v>8</v>
      </c>
      <c r="L156" t="str">
        <f>IF(COUNTIFS( $B$2:$B$963, B156, $C$2:$C$963, C156, $D$2:$D$963, D156, $E$2:$E$963, E156) &gt; 1, "Duplicate", "Unique")</f>
        <v>Unique</v>
      </c>
    </row>
    <row r="157" spans="1:12" ht="39" thickBot="1" x14ac:dyDescent="0.4">
      <c r="A157" s="2">
        <v>46245.635567129626</v>
      </c>
      <c r="B157" s="1" t="s">
        <v>38</v>
      </c>
      <c r="C157" s="1" t="s">
        <v>10</v>
      </c>
      <c r="D157" s="3">
        <v>10</v>
      </c>
      <c r="E157" s="3">
        <v>1548</v>
      </c>
      <c r="F157" s="3">
        <v>3.475935829</v>
      </c>
      <c r="G157" s="9" t="s">
        <v>110</v>
      </c>
      <c r="H157" s="10">
        <v>1496</v>
      </c>
      <c r="I157" s="1" t="s">
        <v>8</v>
      </c>
      <c r="L157" t="str">
        <f>IF(COUNTIFS( $B$2:$B$963, B157, $C$2:$C$963, C157, $D$2:$D$963, D157, $E$2:$E$963, E157) &gt; 1, "Duplicate", "Unique")</f>
        <v>Unique</v>
      </c>
    </row>
    <row r="158" spans="1:12" ht="26.5" thickBot="1" x14ac:dyDescent="0.4">
      <c r="A158" s="2">
        <v>46245.693055555559</v>
      </c>
      <c r="B158" s="1" t="s">
        <v>12</v>
      </c>
      <c r="C158" s="1" t="s">
        <v>10</v>
      </c>
      <c r="D158" s="3">
        <v>10</v>
      </c>
      <c r="E158" s="3">
        <v>2672</v>
      </c>
      <c r="F158" s="3">
        <v>3.7267080749999999</v>
      </c>
      <c r="G158" s="9" t="s">
        <v>84</v>
      </c>
      <c r="H158" s="10">
        <v>2576</v>
      </c>
      <c r="I158" s="1" t="s">
        <v>8</v>
      </c>
      <c r="L158" t="str">
        <f>IF(COUNTIFS( $B$2:$B$963, B158, $C$2:$C$963, C158, $D$2:$D$963, D158, $E$2:$E$963, E158) &gt; 1, "Duplicate", "Unique")</f>
        <v>Unique</v>
      </c>
    </row>
    <row r="159" spans="1:12" ht="26.5" thickBot="1" x14ac:dyDescent="0.4">
      <c r="A159" s="2">
        <v>46245.63554398148</v>
      </c>
      <c r="B159" s="1" t="s">
        <v>32</v>
      </c>
      <c r="C159" s="1" t="s">
        <v>10</v>
      </c>
      <c r="D159" s="3">
        <v>5</v>
      </c>
      <c r="E159" s="3">
        <v>1212</v>
      </c>
      <c r="F159" s="3">
        <v>3.7404776169999998</v>
      </c>
      <c r="G159" s="9" t="s">
        <v>104</v>
      </c>
      <c r="H159" s="10">
        <v>1168.3</v>
      </c>
      <c r="I159" s="1" t="s">
        <v>8</v>
      </c>
      <c r="L159" t="str">
        <f>IF(COUNTIFS( $B$2:$B$963, B159, $C$2:$C$963, C159, $D$2:$D$963, D159, $E$2:$E$963, E159) &gt; 1, "Duplicate", "Unique")</f>
        <v>Unique</v>
      </c>
    </row>
    <row r="160" spans="1:12" ht="39" thickBot="1" x14ac:dyDescent="0.4">
      <c r="A160" s="2">
        <v>46245.693182870367</v>
      </c>
      <c r="B160" s="1" t="s">
        <v>28</v>
      </c>
      <c r="C160" s="1" t="s">
        <v>10</v>
      </c>
      <c r="D160" s="3">
        <v>30</v>
      </c>
      <c r="E160" s="3">
        <v>940</v>
      </c>
      <c r="F160" s="3">
        <v>3.8616651009999998</v>
      </c>
      <c r="G160" s="9" t="s">
        <v>100</v>
      </c>
      <c r="H160" s="10">
        <v>905.05</v>
      </c>
      <c r="I160" s="1" t="s">
        <v>8</v>
      </c>
      <c r="L160" t="str">
        <f>IF(COUNTIFS( $B$2:$B$963, B160, $C$2:$C$963, C160, $D$2:$D$963, D160, $E$2:$E$963, E160) &gt; 1, "Duplicate", "Unique")</f>
        <v>Unique</v>
      </c>
    </row>
    <row r="161" spans="1:12" ht="26.5" thickBot="1" x14ac:dyDescent="0.4">
      <c r="A161" s="2">
        <v>46245.635520833333</v>
      </c>
      <c r="B161" s="1" t="s">
        <v>53</v>
      </c>
      <c r="C161" s="1" t="s">
        <v>10</v>
      </c>
      <c r="D161" s="3">
        <v>100</v>
      </c>
      <c r="E161" s="3">
        <v>238.2</v>
      </c>
      <c r="F161" s="3">
        <v>3.9131003799999999</v>
      </c>
      <c r="G161" s="9" t="s">
        <v>125</v>
      </c>
      <c r="H161" s="10">
        <v>229.23</v>
      </c>
      <c r="I161" s="1" t="s">
        <v>8</v>
      </c>
      <c r="L161" t="str">
        <f>IF(COUNTIFS( $B$2:$B$963, B161, $C$2:$C$963, C161, $D$2:$D$963, D161, $E$2:$E$963, E161) &gt; 1, "Duplicate", "Unique")</f>
        <v>Unique</v>
      </c>
    </row>
    <row r="162" spans="1:12" ht="15" thickBot="1" x14ac:dyDescent="0.4">
      <c r="A162" s="2">
        <v>46245.63554398148</v>
      </c>
      <c r="B162" s="1" t="s">
        <v>36</v>
      </c>
      <c r="C162" s="1" t="s">
        <v>10</v>
      </c>
      <c r="D162" s="3">
        <v>10</v>
      </c>
      <c r="E162" s="3">
        <v>1360</v>
      </c>
      <c r="F162" s="3">
        <v>4.007341695</v>
      </c>
      <c r="G162" s="9" t="s">
        <v>108</v>
      </c>
      <c r="H162" s="10">
        <v>1307.5999999999999</v>
      </c>
      <c r="I162" s="1" t="s">
        <v>8</v>
      </c>
      <c r="L162" t="str">
        <f>IF(COUNTIFS( $B$2:$B$963, B162, $C$2:$C$963, C162, $D$2:$D$963, D162, $E$2:$E$963, E162) &gt; 1, "Duplicate", "Unique")</f>
        <v>Unique</v>
      </c>
    </row>
    <row r="163" spans="1:12" ht="15" thickBot="1" x14ac:dyDescent="0.4">
      <c r="A163" s="2">
        <v>46245.693136574075</v>
      </c>
      <c r="B163" s="1" t="s">
        <v>11</v>
      </c>
      <c r="C163" s="1" t="s">
        <v>10</v>
      </c>
      <c r="D163" s="3">
        <v>50</v>
      </c>
      <c r="E163" s="3">
        <v>361</v>
      </c>
      <c r="F163" s="3">
        <v>4.0645719229999999</v>
      </c>
      <c r="G163" s="9" t="s">
        <v>83</v>
      </c>
      <c r="H163" s="10">
        <v>346.9</v>
      </c>
      <c r="I163" s="1" t="s">
        <v>8</v>
      </c>
      <c r="L163" t="str">
        <f>IF(COUNTIFS( $B$2:$B$963, B163, $C$2:$C$963, C163, $D$2:$D$963, D163, $E$2:$E$963, E163) &gt; 1, "Duplicate", "Unique")</f>
        <v>Unique</v>
      </c>
    </row>
    <row r="164" spans="1:12" ht="26.5" thickBot="1" x14ac:dyDescent="0.4">
      <c r="A164" s="2">
        <v>46245.635578703703</v>
      </c>
      <c r="B164" s="1" t="s">
        <v>54</v>
      </c>
      <c r="C164" s="1" t="s">
        <v>10</v>
      </c>
      <c r="D164" s="3">
        <v>150</v>
      </c>
      <c r="E164" s="3">
        <v>123.4</v>
      </c>
      <c r="F164" s="3">
        <v>4.0911008009999996</v>
      </c>
      <c r="G164" s="9" t="s">
        <v>126</v>
      </c>
      <c r="H164" s="10">
        <v>118.55</v>
      </c>
      <c r="I164" s="1" t="s">
        <v>8</v>
      </c>
      <c r="L164" t="str">
        <f>IF(COUNTIFS( $B$2:$B$963, B164, $C$2:$C$963, C164, $D$2:$D$963, D164, $E$2:$E$963, E164) &gt; 1, "Duplicate", "Unique")</f>
        <v>Unique</v>
      </c>
    </row>
    <row r="165" spans="1:12" ht="26.5" thickBot="1" x14ac:dyDescent="0.4">
      <c r="A165" s="2">
        <v>46245.693148148152</v>
      </c>
      <c r="B165" s="1" t="s">
        <v>20</v>
      </c>
      <c r="C165" s="1" t="s">
        <v>10</v>
      </c>
      <c r="D165" s="3">
        <v>5</v>
      </c>
      <c r="E165" s="3">
        <v>730</v>
      </c>
      <c r="F165" s="3">
        <v>4.1369472180000004</v>
      </c>
      <c r="G165" s="9" t="s">
        <v>92</v>
      </c>
      <c r="H165" s="10">
        <v>701</v>
      </c>
      <c r="I165" s="1" t="s">
        <v>8</v>
      </c>
      <c r="L165" t="str">
        <f>IF(COUNTIFS( $B$2:$B$963, B165, $C$2:$C$963, C165, $D$2:$D$963, D165, $E$2:$E$963, E165) &gt; 1, "Duplicate", "Unique")</f>
        <v>Unique</v>
      </c>
    </row>
    <row r="166" spans="1:12" ht="26.5" thickBot="1" x14ac:dyDescent="0.4">
      <c r="A166" s="2">
        <v>46245.635578703703</v>
      </c>
      <c r="B166" s="1" t="s">
        <v>52</v>
      </c>
      <c r="C166" s="1" t="s">
        <v>10</v>
      </c>
      <c r="D166" s="3">
        <v>200</v>
      </c>
      <c r="E166" s="3">
        <v>91.75</v>
      </c>
      <c r="F166" s="3">
        <v>4.2021578650000002</v>
      </c>
      <c r="G166" s="9" t="s">
        <v>124</v>
      </c>
      <c r="H166" s="10">
        <v>88.05</v>
      </c>
      <c r="I166" s="1" t="s">
        <v>8</v>
      </c>
      <c r="L166" t="str">
        <f>IF(COUNTIFS( $B$2:$B$963, B166, $C$2:$C$963, C166, $D$2:$D$963, D166, $E$2:$E$963, E166) &gt; 1, "Duplicate", "Unique")</f>
        <v>Unique</v>
      </c>
    </row>
    <row r="167" spans="1:12" ht="26.5" thickBot="1" x14ac:dyDescent="0.4">
      <c r="A167" s="2">
        <v>46245.635520833333</v>
      </c>
      <c r="B167" s="1" t="s">
        <v>53</v>
      </c>
      <c r="C167" s="1" t="s">
        <v>10</v>
      </c>
      <c r="D167" s="3">
        <v>200</v>
      </c>
      <c r="E167" s="3">
        <v>239</v>
      </c>
      <c r="F167" s="3">
        <v>4.2620948390000004</v>
      </c>
      <c r="G167" s="9" t="s">
        <v>125</v>
      </c>
      <c r="H167" s="10">
        <v>229.23</v>
      </c>
      <c r="I167" s="1" t="s">
        <v>8</v>
      </c>
      <c r="L167" t="str">
        <f>IF(COUNTIFS( $B$2:$B$963, B167, $C$2:$C$963, C167, $D$2:$D$963, D167, $E$2:$E$963, E167) &gt; 1, "Duplicate", "Unique")</f>
        <v>Unique</v>
      </c>
    </row>
    <row r="168" spans="1:12" ht="26.5" thickBot="1" x14ac:dyDescent="0.4">
      <c r="A168" s="2">
        <v>46245.63554398148</v>
      </c>
      <c r="B168" s="1" t="s">
        <v>32</v>
      </c>
      <c r="C168" s="1" t="s">
        <v>10</v>
      </c>
      <c r="D168" s="3">
        <v>10</v>
      </c>
      <c r="E168" s="3">
        <v>1221</v>
      </c>
      <c r="F168" s="3">
        <v>4.5108276979999999</v>
      </c>
      <c r="G168" s="9" t="s">
        <v>104</v>
      </c>
      <c r="H168" s="10">
        <v>1168.3</v>
      </c>
      <c r="I168" s="1" t="s">
        <v>8</v>
      </c>
      <c r="L168" t="str">
        <f>IF(COUNTIFS( $B$2:$B$963, B168, $C$2:$C$963, C168, $D$2:$D$963, D168, $E$2:$E$963, E168) &gt; 1, "Duplicate", "Unique")</f>
        <v>Unique</v>
      </c>
    </row>
    <row r="169" spans="1:12" ht="26.5" thickBot="1" x14ac:dyDescent="0.4">
      <c r="A169" s="2">
        <v>46245.693055555559</v>
      </c>
      <c r="B169" s="1" t="s">
        <v>12</v>
      </c>
      <c r="C169" s="1" t="s">
        <v>10</v>
      </c>
      <c r="D169" s="3">
        <v>10</v>
      </c>
      <c r="E169" s="3">
        <v>2696</v>
      </c>
      <c r="F169" s="3">
        <v>4.6583850929999997</v>
      </c>
      <c r="G169" s="9" t="s">
        <v>84</v>
      </c>
      <c r="H169" s="10">
        <v>2576</v>
      </c>
      <c r="I169" s="1" t="s">
        <v>8</v>
      </c>
      <c r="L169" t="str">
        <f>IF(COUNTIFS( $B$2:$B$963, B169, $C$2:$C$963, C169, $D$2:$D$963, D169, $E$2:$E$963, E169) &gt; 1, "Duplicate", "Unique")</f>
        <v>Unique</v>
      </c>
    </row>
    <row r="170" spans="1:12" ht="26.5" thickBot="1" x14ac:dyDescent="0.4">
      <c r="A170" s="2">
        <v>46303.76666666667</v>
      </c>
      <c r="B170" s="1" t="s">
        <v>26</v>
      </c>
      <c r="C170" s="1" t="s">
        <v>10</v>
      </c>
      <c r="D170" s="3">
        <v>120</v>
      </c>
      <c r="E170" s="3">
        <v>300.5</v>
      </c>
      <c r="F170" s="3">
        <v>4.6673632879999998</v>
      </c>
      <c r="G170" s="9" t="s">
        <v>98</v>
      </c>
      <c r="H170" s="10">
        <v>287.10000000000002</v>
      </c>
      <c r="I170" s="1" t="s">
        <v>8</v>
      </c>
      <c r="L170" t="str">
        <f>IF(COUNTIFS( $B$2:$B$963, B170, $C$2:$C$963, C170, $D$2:$D$963, D170, $E$2:$E$963, E170) &gt; 1, "Duplicate", "Unique")</f>
        <v>Unique</v>
      </c>
    </row>
    <row r="171" spans="1:12" ht="26.5" thickBot="1" x14ac:dyDescent="0.4">
      <c r="A171" s="2">
        <v>46245.635555555556</v>
      </c>
      <c r="B171" s="1" t="s">
        <v>49</v>
      </c>
      <c r="C171" s="1" t="s">
        <v>10</v>
      </c>
      <c r="D171" s="3">
        <v>20</v>
      </c>
      <c r="E171" s="3">
        <v>825</v>
      </c>
      <c r="F171" s="3">
        <v>4.8617731170000003</v>
      </c>
      <c r="G171" s="9" t="s">
        <v>121</v>
      </c>
      <c r="H171" s="10">
        <v>786.75</v>
      </c>
      <c r="I171" s="1" t="s">
        <v>8</v>
      </c>
      <c r="L171" t="str">
        <f>IF(COUNTIFS( $B$2:$B$963, B171, $C$2:$C$963, C171, $D$2:$D$963, D171, $E$2:$E$963, E171) &gt; 1, "Duplicate", "Unique")</f>
        <v>Unique</v>
      </c>
    </row>
    <row r="172" spans="1:12" ht="15" thickBot="1" x14ac:dyDescent="0.4">
      <c r="A172" s="2">
        <v>46245.63554398148</v>
      </c>
      <c r="B172" s="1" t="s">
        <v>46</v>
      </c>
      <c r="C172" s="1" t="s">
        <v>10</v>
      </c>
      <c r="D172" s="3">
        <v>20</v>
      </c>
      <c r="E172" s="3">
        <v>424</v>
      </c>
      <c r="F172" s="3">
        <v>4.9894762909999999</v>
      </c>
      <c r="G172" s="9" t="s">
        <v>118</v>
      </c>
      <c r="H172" s="10">
        <v>403.85</v>
      </c>
      <c r="I172" s="1" t="s">
        <v>8</v>
      </c>
      <c r="L172" t="str">
        <f>IF(COUNTIFS( $B$2:$B$963, B172, $C$2:$C$963, C172, $D$2:$D$963, D172, $E$2:$E$963, E172) &gt; 1, "Duplicate", "Unique")</f>
        <v>Unique</v>
      </c>
    </row>
    <row r="173" spans="1:12" ht="26.5" thickBot="1" x14ac:dyDescent="0.4">
      <c r="A173" s="2">
        <v>46303.635416666664</v>
      </c>
      <c r="B173" s="1" t="s">
        <v>44</v>
      </c>
      <c r="C173" s="1" t="s">
        <v>10</v>
      </c>
      <c r="D173" s="3">
        <v>10</v>
      </c>
      <c r="E173" s="3">
        <v>977</v>
      </c>
      <c r="F173" s="3">
        <v>5.0311760909999999</v>
      </c>
      <c r="G173" s="9" t="s">
        <v>116</v>
      </c>
      <c r="H173" s="10">
        <v>930.2</v>
      </c>
      <c r="I173" s="1" t="s">
        <v>8</v>
      </c>
      <c r="L173" t="str">
        <f>IF(COUNTIFS( $B$2:$B$963, B173, $C$2:$C$963, C173, $D$2:$D$963, D173, $E$2:$E$963, E173) &gt; 1, "Duplicate", "Unique")</f>
        <v>Unique</v>
      </c>
    </row>
    <row r="174" spans="1:12" ht="15" thickBot="1" x14ac:dyDescent="0.4">
      <c r="A174" s="2">
        <v>46245.693171296298</v>
      </c>
      <c r="B174" s="1" t="s">
        <v>11</v>
      </c>
      <c r="C174" s="1" t="s">
        <v>10</v>
      </c>
      <c r="D174" s="3">
        <v>50</v>
      </c>
      <c r="E174" s="3">
        <v>365</v>
      </c>
      <c r="F174" s="3">
        <v>5.217641972</v>
      </c>
      <c r="G174" s="9" t="s">
        <v>83</v>
      </c>
      <c r="H174" s="10">
        <v>346.9</v>
      </c>
      <c r="I174" s="1" t="s">
        <v>8</v>
      </c>
      <c r="L174" t="str">
        <f>IF(COUNTIFS( $B$2:$B$963, B174, $C$2:$C$963, C174, $D$2:$D$963, D174, $E$2:$E$963, E174) &gt; 1, "Duplicate", "Unique")</f>
        <v>Unique</v>
      </c>
    </row>
    <row r="175" spans="1:12" ht="26.5" thickBot="1" x14ac:dyDescent="0.4">
      <c r="A175" s="2">
        <v>46245.693171296298</v>
      </c>
      <c r="B175" s="1" t="s">
        <v>6</v>
      </c>
      <c r="C175" s="1" t="s">
        <v>10</v>
      </c>
      <c r="D175" s="3">
        <v>65</v>
      </c>
      <c r="E175" s="3">
        <v>219</v>
      </c>
      <c r="F175" s="3">
        <v>5.288461538</v>
      </c>
      <c r="G175" s="9" t="s">
        <v>81</v>
      </c>
      <c r="H175" s="10">
        <v>208</v>
      </c>
      <c r="I175" s="1" t="s">
        <v>8</v>
      </c>
      <c r="L175" t="str">
        <f>IF(COUNTIFS( $B$2:$B$963, B175, $C$2:$C$963, C175, $D$2:$D$963, D175, $E$2:$E$963, E175) &gt; 1, "Duplicate", "Unique")</f>
        <v>Unique</v>
      </c>
    </row>
    <row r="176" spans="1:12" ht="26.5" thickBot="1" x14ac:dyDescent="0.4">
      <c r="A176" s="2">
        <v>46211.635416666664</v>
      </c>
      <c r="B176" s="1" t="s">
        <v>52</v>
      </c>
      <c r="C176" s="1" t="s">
        <v>10</v>
      </c>
      <c r="D176" s="3">
        <v>200</v>
      </c>
      <c r="E176" s="3">
        <v>92.75</v>
      </c>
      <c r="F176" s="3">
        <v>5.3378762069999999</v>
      </c>
      <c r="G176" s="9" t="s">
        <v>124</v>
      </c>
      <c r="H176" s="10">
        <v>88.05</v>
      </c>
      <c r="I176" s="1" t="s">
        <v>8</v>
      </c>
      <c r="L176" t="str">
        <f>IF(COUNTIFS( $B$2:$B$963, B176, $C$2:$C$963, C176, $D$2:$D$963, D176, $E$2:$E$963, E176) &gt; 1, "Duplicate", "Unique")</f>
        <v>Unique</v>
      </c>
    </row>
    <row r="177" spans="1:12" ht="26.5" thickBot="1" x14ac:dyDescent="0.4">
      <c r="A177" s="2">
        <v>46239.635416666664</v>
      </c>
      <c r="B177" s="1" t="s">
        <v>54</v>
      </c>
      <c r="C177" s="1" t="s">
        <v>10</v>
      </c>
      <c r="D177" s="3">
        <v>150</v>
      </c>
      <c r="E177" s="3">
        <v>124.9</v>
      </c>
      <c r="F177" s="3">
        <v>5.3563897090000001</v>
      </c>
      <c r="G177" s="9" t="s">
        <v>126</v>
      </c>
      <c r="H177" s="10">
        <v>118.55</v>
      </c>
      <c r="I177" s="1" t="s">
        <v>8</v>
      </c>
      <c r="L177" t="str">
        <f>IF(COUNTIFS( $B$2:$B$963, B177, $C$2:$C$963, C177, $D$2:$D$963, D177, $E$2:$E$963, E177) &gt; 1, "Duplicate", "Unique")</f>
        <v>Unique</v>
      </c>
    </row>
    <row r="178" spans="1:12" ht="26.5" thickBot="1" x14ac:dyDescent="0.4">
      <c r="A178" s="2">
        <v>46211.6875</v>
      </c>
      <c r="B178" s="1" t="s">
        <v>12</v>
      </c>
      <c r="C178" s="1" t="s">
        <v>10</v>
      </c>
      <c r="D178" s="3">
        <v>10</v>
      </c>
      <c r="E178" s="3">
        <v>2720</v>
      </c>
      <c r="F178" s="3">
        <v>5.590062112</v>
      </c>
      <c r="G178" s="9" t="s">
        <v>84</v>
      </c>
      <c r="H178" s="10">
        <v>2576</v>
      </c>
      <c r="I178" s="1" t="s">
        <v>8</v>
      </c>
      <c r="L178" t="str">
        <f>IF(COUNTIFS( $B$2:$B$963, B178, $C$2:$C$963, C178, $D$2:$D$963, D178, $E$2:$E$963, E178) &gt; 1, "Duplicate", "Unique")</f>
        <v>Unique</v>
      </c>
    </row>
    <row r="179" spans="1:12" ht="15" thickBot="1" x14ac:dyDescent="0.4">
      <c r="A179" s="2">
        <v>46245.635555555556</v>
      </c>
      <c r="B179" s="1" t="s">
        <v>33</v>
      </c>
      <c r="C179" s="1" t="s">
        <v>10</v>
      </c>
      <c r="D179" s="3">
        <v>1</v>
      </c>
      <c r="E179" s="3">
        <v>3810</v>
      </c>
      <c r="F179" s="3">
        <v>5.7158712539999996</v>
      </c>
      <c r="G179" s="9" t="s">
        <v>105</v>
      </c>
      <c r="H179" s="10">
        <v>3604</v>
      </c>
      <c r="I179" s="1" t="s">
        <v>8</v>
      </c>
      <c r="L179" t="str">
        <f>IF(COUNTIFS( $B$2:$B$963, B179, $C$2:$C$963, C179, $D$2:$D$963, D179, $E$2:$E$963, E179) &gt; 1, "Duplicate", "Unique")</f>
        <v>Unique</v>
      </c>
    </row>
    <row r="180" spans="1:12" ht="39" thickBot="1" x14ac:dyDescent="0.4">
      <c r="A180" s="2">
        <v>46245.693090277775</v>
      </c>
      <c r="B180" s="1" t="s">
        <v>19</v>
      </c>
      <c r="C180" s="1" t="s">
        <v>10</v>
      </c>
      <c r="D180" s="3">
        <v>5</v>
      </c>
      <c r="E180" s="3">
        <v>467.25</v>
      </c>
      <c r="F180" s="3">
        <v>5.7605251239999999</v>
      </c>
      <c r="G180" s="9" t="s">
        <v>91</v>
      </c>
      <c r="H180" s="10">
        <v>441.8</v>
      </c>
      <c r="I180" s="1" t="s">
        <v>8</v>
      </c>
      <c r="L180" t="str">
        <f>IF(COUNTIFS( $B$2:$B$963, B180, $C$2:$C$963, C180, $D$2:$D$963, D180, $E$2:$E$963, E180) &gt; 1, "Duplicate", "Unique")</f>
        <v>Unique</v>
      </c>
    </row>
    <row r="181" spans="1:12" ht="26.5" thickBot="1" x14ac:dyDescent="0.4">
      <c r="A181" s="2">
        <v>46211.635416666664</v>
      </c>
      <c r="B181" s="1" t="s">
        <v>39</v>
      </c>
      <c r="C181" s="1" t="s">
        <v>10</v>
      </c>
      <c r="D181" s="3">
        <v>7</v>
      </c>
      <c r="E181" s="3">
        <v>1424</v>
      </c>
      <c r="F181" s="3">
        <v>5.7949479940000002</v>
      </c>
      <c r="G181" s="9" t="s">
        <v>111</v>
      </c>
      <c r="H181" s="10">
        <v>1346</v>
      </c>
      <c r="I181" s="1" t="s">
        <v>8</v>
      </c>
      <c r="L181" t="str">
        <f>IF(COUNTIFS( $B$2:$B$963, B181, $C$2:$C$963, C181, $D$2:$D$963, D181, $E$2:$E$963, E181) &gt; 1, "Duplicate", "Unique")</f>
        <v>Unique</v>
      </c>
    </row>
    <row r="182" spans="1:12" ht="15" thickBot="1" x14ac:dyDescent="0.4">
      <c r="A182" s="2">
        <v>46245.693101851852</v>
      </c>
      <c r="B182" s="1" t="s">
        <v>23</v>
      </c>
      <c r="C182" s="1" t="s">
        <v>10</v>
      </c>
      <c r="D182" s="3">
        <v>20</v>
      </c>
      <c r="E182" s="3">
        <v>311</v>
      </c>
      <c r="F182" s="3">
        <v>5.8003061750000002</v>
      </c>
      <c r="G182" s="9" t="s">
        <v>95</v>
      </c>
      <c r="H182" s="10">
        <v>293.95</v>
      </c>
      <c r="I182" s="1" t="s">
        <v>8</v>
      </c>
      <c r="L182" t="str">
        <f>IF(COUNTIFS( $B$2:$B$963, B182, $C$2:$C$963, C182, $D$2:$D$963, D182, $E$2:$E$963, E182) &gt; 1, "Duplicate", "Unique")</f>
        <v>Unique</v>
      </c>
    </row>
    <row r="183" spans="1:12" ht="26.5" thickBot="1" x14ac:dyDescent="0.4">
      <c r="A183" s="2">
        <v>46245.693113425928</v>
      </c>
      <c r="B183" s="1" t="s">
        <v>9</v>
      </c>
      <c r="C183" s="1" t="s">
        <v>10</v>
      </c>
      <c r="D183" s="3">
        <v>150</v>
      </c>
      <c r="E183" s="3">
        <v>136</v>
      </c>
      <c r="F183" s="3">
        <v>6.1173533080000002</v>
      </c>
      <c r="G183" s="9" t="s">
        <v>82</v>
      </c>
      <c r="H183" s="10">
        <v>128.16</v>
      </c>
      <c r="I183" s="1" t="s">
        <v>8</v>
      </c>
      <c r="L183" t="str">
        <f>IF(COUNTIFS( $B$2:$B$963, B183, $C$2:$C$963, C183, $D$2:$D$963, D183, $E$2:$E$963, E183) &gt; 1, "Duplicate", "Unique")</f>
        <v>Unique</v>
      </c>
    </row>
    <row r="184" spans="1:12" ht="26.5" thickBot="1" x14ac:dyDescent="0.4">
      <c r="A184" s="2">
        <v>46211.635416666664</v>
      </c>
      <c r="B184" s="1" t="s">
        <v>54</v>
      </c>
      <c r="C184" s="1" t="s">
        <v>10</v>
      </c>
      <c r="D184" s="3">
        <v>150</v>
      </c>
      <c r="E184" s="3">
        <v>125.9</v>
      </c>
      <c r="F184" s="3">
        <v>6.1999156470000001</v>
      </c>
      <c r="G184" s="9" t="s">
        <v>126</v>
      </c>
      <c r="H184" s="10">
        <v>118.55</v>
      </c>
      <c r="I184" s="1" t="s">
        <v>8</v>
      </c>
      <c r="L184" t="str">
        <f>IF(COUNTIFS( $B$2:$B$963, B184, $C$2:$C$963, C184, $D$2:$D$963, D184, $E$2:$E$963, E184) &gt; 1, "Duplicate", "Unique")</f>
        <v>Unique</v>
      </c>
    </row>
    <row r="185" spans="1:12" ht="15" thickBot="1" x14ac:dyDescent="0.4">
      <c r="A185" s="2">
        <v>46245.693101851852</v>
      </c>
      <c r="B185" s="1" t="s">
        <v>11</v>
      </c>
      <c r="C185" s="1" t="s">
        <v>10</v>
      </c>
      <c r="D185" s="3">
        <v>67</v>
      </c>
      <c r="E185" s="3">
        <v>369</v>
      </c>
      <c r="F185" s="3">
        <v>6.3707120210000001</v>
      </c>
      <c r="G185" s="9" t="s">
        <v>83</v>
      </c>
      <c r="H185" s="10">
        <v>346.9</v>
      </c>
      <c r="I185" s="1" t="s">
        <v>8</v>
      </c>
      <c r="L185" t="str">
        <f>IF(COUNTIFS( $B$2:$B$963, B185, $C$2:$C$963, C185, $D$2:$D$963, D185, $E$2:$E$963, E185) &gt; 1, "Duplicate", "Unique")</f>
        <v>Unique</v>
      </c>
    </row>
    <row r="186" spans="1:12" ht="26.5" thickBot="1" x14ac:dyDescent="0.4">
      <c r="A186" s="2">
        <v>46303.635416666664</v>
      </c>
      <c r="B186" s="1" t="s">
        <v>53</v>
      </c>
      <c r="C186" s="1" t="s">
        <v>10</v>
      </c>
      <c r="D186" s="3">
        <v>200</v>
      </c>
      <c r="E186" s="3">
        <v>244</v>
      </c>
      <c r="F186" s="3">
        <v>6.4433102120000001</v>
      </c>
      <c r="G186" s="9" t="s">
        <v>125</v>
      </c>
      <c r="H186" s="10">
        <v>229.23</v>
      </c>
      <c r="I186" s="1" t="s">
        <v>8</v>
      </c>
      <c r="L186" t="str">
        <f>IF(COUNTIFS( $B$2:$B$963, B186, $C$2:$C$963, C186, $D$2:$D$963, D186, $E$2:$E$963, E186) &gt; 1, "Duplicate", "Unique")</f>
        <v>Unique</v>
      </c>
    </row>
    <row r="187" spans="1:12" ht="26.5" thickBot="1" x14ac:dyDescent="0.4">
      <c r="A187" s="2">
        <v>46303.635416666664</v>
      </c>
      <c r="B187" s="1" t="s">
        <v>51</v>
      </c>
      <c r="C187" s="1" t="s">
        <v>10</v>
      </c>
      <c r="D187" s="3">
        <v>10</v>
      </c>
      <c r="E187" s="3">
        <v>773</v>
      </c>
      <c r="F187" s="3">
        <v>6.628043313</v>
      </c>
      <c r="G187" s="9" t="s">
        <v>123</v>
      </c>
      <c r="H187" s="10">
        <v>724.95</v>
      </c>
      <c r="I187" s="1" t="s">
        <v>8</v>
      </c>
      <c r="L187" t="str">
        <f>IF(COUNTIFS( $B$2:$B$963, B187, $C$2:$C$963, C187, $D$2:$D$963, D187, $E$2:$E$963, E187) &gt; 1, "Duplicate", "Unique")</f>
        <v>Unique</v>
      </c>
    </row>
    <row r="188" spans="1:12" ht="26.5" thickBot="1" x14ac:dyDescent="0.4">
      <c r="A188" s="2">
        <v>46244.76666666667</v>
      </c>
      <c r="B188" s="1" t="s">
        <v>20</v>
      </c>
      <c r="C188" s="1" t="s">
        <v>10</v>
      </c>
      <c r="D188" s="3">
        <v>11</v>
      </c>
      <c r="E188" s="3">
        <v>749</v>
      </c>
      <c r="F188" s="3">
        <v>6.8473609130000002</v>
      </c>
      <c r="G188" s="9" t="s">
        <v>92</v>
      </c>
      <c r="H188" s="10">
        <v>701</v>
      </c>
      <c r="I188" s="1" t="s">
        <v>8</v>
      </c>
      <c r="L188" t="str">
        <f>IF(COUNTIFS( $B$2:$B$963, B188, $C$2:$C$963, C188, $D$2:$D$963, D188, $E$2:$E$963, E188) &gt; 1, "Duplicate", "Unique")</f>
        <v>Unique</v>
      </c>
    </row>
    <row r="189" spans="1:12" ht="26.5" thickBot="1" x14ac:dyDescent="0.4">
      <c r="A189" s="2">
        <v>46245.63553240741</v>
      </c>
      <c r="B189" s="1" t="s">
        <v>42</v>
      </c>
      <c r="C189" s="1" t="s">
        <v>10</v>
      </c>
      <c r="D189" s="3">
        <v>2</v>
      </c>
      <c r="E189" s="3">
        <v>2690</v>
      </c>
      <c r="F189" s="3">
        <v>6.9582504969999999</v>
      </c>
      <c r="G189" s="9" t="s">
        <v>114</v>
      </c>
      <c r="H189" s="10">
        <v>2515</v>
      </c>
      <c r="I189" s="1" t="s">
        <v>8</v>
      </c>
      <c r="L189" t="str">
        <f>IF(COUNTIFS( $B$2:$B$963, B189, $C$2:$C$963, C189, $D$2:$D$963, D189, $E$2:$E$963, E189) &gt; 1, "Duplicate", "Unique")</f>
        <v>Unique</v>
      </c>
    </row>
    <row r="190" spans="1:12" ht="26.5" thickBot="1" x14ac:dyDescent="0.4">
      <c r="A190" s="2">
        <v>46240.635416666664</v>
      </c>
      <c r="B190" s="1" t="s">
        <v>67</v>
      </c>
      <c r="C190" s="1" t="s">
        <v>10</v>
      </c>
      <c r="D190" s="3">
        <v>11</v>
      </c>
      <c r="E190" s="3">
        <v>548</v>
      </c>
      <c r="F190" s="3">
        <v>7.03125</v>
      </c>
      <c r="G190" s="9" t="s">
        <v>138</v>
      </c>
      <c r="H190" s="10">
        <v>512</v>
      </c>
      <c r="I190" s="1" t="s">
        <v>8</v>
      </c>
      <c r="L190" t="str">
        <f>IF(COUNTIFS( $B$2:$B$963, B190, $C$2:$C$963, C190, $D$2:$D$963, D190, $E$2:$E$963, E190) &gt; 1, "Duplicate", "Unique")</f>
        <v>Unique</v>
      </c>
    </row>
    <row r="191" spans="1:12" ht="26.5" thickBot="1" x14ac:dyDescent="0.4">
      <c r="A191" s="2">
        <v>46211.635416666664</v>
      </c>
      <c r="B191" s="1" t="s">
        <v>44</v>
      </c>
      <c r="C191" s="1" t="s">
        <v>10</v>
      </c>
      <c r="D191" s="3">
        <v>10</v>
      </c>
      <c r="E191" s="3">
        <v>997</v>
      </c>
      <c r="F191" s="3">
        <v>7.1812513439999996</v>
      </c>
      <c r="G191" s="9" t="s">
        <v>116</v>
      </c>
      <c r="H191" s="10">
        <v>930.2</v>
      </c>
      <c r="I191" s="1" t="s">
        <v>8</v>
      </c>
      <c r="L191" t="str">
        <f>IF(COUNTIFS( $B$2:$B$963, B191, $C$2:$C$963, C191, $D$2:$D$963, D191, $E$2:$E$963, E191) &gt; 1, "Duplicate", "Unique")</f>
        <v>Unique</v>
      </c>
    </row>
    <row r="192" spans="1:12" ht="26.5" thickBot="1" x14ac:dyDescent="0.4">
      <c r="A192" s="2">
        <v>46244.635416666664</v>
      </c>
      <c r="B192" s="1" t="s">
        <v>65</v>
      </c>
      <c r="C192" s="1" t="s">
        <v>10</v>
      </c>
      <c r="D192" s="3">
        <v>5</v>
      </c>
      <c r="E192" s="3">
        <v>3980</v>
      </c>
      <c r="F192" s="3">
        <v>7.277628032</v>
      </c>
      <c r="G192" s="9" t="s">
        <v>136</v>
      </c>
      <c r="H192" s="10">
        <v>3710</v>
      </c>
      <c r="I192" s="1" t="s">
        <v>8</v>
      </c>
      <c r="L192" t="str">
        <f>IF(COUNTIFS( $B$2:$B$963, B192, $C$2:$C$963, C192, $D$2:$D$963, D192, $E$2:$E$963, E192) &gt; 1, "Duplicate", "Unique")</f>
        <v>Unique</v>
      </c>
    </row>
    <row r="193" spans="1:12" ht="15" thickBot="1" x14ac:dyDescent="0.4">
      <c r="A193" s="2">
        <v>46239.696527777778</v>
      </c>
      <c r="B193" s="1" t="s">
        <v>11</v>
      </c>
      <c r="C193" s="1" t="s">
        <v>10</v>
      </c>
      <c r="D193" s="3">
        <v>67</v>
      </c>
      <c r="E193" s="3">
        <v>373</v>
      </c>
      <c r="F193" s="3">
        <v>7.5237820700000002</v>
      </c>
      <c r="G193" s="9" t="s">
        <v>83</v>
      </c>
      <c r="H193" s="10">
        <v>346.9</v>
      </c>
      <c r="I193" s="1" t="s">
        <v>8</v>
      </c>
      <c r="L193" t="str">
        <f>IF(COUNTIFS( $B$2:$B$963, B193, $C$2:$C$963, C193, $D$2:$D$963, D193, $E$2:$E$963, E193) &gt; 1, "Duplicate", "Unique")</f>
        <v>Unique</v>
      </c>
    </row>
    <row r="194" spans="1:12" ht="26.5" thickBot="1" x14ac:dyDescent="0.4">
      <c r="A194" s="2">
        <v>46181.6875</v>
      </c>
      <c r="B194" s="1" t="s">
        <v>12</v>
      </c>
      <c r="C194" s="1" t="s">
        <v>10</v>
      </c>
      <c r="D194" s="3">
        <v>10</v>
      </c>
      <c r="E194" s="3">
        <v>2770</v>
      </c>
      <c r="F194" s="3">
        <v>7.5310559010000002</v>
      </c>
      <c r="G194" s="9" t="s">
        <v>84</v>
      </c>
      <c r="H194" s="10">
        <v>2576</v>
      </c>
      <c r="I194" s="1" t="s">
        <v>8</v>
      </c>
      <c r="L194" t="str">
        <f>IF(COUNTIFS( $B$2:$B$963, B194, $C$2:$C$963, C194, $D$2:$D$963, D194, $E$2:$E$963, E194) &gt; 1, "Duplicate", "Unique")</f>
        <v>Unique</v>
      </c>
    </row>
    <row r="195" spans="1:12" ht="39" thickBot="1" x14ac:dyDescent="0.4">
      <c r="A195" s="4" t="s">
        <v>55</v>
      </c>
      <c r="B195" s="1" t="s">
        <v>28</v>
      </c>
      <c r="C195" s="1" t="s">
        <v>10</v>
      </c>
      <c r="D195" s="3">
        <v>30</v>
      </c>
      <c r="E195" s="5">
        <v>974</v>
      </c>
      <c r="F195" s="3">
        <v>7.6183636259999998</v>
      </c>
      <c r="G195" s="9" t="s">
        <v>100</v>
      </c>
      <c r="H195" s="10">
        <v>905.05</v>
      </c>
      <c r="I195" s="1" t="s">
        <v>8</v>
      </c>
      <c r="L195" t="str">
        <f>IF(COUNTIFS( $B$2:$B$963, B195, $C$2:$C$963, C195, $D$2:$D$963, D195, $E$2:$E$963, E195) &gt; 1, "Duplicate", "Unique")</f>
        <v>Unique</v>
      </c>
    </row>
    <row r="196" spans="1:12" ht="26.5" thickBot="1" x14ac:dyDescent="0.4">
      <c r="A196" s="2">
        <v>46245.693101851852</v>
      </c>
      <c r="B196" s="1" t="s">
        <v>17</v>
      </c>
      <c r="C196" s="1" t="s">
        <v>10</v>
      </c>
      <c r="D196" s="3">
        <v>5</v>
      </c>
      <c r="E196" s="3">
        <v>435</v>
      </c>
      <c r="F196" s="3">
        <v>7.686594876</v>
      </c>
      <c r="G196" s="9" t="s">
        <v>89</v>
      </c>
      <c r="H196" s="10">
        <v>403.95</v>
      </c>
      <c r="I196" s="1" t="s">
        <v>8</v>
      </c>
      <c r="L196" t="str">
        <f>IF(COUNTIFS( $B$2:$B$963, B196, $C$2:$C$963, C196, $D$2:$D$963, D196, $E$2:$E$963, E196) &gt; 1, "Duplicate", "Unique")</f>
        <v>Unique</v>
      </c>
    </row>
    <row r="197" spans="1:12" ht="26.5" thickBot="1" x14ac:dyDescent="0.4">
      <c r="A197" s="2">
        <v>46245.693206018521</v>
      </c>
      <c r="B197" s="1" t="s">
        <v>18</v>
      </c>
      <c r="C197" s="1" t="s">
        <v>10</v>
      </c>
      <c r="D197" s="3">
        <v>25</v>
      </c>
      <c r="E197" s="3">
        <v>210</v>
      </c>
      <c r="F197" s="3">
        <v>7.692307692</v>
      </c>
      <c r="G197" s="9" t="s">
        <v>90</v>
      </c>
      <c r="H197" s="10">
        <v>195</v>
      </c>
      <c r="I197" s="1" t="s">
        <v>8</v>
      </c>
      <c r="L197" t="str">
        <f>IF(COUNTIFS( $B$2:$B$963, B197, $C$2:$C$963, C197, $D$2:$D$963, D197, $E$2:$E$963, E197) &gt; 1, "Duplicate", "Unique")</f>
        <v>Unique</v>
      </c>
    </row>
    <row r="198" spans="1:12" ht="26.5" thickBot="1" x14ac:dyDescent="0.4">
      <c r="A198" s="2">
        <v>46241.635416666664</v>
      </c>
      <c r="B198" s="1" t="s">
        <v>42</v>
      </c>
      <c r="C198" s="1" t="s">
        <v>10</v>
      </c>
      <c r="D198" s="3">
        <v>3</v>
      </c>
      <c r="E198" s="3">
        <v>2710</v>
      </c>
      <c r="F198" s="3">
        <v>7.7534791250000001</v>
      </c>
      <c r="G198" s="9" t="s">
        <v>114</v>
      </c>
      <c r="H198" s="10">
        <v>2515</v>
      </c>
      <c r="I198" s="1" t="s">
        <v>8</v>
      </c>
      <c r="L198" t="str">
        <f>IF(COUNTIFS( $B$2:$B$963, B198, $C$2:$C$963, C198, $D$2:$D$963, D198, $E$2:$E$963, E198) &gt; 1, "Duplicate", "Unique")</f>
        <v>Unique</v>
      </c>
    </row>
    <row r="199" spans="1:12" ht="15" thickBot="1" x14ac:dyDescent="0.4">
      <c r="A199" s="2">
        <v>46245.693009259259</v>
      </c>
      <c r="B199" s="1" t="s">
        <v>23</v>
      </c>
      <c r="C199" s="1" t="s">
        <v>10</v>
      </c>
      <c r="D199" s="3">
        <v>50</v>
      </c>
      <c r="E199" s="3">
        <v>317</v>
      </c>
      <c r="F199" s="3">
        <v>7.8414696380000004</v>
      </c>
      <c r="G199" s="9" t="s">
        <v>95</v>
      </c>
      <c r="H199" s="10">
        <v>293.95</v>
      </c>
      <c r="I199" s="1" t="s">
        <v>8</v>
      </c>
      <c r="L199" t="str">
        <f>IF(COUNTIFS( $B$2:$B$963, B199, $C$2:$C$963, C199, $D$2:$D$963, D199, $E$2:$E$963, E199) &gt; 1, "Duplicate", "Unique")</f>
        <v>Unique</v>
      </c>
    </row>
    <row r="200" spans="1:12" ht="26.5" thickBot="1" x14ac:dyDescent="0.4">
      <c r="A200" s="2">
        <v>46245.693020833336</v>
      </c>
      <c r="B200" s="1" t="s">
        <v>26</v>
      </c>
      <c r="C200" s="1" t="s">
        <v>10</v>
      </c>
      <c r="D200" s="3">
        <v>100</v>
      </c>
      <c r="E200" s="3">
        <v>310.5</v>
      </c>
      <c r="F200" s="3">
        <v>8.1504702190000007</v>
      </c>
      <c r="G200" s="9" t="s">
        <v>98</v>
      </c>
      <c r="H200" s="10">
        <v>287.10000000000002</v>
      </c>
      <c r="I200" s="1" t="s">
        <v>8</v>
      </c>
      <c r="L200" t="str">
        <f>IF(COUNTIFS( $B$2:$B$963, B200, $C$2:$C$963, C200, $D$2:$D$963, D200, $E$2:$E$963, E200) &gt; 1, "Duplicate", "Unique")</f>
        <v>Unique</v>
      </c>
    </row>
    <row r="201" spans="1:12" ht="26.5" thickBot="1" x14ac:dyDescent="0.4">
      <c r="A201" s="2">
        <v>46241.635416666664</v>
      </c>
      <c r="B201" s="1" t="s">
        <v>53</v>
      </c>
      <c r="C201" s="1" t="s">
        <v>10</v>
      </c>
      <c r="D201" s="3">
        <v>200</v>
      </c>
      <c r="E201" s="3">
        <v>249</v>
      </c>
      <c r="F201" s="3">
        <v>8.6245255860000007</v>
      </c>
      <c r="G201" s="9" t="s">
        <v>125</v>
      </c>
      <c r="H201" s="10">
        <v>229.23</v>
      </c>
      <c r="I201" s="1" t="s">
        <v>8</v>
      </c>
      <c r="L201" t="str">
        <f>IF(COUNTIFS( $B$2:$B$963, B201, $C$2:$C$963, C201, $D$2:$D$963, D201, $E$2:$E$963, E201) &gt; 1, "Duplicate", "Unique")</f>
        <v>Unique</v>
      </c>
    </row>
    <row r="202" spans="1:12" ht="26.5" thickBot="1" x14ac:dyDescent="0.4">
      <c r="A202" s="2">
        <v>46240.635416666664</v>
      </c>
      <c r="B202" s="1" t="s">
        <v>65</v>
      </c>
      <c r="C202" s="1" t="s">
        <v>10</v>
      </c>
      <c r="D202" s="3">
        <v>5</v>
      </c>
      <c r="E202" s="3">
        <v>4040</v>
      </c>
      <c r="F202" s="3">
        <v>8.8948787060000001</v>
      </c>
      <c r="G202" s="9" t="s">
        <v>136</v>
      </c>
      <c r="H202" s="10">
        <v>3710</v>
      </c>
      <c r="I202" s="1" t="s">
        <v>8</v>
      </c>
      <c r="L202" t="str">
        <f>IF(COUNTIFS( $B$2:$B$963, B202, $C$2:$C$963, C202, $D$2:$D$963, D202, $E$2:$E$963, E202) &gt; 1, "Duplicate", "Unique")</f>
        <v>Unique</v>
      </c>
    </row>
    <row r="203" spans="1:12" ht="39" thickBot="1" x14ac:dyDescent="0.4">
      <c r="A203" s="4" t="s">
        <v>55</v>
      </c>
      <c r="B203" s="1" t="s">
        <v>28</v>
      </c>
      <c r="C203" s="1" t="s">
        <v>10</v>
      </c>
      <c r="D203" s="3">
        <v>5</v>
      </c>
      <c r="E203" s="3">
        <v>986</v>
      </c>
      <c r="F203" s="3">
        <v>8.9442572229999993</v>
      </c>
      <c r="G203" s="9" t="s">
        <v>100</v>
      </c>
      <c r="H203" s="10">
        <v>905.05</v>
      </c>
      <c r="I203" s="1" t="s">
        <v>8</v>
      </c>
      <c r="L203" t="str">
        <f>IF(COUNTIFS( $B$2:$B$963, B203, $C$2:$C$963, C203, $D$2:$D$963, D203, $E$2:$E$963, E203) &gt; 1, "Duplicate", "Unique")</f>
        <v>Unique</v>
      </c>
    </row>
    <row r="204" spans="1:12" ht="26.5" thickBot="1" x14ac:dyDescent="0.4">
      <c r="A204" s="2">
        <v>46241.635416666664</v>
      </c>
      <c r="B204" s="1" t="s">
        <v>51</v>
      </c>
      <c r="C204" s="1" t="s">
        <v>10</v>
      </c>
      <c r="D204" s="3">
        <v>5</v>
      </c>
      <c r="E204" s="3">
        <v>790</v>
      </c>
      <c r="F204" s="3">
        <v>8.9730326229999999</v>
      </c>
      <c r="G204" s="9" t="s">
        <v>123</v>
      </c>
      <c r="H204" s="10">
        <v>724.95</v>
      </c>
      <c r="I204" s="1" t="s">
        <v>8</v>
      </c>
      <c r="L204" t="str">
        <f>IF(COUNTIFS( $B$2:$B$963, B204, $C$2:$C$963, C204, $D$2:$D$963, D204, $E$2:$E$963, E204) &gt; 1, "Duplicate", "Unique")</f>
        <v>Unique</v>
      </c>
    </row>
    <row r="205" spans="1:12" ht="15" thickBot="1" x14ac:dyDescent="0.4">
      <c r="A205" s="2">
        <v>46244.76666666667</v>
      </c>
      <c r="B205" s="1" t="s">
        <v>23</v>
      </c>
      <c r="C205" s="1" t="s">
        <v>10</v>
      </c>
      <c r="D205" s="3">
        <v>40</v>
      </c>
      <c r="E205" s="3">
        <v>320.5</v>
      </c>
      <c r="F205" s="3">
        <v>9.0321483249999996</v>
      </c>
      <c r="G205" s="9" t="s">
        <v>95</v>
      </c>
      <c r="H205" s="10">
        <v>293.95</v>
      </c>
      <c r="I205" s="1" t="s">
        <v>8</v>
      </c>
      <c r="L205" t="str">
        <f>IF(COUNTIFS( $B$2:$B$963, B205, $C$2:$C$963, C205, $D$2:$D$963, D205, $E$2:$E$963, E205) &gt; 1, "Duplicate", "Unique")</f>
        <v>Unique</v>
      </c>
    </row>
    <row r="206" spans="1:12" ht="26.5" thickBot="1" x14ac:dyDescent="0.4">
      <c r="A206" s="4" t="s">
        <v>55</v>
      </c>
      <c r="B206" s="1" t="s">
        <v>26</v>
      </c>
      <c r="C206" s="1" t="s">
        <v>10</v>
      </c>
      <c r="D206" s="3">
        <v>100</v>
      </c>
      <c r="E206" s="5">
        <v>314</v>
      </c>
      <c r="F206" s="3">
        <v>9.3695576450000004</v>
      </c>
      <c r="G206" s="9" t="s">
        <v>98</v>
      </c>
      <c r="H206" s="10">
        <v>287.10000000000002</v>
      </c>
      <c r="I206" s="1" t="s">
        <v>8</v>
      </c>
      <c r="L206" t="str">
        <f>IF(COUNTIFS( $B$2:$B$963, B206, $C$2:$C$963, C206, $D$2:$D$963, D206, $E$2:$E$963, E206) &gt; 1, "Duplicate", "Unique")</f>
        <v>Unique</v>
      </c>
    </row>
    <row r="207" spans="1:12" ht="26.5" thickBot="1" x14ac:dyDescent="0.4">
      <c r="A207" s="2">
        <v>46303.635416666664</v>
      </c>
      <c r="B207" s="1" t="s">
        <v>41</v>
      </c>
      <c r="C207" s="1" t="s">
        <v>10</v>
      </c>
      <c r="D207" s="3">
        <v>11</v>
      </c>
      <c r="E207" s="3">
        <v>1170</v>
      </c>
      <c r="F207" s="3">
        <v>9.725218044</v>
      </c>
      <c r="G207" s="9" t="s">
        <v>113</v>
      </c>
      <c r="H207" s="10">
        <v>1066.3</v>
      </c>
      <c r="I207" s="1" t="s">
        <v>8</v>
      </c>
      <c r="L207" t="str">
        <f>IF(COUNTIFS( $B$2:$B$963, B207, $C$2:$C$963, C207, $D$2:$D$963, D207, $E$2:$E$963, E207) &gt; 1, "Duplicate", "Unique")</f>
        <v>Unique</v>
      </c>
    </row>
    <row r="208" spans="1:12" ht="15" thickBot="1" x14ac:dyDescent="0.4">
      <c r="A208" s="2">
        <v>46244.635416666664</v>
      </c>
      <c r="B208" s="1" t="s">
        <v>66</v>
      </c>
      <c r="C208" s="1" t="s">
        <v>10</v>
      </c>
      <c r="D208" s="3">
        <v>50</v>
      </c>
      <c r="E208" s="3">
        <v>480</v>
      </c>
      <c r="F208" s="3">
        <v>9.8398169339999999</v>
      </c>
      <c r="G208" s="9" t="s">
        <v>137</v>
      </c>
      <c r="H208" s="10">
        <v>437</v>
      </c>
      <c r="I208" s="1" t="s">
        <v>8</v>
      </c>
      <c r="L208" t="str">
        <f>IF(COUNTIFS( $B$2:$B$963, B208, $C$2:$C$963, C208, $D$2:$D$963, D208, $E$2:$E$963, E208) &gt; 1, "Duplicate", "Unique")</f>
        <v>Unique</v>
      </c>
    </row>
    <row r="209" spans="1:12" ht="39" thickBot="1" x14ac:dyDescent="0.4">
      <c r="A209" s="4" t="s">
        <v>55</v>
      </c>
      <c r="B209" s="6" t="s">
        <v>28</v>
      </c>
      <c r="C209" s="1" t="s">
        <v>10</v>
      </c>
      <c r="D209" s="3">
        <v>40</v>
      </c>
      <c r="E209" s="7">
        <v>996</v>
      </c>
      <c r="F209" s="3">
        <v>10.049168549999999</v>
      </c>
      <c r="G209" s="9" t="s">
        <v>100</v>
      </c>
      <c r="H209" s="10">
        <v>905.05</v>
      </c>
      <c r="I209" s="1" t="s">
        <v>8</v>
      </c>
      <c r="L209" t="str">
        <f>IF(COUNTIFS( $B$2:$B$963, B209, $C$2:$C$963, C209, $D$2:$D$963, D209, $E$2:$E$963, E209) &gt; 1, "Duplicate", "Unique")</f>
        <v>Unique</v>
      </c>
    </row>
    <row r="210" spans="1:12" ht="26.5" thickBot="1" x14ac:dyDescent="0.4">
      <c r="A210" s="4" t="s">
        <v>55</v>
      </c>
      <c r="B210" s="1" t="s">
        <v>44</v>
      </c>
      <c r="C210" s="1" t="s">
        <v>10</v>
      </c>
      <c r="D210" s="3">
        <v>10</v>
      </c>
      <c r="E210" s="5">
        <v>1024</v>
      </c>
      <c r="F210" s="3">
        <v>10.083852930000001</v>
      </c>
      <c r="G210" s="9" t="s">
        <v>116</v>
      </c>
      <c r="H210" s="10">
        <v>930.2</v>
      </c>
      <c r="I210" s="1" t="s">
        <v>8</v>
      </c>
      <c r="L210" t="str">
        <f>IF(COUNTIFS( $B$2:$B$963, B210, $C$2:$C$963, C210, $D$2:$D$963, D210, $E$2:$E$963, E210) &gt; 1, "Duplicate", "Unique")</f>
        <v>Unique</v>
      </c>
    </row>
    <row r="211" spans="1:12" ht="26.5" thickBot="1" x14ac:dyDescent="0.4">
      <c r="A211" s="2">
        <v>46245.693136574075</v>
      </c>
      <c r="B211" s="6" t="s">
        <v>6</v>
      </c>
      <c r="C211" s="1" t="s">
        <v>10</v>
      </c>
      <c r="D211" s="3">
        <v>40</v>
      </c>
      <c r="E211" s="7">
        <v>229</v>
      </c>
      <c r="F211" s="3">
        <v>10.09615385</v>
      </c>
      <c r="G211" s="9" t="s">
        <v>81</v>
      </c>
      <c r="H211" s="10">
        <v>208</v>
      </c>
      <c r="I211" s="1" t="s">
        <v>8</v>
      </c>
      <c r="L211" t="str">
        <f>IF(COUNTIFS( $B$2:$B$963, B211, $C$2:$C$963, C211, $D$2:$D$963, D211, $E$2:$E$963, E211) &gt; 1, "Duplicate", "Unique")</f>
        <v>Unique</v>
      </c>
    </row>
    <row r="212" spans="1:12" ht="39" thickBot="1" x14ac:dyDescent="0.4">
      <c r="A212" s="4" t="s">
        <v>55</v>
      </c>
      <c r="B212" s="1" t="s">
        <v>28</v>
      </c>
      <c r="C212" s="1" t="s">
        <v>10</v>
      </c>
      <c r="D212" s="3">
        <v>5</v>
      </c>
      <c r="E212" s="3">
        <v>1002</v>
      </c>
      <c r="F212" s="3">
        <v>10.712115349999999</v>
      </c>
      <c r="G212" s="9" t="s">
        <v>100</v>
      </c>
      <c r="H212" s="10">
        <v>905.05</v>
      </c>
      <c r="I212" s="1" t="s">
        <v>8</v>
      </c>
      <c r="L212" t="str">
        <f>IF(COUNTIFS( $B$2:$B$963, B212, $C$2:$C$963, C212, $D$2:$D$963, D212, $E$2:$E$963, E212) &gt; 1, "Duplicate", "Unique")</f>
        <v>Unique</v>
      </c>
    </row>
    <row r="213" spans="1:12" ht="26.5" thickBot="1" x14ac:dyDescent="0.4">
      <c r="A213" s="2">
        <v>46239.788888888892</v>
      </c>
      <c r="B213" s="1" t="s">
        <v>26</v>
      </c>
      <c r="C213" s="1" t="s">
        <v>10</v>
      </c>
      <c r="D213" s="3">
        <v>100</v>
      </c>
      <c r="E213" s="3">
        <v>318</v>
      </c>
      <c r="F213" s="3">
        <v>10.76280042</v>
      </c>
      <c r="G213" s="9" t="s">
        <v>98</v>
      </c>
      <c r="H213" s="10">
        <v>287.10000000000002</v>
      </c>
      <c r="I213" s="1" t="s">
        <v>8</v>
      </c>
      <c r="L213" t="str">
        <f>IF(COUNTIFS( $B$2:$B$963, B213, $C$2:$C$963, C213, $D$2:$D$963, D213, $E$2:$E$963, E213) &gt; 1, "Duplicate", "Unique")</f>
        <v>Unique</v>
      </c>
    </row>
    <row r="214" spans="1:12" ht="26.5" thickBot="1" x14ac:dyDescent="0.4">
      <c r="A214" s="2">
        <v>46211.635416666664</v>
      </c>
      <c r="B214" s="1" t="s">
        <v>50</v>
      </c>
      <c r="C214" s="1" t="s">
        <v>10</v>
      </c>
      <c r="D214" s="3">
        <v>3</v>
      </c>
      <c r="E214" s="3">
        <v>3341</v>
      </c>
      <c r="F214" s="3">
        <v>11.03356597</v>
      </c>
      <c r="G214" s="9" t="s">
        <v>122</v>
      </c>
      <c r="H214" s="10">
        <v>3009</v>
      </c>
      <c r="I214" s="1" t="s">
        <v>8</v>
      </c>
      <c r="L214" t="str">
        <f>IF(COUNTIFS( $B$2:$B$963, B214, $C$2:$C$963, C214, $D$2:$D$963, D214, $E$2:$E$963, E214) &gt; 1, "Duplicate", "Unique")</f>
        <v>Unique</v>
      </c>
    </row>
    <row r="215" spans="1:12" ht="26.5" thickBot="1" x14ac:dyDescent="0.4">
      <c r="A215" s="4" t="s">
        <v>55</v>
      </c>
      <c r="B215" s="1" t="s">
        <v>26</v>
      </c>
      <c r="C215" s="1" t="s">
        <v>10</v>
      </c>
      <c r="D215" s="3">
        <v>100</v>
      </c>
      <c r="E215" s="5">
        <v>319</v>
      </c>
      <c r="F215" s="3">
        <v>11.11111111</v>
      </c>
      <c r="G215" s="9" t="s">
        <v>98</v>
      </c>
      <c r="H215" s="10">
        <v>287.10000000000002</v>
      </c>
      <c r="I215" s="1" t="s">
        <v>8</v>
      </c>
      <c r="L215" t="str">
        <f>IF(COUNTIFS( $B$2:$B$963, B215, $C$2:$C$963, C215, $D$2:$D$963, D215, $E$2:$E$963, E215) &gt; 1, "Duplicate", "Unique")</f>
        <v>Unique</v>
      </c>
    </row>
    <row r="216" spans="1:12" ht="26.5" thickBot="1" x14ac:dyDescent="0.4">
      <c r="A216" s="2">
        <v>46239.788888888892</v>
      </c>
      <c r="B216" s="1" t="s">
        <v>26</v>
      </c>
      <c r="C216" s="1" t="s">
        <v>10</v>
      </c>
      <c r="D216" s="3">
        <v>150</v>
      </c>
      <c r="E216" s="3">
        <v>323</v>
      </c>
      <c r="F216" s="3">
        <v>12.50435388</v>
      </c>
      <c r="G216" s="9" t="s">
        <v>98</v>
      </c>
      <c r="H216" s="10">
        <v>287.10000000000002</v>
      </c>
      <c r="I216" s="1" t="s">
        <v>8</v>
      </c>
      <c r="L216" t="str">
        <f>IF(COUNTIFS( $B$2:$B$963, B216, $C$2:$C$963, C216, $D$2:$D$963, D216, $E$2:$E$963, E216) &gt; 1, "Duplicate", "Unique")</f>
        <v>Unique</v>
      </c>
    </row>
    <row r="217" spans="1:12" ht="15" thickBot="1" x14ac:dyDescent="0.4">
      <c r="A217" s="4" t="s">
        <v>55</v>
      </c>
      <c r="B217" s="1" t="s">
        <v>66</v>
      </c>
      <c r="C217" s="1" t="s">
        <v>10</v>
      </c>
      <c r="D217" s="3">
        <v>35</v>
      </c>
      <c r="E217" s="5">
        <v>494</v>
      </c>
      <c r="F217" s="3">
        <v>13.043478260000001</v>
      </c>
      <c r="G217" s="9" t="s">
        <v>137</v>
      </c>
      <c r="H217" s="10">
        <v>437</v>
      </c>
      <c r="I217" s="1" t="s">
        <v>8</v>
      </c>
      <c r="L217" t="str">
        <f>IF(COUNTIFS( $B$2:$B$963, B217, $C$2:$C$963, C217, $D$2:$D$963, D217, $E$2:$E$963, E217) &gt; 1, "Duplicate", "Unique")</f>
        <v>Unique</v>
      </c>
    </row>
    <row r="218" spans="1:12" ht="26.5" thickBot="1" x14ac:dyDescent="0.4">
      <c r="A218" s="2">
        <v>46239.793055555558</v>
      </c>
      <c r="B218" s="1" t="s">
        <v>68</v>
      </c>
      <c r="C218" s="1" t="s">
        <v>10</v>
      </c>
      <c r="D218" s="3">
        <v>23</v>
      </c>
      <c r="E218" s="3">
        <v>890</v>
      </c>
      <c r="F218" s="4" t="e">
        <v>#N/A</v>
      </c>
      <c r="G218" s="9" t="s">
        <v>139</v>
      </c>
      <c r="H218" s="11" t="e">
        <v>#N/A</v>
      </c>
      <c r="I218" s="1" t="s">
        <v>8</v>
      </c>
      <c r="L218" t="str">
        <f>IF(COUNTIFS( $B$2:$B$963, B218, $C$2:$C$963, C218, $D$2:$D$963, D218, $E$2:$E$963, E218) &gt; 1, "Duplicate", "Unique")</f>
        <v>Unique</v>
      </c>
    </row>
  </sheetData>
  <autoFilter ref="A1:L218" xr:uid="{00000000-0001-0000-0000-000000000000}">
    <filterColumn colId="2">
      <filters>
        <filter val="S"/>
      </filters>
    </filterColumn>
    <sortState xmlns:xlrd2="http://schemas.microsoft.com/office/spreadsheetml/2017/richdata2" ref="A2:L218">
      <sortCondition ref="F1:F218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A1DF6-CA16-4EA4-AED4-5B141312FED9}">
  <dimension ref="A1:Q217"/>
  <sheetViews>
    <sheetView workbookViewId="0">
      <selection activeCell="Q13" sqref="Q13"/>
    </sheetView>
  </sheetViews>
  <sheetFormatPr defaultRowHeight="14.5" x14ac:dyDescent="0.35"/>
  <cols>
    <col min="1" max="1" width="21.90625" customWidth="1"/>
    <col min="17" max="17" width="8.7265625" style="8"/>
  </cols>
  <sheetData>
    <row r="1" spans="1:17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J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</row>
    <row r="2" spans="1:17" ht="29.5" thickBot="1" x14ac:dyDescent="0.4">
      <c r="A2" s="2">
        <v>46244.645601851851</v>
      </c>
      <c r="B2" s="1" t="s">
        <v>32</v>
      </c>
      <c r="C2" s="1" t="s">
        <v>7</v>
      </c>
      <c r="D2" s="3">
        <v>5</v>
      </c>
      <c r="E2" s="3">
        <v>1162</v>
      </c>
      <c r="G2" t="str">
        <f>IF(COUNTIFS(
    Sheet1!$B:$B, B2,
    Sheet1!$C:$C, C2,
    Sheet1!$D:$D, D2,
    Sheet1!$E:$E, E2
) = 0, "NO MATCH IN TARGET", "MATCHED")</f>
        <v>NO MATCH IN TARGET</v>
      </c>
      <c r="J2" t="s">
        <v>69</v>
      </c>
      <c r="K2" t="s">
        <v>13</v>
      </c>
      <c r="L2" t="s">
        <v>10</v>
      </c>
      <c r="M2">
        <v>5</v>
      </c>
      <c r="N2">
        <v>966</v>
      </c>
      <c r="O2" t="s">
        <v>70</v>
      </c>
      <c r="Q2" s="8" t="str" cm="1">
        <f t="array" ref="Q2:Q12">_xlfn.UNIQUE(K:K)</f>
        <v>Stock</v>
      </c>
    </row>
    <row r="3" spans="1:17" ht="29.5" thickBot="1" x14ac:dyDescent="0.4">
      <c r="A3" s="2">
        <v>46244.645636574074</v>
      </c>
      <c r="B3" s="1" t="s">
        <v>44</v>
      </c>
      <c r="C3" s="1" t="s">
        <v>7</v>
      </c>
      <c r="D3" s="3">
        <v>20</v>
      </c>
      <c r="E3" s="3">
        <v>917</v>
      </c>
      <c r="G3" t="str">
        <f>IF(COUNTIFS(
    Sheet1!$B:$B, B3,
    Sheet1!$C:$C, C3,
    Sheet1!$D:$D, D3,
    Sheet1!$E:$E, E3
) = 0, "NO MATCH IN TARGET", "MATCHED")</f>
        <v>MATCHED</v>
      </c>
      <c r="J3" t="s">
        <v>71</v>
      </c>
      <c r="K3" t="s">
        <v>14</v>
      </c>
      <c r="L3" t="s">
        <v>7</v>
      </c>
      <c r="M3">
        <v>50</v>
      </c>
      <c r="N3">
        <v>222</v>
      </c>
      <c r="O3" t="s">
        <v>70</v>
      </c>
      <c r="Q3" s="8" t="str">
        <v>ARE&amp;MEQ</v>
      </c>
    </row>
    <row r="4" spans="1:17" ht="15" thickBot="1" x14ac:dyDescent="0.4">
      <c r="A4" s="2">
        <v>46244.645636574074</v>
      </c>
      <c r="B4" s="1" t="s">
        <v>53</v>
      </c>
      <c r="C4" s="1" t="s">
        <v>7</v>
      </c>
      <c r="D4" s="3">
        <v>200</v>
      </c>
      <c r="E4" s="3">
        <v>227.5</v>
      </c>
      <c r="G4" t="str">
        <f>IF(COUNTIFS(
    Sheet1!$B:$B, B4,
    Sheet1!$C:$C, C4,
    Sheet1!$D:$D, D4,
    Sheet1!$E:$E, E4
) = 0, "NO MATCH IN TARGET", "MATCHED")</f>
        <v>NO MATCH IN TARGET</v>
      </c>
      <c r="J4" t="s">
        <v>72</v>
      </c>
      <c r="K4" t="s">
        <v>12</v>
      </c>
      <c r="L4" t="s">
        <v>7</v>
      </c>
      <c r="M4">
        <v>10</v>
      </c>
      <c r="N4">
        <v>2578</v>
      </c>
      <c r="O4" t="s">
        <v>70</v>
      </c>
      <c r="Q4" s="8" t="str">
        <v>SILVERBEESEQ</v>
      </c>
    </row>
    <row r="5" spans="1:17" ht="15" thickBot="1" x14ac:dyDescent="0.4">
      <c r="A5" s="2">
        <v>46244.645648148151</v>
      </c>
      <c r="B5" s="1" t="s">
        <v>52</v>
      </c>
      <c r="C5" s="1" t="s">
        <v>7</v>
      </c>
      <c r="D5" s="3">
        <v>100</v>
      </c>
      <c r="E5" s="3">
        <v>87.3</v>
      </c>
      <c r="G5" t="str">
        <f>IF(COUNTIFS(
    Sheet1!$B:$B, B5,
    Sheet1!$C:$C, C5,
    Sheet1!$D:$D, D5,
    Sheet1!$E:$E, E5
) = 0, "NO MATCH IN TARGET", "MATCHED")</f>
        <v>MATCHED</v>
      </c>
      <c r="J5" t="s">
        <v>73</v>
      </c>
      <c r="K5" t="s">
        <v>14</v>
      </c>
      <c r="L5" t="s">
        <v>10</v>
      </c>
      <c r="M5">
        <v>50</v>
      </c>
      <c r="N5">
        <v>224.9</v>
      </c>
      <c r="O5" t="s">
        <v>70</v>
      </c>
      <c r="Q5" s="8" t="str">
        <v>GRSEEQ</v>
      </c>
    </row>
    <row r="6" spans="1:17" ht="15" thickBot="1" x14ac:dyDescent="0.4">
      <c r="A6" s="2">
        <v>46244.76730324074</v>
      </c>
      <c r="B6" s="1" t="s">
        <v>12</v>
      </c>
      <c r="C6" s="1" t="s">
        <v>7</v>
      </c>
      <c r="D6" s="3">
        <v>10</v>
      </c>
      <c r="E6" s="3">
        <v>2552</v>
      </c>
      <c r="G6" t="str">
        <f>IF(COUNTIFS(
    Sheet1!$B:$B, B6,
    Sheet1!$C:$C, C6,
    Sheet1!$D:$D, D6,
    Sheet1!$E:$E, E6
) = 0, "NO MATCH IN TARGET", "MATCHED")</f>
        <v>MATCHED</v>
      </c>
      <c r="J6" t="s">
        <v>74</v>
      </c>
      <c r="K6" t="s">
        <v>14</v>
      </c>
      <c r="L6" t="s">
        <v>10</v>
      </c>
      <c r="M6">
        <v>50</v>
      </c>
      <c r="N6">
        <v>224.7</v>
      </c>
      <c r="O6" t="s">
        <v>70</v>
      </c>
      <c r="Q6" s="8" t="str">
        <v>IRCONEQ</v>
      </c>
    </row>
    <row r="7" spans="1:17" ht="29.5" thickBot="1" x14ac:dyDescent="0.4">
      <c r="A7" s="2">
        <v>46244.767592592594</v>
      </c>
      <c r="B7" s="1" t="s">
        <v>13</v>
      </c>
      <c r="C7" s="1" t="s">
        <v>7</v>
      </c>
      <c r="D7" s="3">
        <v>11</v>
      </c>
      <c r="E7" s="3">
        <v>882</v>
      </c>
      <c r="G7" t="str">
        <f>IF(COUNTIFS(
    Sheet1!$B:$B, B7,
    Sheet1!$C:$C, C7,
    Sheet1!$D:$D, D7,
    Sheet1!$E:$E, E7
) = 0, "NO MATCH IN TARGET", "MATCHED")</f>
        <v>MATCHED</v>
      </c>
      <c r="J7" t="s">
        <v>75</v>
      </c>
      <c r="K7" t="s">
        <v>9</v>
      </c>
      <c r="L7" t="s">
        <v>7</v>
      </c>
      <c r="M7">
        <v>150</v>
      </c>
      <c r="N7">
        <v>128</v>
      </c>
      <c r="O7" t="s">
        <v>70</v>
      </c>
      <c r="Q7" s="8" t="str">
        <v>IGILEQ</v>
      </c>
    </row>
    <row r="8" spans="1:17" ht="15" thickBot="1" x14ac:dyDescent="0.4">
      <c r="A8" s="2">
        <v>46244.767326388886</v>
      </c>
      <c r="B8" s="1" t="s">
        <v>11</v>
      </c>
      <c r="C8" s="1" t="s">
        <v>7</v>
      </c>
      <c r="D8" s="3">
        <v>50</v>
      </c>
      <c r="E8" s="3">
        <v>348</v>
      </c>
      <c r="G8" t="str">
        <f>IF(COUNTIFS(
    Sheet1!$B:$B, B8,
    Sheet1!$C:$C, C8,
    Sheet1!$D:$D, D8,
    Sheet1!$E:$E, E8
) = 0, "NO MATCH IN TARGET", "MATCHED")</f>
        <v>NO MATCH IN TARGET</v>
      </c>
      <c r="J8" t="s">
        <v>75</v>
      </c>
      <c r="K8" t="s">
        <v>11</v>
      </c>
      <c r="L8" t="s">
        <v>7</v>
      </c>
      <c r="M8">
        <v>50</v>
      </c>
      <c r="N8">
        <v>348</v>
      </c>
      <c r="O8" t="s">
        <v>70</v>
      </c>
      <c r="Q8" s="8" t="str">
        <v>RVNLEQ</v>
      </c>
    </row>
    <row r="9" spans="1:17" ht="29.5" thickBot="1" x14ac:dyDescent="0.4">
      <c r="A9" s="2">
        <v>46244.767418981479</v>
      </c>
      <c r="B9" s="1" t="s">
        <v>6</v>
      </c>
      <c r="C9" s="1" t="s">
        <v>7</v>
      </c>
      <c r="D9" s="3">
        <v>50</v>
      </c>
      <c r="E9" s="3">
        <v>201</v>
      </c>
      <c r="G9" t="str">
        <f>IF(COUNTIFS(
    Sheet1!$B:$B, B9,
    Sheet1!$C:$C, C9,
    Sheet1!$D:$D, D9,
    Sheet1!$E:$E, E9
) = 0, "NO MATCH IN TARGET", "MATCHED")</f>
        <v>MATCHED</v>
      </c>
      <c r="J9" t="s">
        <v>76</v>
      </c>
      <c r="K9" t="s">
        <v>53</v>
      </c>
      <c r="L9" t="s">
        <v>7</v>
      </c>
      <c r="M9">
        <v>200</v>
      </c>
      <c r="N9">
        <v>227.5</v>
      </c>
      <c r="O9" t="s">
        <v>70</v>
      </c>
      <c r="Q9" s="8" t="str">
        <v>NAM-INDIAEQ</v>
      </c>
    </row>
    <row r="10" spans="1:17" ht="15" thickBot="1" x14ac:dyDescent="0.4">
      <c r="A10" s="2">
        <v>46244.76730324074</v>
      </c>
      <c r="B10" s="1" t="s">
        <v>9</v>
      </c>
      <c r="C10" s="1" t="s">
        <v>7</v>
      </c>
      <c r="D10" s="3">
        <v>150</v>
      </c>
      <c r="E10" s="3">
        <v>128</v>
      </c>
      <c r="G10" t="str">
        <f>IF(COUNTIFS(
    Sheet1!$B:$B, B10,
    Sheet1!$C:$C, C10,
    Sheet1!$D:$D, D10,
    Sheet1!$E:$E, E10
) = 0, "NO MATCH IN TARGET", "MATCHED")</f>
        <v>NO MATCH IN TARGET</v>
      </c>
      <c r="J10" t="s">
        <v>76</v>
      </c>
      <c r="K10" t="s">
        <v>32</v>
      </c>
      <c r="L10" t="s">
        <v>7</v>
      </c>
      <c r="M10">
        <v>5</v>
      </c>
      <c r="N10">
        <v>1162</v>
      </c>
      <c r="O10" t="s">
        <v>70</v>
      </c>
      <c r="Q10" s="8" t="str">
        <v>MCXEQ</v>
      </c>
    </row>
    <row r="11" spans="1:17" ht="29.5" thickBot="1" x14ac:dyDescent="0.4">
      <c r="A11" s="2">
        <v>46244.645590277774</v>
      </c>
      <c r="B11" s="1" t="s">
        <v>32</v>
      </c>
      <c r="C11" s="1" t="s">
        <v>7</v>
      </c>
      <c r="D11" s="3">
        <v>5</v>
      </c>
      <c r="E11" s="3">
        <v>1152</v>
      </c>
      <c r="G11" t="str">
        <f>IF(COUNTIFS(
    Sheet1!$B:$B, B11,
    Sheet1!$C:$C, C11,
    Sheet1!$D:$D, D11,
    Sheet1!$E:$E, E11
) = 0, "NO MATCH IN TARGET", "MATCHED")</f>
        <v>MATCHED</v>
      </c>
      <c r="J11" t="s">
        <v>75</v>
      </c>
      <c r="K11" t="s">
        <v>31</v>
      </c>
      <c r="L11" t="s">
        <v>10</v>
      </c>
      <c r="M11">
        <v>3</v>
      </c>
      <c r="N11">
        <v>2846</v>
      </c>
      <c r="O11" t="s">
        <v>70</v>
      </c>
      <c r="Q11" s="8" t="str">
        <v>MOSCHIPEQ</v>
      </c>
    </row>
    <row r="12" spans="1:17" ht="29.5" thickBot="1" x14ac:dyDescent="0.4">
      <c r="A12" s="2">
        <v>46241.765462962961</v>
      </c>
      <c r="B12" s="1" t="s">
        <v>25</v>
      </c>
      <c r="C12" s="1" t="s">
        <v>7</v>
      </c>
      <c r="D12" s="3">
        <v>1</v>
      </c>
      <c r="E12" s="3">
        <v>2264</v>
      </c>
      <c r="G12" t="str">
        <f>IF(COUNTIFS(
    Sheet1!$B:$B, B12,
    Sheet1!$C:$C, C12,
    Sheet1!$D:$D, D12,
    Sheet1!$E:$E, E12
) = 0, "NO MATCH IN TARGET", "MATCHED")</f>
        <v>MATCHED</v>
      </c>
      <c r="J12" t="s">
        <v>77</v>
      </c>
      <c r="K12" t="s">
        <v>6</v>
      </c>
      <c r="L12" t="s">
        <v>10</v>
      </c>
      <c r="M12">
        <v>50</v>
      </c>
      <c r="N12">
        <v>209.5</v>
      </c>
      <c r="O12" t="s">
        <v>70</v>
      </c>
      <c r="Q12" s="8">
        <v>0</v>
      </c>
    </row>
    <row r="13" spans="1:17" ht="29.5" thickBot="1" x14ac:dyDescent="0.4">
      <c r="A13" s="2">
        <v>46244.645613425928</v>
      </c>
      <c r="B13" s="1" t="s">
        <v>51</v>
      </c>
      <c r="C13" s="1" t="s">
        <v>7</v>
      </c>
      <c r="D13" s="3">
        <v>5</v>
      </c>
      <c r="E13" s="3">
        <v>712</v>
      </c>
      <c r="G13" t="str">
        <f>IF(COUNTIFS(
    Sheet1!$B:$B, B13,
    Sheet1!$C:$C, C13,
    Sheet1!$D:$D, D13,
    Sheet1!$E:$E, E13
) = 0, "NO MATCH IN TARGET", "MATCHED")</f>
        <v>MATCHED</v>
      </c>
      <c r="J13" t="s">
        <v>77</v>
      </c>
      <c r="K13" t="s">
        <v>12</v>
      </c>
      <c r="L13" t="s">
        <v>10</v>
      </c>
      <c r="M13">
        <v>10</v>
      </c>
      <c r="N13">
        <v>2604</v>
      </c>
      <c r="O13" t="s">
        <v>70</v>
      </c>
    </row>
    <row r="14" spans="1:17" ht="15" thickBot="1" x14ac:dyDescent="0.4">
      <c r="A14" s="2">
        <v>46244.76730324074</v>
      </c>
      <c r="B14" s="1" t="s">
        <v>12</v>
      </c>
      <c r="C14" s="1" t="s">
        <v>7</v>
      </c>
      <c r="D14" s="3">
        <v>5</v>
      </c>
      <c r="E14" s="3">
        <v>2540</v>
      </c>
      <c r="G14" t="str">
        <f>IF(COUNTIFS(
    Sheet1!$B:$B, B14,
    Sheet1!$C:$C, C14,
    Sheet1!$D:$D, D14,
    Sheet1!$E:$E, E14
) = 0, "NO MATCH IN TARGET", "MATCHED")</f>
        <v>MATCHED</v>
      </c>
    </row>
    <row r="15" spans="1:17" ht="29.5" thickBot="1" x14ac:dyDescent="0.4">
      <c r="A15" s="2">
        <v>46244.76730324074</v>
      </c>
      <c r="B15" s="1" t="s">
        <v>19</v>
      </c>
      <c r="C15" s="1" t="s">
        <v>7</v>
      </c>
      <c r="D15" s="3">
        <v>40</v>
      </c>
      <c r="E15" s="3">
        <v>436</v>
      </c>
      <c r="G15" t="str">
        <f>IF(COUNTIFS(
    Sheet1!$B:$B, B15,
    Sheet1!$C:$C, C15,
    Sheet1!$D:$D, D15,
    Sheet1!$E:$E, E15
) = 0, "NO MATCH IN TARGET", "MATCHED")</f>
        <v>MATCHED</v>
      </c>
    </row>
    <row r="16" spans="1:17" ht="15" thickBot="1" x14ac:dyDescent="0.4">
      <c r="A16" s="2">
        <v>46244.645613425928</v>
      </c>
      <c r="B16" s="1" t="s">
        <v>39</v>
      </c>
      <c r="C16" s="1" t="s">
        <v>7</v>
      </c>
      <c r="D16" s="3">
        <v>3</v>
      </c>
      <c r="E16" s="3">
        <v>1302</v>
      </c>
      <c r="G16" t="str">
        <f>IF(COUNTIFS(
    Sheet1!$B:$B, B16,
    Sheet1!$C:$C, C16,
    Sheet1!$D:$D, D16,
    Sheet1!$E:$E, E16
) = 0, "NO MATCH IN TARGET", "MATCHED")</f>
        <v>MATCHED</v>
      </c>
    </row>
    <row r="17" spans="1:7" ht="29.5" thickBot="1" x14ac:dyDescent="0.4">
      <c r="A17" s="2">
        <v>46244.645601851851</v>
      </c>
      <c r="B17" s="1" t="s">
        <v>35</v>
      </c>
      <c r="C17" s="1" t="s">
        <v>7</v>
      </c>
      <c r="D17" s="3">
        <v>5</v>
      </c>
      <c r="E17" s="3">
        <v>1188</v>
      </c>
      <c r="G17" t="str">
        <f>IF(COUNTIFS(
    Sheet1!$B:$B, B17,
    Sheet1!$C:$C, C17,
    Sheet1!$D:$D, D17,
    Sheet1!$E:$E, E17
) = 0, "NO MATCH IN TARGET", "MATCHED")</f>
        <v>MATCHED</v>
      </c>
    </row>
    <row r="18" spans="1:7" ht="15" thickBot="1" x14ac:dyDescent="0.4">
      <c r="A18" s="2">
        <v>46244.645601851851</v>
      </c>
      <c r="B18" s="1" t="s">
        <v>50</v>
      </c>
      <c r="C18" s="1" t="s">
        <v>7</v>
      </c>
      <c r="D18" s="3">
        <v>5</v>
      </c>
      <c r="E18" s="3">
        <v>2938</v>
      </c>
      <c r="G18" t="str">
        <f>IF(COUNTIFS(
    Sheet1!$B:$B, B18,
    Sheet1!$C:$C, C18,
    Sheet1!$D:$D, D18,
    Sheet1!$E:$E, E18
) = 0, "NO MATCH IN TARGET", "MATCHED")</f>
        <v>MATCHED</v>
      </c>
    </row>
    <row r="19" spans="1:7" ht="29.5" thickBot="1" x14ac:dyDescent="0.4">
      <c r="A19" s="2">
        <v>46181.6875</v>
      </c>
      <c r="B19" s="1" t="s">
        <v>24</v>
      </c>
      <c r="C19" s="1" t="s">
        <v>7</v>
      </c>
      <c r="D19" s="3">
        <v>45</v>
      </c>
      <c r="E19" s="3">
        <v>136.15</v>
      </c>
      <c r="G19" t="str">
        <f>IF(COUNTIFS(
    Sheet1!$B:$B, B19,
    Sheet1!$C:$C, C19,
    Sheet1!$D:$D, D19,
    Sheet1!$E:$E, E19
) = 0, "NO MATCH IN TARGET", "MATCHED")</f>
        <v>MATCHED</v>
      </c>
    </row>
    <row r="20" spans="1:7" ht="29.5" thickBot="1" x14ac:dyDescent="0.4">
      <c r="A20" s="2">
        <v>46244.645590277774</v>
      </c>
      <c r="B20" s="1" t="s">
        <v>32</v>
      </c>
      <c r="C20" s="1" t="s">
        <v>7</v>
      </c>
      <c r="D20" s="3">
        <v>5</v>
      </c>
      <c r="E20" s="3">
        <v>1142</v>
      </c>
      <c r="G20" t="str">
        <f>IF(COUNTIFS(
    Sheet1!$B:$B, B20,
    Sheet1!$C:$C, C20,
    Sheet1!$D:$D, D20,
    Sheet1!$E:$E, E20
) = 0, "NO MATCH IN TARGET", "MATCHED")</f>
        <v>MATCHED</v>
      </c>
    </row>
    <row r="21" spans="1:7" ht="15" thickBot="1" x14ac:dyDescent="0.4">
      <c r="A21" s="2">
        <v>46181.6875</v>
      </c>
      <c r="B21" s="1" t="s">
        <v>11</v>
      </c>
      <c r="C21" s="1" t="s">
        <v>7</v>
      </c>
      <c r="D21" s="3">
        <v>50</v>
      </c>
      <c r="E21" s="3">
        <v>344</v>
      </c>
      <c r="G21" t="str">
        <f>IF(COUNTIFS(
    Sheet1!$B:$B, B21,
    Sheet1!$C:$C, C21,
    Sheet1!$D:$D, D21,
    Sheet1!$E:$E, E21
) = 0, "NO MATCH IN TARGET", "MATCHED")</f>
        <v>MATCHED</v>
      </c>
    </row>
    <row r="22" spans="1:7" ht="29.5" thickBot="1" x14ac:dyDescent="0.4">
      <c r="A22" s="2">
        <v>46244.767326388886</v>
      </c>
      <c r="B22" s="1" t="s">
        <v>14</v>
      </c>
      <c r="C22" s="1" t="s">
        <v>7</v>
      </c>
      <c r="D22" s="3">
        <v>150</v>
      </c>
      <c r="E22" s="3">
        <v>214</v>
      </c>
      <c r="G22" t="str">
        <f>IF(COUNTIFS(
    Sheet1!$B:$B, B22,
    Sheet1!$C:$C, C22,
    Sheet1!$D:$D, D22,
    Sheet1!$E:$E, E22
) = 0, "NO MATCH IN TARGET", "MATCHED")</f>
        <v>MATCHED</v>
      </c>
    </row>
    <row r="23" spans="1:7" ht="15" thickBot="1" x14ac:dyDescent="0.4">
      <c r="A23" s="2">
        <v>46241.645509259259</v>
      </c>
      <c r="B23" s="1" t="s">
        <v>29</v>
      </c>
      <c r="C23" s="1" t="s">
        <v>7</v>
      </c>
      <c r="D23" s="3">
        <v>10</v>
      </c>
      <c r="E23" s="3">
        <v>3950</v>
      </c>
      <c r="G23" t="str">
        <f>IF(COUNTIFS(
    Sheet1!$B:$B, B23,
    Sheet1!$C:$C, C23,
    Sheet1!$D:$D, D23,
    Sheet1!$E:$E, E23
) = 0, "NO MATCH IN TARGET", "MATCHED")</f>
        <v>MATCHED</v>
      </c>
    </row>
    <row r="24" spans="1:7" ht="15" thickBot="1" x14ac:dyDescent="0.4">
      <c r="A24" s="2">
        <v>46244.767384259256</v>
      </c>
      <c r="B24" s="1" t="s">
        <v>23</v>
      </c>
      <c r="C24" s="1" t="s">
        <v>7</v>
      </c>
      <c r="D24" s="3">
        <v>30</v>
      </c>
      <c r="E24" s="3">
        <v>286</v>
      </c>
      <c r="G24" t="str">
        <f>IF(COUNTIFS(
    Sheet1!$B:$B, B24,
    Sheet1!$C:$C, C24,
    Sheet1!$D:$D, D24,
    Sheet1!$E:$E, E24
) = 0, "NO MATCH IN TARGET", "MATCHED")</f>
        <v>MATCHED</v>
      </c>
    </row>
    <row r="25" spans="1:7" ht="29.5" thickBot="1" x14ac:dyDescent="0.4">
      <c r="A25" s="2">
        <v>46244.767326388886</v>
      </c>
      <c r="B25" s="1" t="s">
        <v>22</v>
      </c>
      <c r="C25" s="1" t="s">
        <v>7</v>
      </c>
      <c r="D25" s="3">
        <v>10</v>
      </c>
      <c r="E25" s="3">
        <v>1666</v>
      </c>
      <c r="G25" t="str">
        <f>IF(COUNTIFS(
    Sheet1!$B:$B, B25,
    Sheet1!$C:$C, C25,
    Sheet1!$D:$D, D25,
    Sheet1!$E:$E, E25
) = 0, "NO MATCH IN TARGET", "MATCHED")</f>
        <v>MATCHED</v>
      </c>
    </row>
    <row r="26" spans="1:7" ht="15" thickBot="1" x14ac:dyDescent="0.4">
      <c r="A26" s="2">
        <v>46241.765092592592</v>
      </c>
      <c r="B26" s="1" t="s">
        <v>12</v>
      </c>
      <c r="C26" s="1" t="s">
        <v>7</v>
      </c>
      <c r="D26" s="3">
        <v>5</v>
      </c>
      <c r="E26" s="3">
        <v>2510</v>
      </c>
      <c r="G26" t="str">
        <f>IF(COUNTIFS(
    Sheet1!$B:$B, B26,
    Sheet1!$C:$C, C26,
    Sheet1!$D:$D, D26,
    Sheet1!$E:$E, E26
) = 0, "NO MATCH IN TARGET", "MATCHED")</f>
        <v>MATCHED</v>
      </c>
    </row>
    <row r="27" spans="1:7" ht="15" thickBot="1" x14ac:dyDescent="0.4">
      <c r="A27" s="2">
        <v>46244.63559027778</v>
      </c>
      <c r="B27" s="1" t="s">
        <v>49</v>
      </c>
      <c r="C27" s="1" t="s">
        <v>7</v>
      </c>
      <c r="D27" s="3">
        <v>25</v>
      </c>
      <c r="E27" s="3">
        <v>764</v>
      </c>
      <c r="G27" t="str">
        <f>IF(COUNTIFS(
    Sheet1!$B:$B, B27,
    Sheet1!$C:$C, C27,
    Sheet1!$D:$D, D27,
    Sheet1!$E:$E, E27
) = 0, "NO MATCH IN TARGET", "MATCHED")</f>
        <v>MATCHED</v>
      </c>
    </row>
    <row r="28" spans="1:7" ht="15" thickBot="1" x14ac:dyDescent="0.4">
      <c r="A28" s="2">
        <v>46244.635555555556</v>
      </c>
      <c r="B28" s="1" t="s">
        <v>48</v>
      </c>
      <c r="C28" s="1" t="s">
        <v>7</v>
      </c>
      <c r="D28" s="3">
        <v>8</v>
      </c>
      <c r="E28" s="3">
        <v>2352</v>
      </c>
      <c r="G28" t="str">
        <f>IF(COUNTIFS(
    Sheet1!$B:$B, B28,
    Sheet1!$C:$C, C28,
    Sheet1!$D:$D, D28,
    Sheet1!$E:$E, E28
) = 0, "NO MATCH IN TARGET", "MATCHED")</f>
        <v>MATCHED</v>
      </c>
    </row>
    <row r="29" spans="1:7" ht="29.5" thickBot="1" x14ac:dyDescent="0.4">
      <c r="A29" s="2">
        <v>46244.63559027778</v>
      </c>
      <c r="B29" s="1" t="s">
        <v>47</v>
      </c>
      <c r="C29" s="1" t="s">
        <v>7</v>
      </c>
      <c r="D29" s="3">
        <v>50</v>
      </c>
      <c r="E29" s="3">
        <v>850</v>
      </c>
      <c r="G29" t="str">
        <f>IF(COUNTIFS(
    Sheet1!$B:$B, B29,
    Sheet1!$C:$C, C29,
    Sheet1!$D:$D, D29,
    Sheet1!$E:$E, E29
) = 0, "NO MATCH IN TARGET", "MATCHED")</f>
        <v>MATCHED</v>
      </c>
    </row>
    <row r="30" spans="1:7" ht="15" thickBot="1" x14ac:dyDescent="0.4">
      <c r="A30" s="2">
        <v>46244.63554398148</v>
      </c>
      <c r="B30" s="1" t="s">
        <v>46</v>
      </c>
      <c r="C30" s="1" t="s">
        <v>7</v>
      </c>
      <c r="D30" s="3">
        <v>100</v>
      </c>
      <c r="E30" s="3">
        <v>390</v>
      </c>
      <c r="G30" t="str">
        <f>IF(COUNTIFS(
    Sheet1!$B:$B, B30,
    Sheet1!$C:$C, C30,
    Sheet1!$D:$D, D30,
    Sheet1!$E:$E, E30
) = 0, "NO MATCH IN TARGET", "MATCHED")</f>
        <v>MATCHED</v>
      </c>
    </row>
    <row r="31" spans="1:7" ht="15" thickBot="1" x14ac:dyDescent="0.4">
      <c r="A31" s="2">
        <v>46211.645138888889</v>
      </c>
      <c r="B31" s="1" t="s">
        <v>29</v>
      </c>
      <c r="C31" s="1" t="s">
        <v>7</v>
      </c>
      <c r="D31" s="3">
        <v>5</v>
      </c>
      <c r="E31" s="3">
        <v>3938</v>
      </c>
      <c r="G31" t="str">
        <f>IF(COUNTIFS(
    Sheet1!$B:$B, B31,
    Sheet1!$C:$C, C31,
    Sheet1!$D:$D, D31,
    Sheet1!$E:$E, E31
) = 0, "NO MATCH IN TARGET", "MATCHED")</f>
        <v>MATCHED</v>
      </c>
    </row>
    <row r="32" spans="1:7" ht="29.5" thickBot="1" x14ac:dyDescent="0.4">
      <c r="A32" s="2">
        <v>46244.63559027778</v>
      </c>
      <c r="B32" s="1" t="s">
        <v>45</v>
      </c>
      <c r="C32" s="1" t="s">
        <v>7</v>
      </c>
      <c r="D32" s="3">
        <v>1</v>
      </c>
      <c r="E32" s="3">
        <v>4306</v>
      </c>
      <c r="G32" t="str">
        <f>IF(COUNTIFS(
    Sheet1!$B:$B, B32,
    Sheet1!$C:$C, C32,
    Sheet1!$D:$D, D32,
    Sheet1!$E:$E, E32
) = 0, "NO MATCH IN TARGET", "MATCHED")</f>
        <v>MATCHED</v>
      </c>
    </row>
    <row r="33" spans="1:7" ht="29.5" thickBot="1" x14ac:dyDescent="0.4">
      <c r="A33" s="4" t="s">
        <v>55</v>
      </c>
      <c r="B33" s="1" t="s">
        <v>51</v>
      </c>
      <c r="C33" s="1" t="s">
        <v>7</v>
      </c>
      <c r="D33" s="3">
        <v>5</v>
      </c>
      <c r="E33" s="3">
        <v>702</v>
      </c>
      <c r="G33" t="str">
        <f>IF(COUNTIFS(
    Sheet1!$B:$B, B33,
    Sheet1!$C:$C, C33,
    Sheet1!$D:$D, D33,
    Sheet1!$E:$E, E33
) = 0, "NO MATCH IN TARGET", "MATCHED")</f>
        <v>MATCHED</v>
      </c>
    </row>
    <row r="34" spans="1:7" ht="29.5" thickBot="1" x14ac:dyDescent="0.4">
      <c r="A34" s="2">
        <v>46244.635520833333</v>
      </c>
      <c r="B34" s="1" t="s">
        <v>44</v>
      </c>
      <c r="C34" s="1" t="s">
        <v>7</v>
      </c>
      <c r="D34" s="3">
        <v>40</v>
      </c>
      <c r="E34" s="3">
        <v>897</v>
      </c>
      <c r="G34" t="str">
        <f>IF(COUNTIFS(
    Sheet1!$B:$B, B34,
    Sheet1!$C:$C, C34,
    Sheet1!$D:$D, D34,
    Sheet1!$E:$E, E34
) = 0, "NO MATCH IN TARGET", "MATCHED")</f>
        <v>MATCHED</v>
      </c>
    </row>
    <row r="35" spans="1:7" ht="29.5" thickBot="1" x14ac:dyDescent="0.4">
      <c r="A35" s="2">
        <v>46244.63559027778</v>
      </c>
      <c r="B35" s="1" t="s">
        <v>38</v>
      </c>
      <c r="C35" s="1" t="s">
        <v>7</v>
      </c>
      <c r="D35" s="3">
        <v>10</v>
      </c>
      <c r="E35" s="3">
        <v>1452</v>
      </c>
      <c r="G35" t="str">
        <f>IF(COUNTIFS(
    Sheet1!$B:$B, B35,
    Sheet1!$C:$C, C35,
    Sheet1!$D:$D, D35,
    Sheet1!$E:$E, E35
) = 0, "NO MATCH IN TARGET", "MATCHED")</f>
        <v>MATCHED</v>
      </c>
    </row>
    <row r="36" spans="1:7" ht="29.5" thickBot="1" x14ac:dyDescent="0.4">
      <c r="A36" s="2">
        <v>46244.635520833333</v>
      </c>
      <c r="B36" s="1" t="s">
        <v>43</v>
      </c>
      <c r="C36" s="1" t="s">
        <v>7</v>
      </c>
      <c r="D36" s="3">
        <v>4</v>
      </c>
      <c r="E36" s="3">
        <v>1066</v>
      </c>
      <c r="G36" t="str">
        <f>IF(COUNTIFS(
    Sheet1!$B:$B, B36,
    Sheet1!$C:$C, C36,
    Sheet1!$D:$D, D36,
    Sheet1!$E:$E, E36
) = 0, "NO MATCH IN TARGET", "MATCHED")</f>
        <v>MATCHED</v>
      </c>
    </row>
    <row r="37" spans="1:7" ht="29.5" thickBot="1" x14ac:dyDescent="0.4">
      <c r="A37" s="2">
        <v>46241.63553240741</v>
      </c>
      <c r="B37" s="1" t="s">
        <v>42</v>
      </c>
      <c r="C37" s="1" t="s">
        <v>7</v>
      </c>
      <c r="D37" s="3">
        <v>2</v>
      </c>
      <c r="E37" s="3">
        <v>2460</v>
      </c>
      <c r="G37" t="str">
        <f>IF(COUNTIFS(
    Sheet1!$B:$B, B37,
    Sheet1!$C:$C, C37,
    Sheet1!$D:$D, D37,
    Sheet1!$E:$E, E37
) = 0, "NO MATCH IN TARGET", "MATCHED")</f>
        <v>MATCHED</v>
      </c>
    </row>
    <row r="38" spans="1:7" ht="29.5" thickBot="1" x14ac:dyDescent="0.4">
      <c r="A38" s="2">
        <v>46240.635578703703</v>
      </c>
      <c r="B38" s="1" t="s">
        <v>32</v>
      </c>
      <c r="C38" s="1" t="s">
        <v>7</v>
      </c>
      <c r="D38" s="3">
        <v>5</v>
      </c>
      <c r="E38" s="3">
        <v>1132</v>
      </c>
      <c r="G38" t="str">
        <f>IF(COUNTIFS(
    Sheet1!$B:$B, B38,
    Sheet1!$C:$C, C38,
    Sheet1!$D:$D, D38,
    Sheet1!$E:$E, E38
) = 0, "NO MATCH IN TARGET", "MATCHED")</f>
        <v>MATCHED</v>
      </c>
    </row>
    <row r="39" spans="1:7" ht="15" thickBot="1" x14ac:dyDescent="0.4">
      <c r="A39" s="2">
        <v>46244.63553240741</v>
      </c>
      <c r="B39" s="1" t="s">
        <v>36</v>
      </c>
      <c r="C39" s="1" t="s">
        <v>7</v>
      </c>
      <c r="D39" s="3">
        <v>10</v>
      </c>
      <c r="E39" s="3">
        <v>1260</v>
      </c>
      <c r="G39" t="str">
        <f>IF(COUNTIFS(
    Sheet1!$B:$B, B39,
    Sheet1!$C:$C, C39,
    Sheet1!$D:$D, D39,
    Sheet1!$E:$E, E39
) = 0, "NO MATCH IN TARGET", "MATCHED")</f>
        <v>MATCHED</v>
      </c>
    </row>
    <row r="40" spans="1:7" ht="15" thickBot="1" x14ac:dyDescent="0.4">
      <c r="A40" s="2">
        <v>46244.635520833333</v>
      </c>
      <c r="B40" s="1" t="s">
        <v>41</v>
      </c>
      <c r="C40" s="1" t="s">
        <v>7</v>
      </c>
      <c r="D40" s="3">
        <v>10</v>
      </c>
      <c r="E40" s="3">
        <v>1030</v>
      </c>
      <c r="G40" t="str">
        <f>IF(COUNTIFS(
    Sheet1!$B:$B, B40,
    Sheet1!$C:$C, C40,
    Sheet1!$D:$D, D40,
    Sheet1!$E:$E, E40
) = 0, "NO MATCH IN TARGET", "MATCHED")</f>
        <v>MATCHED</v>
      </c>
    </row>
    <row r="41" spans="1:7" ht="29.5" thickBot="1" x14ac:dyDescent="0.4">
      <c r="A41" s="2">
        <v>46244.63553240741</v>
      </c>
      <c r="B41" s="1" t="s">
        <v>40</v>
      </c>
      <c r="C41" s="1" t="s">
        <v>7</v>
      </c>
      <c r="D41" s="3">
        <v>1</v>
      </c>
      <c r="E41" s="3">
        <v>18052</v>
      </c>
      <c r="G41" t="str">
        <f>IF(COUNTIFS(
    Sheet1!$B:$B, B41,
    Sheet1!$C:$C, C41,
    Sheet1!$D:$D, D41,
    Sheet1!$E:$E, E41
) = 0, "NO MATCH IN TARGET", "MATCHED")</f>
        <v>MATCHED</v>
      </c>
    </row>
    <row r="42" spans="1:7" ht="29.5" thickBot="1" x14ac:dyDescent="0.4">
      <c r="A42" s="2">
        <v>46244.767326388886</v>
      </c>
      <c r="B42" s="1" t="s">
        <v>14</v>
      </c>
      <c r="C42" s="1" t="s">
        <v>7</v>
      </c>
      <c r="D42" s="3">
        <v>50</v>
      </c>
      <c r="E42" s="3">
        <v>212</v>
      </c>
      <c r="G42" t="str">
        <f>IF(COUNTIFS(
    Sheet1!$B:$B, B42,
    Sheet1!$C:$C, C42,
    Sheet1!$D:$D, D42,
    Sheet1!$E:$E, E42
) = 0, "NO MATCH IN TARGET", "MATCHED")</f>
        <v>MATCHED</v>
      </c>
    </row>
    <row r="43" spans="1:7" ht="29.5" thickBot="1" x14ac:dyDescent="0.4">
      <c r="A43" s="2">
        <v>46244.767326388886</v>
      </c>
      <c r="B43" s="1" t="s">
        <v>21</v>
      </c>
      <c r="C43" s="1" t="s">
        <v>7</v>
      </c>
      <c r="D43" s="3">
        <v>3</v>
      </c>
      <c r="E43" s="3">
        <v>4710</v>
      </c>
      <c r="G43" t="str">
        <f>IF(COUNTIFS(
    Sheet1!$B:$B, B43,
    Sheet1!$C:$C, C43,
    Sheet1!$D:$D, D43,
    Sheet1!$E:$E, E43
) = 0, "NO MATCH IN TARGET", "MATCHED")</f>
        <v>MATCHED</v>
      </c>
    </row>
    <row r="44" spans="1:7" ht="15" thickBot="1" x14ac:dyDescent="0.4">
      <c r="A44" s="2">
        <v>46211.6875</v>
      </c>
      <c r="B44" s="1" t="s">
        <v>12</v>
      </c>
      <c r="C44" s="1" t="s">
        <v>7</v>
      </c>
      <c r="D44" s="3">
        <v>5</v>
      </c>
      <c r="E44" s="3">
        <v>2490</v>
      </c>
      <c r="G44" t="str">
        <f>IF(COUNTIFS(
    Sheet1!$B:$B, B44,
    Sheet1!$C:$C, C44,
    Sheet1!$D:$D, D44,
    Sheet1!$E:$E, E44
) = 0, "NO MATCH IN TARGET", "MATCHED")</f>
        <v>MATCHED</v>
      </c>
    </row>
    <row r="45" spans="1:7" ht="15" thickBot="1" x14ac:dyDescent="0.4">
      <c r="A45" s="2">
        <v>46244.767326388886</v>
      </c>
      <c r="B45" s="1" t="s">
        <v>11</v>
      </c>
      <c r="C45" s="1" t="s">
        <v>7</v>
      </c>
      <c r="D45" s="3">
        <v>100</v>
      </c>
      <c r="E45" s="3">
        <v>340.2</v>
      </c>
      <c r="G45" t="str">
        <f>IF(COUNTIFS(
    Sheet1!$B:$B, B45,
    Sheet1!$C:$C, C45,
    Sheet1!$D:$D, D45,
    Sheet1!$E:$E, E45
) = 0, "NO MATCH IN TARGET", "MATCHED")</f>
        <v>MATCHED</v>
      </c>
    </row>
    <row r="46" spans="1:7" ht="29.5" thickBot="1" x14ac:dyDescent="0.4">
      <c r="A46" s="2">
        <v>46244.767326388886</v>
      </c>
      <c r="B46" s="1" t="s">
        <v>20</v>
      </c>
      <c r="C46" s="1" t="s">
        <v>7</v>
      </c>
      <c r="D46" s="3">
        <v>5</v>
      </c>
      <c r="E46" s="3">
        <v>660</v>
      </c>
      <c r="G46" t="str">
        <f>IF(COUNTIFS(
    Sheet1!$B:$B, B46,
    Sheet1!$C:$C, C46,
    Sheet1!$D:$D, D46,
    Sheet1!$E:$E, E46
) = 0, "NO MATCH IN TARGET", "MATCHED")</f>
        <v>MATCHED</v>
      </c>
    </row>
    <row r="47" spans="1:7" ht="29.5" thickBot="1" x14ac:dyDescent="0.4">
      <c r="A47" s="2">
        <v>46244.767592592594</v>
      </c>
      <c r="B47" s="1" t="s">
        <v>13</v>
      </c>
      <c r="C47" s="1" t="s">
        <v>7</v>
      </c>
      <c r="D47" s="3">
        <v>30</v>
      </c>
      <c r="E47" s="3">
        <v>860</v>
      </c>
      <c r="G47" t="str">
        <f>IF(COUNTIFS(
    Sheet1!$B:$B, B47,
    Sheet1!$C:$C, C47,
    Sheet1!$D:$D, D47,
    Sheet1!$E:$E, E47
) = 0, "NO MATCH IN TARGET", "MATCHED")</f>
        <v>MATCHED</v>
      </c>
    </row>
    <row r="48" spans="1:7" ht="15" thickBot="1" x14ac:dyDescent="0.4">
      <c r="A48" s="2">
        <v>46211.635416666664</v>
      </c>
      <c r="B48" s="1" t="s">
        <v>39</v>
      </c>
      <c r="C48" s="1" t="s">
        <v>7</v>
      </c>
      <c r="D48" s="3">
        <v>69</v>
      </c>
      <c r="E48" s="3">
        <v>1277</v>
      </c>
      <c r="G48" t="str">
        <f>IF(COUNTIFS(
    Sheet1!$B:$B, B48,
    Sheet1!$C:$C, C48,
    Sheet1!$D:$D, D48,
    Sheet1!$E:$E, E48
) = 0, "NO MATCH IN TARGET", "MATCHED")</f>
        <v>MATCHED</v>
      </c>
    </row>
    <row r="49" spans="1:7" ht="29.5" thickBot="1" x14ac:dyDescent="0.4">
      <c r="A49" s="2">
        <v>46244.63559027778</v>
      </c>
      <c r="B49" s="1" t="s">
        <v>38</v>
      </c>
      <c r="C49" s="1" t="s">
        <v>7</v>
      </c>
      <c r="D49" s="3">
        <v>10</v>
      </c>
      <c r="E49" s="3">
        <v>1440</v>
      </c>
      <c r="G49" t="str">
        <f>IF(COUNTIFS(
    Sheet1!$B:$B, B49,
    Sheet1!$C:$C, C49,
    Sheet1!$D:$D, D49,
    Sheet1!$E:$E, E49
) = 0, "NO MATCH IN TARGET", "MATCHED")</f>
        <v>MATCHED</v>
      </c>
    </row>
    <row r="50" spans="1:7" ht="29.5" thickBot="1" x14ac:dyDescent="0.4">
      <c r="A50" s="2">
        <v>46244.767418981479</v>
      </c>
      <c r="B50" s="1" t="s">
        <v>6</v>
      </c>
      <c r="C50" s="1" t="s">
        <v>7</v>
      </c>
      <c r="D50" s="3">
        <v>50</v>
      </c>
      <c r="E50" s="3">
        <v>196</v>
      </c>
      <c r="G50" t="str">
        <f>IF(COUNTIFS(
    Sheet1!$B:$B, B50,
    Sheet1!$C:$C, C50,
    Sheet1!$D:$D, D50,
    Sheet1!$E:$E, E50
) = 0, "NO MATCH IN TARGET", "MATCHED")</f>
        <v>MATCHED</v>
      </c>
    </row>
    <row r="51" spans="1:7" ht="15" thickBot="1" x14ac:dyDescent="0.4">
      <c r="A51" s="2">
        <v>46244.635509259257</v>
      </c>
      <c r="B51" s="1" t="s">
        <v>37</v>
      </c>
      <c r="C51" s="1" t="s">
        <v>7</v>
      </c>
      <c r="D51" s="3">
        <v>1</v>
      </c>
      <c r="E51" s="3">
        <v>13552</v>
      </c>
      <c r="G51" t="str">
        <f>IF(COUNTIFS(
    Sheet1!$B:$B, B51,
    Sheet1!$C:$C, C51,
    Sheet1!$D:$D, D51,
    Sheet1!$E:$E, E51
) = 0, "NO MATCH IN TARGET", "MATCHED")</f>
        <v>MATCHED</v>
      </c>
    </row>
    <row r="52" spans="1:7" ht="15" thickBot="1" x14ac:dyDescent="0.4">
      <c r="A52" s="2">
        <v>46211.635416666664</v>
      </c>
      <c r="B52" s="1" t="s">
        <v>50</v>
      </c>
      <c r="C52" s="1" t="s">
        <v>7</v>
      </c>
      <c r="D52" s="3">
        <v>5</v>
      </c>
      <c r="E52" s="3">
        <v>2888</v>
      </c>
      <c r="G52" t="str">
        <f>IF(COUNTIFS(
    Sheet1!$B:$B, B52,
    Sheet1!$C:$C, C52,
    Sheet1!$D:$D, D52,
    Sheet1!$E:$E, E52
) = 0, "NO MATCH IN TARGET", "MATCHED")</f>
        <v>MATCHED</v>
      </c>
    </row>
    <row r="53" spans="1:7" ht="29.5" thickBot="1" x14ac:dyDescent="0.4">
      <c r="A53" s="2">
        <v>46244.767326388886</v>
      </c>
      <c r="B53" s="1" t="s">
        <v>19</v>
      </c>
      <c r="C53" s="1" t="s">
        <v>7</v>
      </c>
      <c r="D53" s="3">
        <v>40</v>
      </c>
      <c r="E53" s="3">
        <v>426</v>
      </c>
      <c r="G53" t="str">
        <f>IF(COUNTIFS(
    Sheet1!$B:$B, B53,
    Sheet1!$C:$C, C53,
    Sheet1!$D:$D, D53,
    Sheet1!$E:$E, E53
) = 0, "NO MATCH IN TARGET", "MATCHED")</f>
        <v>MATCHED</v>
      </c>
    </row>
    <row r="54" spans="1:7" ht="29.5" thickBot="1" x14ac:dyDescent="0.4">
      <c r="A54" s="2">
        <v>46211.765277777777</v>
      </c>
      <c r="B54" s="1" t="s">
        <v>18</v>
      </c>
      <c r="C54" s="1" t="s">
        <v>7</v>
      </c>
      <c r="D54" s="3">
        <v>25</v>
      </c>
      <c r="E54" s="3">
        <v>190.1</v>
      </c>
      <c r="G54" t="str">
        <f>IF(COUNTIFS(
    Sheet1!$B:$B, B54,
    Sheet1!$C:$C, C54,
    Sheet1!$D:$D, D54,
    Sheet1!$E:$E, E54
) = 0, "NO MATCH IN TARGET", "MATCHED")</f>
        <v>MATCHED</v>
      </c>
    </row>
    <row r="55" spans="1:7" ht="15" thickBot="1" x14ac:dyDescent="0.4">
      <c r="A55" s="2">
        <v>46244.63554398148</v>
      </c>
      <c r="B55" s="1" t="s">
        <v>36</v>
      </c>
      <c r="C55" s="1" t="s">
        <v>7</v>
      </c>
      <c r="D55" s="3">
        <v>10</v>
      </c>
      <c r="E55" s="3">
        <v>1251</v>
      </c>
      <c r="G55" t="str">
        <f>IF(COUNTIFS(
    Sheet1!$B:$B, B55,
    Sheet1!$C:$C, C55,
    Sheet1!$D:$D, D55,
    Sheet1!$E:$E, E55
) = 0, "NO MATCH IN TARGET", "MATCHED")</f>
        <v>MATCHED</v>
      </c>
    </row>
    <row r="56" spans="1:7" ht="29.5" thickBot="1" x14ac:dyDescent="0.4">
      <c r="A56" s="2">
        <v>46211.635416666664</v>
      </c>
      <c r="B56" s="1" t="s">
        <v>35</v>
      </c>
      <c r="C56" s="1" t="s">
        <v>7</v>
      </c>
      <c r="D56" s="3">
        <v>10</v>
      </c>
      <c r="E56" s="3">
        <v>1166</v>
      </c>
      <c r="G56" t="str">
        <f>IF(COUNTIFS(
    Sheet1!$B:$B, B56,
    Sheet1!$C:$C, C56,
    Sheet1!$D:$D, D56,
    Sheet1!$E:$E, E56
) = 0, "NO MATCH IN TARGET", "MATCHED")</f>
        <v>MATCHED</v>
      </c>
    </row>
    <row r="57" spans="1:7" ht="15" thickBot="1" x14ac:dyDescent="0.4">
      <c r="A57" s="4" t="s">
        <v>55</v>
      </c>
      <c r="B57" s="1" t="s">
        <v>53</v>
      </c>
      <c r="C57" s="1" t="s">
        <v>7</v>
      </c>
      <c r="D57" s="3">
        <v>20</v>
      </c>
      <c r="E57" s="3">
        <v>220.1</v>
      </c>
      <c r="G57" t="str">
        <f>IF(COUNTIFS(
    Sheet1!$B:$B, B57,
    Sheet1!$C:$C, C57,
    Sheet1!$D:$D, D57,
    Sheet1!$E:$E, E57
) = 0, "NO MATCH IN TARGET", "MATCHED")</f>
        <v>MATCHED</v>
      </c>
    </row>
    <row r="58" spans="1:7" ht="15" thickBot="1" x14ac:dyDescent="0.4">
      <c r="A58" s="4" t="s">
        <v>55</v>
      </c>
      <c r="B58" s="1" t="s">
        <v>29</v>
      </c>
      <c r="C58" s="1" t="s">
        <v>7</v>
      </c>
      <c r="D58" s="3">
        <v>5</v>
      </c>
      <c r="E58" s="3">
        <v>3888</v>
      </c>
      <c r="G58" t="str">
        <f>IF(COUNTIFS(
    Sheet1!$B:$B, B58,
    Sheet1!$C:$C, C58,
    Sheet1!$D:$D, D58,
    Sheet1!$E:$E, E58
) = 0, "NO MATCH IN TARGET", "MATCHED")</f>
        <v>MATCHED</v>
      </c>
    </row>
    <row r="59" spans="1:7" ht="29.5" thickBot="1" x14ac:dyDescent="0.4">
      <c r="A59" s="2">
        <v>46244.63554398148</v>
      </c>
      <c r="B59" s="1" t="s">
        <v>30</v>
      </c>
      <c r="C59" s="1" t="s">
        <v>7</v>
      </c>
      <c r="D59" s="3">
        <v>30</v>
      </c>
      <c r="E59" s="3">
        <v>1007</v>
      </c>
      <c r="G59" t="str">
        <f>IF(COUNTIFS(
    Sheet1!$B:$B, B59,
    Sheet1!$C:$C, C59,
    Sheet1!$D:$D, D59,
    Sheet1!$E:$E, E59
) = 0, "NO MATCH IN TARGET", "MATCHED")</f>
        <v>MATCHED</v>
      </c>
    </row>
    <row r="60" spans="1:7" ht="29.5" thickBot="1" x14ac:dyDescent="0.4">
      <c r="A60" s="2">
        <v>46241.635567129626</v>
      </c>
      <c r="B60" s="1" t="s">
        <v>47</v>
      </c>
      <c r="C60" s="1" t="s">
        <v>7</v>
      </c>
      <c r="D60" s="3">
        <v>5</v>
      </c>
      <c r="E60" s="3">
        <v>838</v>
      </c>
      <c r="G60" t="str">
        <f>IF(COUNTIFS(
    Sheet1!$B:$B, B60,
    Sheet1!$C:$C, C60,
    Sheet1!$D:$D, D60,
    Sheet1!$E:$E, E60
) = 0, "NO MATCH IN TARGET", "MATCHED")</f>
        <v>MATCHED</v>
      </c>
    </row>
    <row r="61" spans="1:7" ht="15" thickBot="1" x14ac:dyDescent="0.4">
      <c r="A61" s="2">
        <v>46240.687962962962</v>
      </c>
      <c r="B61" s="1" t="s">
        <v>12</v>
      </c>
      <c r="C61" s="1" t="s">
        <v>7</v>
      </c>
      <c r="D61" s="3">
        <v>5</v>
      </c>
      <c r="E61" s="3">
        <v>2470</v>
      </c>
      <c r="G61" t="str">
        <f>IF(COUNTIFS(
    Sheet1!$B:$B, B61,
    Sheet1!$C:$C, C61,
    Sheet1!$D:$D, D61,
    Sheet1!$E:$E, E61
) = 0, "NO MATCH IN TARGET", "MATCHED")</f>
        <v>MATCHED</v>
      </c>
    </row>
    <row r="62" spans="1:7" ht="15" thickBot="1" x14ac:dyDescent="0.4">
      <c r="A62" s="4" t="s">
        <v>55</v>
      </c>
      <c r="B62" s="1" t="s">
        <v>23</v>
      </c>
      <c r="C62" s="1" t="s">
        <v>7</v>
      </c>
      <c r="D62" s="3">
        <v>20</v>
      </c>
      <c r="E62" s="3">
        <v>281</v>
      </c>
      <c r="G62" t="str">
        <f>IF(COUNTIFS(
    Sheet1!$B:$B, B62,
    Sheet1!$C:$C, C62,
    Sheet1!$D:$D, D62,
    Sheet1!$E:$E, E62
) = 0, "NO MATCH IN TARGET", "MATCHED")</f>
        <v>MATCHED</v>
      </c>
    </row>
    <row r="63" spans="1:7" ht="29.5" thickBot="1" x14ac:dyDescent="0.4">
      <c r="A63" s="2">
        <v>46211.635416666664</v>
      </c>
      <c r="B63" s="1" t="s">
        <v>47</v>
      </c>
      <c r="C63" s="1" t="s">
        <v>7</v>
      </c>
      <c r="D63" s="3">
        <v>25</v>
      </c>
      <c r="E63" s="3">
        <v>836</v>
      </c>
      <c r="G63" t="str">
        <f>IF(COUNTIFS(
    Sheet1!$B:$B, B63,
    Sheet1!$C:$C, C63,
    Sheet1!$D:$D, D63,
    Sheet1!$E:$E, E63
) = 0, "NO MATCH IN TARGET", "MATCHED")</f>
        <v>MATCHED</v>
      </c>
    </row>
    <row r="64" spans="1:7" ht="15" thickBot="1" x14ac:dyDescent="0.4">
      <c r="A64" s="2">
        <v>46211.6875</v>
      </c>
      <c r="B64" s="1" t="s">
        <v>11</v>
      </c>
      <c r="C64" s="1" t="s">
        <v>7</v>
      </c>
      <c r="D64" s="3">
        <v>100</v>
      </c>
      <c r="E64" s="3">
        <v>337</v>
      </c>
      <c r="G64" t="str">
        <f>IF(COUNTIFS(
    Sheet1!$B:$B, B64,
    Sheet1!$C:$C, C64,
    Sheet1!$D:$D, D64,
    Sheet1!$E:$E, E64
) = 0, "NO MATCH IN TARGET", "MATCHED")</f>
        <v>MATCHED</v>
      </c>
    </row>
    <row r="65" spans="1:7" ht="29.5" thickBot="1" x14ac:dyDescent="0.4">
      <c r="A65" s="2">
        <v>46211.76458333333</v>
      </c>
      <c r="B65" s="1" t="s">
        <v>56</v>
      </c>
      <c r="C65" s="1" t="s">
        <v>7</v>
      </c>
      <c r="D65" s="3">
        <v>25</v>
      </c>
      <c r="E65" s="3">
        <v>196</v>
      </c>
      <c r="G65" t="str">
        <f>IF(COUNTIFS(
    Sheet1!$B:$B, B65,
    Sheet1!$C:$C, C65,
    Sheet1!$D:$D, D65,
    Sheet1!$E:$E, E65
) = 0, "NO MATCH IN TARGET", "MATCHED")</f>
        <v>MATCHED</v>
      </c>
    </row>
    <row r="66" spans="1:7" ht="29.5" thickBot="1" x14ac:dyDescent="0.4">
      <c r="A66" s="4" t="s">
        <v>55</v>
      </c>
      <c r="B66" s="1" t="s">
        <v>13</v>
      </c>
      <c r="C66" s="1" t="s">
        <v>7</v>
      </c>
      <c r="D66" s="3">
        <v>5</v>
      </c>
      <c r="E66" s="3">
        <v>852</v>
      </c>
      <c r="G66" t="str">
        <f>IF(COUNTIFS(
    Sheet1!$B:$B, B66,
    Sheet1!$C:$C, C66,
    Sheet1!$D:$D, D66,
    Sheet1!$E:$E, E66
) = 0, "NO MATCH IN TARGET", "MATCHED")</f>
        <v>MATCHED</v>
      </c>
    </row>
    <row r="67" spans="1:7" ht="15" thickBot="1" x14ac:dyDescent="0.4">
      <c r="A67" s="2">
        <v>46211.6875</v>
      </c>
      <c r="B67" s="1" t="s">
        <v>12</v>
      </c>
      <c r="C67" s="1" t="s">
        <v>7</v>
      </c>
      <c r="D67" s="3">
        <v>30</v>
      </c>
      <c r="E67" s="3">
        <v>2460</v>
      </c>
      <c r="G67" t="str">
        <f>IF(COUNTIFS(
    Sheet1!$B:$B, B67,
    Sheet1!$C:$C, C67,
    Sheet1!$D:$D, D67,
    Sheet1!$E:$E, E67
) = 0, "NO MATCH IN TARGET", "MATCHED")</f>
        <v>MATCHED</v>
      </c>
    </row>
    <row r="68" spans="1:7" ht="15" thickBot="1" x14ac:dyDescent="0.4">
      <c r="A68" s="2">
        <v>46244.63554398148</v>
      </c>
      <c r="B68" s="1" t="s">
        <v>33</v>
      </c>
      <c r="C68" s="1" t="s">
        <v>7</v>
      </c>
      <c r="D68" s="3">
        <v>2</v>
      </c>
      <c r="E68" s="3">
        <v>3410</v>
      </c>
      <c r="G68" t="str">
        <f>IF(COUNTIFS(
    Sheet1!$B:$B, B68,
    Sheet1!$C:$C, C68,
    Sheet1!$D:$D, D68,
    Sheet1!$E:$E, E68
) = 0, "NO MATCH IN TARGET", "MATCHED")</f>
        <v>MATCHED</v>
      </c>
    </row>
    <row r="69" spans="1:7" ht="15" thickBot="1" x14ac:dyDescent="0.4">
      <c r="A69" s="4" t="s">
        <v>55</v>
      </c>
      <c r="B69" s="1" t="s">
        <v>29</v>
      </c>
      <c r="C69" s="1" t="s">
        <v>7</v>
      </c>
      <c r="D69" s="3">
        <v>2</v>
      </c>
      <c r="E69" s="3">
        <v>3856</v>
      </c>
      <c r="G69" t="str">
        <f>IF(COUNTIFS(
    Sheet1!$B:$B, B69,
    Sheet1!$C:$C, C69,
    Sheet1!$D:$D, D69,
    Sheet1!$E:$E, E69
) = 0, "NO MATCH IN TARGET", "MATCHED")</f>
        <v>MATCHED</v>
      </c>
    </row>
    <row r="70" spans="1:7" ht="29.5" thickBot="1" x14ac:dyDescent="0.4">
      <c r="A70" s="2">
        <v>46150.635416666664</v>
      </c>
      <c r="B70" s="1" t="s">
        <v>44</v>
      </c>
      <c r="C70" s="1" t="s">
        <v>7</v>
      </c>
      <c r="D70" s="3">
        <v>40</v>
      </c>
      <c r="E70" s="3">
        <v>878</v>
      </c>
      <c r="G70" t="str">
        <f>IF(COUNTIFS(
    Sheet1!$B:$B, B70,
    Sheet1!$C:$C, C70,
    Sheet1!$D:$D, D70,
    Sheet1!$E:$E, E70
) = 0, "NO MATCH IN TARGET", "MATCHED")</f>
        <v>MATCHED</v>
      </c>
    </row>
    <row r="71" spans="1:7" ht="15" thickBot="1" x14ac:dyDescent="0.4">
      <c r="A71" s="2">
        <v>46239.696701388886</v>
      </c>
      <c r="B71" s="1" t="s">
        <v>11</v>
      </c>
      <c r="C71" s="1" t="s">
        <v>7</v>
      </c>
      <c r="D71" s="3">
        <v>100</v>
      </c>
      <c r="E71" s="3">
        <v>335</v>
      </c>
      <c r="G71" t="str">
        <f>IF(COUNTIFS(
    Sheet1!$B:$B, B71,
    Sheet1!$C:$C, C71,
    Sheet1!$D:$D, D71,
    Sheet1!$E:$E, E71
) = 0, "NO MATCH IN TARGET", "MATCHED")</f>
        <v>MATCHED</v>
      </c>
    </row>
    <row r="72" spans="1:7" ht="29.5" thickBot="1" x14ac:dyDescent="0.4">
      <c r="A72" s="2">
        <v>46244.63559027778</v>
      </c>
      <c r="B72" s="1" t="s">
        <v>38</v>
      </c>
      <c r="C72" s="1" t="s">
        <v>7</v>
      </c>
      <c r="D72" s="3">
        <v>10</v>
      </c>
      <c r="E72" s="3">
        <v>1420</v>
      </c>
      <c r="G72" t="str">
        <f>IF(COUNTIFS(
    Sheet1!$B:$B, B72,
    Sheet1!$C:$C, C72,
    Sheet1!$D:$D, D72,
    Sheet1!$E:$E, E72
) = 0, "NO MATCH IN TARGET", "MATCHED")</f>
        <v>MATCHED</v>
      </c>
    </row>
    <row r="73" spans="1:7" ht="29.5" thickBot="1" x14ac:dyDescent="0.4">
      <c r="A73" s="2">
        <v>46211.635416666664</v>
      </c>
      <c r="B73" s="1" t="s">
        <v>45</v>
      </c>
      <c r="C73" s="1" t="s">
        <v>7</v>
      </c>
      <c r="D73" s="3">
        <v>1</v>
      </c>
      <c r="E73" s="3">
        <v>4206</v>
      </c>
      <c r="G73" t="str">
        <f>IF(COUNTIFS(
    Sheet1!$B:$B, B73,
    Sheet1!$C:$C, C73,
    Sheet1!$D:$D, D73,
    Sheet1!$E:$E, E73
) = 0, "NO MATCH IN TARGET", "MATCHED")</f>
        <v>MATCHED</v>
      </c>
    </row>
    <row r="74" spans="1:7" ht="15" thickBot="1" x14ac:dyDescent="0.4">
      <c r="A74" s="2">
        <v>46211.76458333333</v>
      </c>
      <c r="B74" s="1" t="s">
        <v>57</v>
      </c>
      <c r="C74" s="1" t="s">
        <v>7</v>
      </c>
      <c r="D74" s="3">
        <v>500</v>
      </c>
      <c r="E74" s="3">
        <v>33.159999999999997</v>
      </c>
      <c r="G74" t="str">
        <f>IF(COUNTIFS(
    Sheet1!$B:$B, B74,
    Sheet1!$C:$C, C74,
    Sheet1!$D:$D, D74,
    Sheet1!$E:$E, E74
) = 0, "NO MATCH IN TARGET", "MATCHED")</f>
        <v>MATCHED</v>
      </c>
    </row>
    <row r="75" spans="1:7" ht="15" thickBot="1" x14ac:dyDescent="0.4">
      <c r="A75" s="2">
        <v>46240.687962962962</v>
      </c>
      <c r="B75" s="1" t="s">
        <v>27</v>
      </c>
      <c r="C75" s="1" t="s">
        <v>7</v>
      </c>
      <c r="D75" s="3">
        <v>5</v>
      </c>
      <c r="E75" s="3">
        <v>569</v>
      </c>
      <c r="G75" t="str">
        <f>IF(COUNTIFS(
    Sheet1!$B:$B, B75,
    Sheet1!$C:$C, C75,
    Sheet1!$D:$D, D75,
    Sheet1!$E:$E, E75
) = 0, "NO MATCH IN TARGET", "MATCHED")</f>
        <v>MATCHED</v>
      </c>
    </row>
    <row r="76" spans="1:7" ht="15" thickBot="1" x14ac:dyDescent="0.4">
      <c r="A76" s="2">
        <v>46244.63553240741</v>
      </c>
      <c r="B76" s="1" t="s">
        <v>34</v>
      </c>
      <c r="C76" s="1" t="s">
        <v>7</v>
      </c>
      <c r="D76" s="3">
        <v>1</v>
      </c>
      <c r="E76" s="3">
        <v>4640</v>
      </c>
      <c r="G76" t="str">
        <f>IF(COUNTIFS(
    Sheet1!$B:$B, B76,
    Sheet1!$C:$C, C76,
    Sheet1!$D:$D, D76,
    Sheet1!$E:$E, E76
) = 0, "NO MATCH IN TARGET", "MATCHED")</f>
        <v>MATCHED</v>
      </c>
    </row>
    <row r="77" spans="1:7" ht="15" thickBot="1" x14ac:dyDescent="0.4">
      <c r="A77" s="4" t="s">
        <v>55</v>
      </c>
      <c r="B77" s="1" t="s">
        <v>29</v>
      </c>
      <c r="C77" s="1" t="s">
        <v>7</v>
      </c>
      <c r="D77" s="3">
        <v>2</v>
      </c>
      <c r="E77" s="3">
        <v>3830</v>
      </c>
      <c r="G77" t="str">
        <f>IF(COUNTIFS(
    Sheet1!$B:$B, B77,
    Sheet1!$C:$C, C77,
    Sheet1!$D:$D, D77,
    Sheet1!$E:$E, E77
) = 0, "NO MATCH IN TARGET", "MATCHED")</f>
        <v>MATCHED</v>
      </c>
    </row>
    <row r="78" spans="1:7" ht="15" thickBot="1" x14ac:dyDescent="0.4">
      <c r="A78" s="2">
        <v>46211.765277777777</v>
      </c>
      <c r="B78" s="1" t="s">
        <v>12</v>
      </c>
      <c r="C78" s="1" t="s">
        <v>7</v>
      </c>
      <c r="D78" s="3">
        <v>30</v>
      </c>
      <c r="E78" s="3">
        <v>2435</v>
      </c>
      <c r="G78" t="str">
        <f>IF(COUNTIFS(
    Sheet1!$B:$B, B78,
    Sheet1!$C:$C, C78,
    Sheet1!$D:$D, D78,
    Sheet1!$E:$E, E78
) = 0, "NO MATCH IN TARGET", "MATCHED")</f>
        <v>MATCHED</v>
      </c>
    </row>
    <row r="79" spans="1:7" ht="15" thickBot="1" x14ac:dyDescent="0.4">
      <c r="A79" s="4" t="s">
        <v>55</v>
      </c>
      <c r="B79" s="1" t="s">
        <v>23</v>
      </c>
      <c r="C79" s="1" t="s">
        <v>7</v>
      </c>
      <c r="D79" s="3">
        <v>37</v>
      </c>
      <c r="E79" s="3">
        <v>277</v>
      </c>
      <c r="G79" t="str">
        <f>IF(COUNTIFS(
    Sheet1!$B:$B, B79,
    Sheet1!$C:$C, C79,
    Sheet1!$D:$D, D79,
    Sheet1!$E:$E, E79
) = 0, "NO MATCH IN TARGET", "MATCHED")</f>
        <v>MATCHED</v>
      </c>
    </row>
    <row r="80" spans="1:7" ht="15" thickBot="1" x14ac:dyDescent="0.4">
      <c r="A80" s="2">
        <v>46239.635520833333</v>
      </c>
      <c r="B80" s="1" t="s">
        <v>41</v>
      </c>
      <c r="C80" s="1" t="s">
        <v>7</v>
      </c>
      <c r="D80" s="3">
        <v>15</v>
      </c>
      <c r="E80" s="3">
        <v>1005</v>
      </c>
      <c r="G80" t="str">
        <f>IF(COUNTIFS(
    Sheet1!$B:$B, B80,
    Sheet1!$C:$C, C80,
    Sheet1!$D:$D, D80,
    Sheet1!$E:$E, E80
) = 0, "NO MATCH IN TARGET", "MATCHED")</f>
        <v>MATCHED</v>
      </c>
    </row>
    <row r="81" spans="1:7" ht="29.5" thickBot="1" x14ac:dyDescent="0.4">
      <c r="A81" s="2">
        <v>46181.6875</v>
      </c>
      <c r="B81" s="1" t="s">
        <v>22</v>
      </c>
      <c r="C81" s="1" t="s">
        <v>7</v>
      </c>
      <c r="D81" s="3">
        <v>5</v>
      </c>
      <c r="E81" s="3">
        <v>1614</v>
      </c>
      <c r="G81" t="str">
        <f>IF(COUNTIFS(
    Sheet1!$B:$B, B81,
    Sheet1!$C:$C, C81,
    Sheet1!$D:$D, D81,
    Sheet1!$E:$E, E81
) = 0, "NO MATCH IN TARGET", "MATCHED")</f>
        <v>MATCHED</v>
      </c>
    </row>
    <row r="82" spans="1:7" ht="29.5" thickBot="1" x14ac:dyDescent="0.4">
      <c r="A82" s="2">
        <v>46241.635567129626</v>
      </c>
      <c r="B82" s="1" t="s">
        <v>38</v>
      </c>
      <c r="C82" s="1" t="s">
        <v>7</v>
      </c>
      <c r="D82" s="3">
        <v>10</v>
      </c>
      <c r="E82" s="3">
        <v>1410</v>
      </c>
      <c r="G82" t="str">
        <f>IF(COUNTIFS(
    Sheet1!$B:$B, B82,
    Sheet1!$C:$C, C82,
    Sheet1!$D:$D, D82,
    Sheet1!$E:$E, E82
) = 0, "NO MATCH IN TARGET", "MATCHED")</f>
        <v>MATCHED</v>
      </c>
    </row>
    <row r="83" spans="1:7" ht="29.5" thickBot="1" x14ac:dyDescent="0.4">
      <c r="A83" s="2">
        <v>46241.765462962961</v>
      </c>
      <c r="B83" s="1" t="s">
        <v>25</v>
      </c>
      <c r="C83" s="1" t="s">
        <v>7</v>
      </c>
      <c r="D83" s="3">
        <v>1</v>
      </c>
      <c r="E83" s="3">
        <v>2164</v>
      </c>
      <c r="G83" t="str">
        <f>IF(COUNTIFS(
    Sheet1!$B:$B, B83,
    Sheet1!$C:$C, C83,
    Sheet1!$D:$D, D83,
    Sheet1!$E:$E, E83
) = 0, "NO MATCH IN TARGET", "MATCHED")</f>
        <v>MATCHED</v>
      </c>
    </row>
    <row r="84" spans="1:7" ht="29.5" thickBot="1" x14ac:dyDescent="0.4">
      <c r="A84" s="2">
        <v>46240.687974537039</v>
      </c>
      <c r="B84" s="1" t="s">
        <v>25</v>
      </c>
      <c r="C84" s="1" t="s">
        <v>7</v>
      </c>
      <c r="D84" s="3">
        <v>2</v>
      </c>
      <c r="E84" s="3">
        <v>2164</v>
      </c>
      <c r="G84" t="str">
        <f>IF(COUNTIFS(
    Sheet1!$B:$B, B84,
    Sheet1!$C:$C, C84,
    Sheet1!$D:$D, D84,
    Sheet1!$E:$E, E84
) = 0, "NO MATCH IN TARGET", "MATCHED")</f>
        <v>MATCHED</v>
      </c>
    </row>
    <row r="85" spans="1:7" ht="15" thickBot="1" x14ac:dyDescent="0.4">
      <c r="A85" s="4" t="s">
        <v>55</v>
      </c>
      <c r="B85" s="1" t="s">
        <v>29</v>
      </c>
      <c r="C85" s="1" t="s">
        <v>7</v>
      </c>
      <c r="D85" s="3">
        <v>3</v>
      </c>
      <c r="E85" s="3">
        <v>3810</v>
      </c>
      <c r="G85" t="str">
        <f>IF(COUNTIFS(
    Sheet1!$B:$B, B85,
    Sheet1!$C:$C, C85,
    Sheet1!$D:$D, D85,
    Sheet1!$E:$E, E85
) = 0, "NO MATCH IN TARGET", "MATCHED")</f>
        <v>MATCHED</v>
      </c>
    </row>
    <row r="86" spans="1:7" ht="29.5" thickBot="1" x14ac:dyDescent="0.4">
      <c r="A86" s="2">
        <v>46211.635416666664</v>
      </c>
      <c r="B86" s="1" t="s">
        <v>40</v>
      </c>
      <c r="C86" s="1" t="s">
        <v>7</v>
      </c>
      <c r="D86" s="3">
        <v>1</v>
      </c>
      <c r="E86" s="3">
        <v>17552</v>
      </c>
      <c r="G86" t="str">
        <f>IF(COUNTIFS(
    Sheet1!$B:$B, B86,
    Sheet1!$C:$C, C86,
    Sheet1!$D:$D, D86,
    Sheet1!$E:$E, E86
) = 0, "NO MATCH IN TARGET", "MATCHED")</f>
        <v>MATCHED</v>
      </c>
    </row>
    <row r="87" spans="1:7" ht="29.5" thickBot="1" x14ac:dyDescent="0.4">
      <c r="A87" s="2">
        <v>46211.6875</v>
      </c>
      <c r="B87" s="1" t="s">
        <v>14</v>
      </c>
      <c r="C87" s="1" t="s">
        <v>7</v>
      </c>
      <c r="D87" s="3">
        <v>50</v>
      </c>
      <c r="E87" s="3">
        <v>206</v>
      </c>
      <c r="G87" t="str">
        <f>IF(COUNTIFS(
    Sheet1!$B:$B, B87,
    Sheet1!$C:$C, C87,
    Sheet1!$D:$D, D87,
    Sheet1!$E:$E, E87
) = 0, "NO MATCH IN TARGET", "MATCHED")</f>
        <v>MATCHED</v>
      </c>
    </row>
    <row r="88" spans="1:7" ht="15" thickBot="1" x14ac:dyDescent="0.4">
      <c r="A88" s="4" t="s">
        <v>55</v>
      </c>
      <c r="B88" s="1" t="s">
        <v>11</v>
      </c>
      <c r="C88" s="1" t="s">
        <v>7</v>
      </c>
      <c r="D88" s="3">
        <v>100</v>
      </c>
      <c r="E88" s="3">
        <v>331</v>
      </c>
      <c r="G88" t="str">
        <f>IF(COUNTIFS(
    Sheet1!$B:$B, B88,
    Sheet1!$C:$C, C88,
    Sheet1!$D:$D, D88,
    Sheet1!$E:$E, E88
) = 0, "NO MATCH IN TARGET", "MATCHED")</f>
        <v>MATCHED</v>
      </c>
    </row>
    <row r="89" spans="1:7" ht="29.5" thickBot="1" x14ac:dyDescent="0.4">
      <c r="A89" s="2">
        <v>46211.765277777777</v>
      </c>
      <c r="B89" s="1" t="s">
        <v>16</v>
      </c>
      <c r="C89" s="1" t="s">
        <v>7</v>
      </c>
      <c r="D89" s="3">
        <v>5</v>
      </c>
      <c r="E89" s="3">
        <v>452</v>
      </c>
      <c r="G89" t="str">
        <f>IF(COUNTIFS(
    Sheet1!$B:$B, B89,
    Sheet1!$C:$C, C89,
    Sheet1!$D:$D, D89,
    Sheet1!$E:$E, E89
) = 0, "NO MATCH IN TARGET", "MATCHED")</f>
        <v>MATCHED</v>
      </c>
    </row>
    <row r="90" spans="1:7" ht="29.5" thickBot="1" x14ac:dyDescent="0.4">
      <c r="A90" s="2">
        <v>46244.63554398148</v>
      </c>
      <c r="B90" s="1" t="s">
        <v>58</v>
      </c>
      <c r="C90" s="1" t="s">
        <v>7</v>
      </c>
      <c r="D90" s="3">
        <v>7</v>
      </c>
      <c r="E90" s="3">
        <v>2401</v>
      </c>
      <c r="G90" t="str">
        <f>IF(COUNTIFS(
    Sheet1!$B:$B, B90,
    Sheet1!$C:$C, C90,
    Sheet1!$D:$D, D90,
    Sheet1!$E:$E, E90
) = 0, "NO MATCH IN TARGET", "MATCHED")</f>
        <v>MATCHED</v>
      </c>
    </row>
    <row r="91" spans="1:7" ht="29.5" thickBot="1" x14ac:dyDescent="0.4">
      <c r="A91" s="2">
        <v>46241.688136574077</v>
      </c>
      <c r="B91" s="1" t="s">
        <v>20</v>
      </c>
      <c r="C91" s="1" t="s">
        <v>7</v>
      </c>
      <c r="D91" s="3">
        <v>10</v>
      </c>
      <c r="E91" s="3">
        <v>640</v>
      </c>
      <c r="G91" t="str">
        <f>IF(COUNTIFS(
    Sheet1!$B:$B, B91,
    Sheet1!$C:$C, C91,
    Sheet1!$D:$D, D91,
    Sheet1!$E:$E, E91
) = 0, "NO MATCH IN TARGET", "MATCHED")</f>
        <v>MATCHED</v>
      </c>
    </row>
    <row r="92" spans="1:7" ht="29.5" thickBot="1" x14ac:dyDescent="0.4">
      <c r="A92" s="2">
        <v>46181.6875</v>
      </c>
      <c r="B92" s="1" t="s">
        <v>20</v>
      </c>
      <c r="C92" s="1" t="s">
        <v>7</v>
      </c>
      <c r="D92" s="3">
        <v>5</v>
      </c>
      <c r="E92" s="3">
        <v>640</v>
      </c>
      <c r="G92" t="str">
        <f>IF(COUNTIFS(
    Sheet1!$B:$B, B92,
    Sheet1!$C:$C, C92,
    Sheet1!$D:$D, D92,
    Sheet1!$E:$E, E92
) = 0, "NO MATCH IN TARGET", "MATCHED")</f>
        <v>NO MATCH IN TARGET</v>
      </c>
    </row>
    <row r="93" spans="1:7" ht="29.5" thickBot="1" x14ac:dyDescent="0.4">
      <c r="A93" s="2">
        <v>46150.793055555558</v>
      </c>
      <c r="B93" s="1" t="s">
        <v>20</v>
      </c>
      <c r="C93" s="1" t="s">
        <v>7</v>
      </c>
      <c r="D93" s="3">
        <v>30</v>
      </c>
      <c r="E93" s="3">
        <v>640</v>
      </c>
      <c r="G93" t="str">
        <f>IF(COUNTIFS(
    Sheet1!$B:$B, B93,
    Sheet1!$C:$C, C93,
    Sheet1!$D:$D, D93,
    Sheet1!$E:$E, E93
) = 0, "NO MATCH IN TARGET", "MATCHED")</f>
        <v>NO MATCH IN TARGET</v>
      </c>
    </row>
    <row r="94" spans="1:7" ht="15" thickBot="1" x14ac:dyDescent="0.4">
      <c r="A94" s="2">
        <v>46150.793055555558</v>
      </c>
      <c r="B94" s="1" t="s">
        <v>27</v>
      </c>
      <c r="C94" s="1" t="s">
        <v>7</v>
      </c>
      <c r="D94" s="3">
        <v>5</v>
      </c>
      <c r="E94" s="3">
        <v>560</v>
      </c>
      <c r="G94" t="str">
        <f>IF(COUNTIFS(
    Sheet1!$B:$B, B94,
    Sheet1!$C:$C, C94,
    Sheet1!$D:$D, D94,
    Sheet1!$E:$E, E94
) = 0, "NO MATCH IN TARGET", "MATCHED")</f>
        <v>MATCHED</v>
      </c>
    </row>
    <row r="95" spans="1:7" ht="15" thickBot="1" x14ac:dyDescent="0.4">
      <c r="A95" s="2">
        <v>46240.635567129626</v>
      </c>
      <c r="B95" s="1" t="s">
        <v>48</v>
      </c>
      <c r="C95" s="1" t="s">
        <v>7</v>
      </c>
      <c r="D95" s="3">
        <v>9</v>
      </c>
      <c r="E95" s="3">
        <v>2251</v>
      </c>
      <c r="G95" t="str">
        <f>IF(COUNTIFS(
    Sheet1!$B:$B, B95,
    Sheet1!$C:$C, C95,
    Sheet1!$D:$D, D95,
    Sheet1!$E:$E, E95
) = 0, "NO MATCH IN TARGET", "MATCHED")</f>
        <v>MATCHED</v>
      </c>
    </row>
    <row r="96" spans="1:7" ht="15" thickBot="1" x14ac:dyDescent="0.4">
      <c r="A96" s="2">
        <v>46241.63553240741</v>
      </c>
      <c r="B96" s="1" t="s">
        <v>34</v>
      </c>
      <c r="C96" s="1" t="s">
        <v>7</v>
      </c>
      <c r="D96" s="3">
        <v>1</v>
      </c>
      <c r="E96" s="3">
        <v>4560</v>
      </c>
      <c r="G96" t="str">
        <f>IF(COUNTIFS(
    Sheet1!$B:$B, B96,
    Sheet1!$C:$C, C96,
    Sheet1!$D:$D, D96,
    Sheet1!$E:$E, E96
) = 0, "NO MATCH IN TARGET", "MATCHED")</f>
        <v>MATCHED</v>
      </c>
    </row>
    <row r="97" spans="1:7" ht="29.5" thickBot="1" x14ac:dyDescent="0.4">
      <c r="A97" s="2">
        <v>46244.767395833333</v>
      </c>
      <c r="B97" s="1" t="s">
        <v>15</v>
      </c>
      <c r="C97" s="1" t="s">
        <v>7</v>
      </c>
      <c r="D97" s="3">
        <v>200</v>
      </c>
      <c r="E97" s="3">
        <v>115.25</v>
      </c>
      <c r="G97" t="str">
        <f>IF(COUNTIFS(
    Sheet1!$B:$B, B97,
    Sheet1!$C:$C, C97,
    Sheet1!$D:$D, D97,
    Sheet1!$E:$E, E97
) = 0, "NO MATCH IN TARGET", "MATCHED")</f>
        <v>MATCHED</v>
      </c>
    </row>
    <row r="98" spans="1:7" ht="29.5" thickBot="1" x14ac:dyDescent="0.4">
      <c r="A98" s="4" t="s">
        <v>55</v>
      </c>
      <c r="B98" s="1" t="s">
        <v>59</v>
      </c>
      <c r="C98" s="1" t="s">
        <v>7</v>
      </c>
      <c r="D98" s="3">
        <v>10</v>
      </c>
      <c r="E98" s="3">
        <v>251</v>
      </c>
      <c r="G98" t="str">
        <f>IF(COUNTIFS(
    Sheet1!$B:$B, B98,
    Sheet1!$C:$C, C98,
    Sheet1!$D:$D, D98,
    Sheet1!$E:$E, E98
) = 0, "NO MATCH IN TARGET", "MATCHED")</f>
        <v>MATCHED</v>
      </c>
    </row>
    <row r="99" spans="1:7" ht="29.5" thickBot="1" x14ac:dyDescent="0.4">
      <c r="A99" s="4" t="s">
        <v>55</v>
      </c>
      <c r="B99" s="1" t="s">
        <v>47</v>
      </c>
      <c r="C99" s="1" t="s">
        <v>7</v>
      </c>
      <c r="D99" s="3">
        <v>5</v>
      </c>
      <c r="E99" s="3">
        <v>812</v>
      </c>
      <c r="G99" t="str">
        <f>IF(COUNTIFS(
    Sheet1!$B:$B, B99,
    Sheet1!$C:$C, C99,
    Sheet1!$D:$D, D99,
    Sheet1!$E:$E, E99
) = 0, "NO MATCH IN TARGET", "MATCHED")</f>
        <v>MATCHED</v>
      </c>
    </row>
    <row r="100" spans="1:7" ht="15" thickBot="1" x14ac:dyDescent="0.4">
      <c r="A100" s="4" t="s">
        <v>55</v>
      </c>
      <c r="B100" s="1" t="s">
        <v>29</v>
      </c>
      <c r="C100" s="1" t="s">
        <v>7</v>
      </c>
      <c r="D100" s="3">
        <v>2</v>
      </c>
      <c r="E100" s="3">
        <v>3760</v>
      </c>
      <c r="G100" t="str">
        <f>IF(COUNTIFS(
    Sheet1!$B:$B, B100,
    Sheet1!$C:$C, C100,
    Sheet1!$D:$D, D100,
    Sheet1!$E:$E, E100
) = 0, "NO MATCH IN TARGET", "MATCHED")</f>
        <v>MATCHED</v>
      </c>
    </row>
    <row r="101" spans="1:7" ht="29.5" thickBot="1" x14ac:dyDescent="0.4">
      <c r="A101" s="4" t="s">
        <v>55</v>
      </c>
      <c r="B101" s="1" t="s">
        <v>45</v>
      </c>
      <c r="C101" s="1" t="s">
        <v>7</v>
      </c>
      <c r="D101" s="3">
        <v>1</v>
      </c>
      <c r="E101" s="3">
        <v>4110</v>
      </c>
      <c r="G101" t="str">
        <f>IF(COUNTIFS(
    Sheet1!$B:$B, B101,
    Sheet1!$C:$C, C101,
    Sheet1!$D:$D, D101,
    Sheet1!$E:$E, E101
) = 0, "NO MATCH IN TARGET", "MATCHED")</f>
        <v>MATCHED</v>
      </c>
    </row>
    <row r="102" spans="1:7" ht="15" thickBot="1" x14ac:dyDescent="0.4">
      <c r="A102" s="4" t="s">
        <v>55</v>
      </c>
      <c r="B102" s="1" t="s">
        <v>11</v>
      </c>
      <c r="C102" s="1" t="s">
        <v>7</v>
      </c>
      <c r="D102" s="3">
        <v>100</v>
      </c>
      <c r="E102" s="3">
        <v>327</v>
      </c>
      <c r="G102" t="str">
        <f>IF(COUNTIFS(
    Sheet1!$B:$B, B102,
    Sheet1!$C:$C, C102,
    Sheet1!$D:$D, D102,
    Sheet1!$E:$E, E102
) = 0, "NO MATCH IN TARGET", "MATCHED")</f>
        <v>MATCHED</v>
      </c>
    </row>
    <row r="103" spans="1:7" ht="15" thickBot="1" x14ac:dyDescent="0.4">
      <c r="A103" s="2">
        <v>46244.63554398148</v>
      </c>
      <c r="B103" s="1" t="s">
        <v>31</v>
      </c>
      <c r="C103" s="1" t="s">
        <v>7</v>
      </c>
      <c r="D103" s="3">
        <v>2</v>
      </c>
      <c r="E103" s="3">
        <v>2560</v>
      </c>
      <c r="G103" t="str">
        <f>IF(COUNTIFS(
    Sheet1!$B:$B, B103,
    Sheet1!$C:$C, C103,
    Sheet1!$D:$D, D103,
    Sheet1!$E:$E, E103
) = 0, "NO MATCH IN TARGET", "MATCHED")</f>
        <v>MATCHED</v>
      </c>
    </row>
    <row r="104" spans="1:7" ht="15" thickBot="1" x14ac:dyDescent="0.4">
      <c r="A104" s="2">
        <v>46211.635416666664</v>
      </c>
      <c r="B104" s="1" t="s">
        <v>33</v>
      </c>
      <c r="C104" s="1" t="s">
        <v>7</v>
      </c>
      <c r="D104" s="3">
        <v>3</v>
      </c>
      <c r="E104" s="3">
        <v>3310</v>
      </c>
      <c r="G104" t="str">
        <f>IF(COUNTIFS(
    Sheet1!$B:$B, B104,
    Sheet1!$C:$C, C104,
    Sheet1!$D:$D, D104,
    Sheet1!$E:$E, E104
) = 0, "NO MATCH IN TARGET", "MATCHED")</f>
        <v>MATCHED</v>
      </c>
    </row>
    <row r="105" spans="1:7" ht="29.5" thickBot="1" x14ac:dyDescent="0.4">
      <c r="A105" s="2">
        <v>46244.63553240741</v>
      </c>
      <c r="B105" s="1" t="s">
        <v>58</v>
      </c>
      <c r="C105" s="1" t="s">
        <v>7</v>
      </c>
      <c r="D105" s="3">
        <v>8</v>
      </c>
      <c r="E105" s="3">
        <v>2370</v>
      </c>
      <c r="G105" t="str">
        <f>IF(COUNTIFS(
    Sheet1!$B:$B, B105,
    Sheet1!$C:$C, C105,
    Sheet1!$D:$D, D105,
    Sheet1!$E:$E, E105
) = 0, "NO MATCH IN TARGET", "MATCHED")</f>
        <v>MATCHED</v>
      </c>
    </row>
    <row r="106" spans="1:7" ht="15" thickBot="1" x14ac:dyDescent="0.4">
      <c r="A106" s="4" t="s">
        <v>55</v>
      </c>
      <c r="B106" s="1" t="s">
        <v>31</v>
      </c>
      <c r="C106" s="1" t="s">
        <v>7</v>
      </c>
      <c r="D106" s="3">
        <v>2</v>
      </c>
      <c r="E106" s="3">
        <v>2552</v>
      </c>
      <c r="G106" t="str">
        <f>IF(COUNTIFS(
    Sheet1!$B:$B, B106,
    Sheet1!$C:$C, C106,
    Sheet1!$D:$D, D106,
    Sheet1!$E:$E, E106
) = 0, "NO MATCH IN TARGET", "MATCHED")</f>
        <v>NO MATCH IN TARGET</v>
      </c>
    </row>
    <row r="107" spans="1:7" ht="29.5" thickBot="1" x14ac:dyDescent="0.4">
      <c r="A107" s="2">
        <v>46211.765277777777</v>
      </c>
      <c r="B107" s="1" t="s">
        <v>17</v>
      </c>
      <c r="C107" s="1" t="s">
        <v>7</v>
      </c>
      <c r="D107" s="3">
        <v>5</v>
      </c>
      <c r="E107" s="3">
        <v>366</v>
      </c>
      <c r="G107" t="str">
        <f>IF(COUNTIFS(
    Sheet1!$B:$B, B107,
    Sheet1!$C:$C, C107,
    Sheet1!$D:$D, D107,
    Sheet1!$E:$E, E107
) = 0, "NO MATCH IN TARGET", "MATCHED")</f>
        <v>MATCHED</v>
      </c>
    </row>
    <row r="108" spans="1:7" ht="29.5" thickBot="1" x14ac:dyDescent="0.4">
      <c r="A108" s="2">
        <v>46240.687974537039</v>
      </c>
      <c r="B108" s="1" t="s">
        <v>14</v>
      </c>
      <c r="C108" s="1" t="s">
        <v>7</v>
      </c>
      <c r="D108" s="3">
        <v>50</v>
      </c>
      <c r="E108" s="3">
        <v>202</v>
      </c>
      <c r="G108" t="str">
        <f>IF(COUNTIFS(
    Sheet1!$B:$B, B108,
    Sheet1!$C:$C, C108,
    Sheet1!$D:$D, D108,
    Sheet1!$E:$E, E108
) = 0, "NO MATCH IN TARGET", "MATCHED")</f>
        <v>NO MATCH IN TARGET</v>
      </c>
    </row>
    <row r="109" spans="1:7" ht="15" thickBot="1" x14ac:dyDescent="0.4">
      <c r="A109" s="2">
        <v>46239.789583333331</v>
      </c>
      <c r="B109" s="1" t="s">
        <v>60</v>
      </c>
      <c r="C109" s="1" t="s">
        <v>7</v>
      </c>
      <c r="D109" s="3">
        <v>7</v>
      </c>
      <c r="E109" s="3">
        <v>411</v>
      </c>
      <c r="G109" t="str">
        <f>IF(COUNTIFS(
    Sheet1!$B:$B, B109,
    Sheet1!$C:$C, C109,
    Sheet1!$D:$D, D109,
    Sheet1!$E:$E, E109
) = 0, "NO MATCH IN TARGET", "MATCHED")</f>
        <v>MATCHED</v>
      </c>
    </row>
    <row r="110" spans="1:7" ht="29.5" thickBot="1" x14ac:dyDescent="0.4">
      <c r="A110" s="4" t="s">
        <v>55</v>
      </c>
      <c r="B110" s="1" t="s">
        <v>45</v>
      </c>
      <c r="C110" s="1" t="s">
        <v>7</v>
      </c>
      <c r="D110" s="3">
        <v>2</v>
      </c>
      <c r="E110" s="3">
        <v>4060</v>
      </c>
      <c r="G110" t="str">
        <f>IF(COUNTIFS(
    Sheet1!$B:$B, B110,
    Sheet1!$C:$C, C110,
    Sheet1!$D:$D, D110,
    Sheet1!$E:$E, E110
) = 0, "NO MATCH IN TARGET", "MATCHED")</f>
        <v>MATCHED</v>
      </c>
    </row>
    <row r="111" spans="1:7" ht="15" thickBot="1" x14ac:dyDescent="0.4">
      <c r="A111" s="4" t="s">
        <v>55</v>
      </c>
      <c r="B111" s="1" t="s">
        <v>11</v>
      </c>
      <c r="C111" s="1" t="s">
        <v>7</v>
      </c>
      <c r="D111" s="3">
        <v>100</v>
      </c>
      <c r="E111" s="3">
        <v>322</v>
      </c>
      <c r="G111" t="str">
        <f>IF(COUNTIFS(
    Sheet1!$B:$B, B111,
    Sheet1!$C:$C, C111,
    Sheet1!$D:$D, D111,
    Sheet1!$E:$E, E111
) = 0, "NO MATCH IN TARGET", "MATCHED")</f>
        <v>MATCHED</v>
      </c>
    </row>
    <row r="112" spans="1:7" ht="15" thickBot="1" x14ac:dyDescent="0.4">
      <c r="A112" s="2">
        <v>46244.76730324074</v>
      </c>
      <c r="B112" s="1" t="s">
        <v>27</v>
      </c>
      <c r="C112" s="1" t="s">
        <v>7</v>
      </c>
      <c r="D112" s="3">
        <v>5</v>
      </c>
      <c r="E112" s="3">
        <v>547</v>
      </c>
      <c r="G112" t="str">
        <f>IF(COUNTIFS(
    Sheet1!$B:$B, B112,
    Sheet1!$C:$C, C112,
    Sheet1!$D:$D, D112,
    Sheet1!$E:$E, E112
) = 0, "NO MATCH IN TARGET", "MATCHED")</f>
        <v>MATCHED</v>
      </c>
    </row>
    <row r="113" spans="1:7" ht="15" thickBot="1" x14ac:dyDescent="0.4">
      <c r="A113" s="2">
        <v>46240.635555555556</v>
      </c>
      <c r="B113" s="1" t="s">
        <v>34</v>
      </c>
      <c r="C113" s="1" t="s">
        <v>7</v>
      </c>
      <c r="D113" s="3">
        <v>2</v>
      </c>
      <c r="E113" s="3">
        <v>4456</v>
      </c>
      <c r="G113" t="str">
        <f>IF(COUNTIFS(
    Sheet1!$B:$B, B113,
    Sheet1!$C:$C, C113,
    Sheet1!$D:$D, D113,
    Sheet1!$E:$E, E113
) = 0, "NO MATCH IN TARGET", "MATCHED")</f>
        <v>MATCHED</v>
      </c>
    </row>
    <row r="114" spans="1:7" ht="15" thickBot="1" x14ac:dyDescent="0.4">
      <c r="A114" s="4" t="s">
        <v>55</v>
      </c>
      <c r="B114" s="1" t="s">
        <v>61</v>
      </c>
      <c r="C114" s="1" t="s">
        <v>7</v>
      </c>
      <c r="D114" s="3">
        <v>1</v>
      </c>
      <c r="E114" s="3">
        <v>6920</v>
      </c>
      <c r="G114" t="str">
        <f>IF(COUNTIFS(
    Sheet1!$B:$B, B114,
    Sheet1!$C:$C, C114,
    Sheet1!$D:$D, D114,
    Sheet1!$E:$E, E114
) = 0, "NO MATCH IN TARGET", "MATCHED")</f>
        <v>MATCHED</v>
      </c>
    </row>
    <row r="115" spans="1:7" ht="29.5" thickBot="1" x14ac:dyDescent="0.4">
      <c r="A115" s="2">
        <v>46241.688136574077</v>
      </c>
      <c r="B115" s="1" t="s">
        <v>20</v>
      </c>
      <c r="C115" s="1" t="s">
        <v>7</v>
      </c>
      <c r="D115" s="3">
        <v>20</v>
      </c>
      <c r="E115" s="3">
        <v>620</v>
      </c>
      <c r="G115" t="str">
        <f>IF(COUNTIFS(
    Sheet1!$B:$B, B115,
    Sheet1!$C:$C, C115,
    Sheet1!$D:$D, D115,
    Sheet1!$E:$E, E115
) = 0, "NO MATCH IN TARGET", "MATCHED")</f>
        <v>MATCHED</v>
      </c>
    </row>
    <row r="116" spans="1:7" ht="29.5" thickBot="1" x14ac:dyDescent="0.4">
      <c r="A116" s="2">
        <v>46240.688055555554</v>
      </c>
      <c r="B116" s="1" t="s">
        <v>20</v>
      </c>
      <c r="C116" s="1" t="s">
        <v>7</v>
      </c>
      <c r="D116" s="3">
        <v>30</v>
      </c>
      <c r="E116" s="3">
        <v>620</v>
      </c>
      <c r="G116" t="str">
        <f>IF(COUNTIFS(
    Sheet1!$B:$B, B116,
    Sheet1!$C:$C, C116,
    Sheet1!$D:$D, D116,
    Sheet1!$E:$E, E116
) = 0, "NO MATCH IN TARGET", "MATCHED")</f>
        <v>MATCHED</v>
      </c>
    </row>
    <row r="117" spans="1:7" ht="29.5" thickBot="1" x14ac:dyDescent="0.4">
      <c r="A117" s="4" t="s">
        <v>55</v>
      </c>
      <c r="B117" s="1" t="s">
        <v>45</v>
      </c>
      <c r="C117" s="1" t="s">
        <v>7</v>
      </c>
      <c r="D117" s="3">
        <v>2</v>
      </c>
      <c r="E117" s="3">
        <v>4010</v>
      </c>
      <c r="G117" t="str">
        <f>IF(COUNTIFS(
    Sheet1!$B:$B, B117,
    Sheet1!$C:$C, C117,
    Sheet1!$D:$D, D117,
    Sheet1!$E:$E, E117
) = 0, "NO MATCH IN TARGET", "MATCHED")</f>
        <v>MATCHED</v>
      </c>
    </row>
    <row r="118" spans="1:7" ht="29.5" thickBot="1" x14ac:dyDescent="0.4">
      <c r="A118" s="2">
        <v>46241.765462962961</v>
      </c>
      <c r="B118" s="1" t="s">
        <v>62</v>
      </c>
      <c r="C118" s="1" t="s">
        <v>7</v>
      </c>
      <c r="D118" s="3">
        <v>4</v>
      </c>
      <c r="E118" s="3">
        <v>1751</v>
      </c>
      <c r="G118" t="str">
        <f>IF(COUNTIFS(
    Sheet1!$B:$B, B118,
    Sheet1!$C:$C, C118,
    Sheet1!$D:$D, D118,
    Sheet1!$E:$E, E118
) = 0, "NO MATCH IN TARGET", "MATCHED")</f>
        <v>MATCHED</v>
      </c>
    </row>
    <row r="119" spans="1:7" ht="29.5" thickBot="1" x14ac:dyDescent="0.4">
      <c r="A119" s="2">
        <v>46241.688090277778</v>
      </c>
      <c r="B119" s="1" t="s">
        <v>21</v>
      </c>
      <c r="C119" s="1" t="s">
        <v>7</v>
      </c>
      <c r="D119" s="3">
        <v>2</v>
      </c>
      <c r="E119" s="3">
        <v>4410</v>
      </c>
      <c r="G119" t="str">
        <f>IF(COUNTIFS(
    Sheet1!$B:$B, B119,
    Sheet1!$C:$C, C119,
    Sheet1!$D:$D, D119,
    Sheet1!$E:$E, E119
) = 0, "NO MATCH IN TARGET", "MATCHED")</f>
        <v>MATCHED</v>
      </c>
    </row>
    <row r="120" spans="1:7" ht="15" thickBot="1" x14ac:dyDescent="0.4">
      <c r="A120" s="2">
        <v>46239.63553240741</v>
      </c>
      <c r="B120" s="1" t="s">
        <v>34</v>
      </c>
      <c r="C120" s="1" t="s">
        <v>7</v>
      </c>
      <c r="D120" s="3">
        <v>15</v>
      </c>
      <c r="E120" s="3">
        <v>4415</v>
      </c>
      <c r="G120" t="str">
        <f>IF(COUNTIFS(
    Sheet1!$B:$B, B120,
    Sheet1!$C:$C, C120,
    Sheet1!$D:$D, D120,
    Sheet1!$E:$E, E120
) = 0, "NO MATCH IN TARGET", "MATCHED")</f>
        <v>MATCHED</v>
      </c>
    </row>
    <row r="121" spans="1:7" ht="29.5" thickBot="1" x14ac:dyDescent="0.4">
      <c r="A121" s="4" t="s">
        <v>55</v>
      </c>
      <c r="B121" s="1" t="s">
        <v>25</v>
      </c>
      <c r="C121" s="1" t="s">
        <v>7</v>
      </c>
      <c r="D121" s="3">
        <v>1</v>
      </c>
      <c r="E121" s="3">
        <v>2064</v>
      </c>
      <c r="G121" t="str">
        <f>IF(COUNTIFS(
    Sheet1!$B:$B, B121,
    Sheet1!$C:$C, C121,
    Sheet1!$D:$D, D121,
    Sheet1!$E:$E, E121
) = 0, "NO MATCH IN TARGET", "MATCHED")</f>
        <v>MATCHED</v>
      </c>
    </row>
    <row r="122" spans="1:7" ht="29.5" thickBot="1" x14ac:dyDescent="0.4">
      <c r="A122" s="4" t="s">
        <v>55</v>
      </c>
      <c r="B122" s="1" t="s">
        <v>21</v>
      </c>
      <c r="C122" s="1" t="s">
        <v>7</v>
      </c>
      <c r="D122" s="3">
        <v>1</v>
      </c>
      <c r="E122" s="3">
        <v>4364</v>
      </c>
      <c r="G122" t="str">
        <f>IF(COUNTIFS(
    Sheet1!$B:$B, B122,
    Sheet1!$C:$C, C122,
    Sheet1!$D:$D, D122,
    Sheet1!$E:$E, E122
) = 0, "NO MATCH IN TARGET", "MATCHED")</f>
        <v>MATCHED</v>
      </c>
    </row>
    <row r="123" spans="1:7" ht="29.5" thickBot="1" x14ac:dyDescent="0.4">
      <c r="A123" s="2">
        <v>46240.688009259262</v>
      </c>
      <c r="B123" s="1" t="s">
        <v>15</v>
      </c>
      <c r="C123" s="1" t="s">
        <v>7</v>
      </c>
      <c r="D123" s="3">
        <v>100</v>
      </c>
      <c r="E123" s="3">
        <v>111</v>
      </c>
      <c r="G123" t="str">
        <f>IF(COUNTIFS(
    Sheet1!$B:$B, B123,
    Sheet1!$C:$C, C123,
    Sheet1!$D:$D, D123,
    Sheet1!$E:$E, E123
) = 0, "NO MATCH IN TARGET", "MATCHED")</f>
        <v>MATCHED</v>
      </c>
    </row>
    <row r="124" spans="1:7" ht="15" thickBot="1" x14ac:dyDescent="0.4">
      <c r="A124" s="4" t="s">
        <v>55</v>
      </c>
      <c r="B124" s="1" t="s">
        <v>57</v>
      </c>
      <c r="C124" s="1" t="s">
        <v>7</v>
      </c>
      <c r="D124" s="3">
        <v>200</v>
      </c>
      <c r="E124" s="3">
        <v>31.01</v>
      </c>
      <c r="G124" t="str">
        <f>IF(COUNTIFS(
    Sheet1!$B:$B, B124,
    Sheet1!$C:$C, C124,
    Sheet1!$D:$D, D124,
    Sheet1!$E:$E, E124
) = 0, "NO MATCH IN TARGET", "MATCHED")</f>
        <v>MATCHED</v>
      </c>
    </row>
    <row r="125" spans="1:7" ht="29.5" thickBot="1" x14ac:dyDescent="0.4">
      <c r="A125" s="2">
        <v>46241.765439814815</v>
      </c>
      <c r="B125" s="1" t="s">
        <v>17</v>
      </c>
      <c r="C125" s="1" t="s">
        <v>7</v>
      </c>
      <c r="D125" s="3">
        <v>25</v>
      </c>
      <c r="E125" s="3">
        <v>352</v>
      </c>
      <c r="G125" t="str">
        <f>IF(COUNTIFS(
    Sheet1!$B:$B, B125,
    Sheet1!$C:$C, C125,
    Sheet1!$D:$D, D125,
    Sheet1!$E:$E, E125
) = 0, "NO MATCH IN TARGET", "MATCHED")</f>
        <v>MATCHED</v>
      </c>
    </row>
    <row r="126" spans="1:7" ht="29.5" thickBot="1" x14ac:dyDescent="0.4">
      <c r="A126" s="2">
        <v>46239.789560185185</v>
      </c>
      <c r="B126" s="1" t="s">
        <v>16</v>
      </c>
      <c r="C126" s="1" t="s">
        <v>7</v>
      </c>
      <c r="D126" s="3">
        <v>5</v>
      </c>
      <c r="E126" s="3">
        <v>419</v>
      </c>
      <c r="G126" t="str">
        <f>IF(COUNTIFS(
    Sheet1!$B:$B, B126,
    Sheet1!$C:$C, C126,
    Sheet1!$D:$D, D126,
    Sheet1!$E:$E, E126
) = 0, "NO MATCH IN TARGET", "MATCHED")</f>
        <v>MATCHED</v>
      </c>
    </row>
    <row r="127" spans="1:7" ht="29.5" thickBot="1" x14ac:dyDescent="0.4">
      <c r="A127" s="4" t="s">
        <v>55</v>
      </c>
      <c r="B127" s="1" t="s">
        <v>63</v>
      </c>
      <c r="C127" s="1" t="s">
        <v>7</v>
      </c>
      <c r="D127" s="3">
        <v>4</v>
      </c>
      <c r="E127" s="3">
        <v>701</v>
      </c>
      <c r="G127" t="str">
        <f>IF(COUNTIFS(
    Sheet1!$B:$B, B127,
    Sheet1!$C:$C, C127,
    Sheet1!$D:$D, D127,
    Sheet1!$E:$E, E127
) = 0, "NO MATCH IN TARGET", "MATCHED")</f>
        <v>MATCHED</v>
      </c>
    </row>
    <row r="128" spans="1:7" ht="29.5" thickBot="1" x14ac:dyDescent="0.4">
      <c r="A128" s="4" t="s">
        <v>55</v>
      </c>
      <c r="B128" s="1" t="s">
        <v>21</v>
      </c>
      <c r="C128" s="1" t="s">
        <v>7</v>
      </c>
      <c r="D128" s="3">
        <v>1</v>
      </c>
      <c r="E128" s="3">
        <v>4164</v>
      </c>
      <c r="G128" t="str">
        <f>IF(COUNTIFS(
    Sheet1!$B:$B, B128,
    Sheet1!$C:$C, C128,
    Sheet1!$D:$D, D128,
    Sheet1!$E:$E, E128
) = 0, "NO MATCH IN TARGET", "MATCHED")</f>
        <v>MATCHED</v>
      </c>
    </row>
    <row r="129" spans="1:7" ht="29.5" thickBot="1" x14ac:dyDescent="0.4">
      <c r="A129" s="2">
        <v>46239.789560185185</v>
      </c>
      <c r="B129" s="1" t="s">
        <v>17</v>
      </c>
      <c r="C129" s="1" t="s">
        <v>7</v>
      </c>
      <c r="D129" s="3">
        <v>25</v>
      </c>
      <c r="E129" s="3">
        <v>336</v>
      </c>
      <c r="G129" t="str">
        <f>IF(COUNTIFS(
    Sheet1!$B:$B, B129,
    Sheet1!$C:$C, C129,
    Sheet1!$D:$D, D129,
    Sheet1!$E:$E, E129
) = 0, "NO MATCH IN TARGET", "MATCHED")</f>
        <v>MATCHED</v>
      </c>
    </row>
    <row r="130" spans="1:7" ht="29.5" thickBot="1" x14ac:dyDescent="0.4">
      <c r="A130" s="4" t="s">
        <v>55</v>
      </c>
      <c r="B130" s="1" t="s">
        <v>16</v>
      </c>
      <c r="C130" s="1" t="s">
        <v>7</v>
      </c>
      <c r="D130" s="3">
        <v>29</v>
      </c>
      <c r="E130" s="3">
        <v>401</v>
      </c>
      <c r="G130" t="str">
        <f>IF(COUNTIFS(
    Sheet1!$B:$B, B130,
    Sheet1!$C:$C, C130,
    Sheet1!$D:$D, D130,
    Sheet1!$E:$E, E130
) = 0, "NO MATCH IN TARGET", "MATCHED")</f>
        <v>MATCHED</v>
      </c>
    </row>
    <row r="131" spans="1:7" ht="29.5" thickBot="1" x14ac:dyDescent="0.4">
      <c r="A131" s="4" t="s">
        <v>55</v>
      </c>
      <c r="B131" s="1" t="s">
        <v>21</v>
      </c>
      <c r="C131" s="1" t="s">
        <v>7</v>
      </c>
      <c r="D131" s="3">
        <v>1</v>
      </c>
      <c r="E131" s="3">
        <v>4014</v>
      </c>
      <c r="G131" t="str">
        <f>IF(COUNTIFS(
    Sheet1!$B:$B, B131,
    Sheet1!$C:$C, C131,
    Sheet1!$D:$D, D131,
    Sheet1!$E:$E, E131
) = 0, "NO MATCH IN TARGET", "MATCHED")</f>
        <v>MATCHED</v>
      </c>
    </row>
    <row r="132" spans="1:7" ht="29.5" thickBot="1" x14ac:dyDescent="0.4">
      <c r="A132" s="2">
        <v>46244.767407407409</v>
      </c>
      <c r="B132" s="1" t="s">
        <v>64</v>
      </c>
      <c r="C132" s="1" t="s">
        <v>7</v>
      </c>
      <c r="D132" s="3">
        <v>2</v>
      </c>
      <c r="E132" s="3">
        <v>660</v>
      </c>
      <c r="G132" t="str">
        <f>IF(COUNTIFS(
    Sheet1!$B:$B, B132,
    Sheet1!$C:$C, C132,
    Sheet1!$D:$D, D132,
    Sheet1!$E:$E, E132
) = 0, "NO MATCH IN TARGET", "MATCHED")</f>
        <v>MATCHED</v>
      </c>
    </row>
    <row r="133" spans="1:7" ht="29.5" thickBot="1" x14ac:dyDescent="0.4">
      <c r="A133" s="4" t="s">
        <v>55</v>
      </c>
      <c r="B133" s="1" t="s">
        <v>21</v>
      </c>
      <c r="C133" s="1" t="s">
        <v>7</v>
      </c>
      <c r="D133" s="3">
        <v>1</v>
      </c>
      <c r="E133" s="3">
        <v>3914</v>
      </c>
      <c r="G133" t="str">
        <f>IF(COUNTIFS(
    Sheet1!$B:$B, B133,
    Sheet1!$C:$C, C133,
    Sheet1!$D:$D, D133,
    Sheet1!$E:$E, E133
) = 0, "NO MATCH IN TARGET", "MATCHED")</f>
        <v>MATCHED</v>
      </c>
    </row>
    <row r="134" spans="1:7" ht="15" thickBot="1" x14ac:dyDescent="0.4">
      <c r="A134" s="2">
        <v>46244.767430555556</v>
      </c>
      <c r="B134" s="1" t="s">
        <v>12</v>
      </c>
      <c r="C134" s="1" t="s">
        <v>10</v>
      </c>
      <c r="D134" s="3">
        <v>10</v>
      </c>
      <c r="E134" s="3">
        <v>2604</v>
      </c>
      <c r="G134" t="str">
        <f>IF(COUNTIFS(
    Sheet1!$B:$B, B134,
    Sheet1!$C:$C, C134,
    Sheet1!$D:$D, D134,
    Sheet1!$E:$E, E134
) = 0, "NO MATCH IN TARGET", "MATCHED")</f>
        <v>NO MATCH IN TARGET</v>
      </c>
    </row>
    <row r="135" spans="1:7" ht="15" thickBot="1" x14ac:dyDescent="0.4">
      <c r="A135" s="2">
        <v>46244.645601851851</v>
      </c>
      <c r="B135" s="1" t="s">
        <v>36</v>
      </c>
      <c r="C135" s="1" t="s">
        <v>10</v>
      </c>
      <c r="D135" s="3">
        <v>10</v>
      </c>
      <c r="E135" s="3">
        <v>1320</v>
      </c>
      <c r="G135" t="str">
        <f>IF(COUNTIFS(
    Sheet1!$B:$B, B135,
    Sheet1!$C:$C, C135,
    Sheet1!$D:$D, D135,
    Sheet1!$E:$E, E135
) = 0, "NO MATCH IN TARGET", "MATCHED")</f>
        <v>MATCHED</v>
      </c>
    </row>
    <row r="136" spans="1:7" ht="15" thickBot="1" x14ac:dyDescent="0.4">
      <c r="A136" s="2">
        <v>46244.645613425928</v>
      </c>
      <c r="B136" s="1" t="s">
        <v>33</v>
      </c>
      <c r="C136" s="1" t="s">
        <v>10</v>
      </c>
      <c r="D136" s="3">
        <v>5</v>
      </c>
      <c r="E136" s="3">
        <v>3633</v>
      </c>
      <c r="G136" t="str">
        <f>IF(COUNTIFS(
    Sheet1!$B:$B, B136,
    Sheet1!$C:$C, C136,
    Sheet1!$D:$D, D136,
    Sheet1!$E:$E, E136
) = 0, "NO MATCH IN TARGET", "MATCHED")</f>
        <v>MATCHED</v>
      </c>
    </row>
    <row r="137" spans="1:7" ht="15" thickBot="1" x14ac:dyDescent="0.4">
      <c r="A137" s="2">
        <v>46244.645601851851</v>
      </c>
      <c r="B137" s="1" t="s">
        <v>29</v>
      </c>
      <c r="C137" s="1" t="s">
        <v>10</v>
      </c>
      <c r="D137" s="3">
        <v>5</v>
      </c>
      <c r="E137" s="3">
        <v>4129</v>
      </c>
      <c r="G137" t="str">
        <f>IF(COUNTIFS(
    Sheet1!$B:$B, B137,
    Sheet1!$C:$C, C137,
    Sheet1!$D:$D, D137,
    Sheet1!$E:$E, E137
) = 0, "NO MATCH IN TARGET", "MATCHED")</f>
        <v>MATCHED</v>
      </c>
    </row>
    <row r="138" spans="1:7" ht="29.5" thickBot="1" x14ac:dyDescent="0.4">
      <c r="A138" s="2">
        <v>46244.767407407409</v>
      </c>
      <c r="B138" s="1" t="s">
        <v>26</v>
      </c>
      <c r="C138" s="1" t="s">
        <v>10</v>
      </c>
      <c r="D138" s="3">
        <v>50</v>
      </c>
      <c r="E138" s="3">
        <v>296</v>
      </c>
      <c r="G138" t="str">
        <f>IF(COUNTIFS(
    Sheet1!$B:$B, B138,
    Sheet1!$C:$C, C138,
    Sheet1!$D:$D, D138,
    Sheet1!$E:$E, E138
) = 0, "NO MATCH IN TARGET", "MATCHED")</f>
        <v>MATCHED</v>
      </c>
    </row>
    <row r="139" spans="1:7" ht="15" thickBot="1" x14ac:dyDescent="0.4">
      <c r="A139" s="2">
        <v>46244.645648148151</v>
      </c>
      <c r="B139" s="1" t="s">
        <v>53</v>
      </c>
      <c r="C139" s="1" t="s">
        <v>10</v>
      </c>
      <c r="D139" s="3">
        <v>200</v>
      </c>
      <c r="E139" s="3">
        <v>234</v>
      </c>
      <c r="G139" t="str">
        <f>IF(COUNTIFS(
    Sheet1!$B:$B, B139,
    Sheet1!$C:$C, C139,
    Sheet1!$D:$D, D139,
    Sheet1!$E:$E, E139
) = 0, "NO MATCH IN TARGET", "MATCHED")</f>
        <v>MATCHED</v>
      </c>
    </row>
    <row r="140" spans="1:7" ht="15" thickBot="1" x14ac:dyDescent="0.4">
      <c r="A140" s="2">
        <v>46244.76730324074</v>
      </c>
      <c r="B140" s="1" t="s">
        <v>12</v>
      </c>
      <c r="C140" s="1" t="s">
        <v>10</v>
      </c>
      <c r="D140" s="3">
        <v>10</v>
      </c>
      <c r="E140" s="3">
        <v>2636</v>
      </c>
      <c r="G140" t="str">
        <f>IF(COUNTIFS(
    Sheet1!$B:$B, B140,
    Sheet1!$C:$C, C140,
    Sheet1!$D:$D, D140,
    Sheet1!$E:$E, E140
) = 0, "NO MATCH IN TARGET", "MATCHED")</f>
        <v>MATCHED</v>
      </c>
    </row>
    <row r="141" spans="1:7" ht="15" thickBot="1" x14ac:dyDescent="0.4">
      <c r="A141" s="2">
        <v>46244.76730324074</v>
      </c>
      <c r="B141" s="1" t="s">
        <v>11</v>
      </c>
      <c r="C141" s="1" t="s">
        <v>10</v>
      </c>
      <c r="D141" s="3">
        <v>50</v>
      </c>
      <c r="E141" s="3">
        <v>361</v>
      </c>
      <c r="G141" t="str">
        <f>IF(COUNTIFS(
    Sheet1!$B:$B, B141,
    Sheet1!$C:$C, C141,
    Sheet1!$D:$D, D141,
    Sheet1!$E:$E, E141
) = 0, "NO MATCH IN TARGET", "MATCHED")</f>
        <v>MATCHED</v>
      </c>
    </row>
    <row r="142" spans="1:7" ht="29.5" thickBot="1" x14ac:dyDescent="0.4">
      <c r="A142" s="2">
        <v>46244.645601851851</v>
      </c>
      <c r="B142" s="1" t="s">
        <v>47</v>
      </c>
      <c r="C142" s="1" t="s">
        <v>10</v>
      </c>
      <c r="D142" s="3">
        <v>20</v>
      </c>
      <c r="E142" s="3">
        <v>896</v>
      </c>
      <c r="G142" t="str">
        <f>IF(COUNTIFS(
    Sheet1!$B:$B, B142,
    Sheet1!$C:$C, C142,
    Sheet1!$D:$D, D142,
    Sheet1!$E:$E, E142
) = 0, "NO MATCH IN TARGET", "MATCHED")</f>
        <v>MATCHED</v>
      </c>
    </row>
    <row r="143" spans="1:7" ht="15" thickBot="1" x14ac:dyDescent="0.4">
      <c r="A143" s="2">
        <v>46244.76730324074</v>
      </c>
      <c r="B143" s="1" t="s">
        <v>12</v>
      </c>
      <c r="C143" s="1" t="s">
        <v>10</v>
      </c>
      <c r="D143" s="3">
        <v>10</v>
      </c>
      <c r="E143" s="3">
        <v>2648</v>
      </c>
      <c r="G143" t="str">
        <f>IF(COUNTIFS(
    Sheet1!$B:$B, B143,
    Sheet1!$C:$C, C143,
    Sheet1!$D:$D, D143,
    Sheet1!$E:$E, E143
) = 0, "NO MATCH IN TARGET", "MATCHED")</f>
        <v>MATCHED</v>
      </c>
    </row>
    <row r="144" spans="1:7" ht="29.5" thickBot="1" x14ac:dyDescent="0.4">
      <c r="A144" s="2">
        <v>46244.645624999997</v>
      </c>
      <c r="B144" s="1" t="s">
        <v>40</v>
      </c>
      <c r="C144" s="1" t="s">
        <v>10</v>
      </c>
      <c r="D144" s="3">
        <v>1</v>
      </c>
      <c r="E144" s="3">
        <v>19198</v>
      </c>
      <c r="G144" t="str">
        <f>IF(COUNTIFS(
    Sheet1!$B:$B, B144,
    Sheet1!$C:$C, C144,
    Sheet1!$D:$D, D144,
    Sheet1!$E:$E, E144
) = 0, "NO MATCH IN TARGET", "MATCHED")</f>
        <v>MATCHED</v>
      </c>
    </row>
    <row r="145" spans="1:7" ht="29.5" thickBot="1" x14ac:dyDescent="0.4">
      <c r="A145" s="2">
        <v>46244.767418981479</v>
      </c>
      <c r="B145" s="1" t="s">
        <v>6</v>
      </c>
      <c r="C145" s="1" t="s">
        <v>10</v>
      </c>
      <c r="D145" s="3">
        <v>50</v>
      </c>
      <c r="E145" s="3">
        <v>209.5</v>
      </c>
      <c r="G145" t="str">
        <f>IF(COUNTIFS(
    Sheet1!$B:$B, B145,
    Sheet1!$C:$C, C145,
    Sheet1!$D:$D, D145,
    Sheet1!$E:$E, E145
) = 0, "NO MATCH IN TARGET", "MATCHED")</f>
        <v>NO MATCH IN TARGET</v>
      </c>
    </row>
    <row r="146" spans="1:7" ht="15" thickBot="1" x14ac:dyDescent="0.4">
      <c r="A146" s="2">
        <v>46244.645671296297</v>
      </c>
      <c r="B146" s="1" t="s">
        <v>31</v>
      </c>
      <c r="C146" s="1" t="s">
        <v>10</v>
      </c>
      <c r="D146" s="3">
        <v>3</v>
      </c>
      <c r="E146" s="3">
        <v>2846</v>
      </c>
      <c r="G146" t="str">
        <f>IF(COUNTIFS(
    Sheet1!$B:$B, B146,
    Sheet1!$C:$C, C146,
    Sheet1!$D:$D, D146,
    Sheet1!$E:$E, E146
) = 0, "NO MATCH IN TARGET", "MATCHED")</f>
        <v>NO MATCH IN TARGET</v>
      </c>
    </row>
    <row r="147" spans="1:7" ht="15" thickBot="1" x14ac:dyDescent="0.4">
      <c r="A147" s="2">
        <v>46244.645601851851</v>
      </c>
      <c r="B147" s="1" t="s">
        <v>29</v>
      </c>
      <c r="C147" s="1" t="s">
        <v>10</v>
      </c>
      <c r="D147" s="3">
        <v>5</v>
      </c>
      <c r="E147" s="3">
        <v>4177</v>
      </c>
      <c r="G147" t="str">
        <f>IF(COUNTIFS(
    Sheet1!$B:$B, B147,
    Sheet1!$C:$C, C147,
    Sheet1!$D:$D, D147,
    Sheet1!$E:$E, E147
) = 0, "NO MATCH IN TARGET", "MATCHED")</f>
        <v>MATCHED</v>
      </c>
    </row>
    <row r="148" spans="1:7" ht="15" thickBot="1" x14ac:dyDescent="0.4">
      <c r="A148" s="2">
        <v>46244.645613425928</v>
      </c>
      <c r="B148" s="1" t="s">
        <v>52</v>
      </c>
      <c r="C148" s="1" t="s">
        <v>10</v>
      </c>
      <c r="D148" s="3">
        <v>200</v>
      </c>
      <c r="E148" s="3">
        <v>90.75</v>
      </c>
      <c r="G148" t="str">
        <f>IF(COUNTIFS(
    Sheet1!$B:$B, B148,
    Sheet1!$C:$C, C148,
    Sheet1!$D:$D, D148,
    Sheet1!$E:$E, E148
) = 0, "NO MATCH IN TARGET", "MATCHED")</f>
        <v>MATCHED</v>
      </c>
    </row>
    <row r="149" spans="1:7" ht="15" thickBot="1" x14ac:dyDescent="0.4">
      <c r="A149" s="2">
        <v>46244.645682870374</v>
      </c>
      <c r="B149" s="1" t="s">
        <v>54</v>
      </c>
      <c r="C149" s="1" t="s">
        <v>10</v>
      </c>
      <c r="D149" s="3">
        <v>150</v>
      </c>
      <c r="E149" s="3">
        <v>123.4</v>
      </c>
      <c r="G149" t="str">
        <f>IF(COUNTIFS(
    Sheet1!$B:$B, B149,
    Sheet1!$C:$C, C149,
    Sheet1!$D:$D, D149,
    Sheet1!$E:$E, E149
) = 0, "NO MATCH IN TARGET", "MATCHED")</f>
        <v>MATCHED</v>
      </c>
    </row>
    <row r="150" spans="1:7" ht="15" thickBot="1" x14ac:dyDescent="0.4">
      <c r="A150" s="2">
        <v>46244.645601851851</v>
      </c>
      <c r="B150" s="1" t="s">
        <v>36</v>
      </c>
      <c r="C150" s="1" t="s">
        <v>10</v>
      </c>
      <c r="D150" s="3">
        <v>10</v>
      </c>
      <c r="E150" s="3">
        <v>1348</v>
      </c>
      <c r="G150" t="str">
        <f>IF(COUNTIFS(
    Sheet1!$B:$B, B150,
    Sheet1!$C:$C, C150,
    Sheet1!$D:$D, D150,
    Sheet1!$E:$E, E150
) = 0, "NO MATCH IN TARGET", "MATCHED")</f>
        <v>MATCHED</v>
      </c>
    </row>
    <row r="151" spans="1:7" ht="29.5" thickBot="1" x14ac:dyDescent="0.4">
      <c r="A151" s="2">
        <v>46244.63559027778</v>
      </c>
      <c r="B151" s="1" t="s">
        <v>38</v>
      </c>
      <c r="C151" s="1" t="s">
        <v>10</v>
      </c>
      <c r="D151" s="3">
        <v>10</v>
      </c>
      <c r="E151" s="3">
        <v>1548</v>
      </c>
      <c r="G151" t="str">
        <f>IF(COUNTIFS(
    Sheet1!$B:$B, B151,
    Sheet1!$C:$C, C151,
    Sheet1!$D:$D, D151,
    Sheet1!$E:$E, E151
) = 0, "NO MATCH IN TARGET", "MATCHED")</f>
        <v>MATCHED</v>
      </c>
    </row>
    <row r="152" spans="1:7" ht="15" thickBot="1" x14ac:dyDescent="0.4">
      <c r="A152" s="2">
        <v>46244.76730324074</v>
      </c>
      <c r="B152" s="1" t="s">
        <v>11</v>
      </c>
      <c r="C152" s="1" t="s">
        <v>10</v>
      </c>
      <c r="D152" s="3">
        <v>50</v>
      </c>
      <c r="E152" s="3">
        <v>365</v>
      </c>
      <c r="G152" t="str">
        <f>IF(COUNTIFS(
    Sheet1!$B:$B, B152,
    Sheet1!$C:$C, C152,
    Sheet1!$D:$D, D152,
    Sheet1!$E:$E, E152
) = 0, "NO MATCH IN TARGET", "MATCHED")</f>
        <v>MATCHED</v>
      </c>
    </row>
    <row r="153" spans="1:7" ht="15" thickBot="1" x14ac:dyDescent="0.4">
      <c r="A153" s="2">
        <v>46244.76730324074</v>
      </c>
      <c r="B153" s="1" t="s">
        <v>12</v>
      </c>
      <c r="C153" s="1" t="s">
        <v>10</v>
      </c>
      <c r="D153" s="3">
        <v>10</v>
      </c>
      <c r="E153" s="3">
        <v>2672</v>
      </c>
      <c r="G153" t="str">
        <f>IF(COUNTIFS(
    Sheet1!$B:$B, B153,
    Sheet1!$C:$C, C153,
    Sheet1!$D:$D, D153,
    Sheet1!$E:$E, E153
) = 0, "NO MATCH IN TARGET", "MATCHED")</f>
        <v>MATCHED</v>
      </c>
    </row>
    <row r="154" spans="1:7" ht="29.5" thickBot="1" x14ac:dyDescent="0.4">
      <c r="A154" s="2">
        <v>46244.76730324074</v>
      </c>
      <c r="B154" s="1" t="s">
        <v>26</v>
      </c>
      <c r="C154" s="1" t="s">
        <v>10</v>
      </c>
      <c r="D154" s="3">
        <v>120</v>
      </c>
      <c r="E154" s="3">
        <v>300.5</v>
      </c>
      <c r="G154" t="str">
        <f>IF(COUNTIFS(
    Sheet1!$B:$B, B154,
    Sheet1!$C:$C, C154,
    Sheet1!$D:$D, D154,
    Sheet1!$E:$E, E154
) = 0, "NO MATCH IN TARGET", "MATCHED")</f>
        <v>MATCHED</v>
      </c>
    </row>
    <row r="155" spans="1:7" ht="29.5" thickBot="1" x14ac:dyDescent="0.4">
      <c r="A155" s="2">
        <v>46244.645601851851</v>
      </c>
      <c r="B155" s="1" t="s">
        <v>44</v>
      </c>
      <c r="C155" s="1" t="s">
        <v>10</v>
      </c>
      <c r="D155" s="3">
        <v>10</v>
      </c>
      <c r="E155" s="3">
        <v>957</v>
      </c>
      <c r="G155" t="str">
        <f>IF(COUNTIFS(
    Sheet1!$B:$B, B155,
    Sheet1!$C:$C, C155,
    Sheet1!$D:$D, D155,
    Sheet1!$E:$E, E155
) = 0, "NO MATCH IN TARGET", "MATCHED")</f>
        <v>MATCHED</v>
      </c>
    </row>
    <row r="156" spans="1:7" ht="15" thickBot="1" x14ac:dyDescent="0.4">
      <c r="A156" s="2">
        <v>46241.635555555556</v>
      </c>
      <c r="B156" s="1" t="s">
        <v>33</v>
      </c>
      <c r="C156" s="1" t="s">
        <v>10</v>
      </c>
      <c r="D156" s="3">
        <v>1</v>
      </c>
      <c r="E156" s="3">
        <v>3710</v>
      </c>
      <c r="G156" t="str">
        <f>IF(COUNTIFS(
    Sheet1!$B:$B, B156,
    Sheet1!$C:$C, C156,
    Sheet1!$D:$D, D156,
    Sheet1!$E:$E, E156
) = 0, "NO MATCH IN TARGET", "MATCHED")</f>
        <v>MATCHED</v>
      </c>
    </row>
    <row r="157" spans="1:7" ht="29.5" thickBot="1" x14ac:dyDescent="0.4">
      <c r="A157" s="2">
        <v>46244.76730324074</v>
      </c>
      <c r="B157" s="1" t="s">
        <v>28</v>
      </c>
      <c r="C157" s="1" t="s">
        <v>10</v>
      </c>
      <c r="D157" s="3">
        <v>30</v>
      </c>
      <c r="E157" s="3">
        <v>940</v>
      </c>
      <c r="G157" t="str">
        <f>IF(COUNTIFS(
    Sheet1!$B:$B, B157,
    Sheet1!$C:$C, C157,
    Sheet1!$D:$D, D157,
    Sheet1!$E:$E, E157
) = 0, "NO MATCH IN TARGET", "MATCHED")</f>
        <v>MATCHED</v>
      </c>
    </row>
    <row r="158" spans="1:7" ht="15" thickBot="1" x14ac:dyDescent="0.4">
      <c r="A158" s="4" t="s">
        <v>55</v>
      </c>
      <c r="B158" s="1" t="s">
        <v>9</v>
      </c>
      <c r="C158" s="1" t="s">
        <v>10</v>
      </c>
      <c r="D158" s="3">
        <v>150</v>
      </c>
      <c r="E158" s="5">
        <v>134.80000000000001</v>
      </c>
      <c r="G158" t="str">
        <f>IF(COUNTIFS(
    Sheet1!$B:$B, B158,
    Sheet1!$C:$C, C158,
    Sheet1!$D:$D, D158,
    Sheet1!$E:$E, E158
) = 0, "NO MATCH IN TARGET", "MATCHED")</f>
        <v>NO MATCH IN TARGET</v>
      </c>
    </row>
    <row r="159" spans="1:7" ht="15" thickBot="1" x14ac:dyDescent="0.4">
      <c r="A159" s="2">
        <v>46244.635520833333</v>
      </c>
      <c r="B159" s="1" t="s">
        <v>53</v>
      </c>
      <c r="C159" s="1" t="s">
        <v>10</v>
      </c>
      <c r="D159" s="3">
        <v>100</v>
      </c>
      <c r="E159" s="3">
        <v>238.2</v>
      </c>
      <c r="G159" t="str">
        <f>IF(COUNTIFS(
    Sheet1!$B:$B, B159,
    Sheet1!$C:$C, C159,
    Sheet1!$D:$D, D159,
    Sheet1!$E:$E, E159
) = 0, "NO MATCH IN TARGET", "MATCHED")</f>
        <v>MATCHED</v>
      </c>
    </row>
    <row r="160" spans="1:7" ht="15" thickBot="1" x14ac:dyDescent="0.4">
      <c r="A160" s="2">
        <v>46244.635520833333</v>
      </c>
      <c r="B160" s="1" t="s">
        <v>53</v>
      </c>
      <c r="C160" s="1" t="s">
        <v>10</v>
      </c>
      <c r="D160" s="3">
        <v>200</v>
      </c>
      <c r="E160" s="3">
        <v>239</v>
      </c>
      <c r="G160" t="str">
        <f>IF(COUNTIFS(
    Sheet1!$B:$B, B160,
    Sheet1!$C:$C, C160,
    Sheet1!$D:$D, D160,
    Sheet1!$E:$E, E160
) = 0, "NO MATCH IN TARGET", "MATCHED")</f>
        <v>MATCHED</v>
      </c>
    </row>
    <row r="161" spans="1:7" ht="15" thickBot="1" x14ac:dyDescent="0.4">
      <c r="A161" s="2">
        <v>46244.635601851849</v>
      </c>
      <c r="B161" s="1" t="s">
        <v>52</v>
      </c>
      <c r="C161" s="1" t="s">
        <v>10</v>
      </c>
      <c r="D161" s="3">
        <v>200</v>
      </c>
      <c r="E161" s="3">
        <v>91.75</v>
      </c>
      <c r="G161" t="str">
        <f>IF(COUNTIFS(
    Sheet1!$B:$B, B161,
    Sheet1!$C:$C, C161,
    Sheet1!$D:$D, D161,
    Sheet1!$E:$E, E161
) = 0, "NO MATCH IN TARGET", "MATCHED")</f>
        <v>MATCHED</v>
      </c>
    </row>
    <row r="162" spans="1:7" ht="15" thickBot="1" x14ac:dyDescent="0.4">
      <c r="A162" s="2">
        <v>46181.635416666664</v>
      </c>
      <c r="B162" s="1" t="s">
        <v>36</v>
      </c>
      <c r="C162" s="1" t="s">
        <v>10</v>
      </c>
      <c r="D162" s="3">
        <v>10</v>
      </c>
      <c r="E162" s="3">
        <v>1360</v>
      </c>
      <c r="G162" t="str">
        <f>IF(COUNTIFS(
    Sheet1!$B:$B, B162,
    Sheet1!$C:$C, C162,
    Sheet1!$D:$D, D162,
    Sheet1!$E:$E, E162
) = 0, "NO MATCH IN TARGET", "MATCHED")</f>
        <v>MATCHED</v>
      </c>
    </row>
    <row r="163" spans="1:7" ht="29.5" thickBot="1" x14ac:dyDescent="0.4">
      <c r="A163" s="2">
        <v>46244.63554398148</v>
      </c>
      <c r="B163" s="1" t="s">
        <v>32</v>
      </c>
      <c r="C163" s="1" t="s">
        <v>10</v>
      </c>
      <c r="D163" s="3">
        <v>10</v>
      </c>
      <c r="E163" s="3">
        <v>1221</v>
      </c>
      <c r="G163" t="str">
        <f>IF(COUNTIFS(
    Sheet1!$B:$B, B163,
    Sheet1!$C:$C, C163,
    Sheet1!$D:$D, D163,
    Sheet1!$E:$E, E163
) = 0, "NO MATCH IN TARGET", "MATCHED")</f>
        <v>MATCHED</v>
      </c>
    </row>
    <row r="164" spans="1:7" ht="15" thickBot="1" x14ac:dyDescent="0.4">
      <c r="A164" s="2">
        <v>46244.76730324074</v>
      </c>
      <c r="B164" s="1" t="s">
        <v>12</v>
      </c>
      <c r="C164" s="1" t="s">
        <v>10</v>
      </c>
      <c r="D164" s="3">
        <v>10</v>
      </c>
      <c r="E164" s="3">
        <v>2696</v>
      </c>
      <c r="G164" t="str">
        <f>IF(COUNTIFS(
    Sheet1!$B:$B, B164,
    Sheet1!$C:$C, C164,
    Sheet1!$D:$D, D164,
    Sheet1!$E:$E, E164
) = 0, "NO MATCH IN TARGET", "MATCHED")</f>
        <v>MATCHED</v>
      </c>
    </row>
    <row r="165" spans="1:7" ht="15" thickBot="1" x14ac:dyDescent="0.4">
      <c r="A165" s="2">
        <v>46239.635578703703</v>
      </c>
      <c r="B165" s="1" t="s">
        <v>54</v>
      </c>
      <c r="C165" s="1" t="s">
        <v>10</v>
      </c>
      <c r="D165" s="3">
        <v>150</v>
      </c>
      <c r="E165" s="3">
        <v>124.9</v>
      </c>
      <c r="G165" t="str">
        <f>IF(COUNTIFS(
    Sheet1!$B:$B, B165,
    Sheet1!$C:$C, C165,
    Sheet1!$D:$D, D165,
    Sheet1!$E:$E, E165
) = 0, "NO MATCH IN TARGET", "MATCHED")</f>
        <v>MATCHED</v>
      </c>
    </row>
    <row r="166" spans="1:7" ht="15" thickBot="1" x14ac:dyDescent="0.4">
      <c r="A166" s="2">
        <v>46244.76730324074</v>
      </c>
      <c r="B166" s="1" t="s">
        <v>11</v>
      </c>
      <c r="C166" s="1" t="s">
        <v>10</v>
      </c>
      <c r="D166" s="3">
        <v>67</v>
      </c>
      <c r="E166" s="3">
        <v>369</v>
      </c>
      <c r="G166" t="str">
        <f>IF(COUNTIFS(
    Sheet1!$B:$B, B166,
    Sheet1!$C:$C, C166,
    Sheet1!$D:$D, D166,
    Sheet1!$E:$E, E166
) = 0, "NO MATCH IN TARGET", "MATCHED")</f>
        <v>MATCHED</v>
      </c>
    </row>
    <row r="167" spans="1:7" ht="15" thickBot="1" x14ac:dyDescent="0.4">
      <c r="A167" s="2">
        <v>46244.76730324074</v>
      </c>
      <c r="B167" s="1" t="s">
        <v>9</v>
      </c>
      <c r="C167" s="1" t="s">
        <v>10</v>
      </c>
      <c r="D167" s="3">
        <v>150</v>
      </c>
      <c r="E167" s="3">
        <v>136</v>
      </c>
      <c r="G167" t="str">
        <f>IF(COUNTIFS(
    Sheet1!$B:$B, B167,
    Sheet1!$C:$C, C167,
    Sheet1!$D:$D, D167,
    Sheet1!$E:$E, E167
) = 0, "NO MATCH IN TARGET", "MATCHED")</f>
        <v>MATCHED</v>
      </c>
    </row>
    <row r="168" spans="1:7" ht="29.5" thickBot="1" x14ac:dyDescent="0.4">
      <c r="A168" s="2">
        <v>46244.76730324074</v>
      </c>
      <c r="B168" s="1" t="s">
        <v>6</v>
      </c>
      <c r="C168" s="1" t="s">
        <v>10</v>
      </c>
      <c r="D168" s="3">
        <v>50</v>
      </c>
      <c r="E168" s="3">
        <v>214</v>
      </c>
      <c r="G168" t="str">
        <f>IF(COUNTIFS(
    Sheet1!$B:$B, B168,
    Sheet1!$C:$C, C168,
    Sheet1!$D:$D, D168,
    Sheet1!$E:$E, E168
) = 0, "NO MATCH IN TARGET", "MATCHED")</f>
        <v>MATCHED</v>
      </c>
    </row>
    <row r="169" spans="1:7" ht="15" thickBot="1" x14ac:dyDescent="0.4">
      <c r="A169" s="2">
        <v>46244.635578703703</v>
      </c>
      <c r="B169" s="1" t="s">
        <v>49</v>
      </c>
      <c r="C169" s="1" t="s">
        <v>10</v>
      </c>
      <c r="D169" s="3">
        <v>20</v>
      </c>
      <c r="E169" s="3">
        <v>825</v>
      </c>
      <c r="G169" t="str">
        <f>IF(COUNTIFS(
    Sheet1!$B:$B, B169,
    Sheet1!$C:$C, C169,
    Sheet1!$D:$D, D169,
    Sheet1!$E:$E, E169
) = 0, "NO MATCH IN TARGET", "MATCHED")</f>
        <v>MATCHED</v>
      </c>
    </row>
    <row r="170" spans="1:7" ht="29.5" thickBot="1" x14ac:dyDescent="0.4">
      <c r="A170" s="2">
        <v>46244.76730324074</v>
      </c>
      <c r="B170" s="1" t="s">
        <v>19</v>
      </c>
      <c r="C170" s="1" t="s">
        <v>10</v>
      </c>
      <c r="D170" s="3">
        <v>5</v>
      </c>
      <c r="E170" s="3">
        <v>467.25</v>
      </c>
      <c r="G170" t="str">
        <f>IF(COUNTIFS(
    Sheet1!$B:$B, B170,
    Sheet1!$C:$C, C170,
    Sheet1!$D:$D, D170,
    Sheet1!$E:$E, E170
) = 0, "NO MATCH IN TARGET", "MATCHED")</f>
        <v>MATCHED</v>
      </c>
    </row>
    <row r="171" spans="1:7" ht="15" thickBot="1" x14ac:dyDescent="0.4">
      <c r="A171" s="2">
        <v>46241.635578703703</v>
      </c>
      <c r="B171" s="1" t="s">
        <v>52</v>
      </c>
      <c r="C171" s="1" t="s">
        <v>10</v>
      </c>
      <c r="D171" s="3">
        <v>200</v>
      </c>
      <c r="E171" s="3">
        <v>92.75</v>
      </c>
      <c r="G171" t="str">
        <f>IF(COUNTIFS(
    Sheet1!$B:$B, B171,
    Sheet1!$C:$C, C171,
    Sheet1!$D:$D, D171,
    Sheet1!$E:$E, E171
) = 0, "NO MATCH IN TARGET", "MATCHED")</f>
        <v>MATCHED</v>
      </c>
    </row>
    <row r="172" spans="1:7" ht="15" thickBot="1" x14ac:dyDescent="0.4">
      <c r="A172" s="2">
        <v>46241.688055555554</v>
      </c>
      <c r="B172" s="1" t="s">
        <v>12</v>
      </c>
      <c r="C172" s="1" t="s">
        <v>10</v>
      </c>
      <c r="D172" s="3">
        <v>10</v>
      </c>
      <c r="E172" s="3">
        <v>2720</v>
      </c>
      <c r="G172" t="str">
        <f>IF(COUNTIFS(
    Sheet1!$B:$B, B172,
    Sheet1!$C:$C, C172,
    Sheet1!$D:$D, D172,
    Sheet1!$E:$E, E172
) = 0, "NO MATCH IN TARGET", "MATCHED")</f>
        <v>MATCHED</v>
      </c>
    </row>
    <row r="173" spans="1:7" ht="15" thickBot="1" x14ac:dyDescent="0.4">
      <c r="A173" s="2">
        <v>46241.635567129626</v>
      </c>
      <c r="B173" s="1" t="s">
        <v>54</v>
      </c>
      <c r="C173" s="1" t="s">
        <v>10</v>
      </c>
      <c r="D173" s="3">
        <v>150</v>
      </c>
      <c r="E173" s="3">
        <v>125.9</v>
      </c>
      <c r="G173" t="str">
        <f>IF(COUNTIFS(
    Sheet1!$B:$B, B173,
    Sheet1!$C:$C, C173,
    Sheet1!$D:$D, D173,
    Sheet1!$E:$E, E173
) = 0, "NO MATCH IN TARGET", "MATCHED")</f>
        <v>MATCHED</v>
      </c>
    </row>
    <row r="174" spans="1:7" ht="15" thickBot="1" x14ac:dyDescent="0.4">
      <c r="A174" s="2">
        <v>46244.63553240741</v>
      </c>
      <c r="B174" s="1" t="s">
        <v>46</v>
      </c>
      <c r="C174" s="1" t="s">
        <v>10</v>
      </c>
      <c r="D174" s="3">
        <v>20</v>
      </c>
      <c r="E174" s="3">
        <v>424</v>
      </c>
      <c r="G174" t="str">
        <f>IF(COUNTIFS(
    Sheet1!$B:$B, B174,
    Sheet1!$C:$C, C174,
    Sheet1!$D:$D, D174,
    Sheet1!$E:$E, E174
) = 0, "NO MATCH IN TARGET", "MATCHED")</f>
        <v>MATCHED</v>
      </c>
    </row>
    <row r="175" spans="1:7" ht="15" thickBot="1" x14ac:dyDescent="0.4">
      <c r="A175" s="2">
        <v>46241.765462962961</v>
      </c>
      <c r="B175" s="1" t="s">
        <v>27</v>
      </c>
      <c r="C175" s="1" t="s">
        <v>10</v>
      </c>
      <c r="D175" s="3">
        <v>5</v>
      </c>
      <c r="E175" s="3">
        <v>635.75</v>
      </c>
      <c r="G175" t="str">
        <f>IF(COUNTIFS(
    Sheet1!$B:$B, B175,
    Sheet1!$C:$C, C175,
    Sheet1!$D:$D, D175,
    Sheet1!$E:$E, E175
) = 0, "NO MATCH IN TARGET", "MATCHED")</f>
        <v>MATCHED</v>
      </c>
    </row>
    <row r="176" spans="1:7" ht="29.5" thickBot="1" x14ac:dyDescent="0.4">
      <c r="A176" s="2">
        <v>46244.635509259257</v>
      </c>
      <c r="B176" s="1" t="s">
        <v>44</v>
      </c>
      <c r="C176" s="1" t="s">
        <v>10</v>
      </c>
      <c r="D176" s="3">
        <v>10</v>
      </c>
      <c r="E176" s="3">
        <v>977</v>
      </c>
      <c r="G176" t="str">
        <f>IF(COUNTIFS(
    Sheet1!$B:$B, B176,
    Sheet1!$C:$C, C176,
    Sheet1!$D:$D, D176,
    Sheet1!$E:$E, E176
) = 0, "NO MATCH IN TARGET", "MATCHED")</f>
        <v>MATCHED</v>
      </c>
    </row>
    <row r="177" spans="1:7" ht="15" thickBot="1" x14ac:dyDescent="0.4">
      <c r="A177" s="2">
        <v>46239.696701388886</v>
      </c>
      <c r="B177" s="1" t="s">
        <v>11</v>
      </c>
      <c r="C177" s="1" t="s">
        <v>10</v>
      </c>
      <c r="D177" s="3">
        <v>67</v>
      </c>
      <c r="E177" s="3">
        <v>373</v>
      </c>
      <c r="G177" t="str">
        <f>IF(COUNTIFS(
    Sheet1!$B:$B, B177,
    Sheet1!$C:$C, C177,
    Sheet1!$D:$D, D177,
    Sheet1!$E:$E, E177
) = 0, "NO MATCH IN TARGET", "MATCHED")</f>
        <v>MATCHED</v>
      </c>
    </row>
    <row r="178" spans="1:7" ht="29.5" thickBot="1" x14ac:dyDescent="0.4">
      <c r="A178" s="2">
        <v>46244.63553240741</v>
      </c>
      <c r="B178" s="1" t="s">
        <v>42</v>
      </c>
      <c r="C178" s="1" t="s">
        <v>10</v>
      </c>
      <c r="D178" s="3">
        <v>2</v>
      </c>
      <c r="E178" s="3">
        <v>2690</v>
      </c>
      <c r="G178" t="str">
        <f>IF(COUNTIFS(
    Sheet1!$B:$B, B178,
    Sheet1!$C:$C, C178,
    Sheet1!$D:$D, D178,
    Sheet1!$E:$E, E178
) = 0, "NO MATCH IN TARGET", "MATCHED")</f>
        <v>MATCHED</v>
      </c>
    </row>
    <row r="179" spans="1:7" ht="15" thickBot="1" x14ac:dyDescent="0.4">
      <c r="A179" s="2">
        <v>46244.767650462964</v>
      </c>
      <c r="B179" s="1" t="s">
        <v>23</v>
      </c>
      <c r="C179" s="1" t="s">
        <v>10</v>
      </c>
      <c r="D179" s="3">
        <v>20</v>
      </c>
      <c r="E179" s="3">
        <v>311</v>
      </c>
      <c r="G179" t="str">
        <f>IF(COUNTIFS(
    Sheet1!$B:$B, B179,
    Sheet1!$C:$C, C179,
    Sheet1!$D:$D, D179,
    Sheet1!$E:$E, E179
) = 0, "NO MATCH IN TARGET", "MATCHED")</f>
        <v>MATCHED</v>
      </c>
    </row>
    <row r="180" spans="1:7" ht="29.5" thickBot="1" x14ac:dyDescent="0.4">
      <c r="A180" s="2">
        <v>46244.76730324074</v>
      </c>
      <c r="B180" s="1" t="s">
        <v>18</v>
      </c>
      <c r="C180" s="1" t="s">
        <v>10</v>
      </c>
      <c r="D180" s="3">
        <v>25</v>
      </c>
      <c r="E180" s="3">
        <v>210</v>
      </c>
      <c r="G180" t="str">
        <f>IF(COUNTIFS(
    Sheet1!$B:$B, B180,
    Sheet1!$C:$C, C180,
    Sheet1!$D:$D, D180,
    Sheet1!$E:$E, E180
) = 0, "NO MATCH IN TARGET", "MATCHED")</f>
        <v>MATCHED</v>
      </c>
    </row>
    <row r="181" spans="1:7" ht="15" thickBot="1" x14ac:dyDescent="0.4">
      <c r="A181" s="2">
        <v>46244.635520833333</v>
      </c>
      <c r="B181" s="1" t="s">
        <v>53</v>
      </c>
      <c r="C181" s="1" t="s">
        <v>10</v>
      </c>
      <c r="D181" s="3">
        <v>200</v>
      </c>
      <c r="E181" s="3">
        <v>244</v>
      </c>
      <c r="G181" t="str">
        <f>IF(COUNTIFS(
    Sheet1!$B:$B, B181,
    Sheet1!$C:$C, C181,
    Sheet1!$D:$D, D181,
    Sheet1!$E:$E, E181
) = 0, "NO MATCH IN TARGET", "MATCHED")</f>
        <v>MATCHED</v>
      </c>
    </row>
    <row r="182" spans="1:7" ht="15" thickBot="1" x14ac:dyDescent="0.4">
      <c r="A182" s="2">
        <v>46150.635416666664</v>
      </c>
      <c r="B182" s="1" t="s">
        <v>33</v>
      </c>
      <c r="C182" s="1" t="s">
        <v>10</v>
      </c>
      <c r="D182" s="3">
        <v>1</v>
      </c>
      <c r="E182" s="3">
        <v>3810</v>
      </c>
      <c r="G182" t="str">
        <f>IF(COUNTIFS(
    Sheet1!$B:$B, B182,
    Sheet1!$C:$C, C182,
    Sheet1!$D:$D, D182,
    Sheet1!$E:$E, E182
) = 0, "NO MATCH IN TARGET", "MATCHED")</f>
        <v>MATCHED</v>
      </c>
    </row>
    <row r="183" spans="1:7" ht="29.5" thickBot="1" x14ac:dyDescent="0.4">
      <c r="A183" s="2">
        <v>46241.63554398148</v>
      </c>
      <c r="B183" s="1" t="s">
        <v>42</v>
      </c>
      <c r="C183" s="1" t="s">
        <v>10</v>
      </c>
      <c r="D183" s="3">
        <v>3</v>
      </c>
      <c r="E183" s="3">
        <v>2710</v>
      </c>
      <c r="G183" t="str">
        <f>IF(COUNTIFS(
    Sheet1!$B:$B, B183,
    Sheet1!$C:$C, C183,
    Sheet1!$D:$D, D183,
    Sheet1!$E:$E, E183
) = 0, "NO MATCH IN TARGET", "MATCHED")</f>
        <v>MATCHED</v>
      </c>
    </row>
    <row r="184" spans="1:7" ht="29.5" thickBot="1" x14ac:dyDescent="0.4">
      <c r="A184" s="2">
        <v>46244.76730324074</v>
      </c>
      <c r="B184" s="1" t="s">
        <v>20</v>
      </c>
      <c r="C184" s="1" t="s">
        <v>10</v>
      </c>
      <c r="D184" s="3">
        <v>5</v>
      </c>
      <c r="E184" s="3">
        <v>730</v>
      </c>
      <c r="G184" t="str">
        <f>IF(COUNTIFS(
    Sheet1!$B:$B, B184,
    Sheet1!$C:$C, C184,
    Sheet1!$D:$D, D184,
    Sheet1!$E:$E, E184
) = 0, "NO MATCH IN TARGET", "MATCHED")</f>
        <v>MATCHED</v>
      </c>
    </row>
    <row r="185" spans="1:7" ht="29.5" thickBot="1" x14ac:dyDescent="0.4">
      <c r="A185" s="2">
        <v>46244.63559027778</v>
      </c>
      <c r="B185" s="1" t="s">
        <v>51</v>
      </c>
      <c r="C185" s="1" t="s">
        <v>10</v>
      </c>
      <c r="D185" s="3">
        <v>10</v>
      </c>
      <c r="E185" s="3">
        <v>773</v>
      </c>
      <c r="G185" t="str">
        <f>IF(COUNTIFS(
    Sheet1!$B:$B, B185,
    Sheet1!$C:$C, C185,
    Sheet1!$D:$D, D185,
    Sheet1!$E:$E, E185
) = 0, "NO MATCH IN TARGET", "MATCHED")</f>
        <v>MATCHED</v>
      </c>
    </row>
    <row r="186" spans="1:7" ht="29.5" thickBot="1" x14ac:dyDescent="0.4">
      <c r="A186" s="2">
        <v>46244.76730324074</v>
      </c>
      <c r="B186" s="1" t="s">
        <v>26</v>
      </c>
      <c r="C186" s="1" t="s">
        <v>10</v>
      </c>
      <c r="D186" s="3">
        <v>100</v>
      </c>
      <c r="E186" s="3">
        <v>310.5</v>
      </c>
      <c r="G186" t="str">
        <f>IF(COUNTIFS(
    Sheet1!$B:$B, B186,
    Sheet1!$C:$C, C186,
    Sheet1!$D:$D, D186,
    Sheet1!$E:$E, E186
) = 0, "NO MATCH IN TARGET", "MATCHED")</f>
        <v>MATCHED</v>
      </c>
    </row>
    <row r="187" spans="1:7" ht="15" thickBot="1" x14ac:dyDescent="0.4">
      <c r="A187" s="2">
        <v>46240.687962962962</v>
      </c>
      <c r="B187" s="1" t="s">
        <v>12</v>
      </c>
      <c r="C187" s="1" t="s">
        <v>10</v>
      </c>
      <c r="D187" s="3">
        <v>10</v>
      </c>
      <c r="E187" s="3">
        <v>2770</v>
      </c>
      <c r="G187" t="str">
        <f>IF(COUNTIFS(
    Sheet1!$B:$B, B187,
    Sheet1!$C:$C, C187,
    Sheet1!$D:$D, D187,
    Sheet1!$E:$E, E187
) = 0, "NO MATCH IN TARGET", "MATCHED")</f>
        <v>MATCHED</v>
      </c>
    </row>
    <row r="188" spans="1:7" ht="29.5" thickBot="1" x14ac:dyDescent="0.4">
      <c r="A188" s="2">
        <v>46244.635509259257</v>
      </c>
      <c r="B188" s="1" t="s">
        <v>65</v>
      </c>
      <c r="C188" s="1" t="s">
        <v>10</v>
      </c>
      <c r="D188" s="3">
        <v>5</v>
      </c>
      <c r="E188" s="3">
        <v>3980</v>
      </c>
      <c r="G188" t="str">
        <f>IF(COUNTIFS(
    Sheet1!$B:$B, B188,
    Sheet1!$C:$C, C188,
    Sheet1!$D:$D, D188,
    Sheet1!$E:$E, E188
) = 0, "NO MATCH IN TARGET", "MATCHED")</f>
        <v>MATCHED</v>
      </c>
    </row>
    <row r="189" spans="1:7" ht="15" thickBot="1" x14ac:dyDescent="0.4">
      <c r="A189" s="2">
        <v>46241.635567129626</v>
      </c>
      <c r="B189" s="1" t="s">
        <v>39</v>
      </c>
      <c r="C189" s="1" t="s">
        <v>10</v>
      </c>
      <c r="D189" s="3">
        <v>7</v>
      </c>
      <c r="E189" s="3">
        <v>1424</v>
      </c>
      <c r="G189" t="str">
        <f>IF(COUNTIFS(
    Sheet1!$B:$B, B189,
    Sheet1!$C:$C, C189,
    Sheet1!$D:$D, D189,
    Sheet1!$E:$E, E189
) = 0, "NO MATCH IN TARGET", "MATCHED")</f>
        <v>MATCHED</v>
      </c>
    </row>
    <row r="190" spans="1:7" ht="29.5" thickBot="1" x14ac:dyDescent="0.4">
      <c r="A190" s="2">
        <v>46241.765023148146</v>
      </c>
      <c r="B190" s="1" t="s">
        <v>6</v>
      </c>
      <c r="C190" s="1" t="s">
        <v>10</v>
      </c>
      <c r="D190" s="3">
        <v>65</v>
      </c>
      <c r="E190" s="3">
        <v>219</v>
      </c>
      <c r="G190" t="str">
        <f>IF(COUNTIFS(
    Sheet1!$B:$B, B190,
    Sheet1!$C:$C, C190,
    Sheet1!$D:$D, D190,
    Sheet1!$E:$E, E190
) = 0, "NO MATCH IN TARGET", "MATCHED")</f>
        <v>MATCHED</v>
      </c>
    </row>
    <row r="191" spans="1:7" ht="29.5" thickBot="1" x14ac:dyDescent="0.4">
      <c r="A191" s="4" t="s">
        <v>55</v>
      </c>
      <c r="B191" s="1" t="s">
        <v>28</v>
      </c>
      <c r="C191" s="1" t="s">
        <v>10</v>
      </c>
      <c r="D191" s="3">
        <v>30</v>
      </c>
      <c r="E191" s="5">
        <v>974</v>
      </c>
      <c r="G191" t="str">
        <f>IF(COUNTIFS(
    Sheet1!$B:$B, B191,
    Sheet1!$C:$C, C191,
    Sheet1!$D:$D, D191,
    Sheet1!$E:$E, E191
) = 0, "NO MATCH IN TARGET", "MATCHED")</f>
        <v>MATCHED</v>
      </c>
    </row>
    <row r="192" spans="1:7" ht="15" thickBot="1" x14ac:dyDescent="0.4">
      <c r="A192" s="2">
        <v>46244.63559027778</v>
      </c>
      <c r="B192" s="1" t="s">
        <v>66</v>
      </c>
      <c r="C192" s="1" t="s">
        <v>10</v>
      </c>
      <c r="D192" s="3">
        <v>50</v>
      </c>
      <c r="E192" s="3">
        <v>480</v>
      </c>
      <c r="G192" t="str">
        <f>IF(COUNTIFS(
    Sheet1!$B:$B, B192,
    Sheet1!$C:$C, C192,
    Sheet1!$D:$D, D192,
    Sheet1!$E:$E, E192
) = 0, "NO MATCH IN TARGET", "MATCHED")</f>
        <v>MATCHED</v>
      </c>
    </row>
    <row r="193" spans="1:7" ht="29.5" thickBot="1" x14ac:dyDescent="0.4">
      <c r="A193" s="2">
        <v>46241.635520833333</v>
      </c>
      <c r="B193" s="1" t="s">
        <v>44</v>
      </c>
      <c r="C193" s="1" t="s">
        <v>10</v>
      </c>
      <c r="D193" s="3">
        <v>10</v>
      </c>
      <c r="E193" s="3">
        <v>997</v>
      </c>
      <c r="G193" t="str">
        <f>IF(COUNTIFS(
    Sheet1!$B:$B, B193,
    Sheet1!$C:$C, C193,
    Sheet1!$D:$D, D193,
    Sheet1!$E:$E, E193
) = 0, "NO MATCH IN TARGET", "MATCHED")</f>
        <v>MATCHED</v>
      </c>
    </row>
    <row r="194" spans="1:7" ht="15" thickBot="1" x14ac:dyDescent="0.4">
      <c r="A194" s="2">
        <v>46244.76730324074</v>
      </c>
      <c r="B194" s="1" t="s">
        <v>23</v>
      </c>
      <c r="C194" s="1" t="s">
        <v>10</v>
      </c>
      <c r="D194" s="3">
        <v>50</v>
      </c>
      <c r="E194" s="3">
        <v>317</v>
      </c>
      <c r="G194" t="str">
        <f>IF(COUNTIFS(
    Sheet1!$B:$B, B194,
    Sheet1!$C:$C, C194,
    Sheet1!$D:$D, D194,
    Sheet1!$E:$E, E194
) = 0, "NO MATCH IN TARGET", "MATCHED")</f>
        <v>MATCHED</v>
      </c>
    </row>
    <row r="195" spans="1:7" ht="29.5" thickBot="1" x14ac:dyDescent="0.4">
      <c r="A195" s="4" t="s">
        <v>55</v>
      </c>
      <c r="B195" s="1" t="s">
        <v>18</v>
      </c>
      <c r="C195" s="1" t="s">
        <v>10</v>
      </c>
      <c r="D195" s="3">
        <v>25</v>
      </c>
      <c r="E195" s="5">
        <v>214</v>
      </c>
      <c r="G195" t="str">
        <f>IF(COUNTIFS(
    Sheet1!$B:$B, B195,
    Sheet1!$C:$C, C195,
    Sheet1!$D:$D, D195,
    Sheet1!$E:$E, E195
) = 0, "NO MATCH IN TARGET", "MATCHED")</f>
        <v>NO MATCH IN TARGET</v>
      </c>
    </row>
    <row r="196" spans="1:7" ht="29.5" thickBot="1" x14ac:dyDescent="0.4">
      <c r="A196" s="4" t="s">
        <v>55</v>
      </c>
      <c r="B196" s="1" t="s">
        <v>26</v>
      </c>
      <c r="C196" s="1" t="s">
        <v>10</v>
      </c>
      <c r="D196" s="3">
        <v>100</v>
      </c>
      <c r="E196" s="5">
        <v>314</v>
      </c>
      <c r="G196" t="str">
        <f>IF(COUNTIFS(
    Sheet1!$B:$B, B196,
    Sheet1!$C:$C, C196,
    Sheet1!$D:$D, D196,
    Sheet1!$E:$E, E196
) = 0, "NO MATCH IN TARGET", "MATCHED")</f>
        <v>MATCHED</v>
      </c>
    </row>
    <row r="197" spans="1:7" ht="15" thickBot="1" x14ac:dyDescent="0.4">
      <c r="A197" s="2">
        <v>46211.635416666664</v>
      </c>
      <c r="B197" s="1" t="s">
        <v>53</v>
      </c>
      <c r="C197" s="1" t="s">
        <v>10</v>
      </c>
      <c r="D197" s="3">
        <v>200</v>
      </c>
      <c r="E197" s="3">
        <v>249</v>
      </c>
      <c r="G197" t="str">
        <f>IF(COUNTIFS(
    Sheet1!$B:$B, B197,
    Sheet1!$C:$C, C197,
    Sheet1!$D:$D, D197,
    Sheet1!$E:$E, E197
) = 0, "NO MATCH IN TARGET", "MATCHED")</f>
        <v>MATCHED</v>
      </c>
    </row>
    <row r="198" spans="1:7" ht="29.5" thickBot="1" x14ac:dyDescent="0.4">
      <c r="A198" s="4" t="s">
        <v>55</v>
      </c>
      <c r="B198" s="1" t="s">
        <v>28</v>
      </c>
      <c r="C198" s="1" t="s">
        <v>10</v>
      </c>
      <c r="D198" s="3">
        <v>5</v>
      </c>
      <c r="E198" s="3">
        <v>986</v>
      </c>
      <c r="G198" t="str">
        <f>IF(COUNTIFS(
    Sheet1!$B:$B, B198,
    Sheet1!$C:$C, C198,
    Sheet1!$D:$D, D198,
    Sheet1!$E:$E, E198
) = 0, "NO MATCH IN TARGET", "MATCHED")</f>
        <v>MATCHED</v>
      </c>
    </row>
    <row r="199" spans="1:7" ht="29.5" thickBot="1" x14ac:dyDescent="0.4">
      <c r="A199" s="2">
        <v>46181.635416666664</v>
      </c>
      <c r="B199" s="1" t="s">
        <v>65</v>
      </c>
      <c r="C199" s="1" t="s">
        <v>10</v>
      </c>
      <c r="D199" s="3">
        <v>5</v>
      </c>
      <c r="E199" s="3">
        <v>4040</v>
      </c>
      <c r="G199" t="str">
        <f>IF(COUNTIFS(
    Sheet1!$B:$B, B199,
    Sheet1!$C:$C, C199,
    Sheet1!$D:$D, D199,
    Sheet1!$E:$E, E199
) = 0, "NO MATCH IN TARGET", "MATCHED")</f>
        <v>MATCHED</v>
      </c>
    </row>
    <row r="200" spans="1:7" ht="15" thickBot="1" x14ac:dyDescent="0.4">
      <c r="A200" s="2">
        <v>46244.76730324074</v>
      </c>
      <c r="B200" s="1" t="s">
        <v>23</v>
      </c>
      <c r="C200" s="1" t="s">
        <v>10</v>
      </c>
      <c r="D200" s="3">
        <v>40</v>
      </c>
      <c r="E200" s="3">
        <v>320.5</v>
      </c>
      <c r="G200" t="str">
        <f>IF(COUNTIFS(
    Sheet1!$B:$B, B200,
    Sheet1!$C:$C, C200,
    Sheet1!$D:$D, D200,
    Sheet1!$E:$E, E200
) = 0, "NO MATCH IN TARGET", "MATCHED")</f>
        <v>MATCHED</v>
      </c>
    </row>
    <row r="201" spans="1:7" ht="29.5" thickBot="1" x14ac:dyDescent="0.4">
      <c r="A201" s="2">
        <v>46241.635567129626</v>
      </c>
      <c r="B201" s="1" t="s">
        <v>51</v>
      </c>
      <c r="C201" s="1" t="s">
        <v>10</v>
      </c>
      <c r="D201" s="3">
        <v>5</v>
      </c>
      <c r="E201" s="3">
        <v>790</v>
      </c>
      <c r="G201" t="str">
        <f>IF(COUNTIFS(
    Sheet1!$B:$B, B201,
    Sheet1!$C:$C, C201,
    Sheet1!$D:$D, D201,
    Sheet1!$E:$E, E201
) = 0, "NO MATCH IN TARGET", "MATCHED")</f>
        <v>MATCHED</v>
      </c>
    </row>
    <row r="202" spans="1:7" ht="29.5" thickBot="1" x14ac:dyDescent="0.4">
      <c r="A202" s="2">
        <v>46244.767627314817</v>
      </c>
      <c r="B202" s="1" t="s">
        <v>13</v>
      </c>
      <c r="C202" s="1" t="s">
        <v>10</v>
      </c>
      <c r="D202" s="3">
        <v>5</v>
      </c>
      <c r="E202" s="3">
        <v>966</v>
      </c>
      <c r="G202" t="str">
        <f>IF(COUNTIFS(
    Sheet1!$B:$B, B202,
    Sheet1!$C:$C, C202,
    Sheet1!$D:$D, D202,
    Sheet1!$E:$E, E202
) = 0, "NO MATCH IN TARGET", "MATCHED")</f>
        <v>NO MATCH IN TARGET</v>
      </c>
    </row>
    <row r="203" spans="1:7" ht="29.5" thickBot="1" x14ac:dyDescent="0.4">
      <c r="A203" s="2">
        <v>46244.76730324074</v>
      </c>
      <c r="B203" s="1" t="s">
        <v>17</v>
      </c>
      <c r="C203" s="1" t="s">
        <v>10</v>
      </c>
      <c r="D203" s="3">
        <v>5</v>
      </c>
      <c r="E203" s="3">
        <v>435</v>
      </c>
      <c r="G203" t="str">
        <f>IF(COUNTIFS(
    Sheet1!$B:$B, B203,
    Sheet1!$C:$C, C203,
    Sheet1!$D:$D, D203,
    Sheet1!$E:$E, E203
) = 0, "NO MATCH IN TARGET", "MATCHED")</f>
        <v>MATCHED</v>
      </c>
    </row>
    <row r="204" spans="1:7" ht="29.5" thickBot="1" x14ac:dyDescent="0.4">
      <c r="A204" s="2">
        <v>46244.76730324074</v>
      </c>
      <c r="B204" s="1" t="s">
        <v>20</v>
      </c>
      <c r="C204" s="1" t="s">
        <v>10</v>
      </c>
      <c r="D204" s="3">
        <v>11</v>
      </c>
      <c r="E204" s="3">
        <v>749</v>
      </c>
      <c r="G204" t="str">
        <f>IF(COUNTIFS(
    Sheet1!$B:$B, B204,
    Sheet1!$C:$C, C204,
    Sheet1!$D:$D, D204,
    Sheet1!$E:$E, E204
) = 0, "NO MATCH IN TARGET", "MATCHED")</f>
        <v>MATCHED</v>
      </c>
    </row>
    <row r="205" spans="1:7" ht="29.5" thickBot="1" x14ac:dyDescent="0.4">
      <c r="A205" s="2">
        <v>46239.789502314816</v>
      </c>
      <c r="B205" s="1" t="s">
        <v>26</v>
      </c>
      <c r="C205" s="1" t="s">
        <v>10</v>
      </c>
      <c r="D205" s="3">
        <v>100</v>
      </c>
      <c r="E205" s="3">
        <v>318</v>
      </c>
      <c r="G205" t="str">
        <f>IF(COUNTIFS(
    Sheet1!$B:$B, B205,
    Sheet1!$C:$C, C205,
    Sheet1!$D:$D, D205,
    Sheet1!$E:$E, E205
) = 0, "NO MATCH IN TARGET", "MATCHED")</f>
        <v>MATCHED</v>
      </c>
    </row>
    <row r="206" spans="1:7" ht="29.5" thickBot="1" x14ac:dyDescent="0.4">
      <c r="A206" s="2">
        <v>46240.635601851849</v>
      </c>
      <c r="B206" s="1" t="s">
        <v>67</v>
      </c>
      <c r="C206" s="1" t="s">
        <v>10</v>
      </c>
      <c r="D206" s="3">
        <v>11</v>
      </c>
      <c r="E206" s="3">
        <v>548</v>
      </c>
      <c r="G206" t="str">
        <f>IF(COUNTIFS(
    Sheet1!$B:$B, B206,
    Sheet1!$C:$C, C206,
    Sheet1!$D:$D, D206,
    Sheet1!$E:$E, E206
) = 0, "NO MATCH IN TARGET", "MATCHED")</f>
        <v>MATCHED</v>
      </c>
    </row>
    <row r="207" spans="1:7" ht="15" thickBot="1" x14ac:dyDescent="0.4">
      <c r="A207" s="2">
        <v>46244.63553240741</v>
      </c>
      <c r="B207" s="1" t="s">
        <v>41</v>
      </c>
      <c r="C207" s="1" t="s">
        <v>10</v>
      </c>
      <c r="D207" s="3">
        <v>11</v>
      </c>
      <c r="E207" s="3">
        <v>1170</v>
      </c>
      <c r="G207" t="str">
        <f>IF(COUNTIFS(
    Sheet1!$B:$B, B207,
    Sheet1!$C:$C, C207,
    Sheet1!$D:$D, D207,
    Sheet1!$E:$E, E207
) = 0, "NO MATCH IN TARGET", "MATCHED")</f>
        <v>MATCHED</v>
      </c>
    </row>
    <row r="208" spans="1:7" ht="29.5" thickBot="1" x14ac:dyDescent="0.4">
      <c r="A208" s="4" t="s">
        <v>55</v>
      </c>
      <c r="B208" s="6" t="s">
        <v>28</v>
      </c>
      <c r="C208" s="1" t="s">
        <v>10</v>
      </c>
      <c r="D208" s="3">
        <v>40</v>
      </c>
      <c r="E208" s="7">
        <v>996</v>
      </c>
      <c r="G208" t="str">
        <f>IF(COUNTIFS(
    Sheet1!$B:$B, B208,
    Sheet1!$C:$C, C208,
    Sheet1!$D:$D, D208,
    Sheet1!$E:$E, E208
) = 0, "NO MATCH IN TARGET", "MATCHED")</f>
        <v>MATCHED</v>
      </c>
    </row>
    <row r="209" spans="1:7" ht="29.5" thickBot="1" x14ac:dyDescent="0.4">
      <c r="A209" s="4" t="s">
        <v>55</v>
      </c>
      <c r="B209" s="1" t="s">
        <v>26</v>
      </c>
      <c r="C209" s="1" t="s">
        <v>10</v>
      </c>
      <c r="D209" s="3">
        <v>100</v>
      </c>
      <c r="E209" s="5">
        <v>319</v>
      </c>
      <c r="G209" t="str">
        <f>IF(COUNTIFS(
    Sheet1!$B:$B, B209,
    Sheet1!$C:$C, C209,
    Sheet1!$D:$D, D209,
    Sheet1!$E:$E, E209
) = 0, "NO MATCH IN TARGET", "MATCHED")</f>
        <v>MATCHED</v>
      </c>
    </row>
    <row r="210" spans="1:7" ht="29.5" thickBot="1" x14ac:dyDescent="0.4">
      <c r="A210" s="4" t="s">
        <v>55</v>
      </c>
      <c r="B210" s="1" t="s">
        <v>28</v>
      </c>
      <c r="C210" s="1" t="s">
        <v>10</v>
      </c>
      <c r="D210" s="3">
        <v>5</v>
      </c>
      <c r="E210" s="3">
        <v>1002</v>
      </c>
      <c r="G210" t="str">
        <f>IF(COUNTIFS(
    Sheet1!$B:$B, B210,
    Sheet1!$C:$C, C210,
    Sheet1!$D:$D, D210,
    Sheet1!$E:$E, E210
) = 0, "NO MATCH IN TARGET", "MATCHED")</f>
        <v>MATCHED</v>
      </c>
    </row>
    <row r="211" spans="1:7" ht="15" thickBot="1" x14ac:dyDescent="0.4">
      <c r="A211" s="4" t="s">
        <v>55</v>
      </c>
      <c r="B211" s="1" t="s">
        <v>66</v>
      </c>
      <c r="C211" s="1" t="s">
        <v>10</v>
      </c>
      <c r="D211" s="3">
        <v>35</v>
      </c>
      <c r="E211" s="5">
        <v>494</v>
      </c>
      <c r="G211" t="str">
        <f>IF(COUNTIFS(
    Sheet1!$B:$B, B211,
    Sheet1!$C:$C, C211,
    Sheet1!$D:$D, D211,
    Sheet1!$E:$E, E211
) = 0, "NO MATCH IN TARGET", "MATCHED")</f>
        <v>MATCHED</v>
      </c>
    </row>
    <row r="212" spans="1:7" ht="29.5" thickBot="1" x14ac:dyDescent="0.4">
      <c r="A212" s="4" t="s">
        <v>55</v>
      </c>
      <c r="B212" s="1" t="s">
        <v>44</v>
      </c>
      <c r="C212" s="1" t="s">
        <v>10</v>
      </c>
      <c r="D212" s="3">
        <v>10</v>
      </c>
      <c r="E212" s="5">
        <v>1024</v>
      </c>
      <c r="G212" t="str">
        <f>IF(COUNTIFS(
    Sheet1!$B:$B, B212,
    Sheet1!$C:$C, C212,
    Sheet1!$D:$D, D212,
    Sheet1!$E:$E, E212
) = 0, "NO MATCH IN TARGET", "MATCHED")</f>
        <v>MATCHED</v>
      </c>
    </row>
    <row r="213" spans="1:7" ht="29.5" thickBot="1" x14ac:dyDescent="0.4">
      <c r="A213" s="4" t="s">
        <v>55</v>
      </c>
      <c r="B213" s="1" t="s">
        <v>18</v>
      </c>
      <c r="C213" s="1" t="s">
        <v>10</v>
      </c>
      <c r="D213" s="3">
        <v>25</v>
      </c>
      <c r="E213" s="3">
        <v>220</v>
      </c>
      <c r="G213" t="str">
        <f>IF(COUNTIFS(
    Sheet1!$B:$B, B213,
    Sheet1!$C:$C, C213,
    Sheet1!$D:$D, D213,
    Sheet1!$E:$E, E213
) = 0, "NO MATCH IN TARGET", "MATCHED")</f>
        <v>NO MATCH IN TARGET</v>
      </c>
    </row>
    <row r="214" spans="1:7" ht="15" thickBot="1" x14ac:dyDescent="0.4">
      <c r="A214" s="2">
        <v>46241.635555555556</v>
      </c>
      <c r="B214" s="1" t="s">
        <v>50</v>
      </c>
      <c r="C214" s="1" t="s">
        <v>10</v>
      </c>
      <c r="D214" s="3">
        <v>3</v>
      </c>
      <c r="E214" s="3">
        <v>3341</v>
      </c>
      <c r="G214" t="str">
        <f>IF(COUNTIFS(
    Sheet1!$B:$B, B214,
    Sheet1!$C:$C, C214,
    Sheet1!$D:$D, D214,
    Sheet1!$E:$E, E214
) = 0, "NO MATCH IN TARGET", "MATCHED")</f>
        <v>MATCHED</v>
      </c>
    </row>
    <row r="215" spans="1:7" ht="29.5" thickBot="1" x14ac:dyDescent="0.4">
      <c r="A215" s="2">
        <v>46239.789502314816</v>
      </c>
      <c r="B215" s="1" t="s">
        <v>26</v>
      </c>
      <c r="C215" s="1" t="s">
        <v>10</v>
      </c>
      <c r="D215" s="3">
        <v>150</v>
      </c>
      <c r="E215" s="3">
        <v>323</v>
      </c>
      <c r="G215" t="str">
        <f>IF(COUNTIFS(
    Sheet1!$B:$B, B215,
    Sheet1!$C:$C, C215,
    Sheet1!$D:$D, D215,
    Sheet1!$E:$E, E215
) = 0, "NO MATCH IN TARGET", "MATCHED")</f>
        <v>MATCHED</v>
      </c>
    </row>
    <row r="216" spans="1:7" ht="29.5" thickBot="1" x14ac:dyDescent="0.4">
      <c r="A216" s="4" t="s">
        <v>55</v>
      </c>
      <c r="B216" s="6" t="s">
        <v>6</v>
      </c>
      <c r="C216" s="1" t="s">
        <v>10</v>
      </c>
      <c r="D216" s="3">
        <v>40</v>
      </c>
      <c r="E216" s="7">
        <v>229</v>
      </c>
      <c r="G216" t="str">
        <f>IF(COUNTIFS(
    Sheet1!$B:$B, B216,
    Sheet1!$C:$C, C216,
    Sheet1!$D:$D, D216,
    Sheet1!$E:$E, E216
) = 0, "NO MATCH IN TARGET", "MATCHED")</f>
        <v>MATCHED</v>
      </c>
    </row>
    <row r="217" spans="1:7" ht="15" thickBot="1" x14ac:dyDescent="0.4">
      <c r="A217" s="2">
        <v>46239.793564814812</v>
      </c>
      <c r="B217" s="1" t="s">
        <v>68</v>
      </c>
      <c r="C217" s="1" t="s">
        <v>10</v>
      </c>
      <c r="D217" s="3">
        <v>23</v>
      </c>
      <c r="E217" s="3">
        <v>890</v>
      </c>
      <c r="G217" t="str">
        <f>IF(COUNTIFS(
    Sheet1!$B:$B, B217,
    Sheet1!$C:$C, C217,
    Sheet1!$D:$D, D217,
    Sheet1!$E:$E, E217
) = 0, "NO MATCH IN TARGET", "MATCHED")</f>
        <v>MATCHED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2026-08-11T15:06:27Z</dcterms:created>
  <dcterms:modified xsi:type="dcterms:W3CDTF">2026-08-11T17:27:54Z</dcterms:modified>
</cp:coreProperties>
</file>