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36074B4D-4D86-4C20-99E0-C45FC521F49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8" r:id="rId3"/>
  </sheets>
  <definedNames>
    <definedName name="_xlnm._FilterDatabase" localSheetId="0" hidden="1">Sheet1!$A$1:$O$284</definedName>
    <definedName name="_xlnm._FilterDatabase" localSheetId="2" hidden="1">'Sheet1 (2)'!$A$1:$O$283</definedName>
    <definedName name="_xlnm._FilterDatabase" localSheetId="1" hidden="1">Sheet2!$A$1:$L$12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02" i="1" l="1"/>
  <c r="M102" i="1"/>
  <c r="M103" i="1"/>
  <c r="N103" i="1"/>
  <c r="N283" i="8"/>
  <c r="M283" i="8"/>
  <c r="N282" i="8"/>
  <c r="M282" i="8"/>
  <c r="N281" i="8"/>
  <c r="M281" i="8"/>
  <c r="N280" i="8"/>
  <c r="M280" i="8"/>
  <c r="N279" i="8"/>
  <c r="M279" i="8"/>
  <c r="N278" i="8"/>
  <c r="M278" i="8"/>
  <c r="N277" i="8"/>
  <c r="M277" i="8"/>
  <c r="N276" i="8"/>
  <c r="N275" i="8"/>
  <c r="N274" i="8"/>
  <c r="N273" i="8"/>
  <c r="N272" i="8"/>
  <c r="M272" i="8"/>
  <c r="N271" i="8"/>
  <c r="N270" i="8"/>
  <c r="N269" i="8"/>
  <c r="N268" i="8"/>
  <c r="N267" i="8"/>
  <c r="N266" i="8"/>
  <c r="N265" i="8"/>
  <c r="N264" i="8"/>
  <c r="N263" i="8"/>
  <c r="N262" i="8"/>
  <c r="N261" i="8"/>
  <c r="N260" i="8"/>
  <c r="N259" i="8"/>
  <c r="N258" i="8"/>
  <c r="M258" i="8"/>
  <c r="N257" i="8"/>
  <c r="N256" i="8"/>
  <c r="N255" i="8"/>
  <c r="N254" i="8"/>
  <c r="N253" i="8"/>
  <c r="N252" i="8"/>
  <c r="M252" i="8"/>
  <c r="N251" i="8"/>
  <c r="N250" i="8"/>
  <c r="N249" i="8"/>
  <c r="N248" i="8"/>
  <c r="N247" i="8"/>
  <c r="N246" i="8"/>
  <c r="N245" i="8"/>
  <c r="N244" i="8"/>
  <c r="M244" i="8"/>
  <c r="N243" i="8"/>
  <c r="M243" i="8"/>
  <c r="N242" i="8"/>
  <c r="N241" i="8"/>
  <c r="N240" i="8"/>
  <c r="N239" i="8"/>
  <c r="M239" i="8"/>
  <c r="N238" i="8"/>
  <c r="N237" i="8"/>
  <c r="M237" i="8"/>
  <c r="N236" i="8"/>
  <c r="N235" i="8"/>
  <c r="N234" i="8"/>
  <c r="N233" i="8"/>
  <c r="N232" i="8"/>
  <c r="N231" i="8"/>
  <c r="M231" i="8"/>
  <c r="N230" i="8"/>
  <c r="M230" i="8"/>
  <c r="N229" i="8"/>
  <c r="M229" i="8"/>
  <c r="N228" i="8"/>
  <c r="M228" i="8"/>
  <c r="N227" i="8"/>
  <c r="M227" i="8"/>
  <c r="N226" i="8"/>
  <c r="N225" i="8"/>
  <c r="N224" i="8"/>
  <c r="N223" i="8"/>
  <c r="N222" i="8"/>
  <c r="N221" i="8"/>
  <c r="M221" i="8"/>
  <c r="N220" i="8"/>
  <c r="N219" i="8"/>
  <c r="N218" i="8"/>
  <c r="N217" i="8"/>
  <c r="N216" i="8"/>
  <c r="N215" i="8"/>
  <c r="M215" i="8"/>
  <c r="N214" i="8"/>
  <c r="N213" i="8"/>
  <c r="N212" i="8"/>
  <c r="N211" i="8"/>
  <c r="N210" i="8"/>
  <c r="N209" i="8"/>
  <c r="N208" i="8"/>
  <c r="N207" i="8"/>
  <c r="M207" i="8"/>
  <c r="N206" i="8"/>
  <c r="M206" i="8"/>
  <c r="N205" i="8"/>
  <c r="M205" i="8"/>
  <c r="N204" i="8"/>
  <c r="M204" i="8"/>
  <c r="N203" i="8"/>
  <c r="M203" i="8"/>
  <c r="N202" i="8"/>
  <c r="N201" i="8"/>
  <c r="N200" i="8"/>
  <c r="N199" i="8"/>
  <c r="N198" i="8"/>
  <c r="M198" i="8"/>
  <c r="N197" i="8"/>
  <c r="M197" i="8"/>
  <c r="N196" i="8"/>
  <c r="N195" i="8"/>
  <c r="M195" i="8"/>
  <c r="N194" i="8"/>
  <c r="M194" i="8"/>
  <c r="N193" i="8"/>
  <c r="M193" i="8"/>
  <c r="N192" i="8"/>
  <c r="M192" i="8"/>
  <c r="N191" i="8"/>
  <c r="N190" i="8"/>
  <c r="N189" i="8"/>
  <c r="N188" i="8"/>
  <c r="M188" i="8"/>
  <c r="N187" i="8"/>
  <c r="M187" i="8"/>
  <c r="N186" i="8"/>
  <c r="N185" i="8"/>
  <c r="N184" i="8"/>
  <c r="N183" i="8"/>
  <c r="M183" i="8"/>
  <c r="N182" i="8"/>
  <c r="M182" i="8"/>
  <c r="N181" i="8"/>
  <c r="M181" i="8"/>
  <c r="N180" i="8"/>
  <c r="M180" i="8"/>
  <c r="N179" i="8"/>
  <c r="N178" i="8"/>
  <c r="N177" i="8"/>
  <c r="M177" i="8"/>
  <c r="N176" i="8"/>
  <c r="M176" i="8"/>
  <c r="N175" i="8"/>
  <c r="M175" i="8"/>
  <c r="N174" i="8"/>
  <c r="N173" i="8"/>
  <c r="N172" i="8"/>
  <c r="M172" i="8"/>
  <c r="N171" i="8"/>
  <c r="M171" i="8"/>
  <c r="N170" i="8"/>
  <c r="N169" i="8"/>
  <c r="M169" i="8"/>
  <c r="N168" i="8"/>
  <c r="N167" i="8"/>
  <c r="N166" i="8"/>
  <c r="N165" i="8"/>
  <c r="N164" i="8"/>
  <c r="M164" i="8"/>
  <c r="N163" i="8"/>
  <c r="M163" i="8"/>
  <c r="N162" i="8"/>
  <c r="M162" i="8"/>
  <c r="N161" i="8"/>
  <c r="N160" i="8"/>
  <c r="M160" i="8"/>
  <c r="N159" i="8"/>
  <c r="M159" i="8"/>
  <c r="N158" i="8"/>
  <c r="N157" i="8"/>
  <c r="M157" i="8"/>
  <c r="N156" i="8"/>
  <c r="M156" i="8"/>
  <c r="N155" i="8"/>
  <c r="M155" i="8"/>
  <c r="N154" i="8"/>
  <c r="M154" i="8"/>
  <c r="N153" i="8"/>
  <c r="N152" i="8"/>
  <c r="M152" i="8"/>
  <c r="N151" i="8"/>
  <c r="M151" i="8"/>
  <c r="N150" i="8"/>
  <c r="M150" i="8"/>
  <c r="N149" i="8"/>
  <c r="M149" i="8"/>
  <c r="N148" i="8"/>
  <c r="M148" i="8"/>
  <c r="N147" i="8"/>
  <c r="M147" i="8"/>
  <c r="N146" i="8"/>
  <c r="M146" i="8"/>
  <c r="N145" i="8"/>
  <c r="M145" i="8"/>
  <c r="N144" i="8"/>
  <c r="M144" i="8"/>
  <c r="N143" i="8"/>
  <c r="N142" i="8"/>
  <c r="M142" i="8"/>
  <c r="N141" i="8"/>
  <c r="M141" i="8"/>
  <c r="N140" i="8"/>
  <c r="M140" i="8"/>
  <c r="N139" i="8"/>
  <c r="M139" i="8"/>
  <c r="N138" i="8"/>
  <c r="N137" i="8"/>
  <c r="M137" i="8"/>
  <c r="N136" i="8"/>
  <c r="M136" i="8"/>
  <c r="N135" i="8"/>
  <c r="M135" i="8"/>
  <c r="N134" i="8"/>
  <c r="M134" i="8"/>
  <c r="N133" i="8"/>
  <c r="M133" i="8"/>
  <c r="N132" i="8"/>
  <c r="M132" i="8"/>
  <c r="N131" i="8"/>
  <c r="M131" i="8"/>
  <c r="N130" i="8"/>
  <c r="M130" i="8"/>
  <c r="N129" i="8"/>
  <c r="M129" i="8"/>
  <c r="N128" i="8"/>
  <c r="N127" i="8"/>
  <c r="M127" i="8"/>
  <c r="N126" i="8"/>
  <c r="M126" i="8"/>
  <c r="N125" i="8"/>
  <c r="M125" i="8"/>
  <c r="N124" i="8"/>
  <c r="M124" i="8"/>
  <c r="N123" i="8"/>
  <c r="M123" i="8"/>
  <c r="N122" i="8"/>
  <c r="M122" i="8"/>
  <c r="N121" i="8"/>
  <c r="N120" i="8"/>
  <c r="M120" i="8"/>
  <c r="N119" i="8"/>
  <c r="N118" i="8"/>
  <c r="M118" i="8"/>
  <c r="N117" i="8"/>
  <c r="M117" i="8"/>
  <c r="N116" i="8"/>
  <c r="M116" i="8"/>
  <c r="N115" i="8"/>
  <c r="M115" i="8"/>
  <c r="N114" i="8"/>
  <c r="M114" i="8"/>
  <c r="N113" i="8"/>
  <c r="M113" i="8"/>
  <c r="N112" i="8"/>
  <c r="M112" i="8"/>
  <c r="N111" i="8"/>
  <c r="M111" i="8"/>
  <c r="N110" i="8"/>
  <c r="M110" i="8"/>
  <c r="N109" i="8"/>
  <c r="M109" i="8"/>
  <c r="N108" i="8"/>
  <c r="M108" i="8"/>
  <c r="N107" i="8"/>
  <c r="M107" i="8"/>
  <c r="N106" i="8"/>
  <c r="M106" i="8"/>
  <c r="N105" i="8"/>
  <c r="M105" i="8"/>
  <c r="N104" i="8"/>
  <c r="M104" i="8"/>
  <c r="N103" i="8"/>
  <c r="M103" i="8"/>
  <c r="N102" i="8"/>
  <c r="M102" i="8"/>
  <c r="N101" i="8"/>
  <c r="M101" i="8"/>
  <c r="N100" i="8"/>
  <c r="N99" i="8"/>
  <c r="N98" i="8"/>
  <c r="N97" i="8"/>
  <c r="N96" i="8"/>
  <c r="N95" i="8"/>
  <c r="N94" i="8"/>
  <c r="N93" i="8"/>
  <c r="N92" i="8"/>
  <c r="N91" i="8"/>
  <c r="N90" i="8"/>
  <c r="N89" i="8"/>
  <c r="N88" i="8"/>
  <c r="N87" i="8"/>
  <c r="N86" i="8"/>
  <c r="N85" i="8"/>
  <c r="N84" i="8"/>
  <c r="N83" i="8"/>
  <c r="N82" i="8"/>
  <c r="N81" i="8"/>
  <c r="N80" i="8"/>
  <c r="N79" i="8"/>
  <c r="N78" i="8"/>
  <c r="N77" i="8"/>
  <c r="M77" i="8"/>
  <c r="N76" i="8"/>
  <c r="N75" i="8"/>
  <c r="N74" i="8"/>
  <c r="M74" i="8"/>
  <c r="L74" i="8"/>
  <c r="N73" i="8"/>
  <c r="N72" i="8"/>
  <c r="N71" i="8"/>
  <c r="N70" i="8"/>
  <c r="N69" i="8"/>
  <c r="N68" i="8"/>
  <c r="N67" i="8"/>
  <c r="M67" i="8"/>
  <c r="N66" i="8"/>
  <c r="N65" i="8"/>
  <c r="N64" i="8"/>
  <c r="M64" i="8"/>
  <c r="N63" i="8"/>
  <c r="M63" i="8"/>
  <c r="N62" i="8"/>
  <c r="N61" i="8"/>
  <c r="N60" i="8"/>
  <c r="N59" i="8"/>
  <c r="N58" i="8"/>
  <c r="N57" i="8"/>
  <c r="M57" i="8"/>
  <c r="N56" i="8"/>
  <c r="N55" i="8"/>
  <c r="N54" i="8"/>
  <c r="N53" i="8"/>
  <c r="L53" i="8"/>
  <c r="M53" i="8" s="1"/>
  <c r="N52" i="8"/>
  <c r="N51" i="8"/>
  <c r="N50" i="8"/>
  <c r="N49" i="8"/>
  <c r="N48" i="8"/>
  <c r="N47" i="8"/>
  <c r="N46" i="8"/>
  <c r="M46" i="8"/>
  <c r="N45" i="8"/>
  <c r="N44" i="8"/>
  <c r="N43" i="8"/>
  <c r="N42" i="8"/>
  <c r="N41" i="8"/>
  <c r="N40" i="8"/>
  <c r="N39" i="8"/>
  <c r="M39" i="8"/>
  <c r="N38" i="8"/>
  <c r="M38" i="8"/>
  <c r="N37" i="8"/>
  <c r="N36" i="8"/>
  <c r="M36" i="8"/>
  <c r="N35" i="8"/>
  <c r="N34" i="8"/>
  <c r="N33" i="8"/>
  <c r="N32" i="8"/>
  <c r="N31" i="8"/>
  <c r="N30" i="8"/>
  <c r="N29" i="8"/>
  <c r="N28" i="8"/>
  <c r="M28" i="8"/>
  <c r="N27" i="8"/>
  <c r="N26" i="8"/>
  <c r="N25" i="8"/>
  <c r="N24" i="8"/>
  <c r="N23" i="8"/>
  <c r="M23" i="8"/>
  <c r="N22" i="8"/>
  <c r="M22" i="8"/>
  <c r="N21" i="8"/>
  <c r="N20" i="8"/>
  <c r="N19" i="8"/>
  <c r="N18" i="8"/>
  <c r="M18" i="8"/>
  <c r="N17" i="8"/>
  <c r="N16" i="8"/>
  <c r="N15" i="8"/>
  <c r="M15" i="8"/>
  <c r="N14" i="8"/>
  <c r="N13" i="8"/>
  <c r="M13" i="8"/>
  <c r="N12" i="8"/>
  <c r="M12" i="8"/>
  <c r="N11" i="8"/>
  <c r="N10" i="8"/>
  <c r="N9" i="8"/>
  <c r="N8" i="8"/>
  <c r="N7" i="8"/>
  <c r="N6" i="8"/>
  <c r="N5" i="8"/>
  <c r="N4" i="8"/>
  <c r="N3" i="8"/>
  <c r="M3" i="8"/>
  <c r="N2" i="8"/>
  <c r="M2" i="8"/>
  <c r="M125" i="1" l="1"/>
  <c r="M159" i="1"/>
  <c r="M111" i="1"/>
  <c r="M128" i="1"/>
  <c r="M106" i="1"/>
  <c r="M185" i="1"/>
  <c r="N185" i="1"/>
  <c r="N125" i="1"/>
  <c r="N159" i="1"/>
  <c r="N111" i="1"/>
  <c r="N128" i="1"/>
  <c r="N106" i="1"/>
  <c r="M199" i="1"/>
  <c r="M200" i="1"/>
  <c r="M172" i="1"/>
  <c r="M127" i="1"/>
  <c r="M183" i="1"/>
  <c r="M123" i="1"/>
  <c r="M122" i="1"/>
  <c r="N122" i="1"/>
  <c r="N199" i="1"/>
  <c r="N200" i="1"/>
  <c r="N172" i="1"/>
  <c r="N127" i="1"/>
  <c r="N183" i="1"/>
  <c r="N123" i="1"/>
  <c r="L76" i="1"/>
  <c r="M76" i="1" s="1"/>
  <c r="L50" i="1"/>
  <c r="M50" i="1" s="1"/>
  <c r="N50" i="1"/>
  <c r="N76" i="1"/>
  <c r="N121" i="1"/>
  <c r="N160" i="1"/>
  <c r="N182" i="1"/>
  <c r="N100" i="1"/>
  <c r="N231" i="1"/>
  <c r="N57" i="1"/>
  <c r="N82" i="1"/>
  <c r="N99" i="1"/>
  <c r="M160" i="1"/>
  <c r="M182" i="1"/>
  <c r="M100" i="1"/>
  <c r="M231" i="1"/>
  <c r="M57" i="1"/>
  <c r="M82" i="1"/>
  <c r="M99" i="1"/>
  <c r="M121" i="1"/>
  <c r="N202" i="1"/>
  <c r="N135" i="1"/>
  <c r="N69" i="1"/>
  <c r="N83" i="1"/>
  <c r="N98" i="1"/>
  <c r="M135" i="1"/>
  <c r="M69" i="1"/>
  <c r="M83" i="1"/>
  <c r="M98" i="1"/>
  <c r="M202" i="1"/>
  <c r="M67" i="1"/>
  <c r="N67" i="1"/>
  <c r="M150" i="1"/>
  <c r="N150" i="1"/>
  <c r="M154" i="1"/>
  <c r="N154" i="1"/>
  <c r="M169" i="1"/>
  <c r="N169" i="1"/>
  <c r="M137" i="1"/>
  <c r="N137" i="1"/>
  <c r="M155" i="1"/>
  <c r="N155" i="1"/>
  <c r="M131" i="1"/>
  <c r="N131" i="1"/>
  <c r="M129" i="1"/>
  <c r="N129" i="1"/>
  <c r="M104" i="1"/>
  <c r="N104" i="1"/>
  <c r="M109" i="1"/>
  <c r="N109" i="1"/>
  <c r="M162" i="1"/>
  <c r="N162" i="1"/>
  <c r="M124" i="1"/>
  <c r="N124" i="1"/>
  <c r="M105" i="1"/>
  <c r="N105" i="1"/>
  <c r="M24" i="1"/>
  <c r="N24" i="1"/>
  <c r="N170" i="1"/>
  <c r="N77" i="1"/>
  <c r="N107" i="1"/>
  <c r="N148" i="1"/>
  <c r="N168" i="1"/>
  <c r="N234" i="1"/>
  <c r="N140" i="1"/>
  <c r="N136" i="1"/>
  <c r="N108" i="1"/>
  <c r="N174" i="1"/>
  <c r="N141" i="1"/>
  <c r="N133" i="1"/>
  <c r="M77" i="1"/>
  <c r="M107" i="1"/>
  <c r="M148" i="1"/>
  <c r="M168" i="1"/>
  <c r="M234" i="1"/>
  <c r="M140" i="1"/>
  <c r="M136" i="1"/>
  <c r="M108" i="1"/>
  <c r="M174" i="1"/>
  <c r="M141" i="1"/>
  <c r="M133" i="1"/>
  <c r="M170" i="1"/>
  <c r="N223" i="1"/>
  <c r="M119" i="1"/>
  <c r="M233" i="1"/>
  <c r="M112" i="1"/>
  <c r="M186" i="1"/>
  <c r="M101" i="1"/>
  <c r="M167" i="1"/>
  <c r="M116" i="1"/>
  <c r="M161" i="1"/>
  <c r="M242" i="1"/>
  <c r="M114" i="1"/>
  <c r="M157" i="1"/>
  <c r="M184" i="1"/>
  <c r="M132" i="1"/>
  <c r="M113" i="1"/>
  <c r="M118" i="1"/>
  <c r="M130" i="1"/>
  <c r="M94" i="1"/>
  <c r="M179" i="1"/>
  <c r="N179" i="1"/>
  <c r="N119" i="1"/>
  <c r="N233" i="1"/>
  <c r="N112" i="1"/>
  <c r="N186" i="1"/>
  <c r="N101" i="1"/>
  <c r="N167" i="1"/>
  <c r="N116" i="1"/>
  <c r="N161" i="1"/>
  <c r="N242" i="1"/>
  <c r="N114" i="1"/>
  <c r="N157" i="1"/>
  <c r="N184" i="1"/>
  <c r="N132" i="1"/>
  <c r="N113" i="1"/>
  <c r="N118" i="1"/>
  <c r="N130" i="1"/>
  <c r="N94" i="1"/>
  <c r="I5" i="5"/>
  <c r="J5" i="5"/>
  <c r="L5" i="5"/>
  <c r="I6" i="5"/>
  <c r="J6" i="5"/>
  <c r="L6" i="5"/>
  <c r="I7" i="5"/>
  <c r="J7" i="5"/>
  <c r="L7" i="5"/>
  <c r="I8" i="5"/>
  <c r="J8" i="5"/>
  <c r="L8" i="5"/>
  <c r="I9" i="5"/>
  <c r="J9" i="5"/>
  <c r="L9" i="5"/>
  <c r="I10" i="5"/>
  <c r="J10" i="5"/>
  <c r="L10" i="5"/>
  <c r="I11" i="5"/>
  <c r="J11" i="5"/>
  <c r="L11" i="5"/>
  <c r="I12" i="5"/>
  <c r="J12" i="5"/>
  <c r="L12" i="5"/>
  <c r="I13" i="5"/>
  <c r="J13" i="5"/>
  <c r="L13" i="5"/>
  <c r="I14" i="5"/>
  <c r="J14" i="5"/>
  <c r="L14" i="5"/>
  <c r="I15" i="5"/>
  <c r="J15" i="5"/>
  <c r="L15" i="5"/>
  <c r="I16" i="5"/>
  <c r="J16" i="5"/>
  <c r="L16" i="5"/>
  <c r="I17" i="5"/>
  <c r="J17" i="5"/>
  <c r="L17" i="5"/>
  <c r="M65" i="1"/>
  <c r="M147" i="1"/>
  <c r="M177" i="1"/>
  <c r="M178" i="1"/>
  <c r="M134" i="1"/>
  <c r="M208" i="1"/>
  <c r="M117" i="1"/>
  <c r="M138" i="1"/>
  <c r="M153" i="1"/>
  <c r="N65" i="1"/>
  <c r="N147" i="1"/>
  <c r="N177" i="1"/>
  <c r="N178" i="1"/>
  <c r="N134" i="1"/>
  <c r="N208" i="1"/>
  <c r="N117" i="1"/>
  <c r="N138" i="1"/>
  <c r="N153" i="1"/>
  <c r="N194" i="1"/>
  <c r="N156" i="1"/>
  <c r="N151" i="1"/>
  <c r="N205" i="1"/>
  <c r="N189" i="1"/>
  <c r="N146" i="1"/>
  <c r="N193" i="1"/>
  <c r="N173" i="1"/>
  <c r="N196" i="1"/>
  <c r="N142" i="1"/>
  <c r="N166" i="1"/>
  <c r="N78" i="1"/>
  <c r="N59" i="1"/>
  <c r="M156" i="1"/>
  <c r="M151" i="1"/>
  <c r="M205" i="1"/>
  <c r="M189" i="1"/>
  <c r="M146" i="1"/>
  <c r="M193" i="1"/>
  <c r="M173" i="1"/>
  <c r="M196" i="1"/>
  <c r="M142" i="1"/>
  <c r="M166" i="1"/>
  <c r="M78" i="1"/>
  <c r="M59" i="1"/>
  <c r="M194" i="1"/>
  <c r="M237" i="1" l="1"/>
  <c r="M244" i="1"/>
  <c r="M222" i="1"/>
  <c r="M239" i="1"/>
  <c r="M120" i="1"/>
  <c r="M245" i="1"/>
  <c r="M230" i="1"/>
  <c r="M60" i="1"/>
  <c r="M145" i="1"/>
  <c r="M181" i="1"/>
  <c r="M250" i="1"/>
  <c r="N250" i="1"/>
  <c r="N145" i="1"/>
  <c r="N181" i="1"/>
  <c r="N237" i="1"/>
  <c r="N244" i="1"/>
  <c r="N222" i="1"/>
  <c r="N239" i="1"/>
  <c r="N120" i="1"/>
  <c r="N245" i="1"/>
  <c r="N230" i="1"/>
  <c r="N60" i="1"/>
  <c r="I4" i="5"/>
  <c r="J4" i="5"/>
  <c r="L4" i="5"/>
  <c r="M280" i="1"/>
  <c r="M241" i="1"/>
  <c r="M232" i="1"/>
  <c r="M217" i="1"/>
  <c r="N280" i="1"/>
  <c r="N241" i="1"/>
  <c r="N232" i="1"/>
  <c r="N217" i="1"/>
  <c r="I3" i="5"/>
  <c r="J3" i="5"/>
  <c r="L3" i="5"/>
  <c r="M187" i="1"/>
  <c r="M203" i="1"/>
  <c r="M216" i="1"/>
  <c r="M271" i="1"/>
  <c r="M34" i="1"/>
  <c r="M74" i="1"/>
  <c r="N74" i="1"/>
  <c r="N34" i="1"/>
  <c r="N271" i="1"/>
  <c r="N216" i="1"/>
  <c r="N203" i="1"/>
  <c r="N187" i="1"/>
  <c r="M18" i="1" l="1"/>
  <c r="M49" i="1"/>
  <c r="M188" i="1"/>
  <c r="M255" i="1"/>
  <c r="J2" i="5"/>
  <c r="I2" i="5"/>
  <c r="L2" i="5"/>
  <c r="N49" i="1"/>
  <c r="N18" i="1"/>
  <c r="N188" i="1"/>
  <c r="N255" i="1"/>
  <c r="N144" i="1" l="1"/>
  <c r="N26" i="1"/>
  <c r="N95" i="1"/>
  <c r="N97" i="1"/>
  <c r="N91" i="1"/>
  <c r="N54" i="1"/>
  <c r="N42" i="1"/>
  <c r="N96" i="1"/>
  <c r="N27" i="1"/>
  <c r="N45" i="1"/>
  <c r="N80" i="1"/>
  <c r="N55" i="1"/>
  <c r="N84" i="1"/>
  <c r="N46" i="1"/>
  <c r="N64" i="1"/>
  <c r="N66" i="1"/>
  <c r="N93" i="1"/>
  <c r="N70" i="1"/>
  <c r="N73" i="1"/>
  <c r="N52" i="1"/>
  <c r="N44" i="1"/>
  <c r="N16" i="1"/>
  <c r="N32" i="1"/>
  <c r="N30" i="1"/>
  <c r="N85" i="1"/>
  <c r="N13" i="1"/>
  <c r="N86" i="1"/>
  <c r="N62" i="1"/>
  <c r="N40" i="1"/>
  <c r="N79" i="1"/>
  <c r="N6" i="1"/>
  <c r="N56" i="1"/>
  <c r="N61" i="1"/>
  <c r="N89" i="1"/>
  <c r="N35" i="1"/>
  <c r="N72" i="1"/>
  <c r="N29" i="1"/>
  <c r="N12" i="1"/>
  <c r="N68" i="1"/>
  <c r="N47" i="1"/>
  <c r="N43" i="1"/>
  <c r="N92" i="1"/>
  <c r="N58" i="1"/>
  <c r="N36" i="1"/>
  <c r="N11" i="1"/>
  <c r="N48" i="1"/>
  <c r="N90" i="1"/>
  <c r="N88" i="1"/>
  <c r="N41" i="1"/>
  <c r="N63" i="1"/>
  <c r="N87" i="1"/>
  <c r="N38" i="1"/>
  <c r="N51" i="1"/>
  <c r="N81" i="1"/>
  <c r="N37" i="1"/>
  <c r="N33" i="1"/>
  <c r="N75" i="1"/>
  <c r="N10" i="1"/>
  <c r="N53" i="1"/>
  <c r="N8" i="1"/>
  <c r="N28" i="1"/>
  <c r="N39" i="1"/>
  <c r="N21" i="1"/>
  <c r="N25" i="1"/>
  <c r="N23" i="1"/>
  <c r="N7" i="1"/>
  <c r="N20" i="1"/>
  <c r="N19" i="1"/>
  <c r="N71" i="1"/>
  <c r="N17" i="1"/>
  <c r="N3" i="1"/>
  <c r="N31" i="1"/>
  <c r="N15" i="1"/>
  <c r="N14" i="1"/>
  <c r="N22" i="1"/>
  <c r="N9" i="1"/>
  <c r="N2" i="1"/>
  <c r="N5" i="1"/>
  <c r="N4" i="1"/>
  <c r="N158" i="1"/>
  <c r="N171" i="1"/>
  <c r="N165" i="1"/>
  <c r="N126" i="1"/>
  <c r="N221" i="1"/>
  <c r="N225" i="1"/>
  <c r="N139" i="1"/>
  <c r="N143" i="1"/>
  <c r="N115" i="1"/>
  <c r="N226" i="1"/>
  <c r="N235" i="1"/>
  <c r="N191" i="1"/>
  <c r="N236" i="1"/>
  <c r="N175" i="1"/>
  <c r="N209" i="1"/>
  <c r="N212" i="1"/>
  <c r="N240" i="1"/>
  <c r="N190" i="1"/>
  <c r="N192" i="1"/>
  <c r="N211" i="1"/>
  <c r="N110" i="1"/>
  <c r="N218" i="1"/>
  <c r="N149" i="1"/>
  <c r="N254" i="1"/>
  <c r="N243" i="1"/>
  <c r="N246" i="1"/>
  <c r="N270" i="1"/>
  <c r="N207" i="1"/>
  <c r="N227" i="1"/>
  <c r="N224" i="1"/>
  <c r="N206" i="1"/>
  <c r="N198" i="1"/>
  <c r="N257" i="1"/>
  <c r="N258" i="1"/>
  <c r="N220" i="1"/>
  <c r="N176" i="1"/>
  <c r="N238" i="1"/>
  <c r="N164" i="1"/>
  <c r="N201" i="1"/>
  <c r="N213" i="1"/>
  <c r="N219" i="1"/>
  <c r="N215" i="1"/>
  <c r="N262" i="1"/>
  <c r="N229" i="1"/>
  <c r="N249" i="1"/>
  <c r="N248" i="1"/>
  <c r="N152" i="1"/>
  <c r="N264" i="1"/>
  <c r="N197" i="1"/>
  <c r="N163" i="1"/>
  <c r="N276" i="1"/>
  <c r="N272" i="1"/>
  <c r="N253" i="1"/>
  <c r="N273" i="1"/>
  <c r="N256" i="1"/>
  <c r="N252" i="1"/>
  <c r="N278" i="1"/>
  <c r="N263" i="1"/>
  <c r="N251" i="1"/>
  <c r="N260" i="1"/>
  <c r="N195" i="1"/>
  <c r="N266" i="1"/>
  <c r="N277" i="1"/>
  <c r="N269" i="1"/>
  <c r="N259" i="1"/>
  <c r="N180" i="1"/>
  <c r="N265" i="1"/>
  <c r="N267" i="1"/>
  <c r="N279" i="1"/>
  <c r="N268" i="1"/>
  <c r="N228" i="1"/>
  <c r="N261" i="1"/>
  <c r="N275" i="1"/>
  <c r="N281" i="1"/>
  <c r="N247" i="1"/>
  <c r="N274" i="1"/>
  <c r="N282" i="1"/>
  <c r="N283" i="1"/>
  <c r="N284" i="1"/>
  <c r="N204" i="1"/>
  <c r="N210" i="1"/>
  <c r="N214" i="1"/>
</calcChain>
</file>

<file path=xl/sharedStrings.xml><?xml version="1.0" encoding="utf-8"?>
<sst xmlns="http://schemas.openxmlformats.org/spreadsheetml/2006/main" count="3204" uniqueCount="283">
  <si>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</si>
  <si>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</si>
  <si>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</si>
  <si>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</si>
  <si>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</si>
  <si>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</si>
  <si>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</si>
  <si>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</si>
  <si>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</si>
  <si>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</si>
  <si>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</si>
  <si>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</si>
  <si>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</si>
  <si>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</si>
  <si>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</si>
  <si>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</si>
  <si>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</si>
  <si>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</si>
  <si>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</si>
  <si>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</si>
  <si>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</si>
  <si>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</si>
  <si>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</si>
  <si>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</si>
  <si>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</si>
  <si>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</si>
  <si>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</si>
  <si>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</si>
  <si>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</si>
  <si>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</si>
  <si>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</si>
  <si>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</si>
  <si>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</si>
  <si>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</si>
  <si>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</si>
  <si>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</si>
  <si>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</si>
  <si>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</si>
  <si>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</si>
  <si>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</si>
  <si>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</si>
  <si>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</si>
  <si>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</si>
  <si>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</si>
  <si>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</si>
  <si>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</si>
  <si>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</si>
  <si>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</si>
  <si>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</si>
  <si>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</si>
  <si>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</si>
  <si>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</si>
  <si>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</si>
  <si>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</si>
  <si>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</si>
  <si>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</si>
  <si>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</si>
  <si>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</si>
  <si>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</si>
  <si>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</si>
  <si>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</si>
  <si>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</si>
  <si>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</si>
  <si>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</si>
  <si>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</si>
  <si>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</si>
  <si>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</si>
  <si>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</si>
  <si>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</si>
  <si>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</si>
  <si>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</si>
  <si>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</si>
  <si>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</si>
  <si>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</si>
  <si>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</si>
  <si>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</si>
  <si>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</si>
  <si>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</si>
  <si>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</si>
  <si>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</si>
  <si>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</si>
  <si>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</si>
  <si>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</si>
  <si>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</si>
  <si>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</si>
  <si>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</si>
  <si>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</si>
  <si>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</si>
  <si>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</si>
  <si>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</si>
  <si>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</si>
  <si>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</si>
  <si>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</si>
  <si>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</si>
  <si>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</si>
  <si>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</si>
  <si>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</si>
  <si>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</si>
  <si>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</si>
  <si>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</si>
  <si>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</si>
  <si>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</si>
  <si>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</si>
  <si>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</si>
  <si>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</si>
  <si>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</si>
  <si>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</si>
  <si>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</si>
  <si>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</si>
  <si>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</si>
  <si>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</si>
  <si>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</si>
  <si>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</si>
  <si>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</si>
  <si>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</si>
  <si>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</si>
  <si>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</si>
  <si>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</si>
  <si>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</si>
  <si>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</si>
  <si>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</si>
  <si>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</si>
  <si>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</si>
  <si>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</si>
  <si>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</si>
  <si>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</si>
  <si>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</si>
  <si>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</si>
  <si>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</si>
  <si>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</si>
  <si>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</si>
  <si>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</si>
  <si>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</si>
  <si>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</si>
  <si>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</si>
  <si>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</si>
  <si>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</si>
  <si>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</si>
  <si>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</si>
  <si>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</si>
  <si>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</si>
  <si>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</si>
  <si>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</si>
  <si>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</si>
  <si>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</si>
  <si>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</si>
  <si>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</si>
  <si>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B 10*2620 :20 AUG 2026 03:25:59 PM</t>
  </si>
  <si>
    <t>S 7*2324 :20 AUG 2026 09:00:50 AM</t>
  </si>
  <si>
    <t>SELL 1*19992 :21-AUG-26</t>
  </si>
  <si>
    <t>SELL 25*348 :21-AUG-26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</si>
  <si>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</si>
  <si>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</si>
  <si>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</si>
  <si>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</si>
  <si>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</si>
  <si>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</si>
  <si>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</si>
  <si>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</si>
  <si>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</si>
  <si>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</si>
  <si>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</si>
  <si>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S 10*1510 :24 AUG 2026 09:01:06 AM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</si>
  <si>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</si>
  <si>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</si>
  <si>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</si>
  <si>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</si>
  <si>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</si>
  <si>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</si>
  <si>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</si>
  <si>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</si>
  <si>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</si>
  <si>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</si>
  <si>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</si>
  <si>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</si>
  <si>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</si>
  <si>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</si>
  <si>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</si>
  <si>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</si>
  <si>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</si>
  <si>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</si>
  <si>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</si>
  <si>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</si>
  <si>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</si>
  <si>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</si>
  <si>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</si>
  <si>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</si>
  <si>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</si>
  <si>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50*214 :27 AUG 2026 09:00:48 AM</t>
  </si>
  <si>
    <t>S 50*211 :27 AUG 2026 09:00:44 AM</t>
  </si>
  <si>
    <t>S 20*885 :27 AUG 2026 09:00:48 AM</t>
  </si>
  <si>
    <t>B 5*1440 :27 AUG 2026 09:01:10 AM</t>
  </si>
  <si>
    <t>S 5*704.55 :28 AUG 2026 10:59:11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</si>
  <si>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</si>
  <si>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</si>
  <si>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</si>
  <si>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</si>
  <si>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</si>
  <si>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5*712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</si>
  <si>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</si>
  <si>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</si>
  <si>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</si>
  <si>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</si>
  <si>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</si>
  <si>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</si>
  <si>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</si>
  <si>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10*1505 :31 AUG 2026 11:12:50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</si>
  <si>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</si>
  <si>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</si>
  <si>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</si>
  <si>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</si>
  <si>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</si>
  <si>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</si>
  <si>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</si>
  <si>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</si>
  <si>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</si>
  <si>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5*702 :31 AUG 2026 09:01:13 AM</t>
  </si>
  <si>
    <t>B 10*2602 :31 AUG 2026 09:01:13 AM</t>
  </si>
  <si>
    <t>S 5*730 :31 AUG 2026 09:01:13 AM</t>
  </si>
  <si>
    <t>B 250*221.53 : IN 3 STEPS: 31 AUG 2026 09:25:44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</si>
  <si>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</si>
  <si>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</si>
  <si>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</si>
  <si>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</si>
  <si>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</si>
  <si>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</si>
  <si>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</si>
  <si>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</si>
  <si>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</si>
  <si>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</si>
  <si>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</si>
  <si>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B 15*1005 :01 SEP 2026 09:00:55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</si>
  <si>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</si>
  <si>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</si>
  <si>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</si>
  <si>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</si>
  <si>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</si>
  <si>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</si>
  <si>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</si>
  <si>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</si>
  <si>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</si>
  <si>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</si>
  <si>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</si>
  <si>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</si>
  <si>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S 1*20350 :02 SEP 2026 09:00:38 AM</t>
  </si>
  <si>
    <t>B 5*601 :02 SEP 2026 09:00:47 AM</t>
  </si>
  <si>
    <t>B 30*860 :03 SEP 2026 09:00:49 AM</t>
  </si>
  <si>
    <t>B 100*322 :03 SEP 2026 09:00:47 AM</t>
  </si>
  <si>
    <t>S 20*896 :03 SEP 2026 09:00:44 AM</t>
  </si>
  <si>
    <t>S 100*219 :03 SEP 2026 09:15:08 AM</t>
  </si>
  <si>
    <t>S 10*937 :03 SEP 2026 09:00:44 AM</t>
  </si>
  <si>
    <t>B 50*324.4 :04 SEP 2026 01:01:43 PM</t>
  </si>
  <si>
    <t>B 1*5180 :04 SEP 2026 03:26:46 PM</t>
  </si>
  <si>
    <t>B 10*1814 :04 SEP 2026 09:52:27 AM</t>
  </si>
  <si>
    <t>B 40*212 :04 SEP 2026 02:45:11 PM</t>
  </si>
  <si>
    <t>B 5*421 :04 SEP 2026 09:00:48 AM</t>
  </si>
  <si>
    <t>S 2*3440 :04 SEP 2026 09:00:45 AM</t>
  </si>
  <si>
    <t>S 25*360 :04 SEP 2026 09:00:44 AM</t>
  </si>
  <si>
    <t>S 10*947 :04 SEP 2026 09:00:44 AM</t>
  </si>
  <si>
    <t>S 3*1794 :04 SEP 2026 09:00:46 AM</t>
  </si>
  <si>
    <t>S 5*1794 :04 SEP 2026 09:00:46 AM</t>
  </si>
  <si>
    <t>GTD</t>
  </si>
  <si>
    <t>Y</t>
  </si>
  <si>
    <t>B 20*316.7 :07 SEP 2026 12:44:17 PM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</si>
  <si>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</si>
  <si>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</si>
  <si>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</si>
  <si>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</si>
  <si>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</si>
  <si>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</si>
  <si>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08 SEP 2026 12:08:32 PM</t>
  </si>
  <si>
    <t>08 SEP 2026 09:00:52 AM</t>
  </si>
  <si>
    <t>08 SEP 2026 09:15:08 AM</t>
  </si>
  <si>
    <t>08 SEP 2026 09:00:53 AM</t>
  </si>
  <si>
    <t>B 10*265.7 :08 SEP 2026 12:08:32 PM</t>
  </si>
  <si>
    <t>B 20*281 :08 SEP 2026 09:00:52 AM</t>
  </si>
  <si>
    <t>B 5*1714 :08 SEP 2026 09:00:52 AM</t>
  </si>
  <si>
    <t>B 90*290.1 :08 SEP 2026 09:00:52 AM</t>
  </si>
  <si>
    <t>B 500*33.16 :08 SEP 2026 09:15:08 AM</t>
  </si>
  <si>
    <t>B 20*917 :08 SEP 2026 09:00:52 AM</t>
  </si>
  <si>
    <t>B 5*3952 :08 SEP 2026 09:00:53 AM</t>
  </si>
  <si>
    <t>B (10/20)*917 :08 SEP 2026 09:00:52 AM</t>
  </si>
  <si>
    <t>B 5*3946.1 :08 SEP 2026 09:00:53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</si>
</sst>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  <font>
      <sz val="7"/>
      <color rgb="FF272B3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7" borderId="0" xfId="0" applyFill="1" applyAlignment="1">
      <alignment horizontal="center" vertical="top"/>
    </xf>
    <xf numFmtId="15" fontId="1" fillId="8" borderId="1" xfId="0" applyNumberFormat="1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0" fontId="1" fillId="8" borderId="1" xfId="0" applyFont="1" applyFill="1" applyBorder="1" applyAlignment="1">
      <alignment horizontal="right" wrapText="1"/>
    </xf>
    <xf numFmtId="0" fontId="0" fillId="9" borderId="1" xfId="0" applyFill="1" applyBorder="1" applyAlignment="1">
      <alignment horizontal="left" vertical="top"/>
    </xf>
    <xf numFmtId="0" fontId="0" fillId="9" borderId="0" xfId="0" applyFill="1" applyAlignment="1">
      <alignment horizontal="left" vertical="top"/>
    </xf>
    <xf numFmtId="0" fontId="0" fillId="9" borderId="0" xfId="0" applyFill="1"/>
    <xf numFmtId="0" fontId="0" fillId="9" borderId="0" xfId="0" applyFill="1" applyAlignment="1">
      <alignment horizontal="center" vertical="top"/>
    </xf>
    <xf numFmtId="22" fontId="1" fillId="10" borderId="1" xfId="0" applyNumberFormat="1" applyFont="1" applyFill="1" applyBorder="1" applyAlignment="1">
      <alignment horizontal="right" wrapText="1"/>
    </xf>
    <xf numFmtId="0" fontId="1" fillId="10" borderId="1" xfId="0" applyFont="1" applyFill="1" applyBorder="1" applyAlignment="1">
      <alignment wrapText="1"/>
    </xf>
    <xf numFmtId="0" fontId="1" fillId="10" borderId="1" xfId="0" applyFont="1" applyFill="1" applyBorder="1" applyAlignment="1">
      <alignment horizontal="right" wrapText="1"/>
    </xf>
    <xf numFmtId="15" fontId="1" fillId="10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6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7" borderId="1" xfId="0" applyFill="1" applyBorder="1" applyAlignment="1">
      <alignment horizontal="left" vertical="top"/>
    </xf>
    <xf numFmtId="0" fontId="0" fillId="2" borderId="0" xfId="0" applyFill="1" applyAlignment="1">
      <alignment horizontal="left" vertical="top" wrapText="1"/>
    </xf>
    <xf numFmtId="0" fontId="0" fillId="11" borderId="0" xfId="0" applyFill="1" applyAlignment="1">
      <alignment horizontal="center" vertical="top"/>
    </xf>
    <xf numFmtId="0" fontId="0" fillId="11" borderId="0" xfId="0" applyFill="1"/>
    <xf numFmtId="0" fontId="8" fillId="0" borderId="0" xfId="0" applyFont="1" applyAlignment="1">
      <alignment vertical="center" wrapText="1"/>
    </xf>
    <xf numFmtId="22" fontId="0" fillId="0" borderId="0" xfId="0" applyNumberFormat="1" applyAlignment="1">
      <alignment horizontal="center" vertical="top"/>
    </xf>
    <xf numFmtId="22" fontId="0" fillId="9" borderId="0" xfId="0" applyNumberFormat="1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22" fontId="1" fillId="10" borderId="1" xfId="0" applyNumberFormat="1" applyFont="1" applyFill="1" applyBorder="1" applyAlignment="1">
      <alignment horizontal="center" vertical="top" wrapText="1"/>
    </xf>
    <xf numFmtId="0" fontId="1" fillId="10" borderId="1" xfId="0" applyFont="1" applyFill="1" applyBorder="1" applyAlignment="1">
      <alignment horizontal="center" vertical="top" wrapText="1"/>
    </xf>
    <xf numFmtId="0" fontId="0" fillId="0" borderId="0" xfId="0" applyBorder="1" applyAlignment="1">
      <alignment horizontal="left" vertical="top"/>
    </xf>
    <xf numFmtId="0" fontId="0" fillId="0" borderId="0" xfId="0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O284"/>
  <sheetViews>
    <sheetView tabSelected="1" zoomScaleNormal="100" workbookViewId="0">
      <pane ySplit="1" topLeftCell="A100" activePane="bottomLeft" state="frozen"/>
      <selection pane="bottomLeft" activeCell="F108" sqref="F108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5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153</v>
      </c>
      <c r="L1" s="18" t="s">
        <v>154</v>
      </c>
      <c r="M1" s="18" t="s">
        <v>155</v>
      </c>
      <c r="O1" s="10" t="s">
        <v>261</v>
      </c>
    </row>
    <row r="2" spans="1:15" customFormat="1" ht="27.65" hidden="1" customHeight="1" thickBot="1" x14ac:dyDescent="0.4">
      <c r="A2" s="6" t="s">
        <v>62</v>
      </c>
      <c r="B2" s="1" t="s">
        <v>115</v>
      </c>
      <c r="C2" s="1" t="s">
        <v>10</v>
      </c>
      <c r="D2" s="4">
        <v>2</v>
      </c>
      <c r="E2" s="4">
        <v>660</v>
      </c>
      <c r="F2" s="4">
        <v>-24.107399529999999</v>
      </c>
      <c r="G2" s="2" t="s">
        <v>116</v>
      </c>
      <c r="H2" s="5">
        <v>869.65</v>
      </c>
      <c r="I2" s="1" t="s">
        <v>8</v>
      </c>
      <c r="J2" s="42"/>
      <c r="K2" s="17"/>
      <c r="L2" s="17"/>
      <c r="M2" s="17"/>
      <c r="N2" t="str">
        <f>IF(COUNTIFS( $B$2:$B$787, B2, $C$2:$C$787, C2, $D$2:$D$787, D2, $E$2:$E$787, E2) &gt; 1, "Duplicate", "Unique")</f>
        <v>Unique</v>
      </c>
    </row>
    <row r="3" spans="1:15" customFormat="1" ht="27.65" hidden="1" customHeight="1" thickBot="1" x14ac:dyDescent="0.4">
      <c r="A3" s="6" t="s">
        <v>62</v>
      </c>
      <c r="B3" s="1" t="s">
        <v>92</v>
      </c>
      <c r="C3" s="1" t="s">
        <v>10</v>
      </c>
      <c r="D3" s="4">
        <v>2</v>
      </c>
      <c r="E3" s="4">
        <v>2560</v>
      </c>
      <c r="F3" s="4">
        <v>-23.39687004</v>
      </c>
      <c r="G3" s="2" t="s">
        <v>93</v>
      </c>
      <c r="H3" s="5">
        <v>3341.9</v>
      </c>
      <c r="I3" s="1" t="s">
        <v>8</v>
      </c>
      <c r="J3" s="42"/>
      <c r="K3" s="17"/>
      <c r="L3" s="17"/>
      <c r="M3" s="17"/>
      <c r="N3" t="str">
        <f>IF(COUNTIFS( $B$2:$B$787, B3, $C$2:$C$787, C3, $D$2:$D$787, D3, $E$2:$E$787, E3) &gt; 1, "Duplicate", "Unique")</f>
        <v>Unique</v>
      </c>
    </row>
    <row r="4" spans="1:15" customFormat="1" ht="27.65" hidden="1" customHeight="1" thickBot="1" x14ac:dyDescent="0.4">
      <c r="A4" s="6" t="s">
        <v>62</v>
      </c>
      <c r="B4" s="1" t="s">
        <v>12</v>
      </c>
      <c r="C4" s="1" t="s">
        <v>10</v>
      </c>
      <c r="D4" s="4">
        <v>1</v>
      </c>
      <c r="E4" s="4">
        <v>3914</v>
      </c>
      <c r="F4" s="4">
        <v>-23.269947070000001</v>
      </c>
      <c r="G4" s="2" t="s">
        <v>98</v>
      </c>
      <c r="H4" s="5">
        <v>5101</v>
      </c>
      <c r="I4" s="1" t="s">
        <v>8</v>
      </c>
      <c r="J4" s="43" t="s">
        <v>41</v>
      </c>
      <c r="K4" s="17"/>
      <c r="L4" s="17"/>
      <c r="M4" s="17"/>
      <c r="N4" t="str">
        <f>IF(COUNTIFS( $B$2:$B$787, B4, $C$2:$C$787, C4, $D$2:$D$787, D4, $E$2:$E$787, E4) &gt; 1, "Duplicate", "Unique")</f>
        <v>Unique</v>
      </c>
    </row>
    <row r="5" spans="1:15" customFormat="1" ht="15" hidden="1" customHeight="1" thickBot="1" x14ac:dyDescent="0.4">
      <c r="A5" s="6" t="s">
        <v>62</v>
      </c>
      <c r="B5" s="1" t="s">
        <v>12</v>
      </c>
      <c r="C5" s="1" t="s">
        <v>10</v>
      </c>
      <c r="D5" s="4">
        <v>1</v>
      </c>
      <c r="E5" s="4">
        <v>4014</v>
      </c>
      <c r="F5" s="4">
        <v>-21.30954715</v>
      </c>
      <c r="G5" s="2" t="s">
        <v>98</v>
      </c>
      <c r="H5" s="5">
        <v>5101</v>
      </c>
      <c r="I5" s="1" t="s">
        <v>8</v>
      </c>
      <c r="J5" s="42"/>
      <c r="K5" s="17"/>
      <c r="L5" s="17"/>
      <c r="M5" s="17"/>
      <c r="N5" t="str">
        <f>IF(COUNTIFS( $B$2:$B$787, B5, $C$2:$C$787, C5, $D$2:$D$787, D5, $E$2:$E$787, E5) &gt; 1, "Duplicate", "Unique")</f>
        <v>Unique</v>
      </c>
    </row>
    <row r="6" spans="1:15" customFormat="1" ht="40.75" hidden="1" customHeight="1" thickBot="1" x14ac:dyDescent="0.4">
      <c r="A6" s="3">
        <v>46252.688194444447</v>
      </c>
      <c r="B6" s="1" t="s">
        <v>96</v>
      </c>
      <c r="C6" s="1" t="s">
        <v>10</v>
      </c>
      <c r="D6" s="4">
        <v>45</v>
      </c>
      <c r="E6" s="4">
        <v>136.15</v>
      </c>
      <c r="F6" s="4">
        <v>-20.843023259999999</v>
      </c>
      <c r="G6" s="2" t="s">
        <v>97</v>
      </c>
      <c r="H6" s="5">
        <v>172</v>
      </c>
      <c r="I6" s="1" t="s">
        <v>8</v>
      </c>
      <c r="J6" s="42"/>
      <c r="K6" s="17"/>
      <c r="L6" s="17"/>
      <c r="M6" s="17"/>
      <c r="N6" t="str">
        <f>IF(COUNTIFS( $B$2:$B$787, B6, $C$2:$C$787, C6, $D$2:$D$787, D6, $E$2:$E$787, E6) &gt; 1, "Duplicate", "Unique")</f>
        <v>Unique</v>
      </c>
    </row>
    <row r="7" spans="1:15" customFormat="1" ht="27.65" hidden="1" customHeight="1" thickBot="1" x14ac:dyDescent="0.4">
      <c r="A7" s="6" t="s">
        <v>62</v>
      </c>
      <c r="B7" s="1" t="s">
        <v>92</v>
      </c>
      <c r="C7" s="1" t="s">
        <v>10</v>
      </c>
      <c r="D7" s="4">
        <v>2</v>
      </c>
      <c r="E7" s="4">
        <v>2660</v>
      </c>
      <c r="F7" s="4">
        <v>-20.404560279999998</v>
      </c>
      <c r="G7" s="2" t="s">
        <v>93</v>
      </c>
      <c r="H7" s="5">
        <v>3341.9</v>
      </c>
      <c r="I7" s="1" t="s">
        <v>8</v>
      </c>
      <c r="J7" s="42"/>
      <c r="K7" s="17"/>
      <c r="L7" s="17"/>
      <c r="M7" s="17"/>
      <c r="N7" t="str">
        <f>IF(COUNTIFS( $B$2:$B$787, B7, $C$2:$C$787, C7, $D$2:$D$787, D7, $E$2:$E$787, E7) &gt; 1, "Duplicate", "Unique")</f>
        <v>Unique</v>
      </c>
    </row>
    <row r="8" spans="1:15" customFormat="1" ht="40.75" hidden="1" customHeight="1" thickBot="1" x14ac:dyDescent="0.4">
      <c r="A8" s="6" t="s">
        <v>62</v>
      </c>
      <c r="B8" s="1" t="s">
        <v>34</v>
      </c>
      <c r="C8" s="1" t="s">
        <v>10</v>
      </c>
      <c r="D8" s="4">
        <v>1</v>
      </c>
      <c r="E8" s="4">
        <v>18052</v>
      </c>
      <c r="F8" s="4">
        <v>-19.1218638</v>
      </c>
      <c r="G8" s="2" t="s">
        <v>71</v>
      </c>
      <c r="H8" s="5">
        <v>22320</v>
      </c>
      <c r="I8" s="1" t="s">
        <v>8</v>
      </c>
      <c r="J8" s="42"/>
      <c r="K8" s="17"/>
      <c r="L8" s="17"/>
      <c r="M8" s="17"/>
      <c r="N8" t="str">
        <f>IF(COUNTIFS( $B$2:$B$787, B8, $C$2:$C$787, C8, $D$2:$D$787, D8, $E$2:$E$787, E8) &gt; 1, "Duplicate", "Unique")</f>
        <v>Unique</v>
      </c>
    </row>
    <row r="9" spans="1:15" customFormat="1" ht="27.65" hidden="1" customHeight="1" thickBot="1" x14ac:dyDescent="0.4">
      <c r="A9" s="6" t="s">
        <v>62</v>
      </c>
      <c r="B9" s="1" t="s">
        <v>12</v>
      </c>
      <c r="C9" s="1" t="s">
        <v>10</v>
      </c>
      <c r="D9" s="4">
        <v>1</v>
      </c>
      <c r="E9" s="4">
        <v>4164</v>
      </c>
      <c r="F9" s="4">
        <v>-18.36894727</v>
      </c>
      <c r="G9" s="2" t="s">
        <v>98</v>
      </c>
      <c r="H9" s="5">
        <v>5101</v>
      </c>
      <c r="I9" s="1" t="s">
        <v>8</v>
      </c>
      <c r="J9" s="42"/>
      <c r="K9" s="17"/>
      <c r="L9" s="17"/>
      <c r="M9" s="17"/>
      <c r="N9" t="str">
        <f>IF(COUNTIFS( $B$2:$B$787, B9, $C$2:$C$787, C9, $D$2:$D$787, D9, $E$2:$E$787, E9) &gt; 1, "Duplicate", "Unique")</f>
        <v>Unique</v>
      </c>
    </row>
    <row r="10" spans="1:15" customFormat="1" ht="27.65" hidden="1" customHeight="1" thickBot="1" x14ac:dyDescent="0.4">
      <c r="A10" s="6" t="s">
        <v>62</v>
      </c>
      <c r="B10" s="1" t="s">
        <v>92</v>
      </c>
      <c r="C10" s="1" t="s">
        <v>10</v>
      </c>
      <c r="D10" s="4">
        <v>1</v>
      </c>
      <c r="E10" s="4">
        <v>2752</v>
      </c>
      <c r="F10" s="4">
        <v>-17.651635299999999</v>
      </c>
      <c r="G10" s="2" t="s">
        <v>93</v>
      </c>
      <c r="H10" s="5">
        <v>3341.9</v>
      </c>
      <c r="I10" s="1" t="s">
        <v>8</v>
      </c>
      <c r="J10" s="42"/>
      <c r="K10" s="17"/>
      <c r="L10" s="17"/>
      <c r="M10" s="17"/>
      <c r="N10" t="str">
        <f>IF(COUNTIFS( $B$2:$B$787, B10, $C$2:$C$787, C10, $D$2:$D$787, D10, $E$2:$E$787, E10) &gt; 1, "Duplicate", "Unique")</f>
        <v>Unique</v>
      </c>
    </row>
    <row r="11" spans="1:15" customFormat="1" ht="27.65" hidden="1" customHeight="1" thickBot="1" x14ac:dyDescent="0.4">
      <c r="A11" s="6" t="s">
        <v>62</v>
      </c>
      <c r="B11" s="1" t="s">
        <v>34</v>
      </c>
      <c r="C11" s="1" t="s">
        <v>10</v>
      </c>
      <c r="D11" s="4">
        <v>1</v>
      </c>
      <c r="E11" s="4">
        <v>18552</v>
      </c>
      <c r="F11" s="4">
        <v>-16.881720430000001</v>
      </c>
      <c r="G11" s="2" t="s">
        <v>71</v>
      </c>
      <c r="H11" s="5">
        <v>22320</v>
      </c>
      <c r="I11" s="1" t="s">
        <v>8</v>
      </c>
      <c r="J11" s="42"/>
      <c r="K11" s="17"/>
      <c r="L11" s="17"/>
      <c r="M11" s="17"/>
      <c r="N11" t="str">
        <f>IF(COUNTIFS( $B$2:$B$787, B11, $C$2:$C$787, C11, $D$2:$D$787, D11, $E$2:$E$787, E11) &gt; 1, "Duplicate", "Unique")</f>
        <v>Unique</v>
      </c>
    </row>
    <row r="12" spans="1:15" customFormat="1" ht="15" hidden="1" customHeight="1" thickBot="1" x14ac:dyDescent="0.4">
      <c r="A12" s="6" t="s">
        <v>62</v>
      </c>
      <c r="B12" s="1" t="s">
        <v>100</v>
      </c>
      <c r="C12" s="1" t="s">
        <v>10</v>
      </c>
      <c r="D12" s="4">
        <v>25</v>
      </c>
      <c r="E12" s="4">
        <v>196</v>
      </c>
      <c r="F12" s="4">
        <v>-16.595744679999999</v>
      </c>
      <c r="G12" s="2" t="s">
        <v>101</v>
      </c>
      <c r="H12" s="5">
        <v>235</v>
      </c>
      <c r="I12" s="1" t="s">
        <v>8</v>
      </c>
      <c r="J12" s="42"/>
      <c r="K12" s="17"/>
      <c r="L12" s="17"/>
      <c r="M12" s="17"/>
      <c r="N12" t="str">
        <f>IF(COUNTIFS( $B$2:$B$787, B12, $C$2:$C$787, C12, $D$2:$D$787, D12, $E$2:$E$787, E12) &gt; 1, "Duplicate", "Unique")</f>
        <v>Unique</v>
      </c>
    </row>
    <row r="13" spans="1:15" customFormat="1" ht="27.65" hidden="1" customHeight="1" thickBot="1" x14ac:dyDescent="0.4">
      <c r="A13" s="6" t="s">
        <v>62</v>
      </c>
      <c r="B13" s="1" t="s">
        <v>34</v>
      </c>
      <c r="C13" s="1" t="s">
        <v>10</v>
      </c>
      <c r="D13" s="4">
        <v>1</v>
      </c>
      <c r="E13" s="4">
        <v>19052</v>
      </c>
      <c r="F13" s="4">
        <v>-14.641577059999999</v>
      </c>
      <c r="G13" s="2" t="s">
        <v>71</v>
      </c>
      <c r="H13" s="5">
        <v>22320</v>
      </c>
      <c r="I13" s="1" t="s">
        <v>8</v>
      </c>
      <c r="J13" s="42"/>
      <c r="K13" s="17"/>
      <c r="L13" s="17"/>
      <c r="M13" s="17"/>
      <c r="N13" t="str">
        <f>IF(COUNTIFS( $B$2:$B$787, B13, $C$2:$C$787, C13, $D$2:$D$787, D13, $E$2:$E$787, E13) &gt; 1, "Duplicate", "Unique")</f>
        <v>Unique</v>
      </c>
    </row>
    <row r="14" spans="1:15" customFormat="1" ht="27.65" hidden="1" customHeight="1" thickBot="1" x14ac:dyDescent="0.4">
      <c r="A14" s="6" t="s">
        <v>62</v>
      </c>
      <c r="B14" s="1" t="s">
        <v>12</v>
      </c>
      <c r="C14" s="1" t="s">
        <v>10</v>
      </c>
      <c r="D14" s="4">
        <v>1</v>
      </c>
      <c r="E14" s="4">
        <v>4364</v>
      </c>
      <c r="F14" s="4">
        <v>-14.44814742</v>
      </c>
      <c r="G14" s="2" t="s">
        <v>98</v>
      </c>
      <c r="H14" s="5">
        <v>5101</v>
      </c>
      <c r="I14" s="1" t="s">
        <v>8</v>
      </c>
      <c r="J14" s="43" t="s">
        <v>41</v>
      </c>
      <c r="K14" s="17"/>
      <c r="L14" s="17"/>
      <c r="M14" s="17"/>
      <c r="N14" t="str">
        <f>IF(COUNTIFS( $B$2:$B$787, B14, $C$2:$C$787, C14, $D$2:$D$787, D14, $E$2:$E$787, E14) &gt; 1, "Duplicate", "Unique")</f>
        <v>Unique</v>
      </c>
    </row>
    <row r="15" spans="1:15" customFormat="1" ht="15" hidden="1" customHeight="1" thickBot="1" x14ac:dyDescent="0.4">
      <c r="A15" s="6" t="s">
        <v>62</v>
      </c>
      <c r="B15" s="1" t="s">
        <v>12</v>
      </c>
      <c r="C15" s="1" t="s">
        <v>10</v>
      </c>
      <c r="D15" s="4">
        <v>2</v>
      </c>
      <c r="E15" s="4">
        <v>4410</v>
      </c>
      <c r="F15" s="4">
        <v>-13.54636346</v>
      </c>
      <c r="G15" s="2" t="s">
        <v>98</v>
      </c>
      <c r="H15" s="5">
        <v>5101</v>
      </c>
      <c r="I15" s="1" t="s">
        <v>8</v>
      </c>
      <c r="J15" s="42"/>
      <c r="K15" s="17"/>
      <c r="L15" s="17"/>
      <c r="M15" s="17"/>
      <c r="N15" t="str">
        <f>IF(COUNTIFS( $B$2:$B$787, B15, $C$2:$C$787, C15, $D$2:$D$787, D15, $E$2:$E$787, E15) &gt; 1, "Duplicate", "Unique")</f>
        <v>Unique</v>
      </c>
    </row>
    <row r="16" spans="1:15" customFormat="1" ht="40.75" hidden="1" customHeight="1" thickBot="1" x14ac:dyDescent="0.4">
      <c r="A16" s="3">
        <v>46252.635416666664</v>
      </c>
      <c r="B16" s="1" t="s">
        <v>92</v>
      </c>
      <c r="C16" s="1" t="s">
        <v>10</v>
      </c>
      <c r="D16" s="4">
        <v>2</v>
      </c>
      <c r="E16" s="4">
        <v>2892</v>
      </c>
      <c r="F16" s="4">
        <v>-13.46240163</v>
      </c>
      <c r="G16" s="2" t="s">
        <v>93</v>
      </c>
      <c r="H16" s="5">
        <v>3341.9</v>
      </c>
      <c r="I16" s="1" t="s">
        <v>8</v>
      </c>
      <c r="J16" s="42"/>
      <c r="K16" s="17"/>
      <c r="L16" s="17"/>
      <c r="M16" s="17"/>
      <c r="N16" t="str">
        <f>IF(COUNTIFS( $B$2:$B$787, B16, $C$2:$C$787, C16, $D$2:$D$787, D16, $E$2:$E$787, E16) &gt; 1, "Duplicate", "Unique")</f>
        <v>Unique</v>
      </c>
    </row>
    <row r="17" spans="1:15" customFormat="1" ht="27.65" hidden="1" customHeight="1" thickBot="1" x14ac:dyDescent="0.4">
      <c r="A17" s="6" t="s">
        <v>62</v>
      </c>
      <c r="B17" s="1" t="s">
        <v>113</v>
      </c>
      <c r="C17" s="1" t="s">
        <v>10</v>
      </c>
      <c r="D17" s="4">
        <v>4</v>
      </c>
      <c r="E17" s="4">
        <v>701</v>
      </c>
      <c r="F17" s="4">
        <v>-12.91925466</v>
      </c>
      <c r="G17" s="2" t="s">
        <v>114</v>
      </c>
      <c r="H17" s="5">
        <v>805</v>
      </c>
      <c r="I17" s="1" t="s">
        <v>8</v>
      </c>
      <c r="J17" s="42" t="s">
        <v>41</v>
      </c>
      <c r="K17" s="17"/>
      <c r="L17" s="17"/>
      <c r="M17" s="17"/>
      <c r="N17" t="str">
        <f>IF(COUNTIFS( $B$2:$B$787, B17, $C$2:$C$787, C17, $D$2:$D$787, D17, $E$2:$E$787, E17) &gt; 1, "Duplicate", "Unique")</f>
        <v>Unique</v>
      </c>
    </row>
    <row r="18" spans="1:15" customFormat="1" ht="27.65" hidden="1" customHeight="1" thickBot="1" x14ac:dyDescent="0.4">
      <c r="A18" s="29">
        <v>46255</v>
      </c>
      <c r="B18" s="30" t="s">
        <v>34</v>
      </c>
      <c r="C18" s="30" t="s">
        <v>10</v>
      </c>
      <c r="D18" s="31">
        <v>1</v>
      </c>
      <c r="E18" s="31">
        <v>19550</v>
      </c>
      <c r="F18" s="4">
        <v>-12.410394269999999</v>
      </c>
      <c r="G18" s="2" t="s">
        <v>71</v>
      </c>
      <c r="H18" s="5">
        <v>22320</v>
      </c>
      <c r="I18" s="1" t="s">
        <v>8</v>
      </c>
      <c r="J18" s="45" t="s">
        <v>41</v>
      </c>
      <c r="K18" s="27" t="s">
        <v>149</v>
      </c>
      <c r="L18" s="27">
        <v>19992</v>
      </c>
      <c r="M18" s="27">
        <f>ABS((D18*E18)-L18)</f>
        <v>442</v>
      </c>
      <c r="N18" s="28" t="str">
        <f>IF(COUNTIFS( $B$2:$B$787, B18, $C$2:$C$787, C18, $D$2:$D$787, D18, $E$2:$E$787, E18) &gt; 1, "Duplicate", "Unique")</f>
        <v>Unique</v>
      </c>
    </row>
    <row r="19" spans="1:15" customFormat="1" ht="27.65" hidden="1" customHeight="1" thickBot="1" x14ac:dyDescent="0.4">
      <c r="A19" s="6" t="s">
        <v>62</v>
      </c>
      <c r="B19" s="1" t="s">
        <v>109</v>
      </c>
      <c r="C19" s="1" t="s">
        <v>10</v>
      </c>
      <c r="D19" s="4">
        <v>15</v>
      </c>
      <c r="E19" s="4">
        <v>4415</v>
      </c>
      <c r="F19" s="4">
        <v>-12.383409410000001</v>
      </c>
      <c r="G19" s="2" t="s">
        <v>110</v>
      </c>
      <c r="H19" s="5">
        <v>5039</v>
      </c>
      <c r="I19" s="1" t="s">
        <v>8</v>
      </c>
      <c r="J19" s="42"/>
      <c r="K19" s="17"/>
      <c r="L19" s="17"/>
      <c r="M19" s="17"/>
      <c r="N19" t="str">
        <f>IF(COUNTIFS( $B$2:$B$787, B19, $C$2:$C$787, C19, $D$2:$D$787, D19, $E$2:$E$787, E19) &gt; 1, "Duplicate", "Unique")</f>
        <v>Unique</v>
      </c>
    </row>
    <row r="20" spans="1:15" s="34" customFormat="1" ht="27.65" hidden="1" customHeight="1" thickBot="1" x14ac:dyDescent="0.4">
      <c r="A20" s="6" t="s">
        <v>62</v>
      </c>
      <c r="B20" s="1" t="s">
        <v>11</v>
      </c>
      <c r="C20" s="1" t="s">
        <v>10</v>
      </c>
      <c r="D20" s="4">
        <v>10</v>
      </c>
      <c r="E20" s="4">
        <v>251</v>
      </c>
      <c r="F20" s="4">
        <v>-11.92982456</v>
      </c>
      <c r="G20" s="2" t="s">
        <v>99</v>
      </c>
      <c r="H20" s="5">
        <v>285</v>
      </c>
      <c r="I20" s="1" t="s">
        <v>8</v>
      </c>
      <c r="J20" s="42"/>
      <c r="K20" s="17"/>
      <c r="L20" s="17"/>
      <c r="M20" s="17"/>
      <c r="N20" t="str">
        <f>IF(COUNTIFS( $B$2:$B$787, B20, $C$2:$C$787, C20, $D$2:$D$787, D20, $E$2:$E$787, E20) &gt; 1, "Duplicate", "Unique")</f>
        <v>Unique</v>
      </c>
      <c r="O20"/>
    </row>
    <row r="21" spans="1:15" customFormat="1" ht="15" hidden="1" customHeight="1" thickBot="1" x14ac:dyDescent="0.4">
      <c r="A21" s="6" t="s">
        <v>62</v>
      </c>
      <c r="B21" s="1" t="s">
        <v>20</v>
      </c>
      <c r="C21" s="1" t="s">
        <v>10</v>
      </c>
      <c r="D21" s="4">
        <v>100</v>
      </c>
      <c r="E21" s="4">
        <v>111</v>
      </c>
      <c r="F21" s="4">
        <v>-11.8207817</v>
      </c>
      <c r="G21" s="2" t="s">
        <v>86</v>
      </c>
      <c r="H21" s="5">
        <v>125.88</v>
      </c>
      <c r="I21" s="1" t="s">
        <v>8</v>
      </c>
      <c r="J21" s="42"/>
      <c r="K21" s="17"/>
      <c r="L21" s="17"/>
      <c r="M21" s="17"/>
      <c r="N21" t="str">
        <f>IF(COUNTIFS( $B$2:$B$787, B21, $C$2:$C$787, C21, $D$2:$D$787, D21, $E$2:$E$787, E21) &gt; 1, "Duplicate", "Unique")</f>
        <v>Unique</v>
      </c>
    </row>
    <row r="22" spans="1:15" customFormat="1" ht="40.75" hidden="1" customHeight="1" thickBot="1" x14ac:dyDescent="0.4">
      <c r="A22" s="6" t="s">
        <v>62</v>
      </c>
      <c r="B22" s="1" t="s">
        <v>18</v>
      </c>
      <c r="C22" s="1" t="s">
        <v>10</v>
      </c>
      <c r="D22" s="4">
        <v>5</v>
      </c>
      <c r="E22" s="4">
        <v>1614</v>
      </c>
      <c r="F22" s="4">
        <v>-11.73092699</v>
      </c>
      <c r="G22" s="2" t="s">
        <v>102</v>
      </c>
      <c r="H22" s="5">
        <v>1828.5</v>
      </c>
      <c r="I22" s="1" t="s">
        <v>8</v>
      </c>
      <c r="J22" s="22" t="s">
        <v>41</v>
      </c>
      <c r="K22" s="17"/>
      <c r="L22" s="17"/>
      <c r="M22" s="17"/>
      <c r="N22" t="str">
        <f>IF(COUNTIFS( $B$2:$B$787, B22, $C$2:$C$787, C22, $D$2:$D$787, D22, $E$2:$E$787, E22) &gt; 1, "Duplicate", "Unique")</f>
        <v>Unique</v>
      </c>
    </row>
    <row r="23" spans="1:15" customFormat="1" ht="15" hidden="1" customHeight="1" thickBot="1" x14ac:dyDescent="0.4">
      <c r="A23" s="6" t="s">
        <v>62</v>
      </c>
      <c r="B23" s="1" t="s">
        <v>109</v>
      </c>
      <c r="C23" s="1" t="s">
        <v>10</v>
      </c>
      <c r="D23" s="4">
        <v>2</v>
      </c>
      <c r="E23" s="4">
        <v>4456</v>
      </c>
      <c r="F23" s="4">
        <v>-11.569755900000001</v>
      </c>
      <c r="G23" s="2" t="s">
        <v>110</v>
      </c>
      <c r="H23" s="5">
        <v>5039</v>
      </c>
      <c r="I23" s="1" t="s">
        <v>8</v>
      </c>
      <c r="J23" s="42"/>
      <c r="K23" s="17"/>
      <c r="L23" s="17"/>
      <c r="M23" s="17"/>
      <c r="N23" t="str">
        <f>IF(COUNTIFS( $B$2:$B$787, B23, $C$2:$C$787, C23, $D$2:$D$787, D23, $E$2:$E$787, E23) &gt; 1, "Duplicate", "Unique")</f>
        <v>Unique</v>
      </c>
    </row>
    <row r="24" spans="1:15" customFormat="1" ht="27.65" hidden="1" customHeight="1" thickBot="1" x14ac:dyDescent="0.4">
      <c r="A24" s="3">
        <v>46267.375</v>
      </c>
      <c r="B24" s="1" t="s">
        <v>34</v>
      </c>
      <c r="C24" s="1" t="s">
        <v>10</v>
      </c>
      <c r="D24" s="4">
        <v>1</v>
      </c>
      <c r="E24" s="4">
        <v>20050</v>
      </c>
      <c r="F24" s="4">
        <v>-10.170250899999999</v>
      </c>
      <c r="G24" s="2" t="s">
        <v>71</v>
      </c>
      <c r="H24" s="5">
        <v>22320</v>
      </c>
      <c r="I24" s="1" t="s">
        <v>8</v>
      </c>
      <c r="J24" s="24" t="s">
        <v>41</v>
      </c>
      <c r="K24" s="18" t="s">
        <v>244</v>
      </c>
      <c r="L24" s="18">
        <v>20350</v>
      </c>
      <c r="M24" s="18">
        <f>ABS((D24*E24)-L24)</f>
        <v>300</v>
      </c>
      <c r="N24" s="10" t="str">
        <f>IF(COUNTIFS( $B$2:$B$787, B24, $C$2:$C$787, C24, $D$2:$D$787, D24, $E$2:$E$787, E24) &gt; 1, "Duplicate", "Unique")</f>
        <v>Unique</v>
      </c>
    </row>
    <row r="25" spans="1:15" customFormat="1" ht="27.65" hidden="1" customHeight="1" thickBot="1" x14ac:dyDescent="0.4">
      <c r="A25" s="6" t="s">
        <v>62</v>
      </c>
      <c r="B25" s="1" t="s">
        <v>111</v>
      </c>
      <c r="C25" s="1" t="s">
        <v>10</v>
      </c>
      <c r="D25" s="4">
        <v>7</v>
      </c>
      <c r="E25" s="4">
        <v>411</v>
      </c>
      <c r="F25" s="4">
        <v>-10.06564551</v>
      </c>
      <c r="G25" s="2" t="s">
        <v>112</v>
      </c>
      <c r="H25" s="5">
        <v>457</v>
      </c>
      <c r="I25" s="1" t="s">
        <v>8</v>
      </c>
      <c r="J25" s="42"/>
      <c r="K25" s="17"/>
      <c r="L25" s="17"/>
      <c r="M25" s="17"/>
      <c r="N25" t="str">
        <f>IF(COUNTIFS( $B$2:$B$787, B25, $C$2:$C$787, C25, $D$2:$D$787, D25, $E$2:$E$787, E25) &gt; 1, "Duplicate", "Unique")</f>
        <v>Unique</v>
      </c>
    </row>
    <row r="26" spans="1:15" customFormat="1" ht="27.65" hidden="1" customHeight="1" thickBot="1" x14ac:dyDescent="0.4">
      <c r="A26" s="3">
        <v>46254.375</v>
      </c>
      <c r="B26" s="1" t="s">
        <v>33</v>
      </c>
      <c r="C26" s="1" t="s">
        <v>10</v>
      </c>
      <c r="D26" s="4">
        <v>7</v>
      </c>
      <c r="E26" s="4">
        <v>2230</v>
      </c>
      <c r="F26" s="4">
        <v>-9.7165991900000002</v>
      </c>
      <c r="G26" s="2" t="s">
        <v>84</v>
      </c>
      <c r="H26" s="5">
        <v>2470</v>
      </c>
      <c r="I26" s="1" t="s">
        <v>8</v>
      </c>
      <c r="J26" s="23" t="s">
        <v>55</v>
      </c>
      <c r="K26" s="17" t="s">
        <v>148</v>
      </c>
      <c r="L26" s="17"/>
      <c r="M26" s="17"/>
      <c r="N26" s="10" t="str">
        <f>IF(COUNTIFS( $B$2:$B$787, B26, $C$2:$C$787, C26, $D$2:$D$787, D26, $E$2:$E$787, E26) &gt; 1, "Duplicate", "Unique")</f>
        <v>Unique</v>
      </c>
    </row>
    <row r="27" spans="1:15" customFormat="1" ht="27.65" hidden="1" customHeight="1" thickBot="1" x14ac:dyDescent="0.4">
      <c r="A27" s="3">
        <v>46252.6875</v>
      </c>
      <c r="B27" s="1" t="s">
        <v>17</v>
      </c>
      <c r="C27" s="1" t="s">
        <v>10</v>
      </c>
      <c r="D27" s="4">
        <v>25</v>
      </c>
      <c r="E27" s="4">
        <v>326</v>
      </c>
      <c r="F27" s="4">
        <v>-9.5700416090000004</v>
      </c>
      <c r="G27" s="2" t="s">
        <v>77</v>
      </c>
      <c r="H27" s="5">
        <v>360.5</v>
      </c>
      <c r="I27" s="1" t="s">
        <v>8</v>
      </c>
      <c r="J27" s="42" t="s">
        <v>41</v>
      </c>
      <c r="K27" s="17"/>
      <c r="L27" s="17"/>
      <c r="M27" s="17"/>
      <c r="N27" t="str">
        <f>IF(COUNTIFS( $B$2:$B$787, B27, $C$2:$C$787, C27, $D$2:$D$787, D27, $E$2:$E$787, E27) &gt; 1, "Duplicate", "Unique")</f>
        <v>Unique</v>
      </c>
    </row>
    <row r="28" spans="1:15" customFormat="1" ht="15" hidden="1" customHeight="1" thickBot="1" x14ac:dyDescent="0.4">
      <c r="A28" s="6" t="s">
        <v>62</v>
      </c>
      <c r="B28" s="1" t="s">
        <v>109</v>
      </c>
      <c r="C28" s="1" t="s">
        <v>10</v>
      </c>
      <c r="D28" s="4">
        <v>1</v>
      </c>
      <c r="E28" s="4">
        <v>4560</v>
      </c>
      <c r="F28" s="4">
        <v>-9.5058543360000005</v>
      </c>
      <c r="G28" s="2" t="s">
        <v>110</v>
      </c>
      <c r="H28" s="5">
        <v>5039</v>
      </c>
      <c r="I28" s="1" t="s">
        <v>8</v>
      </c>
      <c r="J28" s="42"/>
      <c r="K28" s="17"/>
      <c r="L28" s="17"/>
      <c r="M28" s="17"/>
      <c r="N28" t="str">
        <f>IF(COUNTIFS( $B$2:$B$787, B28, $C$2:$C$787, C28, $D$2:$D$787, D28, $E$2:$E$787, E28) &gt; 1, "Duplicate", "Unique")</f>
        <v>Unique</v>
      </c>
    </row>
    <row r="29" spans="1:15" customFormat="1" ht="27.65" hidden="1" customHeight="1" thickBot="1" x14ac:dyDescent="0.4">
      <c r="A29" s="6" t="s">
        <v>62</v>
      </c>
      <c r="B29" s="1" t="s">
        <v>23</v>
      </c>
      <c r="C29" s="1" t="s">
        <v>10</v>
      </c>
      <c r="D29" s="4">
        <v>50</v>
      </c>
      <c r="E29" s="4">
        <v>196</v>
      </c>
      <c r="F29" s="4">
        <v>-9.2592592590000002</v>
      </c>
      <c r="G29" s="2" t="s">
        <v>70</v>
      </c>
      <c r="H29" s="5">
        <v>216</v>
      </c>
      <c r="I29" s="1" t="s">
        <v>8</v>
      </c>
      <c r="J29" s="42" t="s">
        <v>41</v>
      </c>
      <c r="K29" s="17"/>
      <c r="L29" s="17"/>
      <c r="M29" s="17"/>
      <c r="N29" t="str">
        <f>IF(COUNTIFS( $B$2:$B$787, B29, $C$2:$C$787, C29, $D$2:$D$787, D29, $E$2:$E$787, E29) &gt; 1, "Duplicate", "Unique")</f>
        <v>Unique</v>
      </c>
    </row>
    <row r="30" spans="1:15" customFormat="1" ht="27.65" hidden="1" customHeight="1" thickBot="1" x14ac:dyDescent="0.4">
      <c r="A30" s="6" t="s">
        <v>62</v>
      </c>
      <c r="B30" s="1" t="s">
        <v>31</v>
      </c>
      <c r="C30" s="1" t="s">
        <v>10</v>
      </c>
      <c r="D30" s="4">
        <v>10</v>
      </c>
      <c r="E30" s="4">
        <v>561</v>
      </c>
      <c r="F30" s="4">
        <v>-9.2086098070000002</v>
      </c>
      <c r="G30" s="2" t="s">
        <v>94</v>
      </c>
      <c r="H30" s="5">
        <v>617.9</v>
      </c>
      <c r="I30" s="1" t="s">
        <v>8</v>
      </c>
      <c r="J30" s="42" t="s">
        <v>41</v>
      </c>
      <c r="K30" s="17"/>
      <c r="L30" s="17"/>
      <c r="M30" s="17"/>
      <c r="N30" t="str">
        <f>IF(COUNTIFS( $B$2:$B$787, B30, $C$2:$C$787, C30, $D$2:$D$787, D30, $E$2:$E$787, E30) &gt; 1, "Duplicate", "Unique")</f>
        <v>Unique</v>
      </c>
    </row>
    <row r="31" spans="1:15" customFormat="1" ht="27.65" hidden="1" customHeight="1" thickBot="1" x14ac:dyDescent="0.4">
      <c r="A31" s="3">
        <v>46252.6875</v>
      </c>
      <c r="B31" s="1" t="s">
        <v>18</v>
      </c>
      <c r="C31" s="1" t="s">
        <v>10</v>
      </c>
      <c r="D31" s="4">
        <v>10</v>
      </c>
      <c r="E31" s="4">
        <v>1666</v>
      </c>
      <c r="F31" s="4">
        <v>-8.8870659009999997</v>
      </c>
      <c r="G31" s="2" t="s">
        <v>102</v>
      </c>
      <c r="H31" s="5">
        <v>1828.5</v>
      </c>
      <c r="I31" s="1" t="s">
        <v>8</v>
      </c>
      <c r="J31" s="42" t="s">
        <v>55</v>
      </c>
      <c r="K31" s="17"/>
      <c r="L31" s="17"/>
      <c r="M31" s="17"/>
      <c r="N31" t="str">
        <f>IF(COUNTIFS( $B$2:$B$787, B31, $C$2:$C$787, C31, $D$2:$D$787, D31, $E$2:$E$787, E31) &gt; 1, "Duplicate", "Unique")</f>
        <v>Unique</v>
      </c>
    </row>
    <row r="32" spans="1:15" customFormat="1" ht="27.65" hidden="1" customHeight="1" thickBot="1" x14ac:dyDescent="0.4">
      <c r="A32" s="6" t="s">
        <v>62</v>
      </c>
      <c r="B32" s="1" t="s">
        <v>78</v>
      </c>
      <c r="C32" s="1" t="s">
        <v>10</v>
      </c>
      <c r="D32" s="4">
        <v>69</v>
      </c>
      <c r="E32" s="4">
        <v>1277</v>
      </c>
      <c r="F32" s="4">
        <v>-8.7531261160000007</v>
      </c>
      <c r="G32" s="2" t="s">
        <v>79</v>
      </c>
      <c r="H32" s="5">
        <v>1399.5</v>
      </c>
      <c r="I32" s="1" t="s">
        <v>8</v>
      </c>
      <c r="J32" s="42"/>
      <c r="K32" s="17"/>
      <c r="L32" s="17"/>
      <c r="M32" s="17"/>
      <c r="N32" t="str">
        <f>IF(COUNTIFS( $B$2:$B$787, B32, $C$2:$C$787, C32, $D$2:$D$787, D32, $E$2:$E$787, E32) &gt; 1, "Duplicate", "Unique")</f>
        <v>Unique</v>
      </c>
    </row>
    <row r="33" spans="1:15" customFormat="1" ht="15" hidden="1" customHeight="1" thickBot="1" x14ac:dyDescent="0.4">
      <c r="A33" s="6" t="s">
        <v>62</v>
      </c>
      <c r="B33" s="1" t="s">
        <v>20</v>
      </c>
      <c r="C33" s="1" t="s">
        <v>10</v>
      </c>
      <c r="D33" s="4">
        <v>200</v>
      </c>
      <c r="E33" s="4">
        <v>115.25</v>
      </c>
      <c r="F33" s="4">
        <v>-8.4445503649999996</v>
      </c>
      <c r="G33" s="2" t="s">
        <v>86</v>
      </c>
      <c r="H33" s="5">
        <v>125.88</v>
      </c>
      <c r="I33" s="1" t="s">
        <v>8</v>
      </c>
      <c r="J33" s="42"/>
      <c r="K33" s="17"/>
      <c r="L33" s="17"/>
      <c r="M33" s="17"/>
      <c r="N33" t="str">
        <f>IF(COUNTIFS( $B$2:$B$787, B33, $C$2:$C$787, C33, $D$2:$D$787, D33, $E$2:$E$787, E33) &gt; 1, "Duplicate", "Unique")</f>
        <v>Unique</v>
      </c>
    </row>
    <row r="34" spans="1:15" customFormat="1" ht="27.65" hidden="1" customHeight="1" thickBot="1" x14ac:dyDescent="0.4">
      <c r="A34" s="3">
        <v>46258.601388888892</v>
      </c>
      <c r="B34" s="1" t="s">
        <v>33</v>
      </c>
      <c r="C34" s="1" t="s">
        <v>10</v>
      </c>
      <c r="D34" s="4">
        <v>3</v>
      </c>
      <c r="E34" s="4">
        <v>2271</v>
      </c>
      <c r="F34" s="4">
        <v>-8.0566801619999993</v>
      </c>
      <c r="G34" s="2" t="s">
        <v>84</v>
      </c>
      <c r="H34" s="5">
        <v>2470</v>
      </c>
      <c r="I34" s="1" t="s">
        <v>8</v>
      </c>
      <c r="J34" s="24" t="s">
        <v>55</v>
      </c>
      <c r="K34" s="18" t="s">
        <v>161</v>
      </c>
      <c r="L34" s="18">
        <v>7113</v>
      </c>
      <c r="M34" s="18">
        <f>ABS((D34*E34)-L34)</f>
        <v>300</v>
      </c>
      <c r="N34" s="10" t="str">
        <f>IF(COUNTIFS( $B$2:$B$787, B34, $C$2:$C$787, C34, $D$2:$D$787, D34, $E$2:$E$787, E34) &gt; 1, "Duplicate", "Unique")</f>
        <v>Unique</v>
      </c>
    </row>
    <row r="35" spans="1:15" customFormat="1" ht="15" hidden="1" customHeight="1" thickBot="1" x14ac:dyDescent="0.4">
      <c r="A35" s="6" t="s">
        <v>62</v>
      </c>
      <c r="B35" s="1" t="s">
        <v>32</v>
      </c>
      <c r="C35" s="1" t="s">
        <v>10</v>
      </c>
      <c r="D35" s="4">
        <v>25</v>
      </c>
      <c r="E35" s="4">
        <v>836</v>
      </c>
      <c r="F35" s="4">
        <v>-8.0308030800000001</v>
      </c>
      <c r="G35" s="2" t="s">
        <v>85</v>
      </c>
      <c r="H35" s="5">
        <v>909</v>
      </c>
      <c r="I35" s="1" t="s">
        <v>8</v>
      </c>
      <c r="J35" s="42" t="s">
        <v>118</v>
      </c>
      <c r="K35" s="17"/>
      <c r="L35" s="17"/>
      <c r="M35" s="17"/>
      <c r="N35" t="str">
        <f>IF(COUNTIFS( $B$2:$B$787, B35, $C$2:$C$787, C35, $D$2:$D$787, D35, $E$2:$E$787, E35) &gt; 1, "Duplicate", "Unique")</f>
        <v>Unique</v>
      </c>
    </row>
    <row r="36" spans="1:15" customFormat="1" ht="27.65" hidden="1" customHeight="1" thickBot="1" x14ac:dyDescent="0.4">
      <c r="A36" s="6" t="s">
        <v>62</v>
      </c>
      <c r="B36" s="1" t="s">
        <v>105</v>
      </c>
      <c r="C36" s="1" t="s">
        <v>10</v>
      </c>
      <c r="D36" s="4">
        <v>4</v>
      </c>
      <c r="E36" s="4">
        <v>1751</v>
      </c>
      <c r="F36" s="4">
        <v>-7.9873883340000003</v>
      </c>
      <c r="G36" s="2" t="s">
        <v>106</v>
      </c>
      <c r="H36" s="5">
        <v>1903</v>
      </c>
      <c r="I36" s="1" t="s">
        <v>8</v>
      </c>
      <c r="J36" s="42"/>
      <c r="K36" s="17"/>
      <c r="L36" s="17"/>
      <c r="M36" s="17"/>
      <c r="N36" t="str">
        <f>IF(COUNTIFS( $B$2:$B$787, B36, $C$2:$C$787, C36, $D$2:$D$787, D36, $E$2:$E$787, E36) &gt; 1, "Duplicate", "Unique")</f>
        <v>Unique</v>
      </c>
    </row>
    <row r="37" spans="1:15" customFormat="1" ht="27.65" hidden="1" customHeight="1" thickBot="1" x14ac:dyDescent="0.4">
      <c r="A37" s="6" t="s">
        <v>62</v>
      </c>
      <c r="B37" s="1" t="s">
        <v>109</v>
      </c>
      <c r="C37" s="1" t="s">
        <v>10</v>
      </c>
      <c r="D37" s="4">
        <v>1</v>
      </c>
      <c r="E37" s="4">
        <v>4640</v>
      </c>
      <c r="F37" s="4">
        <v>-7.918237746</v>
      </c>
      <c r="G37" s="2" t="s">
        <v>110</v>
      </c>
      <c r="H37" s="5">
        <v>5039</v>
      </c>
      <c r="I37" s="1" t="s">
        <v>8</v>
      </c>
      <c r="J37" s="42"/>
      <c r="K37" s="17"/>
      <c r="L37" s="17"/>
      <c r="M37" s="17"/>
      <c r="N37" t="str">
        <f>IF(COUNTIFS( $B$2:$B$787, B37, $C$2:$C$787, C37, $D$2:$D$787, D37, $E$2:$E$787, E37) &gt; 1, "Duplicate", "Unique")</f>
        <v>Unique</v>
      </c>
      <c r="O37" s="10"/>
    </row>
    <row r="38" spans="1:15" customFormat="1" ht="27.65" hidden="1" customHeight="1" thickBot="1" x14ac:dyDescent="0.4">
      <c r="A38" s="6" t="s">
        <v>62</v>
      </c>
      <c r="B38" s="1" t="s">
        <v>20</v>
      </c>
      <c r="C38" s="1" t="s">
        <v>10</v>
      </c>
      <c r="D38" s="4">
        <v>50</v>
      </c>
      <c r="E38" s="4">
        <v>116</v>
      </c>
      <c r="F38" s="4">
        <v>-7.8487448359999998</v>
      </c>
      <c r="G38" s="2" t="s">
        <v>86</v>
      </c>
      <c r="H38" s="5">
        <v>125.88</v>
      </c>
      <c r="I38" s="1" t="s">
        <v>8</v>
      </c>
      <c r="J38" s="42"/>
      <c r="K38" s="17"/>
      <c r="L38" s="17"/>
      <c r="M38" s="17"/>
      <c r="N38" t="str">
        <f>IF(COUNTIFS( $B$2:$B$787, B38, $C$2:$C$787, C38, $D$2:$D$787, D38, $E$2:$E$787, E38) &gt; 1, "Duplicate", "Unique")</f>
        <v>Unique</v>
      </c>
    </row>
    <row r="39" spans="1:15" customFormat="1" ht="27.65" hidden="1" customHeight="1" thickBot="1" x14ac:dyDescent="0.4">
      <c r="A39" s="6" t="s">
        <v>62</v>
      </c>
      <c r="B39" s="1" t="s">
        <v>12</v>
      </c>
      <c r="C39" s="1" t="s">
        <v>10</v>
      </c>
      <c r="D39" s="4">
        <v>3</v>
      </c>
      <c r="E39" s="4">
        <v>4710</v>
      </c>
      <c r="F39" s="4">
        <v>-7.6651636930000002</v>
      </c>
      <c r="G39" s="2" t="s">
        <v>98</v>
      </c>
      <c r="H39" s="5">
        <v>5101</v>
      </c>
      <c r="I39" s="1" t="s">
        <v>8</v>
      </c>
      <c r="J39" s="42"/>
      <c r="K39" s="17"/>
      <c r="L39" s="17"/>
      <c r="M39" s="17"/>
      <c r="N39" t="str">
        <f>IF(COUNTIFS( $B$2:$B$787, B39, $C$2:$C$787, C39, $D$2:$D$787, D39, $E$2:$E$787, E39) &gt; 1, "Duplicate", "Unique")</f>
        <v>Unique</v>
      </c>
    </row>
    <row r="40" spans="1:15" customFormat="1" ht="15" hidden="1" customHeight="1" thickBot="1" x14ac:dyDescent="0.4">
      <c r="A40" s="3">
        <v>46252.635416666664</v>
      </c>
      <c r="B40" s="1" t="s">
        <v>80</v>
      </c>
      <c r="C40" s="1" t="s">
        <v>10</v>
      </c>
      <c r="D40" s="4">
        <v>10</v>
      </c>
      <c r="E40" s="4">
        <v>1410</v>
      </c>
      <c r="F40" s="4">
        <v>-7.631837537</v>
      </c>
      <c r="G40" s="2" t="s">
        <v>81</v>
      </c>
      <c r="H40" s="5">
        <v>1526.5</v>
      </c>
      <c r="I40" s="1" t="s">
        <v>8</v>
      </c>
      <c r="J40" s="42"/>
      <c r="K40" s="17"/>
      <c r="L40" s="17"/>
      <c r="M40" s="17"/>
      <c r="N40" t="str">
        <f>IF(COUNTIFS( $B$2:$B$787, B40, $C$2:$C$787, C40, $D$2:$D$787, D40, $E$2:$E$787, E40) &gt; 1, "Duplicate", "Unique")</f>
        <v>Unique</v>
      </c>
    </row>
    <row r="41" spans="1:15" customFormat="1" ht="27.65" hidden="1" customHeight="1" thickBot="1" x14ac:dyDescent="0.4">
      <c r="A41" s="6" t="s">
        <v>62</v>
      </c>
      <c r="B41" s="1" t="s">
        <v>89</v>
      </c>
      <c r="C41" s="1" t="s">
        <v>10</v>
      </c>
      <c r="D41" s="4">
        <v>1</v>
      </c>
      <c r="E41" s="4">
        <v>13052</v>
      </c>
      <c r="F41" s="4">
        <v>-7.5768304769999997</v>
      </c>
      <c r="G41" s="2" t="s">
        <v>90</v>
      </c>
      <c r="H41" s="5">
        <v>14122</v>
      </c>
      <c r="I41" s="1" t="s">
        <v>8</v>
      </c>
      <c r="J41" s="42"/>
      <c r="K41" s="17"/>
      <c r="L41" s="17"/>
      <c r="M41" s="17"/>
      <c r="N41" t="str">
        <f>IF(COUNTIFS( $B$2:$B$787, B41, $C$2:$C$787, C41, $D$2:$D$787, D41, $E$2:$E$787, E41) &gt; 1, "Duplicate", "Unique")</f>
        <v>Unique</v>
      </c>
    </row>
    <row r="42" spans="1:15" customFormat="1" ht="27.65" hidden="1" customHeight="1" thickBot="1" x14ac:dyDescent="0.4">
      <c r="A42" s="3">
        <v>46252.688194444447</v>
      </c>
      <c r="B42" s="1" t="s">
        <v>21</v>
      </c>
      <c r="C42" s="1" t="s">
        <v>10</v>
      </c>
      <c r="D42" s="4">
        <v>5</v>
      </c>
      <c r="E42" s="4">
        <v>640</v>
      </c>
      <c r="F42" s="4">
        <v>-7.2329323089999997</v>
      </c>
      <c r="G42" s="2" t="s">
        <v>76</v>
      </c>
      <c r="H42" s="5">
        <v>689.9</v>
      </c>
      <c r="I42" s="1" t="s">
        <v>8</v>
      </c>
      <c r="J42" s="42"/>
      <c r="K42" s="17"/>
      <c r="L42" s="17"/>
      <c r="M42" s="17"/>
      <c r="N42" t="str">
        <f>IF(COUNTIFS( $B$2:$B$787, B42, $C$2:$C$787, C42, $D$2:$D$787, D42, $E$2:$E$787, E42) &gt; 1, "Duplicate", "Unique")</f>
        <v>Unique</v>
      </c>
    </row>
    <row r="43" spans="1:15" customFormat="1" ht="27.65" hidden="1" customHeight="1" thickBot="1" x14ac:dyDescent="0.4">
      <c r="A43" s="6" t="s">
        <v>62</v>
      </c>
      <c r="B43" s="1" t="s">
        <v>66</v>
      </c>
      <c r="C43" s="1" t="s">
        <v>10</v>
      </c>
      <c r="D43" s="4">
        <v>10</v>
      </c>
      <c r="E43" s="4">
        <v>1132</v>
      </c>
      <c r="F43" s="4">
        <v>-7.0988920799999997</v>
      </c>
      <c r="G43" s="2" t="s">
        <v>67</v>
      </c>
      <c r="H43" s="5">
        <v>1218.5</v>
      </c>
      <c r="I43" s="1" t="s">
        <v>8</v>
      </c>
      <c r="J43" s="42"/>
      <c r="K43" s="17"/>
      <c r="L43" s="17"/>
      <c r="M43" s="17"/>
      <c r="N43" t="str">
        <f>IF(COUNTIFS( $B$2:$B$787, B43, $C$2:$C$787, C43, $D$2:$D$787, D43, $E$2:$E$787, E43) &gt; 1, "Duplicate", "Unique")</f>
        <v>Unique</v>
      </c>
    </row>
    <row r="44" spans="1:15" customFormat="1" ht="15" hidden="1" customHeight="1" thickBot="1" x14ac:dyDescent="0.4">
      <c r="A44" s="3">
        <v>46252.635416666664</v>
      </c>
      <c r="B44" s="1" t="s">
        <v>80</v>
      </c>
      <c r="C44" s="1" t="s">
        <v>10</v>
      </c>
      <c r="D44" s="4">
        <v>10</v>
      </c>
      <c r="E44" s="4">
        <v>1420</v>
      </c>
      <c r="F44" s="4">
        <v>-6.9767441860000003</v>
      </c>
      <c r="G44" s="2" t="s">
        <v>81</v>
      </c>
      <c r="H44" s="5">
        <v>1526.5</v>
      </c>
      <c r="I44" s="1" t="s">
        <v>8</v>
      </c>
      <c r="J44" s="42"/>
      <c r="K44" s="17"/>
      <c r="L44" s="17"/>
      <c r="M44" s="17"/>
      <c r="N44" t="str">
        <f>IF(COUNTIFS( $B$2:$B$787, B44, $C$2:$C$787, C44, $D$2:$D$787, D44, $E$2:$E$787, E44) &gt; 1, "Duplicate", "Unique")</f>
        <v>Unique</v>
      </c>
    </row>
    <row r="45" spans="1:15" customFormat="1" ht="27.65" hidden="1" customHeight="1" thickBot="1" x14ac:dyDescent="0.4">
      <c r="A45" s="3">
        <v>46252.635416666664</v>
      </c>
      <c r="B45" s="1" t="s">
        <v>78</v>
      </c>
      <c r="C45" s="1" t="s">
        <v>10</v>
      </c>
      <c r="D45" s="4">
        <v>3</v>
      </c>
      <c r="E45" s="4">
        <v>1302</v>
      </c>
      <c r="F45" s="4">
        <v>-6.9667738479999999</v>
      </c>
      <c r="G45" s="2" t="s">
        <v>79</v>
      </c>
      <c r="H45" s="5">
        <v>1399.5</v>
      </c>
      <c r="I45" s="1" t="s">
        <v>8</v>
      </c>
      <c r="J45" s="42"/>
      <c r="K45" s="17"/>
      <c r="L45" s="17"/>
      <c r="M45" s="17"/>
      <c r="N45" t="str">
        <f>IF(COUNTIFS( $B$2:$B$787, B45, $C$2:$C$787, C45, $D$2:$D$787, D45, $E$2:$E$787, E45) &gt; 1, "Duplicate", "Unique")</f>
        <v>Unique</v>
      </c>
    </row>
    <row r="46" spans="1:15" customFormat="1" ht="27.65" hidden="1" customHeight="1" thickBot="1" x14ac:dyDescent="0.4">
      <c r="A46" s="6" t="s">
        <v>62</v>
      </c>
      <c r="B46" s="1" t="s">
        <v>23</v>
      </c>
      <c r="C46" s="1" t="s">
        <v>10</v>
      </c>
      <c r="D46" s="4">
        <v>50</v>
      </c>
      <c r="E46" s="4">
        <v>201</v>
      </c>
      <c r="F46" s="4">
        <v>-6.9444444440000002</v>
      </c>
      <c r="G46" s="2" t="s">
        <v>70</v>
      </c>
      <c r="H46" s="5">
        <v>216</v>
      </c>
      <c r="I46" s="1" t="s">
        <v>8</v>
      </c>
      <c r="J46" s="43" t="s">
        <v>41</v>
      </c>
      <c r="K46" s="17"/>
      <c r="L46" s="17"/>
      <c r="M46" s="17"/>
      <c r="N46" t="str">
        <f>IF(COUNTIFS( $B$2:$B$787, B46, $C$2:$C$787, C46, $D$2:$D$787, D46, $E$2:$E$787, E46) &gt; 1, "Duplicate", "Unique")</f>
        <v>Unique</v>
      </c>
    </row>
    <row r="47" spans="1:15" customFormat="1" ht="27.65" hidden="1" customHeight="1" thickBot="1" x14ac:dyDescent="0.4">
      <c r="A47" s="6" t="s">
        <v>62</v>
      </c>
      <c r="B47" s="1" t="s">
        <v>19</v>
      </c>
      <c r="C47" s="1" t="s">
        <v>10</v>
      </c>
      <c r="D47" s="4">
        <v>50</v>
      </c>
      <c r="E47" s="4">
        <v>206</v>
      </c>
      <c r="F47" s="4">
        <v>-6.9178979710000004</v>
      </c>
      <c r="G47" s="2" t="s">
        <v>40</v>
      </c>
      <c r="H47" s="5">
        <v>221.31</v>
      </c>
      <c r="I47" s="1" t="s">
        <v>8</v>
      </c>
      <c r="J47" s="42" t="s">
        <v>41</v>
      </c>
      <c r="K47" s="17"/>
      <c r="L47" s="17"/>
      <c r="M47" s="17"/>
      <c r="N47" t="str">
        <f>IF(COUNTIFS( $B$2:$B$787, B47, $C$2:$C$787, C47, $D$2:$D$787, D47, $E$2:$E$787, E47) &gt; 1, "Duplicate", "Unique")</f>
        <v>Unique</v>
      </c>
    </row>
    <row r="48" spans="1:15" customFormat="1" ht="27.65" hidden="1" customHeight="1" thickBot="1" x14ac:dyDescent="0.4">
      <c r="A48" s="6" t="s">
        <v>62</v>
      </c>
      <c r="B48" s="1" t="s">
        <v>25</v>
      </c>
      <c r="C48" s="1" t="s">
        <v>10</v>
      </c>
      <c r="D48" s="4">
        <v>200</v>
      </c>
      <c r="E48" s="4">
        <v>31.01</v>
      </c>
      <c r="F48" s="4">
        <v>-6.9048333829999997</v>
      </c>
      <c r="G48" s="2" t="s">
        <v>46</v>
      </c>
      <c r="H48" s="5">
        <v>33.31</v>
      </c>
      <c r="I48" s="1" t="s">
        <v>8</v>
      </c>
      <c r="J48" s="42"/>
      <c r="K48" s="17"/>
      <c r="L48" s="17"/>
      <c r="M48" s="17"/>
      <c r="N48" t="str">
        <f>IF(COUNTIFS( $B$2:$B$787, B48, $C$2:$C$787, C48, $D$2:$D$787, D48, $E$2:$E$787, E48) &gt; 1, "Duplicate", "Unique")</f>
        <v>Unique</v>
      </c>
      <c r="O48" s="34"/>
    </row>
    <row r="49" spans="1:15" customFormat="1" ht="27.65" hidden="1" customHeight="1" thickBot="1" x14ac:dyDescent="0.4">
      <c r="A49" s="20">
        <v>46255</v>
      </c>
      <c r="B49" s="1" t="s">
        <v>17</v>
      </c>
      <c r="C49" s="1" t="s">
        <v>10</v>
      </c>
      <c r="D49" s="4">
        <v>25</v>
      </c>
      <c r="E49" s="4">
        <v>336</v>
      </c>
      <c r="F49" s="4">
        <v>-6.7961165049999996</v>
      </c>
      <c r="G49" s="2" t="s">
        <v>77</v>
      </c>
      <c r="H49" s="5">
        <v>360.5</v>
      </c>
      <c r="I49" s="1" t="s">
        <v>8</v>
      </c>
      <c r="J49" s="24" t="s">
        <v>55</v>
      </c>
      <c r="K49" s="18" t="s">
        <v>150</v>
      </c>
      <c r="L49" s="18">
        <v>8700</v>
      </c>
      <c r="M49" s="18">
        <f>ABS((D49*E49)-L49)</f>
        <v>300</v>
      </c>
      <c r="N49" s="10" t="str">
        <f>IF(COUNTIFS( $B$2:$B$787, B49, $C$2:$C$787, C49, $D$2:$D$787, D49, $E$2:$E$787, E49) &gt; 1, "Duplicate", "Unique")</f>
        <v>Unique</v>
      </c>
    </row>
    <row r="50" spans="1:15" customFormat="1" ht="27.65" hidden="1" customHeight="1" thickBot="1" x14ac:dyDescent="0.4">
      <c r="A50" s="3">
        <v>46121.375</v>
      </c>
      <c r="B50" s="1" t="s">
        <v>13</v>
      </c>
      <c r="C50" s="1" t="s">
        <v>10</v>
      </c>
      <c r="D50" s="4">
        <v>3</v>
      </c>
      <c r="E50" s="4">
        <v>1614</v>
      </c>
      <c r="F50" s="4">
        <v>-6.651243493</v>
      </c>
      <c r="G50" s="2" t="s">
        <v>91</v>
      </c>
      <c r="H50" s="5">
        <v>1729</v>
      </c>
      <c r="I50" s="1" t="s">
        <v>8</v>
      </c>
      <c r="J50" s="24" t="s">
        <v>41</v>
      </c>
      <c r="K50" s="18" t="s">
        <v>259</v>
      </c>
      <c r="L50" s="18">
        <f>3*1794</f>
        <v>5382</v>
      </c>
      <c r="M50" s="18">
        <f>ABS((D50*E50)-L50)</f>
        <v>540</v>
      </c>
      <c r="N50" s="10" t="str">
        <f>IF(COUNTIFS( $B$2:$B$787, B50, $C$2:$C$787, C50, $D$2:$D$787, D50, $E$2:$E$787, E50) &gt; 1, "Duplicate", "Unique")</f>
        <v>Unique</v>
      </c>
    </row>
    <row r="51" spans="1:15" customFormat="1" ht="27.65" hidden="1" customHeight="1" thickBot="1" x14ac:dyDescent="0.4">
      <c r="A51" s="6" t="s">
        <v>62</v>
      </c>
      <c r="B51" s="1" t="s">
        <v>107</v>
      </c>
      <c r="C51" s="1" t="s">
        <v>10</v>
      </c>
      <c r="D51" s="4">
        <v>1</v>
      </c>
      <c r="E51" s="4">
        <v>6920</v>
      </c>
      <c r="F51" s="4">
        <v>-6.5243820069999998</v>
      </c>
      <c r="G51" s="2" t="s">
        <v>108</v>
      </c>
      <c r="H51" s="5">
        <v>7403</v>
      </c>
      <c r="I51" s="1" t="s">
        <v>8</v>
      </c>
      <c r="J51" s="22" t="s">
        <v>140</v>
      </c>
      <c r="K51" s="17"/>
      <c r="L51" s="17"/>
      <c r="M51" s="17"/>
      <c r="N51" t="str">
        <f>IF(COUNTIFS( $B$2:$B$787, B51, $C$2:$C$787, C51, $D$2:$D$787, D51, $E$2:$E$787, E51) &gt; 1, "Duplicate", "Unique")</f>
        <v>Unique</v>
      </c>
    </row>
    <row r="52" spans="1:15" customFormat="1" ht="27.65" hidden="1" customHeight="1" thickBot="1" x14ac:dyDescent="0.4">
      <c r="A52" s="3">
        <v>46252.635416666664</v>
      </c>
      <c r="B52" s="1" t="s">
        <v>32</v>
      </c>
      <c r="C52" s="1" t="s">
        <v>10</v>
      </c>
      <c r="D52" s="4">
        <v>50</v>
      </c>
      <c r="E52" s="4">
        <v>850</v>
      </c>
      <c r="F52" s="4">
        <v>-6.4906490650000004</v>
      </c>
      <c r="G52" s="2" t="s">
        <v>85</v>
      </c>
      <c r="H52" s="5">
        <v>909</v>
      </c>
      <c r="I52" s="1" t="s">
        <v>8</v>
      </c>
      <c r="J52" s="43" t="s">
        <v>55</v>
      </c>
      <c r="K52" s="17"/>
      <c r="L52" s="17"/>
      <c r="M52" s="17"/>
      <c r="N52" t="str">
        <f>IF(COUNTIFS( $B$2:$B$787, B52, $C$2:$C$787, C52, $D$2:$D$787, D52, $E$2:$E$787, E52) &gt; 1, "Duplicate", "Unique")</f>
        <v>Unique</v>
      </c>
      <c r="O52" s="10"/>
    </row>
    <row r="53" spans="1:15" customFormat="1" ht="27.65" hidden="1" customHeight="1" thickBot="1" x14ac:dyDescent="0.4">
      <c r="A53" s="6" t="s">
        <v>62</v>
      </c>
      <c r="B53" s="1" t="s">
        <v>51</v>
      </c>
      <c r="C53" s="1" t="s">
        <v>10</v>
      </c>
      <c r="D53" s="4">
        <v>40</v>
      </c>
      <c r="E53" s="4">
        <v>862</v>
      </c>
      <c r="F53" s="4">
        <v>-6.4873074419999996</v>
      </c>
      <c r="G53" s="2" t="s">
        <v>52</v>
      </c>
      <c r="H53" s="5">
        <v>921.8</v>
      </c>
      <c r="I53" s="1" t="s">
        <v>8</v>
      </c>
      <c r="J53" s="42" t="s">
        <v>41</v>
      </c>
      <c r="K53" s="17"/>
      <c r="L53" s="17"/>
      <c r="M53" s="17"/>
      <c r="N53" t="str">
        <f>IF(COUNTIFS( $B$2:$B$787, B53, $C$2:$C$787, C53, $D$2:$D$787, D53, $E$2:$E$787, E53) &gt; 1, "Duplicate", "Unique")</f>
        <v>Unique</v>
      </c>
    </row>
    <row r="54" spans="1:15" customFormat="1" ht="27.65" hidden="1" customHeight="1" thickBot="1" x14ac:dyDescent="0.4">
      <c r="A54" s="3">
        <v>46252.6875</v>
      </c>
      <c r="B54" s="1" t="s">
        <v>23</v>
      </c>
      <c r="C54" s="1" t="s">
        <v>10</v>
      </c>
      <c r="D54" s="4">
        <v>50</v>
      </c>
      <c r="E54" s="4">
        <v>203.5</v>
      </c>
      <c r="F54" s="4">
        <v>-5.7870370370000002</v>
      </c>
      <c r="G54" s="2" t="s">
        <v>70</v>
      </c>
      <c r="H54" s="5">
        <v>216</v>
      </c>
      <c r="I54" s="1" t="s">
        <v>8</v>
      </c>
      <c r="J54" s="43" t="s">
        <v>55</v>
      </c>
      <c r="K54" s="17"/>
      <c r="L54" s="17"/>
      <c r="M54" s="17"/>
      <c r="N54" t="str">
        <f>IF(COUNTIFS( $B$2:$B$787, B54, $C$2:$C$787, C54, $D$2:$D$787, D54, $E$2:$E$787, E54) &gt; 1, "Duplicate", "Unique")</f>
        <v>Unique</v>
      </c>
      <c r="O54" s="10"/>
    </row>
    <row r="55" spans="1:15" ht="40.75" hidden="1" customHeight="1" thickBot="1" x14ac:dyDescent="0.4">
      <c r="A55" s="3">
        <v>46252.635416666664</v>
      </c>
      <c r="B55" s="1" t="s">
        <v>80</v>
      </c>
      <c r="C55" s="1" t="s">
        <v>10</v>
      </c>
      <c r="D55" s="4">
        <v>10</v>
      </c>
      <c r="E55" s="4">
        <v>1440</v>
      </c>
      <c r="F55" s="4">
        <v>-5.6665574840000001</v>
      </c>
      <c r="G55" s="2" t="s">
        <v>81</v>
      </c>
      <c r="H55" s="5">
        <v>1526.5</v>
      </c>
      <c r="I55" s="1" t="s">
        <v>8</v>
      </c>
      <c r="J55" s="42"/>
      <c r="K55" s="17"/>
      <c r="L55" s="17"/>
      <c r="M55" s="17"/>
      <c r="N55" t="str">
        <f>IF(COUNTIFS( $B$2:$B$787, B55, $C$2:$C$787, C55, $D$2:$D$787, D55, $E$2:$E$787, E55) &gt; 1, "Duplicate", "Unique")</f>
        <v>Unique</v>
      </c>
      <c r="O55" s="25"/>
    </row>
    <row r="56" spans="1:15" ht="40.75" hidden="1" customHeight="1" thickBot="1" x14ac:dyDescent="0.4">
      <c r="A56" s="6" t="s">
        <v>62</v>
      </c>
      <c r="B56" s="1" t="s">
        <v>20</v>
      </c>
      <c r="C56" s="1" t="s">
        <v>10</v>
      </c>
      <c r="D56" s="4">
        <v>50</v>
      </c>
      <c r="E56" s="4">
        <v>119</v>
      </c>
      <c r="F56" s="4">
        <v>-5.4655227200000001</v>
      </c>
      <c r="G56" s="2" t="s">
        <v>86</v>
      </c>
      <c r="H56" s="5">
        <v>125.88</v>
      </c>
      <c r="I56" s="1" t="s">
        <v>8</v>
      </c>
      <c r="J56" s="42"/>
      <c r="K56" s="17"/>
      <c r="L56" s="17"/>
      <c r="M56" s="17"/>
      <c r="N56" t="str">
        <f>IF(COUNTIFS( $B$2:$B$787, B56, $C$2:$C$787, C56, $D$2:$D$787, D56, $E$2:$E$787, E56) &gt; 1, "Duplicate", "Unique")</f>
        <v>Unique</v>
      </c>
      <c r="O56"/>
    </row>
    <row r="57" spans="1:15" ht="16.25" hidden="1" customHeight="1" thickBot="1" x14ac:dyDescent="0.4">
      <c r="A57" s="3">
        <v>46269.375</v>
      </c>
      <c r="B57" s="1" t="s">
        <v>74</v>
      </c>
      <c r="C57" s="1" t="s">
        <v>10</v>
      </c>
      <c r="D57" s="4">
        <v>2</v>
      </c>
      <c r="E57" s="4">
        <v>3210</v>
      </c>
      <c r="F57" s="4">
        <v>-5.4213317620000003</v>
      </c>
      <c r="G57" s="2" t="s">
        <v>75</v>
      </c>
      <c r="H57" s="5">
        <v>3394</v>
      </c>
      <c r="I57" s="1" t="s">
        <v>8</v>
      </c>
      <c r="J57" s="24" t="s">
        <v>41</v>
      </c>
      <c r="K57" s="18" t="s">
        <v>256</v>
      </c>
      <c r="L57" s="18">
        <v>6880</v>
      </c>
      <c r="M57" s="27">
        <f>ABS((D57*E57)-L57)</f>
        <v>460</v>
      </c>
      <c r="N57" t="str">
        <f>IF(COUNTIFS( $B$2:$B$787, B57, $C$2:$C$787, C57, $D$2:$D$787, D57, $E$2:$E$787, E57) &gt; 1, "Duplicate", "Unique")</f>
        <v>Unique</v>
      </c>
      <c r="O57"/>
    </row>
    <row r="58" spans="1:15" ht="40.75" hidden="1" customHeight="1" thickBot="1" x14ac:dyDescent="0.4">
      <c r="A58" s="6" t="s">
        <v>62</v>
      </c>
      <c r="B58" s="1" t="s">
        <v>49</v>
      </c>
      <c r="C58" s="1" t="s">
        <v>10</v>
      </c>
      <c r="D58" s="4">
        <v>2</v>
      </c>
      <c r="E58" s="4">
        <v>3760</v>
      </c>
      <c r="F58" s="4">
        <v>-5.3540413320000004</v>
      </c>
      <c r="G58" s="2" t="s">
        <v>50</v>
      </c>
      <c r="H58" s="5">
        <v>3972.7</v>
      </c>
      <c r="I58" s="1" t="s">
        <v>8</v>
      </c>
      <c r="J58" s="42"/>
      <c r="K58" s="17"/>
      <c r="L58" s="17"/>
      <c r="M58" s="17"/>
      <c r="N58" t="str">
        <f>IF(COUNTIFS( $B$2:$B$787, B58, $C$2:$C$787, C58, $D$2:$D$787, D58, $E$2:$E$787, E58) &gt; 1, "Duplicate", "Unique")</f>
        <v>Unique</v>
      </c>
      <c r="O58"/>
    </row>
    <row r="59" spans="1:15" ht="15" hidden="1" customHeight="1" thickBot="1" x14ac:dyDescent="0.4">
      <c r="A59" s="3">
        <v>46261.375</v>
      </c>
      <c r="B59" s="1" t="s">
        <v>23</v>
      </c>
      <c r="C59" s="1" t="s">
        <v>10</v>
      </c>
      <c r="D59" s="4">
        <v>50</v>
      </c>
      <c r="E59" s="4">
        <v>205</v>
      </c>
      <c r="F59" s="4">
        <v>-5.092592593</v>
      </c>
      <c r="G59" s="2" t="s">
        <v>70</v>
      </c>
      <c r="H59" s="5">
        <v>216</v>
      </c>
      <c r="I59" s="1" t="s">
        <v>8</v>
      </c>
      <c r="J59" s="24" t="s">
        <v>41</v>
      </c>
      <c r="K59" s="18" t="s">
        <v>189</v>
      </c>
      <c r="L59" s="18">
        <v>10550</v>
      </c>
      <c r="M59" s="18">
        <f>ABS((D59*E59)-L59)</f>
        <v>300</v>
      </c>
      <c r="N59" s="10" t="str">
        <f>IF(COUNTIFS( $B$2:$B$787, B59, $C$2:$C$787, C59, $D$2:$D$787, D59, $E$2:$E$787, E59) &gt; 1, "Duplicate", "Unique")</f>
        <v>Unique</v>
      </c>
    </row>
    <row r="60" spans="1:15" ht="27.65" hidden="1" customHeight="1" thickBot="1" x14ac:dyDescent="0.4">
      <c r="A60" s="3">
        <v>46260.375</v>
      </c>
      <c r="B60" s="1" t="s">
        <v>33</v>
      </c>
      <c r="C60" s="1" t="s">
        <v>10</v>
      </c>
      <c r="D60" s="4">
        <v>3</v>
      </c>
      <c r="E60" s="4">
        <v>2348</v>
      </c>
      <c r="F60" s="4">
        <v>-4.9392712550000004</v>
      </c>
      <c r="G60" s="2" t="s">
        <v>84</v>
      </c>
      <c r="H60" s="5">
        <v>2470</v>
      </c>
      <c r="I60" s="1" t="s">
        <v>8</v>
      </c>
      <c r="J60" s="24" t="s">
        <v>41</v>
      </c>
      <c r="K60" s="18" t="s">
        <v>177</v>
      </c>
      <c r="L60" s="18">
        <v>7344</v>
      </c>
      <c r="M60" s="18">
        <f>ABS((D60*E60)-L60)</f>
        <v>300</v>
      </c>
      <c r="N60" t="str">
        <f>IF(COUNTIFS( $B$2:$B$787, B60, $C$2:$C$787, C60, $D$2:$D$787, D60, $E$2:$E$787, E60) &gt; 1, "Duplicate", "Unique")</f>
        <v>Unique</v>
      </c>
    </row>
    <row r="61" spans="1:15" ht="27.65" hidden="1" customHeight="1" thickBot="1" x14ac:dyDescent="0.4">
      <c r="A61" s="3">
        <v>46252.6875</v>
      </c>
      <c r="B61" s="1" t="s">
        <v>11</v>
      </c>
      <c r="C61" s="1" t="s">
        <v>10</v>
      </c>
      <c r="D61" s="4">
        <v>60</v>
      </c>
      <c r="E61" s="4">
        <v>271</v>
      </c>
      <c r="F61" s="4">
        <v>-4.9122807020000003</v>
      </c>
      <c r="G61" s="2" t="s">
        <v>99</v>
      </c>
      <c r="H61" s="5">
        <v>285</v>
      </c>
      <c r="I61" s="1" t="s">
        <v>8</v>
      </c>
      <c r="J61" s="42"/>
      <c r="K61" s="17"/>
      <c r="L61" s="17"/>
      <c r="M61" s="17"/>
      <c r="N61" t="str">
        <f>IF(COUNTIFS( $B$2:$B$787, B61, $C$2:$C$787, C61, $D$2:$D$787, D61, $E$2:$E$787, E61) &gt; 1, "Duplicate", "Unique")</f>
        <v>Unique</v>
      </c>
    </row>
    <row r="62" spans="1:15" ht="40.75" hidden="1" customHeight="1" thickBot="1" x14ac:dyDescent="0.4">
      <c r="A62" s="3">
        <v>46252.635416666664</v>
      </c>
      <c r="B62" s="1" t="s">
        <v>68</v>
      </c>
      <c r="C62" s="1" t="s">
        <v>10</v>
      </c>
      <c r="D62" s="4">
        <v>100</v>
      </c>
      <c r="E62" s="4">
        <v>391</v>
      </c>
      <c r="F62" s="4">
        <v>-4.7966885799999996</v>
      </c>
      <c r="G62" s="2" t="s">
        <v>69</v>
      </c>
      <c r="H62" s="5">
        <v>410.7</v>
      </c>
      <c r="I62" s="1" t="s">
        <v>8</v>
      </c>
      <c r="J62" s="42" t="s">
        <v>55</v>
      </c>
      <c r="K62" s="17"/>
      <c r="L62" s="17"/>
      <c r="M62" s="17"/>
      <c r="N62" t="str">
        <f>IF(COUNTIFS( $B$2:$B$787, B62, $C$2:$C$787, C62, $D$2:$D$787, D62, $E$2:$E$787, E62) &gt; 1, "Duplicate", "Unique")</f>
        <v>Unique</v>
      </c>
    </row>
    <row r="63" spans="1:15" ht="40.75" hidden="1" customHeight="1" thickBot="1" x14ac:dyDescent="0.4">
      <c r="A63" s="6" t="s">
        <v>62</v>
      </c>
      <c r="B63" s="1" t="s">
        <v>51</v>
      </c>
      <c r="C63" s="1" t="s">
        <v>10</v>
      </c>
      <c r="D63" s="4">
        <v>40</v>
      </c>
      <c r="E63" s="4">
        <v>878</v>
      </c>
      <c r="F63" s="4">
        <v>-4.7515730090000003</v>
      </c>
      <c r="G63" s="2" t="s">
        <v>52</v>
      </c>
      <c r="H63" s="5">
        <v>921.8</v>
      </c>
      <c r="I63" s="1" t="s">
        <v>8</v>
      </c>
      <c r="J63" s="42"/>
      <c r="K63" s="17"/>
      <c r="L63" s="17"/>
      <c r="M63" s="17"/>
      <c r="N63" t="str">
        <f>IF(COUNTIFS( $B$2:$B$787, B63, $C$2:$C$787, C63, $D$2:$D$787, D63, $E$2:$E$787, E63) &gt; 1, "Duplicate", "Unique")</f>
        <v>Unique</v>
      </c>
    </row>
    <row r="64" spans="1:15" ht="27.65" hidden="1" customHeight="1" thickBot="1" x14ac:dyDescent="0.4">
      <c r="A64" s="3">
        <v>46252.635416666664</v>
      </c>
      <c r="B64" s="1" t="s">
        <v>36</v>
      </c>
      <c r="C64" s="1" t="s">
        <v>10</v>
      </c>
      <c r="D64" s="4">
        <v>5</v>
      </c>
      <c r="E64" s="4">
        <v>1132</v>
      </c>
      <c r="F64" s="4">
        <v>-4.3757391449999998</v>
      </c>
      <c r="G64" s="2" t="s">
        <v>65</v>
      </c>
      <c r="H64" s="5">
        <v>1183.8</v>
      </c>
      <c r="I64" s="1" t="s">
        <v>8</v>
      </c>
      <c r="J64" s="42"/>
      <c r="K64" s="17"/>
      <c r="L64" s="17"/>
      <c r="M64" s="17"/>
      <c r="N64" t="str">
        <f>IF(COUNTIFS( $B$2:$B$787, B64, $C$2:$C$787, C64, $D$2:$D$787, D64, $E$2:$E$787, E64) &gt; 1, "Duplicate", "Unique")</f>
        <v>Unique</v>
      </c>
    </row>
    <row r="65" spans="1:15" ht="27.65" hidden="1" customHeight="1" thickBot="1" x14ac:dyDescent="0.4">
      <c r="A65" s="3">
        <v>46262.457638888889</v>
      </c>
      <c r="B65" s="1" t="s">
        <v>21</v>
      </c>
      <c r="C65" s="1" t="s">
        <v>10</v>
      </c>
      <c r="D65" s="4">
        <v>5</v>
      </c>
      <c r="E65" s="4">
        <v>660</v>
      </c>
      <c r="F65" s="4">
        <v>-4.3339614439999998</v>
      </c>
      <c r="G65" s="2" t="s">
        <v>76</v>
      </c>
      <c r="H65" s="5">
        <v>689.9</v>
      </c>
      <c r="I65" s="1" t="s">
        <v>8</v>
      </c>
      <c r="J65" s="24" t="s">
        <v>41</v>
      </c>
      <c r="K65" s="18" t="s">
        <v>192</v>
      </c>
      <c r="L65" s="18">
        <v>3522.75</v>
      </c>
      <c r="M65" s="18">
        <f>ABS((D65*E65)-L65)</f>
        <v>222.75</v>
      </c>
      <c r="N65" s="10" t="str">
        <f>IF(COUNTIFS( $B$2:$B$787, B65, $C$2:$C$787, C65, $D$2:$D$787, D65, $E$2:$E$787, E65) &gt; 1, "Duplicate", "Unique")</f>
        <v>Unique</v>
      </c>
    </row>
    <row r="66" spans="1:15" ht="27.65" hidden="1" customHeight="1" thickBot="1" x14ac:dyDescent="0.4">
      <c r="A66" s="6" t="s">
        <v>62</v>
      </c>
      <c r="B66" s="1" t="s">
        <v>66</v>
      </c>
      <c r="C66" s="1" t="s">
        <v>10</v>
      </c>
      <c r="D66" s="4">
        <v>10</v>
      </c>
      <c r="E66" s="4">
        <v>1166</v>
      </c>
      <c r="F66" s="4">
        <v>-4.3085761180000004</v>
      </c>
      <c r="G66" s="2" t="s">
        <v>67</v>
      </c>
      <c r="H66" s="5">
        <v>1218.5</v>
      </c>
      <c r="I66" s="1" t="s">
        <v>8</v>
      </c>
      <c r="J66" s="42"/>
      <c r="K66" s="17"/>
      <c r="L66" s="17"/>
      <c r="M66" s="17"/>
      <c r="N66" t="str">
        <f>IF(COUNTIFS( $B$2:$B$787, B66, $C$2:$C$787, C66, $D$2:$D$787, D66, $E$2:$E$787, E66) &gt; 1, "Duplicate", "Unique")</f>
        <v>Unique</v>
      </c>
    </row>
    <row r="67" spans="1:15" s="25" customFormat="1" ht="27.65" hidden="1" customHeight="1" thickBot="1" x14ac:dyDescent="0.4">
      <c r="A67" s="3">
        <v>46261.375</v>
      </c>
      <c r="B67" s="1" t="s">
        <v>32</v>
      </c>
      <c r="C67" s="1" t="s">
        <v>10</v>
      </c>
      <c r="D67" s="4">
        <v>20</v>
      </c>
      <c r="E67" s="4">
        <v>870</v>
      </c>
      <c r="F67" s="4">
        <v>-4.2904290429999996</v>
      </c>
      <c r="G67" s="2" t="s">
        <v>85</v>
      </c>
      <c r="H67" s="5">
        <v>909</v>
      </c>
      <c r="I67" s="1" t="s">
        <v>8</v>
      </c>
      <c r="J67" s="24" t="s">
        <v>41</v>
      </c>
      <c r="K67" s="18" t="s">
        <v>190</v>
      </c>
      <c r="L67" s="18">
        <v>17700</v>
      </c>
      <c r="M67" s="18">
        <f>ABS((D67*E67)-L67)</f>
        <v>300</v>
      </c>
      <c r="N67" s="10" t="str">
        <f>IF(COUNTIFS( $B$2:$B$787, B67, $C$2:$C$787, C67, $D$2:$D$787, D67, $E$2:$E$787, E67) &gt; 1, "Duplicate", "Unique")</f>
        <v>Unique</v>
      </c>
      <c r="O67" s="10"/>
    </row>
    <row r="68" spans="1:15" ht="27.65" hidden="1" customHeight="1" thickBot="1" x14ac:dyDescent="0.4">
      <c r="A68" s="3">
        <v>46252.6875</v>
      </c>
      <c r="B68" s="1" t="s">
        <v>9</v>
      </c>
      <c r="C68" s="1" t="s">
        <v>10</v>
      </c>
      <c r="D68" s="4">
        <v>37</v>
      </c>
      <c r="E68" s="4">
        <v>277</v>
      </c>
      <c r="F68" s="4">
        <v>-4.2847270210000001</v>
      </c>
      <c r="G68" s="2" t="s">
        <v>95</v>
      </c>
      <c r="H68" s="5">
        <v>289.39999999999998</v>
      </c>
      <c r="I68" s="1" t="s">
        <v>8</v>
      </c>
      <c r="J68" s="42" t="s">
        <v>55</v>
      </c>
      <c r="K68" s="17"/>
      <c r="L68" s="17"/>
      <c r="M68" s="17"/>
      <c r="N68" t="str">
        <f>IF(COUNTIFS( $B$2:$B$787, B68, $C$2:$C$787, C68, $D$2:$D$787, D68, $E$2:$E$787, E68) &gt; 1, "Duplicate", "Unique")</f>
        <v>Unique</v>
      </c>
      <c r="O68"/>
    </row>
    <row r="69" spans="1:15" ht="15" hidden="1" customHeight="1" thickBot="1" x14ac:dyDescent="0.4">
      <c r="A69" s="3">
        <v>46268.375</v>
      </c>
      <c r="B69" s="1" t="s">
        <v>32</v>
      </c>
      <c r="C69" s="1" t="s">
        <v>10</v>
      </c>
      <c r="D69" s="4">
        <v>20</v>
      </c>
      <c r="E69" s="4">
        <v>870.2</v>
      </c>
      <c r="F69" s="4">
        <v>-4.2684268430000003</v>
      </c>
      <c r="G69" s="2" t="s">
        <v>85</v>
      </c>
      <c r="H69" s="5">
        <v>909</v>
      </c>
      <c r="I69" s="1" t="s">
        <v>8</v>
      </c>
      <c r="J69" s="24" t="s">
        <v>55</v>
      </c>
      <c r="K69" s="18" t="s">
        <v>248</v>
      </c>
      <c r="L69" s="18">
        <v>17920</v>
      </c>
      <c r="M69" s="18">
        <f>ABS((D69*E69)-L69)</f>
        <v>516</v>
      </c>
      <c r="N69" s="10" t="str">
        <f>IF(COUNTIFS( $B$2:$B$787, B69, $C$2:$C$787, C69, $D$2:$D$787, D69, $E$2:$E$787, E69) &gt; 1, "Duplicate", "Unique")</f>
        <v>Unique</v>
      </c>
    </row>
    <row r="70" spans="1:15" ht="27.65" hidden="1" customHeight="1" thickBot="1" x14ac:dyDescent="0.4">
      <c r="A70" s="6" t="s">
        <v>62</v>
      </c>
      <c r="B70" s="1" t="s">
        <v>19</v>
      </c>
      <c r="C70" s="1" t="s">
        <v>10</v>
      </c>
      <c r="D70" s="4">
        <v>50</v>
      </c>
      <c r="E70" s="4">
        <v>212</v>
      </c>
      <c r="F70" s="4">
        <v>-4.2067687859999996</v>
      </c>
      <c r="G70" s="2" t="s">
        <v>40</v>
      </c>
      <c r="H70" s="5">
        <v>221.31</v>
      </c>
      <c r="I70" s="1" t="s">
        <v>8</v>
      </c>
      <c r="J70" s="42" t="s">
        <v>41</v>
      </c>
      <c r="K70" s="17"/>
      <c r="L70" s="17"/>
      <c r="M70" s="17"/>
      <c r="N70" t="str">
        <f>IF(COUNTIFS( $B$2:$B$787, B70, $C$2:$C$787, C70, $D$2:$D$787, D70, $E$2:$E$787, E70) &gt; 1, "Duplicate", "Unique")</f>
        <v>Unique</v>
      </c>
    </row>
    <row r="71" spans="1:15" ht="27.65" hidden="1" customHeight="1" thickBot="1" x14ac:dyDescent="0.4">
      <c r="A71" s="6" t="s">
        <v>62</v>
      </c>
      <c r="B71" s="1" t="s">
        <v>22</v>
      </c>
      <c r="C71" s="1" t="s">
        <v>10</v>
      </c>
      <c r="D71" s="4">
        <v>29</v>
      </c>
      <c r="E71" s="4">
        <v>401</v>
      </c>
      <c r="F71" s="4">
        <v>-4.204491161</v>
      </c>
      <c r="G71" s="2" t="s">
        <v>73</v>
      </c>
      <c r="H71" s="5">
        <v>418.6</v>
      </c>
      <c r="I71" s="1" t="s">
        <v>8</v>
      </c>
      <c r="J71" s="22" t="s">
        <v>55</v>
      </c>
      <c r="K71" s="17"/>
      <c r="L71" s="17"/>
      <c r="M71" s="17"/>
      <c r="N71" t="str">
        <f>IF(COUNTIFS( $B$2:$B$787, B71, $C$2:$C$787, C71, $D$2:$D$787, D71, $E$2:$E$787, E71) &gt; 1, "Duplicate", "Unique")</f>
        <v>Unique</v>
      </c>
      <c r="O71"/>
    </row>
    <row r="72" spans="1:15" ht="27.65" hidden="1" customHeight="1" thickBot="1" x14ac:dyDescent="0.4">
      <c r="A72" s="6" t="s">
        <v>62</v>
      </c>
      <c r="B72" s="1" t="s">
        <v>49</v>
      </c>
      <c r="C72" s="1" t="s">
        <v>10</v>
      </c>
      <c r="D72" s="4">
        <v>3</v>
      </c>
      <c r="E72" s="4">
        <v>3810</v>
      </c>
      <c r="F72" s="4">
        <v>-4.0954514560000002</v>
      </c>
      <c r="G72" s="2" t="s">
        <v>50</v>
      </c>
      <c r="H72" s="5">
        <v>3972.7</v>
      </c>
      <c r="I72" s="1" t="s">
        <v>8</v>
      </c>
      <c r="J72" s="42"/>
      <c r="K72" s="17"/>
      <c r="L72" s="17"/>
      <c r="M72" s="17"/>
      <c r="N72" t="str">
        <f>IF(COUNTIFS( $B$2:$B$787, B72, $C$2:$C$787, C72, $D$2:$D$787, D72, $E$2:$E$787, E72) &gt; 1, "Duplicate", "Unique")</f>
        <v>Unique</v>
      </c>
    </row>
    <row r="73" spans="1:15" ht="27.65" hidden="1" customHeight="1" thickBot="1" x14ac:dyDescent="0.4">
      <c r="A73" s="3">
        <v>46252.635416666664</v>
      </c>
      <c r="B73" s="1" t="s">
        <v>89</v>
      </c>
      <c r="C73" s="1" t="s">
        <v>10</v>
      </c>
      <c r="D73" s="4">
        <v>1</v>
      </c>
      <c r="E73" s="4">
        <v>13552</v>
      </c>
      <c r="F73" s="4">
        <v>-4.0362554880000001</v>
      </c>
      <c r="G73" s="2" t="s">
        <v>90</v>
      </c>
      <c r="H73" s="5">
        <v>14122</v>
      </c>
      <c r="I73" s="1" t="s">
        <v>8</v>
      </c>
      <c r="J73" s="42"/>
      <c r="K73" s="17"/>
      <c r="L73" s="17"/>
      <c r="M73" s="17"/>
      <c r="N73" t="str">
        <f>IF(COUNTIFS( $B$2:$B$787, B73, $C$2:$C$787, C73, $D$2:$D$787, D73, $E$2:$E$787, E73) &gt; 1, "Duplicate", "Unique")</f>
        <v>Unique</v>
      </c>
    </row>
    <row r="74" spans="1:15" ht="27.65" hidden="1" customHeight="1" thickBot="1" x14ac:dyDescent="0.4">
      <c r="A74" s="3">
        <v>46258.375694444447</v>
      </c>
      <c r="B74" s="1" t="s">
        <v>80</v>
      </c>
      <c r="C74" s="1" t="s">
        <v>10</v>
      </c>
      <c r="D74" s="4">
        <v>10</v>
      </c>
      <c r="E74" s="4">
        <v>1465</v>
      </c>
      <c r="F74" s="4">
        <v>-4.0288241070000002</v>
      </c>
      <c r="G74" s="2" t="s">
        <v>81</v>
      </c>
      <c r="H74" s="5">
        <v>1526.5</v>
      </c>
      <c r="I74" s="1" t="s">
        <v>8</v>
      </c>
      <c r="J74" s="24" t="s">
        <v>55</v>
      </c>
      <c r="K74" s="18" t="s">
        <v>162</v>
      </c>
      <c r="L74" s="18">
        <v>15100</v>
      </c>
      <c r="M74" s="18">
        <f>ABS((D74*E74)-L74)</f>
        <v>450</v>
      </c>
      <c r="N74" s="10" t="str">
        <f>IF(COUNTIFS( $B$2:$B$787, B74, $C$2:$C$787, C74, $D$2:$D$787, D74, $E$2:$E$787, E74) &gt; 1, "Duplicate", "Unique")</f>
        <v>Unique</v>
      </c>
    </row>
    <row r="75" spans="1:15" ht="15" hidden="1" customHeight="1" thickBot="1" x14ac:dyDescent="0.4">
      <c r="A75" s="6" t="s">
        <v>62</v>
      </c>
      <c r="B75" s="1" t="s">
        <v>15</v>
      </c>
      <c r="C75" s="1" t="s">
        <v>10</v>
      </c>
      <c r="D75" s="4">
        <v>30</v>
      </c>
      <c r="E75" s="4">
        <v>2435</v>
      </c>
      <c r="F75" s="4">
        <v>-3.7929672069999998</v>
      </c>
      <c r="G75" s="2" t="s">
        <v>72</v>
      </c>
      <c r="H75" s="5">
        <v>2531</v>
      </c>
      <c r="I75" s="1" t="s">
        <v>8</v>
      </c>
      <c r="J75" s="42"/>
      <c r="K75" s="17"/>
      <c r="L75" s="17"/>
      <c r="M75" s="17"/>
      <c r="N75" t="str">
        <f>IF(COUNTIFS( $B$2:$B$787, B75, $C$2:$C$787, C75, $D$2:$D$787, D75, $E$2:$E$787, E75) &gt; 1, "Duplicate", "Unique")</f>
        <v>Unique</v>
      </c>
    </row>
    <row r="76" spans="1:15" ht="27.65" hidden="1" customHeight="1" thickBot="1" x14ac:dyDescent="0.4">
      <c r="A76" s="3">
        <v>46121.375</v>
      </c>
      <c r="B76" s="1" t="s">
        <v>13</v>
      </c>
      <c r="C76" s="1" t="s">
        <v>10</v>
      </c>
      <c r="D76" s="4">
        <v>5</v>
      </c>
      <c r="E76" s="4">
        <v>1664</v>
      </c>
      <c r="F76" s="4">
        <v>-3.7593984960000002</v>
      </c>
      <c r="G76" s="2" t="s">
        <v>91</v>
      </c>
      <c r="H76" s="5">
        <v>1729</v>
      </c>
      <c r="I76" s="1" t="s">
        <v>8</v>
      </c>
      <c r="J76" s="24" t="s">
        <v>41</v>
      </c>
      <c r="K76" s="18" t="s">
        <v>260</v>
      </c>
      <c r="L76" s="18">
        <f>5*1794</f>
        <v>8970</v>
      </c>
      <c r="M76" s="18">
        <f>ABS((D76*E76)-L76)</f>
        <v>650</v>
      </c>
      <c r="N76" s="10" t="str">
        <f>IF(COUNTIFS( $B$2:$B$787, B76, $C$2:$C$787, C76, $D$2:$D$787, D76, $E$2:$E$787, E76) &gt; 1, "Duplicate", "Unique")</f>
        <v>Unique</v>
      </c>
      <c r="O76"/>
    </row>
    <row r="77" spans="1:15" s="19" customFormat="1" ht="27.65" hidden="1" customHeight="1" thickBot="1" x14ac:dyDescent="0.4">
      <c r="A77" s="3">
        <v>46031.4375</v>
      </c>
      <c r="B77" s="1" t="s">
        <v>220</v>
      </c>
      <c r="C77" s="1" t="s">
        <v>10</v>
      </c>
      <c r="D77" s="4">
        <v>3</v>
      </c>
      <c r="E77" s="4">
        <v>1052</v>
      </c>
      <c r="F77" s="4">
        <v>-3.7511436410000001</v>
      </c>
      <c r="G77" s="2" t="s">
        <v>232</v>
      </c>
      <c r="H77" s="5">
        <v>1093</v>
      </c>
      <c r="I77" s="1" t="s">
        <v>8</v>
      </c>
      <c r="J77" s="24" t="s">
        <v>41</v>
      </c>
      <c r="K77" s="18"/>
      <c r="L77" s="18"/>
      <c r="M77" s="18">
        <f>ABS((D77*E77)-L77)</f>
        <v>3156</v>
      </c>
      <c r="N77" s="10" t="str">
        <f>IF(COUNTIFS( $B$2:$B$787, B77, $C$2:$C$787, C77, $D$2:$D$787, D77, $E$2:$E$787, E77) &gt; 1, "Duplicate", "Unique")</f>
        <v>Unique</v>
      </c>
      <c r="O77" s="10"/>
    </row>
    <row r="78" spans="1:15" ht="27.65" hidden="1" customHeight="1" thickBot="1" x14ac:dyDescent="0.4">
      <c r="A78" s="3">
        <v>46261.375</v>
      </c>
      <c r="B78" s="1" t="s">
        <v>23</v>
      </c>
      <c r="C78" s="1" t="s">
        <v>10</v>
      </c>
      <c r="D78" s="4">
        <v>50</v>
      </c>
      <c r="E78" s="4">
        <v>208</v>
      </c>
      <c r="F78" s="4">
        <v>-3.703703704</v>
      </c>
      <c r="G78" s="2" t="s">
        <v>70</v>
      </c>
      <c r="H78" s="5">
        <v>216</v>
      </c>
      <c r="I78" s="1" t="s">
        <v>8</v>
      </c>
      <c r="J78" s="24" t="s">
        <v>55</v>
      </c>
      <c r="K78" s="18" t="s">
        <v>188</v>
      </c>
      <c r="L78" s="18">
        <v>10700</v>
      </c>
      <c r="M78" s="18">
        <f>ABS((D78*E78)-L78)</f>
        <v>300</v>
      </c>
      <c r="N78" s="10" t="str">
        <f>IF(COUNTIFS( $B$2:$B$787, B78, $C$2:$C$787, C78, $D$2:$D$787, D78, $E$2:$E$787, E78) &gt; 1, "Duplicate", "Unique")</f>
        <v>Unique</v>
      </c>
      <c r="O78" s="25"/>
    </row>
    <row r="79" spans="1:15" ht="27.65" hidden="1" customHeight="1" thickBot="1" x14ac:dyDescent="0.4">
      <c r="A79" s="6" t="s">
        <v>62</v>
      </c>
      <c r="B79" s="1" t="s">
        <v>49</v>
      </c>
      <c r="C79" s="1" t="s">
        <v>10</v>
      </c>
      <c r="D79" s="4">
        <v>2</v>
      </c>
      <c r="E79" s="4">
        <v>3830</v>
      </c>
      <c r="F79" s="4">
        <v>-3.5920155060000001</v>
      </c>
      <c r="G79" s="2" t="s">
        <v>50</v>
      </c>
      <c r="H79" s="5">
        <v>3972.7</v>
      </c>
      <c r="I79" s="1" t="s">
        <v>8</v>
      </c>
      <c r="J79" s="42"/>
      <c r="K79" s="17"/>
      <c r="L79" s="17"/>
      <c r="M79" s="17"/>
      <c r="N79" t="str">
        <f>IF(COUNTIFS( $B$2:$B$787, B79, $C$2:$C$787, C79, $D$2:$D$787, D79, $E$2:$E$787, E79) &gt; 1, "Duplicate", "Unique")</f>
        <v>Unique</v>
      </c>
    </row>
    <row r="80" spans="1:15" ht="15" hidden="1" customHeight="1" thickBot="1" x14ac:dyDescent="0.4">
      <c r="A80" s="3">
        <v>46252.635416666664</v>
      </c>
      <c r="B80" s="1" t="s">
        <v>36</v>
      </c>
      <c r="C80" s="1" t="s">
        <v>10</v>
      </c>
      <c r="D80" s="4">
        <v>5</v>
      </c>
      <c r="E80" s="4">
        <v>1142</v>
      </c>
      <c r="F80" s="4">
        <v>-3.5310018580000002</v>
      </c>
      <c r="G80" s="2" t="s">
        <v>65</v>
      </c>
      <c r="H80" s="5">
        <v>1183.8</v>
      </c>
      <c r="I80" s="1" t="s">
        <v>8</v>
      </c>
      <c r="J80" s="22" t="s">
        <v>41</v>
      </c>
      <c r="K80" s="17"/>
      <c r="L80" s="17"/>
      <c r="M80" s="17"/>
      <c r="N80" t="str">
        <f>IF(COUNTIFS( $B$2:$B$787, B80, $C$2:$C$787, C80, $D$2:$D$787, D80, $E$2:$E$787, E80) &gt; 1, "Duplicate", "Unique")</f>
        <v>Unique</v>
      </c>
    </row>
    <row r="81" spans="1:15" ht="27.65" hidden="1" customHeight="1" thickBot="1" x14ac:dyDescent="0.4">
      <c r="A81" s="6" t="s">
        <v>62</v>
      </c>
      <c r="B81" s="1" t="s">
        <v>103</v>
      </c>
      <c r="C81" s="1" t="s">
        <v>10</v>
      </c>
      <c r="D81" s="4">
        <v>8</v>
      </c>
      <c r="E81" s="4">
        <v>2370</v>
      </c>
      <c r="F81" s="4">
        <v>-3.5016286640000001</v>
      </c>
      <c r="G81" s="2" t="s">
        <v>104</v>
      </c>
      <c r="H81" s="5">
        <v>2456</v>
      </c>
      <c r="I81" s="1" t="s">
        <v>8</v>
      </c>
      <c r="J81" s="42"/>
      <c r="K81" s="17"/>
      <c r="L81" s="17"/>
      <c r="M81" s="17"/>
      <c r="N81" t="str">
        <f>IF(COUNTIFS( $B$2:$B$787, B81, $C$2:$C$787, C81, $D$2:$D$787, D81, $E$2:$E$787, E81) &gt; 1, "Duplicate", "Unique")</f>
        <v>Unique</v>
      </c>
    </row>
    <row r="82" spans="1:15" ht="27.65" hidden="1" customHeight="1" thickBot="1" x14ac:dyDescent="0.4">
      <c r="A82" s="3">
        <v>46269.375</v>
      </c>
      <c r="B82" s="1" t="s">
        <v>17</v>
      </c>
      <c r="C82" s="1" t="s">
        <v>10</v>
      </c>
      <c r="D82" s="4">
        <v>25</v>
      </c>
      <c r="E82" s="4">
        <v>348</v>
      </c>
      <c r="F82" s="4">
        <v>-3.4674063799999999</v>
      </c>
      <c r="G82" s="2" t="s">
        <v>77</v>
      </c>
      <c r="H82" s="5">
        <v>360.5</v>
      </c>
      <c r="I82" s="1" t="s">
        <v>8</v>
      </c>
      <c r="J82" s="24" t="s">
        <v>55</v>
      </c>
      <c r="K82" s="18" t="s">
        <v>257</v>
      </c>
      <c r="L82" s="18">
        <v>9000</v>
      </c>
      <c r="M82" s="27">
        <f>ABS((D82*E82)-L82)</f>
        <v>300</v>
      </c>
      <c r="N82" t="str">
        <f>IF(COUNTIFS( $B$2:$B$787, B82, $C$2:$C$787, C82, $D$2:$D$787, D82, $E$2:$E$787, E82) &gt; 1, "Duplicate", "Unique")</f>
        <v>Unique</v>
      </c>
    </row>
    <row r="83" spans="1:15" ht="27.65" hidden="1" customHeight="1" thickBot="1" x14ac:dyDescent="0.4">
      <c r="A83" s="3">
        <v>46268.385416666664</v>
      </c>
      <c r="B83" s="1" t="s">
        <v>19</v>
      </c>
      <c r="C83" s="1" t="s">
        <v>10</v>
      </c>
      <c r="D83" s="4">
        <v>100</v>
      </c>
      <c r="E83" s="4">
        <v>214</v>
      </c>
      <c r="F83" s="4">
        <v>-3.303059057</v>
      </c>
      <c r="G83" s="2" t="s">
        <v>40</v>
      </c>
      <c r="H83" s="5">
        <v>221.31</v>
      </c>
      <c r="I83" s="1" t="s">
        <v>8</v>
      </c>
      <c r="J83" s="24" t="s">
        <v>55</v>
      </c>
      <c r="K83" s="18" t="s">
        <v>249</v>
      </c>
      <c r="L83" s="18">
        <v>21900</v>
      </c>
      <c r="M83" s="18">
        <f>ABS((D83*E83)-L83)</f>
        <v>500</v>
      </c>
      <c r="N83" s="10" t="str">
        <f>IF(COUNTIFS( $B$2:$B$787, B83, $C$2:$C$787, C83, $D$2:$D$787, D83, $E$2:$E$787, E83) &gt; 1, "Duplicate", "Unique")</f>
        <v>Unique</v>
      </c>
    </row>
    <row r="84" spans="1:15" ht="27.65" hidden="1" customHeight="1" thickBot="1" x14ac:dyDescent="0.4">
      <c r="A84" s="3">
        <v>46252.6875</v>
      </c>
      <c r="B84" s="1" t="s">
        <v>20</v>
      </c>
      <c r="C84" s="1" t="s">
        <v>10</v>
      </c>
      <c r="D84" s="4">
        <v>20</v>
      </c>
      <c r="E84" s="4">
        <v>122</v>
      </c>
      <c r="F84" s="4">
        <v>-3.0823006039999998</v>
      </c>
      <c r="G84" s="2" t="s">
        <v>86</v>
      </c>
      <c r="H84" s="5">
        <v>125.88</v>
      </c>
      <c r="I84" s="1" t="s">
        <v>8</v>
      </c>
      <c r="J84" s="43" t="s">
        <v>41</v>
      </c>
      <c r="K84" s="17"/>
      <c r="L84" s="17"/>
      <c r="M84" s="17"/>
      <c r="N84" t="str">
        <f>IF(COUNTIFS( $B$2:$B$787, B84, $C$2:$C$787, C84, $D$2:$D$787, D84, $E$2:$E$787, E84) &gt; 1, "Duplicate", "Unique")</f>
        <v>Unique</v>
      </c>
    </row>
    <row r="85" spans="1:15" ht="27.65" hidden="1" customHeight="1" thickBot="1" x14ac:dyDescent="0.4">
      <c r="A85" s="6" t="s">
        <v>62</v>
      </c>
      <c r="B85" s="1" t="s">
        <v>49</v>
      </c>
      <c r="C85" s="1" t="s">
        <v>10</v>
      </c>
      <c r="D85" s="4">
        <v>2</v>
      </c>
      <c r="E85" s="4">
        <v>3856</v>
      </c>
      <c r="F85" s="4">
        <v>-2.9375487699999998</v>
      </c>
      <c r="G85" s="2" t="s">
        <v>50</v>
      </c>
      <c r="H85" s="5">
        <v>3972.7</v>
      </c>
      <c r="I85" s="1" t="s">
        <v>8</v>
      </c>
      <c r="J85" s="42"/>
      <c r="K85" s="17"/>
      <c r="L85" s="17"/>
      <c r="M85" s="17"/>
      <c r="N85" t="str">
        <f>IF(COUNTIFS( $B$2:$B$787, B85, $C$2:$C$787, C85, $D$2:$D$787, D85, $E$2:$E$787, E85) &gt; 1, "Duplicate", "Unique")</f>
        <v>Unique</v>
      </c>
      <c r="O85" s="19"/>
    </row>
    <row r="86" spans="1:15" s="26" customFormat="1" ht="27.65" hidden="1" customHeight="1" thickBot="1" x14ac:dyDescent="0.4">
      <c r="A86" s="6" t="s">
        <v>62</v>
      </c>
      <c r="B86" s="1" t="s">
        <v>9</v>
      </c>
      <c r="C86" s="1" t="s">
        <v>10</v>
      </c>
      <c r="D86" s="4">
        <v>20</v>
      </c>
      <c r="E86" s="4">
        <v>281</v>
      </c>
      <c r="F86" s="4">
        <v>-2.9025570150000002</v>
      </c>
      <c r="G86" s="2" t="s">
        <v>95</v>
      </c>
      <c r="H86" s="5">
        <v>289.39999999999998</v>
      </c>
      <c r="I86" s="1" t="s">
        <v>8</v>
      </c>
      <c r="J86" s="42"/>
      <c r="K86" s="17"/>
      <c r="L86" s="17"/>
      <c r="M86" s="17"/>
      <c r="N86" t="str">
        <f>IF(COUNTIFS( $B$2:$B$787, B86, $C$2:$C$787, C86, $D$2:$D$787, D86, $E$2:$E$787, E86) &gt; 1, "Duplicate", "Unique")</f>
        <v>Unique</v>
      </c>
      <c r="O86" s="10"/>
    </row>
    <row r="87" spans="1:15" ht="27.65" hidden="1" customHeight="1" thickBot="1" x14ac:dyDescent="0.4">
      <c r="A87" s="6" t="s">
        <v>62</v>
      </c>
      <c r="B87" s="1" t="s">
        <v>15</v>
      </c>
      <c r="C87" s="1" t="s">
        <v>10</v>
      </c>
      <c r="D87" s="4">
        <v>30</v>
      </c>
      <c r="E87" s="4">
        <v>2460</v>
      </c>
      <c r="F87" s="4">
        <v>-2.8052153299999998</v>
      </c>
      <c r="G87" s="2" t="s">
        <v>72</v>
      </c>
      <c r="H87" s="5">
        <v>2531</v>
      </c>
      <c r="I87" s="1" t="s">
        <v>8</v>
      </c>
      <c r="J87" s="42"/>
      <c r="K87" s="17"/>
      <c r="L87" s="17"/>
      <c r="M87" s="17"/>
      <c r="N87" t="str">
        <f>IF(COUNTIFS( $B$2:$B$787, B87, $C$2:$C$787, C87, $D$2:$D$787, D87, $E$2:$E$787, E87) &gt; 1, "Duplicate", "Unique")</f>
        <v>Unique</v>
      </c>
    </row>
    <row r="88" spans="1:15" ht="40.75" hidden="1" customHeight="1" thickBot="1" x14ac:dyDescent="0.4">
      <c r="A88" s="6" t="s">
        <v>62</v>
      </c>
      <c r="B88" s="1" t="s">
        <v>82</v>
      </c>
      <c r="C88" s="1" t="s">
        <v>10</v>
      </c>
      <c r="D88" s="4">
        <v>2</v>
      </c>
      <c r="E88" s="4">
        <v>4010</v>
      </c>
      <c r="F88" s="4">
        <v>-2.7171276080000002</v>
      </c>
      <c r="G88" s="2" t="s">
        <v>83</v>
      </c>
      <c r="H88" s="5">
        <v>4122</v>
      </c>
      <c r="I88" s="1" t="s">
        <v>8</v>
      </c>
      <c r="J88" s="42"/>
      <c r="K88" s="17"/>
      <c r="L88" s="17"/>
      <c r="M88" s="17"/>
      <c r="N88" t="str">
        <f>IF(COUNTIFS( $B$2:$B$787, B88, $C$2:$C$787, C88, $D$2:$D$787, D88, $E$2:$E$787, E88) &gt; 1, "Duplicate", "Unique")</f>
        <v>Unique</v>
      </c>
    </row>
    <row r="89" spans="1:15" ht="27.65" hidden="1" customHeight="1" thickBot="1" x14ac:dyDescent="0.4">
      <c r="A89" s="6" t="s">
        <v>62</v>
      </c>
      <c r="B89" s="1" t="s">
        <v>51</v>
      </c>
      <c r="C89" s="1" t="s">
        <v>10</v>
      </c>
      <c r="D89" s="4">
        <v>40</v>
      </c>
      <c r="E89" s="4">
        <v>897</v>
      </c>
      <c r="F89" s="4">
        <v>-2.6903883710000001</v>
      </c>
      <c r="G89" s="2" t="s">
        <v>52</v>
      </c>
      <c r="H89" s="5">
        <v>921.8</v>
      </c>
      <c r="I89" s="1" t="s">
        <v>8</v>
      </c>
      <c r="J89" s="42"/>
      <c r="K89" s="17"/>
      <c r="L89" s="17"/>
      <c r="M89" s="17"/>
      <c r="N89" t="str">
        <f>IF(COUNTIFS( $B$2:$B$787, B89, $C$2:$C$787, C89, $D$2:$D$787, D89, $E$2:$E$787, E89) &gt; 1, "Duplicate", "Unique")</f>
        <v>Unique</v>
      </c>
    </row>
    <row r="90" spans="1:15" s="25" customFormat="1" ht="27.65" hidden="1" customHeight="1" thickBot="1" x14ac:dyDescent="0.4">
      <c r="A90" s="6" t="s">
        <v>62</v>
      </c>
      <c r="B90" s="1" t="s">
        <v>15</v>
      </c>
      <c r="C90" s="1" t="s">
        <v>10</v>
      </c>
      <c r="D90" s="4">
        <v>5</v>
      </c>
      <c r="E90" s="4">
        <v>2470</v>
      </c>
      <c r="F90" s="4">
        <v>-2.410114579</v>
      </c>
      <c r="G90" s="2" t="s">
        <v>72</v>
      </c>
      <c r="H90" s="5">
        <v>2531</v>
      </c>
      <c r="I90" s="1" t="s">
        <v>8</v>
      </c>
      <c r="J90" s="42"/>
      <c r="K90" s="17"/>
      <c r="L90" s="17"/>
      <c r="M90" s="17"/>
      <c r="N90" t="str">
        <f>IF(COUNTIFS( $B$2:$B$787, B90, $C$2:$C$787, C90, $D$2:$D$787, D90, $E$2:$E$787, E90) &gt; 1, "Duplicate", "Unique")</f>
        <v>Unique</v>
      </c>
      <c r="O90" s="10"/>
    </row>
    <row r="91" spans="1:15" ht="27.65" hidden="1" customHeight="1" thickBot="1" x14ac:dyDescent="0.4">
      <c r="A91" s="3">
        <v>46252.645138888889</v>
      </c>
      <c r="B91" s="1" t="s">
        <v>68</v>
      </c>
      <c r="C91" s="1" t="s">
        <v>10</v>
      </c>
      <c r="D91" s="4">
        <v>10</v>
      </c>
      <c r="E91" s="4">
        <v>401</v>
      </c>
      <c r="F91" s="4">
        <v>-2.3618212810000001</v>
      </c>
      <c r="G91" s="2" t="s">
        <v>69</v>
      </c>
      <c r="H91" s="5">
        <v>410.7</v>
      </c>
      <c r="I91" s="1" t="s">
        <v>8</v>
      </c>
      <c r="J91" s="44" t="s">
        <v>118</v>
      </c>
      <c r="K91" s="17"/>
      <c r="L91" s="17"/>
      <c r="M91" s="17"/>
      <c r="N91" t="str">
        <f>IF(COUNTIFS( $B$2:$B$787, B91, $C$2:$C$787, C91, $D$2:$D$787, D91, $E$2:$E$787, E91) &gt; 1, "Duplicate", "Unique")</f>
        <v>Unique</v>
      </c>
    </row>
    <row r="92" spans="1:15" ht="27.65" hidden="1" customHeight="1" thickBot="1" x14ac:dyDescent="0.4">
      <c r="A92" s="6" t="s">
        <v>62</v>
      </c>
      <c r="B92" s="1" t="s">
        <v>103</v>
      </c>
      <c r="C92" s="1" t="s">
        <v>10</v>
      </c>
      <c r="D92" s="4">
        <v>7</v>
      </c>
      <c r="E92" s="4">
        <v>2401</v>
      </c>
      <c r="F92" s="4">
        <v>-2.2394136809999998</v>
      </c>
      <c r="G92" s="2" t="s">
        <v>104</v>
      </c>
      <c r="H92" s="5">
        <v>2456</v>
      </c>
      <c r="I92" s="1" t="s">
        <v>8</v>
      </c>
      <c r="J92" s="42"/>
      <c r="K92" s="17"/>
      <c r="L92" s="17"/>
      <c r="M92" s="17"/>
      <c r="N92" t="str">
        <f>IF(COUNTIFS( $B$2:$B$787, B92, $C$2:$C$787, C92, $D$2:$D$787, D92, $E$2:$E$787, E92) &gt; 1, "Duplicate", "Unique")</f>
        <v>Unique</v>
      </c>
    </row>
    <row r="93" spans="1:15" ht="27.65" hidden="1" customHeight="1" thickBot="1" x14ac:dyDescent="0.4">
      <c r="A93" s="6" t="s">
        <v>62</v>
      </c>
      <c r="B93" s="1" t="s">
        <v>49</v>
      </c>
      <c r="C93" s="1" t="s">
        <v>10</v>
      </c>
      <c r="D93" s="4">
        <v>5</v>
      </c>
      <c r="E93" s="4">
        <v>3888</v>
      </c>
      <c r="F93" s="4">
        <v>-2.13205125</v>
      </c>
      <c r="G93" s="2" t="s">
        <v>50</v>
      </c>
      <c r="H93" s="5">
        <v>3972.7</v>
      </c>
      <c r="I93" s="1" t="s">
        <v>8</v>
      </c>
      <c r="J93" s="42"/>
      <c r="K93" s="17"/>
      <c r="L93" s="17"/>
      <c r="M93" s="17"/>
      <c r="N93" t="str">
        <f>IF(COUNTIFS( $B$2:$B$787, B93, $C$2:$C$787, C93, $D$2:$D$787, D93, $E$2:$E$787, E93) &gt; 1, "Duplicate", "Unique")</f>
        <v>Unique</v>
      </c>
      <c r="O93" s="26"/>
    </row>
    <row r="94" spans="1:15" ht="27.65" hidden="1" customHeight="1" thickBot="1" x14ac:dyDescent="0.4">
      <c r="A94" s="3">
        <v>46265.375694444447</v>
      </c>
      <c r="B94" s="1" t="s">
        <v>21</v>
      </c>
      <c r="C94" s="1" t="s">
        <v>10</v>
      </c>
      <c r="D94" s="4">
        <v>5</v>
      </c>
      <c r="E94" s="4">
        <v>680</v>
      </c>
      <c r="F94" s="4">
        <v>-1.4349905780000001</v>
      </c>
      <c r="G94" s="2" t="s">
        <v>76</v>
      </c>
      <c r="H94" s="5">
        <v>689.9</v>
      </c>
      <c r="I94" s="1" t="s">
        <v>8</v>
      </c>
      <c r="J94" s="24" t="s">
        <v>41</v>
      </c>
      <c r="K94" s="18" t="s">
        <v>218</v>
      </c>
      <c r="L94" s="18">
        <v>3650</v>
      </c>
      <c r="M94" s="18">
        <f>ABS((D94*E94)-L94)</f>
        <v>250</v>
      </c>
      <c r="N94" t="str">
        <f>IF(COUNTIFS( $B$2:$B$787, B94, $C$2:$C$787, C94, $D$2:$D$787, D94, $E$2:$E$787, E94) &gt; 1, "Duplicate", "Unique")</f>
        <v>Unique</v>
      </c>
    </row>
    <row r="95" spans="1:15" ht="27.65" hidden="1" customHeight="1" thickBot="1" x14ac:dyDescent="0.4">
      <c r="A95" s="3">
        <v>46252.645138888889</v>
      </c>
      <c r="B95" s="1" t="s">
        <v>47</v>
      </c>
      <c r="C95" s="1" t="s">
        <v>10</v>
      </c>
      <c r="D95" s="4">
        <v>9</v>
      </c>
      <c r="E95" s="4">
        <v>2230</v>
      </c>
      <c r="F95" s="4">
        <v>-1.414677277</v>
      </c>
      <c r="G95" s="2" t="s">
        <v>48</v>
      </c>
      <c r="H95" s="5">
        <v>2262</v>
      </c>
      <c r="I95" s="1" t="s">
        <v>8</v>
      </c>
      <c r="J95" s="42"/>
      <c r="K95" s="17"/>
      <c r="L95" s="17"/>
      <c r="M95" s="17"/>
      <c r="N95" t="str">
        <f>IF(COUNTIFS( $B$2:$B$787, B95, $C$2:$C$787, C95, $D$2:$D$787, D95, $E$2:$E$787, E95) &gt; 1, "Duplicate", "Unique")</f>
        <v>Unique</v>
      </c>
    </row>
    <row r="96" spans="1:15" ht="14.4" hidden="1" customHeight="1" thickBot="1" x14ac:dyDescent="0.4">
      <c r="A96" s="6" t="s">
        <v>62</v>
      </c>
      <c r="B96" s="1" t="s">
        <v>49</v>
      </c>
      <c r="C96" s="1" t="s">
        <v>10</v>
      </c>
      <c r="D96" s="4">
        <v>5</v>
      </c>
      <c r="E96" s="4">
        <v>3938</v>
      </c>
      <c r="F96" s="4">
        <v>-0.8734613739</v>
      </c>
      <c r="G96" s="2" t="s">
        <v>50</v>
      </c>
      <c r="H96" s="5">
        <v>3972.7</v>
      </c>
      <c r="I96" s="1" t="s">
        <v>8</v>
      </c>
      <c r="J96" s="42"/>
      <c r="K96" s="17"/>
      <c r="L96" s="17"/>
      <c r="M96" s="17"/>
      <c r="N96" t="str">
        <f>IF(COUNTIFS( $B$2:$B$787, B96, $C$2:$C$787, C96, $D$2:$D$787, D96, $E$2:$E$787, E96) &gt; 1, "Duplicate", "Unique")</f>
        <v>Unique</v>
      </c>
    </row>
    <row r="97" spans="1:15" ht="14.4" hidden="1" customHeight="1" thickBot="1" x14ac:dyDescent="0.4">
      <c r="A97" s="3">
        <v>46252.645833333336</v>
      </c>
      <c r="B97" s="1" t="s">
        <v>53</v>
      </c>
      <c r="C97" s="1" t="s">
        <v>10</v>
      </c>
      <c r="D97" s="4">
        <v>2</v>
      </c>
      <c r="E97" s="4">
        <v>2426</v>
      </c>
      <c r="F97" s="4">
        <v>-0.77709611450000005</v>
      </c>
      <c r="G97" s="2" t="s">
        <v>54</v>
      </c>
      <c r="H97" s="5">
        <v>2445</v>
      </c>
      <c r="I97" s="1" t="s">
        <v>8</v>
      </c>
      <c r="J97" s="44" t="s">
        <v>41</v>
      </c>
      <c r="K97" s="17"/>
      <c r="L97" s="17"/>
      <c r="M97" s="17"/>
      <c r="N97" t="str">
        <f>IF(COUNTIFS( $B$2:$B$787, B97, $C$2:$C$787, C97, $D$2:$D$787, D97, $E$2:$E$787, E97) &gt; 1, "Duplicate", "Unique")</f>
        <v>Unique</v>
      </c>
    </row>
    <row r="98" spans="1:15" ht="14.4" hidden="1" customHeight="1" thickBot="1" x14ac:dyDescent="0.4">
      <c r="A98" s="36">
        <v>46268.375</v>
      </c>
      <c r="B98" s="37" t="s">
        <v>51</v>
      </c>
      <c r="C98" s="37" t="s">
        <v>10</v>
      </c>
      <c r="D98" s="38">
        <v>10</v>
      </c>
      <c r="E98" s="38">
        <v>917</v>
      </c>
      <c r="F98" s="4">
        <v>-0.52072032980000005</v>
      </c>
      <c r="G98" s="2" t="s">
        <v>52</v>
      </c>
      <c r="H98" s="5">
        <v>921.8</v>
      </c>
      <c r="I98" s="1" t="s">
        <v>8</v>
      </c>
      <c r="J98" s="32" t="s">
        <v>55</v>
      </c>
      <c r="K98" s="33" t="s">
        <v>250</v>
      </c>
      <c r="L98" s="33">
        <v>9370</v>
      </c>
      <c r="M98" s="33">
        <f>ABS((D98*E98)-L98)</f>
        <v>200</v>
      </c>
      <c r="N98" s="35" t="str">
        <f>IF(COUNTIFS( $B$2:$B$787, B98, $C$2:$C$787, C98, $D$2:$D$787, D98, $E$2:$E$787, E98) &gt; 1, "Duplicate", "Unique")</f>
        <v>Duplicate</v>
      </c>
    </row>
    <row r="99" spans="1:15" ht="15.65" hidden="1" customHeight="1" thickBot="1" x14ac:dyDescent="0.4">
      <c r="A99" s="36">
        <v>46269.375</v>
      </c>
      <c r="B99" s="37" t="s">
        <v>51</v>
      </c>
      <c r="C99" s="37" t="s">
        <v>10</v>
      </c>
      <c r="D99" s="38">
        <v>10</v>
      </c>
      <c r="E99" s="38">
        <v>917</v>
      </c>
      <c r="F99" s="4">
        <v>-0.52072032980000005</v>
      </c>
      <c r="G99" s="2" t="s">
        <v>52</v>
      </c>
      <c r="H99" s="5">
        <v>921.8</v>
      </c>
      <c r="I99" s="1" t="s">
        <v>8</v>
      </c>
      <c r="J99" s="32" t="s">
        <v>55</v>
      </c>
      <c r="K99" s="33" t="s">
        <v>258</v>
      </c>
      <c r="L99" s="33">
        <v>9470</v>
      </c>
      <c r="M99" s="33">
        <f>ABS((D99*E99)-L99)</f>
        <v>300</v>
      </c>
      <c r="N99" s="34" t="str">
        <f>IF(COUNTIFS( $B$2:$B$787, B99, $C$2:$C$787, C99, $D$2:$D$787, D99, $E$2:$E$787, E99) &gt; 1, "Duplicate", "Unique")</f>
        <v>Duplicate</v>
      </c>
    </row>
    <row r="100" spans="1:15" ht="14.4" customHeight="1" thickBot="1" x14ac:dyDescent="0.4">
      <c r="A100" s="3">
        <v>46269.614583333336</v>
      </c>
      <c r="B100" s="1" t="s">
        <v>23</v>
      </c>
      <c r="C100" s="1" t="s">
        <v>7</v>
      </c>
      <c r="D100" s="4">
        <v>40</v>
      </c>
      <c r="E100" s="4">
        <v>219</v>
      </c>
      <c r="F100" s="4">
        <v>1.388888889</v>
      </c>
      <c r="G100" s="2" t="s">
        <v>70</v>
      </c>
      <c r="H100" s="5">
        <v>216</v>
      </c>
      <c r="I100" s="1" t="s">
        <v>8</v>
      </c>
      <c r="J100" s="24" t="s">
        <v>117</v>
      </c>
      <c r="K100" s="18" t="s">
        <v>254</v>
      </c>
      <c r="L100" s="18">
        <v>8480</v>
      </c>
      <c r="M100" s="27">
        <f>ABS((D100*E100)-L100)</f>
        <v>280</v>
      </c>
      <c r="N100" t="str">
        <f>IF(COUNTIFS( $B$2:$B$787, B100, $C$2:$C$787, C100, $D$2:$D$787, D100, $E$2:$E$787, E100) &gt; 1, "Duplicate", "Unique")</f>
        <v>Unique</v>
      </c>
      <c r="O100" s="47" t="s">
        <v>262</v>
      </c>
    </row>
    <row r="101" spans="1:15" s="25" customFormat="1" ht="14.4" customHeight="1" thickBot="1" x14ac:dyDescent="0.4">
      <c r="A101" s="3">
        <v>46265.466666666667</v>
      </c>
      <c r="B101" s="1" t="s">
        <v>80</v>
      </c>
      <c r="C101" s="1" t="s">
        <v>7</v>
      </c>
      <c r="D101" s="4">
        <v>10</v>
      </c>
      <c r="E101" s="4">
        <v>1548</v>
      </c>
      <c r="F101" s="4">
        <v>1.4084507040000001</v>
      </c>
      <c r="G101" s="2" t="s">
        <v>81</v>
      </c>
      <c r="H101" s="5">
        <v>1526.5</v>
      </c>
      <c r="I101" s="1" t="s">
        <v>8</v>
      </c>
      <c r="J101" s="24" t="s">
        <v>117</v>
      </c>
      <c r="K101" s="18" t="s">
        <v>206</v>
      </c>
      <c r="L101" s="18">
        <v>15050</v>
      </c>
      <c r="M101" s="18">
        <f>ABS((D101*E101)-L101)</f>
        <v>430</v>
      </c>
      <c r="N101" t="str">
        <f>IF(COUNTIFS( $B$2:$B$787, B101, $C$2:$C$787, C101, $D$2:$D$787, D101, $E$2:$E$787, E101) &gt; 1, "Duplicate", "Unique")</f>
        <v>Unique</v>
      </c>
      <c r="O101" s="47" t="s">
        <v>262</v>
      </c>
    </row>
    <row r="102" spans="1:15" ht="14.4" customHeight="1" thickBot="1" x14ac:dyDescent="0.4">
      <c r="A102" s="11">
        <v>46273.375</v>
      </c>
      <c r="B102" s="8" t="s">
        <v>51</v>
      </c>
      <c r="C102" s="8" t="s">
        <v>7</v>
      </c>
      <c r="D102" s="8">
        <v>10</v>
      </c>
      <c r="E102" s="8">
        <v>937</v>
      </c>
      <c r="F102" s="4">
        <v>1.6489477109999999</v>
      </c>
      <c r="G102" s="2" t="s">
        <v>52</v>
      </c>
      <c r="H102" s="5">
        <v>921.8</v>
      </c>
      <c r="I102" s="1" t="s">
        <v>8</v>
      </c>
      <c r="J102" s="24" t="s">
        <v>156</v>
      </c>
      <c r="K102" s="18" t="s">
        <v>281</v>
      </c>
      <c r="L102" s="18">
        <v>9170</v>
      </c>
      <c r="M102" s="33">
        <f>ABS((D102*E102)-L102)</f>
        <v>200</v>
      </c>
      <c r="N102" s="10" t="str">
        <f>IF(COUNTIFS( $B$2:$B$787, B102, $C$2:$C$787, C102, $D$2:$D$787, D102, $E$2:$E$787, E102) &gt; 1, "Duplicate", "Unique")</f>
        <v>Unique</v>
      </c>
    </row>
    <row r="103" spans="1:15" ht="14.4" customHeight="1" thickBot="1" x14ac:dyDescent="0.4">
      <c r="A103" s="11">
        <v>46273.375</v>
      </c>
      <c r="B103" s="8" t="s">
        <v>51</v>
      </c>
      <c r="C103" s="8" t="s">
        <v>7</v>
      </c>
      <c r="D103" s="8">
        <v>10</v>
      </c>
      <c r="E103" s="8">
        <v>947</v>
      </c>
      <c r="F103" s="4">
        <v>1.6489477109999999</v>
      </c>
      <c r="G103" s="2" t="s">
        <v>52</v>
      </c>
      <c r="H103" s="5">
        <v>921.8</v>
      </c>
      <c r="I103" s="1" t="s">
        <v>8</v>
      </c>
      <c r="J103" s="24" t="s">
        <v>156</v>
      </c>
      <c r="K103" s="18" t="s">
        <v>281</v>
      </c>
      <c r="L103" s="18">
        <v>9170</v>
      </c>
      <c r="M103" s="33">
        <f>ABS((D103*E103)-L103)</f>
        <v>300</v>
      </c>
      <c r="N103" s="10" t="str">
        <f>IF(COUNTIFS( $B$2:$B$787, B103, $C$2:$C$787, C103, $D$2:$D$787, D103, $E$2:$E$787, E103) &gt; 1, "Duplicate", "Unique")</f>
        <v>Unique</v>
      </c>
    </row>
    <row r="104" spans="1:15" ht="14.4" customHeight="1" thickBot="1" x14ac:dyDescent="0.4">
      <c r="A104" s="36">
        <v>46267.375</v>
      </c>
      <c r="B104" s="37" t="s">
        <v>36</v>
      </c>
      <c r="C104" s="37" t="s">
        <v>7</v>
      </c>
      <c r="D104" s="38">
        <v>5</v>
      </c>
      <c r="E104" s="38">
        <v>1206</v>
      </c>
      <c r="F104" s="4">
        <v>1.875316776</v>
      </c>
      <c r="G104" s="2" t="s">
        <v>65</v>
      </c>
      <c r="H104" s="5">
        <v>1183.8</v>
      </c>
      <c r="I104" s="1" t="s">
        <v>8</v>
      </c>
      <c r="J104" s="32" t="s">
        <v>118</v>
      </c>
      <c r="K104" s="33" t="s">
        <v>239</v>
      </c>
      <c r="L104" s="33">
        <v>5755</v>
      </c>
      <c r="M104" s="33">
        <f>ABS((D104*E104)-L104)</f>
        <v>275</v>
      </c>
      <c r="N104" s="35" t="str">
        <f>IF(COUNTIFS( $B$2:$B$787, B104, $C$2:$C$787, C104, $D$2:$D$787, D104, $E$2:$E$787, E104) &gt; 1, "Duplicate", "Unique")</f>
        <v>Duplicate</v>
      </c>
      <c r="O104" s="47" t="s">
        <v>262</v>
      </c>
    </row>
    <row r="105" spans="1:15" ht="14.4" customHeight="1" thickBot="1" x14ac:dyDescent="0.4">
      <c r="A105" s="36">
        <v>46267.375</v>
      </c>
      <c r="B105" s="37" t="s">
        <v>36</v>
      </c>
      <c r="C105" s="37" t="s">
        <v>7</v>
      </c>
      <c r="D105" s="38">
        <v>5</v>
      </c>
      <c r="E105" s="38">
        <v>1206</v>
      </c>
      <c r="F105" s="4">
        <v>1.875316776</v>
      </c>
      <c r="G105" s="2" t="s">
        <v>65</v>
      </c>
      <c r="H105" s="5">
        <v>1183.8</v>
      </c>
      <c r="I105" s="1" t="s">
        <v>8</v>
      </c>
      <c r="J105" s="32" t="s">
        <v>118</v>
      </c>
      <c r="K105" s="33" t="s">
        <v>243</v>
      </c>
      <c r="L105" s="33">
        <v>5805</v>
      </c>
      <c r="M105" s="33">
        <f>ABS((D105*E105)-L105)</f>
        <v>225</v>
      </c>
      <c r="N105" s="35" t="str">
        <f>IF(COUNTIFS( $B$2:$B$787, B105, $C$2:$C$787, C105, $D$2:$D$787, D105, $E$2:$E$787, E105) &gt; 1, "Duplicate", "Unique")</f>
        <v>Duplicate</v>
      </c>
      <c r="O105" s="47" t="s">
        <v>262</v>
      </c>
    </row>
    <row r="106" spans="1:15" ht="26.5" thickBot="1" x14ac:dyDescent="0.4">
      <c r="A106" s="11">
        <v>46273.375</v>
      </c>
      <c r="B106" s="8" t="s">
        <v>49</v>
      </c>
      <c r="C106" s="8" t="s">
        <v>7</v>
      </c>
      <c r="D106" s="8">
        <v>5</v>
      </c>
      <c r="E106" s="8">
        <v>4047</v>
      </c>
      <c r="F106" s="4">
        <v>1.9961235429999999</v>
      </c>
      <c r="G106" s="2" t="s">
        <v>50</v>
      </c>
      <c r="H106" s="5">
        <v>3972.7</v>
      </c>
      <c r="I106" s="1" t="s">
        <v>8</v>
      </c>
      <c r="J106" s="24" t="s">
        <v>117</v>
      </c>
      <c r="K106" s="18" t="s">
        <v>282</v>
      </c>
      <c r="L106" s="18">
        <v>19730.5</v>
      </c>
      <c r="M106" s="33">
        <f>ABS((D106*E106)-L106)</f>
        <v>504.5</v>
      </c>
      <c r="N106" s="10" t="str">
        <f>IF(COUNTIFS( $B$2:$B$787, B106, $C$2:$C$787, C106, $D$2:$D$787, D106, $E$2:$E$787, E106) &gt; 1, "Duplicate", "Unique")</f>
        <v>Unique</v>
      </c>
    </row>
    <row r="107" spans="1:15" ht="26.5" thickBot="1" x14ac:dyDescent="0.4">
      <c r="A107" s="3">
        <v>46266.375694444447</v>
      </c>
      <c r="B107" s="1" t="s">
        <v>66</v>
      </c>
      <c r="C107" s="1" t="s">
        <v>7</v>
      </c>
      <c r="D107" s="4">
        <v>5</v>
      </c>
      <c r="E107" s="4">
        <v>1248</v>
      </c>
      <c r="F107" s="4">
        <v>2.421009438</v>
      </c>
      <c r="G107" s="2" t="s">
        <v>67</v>
      </c>
      <c r="H107" s="5">
        <v>1218.5</v>
      </c>
      <c r="I107" s="1" t="s">
        <v>8</v>
      </c>
      <c r="J107" s="24" t="s">
        <v>117</v>
      </c>
      <c r="K107" s="18" t="s">
        <v>222</v>
      </c>
      <c r="L107" s="18">
        <v>5940</v>
      </c>
      <c r="M107" s="18">
        <f>ABS((D107*E107)-L107)</f>
        <v>300</v>
      </c>
      <c r="N107" s="10" t="str">
        <f>IF(COUNTIFS( $B$2:$B$787, B107, $C$2:$C$787, C107, $D$2:$D$787, D107, $E$2:$E$787, E107) &gt; 1, "Duplicate", "Unique")</f>
        <v>Unique</v>
      </c>
      <c r="O107" s="47" t="s">
        <v>262</v>
      </c>
    </row>
    <row r="108" spans="1:15" ht="14.4" customHeight="1" thickBot="1" x14ac:dyDescent="0.4">
      <c r="A108" s="3">
        <v>46266.375</v>
      </c>
      <c r="B108" s="1" t="s">
        <v>15</v>
      </c>
      <c r="C108" s="1" t="s">
        <v>7</v>
      </c>
      <c r="D108" s="4">
        <v>10</v>
      </c>
      <c r="E108" s="4">
        <v>2595</v>
      </c>
      <c r="F108" s="4">
        <v>2.5286448039999998</v>
      </c>
      <c r="G108" s="2" t="s">
        <v>72</v>
      </c>
      <c r="H108" s="5">
        <v>2531</v>
      </c>
      <c r="I108" s="1" t="s">
        <v>8</v>
      </c>
      <c r="J108" s="24" t="s">
        <v>118</v>
      </c>
      <c r="K108" s="18" t="s">
        <v>228</v>
      </c>
      <c r="L108" s="18">
        <v>25300</v>
      </c>
      <c r="M108" s="18">
        <f>ABS((D108*E108)-L108)</f>
        <v>650</v>
      </c>
      <c r="N108" s="10" t="str">
        <f>IF(COUNTIFS( $B$2:$B$787, B108, $C$2:$C$787, C108, $D$2:$D$787, D108, $E$2:$E$787, E108) &gt; 1, "Duplicate", "Unique")</f>
        <v>Unique</v>
      </c>
      <c r="O108" s="47" t="s">
        <v>262</v>
      </c>
    </row>
    <row r="109" spans="1:15" ht="14.4" customHeight="1" thickBot="1" x14ac:dyDescent="0.4">
      <c r="A109" s="3">
        <v>46267.513888888891</v>
      </c>
      <c r="B109" s="1" t="s">
        <v>15</v>
      </c>
      <c r="C109" s="1" t="s">
        <v>7</v>
      </c>
      <c r="D109" s="4">
        <v>5</v>
      </c>
      <c r="E109" s="4">
        <v>2595</v>
      </c>
      <c r="F109" s="4">
        <v>2.5286448039999998</v>
      </c>
      <c r="G109" s="2" t="s">
        <v>72</v>
      </c>
      <c r="H109" s="5">
        <v>2531</v>
      </c>
      <c r="I109" s="1" t="s">
        <v>8</v>
      </c>
      <c r="J109" s="24" t="s">
        <v>118</v>
      </c>
      <c r="K109" s="18" t="s">
        <v>240</v>
      </c>
      <c r="L109" s="18">
        <v>12480</v>
      </c>
      <c r="M109" s="18">
        <f>ABS((D109*E109)-L109)</f>
        <v>495</v>
      </c>
      <c r="N109" s="10" t="str">
        <f>IF(COUNTIFS( $B$2:$B$787, B109, $C$2:$C$787, C109, $D$2:$D$787, D109, $E$2:$E$787, E109) &gt; 1, "Duplicate", "Unique")</f>
        <v>Unique</v>
      </c>
      <c r="O109" s="47" t="s">
        <v>262</v>
      </c>
    </row>
    <row r="110" spans="1:15" customFormat="1" ht="26.5" thickBot="1" x14ac:dyDescent="0.4">
      <c r="A110" s="11">
        <v>46252.635416666664</v>
      </c>
      <c r="B110" s="8" t="s">
        <v>74</v>
      </c>
      <c r="C110" s="8" t="s">
        <v>7</v>
      </c>
      <c r="D110" s="8">
        <v>5</v>
      </c>
      <c r="E110" s="8">
        <v>3482</v>
      </c>
      <c r="F110" s="4">
        <v>2.5928108430000001</v>
      </c>
      <c r="G110" s="2" t="s">
        <v>75</v>
      </c>
      <c r="H110" s="5">
        <v>3394</v>
      </c>
      <c r="I110" s="1" t="s">
        <v>8</v>
      </c>
      <c r="J110" s="60" t="s">
        <v>118</v>
      </c>
      <c r="K110" s="18"/>
      <c r="L110" s="18"/>
      <c r="M110" s="18"/>
      <c r="N110" s="10" t="str">
        <f>IF(COUNTIFS( $B$2:$B$787, B110, $C$2:$C$787, C110, $D$2:$D$787, D110, $E$2:$E$787, E110) &gt; 1, "Duplicate", "Unique")</f>
        <v>Unique</v>
      </c>
      <c r="O110" s="47" t="s">
        <v>262</v>
      </c>
    </row>
    <row r="111" spans="1:15" customFormat="1" ht="26.5" thickBot="1" x14ac:dyDescent="0.4">
      <c r="A111" s="11">
        <v>46243.375</v>
      </c>
      <c r="B111" s="8" t="s">
        <v>9</v>
      </c>
      <c r="C111" s="8" t="s">
        <v>7</v>
      </c>
      <c r="D111" s="8">
        <v>90</v>
      </c>
      <c r="E111" s="8">
        <v>297</v>
      </c>
      <c r="F111" s="4">
        <v>2.626123013</v>
      </c>
      <c r="G111" s="2" t="s">
        <v>95</v>
      </c>
      <c r="H111" s="5">
        <v>289.39999999999998</v>
      </c>
      <c r="I111" s="1" t="s">
        <v>8</v>
      </c>
      <c r="J111" s="18" t="s">
        <v>117</v>
      </c>
      <c r="K111" s="18" t="s">
        <v>277</v>
      </c>
      <c r="L111" s="18">
        <v>26109.000000000004</v>
      </c>
      <c r="M111" s="33">
        <f>ABS((D111*E111)-L111)</f>
        <v>620.99999999999636</v>
      </c>
      <c r="N111" s="10" t="str">
        <f>IF(COUNTIFS( $B$2:$B$787, B111, $C$2:$C$787, C111, $D$2:$D$787, D111, $E$2:$E$787, E111) &gt; 1, "Duplicate", "Unique")</f>
        <v>Unique</v>
      </c>
      <c r="O111" s="10"/>
    </row>
    <row r="112" spans="1:15" customFormat="1" ht="39" thickBot="1" x14ac:dyDescent="0.4">
      <c r="A112" s="3">
        <v>46265.392361111109</v>
      </c>
      <c r="B112" s="1" t="s">
        <v>19</v>
      </c>
      <c r="C112" s="1" t="s">
        <v>7</v>
      </c>
      <c r="D112" s="4">
        <v>250</v>
      </c>
      <c r="E112" s="4">
        <v>227.8</v>
      </c>
      <c r="F112" s="4">
        <v>2.932538069</v>
      </c>
      <c r="G112" s="2" t="s">
        <v>40</v>
      </c>
      <c r="H112" s="5">
        <v>221.31</v>
      </c>
      <c r="I112" s="1" t="s">
        <v>8</v>
      </c>
      <c r="J112" s="18" t="s">
        <v>118</v>
      </c>
      <c r="K112" s="18" t="s">
        <v>219</v>
      </c>
      <c r="L112" s="18">
        <v>55382.5</v>
      </c>
      <c r="M112" s="18">
        <f>ABS((D112*E112)-L112)</f>
        <v>1567.5</v>
      </c>
      <c r="N112" t="str">
        <f>IF(COUNTIFS( $B$2:$B$787, B112, $C$2:$C$787, C112, $D$2:$D$787, D112, $E$2:$E$787, E112) &gt; 1, "Duplicate", "Unique")</f>
        <v>Unique</v>
      </c>
      <c r="O112" s="47" t="s">
        <v>262</v>
      </c>
    </row>
    <row r="113" spans="1:15" customFormat="1" ht="26.5" thickBot="1" x14ac:dyDescent="0.4">
      <c r="A113" s="3">
        <v>46265.375694444447</v>
      </c>
      <c r="B113" s="1" t="s">
        <v>49</v>
      </c>
      <c r="C113" s="1" t="s">
        <v>7</v>
      </c>
      <c r="D113" s="4">
        <v>5</v>
      </c>
      <c r="E113" s="4">
        <v>4092</v>
      </c>
      <c r="F113" s="4">
        <v>3.0029954440000002</v>
      </c>
      <c r="G113" s="2" t="s">
        <v>50</v>
      </c>
      <c r="H113" s="5">
        <v>3972.7</v>
      </c>
      <c r="I113" s="1" t="s">
        <v>8</v>
      </c>
      <c r="J113" s="59" t="s">
        <v>118</v>
      </c>
      <c r="K113" s="18" t="s">
        <v>215</v>
      </c>
      <c r="L113" s="18">
        <v>20010</v>
      </c>
      <c r="M113" s="18">
        <f>ABS((D113*E113)-L113)</f>
        <v>450</v>
      </c>
      <c r="N113" t="str">
        <f>IF(COUNTIFS( $B$2:$B$787, B113, $C$2:$C$787, C113, $D$2:$D$787, D113, $E$2:$E$787, E113) &gt; 1, "Duplicate", "Unique")</f>
        <v>Unique</v>
      </c>
      <c r="O113" s="47" t="s">
        <v>262</v>
      </c>
    </row>
    <row r="114" spans="1:15" customFormat="1" ht="26.5" thickBot="1" x14ac:dyDescent="0.4">
      <c r="A114" s="3">
        <v>46265.375694444447</v>
      </c>
      <c r="B114" s="1" t="s">
        <v>15</v>
      </c>
      <c r="C114" s="1" t="s">
        <v>7</v>
      </c>
      <c r="D114" s="4">
        <v>10</v>
      </c>
      <c r="E114" s="4">
        <v>2608</v>
      </c>
      <c r="F114" s="4">
        <v>3.0422757800000002</v>
      </c>
      <c r="G114" s="2" t="s">
        <v>72</v>
      </c>
      <c r="H114" s="5">
        <v>2531</v>
      </c>
      <c r="I114" s="1" t="s">
        <v>8</v>
      </c>
      <c r="J114" s="18" t="s">
        <v>118</v>
      </c>
      <c r="K114" s="18" t="s">
        <v>211</v>
      </c>
      <c r="L114" s="18">
        <v>25780</v>
      </c>
      <c r="M114" s="18">
        <f>ABS((D114*E114)-L114)</f>
        <v>300</v>
      </c>
      <c r="N114" t="str">
        <f>IF(COUNTIFS( $B$2:$B$787, B114, $C$2:$C$787, C114, $D$2:$D$787, D114, $E$2:$E$787, E114) &gt; 1, "Duplicate", "Unique")</f>
        <v>Unique</v>
      </c>
      <c r="O114" s="47" t="s">
        <v>262</v>
      </c>
    </row>
    <row r="115" spans="1:15" customFormat="1" ht="26.5" thickBot="1" x14ac:dyDescent="0.4">
      <c r="A115" s="11">
        <v>46252.645138888889</v>
      </c>
      <c r="B115" s="8" t="s">
        <v>68</v>
      </c>
      <c r="C115" s="8" t="s">
        <v>7</v>
      </c>
      <c r="D115" s="8">
        <v>20</v>
      </c>
      <c r="E115" s="8">
        <v>424</v>
      </c>
      <c r="F115" s="4">
        <v>3.2383735090000001</v>
      </c>
      <c r="G115" s="2" t="s">
        <v>69</v>
      </c>
      <c r="H115" s="5">
        <v>410.7</v>
      </c>
      <c r="I115" s="1" t="s">
        <v>8</v>
      </c>
      <c r="J115" s="40"/>
      <c r="K115" s="18"/>
      <c r="L115" s="18"/>
      <c r="M115" s="18"/>
      <c r="N115" s="10" t="str">
        <f>IF(COUNTIFS( $B$2:$B$787, B115, $C$2:$C$787, C115, $D$2:$D$787, D115, $E$2:$E$787, E115) &gt; 1, "Duplicate", "Unique")</f>
        <v>Unique</v>
      </c>
      <c r="O115" s="47" t="s">
        <v>262</v>
      </c>
    </row>
    <row r="116" spans="1:15" customFormat="1" ht="26.5" thickBot="1" x14ac:dyDescent="0.4">
      <c r="A116" s="3">
        <v>46265.390277777777</v>
      </c>
      <c r="B116" s="1" t="s">
        <v>15</v>
      </c>
      <c r="C116" s="1" t="s">
        <v>7</v>
      </c>
      <c r="D116" s="4">
        <v>10</v>
      </c>
      <c r="E116" s="4">
        <v>2618</v>
      </c>
      <c r="F116" s="4">
        <v>3.437376531</v>
      </c>
      <c r="G116" s="2" t="s">
        <v>72</v>
      </c>
      <c r="H116" s="5">
        <v>2531</v>
      </c>
      <c r="I116" s="1" t="s">
        <v>8</v>
      </c>
      <c r="J116" s="18" t="s">
        <v>117</v>
      </c>
      <c r="K116" s="18" t="s">
        <v>208</v>
      </c>
      <c r="L116" s="18">
        <v>25530</v>
      </c>
      <c r="M116" s="18">
        <f>ABS((D116*E116)-L116)</f>
        <v>650</v>
      </c>
      <c r="N116" t="str">
        <f>IF(COUNTIFS( $B$2:$B$787, B116, $C$2:$C$787, C116, $D$2:$D$787, D116, $E$2:$E$787, E116) &gt; 1, "Duplicate", "Unique")</f>
        <v>Unique</v>
      </c>
    </row>
    <row r="117" spans="1:15" customFormat="1" ht="39" thickBot="1" x14ac:dyDescent="0.4">
      <c r="A117" s="36">
        <v>46262.375</v>
      </c>
      <c r="B117" s="37" t="s">
        <v>43</v>
      </c>
      <c r="C117" s="37" t="s">
        <v>7</v>
      </c>
      <c r="D117" s="38">
        <v>5</v>
      </c>
      <c r="E117" s="38">
        <v>747</v>
      </c>
      <c r="F117" s="4">
        <v>3.4697693749999998</v>
      </c>
      <c r="G117" s="2" t="s">
        <v>44</v>
      </c>
      <c r="H117" s="5">
        <v>721.95</v>
      </c>
      <c r="I117" s="1" t="s">
        <v>8</v>
      </c>
      <c r="J117" s="33" t="s">
        <v>118</v>
      </c>
      <c r="K117" s="33" t="s">
        <v>198</v>
      </c>
      <c r="L117" s="33">
        <v>3560</v>
      </c>
      <c r="M117" s="33">
        <f>ABS((D117*E117)-L117)</f>
        <v>175</v>
      </c>
      <c r="N117" s="35" t="str">
        <f>IF(COUNTIFS( $B$2:$B$787, B117, $C$2:$C$787, C117, $D$2:$D$787, D117, $E$2:$E$787, E117) &gt; 1, "Duplicate", "Unique")</f>
        <v>Duplicate</v>
      </c>
      <c r="O117" s="47" t="s">
        <v>262</v>
      </c>
    </row>
    <row r="118" spans="1:15" ht="39" thickBot="1" x14ac:dyDescent="0.4">
      <c r="A118" s="36">
        <v>46265.375694444447</v>
      </c>
      <c r="B118" s="37" t="s">
        <v>43</v>
      </c>
      <c r="C118" s="37" t="s">
        <v>7</v>
      </c>
      <c r="D118" s="38">
        <v>5</v>
      </c>
      <c r="E118" s="38">
        <v>747</v>
      </c>
      <c r="F118" s="4">
        <v>3.4697693749999998</v>
      </c>
      <c r="G118" s="2" t="s">
        <v>44</v>
      </c>
      <c r="H118" s="5">
        <v>721.95</v>
      </c>
      <c r="I118" s="1" t="s">
        <v>8</v>
      </c>
      <c r="J118" s="33" t="s">
        <v>118</v>
      </c>
      <c r="K118" s="33" t="s">
        <v>216</v>
      </c>
      <c r="L118" s="33">
        <v>3510</v>
      </c>
      <c r="M118" s="33">
        <f>ABS((D118*E118)-L118)</f>
        <v>225</v>
      </c>
      <c r="N118" s="34" t="str">
        <f>IF(COUNTIFS( $B$2:$B$787, B118, $C$2:$C$787, C118, $D$2:$D$787, D118, $E$2:$E$787, E118) &gt; 1, "Duplicate", "Unique")</f>
        <v>Duplicate</v>
      </c>
      <c r="O118" s="47" t="s">
        <v>262</v>
      </c>
    </row>
    <row r="119" spans="1:15" s="35" customFormat="1" ht="26.5" thickBot="1" x14ac:dyDescent="0.4">
      <c r="A119" s="3">
        <v>46265.460416666669</v>
      </c>
      <c r="B119" s="1" t="s">
        <v>18</v>
      </c>
      <c r="C119" s="1" t="s">
        <v>7</v>
      </c>
      <c r="D119" s="4">
        <v>5</v>
      </c>
      <c r="E119" s="4">
        <v>1892</v>
      </c>
      <c r="F119" s="4">
        <v>3.4727919059999999</v>
      </c>
      <c r="G119" s="2" t="s">
        <v>102</v>
      </c>
      <c r="H119" s="5">
        <v>1828.5</v>
      </c>
      <c r="I119" s="1" t="s">
        <v>8</v>
      </c>
      <c r="J119" s="18" t="s">
        <v>118</v>
      </c>
      <c r="K119" s="18" t="s">
        <v>203</v>
      </c>
      <c r="L119" s="18">
        <v>8810</v>
      </c>
      <c r="M119" s="18">
        <f>ABS((D119*E119)-L119)</f>
        <v>650</v>
      </c>
      <c r="N119" t="str">
        <f>IF(COUNTIFS( $B$2:$B$787, B119, $C$2:$C$787, C119, $D$2:$D$787, D119, $E$2:$E$787, E119) &gt; 1, "Duplicate", "Unique")</f>
        <v>Unique</v>
      </c>
      <c r="O119" s="47" t="s">
        <v>262</v>
      </c>
    </row>
    <row r="120" spans="1:15" s="35" customFormat="1" ht="26.5" thickBot="1" x14ac:dyDescent="0.4">
      <c r="A120" s="3">
        <v>46260.375694444447</v>
      </c>
      <c r="B120" s="1" t="s">
        <v>49</v>
      </c>
      <c r="C120" s="1" t="s">
        <v>7</v>
      </c>
      <c r="D120" s="4">
        <v>5</v>
      </c>
      <c r="E120" s="4">
        <v>4112</v>
      </c>
      <c r="F120" s="4">
        <v>3.5064313939999998</v>
      </c>
      <c r="G120" s="2" t="s">
        <v>50</v>
      </c>
      <c r="H120" s="5">
        <v>3972.7</v>
      </c>
      <c r="I120" s="1" t="s">
        <v>8</v>
      </c>
      <c r="J120" s="18" t="s">
        <v>118</v>
      </c>
      <c r="K120" s="18" t="s">
        <v>174</v>
      </c>
      <c r="L120" s="18">
        <v>20260</v>
      </c>
      <c r="M120" s="18">
        <f>ABS((D120*E120)-L120)</f>
        <v>300</v>
      </c>
      <c r="N120" t="str">
        <f>IF(COUNTIFS( $B$2:$B$787, B120, $C$2:$C$787, C120, $D$2:$D$787, D120, $E$2:$E$787, E120) &gt; 1, "Duplicate", "Unique")</f>
        <v>Unique</v>
      </c>
      <c r="O120"/>
    </row>
    <row r="121" spans="1:15" ht="26.5" thickBot="1" x14ac:dyDescent="0.4">
      <c r="A121" s="3">
        <v>46269.542361111111</v>
      </c>
      <c r="B121" s="1" t="s">
        <v>14</v>
      </c>
      <c r="C121" s="1" t="s">
        <v>7</v>
      </c>
      <c r="D121" s="4">
        <v>50</v>
      </c>
      <c r="E121" s="4">
        <v>330.4</v>
      </c>
      <c r="F121" s="4">
        <v>3.5736677120000002</v>
      </c>
      <c r="G121" s="2" t="s">
        <v>45</v>
      </c>
      <c r="H121" s="5">
        <v>319</v>
      </c>
      <c r="I121" s="1" t="s">
        <v>8</v>
      </c>
      <c r="J121" s="18" t="s">
        <v>118</v>
      </c>
      <c r="K121" s="18" t="s">
        <v>251</v>
      </c>
      <c r="L121" s="18">
        <v>16219.999999999998</v>
      </c>
      <c r="M121" s="27">
        <f>ABS((D121*E121)-L121)</f>
        <v>300.00000000000182</v>
      </c>
      <c r="N121" t="str">
        <f>IF(COUNTIFS( $B$2:$B$787, B121, $C$2:$C$787, C121, $D$2:$D$787, D121, $E$2:$E$787, E121) &gt; 1, "Duplicate", "Unique")</f>
        <v>Unique</v>
      </c>
    </row>
    <row r="122" spans="1:15" ht="26.5" thickBot="1" x14ac:dyDescent="0.4">
      <c r="A122" s="3">
        <v>46272.530555555553</v>
      </c>
      <c r="B122" s="1" t="s">
        <v>14</v>
      </c>
      <c r="C122" s="1" t="s">
        <v>7</v>
      </c>
      <c r="D122" s="4">
        <v>20</v>
      </c>
      <c r="E122" s="4">
        <v>330.4</v>
      </c>
      <c r="F122" s="4">
        <v>3.5736677120000002</v>
      </c>
      <c r="G122" s="2" t="s">
        <v>45</v>
      </c>
      <c r="H122" s="5">
        <v>319</v>
      </c>
      <c r="I122" s="1" t="s">
        <v>8</v>
      </c>
      <c r="J122" s="10" t="s">
        <v>118</v>
      </c>
      <c r="K122" s="18" t="s">
        <v>263</v>
      </c>
      <c r="L122" s="18">
        <v>6334</v>
      </c>
      <c r="M122" s="18">
        <f>ABS((D122*E122)-L122)</f>
        <v>274</v>
      </c>
      <c r="N122" s="10" t="str">
        <f>IF(COUNTIFS( $B$2:$B$787, B122, $C$2:$C$787, C122, $D$2:$D$787, D122, $E$2:$E$787, E122) &gt; 1, "Duplicate", "Unique")</f>
        <v>Unique</v>
      </c>
    </row>
    <row r="123" spans="1:15" ht="26.5" thickBot="1" x14ac:dyDescent="0.4">
      <c r="A123" s="3">
        <v>46272.375694444447</v>
      </c>
      <c r="B123" s="1" t="s">
        <v>87</v>
      </c>
      <c r="C123" s="1" t="s">
        <v>7</v>
      </c>
      <c r="D123" s="4">
        <v>10</v>
      </c>
      <c r="E123" s="4">
        <v>1280</v>
      </c>
      <c r="F123" s="4">
        <v>3.6017806559999999</v>
      </c>
      <c r="G123" s="2" t="s">
        <v>88</v>
      </c>
      <c r="H123" s="5">
        <v>1235.5</v>
      </c>
      <c r="I123" s="1" t="s">
        <v>8</v>
      </c>
      <c r="J123" s="18" t="s">
        <v>117</v>
      </c>
      <c r="K123" s="18" t="s">
        <v>269</v>
      </c>
      <c r="L123" s="18">
        <v>12510</v>
      </c>
      <c r="M123" s="18">
        <f>ABS((D123*E123)-L123)</f>
        <v>290</v>
      </c>
      <c r="N123" s="10" t="str">
        <f>IF(COUNTIFS( $B$2:$B$787, B123, $C$2:$C$787, C123, $D$2:$D$787, D123, $E$2:$E$787, E123) &gt; 1, "Duplicate", "Unique")</f>
        <v>Unique</v>
      </c>
    </row>
    <row r="124" spans="1:15" s="19" customFormat="1" ht="39" thickBot="1" x14ac:dyDescent="0.4">
      <c r="A124" s="3">
        <v>46267.375</v>
      </c>
      <c r="B124" s="1" t="s">
        <v>51</v>
      </c>
      <c r="C124" s="1" t="s">
        <v>7</v>
      </c>
      <c r="D124" s="4">
        <v>10</v>
      </c>
      <c r="E124" s="4">
        <v>957</v>
      </c>
      <c r="F124" s="4">
        <v>3.8186157519999999</v>
      </c>
      <c r="G124" s="2" t="s">
        <v>52</v>
      </c>
      <c r="H124" s="5">
        <v>921.8</v>
      </c>
      <c r="I124" s="1" t="s">
        <v>8</v>
      </c>
      <c r="J124" s="18" t="s">
        <v>117</v>
      </c>
      <c r="K124" s="18" t="s">
        <v>242</v>
      </c>
      <c r="L124" s="18">
        <v>9270</v>
      </c>
      <c r="M124" s="18">
        <f>ABS((D124*E124)-L124)</f>
        <v>300</v>
      </c>
      <c r="N124" s="10" t="str">
        <f>IF(COUNTIFS( $B$2:$B$787, B124, $C$2:$C$787, C124, $D$2:$D$787, D124, $E$2:$E$787, E124) &gt; 1, "Duplicate", "Unique")</f>
        <v>Unique</v>
      </c>
      <c r="O124" s="47" t="s">
        <v>262</v>
      </c>
    </row>
    <row r="125" spans="1:15" s="26" customFormat="1" ht="39" thickBot="1" x14ac:dyDescent="0.4">
      <c r="A125" s="11">
        <v>46243.375</v>
      </c>
      <c r="B125" s="8" t="s">
        <v>11</v>
      </c>
      <c r="C125" s="8" t="s">
        <v>7</v>
      </c>
      <c r="D125" s="8">
        <v>20</v>
      </c>
      <c r="E125" s="8">
        <v>296</v>
      </c>
      <c r="F125" s="4">
        <v>3.8596491230000001</v>
      </c>
      <c r="G125" s="2" t="s">
        <v>99</v>
      </c>
      <c r="H125" s="5">
        <v>285</v>
      </c>
      <c r="I125" s="1" t="s">
        <v>8</v>
      </c>
      <c r="J125" s="18" t="s">
        <v>118</v>
      </c>
      <c r="K125" s="18" t="s">
        <v>275</v>
      </c>
      <c r="L125" s="18">
        <v>5620</v>
      </c>
      <c r="M125" s="33">
        <f>ABS((D125*E125)-L125)</f>
        <v>300</v>
      </c>
      <c r="N125" s="10" t="str">
        <f>IF(COUNTIFS( $B$2:$B$787, B125, $C$2:$C$787, C125, $D$2:$D$787, D125, $E$2:$E$787, E125) &gt; 1, "Duplicate", "Unique")</f>
        <v>Unique</v>
      </c>
      <c r="O125" s="10"/>
    </row>
    <row r="126" spans="1:15" ht="26.5" thickBot="1" x14ac:dyDescent="0.4">
      <c r="A126" s="11">
        <v>46252.645138888889</v>
      </c>
      <c r="B126" s="8" t="s">
        <v>49</v>
      </c>
      <c r="C126" s="8" t="s">
        <v>7</v>
      </c>
      <c r="D126" s="8">
        <v>5</v>
      </c>
      <c r="E126" s="8">
        <v>4129</v>
      </c>
      <c r="F126" s="4">
        <v>3.9343519520000001</v>
      </c>
      <c r="G126" s="2" t="s">
        <v>50</v>
      </c>
      <c r="H126" s="5">
        <v>3972.7</v>
      </c>
      <c r="I126" s="1" t="s">
        <v>8</v>
      </c>
      <c r="J126" s="40"/>
      <c r="N126" s="10" t="str">
        <f>IF(COUNTIFS( $B$2:$B$787, B126, $C$2:$C$787, C126, $D$2:$D$787, D126, $E$2:$E$787, E126) &gt; 1, "Duplicate", "Unique")</f>
        <v>Unique</v>
      </c>
    </row>
    <row r="127" spans="1:15" ht="26.5" thickBot="1" x14ac:dyDescent="0.4">
      <c r="A127" s="3">
        <v>46272.375694444447</v>
      </c>
      <c r="B127" s="1" t="s">
        <v>63</v>
      </c>
      <c r="C127" s="1" t="s">
        <v>7</v>
      </c>
      <c r="D127" s="4">
        <v>15</v>
      </c>
      <c r="E127" s="4">
        <v>1048</v>
      </c>
      <c r="F127" s="4">
        <v>3.968253968</v>
      </c>
      <c r="G127" s="2" t="s">
        <v>64</v>
      </c>
      <c r="H127" s="5">
        <v>1008</v>
      </c>
      <c r="I127" s="1" t="s">
        <v>8</v>
      </c>
      <c r="J127" s="18" t="s">
        <v>117</v>
      </c>
      <c r="K127" s="18" t="s">
        <v>267</v>
      </c>
      <c r="L127" s="18">
        <v>15075</v>
      </c>
      <c r="M127" s="18">
        <f>ABS((D127*E127)-L127)</f>
        <v>645</v>
      </c>
      <c r="N127" s="10" t="str">
        <f>IF(COUNTIFS( $B$2:$B$787, B127, $C$2:$C$787, C127, $D$2:$D$787, D127, $E$2:$E$787, E127) &gt; 1, "Duplicate", "Unique")</f>
        <v>Unique</v>
      </c>
    </row>
    <row r="128" spans="1:15" ht="26.5" thickBot="1" x14ac:dyDescent="0.4">
      <c r="A128" s="11">
        <v>46273.385416666664</v>
      </c>
      <c r="B128" s="8" t="s">
        <v>25</v>
      </c>
      <c r="C128" s="8" t="s">
        <v>7</v>
      </c>
      <c r="D128" s="8">
        <v>500</v>
      </c>
      <c r="E128" s="8">
        <v>34.659999999999997</v>
      </c>
      <c r="F128" s="4">
        <v>4.052836986</v>
      </c>
      <c r="G128" s="2" t="s">
        <v>46</v>
      </c>
      <c r="H128" s="5">
        <v>33.31</v>
      </c>
      <c r="I128" s="1" t="s">
        <v>8</v>
      </c>
      <c r="J128" s="18" t="s">
        <v>118</v>
      </c>
      <c r="K128" s="18" t="s">
        <v>278</v>
      </c>
      <c r="L128" s="18">
        <v>16580</v>
      </c>
      <c r="M128" s="33">
        <f>ABS((D128*E128)-L128)</f>
        <v>750</v>
      </c>
      <c r="N128" s="10" t="str">
        <f>IF(COUNTIFS( $B$2:$B$787, B128, $C$2:$C$787, C128, $D$2:$D$787, D128, $E$2:$E$787, E128) &gt; 1, "Duplicate", "Unique")</f>
        <v>Unique</v>
      </c>
    </row>
    <row r="129" spans="1:15" ht="39" thickBot="1" x14ac:dyDescent="0.4">
      <c r="A129" s="3">
        <v>46267.375</v>
      </c>
      <c r="B129" s="1" t="s">
        <v>82</v>
      </c>
      <c r="C129" s="1" t="s">
        <v>7</v>
      </c>
      <c r="D129" s="4">
        <v>2</v>
      </c>
      <c r="E129" s="4">
        <v>4290</v>
      </c>
      <c r="F129" s="4">
        <v>4.0756914120000003</v>
      </c>
      <c r="G129" s="2" t="s">
        <v>83</v>
      </c>
      <c r="H129" s="5">
        <v>4122</v>
      </c>
      <c r="I129" s="1" t="s">
        <v>8</v>
      </c>
      <c r="J129" s="18" t="s">
        <v>118</v>
      </c>
      <c r="K129" s="18" t="s">
        <v>238</v>
      </c>
      <c r="L129" s="18">
        <v>8220</v>
      </c>
      <c r="M129" s="18">
        <f>ABS((D129*E129)-L129)</f>
        <v>360</v>
      </c>
      <c r="N129" s="10" t="str">
        <f>IF(COUNTIFS( $B$2:$B$787, B129, $C$2:$C$787, C129, $D$2:$D$787, D129, $E$2:$E$787, E129) &gt; 1, "Duplicate", "Unique")</f>
        <v>Unique</v>
      </c>
      <c r="O129" s="47" t="s">
        <v>262</v>
      </c>
    </row>
    <row r="130" spans="1:15" ht="26.5" thickBot="1" x14ac:dyDescent="0.4">
      <c r="A130" s="3">
        <v>46265.375694444447</v>
      </c>
      <c r="B130" s="1" t="s">
        <v>15</v>
      </c>
      <c r="C130" s="1" t="s">
        <v>7</v>
      </c>
      <c r="D130" s="4">
        <v>10</v>
      </c>
      <c r="E130" s="4">
        <v>2636</v>
      </c>
      <c r="F130" s="4">
        <v>4.1485578820000004</v>
      </c>
      <c r="G130" s="2" t="s">
        <v>72</v>
      </c>
      <c r="H130" s="5">
        <v>2531</v>
      </c>
      <c r="I130" s="1" t="s">
        <v>8</v>
      </c>
      <c r="J130" s="18" t="s">
        <v>117</v>
      </c>
      <c r="K130" s="18" t="s">
        <v>217</v>
      </c>
      <c r="L130" s="18">
        <v>26020</v>
      </c>
      <c r="M130" s="18">
        <f>ABS((D130*E130)-L130)</f>
        <v>340</v>
      </c>
      <c r="N130" t="str">
        <f>IF(COUNTIFS( $B$2:$B$787, B130, $C$2:$C$787, C130, $D$2:$D$787, D130, $E$2:$E$787, E130) &gt; 1, "Duplicate", "Unique")</f>
        <v>Unique</v>
      </c>
    </row>
    <row r="131" spans="1:15" ht="26.5" thickBot="1" x14ac:dyDescent="0.4">
      <c r="A131" s="3">
        <v>46267.375</v>
      </c>
      <c r="B131" s="1" t="s">
        <v>78</v>
      </c>
      <c r="C131" s="1" t="s">
        <v>7</v>
      </c>
      <c r="D131" s="4">
        <v>3</v>
      </c>
      <c r="E131" s="4">
        <v>1460</v>
      </c>
      <c r="F131" s="4">
        <v>4.3229724899999997</v>
      </c>
      <c r="G131" s="2" t="s">
        <v>79</v>
      </c>
      <c r="H131" s="5">
        <v>1399.5</v>
      </c>
      <c r="I131" s="1" t="s">
        <v>8</v>
      </c>
      <c r="J131" s="59" t="s">
        <v>118</v>
      </c>
      <c r="K131" s="18" t="s">
        <v>237</v>
      </c>
      <c r="L131" s="18">
        <v>4080</v>
      </c>
      <c r="M131" s="18">
        <f>ABS((D131*E131)-L131)</f>
        <v>300</v>
      </c>
      <c r="N131" s="10" t="str">
        <f>IF(COUNTIFS( $B$2:$B$787, B131, $C$2:$C$787, C131, $D$2:$D$787, D131, $E$2:$E$787, E131) &gt; 1, "Duplicate", "Unique")</f>
        <v>Unique</v>
      </c>
    </row>
    <row r="132" spans="1:15" s="25" customFormat="1" ht="39" thickBot="1" x14ac:dyDescent="0.4">
      <c r="A132" s="3">
        <v>46265.375694444447</v>
      </c>
      <c r="B132" s="1" t="s">
        <v>36</v>
      </c>
      <c r="C132" s="1" t="s">
        <v>7</v>
      </c>
      <c r="D132" s="4">
        <v>5</v>
      </c>
      <c r="E132" s="4">
        <v>1236</v>
      </c>
      <c r="F132" s="4">
        <v>4.4095286370000002</v>
      </c>
      <c r="G132" s="2" t="s">
        <v>65</v>
      </c>
      <c r="H132" s="5">
        <v>1183.8</v>
      </c>
      <c r="I132" s="1" t="s">
        <v>8</v>
      </c>
      <c r="J132" s="33" t="s">
        <v>118</v>
      </c>
      <c r="K132" s="18" t="s">
        <v>214</v>
      </c>
      <c r="L132" s="18">
        <v>5905</v>
      </c>
      <c r="M132" s="18">
        <f>ABS((D132*E132)-L132)</f>
        <v>275</v>
      </c>
      <c r="N132" t="str">
        <f>IF(COUNTIFS( $B$2:$B$787, B132, $C$2:$C$787, C132, $D$2:$D$787, D132, $E$2:$E$787, E132) &gt; 1, "Duplicate", "Unique")</f>
        <v>Unique</v>
      </c>
      <c r="O132" s="10"/>
    </row>
    <row r="133" spans="1:15" ht="39" thickBot="1" x14ac:dyDescent="0.4">
      <c r="A133" s="3">
        <v>46266.375</v>
      </c>
      <c r="B133" s="1" t="s">
        <v>119</v>
      </c>
      <c r="C133" s="1" t="s">
        <v>7</v>
      </c>
      <c r="D133" s="4">
        <v>15</v>
      </c>
      <c r="E133" s="4">
        <v>1040</v>
      </c>
      <c r="F133" s="4">
        <v>4.59619833</v>
      </c>
      <c r="G133" s="2" t="s">
        <v>120</v>
      </c>
      <c r="H133" s="5">
        <v>994.3</v>
      </c>
      <c r="I133" s="1" t="s">
        <v>8</v>
      </c>
      <c r="J133" s="18" t="s">
        <v>117</v>
      </c>
      <c r="K133" s="18" t="s">
        <v>231</v>
      </c>
      <c r="L133" s="18">
        <v>15075</v>
      </c>
      <c r="M133" s="18">
        <f>ABS((D133*E133)-L133)</f>
        <v>525</v>
      </c>
      <c r="N133" s="10" t="str">
        <f>IF(COUNTIFS( $B$2:$B$787, B133, $C$2:$C$787, C133, $D$2:$D$787, D133, $E$2:$E$787, E133) &gt; 1, "Duplicate", "Unique")</f>
        <v>Unique</v>
      </c>
    </row>
    <row r="134" spans="1:15" ht="26.5" thickBot="1" x14ac:dyDescent="0.4">
      <c r="A134" s="3">
        <v>46262.463194444441</v>
      </c>
      <c r="B134" s="1" t="s">
        <v>15</v>
      </c>
      <c r="C134" s="1" t="s">
        <v>7</v>
      </c>
      <c r="D134" s="4">
        <v>10</v>
      </c>
      <c r="E134" s="4">
        <v>2648</v>
      </c>
      <c r="F134" s="4">
        <v>4.6226787829999996</v>
      </c>
      <c r="G134" s="2" t="s">
        <v>72</v>
      </c>
      <c r="H134" s="5">
        <v>2531</v>
      </c>
      <c r="I134" s="1" t="s">
        <v>8</v>
      </c>
      <c r="J134" s="18" t="s">
        <v>117</v>
      </c>
      <c r="K134" s="18" t="s">
        <v>196</v>
      </c>
      <c r="L134" s="18">
        <v>26180</v>
      </c>
      <c r="M134" s="18">
        <f>ABS((D134*E134)-L134)</f>
        <v>300</v>
      </c>
      <c r="N134" s="10" t="str">
        <f>IF(COUNTIFS( $B$2:$B$787, B134, $C$2:$C$787, C134, $D$2:$D$787, D134, $E$2:$E$787, E134) &gt; 1, "Duplicate", "Unique")</f>
        <v>Unique</v>
      </c>
    </row>
    <row r="135" spans="1:15" ht="26.5" thickBot="1" x14ac:dyDescent="0.4">
      <c r="A135" s="3">
        <v>46268.375</v>
      </c>
      <c r="B135" s="1" t="s">
        <v>14</v>
      </c>
      <c r="C135" s="1" t="s">
        <v>7</v>
      </c>
      <c r="D135" s="4">
        <v>100</v>
      </c>
      <c r="E135" s="4">
        <v>334</v>
      </c>
      <c r="F135" s="4">
        <v>4.7021943569999998</v>
      </c>
      <c r="G135" s="2" t="s">
        <v>45</v>
      </c>
      <c r="H135" s="5">
        <v>319</v>
      </c>
      <c r="I135" s="1" t="s">
        <v>8</v>
      </c>
      <c r="J135" s="18" t="s">
        <v>117</v>
      </c>
      <c r="K135" s="18" t="s">
        <v>247</v>
      </c>
      <c r="L135" s="18">
        <v>32200</v>
      </c>
      <c r="M135" s="18">
        <f>ABS((D135*E135)-L135)</f>
        <v>1200</v>
      </c>
      <c r="N135" s="10" t="str">
        <f>IF(COUNTIFS( $B$2:$B$787, B135, $C$2:$C$787, C135, $D$2:$D$787, D135, $E$2:$E$787, E135) &gt; 1, "Duplicate", "Unique")</f>
        <v>Unique</v>
      </c>
      <c r="O135" s="47" t="s">
        <v>262</v>
      </c>
    </row>
    <row r="136" spans="1:15" ht="26.5" thickBot="1" x14ac:dyDescent="0.4">
      <c r="A136" s="3">
        <v>46266.375</v>
      </c>
      <c r="B136" s="1" t="s">
        <v>87</v>
      </c>
      <c r="C136" s="1" t="s">
        <v>7</v>
      </c>
      <c r="D136" s="4">
        <v>10</v>
      </c>
      <c r="E136" s="4">
        <v>1296</v>
      </c>
      <c r="F136" s="4">
        <v>4.8968029140000002</v>
      </c>
      <c r="G136" s="2" t="s">
        <v>88</v>
      </c>
      <c r="H136" s="5">
        <v>1235.5</v>
      </c>
      <c r="I136" s="1" t="s">
        <v>8</v>
      </c>
      <c r="J136" s="18" t="s">
        <v>117</v>
      </c>
      <c r="K136" s="18" t="s">
        <v>227</v>
      </c>
      <c r="L136" s="18">
        <v>12600</v>
      </c>
      <c r="M136" s="18">
        <f>ABS((D136*E136)-L136)</f>
        <v>360</v>
      </c>
      <c r="N136" s="10" t="str">
        <f>IF(COUNTIFS( $B$2:$B$787, B136, $C$2:$C$787, C136, $D$2:$D$787, D136, $E$2:$E$787, E136) &gt; 1, "Duplicate", "Unique")</f>
        <v>Unique</v>
      </c>
    </row>
    <row r="137" spans="1:15" s="26" customFormat="1" ht="26.5" thickBot="1" x14ac:dyDescent="0.4">
      <c r="A137" s="3">
        <v>46267.375</v>
      </c>
      <c r="B137" s="1" t="s">
        <v>31</v>
      </c>
      <c r="C137" s="1" t="s">
        <v>7</v>
      </c>
      <c r="D137" s="4">
        <v>5</v>
      </c>
      <c r="E137" s="4">
        <v>649</v>
      </c>
      <c r="F137" s="4">
        <v>5.0331768889999999</v>
      </c>
      <c r="G137" s="2" t="s">
        <v>94</v>
      </c>
      <c r="H137" s="5">
        <v>617.9</v>
      </c>
      <c r="I137" s="1" t="s">
        <v>8</v>
      </c>
      <c r="J137" s="59" t="s">
        <v>118</v>
      </c>
      <c r="K137" s="18" t="s">
        <v>245</v>
      </c>
      <c r="L137" s="18">
        <v>3005</v>
      </c>
      <c r="M137" s="18">
        <f>ABS((D137*E137)-L137)</f>
        <v>240</v>
      </c>
      <c r="N137" s="10" t="str">
        <f>IF(COUNTIFS( $B$2:$B$787, B137, $C$2:$C$787, C137, $D$2:$D$787, D137, $E$2:$E$787, E137) &gt; 1, "Duplicate", "Unique")</f>
        <v>Unique</v>
      </c>
      <c r="O137" s="10"/>
    </row>
    <row r="138" spans="1:15" ht="26.5" thickBot="1" x14ac:dyDescent="0.4">
      <c r="A138" s="3">
        <v>46262.375</v>
      </c>
      <c r="B138" s="1" t="s">
        <v>15</v>
      </c>
      <c r="C138" s="1" t="s">
        <v>7</v>
      </c>
      <c r="D138" s="4">
        <v>10</v>
      </c>
      <c r="E138" s="4">
        <v>2660</v>
      </c>
      <c r="F138" s="4">
        <v>5.0967996839999996</v>
      </c>
      <c r="G138" s="2" t="s">
        <v>72</v>
      </c>
      <c r="H138" s="5">
        <v>2531</v>
      </c>
      <c r="I138" s="1" t="s">
        <v>8</v>
      </c>
      <c r="J138" s="18" t="s">
        <v>117</v>
      </c>
      <c r="K138" s="18" t="s">
        <v>199</v>
      </c>
      <c r="L138" s="18">
        <v>26300</v>
      </c>
      <c r="M138" s="18">
        <f>ABS((D138*E138)-L138)</f>
        <v>300</v>
      </c>
      <c r="N138" s="10" t="str">
        <f>IF(COUNTIFS( $B$2:$B$787, B138, $C$2:$C$787, C138, $D$2:$D$787, D138, $E$2:$E$787, E138) &gt; 1, "Duplicate", "Unique")</f>
        <v>Unique</v>
      </c>
    </row>
    <row r="139" spans="1:15" ht="26.5" thickBot="1" x14ac:dyDescent="0.4">
      <c r="A139" s="11">
        <v>46252.645833333336</v>
      </c>
      <c r="B139" s="8" t="s">
        <v>49</v>
      </c>
      <c r="C139" s="8" t="s">
        <v>7</v>
      </c>
      <c r="D139" s="8">
        <v>5</v>
      </c>
      <c r="E139" s="8">
        <v>4177</v>
      </c>
      <c r="F139" s="4">
        <v>5.1425982330000002</v>
      </c>
      <c r="G139" s="2" t="s">
        <v>50</v>
      </c>
      <c r="H139" s="5">
        <v>3972.7</v>
      </c>
      <c r="I139" s="1" t="s">
        <v>8</v>
      </c>
      <c r="J139" s="40"/>
      <c r="N139" s="10" t="str">
        <f>IF(COUNTIFS( $B$2:$B$787, B139, $C$2:$C$787, C139, $D$2:$D$787, D139, $E$2:$E$787, E139) &gt; 1, "Duplicate", "Unique")</f>
        <v>Unique</v>
      </c>
      <c r="O139" s="25"/>
    </row>
    <row r="140" spans="1:15" s="35" customFormat="1" ht="26.5" thickBot="1" x14ac:dyDescent="0.4">
      <c r="A140" s="3">
        <v>46266.375</v>
      </c>
      <c r="B140" s="1" t="s">
        <v>63</v>
      </c>
      <c r="C140" s="1" t="s">
        <v>7</v>
      </c>
      <c r="D140" s="4">
        <v>10</v>
      </c>
      <c r="E140" s="4">
        <v>1060</v>
      </c>
      <c r="F140" s="4">
        <v>5.1587301590000001</v>
      </c>
      <c r="G140" s="2" t="s">
        <v>64</v>
      </c>
      <c r="H140" s="5">
        <v>1008</v>
      </c>
      <c r="I140" s="1" t="s">
        <v>8</v>
      </c>
      <c r="J140" s="18" t="s">
        <v>117</v>
      </c>
      <c r="K140" s="18" t="s">
        <v>226</v>
      </c>
      <c r="L140" s="18">
        <v>10300</v>
      </c>
      <c r="M140" s="18">
        <f>ABS((D140*E140)-L140)</f>
        <v>300</v>
      </c>
      <c r="N140" s="10" t="str">
        <f>IF(COUNTIFS( $B$2:$B$787, B140, $C$2:$C$787, C140, $D$2:$D$787, D140, $E$2:$E$787, E140) &gt; 1, "Duplicate", "Unique")</f>
        <v>Unique</v>
      </c>
      <c r="O140" s="10"/>
    </row>
    <row r="141" spans="1:15" s="35" customFormat="1" ht="26.5" thickBot="1" x14ac:dyDescent="0.4">
      <c r="A141" s="3">
        <v>46266.375</v>
      </c>
      <c r="B141" s="1" t="s">
        <v>89</v>
      </c>
      <c r="C141" s="1" t="s">
        <v>7</v>
      </c>
      <c r="D141" s="4">
        <v>1</v>
      </c>
      <c r="E141" s="4">
        <v>14852</v>
      </c>
      <c r="F141" s="4">
        <v>5.1692394840000002</v>
      </c>
      <c r="G141" s="2" t="s">
        <v>90</v>
      </c>
      <c r="H141" s="5">
        <v>14122</v>
      </c>
      <c r="I141" s="1" t="s">
        <v>8</v>
      </c>
      <c r="J141" s="18" t="s">
        <v>118</v>
      </c>
      <c r="K141" s="18" t="s">
        <v>230</v>
      </c>
      <c r="L141" s="18">
        <v>14552</v>
      </c>
      <c r="M141" s="18">
        <f>ABS((D141*E141)-L141)</f>
        <v>300</v>
      </c>
      <c r="N141" s="10" t="str">
        <f>IF(COUNTIFS( $B$2:$B$787, B141, $C$2:$C$787, C141, $D$2:$D$787, D141, $E$2:$E$787, E141) &gt; 1, "Duplicate", "Unique")</f>
        <v>Unique</v>
      </c>
      <c r="O141" s="47" t="s">
        <v>262</v>
      </c>
    </row>
    <row r="142" spans="1:15" ht="26.5" thickBot="1" x14ac:dyDescent="0.4">
      <c r="A142" s="3">
        <v>46261.375</v>
      </c>
      <c r="B142" s="1" t="s">
        <v>57</v>
      </c>
      <c r="C142" s="1" t="s">
        <v>7</v>
      </c>
      <c r="D142" s="4">
        <v>5</v>
      </c>
      <c r="E142" s="4">
        <v>2948</v>
      </c>
      <c r="F142" s="4">
        <v>5.2857142860000002</v>
      </c>
      <c r="G142" s="2" t="s">
        <v>58</v>
      </c>
      <c r="H142" s="5">
        <v>2800</v>
      </c>
      <c r="I142" s="1" t="s">
        <v>8</v>
      </c>
      <c r="J142" s="18" t="s">
        <v>117</v>
      </c>
      <c r="K142" s="18" t="s">
        <v>186</v>
      </c>
      <c r="L142" s="18">
        <v>14440</v>
      </c>
      <c r="M142" s="18">
        <f>ABS((D142*E142)-L142)</f>
        <v>300</v>
      </c>
      <c r="N142" s="10" t="str">
        <f>IF(COUNTIFS( $B$2:$B$787, B142, $C$2:$C$787, C142, $D$2:$D$787, D142, $E$2:$E$787, E142) &gt; 1, "Duplicate", "Unique")</f>
        <v>Unique</v>
      </c>
      <c r="O142"/>
    </row>
    <row r="143" spans="1:15" ht="26.5" thickBot="1" x14ac:dyDescent="0.4">
      <c r="A143" s="11">
        <v>46252.6875</v>
      </c>
      <c r="B143" s="8" t="s">
        <v>9</v>
      </c>
      <c r="C143" s="8" t="s">
        <v>7</v>
      </c>
      <c r="D143" s="8">
        <v>50</v>
      </c>
      <c r="E143" s="8">
        <v>305</v>
      </c>
      <c r="F143" s="4">
        <v>5.390463027</v>
      </c>
      <c r="G143" s="2" t="s">
        <v>95</v>
      </c>
      <c r="H143" s="5">
        <v>289.39999999999998</v>
      </c>
      <c r="I143" s="1" t="s">
        <v>8</v>
      </c>
      <c r="J143" s="40" t="s">
        <v>118</v>
      </c>
      <c r="N143" s="10" t="str">
        <f>IF(COUNTIFS( $B$2:$B$787, B143, $C$2:$C$787, C143, $D$2:$D$787, D143, $E$2:$E$787, E143) &gt; 1, "Duplicate", "Unique")</f>
        <v>Unique</v>
      </c>
      <c r="O143" s="47" t="s">
        <v>262</v>
      </c>
    </row>
    <row r="144" spans="1:15" ht="26.5" thickBot="1" x14ac:dyDescent="0.4">
      <c r="A144" s="3">
        <v>46254.642361111109</v>
      </c>
      <c r="B144" s="1" t="s">
        <v>15</v>
      </c>
      <c r="C144" s="1" t="s">
        <v>7</v>
      </c>
      <c r="D144" s="4">
        <v>10</v>
      </c>
      <c r="E144" s="4">
        <v>2672</v>
      </c>
      <c r="F144" s="4">
        <v>5.5709205849999996</v>
      </c>
      <c r="G144" s="2" t="s">
        <v>72</v>
      </c>
      <c r="H144" s="5">
        <v>2531</v>
      </c>
      <c r="I144" s="1" t="s">
        <v>8</v>
      </c>
      <c r="J144" s="17" t="s">
        <v>117</v>
      </c>
      <c r="K144" s="17" t="s">
        <v>147</v>
      </c>
      <c r="L144" s="17"/>
      <c r="M144" s="17"/>
      <c r="N144" s="10" t="str">
        <f>IF(COUNTIFS( $B$2:$B$787, B144, $C$2:$C$787, C144, $D$2:$D$787, D144, $E$2:$E$787, E144) &gt; 1, "Duplicate", "Unique")</f>
        <v>Unique</v>
      </c>
    </row>
    <row r="145" spans="1:15" ht="39" thickBot="1" x14ac:dyDescent="0.4">
      <c r="A145" s="36">
        <v>46260.556944444441</v>
      </c>
      <c r="B145" s="37" t="s">
        <v>36</v>
      </c>
      <c r="C145" s="37" t="s">
        <v>7</v>
      </c>
      <c r="D145" s="38">
        <v>5</v>
      </c>
      <c r="E145" s="38">
        <v>1251</v>
      </c>
      <c r="F145" s="4">
        <v>5.6766345669999998</v>
      </c>
      <c r="G145" s="2" t="s">
        <v>65</v>
      </c>
      <c r="H145" s="5">
        <v>1183.8</v>
      </c>
      <c r="I145" s="1" t="s">
        <v>8</v>
      </c>
      <c r="J145" s="33" t="s">
        <v>118</v>
      </c>
      <c r="K145" s="33" t="s">
        <v>168</v>
      </c>
      <c r="L145" s="33">
        <v>6105</v>
      </c>
      <c r="M145" s="33">
        <f>ABS((D145*E145)-L145)</f>
        <v>150</v>
      </c>
      <c r="N145" s="34" t="str">
        <f>IF(COUNTIFS( $B$2:$B$787, B145, $C$2:$C$787, C145, $D$2:$D$787, D145, $E$2:$E$787, E145) &gt; 1, "Duplicate", "Unique")</f>
        <v>Duplicate</v>
      </c>
    </row>
    <row r="146" spans="1:15" ht="39" thickBot="1" x14ac:dyDescent="0.4">
      <c r="A146" s="36">
        <v>46261.375</v>
      </c>
      <c r="B146" s="37" t="s">
        <v>36</v>
      </c>
      <c r="C146" s="37" t="s">
        <v>7</v>
      </c>
      <c r="D146" s="38">
        <v>5</v>
      </c>
      <c r="E146" s="38">
        <v>1251</v>
      </c>
      <c r="F146" s="4">
        <v>5.6766345669999998</v>
      </c>
      <c r="G146" s="2" t="s">
        <v>65</v>
      </c>
      <c r="H146" s="5">
        <v>1183.8</v>
      </c>
      <c r="I146" s="1" t="s">
        <v>8</v>
      </c>
      <c r="J146" s="33" t="s">
        <v>118</v>
      </c>
      <c r="K146" s="33" t="s">
        <v>182</v>
      </c>
      <c r="L146" s="33">
        <v>6005</v>
      </c>
      <c r="M146" s="33">
        <f>ABS((D146*E146)-L146)</f>
        <v>250</v>
      </c>
      <c r="N146" s="35" t="str">
        <f>IF(COUNTIFS( $B$2:$B$787, B146, $C$2:$C$787, C146, $D$2:$D$787, D146, $E$2:$E$787, E146) &gt; 1, "Duplicate", "Unique")</f>
        <v>Duplicate</v>
      </c>
    </row>
    <row r="147" spans="1:15" ht="39" thickBot="1" x14ac:dyDescent="0.4">
      <c r="A147" s="3">
        <v>46262.375</v>
      </c>
      <c r="B147" s="1" t="s">
        <v>82</v>
      </c>
      <c r="C147" s="1" t="s">
        <v>7</v>
      </c>
      <c r="D147" s="4">
        <v>2</v>
      </c>
      <c r="E147" s="4">
        <v>4360</v>
      </c>
      <c r="F147" s="4">
        <v>5.7738961670000002</v>
      </c>
      <c r="G147" s="2" t="s">
        <v>83</v>
      </c>
      <c r="H147" s="5">
        <v>4122</v>
      </c>
      <c r="I147" s="1" t="s">
        <v>8</v>
      </c>
      <c r="J147" s="18" t="s">
        <v>118</v>
      </c>
      <c r="K147" s="18" t="s">
        <v>193</v>
      </c>
      <c r="L147" s="18">
        <v>8420</v>
      </c>
      <c r="M147" s="18">
        <f>ABS((D147*E147)-L147)</f>
        <v>300</v>
      </c>
      <c r="N147" s="10" t="str">
        <f>IF(COUNTIFS( $B$2:$B$787, B147, $C$2:$C$787, C147, $D$2:$D$787, D147, $E$2:$E$787, E147) &gt; 1, "Duplicate", "Unique")</f>
        <v>Unique</v>
      </c>
    </row>
    <row r="148" spans="1:15" ht="26.5" thickBot="1" x14ac:dyDescent="0.4">
      <c r="A148" s="3">
        <v>46266.375694444447</v>
      </c>
      <c r="B148" s="1" t="s">
        <v>121</v>
      </c>
      <c r="C148" s="1" t="s">
        <v>7</v>
      </c>
      <c r="D148" s="4">
        <v>25</v>
      </c>
      <c r="E148" s="4">
        <v>772</v>
      </c>
      <c r="F148" s="4">
        <v>5.7896539909999998</v>
      </c>
      <c r="G148" s="2" t="s">
        <v>122</v>
      </c>
      <c r="H148" s="5">
        <v>729.75</v>
      </c>
      <c r="I148" s="1" t="s">
        <v>8</v>
      </c>
      <c r="J148" s="18" t="s">
        <v>117</v>
      </c>
      <c r="K148" s="18" t="s">
        <v>223</v>
      </c>
      <c r="L148" s="18">
        <v>18800</v>
      </c>
      <c r="M148" s="18">
        <f>ABS((D148*E148)-L148)</f>
        <v>500</v>
      </c>
      <c r="N148" s="10" t="str">
        <f>IF(COUNTIFS( $B$2:$B$787, B148, $C$2:$C$787, C148, $D$2:$D$787, D148, $E$2:$E$787, E148) &gt; 1, "Duplicate", "Unique")</f>
        <v>Unique</v>
      </c>
      <c r="O148" s="48" t="s">
        <v>262</v>
      </c>
    </row>
    <row r="149" spans="1:15" ht="26.5" thickBot="1" x14ac:dyDescent="0.4">
      <c r="A149" s="8" t="s">
        <v>62</v>
      </c>
      <c r="B149" s="8" t="s">
        <v>68</v>
      </c>
      <c r="C149" s="8" t="s">
        <v>7</v>
      </c>
      <c r="D149" s="8">
        <v>10</v>
      </c>
      <c r="E149" s="8">
        <v>435</v>
      </c>
      <c r="F149" s="4">
        <v>5.916727538</v>
      </c>
      <c r="G149" s="2" t="s">
        <v>69</v>
      </c>
      <c r="H149" s="5">
        <v>410.7</v>
      </c>
      <c r="I149" s="1" t="s">
        <v>8</v>
      </c>
      <c r="J149" s="40"/>
      <c r="N149" s="10" t="str">
        <f>IF(COUNTIFS( $B$2:$B$787, B149, $C$2:$C$787, C149, $D$2:$D$787, D149, $E$2:$E$787, E149) &gt; 1, "Duplicate", "Unique")</f>
        <v>Unique</v>
      </c>
    </row>
    <row r="150" spans="1:15" ht="26.5" thickBot="1" x14ac:dyDescent="0.4">
      <c r="A150" s="3">
        <v>46267.425694444442</v>
      </c>
      <c r="B150" s="1" t="s">
        <v>35</v>
      </c>
      <c r="C150" s="1" t="s">
        <v>7</v>
      </c>
      <c r="D150" s="4">
        <v>20</v>
      </c>
      <c r="E150" s="4">
        <v>219.5</v>
      </c>
      <c r="F150" s="4">
        <v>5.9567484070000001</v>
      </c>
      <c r="G150" s="2" t="s">
        <v>42</v>
      </c>
      <c r="H150" s="5">
        <v>207.16</v>
      </c>
      <c r="I150" s="1" t="s">
        <v>8</v>
      </c>
      <c r="J150" s="18" t="s">
        <v>118</v>
      </c>
      <c r="K150" s="18" t="s">
        <v>233</v>
      </c>
      <c r="L150" s="18">
        <v>4120</v>
      </c>
      <c r="M150" s="18">
        <f>ABS((D150*E150)-L150)</f>
        <v>270</v>
      </c>
      <c r="N150" s="10" t="str">
        <f>IF(COUNTIFS( $B$2:$B$787, B150, $C$2:$C$787, C150, $D$2:$D$787, D150, $E$2:$E$787, E150) &gt; 1, "Duplicate", "Unique")</f>
        <v>Unique</v>
      </c>
      <c r="O150" s="48" t="s">
        <v>262</v>
      </c>
    </row>
    <row r="151" spans="1:15" ht="39" thickBot="1" x14ac:dyDescent="0.4">
      <c r="A151" s="3">
        <v>46261.375694444447</v>
      </c>
      <c r="B151" s="1" t="s">
        <v>51</v>
      </c>
      <c r="C151" s="1" t="s">
        <v>7</v>
      </c>
      <c r="D151" s="4">
        <v>10</v>
      </c>
      <c r="E151" s="4">
        <v>977</v>
      </c>
      <c r="F151" s="4">
        <v>5.9882837929999999</v>
      </c>
      <c r="G151" s="2" t="s">
        <v>52</v>
      </c>
      <c r="H151" s="5">
        <v>921.8</v>
      </c>
      <c r="I151" s="1" t="s">
        <v>8</v>
      </c>
      <c r="J151" s="18" t="s">
        <v>117</v>
      </c>
      <c r="K151" s="18" t="s">
        <v>179</v>
      </c>
      <c r="L151" s="18">
        <v>9470</v>
      </c>
      <c r="M151" s="18">
        <f>ABS((D151*E151)-L151)</f>
        <v>300</v>
      </c>
      <c r="N151" s="10" t="str">
        <f>IF(COUNTIFS( $B$2:$B$787, B151, $C$2:$C$787, C151, $D$2:$D$787, D151, $E$2:$E$787, E151) &gt; 1, "Duplicate", "Unique")</f>
        <v>Unique</v>
      </c>
    </row>
    <row r="152" spans="1:15" ht="39" thickBot="1" x14ac:dyDescent="0.4">
      <c r="A152" s="8" t="s">
        <v>62</v>
      </c>
      <c r="B152" s="14" t="s">
        <v>23</v>
      </c>
      <c r="C152" s="8" t="s">
        <v>7</v>
      </c>
      <c r="D152" s="8">
        <v>40</v>
      </c>
      <c r="E152" s="41">
        <v>229</v>
      </c>
      <c r="F152" s="4">
        <v>6.0185185189999997</v>
      </c>
      <c r="G152" s="2" t="s">
        <v>70</v>
      </c>
      <c r="H152" s="5">
        <v>216</v>
      </c>
      <c r="I152" s="1" t="s">
        <v>8</v>
      </c>
      <c r="J152" s="40" t="s">
        <v>117</v>
      </c>
      <c r="N152" s="10" t="str">
        <f>IF(COUNTIFS( $B$2:$B$787, B152, $C$2:$C$787, C152, $D$2:$D$787, D152, $E$2:$E$787, E152) &gt; 1, "Duplicate", "Unique")</f>
        <v>Unique</v>
      </c>
    </row>
    <row r="153" spans="1:15" ht="26.5" thickBot="1" x14ac:dyDescent="0.4">
      <c r="A153" s="3">
        <v>46262.375</v>
      </c>
      <c r="B153" s="1" t="s">
        <v>63</v>
      </c>
      <c r="C153" s="1" t="s">
        <v>7</v>
      </c>
      <c r="D153" s="4">
        <v>10</v>
      </c>
      <c r="E153" s="4">
        <v>1071</v>
      </c>
      <c r="F153" s="4">
        <v>6.25</v>
      </c>
      <c r="G153" s="2" t="s">
        <v>64</v>
      </c>
      <c r="H153" s="5">
        <v>1008</v>
      </c>
      <c r="I153" s="1" t="s">
        <v>8</v>
      </c>
      <c r="J153" s="18" t="s">
        <v>118</v>
      </c>
      <c r="K153" s="18" t="s">
        <v>200</v>
      </c>
      <c r="L153" s="18">
        <v>10410</v>
      </c>
      <c r="M153" s="18">
        <f>ABS((D153*E153)-L153)</f>
        <v>300</v>
      </c>
      <c r="N153" s="10" t="str">
        <f>IF(COUNTIFS( $B$2:$B$787, B153, $C$2:$C$787, C153, $D$2:$D$787, D153, $E$2:$E$787, E153) &gt; 1, "Duplicate", "Unique")</f>
        <v>Unique</v>
      </c>
      <c r="O153" s="35"/>
    </row>
    <row r="154" spans="1:15" ht="26.5" thickBot="1" x14ac:dyDescent="0.4">
      <c r="A154" s="36">
        <v>46267.461111111108</v>
      </c>
      <c r="B154" s="37" t="s">
        <v>14</v>
      </c>
      <c r="C154" s="37" t="s">
        <v>7</v>
      </c>
      <c r="D154" s="38">
        <v>100</v>
      </c>
      <c r="E154" s="38">
        <v>339</v>
      </c>
      <c r="F154" s="4">
        <v>6.2695924759999997</v>
      </c>
      <c r="G154" s="2" t="s">
        <v>45</v>
      </c>
      <c r="H154" s="5">
        <v>319</v>
      </c>
      <c r="I154" s="1" t="s">
        <v>8</v>
      </c>
      <c r="J154" s="33" t="s">
        <v>117</v>
      </c>
      <c r="K154" s="33" t="s">
        <v>234</v>
      </c>
      <c r="L154" s="33">
        <v>32900</v>
      </c>
      <c r="M154" s="33">
        <f>ABS((D154*E154)-L154)</f>
        <v>1000</v>
      </c>
      <c r="N154" s="35" t="str">
        <f>IF(COUNTIFS( $B$2:$B$787, B154, $C$2:$C$787, C154, $D$2:$D$787, D154, $E$2:$E$787, E154) &gt; 1, "Duplicate", "Unique")</f>
        <v>Duplicate</v>
      </c>
      <c r="O154" s="26"/>
    </row>
    <row r="155" spans="1:15" ht="26.5" thickBot="1" x14ac:dyDescent="0.4">
      <c r="A155" s="36">
        <v>46267.38958333333</v>
      </c>
      <c r="B155" s="37" t="s">
        <v>14</v>
      </c>
      <c r="C155" s="37" t="s">
        <v>7</v>
      </c>
      <c r="D155" s="38">
        <v>100</v>
      </c>
      <c r="E155" s="38">
        <v>339</v>
      </c>
      <c r="F155" s="4">
        <v>6.2695924759999997</v>
      </c>
      <c r="G155" s="2" t="s">
        <v>45</v>
      </c>
      <c r="H155" s="5">
        <v>319</v>
      </c>
      <c r="I155" s="1" t="s">
        <v>8</v>
      </c>
      <c r="J155" s="33" t="s">
        <v>117</v>
      </c>
      <c r="K155" s="33" t="s">
        <v>236</v>
      </c>
      <c r="L155" s="33">
        <v>33200</v>
      </c>
      <c r="M155" s="33">
        <f>ABS((D155*E155)-L155)</f>
        <v>700</v>
      </c>
      <c r="N155" s="35" t="str">
        <f>IF(COUNTIFS( $B$2:$B$787, B155, $C$2:$C$787, C155, $D$2:$D$787, D155, $E$2:$E$787, E155) &gt; 1, "Duplicate", "Unique")</f>
        <v>Duplicate</v>
      </c>
    </row>
    <row r="156" spans="1:15" ht="26.5" thickBot="1" x14ac:dyDescent="0.4">
      <c r="A156" s="3">
        <v>46261.375694444447</v>
      </c>
      <c r="B156" s="1" t="s">
        <v>78</v>
      </c>
      <c r="C156" s="1" t="s">
        <v>7</v>
      </c>
      <c r="D156" s="4">
        <v>5</v>
      </c>
      <c r="E156" s="4">
        <v>1490</v>
      </c>
      <c r="F156" s="4">
        <v>6.4665952129999997</v>
      </c>
      <c r="G156" s="2" t="s">
        <v>79</v>
      </c>
      <c r="H156" s="5">
        <v>1399.5</v>
      </c>
      <c r="I156" s="1" t="s">
        <v>8</v>
      </c>
      <c r="J156" s="18" t="s">
        <v>118</v>
      </c>
      <c r="K156" s="18" t="s">
        <v>191</v>
      </c>
      <c r="L156" s="18">
        <v>7200</v>
      </c>
      <c r="M156" s="18">
        <f>ABS((D156*E156)-L156)</f>
        <v>250</v>
      </c>
      <c r="N156" s="10" t="str">
        <f>IF(COUNTIFS( $B$2:$B$787, B156, $C$2:$C$787, C156, $D$2:$D$787, D156, $E$2:$E$787, E156) &gt; 1, "Duplicate", "Unique")</f>
        <v>Unique</v>
      </c>
    </row>
    <row r="157" spans="1:15" ht="26.5" thickBot="1" x14ac:dyDescent="0.4">
      <c r="A157" s="3">
        <v>46265.375694444447</v>
      </c>
      <c r="B157" s="1" t="s">
        <v>78</v>
      </c>
      <c r="C157" s="1" t="s">
        <v>7</v>
      </c>
      <c r="D157" s="4">
        <v>3</v>
      </c>
      <c r="E157" s="4">
        <v>1490</v>
      </c>
      <c r="F157" s="4">
        <v>6.4665952129999997</v>
      </c>
      <c r="G157" s="2" t="s">
        <v>79</v>
      </c>
      <c r="H157" s="5">
        <v>1399.5</v>
      </c>
      <c r="I157" s="1" t="s">
        <v>8</v>
      </c>
      <c r="J157" s="18" t="s">
        <v>118</v>
      </c>
      <c r="K157" s="18" t="s">
        <v>212</v>
      </c>
      <c r="L157" s="18">
        <v>4170</v>
      </c>
      <c r="M157" s="18">
        <f>ABS((D157*E157)-L157)</f>
        <v>300</v>
      </c>
      <c r="N157" t="str">
        <f>IF(COUNTIFS( $B$2:$B$787, B157, $C$2:$C$787, C157, $D$2:$D$787, D157, $E$2:$E$787, E157) &gt; 1, "Duplicate", "Unique")</f>
        <v>Unique</v>
      </c>
    </row>
    <row r="158" spans="1:15" ht="26.5" thickBot="1" x14ac:dyDescent="0.4">
      <c r="A158" s="11">
        <v>46252.6875</v>
      </c>
      <c r="B158" s="8" t="s">
        <v>15</v>
      </c>
      <c r="C158" s="8" t="s">
        <v>7</v>
      </c>
      <c r="D158" s="8">
        <v>10</v>
      </c>
      <c r="E158" s="8">
        <v>2696</v>
      </c>
      <c r="F158" s="4">
        <v>6.5191623859999996</v>
      </c>
      <c r="G158" s="2" t="s">
        <v>72</v>
      </c>
      <c r="H158" s="5">
        <v>2531</v>
      </c>
      <c r="I158" s="1" t="s">
        <v>8</v>
      </c>
      <c r="J158" s="40" t="s">
        <v>156</v>
      </c>
      <c r="N158" s="10" t="str">
        <f>IF(COUNTIFS( $B$2:$B$787, B158, $C$2:$C$787, C158, $D$2:$D$787, D158, $E$2:$E$787, E158) &gt; 1, "Duplicate", "Unique")</f>
        <v>Unique</v>
      </c>
    </row>
    <row r="159" spans="1:15" ht="26.5" thickBot="1" x14ac:dyDescent="0.4">
      <c r="A159" s="11">
        <v>46243.375</v>
      </c>
      <c r="B159" s="8" t="s">
        <v>13</v>
      </c>
      <c r="C159" s="8" t="s">
        <v>7</v>
      </c>
      <c r="D159" s="8">
        <v>5</v>
      </c>
      <c r="E159" s="8">
        <v>1844</v>
      </c>
      <c r="F159" s="4">
        <v>6.651243493</v>
      </c>
      <c r="G159" s="2" t="s">
        <v>91</v>
      </c>
      <c r="H159" s="5">
        <v>1729</v>
      </c>
      <c r="I159" s="1" t="s">
        <v>8</v>
      </c>
      <c r="J159" s="18" t="s">
        <v>118</v>
      </c>
      <c r="K159" s="18" t="s">
        <v>276</v>
      </c>
      <c r="L159" s="18">
        <v>8570</v>
      </c>
      <c r="M159" s="33">
        <f>ABS((D159*E159)-L159)</f>
        <v>650</v>
      </c>
      <c r="N159" s="10" t="str">
        <f>IF(COUNTIFS( $B$2:$B$787, B159, $C$2:$C$787, C159, $D$2:$D$787, D159, $E$2:$E$787, E159) &gt; 1, "Duplicate", "Unique")</f>
        <v>Unique</v>
      </c>
    </row>
    <row r="160" spans="1:15" ht="39" thickBot="1" x14ac:dyDescent="0.4">
      <c r="A160" s="3">
        <v>46269.643055555556</v>
      </c>
      <c r="B160" s="1" t="s">
        <v>12</v>
      </c>
      <c r="C160" s="1" t="s">
        <v>7</v>
      </c>
      <c r="D160" s="4">
        <v>1</v>
      </c>
      <c r="E160" s="4">
        <v>5448</v>
      </c>
      <c r="F160" s="4">
        <v>6.8025877279999998</v>
      </c>
      <c r="G160" s="2" t="s">
        <v>98</v>
      </c>
      <c r="H160" s="5">
        <v>5101</v>
      </c>
      <c r="I160" s="1" t="s">
        <v>8</v>
      </c>
      <c r="J160" s="18" t="s">
        <v>118</v>
      </c>
      <c r="K160" s="18" t="s">
        <v>252</v>
      </c>
      <c r="L160" s="18">
        <v>5180</v>
      </c>
      <c r="M160" s="27">
        <f>ABS((D160*E160)-L160)</f>
        <v>268</v>
      </c>
      <c r="N160" t="str">
        <f>IF(COUNTIFS( $B$2:$B$787, B160, $C$2:$C$787, C160, $D$2:$D$787, D160, $E$2:$E$787, E160) &gt; 1, "Duplicate", "Unique")</f>
        <v>Unique</v>
      </c>
      <c r="O160" s="47" t="s">
        <v>262</v>
      </c>
    </row>
    <row r="161" spans="1:15" ht="26.5" thickBot="1" x14ac:dyDescent="0.4">
      <c r="A161" s="3">
        <v>46265.375694444447</v>
      </c>
      <c r="B161" s="1" t="s">
        <v>87</v>
      </c>
      <c r="C161" s="1" t="s">
        <v>7</v>
      </c>
      <c r="D161" s="4">
        <v>10</v>
      </c>
      <c r="E161" s="4">
        <v>1320</v>
      </c>
      <c r="F161" s="4">
        <v>6.8393363010000003</v>
      </c>
      <c r="G161" s="2" t="s">
        <v>88</v>
      </c>
      <c r="H161" s="5">
        <v>1235.5</v>
      </c>
      <c r="I161" s="1" t="s">
        <v>8</v>
      </c>
      <c r="J161" s="18" t="s">
        <v>117</v>
      </c>
      <c r="K161" s="18" t="s">
        <v>209</v>
      </c>
      <c r="L161" s="18">
        <v>12800</v>
      </c>
      <c r="M161" s="18">
        <f>ABS((D161*E161)-L161)</f>
        <v>400</v>
      </c>
      <c r="N161" t="str">
        <f>IF(COUNTIFS( $B$2:$B$787, B161, $C$2:$C$787, C161, $D$2:$D$787, D161, $E$2:$E$787, E161) &gt; 1, "Duplicate", "Unique")</f>
        <v>Unique</v>
      </c>
    </row>
    <row r="162" spans="1:15" ht="26.5" thickBot="1" x14ac:dyDescent="0.4">
      <c r="A162" s="3">
        <v>46267.375</v>
      </c>
      <c r="B162" s="1" t="s">
        <v>14</v>
      </c>
      <c r="C162" s="1" t="s">
        <v>7</v>
      </c>
      <c r="D162" s="4">
        <v>50</v>
      </c>
      <c r="E162" s="4">
        <v>341</v>
      </c>
      <c r="F162" s="4">
        <v>6.896551724</v>
      </c>
      <c r="G162" s="2" t="s">
        <v>45</v>
      </c>
      <c r="H162" s="5">
        <v>319</v>
      </c>
      <c r="I162" s="1" t="s">
        <v>8</v>
      </c>
      <c r="J162" s="18" t="s">
        <v>117</v>
      </c>
      <c r="K162" s="18" t="s">
        <v>241</v>
      </c>
      <c r="L162" s="18">
        <v>16755</v>
      </c>
      <c r="M162" s="18">
        <f>ABS((D162*E162)-L162)</f>
        <v>295</v>
      </c>
      <c r="N162" s="10" t="str">
        <f>IF(COUNTIFS( $B$2:$B$787, B162, $C$2:$C$787, C162, $D$2:$D$787, D162, $E$2:$E$787, E162) &gt; 1, "Duplicate", "Unique")</f>
        <v>Unique</v>
      </c>
    </row>
    <row r="163" spans="1:15" ht="26.5" thickBot="1" x14ac:dyDescent="0.4">
      <c r="A163" s="8" t="s">
        <v>62</v>
      </c>
      <c r="B163" s="8" t="s">
        <v>74</v>
      </c>
      <c r="C163" s="8" t="s">
        <v>7</v>
      </c>
      <c r="D163" s="8">
        <v>5</v>
      </c>
      <c r="E163" s="8">
        <v>3633</v>
      </c>
      <c r="F163" s="4">
        <v>7.0418385389999996</v>
      </c>
      <c r="G163" s="2" t="s">
        <v>75</v>
      </c>
      <c r="H163" s="5">
        <v>3394</v>
      </c>
      <c r="I163" s="1" t="s">
        <v>8</v>
      </c>
      <c r="J163" s="40"/>
      <c r="N163" s="10" t="str">
        <f>IF(COUNTIFS( $B$2:$B$787, B163, $C$2:$C$787, C163, $D$2:$D$787, D163, $E$2:$E$787, E163) &gt; 1, "Duplicate", "Unique")</f>
        <v>Unique</v>
      </c>
    </row>
    <row r="164" spans="1:15" ht="39" thickBot="1" x14ac:dyDescent="0.4">
      <c r="A164" s="8" t="s">
        <v>62</v>
      </c>
      <c r="B164" s="8" t="s">
        <v>43</v>
      </c>
      <c r="C164" s="8" t="s">
        <v>7</v>
      </c>
      <c r="D164" s="8">
        <v>10</v>
      </c>
      <c r="E164" s="12">
        <v>773</v>
      </c>
      <c r="F164" s="4">
        <v>7.0711268089999999</v>
      </c>
      <c r="G164" s="2" t="s">
        <v>44</v>
      </c>
      <c r="H164" s="5">
        <v>721.95</v>
      </c>
      <c r="I164" s="1" t="s">
        <v>8</v>
      </c>
      <c r="J164" s="40" t="s">
        <v>118</v>
      </c>
      <c r="N164" s="10" t="str">
        <f>IF(COUNTIFS( $B$2:$B$787, B164, $C$2:$C$787, C164, $D$2:$D$787, D164, $E$2:$E$787, E164) &gt; 1, "Duplicate", "Unique")</f>
        <v>Unique</v>
      </c>
    </row>
    <row r="165" spans="1:15" ht="26.5" thickBot="1" x14ac:dyDescent="0.4">
      <c r="A165" s="11">
        <v>46252.645138888889</v>
      </c>
      <c r="B165" s="8" t="s">
        <v>57</v>
      </c>
      <c r="C165" s="8" t="s">
        <v>7</v>
      </c>
      <c r="D165" s="8">
        <v>5</v>
      </c>
      <c r="E165" s="8">
        <v>2998</v>
      </c>
      <c r="F165" s="4">
        <v>7.0714285710000002</v>
      </c>
      <c r="G165" s="2" t="s">
        <v>58</v>
      </c>
      <c r="H165" s="5">
        <v>2800</v>
      </c>
      <c r="I165" s="1" t="s">
        <v>8</v>
      </c>
      <c r="J165" s="17" t="s">
        <v>117</v>
      </c>
      <c r="N165" s="10" t="str">
        <f>IF(COUNTIFS( $B$2:$B$787, B165, $C$2:$C$787, C165, $D$2:$D$787, D165, $E$2:$E$787, E165) &gt; 1, "Duplicate", "Unique")</f>
        <v>Unique</v>
      </c>
    </row>
    <row r="166" spans="1:15" ht="26.5" thickBot="1" x14ac:dyDescent="0.4">
      <c r="A166" s="3">
        <v>46261.375</v>
      </c>
      <c r="B166" s="1" t="s">
        <v>63</v>
      </c>
      <c r="C166" s="1" t="s">
        <v>7</v>
      </c>
      <c r="D166" s="4">
        <v>10</v>
      </c>
      <c r="E166" s="4">
        <v>1081</v>
      </c>
      <c r="F166" s="4">
        <v>7.2420634919999998</v>
      </c>
      <c r="G166" s="2" t="s">
        <v>64</v>
      </c>
      <c r="H166" s="5">
        <v>1008</v>
      </c>
      <c r="I166" s="1" t="s">
        <v>8</v>
      </c>
      <c r="J166" s="18" t="s">
        <v>118</v>
      </c>
      <c r="K166" s="18" t="s">
        <v>187</v>
      </c>
      <c r="L166" s="18">
        <v>10510</v>
      </c>
      <c r="M166" s="18">
        <f>ABS((D166*E166)-L166)</f>
        <v>300</v>
      </c>
      <c r="N166" s="10" t="str">
        <f>IF(COUNTIFS( $B$2:$B$787, B166, $C$2:$C$787, C166, $D$2:$D$787, D166, $E$2:$E$787, E166) &gt; 1, "Duplicate", "Unique")</f>
        <v>Unique</v>
      </c>
    </row>
    <row r="167" spans="1:15" ht="39" thickBot="1" x14ac:dyDescent="0.4">
      <c r="A167" s="36">
        <v>46265.375694444447</v>
      </c>
      <c r="B167" s="37" t="s">
        <v>53</v>
      </c>
      <c r="C167" s="37" t="s">
        <v>7</v>
      </c>
      <c r="D167" s="38">
        <v>3</v>
      </c>
      <c r="E167" s="38">
        <v>2624</v>
      </c>
      <c r="F167" s="4">
        <v>7.3210633950000004</v>
      </c>
      <c r="G167" s="2" t="s">
        <v>54</v>
      </c>
      <c r="H167" s="5">
        <v>2445</v>
      </c>
      <c r="I167" s="1" t="s">
        <v>8</v>
      </c>
      <c r="J167" s="33" t="s">
        <v>118</v>
      </c>
      <c r="K167" s="33" t="s">
        <v>207</v>
      </c>
      <c r="L167" s="33">
        <v>7578</v>
      </c>
      <c r="M167" s="33">
        <f>ABS((D167*E167)-L167)</f>
        <v>294</v>
      </c>
      <c r="N167" s="34" t="str">
        <f>IF(COUNTIFS( $B$2:$B$787, B167, $C$2:$C$787, C167, $D$2:$D$787, D167, $E$2:$E$787, E167) &gt; 1, "Duplicate", "Unique")</f>
        <v>Duplicate</v>
      </c>
    </row>
    <row r="168" spans="1:15" ht="39" thickBot="1" x14ac:dyDescent="0.4">
      <c r="A168" s="36">
        <v>46266.375694444447</v>
      </c>
      <c r="B168" s="37" t="s">
        <v>53</v>
      </c>
      <c r="C168" s="37" t="s">
        <v>7</v>
      </c>
      <c r="D168" s="38">
        <v>3</v>
      </c>
      <c r="E168" s="38">
        <v>2624</v>
      </c>
      <c r="F168" s="4">
        <v>7.3210633950000004</v>
      </c>
      <c r="G168" s="2" t="s">
        <v>54</v>
      </c>
      <c r="H168" s="5">
        <v>2445</v>
      </c>
      <c r="I168" s="1" t="s">
        <v>8</v>
      </c>
      <c r="J168" s="33" t="s">
        <v>118</v>
      </c>
      <c r="K168" s="33" t="s">
        <v>224</v>
      </c>
      <c r="L168" s="33">
        <v>7578</v>
      </c>
      <c r="M168" s="33">
        <f>ABS((D168*E168)-L168)</f>
        <v>294</v>
      </c>
      <c r="N168" s="35" t="str">
        <f>IF(COUNTIFS( $B$2:$B$787, B168, $C$2:$C$787, C168, $D$2:$D$787, D168, $E$2:$E$787, E168) &gt; 1, "Duplicate", "Unique")</f>
        <v>Duplicate</v>
      </c>
    </row>
    <row r="169" spans="1:15" ht="39" thickBot="1" x14ac:dyDescent="0.4">
      <c r="A169" s="3">
        <v>46267.424305555556</v>
      </c>
      <c r="B169" s="1" t="s">
        <v>53</v>
      </c>
      <c r="C169" s="1" t="s">
        <v>7</v>
      </c>
      <c r="D169" s="4">
        <v>2</v>
      </c>
      <c r="E169" s="4">
        <v>2624</v>
      </c>
      <c r="F169" s="4">
        <v>7.3210633950000004</v>
      </c>
      <c r="G169" s="2" t="s">
        <v>54</v>
      </c>
      <c r="H169" s="5">
        <v>2445</v>
      </c>
      <c r="I169" s="1" t="s">
        <v>8</v>
      </c>
      <c r="J169" s="18" t="s">
        <v>118</v>
      </c>
      <c r="K169" s="18" t="s">
        <v>235</v>
      </c>
      <c r="L169" s="18">
        <v>4968</v>
      </c>
      <c r="M169" s="18">
        <f>ABS((D169*E169)-L169)</f>
        <v>280</v>
      </c>
      <c r="N169" s="10" t="str">
        <f>IF(COUNTIFS( $B$2:$B$787, B169, $C$2:$C$787, C169, $D$2:$D$787, D169, $E$2:$E$787, E169) &gt; 1, "Duplicate", "Unique")</f>
        <v>Unique</v>
      </c>
    </row>
    <row r="170" spans="1:15" ht="39" thickBot="1" x14ac:dyDescent="0.4">
      <c r="A170" s="3">
        <v>46266.509722222225</v>
      </c>
      <c r="B170" s="1" t="s">
        <v>11</v>
      </c>
      <c r="C170" s="1" t="s">
        <v>7</v>
      </c>
      <c r="D170" s="4">
        <v>20</v>
      </c>
      <c r="E170" s="4">
        <v>306</v>
      </c>
      <c r="F170" s="4">
        <v>7.3684210529999996</v>
      </c>
      <c r="G170" s="2" t="s">
        <v>99</v>
      </c>
      <c r="H170" s="5">
        <v>285</v>
      </c>
      <c r="I170" s="1" t="s">
        <v>8</v>
      </c>
      <c r="J170" s="18" t="s">
        <v>118</v>
      </c>
      <c r="K170" s="18" t="s">
        <v>221</v>
      </c>
      <c r="L170" s="18">
        <v>5820</v>
      </c>
      <c r="M170" s="18">
        <f>ABS((D170*E170)-L170)</f>
        <v>300</v>
      </c>
      <c r="N170" s="10" t="str">
        <f>IF(COUNTIFS( $B$2:$B$787, B170, $C$2:$C$787, C170, $D$2:$D$787, D170, $E$2:$E$787, E170) &gt; 1, "Duplicate", "Unique")</f>
        <v>Unique</v>
      </c>
    </row>
    <row r="171" spans="1:15" ht="26.5" thickBot="1" x14ac:dyDescent="0.4">
      <c r="A171" s="11">
        <v>46252.6875</v>
      </c>
      <c r="B171" s="8" t="s">
        <v>15</v>
      </c>
      <c r="C171" s="8" t="s">
        <v>7</v>
      </c>
      <c r="D171" s="8">
        <v>10</v>
      </c>
      <c r="E171" s="8">
        <v>2720</v>
      </c>
      <c r="F171" s="4">
        <v>7.4674041879999997</v>
      </c>
      <c r="G171" s="2" t="s">
        <v>72</v>
      </c>
      <c r="H171" s="5">
        <v>2531</v>
      </c>
      <c r="I171" s="1" t="s">
        <v>8</v>
      </c>
      <c r="J171" s="40"/>
      <c r="N171" s="10" t="str">
        <f>IF(COUNTIFS( $B$2:$B$787, B171, $C$2:$C$787, C171, $D$2:$D$787, D171, $E$2:$E$787, E171) &gt; 1, "Duplicate", "Unique")</f>
        <v>Unique</v>
      </c>
    </row>
    <row r="172" spans="1:15" s="35" customFormat="1" ht="26.5" thickBot="1" x14ac:dyDescent="0.4">
      <c r="A172" s="3">
        <v>46272.375694444447</v>
      </c>
      <c r="B172" s="1" t="s">
        <v>16</v>
      </c>
      <c r="C172" s="1" t="s">
        <v>7</v>
      </c>
      <c r="D172" s="4">
        <v>5</v>
      </c>
      <c r="E172" s="4">
        <v>902</v>
      </c>
      <c r="F172" s="4">
        <v>7.6436541560000002</v>
      </c>
      <c r="G172" s="2" t="s">
        <v>61</v>
      </c>
      <c r="H172" s="5">
        <v>837.95</v>
      </c>
      <c r="I172" s="1" t="s">
        <v>8</v>
      </c>
      <c r="J172" s="18" t="s">
        <v>118</v>
      </c>
      <c r="K172" s="18" t="s">
        <v>266</v>
      </c>
      <c r="L172" s="18">
        <v>4260</v>
      </c>
      <c r="M172" s="18">
        <f>ABS((D172*E172)-L172)</f>
        <v>250</v>
      </c>
      <c r="N172" s="10" t="str">
        <f>IF(COUNTIFS( $B$2:$B$787, B172, $C$2:$C$787, C172, $D$2:$D$787, D172, $E$2:$E$787, E172) &gt; 1, "Duplicate", "Unique")</f>
        <v>Unique</v>
      </c>
      <c r="O172" s="10"/>
    </row>
    <row r="173" spans="1:15" ht="26.5" thickBot="1" x14ac:dyDescent="0.4">
      <c r="A173" s="3">
        <v>46261.375</v>
      </c>
      <c r="B173" s="1" t="s">
        <v>18</v>
      </c>
      <c r="C173" s="1" t="s">
        <v>7</v>
      </c>
      <c r="D173" s="4">
        <v>2</v>
      </c>
      <c r="E173" s="4">
        <v>1970</v>
      </c>
      <c r="F173" s="4">
        <v>7.7385835380000003</v>
      </c>
      <c r="G173" s="2" t="s">
        <v>102</v>
      </c>
      <c r="H173" s="5">
        <v>1828.5</v>
      </c>
      <c r="I173" s="1" t="s">
        <v>8</v>
      </c>
      <c r="J173" s="18" t="s">
        <v>117</v>
      </c>
      <c r="K173" s="18" t="s">
        <v>184</v>
      </c>
      <c r="L173" s="18">
        <v>3680</v>
      </c>
      <c r="M173" s="18">
        <f>ABS((D173*E173)-L173)</f>
        <v>260</v>
      </c>
      <c r="N173" s="10" t="str">
        <f>IF(COUNTIFS( $B$2:$B$787, B173, $C$2:$C$787, C173, $D$2:$D$787, D173, $E$2:$E$787, E173) &gt; 1, "Duplicate", "Unique")</f>
        <v>Unique</v>
      </c>
    </row>
    <row r="174" spans="1:15" ht="26.5" thickBot="1" x14ac:dyDescent="0.4">
      <c r="A174" s="3">
        <v>46266.642361111109</v>
      </c>
      <c r="B174" s="1" t="s">
        <v>14</v>
      </c>
      <c r="C174" s="1" t="s">
        <v>7</v>
      </c>
      <c r="D174" s="4">
        <v>100</v>
      </c>
      <c r="E174" s="4">
        <v>344.5</v>
      </c>
      <c r="F174" s="4">
        <v>7.9937304080000002</v>
      </c>
      <c r="G174" s="2" t="s">
        <v>45</v>
      </c>
      <c r="H174" s="5">
        <v>319</v>
      </c>
      <c r="I174" s="1" t="s">
        <v>8</v>
      </c>
      <c r="J174" s="18" t="s">
        <v>117</v>
      </c>
      <c r="K174" s="18" t="s">
        <v>229</v>
      </c>
      <c r="L174" s="18">
        <v>33950</v>
      </c>
      <c r="M174" s="18">
        <f>ABS((D174*E174)-L174)</f>
        <v>500</v>
      </c>
      <c r="N174" s="10" t="str">
        <f>IF(COUNTIFS( $B$2:$B$787, B174, $C$2:$C$787, C174, $D$2:$D$787, D174, $E$2:$E$787, E174) &gt; 1, "Duplicate", "Unique")</f>
        <v>Unique</v>
      </c>
    </row>
    <row r="175" spans="1:15" ht="39" thickBot="1" x14ac:dyDescent="0.4">
      <c r="A175" s="11">
        <v>46252.635416666664</v>
      </c>
      <c r="B175" s="8" t="s">
        <v>51</v>
      </c>
      <c r="C175" s="8" t="s">
        <v>7</v>
      </c>
      <c r="D175" s="8">
        <v>10</v>
      </c>
      <c r="E175" s="8">
        <v>997</v>
      </c>
      <c r="F175" s="4">
        <v>8.1579518330000003</v>
      </c>
      <c r="G175" s="2" t="s">
        <v>52</v>
      </c>
      <c r="H175" s="5">
        <v>921.8</v>
      </c>
      <c r="I175" s="1" t="s">
        <v>8</v>
      </c>
      <c r="J175" s="40" t="s">
        <v>117</v>
      </c>
      <c r="N175" s="10" t="str">
        <f>IF(COUNTIFS( $B$2:$B$787, B175, $C$2:$C$787, C175, $D$2:$D$787, D175, $E$2:$E$787, E175) &gt; 1, "Duplicate", "Unique")</f>
        <v>Unique</v>
      </c>
    </row>
    <row r="176" spans="1:15" ht="26.5" thickBot="1" x14ac:dyDescent="0.4">
      <c r="A176" s="11">
        <v>46252.635416666664</v>
      </c>
      <c r="B176" s="8" t="s">
        <v>47</v>
      </c>
      <c r="C176" s="8" t="s">
        <v>7</v>
      </c>
      <c r="D176" s="8">
        <v>8</v>
      </c>
      <c r="E176" s="8">
        <v>2448</v>
      </c>
      <c r="F176" s="4">
        <v>8.2228116710000005</v>
      </c>
      <c r="G176" s="2" t="s">
        <v>48</v>
      </c>
      <c r="H176" s="5">
        <v>2262</v>
      </c>
      <c r="I176" s="1" t="s">
        <v>8</v>
      </c>
      <c r="J176" s="40"/>
      <c r="N176" s="10" t="str">
        <f>IF(COUNTIFS( $B$2:$B$787, B176, $C$2:$C$787, C176, $D$2:$D$787, D176, $E$2:$E$787, E176) &gt; 1, "Duplicate", "Unique")</f>
        <v>Unique</v>
      </c>
    </row>
    <row r="177" spans="1:15" s="35" customFormat="1" ht="26.5" thickBot="1" x14ac:dyDescent="0.4">
      <c r="A177" s="3">
        <v>46262.375</v>
      </c>
      <c r="B177" s="1" t="s">
        <v>87</v>
      </c>
      <c r="C177" s="1" t="s">
        <v>7</v>
      </c>
      <c r="D177" s="4">
        <v>10</v>
      </c>
      <c r="E177" s="4">
        <v>1340</v>
      </c>
      <c r="F177" s="4">
        <v>8.4581141239999997</v>
      </c>
      <c r="G177" s="2" t="s">
        <v>88</v>
      </c>
      <c r="H177" s="5">
        <v>1235.5</v>
      </c>
      <c r="I177" s="1" t="s">
        <v>8</v>
      </c>
      <c r="J177" s="18" t="s">
        <v>117</v>
      </c>
      <c r="K177" s="18" t="s">
        <v>194</v>
      </c>
      <c r="L177" s="18">
        <v>13030</v>
      </c>
      <c r="M177" s="18">
        <f>ABS((D177*E177)-L177)</f>
        <v>370</v>
      </c>
      <c r="N177" s="10" t="str">
        <f>IF(COUNTIFS( $B$2:$B$787, B177, $C$2:$C$787, C177, $D$2:$D$787, D177, $E$2:$E$787, E177) &gt; 1, "Duplicate", "Unique")</f>
        <v>Unique</v>
      </c>
      <c r="O177" s="10"/>
    </row>
    <row r="178" spans="1:15" ht="39" thickBot="1" x14ac:dyDescent="0.4">
      <c r="A178" s="3">
        <v>46262.375</v>
      </c>
      <c r="B178" s="1" t="s">
        <v>59</v>
      </c>
      <c r="C178" s="1" t="s">
        <v>7</v>
      </c>
      <c r="D178" s="4">
        <v>4</v>
      </c>
      <c r="E178" s="4">
        <v>1146</v>
      </c>
      <c r="F178" s="4">
        <v>8.4713677240000003</v>
      </c>
      <c r="G178" s="2" t="s">
        <v>60</v>
      </c>
      <c r="H178" s="5">
        <v>1056.5</v>
      </c>
      <c r="I178" s="1" t="s">
        <v>8</v>
      </c>
      <c r="J178" s="18" t="s">
        <v>117</v>
      </c>
      <c r="K178" s="18" t="s">
        <v>195</v>
      </c>
      <c r="L178" s="18">
        <v>4264</v>
      </c>
      <c r="M178" s="18">
        <f>ABS((D178*E178)-L178)</f>
        <v>320</v>
      </c>
      <c r="N178" s="10" t="str">
        <f>IF(COUNTIFS( $B$2:$B$787, B178, $C$2:$C$787, C178, $D$2:$D$787, D178, $E$2:$E$787, E178) &gt; 1, "Duplicate", "Unique")</f>
        <v>Unique</v>
      </c>
    </row>
    <row r="179" spans="1:15" ht="39" thickBot="1" x14ac:dyDescent="0.4">
      <c r="A179" s="3">
        <v>46265.486111111109</v>
      </c>
      <c r="B179" s="1" t="s">
        <v>59</v>
      </c>
      <c r="C179" s="1" t="s">
        <v>7</v>
      </c>
      <c r="D179" s="4">
        <v>5</v>
      </c>
      <c r="E179" s="4">
        <v>1146</v>
      </c>
      <c r="F179" s="4">
        <v>8.4713677240000003</v>
      </c>
      <c r="G179" s="2" t="s">
        <v>60</v>
      </c>
      <c r="H179" s="5">
        <v>1056.5</v>
      </c>
      <c r="I179" s="1" t="s">
        <v>8</v>
      </c>
      <c r="J179" s="18" t="s">
        <v>118</v>
      </c>
      <c r="K179" s="18" t="s">
        <v>202</v>
      </c>
      <c r="L179" s="18">
        <v>5282</v>
      </c>
      <c r="M179" s="18">
        <f>ABS((D179*E179)-L179)</f>
        <v>448</v>
      </c>
      <c r="N179" t="str">
        <f>IF(COUNTIFS( $B$2:$B$787, B179, $C$2:$C$787, C179, $D$2:$D$787, D179, $E$2:$E$787, E179) &gt; 1, "Duplicate", "Unique")</f>
        <v>Unique</v>
      </c>
    </row>
    <row r="180" spans="1:15" ht="39" thickBot="1" x14ac:dyDescent="0.4">
      <c r="A180" s="8" t="s">
        <v>62</v>
      </c>
      <c r="B180" s="8" t="s">
        <v>21</v>
      </c>
      <c r="C180" s="8" t="s">
        <v>7</v>
      </c>
      <c r="D180" s="8">
        <v>11</v>
      </c>
      <c r="E180" s="12">
        <v>749</v>
      </c>
      <c r="F180" s="4">
        <v>8.5664589069999995</v>
      </c>
      <c r="G180" s="2" t="s">
        <v>76</v>
      </c>
      <c r="H180" s="5">
        <v>689.9</v>
      </c>
      <c r="I180" s="1" t="s">
        <v>8</v>
      </c>
      <c r="J180" s="40" t="s">
        <v>201</v>
      </c>
      <c r="N180" s="10" t="str">
        <f>IF(COUNTIFS( $B$2:$B$787, B180, $C$2:$C$787, C180, $D$2:$D$787, D180, $E$2:$E$787, E180) &gt; 1, "Duplicate", "Unique")</f>
        <v>Unique</v>
      </c>
    </row>
    <row r="181" spans="1:15" ht="39" thickBot="1" x14ac:dyDescent="0.4">
      <c r="A181" s="3">
        <v>46260.554861111108</v>
      </c>
      <c r="B181" s="1" t="s">
        <v>12</v>
      </c>
      <c r="C181" s="1" t="s">
        <v>7</v>
      </c>
      <c r="D181" s="4">
        <v>1</v>
      </c>
      <c r="E181" s="4">
        <v>5540</v>
      </c>
      <c r="F181" s="4">
        <v>8.6061556560000003</v>
      </c>
      <c r="G181" s="2" t="s">
        <v>98</v>
      </c>
      <c r="H181" s="5">
        <v>5101</v>
      </c>
      <c r="I181" s="1" t="s">
        <v>8</v>
      </c>
      <c r="J181" s="18" t="s">
        <v>118</v>
      </c>
      <c r="K181" s="18" t="s">
        <v>169</v>
      </c>
      <c r="L181" s="18">
        <v>5290</v>
      </c>
      <c r="M181" s="18">
        <f>ABS((D181*E181)-L181)</f>
        <v>250</v>
      </c>
      <c r="N181" t="str">
        <f>IF(COUNTIFS( $B$2:$B$787, B181, $C$2:$C$787, C181, $D$2:$D$787, D181, $E$2:$E$787, E181) &gt; 1, "Duplicate", "Unique")</f>
        <v>Unique</v>
      </c>
    </row>
    <row r="182" spans="1:15" ht="26.5" thickBot="1" x14ac:dyDescent="0.4">
      <c r="A182" s="3">
        <v>46269.411111111112</v>
      </c>
      <c r="B182" s="1" t="s">
        <v>13</v>
      </c>
      <c r="C182" s="1" t="s">
        <v>7</v>
      </c>
      <c r="D182" s="4">
        <v>10</v>
      </c>
      <c r="E182" s="4">
        <v>1879</v>
      </c>
      <c r="F182" s="4">
        <v>8.6755349909999993</v>
      </c>
      <c r="G182" s="2" t="s">
        <v>91</v>
      </c>
      <c r="H182" s="5">
        <v>1729</v>
      </c>
      <c r="I182" s="1" t="s">
        <v>8</v>
      </c>
      <c r="J182" s="18" t="s">
        <v>118</v>
      </c>
      <c r="K182" s="18" t="s">
        <v>253</v>
      </c>
      <c r="L182" s="18">
        <v>18140</v>
      </c>
      <c r="M182" s="27">
        <f>ABS((D182*E182)-L182)</f>
        <v>650</v>
      </c>
      <c r="N182" t="str">
        <f>IF(COUNTIFS( $B$2:$B$787, B182, $C$2:$C$787, C182, $D$2:$D$787, D182, $E$2:$E$787, E182) &gt; 1, "Duplicate", "Unique")</f>
        <v>Unique</v>
      </c>
      <c r="O182" s="47" t="s">
        <v>262</v>
      </c>
    </row>
    <row r="183" spans="1:15" ht="39" thickBot="1" x14ac:dyDescent="0.4">
      <c r="A183" s="3">
        <v>46272.375694444447</v>
      </c>
      <c r="B183" s="1" t="s">
        <v>24</v>
      </c>
      <c r="C183" s="1" t="s">
        <v>7</v>
      </c>
      <c r="D183" s="4">
        <v>40</v>
      </c>
      <c r="E183" s="4">
        <v>448</v>
      </c>
      <c r="F183" s="4">
        <v>8.7114777970000006</v>
      </c>
      <c r="G183" s="2" t="s">
        <v>56</v>
      </c>
      <c r="H183" s="5">
        <v>412.1</v>
      </c>
      <c r="I183" s="1" t="s">
        <v>8</v>
      </c>
      <c r="J183" s="18" t="s">
        <v>117</v>
      </c>
      <c r="K183" s="18" t="s">
        <v>268</v>
      </c>
      <c r="L183" s="18">
        <v>17040</v>
      </c>
      <c r="M183" s="18">
        <f>ABS((D183*E183)-L183)</f>
        <v>880</v>
      </c>
      <c r="N183" s="10" t="str">
        <f>IF(COUNTIFS( $B$2:$B$787, B183, $C$2:$C$787, C183, $D$2:$D$787, D183, $E$2:$E$787, E183) &gt; 1, "Duplicate", "Unique")</f>
        <v>Unique</v>
      </c>
    </row>
    <row r="184" spans="1:15" ht="26.5" thickBot="1" x14ac:dyDescent="0.4">
      <c r="A184" s="36">
        <v>46265.375694444447</v>
      </c>
      <c r="B184" s="37" t="s">
        <v>6</v>
      </c>
      <c r="C184" s="37" t="s">
        <v>7</v>
      </c>
      <c r="D184" s="38">
        <v>20</v>
      </c>
      <c r="E184" s="38">
        <v>291</v>
      </c>
      <c r="F184" s="4">
        <v>8.7647168749999995</v>
      </c>
      <c r="G184" s="2" t="s">
        <v>130</v>
      </c>
      <c r="H184" s="5">
        <v>267.55</v>
      </c>
      <c r="I184" s="1" t="s">
        <v>8</v>
      </c>
      <c r="J184" s="33" t="s">
        <v>118</v>
      </c>
      <c r="K184" s="33" t="s">
        <v>213</v>
      </c>
      <c r="L184" s="33">
        <v>5520</v>
      </c>
      <c r="M184" s="33">
        <f>ABS((D184*E184)-L184)</f>
        <v>300</v>
      </c>
      <c r="N184" s="34" t="str">
        <f>IF(COUNTIFS( $B$2:$B$787, B184, $C$2:$C$787, C184, $D$2:$D$787, D184, $E$2:$E$787, E184) &gt; 1, "Duplicate", "Unique")</f>
        <v>Unique</v>
      </c>
      <c r="O184" s="35"/>
    </row>
    <row r="185" spans="1:15" ht="26.5" thickBot="1" x14ac:dyDescent="0.4">
      <c r="A185" s="57">
        <v>46243.505555555559</v>
      </c>
      <c r="B185" s="58" t="s">
        <v>6</v>
      </c>
      <c r="C185" s="58" t="s">
        <v>7</v>
      </c>
      <c r="D185" s="58">
        <v>10</v>
      </c>
      <c r="E185" s="58">
        <v>291</v>
      </c>
      <c r="F185" s="4">
        <v>8.7647168749999995</v>
      </c>
      <c r="G185" s="2" t="s">
        <v>130</v>
      </c>
      <c r="H185" s="5">
        <v>267.55</v>
      </c>
      <c r="I185" s="1" t="s">
        <v>8</v>
      </c>
      <c r="J185" s="33" t="s">
        <v>118</v>
      </c>
      <c r="K185" s="33" t="s">
        <v>274</v>
      </c>
      <c r="L185" s="33">
        <v>2657</v>
      </c>
      <c r="M185" s="33">
        <f>ABS((D185*E185)-L185)</f>
        <v>253</v>
      </c>
      <c r="N185" s="35" t="str">
        <f>IF(COUNTIFS( $B$2:$B$787, B185, $C$2:$C$787, C185, $D$2:$D$787, D185, $E$2:$E$787, E185) &gt; 1, "Duplicate", "Unique")</f>
        <v>Unique</v>
      </c>
      <c r="O185" s="35"/>
    </row>
    <row r="186" spans="1:15" ht="39" thickBot="1" x14ac:dyDescent="0.4">
      <c r="A186" s="3">
        <v>46265.474999999999</v>
      </c>
      <c r="B186" s="1" t="s">
        <v>20</v>
      </c>
      <c r="C186" s="1" t="s">
        <v>7</v>
      </c>
      <c r="D186" s="4">
        <v>30</v>
      </c>
      <c r="E186" s="4">
        <v>137</v>
      </c>
      <c r="F186" s="4">
        <v>8.8338099779999997</v>
      </c>
      <c r="G186" s="2" t="s">
        <v>86</v>
      </c>
      <c r="H186" s="5">
        <v>125.88</v>
      </c>
      <c r="I186" s="1" t="s">
        <v>8</v>
      </c>
      <c r="J186" s="18" t="s">
        <v>118</v>
      </c>
      <c r="K186" s="18" t="s">
        <v>205</v>
      </c>
      <c r="L186" s="18">
        <v>3810</v>
      </c>
      <c r="M186" s="18">
        <f>ABS((D186*E186)-L186)</f>
        <v>300</v>
      </c>
      <c r="N186" t="str">
        <f>IF(COUNTIFS( $B$2:$B$787, B186, $C$2:$C$787, C186, $D$2:$D$787, D186, $E$2:$E$787, E186) &gt; 1, "Duplicate", "Unique")</f>
        <v>Unique</v>
      </c>
    </row>
    <row r="187" spans="1:15" ht="26.5" thickBot="1" x14ac:dyDescent="0.4">
      <c r="A187" s="3">
        <v>46258.629861111112</v>
      </c>
      <c r="B187" s="1" t="s">
        <v>17</v>
      </c>
      <c r="C187" s="1" t="s">
        <v>7</v>
      </c>
      <c r="D187" s="4">
        <v>25</v>
      </c>
      <c r="E187" s="4">
        <v>392.5</v>
      </c>
      <c r="F187" s="4">
        <v>8.8765603330000005</v>
      </c>
      <c r="G187" s="2" t="s">
        <v>77</v>
      </c>
      <c r="H187" s="5">
        <v>360.5</v>
      </c>
      <c r="I187" s="1" t="s">
        <v>8</v>
      </c>
      <c r="J187" s="18" t="s">
        <v>118</v>
      </c>
      <c r="K187" s="18" t="s">
        <v>157</v>
      </c>
      <c r="L187" s="18">
        <v>9312.5</v>
      </c>
      <c r="M187" s="18">
        <f>ABS((D187*E187)-L187)</f>
        <v>500</v>
      </c>
      <c r="N187" s="10" t="str">
        <f>IF(COUNTIFS( $B$2:$B$787, B187, $C$2:$C$787, C187, $D$2:$D$787, D187, $E$2:$E$787, E187) &gt; 1, "Duplicate", "Unique")</f>
        <v>Unique</v>
      </c>
      <c r="O187" s="47" t="s">
        <v>262</v>
      </c>
    </row>
    <row r="188" spans="1:15" s="35" customFormat="1" ht="39" thickBot="1" x14ac:dyDescent="0.4">
      <c r="A188" s="39">
        <v>46255</v>
      </c>
      <c r="B188" s="37" t="s">
        <v>19</v>
      </c>
      <c r="C188" s="37" t="s">
        <v>7</v>
      </c>
      <c r="D188" s="38">
        <v>20</v>
      </c>
      <c r="E188" s="38">
        <v>241</v>
      </c>
      <c r="F188" s="4">
        <v>8.8970222759999995</v>
      </c>
      <c r="G188" s="2" t="s">
        <v>40</v>
      </c>
      <c r="H188" s="5">
        <v>221.31</v>
      </c>
      <c r="I188" s="1" t="s">
        <v>8</v>
      </c>
      <c r="J188" s="33" t="s">
        <v>118</v>
      </c>
      <c r="K188" s="33" t="s">
        <v>152</v>
      </c>
      <c r="L188" s="33">
        <v>4680</v>
      </c>
      <c r="M188" s="33">
        <f>ABS((D188*E188)-L188)</f>
        <v>140</v>
      </c>
      <c r="N188" s="35" t="str">
        <f>IF(COUNTIFS( $B$2:$B$787, B188, $C$2:$C$787, C188, $D$2:$D$787, D188, $E$2:$E$787, E188) &gt; 1, "Duplicate", "Unique")</f>
        <v>Duplicate</v>
      </c>
      <c r="O188" s="10"/>
    </row>
    <row r="189" spans="1:15" ht="39" thickBot="1" x14ac:dyDescent="0.4">
      <c r="A189" s="36">
        <v>46261.385416666664</v>
      </c>
      <c r="B189" s="37" t="s">
        <v>19</v>
      </c>
      <c r="C189" s="37" t="s">
        <v>7</v>
      </c>
      <c r="D189" s="38">
        <v>20</v>
      </c>
      <c r="E189" s="38">
        <v>241</v>
      </c>
      <c r="F189" s="4">
        <v>8.8970222759999995</v>
      </c>
      <c r="G189" s="2" t="s">
        <v>40</v>
      </c>
      <c r="H189" s="5">
        <v>221.31</v>
      </c>
      <c r="I189" s="1" t="s">
        <v>8</v>
      </c>
      <c r="J189" s="33" t="s">
        <v>118</v>
      </c>
      <c r="K189" s="33" t="s">
        <v>181</v>
      </c>
      <c r="L189" s="33">
        <v>4520</v>
      </c>
      <c r="M189" s="33">
        <f>ABS((D189*E189)-L189)</f>
        <v>300</v>
      </c>
      <c r="N189" s="35" t="str">
        <f>IF(COUNTIFS( $B$2:$B$787, B189, $C$2:$C$787, C189, $D$2:$D$787, D189, $E$2:$E$787, E189) &gt; 1, "Duplicate", "Unique")</f>
        <v>Duplicate</v>
      </c>
    </row>
    <row r="190" spans="1:15" ht="39" thickBot="1" x14ac:dyDescent="0.4">
      <c r="A190" s="11">
        <v>46252.635416666664</v>
      </c>
      <c r="B190" s="8" t="s">
        <v>126</v>
      </c>
      <c r="C190" s="8" t="s">
        <v>7</v>
      </c>
      <c r="D190" s="8">
        <v>6</v>
      </c>
      <c r="E190" s="8">
        <v>548</v>
      </c>
      <c r="F190" s="4">
        <v>8.9463220680000006</v>
      </c>
      <c r="G190" s="2" t="s">
        <v>127</v>
      </c>
      <c r="H190" s="5">
        <v>503</v>
      </c>
      <c r="I190" s="1" t="s">
        <v>8</v>
      </c>
      <c r="J190" s="40"/>
      <c r="N190" s="10" t="str">
        <f>IF(COUNTIFS( $B$2:$B$787, B190, $C$2:$C$787, C190, $D$2:$D$787, D190, $E$2:$E$787, E190) &gt; 1, "Duplicate", "Unique")</f>
        <v>Unique</v>
      </c>
      <c r="O190" s="35"/>
    </row>
    <row r="191" spans="1:15" ht="26.5" thickBot="1" x14ac:dyDescent="0.4">
      <c r="A191" s="11">
        <v>46252.635416666664</v>
      </c>
      <c r="B191" s="8" t="s">
        <v>123</v>
      </c>
      <c r="C191" s="8" t="s">
        <v>7</v>
      </c>
      <c r="D191" s="8">
        <v>200</v>
      </c>
      <c r="E191" s="8">
        <v>89.3</v>
      </c>
      <c r="F191" s="4">
        <v>9.0354090350000007</v>
      </c>
      <c r="G191" s="2" t="s">
        <v>124</v>
      </c>
      <c r="H191" s="5">
        <v>81.900000000000006</v>
      </c>
      <c r="I191" s="1" t="s">
        <v>8</v>
      </c>
      <c r="J191" s="18" t="s">
        <v>118</v>
      </c>
      <c r="N191" s="10" t="str">
        <f>IF(COUNTIFS( $B$2:$B$787, B191, $C$2:$C$787, C191, $D$2:$D$787, D191, $E$2:$E$787, E191) &gt; 1, "Duplicate", "Unique")</f>
        <v>Unique</v>
      </c>
      <c r="O191" s="47" t="s">
        <v>262</v>
      </c>
    </row>
    <row r="192" spans="1:15" ht="26.5" thickBot="1" x14ac:dyDescent="0.4">
      <c r="A192" s="8" t="s">
        <v>62</v>
      </c>
      <c r="B192" s="8" t="s">
        <v>121</v>
      </c>
      <c r="C192" s="8" t="s">
        <v>7</v>
      </c>
      <c r="D192" s="8">
        <v>10</v>
      </c>
      <c r="E192" s="8">
        <v>796</v>
      </c>
      <c r="F192" s="4">
        <v>9.0784515240000001</v>
      </c>
      <c r="G192" s="2" t="s">
        <v>122</v>
      </c>
      <c r="H192" s="5">
        <v>729.75</v>
      </c>
      <c r="I192" s="1" t="s">
        <v>8</v>
      </c>
      <c r="J192" s="40" t="s">
        <v>117</v>
      </c>
      <c r="N192" s="10" t="str">
        <f>IF(COUNTIFS( $B$2:$B$787, B192, $C$2:$C$787, C192, $D$2:$D$787, D192, $E$2:$E$787, E192) &gt; 1, "Duplicate", "Unique")</f>
        <v>Unique</v>
      </c>
    </row>
    <row r="193" spans="1:15" ht="26.5" thickBot="1" x14ac:dyDescent="0.4">
      <c r="A193" s="3">
        <v>46261.375</v>
      </c>
      <c r="B193" s="1" t="s">
        <v>14</v>
      </c>
      <c r="C193" s="1" t="s">
        <v>7</v>
      </c>
      <c r="D193" s="4">
        <v>100</v>
      </c>
      <c r="E193" s="4">
        <v>348</v>
      </c>
      <c r="F193" s="4">
        <v>9.0909090910000003</v>
      </c>
      <c r="G193" s="2" t="s">
        <v>45</v>
      </c>
      <c r="H193" s="5">
        <v>319</v>
      </c>
      <c r="I193" s="1" t="s">
        <v>8</v>
      </c>
      <c r="J193" s="18" t="s">
        <v>117</v>
      </c>
      <c r="K193" s="18" t="s">
        <v>183</v>
      </c>
      <c r="L193" s="18">
        <v>34100</v>
      </c>
      <c r="M193" s="18">
        <f>ABS((D193*E193)-L193)</f>
        <v>700</v>
      </c>
      <c r="N193" s="10" t="str">
        <f>IF(COUNTIFS( $B$2:$B$787, B193, $C$2:$C$787, C193, $D$2:$D$787, D193, $E$2:$E$787, E193) &gt; 1, "Duplicate", "Unique")</f>
        <v>Unique</v>
      </c>
      <c r="O193" s="35"/>
    </row>
    <row r="194" spans="1:15" ht="26.5" thickBot="1" x14ac:dyDescent="0.4">
      <c r="A194" s="3">
        <v>46261.615277777775</v>
      </c>
      <c r="B194" s="1" t="s">
        <v>35</v>
      </c>
      <c r="C194" s="1" t="s">
        <v>7</v>
      </c>
      <c r="D194" s="4">
        <v>50</v>
      </c>
      <c r="E194" s="4">
        <v>226.3</v>
      </c>
      <c r="F194" s="4">
        <v>9.2392353739999997</v>
      </c>
      <c r="G194" s="2" t="s">
        <v>42</v>
      </c>
      <c r="H194" s="5">
        <v>207.16</v>
      </c>
      <c r="I194" s="1" t="s">
        <v>8</v>
      </c>
      <c r="J194" s="18" t="s">
        <v>118</v>
      </c>
      <c r="K194" s="18" t="s">
        <v>178</v>
      </c>
      <c r="L194" s="18">
        <v>10814</v>
      </c>
      <c r="M194" s="18">
        <f>ABS((D194*E194)-L194)</f>
        <v>501</v>
      </c>
      <c r="N194" s="10" t="str">
        <f>IF(COUNTIFS( $B$2:$B$787, B194, $C$2:$C$787, C194, $D$2:$D$787, D194, $E$2:$E$787, E194) &gt; 1, "Duplicate", "Unique")</f>
        <v>Unique</v>
      </c>
      <c r="O194" s="47" t="s">
        <v>262</v>
      </c>
    </row>
    <row r="195" spans="1:15" ht="26.5" thickBot="1" x14ac:dyDescent="0.4">
      <c r="A195" s="8" t="s">
        <v>62</v>
      </c>
      <c r="B195" s="8" t="s">
        <v>74</v>
      </c>
      <c r="C195" s="8" t="s">
        <v>7</v>
      </c>
      <c r="D195" s="8">
        <v>1</v>
      </c>
      <c r="E195" s="8">
        <v>3710</v>
      </c>
      <c r="F195" s="4">
        <v>9.3105480259999993</v>
      </c>
      <c r="G195" s="2" t="s">
        <v>75</v>
      </c>
      <c r="H195" s="5">
        <v>3394</v>
      </c>
      <c r="I195" s="1" t="s">
        <v>8</v>
      </c>
      <c r="J195" s="40" t="s">
        <v>118</v>
      </c>
      <c r="N195" s="10" t="str">
        <f>IF(COUNTIFS( $B$2:$B$787, B195, $C$2:$C$787, C195, $D$2:$D$787, D195, $E$2:$E$787, E195) &gt; 1, "Duplicate", "Unique")</f>
        <v>Unique</v>
      </c>
    </row>
    <row r="196" spans="1:15" ht="26.5" thickBot="1" x14ac:dyDescent="0.4">
      <c r="A196" s="3">
        <v>46261.375</v>
      </c>
      <c r="B196" s="1" t="s">
        <v>14</v>
      </c>
      <c r="C196" s="1" t="s">
        <v>7</v>
      </c>
      <c r="D196" s="4">
        <v>50</v>
      </c>
      <c r="E196" s="4">
        <v>349</v>
      </c>
      <c r="F196" s="4">
        <v>9.4043887149999996</v>
      </c>
      <c r="G196" s="2" t="s">
        <v>45</v>
      </c>
      <c r="H196" s="5">
        <v>319</v>
      </c>
      <c r="I196" s="1" t="s">
        <v>8</v>
      </c>
      <c r="J196" s="18" t="s">
        <v>117</v>
      </c>
      <c r="K196" s="18" t="s">
        <v>185</v>
      </c>
      <c r="L196" s="18">
        <v>17150</v>
      </c>
      <c r="M196" s="18">
        <f>ABS((D196*E196)-L196)</f>
        <v>300</v>
      </c>
      <c r="N196" s="10" t="str">
        <f>IF(COUNTIFS( $B$2:$B$787, B196, $C$2:$C$787, C196, $D$2:$D$787, D196, $E$2:$E$787, E196) &gt; 1, "Duplicate", "Unique")</f>
        <v>Unique</v>
      </c>
    </row>
    <row r="197" spans="1:15" ht="39" thickBot="1" x14ac:dyDescent="0.4">
      <c r="A197" s="8" t="s">
        <v>62</v>
      </c>
      <c r="B197" s="8" t="s">
        <v>43</v>
      </c>
      <c r="C197" s="8" t="s">
        <v>7</v>
      </c>
      <c r="D197" s="8">
        <v>5</v>
      </c>
      <c r="E197" s="12">
        <v>790</v>
      </c>
      <c r="F197" s="4">
        <v>9.4258605170000003</v>
      </c>
      <c r="G197" s="2" t="s">
        <v>44</v>
      </c>
      <c r="H197" s="5">
        <v>721.95</v>
      </c>
      <c r="I197" s="1" t="s">
        <v>8</v>
      </c>
      <c r="J197" s="40"/>
      <c r="N197" s="10" t="str">
        <f>IF(COUNTIFS( $B$2:$B$787, B197, $C$2:$C$787, C197, $D$2:$D$787, D197, $E$2:$E$787, E197) &gt; 1, "Duplicate", "Unique")</f>
        <v>Unique</v>
      </c>
    </row>
    <row r="198" spans="1:15" ht="26.5" thickBot="1" x14ac:dyDescent="0.4">
      <c r="A198" s="8" t="s">
        <v>62</v>
      </c>
      <c r="B198" s="8" t="s">
        <v>9</v>
      </c>
      <c r="C198" s="8" t="s">
        <v>7</v>
      </c>
      <c r="D198" s="8">
        <v>50</v>
      </c>
      <c r="E198" s="8">
        <v>317</v>
      </c>
      <c r="F198" s="4">
        <v>9.5369730480000001</v>
      </c>
      <c r="G198" s="2" t="s">
        <v>95</v>
      </c>
      <c r="H198" s="5">
        <v>289.39999999999998</v>
      </c>
      <c r="I198" s="1" t="s">
        <v>8</v>
      </c>
      <c r="J198" s="40"/>
      <c r="N198" s="10" t="str">
        <f>IF(COUNTIFS( $B$2:$B$787, B198, $C$2:$C$787, C198, $D$2:$D$787, D198, $E$2:$E$787, E198) &gt; 1, "Duplicate", "Unique")</f>
        <v>Unique</v>
      </c>
    </row>
    <row r="199" spans="1:15" ht="26.5" thickBot="1" x14ac:dyDescent="0.4">
      <c r="A199" s="3">
        <v>46272.451388888891</v>
      </c>
      <c r="B199" s="1" t="s">
        <v>13</v>
      </c>
      <c r="C199" s="1" t="s">
        <v>7</v>
      </c>
      <c r="D199" s="4">
        <v>5</v>
      </c>
      <c r="E199" s="4">
        <v>1894</v>
      </c>
      <c r="F199" s="4">
        <v>9.5430884900000006</v>
      </c>
      <c r="G199" s="2" t="s">
        <v>91</v>
      </c>
      <c r="H199" s="5">
        <v>1729</v>
      </c>
      <c r="I199" s="1" t="s">
        <v>8</v>
      </c>
      <c r="J199" s="10" t="s">
        <v>118</v>
      </c>
      <c r="K199" s="18" t="s">
        <v>264</v>
      </c>
      <c r="L199" s="18">
        <v>8820</v>
      </c>
      <c r="M199" s="18">
        <f>ABS((D199*E199)-L199)</f>
        <v>650</v>
      </c>
      <c r="N199" s="10" t="str">
        <f>IF(COUNTIFS( $B$2:$B$787, B199, $C$2:$C$787, C199, $D$2:$D$787, D199, $E$2:$E$787, E199) &gt; 1, "Duplicate", "Unique")</f>
        <v>Unique</v>
      </c>
    </row>
    <row r="200" spans="1:15" ht="26.5" thickBot="1" x14ac:dyDescent="0.4">
      <c r="A200" s="3">
        <v>46272.390972222223</v>
      </c>
      <c r="B200" s="1" t="s">
        <v>13</v>
      </c>
      <c r="C200" s="1" t="s">
        <v>7</v>
      </c>
      <c r="D200" s="4">
        <v>20</v>
      </c>
      <c r="E200" s="4">
        <v>1894</v>
      </c>
      <c r="F200" s="4">
        <v>9.5430884900000006</v>
      </c>
      <c r="G200" s="2" t="s">
        <v>91</v>
      </c>
      <c r="H200" s="5">
        <v>1729</v>
      </c>
      <c r="I200" s="1" t="s">
        <v>8</v>
      </c>
      <c r="J200" s="10" t="s">
        <v>118</v>
      </c>
      <c r="K200" s="18" t="s">
        <v>265</v>
      </c>
      <c r="L200" s="18">
        <v>36946</v>
      </c>
      <c r="M200" s="18">
        <f>ABS((D200*E200)-L200)</f>
        <v>934</v>
      </c>
      <c r="N200" s="10" t="str">
        <f>IF(COUNTIFS( $B$2:$B$787, B200, $C$2:$C$787, C200, $D$2:$D$787, D200, $E$2:$E$787, E200) &gt; 1, "Duplicate", "Unique")</f>
        <v>Unique</v>
      </c>
    </row>
    <row r="201" spans="1:15" ht="39" thickBot="1" x14ac:dyDescent="0.4">
      <c r="A201" s="8" t="s">
        <v>62</v>
      </c>
      <c r="B201" s="8" t="s">
        <v>119</v>
      </c>
      <c r="C201" s="8" t="s">
        <v>7</v>
      </c>
      <c r="D201" s="8">
        <v>15</v>
      </c>
      <c r="E201" s="8">
        <v>1090</v>
      </c>
      <c r="F201" s="4">
        <v>9.6248617119999995</v>
      </c>
      <c r="G201" s="2" t="s">
        <v>120</v>
      </c>
      <c r="H201" s="5">
        <v>994.3</v>
      </c>
      <c r="I201" s="1" t="s">
        <v>8</v>
      </c>
      <c r="J201" s="40"/>
      <c r="N201" s="10" t="str">
        <f>IF(COUNTIFS( $B$2:$B$787, B201, $C$2:$C$787, C201, $D$2:$D$787, D201, $E$2:$E$787, E201) &gt; 1, "Duplicate", "Unique")</f>
        <v>Unique</v>
      </c>
    </row>
    <row r="202" spans="1:15" ht="26.5" thickBot="1" x14ac:dyDescent="0.4">
      <c r="A202" s="3">
        <v>46268.375</v>
      </c>
      <c r="B202" s="1" t="s">
        <v>16</v>
      </c>
      <c r="C202" s="1" t="s">
        <v>7</v>
      </c>
      <c r="D202" s="4">
        <v>30</v>
      </c>
      <c r="E202" s="4">
        <v>920</v>
      </c>
      <c r="F202" s="4">
        <v>9.7917536849999998</v>
      </c>
      <c r="G202" s="2" t="s">
        <v>61</v>
      </c>
      <c r="H202" s="5">
        <v>837.95</v>
      </c>
      <c r="I202" s="1" t="s">
        <v>8</v>
      </c>
      <c r="J202" s="18" t="s">
        <v>117</v>
      </c>
      <c r="K202" s="18" t="s">
        <v>246</v>
      </c>
      <c r="L202" s="18">
        <v>25800</v>
      </c>
      <c r="M202" s="18">
        <f>ABS((D202*E202)-L202)</f>
        <v>1800</v>
      </c>
      <c r="N202" s="10" t="str">
        <f>IF(COUNTIFS( $B$2:$B$787, B202, $C$2:$C$787, C202, $D$2:$D$787, D202, $E$2:$E$787, E202) &gt; 1, "Duplicate", "Unique")</f>
        <v>Unique</v>
      </c>
    </row>
    <row r="203" spans="1:15" ht="26.5" thickBot="1" x14ac:dyDescent="0.4">
      <c r="A203" s="3">
        <v>46258.443749999999</v>
      </c>
      <c r="B203" s="1" t="s">
        <v>6</v>
      </c>
      <c r="C203" s="1" t="s">
        <v>7</v>
      </c>
      <c r="D203" s="4">
        <v>50</v>
      </c>
      <c r="E203" s="4">
        <v>294</v>
      </c>
      <c r="F203" s="4">
        <v>9.8860026160000007</v>
      </c>
      <c r="G203" s="2" t="s">
        <v>130</v>
      </c>
      <c r="H203" s="5">
        <v>267.55</v>
      </c>
      <c r="I203" s="1" t="s">
        <v>8</v>
      </c>
      <c r="J203" s="18" t="s">
        <v>118</v>
      </c>
      <c r="K203" s="18" t="s">
        <v>158</v>
      </c>
      <c r="L203" s="18">
        <v>14172.5</v>
      </c>
      <c r="M203" s="18">
        <f>ABS((D203*E203)-L203)</f>
        <v>527.5</v>
      </c>
      <c r="N203" s="10" t="str">
        <f>IF(COUNTIFS( $B$2:$B$787, B203, $C$2:$C$787, C203, $D$2:$D$787, D203, $E$2:$E$787, E203) &gt; 1, "Duplicate", "Unique")</f>
        <v>Unique</v>
      </c>
    </row>
    <row r="204" spans="1:15" ht="26.5" thickBot="1" x14ac:dyDescent="0.4">
      <c r="A204" s="11">
        <v>46253.4</v>
      </c>
      <c r="B204" s="8" t="s">
        <v>6</v>
      </c>
      <c r="C204" s="8" t="s">
        <v>7</v>
      </c>
      <c r="D204" s="8">
        <v>30</v>
      </c>
      <c r="E204" s="8">
        <v>294</v>
      </c>
      <c r="F204" s="4">
        <v>9.8860026160000007</v>
      </c>
      <c r="G204" s="2" t="s">
        <v>130</v>
      </c>
      <c r="H204" s="5">
        <v>267.55</v>
      </c>
      <c r="I204" s="1" t="s">
        <v>8</v>
      </c>
      <c r="J204" s="40" t="s">
        <v>118</v>
      </c>
      <c r="K204" s="18" t="s">
        <v>143</v>
      </c>
      <c r="N204" s="10" t="str">
        <f>IF(COUNTIFS( $B$2:$B$787, B204, $C$2:$C$787, C204, $D$2:$D$787, D204, $E$2:$E$787, E204) &gt; 1, "Duplicate", "Unique")</f>
        <v>Unique</v>
      </c>
    </row>
    <row r="205" spans="1:15" ht="39" thickBot="1" x14ac:dyDescent="0.4">
      <c r="A205" s="3">
        <v>46261.375694444447</v>
      </c>
      <c r="B205" s="1" t="s">
        <v>53</v>
      </c>
      <c r="C205" s="1" t="s">
        <v>7</v>
      </c>
      <c r="D205" s="4">
        <v>2</v>
      </c>
      <c r="E205" s="4">
        <v>2690</v>
      </c>
      <c r="F205" s="4">
        <v>10.020449899999999</v>
      </c>
      <c r="G205" s="2" t="s">
        <v>54</v>
      </c>
      <c r="H205" s="5">
        <v>2445</v>
      </c>
      <c r="I205" s="1" t="s">
        <v>8</v>
      </c>
      <c r="J205" s="18" t="s">
        <v>118</v>
      </c>
      <c r="K205" s="18" t="s">
        <v>180</v>
      </c>
      <c r="L205" s="18">
        <v>5120</v>
      </c>
      <c r="M205" s="18">
        <f>ABS((D205*E205)-L205)</f>
        <v>260</v>
      </c>
      <c r="N205" s="10" t="str">
        <f>IF(COUNTIFS( $B$2:$B$787, B205, $C$2:$C$787, C205, $D$2:$D$787, D205, $E$2:$E$787, E205) &gt; 1, "Duplicate", "Unique")</f>
        <v>Unique</v>
      </c>
    </row>
    <row r="206" spans="1:15" ht="26.5" thickBot="1" x14ac:dyDescent="0.4">
      <c r="A206" s="8" t="s">
        <v>62</v>
      </c>
      <c r="B206" s="8" t="s">
        <v>133</v>
      </c>
      <c r="C206" s="8" t="s">
        <v>7</v>
      </c>
      <c r="D206" s="8">
        <v>150</v>
      </c>
      <c r="E206" s="8">
        <v>123.4</v>
      </c>
      <c r="F206" s="4">
        <v>10.0606493</v>
      </c>
      <c r="G206" s="2" t="s">
        <v>134</v>
      </c>
      <c r="H206" s="5">
        <v>112.12</v>
      </c>
      <c r="I206" s="1" t="s">
        <v>8</v>
      </c>
      <c r="J206" s="40" t="s">
        <v>117</v>
      </c>
      <c r="N206" s="10" t="str">
        <f>IF(COUNTIFS( $B$2:$B$787, B206, $C$2:$C$787, C206, $D$2:$D$787, D206, $E$2:$E$787, E206) &gt; 1, "Duplicate", "Unique")</f>
        <v>Unique</v>
      </c>
    </row>
    <row r="207" spans="1:15" ht="39" thickBot="1" x14ac:dyDescent="0.4">
      <c r="A207" s="11">
        <v>46252.6875</v>
      </c>
      <c r="B207" s="8" t="s">
        <v>27</v>
      </c>
      <c r="C207" s="8" t="s">
        <v>7</v>
      </c>
      <c r="D207" s="8">
        <v>2</v>
      </c>
      <c r="E207" s="8">
        <v>3048</v>
      </c>
      <c r="F207" s="4">
        <v>10.06391507</v>
      </c>
      <c r="G207" s="2" t="s">
        <v>131</v>
      </c>
      <c r="H207" s="5">
        <v>2769.3</v>
      </c>
      <c r="I207" s="1" t="s">
        <v>8</v>
      </c>
      <c r="J207" s="21" t="s">
        <v>117</v>
      </c>
      <c r="N207" s="10" t="str">
        <f>IF(COUNTIFS( $B$2:$B$787, B207, $C$2:$C$787, C207, $D$2:$D$787, D207, $E$2:$E$787, E207) &gt; 1, "Duplicate", "Unique")</f>
        <v>Unique</v>
      </c>
    </row>
    <row r="208" spans="1:15" ht="26.5" thickBot="1" x14ac:dyDescent="0.4">
      <c r="A208" s="3">
        <v>46262.375</v>
      </c>
      <c r="B208" s="1" t="s">
        <v>87</v>
      </c>
      <c r="C208" s="1" t="s">
        <v>7</v>
      </c>
      <c r="D208" s="4">
        <v>10</v>
      </c>
      <c r="E208" s="4">
        <v>1360</v>
      </c>
      <c r="F208" s="4">
        <v>10.07689195</v>
      </c>
      <c r="G208" s="2" t="s">
        <v>88</v>
      </c>
      <c r="H208" s="5">
        <v>1235.5</v>
      </c>
      <c r="I208" s="1" t="s">
        <v>8</v>
      </c>
      <c r="J208" s="59" t="s">
        <v>117</v>
      </c>
      <c r="K208" s="18" t="s">
        <v>197</v>
      </c>
      <c r="L208" s="18">
        <v>13300</v>
      </c>
      <c r="M208" s="18">
        <f>ABS((D208*E208)-L208)</f>
        <v>300</v>
      </c>
      <c r="N208" s="10" t="str">
        <f>IF(COUNTIFS( $B$2:$B$787, B208, $C$2:$C$787, C208, $D$2:$D$787, D208, $E$2:$E$787, E208) &gt; 1, "Duplicate", "Unique")</f>
        <v>Unique</v>
      </c>
    </row>
    <row r="209" spans="1:15" s="35" customFormat="1" ht="39" thickBot="1" x14ac:dyDescent="0.4">
      <c r="A209" s="11">
        <v>46252.688194444447</v>
      </c>
      <c r="B209" s="8" t="s">
        <v>28</v>
      </c>
      <c r="C209" s="8" t="s">
        <v>7</v>
      </c>
      <c r="D209" s="8">
        <v>30</v>
      </c>
      <c r="E209" s="8">
        <v>930</v>
      </c>
      <c r="F209" s="4">
        <v>10.254890339999999</v>
      </c>
      <c r="G209" s="2" t="s">
        <v>125</v>
      </c>
      <c r="H209" s="5">
        <v>843.5</v>
      </c>
      <c r="I209" s="1" t="s">
        <v>8</v>
      </c>
      <c r="J209" s="40"/>
      <c r="K209" s="18"/>
      <c r="L209" s="18"/>
      <c r="M209" s="18"/>
      <c r="N209" s="10" t="str">
        <f>IF(COUNTIFS( $B$2:$B$787, B209, $C$2:$C$787, C209, $D$2:$D$787, D209, $E$2:$E$787, E209) &gt; 1, "Duplicate", "Unique")</f>
        <v>Unique</v>
      </c>
      <c r="O209" s="10"/>
    </row>
    <row r="210" spans="1:15" ht="26.5" thickBot="1" x14ac:dyDescent="0.4">
      <c r="A210" s="11">
        <v>46253.375</v>
      </c>
      <c r="B210" s="8" t="s">
        <v>31</v>
      </c>
      <c r="C210" s="8" t="s">
        <v>7</v>
      </c>
      <c r="D210" s="8">
        <v>5</v>
      </c>
      <c r="E210" s="8">
        <v>682</v>
      </c>
      <c r="F210" s="4">
        <v>10.3738469</v>
      </c>
      <c r="G210" s="2" t="s">
        <v>94</v>
      </c>
      <c r="H210" s="5">
        <v>617.9</v>
      </c>
      <c r="I210" s="1" t="s">
        <v>8</v>
      </c>
      <c r="J210" s="18" t="s">
        <v>118</v>
      </c>
      <c r="K210" s="18" t="s">
        <v>144</v>
      </c>
      <c r="N210" s="10" t="str">
        <f>IF(COUNTIFS( $B$2:$B$787, B210, $C$2:$C$787, C210, $D$2:$D$787, D210, $E$2:$E$787, E210) &gt; 1, "Duplicate", "Unique")</f>
        <v>Unique</v>
      </c>
    </row>
    <row r="211" spans="1:15" ht="26.5" thickBot="1" x14ac:dyDescent="0.4">
      <c r="A211" s="8" t="s">
        <v>62</v>
      </c>
      <c r="B211" s="8" t="s">
        <v>128</v>
      </c>
      <c r="C211" s="8" t="s">
        <v>7</v>
      </c>
      <c r="D211" s="8">
        <v>150</v>
      </c>
      <c r="E211" s="8">
        <v>129</v>
      </c>
      <c r="F211" s="4">
        <v>10.40739473</v>
      </c>
      <c r="G211" s="2" t="s">
        <v>129</v>
      </c>
      <c r="H211" s="5">
        <v>116.84</v>
      </c>
      <c r="I211" s="1" t="s">
        <v>8</v>
      </c>
      <c r="J211" s="40"/>
      <c r="N211" s="10" t="str">
        <f>IF(COUNTIFS( $B$2:$B$787, B211, $C$2:$C$787, C211, $D$2:$D$787, D211, $E$2:$E$787, E211) &gt; 1, "Duplicate", "Unique")</f>
        <v>Unique</v>
      </c>
    </row>
    <row r="212" spans="1:15" ht="39" thickBot="1" x14ac:dyDescent="0.4">
      <c r="A212" s="11">
        <v>46252.635416666664</v>
      </c>
      <c r="B212" s="8" t="s">
        <v>82</v>
      </c>
      <c r="C212" s="8" t="s">
        <v>7</v>
      </c>
      <c r="D212" s="8">
        <v>1</v>
      </c>
      <c r="E212" s="8">
        <v>4556</v>
      </c>
      <c r="F212" s="4">
        <v>10.528869479999999</v>
      </c>
      <c r="G212" s="2" t="s">
        <v>83</v>
      </c>
      <c r="H212" s="5">
        <v>4122</v>
      </c>
      <c r="I212" s="1" t="s">
        <v>8</v>
      </c>
      <c r="J212" s="40"/>
      <c r="N212" s="10" t="str">
        <f>IF(COUNTIFS( $B$2:$B$787, B212, $C$2:$C$787, C212, $D$2:$D$787, D212, $E$2:$E$787, E212) &gt; 1, "Duplicate", "Unique")</f>
        <v>Unique</v>
      </c>
    </row>
    <row r="213" spans="1:15" ht="39" thickBot="1" x14ac:dyDescent="0.4">
      <c r="A213" s="8" t="s">
        <v>62</v>
      </c>
      <c r="B213" s="8" t="s">
        <v>135</v>
      </c>
      <c r="C213" s="8" t="s">
        <v>7</v>
      </c>
      <c r="D213" s="8">
        <v>5</v>
      </c>
      <c r="E213" s="8">
        <v>2190</v>
      </c>
      <c r="F213" s="4">
        <v>10.600474719999999</v>
      </c>
      <c r="G213" s="2" t="s">
        <v>136</v>
      </c>
      <c r="H213" s="5">
        <v>1980.1</v>
      </c>
      <c r="I213" s="1" t="s">
        <v>8</v>
      </c>
      <c r="J213" s="40" t="s">
        <v>118</v>
      </c>
      <c r="N213" s="10" t="str">
        <f>IF(COUNTIFS( $B$2:$B$787, B213, $C$2:$C$787, C213, $D$2:$D$787, D213, $E$2:$E$787, E213) &gt; 1, "Duplicate", "Unique")</f>
        <v>Unique</v>
      </c>
      <c r="O213" s="35"/>
    </row>
    <row r="214" spans="1:15" ht="26.5" thickBot="1" x14ac:dyDescent="0.4">
      <c r="A214" s="11">
        <v>46253.375</v>
      </c>
      <c r="B214" s="8" t="s">
        <v>14</v>
      </c>
      <c r="C214" s="8" t="s">
        <v>7</v>
      </c>
      <c r="D214" s="8">
        <v>50</v>
      </c>
      <c r="E214" s="8">
        <v>353</v>
      </c>
      <c r="F214" s="4">
        <v>10.65830721</v>
      </c>
      <c r="G214" s="2" t="s">
        <v>45</v>
      </c>
      <c r="H214" s="5">
        <v>319</v>
      </c>
      <c r="I214" s="1" t="s">
        <v>8</v>
      </c>
      <c r="J214" s="40" t="s">
        <v>118</v>
      </c>
      <c r="K214" s="18" t="s">
        <v>145</v>
      </c>
      <c r="N214" s="10" t="str">
        <f>IF(COUNTIFS( $B$2:$B$787, B214, $C$2:$C$787, C214, $D$2:$D$787, D214, $E$2:$E$787, E214) &gt; 1, "Duplicate", "Unique")</f>
        <v>Unique</v>
      </c>
    </row>
    <row r="215" spans="1:15" ht="26.5" thickBot="1" x14ac:dyDescent="0.4">
      <c r="A215" s="8" t="s">
        <v>62</v>
      </c>
      <c r="B215" s="8" t="s">
        <v>9</v>
      </c>
      <c r="C215" s="8" t="s">
        <v>7</v>
      </c>
      <c r="D215" s="8">
        <v>40</v>
      </c>
      <c r="E215" s="8">
        <v>320.5</v>
      </c>
      <c r="F215" s="4">
        <v>10.7463718</v>
      </c>
      <c r="G215" s="2" t="s">
        <v>95</v>
      </c>
      <c r="H215" s="5">
        <v>289.39999999999998</v>
      </c>
      <c r="I215" s="1" t="s">
        <v>8</v>
      </c>
      <c r="J215" s="40"/>
      <c r="N215" s="10" t="str">
        <f>IF(COUNTIFS( $B$2:$B$787, B215, $C$2:$C$787, C215, $D$2:$D$787, D215, $E$2:$E$787, E215) &gt; 1, "Duplicate", "Unique")</f>
        <v>Unique</v>
      </c>
    </row>
    <row r="216" spans="1:15" ht="26.5" thickBot="1" x14ac:dyDescent="0.4">
      <c r="A216" s="3">
        <v>46258.443055555559</v>
      </c>
      <c r="B216" s="1" t="s">
        <v>35</v>
      </c>
      <c r="C216" s="1" t="s">
        <v>7</v>
      </c>
      <c r="D216" s="4">
        <v>50</v>
      </c>
      <c r="E216" s="4">
        <v>229.5</v>
      </c>
      <c r="F216" s="4">
        <v>10.783935120000001</v>
      </c>
      <c r="G216" s="2" t="s">
        <v>42</v>
      </c>
      <c r="H216" s="5">
        <v>207.16</v>
      </c>
      <c r="I216" s="1" t="s">
        <v>8</v>
      </c>
      <c r="J216" s="18" t="s">
        <v>118</v>
      </c>
      <c r="K216" s="18" t="s">
        <v>159</v>
      </c>
      <c r="L216" s="18">
        <v>11175</v>
      </c>
      <c r="M216" s="18">
        <f>ABS((D216*E216)-L216)</f>
        <v>300</v>
      </c>
      <c r="N216" s="10" t="str">
        <f>IF(COUNTIFS( $B$2:$B$787, B216, $C$2:$C$787, C216, $D$2:$D$787, D216, $E$2:$E$787, E216) &gt; 1, "Duplicate", "Unique")</f>
        <v>Unique</v>
      </c>
    </row>
    <row r="217" spans="1:15" s="35" customFormat="1" ht="26.5" thickBot="1" x14ac:dyDescent="0.4">
      <c r="A217" s="3">
        <v>46259.375</v>
      </c>
      <c r="B217" s="1" t="s">
        <v>35</v>
      </c>
      <c r="C217" s="1" t="s">
        <v>7</v>
      </c>
      <c r="D217" s="4">
        <v>20</v>
      </c>
      <c r="E217" s="4">
        <v>229.5</v>
      </c>
      <c r="F217" s="4">
        <v>10.783935120000001</v>
      </c>
      <c r="G217" s="2" t="s">
        <v>42</v>
      </c>
      <c r="H217" s="5">
        <v>207.16</v>
      </c>
      <c r="I217" s="1" t="s">
        <v>8</v>
      </c>
      <c r="J217" s="18" t="s">
        <v>118</v>
      </c>
      <c r="K217" s="18" t="s">
        <v>166</v>
      </c>
      <c r="L217" s="18">
        <v>4402</v>
      </c>
      <c r="M217" s="18">
        <f>ABS((D217*E217)-L217)</f>
        <v>188</v>
      </c>
      <c r="N217" s="10" t="str">
        <f>IF(COUNTIFS( $B$2:$B$787, B217, $C$2:$C$787, C217, $D$2:$D$787, D217, $E$2:$E$787, E217) &gt; 1, "Duplicate", "Unique")</f>
        <v>Unique</v>
      </c>
      <c r="O217" s="10"/>
    </row>
    <row r="218" spans="1:15" ht="26.5" thickBot="1" x14ac:dyDescent="0.4">
      <c r="A218" s="8" t="s">
        <v>62</v>
      </c>
      <c r="B218" s="8" t="s">
        <v>123</v>
      </c>
      <c r="C218" s="8" t="s">
        <v>7</v>
      </c>
      <c r="D218" s="8">
        <v>200</v>
      </c>
      <c r="E218" s="8">
        <v>90.75</v>
      </c>
      <c r="F218" s="4">
        <v>10.80586081</v>
      </c>
      <c r="G218" s="2" t="s">
        <v>124</v>
      </c>
      <c r="H218" s="5">
        <v>81.900000000000006</v>
      </c>
      <c r="I218" s="1" t="s">
        <v>8</v>
      </c>
      <c r="J218" s="40" t="s">
        <v>55</v>
      </c>
      <c r="N218" s="10" t="str">
        <f>IF(COUNTIFS( $B$2:$B$787, B218, $C$2:$C$787, C218, $D$2:$D$787, D218, $E$2:$E$787, E218) &gt; 1, "Duplicate", "Unique")</f>
        <v>Unique</v>
      </c>
    </row>
    <row r="219" spans="1:15" ht="39" thickBot="1" x14ac:dyDescent="0.4">
      <c r="A219" s="8" t="s">
        <v>62</v>
      </c>
      <c r="B219" s="8" t="s">
        <v>53</v>
      </c>
      <c r="C219" s="8" t="s">
        <v>7</v>
      </c>
      <c r="D219" s="8">
        <v>3</v>
      </c>
      <c r="E219" s="12">
        <v>2710</v>
      </c>
      <c r="F219" s="4">
        <v>10.83844581</v>
      </c>
      <c r="G219" s="2" t="s">
        <v>54</v>
      </c>
      <c r="H219" s="5">
        <v>2445</v>
      </c>
      <c r="I219" s="1" t="s">
        <v>8</v>
      </c>
      <c r="J219" s="40" t="s">
        <v>118</v>
      </c>
      <c r="N219" s="10" t="str">
        <f>IF(COUNTIFS( $B$2:$B$787, B219, $C$2:$C$787, C219, $D$2:$D$787, D219, $E$2:$E$787, E219) &gt; 1, "Duplicate", "Unique")</f>
        <v>Unique</v>
      </c>
    </row>
    <row r="220" spans="1:15" ht="39" thickBot="1" x14ac:dyDescent="0.4">
      <c r="A220" s="8" t="s">
        <v>62</v>
      </c>
      <c r="B220" s="8" t="s">
        <v>51</v>
      </c>
      <c r="C220" s="8" t="s">
        <v>7</v>
      </c>
      <c r="D220" s="8">
        <v>10</v>
      </c>
      <c r="E220" s="13">
        <v>1024</v>
      </c>
      <c r="F220" s="4">
        <v>11.08700369</v>
      </c>
      <c r="G220" s="2" t="s">
        <v>52</v>
      </c>
      <c r="H220" s="5">
        <v>921.8</v>
      </c>
      <c r="I220" s="1" t="s">
        <v>8</v>
      </c>
      <c r="J220" s="40" t="s">
        <v>118</v>
      </c>
      <c r="N220" s="10" t="str">
        <f>IF(COUNTIFS( $B$2:$B$787, B220, $C$2:$C$787, C220, $D$2:$D$787, D220, $E$2:$E$787, E220) &gt; 1, "Duplicate", "Unique")</f>
        <v>Unique</v>
      </c>
    </row>
    <row r="221" spans="1:15" ht="39" thickBot="1" x14ac:dyDescent="0.4">
      <c r="A221" s="11">
        <v>46252.6875</v>
      </c>
      <c r="B221" s="8" t="s">
        <v>24</v>
      </c>
      <c r="C221" s="8" t="s">
        <v>7</v>
      </c>
      <c r="D221" s="8">
        <v>40</v>
      </c>
      <c r="E221" s="8">
        <v>458</v>
      </c>
      <c r="F221" s="4">
        <v>11.13807328</v>
      </c>
      <c r="G221" s="2" t="s">
        <v>56</v>
      </c>
      <c r="H221" s="5">
        <v>412.1</v>
      </c>
      <c r="I221" s="1" t="s">
        <v>8</v>
      </c>
      <c r="J221" s="40" t="s">
        <v>117</v>
      </c>
      <c r="N221" s="10" t="str">
        <f>IF(COUNTIFS( $B$2:$B$787, B221, $C$2:$C$787, C221, $D$2:$D$787, D221, $E$2:$E$787, E221) &gt; 1, "Duplicate", "Unique")</f>
        <v>Unique</v>
      </c>
    </row>
    <row r="222" spans="1:15" s="35" customFormat="1" ht="26.5" thickBot="1" x14ac:dyDescent="0.4">
      <c r="A222" s="3">
        <v>46260.425694444442</v>
      </c>
      <c r="B222" s="1" t="s">
        <v>13</v>
      </c>
      <c r="C222" s="1" t="s">
        <v>7</v>
      </c>
      <c r="D222" s="4">
        <v>20</v>
      </c>
      <c r="E222" s="4">
        <v>1924</v>
      </c>
      <c r="F222" s="4">
        <v>11.27819549</v>
      </c>
      <c r="G222" s="2" t="s">
        <v>91</v>
      </c>
      <c r="H222" s="5">
        <v>1729</v>
      </c>
      <c r="I222" s="1" t="s">
        <v>8</v>
      </c>
      <c r="J222" s="18" t="s">
        <v>118</v>
      </c>
      <c r="K222" s="18" t="s">
        <v>172</v>
      </c>
      <c r="L222" s="18">
        <v>37480</v>
      </c>
      <c r="M222" s="18">
        <f>ABS((D222*E222)-L222)</f>
        <v>1000</v>
      </c>
      <c r="N222" t="str">
        <f>IF(COUNTIFS( $B$2:$B$787, B222, $C$2:$C$787, C222, $D$2:$D$787, D222, $E$2:$E$787, E222) &gt; 1, "Duplicate", "Unique")</f>
        <v>Unique</v>
      </c>
      <c r="O222" s="47" t="s">
        <v>262</v>
      </c>
    </row>
    <row r="223" spans="1:15" s="35" customFormat="1" ht="26.5" thickBot="1" x14ac:dyDescent="0.4">
      <c r="A223" s="8" t="s">
        <v>62</v>
      </c>
      <c r="B223" s="8" t="s">
        <v>121</v>
      </c>
      <c r="C223" s="8" t="s">
        <v>7</v>
      </c>
      <c r="D223" s="8">
        <v>10</v>
      </c>
      <c r="E223" s="8">
        <v>816</v>
      </c>
      <c r="F223" s="4">
        <v>11.81911614</v>
      </c>
      <c r="G223" s="2" t="s">
        <v>122</v>
      </c>
      <c r="H223" s="5">
        <v>729.75</v>
      </c>
      <c r="I223" s="1" t="s">
        <v>8</v>
      </c>
      <c r="J223" s="40" t="s">
        <v>117</v>
      </c>
      <c r="K223" s="18"/>
      <c r="L223" s="18"/>
      <c r="M223" s="18"/>
      <c r="N223" s="10" t="str">
        <f>IF(COUNTIFS( $B$2:$B$787, B223, $C$2:$C$787, C223, $D$2:$D$787, D223, $E$2:$E$787, E223) &gt; 1, "Duplicate", "Unique")</f>
        <v>Unique</v>
      </c>
      <c r="O223" s="10"/>
    </row>
    <row r="224" spans="1:15" ht="26.5" thickBot="1" x14ac:dyDescent="0.4">
      <c r="A224" s="8" t="s">
        <v>62</v>
      </c>
      <c r="B224" s="8" t="s">
        <v>26</v>
      </c>
      <c r="C224" s="8" t="s">
        <v>7</v>
      </c>
      <c r="D224" s="8">
        <v>25</v>
      </c>
      <c r="E224" s="8">
        <v>199.9</v>
      </c>
      <c r="F224" s="4">
        <v>11.86345831</v>
      </c>
      <c r="G224" s="2" t="s">
        <v>132</v>
      </c>
      <c r="H224" s="5">
        <v>178.7</v>
      </c>
      <c r="I224" s="1" t="s">
        <v>8</v>
      </c>
      <c r="J224" s="40" t="s">
        <v>117</v>
      </c>
      <c r="N224" s="10" t="str">
        <f>IF(COUNTIFS( $B$2:$B$787, B224, $C$2:$C$787, C224, $D$2:$D$787, D224, $E$2:$E$787, E224) &gt; 1, "Duplicate", "Unique")</f>
        <v>Unique</v>
      </c>
    </row>
    <row r="225" spans="1:15" ht="26.5" thickBot="1" x14ac:dyDescent="0.4">
      <c r="A225" s="11">
        <v>46252.688194444447</v>
      </c>
      <c r="B225" s="8" t="s">
        <v>14</v>
      </c>
      <c r="C225" s="8" t="s">
        <v>7</v>
      </c>
      <c r="D225" s="8">
        <v>50</v>
      </c>
      <c r="E225" s="8">
        <v>357</v>
      </c>
      <c r="F225" s="4">
        <v>11.91222571</v>
      </c>
      <c r="G225" s="2" t="s">
        <v>45</v>
      </c>
      <c r="H225" s="5">
        <v>319</v>
      </c>
      <c r="I225" s="1" t="s">
        <v>8</v>
      </c>
      <c r="J225" s="40"/>
      <c r="N225" s="10" t="str">
        <f>IF(COUNTIFS( $B$2:$B$787, B225, $C$2:$C$787, C225, $D$2:$D$787, D225, $E$2:$E$787, E225) &gt; 1, "Duplicate", "Unique")</f>
        <v>Unique</v>
      </c>
      <c r="O225" s="35"/>
    </row>
    <row r="226" spans="1:15" ht="26.5" thickBot="1" x14ac:dyDescent="0.4">
      <c r="A226" s="11">
        <v>46252.645138888889</v>
      </c>
      <c r="B226" s="8" t="s">
        <v>35</v>
      </c>
      <c r="C226" s="8" t="s">
        <v>7</v>
      </c>
      <c r="D226" s="8">
        <v>200</v>
      </c>
      <c r="E226" s="8">
        <v>232</v>
      </c>
      <c r="F226" s="4">
        <v>11.990731800000001</v>
      </c>
      <c r="G226" s="2" t="s">
        <v>42</v>
      </c>
      <c r="H226" s="5">
        <v>207.16</v>
      </c>
      <c r="I226" s="1" t="s">
        <v>8</v>
      </c>
      <c r="J226" s="17" t="s">
        <v>117</v>
      </c>
      <c r="N226" s="10" t="str">
        <f>IF(COUNTIFS( $B$2:$B$787, B226, $C$2:$C$787, C226, $D$2:$D$787, D226, $E$2:$E$787, E226) &gt; 1, "Duplicate", "Unique")</f>
        <v>Unique</v>
      </c>
    </row>
    <row r="227" spans="1:15" ht="26.5" thickBot="1" x14ac:dyDescent="0.4">
      <c r="A227" s="8" t="s">
        <v>62</v>
      </c>
      <c r="B227" s="8" t="s">
        <v>123</v>
      </c>
      <c r="C227" s="8" t="s">
        <v>7</v>
      </c>
      <c r="D227" s="8">
        <v>200</v>
      </c>
      <c r="E227" s="8">
        <v>91.75</v>
      </c>
      <c r="F227" s="4">
        <v>12.02686203</v>
      </c>
      <c r="G227" s="2" t="s">
        <v>124</v>
      </c>
      <c r="H227" s="5">
        <v>81.900000000000006</v>
      </c>
      <c r="I227" s="1" t="s">
        <v>8</v>
      </c>
      <c r="J227" s="40"/>
      <c r="N227" s="10" t="str">
        <f>IF(COUNTIFS( $B$2:$B$787, B227, $C$2:$C$787, C227, $D$2:$D$787, D227, $E$2:$E$787, E227) &gt; 1, "Duplicate", "Unique")</f>
        <v>Unique</v>
      </c>
    </row>
    <row r="228" spans="1:15" ht="26.5" thickBot="1" x14ac:dyDescent="0.4">
      <c r="A228" s="8" t="s">
        <v>62</v>
      </c>
      <c r="B228" s="8" t="s">
        <v>74</v>
      </c>
      <c r="C228" s="8" t="s">
        <v>7</v>
      </c>
      <c r="D228" s="8">
        <v>1</v>
      </c>
      <c r="E228" s="12">
        <v>3810</v>
      </c>
      <c r="F228" s="4">
        <v>12.25692398</v>
      </c>
      <c r="G228" s="2" t="s">
        <v>75</v>
      </c>
      <c r="H228" s="5">
        <v>3394</v>
      </c>
      <c r="I228" s="1" t="s">
        <v>8</v>
      </c>
      <c r="J228" s="40" t="s">
        <v>118</v>
      </c>
      <c r="N228" s="10" t="str">
        <f>IF(COUNTIFS( $B$2:$B$787, B228, $C$2:$C$787, C228, $D$2:$D$787, D228, $E$2:$E$787, E228) &gt; 1, "Duplicate", "Unique")</f>
        <v>Unique</v>
      </c>
    </row>
    <row r="229" spans="1:15" ht="26.5" thickBot="1" x14ac:dyDescent="0.4">
      <c r="A229" s="8" t="s">
        <v>62</v>
      </c>
      <c r="B229" s="8" t="s">
        <v>6</v>
      </c>
      <c r="C229" s="8" t="s">
        <v>7</v>
      </c>
      <c r="D229" s="8">
        <v>120</v>
      </c>
      <c r="E229" s="8">
        <v>300.5</v>
      </c>
      <c r="F229" s="4">
        <v>12.31545506</v>
      </c>
      <c r="G229" s="2" t="s">
        <v>130</v>
      </c>
      <c r="H229" s="5">
        <v>267.55</v>
      </c>
      <c r="I229" s="1" t="s">
        <v>8</v>
      </c>
      <c r="J229" s="40" t="s">
        <v>118</v>
      </c>
      <c r="N229" s="10" t="str">
        <f>IF(COUNTIFS( $B$2:$B$787, B229, $C$2:$C$787, C229, $D$2:$D$787, D229, $E$2:$E$787, E229) &gt; 1, "Duplicate", "Unique")</f>
        <v>Unique</v>
      </c>
    </row>
    <row r="230" spans="1:15" ht="26.5" thickBot="1" x14ac:dyDescent="0.4">
      <c r="A230" s="3">
        <v>46260.375</v>
      </c>
      <c r="B230" s="1" t="s">
        <v>87</v>
      </c>
      <c r="C230" s="1" t="s">
        <v>7</v>
      </c>
      <c r="D230" s="4">
        <v>10</v>
      </c>
      <c r="E230" s="4">
        <v>1390</v>
      </c>
      <c r="F230" s="4">
        <v>12.505058679999999</v>
      </c>
      <c r="G230" s="2" t="s">
        <v>88</v>
      </c>
      <c r="H230" s="5">
        <v>1235.5</v>
      </c>
      <c r="I230" s="1" t="s">
        <v>8</v>
      </c>
      <c r="J230" s="18" t="s">
        <v>117</v>
      </c>
      <c r="K230" s="18" t="s">
        <v>176</v>
      </c>
      <c r="L230" s="18">
        <v>13600</v>
      </c>
      <c r="M230" s="18">
        <f>ABS((D230*E230)-L230)</f>
        <v>300</v>
      </c>
      <c r="N230" t="str">
        <f>IF(COUNTIFS( $B$2:$B$787, B230, $C$2:$C$787, C230, $D$2:$D$787, D230, $E$2:$E$787, E230) &gt; 1, "Duplicate", "Unique")</f>
        <v>Unique</v>
      </c>
    </row>
    <row r="231" spans="1:15" ht="39" thickBot="1" x14ac:dyDescent="0.4">
      <c r="A231" s="3">
        <v>46269.375</v>
      </c>
      <c r="B231" s="1" t="s">
        <v>22</v>
      </c>
      <c r="C231" s="1" t="s">
        <v>7</v>
      </c>
      <c r="D231" s="4">
        <v>5</v>
      </c>
      <c r="E231" s="4">
        <v>471</v>
      </c>
      <c r="F231" s="4">
        <v>12.517916870000001</v>
      </c>
      <c r="G231" s="2" t="s">
        <v>73</v>
      </c>
      <c r="H231" s="5">
        <v>418.6</v>
      </c>
      <c r="I231" s="1" t="s">
        <v>8</v>
      </c>
      <c r="J231" s="18" t="s">
        <v>118</v>
      </c>
      <c r="K231" s="18" t="s">
        <v>255</v>
      </c>
      <c r="L231" s="18">
        <v>2105</v>
      </c>
      <c r="M231" s="27">
        <f>ABS((D231*E231)-L231)</f>
        <v>250</v>
      </c>
      <c r="N231" t="str">
        <f>IF(COUNTIFS( $B$2:$B$787, B231, $C$2:$C$787, C231, $D$2:$D$787, D231, $E$2:$E$787, E231) &gt; 1, "Duplicate", "Unique")</f>
        <v>Unique</v>
      </c>
    </row>
    <row r="232" spans="1:15" ht="26.5" thickBot="1" x14ac:dyDescent="0.4">
      <c r="A232" s="3">
        <v>46259.388194444444</v>
      </c>
      <c r="B232" s="1" t="s">
        <v>13</v>
      </c>
      <c r="C232" s="1" t="s">
        <v>7</v>
      </c>
      <c r="D232" s="4">
        <v>20</v>
      </c>
      <c r="E232" s="4">
        <v>1948</v>
      </c>
      <c r="F232" s="4">
        <v>12.66628109</v>
      </c>
      <c r="G232" s="2" t="s">
        <v>91</v>
      </c>
      <c r="H232" s="5">
        <v>1729</v>
      </c>
      <c r="I232" s="1" t="s">
        <v>8</v>
      </c>
      <c r="J232" s="18" t="s">
        <v>117</v>
      </c>
      <c r="K232" s="18" t="s">
        <v>165</v>
      </c>
      <c r="L232" s="18">
        <v>38020</v>
      </c>
      <c r="M232" s="18">
        <f>ABS((D232*E232)-L232)</f>
        <v>940</v>
      </c>
      <c r="N232" s="10" t="str">
        <f>IF(COUNTIFS( $B$2:$B$787, B232, $C$2:$C$787, C232, $D$2:$D$787, D232, $E$2:$E$787, E232) &gt; 1, "Duplicate", "Unique")</f>
        <v>Unique</v>
      </c>
    </row>
    <row r="233" spans="1:15" ht="26.5" thickBot="1" x14ac:dyDescent="0.4">
      <c r="A233" s="3">
        <v>46265.415277777778</v>
      </c>
      <c r="B233" s="1" t="s">
        <v>16</v>
      </c>
      <c r="C233" s="1" t="s">
        <v>7</v>
      </c>
      <c r="D233" s="4">
        <v>5</v>
      </c>
      <c r="E233" s="4">
        <v>948</v>
      </c>
      <c r="F233" s="4">
        <v>13.13324184</v>
      </c>
      <c r="G233" s="2" t="s">
        <v>61</v>
      </c>
      <c r="H233" s="5">
        <v>837.95</v>
      </c>
      <c r="I233" s="1" t="s">
        <v>8</v>
      </c>
      <c r="J233" s="18" t="s">
        <v>118</v>
      </c>
      <c r="K233" s="18" t="s">
        <v>204</v>
      </c>
      <c r="L233" s="18">
        <v>4455</v>
      </c>
      <c r="M233" s="18">
        <f>ABS((D233*E233)-L233)</f>
        <v>285</v>
      </c>
      <c r="N233" t="str">
        <f>IF(COUNTIFS( $B$2:$B$787, B233, $C$2:$C$787, C233, $D$2:$D$787, D233, $E$2:$E$787, E233) &gt; 1, "Duplicate", "Unique")</f>
        <v>Unique</v>
      </c>
    </row>
    <row r="234" spans="1:15" ht="26.5" thickBot="1" x14ac:dyDescent="0.4">
      <c r="A234" s="3">
        <v>46266.375</v>
      </c>
      <c r="B234" s="1" t="s">
        <v>16</v>
      </c>
      <c r="C234" s="1" t="s">
        <v>7</v>
      </c>
      <c r="D234" s="4">
        <v>11</v>
      </c>
      <c r="E234" s="4">
        <v>948</v>
      </c>
      <c r="F234" s="4">
        <v>13.13324184</v>
      </c>
      <c r="G234" s="2" t="s">
        <v>61</v>
      </c>
      <c r="H234" s="5">
        <v>837.95</v>
      </c>
      <c r="I234" s="1" t="s">
        <v>8</v>
      </c>
      <c r="J234" s="18" t="s">
        <v>117</v>
      </c>
      <c r="K234" s="18" t="s">
        <v>225</v>
      </c>
      <c r="L234" s="18">
        <v>9702</v>
      </c>
      <c r="M234" s="18">
        <f>ABS((D234*E234)-L234)</f>
        <v>726</v>
      </c>
      <c r="N234" s="10" t="str">
        <f>IF(COUNTIFS( $B$2:$B$787, B234, $C$2:$C$787, C234, $D$2:$D$787, D234, $E$2:$E$787, E234) &gt; 1, "Duplicate", "Unique")</f>
        <v>Unique</v>
      </c>
    </row>
    <row r="235" spans="1:15" ht="26.5" thickBot="1" x14ac:dyDescent="0.4">
      <c r="A235" s="11">
        <v>46252.688194444447</v>
      </c>
      <c r="B235" s="8" t="s">
        <v>14</v>
      </c>
      <c r="C235" s="8" t="s">
        <v>7</v>
      </c>
      <c r="D235" s="8">
        <v>50</v>
      </c>
      <c r="E235" s="8">
        <v>361</v>
      </c>
      <c r="F235" s="4">
        <v>13.1661442</v>
      </c>
      <c r="G235" s="2" t="s">
        <v>45</v>
      </c>
      <c r="H235" s="5">
        <v>319</v>
      </c>
      <c r="I235" s="1" t="s">
        <v>8</v>
      </c>
      <c r="J235" s="40"/>
      <c r="N235" s="10" t="str">
        <f>IF(COUNTIFS( $B$2:$B$787, B235, $C$2:$C$787, C235, $D$2:$D$787, D235, $E$2:$E$787, E235) &gt; 1, "Duplicate", "Unique")</f>
        <v>Unique</v>
      </c>
    </row>
    <row r="236" spans="1:15" ht="26.5" thickBot="1" x14ac:dyDescent="0.4">
      <c r="A236" s="11">
        <v>46252.635416666664</v>
      </c>
      <c r="B236" s="8" t="s">
        <v>35</v>
      </c>
      <c r="C236" s="8" t="s">
        <v>7</v>
      </c>
      <c r="D236" s="8">
        <v>200</v>
      </c>
      <c r="E236" s="8">
        <v>235</v>
      </c>
      <c r="F236" s="4">
        <v>13.43888782</v>
      </c>
      <c r="G236" s="2" t="s">
        <v>42</v>
      </c>
      <c r="H236" s="5">
        <v>207.16</v>
      </c>
      <c r="I236" s="1" t="s">
        <v>8</v>
      </c>
      <c r="J236" s="46" t="s">
        <v>55</v>
      </c>
      <c r="N236" s="10" t="str">
        <f>IF(COUNTIFS( $B$2:$B$787, B236, $C$2:$C$787, C236, $D$2:$D$787, D236, $E$2:$E$787, E236) &gt; 1, "Duplicate", "Unique")</f>
        <v>Unique</v>
      </c>
    </row>
    <row r="237" spans="1:15" ht="39" thickBot="1" x14ac:dyDescent="0.4">
      <c r="A237" s="3">
        <v>46260.550694444442</v>
      </c>
      <c r="B237" s="1" t="s">
        <v>103</v>
      </c>
      <c r="C237" s="1" t="s">
        <v>7</v>
      </c>
      <c r="D237" s="4">
        <v>2</v>
      </c>
      <c r="E237" s="4">
        <v>2787.9</v>
      </c>
      <c r="F237" s="4">
        <v>13.51384365</v>
      </c>
      <c r="G237" s="2" t="s">
        <v>104</v>
      </c>
      <c r="H237" s="5">
        <v>2456</v>
      </c>
      <c r="I237" s="1" t="s">
        <v>8</v>
      </c>
      <c r="J237" s="18" t="s">
        <v>118</v>
      </c>
      <c r="K237" s="18" t="s">
        <v>170</v>
      </c>
      <c r="L237" s="18">
        <v>5275.8</v>
      </c>
      <c r="M237" s="18">
        <f>ABS((D237*E237)-L237)</f>
        <v>300</v>
      </c>
      <c r="N237" t="str">
        <f>IF(COUNTIFS( $B$2:$B$787, B237, $C$2:$C$787, C237, $D$2:$D$787, D237, $E$2:$E$787, E237) &gt; 1, "Duplicate", "Unique")</f>
        <v>Unique</v>
      </c>
    </row>
    <row r="238" spans="1:15" ht="39" thickBot="1" x14ac:dyDescent="0.4">
      <c r="A238" s="8" t="s">
        <v>62</v>
      </c>
      <c r="B238" s="8" t="s">
        <v>24</v>
      </c>
      <c r="C238" s="8" t="s">
        <v>7</v>
      </c>
      <c r="D238" s="8">
        <v>5</v>
      </c>
      <c r="E238" s="8">
        <v>468</v>
      </c>
      <c r="F238" s="4">
        <v>13.564668770000001</v>
      </c>
      <c r="G238" s="2" t="s">
        <v>56</v>
      </c>
      <c r="H238" s="5">
        <v>412.1</v>
      </c>
      <c r="I238" s="1" t="s">
        <v>8</v>
      </c>
      <c r="J238" s="40" t="s">
        <v>118</v>
      </c>
      <c r="N238" s="10" t="str">
        <f>IF(COUNTIFS( $B$2:$B$787, B238, $C$2:$C$787, C238, $D$2:$D$787, D238, $E$2:$E$787, E238) &gt; 1, "Duplicate", "Unique")</f>
        <v>Unique</v>
      </c>
    </row>
    <row r="239" spans="1:15" ht="39" thickBot="1" x14ac:dyDescent="0.4">
      <c r="A239" s="3">
        <v>46260.375</v>
      </c>
      <c r="B239" s="1" t="s">
        <v>24</v>
      </c>
      <c r="C239" s="1" t="s">
        <v>7</v>
      </c>
      <c r="D239" s="4">
        <v>40</v>
      </c>
      <c r="E239" s="4">
        <v>468</v>
      </c>
      <c r="F239" s="4">
        <v>13.564668770000001</v>
      </c>
      <c r="G239" s="2" t="s">
        <v>56</v>
      </c>
      <c r="H239" s="5">
        <v>412.1</v>
      </c>
      <c r="I239" s="1" t="s">
        <v>8</v>
      </c>
      <c r="J239" s="18" t="s">
        <v>118</v>
      </c>
      <c r="K239" s="18" t="s">
        <v>173</v>
      </c>
      <c r="L239" s="18">
        <v>17920</v>
      </c>
      <c r="M239" s="18">
        <f>ABS((D239*E239)-L239)</f>
        <v>800</v>
      </c>
      <c r="N239" t="str">
        <f>IF(COUNTIFS( $B$2:$B$787, B239, $C$2:$C$787, C239, $D$2:$D$787, D239, $E$2:$E$787, E239) &gt; 1, "Duplicate", "Unique")</f>
        <v>Unique</v>
      </c>
    </row>
    <row r="240" spans="1:15" ht="26.5" thickBot="1" x14ac:dyDescent="0.4">
      <c r="A240" s="11">
        <v>46252.688194444447</v>
      </c>
      <c r="B240" s="8" t="s">
        <v>14</v>
      </c>
      <c r="C240" s="8" t="s">
        <v>7</v>
      </c>
      <c r="D240" s="8">
        <v>50</v>
      </c>
      <c r="E240" s="8">
        <v>365</v>
      </c>
      <c r="F240" s="4">
        <v>14.420062700000001</v>
      </c>
      <c r="G240" s="2" t="s">
        <v>45</v>
      </c>
      <c r="H240" s="5">
        <v>319</v>
      </c>
      <c r="I240" s="1" t="s">
        <v>8</v>
      </c>
      <c r="J240" s="40" t="s">
        <v>118</v>
      </c>
      <c r="N240" s="10" t="str">
        <f>IF(COUNTIFS( $B$2:$B$787, B240, $C$2:$C$787, C240, $D$2:$D$787, D240, $E$2:$E$787, E240) &gt; 1, "Duplicate", "Unique")</f>
        <v>Unique</v>
      </c>
    </row>
    <row r="241" spans="1:15" ht="39" thickBot="1" x14ac:dyDescent="0.4">
      <c r="A241" s="3">
        <v>46259.375</v>
      </c>
      <c r="B241" s="1" t="s">
        <v>24</v>
      </c>
      <c r="C241" s="1" t="s">
        <v>7</v>
      </c>
      <c r="D241" s="4">
        <v>20</v>
      </c>
      <c r="E241" s="4">
        <v>472.5</v>
      </c>
      <c r="F241" s="4">
        <v>14.65663674</v>
      </c>
      <c r="G241" s="2" t="s">
        <v>56</v>
      </c>
      <c r="H241" s="5">
        <v>412.1</v>
      </c>
      <c r="I241" s="1" t="s">
        <v>8</v>
      </c>
      <c r="J241" s="40" t="s">
        <v>118</v>
      </c>
      <c r="K241" s="18" t="s">
        <v>164</v>
      </c>
      <c r="L241" s="18">
        <v>8800</v>
      </c>
      <c r="M241" s="18">
        <f>ABS((D241*E241)-L241)</f>
        <v>650</v>
      </c>
      <c r="N241" s="10" t="str">
        <f>IF(COUNTIFS( $B$2:$B$787, B241, $C$2:$C$787, C241, $D$2:$D$787, D241, $E$2:$E$787, E241) &gt; 1, "Duplicate", "Unique")</f>
        <v>Unique</v>
      </c>
      <c r="O241" s="35"/>
    </row>
    <row r="242" spans="1:15" ht="26.5" thickBot="1" x14ac:dyDescent="0.4">
      <c r="A242" s="3">
        <v>46265.375694444447</v>
      </c>
      <c r="B242" s="1" t="s">
        <v>16</v>
      </c>
      <c r="C242" s="1" t="s">
        <v>7</v>
      </c>
      <c r="D242" s="4">
        <v>5</v>
      </c>
      <c r="E242" s="4">
        <v>961</v>
      </c>
      <c r="F242" s="4">
        <v>14.68464706</v>
      </c>
      <c r="G242" s="2" t="s">
        <v>61</v>
      </c>
      <c r="H242" s="5">
        <v>837.95</v>
      </c>
      <c r="I242" s="1" t="s">
        <v>8</v>
      </c>
      <c r="J242" s="18" t="s">
        <v>118</v>
      </c>
      <c r="K242" s="18" t="s">
        <v>210</v>
      </c>
      <c r="L242" s="18">
        <v>4530</v>
      </c>
      <c r="M242" s="18">
        <f>ABS((D242*E242)-L242)</f>
        <v>275</v>
      </c>
      <c r="N242" t="str">
        <f>IF(COUNTIFS( $B$2:$B$787, B242, $C$2:$C$787, C242, $D$2:$D$787, D242, $E$2:$E$787, E242) &gt; 1, "Duplicate", "Unique")</f>
        <v>Unique</v>
      </c>
    </row>
    <row r="243" spans="1:15" ht="26.5" thickBot="1" x14ac:dyDescent="0.4">
      <c r="A243" s="11">
        <v>46252.635416666664</v>
      </c>
      <c r="B243" s="8" t="s">
        <v>35</v>
      </c>
      <c r="C243" s="8" t="s">
        <v>7</v>
      </c>
      <c r="D243" s="8">
        <v>120</v>
      </c>
      <c r="E243" s="8">
        <v>238.2</v>
      </c>
      <c r="F243" s="4">
        <v>14.983587569999999</v>
      </c>
      <c r="G243" s="2" t="s">
        <v>42</v>
      </c>
      <c r="H243" s="5">
        <v>207.16</v>
      </c>
      <c r="I243" s="1" t="s">
        <v>8</v>
      </c>
      <c r="J243" s="40" t="s">
        <v>118</v>
      </c>
      <c r="K243" s="18" t="s">
        <v>146</v>
      </c>
      <c r="N243" s="10" t="str">
        <f>IF(COUNTIFS( $B$2:$B$787, B243, $C$2:$C$787, C243, $D$2:$D$787, D243, $E$2:$E$787, E243) &gt; 1, "Duplicate", "Unique")</f>
        <v>Unique</v>
      </c>
    </row>
    <row r="244" spans="1:15" ht="26.5" thickBot="1" x14ac:dyDescent="0.4">
      <c r="A244" s="3">
        <v>46260.634027777778</v>
      </c>
      <c r="B244" s="1" t="s">
        <v>29</v>
      </c>
      <c r="C244" s="1" t="s">
        <v>7</v>
      </c>
      <c r="D244" s="4">
        <v>5</v>
      </c>
      <c r="E244" s="4">
        <v>4148</v>
      </c>
      <c r="F244" s="4">
        <v>14.99861381</v>
      </c>
      <c r="G244" s="2" t="s">
        <v>137</v>
      </c>
      <c r="H244" s="5">
        <v>3607</v>
      </c>
      <c r="I244" s="1" t="s">
        <v>8</v>
      </c>
      <c r="J244" s="18" t="s">
        <v>118</v>
      </c>
      <c r="K244" s="18" t="s">
        <v>171</v>
      </c>
      <c r="L244" s="18">
        <v>20260</v>
      </c>
      <c r="M244" s="18">
        <f>ABS((D244*E244)-L244)</f>
        <v>480</v>
      </c>
      <c r="N244" t="str">
        <f>IF(COUNTIFS( $B$2:$B$787, B244, $C$2:$C$787, C244, $D$2:$D$787, D244, $E$2:$E$787, E244) &gt; 1, "Duplicate", "Unique")</f>
        <v>Unique</v>
      </c>
    </row>
    <row r="245" spans="1:15" s="35" customFormat="1" ht="26.5" thickBot="1" x14ac:dyDescent="0.4">
      <c r="A245" s="3">
        <v>46260.375</v>
      </c>
      <c r="B245" s="1" t="s">
        <v>13</v>
      </c>
      <c r="C245" s="1" t="s">
        <v>7</v>
      </c>
      <c r="D245" s="4">
        <v>5</v>
      </c>
      <c r="E245" s="4">
        <v>1994</v>
      </c>
      <c r="F245" s="4">
        <v>15.32677848</v>
      </c>
      <c r="G245" s="2" t="s">
        <v>91</v>
      </c>
      <c r="H245" s="5">
        <v>1729</v>
      </c>
      <c r="I245" s="1" t="s">
        <v>8</v>
      </c>
      <c r="J245" s="18" t="s">
        <v>118</v>
      </c>
      <c r="K245" s="18" t="s">
        <v>175</v>
      </c>
      <c r="L245" s="18">
        <v>9320</v>
      </c>
      <c r="M245" s="18">
        <f>ABS((D245*E245)-L245)</f>
        <v>650</v>
      </c>
      <c r="N245" t="str">
        <f>IF(COUNTIFS( $B$2:$B$787, B245, $C$2:$C$787, C245, $D$2:$D$787, D245, $E$2:$E$787, E245) &gt; 1, "Duplicate", "Unique")</f>
        <v>Unique</v>
      </c>
      <c r="O245" s="10"/>
    </row>
    <row r="246" spans="1:15" ht="26.5" thickBot="1" x14ac:dyDescent="0.4">
      <c r="A246" s="8" t="s">
        <v>62</v>
      </c>
      <c r="B246" s="8" t="s">
        <v>35</v>
      </c>
      <c r="C246" s="8" t="s">
        <v>7</v>
      </c>
      <c r="D246" s="8">
        <v>200</v>
      </c>
      <c r="E246" s="8">
        <v>239</v>
      </c>
      <c r="F246" s="4">
        <v>15.3697625</v>
      </c>
      <c r="G246" s="2" t="s">
        <v>42</v>
      </c>
      <c r="H246" s="5">
        <v>207.16</v>
      </c>
      <c r="I246" s="1" t="s">
        <v>8</v>
      </c>
      <c r="J246" s="40"/>
      <c r="N246" s="10" t="str">
        <f>IF(COUNTIFS( $B$2:$B$787, B246, $C$2:$C$787, C246, $D$2:$D$787, D246, $E$2:$E$787, E246) &gt; 1, "Duplicate", "Unique")</f>
        <v>Unique</v>
      </c>
    </row>
    <row r="247" spans="1:15" ht="26.5" thickBot="1" x14ac:dyDescent="0.4">
      <c r="A247" s="8" t="s">
        <v>62</v>
      </c>
      <c r="B247" s="8" t="s">
        <v>17</v>
      </c>
      <c r="C247" s="8" t="s">
        <v>7</v>
      </c>
      <c r="D247" s="8">
        <v>5</v>
      </c>
      <c r="E247" s="12">
        <v>416</v>
      </c>
      <c r="F247" s="4">
        <v>15.395284330000001</v>
      </c>
      <c r="G247" s="2" t="s">
        <v>77</v>
      </c>
      <c r="H247" s="5">
        <v>360.5</v>
      </c>
      <c r="I247" s="1" t="s">
        <v>8</v>
      </c>
      <c r="J247" s="40"/>
      <c r="N247" s="10" t="str">
        <f>IF(COUNTIFS( $B$2:$B$787, B247, $C$2:$C$787, C247, $D$2:$D$787, D247, $E$2:$E$787, E247) &gt; 1, "Duplicate", "Unique")</f>
        <v>Unique</v>
      </c>
    </row>
    <row r="248" spans="1:15" ht="39" thickBot="1" x14ac:dyDescent="0.4">
      <c r="A248" s="8" t="s">
        <v>62</v>
      </c>
      <c r="B248" s="8" t="s">
        <v>28</v>
      </c>
      <c r="C248" s="8" t="s">
        <v>7</v>
      </c>
      <c r="D248" s="8">
        <v>30</v>
      </c>
      <c r="E248" s="13">
        <v>974</v>
      </c>
      <c r="F248" s="4">
        <v>15.47125074</v>
      </c>
      <c r="G248" s="2" t="s">
        <v>125</v>
      </c>
      <c r="H248" s="5">
        <v>843.5</v>
      </c>
      <c r="I248" s="1" t="s">
        <v>8</v>
      </c>
      <c r="J248" s="40"/>
      <c r="N248" s="10" t="str">
        <f>IF(COUNTIFS( $B$2:$B$787, B248, $C$2:$C$787, C248, $D$2:$D$787, D248, $E$2:$E$787, E248) &gt; 1, "Duplicate", "Unique")</f>
        <v>Unique</v>
      </c>
    </row>
    <row r="249" spans="1:15" ht="26.5" thickBot="1" x14ac:dyDescent="0.4">
      <c r="A249" s="8" t="s">
        <v>62</v>
      </c>
      <c r="B249" s="8" t="s">
        <v>133</v>
      </c>
      <c r="C249" s="8" t="s">
        <v>7</v>
      </c>
      <c r="D249" s="8">
        <v>150</v>
      </c>
      <c r="E249" s="12">
        <v>129.9</v>
      </c>
      <c r="F249" s="4">
        <v>15.858009279999999</v>
      </c>
      <c r="G249" s="2" t="s">
        <v>134</v>
      </c>
      <c r="H249" s="5">
        <v>112.12</v>
      </c>
      <c r="I249" s="1" t="s">
        <v>8</v>
      </c>
      <c r="J249" s="40"/>
      <c r="N249" s="10" t="str">
        <f>IF(COUNTIFS( $B$2:$B$787, B249, $C$2:$C$787, C249, $D$2:$D$787, D249, $E$2:$E$787, E249) &gt; 1, "Duplicate", "Unique")</f>
        <v>Unique</v>
      </c>
    </row>
    <row r="250" spans="1:15" s="35" customFormat="1" ht="26.5" thickBot="1" x14ac:dyDescent="0.4">
      <c r="A250" s="3">
        <v>46260.557638888888</v>
      </c>
      <c r="B250" s="1" t="s">
        <v>16</v>
      </c>
      <c r="C250" s="1" t="s">
        <v>7</v>
      </c>
      <c r="D250" s="4">
        <v>5</v>
      </c>
      <c r="E250" s="4">
        <v>971</v>
      </c>
      <c r="F250" s="4">
        <v>15.87803568</v>
      </c>
      <c r="G250" s="2" t="s">
        <v>61</v>
      </c>
      <c r="H250" s="5">
        <v>837.95</v>
      </c>
      <c r="I250" s="1" t="s">
        <v>8</v>
      </c>
      <c r="J250" s="18" t="s">
        <v>118</v>
      </c>
      <c r="K250" s="18" t="s">
        <v>167</v>
      </c>
      <c r="L250" s="18">
        <v>4605</v>
      </c>
      <c r="M250" s="18">
        <f>ABS((D250*E250)-L250)</f>
        <v>250</v>
      </c>
      <c r="N250" t="str">
        <f>IF(COUNTIFS( $B$2:$B$787, B250, $C$2:$C$787, C250, $D$2:$D$787, D250, $E$2:$E$787, E250) &gt; 1, "Duplicate", "Unique")</f>
        <v>Unique</v>
      </c>
      <c r="O250" s="10"/>
    </row>
    <row r="251" spans="1:15" ht="26.5" thickBot="1" x14ac:dyDescent="0.4">
      <c r="A251" s="8" t="s">
        <v>62</v>
      </c>
      <c r="B251" s="8" t="s">
        <v>6</v>
      </c>
      <c r="C251" s="8" t="s">
        <v>7</v>
      </c>
      <c r="D251" s="8">
        <v>100</v>
      </c>
      <c r="E251" s="8">
        <v>310.5</v>
      </c>
      <c r="F251" s="4">
        <v>16.05307419</v>
      </c>
      <c r="G251" s="2" t="s">
        <v>130</v>
      </c>
      <c r="H251" s="5">
        <v>267.55</v>
      </c>
      <c r="I251" s="1" t="s">
        <v>8</v>
      </c>
      <c r="J251" s="40" t="s">
        <v>118</v>
      </c>
      <c r="N251" s="10" t="str">
        <f>IF(COUNTIFS( $B$2:$B$787, B251, $C$2:$C$787, C251, $D$2:$D$787, D251, $E$2:$E$787, E251) &gt; 1, "Duplicate", "Unique")</f>
        <v>Unique</v>
      </c>
    </row>
    <row r="252" spans="1:15" ht="26.5" thickBot="1" x14ac:dyDescent="0.4">
      <c r="A252" s="8" t="s">
        <v>62</v>
      </c>
      <c r="B252" s="8" t="s">
        <v>63</v>
      </c>
      <c r="C252" s="8" t="s">
        <v>7</v>
      </c>
      <c r="D252" s="8">
        <v>11</v>
      </c>
      <c r="E252" s="12">
        <v>1170</v>
      </c>
      <c r="F252" s="4">
        <v>16.071428569999998</v>
      </c>
      <c r="G252" s="2" t="s">
        <v>64</v>
      </c>
      <c r="H252" s="5">
        <v>1008</v>
      </c>
      <c r="I252" s="1" t="s">
        <v>8</v>
      </c>
      <c r="J252" s="40"/>
      <c r="N252" s="10" t="str">
        <f>IF(COUNTIFS( $B$2:$B$787, B252, $C$2:$C$787, C252, $D$2:$D$787, D252, $E$2:$E$787, E252) &gt; 1, "Duplicate", "Unique")</f>
        <v>Unique</v>
      </c>
    </row>
    <row r="253" spans="1:15" ht="26.5" thickBot="1" x14ac:dyDescent="0.4">
      <c r="A253" s="8" t="s">
        <v>62</v>
      </c>
      <c r="B253" s="8" t="s">
        <v>128</v>
      </c>
      <c r="C253" s="8" t="s">
        <v>7</v>
      </c>
      <c r="D253" s="8">
        <v>150</v>
      </c>
      <c r="E253" s="12">
        <v>136</v>
      </c>
      <c r="F253" s="4">
        <v>16.398493670000001</v>
      </c>
      <c r="G253" s="2" t="s">
        <v>129</v>
      </c>
      <c r="H253" s="5">
        <v>116.84</v>
      </c>
      <c r="I253" s="1" t="s">
        <v>8</v>
      </c>
      <c r="J253" s="40"/>
      <c r="N253" s="10" t="str">
        <f>IF(COUNTIFS( $B$2:$B$787, B253, $C$2:$C$787, C253, $D$2:$D$787, D253, $E$2:$E$787, E253) &gt; 1, "Duplicate", "Unique")</f>
        <v>Unique</v>
      </c>
    </row>
    <row r="254" spans="1:15" ht="26.5" thickBot="1" x14ac:dyDescent="0.4">
      <c r="A254" s="11">
        <v>46252.6875</v>
      </c>
      <c r="B254" s="8" t="s">
        <v>13</v>
      </c>
      <c r="C254" s="8" t="s">
        <v>7</v>
      </c>
      <c r="D254" s="8">
        <v>5</v>
      </c>
      <c r="E254" s="8">
        <v>2014</v>
      </c>
      <c r="F254" s="4">
        <v>16.483516479999999</v>
      </c>
      <c r="G254" s="2" t="s">
        <v>91</v>
      </c>
      <c r="H254" s="5">
        <v>1729</v>
      </c>
      <c r="I254" s="1" t="s">
        <v>8</v>
      </c>
      <c r="J254" s="40" t="s">
        <v>118</v>
      </c>
      <c r="N254" s="10" t="str">
        <f>IF(COUNTIFS( $B$2:$B$787, B254, $C$2:$C$787, C254, $D$2:$D$787, D254, $E$2:$E$787, E254) &gt; 1, "Duplicate", "Unique")</f>
        <v>Unique</v>
      </c>
      <c r="O254" s="35"/>
    </row>
    <row r="255" spans="1:15" ht="39" thickBot="1" x14ac:dyDescent="0.4">
      <c r="A255" s="20">
        <v>46255</v>
      </c>
      <c r="B255" s="1" t="s">
        <v>20</v>
      </c>
      <c r="C255" s="1" t="s">
        <v>7</v>
      </c>
      <c r="D255" s="4">
        <v>20</v>
      </c>
      <c r="E255" s="4">
        <v>147</v>
      </c>
      <c r="F255" s="4">
        <v>16.7778837</v>
      </c>
      <c r="G255" s="2" t="s">
        <v>86</v>
      </c>
      <c r="H255" s="5">
        <v>125.88</v>
      </c>
      <c r="I255" s="1" t="s">
        <v>8</v>
      </c>
      <c r="J255" s="18" t="s">
        <v>55</v>
      </c>
      <c r="K255" s="18" t="s">
        <v>151</v>
      </c>
      <c r="L255" s="18">
        <v>2640</v>
      </c>
      <c r="M255" s="18">
        <f>ABS((D255*E255)-L255)</f>
        <v>300</v>
      </c>
      <c r="N255" s="10" t="str">
        <f>IF(COUNTIFS( $B$2:$B$787, B255, $C$2:$C$787, C255, $D$2:$D$787, D255, $E$2:$E$787, E255) &gt; 1, "Duplicate", "Unique")</f>
        <v>Unique</v>
      </c>
    </row>
    <row r="256" spans="1:15" ht="39" thickBot="1" x14ac:dyDescent="0.4">
      <c r="A256" s="8" t="s">
        <v>62</v>
      </c>
      <c r="B256" s="8" t="s">
        <v>28</v>
      </c>
      <c r="C256" s="8" t="s">
        <v>7</v>
      </c>
      <c r="D256" s="8">
        <v>5</v>
      </c>
      <c r="E256" s="12">
        <v>986</v>
      </c>
      <c r="F256" s="4">
        <v>16.893894490000001</v>
      </c>
      <c r="G256" s="2" t="s">
        <v>125</v>
      </c>
      <c r="H256" s="5">
        <v>843.5</v>
      </c>
      <c r="I256" s="1" t="s">
        <v>8</v>
      </c>
      <c r="J256" s="40"/>
      <c r="N256" s="10" t="str">
        <f>IF(COUNTIFS( $B$2:$B$787, B256, $C$2:$C$787, C256, $D$2:$D$787, D256, $E$2:$E$787, E256) &gt; 1, "Duplicate", "Unique")</f>
        <v>Unique</v>
      </c>
    </row>
    <row r="257" spans="1:15" ht="26.5" thickBot="1" x14ac:dyDescent="0.4">
      <c r="A257" s="8" t="s">
        <v>62</v>
      </c>
      <c r="B257" s="8" t="s">
        <v>14</v>
      </c>
      <c r="C257" s="8" t="s">
        <v>7</v>
      </c>
      <c r="D257" s="8">
        <v>17</v>
      </c>
      <c r="E257" s="8">
        <v>373</v>
      </c>
      <c r="F257" s="4">
        <v>16.92789969</v>
      </c>
      <c r="G257" s="2" t="s">
        <v>45</v>
      </c>
      <c r="H257" s="5">
        <v>319</v>
      </c>
      <c r="I257" s="1" t="s">
        <v>8</v>
      </c>
      <c r="J257" s="40"/>
      <c r="N257" s="10" t="str">
        <f>IF(COUNTIFS( $B$2:$B$787, B257, $C$2:$C$787, C257, $D$2:$D$787, D257, $E$2:$E$787, E257) &gt; 1, "Duplicate", "Unique")</f>
        <v>Unique</v>
      </c>
    </row>
    <row r="258" spans="1:15" ht="26.5" thickBot="1" x14ac:dyDescent="0.4">
      <c r="A258" s="8" t="s">
        <v>62</v>
      </c>
      <c r="B258" s="8" t="s">
        <v>14</v>
      </c>
      <c r="C258" s="8" t="s">
        <v>7</v>
      </c>
      <c r="D258" s="8">
        <v>50</v>
      </c>
      <c r="E258" s="12">
        <v>373</v>
      </c>
      <c r="F258" s="4">
        <v>16.92789969</v>
      </c>
      <c r="G258" s="2" t="s">
        <v>45</v>
      </c>
      <c r="H258" s="5">
        <v>319</v>
      </c>
      <c r="I258" s="1" t="s">
        <v>8</v>
      </c>
      <c r="J258" s="40" t="s">
        <v>118</v>
      </c>
      <c r="N258" s="10" t="str">
        <f>IF(COUNTIFS( $B$2:$B$787, B258, $C$2:$C$787, C258, $D$2:$D$787, D258, $E$2:$E$787, E258) &gt; 1, "Duplicate", "Unique")</f>
        <v>Unique</v>
      </c>
      <c r="O258" s="35"/>
    </row>
    <row r="259" spans="1:15" ht="26.5" thickBot="1" x14ac:dyDescent="0.4">
      <c r="A259" s="8" t="s">
        <v>62</v>
      </c>
      <c r="B259" s="8" t="s">
        <v>6</v>
      </c>
      <c r="C259" s="8" t="s">
        <v>7</v>
      </c>
      <c r="D259" s="8">
        <v>100</v>
      </c>
      <c r="E259" s="13">
        <v>314</v>
      </c>
      <c r="F259" s="4">
        <v>17.361240890000001</v>
      </c>
      <c r="G259" s="2" t="s">
        <v>130</v>
      </c>
      <c r="H259" s="5">
        <v>267.55</v>
      </c>
      <c r="I259" s="1" t="s">
        <v>8</v>
      </c>
      <c r="J259" s="40"/>
      <c r="N259" s="10" t="str">
        <f>IF(COUNTIFS( $B$2:$B$787, B259, $C$2:$C$787, C259, $D$2:$D$787, D259, $E$2:$E$787, E259) &gt; 1, "Duplicate", "Unique")</f>
        <v>Unique</v>
      </c>
    </row>
    <row r="260" spans="1:15" ht="26.5" thickBot="1" x14ac:dyDescent="0.4">
      <c r="A260" s="8" t="s">
        <v>62</v>
      </c>
      <c r="B260" s="8" t="s">
        <v>26</v>
      </c>
      <c r="C260" s="8" t="s">
        <v>7</v>
      </c>
      <c r="D260" s="8">
        <v>25</v>
      </c>
      <c r="E260" s="8">
        <v>210</v>
      </c>
      <c r="F260" s="4">
        <v>17.515388919999999</v>
      </c>
      <c r="G260" s="2" t="s">
        <v>132</v>
      </c>
      <c r="H260" s="5">
        <v>178.7</v>
      </c>
      <c r="I260" s="1" t="s">
        <v>8</v>
      </c>
      <c r="J260" s="40"/>
      <c r="N260" s="10" t="str">
        <f>IF(COUNTIFS( $B$2:$B$787, B260, $C$2:$C$787, C260, $D$2:$D$787, D260, $E$2:$E$787, E260) &gt; 1, "Duplicate", "Unique")</f>
        <v>Unique</v>
      </c>
    </row>
    <row r="261" spans="1:15" ht="39" thickBot="1" x14ac:dyDescent="0.4">
      <c r="A261" s="9" t="s">
        <v>62</v>
      </c>
      <c r="B261" s="9" t="s">
        <v>119</v>
      </c>
      <c r="C261" s="9" t="s">
        <v>7</v>
      </c>
      <c r="D261" s="9">
        <v>7</v>
      </c>
      <c r="E261" s="12">
        <v>1170</v>
      </c>
      <c r="F261" s="4">
        <v>17.670723120000002</v>
      </c>
      <c r="G261" s="2" t="s">
        <v>120</v>
      </c>
      <c r="H261" s="5">
        <v>994.3</v>
      </c>
      <c r="I261" s="1" t="s">
        <v>8</v>
      </c>
      <c r="J261" s="40"/>
      <c r="N261" s="10" t="str">
        <f>IF(COUNTIFS( $B$2:$B$787, B261, $C$2:$C$787, C261, $D$2:$D$787, D261, $E$2:$E$787, E261) &gt; 1, "Duplicate", "Unique")</f>
        <v>Unique</v>
      </c>
    </row>
    <row r="262" spans="1:15" ht="26.5" thickBot="1" x14ac:dyDescent="0.4">
      <c r="A262" s="8" t="s">
        <v>62</v>
      </c>
      <c r="B262" s="8" t="s">
        <v>35</v>
      </c>
      <c r="C262" s="8" t="s">
        <v>7</v>
      </c>
      <c r="D262" s="8">
        <v>200</v>
      </c>
      <c r="E262" s="12">
        <v>244</v>
      </c>
      <c r="F262" s="4">
        <v>17.78335586</v>
      </c>
      <c r="G262" s="2" t="s">
        <v>42</v>
      </c>
      <c r="H262" s="5">
        <v>207.16</v>
      </c>
      <c r="I262" s="1" t="s">
        <v>8</v>
      </c>
      <c r="J262" s="40" t="s">
        <v>117</v>
      </c>
      <c r="N262" s="10" t="str">
        <f>IF(COUNTIFS( $B$2:$B$787, B262, $C$2:$C$787, C262, $D$2:$D$787, D262, $E$2:$E$787, E262) &gt; 1, "Duplicate", "Unique")</f>
        <v>Unique</v>
      </c>
    </row>
    <row r="263" spans="1:15" ht="39" thickBot="1" x14ac:dyDescent="0.4">
      <c r="A263" s="8" t="s">
        <v>62</v>
      </c>
      <c r="B263" s="14" t="s">
        <v>28</v>
      </c>
      <c r="C263" s="8" t="s">
        <v>7</v>
      </c>
      <c r="D263" s="8">
        <v>40</v>
      </c>
      <c r="E263" s="15">
        <v>996</v>
      </c>
      <c r="F263" s="4">
        <v>18.079430940000002</v>
      </c>
      <c r="G263" s="2" t="s">
        <v>125</v>
      </c>
      <c r="H263" s="5">
        <v>843.5</v>
      </c>
      <c r="I263" s="1" t="s">
        <v>8</v>
      </c>
      <c r="J263" s="40" t="s">
        <v>118</v>
      </c>
      <c r="N263" s="10" t="str">
        <f>IF(COUNTIFS( $B$2:$B$787, B263, $C$2:$C$787, C263, $D$2:$D$787, D263, $E$2:$E$787, E263) &gt; 1, "Duplicate", "Unique")</f>
        <v>Unique</v>
      </c>
    </row>
    <row r="264" spans="1:15" ht="26.5" thickBot="1" x14ac:dyDescent="0.4">
      <c r="A264" s="8" t="s">
        <v>62</v>
      </c>
      <c r="B264" s="8" t="s">
        <v>138</v>
      </c>
      <c r="C264" s="8" t="s">
        <v>7</v>
      </c>
      <c r="D264" s="8">
        <v>50</v>
      </c>
      <c r="E264" s="12">
        <v>480</v>
      </c>
      <c r="F264" s="4">
        <v>18.226600990000001</v>
      </c>
      <c r="G264" s="2" t="s">
        <v>139</v>
      </c>
      <c r="H264" s="5">
        <v>406</v>
      </c>
      <c r="I264" s="1" t="s">
        <v>8</v>
      </c>
      <c r="J264" s="40"/>
      <c r="N264" s="10" t="str">
        <f>IF(COUNTIFS( $B$2:$B$787, B264, $C$2:$C$787, C264, $D$2:$D$787, D264, $E$2:$E$787, E264) &gt; 1, "Duplicate", "Unique")</f>
        <v>Unique</v>
      </c>
    </row>
    <row r="265" spans="1:15" ht="39" thickBot="1" x14ac:dyDescent="0.4">
      <c r="A265" s="8" t="s">
        <v>62</v>
      </c>
      <c r="B265" s="8" t="s">
        <v>126</v>
      </c>
      <c r="C265" s="8" t="s">
        <v>7</v>
      </c>
      <c r="D265" s="8">
        <v>5</v>
      </c>
      <c r="E265" s="8">
        <v>596</v>
      </c>
      <c r="F265" s="4">
        <v>18.489065610000001</v>
      </c>
      <c r="G265" s="2" t="s">
        <v>127</v>
      </c>
      <c r="H265" s="5">
        <v>503</v>
      </c>
      <c r="I265" s="1" t="s">
        <v>8</v>
      </c>
      <c r="J265" s="40"/>
      <c r="N265" s="10" t="str">
        <f>IF(COUNTIFS( $B$2:$B$787, B265, $C$2:$C$787, C265, $D$2:$D$787, D265, $E$2:$E$787, E265) &gt; 1, "Duplicate", "Unique")</f>
        <v>Unique</v>
      </c>
    </row>
    <row r="266" spans="1:15" ht="39" thickBot="1" x14ac:dyDescent="0.4">
      <c r="A266" s="8" t="s">
        <v>62</v>
      </c>
      <c r="B266" s="8" t="s">
        <v>28</v>
      </c>
      <c r="C266" s="8" t="s">
        <v>7</v>
      </c>
      <c r="D266" s="8">
        <v>5</v>
      </c>
      <c r="E266" s="12">
        <v>1002</v>
      </c>
      <c r="F266" s="4">
        <v>18.790752820000002</v>
      </c>
      <c r="G266" s="2" t="s">
        <v>125</v>
      </c>
      <c r="H266" s="5">
        <v>843.5</v>
      </c>
      <c r="I266" s="1" t="s">
        <v>8</v>
      </c>
      <c r="J266" s="40"/>
      <c r="N266" s="10" t="str">
        <f>IF(COUNTIFS( $B$2:$B$787, B266, $C$2:$C$787, C266, $D$2:$D$787, D266, $E$2:$E$787, E266) &gt; 1, "Duplicate", "Unique")</f>
        <v>Unique</v>
      </c>
      <c r="O266" s="35"/>
    </row>
    <row r="267" spans="1:15" ht="26.5" thickBot="1" x14ac:dyDescent="0.4">
      <c r="A267" s="8" t="s">
        <v>62</v>
      </c>
      <c r="B267" s="8" t="s">
        <v>6</v>
      </c>
      <c r="C267" s="8" t="s">
        <v>7</v>
      </c>
      <c r="D267" s="8">
        <v>100</v>
      </c>
      <c r="E267" s="12">
        <v>318</v>
      </c>
      <c r="F267" s="4">
        <v>18.856288540000001</v>
      </c>
      <c r="G267" s="2" t="s">
        <v>130</v>
      </c>
      <c r="H267" s="5">
        <v>267.55</v>
      </c>
      <c r="I267" s="1" t="s">
        <v>8</v>
      </c>
      <c r="J267" s="40"/>
      <c r="N267" s="10" t="str">
        <f>IF(COUNTIFS( $B$2:$B$787, B267, $C$2:$C$787, C267, $D$2:$D$787, D267, $E$2:$E$787, E267) &gt; 1, "Duplicate", "Unique")</f>
        <v>Unique</v>
      </c>
    </row>
    <row r="268" spans="1:15" ht="26.5" thickBot="1" x14ac:dyDescent="0.4">
      <c r="A268" s="8" t="s">
        <v>62</v>
      </c>
      <c r="B268" s="8" t="s">
        <v>6</v>
      </c>
      <c r="C268" s="8" t="s">
        <v>7</v>
      </c>
      <c r="D268" s="8">
        <v>100</v>
      </c>
      <c r="E268" s="13">
        <v>319</v>
      </c>
      <c r="F268" s="4">
        <v>19.230050460000001</v>
      </c>
      <c r="G268" s="2" t="s">
        <v>130</v>
      </c>
      <c r="H268" s="5">
        <v>267.55</v>
      </c>
      <c r="I268" s="1" t="s">
        <v>8</v>
      </c>
      <c r="J268" s="40"/>
      <c r="N268" s="10" t="str">
        <f>IF(COUNTIFS( $B$2:$B$787, B268, $C$2:$C$787, C268, $D$2:$D$787, D268, $E$2:$E$787, E268) &gt; 1, "Duplicate", "Unique")</f>
        <v>Unique</v>
      </c>
    </row>
    <row r="269" spans="1:15" s="35" customFormat="1" ht="26.5" thickBot="1" x14ac:dyDescent="0.4">
      <c r="A269" s="8" t="s">
        <v>62</v>
      </c>
      <c r="B269" s="8" t="s">
        <v>57</v>
      </c>
      <c r="C269" s="8" t="s">
        <v>7</v>
      </c>
      <c r="D269" s="8">
        <v>3</v>
      </c>
      <c r="E269" s="12">
        <v>3341</v>
      </c>
      <c r="F269" s="4">
        <v>19.321428569999998</v>
      </c>
      <c r="G269" s="2" t="s">
        <v>58</v>
      </c>
      <c r="H269" s="5">
        <v>2800</v>
      </c>
      <c r="I269" s="1" t="s">
        <v>8</v>
      </c>
      <c r="J269" s="40"/>
      <c r="K269" s="18"/>
      <c r="L269" s="18"/>
      <c r="M269" s="18"/>
      <c r="N269" s="10" t="str">
        <f>IF(COUNTIFS( $B$2:$B$787, B269, $C$2:$C$787, C269, $D$2:$D$787, D269, $E$2:$E$787, E269) &gt; 1, "Duplicate", "Unique")</f>
        <v>Unique</v>
      </c>
      <c r="O269" s="10"/>
    </row>
    <row r="270" spans="1:15" ht="26.5" thickBot="1" x14ac:dyDescent="0.4">
      <c r="A270" s="11">
        <v>46252.635416666664</v>
      </c>
      <c r="B270" s="8" t="s">
        <v>87</v>
      </c>
      <c r="C270" s="8" t="s">
        <v>7</v>
      </c>
      <c r="D270" s="8">
        <v>10</v>
      </c>
      <c r="E270" s="8">
        <v>1479</v>
      </c>
      <c r="F270" s="4">
        <v>19.708619989999999</v>
      </c>
      <c r="G270" s="2" t="s">
        <v>88</v>
      </c>
      <c r="H270" s="5">
        <v>1235.5</v>
      </c>
      <c r="I270" s="1" t="s">
        <v>8</v>
      </c>
      <c r="J270" s="40" t="s">
        <v>55</v>
      </c>
      <c r="N270" s="10" t="str">
        <f>IF(COUNTIFS( $B$2:$B$787, B270, $C$2:$C$787, C270, $D$2:$D$787, D270, $E$2:$E$787, E270) &gt; 1, "Duplicate", "Unique")</f>
        <v>Unique</v>
      </c>
    </row>
    <row r="271" spans="1:15" ht="39" thickBot="1" x14ac:dyDescent="0.4">
      <c r="A271" s="3">
        <v>46258.375694444447</v>
      </c>
      <c r="B271" s="1" t="s">
        <v>22</v>
      </c>
      <c r="C271" s="1" t="s">
        <v>7</v>
      </c>
      <c r="D271" s="4">
        <v>5</v>
      </c>
      <c r="E271" s="4">
        <v>502</v>
      </c>
      <c r="F271" s="4">
        <v>19.923554710000001</v>
      </c>
      <c r="G271" s="2" t="s">
        <v>73</v>
      </c>
      <c r="H271" s="5">
        <v>418.6</v>
      </c>
      <c r="I271" s="1" t="s">
        <v>8</v>
      </c>
      <c r="J271" s="18" t="s">
        <v>118</v>
      </c>
      <c r="K271" s="18" t="s">
        <v>160</v>
      </c>
      <c r="L271" s="18">
        <v>2260</v>
      </c>
      <c r="M271" s="18">
        <f>ABS((D271*E271)-L271)</f>
        <v>250</v>
      </c>
      <c r="N271" s="10" t="str">
        <f>IF(COUNTIFS( $B$2:$B$787, B271, $C$2:$C$787, C271, $D$2:$D$787, D271, $E$2:$E$787, E271) &gt; 1, "Duplicate", "Unique")</f>
        <v>Unique</v>
      </c>
    </row>
    <row r="272" spans="1:15" ht="26.5" thickBot="1" x14ac:dyDescent="0.4">
      <c r="A272" s="8" t="s">
        <v>62</v>
      </c>
      <c r="B272" s="8" t="s">
        <v>14</v>
      </c>
      <c r="C272" s="8" t="s">
        <v>7</v>
      </c>
      <c r="D272" s="8">
        <v>50</v>
      </c>
      <c r="E272" s="12">
        <v>383</v>
      </c>
      <c r="F272" s="4">
        <v>20.062695919999999</v>
      </c>
      <c r="G272" s="2" t="s">
        <v>45</v>
      </c>
      <c r="H272" s="5">
        <v>319</v>
      </c>
      <c r="I272" s="1" t="s">
        <v>8</v>
      </c>
      <c r="J272" s="40"/>
      <c r="N272" s="10" t="str">
        <f>IF(COUNTIFS( $B$2:$B$787, B272, $C$2:$C$787, C272, $D$2:$D$787, D272, $E$2:$E$787, E272) &gt; 1, "Duplicate", "Unique")</f>
        <v>Unique</v>
      </c>
    </row>
    <row r="273" spans="1:15" ht="26.5" thickBot="1" x14ac:dyDescent="0.4">
      <c r="A273" s="8" t="s">
        <v>62</v>
      </c>
      <c r="B273" s="8" t="s">
        <v>35</v>
      </c>
      <c r="C273" s="8" t="s">
        <v>7</v>
      </c>
      <c r="D273" s="8">
        <v>200</v>
      </c>
      <c r="E273" s="12">
        <v>249</v>
      </c>
      <c r="F273" s="4">
        <v>20.19694922</v>
      </c>
      <c r="G273" s="2" t="s">
        <v>42</v>
      </c>
      <c r="H273" s="5">
        <v>207.16</v>
      </c>
      <c r="I273" s="1" t="s">
        <v>8</v>
      </c>
      <c r="J273" s="40"/>
      <c r="N273" s="10" t="str">
        <f>IF(COUNTIFS( $B$2:$B$787, B273, $C$2:$C$787, C273, $D$2:$D$787, D273, $E$2:$E$787, E273) &gt; 1, "Duplicate", "Unique")</f>
        <v>Unique</v>
      </c>
    </row>
    <row r="274" spans="1:15" ht="26.5" thickBot="1" x14ac:dyDescent="0.4">
      <c r="A274" s="8" t="s">
        <v>62</v>
      </c>
      <c r="B274" s="8" t="s">
        <v>17</v>
      </c>
      <c r="C274" s="8" t="s">
        <v>7</v>
      </c>
      <c r="D274" s="8">
        <v>5</v>
      </c>
      <c r="E274" s="12">
        <v>435</v>
      </c>
      <c r="F274" s="4">
        <v>20.66574202</v>
      </c>
      <c r="G274" s="2" t="s">
        <v>77</v>
      </c>
      <c r="H274" s="5">
        <v>360.5</v>
      </c>
      <c r="I274" s="1" t="s">
        <v>8</v>
      </c>
      <c r="J274" s="40" t="s">
        <v>118</v>
      </c>
      <c r="N274" s="10" t="str">
        <f>IF(COUNTIFS( $B$2:$B$787, B274, $C$2:$C$787, C274, $D$2:$D$787, D274, $E$2:$E$787, E274) &gt; 1, "Duplicate", "Unique")</f>
        <v>Unique</v>
      </c>
    </row>
    <row r="275" spans="1:15" ht="26.5" thickBot="1" x14ac:dyDescent="0.4">
      <c r="A275" s="8" t="s">
        <v>62</v>
      </c>
      <c r="B275" s="8" t="s">
        <v>6</v>
      </c>
      <c r="C275" s="8" t="s">
        <v>7</v>
      </c>
      <c r="D275" s="8">
        <v>150</v>
      </c>
      <c r="E275" s="12">
        <v>323</v>
      </c>
      <c r="F275" s="4">
        <v>20.725098110000001</v>
      </c>
      <c r="G275" s="2" t="s">
        <v>130</v>
      </c>
      <c r="H275" s="5">
        <v>267.55</v>
      </c>
      <c r="I275" s="1" t="s">
        <v>8</v>
      </c>
      <c r="J275" s="40" t="s">
        <v>118</v>
      </c>
      <c r="N275" s="10" t="str">
        <f>IF(COUNTIFS( $B$2:$B$787, B275, $C$2:$C$787, C275, $D$2:$D$787, D275, $E$2:$E$787, E275) &gt; 1, "Duplicate", "Unique")</f>
        <v>Unique</v>
      </c>
    </row>
    <row r="276" spans="1:15" ht="26.5" thickBot="1" x14ac:dyDescent="0.4">
      <c r="A276" s="11">
        <v>46252.6875</v>
      </c>
      <c r="B276" s="8" t="s">
        <v>13</v>
      </c>
      <c r="C276" s="8" t="s">
        <v>7</v>
      </c>
      <c r="D276" s="8">
        <v>5</v>
      </c>
      <c r="E276" s="8">
        <v>2094</v>
      </c>
      <c r="F276" s="4">
        <v>21.110468480000002</v>
      </c>
      <c r="G276" s="2" t="s">
        <v>91</v>
      </c>
      <c r="H276" s="5">
        <v>1729</v>
      </c>
      <c r="I276" s="1" t="s">
        <v>8</v>
      </c>
      <c r="J276" s="40" t="s">
        <v>118</v>
      </c>
      <c r="N276" s="10" t="str">
        <f>IF(COUNTIFS( $B$2:$B$787, B276, $C$2:$C$787, C276, $D$2:$D$787, D276, $E$2:$E$787, E276) &gt; 1, "Duplicate", "Unique")</f>
        <v>Unique</v>
      </c>
    </row>
    <row r="277" spans="1:15" ht="26.5" thickBot="1" x14ac:dyDescent="0.4">
      <c r="A277" s="8" t="s">
        <v>62</v>
      </c>
      <c r="B277" s="8" t="s">
        <v>138</v>
      </c>
      <c r="C277" s="8" t="s">
        <v>7</v>
      </c>
      <c r="D277" s="8">
        <v>35</v>
      </c>
      <c r="E277" s="13">
        <v>494</v>
      </c>
      <c r="F277" s="4">
        <v>21.67487685</v>
      </c>
      <c r="G277" s="2" t="s">
        <v>139</v>
      </c>
      <c r="H277" s="5">
        <v>406</v>
      </c>
      <c r="I277" s="1" t="s">
        <v>8</v>
      </c>
      <c r="J277" s="40"/>
      <c r="N277" s="10" t="str">
        <f>IF(COUNTIFS( $B$2:$B$787, B277, $C$2:$C$787, C277, $D$2:$D$787, D277, $E$2:$E$787, E277) &gt; 1, "Duplicate", "Unique")</f>
        <v>Unique</v>
      </c>
    </row>
    <row r="278" spans="1:15" s="35" customFormat="1" ht="26.5" thickBot="1" x14ac:dyDescent="0.4">
      <c r="A278" s="8" t="s">
        <v>62</v>
      </c>
      <c r="B278" s="8" t="s">
        <v>13</v>
      </c>
      <c r="C278" s="8" t="s">
        <v>7</v>
      </c>
      <c r="D278" s="8">
        <v>10</v>
      </c>
      <c r="E278" s="8">
        <v>2114</v>
      </c>
      <c r="F278" s="4">
        <v>22.267206479999999</v>
      </c>
      <c r="G278" s="2" t="s">
        <v>91</v>
      </c>
      <c r="H278" s="5">
        <v>1729</v>
      </c>
      <c r="I278" s="1" t="s">
        <v>8</v>
      </c>
      <c r="J278" s="40"/>
      <c r="K278" s="18"/>
      <c r="L278" s="18"/>
      <c r="M278" s="18"/>
      <c r="N278" s="10" t="str">
        <f>IF(COUNTIFS( $B$2:$B$787, B278, $C$2:$C$787, C278, $D$2:$D$787, D278, $E$2:$E$787, E278) &gt; 1, "Duplicate", "Unique")</f>
        <v>Unique</v>
      </c>
      <c r="O278" s="10"/>
    </row>
    <row r="279" spans="1:15" ht="26.5" thickBot="1" x14ac:dyDescent="0.4">
      <c r="A279" s="8" t="s">
        <v>62</v>
      </c>
      <c r="B279" s="8" t="s">
        <v>13</v>
      </c>
      <c r="C279" s="8" t="s">
        <v>7</v>
      </c>
      <c r="D279" s="8">
        <v>10</v>
      </c>
      <c r="E279" s="8">
        <v>2189</v>
      </c>
      <c r="F279" s="4">
        <v>26.60497397</v>
      </c>
      <c r="G279" s="2" t="s">
        <v>91</v>
      </c>
      <c r="H279" s="5">
        <v>1729</v>
      </c>
      <c r="I279" s="1" t="s">
        <v>8</v>
      </c>
      <c r="J279" s="40"/>
      <c r="N279" s="10" t="str">
        <f>IF(COUNTIFS( $B$2:$B$787, B279, $C$2:$C$787, C279, $D$2:$D$787, D279, $E$2:$E$787, E279) &gt; 1, "Duplicate", "Unique")</f>
        <v>Unique</v>
      </c>
    </row>
    <row r="280" spans="1:15" ht="39" thickBot="1" x14ac:dyDescent="0.4">
      <c r="A280" s="3">
        <v>46259.532638888886</v>
      </c>
      <c r="B280" s="1" t="s">
        <v>96</v>
      </c>
      <c r="C280" s="1" t="s">
        <v>7</v>
      </c>
      <c r="D280" s="4">
        <v>5</v>
      </c>
      <c r="E280" s="4">
        <v>218</v>
      </c>
      <c r="F280" s="4">
        <v>26.74418605</v>
      </c>
      <c r="G280" s="2" t="s">
        <v>97</v>
      </c>
      <c r="H280" s="5">
        <v>172</v>
      </c>
      <c r="I280" s="1" t="s">
        <v>8</v>
      </c>
      <c r="J280" s="40" t="s">
        <v>118</v>
      </c>
      <c r="K280" s="18" t="s">
        <v>163</v>
      </c>
      <c r="L280" s="18">
        <v>840</v>
      </c>
      <c r="M280" s="18">
        <f>ABS((D280*E280)-L280)</f>
        <v>250</v>
      </c>
      <c r="N280" s="10" t="str">
        <f>IF(COUNTIFS( $B$2:$B$787, B280, $C$2:$C$787, C280, $D$2:$D$787, D280, $E$2:$E$787, E280) &gt; 1, "Duplicate", "Unique")</f>
        <v>Unique</v>
      </c>
    </row>
    <row r="281" spans="1:15" ht="26.5" thickBot="1" x14ac:dyDescent="0.4">
      <c r="A281" s="8" t="s">
        <v>62</v>
      </c>
      <c r="B281" s="8" t="s">
        <v>13</v>
      </c>
      <c r="C281" s="8" t="s">
        <v>7</v>
      </c>
      <c r="D281" s="8">
        <v>20</v>
      </c>
      <c r="E281" s="8">
        <v>2310</v>
      </c>
      <c r="F281" s="4">
        <v>33.603238869999998</v>
      </c>
      <c r="G281" s="2" t="s">
        <v>91</v>
      </c>
      <c r="H281" s="5">
        <v>1729</v>
      </c>
      <c r="I281" s="1" t="s">
        <v>8</v>
      </c>
      <c r="J281" s="40"/>
      <c r="N281" s="10" t="str">
        <f>IF(COUNTIFS( $B$2:$B$787, B281, $C$2:$C$787, C281, $D$2:$D$787, D281, $E$2:$E$787, E281) &gt; 1, "Duplicate", "Unique")</f>
        <v>Unique</v>
      </c>
    </row>
    <row r="282" spans="1:15" ht="26.5" thickBot="1" x14ac:dyDescent="0.4">
      <c r="A282" s="8" t="s">
        <v>62</v>
      </c>
      <c r="B282" s="8" t="s">
        <v>13</v>
      </c>
      <c r="C282" s="8" t="s">
        <v>7</v>
      </c>
      <c r="D282" s="8">
        <v>1</v>
      </c>
      <c r="E282" s="8">
        <v>2494</v>
      </c>
      <c r="F282" s="4">
        <v>44.24522846</v>
      </c>
      <c r="G282" s="2" t="s">
        <v>91</v>
      </c>
      <c r="H282" s="5">
        <v>1729</v>
      </c>
      <c r="I282" s="1" t="s">
        <v>8</v>
      </c>
      <c r="J282" s="40"/>
      <c r="N282" s="10" t="str">
        <f>IF(COUNTIFS( $B$2:$B$787, B282, $C$2:$C$787, C282, $D$2:$D$787, D282, $E$2:$E$787, E282) &gt; 1, "Duplicate", "Unique")</f>
        <v>Unique</v>
      </c>
    </row>
    <row r="283" spans="1:15" ht="26.5" thickBot="1" x14ac:dyDescent="0.4">
      <c r="A283" s="11">
        <v>46251.506249999999</v>
      </c>
      <c r="B283" s="8" t="s">
        <v>13</v>
      </c>
      <c r="C283" s="8" t="s">
        <v>7</v>
      </c>
      <c r="D283" s="8">
        <v>3</v>
      </c>
      <c r="E283" s="8">
        <v>2494</v>
      </c>
      <c r="F283" s="4">
        <v>44.24522846</v>
      </c>
      <c r="G283" s="2" t="s">
        <v>91</v>
      </c>
      <c r="H283" s="5">
        <v>1729</v>
      </c>
      <c r="I283" s="1" t="s">
        <v>8</v>
      </c>
      <c r="J283" s="40"/>
      <c r="N283" s="10" t="str">
        <f>IF(COUNTIFS( $B$2:$B$787, B283, $C$2:$C$787, C283, $D$2:$D$787, D283, $E$2:$E$787, E283) &gt; 1, "Duplicate", "Unique")</f>
        <v>Unique</v>
      </c>
      <c r="O283" s="35"/>
    </row>
    <row r="284" spans="1:15" ht="26.5" thickBot="1" x14ac:dyDescent="0.4">
      <c r="A284" s="8" t="s">
        <v>62</v>
      </c>
      <c r="B284" s="8" t="s">
        <v>141</v>
      </c>
      <c r="C284" s="8" t="s">
        <v>7</v>
      </c>
      <c r="D284" s="8">
        <v>23</v>
      </c>
      <c r="E284" s="12">
        <v>890</v>
      </c>
      <c r="F284" s="6" t="e">
        <v>#N/A</v>
      </c>
      <c r="G284" s="2" t="s">
        <v>142</v>
      </c>
      <c r="H284" s="7" t="e">
        <v>#N/A</v>
      </c>
      <c r="I284" s="1" t="s">
        <v>8</v>
      </c>
      <c r="J284" s="40"/>
      <c r="N284" s="10" t="str">
        <f>IF(COUNTIFS( $B$2:$B$787, B284, $C$2:$C$787, C284, $D$2:$D$787, D284, $E$2:$E$787, E284) &gt; 1, "Duplicate", "Unique")</f>
        <v>Unique</v>
      </c>
    </row>
  </sheetData>
  <autoFilter ref="A1:O284" xr:uid="{00000000-0001-0000-0000-000000000000}">
    <filterColumn colId="2">
      <filters>
        <filter val="S"/>
      </filters>
    </filterColumn>
    <sortState xmlns:xlrd2="http://schemas.microsoft.com/office/spreadsheetml/2017/richdata2" ref="A2:O284">
      <sortCondition ref="F1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7"/>
  <sheetViews>
    <sheetView workbookViewId="0">
      <selection activeCell="J8" sqref="J8"/>
    </sheetView>
  </sheetViews>
  <sheetFormatPr defaultRowHeight="14.5" x14ac:dyDescent="0.35"/>
  <cols>
    <col min="1" max="1" width="27.08984375" customWidth="1"/>
    <col min="9" max="9" width="15.453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5">
      <c r="A2" t="s">
        <v>270</v>
      </c>
      <c r="B2" t="s">
        <v>6</v>
      </c>
      <c r="C2" t="s">
        <v>10</v>
      </c>
      <c r="D2">
        <v>10</v>
      </c>
      <c r="E2">
        <v>265.7</v>
      </c>
      <c r="F2" t="s">
        <v>30</v>
      </c>
      <c r="I2" t="str">
        <f>C2 &amp; " " &amp; D2 &amp; "*" &amp; E2 &amp; " :" &amp; A2</f>
        <v>B 10*265.7 :08 SEP 2026 12:08:32 PM</v>
      </c>
      <c r="J2">
        <f>D2*E2</f>
        <v>2657</v>
      </c>
      <c r="L2" t="str">
        <f t="shared" ref="L2:L17" si="0">IF(COUNTIFS( $B$2:$B$906, B2) &gt; 1, "Duplicate", "Unique")</f>
        <v>Unique</v>
      </c>
    </row>
    <row r="3" spans="1:12" x14ac:dyDescent="0.35">
      <c r="A3" t="s">
        <v>271</v>
      </c>
      <c r="B3" t="s">
        <v>11</v>
      </c>
      <c r="C3" t="s">
        <v>10</v>
      </c>
      <c r="D3">
        <v>20</v>
      </c>
      <c r="E3">
        <v>281</v>
      </c>
      <c r="F3" t="s">
        <v>30</v>
      </c>
      <c r="I3" t="str">
        <f t="shared" ref="I3" si="1">C3 &amp; " " &amp; D3 &amp; "*" &amp; E3 &amp; " :" &amp; A3</f>
        <v>B 20*281 :08 SEP 2026 09:00:52 AM</v>
      </c>
      <c r="J3">
        <f t="shared" ref="J3" si="2">D3*E3</f>
        <v>5620</v>
      </c>
      <c r="L3" t="str">
        <f t="shared" si="0"/>
        <v>Unique</v>
      </c>
    </row>
    <row r="4" spans="1:12" x14ac:dyDescent="0.35">
      <c r="A4" t="s">
        <v>271</v>
      </c>
      <c r="B4" t="s">
        <v>13</v>
      </c>
      <c r="C4" t="s">
        <v>10</v>
      </c>
      <c r="D4">
        <v>5</v>
      </c>
      <c r="E4">
        <v>1714</v>
      </c>
      <c r="F4" t="s">
        <v>30</v>
      </c>
      <c r="I4" t="str">
        <f t="shared" ref="I4" si="3">C4 &amp; " " &amp; D4 &amp; "*" &amp; E4 &amp; " :" &amp; A4</f>
        <v>B 5*1714 :08 SEP 2026 09:00:52 AM</v>
      </c>
      <c r="J4">
        <f t="shared" ref="J4" si="4">D4*E4</f>
        <v>8570</v>
      </c>
      <c r="L4" t="str">
        <f t="shared" si="0"/>
        <v>Unique</v>
      </c>
    </row>
    <row r="5" spans="1:12" x14ac:dyDescent="0.35">
      <c r="A5" t="s">
        <v>271</v>
      </c>
      <c r="B5" t="s">
        <v>9</v>
      </c>
      <c r="C5" t="s">
        <v>10</v>
      </c>
      <c r="D5">
        <v>90</v>
      </c>
      <c r="E5">
        <v>290.10000000000002</v>
      </c>
      <c r="F5" t="s">
        <v>30</v>
      </c>
      <c r="I5" t="str">
        <f t="shared" ref="I5:I17" si="5">C5 &amp; " " &amp; D5 &amp; "*" &amp; E5 &amp; " :" &amp; A5</f>
        <v>B 90*290.1 :08 SEP 2026 09:00:52 AM</v>
      </c>
      <c r="J5">
        <f t="shared" ref="J5:J17" si="6">D5*E5</f>
        <v>26109.000000000004</v>
      </c>
      <c r="L5" t="str">
        <f t="shared" si="0"/>
        <v>Unique</v>
      </c>
    </row>
    <row r="6" spans="1:12" x14ac:dyDescent="0.35">
      <c r="A6" t="s">
        <v>272</v>
      </c>
      <c r="B6" t="s">
        <v>25</v>
      </c>
      <c r="C6" t="s">
        <v>10</v>
      </c>
      <c r="D6">
        <v>500</v>
      </c>
      <c r="E6">
        <v>33.159999999999997</v>
      </c>
      <c r="F6" t="s">
        <v>30</v>
      </c>
      <c r="I6" t="str">
        <f t="shared" si="5"/>
        <v>B 500*33.16 :08 SEP 2026 09:15:08 AM</v>
      </c>
      <c r="J6">
        <f t="shared" si="6"/>
        <v>16580</v>
      </c>
      <c r="L6" t="str">
        <f t="shared" si="0"/>
        <v>Unique</v>
      </c>
    </row>
    <row r="7" spans="1:12" x14ac:dyDescent="0.35">
      <c r="A7" t="s">
        <v>271</v>
      </c>
      <c r="B7" t="s">
        <v>51</v>
      </c>
      <c r="C7" t="s">
        <v>10</v>
      </c>
      <c r="D7">
        <v>20</v>
      </c>
      <c r="E7">
        <v>917</v>
      </c>
      <c r="F7" t="s">
        <v>30</v>
      </c>
      <c r="I7" t="str">
        <f t="shared" si="5"/>
        <v>B 20*917 :08 SEP 2026 09:00:52 AM</v>
      </c>
      <c r="J7">
        <f t="shared" si="6"/>
        <v>18340</v>
      </c>
      <c r="L7" t="str">
        <f t="shared" si="0"/>
        <v>Unique</v>
      </c>
    </row>
    <row r="8" spans="1:12" x14ac:dyDescent="0.35">
      <c r="A8" t="s">
        <v>273</v>
      </c>
      <c r="B8" t="s">
        <v>49</v>
      </c>
      <c r="C8" t="s">
        <v>10</v>
      </c>
      <c r="D8">
        <v>5</v>
      </c>
      <c r="E8">
        <v>3946.1</v>
      </c>
      <c r="F8" t="s">
        <v>30</v>
      </c>
      <c r="I8" t="str">
        <f t="shared" si="5"/>
        <v>B 5*3946.1 :08 SEP 2026 09:00:53 AM</v>
      </c>
      <c r="J8">
        <f t="shared" si="6"/>
        <v>19730.5</v>
      </c>
      <c r="L8" t="str">
        <f t="shared" si="0"/>
        <v>Unique</v>
      </c>
    </row>
    <row r="9" spans="1:12" x14ac:dyDescent="0.35">
      <c r="I9" t="str">
        <f t="shared" si="5"/>
        <v xml:space="preserve"> * :</v>
      </c>
      <c r="J9">
        <f t="shared" si="6"/>
        <v>0</v>
      </c>
      <c r="L9" t="str">
        <f t="shared" si="0"/>
        <v>Unique</v>
      </c>
    </row>
    <row r="10" spans="1:12" x14ac:dyDescent="0.35">
      <c r="I10" t="str">
        <f t="shared" si="5"/>
        <v xml:space="preserve"> * :</v>
      </c>
      <c r="J10">
        <f t="shared" si="6"/>
        <v>0</v>
      </c>
      <c r="L10" t="str">
        <f t="shared" si="0"/>
        <v>Unique</v>
      </c>
    </row>
    <row r="11" spans="1:12" x14ac:dyDescent="0.35">
      <c r="I11" t="str">
        <f t="shared" si="5"/>
        <v xml:space="preserve"> * :</v>
      </c>
      <c r="J11">
        <f t="shared" si="6"/>
        <v>0</v>
      </c>
      <c r="L11" t="str">
        <f t="shared" si="0"/>
        <v>Unique</v>
      </c>
    </row>
    <row r="12" spans="1:12" x14ac:dyDescent="0.35">
      <c r="E12" s="49"/>
      <c r="I12" t="str">
        <f t="shared" si="5"/>
        <v xml:space="preserve"> * :</v>
      </c>
      <c r="J12">
        <f t="shared" si="6"/>
        <v>0</v>
      </c>
      <c r="L12" t="str">
        <f t="shared" si="0"/>
        <v>Unique</v>
      </c>
    </row>
    <row r="13" spans="1:12" x14ac:dyDescent="0.35">
      <c r="I13" t="str">
        <f t="shared" si="5"/>
        <v xml:space="preserve"> * :</v>
      </c>
      <c r="J13">
        <f t="shared" si="6"/>
        <v>0</v>
      </c>
      <c r="L13" t="str">
        <f t="shared" si="0"/>
        <v>Unique</v>
      </c>
    </row>
    <row r="14" spans="1:12" x14ac:dyDescent="0.35">
      <c r="I14" t="str">
        <f t="shared" si="5"/>
        <v xml:space="preserve"> * :</v>
      </c>
      <c r="J14">
        <f t="shared" si="6"/>
        <v>0</v>
      </c>
      <c r="L14" t="str">
        <f t="shared" si="0"/>
        <v>Unique</v>
      </c>
    </row>
    <row r="15" spans="1:12" x14ac:dyDescent="0.35">
      <c r="I15" t="str">
        <f t="shared" si="5"/>
        <v xml:space="preserve"> * :</v>
      </c>
      <c r="J15">
        <f t="shared" si="6"/>
        <v>0</v>
      </c>
      <c r="L15" t="str">
        <f t="shared" si="0"/>
        <v>Unique</v>
      </c>
    </row>
    <row r="16" spans="1:12" x14ac:dyDescent="0.35">
      <c r="I16" t="str">
        <f t="shared" si="5"/>
        <v xml:space="preserve"> * :</v>
      </c>
      <c r="J16">
        <f t="shared" si="6"/>
        <v>0</v>
      </c>
      <c r="L16" t="str">
        <f t="shared" si="0"/>
        <v>Unique</v>
      </c>
    </row>
    <row r="17" spans="9:12" x14ac:dyDescent="0.35">
      <c r="I17" t="str">
        <f t="shared" si="5"/>
        <v xml:space="preserve"> * :</v>
      </c>
      <c r="J17">
        <f t="shared" si="6"/>
        <v>0</v>
      </c>
      <c r="L17" t="str">
        <f t="shared" si="0"/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0AD1A-D3E8-4810-ABDA-F7C9BCECDF3F}">
  <dimension ref="A1:O283"/>
  <sheetViews>
    <sheetView zoomScaleNormal="100" workbookViewId="0">
      <pane ySplit="1" topLeftCell="A2" activePane="bottomLeft" state="frozen"/>
      <selection pane="bottomLeft" sqref="A1:I283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5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153</v>
      </c>
      <c r="L1" s="18" t="s">
        <v>154</v>
      </c>
      <c r="M1" s="18" t="s">
        <v>155</v>
      </c>
      <c r="O1" s="10" t="s">
        <v>261</v>
      </c>
    </row>
    <row r="2" spans="1:15" customFormat="1" ht="27.65" customHeight="1" thickBot="1" x14ac:dyDescent="0.4">
      <c r="A2" s="36">
        <v>46268.375</v>
      </c>
      <c r="B2" s="37" t="s">
        <v>51</v>
      </c>
      <c r="C2" s="37" t="s">
        <v>10</v>
      </c>
      <c r="D2" s="38">
        <v>10</v>
      </c>
      <c r="E2" s="38">
        <v>917</v>
      </c>
      <c r="F2" s="4">
        <v>-0.69846770260000002</v>
      </c>
      <c r="G2" s="2" t="s">
        <v>52</v>
      </c>
      <c r="H2" s="5">
        <v>923.45</v>
      </c>
      <c r="I2" s="1" t="s">
        <v>8</v>
      </c>
      <c r="J2" s="32" t="s">
        <v>55</v>
      </c>
      <c r="K2" s="33" t="s">
        <v>250</v>
      </c>
      <c r="L2" s="33">
        <v>9370</v>
      </c>
      <c r="M2" s="33">
        <f>ABS((D2*E2)-L2)</f>
        <v>200</v>
      </c>
      <c r="N2" s="35" t="str">
        <f>IF(COUNTIFS( $B$2:$B$786, B2, $C$2:$C$786, C2, $D$2:$D$786, D2, $E$2:$E$786, E2) &gt; 1, "Duplicate", "Unique")</f>
        <v>Duplicate</v>
      </c>
      <c r="O2" s="10"/>
    </row>
    <row r="3" spans="1:15" customFormat="1" ht="27.65" customHeight="1" thickBot="1" x14ac:dyDescent="0.4">
      <c r="A3" s="36">
        <v>46269.375</v>
      </c>
      <c r="B3" s="37" t="s">
        <v>51</v>
      </c>
      <c r="C3" s="37" t="s">
        <v>10</v>
      </c>
      <c r="D3" s="38">
        <v>10</v>
      </c>
      <c r="E3" s="38">
        <v>917</v>
      </c>
      <c r="F3" s="4">
        <v>-0.69846770260000002</v>
      </c>
      <c r="G3" s="2" t="s">
        <v>52</v>
      </c>
      <c r="H3" s="5">
        <v>923.45</v>
      </c>
      <c r="I3" s="1" t="s">
        <v>8</v>
      </c>
      <c r="J3" s="32" t="s">
        <v>55</v>
      </c>
      <c r="K3" s="33" t="s">
        <v>258</v>
      </c>
      <c r="L3" s="33">
        <v>9470</v>
      </c>
      <c r="M3" s="33">
        <f>ABS((D3*E3)-L3)</f>
        <v>300</v>
      </c>
      <c r="N3" s="34" t="str">
        <f>IF(COUNTIFS( $B$2:$B$786, B3, $C$2:$C$786, C3, $D$2:$D$786, D3, $E$2:$E$786, E3) &gt; 1, "Duplicate", "Unique")</f>
        <v>Duplicate</v>
      </c>
      <c r="O3" s="10"/>
    </row>
    <row r="4" spans="1:15" customFormat="1" ht="27.65" customHeight="1" thickBot="1" x14ac:dyDescent="0.4">
      <c r="A4" s="6" t="s">
        <v>62</v>
      </c>
      <c r="B4" s="1" t="s">
        <v>49</v>
      </c>
      <c r="C4" s="1" t="s">
        <v>10</v>
      </c>
      <c r="D4" s="4">
        <v>5</v>
      </c>
      <c r="E4" s="4">
        <v>3938</v>
      </c>
      <c r="F4" s="4">
        <v>-0.81104226489999998</v>
      </c>
      <c r="G4" s="2" t="s">
        <v>50</v>
      </c>
      <c r="H4" s="5">
        <v>3970.2</v>
      </c>
      <c r="I4" s="1" t="s">
        <v>8</v>
      </c>
      <c r="J4" s="42"/>
      <c r="K4" s="17"/>
      <c r="L4" s="17"/>
      <c r="M4" s="17"/>
      <c r="N4" t="str">
        <f>IF(COUNTIFS( $B$2:$B$786, B4, $C$2:$C$786, C4, $D$2:$D$786, D4, $E$2:$E$786, E4) &gt; 1, "Duplicate", "Unique")</f>
        <v>Unique</v>
      </c>
      <c r="O4" s="10"/>
    </row>
    <row r="5" spans="1:15" customFormat="1" ht="15" customHeight="1" thickBot="1" x14ac:dyDescent="0.4">
      <c r="A5" s="3">
        <v>46252.645833333336</v>
      </c>
      <c r="B5" s="1" t="s">
        <v>53</v>
      </c>
      <c r="C5" s="1" t="s">
        <v>10</v>
      </c>
      <c r="D5" s="4">
        <v>2</v>
      </c>
      <c r="E5" s="4">
        <v>2426</v>
      </c>
      <c r="F5" s="4">
        <v>-0.92297639470000004</v>
      </c>
      <c r="G5" s="2" t="s">
        <v>54</v>
      </c>
      <c r="H5" s="5">
        <v>2448.6</v>
      </c>
      <c r="I5" s="1" t="s">
        <v>8</v>
      </c>
      <c r="J5" s="44" t="s">
        <v>41</v>
      </c>
      <c r="K5" s="17"/>
      <c r="L5" s="17"/>
      <c r="M5" s="17"/>
      <c r="N5" t="str">
        <f>IF(COUNTIFS( $B$2:$B$786, B5, $C$2:$C$786, C5, $D$2:$D$786, D5, $E$2:$E$786, E5) &gt; 1, "Duplicate", "Unique")</f>
        <v>Unique</v>
      </c>
      <c r="O5" s="10"/>
    </row>
    <row r="6" spans="1:15" customFormat="1" ht="40.75" customHeight="1" thickBot="1" x14ac:dyDescent="0.4">
      <c r="A6" s="3">
        <v>46252.645138888889</v>
      </c>
      <c r="B6" s="1" t="s">
        <v>68</v>
      </c>
      <c r="C6" s="1" t="s">
        <v>10</v>
      </c>
      <c r="D6" s="4">
        <v>10</v>
      </c>
      <c r="E6" s="4">
        <v>401</v>
      </c>
      <c r="F6" s="4">
        <v>-1.1097410599999999</v>
      </c>
      <c r="G6" s="2" t="s">
        <v>69</v>
      </c>
      <c r="H6" s="5">
        <v>405.5</v>
      </c>
      <c r="I6" s="1" t="s">
        <v>8</v>
      </c>
      <c r="J6" s="44" t="s">
        <v>118</v>
      </c>
      <c r="K6" s="17"/>
      <c r="L6" s="17"/>
      <c r="M6" s="17"/>
      <c r="N6" t="str">
        <f>IF(COUNTIFS( $B$2:$B$786, B6, $C$2:$C$786, C6, $D$2:$D$786, D6, $E$2:$E$786, E6) &gt; 1, "Duplicate", "Unique")</f>
        <v>Unique</v>
      </c>
      <c r="O6" s="10"/>
    </row>
    <row r="7" spans="1:15" customFormat="1" ht="27.65" customHeight="1" thickBot="1" x14ac:dyDescent="0.4">
      <c r="A7" s="6" t="s">
        <v>62</v>
      </c>
      <c r="B7" s="1" t="s">
        <v>15</v>
      </c>
      <c r="C7" s="1" t="s">
        <v>10</v>
      </c>
      <c r="D7" s="4">
        <v>5</v>
      </c>
      <c r="E7" s="4">
        <v>2470</v>
      </c>
      <c r="F7" s="4">
        <v>-1.593625498</v>
      </c>
      <c r="G7" s="2" t="s">
        <v>72</v>
      </c>
      <c r="H7" s="5">
        <v>2510</v>
      </c>
      <c r="I7" s="1" t="s">
        <v>8</v>
      </c>
      <c r="J7" s="42"/>
      <c r="K7" s="17"/>
      <c r="L7" s="17"/>
      <c r="M7" s="17"/>
      <c r="N7" t="str">
        <f>IF(COUNTIFS( $B$2:$B$786, B7, $C$2:$C$786, C7, $D$2:$D$786, D7, $E$2:$E$786, E7) &gt; 1, "Duplicate", "Unique")</f>
        <v>Unique</v>
      </c>
      <c r="O7" s="10"/>
    </row>
    <row r="8" spans="1:15" customFormat="1" ht="40.75" customHeight="1" thickBot="1" x14ac:dyDescent="0.4">
      <c r="A8" s="6" t="s">
        <v>62</v>
      </c>
      <c r="B8" s="1" t="s">
        <v>103</v>
      </c>
      <c r="C8" s="1" t="s">
        <v>10</v>
      </c>
      <c r="D8" s="4">
        <v>7</v>
      </c>
      <c r="E8" s="4">
        <v>2401</v>
      </c>
      <c r="F8" s="4">
        <v>-1.719197708</v>
      </c>
      <c r="G8" s="2" t="s">
        <v>104</v>
      </c>
      <c r="H8" s="5">
        <v>2443</v>
      </c>
      <c r="I8" s="1" t="s">
        <v>8</v>
      </c>
      <c r="J8" s="42"/>
      <c r="K8" s="17"/>
      <c r="L8" s="17"/>
      <c r="M8" s="17"/>
      <c r="N8" t="str">
        <f>IF(COUNTIFS( $B$2:$B$786, B8, $C$2:$C$786, C8, $D$2:$D$786, D8, $E$2:$E$786, E8) &gt; 1, "Duplicate", "Unique")</f>
        <v>Unique</v>
      </c>
      <c r="O8" s="10"/>
    </row>
    <row r="9" spans="1:15" customFormat="1" ht="27.65" customHeight="1" thickBot="1" x14ac:dyDescent="0.4">
      <c r="A9" s="3">
        <v>46252.645138888889</v>
      </c>
      <c r="B9" s="1" t="s">
        <v>47</v>
      </c>
      <c r="C9" s="1" t="s">
        <v>10</v>
      </c>
      <c r="D9" s="4">
        <v>9</v>
      </c>
      <c r="E9" s="4">
        <v>2230</v>
      </c>
      <c r="F9" s="4">
        <v>-1.939228706</v>
      </c>
      <c r="G9" s="2" t="s">
        <v>48</v>
      </c>
      <c r="H9" s="5">
        <v>2274.1</v>
      </c>
      <c r="I9" s="1" t="s">
        <v>8</v>
      </c>
      <c r="J9" s="42"/>
      <c r="K9" s="17"/>
      <c r="L9" s="17"/>
      <c r="M9" s="17"/>
      <c r="N9" t="str">
        <f>IF(COUNTIFS( $B$2:$B$786, B9, $C$2:$C$786, C9, $D$2:$D$786, D9, $E$2:$E$786, E9) &gt; 1, "Duplicate", "Unique")</f>
        <v>Unique</v>
      </c>
      <c r="O9" s="10"/>
    </row>
    <row r="10" spans="1:15" customFormat="1" ht="27.65" customHeight="1" thickBot="1" x14ac:dyDescent="0.4">
      <c r="A10" s="6" t="s">
        <v>62</v>
      </c>
      <c r="B10" s="1" t="s">
        <v>15</v>
      </c>
      <c r="C10" s="1" t="s">
        <v>10</v>
      </c>
      <c r="D10" s="4">
        <v>30</v>
      </c>
      <c r="E10" s="4">
        <v>2460</v>
      </c>
      <c r="F10" s="4">
        <v>-1.992031873</v>
      </c>
      <c r="G10" s="2" t="s">
        <v>72</v>
      </c>
      <c r="H10" s="5">
        <v>2510</v>
      </c>
      <c r="I10" s="1" t="s">
        <v>8</v>
      </c>
      <c r="J10" s="42"/>
      <c r="K10" s="17"/>
      <c r="L10" s="17"/>
      <c r="M10" s="17"/>
      <c r="N10" t="str">
        <f>IF(COUNTIFS( $B$2:$B$786, B10, $C$2:$C$786, C10, $D$2:$D$786, D10, $E$2:$E$786, E10) &gt; 1, "Duplicate", "Unique")</f>
        <v>Unique</v>
      </c>
      <c r="O10" s="10"/>
    </row>
    <row r="11" spans="1:15" customFormat="1" ht="27.65" customHeight="1" thickBot="1" x14ac:dyDescent="0.4">
      <c r="A11" s="6" t="s">
        <v>62</v>
      </c>
      <c r="B11" s="1" t="s">
        <v>49</v>
      </c>
      <c r="C11" s="1" t="s">
        <v>10</v>
      </c>
      <c r="D11" s="4">
        <v>5</v>
      </c>
      <c r="E11" s="4">
        <v>3888</v>
      </c>
      <c r="F11" s="4">
        <v>-2.0704246639999999</v>
      </c>
      <c r="G11" s="2" t="s">
        <v>50</v>
      </c>
      <c r="H11" s="5">
        <v>3970.2</v>
      </c>
      <c r="I11" s="1" t="s">
        <v>8</v>
      </c>
      <c r="J11" s="42"/>
      <c r="K11" s="17"/>
      <c r="L11" s="17"/>
      <c r="M11" s="17"/>
      <c r="N11" t="str">
        <f>IF(COUNTIFS( $B$2:$B$786, B11, $C$2:$C$786, C11, $D$2:$D$786, D11, $E$2:$E$786, E11) &gt; 1, "Duplicate", "Unique")</f>
        <v>Unique</v>
      </c>
      <c r="O11" s="26"/>
    </row>
    <row r="12" spans="1:15" customFormat="1" ht="15" customHeight="1" thickBot="1" x14ac:dyDescent="0.4">
      <c r="A12" s="3">
        <v>46261.375</v>
      </c>
      <c r="B12" s="1" t="s">
        <v>23</v>
      </c>
      <c r="C12" s="1" t="s">
        <v>10</v>
      </c>
      <c r="D12" s="4">
        <v>50</v>
      </c>
      <c r="E12" s="4">
        <v>208</v>
      </c>
      <c r="F12" s="4">
        <v>-2.4390243900000002</v>
      </c>
      <c r="G12" s="2" t="s">
        <v>70</v>
      </c>
      <c r="H12" s="5">
        <v>213.2</v>
      </c>
      <c r="I12" s="1" t="s">
        <v>8</v>
      </c>
      <c r="J12" s="24" t="s">
        <v>55</v>
      </c>
      <c r="K12" s="18" t="s">
        <v>188</v>
      </c>
      <c r="L12" s="18">
        <v>10700</v>
      </c>
      <c r="M12" s="18">
        <f>ABS((D12*E12)-L12)</f>
        <v>300</v>
      </c>
      <c r="N12" s="10" t="str">
        <f>IF(COUNTIFS( $B$2:$B$786, B12, $C$2:$C$786, C12, $D$2:$D$786, D12, $E$2:$E$786, E12) &gt; 1, "Duplicate", "Unique")</f>
        <v>Unique</v>
      </c>
      <c r="O12" s="25"/>
    </row>
    <row r="13" spans="1:15" customFormat="1" ht="27.65" customHeight="1" thickBot="1" x14ac:dyDescent="0.4">
      <c r="A13" s="3">
        <v>46268.385416666664</v>
      </c>
      <c r="B13" s="1" t="s">
        <v>19</v>
      </c>
      <c r="C13" s="1" t="s">
        <v>10</v>
      </c>
      <c r="D13" s="4">
        <v>100</v>
      </c>
      <c r="E13" s="4">
        <v>214</v>
      </c>
      <c r="F13" s="4">
        <v>-2.7449554630000002</v>
      </c>
      <c r="G13" s="2" t="s">
        <v>40</v>
      </c>
      <c r="H13" s="5">
        <v>220.04</v>
      </c>
      <c r="I13" s="1" t="s">
        <v>8</v>
      </c>
      <c r="J13" s="24" t="s">
        <v>55</v>
      </c>
      <c r="K13" s="18" t="s">
        <v>249</v>
      </c>
      <c r="L13" s="18">
        <v>21900</v>
      </c>
      <c r="M13" s="18">
        <f>ABS((D13*E13)-L13)</f>
        <v>500</v>
      </c>
      <c r="N13" s="10" t="str">
        <f>IF(COUNTIFS( $B$2:$B$786, B13, $C$2:$C$786, C13, $D$2:$D$786, D13, $E$2:$E$786, E13) &gt; 1, "Duplicate", "Unique")</f>
        <v>Unique</v>
      </c>
      <c r="O13" s="10"/>
    </row>
    <row r="14" spans="1:15" customFormat="1" ht="27.65" customHeight="1" thickBot="1" x14ac:dyDescent="0.4">
      <c r="A14" s="3">
        <v>46252.6875</v>
      </c>
      <c r="B14" s="1" t="s">
        <v>20</v>
      </c>
      <c r="C14" s="1" t="s">
        <v>10</v>
      </c>
      <c r="D14" s="4">
        <v>20</v>
      </c>
      <c r="E14" s="4">
        <v>122</v>
      </c>
      <c r="F14" s="4">
        <v>-2.796589913</v>
      </c>
      <c r="G14" s="2" t="s">
        <v>86</v>
      </c>
      <c r="H14" s="5">
        <v>125.51</v>
      </c>
      <c r="I14" s="1" t="s">
        <v>8</v>
      </c>
      <c r="J14" s="43" t="s">
        <v>41</v>
      </c>
      <c r="K14" s="17"/>
      <c r="L14" s="17"/>
      <c r="M14" s="17"/>
      <c r="N14" t="str">
        <f>IF(COUNTIFS( $B$2:$B$786, B14, $C$2:$C$786, C14, $D$2:$D$786, D14, $E$2:$E$786, E14) &gt; 1, "Duplicate", "Unique")</f>
        <v>Unique</v>
      </c>
      <c r="O14" s="10"/>
    </row>
    <row r="15" spans="1:15" customFormat="1" ht="15" customHeight="1" thickBot="1" x14ac:dyDescent="0.4">
      <c r="A15" s="3">
        <v>46265.375694444447</v>
      </c>
      <c r="B15" s="1" t="s">
        <v>21</v>
      </c>
      <c r="C15" s="1" t="s">
        <v>10</v>
      </c>
      <c r="D15" s="4">
        <v>5</v>
      </c>
      <c r="E15" s="4">
        <v>680</v>
      </c>
      <c r="F15" s="4">
        <v>-2.8154923539999999</v>
      </c>
      <c r="G15" s="2" t="s">
        <v>76</v>
      </c>
      <c r="H15" s="5">
        <v>699.7</v>
      </c>
      <c r="I15" s="1" t="s">
        <v>8</v>
      </c>
      <c r="J15" s="24" t="s">
        <v>41</v>
      </c>
      <c r="K15" s="18" t="s">
        <v>218</v>
      </c>
      <c r="L15" s="18">
        <v>3650</v>
      </c>
      <c r="M15" s="18">
        <f>ABS((D15*E15)-L15)</f>
        <v>250</v>
      </c>
      <c r="N15" t="str">
        <f>IF(COUNTIFS( $B$2:$B$786, B15, $C$2:$C$786, C15, $D$2:$D$786, D15, $E$2:$E$786, E15) &gt; 1, "Duplicate", "Unique")</f>
        <v>Unique</v>
      </c>
      <c r="O15" s="10"/>
    </row>
    <row r="16" spans="1:15" customFormat="1" ht="40.75" customHeight="1" thickBot="1" x14ac:dyDescent="0.4">
      <c r="A16" s="6" t="s">
        <v>62</v>
      </c>
      <c r="B16" s="1" t="s">
        <v>51</v>
      </c>
      <c r="C16" s="1" t="s">
        <v>10</v>
      </c>
      <c r="D16" s="4">
        <v>40</v>
      </c>
      <c r="E16" s="4">
        <v>897</v>
      </c>
      <c r="F16" s="4">
        <v>-2.8642590289999998</v>
      </c>
      <c r="G16" s="2" t="s">
        <v>52</v>
      </c>
      <c r="H16" s="5">
        <v>923.45</v>
      </c>
      <c r="I16" s="1" t="s">
        <v>8</v>
      </c>
      <c r="J16" s="42"/>
      <c r="K16" s="17"/>
      <c r="L16" s="17"/>
      <c r="M16" s="17"/>
      <c r="N16" t="str">
        <f>IF(COUNTIFS( $B$2:$B$786, B16, $C$2:$C$786, C16, $D$2:$D$786, D16, $E$2:$E$786, E16) &gt; 1, "Duplicate", "Unique")</f>
        <v>Unique</v>
      </c>
      <c r="O16" s="10"/>
    </row>
    <row r="17" spans="1:15" customFormat="1" ht="27.65" customHeight="1" thickBot="1" x14ac:dyDescent="0.4">
      <c r="A17" s="6" t="s">
        <v>62</v>
      </c>
      <c r="B17" s="1" t="s">
        <v>49</v>
      </c>
      <c r="C17" s="1" t="s">
        <v>10</v>
      </c>
      <c r="D17" s="4">
        <v>2</v>
      </c>
      <c r="E17" s="4">
        <v>3856</v>
      </c>
      <c r="F17" s="4">
        <v>-2.8764293990000001</v>
      </c>
      <c r="G17" s="2" t="s">
        <v>50</v>
      </c>
      <c r="H17" s="5">
        <v>3970.2</v>
      </c>
      <c r="I17" s="1" t="s">
        <v>8</v>
      </c>
      <c r="J17" s="42"/>
      <c r="K17" s="17"/>
      <c r="L17" s="17"/>
      <c r="M17" s="17"/>
      <c r="N17" t="str">
        <f>IF(COUNTIFS( $B$2:$B$786, B17, $C$2:$C$786, C17, $D$2:$D$786, D17, $E$2:$E$786, E17) &gt; 1, "Duplicate", "Unique")</f>
        <v>Unique</v>
      </c>
      <c r="O17" s="19"/>
    </row>
    <row r="18" spans="1:15" customFormat="1" ht="27.65" customHeight="1" thickBot="1" x14ac:dyDescent="0.4">
      <c r="A18" s="3">
        <v>46258.375694444447</v>
      </c>
      <c r="B18" s="1" t="s">
        <v>80</v>
      </c>
      <c r="C18" s="1" t="s">
        <v>10</v>
      </c>
      <c r="D18" s="4">
        <v>10</v>
      </c>
      <c r="E18" s="4">
        <v>1465</v>
      </c>
      <c r="F18" s="4">
        <v>-2.9737068679999998</v>
      </c>
      <c r="G18" s="2" t="s">
        <v>81</v>
      </c>
      <c r="H18" s="5">
        <v>1509.9</v>
      </c>
      <c r="I18" s="1" t="s">
        <v>8</v>
      </c>
      <c r="J18" s="24" t="s">
        <v>55</v>
      </c>
      <c r="K18" s="18" t="s">
        <v>162</v>
      </c>
      <c r="L18" s="18">
        <v>15100</v>
      </c>
      <c r="M18" s="18">
        <f>ABS((D18*E18)-L18)</f>
        <v>450</v>
      </c>
      <c r="N18" s="10" t="str">
        <f>IF(COUNTIFS( $B$2:$B$786, B18, $C$2:$C$786, C18, $D$2:$D$786, D18, $E$2:$E$786, E18) &gt; 1, "Duplicate", "Unique")</f>
        <v>Unique</v>
      </c>
      <c r="O18" s="10"/>
    </row>
    <row r="19" spans="1:15" customFormat="1" ht="27.65" customHeight="1" thickBot="1" x14ac:dyDescent="0.4">
      <c r="A19" s="6" t="s">
        <v>62</v>
      </c>
      <c r="B19" s="1" t="s">
        <v>15</v>
      </c>
      <c r="C19" s="1" t="s">
        <v>10</v>
      </c>
      <c r="D19" s="4">
        <v>30</v>
      </c>
      <c r="E19" s="4">
        <v>2435</v>
      </c>
      <c r="F19" s="4">
        <v>-2.9880478090000002</v>
      </c>
      <c r="G19" s="2" t="s">
        <v>72</v>
      </c>
      <c r="H19" s="5">
        <v>2510</v>
      </c>
      <c r="I19" s="1" t="s">
        <v>8</v>
      </c>
      <c r="J19" s="42"/>
      <c r="K19" s="17"/>
      <c r="L19" s="17"/>
      <c r="M19" s="17"/>
      <c r="N19" t="str">
        <f>IF(COUNTIFS( $B$2:$B$786, B19, $C$2:$C$786, C19, $D$2:$D$786, D19, $E$2:$E$786, E19) &gt; 1, "Duplicate", "Unique")</f>
        <v>Unique</v>
      </c>
      <c r="O19" s="10"/>
    </row>
    <row r="20" spans="1:15" s="34" customFormat="1" ht="27.65" customHeight="1" thickBot="1" x14ac:dyDescent="0.4">
      <c r="A20" s="6" t="s">
        <v>62</v>
      </c>
      <c r="B20" s="1" t="s">
        <v>103</v>
      </c>
      <c r="C20" s="1" t="s">
        <v>10</v>
      </c>
      <c r="D20" s="4">
        <v>8</v>
      </c>
      <c r="E20" s="4">
        <v>2370</v>
      </c>
      <c r="F20" s="4">
        <v>-2.9881293489999998</v>
      </c>
      <c r="G20" s="2" t="s">
        <v>104</v>
      </c>
      <c r="H20" s="5">
        <v>2443</v>
      </c>
      <c r="I20" s="1" t="s">
        <v>8</v>
      </c>
      <c r="J20" s="42"/>
      <c r="K20" s="17"/>
      <c r="L20" s="17"/>
      <c r="M20" s="17"/>
      <c r="N20" t="str">
        <f>IF(COUNTIFS( $B$2:$B$786, B20, $C$2:$C$786, C20, $D$2:$D$786, D20, $E$2:$E$786, E20) &gt; 1, "Duplicate", "Unique")</f>
        <v>Unique</v>
      </c>
      <c r="O20" s="10"/>
    </row>
    <row r="21" spans="1:15" customFormat="1" ht="15" customHeight="1" thickBot="1" x14ac:dyDescent="0.4">
      <c r="A21" s="6" t="s">
        <v>62</v>
      </c>
      <c r="B21" s="1" t="s">
        <v>82</v>
      </c>
      <c r="C21" s="1" t="s">
        <v>10</v>
      </c>
      <c r="D21" s="4">
        <v>2</v>
      </c>
      <c r="E21" s="4">
        <v>4010</v>
      </c>
      <c r="F21" s="4">
        <v>-3.1868662479999998</v>
      </c>
      <c r="G21" s="2" t="s">
        <v>83</v>
      </c>
      <c r="H21" s="5">
        <v>4142</v>
      </c>
      <c r="I21" s="1" t="s">
        <v>8</v>
      </c>
      <c r="J21" s="42"/>
      <c r="K21" s="17"/>
      <c r="L21" s="17"/>
      <c r="M21" s="17"/>
      <c r="N21" t="str">
        <f>IF(COUNTIFS( $B$2:$B$786, B21, $C$2:$C$786, C21, $D$2:$D$786, D21, $E$2:$E$786, E21) &gt; 1, "Duplicate", "Unique")</f>
        <v>Unique</v>
      </c>
      <c r="O21" s="10"/>
    </row>
    <row r="22" spans="1:15" customFormat="1" ht="40.75" customHeight="1" thickBot="1" x14ac:dyDescent="0.4">
      <c r="A22" s="3">
        <v>46268.375</v>
      </c>
      <c r="B22" s="1" t="s">
        <v>32</v>
      </c>
      <c r="C22" s="1" t="s">
        <v>10</v>
      </c>
      <c r="D22" s="4">
        <v>20</v>
      </c>
      <c r="E22" s="4">
        <v>870.2</v>
      </c>
      <c r="F22" s="4">
        <v>-3.3111111110000002</v>
      </c>
      <c r="G22" s="2" t="s">
        <v>85</v>
      </c>
      <c r="H22" s="5">
        <v>900</v>
      </c>
      <c r="I22" s="1" t="s">
        <v>8</v>
      </c>
      <c r="J22" s="24" t="s">
        <v>55</v>
      </c>
      <c r="K22" s="18" t="s">
        <v>248</v>
      </c>
      <c r="L22" s="18">
        <v>17920</v>
      </c>
      <c r="M22" s="18">
        <f>ABS((D22*E22)-L22)</f>
        <v>516</v>
      </c>
      <c r="N22" s="10" t="str">
        <f>IF(COUNTIFS( $B$2:$B$786, B22, $C$2:$C$786, C22, $D$2:$D$786, D22, $E$2:$E$786, E22) &gt; 1, "Duplicate", "Unique")</f>
        <v>Unique</v>
      </c>
      <c r="O22" s="10"/>
    </row>
    <row r="23" spans="1:15" customFormat="1" ht="15" customHeight="1" thickBot="1" x14ac:dyDescent="0.4">
      <c r="A23" s="3">
        <v>46261.375</v>
      </c>
      <c r="B23" s="1" t="s">
        <v>32</v>
      </c>
      <c r="C23" s="1" t="s">
        <v>10</v>
      </c>
      <c r="D23" s="4">
        <v>20</v>
      </c>
      <c r="E23" s="4">
        <v>870</v>
      </c>
      <c r="F23" s="4">
        <v>-3.3333333330000001</v>
      </c>
      <c r="G23" s="2" t="s">
        <v>85</v>
      </c>
      <c r="H23" s="5">
        <v>900</v>
      </c>
      <c r="I23" s="1" t="s">
        <v>8</v>
      </c>
      <c r="J23" s="24" t="s">
        <v>41</v>
      </c>
      <c r="K23" s="18" t="s">
        <v>190</v>
      </c>
      <c r="L23" s="18">
        <v>17700</v>
      </c>
      <c r="M23" s="18">
        <f>ABS((D23*E23)-L23)</f>
        <v>300</v>
      </c>
      <c r="N23" s="10" t="str">
        <f>IF(COUNTIFS( $B$2:$B$786, B23, $C$2:$C$786, C23, $D$2:$D$786, D23, $E$2:$E$786, E23) &gt; 1, "Duplicate", "Unique")</f>
        <v>Unique</v>
      </c>
      <c r="O23" s="10"/>
    </row>
    <row r="24" spans="1:15" customFormat="1" ht="27.65" customHeight="1" thickBot="1" x14ac:dyDescent="0.4">
      <c r="A24" s="6" t="s">
        <v>62</v>
      </c>
      <c r="B24" s="1" t="s">
        <v>49</v>
      </c>
      <c r="C24" s="1" t="s">
        <v>10</v>
      </c>
      <c r="D24" s="4">
        <v>2</v>
      </c>
      <c r="E24" s="4">
        <v>3830</v>
      </c>
      <c r="F24" s="4">
        <v>-3.531308246</v>
      </c>
      <c r="G24" s="2" t="s">
        <v>50</v>
      </c>
      <c r="H24" s="5">
        <v>3970.2</v>
      </c>
      <c r="I24" s="1" t="s">
        <v>8</v>
      </c>
      <c r="J24" s="42"/>
      <c r="K24" s="17"/>
      <c r="L24" s="17"/>
      <c r="M24" s="17"/>
      <c r="N24" t="str">
        <f>IF(COUNTIFS( $B$2:$B$786, B24, $C$2:$C$786, C24, $D$2:$D$786, D24, $E$2:$E$786, E24) &gt; 1, "Duplicate", "Unique")</f>
        <v>Unique</v>
      </c>
      <c r="O24" s="10"/>
    </row>
    <row r="25" spans="1:15" customFormat="1" ht="27.65" customHeight="1" thickBot="1" x14ac:dyDescent="0.4">
      <c r="A25" s="3">
        <v>46252.635416666664</v>
      </c>
      <c r="B25" s="1" t="s">
        <v>68</v>
      </c>
      <c r="C25" s="1" t="s">
        <v>10</v>
      </c>
      <c r="D25" s="4">
        <v>100</v>
      </c>
      <c r="E25" s="4">
        <v>391</v>
      </c>
      <c r="F25" s="4">
        <v>-3.5758323060000001</v>
      </c>
      <c r="G25" s="2" t="s">
        <v>69</v>
      </c>
      <c r="H25" s="5">
        <v>405.5</v>
      </c>
      <c r="I25" s="1" t="s">
        <v>8</v>
      </c>
      <c r="J25" s="42" t="s">
        <v>55</v>
      </c>
      <c r="K25" s="17"/>
      <c r="L25" s="17"/>
      <c r="M25" s="17"/>
      <c r="N25" t="str">
        <f>IF(COUNTIFS( $B$2:$B$786, B25, $C$2:$C$786, C25, $D$2:$D$786, D25, $E$2:$E$786, E25) &gt; 1, "Duplicate", "Unique")</f>
        <v>Unique</v>
      </c>
      <c r="O25" s="10"/>
    </row>
    <row r="26" spans="1:15" customFormat="1" ht="27.65" customHeight="1" thickBot="1" x14ac:dyDescent="0.4">
      <c r="A26" s="6" t="s">
        <v>62</v>
      </c>
      <c r="B26" s="1" t="s">
        <v>19</v>
      </c>
      <c r="C26" s="1" t="s">
        <v>10</v>
      </c>
      <c r="D26" s="4">
        <v>50</v>
      </c>
      <c r="E26" s="4">
        <v>212</v>
      </c>
      <c r="F26" s="4">
        <v>-3.6538811130000002</v>
      </c>
      <c r="G26" s="2" t="s">
        <v>40</v>
      </c>
      <c r="H26" s="5">
        <v>220.04</v>
      </c>
      <c r="I26" s="1" t="s">
        <v>8</v>
      </c>
      <c r="J26" s="42" t="s">
        <v>41</v>
      </c>
      <c r="K26" s="17"/>
      <c r="L26" s="17"/>
      <c r="M26" s="17"/>
      <c r="N26" t="str">
        <f>IF(COUNTIFS( $B$2:$B$786, B26, $C$2:$C$786, C26, $D$2:$D$786, D26, $E$2:$E$786, E26) &gt; 1, "Duplicate", "Unique")</f>
        <v>Unique</v>
      </c>
      <c r="O26" s="10"/>
    </row>
    <row r="27" spans="1:15" customFormat="1" ht="27.65" customHeight="1" thickBot="1" x14ac:dyDescent="0.4">
      <c r="A27" s="6" t="s">
        <v>62</v>
      </c>
      <c r="B27" s="1" t="s">
        <v>66</v>
      </c>
      <c r="C27" s="1" t="s">
        <v>10</v>
      </c>
      <c r="D27" s="4">
        <v>10</v>
      </c>
      <c r="E27" s="4">
        <v>1166</v>
      </c>
      <c r="F27" s="4">
        <v>-3.7953795380000002</v>
      </c>
      <c r="G27" s="2" t="s">
        <v>67</v>
      </c>
      <c r="H27" s="5">
        <v>1212</v>
      </c>
      <c r="I27" s="1" t="s">
        <v>8</v>
      </c>
      <c r="J27" s="42"/>
      <c r="K27" s="17"/>
      <c r="L27" s="17"/>
      <c r="M27" s="17"/>
      <c r="N27" t="str">
        <f>IF(COUNTIFS( $B$2:$B$786, B27, $C$2:$C$786, C27, $D$2:$D$786, D27, $E$2:$E$786, E27) &gt; 1, "Duplicate", "Unique")</f>
        <v>Unique</v>
      </c>
      <c r="O27" s="10"/>
    </row>
    <row r="28" spans="1:15" customFormat="1" ht="15" customHeight="1" thickBot="1" x14ac:dyDescent="0.4">
      <c r="A28" s="3">
        <v>46261.375</v>
      </c>
      <c r="B28" s="1" t="s">
        <v>23</v>
      </c>
      <c r="C28" s="1" t="s">
        <v>10</v>
      </c>
      <c r="D28" s="4">
        <v>50</v>
      </c>
      <c r="E28" s="4">
        <v>205</v>
      </c>
      <c r="F28" s="4">
        <v>-3.846153846</v>
      </c>
      <c r="G28" s="2" t="s">
        <v>70</v>
      </c>
      <c r="H28" s="5">
        <v>213.2</v>
      </c>
      <c r="I28" s="1" t="s">
        <v>8</v>
      </c>
      <c r="J28" s="24" t="s">
        <v>41</v>
      </c>
      <c r="K28" s="18" t="s">
        <v>189</v>
      </c>
      <c r="L28" s="18">
        <v>10550</v>
      </c>
      <c r="M28" s="18">
        <f>ABS((D28*E28)-L28)</f>
        <v>300</v>
      </c>
      <c r="N28" s="10" t="str">
        <f>IF(COUNTIFS( $B$2:$B$786, B28, $C$2:$C$786, C28, $D$2:$D$786, D28, $E$2:$E$786, E28) &gt; 1, "Duplicate", "Unique")</f>
        <v>Unique</v>
      </c>
      <c r="O28" s="10"/>
    </row>
    <row r="29" spans="1:15" customFormat="1" ht="27.65" customHeight="1" thickBot="1" x14ac:dyDescent="0.4">
      <c r="A29" s="6" t="s">
        <v>62</v>
      </c>
      <c r="B29" s="1" t="s">
        <v>49</v>
      </c>
      <c r="C29" s="1" t="s">
        <v>10</v>
      </c>
      <c r="D29" s="4">
        <v>3</v>
      </c>
      <c r="E29" s="4">
        <v>3810</v>
      </c>
      <c r="F29" s="4">
        <v>-4.035061206</v>
      </c>
      <c r="G29" s="2" t="s">
        <v>50</v>
      </c>
      <c r="H29" s="5">
        <v>3970.2</v>
      </c>
      <c r="I29" s="1" t="s">
        <v>8</v>
      </c>
      <c r="J29" s="42"/>
      <c r="K29" s="17"/>
      <c r="L29" s="17"/>
      <c r="M29" s="17"/>
      <c r="N29" t="str">
        <f>IF(COUNTIFS( $B$2:$B$786, B29, $C$2:$C$786, C29, $D$2:$D$786, D29, $E$2:$E$786, E29) &gt; 1, "Duplicate", "Unique")</f>
        <v>Unique</v>
      </c>
      <c r="O29" s="10"/>
    </row>
    <row r="30" spans="1:15" customFormat="1" ht="27.65" customHeight="1" thickBot="1" x14ac:dyDescent="0.4">
      <c r="A30" s="3">
        <v>46252.635416666664</v>
      </c>
      <c r="B30" s="1" t="s">
        <v>36</v>
      </c>
      <c r="C30" s="1" t="s">
        <v>10</v>
      </c>
      <c r="D30" s="4">
        <v>5</v>
      </c>
      <c r="E30" s="4">
        <v>1142</v>
      </c>
      <c r="F30" s="4">
        <v>-4.1222399459999997</v>
      </c>
      <c r="G30" s="2" t="s">
        <v>65</v>
      </c>
      <c r="H30" s="5">
        <v>1191.0999999999999</v>
      </c>
      <c r="I30" s="1" t="s">
        <v>8</v>
      </c>
      <c r="J30" s="22" t="s">
        <v>41</v>
      </c>
      <c r="K30" s="17"/>
      <c r="L30" s="17"/>
      <c r="M30" s="17"/>
      <c r="N30" t="str">
        <f>IF(COUNTIFS( $B$2:$B$786, B30, $C$2:$C$786, C30, $D$2:$D$786, D30, $E$2:$E$786, E30) &gt; 1, "Duplicate", "Unique")</f>
        <v>Unique</v>
      </c>
      <c r="O30" s="10"/>
    </row>
    <row r="31" spans="1:15" customFormat="1" ht="27.65" customHeight="1" thickBot="1" x14ac:dyDescent="0.4">
      <c r="A31" s="6" t="s">
        <v>62</v>
      </c>
      <c r="B31" s="1" t="s">
        <v>9</v>
      </c>
      <c r="C31" s="1" t="s">
        <v>10</v>
      </c>
      <c r="D31" s="4">
        <v>20</v>
      </c>
      <c r="E31" s="4">
        <v>281</v>
      </c>
      <c r="F31" s="4">
        <v>-4.3078494809999999</v>
      </c>
      <c r="G31" s="2" t="s">
        <v>95</v>
      </c>
      <c r="H31" s="5">
        <v>293.64999999999998</v>
      </c>
      <c r="I31" s="1" t="s">
        <v>8</v>
      </c>
      <c r="J31" s="42"/>
      <c r="K31" s="17"/>
      <c r="L31" s="17"/>
      <c r="M31" s="17"/>
      <c r="N31" t="str">
        <f>IF(COUNTIFS( $B$2:$B$786, B31, $C$2:$C$786, C31, $D$2:$D$786, D31, $E$2:$E$786, E31) &gt; 1, "Duplicate", "Unique")</f>
        <v>Unique</v>
      </c>
      <c r="O31" s="10"/>
    </row>
    <row r="32" spans="1:15" customFormat="1" ht="27.65" customHeight="1" thickBot="1" x14ac:dyDescent="0.4">
      <c r="A32" s="6" t="s">
        <v>62</v>
      </c>
      <c r="B32" s="1" t="s">
        <v>109</v>
      </c>
      <c r="C32" s="1" t="s">
        <v>10</v>
      </c>
      <c r="D32" s="4">
        <v>1</v>
      </c>
      <c r="E32" s="4">
        <v>4640</v>
      </c>
      <c r="F32" s="4">
        <v>-4.3693322339999998</v>
      </c>
      <c r="G32" s="2" t="s">
        <v>110</v>
      </c>
      <c r="H32" s="5">
        <v>4852</v>
      </c>
      <c r="I32" s="1" t="s">
        <v>8</v>
      </c>
      <c r="J32" s="42"/>
      <c r="K32" s="17"/>
      <c r="L32" s="17"/>
      <c r="M32" s="17"/>
      <c r="N32" t="str">
        <f>IF(COUNTIFS( $B$2:$B$786, B32, $C$2:$C$786, C32, $D$2:$D$786, D32, $E$2:$E$786, E32) &gt; 1, "Duplicate", "Unique")</f>
        <v>Unique</v>
      </c>
      <c r="O32" s="10"/>
    </row>
    <row r="33" spans="1:15" customFormat="1" ht="15" customHeight="1" thickBot="1" x14ac:dyDescent="0.4">
      <c r="A33" s="3">
        <v>46252.635416666664</v>
      </c>
      <c r="B33" s="1" t="s">
        <v>89</v>
      </c>
      <c r="C33" s="1" t="s">
        <v>10</v>
      </c>
      <c r="D33" s="4">
        <v>1</v>
      </c>
      <c r="E33" s="4">
        <v>13552</v>
      </c>
      <c r="F33" s="4">
        <v>-4.4287729200000001</v>
      </c>
      <c r="G33" s="2" t="s">
        <v>90</v>
      </c>
      <c r="H33" s="5">
        <v>14180</v>
      </c>
      <c r="I33" s="1" t="s">
        <v>8</v>
      </c>
      <c r="J33" s="42"/>
      <c r="K33" s="17"/>
      <c r="L33" s="17"/>
      <c r="M33" s="17"/>
      <c r="N33" t="str">
        <f>IF(COUNTIFS( $B$2:$B$786, B33, $C$2:$C$786, C33, $D$2:$D$786, D33, $E$2:$E$786, E33) &gt; 1, "Duplicate", "Unique")</f>
        <v>Unique</v>
      </c>
      <c r="O33" s="10"/>
    </row>
    <row r="34" spans="1:15" customFormat="1" ht="27.65" customHeight="1" thickBot="1" x14ac:dyDescent="0.4">
      <c r="A34" s="3">
        <v>46252.6875</v>
      </c>
      <c r="B34" s="1" t="s">
        <v>23</v>
      </c>
      <c r="C34" s="1" t="s">
        <v>10</v>
      </c>
      <c r="D34" s="4">
        <v>50</v>
      </c>
      <c r="E34" s="4">
        <v>203.5</v>
      </c>
      <c r="F34" s="4">
        <v>-4.5497185739999999</v>
      </c>
      <c r="G34" s="2" t="s">
        <v>70</v>
      </c>
      <c r="H34" s="5">
        <v>213.2</v>
      </c>
      <c r="I34" s="1" t="s">
        <v>8</v>
      </c>
      <c r="J34" s="43" t="s">
        <v>55</v>
      </c>
      <c r="K34" s="17"/>
      <c r="L34" s="17"/>
      <c r="M34" s="17"/>
      <c r="N34" t="str">
        <f>IF(COUNTIFS( $B$2:$B$786, B34, $C$2:$C$786, C34, $D$2:$D$786, D34, $E$2:$E$786, E34) &gt; 1, "Duplicate", "Unique")</f>
        <v>Unique</v>
      </c>
      <c r="O34" s="10"/>
    </row>
    <row r="35" spans="1:15" customFormat="1" ht="15" customHeight="1" thickBot="1" x14ac:dyDescent="0.4">
      <c r="A35" s="3">
        <v>46252.6875</v>
      </c>
      <c r="B35" s="1" t="s">
        <v>11</v>
      </c>
      <c r="C35" s="1" t="s">
        <v>10</v>
      </c>
      <c r="D35" s="4">
        <v>60</v>
      </c>
      <c r="E35" s="4">
        <v>271</v>
      </c>
      <c r="F35" s="4">
        <v>-4.5606620879999999</v>
      </c>
      <c r="G35" s="2" t="s">
        <v>99</v>
      </c>
      <c r="H35" s="5">
        <v>283.95</v>
      </c>
      <c r="I35" s="1" t="s">
        <v>8</v>
      </c>
      <c r="J35" s="42"/>
      <c r="K35" s="17"/>
      <c r="L35" s="17"/>
      <c r="M35" s="17"/>
      <c r="N35" t="str">
        <f>IF(COUNTIFS( $B$2:$B$786, B35, $C$2:$C$786, C35, $D$2:$D$786, D35, $E$2:$E$786, E35) &gt; 1, "Duplicate", "Unique")</f>
        <v>Unique</v>
      </c>
      <c r="O35" s="10"/>
    </row>
    <row r="36" spans="1:15" customFormat="1" ht="27.65" customHeight="1" thickBot="1" x14ac:dyDescent="0.4">
      <c r="A36" s="3">
        <v>46031.4375</v>
      </c>
      <c r="B36" s="1" t="s">
        <v>220</v>
      </c>
      <c r="C36" s="1" t="s">
        <v>10</v>
      </c>
      <c r="D36" s="4">
        <v>3</v>
      </c>
      <c r="E36" s="4">
        <v>1052</v>
      </c>
      <c r="F36" s="4">
        <v>-4.6021310360000003</v>
      </c>
      <c r="G36" s="2" t="s">
        <v>232</v>
      </c>
      <c r="H36" s="5">
        <v>1102.75</v>
      </c>
      <c r="I36" s="1" t="s">
        <v>8</v>
      </c>
      <c r="J36" s="24" t="s">
        <v>41</v>
      </c>
      <c r="K36" s="18"/>
      <c r="L36" s="18"/>
      <c r="M36" s="18">
        <f>ABS((D36*E36)-L36)</f>
        <v>3156</v>
      </c>
      <c r="N36" s="10" t="str">
        <f>IF(COUNTIFS( $B$2:$B$786, B36, $C$2:$C$786, C36, $D$2:$D$786, D36, $E$2:$E$786, E36) &gt; 1, "Duplicate", "Unique")</f>
        <v>Unique</v>
      </c>
      <c r="O36" s="10"/>
    </row>
    <row r="37" spans="1:15" customFormat="1" ht="27.65" customHeight="1" thickBot="1" x14ac:dyDescent="0.4">
      <c r="A37" s="3">
        <v>46252.635416666664</v>
      </c>
      <c r="B37" s="1" t="s">
        <v>80</v>
      </c>
      <c r="C37" s="1" t="s">
        <v>10</v>
      </c>
      <c r="D37" s="4">
        <v>10</v>
      </c>
      <c r="E37" s="4">
        <v>1440</v>
      </c>
      <c r="F37" s="4">
        <v>-4.6294456589999999</v>
      </c>
      <c r="G37" s="2" t="s">
        <v>81</v>
      </c>
      <c r="H37" s="5">
        <v>1509.9</v>
      </c>
      <c r="I37" s="1" t="s">
        <v>8</v>
      </c>
      <c r="J37" s="42"/>
      <c r="K37" s="17"/>
      <c r="L37" s="17"/>
      <c r="M37" s="17"/>
      <c r="N37" t="str">
        <f>IF(COUNTIFS( $B$2:$B$786, B37, $C$2:$C$786, C37, $D$2:$D$786, D37, $E$2:$E$786, E37) &gt; 1, "Duplicate", "Unique")</f>
        <v>Unique</v>
      </c>
      <c r="O37" s="25"/>
    </row>
    <row r="38" spans="1:15" customFormat="1" ht="27.65" customHeight="1" thickBot="1" x14ac:dyDescent="0.4">
      <c r="A38" s="3">
        <v>46269.375</v>
      </c>
      <c r="B38" s="1" t="s">
        <v>17</v>
      </c>
      <c r="C38" s="1" t="s">
        <v>10</v>
      </c>
      <c r="D38" s="4">
        <v>25</v>
      </c>
      <c r="E38" s="4">
        <v>348</v>
      </c>
      <c r="F38" s="4">
        <v>-4.6575342470000001</v>
      </c>
      <c r="G38" s="2" t="s">
        <v>77</v>
      </c>
      <c r="H38" s="5">
        <v>365</v>
      </c>
      <c r="I38" s="1" t="s">
        <v>8</v>
      </c>
      <c r="J38" s="24" t="s">
        <v>55</v>
      </c>
      <c r="K38" s="18" t="s">
        <v>257</v>
      </c>
      <c r="L38" s="18">
        <v>9000</v>
      </c>
      <c r="M38" s="27">
        <f>ABS((D38*E38)-L38)</f>
        <v>300</v>
      </c>
      <c r="N38" t="str">
        <f>IF(COUNTIFS( $B$2:$B$786, B38, $C$2:$C$786, C38, $D$2:$D$786, D38, $E$2:$E$786, E38) &gt; 1, "Duplicate", "Unique")</f>
        <v>Unique</v>
      </c>
      <c r="O38" s="10"/>
    </row>
    <row r="39" spans="1:15" customFormat="1" ht="27.65" customHeight="1" thickBot="1" x14ac:dyDescent="0.4">
      <c r="A39" s="3">
        <v>46260.375</v>
      </c>
      <c r="B39" s="1" t="s">
        <v>33</v>
      </c>
      <c r="C39" s="1" t="s">
        <v>10</v>
      </c>
      <c r="D39" s="4">
        <v>3</v>
      </c>
      <c r="E39" s="4">
        <v>2348</v>
      </c>
      <c r="F39" s="4">
        <v>-4.7464503039999997</v>
      </c>
      <c r="G39" s="2" t="s">
        <v>84</v>
      </c>
      <c r="H39" s="5">
        <v>2465</v>
      </c>
      <c r="I39" s="1" t="s">
        <v>8</v>
      </c>
      <c r="J39" s="24" t="s">
        <v>41</v>
      </c>
      <c r="K39" s="18" t="s">
        <v>177</v>
      </c>
      <c r="L39" s="18">
        <v>7344</v>
      </c>
      <c r="M39" s="18">
        <f>ABS((D39*E39)-L39)</f>
        <v>300</v>
      </c>
      <c r="N39" t="str">
        <f>IF(COUNTIFS( $B$2:$B$786, B39, $C$2:$C$786, C39, $D$2:$D$786, D39, $E$2:$E$786, E39) &gt; 1, "Duplicate", "Unique")</f>
        <v>Unique</v>
      </c>
      <c r="O39" s="10"/>
    </row>
    <row r="40" spans="1:15" customFormat="1" ht="15" customHeight="1" thickBot="1" x14ac:dyDescent="0.4">
      <c r="A40" s="6" t="s">
        <v>62</v>
      </c>
      <c r="B40" s="1" t="s">
        <v>51</v>
      </c>
      <c r="C40" s="1" t="s">
        <v>10</v>
      </c>
      <c r="D40" s="4">
        <v>40</v>
      </c>
      <c r="E40" s="4">
        <v>878</v>
      </c>
      <c r="F40" s="4">
        <v>-4.9217607880000003</v>
      </c>
      <c r="G40" s="2" t="s">
        <v>52</v>
      </c>
      <c r="H40" s="5">
        <v>923.45</v>
      </c>
      <c r="I40" s="1" t="s">
        <v>8</v>
      </c>
      <c r="J40" s="42"/>
      <c r="K40" s="17"/>
      <c r="L40" s="17"/>
      <c r="M40" s="17"/>
      <c r="N40" t="str">
        <f>IF(COUNTIFS( $B$2:$B$786, B40, $C$2:$C$786, C40, $D$2:$D$786, D40, $E$2:$E$786, E40) &gt; 1, "Duplicate", "Unique")</f>
        <v>Unique</v>
      </c>
      <c r="O40" s="10"/>
    </row>
    <row r="41" spans="1:15" customFormat="1" ht="27.65" customHeight="1" thickBot="1" x14ac:dyDescent="0.4">
      <c r="A41" s="3">
        <v>46252.635416666664</v>
      </c>
      <c r="B41" s="1" t="s">
        <v>36</v>
      </c>
      <c r="C41" s="1" t="s">
        <v>10</v>
      </c>
      <c r="D41" s="4">
        <v>5</v>
      </c>
      <c r="E41" s="4">
        <v>1132</v>
      </c>
      <c r="F41" s="4">
        <v>-4.9618000169999998</v>
      </c>
      <c r="G41" s="2" t="s">
        <v>65</v>
      </c>
      <c r="H41" s="5">
        <v>1191.0999999999999</v>
      </c>
      <c r="I41" s="1" t="s">
        <v>8</v>
      </c>
      <c r="J41" s="42"/>
      <c r="K41" s="17"/>
      <c r="L41" s="17"/>
      <c r="M41" s="17"/>
      <c r="N41" t="str">
        <f>IF(COUNTIFS( $B$2:$B$786, B41, $C$2:$C$786, C41, $D$2:$D$786, D41, $E$2:$E$786, E41) &gt; 1, "Duplicate", "Unique")</f>
        <v>Unique</v>
      </c>
      <c r="O41" s="10"/>
    </row>
    <row r="42" spans="1:15" customFormat="1" ht="27.65" customHeight="1" thickBot="1" x14ac:dyDescent="0.4">
      <c r="A42" s="6" t="s">
        <v>62</v>
      </c>
      <c r="B42" s="1" t="s">
        <v>20</v>
      </c>
      <c r="C42" s="1" t="s">
        <v>10</v>
      </c>
      <c r="D42" s="4">
        <v>50</v>
      </c>
      <c r="E42" s="4">
        <v>119</v>
      </c>
      <c r="F42" s="4">
        <v>-5.186837702</v>
      </c>
      <c r="G42" s="2" t="s">
        <v>86</v>
      </c>
      <c r="H42" s="5">
        <v>125.51</v>
      </c>
      <c r="I42" s="1" t="s">
        <v>8</v>
      </c>
      <c r="J42" s="42"/>
      <c r="K42" s="17"/>
      <c r="L42" s="17"/>
      <c r="M42" s="17"/>
      <c r="N42" t="str">
        <f>IF(COUNTIFS( $B$2:$B$786, B42, $C$2:$C$786, C42, $D$2:$D$786, D42, $E$2:$E$786, E42) &gt; 1, "Duplicate", "Unique")</f>
        <v>Unique</v>
      </c>
    </row>
    <row r="43" spans="1:15" customFormat="1" ht="27.65" customHeight="1" thickBot="1" x14ac:dyDescent="0.4">
      <c r="A43" s="6" t="s">
        <v>62</v>
      </c>
      <c r="B43" s="1" t="s">
        <v>49</v>
      </c>
      <c r="C43" s="1" t="s">
        <v>10</v>
      </c>
      <c r="D43" s="4">
        <v>2</v>
      </c>
      <c r="E43" s="4">
        <v>3760</v>
      </c>
      <c r="F43" s="4">
        <v>-5.2944436049999997</v>
      </c>
      <c r="G43" s="2" t="s">
        <v>50</v>
      </c>
      <c r="H43" s="5">
        <v>3970.2</v>
      </c>
      <c r="I43" s="1" t="s">
        <v>8</v>
      </c>
      <c r="J43" s="42"/>
      <c r="K43" s="17"/>
      <c r="L43" s="17"/>
      <c r="M43" s="17"/>
      <c r="N43" t="str">
        <f>IF(COUNTIFS( $B$2:$B$786, B43, $C$2:$C$786, C43, $D$2:$D$786, D43, $E$2:$E$786, E43) &gt; 1, "Duplicate", "Unique")</f>
        <v>Unique</v>
      </c>
    </row>
    <row r="44" spans="1:15" customFormat="1" ht="15" customHeight="1" thickBot="1" x14ac:dyDescent="0.4">
      <c r="A44" s="3">
        <v>46252.635416666664</v>
      </c>
      <c r="B44" s="1" t="s">
        <v>32</v>
      </c>
      <c r="C44" s="1" t="s">
        <v>10</v>
      </c>
      <c r="D44" s="4">
        <v>50</v>
      </c>
      <c r="E44" s="4">
        <v>850</v>
      </c>
      <c r="F44" s="4">
        <v>-5.5555555559999998</v>
      </c>
      <c r="G44" s="2" t="s">
        <v>85</v>
      </c>
      <c r="H44" s="5">
        <v>900</v>
      </c>
      <c r="I44" s="1" t="s">
        <v>8</v>
      </c>
      <c r="J44" s="43" t="s">
        <v>55</v>
      </c>
      <c r="K44" s="17"/>
      <c r="L44" s="17"/>
      <c r="M44" s="17"/>
      <c r="N44" t="str">
        <f>IF(COUNTIFS( $B$2:$B$786, B44, $C$2:$C$786, C44, $D$2:$D$786, D44, $E$2:$E$786, E44) &gt; 1, "Duplicate", "Unique")</f>
        <v>Unique</v>
      </c>
      <c r="O44" s="10"/>
    </row>
    <row r="45" spans="1:15" customFormat="1" ht="27.65" customHeight="1" thickBot="1" x14ac:dyDescent="0.4">
      <c r="A45" s="3">
        <v>46252.6875</v>
      </c>
      <c r="B45" s="1" t="s">
        <v>9</v>
      </c>
      <c r="C45" s="1" t="s">
        <v>10</v>
      </c>
      <c r="D45" s="4">
        <v>37</v>
      </c>
      <c r="E45" s="4">
        <v>277</v>
      </c>
      <c r="F45" s="4">
        <v>-5.6700153240000004</v>
      </c>
      <c r="G45" s="2" t="s">
        <v>95</v>
      </c>
      <c r="H45" s="5">
        <v>293.64999999999998</v>
      </c>
      <c r="I45" s="1" t="s">
        <v>8</v>
      </c>
      <c r="J45" s="42" t="s">
        <v>55</v>
      </c>
      <c r="K45" s="17"/>
      <c r="L45" s="17"/>
      <c r="M45" s="17"/>
      <c r="N45" t="str">
        <f>IF(COUNTIFS( $B$2:$B$786, B45, $C$2:$C$786, C45, $D$2:$D$786, D45, $E$2:$E$786, E45) &gt; 1, "Duplicate", "Unique")</f>
        <v>Unique</v>
      </c>
    </row>
    <row r="46" spans="1:15" customFormat="1" ht="27.65" customHeight="1" thickBot="1" x14ac:dyDescent="0.4">
      <c r="A46" s="3">
        <v>46262.457638888889</v>
      </c>
      <c r="B46" s="1" t="s">
        <v>21</v>
      </c>
      <c r="C46" s="1" t="s">
        <v>10</v>
      </c>
      <c r="D46" s="4">
        <v>5</v>
      </c>
      <c r="E46" s="4">
        <v>660</v>
      </c>
      <c r="F46" s="4">
        <v>-5.6738602260000004</v>
      </c>
      <c r="G46" s="2" t="s">
        <v>76</v>
      </c>
      <c r="H46" s="5">
        <v>699.7</v>
      </c>
      <c r="I46" s="1" t="s">
        <v>8</v>
      </c>
      <c r="J46" s="24" t="s">
        <v>41</v>
      </c>
      <c r="K46" s="18" t="s">
        <v>192</v>
      </c>
      <c r="L46" s="18">
        <v>3522.75</v>
      </c>
      <c r="M46" s="18">
        <f>ABS((D46*E46)-L46)</f>
        <v>222.75</v>
      </c>
      <c r="N46" s="10" t="str">
        <f>IF(COUNTIFS( $B$2:$B$786, B46, $C$2:$C$786, C46, $D$2:$D$786, D46, $E$2:$E$786, E46) &gt; 1, "Duplicate", "Unique")</f>
        <v>Unique</v>
      </c>
      <c r="O46" s="10"/>
    </row>
    <row r="47" spans="1:15" customFormat="1" ht="27.65" customHeight="1" thickBot="1" x14ac:dyDescent="0.4">
      <c r="A47" s="6" t="s">
        <v>62</v>
      </c>
      <c r="B47" s="1" t="s">
        <v>23</v>
      </c>
      <c r="C47" s="1" t="s">
        <v>10</v>
      </c>
      <c r="D47" s="4">
        <v>50</v>
      </c>
      <c r="E47" s="4">
        <v>201</v>
      </c>
      <c r="F47" s="4">
        <v>-5.7223264540000001</v>
      </c>
      <c r="G47" s="2" t="s">
        <v>70</v>
      </c>
      <c r="H47" s="5">
        <v>213.2</v>
      </c>
      <c r="I47" s="1" t="s">
        <v>8</v>
      </c>
      <c r="J47" s="43" t="s">
        <v>41</v>
      </c>
      <c r="K47" s="17"/>
      <c r="L47" s="17"/>
      <c r="M47" s="17"/>
      <c r="N47" t="str">
        <f>IF(COUNTIFS( $B$2:$B$786, B47, $C$2:$C$786, C47, $D$2:$D$786, D47, $E$2:$E$786, E47) &gt; 1, "Duplicate", "Unique")</f>
        <v>Unique</v>
      </c>
    </row>
    <row r="48" spans="1:15" customFormat="1" ht="27.65" customHeight="1" thickBot="1" x14ac:dyDescent="0.4">
      <c r="A48" s="6" t="s">
        <v>62</v>
      </c>
      <c r="B48" s="1" t="s">
        <v>22</v>
      </c>
      <c r="C48" s="1" t="s">
        <v>10</v>
      </c>
      <c r="D48" s="4">
        <v>29</v>
      </c>
      <c r="E48" s="4">
        <v>401</v>
      </c>
      <c r="F48" s="4">
        <v>-5.8132706990000003</v>
      </c>
      <c r="G48" s="2" t="s">
        <v>73</v>
      </c>
      <c r="H48" s="5">
        <v>425.75</v>
      </c>
      <c r="I48" s="1" t="s">
        <v>8</v>
      </c>
      <c r="J48" s="22" t="s">
        <v>55</v>
      </c>
      <c r="K48" s="17"/>
      <c r="L48" s="17"/>
      <c r="M48" s="17"/>
      <c r="N48" t="str">
        <f>IF(COUNTIFS( $B$2:$B$786, B48, $C$2:$C$786, C48, $D$2:$D$786, D48, $E$2:$E$786, E48) &gt; 1, "Duplicate", "Unique")</f>
        <v>Unique</v>
      </c>
    </row>
    <row r="49" spans="1:15" customFormat="1" ht="27.65" customHeight="1" thickBot="1" x14ac:dyDescent="0.4">
      <c r="A49" s="3">
        <v>46252.635416666664</v>
      </c>
      <c r="B49" s="1" t="s">
        <v>80</v>
      </c>
      <c r="C49" s="1" t="s">
        <v>10</v>
      </c>
      <c r="D49" s="4">
        <v>10</v>
      </c>
      <c r="E49" s="4">
        <v>1420</v>
      </c>
      <c r="F49" s="4">
        <v>-5.9540366909999998</v>
      </c>
      <c r="G49" s="2" t="s">
        <v>81</v>
      </c>
      <c r="H49" s="5">
        <v>1509.9</v>
      </c>
      <c r="I49" s="1" t="s">
        <v>8</v>
      </c>
      <c r="J49" s="42"/>
      <c r="K49" s="17"/>
      <c r="L49" s="17"/>
      <c r="M49" s="17"/>
      <c r="N49" t="str">
        <f>IF(COUNTIFS( $B$2:$B$786, B49, $C$2:$C$786, C49, $D$2:$D$786, D49, $E$2:$E$786, E49) &gt; 1, "Duplicate", "Unique")</f>
        <v>Unique</v>
      </c>
    </row>
    <row r="50" spans="1:15" customFormat="1" ht="27.65" customHeight="1" thickBot="1" x14ac:dyDescent="0.4">
      <c r="A50" s="6" t="s">
        <v>62</v>
      </c>
      <c r="B50" s="1" t="s">
        <v>109</v>
      </c>
      <c r="C50" s="1" t="s">
        <v>10</v>
      </c>
      <c r="D50" s="4">
        <v>1</v>
      </c>
      <c r="E50" s="4">
        <v>4560</v>
      </c>
      <c r="F50" s="4">
        <v>-6.0181368510000004</v>
      </c>
      <c r="G50" s="2" t="s">
        <v>110</v>
      </c>
      <c r="H50" s="5">
        <v>4852</v>
      </c>
      <c r="I50" s="1" t="s">
        <v>8</v>
      </c>
      <c r="J50" s="42"/>
      <c r="K50" s="17"/>
      <c r="L50" s="17"/>
      <c r="M50" s="17"/>
      <c r="N50" t="str">
        <f>IF(COUNTIFS( $B$2:$B$786, B50, $C$2:$C$786, C50, $D$2:$D$786, D50, $E$2:$E$786, E50) &gt; 1, "Duplicate", "Unique")</f>
        <v>Unique</v>
      </c>
    </row>
    <row r="51" spans="1:15" customFormat="1" ht="27.65" customHeight="1" thickBot="1" x14ac:dyDescent="0.4">
      <c r="A51" s="6" t="s">
        <v>62</v>
      </c>
      <c r="B51" s="1" t="s">
        <v>107</v>
      </c>
      <c r="C51" s="1" t="s">
        <v>10</v>
      </c>
      <c r="D51" s="4">
        <v>1</v>
      </c>
      <c r="E51" s="4">
        <v>6920</v>
      </c>
      <c r="F51" s="4">
        <v>-6.0420909710000004</v>
      </c>
      <c r="G51" s="2" t="s">
        <v>108</v>
      </c>
      <c r="H51" s="5">
        <v>7365</v>
      </c>
      <c r="I51" s="1" t="s">
        <v>8</v>
      </c>
      <c r="J51" s="22" t="s">
        <v>140</v>
      </c>
      <c r="K51" s="17"/>
      <c r="L51" s="17"/>
      <c r="M51" s="17"/>
      <c r="N51" t="str">
        <f>IF(COUNTIFS( $B$2:$B$786, B51, $C$2:$C$786, C51, $D$2:$D$786, D51, $E$2:$E$786, E51) &gt; 1, "Duplicate", "Unique")</f>
        <v>Unique</v>
      </c>
    </row>
    <row r="52" spans="1:15" customFormat="1" ht="27.65" customHeight="1" thickBot="1" x14ac:dyDescent="0.4">
      <c r="A52" s="6" t="s">
        <v>62</v>
      </c>
      <c r="B52" s="1" t="s">
        <v>19</v>
      </c>
      <c r="C52" s="1" t="s">
        <v>10</v>
      </c>
      <c r="D52" s="4">
        <v>50</v>
      </c>
      <c r="E52" s="4">
        <v>206</v>
      </c>
      <c r="F52" s="4">
        <v>-6.3806580620000002</v>
      </c>
      <c r="G52" s="2" t="s">
        <v>40</v>
      </c>
      <c r="H52" s="5">
        <v>220.04</v>
      </c>
      <c r="I52" s="1" t="s">
        <v>8</v>
      </c>
      <c r="J52" s="42" t="s">
        <v>41</v>
      </c>
      <c r="K52" s="17"/>
      <c r="L52" s="17"/>
      <c r="M52" s="17"/>
      <c r="N52" t="str">
        <f>IF(COUNTIFS( $B$2:$B$786, B52, $C$2:$C$786, C52, $D$2:$D$786, D52, $E$2:$E$786, E52) &gt; 1, "Duplicate", "Unique")</f>
        <v>Unique</v>
      </c>
    </row>
    <row r="53" spans="1:15" customFormat="1" ht="27.65" customHeight="1" thickBot="1" x14ac:dyDescent="0.4">
      <c r="A53" s="3">
        <v>46121.375</v>
      </c>
      <c r="B53" s="1" t="s">
        <v>13</v>
      </c>
      <c r="C53" s="1" t="s">
        <v>10</v>
      </c>
      <c r="D53" s="4">
        <v>5</v>
      </c>
      <c r="E53" s="4">
        <v>1664</v>
      </c>
      <c r="F53" s="4">
        <v>-6.4064345579999999</v>
      </c>
      <c r="G53" s="2" t="s">
        <v>91</v>
      </c>
      <c r="H53" s="5">
        <v>1777.9</v>
      </c>
      <c r="I53" s="1" t="s">
        <v>8</v>
      </c>
      <c r="J53" s="24" t="s">
        <v>41</v>
      </c>
      <c r="K53" s="18" t="s">
        <v>260</v>
      </c>
      <c r="L53" s="18">
        <f>5*1794</f>
        <v>8970</v>
      </c>
      <c r="M53" s="18">
        <f>ABS((D53*E53)-L53)</f>
        <v>650</v>
      </c>
      <c r="N53" s="10" t="str">
        <f>IF(COUNTIFS( $B$2:$B$786, B53, $C$2:$C$786, C53, $D$2:$D$786, D53, $E$2:$E$786, E53) &gt; 1, "Duplicate", "Unique")</f>
        <v>Unique</v>
      </c>
    </row>
    <row r="54" spans="1:15" customFormat="1" ht="27.65" customHeight="1" thickBot="1" x14ac:dyDescent="0.4">
      <c r="A54" s="6" t="s">
        <v>62</v>
      </c>
      <c r="B54" s="1" t="s">
        <v>66</v>
      </c>
      <c r="C54" s="1" t="s">
        <v>10</v>
      </c>
      <c r="D54" s="4">
        <v>10</v>
      </c>
      <c r="E54" s="4">
        <v>1132</v>
      </c>
      <c r="F54" s="4">
        <v>-6.6006600659999997</v>
      </c>
      <c r="G54" s="2" t="s">
        <v>67</v>
      </c>
      <c r="H54" s="5">
        <v>1212</v>
      </c>
      <c r="I54" s="1" t="s">
        <v>8</v>
      </c>
      <c r="J54" s="42"/>
      <c r="K54" s="17"/>
      <c r="L54" s="17"/>
      <c r="M54" s="17"/>
      <c r="N54" t="str">
        <f>IF(COUNTIFS( $B$2:$B$786, B54, $C$2:$C$786, C54, $D$2:$D$786, D54, $E$2:$E$786, E54) &gt; 1, "Duplicate", "Unique")</f>
        <v>Unique</v>
      </c>
    </row>
    <row r="55" spans="1:15" ht="40.75" customHeight="1" thickBot="1" x14ac:dyDescent="0.4">
      <c r="A55" s="3">
        <v>46252.635416666664</v>
      </c>
      <c r="B55" s="1" t="s">
        <v>80</v>
      </c>
      <c r="C55" s="1" t="s">
        <v>10</v>
      </c>
      <c r="D55" s="4">
        <v>10</v>
      </c>
      <c r="E55" s="4">
        <v>1410</v>
      </c>
      <c r="F55" s="4">
        <v>-6.6163322070000001</v>
      </c>
      <c r="G55" s="2" t="s">
        <v>81</v>
      </c>
      <c r="H55" s="5">
        <v>1509.9</v>
      </c>
      <c r="I55" s="1" t="s">
        <v>8</v>
      </c>
      <c r="J55" s="42"/>
      <c r="K55" s="17"/>
      <c r="L55" s="17"/>
      <c r="M55" s="17"/>
      <c r="N55" t="str">
        <f>IF(COUNTIFS( $B$2:$B$786, B55, $C$2:$C$786, C55, $D$2:$D$786, D55, $E$2:$E$786, E55) &gt; 1, "Duplicate", "Unique")</f>
        <v>Unique</v>
      </c>
      <c r="O55"/>
    </row>
    <row r="56" spans="1:15" ht="40.75" customHeight="1" thickBot="1" x14ac:dyDescent="0.4">
      <c r="A56" s="6" t="s">
        <v>62</v>
      </c>
      <c r="B56" s="1" t="s">
        <v>51</v>
      </c>
      <c r="C56" s="1" t="s">
        <v>10</v>
      </c>
      <c r="D56" s="4">
        <v>40</v>
      </c>
      <c r="E56" s="4">
        <v>862</v>
      </c>
      <c r="F56" s="4">
        <v>-6.6543938489999999</v>
      </c>
      <c r="G56" s="2" t="s">
        <v>52</v>
      </c>
      <c r="H56" s="5">
        <v>923.45</v>
      </c>
      <c r="I56" s="1" t="s">
        <v>8</v>
      </c>
      <c r="J56" s="42" t="s">
        <v>41</v>
      </c>
      <c r="K56" s="17"/>
      <c r="L56" s="17"/>
      <c r="M56" s="17"/>
      <c r="N56" t="str">
        <f>IF(COUNTIFS( $B$2:$B$786, B56, $C$2:$C$786, C56, $D$2:$D$786, D56, $E$2:$E$786, E56) &gt; 1, "Duplicate", "Unique")</f>
        <v>Unique</v>
      </c>
      <c r="O56"/>
    </row>
    <row r="57" spans="1:15" ht="16.25" customHeight="1" thickBot="1" x14ac:dyDescent="0.4">
      <c r="A57" s="3">
        <v>46269.375</v>
      </c>
      <c r="B57" s="1" t="s">
        <v>74</v>
      </c>
      <c r="C57" s="1" t="s">
        <v>10</v>
      </c>
      <c r="D57" s="4">
        <v>2</v>
      </c>
      <c r="E57" s="4">
        <v>3210</v>
      </c>
      <c r="F57" s="4">
        <v>-6.8539260630000003</v>
      </c>
      <c r="G57" s="2" t="s">
        <v>75</v>
      </c>
      <c r="H57" s="5">
        <v>3446.2</v>
      </c>
      <c r="I57" s="1" t="s">
        <v>8</v>
      </c>
      <c r="J57" s="24" t="s">
        <v>41</v>
      </c>
      <c r="K57" s="18" t="s">
        <v>256</v>
      </c>
      <c r="L57" s="18">
        <v>6880</v>
      </c>
      <c r="M57" s="27">
        <f>ABS((D57*E57)-L57)</f>
        <v>460</v>
      </c>
      <c r="N57" t="str">
        <f>IF(COUNTIFS( $B$2:$B$786, B57, $C$2:$C$786, C57, $D$2:$D$786, D57, $E$2:$E$786, E57) &gt; 1, "Duplicate", "Unique")</f>
        <v>Unique</v>
      </c>
      <c r="O57"/>
    </row>
    <row r="58" spans="1:15" ht="40.75" customHeight="1" thickBot="1" x14ac:dyDescent="0.4">
      <c r="A58" s="6" t="s">
        <v>62</v>
      </c>
      <c r="B58" s="1" t="s">
        <v>32</v>
      </c>
      <c r="C58" s="1" t="s">
        <v>10</v>
      </c>
      <c r="D58" s="4">
        <v>25</v>
      </c>
      <c r="E58" s="4">
        <v>836</v>
      </c>
      <c r="F58" s="4">
        <v>-7.1111111109999996</v>
      </c>
      <c r="G58" s="2" t="s">
        <v>85</v>
      </c>
      <c r="H58" s="5">
        <v>900</v>
      </c>
      <c r="I58" s="1" t="s">
        <v>8</v>
      </c>
      <c r="J58" s="42" t="s">
        <v>118</v>
      </c>
      <c r="K58" s="17"/>
      <c r="L58" s="17"/>
      <c r="M58" s="17"/>
      <c r="N58" t="str">
        <f>IF(COUNTIFS( $B$2:$B$786, B58, $C$2:$C$786, C58, $D$2:$D$786, D58, $E$2:$E$786, E58) &gt; 1, "Duplicate", "Unique")</f>
        <v>Unique</v>
      </c>
      <c r="O58"/>
    </row>
    <row r="59" spans="1:15" ht="15" customHeight="1" thickBot="1" x14ac:dyDescent="0.4">
      <c r="A59" s="6" t="s">
        <v>62</v>
      </c>
      <c r="B59" s="1" t="s">
        <v>25</v>
      </c>
      <c r="C59" s="1" t="s">
        <v>10</v>
      </c>
      <c r="D59" s="4">
        <v>200</v>
      </c>
      <c r="E59" s="4">
        <v>31.01</v>
      </c>
      <c r="F59" s="4">
        <v>-7.1556886229999996</v>
      </c>
      <c r="G59" s="2" t="s">
        <v>46</v>
      </c>
      <c r="H59" s="5">
        <v>33.4</v>
      </c>
      <c r="I59" s="1" t="s">
        <v>8</v>
      </c>
      <c r="J59" s="42"/>
      <c r="K59" s="17"/>
      <c r="L59" s="17"/>
      <c r="M59" s="17"/>
      <c r="N59" t="str">
        <f>IF(COUNTIFS( $B$2:$B$786, B59, $C$2:$C$786, C59, $D$2:$D$786, D59, $E$2:$E$786, E59) &gt; 1, "Duplicate", "Unique")</f>
        <v>Unique</v>
      </c>
      <c r="O59" s="34"/>
    </row>
    <row r="60" spans="1:15" ht="27.65" customHeight="1" thickBot="1" x14ac:dyDescent="0.4">
      <c r="A60" s="6" t="s">
        <v>62</v>
      </c>
      <c r="B60" s="1" t="s">
        <v>20</v>
      </c>
      <c r="C60" s="1" t="s">
        <v>10</v>
      </c>
      <c r="D60" s="4">
        <v>50</v>
      </c>
      <c r="E60" s="4">
        <v>116</v>
      </c>
      <c r="F60" s="4">
        <v>-7.5770854910000001</v>
      </c>
      <c r="G60" s="2" t="s">
        <v>86</v>
      </c>
      <c r="H60" s="5">
        <v>125.51</v>
      </c>
      <c r="I60" s="1" t="s">
        <v>8</v>
      </c>
      <c r="J60" s="42"/>
      <c r="K60" s="17"/>
      <c r="L60" s="17"/>
      <c r="M60" s="17"/>
      <c r="N60" t="str">
        <f>IF(COUNTIFS( $B$2:$B$786, B60, $C$2:$C$786, C60, $D$2:$D$786, D60, $E$2:$E$786, E60) &gt; 1, "Duplicate", "Unique")</f>
        <v>Unique</v>
      </c>
      <c r="O60"/>
    </row>
    <row r="61" spans="1:15" ht="27.65" customHeight="1" thickBot="1" x14ac:dyDescent="0.4">
      <c r="A61" s="3">
        <v>46252.6875</v>
      </c>
      <c r="B61" s="1" t="s">
        <v>18</v>
      </c>
      <c r="C61" s="1" t="s">
        <v>10</v>
      </c>
      <c r="D61" s="4">
        <v>10</v>
      </c>
      <c r="E61" s="4">
        <v>1666</v>
      </c>
      <c r="F61" s="4">
        <v>-7.6803723819999998</v>
      </c>
      <c r="G61" s="2" t="s">
        <v>102</v>
      </c>
      <c r="H61" s="5">
        <v>1804.6</v>
      </c>
      <c r="I61" s="1" t="s">
        <v>8</v>
      </c>
      <c r="J61" s="42" t="s">
        <v>55</v>
      </c>
      <c r="K61" s="17"/>
      <c r="L61" s="17"/>
      <c r="M61" s="17"/>
      <c r="N61" t="str">
        <f>IF(COUNTIFS( $B$2:$B$786, B61, $C$2:$C$786, C61, $D$2:$D$786, D61, $E$2:$E$786, E61) &gt; 1, "Duplicate", "Unique")</f>
        <v>Unique</v>
      </c>
      <c r="O61"/>
    </row>
    <row r="62" spans="1:15" ht="40.75" customHeight="1" thickBot="1" x14ac:dyDescent="0.4">
      <c r="A62" s="6" t="s">
        <v>62</v>
      </c>
      <c r="B62" s="1" t="s">
        <v>105</v>
      </c>
      <c r="C62" s="1" t="s">
        <v>10</v>
      </c>
      <c r="D62" s="4">
        <v>4</v>
      </c>
      <c r="E62" s="4">
        <v>1751</v>
      </c>
      <c r="F62" s="4">
        <v>-7.8421052629999997</v>
      </c>
      <c r="G62" s="2" t="s">
        <v>106</v>
      </c>
      <c r="H62" s="5">
        <v>1900</v>
      </c>
      <c r="I62" s="1" t="s">
        <v>8</v>
      </c>
      <c r="J62" s="42"/>
      <c r="K62" s="17"/>
      <c r="L62" s="17"/>
      <c r="M62" s="17"/>
      <c r="N62" t="str">
        <f>IF(COUNTIFS( $B$2:$B$786, B62, $C$2:$C$786, C62, $D$2:$D$786, D62, $E$2:$E$786, E62) &gt; 1, "Duplicate", "Unique")</f>
        <v>Unique</v>
      </c>
      <c r="O62"/>
    </row>
    <row r="63" spans="1:15" ht="40.75" customHeight="1" thickBot="1" x14ac:dyDescent="0.4">
      <c r="A63" s="3">
        <v>46258.601388888892</v>
      </c>
      <c r="B63" s="1" t="s">
        <v>33</v>
      </c>
      <c r="C63" s="1" t="s">
        <v>10</v>
      </c>
      <c r="D63" s="4">
        <v>3</v>
      </c>
      <c r="E63" s="4">
        <v>2271</v>
      </c>
      <c r="F63" s="4">
        <v>-7.8701825559999996</v>
      </c>
      <c r="G63" s="2" t="s">
        <v>84</v>
      </c>
      <c r="H63" s="5">
        <v>2465</v>
      </c>
      <c r="I63" s="1" t="s">
        <v>8</v>
      </c>
      <c r="J63" s="24" t="s">
        <v>55</v>
      </c>
      <c r="K63" s="18" t="s">
        <v>161</v>
      </c>
      <c r="L63" s="18">
        <v>7113</v>
      </c>
      <c r="M63" s="18">
        <f>ABS((D63*E63)-L63)</f>
        <v>300</v>
      </c>
      <c r="N63" s="10" t="str">
        <f>IF(COUNTIFS( $B$2:$B$786, B63, $C$2:$C$786, C63, $D$2:$D$786, D63, $E$2:$E$786, E63) &gt; 1, "Duplicate", "Unique")</f>
        <v>Unique</v>
      </c>
      <c r="O63"/>
    </row>
    <row r="64" spans="1:15" ht="27.65" customHeight="1" thickBot="1" x14ac:dyDescent="0.4">
      <c r="A64" s="20">
        <v>46255</v>
      </c>
      <c r="B64" s="1" t="s">
        <v>17</v>
      </c>
      <c r="C64" s="1" t="s">
        <v>10</v>
      </c>
      <c r="D64" s="4">
        <v>25</v>
      </c>
      <c r="E64" s="4">
        <v>336</v>
      </c>
      <c r="F64" s="4">
        <v>-7.9452054790000002</v>
      </c>
      <c r="G64" s="2" t="s">
        <v>77</v>
      </c>
      <c r="H64" s="5">
        <v>365</v>
      </c>
      <c r="I64" s="1" t="s">
        <v>8</v>
      </c>
      <c r="J64" s="24" t="s">
        <v>55</v>
      </c>
      <c r="K64" s="18" t="s">
        <v>150</v>
      </c>
      <c r="L64" s="18">
        <v>8700</v>
      </c>
      <c r="M64" s="18">
        <f>ABS((D64*E64)-L64)</f>
        <v>300</v>
      </c>
      <c r="N64" s="10" t="str">
        <f>IF(COUNTIFS( $B$2:$B$786, B64, $C$2:$C$786, C64, $D$2:$D$786, D64, $E$2:$E$786, E64) &gt; 1, "Duplicate", "Unique")</f>
        <v>Unique</v>
      </c>
      <c r="O64"/>
    </row>
    <row r="65" spans="1:15" ht="27.65" customHeight="1" thickBot="1" x14ac:dyDescent="0.4">
      <c r="A65" s="6" t="s">
        <v>62</v>
      </c>
      <c r="B65" s="1" t="s">
        <v>89</v>
      </c>
      <c r="C65" s="1" t="s">
        <v>10</v>
      </c>
      <c r="D65" s="4">
        <v>1</v>
      </c>
      <c r="E65" s="4">
        <v>13052</v>
      </c>
      <c r="F65" s="4">
        <v>-7.9548660079999998</v>
      </c>
      <c r="G65" s="2" t="s">
        <v>90</v>
      </c>
      <c r="H65" s="5">
        <v>14180</v>
      </c>
      <c r="I65" s="1" t="s">
        <v>8</v>
      </c>
      <c r="J65" s="42"/>
      <c r="K65" s="17"/>
      <c r="L65" s="17"/>
      <c r="M65" s="17"/>
      <c r="N65" t="str">
        <f>IF(COUNTIFS( $B$2:$B$786, B65, $C$2:$C$786, C65, $D$2:$D$786, D65, $E$2:$E$786, E65) &gt; 1, "Duplicate", "Unique")</f>
        <v>Unique</v>
      </c>
      <c r="O65"/>
    </row>
    <row r="66" spans="1:15" ht="27.65" customHeight="1" thickBot="1" x14ac:dyDescent="0.4">
      <c r="A66" s="3">
        <v>46252.635416666664</v>
      </c>
      <c r="B66" s="1" t="s">
        <v>78</v>
      </c>
      <c r="C66" s="1" t="s">
        <v>10</v>
      </c>
      <c r="D66" s="4">
        <v>3</v>
      </c>
      <c r="E66" s="4">
        <v>1302</v>
      </c>
      <c r="F66" s="4">
        <v>-7.9793624989999996</v>
      </c>
      <c r="G66" s="2" t="s">
        <v>79</v>
      </c>
      <c r="H66" s="5">
        <v>1414.9</v>
      </c>
      <c r="I66" s="1" t="s">
        <v>8</v>
      </c>
      <c r="J66" s="42"/>
      <c r="K66" s="17"/>
      <c r="L66" s="17"/>
      <c r="M66" s="17"/>
      <c r="N66" t="str">
        <f>IF(COUNTIFS( $B$2:$B$786, B66, $C$2:$C$786, C66, $D$2:$D$786, D66, $E$2:$E$786, E66) &gt; 1, "Duplicate", "Unique")</f>
        <v>Unique</v>
      </c>
      <c r="O66"/>
    </row>
    <row r="67" spans="1:15" s="25" customFormat="1" ht="27.65" customHeight="1" thickBot="1" x14ac:dyDescent="0.4">
      <c r="A67" s="3">
        <v>46267.375</v>
      </c>
      <c r="B67" s="1" t="s">
        <v>34</v>
      </c>
      <c r="C67" s="1" t="s">
        <v>10</v>
      </c>
      <c r="D67" s="4">
        <v>1</v>
      </c>
      <c r="E67" s="4">
        <v>20050</v>
      </c>
      <c r="F67" s="4">
        <v>-8.0275229360000004</v>
      </c>
      <c r="G67" s="2" t="s">
        <v>71</v>
      </c>
      <c r="H67" s="5">
        <v>21800</v>
      </c>
      <c r="I67" s="1" t="s">
        <v>8</v>
      </c>
      <c r="J67" s="24" t="s">
        <v>41</v>
      </c>
      <c r="K67" s="18" t="s">
        <v>244</v>
      </c>
      <c r="L67" s="18">
        <v>20350</v>
      </c>
      <c r="M67" s="18">
        <f>ABS((D67*E67)-L67)</f>
        <v>300</v>
      </c>
      <c r="N67" s="10" t="str">
        <f>IF(COUNTIFS( $B$2:$B$786, B67, $C$2:$C$786, C67, $D$2:$D$786, D67, $E$2:$E$786, E67) &gt; 1, "Duplicate", "Unique")</f>
        <v>Unique</v>
      </c>
      <c r="O67"/>
    </row>
    <row r="68" spans="1:15" ht="27.65" customHeight="1" thickBot="1" x14ac:dyDescent="0.4">
      <c r="A68" s="6" t="s">
        <v>62</v>
      </c>
      <c r="B68" s="1" t="s">
        <v>23</v>
      </c>
      <c r="C68" s="1" t="s">
        <v>10</v>
      </c>
      <c r="D68" s="4">
        <v>50</v>
      </c>
      <c r="E68" s="4">
        <v>196</v>
      </c>
      <c r="F68" s="4">
        <v>-8.0675422139999995</v>
      </c>
      <c r="G68" s="2" t="s">
        <v>70</v>
      </c>
      <c r="H68" s="5">
        <v>213.2</v>
      </c>
      <c r="I68" s="1" t="s">
        <v>8</v>
      </c>
      <c r="J68" s="42" t="s">
        <v>41</v>
      </c>
      <c r="K68" s="17"/>
      <c r="L68" s="17"/>
      <c r="M68" s="17"/>
      <c r="N68" t="str">
        <f>IF(COUNTIFS( $B$2:$B$786, B68, $C$2:$C$786, C68, $D$2:$D$786, D68, $E$2:$E$786, E68) &gt; 1, "Duplicate", "Unique")</f>
        <v>Unique</v>
      </c>
      <c r="O68"/>
    </row>
    <row r="69" spans="1:15" ht="15" customHeight="1" thickBot="1" x14ac:dyDescent="0.4">
      <c r="A69" s="6" t="s">
        <v>62</v>
      </c>
      <c r="B69" s="1" t="s">
        <v>109</v>
      </c>
      <c r="C69" s="1" t="s">
        <v>10</v>
      </c>
      <c r="D69" s="4">
        <v>2</v>
      </c>
      <c r="E69" s="4">
        <v>4456</v>
      </c>
      <c r="F69" s="4">
        <v>-8.1615828520000004</v>
      </c>
      <c r="G69" s="2" t="s">
        <v>110</v>
      </c>
      <c r="H69" s="5">
        <v>4852</v>
      </c>
      <c r="I69" s="1" t="s">
        <v>8</v>
      </c>
      <c r="J69" s="42"/>
      <c r="K69" s="17"/>
      <c r="L69" s="17"/>
      <c r="M69" s="17"/>
      <c r="N69" t="str">
        <f>IF(COUNTIFS( $B$2:$B$786, B69, $C$2:$C$786, C69, $D$2:$D$786, D69, $E$2:$E$786, E69) &gt; 1, "Duplicate", "Unique")</f>
        <v>Unique</v>
      </c>
      <c r="O69"/>
    </row>
    <row r="70" spans="1:15" ht="27.65" customHeight="1" thickBot="1" x14ac:dyDescent="0.4">
      <c r="A70" s="6" t="s">
        <v>62</v>
      </c>
      <c r="B70" s="1" t="s">
        <v>20</v>
      </c>
      <c r="C70" s="1" t="s">
        <v>10</v>
      </c>
      <c r="D70" s="4">
        <v>200</v>
      </c>
      <c r="E70" s="4">
        <v>115.25</v>
      </c>
      <c r="F70" s="4">
        <v>-8.1746474379999992</v>
      </c>
      <c r="G70" s="2" t="s">
        <v>86</v>
      </c>
      <c r="H70" s="5">
        <v>125.51</v>
      </c>
      <c r="I70" s="1" t="s">
        <v>8</v>
      </c>
      <c r="J70" s="42"/>
      <c r="K70" s="17"/>
      <c r="L70" s="17"/>
      <c r="M70" s="17"/>
      <c r="N70" t="str">
        <f>IF(COUNTIFS( $B$2:$B$786, B70, $C$2:$C$786, C70, $D$2:$D$786, D70, $E$2:$E$786, E70) &gt; 1, "Duplicate", "Unique")</f>
        <v>Unique</v>
      </c>
      <c r="O70"/>
    </row>
    <row r="71" spans="1:15" ht="27.65" customHeight="1" thickBot="1" x14ac:dyDescent="0.4">
      <c r="A71" s="3">
        <v>46252.688194444447</v>
      </c>
      <c r="B71" s="1" t="s">
        <v>21</v>
      </c>
      <c r="C71" s="1" t="s">
        <v>10</v>
      </c>
      <c r="D71" s="4">
        <v>5</v>
      </c>
      <c r="E71" s="4">
        <v>640</v>
      </c>
      <c r="F71" s="4">
        <v>-8.5322280979999992</v>
      </c>
      <c r="G71" s="2" t="s">
        <v>76</v>
      </c>
      <c r="H71" s="5">
        <v>699.7</v>
      </c>
      <c r="I71" s="1" t="s">
        <v>8</v>
      </c>
      <c r="J71" s="42"/>
      <c r="K71" s="17"/>
      <c r="L71" s="17"/>
      <c r="M71" s="17"/>
      <c r="N71" t="str">
        <f>IF(COUNTIFS( $B$2:$B$786, B71, $C$2:$C$786, C71, $D$2:$D$786, D71, $E$2:$E$786, E71) &gt; 1, "Duplicate", "Unique")</f>
        <v>Unique</v>
      </c>
      <c r="O71"/>
    </row>
    <row r="72" spans="1:15" ht="27.65" customHeight="1" thickBot="1" x14ac:dyDescent="0.4">
      <c r="A72" s="6" t="s">
        <v>62</v>
      </c>
      <c r="B72" s="1" t="s">
        <v>12</v>
      </c>
      <c r="C72" s="1" t="s">
        <v>10</v>
      </c>
      <c r="D72" s="4">
        <v>3</v>
      </c>
      <c r="E72" s="4">
        <v>4710</v>
      </c>
      <c r="F72" s="4">
        <v>-8.9943000679999994</v>
      </c>
      <c r="G72" s="2" t="s">
        <v>98</v>
      </c>
      <c r="H72" s="5">
        <v>5175.5</v>
      </c>
      <c r="I72" s="1" t="s">
        <v>8</v>
      </c>
      <c r="J72" s="42"/>
      <c r="K72" s="17"/>
      <c r="L72" s="17"/>
      <c r="M72" s="17"/>
      <c r="N72" t="str">
        <f>IF(COUNTIFS( $B$2:$B$786, B72, $C$2:$C$786, C72, $D$2:$D$786, D72, $E$2:$E$786, E72) &gt; 1, "Duplicate", "Unique")</f>
        <v>Unique</v>
      </c>
      <c r="O72"/>
    </row>
    <row r="73" spans="1:15" ht="27.65" customHeight="1" thickBot="1" x14ac:dyDescent="0.4">
      <c r="A73" s="6" t="s">
        <v>62</v>
      </c>
      <c r="B73" s="1" t="s">
        <v>109</v>
      </c>
      <c r="C73" s="1" t="s">
        <v>10</v>
      </c>
      <c r="D73" s="4">
        <v>15</v>
      </c>
      <c r="E73" s="4">
        <v>4415</v>
      </c>
      <c r="F73" s="4">
        <v>-9.0065952179999993</v>
      </c>
      <c r="G73" s="2" t="s">
        <v>110</v>
      </c>
      <c r="H73" s="5">
        <v>4852</v>
      </c>
      <c r="I73" s="1" t="s">
        <v>8</v>
      </c>
      <c r="J73" s="42"/>
      <c r="K73" s="17"/>
      <c r="L73" s="17"/>
      <c r="M73" s="17"/>
      <c r="N73" t="str">
        <f>IF(COUNTIFS( $B$2:$B$786, B73, $C$2:$C$786, C73, $D$2:$D$786, D73, $E$2:$E$786, E73) &gt; 1, "Duplicate", "Unique")</f>
        <v>Unique</v>
      </c>
      <c r="O73"/>
    </row>
    <row r="74" spans="1:15" ht="27.65" customHeight="1" thickBot="1" x14ac:dyDescent="0.4">
      <c r="A74" s="3">
        <v>46121.375</v>
      </c>
      <c r="B74" s="1" t="s">
        <v>13</v>
      </c>
      <c r="C74" s="1" t="s">
        <v>10</v>
      </c>
      <c r="D74" s="4">
        <v>3</v>
      </c>
      <c r="E74" s="4">
        <v>1614</v>
      </c>
      <c r="F74" s="4">
        <v>-9.2187412119999994</v>
      </c>
      <c r="G74" s="2" t="s">
        <v>91</v>
      </c>
      <c r="H74" s="5">
        <v>1777.9</v>
      </c>
      <c r="I74" s="1" t="s">
        <v>8</v>
      </c>
      <c r="J74" s="24" t="s">
        <v>41</v>
      </c>
      <c r="K74" s="18" t="s">
        <v>259</v>
      </c>
      <c r="L74" s="18">
        <f>3*1794</f>
        <v>5382</v>
      </c>
      <c r="M74" s="18">
        <f>ABS((D74*E74)-L74)</f>
        <v>540</v>
      </c>
      <c r="N74" s="10" t="str">
        <f>IF(COUNTIFS( $B$2:$B$786, B74, $C$2:$C$786, C74, $D$2:$D$786, D74, $E$2:$E$786, E74) &gt; 1, "Duplicate", "Unique")</f>
        <v>Unique</v>
      </c>
      <c r="O74"/>
    </row>
    <row r="75" spans="1:15" ht="15" customHeight="1" thickBot="1" x14ac:dyDescent="0.4">
      <c r="A75" s="3">
        <v>46254.375</v>
      </c>
      <c r="B75" s="1" t="s">
        <v>33</v>
      </c>
      <c r="C75" s="1" t="s">
        <v>10</v>
      </c>
      <c r="D75" s="4">
        <v>7</v>
      </c>
      <c r="E75" s="4">
        <v>2230</v>
      </c>
      <c r="F75" s="4">
        <v>-9.5334685599999993</v>
      </c>
      <c r="G75" s="2" t="s">
        <v>84</v>
      </c>
      <c r="H75" s="5">
        <v>2465</v>
      </c>
      <c r="I75" s="1" t="s">
        <v>8</v>
      </c>
      <c r="J75" s="23" t="s">
        <v>55</v>
      </c>
      <c r="K75" s="17" t="s">
        <v>148</v>
      </c>
      <c r="L75" s="17"/>
      <c r="M75" s="17"/>
      <c r="N75" s="10" t="str">
        <f>IF(COUNTIFS( $B$2:$B$786, B75, $C$2:$C$786, C75, $D$2:$D$786, D75, $E$2:$E$786, E75) &gt; 1, "Duplicate", "Unique")</f>
        <v>Unique</v>
      </c>
      <c r="O75"/>
    </row>
    <row r="76" spans="1:15" ht="27.65" customHeight="1" thickBot="1" x14ac:dyDescent="0.4">
      <c r="A76" s="6" t="s">
        <v>62</v>
      </c>
      <c r="B76" s="1" t="s">
        <v>78</v>
      </c>
      <c r="C76" s="1" t="s">
        <v>10</v>
      </c>
      <c r="D76" s="4">
        <v>69</v>
      </c>
      <c r="E76" s="4">
        <v>1277</v>
      </c>
      <c r="F76" s="4">
        <v>-9.7462718210000006</v>
      </c>
      <c r="G76" s="2" t="s">
        <v>79</v>
      </c>
      <c r="H76" s="5">
        <v>1414.9</v>
      </c>
      <c r="I76" s="1" t="s">
        <v>8</v>
      </c>
      <c r="J76" s="42"/>
      <c r="K76" s="17"/>
      <c r="L76" s="17"/>
      <c r="M76" s="17"/>
      <c r="N76" t="str">
        <f>IF(COUNTIFS( $B$2:$B$786, B76, $C$2:$C$786, C76, $D$2:$D$786, D76, $E$2:$E$786, E76) &gt; 1, "Duplicate", "Unique")</f>
        <v>Unique</v>
      </c>
      <c r="O76"/>
    </row>
    <row r="77" spans="1:15" s="19" customFormat="1" ht="27.65" customHeight="1" thickBot="1" x14ac:dyDescent="0.4">
      <c r="A77" s="29">
        <v>46255</v>
      </c>
      <c r="B77" s="30" t="s">
        <v>34</v>
      </c>
      <c r="C77" s="30" t="s">
        <v>10</v>
      </c>
      <c r="D77" s="31">
        <v>1</v>
      </c>
      <c r="E77" s="31">
        <v>19550</v>
      </c>
      <c r="F77" s="4">
        <v>-10.321100919999999</v>
      </c>
      <c r="G77" s="2" t="s">
        <v>71</v>
      </c>
      <c r="H77" s="5">
        <v>21800</v>
      </c>
      <c r="I77" s="1" t="s">
        <v>8</v>
      </c>
      <c r="J77" s="45" t="s">
        <v>41</v>
      </c>
      <c r="K77" s="27" t="s">
        <v>149</v>
      </c>
      <c r="L77" s="27">
        <v>19992</v>
      </c>
      <c r="M77" s="27">
        <f>ABS((D77*E77)-L77)</f>
        <v>442</v>
      </c>
      <c r="N77" s="28" t="str">
        <f>IF(COUNTIFS( $B$2:$B$786, B77, $C$2:$C$786, C77, $D$2:$D$786, D77, $E$2:$E$786, E77) &gt; 1, "Duplicate", "Unique")</f>
        <v>Unique</v>
      </c>
      <c r="O77"/>
    </row>
    <row r="78" spans="1:15" ht="27.65" customHeight="1" thickBot="1" x14ac:dyDescent="0.4">
      <c r="A78" s="6" t="s">
        <v>62</v>
      </c>
      <c r="B78" s="1" t="s">
        <v>100</v>
      </c>
      <c r="C78" s="1" t="s">
        <v>10</v>
      </c>
      <c r="D78" s="4">
        <v>25</v>
      </c>
      <c r="E78" s="4">
        <v>196</v>
      </c>
      <c r="F78" s="4">
        <v>-10.50228311</v>
      </c>
      <c r="G78" s="2" t="s">
        <v>101</v>
      </c>
      <c r="H78" s="5">
        <v>219</v>
      </c>
      <c r="I78" s="1" t="s">
        <v>8</v>
      </c>
      <c r="J78" s="42"/>
      <c r="K78" s="17"/>
      <c r="L78" s="17"/>
      <c r="M78" s="17"/>
      <c r="N78" t="str">
        <f>IF(COUNTIFS( $B$2:$B$786, B78, $C$2:$C$786, C78, $D$2:$D$786, D78, $E$2:$E$786, E78) &gt; 1, "Duplicate", "Unique")</f>
        <v>Unique</v>
      </c>
      <c r="O78"/>
    </row>
    <row r="79" spans="1:15" ht="27.65" customHeight="1" thickBot="1" x14ac:dyDescent="0.4">
      <c r="A79" s="6" t="s">
        <v>62</v>
      </c>
      <c r="B79" s="1" t="s">
        <v>18</v>
      </c>
      <c r="C79" s="1" t="s">
        <v>10</v>
      </c>
      <c r="D79" s="4">
        <v>5</v>
      </c>
      <c r="E79" s="4">
        <v>1614</v>
      </c>
      <c r="F79" s="4">
        <v>-10.561897370000001</v>
      </c>
      <c r="G79" s="2" t="s">
        <v>102</v>
      </c>
      <c r="H79" s="5">
        <v>1804.6</v>
      </c>
      <c r="I79" s="1" t="s">
        <v>8</v>
      </c>
      <c r="J79" s="22" t="s">
        <v>41</v>
      </c>
      <c r="K79" s="17"/>
      <c r="L79" s="17"/>
      <c r="M79" s="17"/>
      <c r="N79" t="str">
        <f>IF(COUNTIFS( $B$2:$B$786, B79, $C$2:$C$786, C79, $D$2:$D$786, D79, $E$2:$E$786, E79) &gt; 1, "Duplicate", "Unique")</f>
        <v>Unique</v>
      </c>
      <c r="O79"/>
    </row>
    <row r="80" spans="1:15" ht="15" customHeight="1" thickBot="1" x14ac:dyDescent="0.4">
      <c r="A80" s="6" t="s">
        <v>62</v>
      </c>
      <c r="B80" s="1" t="s">
        <v>111</v>
      </c>
      <c r="C80" s="1" t="s">
        <v>10</v>
      </c>
      <c r="D80" s="4">
        <v>7</v>
      </c>
      <c r="E80" s="4">
        <v>411</v>
      </c>
      <c r="F80" s="4">
        <v>-10.65217391</v>
      </c>
      <c r="G80" s="2" t="s">
        <v>112</v>
      </c>
      <c r="H80" s="5">
        <v>460</v>
      </c>
      <c r="I80" s="1" t="s">
        <v>8</v>
      </c>
      <c r="J80" s="42"/>
      <c r="K80" s="17"/>
      <c r="L80" s="17"/>
      <c r="M80" s="17"/>
      <c r="N80" t="str">
        <f>IF(COUNTIFS( $B$2:$B$786, B80, $C$2:$C$786, C80, $D$2:$D$786, D80, $E$2:$E$786, E80) &gt; 1, "Duplicate", "Unique")</f>
        <v>Unique</v>
      </c>
      <c r="O80"/>
    </row>
    <row r="81" spans="1:15" ht="27.65" customHeight="1" thickBot="1" x14ac:dyDescent="0.4">
      <c r="A81" s="3">
        <v>46252.6875</v>
      </c>
      <c r="B81" s="1" t="s">
        <v>17</v>
      </c>
      <c r="C81" s="1" t="s">
        <v>10</v>
      </c>
      <c r="D81" s="4">
        <v>25</v>
      </c>
      <c r="E81" s="4">
        <v>326</v>
      </c>
      <c r="F81" s="4">
        <v>-10.68493151</v>
      </c>
      <c r="G81" s="2" t="s">
        <v>77</v>
      </c>
      <c r="H81" s="5">
        <v>365</v>
      </c>
      <c r="I81" s="1" t="s">
        <v>8</v>
      </c>
      <c r="J81" s="42" t="s">
        <v>41</v>
      </c>
      <c r="K81" s="17"/>
      <c r="L81" s="17"/>
      <c r="M81" s="17"/>
      <c r="N81" t="str">
        <f>IF(COUNTIFS( $B$2:$B$786, B81, $C$2:$C$786, C81, $D$2:$D$786, D81, $E$2:$E$786, E81) &gt; 1, "Duplicate", "Unique")</f>
        <v>Unique</v>
      </c>
      <c r="O81"/>
    </row>
    <row r="82" spans="1:15" ht="27.65" customHeight="1" thickBot="1" x14ac:dyDescent="0.4">
      <c r="A82" s="6" t="s">
        <v>62</v>
      </c>
      <c r="B82" s="1" t="s">
        <v>113</v>
      </c>
      <c r="C82" s="1" t="s">
        <v>10</v>
      </c>
      <c r="D82" s="4">
        <v>4</v>
      </c>
      <c r="E82" s="4">
        <v>701</v>
      </c>
      <c r="F82" s="4">
        <v>-10.825594710000001</v>
      </c>
      <c r="G82" s="2" t="s">
        <v>114</v>
      </c>
      <c r="H82" s="5">
        <v>786.1</v>
      </c>
      <c r="I82" s="1" t="s">
        <v>8</v>
      </c>
      <c r="J82" s="42" t="s">
        <v>41</v>
      </c>
      <c r="K82" s="17"/>
      <c r="L82" s="17"/>
      <c r="M82" s="17"/>
      <c r="N82" t="str">
        <f>IF(COUNTIFS( $B$2:$B$786, B82, $C$2:$C$786, C82, $D$2:$D$786, D82, $E$2:$E$786, E82) &gt; 1, "Duplicate", "Unique")</f>
        <v>Unique</v>
      </c>
      <c r="O82"/>
    </row>
    <row r="83" spans="1:15" ht="27.65" customHeight="1" thickBot="1" x14ac:dyDescent="0.4">
      <c r="A83" s="6" t="s">
        <v>62</v>
      </c>
      <c r="B83" s="1" t="s">
        <v>31</v>
      </c>
      <c r="C83" s="1" t="s">
        <v>10</v>
      </c>
      <c r="D83" s="4">
        <v>10</v>
      </c>
      <c r="E83" s="4">
        <v>561</v>
      </c>
      <c r="F83" s="4">
        <v>-10.95238095</v>
      </c>
      <c r="G83" s="2" t="s">
        <v>94</v>
      </c>
      <c r="H83" s="5">
        <v>630</v>
      </c>
      <c r="I83" s="1" t="s">
        <v>8</v>
      </c>
      <c r="J83" s="42" t="s">
        <v>41</v>
      </c>
      <c r="K83" s="17"/>
      <c r="L83" s="17"/>
      <c r="M83" s="17"/>
      <c r="N83" t="str">
        <f>IF(COUNTIFS( $B$2:$B$786, B83, $C$2:$C$786, C83, $D$2:$D$786, D83, $E$2:$E$786, E83) &gt; 1, "Duplicate", "Unique")</f>
        <v>Unique</v>
      </c>
      <c r="O83"/>
    </row>
    <row r="84" spans="1:15" ht="27.65" customHeight="1" thickBot="1" x14ac:dyDescent="0.4">
      <c r="A84" s="6" t="s">
        <v>62</v>
      </c>
      <c r="B84" s="1" t="s">
        <v>20</v>
      </c>
      <c r="C84" s="1" t="s">
        <v>10</v>
      </c>
      <c r="D84" s="4">
        <v>100</v>
      </c>
      <c r="E84" s="4">
        <v>111</v>
      </c>
      <c r="F84" s="4">
        <v>-11.56083181</v>
      </c>
      <c r="G84" s="2" t="s">
        <v>86</v>
      </c>
      <c r="H84" s="5">
        <v>125.51</v>
      </c>
      <c r="I84" s="1" t="s">
        <v>8</v>
      </c>
      <c r="J84" s="42"/>
      <c r="K84" s="17"/>
      <c r="L84" s="17"/>
      <c r="M84" s="17"/>
      <c r="N84" t="str">
        <f>IF(COUNTIFS( $B$2:$B$786, B84, $C$2:$C$786, C84, $D$2:$D$786, D84, $E$2:$E$786, E84) &gt; 1, "Duplicate", "Unique")</f>
        <v>Unique</v>
      </c>
      <c r="O84"/>
    </row>
    <row r="85" spans="1:15" ht="27.65" customHeight="1" thickBot="1" x14ac:dyDescent="0.4">
      <c r="A85" s="6" t="s">
        <v>62</v>
      </c>
      <c r="B85" s="1" t="s">
        <v>11</v>
      </c>
      <c r="C85" s="1" t="s">
        <v>10</v>
      </c>
      <c r="D85" s="4">
        <v>10</v>
      </c>
      <c r="E85" s="4">
        <v>251</v>
      </c>
      <c r="F85" s="4">
        <v>-11.60415566</v>
      </c>
      <c r="G85" s="2" t="s">
        <v>99</v>
      </c>
      <c r="H85" s="5">
        <v>283.95</v>
      </c>
      <c r="I85" s="1" t="s">
        <v>8</v>
      </c>
      <c r="J85" s="42"/>
      <c r="K85" s="17"/>
      <c r="L85" s="17"/>
      <c r="M85" s="17"/>
      <c r="N85" t="str">
        <f>IF(COUNTIFS( $B$2:$B$786, B85, $C$2:$C$786, C85, $D$2:$D$786, D85, $E$2:$E$786, E85) &gt; 1, "Duplicate", "Unique")</f>
        <v>Unique</v>
      </c>
      <c r="O85"/>
    </row>
    <row r="86" spans="1:15" s="26" customFormat="1" ht="27.65" customHeight="1" thickBot="1" x14ac:dyDescent="0.4">
      <c r="A86" s="6" t="s">
        <v>62</v>
      </c>
      <c r="B86" s="1" t="s">
        <v>34</v>
      </c>
      <c r="C86" s="1" t="s">
        <v>10</v>
      </c>
      <c r="D86" s="4">
        <v>1</v>
      </c>
      <c r="E86" s="4">
        <v>19052</v>
      </c>
      <c r="F86" s="4">
        <v>-12.605504590000001</v>
      </c>
      <c r="G86" s="2" t="s">
        <v>71</v>
      </c>
      <c r="H86" s="5">
        <v>21800</v>
      </c>
      <c r="I86" s="1" t="s">
        <v>8</v>
      </c>
      <c r="J86" s="42"/>
      <c r="K86" s="17"/>
      <c r="L86" s="17"/>
      <c r="M86" s="17"/>
      <c r="N86" t="str">
        <f>IF(COUNTIFS( $B$2:$B$786, B86, $C$2:$C$786, C86, $D$2:$D$786, D86, $E$2:$E$786, E86) &gt; 1, "Duplicate", "Unique")</f>
        <v>Unique</v>
      </c>
      <c r="O86"/>
    </row>
    <row r="87" spans="1:15" ht="27.65" customHeight="1" thickBot="1" x14ac:dyDescent="0.4">
      <c r="A87" s="3">
        <v>46252.635416666664</v>
      </c>
      <c r="B87" s="1" t="s">
        <v>92</v>
      </c>
      <c r="C87" s="1" t="s">
        <v>10</v>
      </c>
      <c r="D87" s="4">
        <v>2</v>
      </c>
      <c r="E87" s="4">
        <v>2892</v>
      </c>
      <c r="F87" s="4">
        <v>-13.127065180000001</v>
      </c>
      <c r="G87" s="2" t="s">
        <v>93</v>
      </c>
      <c r="H87" s="5">
        <v>3329</v>
      </c>
      <c r="I87" s="1" t="s">
        <v>8</v>
      </c>
      <c r="J87" s="42"/>
      <c r="K87" s="17"/>
      <c r="L87" s="17"/>
      <c r="M87" s="17"/>
      <c r="N87" t="str">
        <f>IF(COUNTIFS( $B$2:$B$786, B87, $C$2:$C$786, C87, $D$2:$D$786, D87, $E$2:$E$786, E87) &gt; 1, "Duplicate", "Unique")</f>
        <v>Unique</v>
      </c>
      <c r="O87"/>
    </row>
    <row r="88" spans="1:15" ht="40.75" customHeight="1" thickBot="1" x14ac:dyDescent="0.4">
      <c r="A88" s="6" t="s">
        <v>62</v>
      </c>
      <c r="B88" s="1" t="s">
        <v>12</v>
      </c>
      <c r="C88" s="1" t="s">
        <v>10</v>
      </c>
      <c r="D88" s="4">
        <v>2</v>
      </c>
      <c r="E88" s="4">
        <v>4410</v>
      </c>
      <c r="F88" s="4">
        <v>-14.790841459999999</v>
      </c>
      <c r="G88" s="2" t="s">
        <v>98</v>
      </c>
      <c r="H88" s="5">
        <v>5175.5</v>
      </c>
      <c r="I88" s="1" t="s">
        <v>8</v>
      </c>
      <c r="J88" s="42"/>
      <c r="K88" s="17"/>
      <c r="L88" s="17"/>
      <c r="M88" s="17"/>
      <c r="N88" t="str">
        <f>IF(COUNTIFS( $B$2:$B$786, B88, $C$2:$C$786, C88, $D$2:$D$786, D88, $E$2:$E$786, E88) &gt; 1, "Duplicate", "Unique")</f>
        <v>Unique</v>
      </c>
      <c r="O88"/>
    </row>
    <row r="89" spans="1:15" ht="27.65" customHeight="1" thickBot="1" x14ac:dyDescent="0.4">
      <c r="A89" s="6" t="s">
        <v>62</v>
      </c>
      <c r="B89" s="1" t="s">
        <v>34</v>
      </c>
      <c r="C89" s="1" t="s">
        <v>10</v>
      </c>
      <c r="D89" s="4">
        <v>1</v>
      </c>
      <c r="E89" s="4">
        <v>18552</v>
      </c>
      <c r="F89" s="4">
        <v>-14.899082569999999</v>
      </c>
      <c r="G89" s="2" t="s">
        <v>71</v>
      </c>
      <c r="H89" s="5">
        <v>21800</v>
      </c>
      <c r="I89" s="1" t="s">
        <v>8</v>
      </c>
      <c r="J89" s="42"/>
      <c r="K89" s="17"/>
      <c r="L89" s="17"/>
      <c r="M89" s="17"/>
      <c r="N89" t="str">
        <f>IF(COUNTIFS( $B$2:$B$786, B89, $C$2:$C$786, C89, $D$2:$D$786, D89, $E$2:$E$786, E89) &gt; 1, "Duplicate", "Unique")</f>
        <v>Unique</v>
      </c>
      <c r="O89"/>
    </row>
    <row r="90" spans="1:15" s="25" customFormat="1" ht="27.65" customHeight="1" thickBot="1" x14ac:dyDescent="0.4">
      <c r="A90" s="6" t="s">
        <v>62</v>
      </c>
      <c r="B90" s="1" t="s">
        <v>12</v>
      </c>
      <c r="C90" s="1" t="s">
        <v>10</v>
      </c>
      <c r="D90" s="4">
        <v>1</v>
      </c>
      <c r="E90" s="4">
        <v>4364</v>
      </c>
      <c r="F90" s="4">
        <v>-15.67964448</v>
      </c>
      <c r="G90" s="2" t="s">
        <v>98</v>
      </c>
      <c r="H90" s="5">
        <v>5175.5</v>
      </c>
      <c r="I90" s="1" t="s">
        <v>8</v>
      </c>
      <c r="J90" s="43" t="s">
        <v>41</v>
      </c>
      <c r="K90" s="17"/>
      <c r="L90" s="17"/>
      <c r="M90" s="17"/>
      <c r="N90" t="str">
        <f>IF(COUNTIFS( $B$2:$B$786, B90, $C$2:$C$786, C90, $D$2:$D$786, D90, $E$2:$E$786, E90) &gt; 1, "Duplicate", "Unique")</f>
        <v>Unique</v>
      </c>
      <c r="O90"/>
    </row>
    <row r="91" spans="1:15" ht="27.65" customHeight="1" thickBot="1" x14ac:dyDescent="0.4">
      <c r="A91" s="6" t="s">
        <v>62</v>
      </c>
      <c r="B91" s="1" t="s">
        <v>34</v>
      </c>
      <c r="C91" s="1" t="s">
        <v>10</v>
      </c>
      <c r="D91" s="4">
        <v>1</v>
      </c>
      <c r="E91" s="4">
        <v>18052</v>
      </c>
      <c r="F91" s="4">
        <v>-17.192660549999999</v>
      </c>
      <c r="G91" s="2" t="s">
        <v>71</v>
      </c>
      <c r="H91" s="5">
        <v>21800</v>
      </c>
      <c r="I91" s="1" t="s">
        <v>8</v>
      </c>
      <c r="J91" s="42"/>
      <c r="K91" s="17"/>
      <c r="L91" s="17"/>
      <c r="M91" s="17"/>
      <c r="N91" t="str">
        <f>IF(COUNTIFS( $B$2:$B$786, B91, $C$2:$C$786, C91, $D$2:$D$786, D91, $E$2:$E$786, E91) &gt; 1, "Duplicate", "Unique")</f>
        <v>Unique</v>
      </c>
      <c r="O91"/>
    </row>
    <row r="92" spans="1:15" ht="27.65" customHeight="1" thickBot="1" x14ac:dyDescent="0.4">
      <c r="A92" s="6" t="s">
        <v>62</v>
      </c>
      <c r="B92" s="1" t="s">
        <v>92</v>
      </c>
      <c r="C92" s="1" t="s">
        <v>10</v>
      </c>
      <c r="D92" s="4">
        <v>1</v>
      </c>
      <c r="E92" s="4">
        <v>2752</v>
      </c>
      <c r="F92" s="4">
        <v>-17.33253229</v>
      </c>
      <c r="G92" s="2" t="s">
        <v>93</v>
      </c>
      <c r="H92" s="5">
        <v>3329</v>
      </c>
      <c r="I92" s="1" t="s">
        <v>8</v>
      </c>
      <c r="J92" s="42"/>
      <c r="K92" s="17"/>
      <c r="L92" s="17"/>
      <c r="M92" s="17"/>
      <c r="N92" t="str">
        <f>IF(COUNTIFS( $B$2:$B$786, B92, $C$2:$C$786, C92, $D$2:$D$786, D92, $E$2:$E$786, E92) &gt; 1, "Duplicate", "Unique")</f>
        <v>Unique</v>
      </c>
      <c r="O92"/>
    </row>
    <row r="93" spans="1:15" ht="27.65" customHeight="1" thickBot="1" x14ac:dyDescent="0.4">
      <c r="A93" s="6" t="s">
        <v>62</v>
      </c>
      <c r="B93" s="1" t="s">
        <v>12</v>
      </c>
      <c r="C93" s="1" t="s">
        <v>10</v>
      </c>
      <c r="D93" s="4">
        <v>1</v>
      </c>
      <c r="E93" s="4">
        <v>4164</v>
      </c>
      <c r="F93" s="4">
        <v>-19.54400541</v>
      </c>
      <c r="G93" s="2" t="s">
        <v>98</v>
      </c>
      <c r="H93" s="5">
        <v>5175.5</v>
      </c>
      <c r="I93" s="1" t="s">
        <v>8</v>
      </c>
      <c r="J93" s="42"/>
      <c r="K93" s="17"/>
      <c r="L93" s="17"/>
      <c r="M93" s="17"/>
      <c r="N93" t="str">
        <f>IF(COUNTIFS( $B$2:$B$786, B93, $C$2:$C$786, C93, $D$2:$D$786, D93, $E$2:$E$786, E93) &gt; 1, "Duplicate", "Unique")</f>
        <v>Unique</v>
      </c>
      <c r="O93"/>
    </row>
    <row r="94" spans="1:15" ht="27.65" customHeight="1" thickBot="1" x14ac:dyDescent="0.4">
      <c r="A94" s="6" t="s">
        <v>62</v>
      </c>
      <c r="B94" s="1" t="s">
        <v>92</v>
      </c>
      <c r="C94" s="1" t="s">
        <v>10</v>
      </c>
      <c r="D94" s="4">
        <v>2</v>
      </c>
      <c r="E94" s="4">
        <v>2660</v>
      </c>
      <c r="F94" s="4">
        <v>-20.096124960000001</v>
      </c>
      <c r="G94" s="2" t="s">
        <v>93</v>
      </c>
      <c r="H94" s="5">
        <v>3329</v>
      </c>
      <c r="I94" s="1" t="s">
        <v>8</v>
      </c>
      <c r="J94" s="42"/>
      <c r="K94" s="17"/>
      <c r="L94" s="17"/>
      <c r="M94" s="17"/>
      <c r="N94" t="str">
        <f>IF(COUNTIFS( $B$2:$B$786, B94, $C$2:$C$786, C94, $D$2:$D$786, D94, $E$2:$E$786, E94) &gt; 1, "Duplicate", "Unique")</f>
        <v>Unique</v>
      </c>
      <c r="O94"/>
    </row>
    <row r="95" spans="1:15" ht="27.65" customHeight="1" thickBot="1" x14ac:dyDescent="0.4">
      <c r="A95" s="6" t="s">
        <v>62</v>
      </c>
      <c r="B95" s="1" t="s">
        <v>12</v>
      </c>
      <c r="C95" s="1" t="s">
        <v>10</v>
      </c>
      <c r="D95" s="4">
        <v>1</v>
      </c>
      <c r="E95" s="4">
        <v>4014</v>
      </c>
      <c r="F95" s="4">
        <v>-22.442276110000002</v>
      </c>
      <c r="G95" s="2" t="s">
        <v>98</v>
      </c>
      <c r="H95" s="5">
        <v>5175.5</v>
      </c>
      <c r="I95" s="1" t="s">
        <v>8</v>
      </c>
      <c r="J95" s="42"/>
      <c r="K95" s="17"/>
      <c r="L95" s="17"/>
      <c r="M95" s="17"/>
      <c r="N95" t="str">
        <f>IF(COUNTIFS( $B$2:$B$786, B95, $C$2:$C$786, C95, $D$2:$D$786, D95, $E$2:$E$786, E95) &gt; 1, "Duplicate", "Unique")</f>
        <v>Unique</v>
      </c>
      <c r="O95"/>
    </row>
    <row r="96" spans="1:15" ht="14.4" customHeight="1" thickBot="1" x14ac:dyDescent="0.4">
      <c r="A96" s="3">
        <v>46252.688194444447</v>
      </c>
      <c r="B96" s="1" t="s">
        <v>96</v>
      </c>
      <c r="C96" s="1" t="s">
        <v>10</v>
      </c>
      <c r="D96" s="4">
        <v>45</v>
      </c>
      <c r="E96" s="4">
        <v>136.15</v>
      </c>
      <c r="F96" s="4">
        <v>-22.729852439999998</v>
      </c>
      <c r="G96" s="2" t="s">
        <v>97</v>
      </c>
      <c r="H96" s="5">
        <v>176.2</v>
      </c>
      <c r="I96" s="1" t="s">
        <v>8</v>
      </c>
      <c r="J96" s="42"/>
      <c r="K96" s="17"/>
      <c r="L96" s="17"/>
      <c r="M96" s="17"/>
      <c r="N96" t="str">
        <f>IF(COUNTIFS( $B$2:$B$786, B96, $C$2:$C$786, C96, $D$2:$D$786, D96, $E$2:$E$786, E96) &gt; 1, "Duplicate", "Unique")</f>
        <v>Unique</v>
      </c>
      <c r="O96"/>
    </row>
    <row r="97" spans="1:15" ht="14.4" customHeight="1" thickBot="1" x14ac:dyDescent="0.4">
      <c r="A97" s="6" t="s">
        <v>62</v>
      </c>
      <c r="B97" s="1" t="s">
        <v>92</v>
      </c>
      <c r="C97" s="1" t="s">
        <v>10</v>
      </c>
      <c r="D97" s="4">
        <v>2</v>
      </c>
      <c r="E97" s="4">
        <v>2560</v>
      </c>
      <c r="F97" s="4">
        <v>-23.10003004</v>
      </c>
      <c r="G97" s="2" t="s">
        <v>93</v>
      </c>
      <c r="H97" s="5">
        <v>3329</v>
      </c>
      <c r="I97" s="1" t="s">
        <v>8</v>
      </c>
      <c r="J97" s="42"/>
      <c r="K97" s="17"/>
      <c r="L97" s="17"/>
      <c r="M97" s="17"/>
      <c r="N97" t="str">
        <f>IF(COUNTIFS( $B$2:$B$786, B97, $C$2:$C$786, C97, $D$2:$D$786, D97, $E$2:$E$786, E97) &gt; 1, "Duplicate", "Unique")</f>
        <v>Unique</v>
      </c>
      <c r="O97"/>
    </row>
    <row r="98" spans="1:15" ht="14.4" customHeight="1" thickBot="1" x14ac:dyDescent="0.4">
      <c r="A98" s="6" t="s">
        <v>62</v>
      </c>
      <c r="B98" s="1" t="s">
        <v>115</v>
      </c>
      <c r="C98" s="1" t="s">
        <v>10</v>
      </c>
      <c r="D98" s="4">
        <v>2</v>
      </c>
      <c r="E98" s="4">
        <v>660</v>
      </c>
      <c r="F98" s="4">
        <v>-23.166472639999999</v>
      </c>
      <c r="G98" s="2" t="s">
        <v>116</v>
      </c>
      <c r="H98" s="5">
        <v>859</v>
      </c>
      <c r="I98" s="1" t="s">
        <v>8</v>
      </c>
      <c r="J98" s="42"/>
      <c r="K98" s="17"/>
      <c r="L98" s="17"/>
      <c r="M98" s="17"/>
      <c r="N98" t="str">
        <f>IF(COUNTIFS( $B$2:$B$786, B98, $C$2:$C$786, C98, $D$2:$D$786, D98, $E$2:$E$786, E98) &gt; 1, "Duplicate", "Unique")</f>
        <v>Unique</v>
      </c>
      <c r="O98"/>
    </row>
    <row r="99" spans="1:15" ht="15.65" customHeight="1" thickBot="1" x14ac:dyDescent="0.4">
      <c r="A99" s="6" t="s">
        <v>62</v>
      </c>
      <c r="B99" s="1" t="s">
        <v>12</v>
      </c>
      <c r="C99" s="1" t="s">
        <v>10</v>
      </c>
      <c r="D99" s="4">
        <v>1</v>
      </c>
      <c r="E99" s="4">
        <v>3914</v>
      </c>
      <c r="F99" s="4">
        <v>-24.37445657</v>
      </c>
      <c r="G99" s="2" t="s">
        <v>98</v>
      </c>
      <c r="H99" s="5">
        <v>5175.5</v>
      </c>
      <c r="I99" s="1" t="s">
        <v>8</v>
      </c>
      <c r="J99" s="43" t="s">
        <v>41</v>
      </c>
      <c r="K99" s="17"/>
      <c r="L99" s="17"/>
      <c r="M99" s="17"/>
      <c r="N99" t="str">
        <f>IF(COUNTIFS( $B$2:$B$786, B99, $C$2:$C$786, C99, $D$2:$D$786, D99, $E$2:$E$786, E99) &gt; 1, "Duplicate", "Unique")</f>
        <v>Unique</v>
      </c>
      <c r="O99"/>
    </row>
    <row r="100" spans="1:15" ht="14.4" customHeight="1" thickBot="1" x14ac:dyDescent="0.4">
      <c r="A100" s="11">
        <v>46252.635416666664</v>
      </c>
      <c r="B100" s="8" t="s">
        <v>74</v>
      </c>
      <c r="C100" s="8" t="s">
        <v>7</v>
      </c>
      <c r="D100" s="8">
        <v>5</v>
      </c>
      <c r="E100" s="8">
        <v>3482</v>
      </c>
      <c r="F100" s="4">
        <v>1.0388253730000001</v>
      </c>
      <c r="G100" s="2" t="s">
        <v>75</v>
      </c>
      <c r="H100" s="5">
        <v>3446.2</v>
      </c>
      <c r="I100" s="1" t="s">
        <v>8</v>
      </c>
      <c r="J100" s="21" t="s">
        <v>118</v>
      </c>
      <c r="N100" s="10" t="str">
        <f>IF(COUNTIFS( $B$2:$B$786, B100, $C$2:$C$786, C100, $D$2:$D$786, D100, $E$2:$E$786, E100) &gt; 1, "Duplicate", "Unique")</f>
        <v>Unique</v>
      </c>
      <c r="O100" s="47" t="s">
        <v>262</v>
      </c>
    </row>
    <row r="101" spans="1:15" s="25" customFormat="1" ht="14.4" customHeight="1" thickBot="1" x14ac:dyDescent="0.4">
      <c r="A101" s="36">
        <v>46267.375</v>
      </c>
      <c r="B101" s="37" t="s">
        <v>36</v>
      </c>
      <c r="C101" s="37" t="s">
        <v>7</v>
      </c>
      <c r="D101" s="38">
        <v>5</v>
      </c>
      <c r="E101" s="38">
        <v>1206</v>
      </c>
      <c r="F101" s="4">
        <v>1.2509445050000001</v>
      </c>
      <c r="G101" s="2" t="s">
        <v>65</v>
      </c>
      <c r="H101" s="5">
        <v>1191.0999999999999</v>
      </c>
      <c r="I101" s="1" t="s">
        <v>8</v>
      </c>
      <c r="J101" s="32" t="s">
        <v>118</v>
      </c>
      <c r="K101" s="33" t="s">
        <v>239</v>
      </c>
      <c r="L101" s="33">
        <v>5755</v>
      </c>
      <c r="M101" s="33">
        <f t="shared" ref="M101:M118" si="0">ABS((D101*E101)-L101)</f>
        <v>275</v>
      </c>
      <c r="N101" s="35" t="str">
        <f>IF(COUNTIFS( $B$2:$B$786, B101, $C$2:$C$786, C101, $D$2:$D$786, D101, $E$2:$E$786, E101) &gt; 1, "Duplicate", "Unique")</f>
        <v>Duplicate</v>
      </c>
      <c r="O101" s="47" t="s">
        <v>262</v>
      </c>
    </row>
    <row r="102" spans="1:15" ht="14.4" customHeight="1" thickBot="1" x14ac:dyDescent="0.4">
      <c r="A102" s="36">
        <v>46267.375</v>
      </c>
      <c r="B102" s="37" t="s">
        <v>36</v>
      </c>
      <c r="C102" s="37" t="s">
        <v>7</v>
      </c>
      <c r="D102" s="38">
        <v>5</v>
      </c>
      <c r="E102" s="38">
        <v>1206</v>
      </c>
      <c r="F102" s="4">
        <v>1.2509445050000001</v>
      </c>
      <c r="G102" s="2" t="s">
        <v>65</v>
      </c>
      <c r="H102" s="5">
        <v>1191.0999999999999</v>
      </c>
      <c r="I102" s="1" t="s">
        <v>8</v>
      </c>
      <c r="J102" s="32" t="s">
        <v>118</v>
      </c>
      <c r="K102" s="33" t="s">
        <v>243</v>
      </c>
      <c r="L102" s="33">
        <v>5805</v>
      </c>
      <c r="M102" s="33">
        <f t="shared" si="0"/>
        <v>225</v>
      </c>
      <c r="N102" s="35" t="str">
        <f>IF(COUNTIFS( $B$2:$B$786, B102, $C$2:$C$786, C102, $D$2:$D$786, D102, $E$2:$E$786, E102) &gt; 1, "Duplicate", "Unique")</f>
        <v>Duplicate</v>
      </c>
      <c r="O102" s="47" t="s">
        <v>262</v>
      </c>
    </row>
    <row r="103" spans="1:15" ht="14.4" customHeight="1" thickBot="1" x14ac:dyDescent="0.4">
      <c r="A103" s="3">
        <v>46265.466666666667</v>
      </c>
      <c r="B103" s="1" t="s">
        <v>80</v>
      </c>
      <c r="C103" s="1" t="s">
        <v>7</v>
      </c>
      <c r="D103" s="4">
        <v>10</v>
      </c>
      <c r="E103" s="4">
        <v>1548</v>
      </c>
      <c r="F103" s="4">
        <v>2.5233459169999999</v>
      </c>
      <c r="G103" s="2" t="s">
        <v>81</v>
      </c>
      <c r="H103" s="5">
        <v>1509.9</v>
      </c>
      <c r="I103" s="1" t="s">
        <v>8</v>
      </c>
      <c r="J103" s="24" t="s">
        <v>117</v>
      </c>
      <c r="K103" s="18" t="s">
        <v>206</v>
      </c>
      <c r="L103" s="18">
        <v>15050</v>
      </c>
      <c r="M103" s="18">
        <f t="shared" si="0"/>
        <v>430</v>
      </c>
      <c r="N103" t="str">
        <f>IF(COUNTIFS( $B$2:$B$786, B103, $C$2:$C$786, C103, $D$2:$D$786, D103, $E$2:$E$786, E103) &gt; 1, "Duplicate", "Unique")</f>
        <v>Unique</v>
      </c>
      <c r="O103" s="47" t="s">
        <v>262</v>
      </c>
    </row>
    <row r="104" spans="1:15" ht="14.4" customHeight="1" thickBot="1" x14ac:dyDescent="0.4">
      <c r="A104" s="3">
        <v>46269.614583333336</v>
      </c>
      <c r="B104" s="1" t="s">
        <v>23</v>
      </c>
      <c r="C104" s="1" t="s">
        <v>7</v>
      </c>
      <c r="D104" s="4">
        <v>40</v>
      </c>
      <c r="E104" s="4">
        <v>219</v>
      </c>
      <c r="F104" s="4">
        <v>2.7204502810000002</v>
      </c>
      <c r="G104" s="2" t="s">
        <v>70</v>
      </c>
      <c r="H104" s="5">
        <v>213.2</v>
      </c>
      <c r="I104" s="1" t="s">
        <v>8</v>
      </c>
      <c r="J104" s="24" t="s">
        <v>117</v>
      </c>
      <c r="K104" s="18" t="s">
        <v>254</v>
      </c>
      <c r="L104" s="18">
        <v>8480</v>
      </c>
      <c r="M104" s="27">
        <f t="shared" si="0"/>
        <v>280</v>
      </c>
      <c r="N104" t="str">
        <f>IF(COUNTIFS( $B$2:$B$786, B104, $C$2:$C$786, C104, $D$2:$D$786, D104, $E$2:$E$786, E104) &gt; 1, "Duplicate", "Unique")</f>
        <v>Unique</v>
      </c>
      <c r="O104" s="47" t="s">
        <v>262</v>
      </c>
    </row>
    <row r="105" spans="1:15" ht="26.5" thickBot="1" x14ac:dyDescent="0.4">
      <c r="A105" s="3">
        <v>46266.375694444447</v>
      </c>
      <c r="B105" s="1" t="s">
        <v>66</v>
      </c>
      <c r="C105" s="1" t="s">
        <v>7</v>
      </c>
      <c r="D105" s="4">
        <v>5</v>
      </c>
      <c r="E105" s="4">
        <v>1248</v>
      </c>
      <c r="F105" s="4">
        <v>2.9702970299999998</v>
      </c>
      <c r="G105" s="2" t="s">
        <v>67</v>
      </c>
      <c r="H105" s="5">
        <v>1212</v>
      </c>
      <c r="I105" s="1" t="s">
        <v>8</v>
      </c>
      <c r="J105" s="24" t="s">
        <v>117</v>
      </c>
      <c r="K105" s="18" t="s">
        <v>222</v>
      </c>
      <c r="L105" s="18">
        <v>5940</v>
      </c>
      <c r="M105" s="18">
        <f t="shared" si="0"/>
        <v>300</v>
      </c>
      <c r="N105" s="10" t="str">
        <f>IF(COUNTIFS( $B$2:$B$786, B105, $C$2:$C$786, C105, $D$2:$D$786, D105, $E$2:$E$786, E105) &gt; 1, "Duplicate", "Unique")</f>
        <v>Unique</v>
      </c>
      <c r="O105" s="47" t="s">
        <v>262</v>
      </c>
    </row>
    <row r="106" spans="1:15" ht="26.5" thickBot="1" x14ac:dyDescent="0.4">
      <c r="A106" s="3">
        <v>46267.375</v>
      </c>
      <c r="B106" s="1" t="s">
        <v>31</v>
      </c>
      <c r="C106" s="1" t="s">
        <v>7</v>
      </c>
      <c r="D106" s="4">
        <v>5</v>
      </c>
      <c r="E106" s="4">
        <v>649</v>
      </c>
      <c r="F106" s="4">
        <v>3.015873016</v>
      </c>
      <c r="G106" s="2" t="s">
        <v>94</v>
      </c>
      <c r="H106" s="5">
        <v>630</v>
      </c>
      <c r="I106" s="1" t="s">
        <v>8</v>
      </c>
      <c r="J106" s="24" t="s">
        <v>118</v>
      </c>
      <c r="K106" s="18" t="s">
        <v>245</v>
      </c>
      <c r="L106" s="18">
        <v>3005</v>
      </c>
      <c r="M106" s="18">
        <f t="shared" si="0"/>
        <v>240</v>
      </c>
      <c r="N106" s="10" t="str">
        <f>IF(COUNTIFS( $B$2:$B$786, B106, $C$2:$C$786, C106, $D$2:$D$786, D106, $E$2:$E$786, E106) &gt; 1, "Duplicate", "Unique")</f>
        <v>Unique</v>
      </c>
    </row>
    <row r="107" spans="1:15" ht="14.4" customHeight="1" thickBot="1" x14ac:dyDescent="0.4">
      <c r="A107" s="3">
        <v>46265.375694444447</v>
      </c>
      <c r="B107" s="1" t="s">
        <v>49</v>
      </c>
      <c r="C107" s="1" t="s">
        <v>7</v>
      </c>
      <c r="D107" s="4">
        <v>5</v>
      </c>
      <c r="E107" s="4">
        <v>4092</v>
      </c>
      <c r="F107" s="4">
        <v>3.0678555240000001</v>
      </c>
      <c r="G107" s="2" t="s">
        <v>50</v>
      </c>
      <c r="H107" s="5">
        <v>3970.2</v>
      </c>
      <c r="I107" s="1" t="s">
        <v>8</v>
      </c>
      <c r="J107" s="24" t="s">
        <v>118</v>
      </c>
      <c r="K107" s="18" t="s">
        <v>215</v>
      </c>
      <c r="L107" s="18">
        <v>20010</v>
      </c>
      <c r="M107" s="18">
        <f t="shared" si="0"/>
        <v>450</v>
      </c>
      <c r="N107" t="str">
        <f>IF(COUNTIFS( $B$2:$B$786, B107, $C$2:$C$786, C107, $D$2:$D$786, D107, $E$2:$E$786, E107) &gt; 1, "Duplicate", "Unique")</f>
        <v>Unique</v>
      </c>
      <c r="O107" s="47" t="s">
        <v>262</v>
      </c>
    </row>
    <row r="108" spans="1:15" ht="14.4" customHeight="1" thickBot="1" x14ac:dyDescent="0.4">
      <c r="A108" s="3">
        <v>46267.375</v>
      </c>
      <c r="B108" s="1" t="s">
        <v>78</v>
      </c>
      <c r="C108" s="1" t="s">
        <v>7</v>
      </c>
      <c r="D108" s="4">
        <v>3</v>
      </c>
      <c r="E108" s="4">
        <v>1460</v>
      </c>
      <c r="F108" s="4">
        <v>3.187504417</v>
      </c>
      <c r="G108" s="2" t="s">
        <v>79</v>
      </c>
      <c r="H108" s="5">
        <v>1414.9</v>
      </c>
      <c r="I108" s="1" t="s">
        <v>8</v>
      </c>
      <c r="J108" s="24" t="s">
        <v>118</v>
      </c>
      <c r="K108" s="18" t="s">
        <v>237</v>
      </c>
      <c r="L108" s="18">
        <v>4080</v>
      </c>
      <c r="M108" s="18">
        <f t="shared" si="0"/>
        <v>300</v>
      </c>
      <c r="N108" s="10" t="str">
        <f>IF(COUNTIFS( $B$2:$B$786, B108, $C$2:$C$786, C108, $D$2:$D$786, D108, $E$2:$E$786, E108) &gt; 1, "Duplicate", "Unique")</f>
        <v>Unique</v>
      </c>
    </row>
    <row r="109" spans="1:15" customFormat="1" ht="26.5" thickBot="1" x14ac:dyDescent="0.4">
      <c r="A109" s="3">
        <v>46272.375856481478</v>
      </c>
      <c r="B109" s="1" t="s">
        <v>87</v>
      </c>
      <c r="C109" s="1" t="s">
        <v>7</v>
      </c>
      <c r="D109" s="4">
        <v>10</v>
      </c>
      <c r="E109" s="4">
        <v>1280</v>
      </c>
      <c r="F109" s="4">
        <v>3.225806452</v>
      </c>
      <c r="G109" s="2" t="s">
        <v>88</v>
      </c>
      <c r="H109" s="5">
        <v>1240</v>
      </c>
      <c r="I109" s="1" t="s">
        <v>8</v>
      </c>
      <c r="J109" s="18" t="s">
        <v>117</v>
      </c>
      <c r="K109" s="18" t="s">
        <v>269</v>
      </c>
      <c r="L109" s="18">
        <v>12510</v>
      </c>
      <c r="M109" s="18">
        <f t="shared" si="0"/>
        <v>290</v>
      </c>
      <c r="N109" s="10" t="str">
        <f>IF(COUNTIFS( $B$2:$B$786, B109, $C$2:$C$786, C109, $D$2:$D$786, D109, $E$2:$E$786, E109) &gt; 1, "Duplicate", "Unique")</f>
        <v>Unique</v>
      </c>
      <c r="O109" s="10"/>
    </row>
    <row r="110" spans="1:15" customFormat="1" ht="26.5" thickBot="1" x14ac:dyDescent="0.4">
      <c r="A110" s="3">
        <v>46269.542361111111</v>
      </c>
      <c r="B110" s="1" t="s">
        <v>14</v>
      </c>
      <c r="C110" s="1" t="s">
        <v>7</v>
      </c>
      <c r="D110" s="4">
        <v>50</v>
      </c>
      <c r="E110" s="4">
        <v>330.4</v>
      </c>
      <c r="F110" s="4">
        <v>3.25</v>
      </c>
      <c r="G110" s="2" t="s">
        <v>45</v>
      </c>
      <c r="H110" s="5">
        <v>320</v>
      </c>
      <c r="I110" s="1" t="s">
        <v>8</v>
      </c>
      <c r="J110" s="18" t="s">
        <v>118</v>
      </c>
      <c r="K110" s="18" t="s">
        <v>251</v>
      </c>
      <c r="L110" s="18">
        <v>16219.999999999998</v>
      </c>
      <c r="M110" s="27">
        <f t="shared" si="0"/>
        <v>300.00000000000182</v>
      </c>
      <c r="N110" t="str">
        <f>IF(COUNTIFS( $B$2:$B$786, B110, $C$2:$C$786, C110, $D$2:$D$786, D110, $E$2:$E$786, E110) &gt; 1, "Duplicate", "Unique")</f>
        <v>Unique</v>
      </c>
      <c r="O110" s="10"/>
    </row>
    <row r="111" spans="1:15" customFormat="1" ht="26.5" thickBot="1" x14ac:dyDescent="0.4">
      <c r="A111" s="3">
        <v>46272.530752314815</v>
      </c>
      <c r="B111" s="1" t="s">
        <v>14</v>
      </c>
      <c r="C111" s="1" t="s">
        <v>7</v>
      </c>
      <c r="D111" s="4">
        <v>20</v>
      </c>
      <c r="E111" s="4">
        <v>330.4</v>
      </c>
      <c r="F111" s="4">
        <v>3.25</v>
      </c>
      <c r="G111" s="2" t="s">
        <v>45</v>
      </c>
      <c r="H111" s="5">
        <v>320</v>
      </c>
      <c r="I111" s="1" t="s">
        <v>8</v>
      </c>
      <c r="J111" s="10" t="s">
        <v>118</v>
      </c>
      <c r="K111" s="18" t="s">
        <v>263</v>
      </c>
      <c r="L111" s="18">
        <v>6334</v>
      </c>
      <c r="M111" s="18">
        <f t="shared" si="0"/>
        <v>274</v>
      </c>
      <c r="N111" s="10" t="str">
        <f>IF(COUNTIFS( $B$2:$B$786, B111, $C$2:$C$786, C111, $D$2:$D$786, D111, $E$2:$E$786, E111) &gt; 1, "Duplicate", "Unique")</f>
        <v>Unique</v>
      </c>
      <c r="O111" s="10"/>
    </row>
    <row r="112" spans="1:15" customFormat="1" ht="26.5" thickBot="1" x14ac:dyDescent="0.4">
      <c r="A112" s="3">
        <v>46266.375</v>
      </c>
      <c r="B112" s="1" t="s">
        <v>15</v>
      </c>
      <c r="C112" s="1" t="s">
        <v>7</v>
      </c>
      <c r="D112" s="4">
        <v>10</v>
      </c>
      <c r="E112" s="4">
        <v>2595</v>
      </c>
      <c r="F112" s="4">
        <v>3.3864541830000001</v>
      </c>
      <c r="G112" s="2" t="s">
        <v>72</v>
      </c>
      <c r="H112" s="5">
        <v>2510</v>
      </c>
      <c r="I112" s="1" t="s">
        <v>8</v>
      </c>
      <c r="J112" s="18" t="s">
        <v>118</v>
      </c>
      <c r="K112" s="18" t="s">
        <v>228</v>
      </c>
      <c r="L112" s="18">
        <v>25300</v>
      </c>
      <c r="M112" s="18">
        <f t="shared" si="0"/>
        <v>650</v>
      </c>
      <c r="N112" s="10" t="str">
        <f>IF(COUNTIFS( $B$2:$B$786, B112, $C$2:$C$786, C112, $D$2:$D$786, D112, $E$2:$E$786, E112) &gt; 1, "Duplicate", "Unique")</f>
        <v>Unique</v>
      </c>
      <c r="O112" s="47" t="s">
        <v>262</v>
      </c>
    </row>
    <row r="113" spans="1:15" customFormat="1" ht="26.5" thickBot="1" x14ac:dyDescent="0.4">
      <c r="A113" s="3">
        <v>46267.513888888891</v>
      </c>
      <c r="B113" s="1" t="s">
        <v>15</v>
      </c>
      <c r="C113" s="1" t="s">
        <v>7</v>
      </c>
      <c r="D113" s="4">
        <v>5</v>
      </c>
      <c r="E113" s="4">
        <v>2595</v>
      </c>
      <c r="F113" s="4">
        <v>3.3864541830000001</v>
      </c>
      <c r="G113" s="2" t="s">
        <v>72</v>
      </c>
      <c r="H113" s="5">
        <v>2510</v>
      </c>
      <c r="I113" s="1" t="s">
        <v>8</v>
      </c>
      <c r="J113" s="18" t="s">
        <v>118</v>
      </c>
      <c r="K113" s="18" t="s">
        <v>240</v>
      </c>
      <c r="L113" s="18">
        <v>12480</v>
      </c>
      <c r="M113" s="18">
        <f t="shared" si="0"/>
        <v>495</v>
      </c>
      <c r="N113" s="10" t="str">
        <f>IF(COUNTIFS( $B$2:$B$786, B113, $C$2:$C$786, C113, $D$2:$D$786, D113, $E$2:$E$786, E113) &gt; 1, "Duplicate", "Unique")</f>
        <v>Unique</v>
      </c>
      <c r="O113" s="47" t="s">
        <v>262</v>
      </c>
    </row>
    <row r="114" spans="1:15" customFormat="1" ht="39" thickBot="1" x14ac:dyDescent="0.4">
      <c r="A114" s="3">
        <v>46265.392361111109</v>
      </c>
      <c r="B114" s="1" t="s">
        <v>19</v>
      </c>
      <c r="C114" s="1" t="s">
        <v>7</v>
      </c>
      <c r="D114" s="4">
        <v>250</v>
      </c>
      <c r="E114" s="4">
        <v>227.8</v>
      </c>
      <c r="F114" s="4">
        <v>3.5266315220000002</v>
      </c>
      <c r="G114" s="2" t="s">
        <v>40</v>
      </c>
      <c r="H114" s="5">
        <v>220.04</v>
      </c>
      <c r="I114" s="1" t="s">
        <v>8</v>
      </c>
      <c r="J114" s="18" t="s">
        <v>118</v>
      </c>
      <c r="K114" s="18" t="s">
        <v>219</v>
      </c>
      <c r="L114" s="18">
        <v>55382.5</v>
      </c>
      <c r="M114" s="18">
        <f t="shared" si="0"/>
        <v>1567.5</v>
      </c>
      <c r="N114" t="str">
        <f>IF(COUNTIFS( $B$2:$B$786, B114, $C$2:$C$786, C114, $D$2:$D$786, D114, $E$2:$E$786, E114) &gt; 1, "Duplicate", "Unique")</f>
        <v>Unique</v>
      </c>
      <c r="O114" s="47" t="s">
        <v>262</v>
      </c>
    </row>
    <row r="115" spans="1:15" customFormat="1" ht="26.5" thickBot="1" x14ac:dyDescent="0.4">
      <c r="A115" s="3">
        <v>46260.375694444447</v>
      </c>
      <c r="B115" s="1" t="s">
        <v>49</v>
      </c>
      <c r="C115" s="1" t="s">
        <v>7</v>
      </c>
      <c r="D115" s="4">
        <v>5</v>
      </c>
      <c r="E115" s="4">
        <v>4112</v>
      </c>
      <c r="F115" s="4">
        <v>3.5716084829999999</v>
      </c>
      <c r="G115" s="2" t="s">
        <v>50</v>
      </c>
      <c r="H115" s="5">
        <v>3970.2</v>
      </c>
      <c r="I115" s="1" t="s">
        <v>8</v>
      </c>
      <c r="J115" s="18" t="s">
        <v>118</v>
      </c>
      <c r="K115" s="18" t="s">
        <v>174</v>
      </c>
      <c r="L115" s="18">
        <v>20260</v>
      </c>
      <c r="M115" s="18">
        <f t="shared" si="0"/>
        <v>300</v>
      </c>
      <c r="N115" t="str">
        <f>IF(COUNTIFS( $B$2:$B$786, B115, $C$2:$C$786, C115, $D$2:$D$786, D115, $E$2:$E$786, E115) &gt; 1, "Duplicate", "Unique")</f>
        <v>Unique</v>
      </c>
    </row>
    <row r="116" spans="1:15" customFormat="1" ht="39" thickBot="1" x14ac:dyDescent="0.4">
      <c r="A116" s="3">
        <v>46267.375</v>
      </c>
      <c r="B116" s="1" t="s">
        <v>82</v>
      </c>
      <c r="C116" s="1" t="s">
        <v>7</v>
      </c>
      <c r="D116" s="4">
        <v>2</v>
      </c>
      <c r="E116" s="4">
        <v>4290</v>
      </c>
      <c r="F116" s="4">
        <v>3.5731530660000002</v>
      </c>
      <c r="G116" s="2" t="s">
        <v>83</v>
      </c>
      <c r="H116" s="5">
        <v>4142</v>
      </c>
      <c r="I116" s="1" t="s">
        <v>8</v>
      </c>
      <c r="J116" s="18" t="s">
        <v>118</v>
      </c>
      <c r="K116" s="18" t="s">
        <v>238</v>
      </c>
      <c r="L116" s="18">
        <v>8220</v>
      </c>
      <c r="M116" s="18">
        <f t="shared" si="0"/>
        <v>360</v>
      </c>
      <c r="N116" s="10" t="str">
        <f>IF(COUNTIFS( $B$2:$B$786, B116, $C$2:$C$786, C116, $D$2:$D$786, D116, $E$2:$E$786, E116) &gt; 1, "Duplicate", "Unique")</f>
        <v>Unique</v>
      </c>
      <c r="O116" s="47" t="s">
        <v>262</v>
      </c>
    </row>
    <row r="117" spans="1:15" ht="39" thickBot="1" x14ac:dyDescent="0.4">
      <c r="A117" s="3">
        <v>46267.375</v>
      </c>
      <c r="B117" s="1" t="s">
        <v>51</v>
      </c>
      <c r="C117" s="1" t="s">
        <v>7</v>
      </c>
      <c r="D117" s="4">
        <v>10</v>
      </c>
      <c r="E117" s="4">
        <v>957</v>
      </c>
      <c r="F117" s="4">
        <v>3.6331149489999999</v>
      </c>
      <c r="G117" s="2" t="s">
        <v>52</v>
      </c>
      <c r="H117" s="5">
        <v>923.45</v>
      </c>
      <c r="I117" s="1" t="s">
        <v>8</v>
      </c>
      <c r="J117" s="18" t="s">
        <v>117</v>
      </c>
      <c r="K117" s="18" t="s">
        <v>242</v>
      </c>
      <c r="L117" s="18">
        <v>9270</v>
      </c>
      <c r="M117" s="18">
        <f t="shared" si="0"/>
        <v>300</v>
      </c>
      <c r="N117" s="10" t="str">
        <f>IF(COUNTIFS( $B$2:$B$786, B117, $C$2:$C$786, C117, $D$2:$D$786, D117, $E$2:$E$786, E117) &gt; 1, "Duplicate", "Unique")</f>
        <v>Unique</v>
      </c>
      <c r="O117" s="47" t="s">
        <v>262</v>
      </c>
    </row>
    <row r="118" spans="1:15" s="35" customFormat="1" ht="39" thickBot="1" x14ac:dyDescent="0.4">
      <c r="A118" s="3">
        <v>46265.375694444447</v>
      </c>
      <c r="B118" s="1" t="s">
        <v>36</v>
      </c>
      <c r="C118" s="1" t="s">
        <v>7</v>
      </c>
      <c r="D118" s="4">
        <v>5</v>
      </c>
      <c r="E118" s="4">
        <v>1236</v>
      </c>
      <c r="F118" s="4">
        <v>3.7696247170000001</v>
      </c>
      <c r="G118" s="2" t="s">
        <v>65</v>
      </c>
      <c r="H118" s="5">
        <v>1191.0999999999999</v>
      </c>
      <c r="I118" s="1" t="s">
        <v>8</v>
      </c>
      <c r="J118" s="33" t="s">
        <v>118</v>
      </c>
      <c r="K118" s="18" t="s">
        <v>214</v>
      </c>
      <c r="L118" s="18">
        <v>5905</v>
      </c>
      <c r="M118" s="18">
        <f t="shared" si="0"/>
        <v>275</v>
      </c>
      <c r="N118" t="str">
        <f>IF(COUNTIFS( $B$2:$B$786, B118, $C$2:$C$786, C118, $D$2:$D$786, D118, $E$2:$E$786, E118) &gt; 1, "Duplicate", "Unique")</f>
        <v>Unique</v>
      </c>
      <c r="O118" s="10"/>
    </row>
    <row r="119" spans="1:15" s="35" customFormat="1" ht="26.5" thickBot="1" x14ac:dyDescent="0.4">
      <c r="A119" s="11">
        <v>46252.6875</v>
      </c>
      <c r="B119" s="8" t="s">
        <v>9</v>
      </c>
      <c r="C119" s="8" t="s">
        <v>7</v>
      </c>
      <c r="D119" s="8">
        <v>50</v>
      </c>
      <c r="E119" s="8">
        <v>305</v>
      </c>
      <c r="F119" s="4">
        <v>3.8651455810000002</v>
      </c>
      <c r="G119" s="2" t="s">
        <v>95</v>
      </c>
      <c r="H119" s="5">
        <v>293.64999999999998</v>
      </c>
      <c r="I119" s="1" t="s">
        <v>8</v>
      </c>
      <c r="J119" s="40" t="s">
        <v>118</v>
      </c>
      <c r="K119" s="18"/>
      <c r="L119" s="18"/>
      <c r="M119" s="18"/>
      <c r="N119" s="10" t="str">
        <f>IF(COUNTIFS( $B$2:$B$786, B119, $C$2:$C$786, C119, $D$2:$D$786, D119, $E$2:$E$786, E119) &gt; 1, "Duplicate", "Unique")</f>
        <v>Unique</v>
      </c>
      <c r="O119" s="47" t="s">
        <v>262</v>
      </c>
    </row>
    <row r="120" spans="1:15" ht="26.5" thickBot="1" x14ac:dyDescent="0.4">
      <c r="A120" s="3">
        <v>46265.375694444447</v>
      </c>
      <c r="B120" s="1" t="s">
        <v>15</v>
      </c>
      <c r="C120" s="1" t="s">
        <v>7</v>
      </c>
      <c r="D120" s="4">
        <v>10</v>
      </c>
      <c r="E120" s="4">
        <v>2608</v>
      </c>
      <c r="F120" s="4">
        <v>3.9043824699999998</v>
      </c>
      <c r="G120" s="2" t="s">
        <v>72</v>
      </c>
      <c r="H120" s="5">
        <v>2510</v>
      </c>
      <c r="I120" s="1" t="s">
        <v>8</v>
      </c>
      <c r="J120" s="18" t="s">
        <v>118</v>
      </c>
      <c r="K120" s="18" t="s">
        <v>211</v>
      </c>
      <c r="L120" s="18">
        <v>25780</v>
      </c>
      <c r="M120" s="18">
        <f>ABS((D120*E120)-L120)</f>
        <v>300</v>
      </c>
      <c r="N120" t="str">
        <f>IF(COUNTIFS( $B$2:$B$786, B120, $C$2:$C$786, C120, $D$2:$D$786, D120, $E$2:$E$786, E120) &gt; 1, "Duplicate", "Unique")</f>
        <v>Unique</v>
      </c>
      <c r="O120" s="47" t="s">
        <v>262</v>
      </c>
    </row>
    <row r="121" spans="1:15" ht="26.5" thickBot="1" x14ac:dyDescent="0.4">
      <c r="A121" s="11">
        <v>46252.645138888889</v>
      </c>
      <c r="B121" s="8" t="s">
        <v>49</v>
      </c>
      <c r="C121" s="8" t="s">
        <v>7</v>
      </c>
      <c r="D121" s="8">
        <v>5</v>
      </c>
      <c r="E121" s="8">
        <v>4129</v>
      </c>
      <c r="F121" s="4">
        <v>3.9997984990000002</v>
      </c>
      <c r="G121" s="2" t="s">
        <v>50</v>
      </c>
      <c r="H121" s="5">
        <v>3970.2</v>
      </c>
      <c r="I121" s="1" t="s">
        <v>8</v>
      </c>
      <c r="J121" s="40"/>
      <c r="N121" s="10" t="str">
        <f>IF(COUNTIFS( $B$2:$B$786, B121, $C$2:$C$786, C121, $D$2:$D$786, D121, $E$2:$E$786, E121) &gt; 1, "Duplicate", "Unique")</f>
        <v>Unique</v>
      </c>
    </row>
    <row r="122" spans="1:15" ht="26.5" thickBot="1" x14ac:dyDescent="0.4">
      <c r="A122" s="3">
        <v>46266.375694444447</v>
      </c>
      <c r="B122" s="1" t="s">
        <v>121</v>
      </c>
      <c r="C122" s="1" t="s">
        <v>7</v>
      </c>
      <c r="D122" s="4">
        <v>25</v>
      </c>
      <c r="E122" s="4">
        <v>772</v>
      </c>
      <c r="F122" s="4">
        <v>4.183535762</v>
      </c>
      <c r="G122" s="2" t="s">
        <v>122</v>
      </c>
      <c r="H122" s="5">
        <v>741</v>
      </c>
      <c r="I122" s="1" t="s">
        <v>8</v>
      </c>
      <c r="J122" s="18" t="s">
        <v>117</v>
      </c>
      <c r="K122" s="18" t="s">
        <v>223</v>
      </c>
      <c r="L122" s="18">
        <v>18800</v>
      </c>
      <c r="M122" s="18">
        <f t="shared" ref="M122:M127" si="1">ABS((D122*E122)-L122)</f>
        <v>500</v>
      </c>
      <c r="N122" s="10" t="str">
        <f>IF(COUNTIFS( $B$2:$B$786, B122, $C$2:$C$786, C122, $D$2:$D$786, D122, $E$2:$E$786, E122) &gt; 1, "Duplicate", "Unique")</f>
        <v>Unique</v>
      </c>
      <c r="O122" s="48" t="s">
        <v>262</v>
      </c>
    </row>
    <row r="123" spans="1:15" s="19" customFormat="1" ht="26.5" thickBot="1" x14ac:dyDescent="0.4">
      <c r="A123" s="3">
        <v>46267.425694444442</v>
      </c>
      <c r="B123" s="1" t="s">
        <v>35</v>
      </c>
      <c r="C123" s="1" t="s">
        <v>7</v>
      </c>
      <c r="D123" s="4">
        <v>20</v>
      </c>
      <c r="E123" s="4">
        <v>219.5</v>
      </c>
      <c r="F123" s="4">
        <v>4.2755344419999997</v>
      </c>
      <c r="G123" s="2" t="s">
        <v>42</v>
      </c>
      <c r="H123" s="5">
        <v>210.5</v>
      </c>
      <c r="I123" s="1" t="s">
        <v>8</v>
      </c>
      <c r="J123" s="18" t="s">
        <v>118</v>
      </c>
      <c r="K123" s="18" t="s">
        <v>233</v>
      </c>
      <c r="L123" s="18">
        <v>4120</v>
      </c>
      <c r="M123" s="18">
        <f t="shared" si="1"/>
        <v>270</v>
      </c>
      <c r="N123" s="10" t="str">
        <f>IF(COUNTIFS( $B$2:$B$786, B123, $C$2:$C$786, C123, $D$2:$D$786, D123, $E$2:$E$786, E123) &gt; 1, "Duplicate", "Unique")</f>
        <v>Unique</v>
      </c>
      <c r="O123" s="48" t="s">
        <v>262</v>
      </c>
    </row>
    <row r="124" spans="1:15" s="26" customFormat="1" ht="26.5" thickBot="1" x14ac:dyDescent="0.4">
      <c r="A124" s="3">
        <v>46272.375902777778</v>
      </c>
      <c r="B124" s="1" t="s">
        <v>63</v>
      </c>
      <c r="C124" s="1" t="s">
        <v>7</v>
      </c>
      <c r="D124" s="4">
        <v>15</v>
      </c>
      <c r="E124" s="4">
        <v>1048</v>
      </c>
      <c r="F124" s="4">
        <v>4.2993630569999999</v>
      </c>
      <c r="G124" s="2" t="s">
        <v>64</v>
      </c>
      <c r="H124" s="5">
        <v>1004.8</v>
      </c>
      <c r="I124" s="1" t="s">
        <v>8</v>
      </c>
      <c r="J124" s="18" t="s">
        <v>117</v>
      </c>
      <c r="K124" s="18" t="s">
        <v>267</v>
      </c>
      <c r="L124" s="18">
        <v>15075</v>
      </c>
      <c r="M124" s="18">
        <f t="shared" si="1"/>
        <v>645</v>
      </c>
      <c r="N124" s="10" t="str">
        <f>IF(COUNTIFS( $B$2:$B$786, B124, $C$2:$C$786, C124, $D$2:$D$786, D124, $E$2:$E$786, E124) &gt; 1, "Duplicate", "Unique")</f>
        <v>Unique</v>
      </c>
      <c r="O124" s="10"/>
    </row>
    <row r="125" spans="1:15" ht="26.5" thickBot="1" x14ac:dyDescent="0.4">
      <c r="A125" s="3">
        <v>46265.390277777777</v>
      </c>
      <c r="B125" s="1" t="s">
        <v>15</v>
      </c>
      <c r="C125" s="1" t="s">
        <v>7</v>
      </c>
      <c r="D125" s="4">
        <v>10</v>
      </c>
      <c r="E125" s="4">
        <v>2618</v>
      </c>
      <c r="F125" s="4">
        <v>4.3027888450000003</v>
      </c>
      <c r="G125" s="2" t="s">
        <v>72</v>
      </c>
      <c r="H125" s="5">
        <v>2510</v>
      </c>
      <c r="I125" s="1" t="s">
        <v>8</v>
      </c>
      <c r="J125" s="18" t="s">
        <v>117</v>
      </c>
      <c r="K125" s="18" t="s">
        <v>208</v>
      </c>
      <c r="L125" s="18">
        <v>25530</v>
      </c>
      <c r="M125" s="18">
        <f t="shared" si="1"/>
        <v>650</v>
      </c>
      <c r="N125" t="str">
        <f>IF(COUNTIFS( $B$2:$B$786, B125, $C$2:$C$786, C125, $D$2:$D$786, D125, $E$2:$E$786, E125) &gt; 1, "Duplicate", "Unique")</f>
        <v>Unique</v>
      </c>
      <c r="O125"/>
    </row>
    <row r="126" spans="1:15" ht="26.5" thickBot="1" x14ac:dyDescent="0.4">
      <c r="A126" s="3">
        <v>46268.375</v>
      </c>
      <c r="B126" s="1" t="s">
        <v>14</v>
      </c>
      <c r="C126" s="1" t="s">
        <v>7</v>
      </c>
      <c r="D126" s="4">
        <v>100</v>
      </c>
      <c r="E126" s="4">
        <v>334</v>
      </c>
      <c r="F126" s="4">
        <v>4.375</v>
      </c>
      <c r="G126" s="2" t="s">
        <v>45</v>
      </c>
      <c r="H126" s="5">
        <v>320</v>
      </c>
      <c r="I126" s="1" t="s">
        <v>8</v>
      </c>
      <c r="J126" s="18" t="s">
        <v>117</v>
      </c>
      <c r="K126" s="18" t="s">
        <v>247</v>
      </c>
      <c r="L126" s="18">
        <v>32200</v>
      </c>
      <c r="M126" s="18">
        <f t="shared" si="1"/>
        <v>1200</v>
      </c>
      <c r="N126" s="10" t="str">
        <f>IF(COUNTIFS( $B$2:$B$786, B126, $C$2:$C$786, C126, $D$2:$D$786, D126, $E$2:$E$786, E126) &gt; 1, "Duplicate", "Unique")</f>
        <v>Unique</v>
      </c>
      <c r="O126" s="47" t="s">
        <v>262</v>
      </c>
    </row>
    <row r="127" spans="1:15" ht="26.5" thickBot="1" x14ac:dyDescent="0.4">
      <c r="A127" s="3">
        <v>46266.375</v>
      </c>
      <c r="B127" s="1" t="s">
        <v>87</v>
      </c>
      <c r="C127" s="1" t="s">
        <v>7</v>
      </c>
      <c r="D127" s="4">
        <v>10</v>
      </c>
      <c r="E127" s="4">
        <v>1296</v>
      </c>
      <c r="F127" s="4">
        <v>4.5161290320000003</v>
      </c>
      <c r="G127" s="2" t="s">
        <v>88</v>
      </c>
      <c r="H127" s="5">
        <v>1240</v>
      </c>
      <c r="I127" s="1" t="s">
        <v>8</v>
      </c>
      <c r="J127" s="18" t="s">
        <v>117</v>
      </c>
      <c r="K127" s="18" t="s">
        <v>227</v>
      </c>
      <c r="L127" s="18">
        <v>12600</v>
      </c>
      <c r="M127" s="18">
        <f t="shared" si="1"/>
        <v>360</v>
      </c>
      <c r="N127" s="10" t="str">
        <f>IF(COUNTIFS( $B$2:$B$786, B127, $C$2:$C$786, C127, $D$2:$D$786, D127, $E$2:$E$786, E127) &gt; 1, "Duplicate", "Unique")</f>
        <v>Unique</v>
      </c>
    </row>
    <row r="128" spans="1:15" ht="26.5" thickBot="1" x14ac:dyDescent="0.4">
      <c r="A128" s="11">
        <v>46252.645138888889</v>
      </c>
      <c r="B128" s="8" t="s">
        <v>68</v>
      </c>
      <c r="C128" s="8" t="s">
        <v>7</v>
      </c>
      <c r="D128" s="8">
        <v>20</v>
      </c>
      <c r="E128" s="8">
        <v>424</v>
      </c>
      <c r="F128" s="4">
        <v>4.5622688040000003</v>
      </c>
      <c r="G128" s="2" t="s">
        <v>69</v>
      </c>
      <c r="H128" s="5">
        <v>405.5</v>
      </c>
      <c r="I128" s="1" t="s">
        <v>8</v>
      </c>
      <c r="J128" s="40"/>
      <c r="N128" s="10" t="str">
        <f>IF(COUNTIFS( $B$2:$B$786, B128, $C$2:$C$786, C128, $D$2:$D$786, D128, $E$2:$E$786, E128) &gt; 1, "Duplicate", "Unique")</f>
        <v>Unique</v>
      </c>
      <c r="O128" s="47" t="s">
        <v>262</v>
      </c>
    </row>
    <row r="129" spans="1:15" ht="26.5" thickBot="1" x14ac:dyDescent="0.4">
      <c r="A129" s="3">
        <v>46266.375</v>
      </c>
      <c r="B129" s="1" t="s">
        <v>89</v>
      </c>
      <c r="C129" s="1" t="s">
        <v>7</v>
      </c>
      <c r="D129" s="4">
        <v>1</v>
      </c>
      <c r="E129" s="4">
        <v>14852</v>
      </c>
      <c r="F129" s="4">
        <v>4.7390691110000001</v>
      </c>
      <c r="G129" s="2" t="s">
        <v>90</v>
      </c>
      <c r="H129" s="5">
        <v>14180</v>
      </c>
      <c r="I129" s="1" t="s">
        <v>8</v>
      </c>
      <c r="J129" s="18" t="s">
        <v>118</v>
      </c>
      <c r="K129" s="18" t="s">
        <v>230</v>
      </c>
      <c r="L129" s="18">
        <v>14552</v>
      </c>
      <c r="M129" s="18">
        <f t="shared" ref="M129:M137" si="2">ABS((D129*E129)-L129)</f>
        <v>300</v>
      </c>
      <c r="N129" s="10" t="str">
        <f>IF(COUNTIFS( $B$2:$B$786, B129, $C$2:$C$786, C129, $D$2:$D$786, D129, $E$2:$E$786, E129) &gt; 1, "Duplicate", "Unique")</f>
        <v>Unique</v>
      </c>
      <c r="O129" s="47" t="s">
        <v>262</v>
      </c>
    </row>
    <row r="130" spans="1:15" ht="39" thickBot="1" x14ac:dyDescent="0.4">
      <c r="A130" s="36">
        <v>46262.375</v>
      </c>
      <c r="B130" s="37" t="s">
        <v>43</v>
      </c>
      <c r="C130" s="37" t="s">
        <v>7</v>
      </c>
      <c r="D130" s="38">
        <v>5</v>
      </c>
      <c r="E130" s="38">
        <v>747</v>
      </c>
      <c r="F130" s="4">
        <v>4.7538914600000002</v>
      </c>
      <c r="G130" s="2" t="s">
        <v>44</v>
      </c>
      <c r="H130" s="5">
        <v>713.1</v>
      </c>
      <c r="I130" s="1" t="s">
        <v>8</v>
      </c>
      <c r="J130" s="33" t="s">
        <v>118</v>
      </c>
      <c r="K130" s="33" t="s">
        <v>198</v>
      </c>
      <c r="L130" s="33">
        <v>3560</v>
      </c>
      <c r="M130" s="33">
        <f t="shared" si="2"/>
        <v>175</v>
      </c>
      <c r="N130" s="35" t="str">
        <f>IF(COUNTIFS( $B$2:$B$786, B130, $C$2:$C$786, C130, $D$2:$D$786, D130, $E$2:$E$786, E130) &gt; 1, "Duplicate", "Unique")</f>
        <v>Duplicate</v>
      </c>
      <c r="O130" s="47" t="s">
        <v>262</v>
      </c>
    </row>
    <row r="131" spans="1:15" s="25" customFormat="1" ht="39" thickBot="1" x14ac:dyDescent="0.4">
      <c r="A131" s="36">
        <v>46265.375694444447</v>
      </c>
      <c r="B131" s="37" t="s">
        <v>43</v>
      </c>
      <c r="C131" s="37" t="s">
        <v>7</v>
      </c>
      <c r="D131" s="38">
        <v>5</v>
      </c>
      <c r="E131" s="38">
        <v>747</v>
      </c>
      <c r="F131" s="4">
        <v>4.7538914600000002</v>
      </c>
      <c r="G131" s="2" t="s">
        <v>44</v>
      </c>
      <c r="H131" s="5">
        <v>713.1</v>
      </c>
      <c r="I131" s="1" t="s">
        <v>8</v>
      </c>
      <c r="J131" s="33" t="s">
        <v>118</v>
      </c>
      <c r="K131" s="33" t="s">
        <v>216</v>
      </c>
      <c r="L131" s="33">
        <v>3510</v>
      </c>
      <c r="M131" s="33">
        <f t="shared" si="2"/>
        <v>225</v>
      </c>
      <c r="N131" s="34" t="str">
        <f>IF(COUNTIFS( $B$2:$B$786, B131, $C$2:$C$786, C131, $D$2:$D$786, D131, $E$2:$E$786, E131) &gt; 1, "Duplicate", "Unique")</f>
        <v>Duplicate</v>
      </c>
      <c r="O131" s="47" t="s">
        <v>262</v>
      </c>
    </row>
    <row r="132" spans="1:15" ht="26.5" thickBot="1" x14ac:dyDescent="0.4">
      <c r="A132" s="3">
        <v>46265.460416666669</v>
      </c>
      <c r="B132" s="1" t="s">
        <v>18</v>
      </c>
      <c r="C132" s="1" t="s">
        <v>7</v>
      </c>
      <c r="D132" s="4">
        <v>5</v>
      </c>
      <c r="E132" s="4">
        <v>1892</v>
      </c>
      <c r="F132" s="4">
        <v>4.8431785439999997</v>
      </c>
      <c r="G132" s="2" t="s">
        <v>102</v>
      </c>
      <c r="H132" s="5">
        <v>1804.6</v>
      </c>
      <c r="I132" s="1" t="s">
        <v>8</v>
      </c>
      <c r="J132" s="18" t="s">
        <v>118</v>
      </c>
      <c r="K132" s="18" t="s">
        <v>203</v>
      </c>
      <c r="L132" s="18">
        <v>8810</v>
      </c>
      <c r="M132" s="18">
        <f t="shared" si="2"/>
        <v>650</v>
      </c>
      <c r="N132" t="str">
        <f>IF(COUNTIFS( $B$2:$B$786, B132, $C$2:$C$786, C132, $D$2:$D$786, D132, $E$2:$E$786, E132) &gt; 1, "Duplicate", "Unique")</f>
        <v>Unique</v>
      </c>
      <c r="O132" s="47" t="s">
        <v>262</v>
      </c>
    </row>
    <row r="133" spans="1:15" ht="26.5" thickBot="1" x14ac:dyDescent="0.4">
      <c r="A133" s="3">
        <v>46261.375</v>
      </c>
      <c r="B133" s="1" t="s">
        <v>57</v>
      </c>
      <c r="C133" s="1" t="s">
        <v>7</v>
      </c>
      <c r="D133" s="4">
        <v>5</v>
      </c>
      <c r="E133" s="4">
        <v>2948</v>
      </c>
      <c r="F133" s="4">
        <v>4.8625191189999999</v>
      </c>
      <c r="G133" s="2" t="s">
        <v>58</v>
      </c>
      <c r="H133" s="5">
        <v>2811.3</v>
      </c>
      <c r="I133" s="1" t="s">
        <v>8</v>
      </c>
      <c r="J133" s="18" t="s">
        <v>117</v>
      </c>
      <c r="K133" s="18" t="s">
        <v>186</v>
      </c>
      <c r="L133" s="18">
        <v>14440</v>
      </c>
      <c r="M133" s="18">
        <f t="shared" si="2"/>
        <v>300</v>
      </c>
      <c r="N133" s="10" t="str">
        <f>IF(COUNTIFS( $B$2:$B$786, B133, $C$2:$C$786, C133, $D$2:$D$786, D133, $E$2:$E$786, E133) &gt; 1, "Duplicate", "Unique")</f>
        <v>Unique</v>
      </c>
      <c r="O133"/>
    </row>
    <row r="134" spans="1:15" ht="39" thickBot="1" x14ac:dyDescent="0.4">
      <c r="A134" s="3">
        <v>46266.375</v>
      </c>
      <c r="B134" s="1" t="s">
        <v>119</v>
      </c>
      <c r="C134" s="1" t="s">
        <v>7</v>
      </c>
      <c r="D134" s="4">
        <v>15</v>
      </c>
      <c r="E134" s="4">
        <v>1040</v>
      </c>
      <c r="F134" s="4">
        <v>4.9974760219999999</v>
      </c>
      <c r="G134" s="2" t="s">
        <v>120</v>
      </c>
      <c r="H134" s="5">
        <v>990.5</v>
      </c>
      <c r="I134" s="1" t="s">
        <v>8</v>
      </c>
      <c r="J134" s="18" t="s">
        <v>117</v>
      </c>
      <c r="K134" s="18" t="s">
        <v>231</v>
      </c>
      <c r="L134" s="18">
        <v>15075</v>
      </c>
      <c r="M134" s="18">
        <f t="shared" si="2"/>
        <v>525</v>
      </c>
      <c r="N134" s="10" t="str">
        <f>IF(COUNTIFS( $B$2:$B$786, B134, $C$2:$C$786, C134, $D$2:$D$786, D134, $E$2:$E$786, E134) &gt; 1, "Duplicate", "Unique")</f>
        <v>Unique</v>
      </c>
    </row>
    <row r="135" spans="1:15" ht="26.5" thickBot="1" x14ac:dyDescent="0.4">
      <c r="A135" s="3">
        <v>46265.375694444447</v>
      </c>
      <c r="B135" s="1" t="s">
        <v>15</v>
      </c>
      <c r="C135" s="1" t="s">
        <v>7</v>
      </c>
      <c r="D135" s="4">
        <v>10</v>
      </c>
      <c r="E135" s="4">
        <v>2636</v>
      </c>
      <c r="F135" s="4">
        <v>5.0199203189999997</v>
      </c>
      <c r="G135" s="2" t="s">
        <v>72</v>
      </c>
      <c r="H135" s="5">
        <v>2510</v>
      </c>
      <c r="I135" s="1" t="s">
        <v>8</v>
      </c>
      <c r="J135" s="18" t="s">
        <v>117</v>
      </c>
      <c r="K135" s="18" t="s">
        <v>217</v>
      </c>
      <c r="L135" s="18">
        <v>26020</v>
      </c>
      <c r="M135" s="18">
        <f t="shared" si="2"/>
        <v>340</v>
      </c>
      <c r="N135" t="str">
        <f>IF(COUNTIFS( $B$2:$B$786, B135, $C$2:$C$786, C135, $D$2:$D$786, D135, $E$2:$E$786, E135) &gt; 1, "Duplicate", "Unique")</f>
        <v>Unique</v>
      </c>
    </row>
    <row r="136" spans="1:15" s="26" customFormat="1" ht="39" thickBot="1" x14ac:dyDescent="0.4">
      <c r="A136" s="36">
        <v>46260.556944444441</v>
      </c>
      <c r="B136" s="37" t="s">
        <v>36</v>
      </c>
      <c r="C136" s="37" t="s">
        <v>7</v>
      </c>
      <c r="D136" s="38">
        <v>5</v>
      </c>
      <c r="E136" s="38">
        <v>1251</v>
      </c>
      <c r="F136" s="4">
        <v>5.0289648219999998</v>
      </c>
      <c r="G136" s="2" t="s">
        <v>65</v>
      </c>
      <c r="H136" s="5">
        <v>1191.0999999999999</v>
      </c>
      <c r="I136" s="1" t="s">
        <v>8</v>
      </c>
      <c r="J136" s="33" t="s">
        <v>118</v>
      </c>
      <c r="K136" s="33" t="s">
        <v>168</v>
      </c>
      <c r="L136" s="33">
        <v>6105</v>
      </c>
      <c r="M136" s="33">
        <f t="shared" si="2"/>
        <v>150</v>
      </c>
      <c r="N136" s="34" t="str">
        <f>IF(COUNTIFS( $B$2:$B$786, B136, $C$2:$C$786, C136, $D$2:$D$786, D136, $E$2:$E$786, E136) &gt; 1, "Duplicate", "Unique")</f>
        <v>Duplicate</v>
      </c>
      <c r="O136" s="10"/>
    </row>
    <row r="137" spans="1:15" ht="39" thickBot="1" x14ac:dyDescent="0.4">
      <c r="A137" s="36">
        <v>46261.375</v>
      </c>
      <c r="B137" s="37" t="s">
        <v>36</v>
      </c>
      <c r="C137" s="37" t="s">
        <v>7</v>
      </c>
      <c r="D137" s="38">
        <v>5</v>
      </c>
      <c r="E137" s="38">
        <v>1251</v>
      </c>
      <c r="F137" s="4">
        <v>5.0289648219999998</v>
      </c>
      <c r="G137" s="2" t="s">
        <v>65</v>
      </c>
      <c r="H137" s="5">
        <v>1191.0999999999999</v>
      </c>
      <c r="I137" s="1" t="s">
        <v>8</v>
      </c>
      <c r="J137" s="33" t="s">
        <v>118</v>
      </c>
      <c r="K137" s="33" t="s">
        <v>182</v>
      </c>
      <c r="L137" s="33">
        <v>6005</v>
      </c>
      <c r="M137" s="33">
        <f t="shared" si="2"/>
        <v>250</v>
      </c>
      <c r="N137" s="35" t="str">
        <f>IF(COUNTIFS( $B$2:$B$786, B137, $C$2:$C$786, C137, $D$2:$D$786, D137, $E$2:$E$786, E137) &gt; 1, "Duplicate", "Unique")</f>
        <v>Duplicate</v>
      </c>
    </row>
    <row r="138" spans="1:15" ht="26.5" thickBot="1" x14ac:dyDescent="0.4">
      <c r="A138" s="11">
        <v>46252.645833333336</v>
      </c>
      <c r="B138" s="8" t="s">
        <v>49</v>
      </c>
      <c r="C138" s="8" t="s">
        <v>7</v>
      </c>
      <c r="D138" s="8">
        <v>5</v>
      </c>
      <c r="E138" s="8">
        <v>4177</v>
      </c>
      <c r="F138" s="4">
        <v>5.208805602</v>
      </c>
      <c r="G138" s="2" t="s">
        <v>50</v>
      </c>
      <c r="H138" s="5">
        <v>3970.2</v>
      </c>
      <c r="I138" s="1" t="s">
        <v>8</v>
      </c>
      <c r="J138" s="40"/>
      <c r="N138" s="10" t="str">
        <f>IF(COUNTIFS( $B$2:$B$786, B138, $C$2:$C$786, C138, $D$2:$D$786, D138, $E$2:$E$786, E138) &gt; 1, "Duplicate", "Unique")</f>
        <v>Unique</v>
      </c>
      <c r="O138" s="25"/>
    </row>
    <row r="139" spans="1:15" s="35" customFormat="1" ht="39" thickBot="1" x14ac:dyDescent="0.4">
      <c r="A139" s="3">
        <v>46262.375</v>
      </c>
      <c r="B139" s="1" t="s">
        <v>82</v>
      </c>
      <c r="C139" s="1" t="s">
        <v>7</v>
      </c>
      <c r="D139" s="4">
        <v>2</v>
      </c>
      <c r="E139" s="4">
        <v>4360</v>
      </c>
      <c r="F139" s="4">
        <v>5.263157895</v>
      </c>
      <c r="G139" s="2" t="s">
        <v>83</v>
      </c>
      <c r="H139" s="5">
        <v>4142</v>
      </c>
      <c r="I139" s="1" t="s">
        <v>8</v>
      </c>
      <c r="J139" s="18" t="s">
        <v>118</v>
      </c>
      <c r="K139" s="18" t="s">
        <v>193</v>
      </c>
      <c r="L139" s="18">
        <v>8420</v>
      </c>
      <c r="M139" s="18">
        <f>ABS((D139*E139)-L139)</f>
        <v>300</v>
      </c>
      <c r="N139" s="10" t="str">
        <f>IF(COUNTIFS( $B$2:$B$786, B139, $C$2:$C$786, C139, $D$2:$D$786, D139, $E$2:$E$786, E139) &gt; 1, "Duplicate", "Unique")</f>
        <v>Unique</v>
      </c>
      <c r="O139" s="10"/>
    </row>
    <row r="140" spans="1:15" s="35" customFormat="1" ht="39" thickBot="1" x14ac:dyDescent="0.4">
      <c r="A140" s="3">
        <v>46269.643055555556</v>
      </c>
      <c r="B140" s="1" t="s">
        <v>12</v>
      </c>
      <c r="C140" s="1" t="s">
        <v>7</v>
      </c>
      <c r="D140" s="4">
        <v>1</v>
      </c>
      <c r="E140" s="4">
        <v>5448</v>
      </c>
      <c r="F140" s="4">
        <v>5.2651917690000003</v>
      </c>
      <c r="G140" s="2" t="s">
        <v>98</v>
      </c>
      <c r="H140" s="5">
        <v>5175.5</v>
      </c>
      <c r="I140" s="1" t="s">
        <v>8</v>
      </c>
      <c r="J140" s="18" t="s">
        <v>118</v>
      </c>
      <c r="K140" s="18" t="s">
        <v>252</v>
      </c>
      <c r="L140" s="18">
        <v>5180</v>
      </c>
      <c r="M140" s="27">
        <f>ABS((D140*E140)-L140)</f>
        <v>268</v>
      </c>
      <c r="N140" t="str">
        <f>IF(COUNTIFS( $B$2:$B$786, B140, $C$2:$C$786, C140, $D$2:$D$786, D140, $E$2:$E$786, E140) &gt; 1, "Duplicate", "Unique")</f>
        <v>Unique</v>
      </c>
      <c r="O140" s="47" t="s">
        <v>262</v>
      </c>
    </row>
    <row r="141" spans="1:15" ht="26.5" thickBot="1" x14ac:dyDescent="0.4">
      <c r="A141" s="3">
        <v>46261.375694444447</v>
      </c>
      <c r="B141" s="1" t="s">
        <v>78</v>
      </c>
      <c r="C141" s="1" t="s">
        <v>7</v>
      </c>
      <c r="D141" s="4">
        <v>5</v>
      </c>
      <c r="E141" s="4">
        <v>1490</v>
      </c>
      <c r="F141" s="4">
        <v>5.3077956039999998</v>
      </c>
      <c r="G141" s="2" t="s">
        <v>79</v>
      </c>
      <c r="H141" s="5">
        <v>1414.9</v>
      </c>
      <c r="I141" s="1" t="s">
        <v>8</v>
      </c>
      <c r="J141" s="18" t="s">
        <v>118</v>
      </c>
      <c r="K141" s="18" t="s">
        <v>191</v>
      </c>
      <c r="L141" s="18">
        <v>7200</v>
      </c>
      <c r="M141" s="18">
        <f>ABS((D141*E141)-L141)</f>
        <v>250</v>
      </c>
      <c r="N141" s="10" t="str">
        <f>IF(COUNTIFS( $B$2:$B$786, B141, $C$2:$C$786, C141, $D$2:$D$786, D141, $E$2:$E$786, E141) &gt; 1, "Duplicate", "Unique")</f>
        <v>Unique</v>
      </c>
    </row>
    <row r="142" spans="1:15" ht="26.5" thickBot="1" x14ac:dyDescent="0.4">
      <c r="A142" s="3">
        <v>46265.375694444447</v>
      </c>
      <c r="B142" s="1" t="s">
        <v>78</v>
      </c>
      <c r="C142" s="1" t="s">
        <v>7</v>
      </c>
      <c r="D142" s="4">
        <v>3</v>
      </c>
      <c r="E142" s="4">
        <v>1490</v>
      </c>
      <c r="F142" s="4">
        <v>5.3077956039999998</v>
      </c>
      <c r="G142" s="2" t="s">
        <v>79</v>
      </c>
      <c r="H142" s="5">
        <v>1414.9</v>
      </c>
      <c r="I142" s="1" t="s">
        <v>8</v>
      </c>
      <c r="J142" s="18" t="s">
        <v>118</v>
      </c>
      <c r="K142" s="18" t="s">
        <v>212</v>
      </c>
      <c r="L142" s="18">
        <v>4170</v>
      </c>
      <c r="M142" s="18">
        <f>ABS((D142*E142)-L142)</f>
        <v>300</v>
      </c>
      <c r="N142" t="str">
        <f>IF(COUNTIFS( $B$2:$B$786, B142, $C$2:$C$786, C142, $D$2:$D$786, D142, $E$2:$E$786, E142) &gt; 1, "Duplicate", "Unique")</f>
        <v>Unique</v>
      </c>
    </row>
    <row r="143" spans="1:15" ht="26.5" thickBot="1" x14ac:dyDescent="0.4">
      <c r="A143" s="8" t="s">
        <v>62</v>
      </c>
      <c r="B143" s="8" t="s">
        <v>74</v>
      </c>
      <c r="C143" s="8" t="s">
        <v>7</v>
      </c>
      <c r="D143" s="8">
        <v>5</v>
      </c>
      <c r="E143" s="8">
        <v>3633</v>
      </c>
      <c r="F143" s="4">
        <v>5.4204631189999999</v>
      </c>
      <c r="G143" s="2" t="s">
        <v>75</v>
      </c>
      <c r="H143" s="5">
        <v>3446.2</v>
      </c>
      <c r="I143" s="1" t="s">
        <v>8</v>
      </c>
      <c r="J143" s="40"/>
      <c r="N143" s="10" t="str">
        <f>IF(COUNTIFS( $B$2:$B$786, B143, $C$2:$C$786, C143, $D$2:$D$786, D143, $E$2:$E$786, E143) &gt; 1, "Duplicate", "Unique")</f>
        <v>Unique</v>
      </c>
    </row>
    <row r="144" spans="1:15" ht="26.5" thickBot="1" x14ac:dyDescent="0.4">
      <c r="A144" s="3">
        <v>46266.375</v>
      </c>
      <c r="B144" s="1" t="s">
        <v>63</v>
      </c>
      <c r="C144" s="1" t="s">
        <v>7</v>
      </c>
      <c r="D144" s="4">
        <v>10</v>
      </c>
      <c r="E144" s="4">
        <v>1060</v>
      </c>
      <c r="F144" s="4">
        <v>5.4936305729999999</v>
      </c>
      <c r="G144" s="2" t="s">
        <v>64</v>
      </c>
      <c r="H144" s="5">
        <v>1004.8</v>
      </c>
      <c r="I144" s="1" t="s">
        <v>8</v>
      </c>
      <c r="J144" s="18" t="s">
        <v>117</v>
      </c>
      <c r="K144" s="18" t="s">
        <v>226</v>
      </c>
      <c r="L144" s="18">
        <v>10300</v>
      </c>
      <c r="M144" s="18">
        <f t="shared" ref="M144:M152" si="3">ABS((D144*E144)-L144)</f>
        <v>300</v>
      </c>
      <c r="N144" s="10" t="str">
        <f>IF(COUNTIFS( $B$2:$B$786, B144, $C$2:$C$786, C144, $D$2:$D$786, D144, $E$2:$E$786, E144) &gt; 1, "Duplicate", "Unique")</f>
        <v>Unique</v>
      </c>
    </row>
    <row r="145" spans="1:15" ht="26.5" thickBot="1" x14ac:dyDescent="0.4">
      <c r="A145" s="3">
        <v>46262.463194444441</v>
      </c>
      <c r="B145" s="1" t="s">
        <v>15</v>
      </c>
      <c r="C145" s="1" t="s">
        <v>7</v>
      </c>
      <c r="D145" s="4">
        <v>10</v>
      </c>
      <c r="E145" s="4">
        <v>2648</v>
      </c>
      <c r="F145" s="4">
        <v>5.4980079679999996</v>
      </c>
      <c r="G145" s="2" t="s">
        <v>72</v>
      </c>
      <c r="H145" s="5">
        <v>2510</v>
      </c>
      <c r="I145" s="1" t="s">
        <v>8</v>
      </c>
      <c r="J145" s="18" t="s">
        <v>117</v>
      </c>
      <c r="K145" s="18" t="s">
        <v>196</v>
      </c>
      <c r="L145" s="18">
        <v>26180</v>
      </c>
      <c r="M145" s="18">
        <f t="shared" si="3"/>
        <v>300</v>
      </c>
      <c r="N145" s="10" t="str">
        <f>IF(COUNTIFS( $B$2:$B$786, B145, $C$2:$C$786, C145, $D$2:$D$786, D145, $E$2:$E$786, E145) &gt; 1, "Duplicate", "Unique")</f>
        <v>Unique</v>
      </c>
    </row>
    <row r="146" spans="1:15" ht="26.5" thickBot="1" x14ac:dyDescent="0.4">
      <c r="A146" s="3">
        <v>46269.411111111112</v>
      </c>
      <c r="B146" s="1" t="s">
        <v>13</v>
      </c>
      <c r="C146" s="1" t="s">
        <v>7</v>
      </c>
      <c r="D146" s="4">
        <v>10</v>
      </c>
      <c r="E146" s="4">
        <v>1879</v>
      </c>
      <c r="F146" s="4">
        <v>5.6864840540000001</v>
      </c>
      <c r="G146" s="2" t="s">
        <v>91</v>
      </c>
      <c r="H146" s="5">
        <v>1777.9</v>
      </c>
      <c r="I146" s="1" t="s">
        <v>8</v>
      </c>
      <c r="J146" s="18" t="s">
        <v>118</v>
      </c>
      <c r="K146" s="18" t="s">
        <v>253</v>
      </c>
      <c r="L146" s="18">
        <v>18140</v>
      </c>
      <c r="M146" s="27">
        <f t="shared" si="3"/>
        <v>650</v>
      </c>
      <c r="N146" t="str">
        <f>IF(COUNTIFS( $B$2:$B$786, B146, $C$2:$C$786, C146, $D$2:$D$786, D146, $E$2:$E$786, E146) &gt; 1, "Duplicate", "Unique")</f>
        <v>Unique</v>
      </c>
      <c r="O146" s="47" t="s">
        <v>262</v>
      </c>
    </row>
    <row r="147" spans="1:15" ht="39" thickBot="1" x14ac:dyDescent="0.4">
      <c r="A147" s="3">
        <v>46261.375694444447</v>
      </c>
      <c r="B147" s="1" t="s">
        <v>51</v>
      </c>
      <c r="C147" s="1" t="s">
        <v>7</v>
      </c>
      <c r="D147" s="4">
        <v>10</v>
      </c>
      <c r="E147" s="4">
        <v>977</v>
      </c>
      <c r="F147" s="4">
        <v>5.7989062750000002</v>
      </c>
      <c r="G147" s="2" t="s">
        <v>52</v>
      </c>
      <c r="H147" s="5">
        <v>923.45</v>
      </c>
      <c r="I147" s="1" t="s">
        <v>8</v>
      </c>
      <c r="J147" s="18" t="s">
        <v>117</v>
      </c>
      <c r="K147" s="18" t="s">
        <v>179</v>
      </c>
      <c r="L147" s="18">
        <v>9470</v>
      </c>
      <c r="M147" s="18">
        <f t="shared" si="3"/>
        <v>300</v>
      </c>
      <c r="N147" s="10" t="str">
        <f>IF(COUNTIFS( $B$2:$B$786, B147, $C$2:$C$786, C147, $D$2:$D$786, D147, $E$2:$E$786, E147) &gt; 1, "Duplicate", "Unique")</f>
        <v>Unique</v>
      </c>
    </row>
    <row r="148" spans="1:15" ht="26.5" thickBot="1" x14ac:dyDescent="0.4">
      <c r="A148" s="36">
        <v>46267.461111111108</v>
      </c>
      <c r="B148" s="37" t="s">
        <v>14</v>
      </c>
      <c r="C148" s="37" t="s">
        <v>7</v>
      </c>
      <c r="D148" s="38">
        <v>100</v>
      </c>
      <c r="E148" s="38">
        <v>339</v>
      </c>
      <c r="F148" s="4">
        <v>5.9375</v>
      </c>
      <c r="G148" s="2" t="s">
        <v>45</v>
      </c>
      <c r="H148" s="5">
        <v>320</v>
      </c>
      <c r="I148" s="1" t="s">
        <v>8</v>
      </c>
      <c r="J148" s="33" t="s">
        <v>117</v>
      </c>
      <c r="K148" s="33" t="s">
        <v>234</v>
      </c>
      <c r="L148" s="33">
        <v>32900</v>
      </c>
      <c r="M148" s="33">
        <f t="shared" si="3"/>
        <v>1000</v>
      </c>
      <c r="N148" s="35" t="str">
        <f>IF(COUNTIFS( $B$2:$B$786, B148, $C$2:$C$786, C148, $D$2:$D$786, D148, $E$2:$E$786, E148) &gt; 1, "Duplicate", "Unique")</f>
        <v>Duplicate</v>
      </c>
      <c r="O148" s="26"/>
    </row>
    <row r="149" spans="1:15" ht="26.5" thickBot="1" x14ac:dyDescent="0.4">
      <c r="A149" s="36">
        <v>46267.38958333333</v>
      </c>
      <c r="B149" s="37" t="s">
        <v>14</v>
      </c>
      <c r="C149" s="37" t="s">
        <v>7</v>
      </c>
      <c r="D149" s="38">
        <v>100</v>
      </c>
      <c r="E149" s="38">
        <v>339</v>
      </c>
      <c r="F149" s="4">
        <v>5.9375</v>
      </c>
      <c r="G149" s="2" t="s">
        <v>45</v>
      </c>
      <c r="H149" s="5">
        <v>320</v>
      </c>
      <c r="I149" s="1" t="s">
        <v>8</v>
      </c>
      <c r="J149" s="33" t="s">
        <v>117</v>
      </c>
      <c r="K149" s="33" t="s">
        <v>236</v>
      </c>
      <c r="L149" s="33">
        <v>33200</v>
      </c>
      <c r="M149" s="33">
        <f t="shared" si="3"/>
        <v>700</v>
      </c>
      <c r="N149" s="35" t="str">
        <f>IF(COUNTIFS( $B$2:$B$786, B149, $C$2:$C$786, C149, $D$2:$D$786, D149, $E$2:$E$786, E149) &gt; 1, "Duplicate", "Unique")</f>
        <v>Duplicate</v>
      </c>
    </row>
    <row r="150" spans="1:15" ht="26.5" thickBot="1" x14ac:dyDescent="0.4">
      <c r="A150" s="3">
        <v>46262.375</v>
      </c>
      <c r="B150" s="1" t="s">
        <v>15</v>
      </c>
      <c r="C150" s="1" t="s">
        <v>7</v>
      </c>
      <c r="D150" s="4">
        <v>10</v>
      </c>
      <c r="E150" s="4">
        <v>2660</v>
      </c>
      <c r="F150" s="4">
        <v>5.9760956180000004</v>
      </c>
      <c r="G150" s="2" t="s">
        <v>72</v>
      </c>
      <c r="H150" s="5">
        <v>2510</v>
      </c>
      <c r="I150" s="1" t="s">
        <v>8</v>
      </c>
      <c r="J150" s="18" t="s">
        <v>117</v>
      </c>
      <c r="K150" s="18" t="s">
        <v>199</v>
      </c>
      <c r="L150" s="18">
        <v>26300</v>
      </c>
      <c r="M150" s="18">
        <f t="shared" si="3"/>
        <v>300</v>
      </c>
      <c r="N150" s="10" t="str">
        <f>IF(COUNTIFS( $B$2:$B$786, B150, $C$2:$C$786, C150, $D$2:$D$786, D150, $E$2:$E$786, E150) &gt; 1, "Duplicate", "Unique")</f>
        <v>Unique</v>
      </c>
    </row>
    <row r="151" spans="1:15" ht="39" thickBot="1" x14ac:dyDescent="0.4">
      <c r="A151" s="3">
        <v>46272.375902777778</v>
      </c>
      <c r="B151" s="1" t="s">
        <v>24</v>
      </c>
      <c r="C151" s="1" t="s">
        <v>7</v>
      </c>
      <c r="D151" s="4">
        <v>40</v>
      </c>
      <c r="E151" s="4">
        <v>448</v>
      </c>
      <c r="F151" s="4">
        <v>6.4133016630000004</v>
      </c>
      <c r="G151" s="2" t="s">
        <v>56</v>
      </c>
      <c r="H151" s="5">
        <v>421</v>
      </c>
      <c r="I151" s="1" t="s">
        <v>8</v>
      </c>
      <c r="J151" s="18" t="s">
        <v>117</v>
      </c>
      <c r="K151" s="18" t="s">
        <v>268</v>
      </c>
      <c r="L151" s="18">
        <v>17040</v>
      </c>
      <c r="M151" s="18">
        <f t="shared" si="3"/>
        <v>880</v>
      </c>
      <c r="N151" s="10" t="str">
        <f>IF(COUNTIFS( $B$2:$B$786, B151, $C$2:$C$786, C151, $D$2:$D$786, D151, $E$2:$E$786, E151) &gt; 1, "Duplicate", "Unique")</f>
        <v>Unique</v>
      </c>
    </row>
    <row r="152" spans="1:15" ht="26.5" thickBot="1" x14ac:dyDescent="0.4">
      <c r="A152" s="3">
        <v>46265.375694444447</v>
      </c>
      <c r="B152" s="1" t="s">
        <v>87</v>
      </c>
      <c r="C152" s="1" t="s">
        <v>7</v>
      </c>
      <c r="D152" s="4">
        <v>10</v>
      </c>
      <c r="E152" s="4">
        <v>1320</v>
      </c>
      <c r="F152" s="4">
        <v>6.451612903</v>
      </c>
      <c r="G152" s="2" t="s">
        <v>88</v>
      </c>
      <c r="H152" s="5">
        <v>1240</v>
      </c>
      <c r="I152" s="1" t="s">
        <v>8</v>
      </c>
      <c r="J152" s="18" t="s">
        <v>117</v>
      </c>
      <c r="K152" s="18" t="s">
        <v>209</v>
      </c>
      <c r="L152" s="18">
        <v>12800</v>
      </c>
      <c r="M152" s="18">
        <f t="shared" si="3"/>
        <v>400</v>
      </c>
      <c r="N152" t="str">
        <f>IF(COUNTIFS( $B$2:$B$786, B152, $C$2:$C$786, C152, $D$2:$D$786, D152, $E$2:$E$786, E152) &gt; 1, "Duplicate", "Unique")</f>
        <v>Unique</v>
      </c>
    </row>
    <row r="153" spans="1:15" ht="26.5" thickBot="1" x14ac:dyDescent="0.4">
      <c r="A153" s="3">
        <v>46254.642361111109</v>
      </c>
      <c r="B153" s="1" t="s">
        <v>15</v>
      </c>
      <c r="C153" s="1" t="s">
        <v>7</v>
      </c>
      <c r="D153" s="4">
        <v>10</v>
      </c>
      <c r="E153" s="4">
        <v>2672</v>
      </c>
      <c r="F153" s="4">
        <v>6.4541832670000003</v>
      </c>
      <c r="G153" s="2" t="s">
        <v>72</v>
      </c>
      <c r="H153" s="5">
        <v>2510</v>
      </c>
      <c r="I153" s="1" t="s">
        <v>8</v>
      </c>
      <c r="J153" s="17" t="s">
        <v>117</v>
      </c>
      <c r="K153" s="17" t="s">
        <v>147</v>
      </c>
      <c r="L153" s="17"/>
      <c r="M153" s="17"/>
      <c r="N153" s="10" t="str">
        <f>IF(COUNTIFS( $B$2:$B$786, B153, $C$2:$C$786, C153, $D$2:$D$786, D153, $E$2:$E$786, E153) &gt; 1, "Duplicate", "Unique")</f>
        <v>Unique</v>
      </c>
    </row>
    <row r="154" spans="1:15" ht="26.5" thickBot="1" x14ac:dyDescent="0.4">
      <c r="A154" s="3">
        <v>46272.451874999999</v>
      </c>
      <c r="B154" s="1" t="s">
        <v>13</v>
      </c>
      <c r="C154" s="1" t="s">
        <v>7</v>
      </c>
      <c r="D154" s="4">
        <v>5</v>
      </c>
      <c r="E154" s="4">
        <v>1894</v>
      </c>
      <c r="F154" s="4">
        <v>6.5301760499999997</v>
      </c>
      <c r="G154" s="2" t="s">
        <v>91</v>
      </c>
      <c r="H154" s="5">
        <v>1777.9</v>
      </c>
      <c r="I154" s="1" t="s">
        <v>8</v>
      </c>
      <c r="J154" s="10" t="s">
        <v>118</v>
      </c>
      <c r="K154" s="18" t="s">
        <v>264</v>
      </c>
      <c r="L154" s="18">
        <v>8820</v>
      </c>
      <c r="M154" s="18">
        <f>ABS((D154*E154)-L154)</f>
        <v>650</v>
      </c>
      <c r="N154" s="10" t="str">
        <f>IF(COUNTIFS( $B$2:$B$786, B154, $C$2:$C$786, C154, $D$2:$D$786, D154, $E$2:$E$786, E154) &gt; 1, "Duplicate", "Unique")</f>
        <v>Unique</v>
      </c>
    </row>
    <row r="155" spans="1:15" ht="26.5" thickBot="1" x14ac:dyDescent="0.4">
      <c r="A155" s="3">
        <v>46272.391643518517</v>
      </c>
      <c r="B155" s="1" t="s">
        <v>13</v>
      </c>
      <c r="C155" s="1" t="s">
        <v>7</v>
      </c>
      <c r="D155" s="4">
        <v>20</v>
      </c>
      <c r="E155" s="4">
        <v>1894</v>
      </c>
      <c r="F155" s="4">
        <v>6.5301760499999997</v>
      </c>
      <c r="G155" s="2" t="s">
        <v>91</v>
      </c>
      <c r="H155" s="5">
        <v>1777.9</v>
      </c>
      <c r="I155" s="1" t="s">
        <v>8</v>
      </c>
      <c r="J155" s="10" t="s">
        <v>118</v>
      </c>
      <c r="K155" s="18" t="s">
        <v>265</v>
      </c>
      <c r="L155" s="18">
        <v>36946</v>
      </c>
      <c r="M155" s="18">
        <f>ABS((D155*E155)-L155)</f>
        <v>934</v>
      </c>
      <c r="N155" s="10" t="str">
        <f>IF(COUNTIFS( $B$2:$B$786, B155, $C$2:$C$786, C155, $D$2:$D$786, D155, $E$2:$E$786, E155) &gt; 1, "Duplicate", "Unique")</f>
        <v>Unique</v>
      </c>
    </row>
    <row r="156" spans="1:15" ht="26.5" thickBot="1" x14ac:dyDescent="0.4">
      <c r="A156" s="3">
        <v>46267.375</v>
      </c>
      <c r="B156" s="1" t="s">
        <v>14</v>
      </c>
      <c r="C156" s="1" t="s">
        <v>7</v>
      </c>
      <c r="D156" s="4">
        <v>50</v>
      </c>
      <c r="E156" s="4">
        <v>341</v>
      </c>
      <c r="F156" s="4">
        <v>6.5625</v>
      </c>
      <c r="G156" s="2" t="s">
        <v>45</v>
      </c>
      <c r="H156" s="5">
        <v>320</v>
      </c>
      <c r="I156" s="1" t="s">
        <v>8</v>
      </c>
      <c r="J156" s="18" t="s">
        <v>117</v>
      </c>
      <c r="K156" s="18" t="s">
        <v>241</v>
      </c>
      <c r="L156" s="18">
        <v>16755</v>
      </c>
      <c r="M156" s="18">
        <f>ABS((D156*E156)-L156)</f>
        <v>295</v>
      </c>
      <c r="N156" s="10" t="str">
        <f>IF(COUNTIFS( $B$2:$B$786, B156, $C$2:$C$786, C156, $D$2:$D$786, D156, $E$2:$E$786, E156) &gt; 1, "Duplicate", "Unique")</f>
        <v>Unique</v>
      </c>
    </row>
    <row r="157" spans="1:15" ht="26.5" thickBot="1" x14ac:dyDescent="0.4">
      <c r="A157" s="3">
        <v>46262.375</v>
      </c>
      <c r="B157" s="1" t="s">
        <v>63</v>
      </c>
      <c r="C157" s="1" t="s">
        <v>7</v>
      </c>
      <c r="D157" s="4">
        <v>10</v>
      </c>
      <c r="E157" s="4">
        <v>1071</v>
      </c>
      <c r="F157" s="4">
        <v>6.5883757960000002</v>
      </c>
      <c r="G157" s="2" t="s">
        <v>64</v>
      </c>
      <c r="H157" s="5">
        <v>1004.8</v>
      </c>
      <c r="I157" s="1" t="s">
        <v>8</v>
      </c>
      <c r="J157" s="18" t="s">
        <v>118</v>
      </c>
      <c r="K157" s="18" t="s">
        <v>200</v>
      </c>
      <c r="L157" s="18">
        <v>10410</v>
      </c>
      <c r="M157" s="18">
        <f>ABS((D157*E157)-L157)</f>
        <v>300</v>
      </c>
      <c r="N157" s="10" t="str">
        <f>IF(COUNTIFS( $B$2:$B$786, B157, $C$2:$C$786, C157, $D$2:$D$786, D157, $E$2:$E$786, E157) &gt; 1, "Duplicate", "Unique")</f>
        <v>Unique</v>
      </c>
      <c r="O157" s="35"/>
    </row>
    <row r="158" spans="1:15" ht="26.5" thickBot="1" x14ac:dyDescent="0.4">
      <c r="A158" s="11">
        <v>46252.645138888889</v>
      </c>
      <c r="B158" s="8" t="s">
        <v>57</v>
      </c>
      <c r="C158" s="8" t="s">
        <v>7</v>
      </c>
      <c r="D158" s="8">
        <v>5</v>
      </c>
      <c r="E158" s="8">
        <v>2998</v>
      </c>
      <c r="F158" s="4">
        <v>6.6410557389999996</v>
      </c>
      <c r="G158" s="2" t="s">
        <v>58</v>
      </c>
      <c r="H158" s="5">
        <v>2811.3</v>
      </c>
      <c r="I158" s="1" t="s">
        <v>8</v>
      </c>
      <c r="J158" s="17" t="s">
        <v>117</v>
      </c>
      <c r="N158" s="10" t="str">
        <f>IF(COUNTIFS( $B$2:$B$786, B158, $C$2:$C$786, C158, $D$2:$D$786, D158, $E$2:$E$786, E158) &gt; 1, "Duplicate", "Unique")</f>
        <v>Unique</v>
      </c>
    </row>
    <row r="159" spans="1:15" ht="26.5" thickBot="1" x14ac:dyDescent="0.4">
      <c r="A159" s="3">
        <v>46272.375868055555</v>
      </c>
      <c r="B159" s="1" t="s">
        <v>16</v>
      </c>
      <c r="C159" s="1" t="s">
        <v>7</v>
      </c>
      <c r="D159" s="4">
        <v>5</v>
      </c>
      <c r="E159" s="4">
        <v>902</v>
      </c>
      <c r="F159" s="4">
        <v>6.99881376</v>
      </c>
      <c r="G159" s="2" t="s">
        <v>61</v>
      </c>
      <c r="H159" s="5">
        <v>843</v>
      </c>
      <c r="I159" s="1" t="s">
        <v>8</v>
      </c>
      <c r="J159" s="18" t="s">
        <v>118</v>
      </c>
      <c r="K159" s="18" t="s">
        <v>266</v>
      </c>
      <c r="L159" s="18">
        <v>4260</v>
      </c>
      <c r="M159" s="18">
        <f>ABS((D159*E159)-L159)</f>
        <v>250</v>
      </c>
      <c r="N159" s="10" t="str">
        <f>IF(COUNTIFS( $B$2:$B$786, B159, $C$2:$C$786, C159, $D$2:$D$786, D159, $E$2:$E$786, E159) &gt; 1, "Duplicate", "Unique")</f>
        <v>Unique</v>
      </c>
    </row>
    <row r="160" spans="1:15" ht="39" thickBot="1" x14ac:dyDescent="0.4">
      <c r="A160" s="3">
        <v>46260.554861111108</v>
      </c>
      <c r="B160" s="1" t="s">
        <v>12</v>
      </c>
      <c r="C160" s="1" t="s">
        <v>7</v>
      </c>
      <c r="D160" s="4">
        <v>1</v>
      </c>
      <c r="E160" s="4">
        <v>5540</v>
      </c>
      <c r="F160" s="4">
        <v>7.0427977970000004</v>
      </c>
      <c r="G160" s="2" t="s">
        <v>98</v>
      </c>
      <c r="H160" s="5">
        <v>5175.5</v>
      </c>
      <c r="I160" s="1" t="s">
        <v>8</v>
      </c>
      <c r="J160" s="18" t="s">
        <v>118</v>
      </c>
      <c r="K160" s="18" t="s">
        <v>169</v>
      </c>
      <c r="L160" s="18">
        <v>5290</v>
      </c>
      <c r="M160" s="18">
        <f>ABS((D160*E160)-L160)</f>
        <v>250</v>
      </c>
      <c r="N160" t="str">
        <f>IF(COUNTIFS( $B$2:$B$786, B160, $C$2:$C$786, C160, $D$2:$D$786, D160, $E$2:$E$786, E160) &gt; 1, "Duplicate", "Unique")</f>
        <v>Unique</v>
      </c>
    </row>
    <row r="161" spans="1:15" ht="39" thickBot="1" x14ac:dyDescent="0.4">
      <c r="A161" s="8" t="s">
        <v>62</v>
      </c>
      <c r="B161" s="8" t="s">
        <v>21</v>
      </c>
      <c r="C161" s="8" t="s">
        <v>7</v>
      </c>
      <c r="D161" s="8">
        <v>11</v>
      </c>
      <c r="E161" s="12">
        <v>749</v>
      </c>
      <c r="F161" s="4">
        <v>7.0458768039999997</v>
      </c>
      <c r="G161" s="2" t="s">
        <v>76</v>
      </c>
      <c r="H161" s="5">
        <v>699.7</v>
      </c>
      <c r="I161" s="1" t="s">
        <v>8</v>
      </c>
      <c r="J161" s="40" t="s">
        <v>201</v>
      </c>
      <c r="N161" s="10" t="str">
        <f>IF(COUNTIFS( $B$2:$B$786, B161, $C$2:$C$786, C161, $D$2:$D$786, D161, $E$2:$E$786, E161) &gt; 1, "Duplicate", "Unique")</f>
        <v>Unique</v>
      </c>
    </row>
    <row r="162" spans="1:15" ht="39" thickBot="1" x14ac:dyDescent="0.4">
      <c r="A162" s="36">
        <v>46265.375694444447</v>
      </c>
      <c r="B162" s="37" t="s">
        <v>53</v>
      </c>
      <c r="C162" s="37" t="s">
        <v>7</v>
      </c>
      <c r="D162" s="38">
        <v>3</v>
      </c>
      <c r="E162" s="38">
        <v>2624</v>
      </c>
      <c r="F162" s="4">
        <v>7.1632769749999996</v>
      </c>
      <c r="G162" s="2" t="s">
        <v>54</v>
      </c>
      <c r="H162" s="5">
        <v>2448.6</v>
      </c>
      <c r="I162" s="1" t="s">
        <v>8</v>
      </c>
      <c r="J162" s="33" t="s">
        <v>118</v>
      </c>
      <c r="K162" s="33" t="s">
        <v>207</v>
      </c>
      <c r="L162" s="33">
        <v>7578</v>
      </c>
      <c r="M162" s="33">
        <f>ABS((D162*E162)-L162)</f>
        <v>294</v>
      </c>
      <c r="N162" s="34" t="str">
        <f>IF(COUNTIFS( $B$2:$B$786, B162, $C$2:$C$786, C162, $D$2:$D$786, D162, $E$2:$E$786, E162) &gt; 1, "Duplicate", "Unique")</f>
        <v>Duplicate</v>
      </c>
    </row>
    <row r="163" spans="1:15" ht="39" thickBot="1" x14ac:dyDescent="0.4">
      <c r="A163" s="36">
        <v>46266.375694444447</v>
      </c>
      <c r="B163" s="37" t="s">
        <v>53</v>
      </c>
      <c r="C163" s="37" t="s">
        <v>7</v>
      </c>
      <c r="D163" s="38">
        <v>3</v>
      </c>
      <c r="E163" s="38">
        <v>2624</v>
      </c>
      <c r="F163" s="4">
        <v>7.1632769749999996</v>
      </c>
      <c r="G163" s="2" t="s">
        <v>54</v>
      </c>
      <c r="H163" s="5">
        <v>2448.6</v>
      </c>
      <c r="I163" s="1" t="s">
        <v>8</v>
      </c>
      <c r="J163" s="33" t="s">
        <v>118</v>
      </c>
      <c r="K163" s="33" t="s">
        <v>224</v>
      </c>
      <c r="L163" s="33">
        <v>7578</v>
      </c>
      <c r="M163" s="33">
        <f>ABS((D163*E163)-L163)</f>
        <v>294</v>
      </c>
      <c r="N163" s="35" t="str">
        <f>IF(COUNTIFS( $B$2:$B$786, B163, $C$2:$C$786, C163, $D$2:$D$786, D163, $E$2:$E$786, E163) &gt; 1, "Duplicate", "Unique")</f>
        <v>Duplicate</v>
      </c>
    </row>
    <row r="164" spans="1:15" ht="39" thickBot="1" x14ac:dyDescent="0.4">
      <c r="A164" s="3">
        <v>46267.424305555556</v>
      </c>
      <c r="B164" s="1" t="s">
        <v>53</v>
      </c>
      <c r="C164" s="1" t="s">
        <v>7</v>
      </c>
      <c r="D164" s="4">
        <v>2</v>
      </c>
      <c r="E164" s="4">
        <v>2624</v>
      </c>
      <c r="F164" s="4">
        <v>7.1632769749999996</v>
      </c>
      <c r="G164" s="2" t="s">
        <v>54</v>
      </c>
      <c r="H164" s="5">
        <v>2448.6</v>
      </c>
      <c r="I164" s="1" t="s">
        <v>8</v>
      </c>
      <c r="J164" s="18" t="s">
        <v>118</v>
      </c>
      <c r="K164" s="18" t="s">
        <v>235</v>
      </c>
      <c r="L164" s="18">
        <v>4968</v>
      </c>
      <c r="M164" s="18">
        <f>ABS((D164*E164)-L164)</f>
        <v>280</v>
      </c>
      <c r="N164" s="10" t="str">
        <f>IF(COUNTIFS( $B$2:$B$786, B164, $C$2:$C$786, C164, $D$2:$D$786, D164, $E$2:$E$786, E164) &gt; 1, "Duplicate", "Unique")</f>
        <v>Unique</v>
      </c>
    </row>
    <row r="165" spans="1:15" ht="26.5" thickBot="1" x14ac:dyDescent="0.4">
      <c r="A165" s="8" t="s">
        <v>62</v>
      </c>
      <c r="B165" s="8" t="s">
        <v>68</v>
      </c>
      <c r="C165" s="8" t="s">
        <v>7</v>
      </c>
      <c r="D165" s="8">
        <v>10</v>
      </c>
      <c r="E165" s="8">
        <v>435</v>
      </c>
      <c r="F165" s="4">
        <v>7.2749691739999998</v>
      </c>
      <c r="G165" s="2" t="s">
        <v>69</v>
      </c>
      <c r="H165" s="5">
        <v>405.5</v>
      </c>
      <c r="I165" s="1" t="s">
        <v>8</v>
      </c>
      <c r="J165" s="40"/>
      <c r="N165" s="10" t="str">
        <f>IF(COUNTIFS( $B$2:$B$786, B165, $C$2:$C$786, C165, $D$2:$D$786, D165, $E$2:$E$786, E165) &gt; 1, "Duplicate", "Unique")</f>
        <v>Unique</v>
      </c>
    </row>
    <row r="166" spans="1:15" ht="26.5" thickBot="1" x14ac:dyDescent="0.4">
      <c r="A166" s="11">
        <v>46252.6875</v>
      </c>
      <c r="B166" s="8" t="s">
        <v>15</v>
      </c>
      <c r="C166" s="8" t="s">
        <v>7</v>
      </c>
      <c r="D166" s="8">
        <v>10</v>
      </c>
      <c r="E166" s="8">
        <v>2696</v>
      </c>
      <c r="F166" s="4">
        <v>7.4103585660000002</v>
      </c>
      <c r="G166" s="2" t="s">
        <v>72</v>
      </c>
      <c r="H166" s="5">
        <v>2510</v>
      </c>
      <c r="I166" s="1" t="s">
        <v>8</v>
      </c>
      <c r="J166" s="40" t="s">
        <v>156</v>
      </c>
      <c r="N166" s="10" t="str">
        <f>IF(COUNTIFS( $B$2:$B$786, B166, $C$2:$C$786, C166, $D$2:$D$786, D166, $E$2:$E$786, E166) &gt; 1, "Duplicate", "Unique")</f>
        <v>Unique</v>
      </c>
    </row>
    <row r="167" spans="1:15" ht="39" thickBot="1" x14ac:dyDescent="0.4">
      <c r="A167" s="8" t="s">
        <v>62</v>
      </c>
      <c r="B167" s="14" t="s">
        <v>23</v>
      </c>
      <c r="C167" s="8" t="s">
        <v>7</v>
      </c>
      <c r="D167" s="8">
        <v>40</v>
      </c>
      <c r="E167" s="41">
        <v>229</v>
      </c>
      <c r="F167" s="4">
        <v>7.4108818010000004</v>
      </c>
      <c r="G167" s="2" t="s">
        <v>70</v>
      </c>
      <c r="H167" s="5">
        <v>213.2</v>
      </c>
      <c r="I167" s="1" t="s">
        <v>8</v>
      </c>
      <c r="J167" s="40" t="s">
        <v>117</v>
      </c>
      <c r="N167" s="10" t="str">
        <f>IF(COUNTIFS( $B$2:$B$786, B167, $C$2:$C$786, C167, $D$2:$D$786, D167, $E$2:$E$786, E167) &gt; 1, "Duplicate", "Unique")</f>
        <v>Unique</v>
      </c>
    </row>
    <row r="168" spans="1:15" ht="26.5" thickBot="1" x14ac:dyDescent="0.4">
      <c r="A168" s="8" t="s">
        <v>62</v>
      </c>
      <c r="B168" s="8" t="s">
        <v>121</v>
      </c>
      <c r="C168" s="8" t="s">
        <v>7</v>
      </c>
      <c r="D168" s="8">
        <v>10</v>
      </c>
      <c r="E168" s="8">
        <v>796</v>
      </c>
      <c r="F168" s="4">
        <v>7.4224021589999998</v>
      </c>
      <c r="G168" s="2" t="s">
        <v>122</v>
      </c>
      <c r="H168" s="5">
        <v>741</v>
      </c>
      <c r="I168" s="1" t="s">
        <v>8</v>
      </c>
      <c r="J168" s="40" t="s">
        <v>117</v>
      </c>
      <c r="N168" s="10" t="str">
        <f>IF(COUNTIFS( $B$2:$B$786, B168, $C$2:$C$786, C168, $D$2:$D$786, D168, $E$2:$E$786, E168) &gt; 1, "Duplicate", "Unique")</f>
        <v>Unique</v>
      </c>
    </row>
    <row r="169" spans="1:15" ht="26.5" thickBot="1" x14ac:dyDescent="0.4">
      <c r="A169" s="3">
        <v>46261.615277777775</v>
      </c>
      <c r="B169" s="1" t="s">
        <v>35</v>
      </c>
      <c r="C169" s="1" t="s">
        <v>7</v>
      </c>
      <c r="D169" s="4">
        <v>50</v>
      </c>
      <c r="E169" s="4">
        <v>226.3</v>
      </c>
      <c r="F169" s="4">
        <v>7.505938242</v>
      </c>
      <c r="G169" s="2" t="s">
        <v>42</v>
      </c>
      <c r="H169" s="5">
        <v>210.5</v>
      </c>
      <c r="I169" s="1" t="s">
        <v>8</v>
      </c>
      <c r="J169" s="18" t="s">
        <v>118</v>
      </c>
      <c r="K169" s="18" t="s">
        <v>178</v>
      </c>
      <c r="L169" s="18">
        <v>10814</v>
      </c>
      <c r="M169" s="18">
        <f>ABS((D169*E169)-L169)</f>
        <v>501</v>
      </c>
      <c r="N169" s="10" t="str">
        <f>IF(COUNTIFS( $B$2:$B$786, B169, $C$2:$C$786, C169, $D$2:$D$786, D169, $E$2:$E$786, E169) &gt; 1, "Duplicate", "Unique")</f>
        <v>Unique</v>
      </c>
      <c r="O169" s="47" t="s">
        <v>262</v>
      </c>
    </row>
    <row r="170" spans="1:15" ht="26.5" thickBot="1" x14ac:dyDescent="0.4">
      <c r="A170" s="11">
        <v>46252.635416666664</v>
      </c>
      <c r="B170" s="8" t="s">
        <v>123</v>
      </c>
      <c r="C170" s="8" t="s">
        <v>7</v>
      </c>
      <c r="D170" s="8">
        <v>200</v>
      </c>
      <c r="E170" s="8">
        <v>89.3</v>
      </c>
      <c r="F170" s="4">
        <v>7.5255869960000004</v>
      </c>
      <c r="G170" s="2" t="s">
        <v>124</v>
      </c>
      <c r="H170" s="5">
        <v>83.05</v>
      </c>
      <c r="I170" s="1" t="s">
        <v>8</v>
      </c>
      <c r="J170" s="18" t="s">
        <v>118</v>
      </c>
      <c r="N170" s="10" t="str">
        <f>IF(COUNTIFS( $B$2:$B$786, B170, $C$2:$C$786, C170, $D$2:$D$786, D170, $E$2:$E$786, E170) &gt; 1, "Duplicate", "Unique")</f>
        <v>Unique</v>
      </c>
      <c r="O170" s="47" t="s">
        <v>262</v>
      </c>
    </row>
    <row r="171" spans="1:15" s="35" customFormat="1" ht="26.5" thickBot="1" x14ac:dyDescent="0.4">
      <c r="A171" s="3">
        <v>46258.629861111112</v>
      </c>
      <c r="B171" s="1" t="s">
        <v>17</v>
      </c>
      <c r="C171" s="1" t="s">
        <v>7</v>
      </c>
      <c r="D171" s="4">
        <v>25</v>
      </c>
      <c r="E171" s="4">
        <v>392.5</v>
      </c>
      <c r="F171" s="4">
        <v>7.5342465750000001</v>
      </c>
      <c r="G171" s="2" t="s">
        <v>77</v>
      </c>
      <c r="H171" s="5">
        <v>365</v>
      </c>
      <c r="I171" s="1" t="s">
        <v>8</v>
      </c>
      <c r="J171" s="18" t="s">
        <v>118</v>
      </c>
      <c r="K171" s="18" t="s">
        <v>157</v>
      </c>
      <c r="L171" s="18">
        <v>9312.5</v>
      </c>
      <c r="M171" s="18">
        <f>ABS((D171*E171)-L171)</f>
        <v>500</v>
      </c>
      <c r="N171" s="10" t="str">
        <f>IF(COUNTIFS( $B$2:$B$786, B171, $C$2:$C$786, C171, $D$2:$D$786, D171, $E$2:$E$786, E171) &gt; 1, "Duplicate", "Unique")</f>
        <v>Unique</v>
      </c>
      <c r="O171" s="47" t="s">
        <v>262</v>
      </c>
    </row>
    <row r="172" spans="1:15" ht="26.5" thickBot="1" x14ac:dyDescent="0.4">
      <c r="A172" s="3">
        <v>46261.375</v>
      </c>
      <c r="B172" s="1" t="s">
        <v>63</v>
      </c>
      <c r="C172" s="1" t="s">
        <v>7</v>
      </c>
      <c r="D172" s="4">
        <v>10</v>
      </c>
      <c r="E172" s="4">
        <v>1081</v>
      </c>
      <c r="F172" s="4">
        <v>7.583598726</v>
      </c>
      <c r="G172" s="2" t="s">
        <v>64</v>
      </c>
      <c r="H172" s="5">
        <v>1004.8</v>
      </c>
      <c r="I172" s="1" t="s">
        <v>8</v>
      </c>
      <c r="J172" s="18" t="s">
        <v>118</v>
      </c>
      <c r="K172" s="18" t="s">
        <v>187</v>
      </c>
      <c r="L172" s="18">
        <v>10510</v>
      </c>
      <c r="M172" s="18">
        <f>ABS((D172*E172)-L172)</f>
        <v>300</v>
      </c>
      <c r="N172" s="10" t="str">
        <f>IF(COUNTIFS( $B$2:$B$786, B172, $C$2:$C$786, C172, $D$2:$D$786, D172, $E$2:$E$786, E172) &gt; 1, "Duplicate", "Unique")</f>
        <v>Unique</v>
      </c>
    </row>
    <row r="173" spans="1:15" ht="26.5" thickBot="1" x14ac:dyDescent="0.4">
      <c r="A173" s="11">
        <v>46252.635416666664</v>
      </c>
      <c r="B173" s="8" t="s">
        <v>47</v>
      </c>
      <c r="C173" s="8" t="s">
        <v>7</v>
      </c>
      <c r="D173" s="8">
        <v>8</v>
      </c>
      <c r="E173" s="8">
        <v>2448</v>
      </c>
      <c r="F173" s="4">
        <v>7.646981223</v>
      </c>
      <c r="G173" s="2" t="s">
        <v>48</v>
      </c>
      <c r="H173" s="5">
        <v>2274.1</v>
      </c>
      <c r="I173" s="1" t="s">
        <v>8</v>
      </c>
      <c r="J173" s="40"/>
      <c r="N173" s="10" t="str">
        <f>IF(COUNTIFS( $B$2:$B$786, B173, $C$2:$C$786, C173, $D$2:$D$786, D173, $E$2:$E$786, E173) &gt; 1, "Duplicate", "Unique")</f>
        <v>Unique</v>
      </c>
    </row>
    <row r="174" spans="1:15" ht="26.5" thickBot="1" x14ac:dyDescent="0.4">
      <c r="A174" s="8" t="s">
        <v>62</v>
      </c>
      <c r="B174" s="8" t="s">
        <v>74</v>
      </c>
      <c r="C174" s="8" t="s">
        <v>7</v>
      </c>
      <c r="D174" s="8">
        <v>1</v>
      </c>
      <c r="E174" s="8">
        <v>3710</v>
      </c>
      <c r="F174" s="4">
        <v>7.6548081950000002</v>
      </c>
      <c r="G174" s="2" t="s">
        <v>75</v>
      </c>
      <c r="H174" s="5">
        <v>3446.2</v>
      </c>
      <c r="I174" s="1" t="s">
        <v>8</v>
      </c>
      <c r="J174" s="40" t="s">
        <v>118</v>
      </c>
      <c r="N174" s="10" t="str">
        <f>IF(COUNTIFS( $B$2:$B$786, B174, $C$2:$C$786, C174, $D$2:$D$786, D174, $E$2:$E$786, E174) &gt; 1, "Duplicate", "Unique")</f>
        <v>Unique</v>
      </c>
    </row>
    <row r="175" spans="1:15" ht="26.5" thickBot="1" x14ac:dyDescent="0.4">
      <c r="A175" s="3">
        <v>46266.642361111109</v>
      </c>
      <c r="B175" s="1" t="s">
        <v>14</v>
      </c>
      <c r="C175" s="1" t="s">
        <v>7</v>
      </c>
      <c r="D175" s="4">
        <v>100</v>
      </c>
      <c r="E175" s="4">
        <v>344.5</v>
      </c>
      <c r="F175" s="4">
        <v>7.65625</v>
      </c>
      <c r="G175" s="2" t="s">
        <v>45</v>
      </c>
      <c r="H175" s="5">
        <v>320</v>
      </c>
      <c r="I175" s="1" t="s">
        <v>8</v>
      </c>
      <c r="J175" s="18" t="s">
        <v>117</v>
      </c>
      <c r="K175" s="18" t="s">
        <v>229</v>
      </c>
      <c r="L175" s="18">
        <v>33950</v>
      </c>
      <c r="M175" s="18">
        <f>ABS((D175*E175)-L175)</f>
        <v>500</v>
      </c>
      <c r="N175" s="10" t="str">
        <f>IF(COUNTIFS( $B$2:$B$786, B175, $C$2:$C$786, C175, $D$2:$D$786, D175, $E$2:$E$786, E175) &gt; 1, "Duplicate", "Unique")</f>
        <v>Unique</v>
      </c>
    </row>
    <row r="176" spans="1:15" s="35" customFormat="1" ht="26.5" thickBot="1" x14ac:dyDescent="0.4">
      <c r="A176" s="52">
        <v>46265.375694444447</v>
      </c>
      <c r="B176" s="53" t="s">
        <v>6</v>
      </c>
      <c r="C176" s="53" t="s">
        <v>7</v>
      </c>
      <c r="D176" s="54">
        <v>20</v>
      </c>
      <c r="E176" s="54">
        <v>291</v>
      </c>
      <c r="F176" s="54">
        <v>7.6581576030000003</v>
      </c>
      <c r="G176" s="55" t="s">
        <v>130</v>
      </c>
      <c r="H176" s="56">
        <v>270.3</v>
      </c>
      <c r="I176" s="53" t="s">
        <v>8</v>
      </c>
      <c r="J176" s="33" t="s">
        <v>118</v>
      </c>
      <c r="K176" s="33" t="s">
        <v>213</v>
      </c>
      <c r="L176" s="33">
        <v>5520</v>
      </c>
      <c r="M176" s="33">
        <f>ABS((D176*E176)-L176)</f>
        <v>300</v>
      </c>
      <c r="N176" s="34" t="str">
        <f>IF(COUNTIFS( $B$2:$B$786, B176, $C$2:$C$786, C176, $D$2:$D$786, D176, $E$2:$E$786, E176) &gt; 1, "Duplicate", "Unique")</f>
        <v>Unique</v>
      </c>
    </row>
    <row r="177" spans="1:15" ht="39" thickBot="1" x14ac:dyDescent="0.4">
      <c r="A177" s="3">
        <v>46266.509722222225</v>
      </c>
      <c r="B177" s="1" t="s">
        <v>11</v>
      </c>
      <c r="C177" s="1" t="s">
        <v>7</v>
      </c>
      <c r="D177" s="4">
        <v>20</v>
      </c>
      <c r="E177" s="4">
        <v>306</v>
      </c>
      <c r="F177" s="4">
        <v>7.7654516640000004</v>
      </c>
      <c r="G177" s="2" t="s">
        <v>99</v>
      </c>
      <c r="H177" s="5">
        <v>283.95</v>
      </c>
      <c r="I177" s="1" t="s">
        <v>8</v>
      </c>
      <c r="J177" s="18" t="s">
        <v>118</v>
      </c>
      <c r="K177" s="18" t="s">
        <v>221</v>
      </c>
      <c r="L177" s="18">
        <v>5820</v>
      </c>
      <c r="M177" s="18">
        <f>ABS((D177*E177)-L177)</f>
        <v>300</v>
      </c>
      <c r="N177" s="10" t="str">
        <f>IF(COUNTIFS( $B$2:$B$786, B177, $C$2:$C$786, C177, $D$2:$D$786, D177, $E$2:$E$786, E177) &gt; 1, "Duplicate", "Unique")</f>
        <v>Unique</v>
      </c>
    </row>
    <row r="178" spans="1:15" ht="26.5" thickBot="1" x14ac:dyDescent="0.4">
      <c r="A178" s="8" t="s">
        <v>62</v>
      </c>
      <c r="B178" s="8" t="s">
        <v>9</v>
      </c>
      <c r="C178" s="8" t="s">
        <v>7</v>
      </c>
      <c r="D178" s="8">
        <v>50</v>
      </c>
      <c r="E178" s="8">
        <v>317</v>
      </c>
      <c r="F178" s="4">
        <v>7.9516431130000003</v>
      </c>
      <c r="G178" s="2" t="s">
        <v>95</v>
      </c>
      <c r="H178" s="5">
        <v>293.64999999999998</v>
      </c>
      <c r="I178" s="1" t="s">
        <v>8</v>
      </c>
      <c r="J178" s="40"/>
      <c r="N178" s="10" t="str">
        <f>IF(COUNTIFS( $B$2:$B$786, B178, $C$2:$C$786, C178, $D$2:$D$786, D178, $E$2:$E$786, E178) &gt; 1, "Duplicate", "Unique")</f>
        <v>Unique</v>
      </c>
    </row>
    <row r="179" spans="1:15" ht="39" thickBot="1" x14ac:dyDescent="0.4">
      <c r="A179" s="11">
        <v>46252.635416666664</v>
      </c>
      <c r="B179" s="8" t="s">
        <v>51</v>
      </c>
      <c r="C179" s="8" t="s">
        <v>7</v>
      </c>
      <c r="D179" s="8">
        <v>10</v>
      </c>
      <c r="E179" s="8">
        <v>997</v>
      </c>
      <c r="F179" s="4">
        <v>7.9646976010000001</v>
      </c>
      <c r="G179" s="2" t="s">
        <v>52</v>
      </c>
      <c r="H179" s="5">
        <v>923.45</v>
      </c>
      <c r="I179" s="1" t="s">
        <v>8</v>
      </c>
      <c r="J179" s="40" t="s">
        <v>117</v>
      </c>
      <c r="N179" s="10" t="str">
        <f>IF(COUNTIFS( $B$2:$B$786, B179, $C$2:$C$786, C179, $D$2:$D$786, D179, $E$2:$E$786, E179) &gt; 1, "Duplicate", "Unique")</f>
        <v>Unique</v>
      </c>
    </row>
    <row r="180" spans="1:15" ht="26.5" thickBot="1" x14ac:dyDescent="0.4">
      <c r="A180" s="3">
        <v>46262.375</v>
      </c>
      <c r="B180" s="1" t="s">
        <v>87</v>
      </c>
      <c r="C180" s="1" t="s">
        <v>7</v>
      </c>
      <c r="D180" s="4">
        <v>10</v>
      </c>
      <c r="E180" s="4">
        <v>1340</v>
      </c>
      <c r="F180" s="4">
        <v>8.0645161289999994</v>
      </c>
      <c r="G180" s="2" t="s">
        <v>88</v>
      </c>
      <c r="H180" s="5">
        <v>1240</v>
      </c>
      <c r="I180" s="1" t="s">
        <v>8</v>
      </c>
      <c r="J180" s="18" t="s">
        <v>117</v>
      </c>
      <c r="K180" s="18" t="s">
        <v>194</v>
      </c>
      <c r="L180" s="18">
        <v>13030</v>
      </c>
      <c r="M180" s="18">
        <f>ABS((D180*E180)-L180)</f>
        <v>370</v>
      </c>
      <c r="N180" s="10" t="str">
        <f>IF(COUNTIFS( $B$2:$B$786, B180, $C$2:$C$786, C180, $D$2:$D$786, D180, $E$2:$E$786, E180) &gt; 1, "Duplicate", "Unique")</f>
        <v>Unique</v>
      </c>
    </row>
    <row r="181" spans="1:15" ht="39" thickBot="1" x14ac:dyDescent="0.4">
      <c r="A181" s="3">
        <v>46262.375</v>
      </c>
      <c r="B181" s="1" t="s">
        <v>59</v>
      </c>
      <c r="C181" s="1" t="s">
        <v>7</v>
      </c>
      <c r="D181" s="4">
        <v>4</v>
      </c>
      <c r="E181" s="4">
        <v>1146</v>
      </c>
      <c r="F181" s="4">
        <v>8.113207547</v>
      </c>
      <c r="G181" s="2" t="s">
        <v>60</v>
      </c>
      <c r="H181" s="5">
        <v>1060</v>
      </c>
      <c r="I181" s="1" t="s">
        <v>8</v>
      </c>
      <c r="J181" s="18" t="s">
        <v>117</v>
      </c>
      <c r="K181" s="18" t="s">
        <v>195</v>
      </c>
      <c r="L181" s="18">
        <v>4264</v>
      </c>
      <c r="M181" s="18">
        <f>ABS((D181*E181)-L181)</f>
        <v>320</v>
      </c>
      <c r="N181" s="10" t="str">
        <f>IF(COUNTIFS( $B$2:$B$786, B181, $C$2:$C$786, C181, $D$2:$D$786, D181, $E$2:$E$786, E181) &gt; 1, "Duplicate", "Unique")</f>
        <v>Unique</v>
      </c>
    </row>
    <row r="182" spans="1:15" ht="39" thickBot="1" x14ac:dyDescent="0.4">
      <c r="A182" s="3">
        <v>46265.486111111109</v>
      </c>
      <c r="B182" s="1" t="s">
        <v>59</v>
      </c>
      <c r="C182" s="1" t="s">
        <v>7</v>
      </c>
      <c r="D182" s="4">
        <v>5</v>
      </c>
      <c r="E182" s="4">
        <v>1146</v>
      </c>
      <c r="F182" s="4">
        <v>8.113207547</v>
      </c>
      <c r="G182" s="2" t="s">
        <v>60</v>
      </c>
      <c r="H182" s="5">
        <v>1060</v>
      </c>
      <c r="I182" s="1" t="s">
        <v>8</v>
      </c>
      <c r="J182" s="18" t="s">
        <v>118</v>
      </c>
      <c r="K182" s="18" t="s">
        <v>202</v>
      </c>
      <c r="L182" s="18">
        <v>5282</v>
      </c>
      <c r="M182" s="18">
        <f>ABS((D182*E182)-L182)</f>
        <v>448</v>
      </c>
      <c r="N182" t="str">
        <f>IF(COUNTIFS( $B$2:$B$786, B182, $C$2:$C$786, C182, $D$2:$D$786, D182, $E$2:$E$786, E182) &gt; 1, "Duplicate", "Unique")</f>
        <v>Unique</v>
      </c>
    </row>
    <row r="183" spans="1:15" ht="26.5" thickBot="1" x14ac:dyDescent="0.4">
      <c r="A183" s="3">
        <v>46260.425694444442</v>
      </c>
      <c r="B183" s="1" t="s">
        <v>13</v>
      </c>
      <c r="C183" s="1" t="s">
        <v>7</v>
      </c>
      <c r="D183" s="4">
        <v>20</v>
      </c>
      <c r="E183" s="4">
        <v>1924</v>
      </c>
      <c r="F183" s="4">
        <v>8.2175600430000006</v>
      </c>
      <c r="G183" s="2" t="s">
        <v>91</v>
      </c>
      <c r="H183" s="5">
        <v>1777.9</v>
      </c>
      <c r="I183" s="1" t="s">
        <v>8</v>
      </c>
      <c r="J183" s="18" t="s">
        <v>118</v>
      </c>
      <c r="K183" s="18" t="s">
        <v>172</v>
      </c>
      <c r="L183" s="18">
        <v>37480</v>
      </c>
      <c r="M183" s="18">
        <f>ABS((D183*E183)-L183)</f>
        <v>1000</v>
      </c>
      <c r="N183" t="str">
        <f>IF(COUNTIFS( $B$2:$B$786, B183, $C$2:$C$786, C183, $D$2:$D$786, D183, $E$2:$E$786, E183) &gt; 1, "Duplicate", "Unique")</f>
        <v>Unique</v>
      </c>
      <c r="O183" s="47" t="s">
        <v>262</v>
      </c>
    </row>
    <row r="184" spans="1:15" ht="26.5" thickBot="1" x14ac:dyDescent="0.4">
      <c r="A184" s="11">
        <v>46253.375</v>
      </c>
      <c r="B184" s="8" t="s">
        <v>31</v>
      </c>
      <c r="C184" s="8" t="s">
        <v>7</v>
      </c>
      <c r="D184" s="8">
        <v>5</v>
      </c>
      <c r="E184" s="8">
        <v>682</v>
      </c>
      <c r="F184" s="4">
        <v>8.2539682540000001</v>
      </c>
      <c r="G184" s="2" t="s">
        <v>94</v>
      </c>
      <c r="H184" s="5">
        <v>630</v>
      </c>
      <c r="I184" s="1" t="s">
        <v>8</v>
      </c>
      <c r="J184" s="18" t="s">
        <v>118</v>
      </c>
      <c r="K184" s="18" t="s">
        <v>144</v>
      </c>
      <c r="N184" s="10" t="str">
        <f>IF(COUNTIFS( $B$2:$B$786, B184, $C$2:$C$786, C184, $D$2:$D$786, D184, $E$2:$E$786, E184) &gt; 1, "Duplicate", "Unique")</f>
        <v>Unique</v>
      </c>
    </row>
    <row r="185" spans="1:15" ht="26.5" thickBot="1" x14ac:dyDescent="0.4">
      <c r="A185" s="11">
        <v>46252.6875</v>
      </c>
      <c r="B185" s="8" t="s">
        <v>15</v>
      </c>
      <c r="C185" s="8" t="s">
        <v>7</v>
      </c>
      <c r="D185" s="8">
        <v>10</v>
      </c>
      <c r="E185" s="8">
        <v>2720</v>
      </c>
      <c r="F185" s="4">
        <v>8.3665338649999992</v>
      </c>
      <c r="G185" s="2" t="s">
        <v>72</v>
      </c>
      <c r="H185" s="5">
        <v>2510</v>
      </c>
      <c r="I185" s="1" t="s">
        <v>8</v>
      </c>
      <c r="J185" s="40"/>
      <c r="N185" s="10" t="str">
        <f>IF(COUNTIFS( $B$2:$B$786, B185, $C$2:$C$786, C185, $D$2:$D$786, D185, $E$2:$E$786, E185) &gt; 1, "Duplicate", "Unique")</f>
        <v>Unique</v>
      </c>
    </row>
    <row r="186" spans="1:15" ht="39" thickBot="1" x14ac:dyDescent="0.4">
      <c r="A186" s="8" t="s">
        <v>62</v>
      </c>
      <c r="B186" s="8" t="s">
        <v>43</v>
      </c>
      <c r="C186" s="8" t="s">
        <v>7</v>
      </c>
      <c r="D186" s="8">
        <v>10</v>
      </c>
      <c r="E186" s="12">
        <v>773</v>
      </c>
      <c r="F186" s="4">
        <v>8.3999439070000008</v>
      </c>
      <c r="G186" s="2" t="s">
        <v>44</v>
      </c>
      <c r="H186" s="5">
        <v>713.1</v>
      </c>
      <c r="I186" s="1" t="s">
        <v>8</v>
      </c>
      <c r="J186" s="40" t="s">
        <v>118</v>
      </c>
      <c r="N186" s="10" t="str">
        <f>IF(COUNTIFS( $B$2:$B$786, B186, $C$2:$C$786, C186, $D$2:$D$786, D186, $E$2:$E$786, E186) &gt; 1, "Duplicate", "Unique")</f>
        <v>Unique</v>
      </c>
    </row>
    <row r="187" spans="1:15" s="35" customFormat="1" ht="26.5" thickBot="1" x14ac:dyDescent="0.4">
      <c r="A187" s="3">
        <v>46261.375</v>
      </c>
      <c r="B187" s="1" t="s">
        <v>14</v>
      </c>
      <c r="C187" s="1" t="s">
        <v>7</v>
      </c>
      <c r="D187" s="4">
        <v>100</v>
      </c>
      <c r="E187" s="4">
        <v>348</v>
      </c>
      <c r="F187" s="4">
        <v>8.75</v>
      </c>
      <c r="G187" s="2" t="s">
        <v>45</v>
      </c>
      <c r="H187" s="5">
        <v>320</v>
      </c>
      <c r="I187" s="1" t="s">
        <v>8</v>
      </c>
      <c r="J187" s="18" t="s">
        <v>117</v>
      </c>
      <c r="K187" s="18" t="s">
        <v>183</v>
      </c>
      <c r="L187" s="18">
        <v>34100</v>
      </c>
      <c r="M187" s="18">
        <f>ABS((D187*E187)-L187)</f>
        <v>700</v>
      </c>
      <c r="N187" s="10" t="str">
        <f>IF(COUNTIFS( $B$2:$B$786, B187, $C$2:$C$786, C187, $D$2:$D$786, D187, $E$2:$E$786, E187) &gt; 1, "Duplicate", "Unique")</f>
        <v>Unique</v>
      </c>
    </row>
    <row r="188" spans="1:15" ht="26.5" thickBot="1" x14ac:dyDescent="0.4">
      <c r="A188" s="3">
        <v>46258.443749999999</v>
      </c>
      <c r="B188" s="1" t="s">
        <v>6</v>
      </c>
      <c r="C188" s="1" t="s">
        <v>7</v>
      </c>
      <c r="D188" s="4">
        <v>50</v>
      </c>
      <c r="E188" s="4">
        <v>294</v>
      </c>
      <c r="F188" s="4">
        <v>8.7680355159999994</v>
      </c>
      <c r="G188" s="2" t="s">
        <v>130</v>
      </c>
      <c r="H188" s="5">
        <v>270.3</v>
      </c>
      <c r="I188" s="1" t="s">
        <v>8</v>
      </c>
      <c r="J188" s="18" t="s">
        <v>118</v>
      </c>
      <c r="K188" s="18" t="s">
        <v>158</v>
      </c>
      <c r="L188" s="18">
        <v>14172.5</v>
      </c>
      <c r="M188" s="18">
        <f>ABS((D188*E188)-L188)</f>
        <v>527.5</v>
      </c>
      <c r="N188" s="10" t="str">
        <f>IF(COUNTIFS( $B$2:$B$786, B188, $C$2:$C$786, C188, $D$2:$D$786, D188, $E$2:$E$786, E188) &gt; 1, "Duplicate", "Unique")</f>
        <v>Unique</v>
      </c>
    </row>
    <row r="189" spans="1:15" ht="26.5" thickBot="1" x14ac:dyDescent="0.4">
      <c r="A189" s="11">
        <v>46253.4</v>
      </c>
      <c r="B189" s="8" t="s">
        <v>6</v>
      </c>
      <c r="C189" s="8" t="s">
        <v>7</v>
      </c>
      <c r="D189" s="8">
        <v>30</v>
      </c>
      <c r="E189" s="8">
        <v>294</v>
      </c>
      <c r="F189" s="4">
        <v>8.7680355159999994</v>
      </c>
      <c r="G189" s="2" t="s">
        <v>130</v>
      </c>
      <c r="H189" s="5">
        <v>270.3</v>
      </c>
      <c r="I189" s="1" t="s">
        <v>8</v>
      </c>
      <c r="J189" s="40" t="s">
        <v>118</v>
      </c>
      <c r="K189" s="18" t="s">
        <v>143</v>
      </c>
      <c r="N189" s="10" t="str">
        <f>IF(COUNTIFS( $B$2:$B$786, B189, $C$2:$C$786, C189, $D$2:$D$786, D189, $E$2:$E$786, E189) &gt; 1, "Duplicate", "Unique")</f>
        <v>Unique</v>
      </c>
    </row>
    <row r="190" spans="1:15" ht="39" thickBot="1" x14ac:dyDescent="0.4">
      <c r="A190" s="11">
        <v>46252.6875</v>
      </c>
      <c r="B190" s="8" t="s">
        <v>24</v>
      </c>
      <c r="C190" s="8" t="s">
        <v>7</v>
      </c>
      <c r="D190" s="8">
        <v>40</v>
      </c>
      <c r="E190" s="8">
        <v>458</v>
      </c>
      <c r="F190" s="4">
        <v>8.788598575</v>
      </c>
      <c r="G190" s="2" t="s">
        <v>56</v>
      </c>
      <c r="H190" s="5">
        <v>421</v>
      </c>
      <c r="I190" s="1" t="s">
        <v>8</v>
      </c>
      <c r="J190" s="40" t="s">
        <v>117</v>
      </c>
      <c r="N190" s="10" t="str">
        <f>IF(COUNTIFS( $B$2:$B$786, B190, $C$2:$C$786, C190, $D$2:$D$786, D190, $E$2:$E$786, E190) &gt; 1, "Duplicate", "Unique")</f>
        <v>Unique</v>
      </c>
    </row>
    <row r="191" spans="1:15" ht="39" thickBot="1" x14ac:dyDescent="0.4">
      <c r="A191" s="11">
        <v>46252.635416666664</v>
      </c>
      <c r="B191" s="8" t="s">
        <v>126</v>
      </c>
      <c r="C191" s="8" t="s">
        <v>7</v>
      </c>
      <c r="D191" s="8">
        <v>6</v>
      </c>
      <c r="E191" s="8">
        <v>548</v>
      </c>
      <c r="F191" s="4">
        <v>8.9463220680000006</v>
      </c>
      <c r="G191" s="2" t="s">
        <v>127</v>
      </c>
      <c r="H191" s="5">
        <v>503</v>
      </c>
      <c r="I191" s="1" t="s">
        <v>8</v>
      </c>
      <c r="J191" s="40"/>
      <c r="N191" s="10" t="str">
        <f>IF(COUNTIFS( $B$2:$B$786, B191, $C$2:$C$786, C191, $D$2:$D$786, D191, $E$2:$E$786, E191) &gt; 1, "Duplicate", "Unique")</f>
        <v>Unique</v>
      </c>
      <c r="O191" s="35"/>
    </row>
    <row r="192" spans="1:15" ht="26.5" thickBot="1" x14ac:dyDescent="0.4">
      <c r="A192" s="3">
        <v>46258.443055555559</v>
      </c>
      <c r="B192" s="1" t="s">
        <v>35</v>
      </c>
      <c r="C192" s="1" t="s">
        <v>7</v>
      </c>
      <c r="D192" s="4">
        <v>50</v>
      </c>
      <c r="E192" s="4">
        <v>229.5</v>
      </c>
      <c r="F192" s="4">
        <v>9.0261282660000006</v>
      </c>
      <c r="G192" s="2" t="s">
        <v>42</v>
      </c>
      <c r="H192" s="5">
        <v>210.5</v>
      </c>
      <c r="I192" s="1" t="s">
        <v>8</v>
      </c>
      <c r="J192" s="18" t="s">
        <v>118</v>
      </c>
      <c r="K192" s="18" t="s">
        <v>159</v>
      </c>
      <c r="L192" s="18">
        <v>11175</v>
      </c>
      <c r="M192" s="18">
        <f>ABS((D192*E192)-L192)</f>
        <v>300</v>
      </c>
      <c r="N192" s="10" t="str">
        <f>IF(COUNTIFS( $B$2:$B$786, B192, $C$2:$C$786, C192, $D$2:$D$786, D192, $E$2:$E$786, E192) &gt; 1, "Duplicate", "Unique")</f>
        <v>Unique</v>
      </c>
    </row>
    <row r="193" spans="1:15" ht="26.5" thickBot="1" x14ac:dyDescent="0.4">
      <c r="A193" s="3">
        <v>46259.375</v>
      </c>
      <c r="B193" s="1" t="s">
        <v>35</v>
      </c>
      <c r="C193" s="1" t="s">
        <v>7</v>
      </c>
      <c r="D193" s="4">
        <v>20</v>
      </c>
      <c r="E193" s="4">
        <v>229.5</v>
      </c>
      <c r="F193" s="4">
        <v>9.0261282660000006</v>
      </c>
      <c r="G193" s="2" t="s">
        <v>42</v>
      </c>
      <c r="H193" s="5">
        <v>210.5</v>
      </c>
      <c r="I193" s="1" t="s">
        <v>8</v>
      </c>
      <c r="J193" s="18" t="s">
        <v>118</v>
      </c>
      <c r="K193" s="18" t="s">
        <v>166</v>
      </c>
      <c r="L193" s="18">
        <v>4402</v>
      </c>
      <c r="M193" s="18">
        <f>ABS((D193*E193)-L193)</f>
        <v>188</v>
      </c>
      <c r="N193" s="10" t="str">
        <f>IF(COUNTIFS( $B$2:$B$786, B193, $C$2:$C$786, C193, $D$2:$D$786, D193, $E$2:$E$786, E193) &gt; 1, "Duplicate", "Unique")</f>
        <v>Unique</v>
      </c>
    </row>
    <row r="194" spans="1:15" ht="26.5" thickBot="1" x14ac:dyDescent="0.4">
      <c r="A194" s="3">
        <v>46261.375</v>
      </c>
      <c r="B194" s="1" t="s">
        <v>14</v>
      </c>
      <c r="C194" s="1" t="s">
        <v>7</v>
      </c>
      <c r="D194" s="4">
        <v>50</v>
      </c>
      <c r="E194" s="4">
        <v>349</v>
      </c>
      <c r="F194" s="4">
        <v>9.0625</v>
      </c>
      <c r="G194" s="2" t="s">
        <v>45</v>
      </c>
      <c r="H194" s="5">
        <v>320</v>
      </c>
      <c r="I194" s="1" t="s">
        <v>8</v>
      </c>
      <c r="J194" s="18" t="s">
        <v>117</v>
      </c>
      <c r="K194" s="18" t="s">
        <v>185</v>
      </c>
      <c r="L194" s="18">
        <v>17150</v>
      </c>
      <c r="M194" s="18">
        <f>ABS((D194*E194)-L194)</f>
        <v>300</v>
      </c>
      <c r="N194" s="10" t="str">
        <f>IF(COUNTIFS( $B$2:$B$786, B194, $C$2:$C$786, C194, $D$2:$D$786, D194, $E$2:$E$786, E194) &gt; 1, "Duplicate", "Unique")</f>
        <v>Unique</v>
      </c>
    </row>
    <row r="195" spans="1:15" ht="26.5" thickBot="1" x14ac:dyDescent="0.4">
      <c r="A195" s="3">
        <v>46268.375</v>
      </c>
      <c r="B195" s="1" t="s">
        <v>16</v>
      </c>
      <c r="C195" s="1" t="s">
        <v>7</v>
      </c>
      <c r="D195" s="4">
        <v>30</v>
      </c>
      <c r="E195" s="4">
        <v>920</v>
      </c>
      <c r="F195" s="4">
        <v>9.1340450769999997</v>
      </c>
      <c r="G195" s="2" t="s">
        <v>61</v>
      </c>
      <c r="H195" s="5">
        <v>843</v>
      </c>
      <c r="I195" s="1" t="s">
        <v>8</v>
      </c>
      <c r="J195" s="18" t="s">
        <v>117</v>
      </c>
      <c r="K195" s="18" t="s">
        <v>246</v>
      </c>
      <c r="L195" s="18">
        <v>25800</v>
      </c>
      <c r="M195" s="18">
        <f>ABS((D195*E195)-L195)</f>
        <v>1800</v>
      </c>
      <c r="N195" s="10" t="str">
        <f>IF(COUNTIFS( $B$2:$B$786, B195, $C$2:$C$786, C195, $D$2:$D$786, D195, $E$2:$E$786, E195) &gt; 1, "Duplicate", "Unique")</f>
        <v>Unique</v>
      </c>
    </row>
    <row r="196" spans="1:15" ht="26.5" thickBot="1" x14ac:dyDescent="0.4">
      <c r="A196" s="8" t="s">
        <v>62</v>
      </c>
      <c r="B196" s="8" t="s">
        <v>9</v>
      </c>
      <c r="C196" s="8" t="s">
        <v>7</v>
      </c>
      <c r="D196" s="8">
        <v>40</v>
      </c>
      <c r="E196" s="8">
        <v>320.5</v>
      </c>
      <c r="F196" s="4">
        <v>9.1435382260000004</v>
      </c>
      <c r="G196" s="2" t="s">
        <v>95</v>
      </c>
      <c r="H196" s="5">
        <v>293.64999999999998</v>
      </c>
      <c r="I196" s="1" t="s">
        <v>8</v>
      </c>
      <c r="J196" s="40"/>
      <c r="N196" s="10" t="str">
        <f>IF(COUNTIFS( $B$2:$B$786, B196, $C$2:$C$786, C196, $D$2:$D$786, D196, $E$2:$E$786, E196) &gt; 1, "Duplicate", "Unique")</f>
        <v>Unique</v>
      </c>
    </row>
    <row r="197" spans="1:15" ht="39" thickBot="1" x14ac:dyDescent="0.4">
      <c r="A197" s="3">
        <v>46265.474999999999</v>
      </c>
      <c r="B197" s="1" t="s">
        <v>20</v>
      </c>
      <c r="C197" s="1" t="s">
        <v>7</v>
      </c>
      <c r="D197" s="4">
        <v>30</v>
      </c>
      <c r="E197" s="4">
        <v>137</v>
      </c>
      <c r="F197" s="4">
        <v>9.154649032</v>
      </c>
      <c r="G197" s="2" t="s">
        <v>86</v>
      </c>
      <c r="H197" s="5">
        <v>125.51</v>
      </c>
      <c r="I197" s="1" t="s">
        <v>8</v>
      </c>
      <c r="J197" s="18" t="s">
        <v>118</v>
      </c>
      <c r="K197" s="18" t="s">
        <v>205</v>
      </c>
      <c r="L197" s="18">
        <v>3810</v>
      </c>
      <c r="M197" s="18">
        <f>ABS((D197*E197)-L197)</f>
        <v>300</v>
      </c>
      <c r="N197" t="str">
        <f>IF(COUNTIFS( $B$2:$B$786, B197, $C$2:$C$786, C197, $D$2:$D$786, D197, $E$2:$E$786, E197) &gt; 1, "Duplicate", "Unique")</f>
        <v>Unique</v>
      </c>
    </row>
    <row r="198" spans="1:15" ht="26.5" thickBot="1" x14ac:dyDescent="0.4">
      <c r="A198" s="3">
        <v>46261.375</v>
      </c>
      <c r="B198" s="1" t="s">
        <v>18</v>
      </c>
      <c r="C198" s="1" t="s">
        <v>7</v>
      </c>
      <c r="D198" s="4">
        <v>2</v>
      </c>
      <c r="E198" s="4">
        <v>1970</v>
      </c>
      <c r="F198" s="4">
        <v>9.1654660309999993</v>
      </c>
      <c r="G198" s="2" t="s">
        <v>102</v>
      </c>
      <c r="H198" s="5">
        <v>1804.6</v>
      </c>
      <c r="I198" s="1" t="s">
        <v>8</v>
      </c>
      <c r="J198" s="18" t="s">
        <v>117</v>
      </c>
      <c r="K198" s="18" t="s">
        <v>184</v>
      </c>
      <c r="L198" s="18">
        <v>3680</v>
      </c>
      <c r="M198" s="18">
        <f>ABS((D198*E198)-L198)</f>
        <v>260</v>
      </c>
      <c r="N198" s="10" t="str">
        <f>IF(COUNTIFS( $B$2:$B$786, B198, $C$2:$C$786, C198, $D$2:$D$786, D198, $E$2:$E$786, E198) &gt; 1, "Duplicate", "Unique")</f>
        <v>Unique</v>
      </c>
    </row>
    <row r="199" spans="1:15" ht="26.5" thickBot="1" x14ac:dyDescent="0.4">
      <c r="A199" s="8" t="s">
        <v>62</v>
      </c>
      <c r="B199" s="8" t="s">
        <v>133</v>
      </c>
      <c r="C199" s="8" t="s">
        <v>7</v>
      </c>
      <c r="D199" s="8">
        <v>150</v>
      </c>
      <c r="E199" s="8">
        <v>123.4</v>
      </c>
      <c r="F199" s="4">
        <v>9.2518813630000007</v>
      </c>
      <c r="G199" s="2" t="s">
        <v>134</v>
      </c>
      <c r="H199" s="5">
        <v>112.95</v>
      </c>
      <c r="I199" s="1" t="s">
        <v>8</v>
      </c>
      <c r="J199" s="40" t="s">
        <v>117</v>
      </c>
      <c r="N199" s="10" t="str">
        <f>IF(COUNTIFS( $B$2:$B$786, B199, $C$2:$C$786, C199, $D$2:$D$786, D199, $E$2:$E$786, E199) &gt; 1, "Duplicate", "Unique")</f>
        <v>Unique</v>
      </c>
    </row>
    <row r="200" spans="1:15" ht="26.5" thickBot="1" x14ac:dyDescent="0.4">
      <c r="A200" s="8" t="s">
        <v>62</v>
      </c>
      <c r="B200" s="8" t="s">
        <v>123</v>
      </c>
      <c r="C200" s="8" t="s">
        <v>7</v>
      </c>
      <c r="D200" s="8">
        <v>200</v>
      </c>
      <c r="E200" s="8">
        <v>90.75</v>
      </c>
      <c r="F200" s="4">
        <v>9.2715231790000008</v>
      </c>
      <c r="G200" s="2" t="s">
        <v>124</v>
      </c>
      <c r="H200" s="5">
        <v>83.05</v>
      </c>
      <c r="I200" s="1" t="s">
        <v>8</v>
      </c>
      <c r="J200" s="40" t="s">
        <v>55</v>
      </c>
      <c r="N200" s="10" t="str">
        <f>IF(COUNTIFS( $B$2:$B$786, B200, $C$2:$C$786, C200, $D$2:$D$786, D200, $E$2:$E$786, E200) &gt; 1, "Duplicate", "Unique")</f>
        <v>Unique</v>
      </c>
    </row>
    <row r="201" spans="1:15" ht="39" thickBot="1" x14ac:dyDescent="0.4">
      <c r="A201" s="11">
        <v>46252.688194444447</v>
      </c>
      <c r="B201" s="8" t="s">
        <v>28</v>
      </c>
      <c r="C201" s="8" t="s">
        <v>7</v>
      </c>
      <c r="D201" s="8">
        <v>30</v>
      </c>
      <c r="E201" s="8">
        <v>930</v>
      </c>
      <c r="F201" s="4">
        <v>9.4117647059999996</v>
      </c>
      <c r="G201" s="2" t="s">
        <v>125</v>
      </c>
      <c r="H201" s="5">
        <v>850</v>
      </c>
      <c r="I201" s="1" t="s">
        <v>8</v>
      </c>
      <c r="J201" s="40"/>
      <c r="N201" s="10" t="str">
        <f>IF(COUNTIFS( $B$2:$B$786, B201, $C$2:$C$786, C201, $D$2:$D$786, D201, $E$2:$E$786, E201) &gt; 1, "Duplicate", "Unique")</f>
        <v>Unique</v>
      </c>
    </row>
    <row r="202" spans="1:15" ht="26.5" thickBot="1" x14ac:dyDescent="0.4">
      <c r="A202" s="8" t="s">
        <v>62</v>
      </c>
      <c r="B202" s="8" t="s">
        <v>128</v>
      </c>
      <c r="C202" s="8" t="s">
        <v>7</v>
      </c>
      <c r="D202" s="8">
        <v>150</v>
      </c>
      <c r="E202" s="8">
        <v>129</v>
      </c>
      <c r="F202" s="4">
        <v>9.5076400680000006</v>
      </c>
      <c r="G202" s="2" t="s">
        <v>129</v>
      </c>
      <c r="H202" s="5">
        <v>117.8</v>
      </c>
      <c r="I202" s="1" t="s">
        <v>8</v>
      </c>
      <c r="J202" s="40"/>
      <c r="N202" s="10" t="str">
        <f>IF(COUNTIFS( $B$2:$B$786, B202, $C$2:$C$786, C202, $D$2:$D$786, D202, $E$2:$E$786, E202) &gt; 1, "Duplicate", "Unique")</f>
        <v>Unique</v>
      </c>
    </row>
    <row r="203" spans="1:15" ht="39" thickBot="1" x14ac:dyDescent="0.4">
      <c r="A203" s="39">
        <v>46255</v>
      </c>
      <c r="B203" s="37" t="s">
        <v>19</v>
      </c>
      <c r="C203" s="37" t="s">
        <v>7</v>
      </c>
      <c r="D203" s="38">
        <v>20</v>
      </c>
      <c r="E203" s="38">
        <v>241</v>
      </c>
      <c r="F203" s="4">
        <v>9.5255408110000008</v>
      </c>
      <c r="G203" s="2" t="s">
        <v>40</v>
      </c>
      <c r="H203" s="5">
        <v>220.04</v>
      </c>
      <c r="I203" s="1" t="s">
        <v>8</v>
      </c>
      <c r="J203" s="33" t="s">
        <v>118</v>
      </c>
      <c r="K203" s="33" t="s">
        <v>152</v>
      </c>
      <c r="L203" s="33">
        <v>4680</v>
      </c>
      <c r="M203" s="33">
        <f>ABS((D203*E203)-L203)</f>
        <v>140</v>
      </c>
      <c r="N203" s="35" t="str">
        <f>IF(COUNTIFS( $B$2:$B$786, B203, $C$2:$C$786, C203, $D$2:$D$786, D203, $E$2:$E$786, E203) &gt; 1, "Duplicate", "Unique")</f>
        <v>Duplicate</v>
      </c>
    </row>
    <row r="204" spans="1:15" ht="39" thickBot="1" x14ac:dyDescent="0.4">
      <c r="A204" s="36">
        <v>46261.385416666664</v>
      </c>
      <c r="B204" s="37" t="s">
        <v>19</v>
      </c>
      <c r="C204" s="37" t="s">
        <v>7</v>
      </c>
      <c r="D204" s="38">
        <v>20</v>
      </c>
      <c r="E204" s="38">
        <v>241</v>
      </c>
      <c r="F204" s="4">
        <v>9.5255408110000008</v>
      </c>
      <c r="G204" s="2" t="s">
        <v>40</v>
      </c>
      <c r="H204" s="5">
        <v>220.04</v>
      </c>
      <c r="I204" s="1" t="s">
        <v>8</v>
      </c>
      <c r="J204" s="33" t="s">
        <v>118</v>
      </c>
      <c r="K204" s="33" t="s">
        <v>181</v>
      </c>
      <c r="L204" s="33">
        <v>4520</v>
      </c>
      <c r="M204" s="33">
        <f>ABS((D204*E204)-L204)</f>
        <v>300</v>
      </c>
      <c r="N204" s="35" t="str">
        <f>IF(COUNTIFS( $B$2:$B$786, B204, $C$2:$C$786, C204, $D$2:$D$786, D204, $E$2:$E$786, E204) &gt; 1, "Duplicate", "Unique")</f>
        <v>Duplicate</v>
      </c>
    </row>
    <row r="205" spans="1:15" ht="26.5" thickBot="1" x14ac:dyDescent="0.4">
      <c r="A205" s="3">
        <v>46259.388194444444</v>
      </c>
      <c r="B205" s="1" t="s">
        <v>13</v>
      </c>
      <c r="C205" s="1" t="s">
        <v>7</v>
      </c>
      <c r="D205" s="4">
        <v>20</v>
      </c>
      <c r="E205" s="4">
        <v>1948</v>
      </c>
      <c r="F205" s="4">
        <v>9.5674672370000007</v>
      </c>
      <c r="G205" s="2" t="s">
        <v>91</v>
      </c>
      <c r="H205" s="5">
        <v>1777.9</v>
      </c>
      <c r="I205" s="1" t="s">
        <v>8</v>
      </c>
      <c r="J205" s="18" t="s">
        <v>117</v>
      </c>
      <c r="K205" s="18" t="s">
        <v>165</v>
      </c>
      <c r="L205" s="18">
        <v>38020</v>
      </c>
      <c r="M205" s="18">
        <f>ABS((D205*E205)-L205)</f>
        <v>940</v>
      </c>
      <c r="N205" s="10" t="str">
        <f>IF(COUNTIFS( $B$2:$B$786, B205, $C$2:$C$786, C205, $D$2:$D$786, D205, $E$2:$E$786, E205) &gt; 1, "Duplicate", "Unique")</f>
        <v>Unique</v>
      </c>
    </row>
    <row r="206" spans="1:15" ht="26.5" thickBot="1" x14ac:dyDescent="0.4">
      <c r="A206" s="3">
        <v>46262.375</v>
      </c>
      <c r="B206" s="1" t="s">
        <v>87</v>
      </c>
      <c r="C206" s="1" t="s">
        <v>7</v>
      </c>
      <c r="D206" s="4">
        <v>10</v>
      </c>
      <c r="E206" s="4">
        <v>1360</v>
      </c>
      <c r="F206" s="4">
        <v>9.6774193549999996</v>
      </c>
      <c r="G206" s="2" t="s">
        <v>88</v>
      </c>
      <c r="H206" s="5">
        <v>1240</v>
      </c>
      <c r="I206" s="1" t="s">
        <v>8</v>
      </c>
      <c r="J206" s="24" t="s">
        <v>117</v>
      </c>
      <c r="K206" s="18" t="s">
        <v>197</v>
      </c>
      <c r="L206" s="18">
        <v>13300</v>
      </c>
      <c r="M206" s="18">
        <f>ABS((D206*E206)-L206)</f>
        <v>300</v>
      </c>
      <c r="N206" s="10" t="str">
        <f>IF(COUNTIFS( $B$2:$B$786, B206, $C$2:$C$786, C206, $D$2:$D$786, D206, $E$2:$E$786, E206) &gt; 1, "Duplicate", "Unique")</f>
        <v>Unique</v>
      </c>
    </row>
    <row r="207" spans="1:15" ht="39" thickBot="1" x14ac:dyDescent="0.4">
      <c r="A207" s="3">
        <v>46261.375694444447</v>
      </c>
      <c r="B207" s="1" t="s">
        <v>53</v>
      </c>
      <c r="C207" s="1" t="s">
        <v>7</v>
      </c>
      <c r="D207" s="4">
        <v>2</v>
      </c>
      <c r="E207" s="4">
        <v>2690</v>
      </c>
      <c r="F207" s="4">
        <v>9.8586947640000009</v>
      </c>
      <c r="G207" s="2" t="s">
        <v>54</v>
      </c>
      <c r="H207" s="5">
        <v>2448.6</v>
      </c>
      <c r="I207" s="1" t="s">
        <v>8</v>
      </c>
      <c r="J207" s="18" t="s">
        <v>118</v>
      </c>
      <c r="K207" s="18" t="s">
        <v>180</v>
      </c>
      <c r="L207" s="18">
        <v>5120</v>
      </c>
      <c r="M207" s="18">
        <f>ABS((D207*E207)-L207)</f>
        <v>260</v>
      </c>
      <c r="N207" s="10" t="str">
        <f>IF(COUNTIFS( $B$2:$B$786, B207, $C$2:$C$786, C207, $D$2:$D$786, D207, $E$2:$E$786, E207) &gt; 1, "Duplicate", "Unique")</f>
        <v>Unique</v>
      </c>
    </row>
    <row r="208" spans="1:15" s="35" customFormat="1" ht="39" thickBot="1" x14ac:dyDescent="0.4">
      <c r="A208" s="11">
        <v>46252.635416666664</v>
      </c>
      <c r="B208" s="8" t="s">
        <v>82</v>
      </c>
      <c r="C208" s="8" t="s">
        <v>7</v>
      </c>
      <c r="D208" s="8">
        <v>1</v>
      </c>
      <c r="E208" s="8">
        <v>4556</v>
      </c>
      <c r="F208" s="4">
        <v>9.9951714149999997</v>
      </c>
      <c r="G208" s="2" t="s">
        <v>83</v>
      </c>
      <c r="H208" s="5">
        <v>4142</v>
      </c>
      <c r="I208" s="1" t="s">
        <v>8</v>
      </c>
      <c r="J208" s="40"/>
      <c r="K208" s="18"/>
      <c r="L208" s="18"/>
      <c r="M208" s="18"/>
      <c r="N208" s="10" t="str">
        <f>IF(COUNTIFS( $B$2:$B$786, B208, $C$2:$C$786, C208, $D$2:$D$786, D208, $E$2:$E$786, E208) &gt; 1, "Duplicate", "Unique")</f>
        <v>Unique</v>
      </c>
      <c r="O208" s="10"/>
    </row>
    <row r="209" spans="1:15" ht="39" thickBot="1" x14ac:dyDescent="0.4">
      <c r="A209" s="8" t="s">
        <v>62</v>
      </c>
      <c r="B209" s="8" t="s">
        <v>119</v>
      </c>
      <c r="C209" s="8" t="s">
        <v>7</v>
      </c>
      <c r="D209" s="8">
        <v>15</v>
      </c>
      <c r="E209" s="8">
        <v>1090</v>
      </c>
      <c r="F209" s="4">
        <v>10.045431600000001</v>
      </c>
      <c r="G209" s="2" t="s">
        <v>120</v>
      </c>
      <c r="H209" s="5">
        <v>990.5</v>
      </c>
      <c r="I209" s="1" t="s">
        <v>8</v>
      </c>
      <c r="J209" s="40"/>
      <c r="N209" s="10" t="str">
        <f>IF(COUNTIFS( $B$2:$B$786, B209, $C$2:$C$786, C209, $D$2:$D$786, D209, $E$2:$E$786, E209) &gt; 1, "Duplicate", "Unique")</f>
        <v>Unique</v>
      </c>
    </row>
    <row r="210" spans="1:15" ht="26.5" thickBot="1" x14ac:dyDescent="0.4">
      <c r="A210" s="8" t="s">
        <v>62</v>
      </c>
      <c r="B210" s="8" t="s">
        <v>121</v>
      </c>
      <c r="C210" s="8" t="s">
        <v>7</v>
      </c>
      <c r="D210" s="8">
        <v>10</v>
      </c>
      <c r="E210" s="8">
        <v>816</v>
      </c>
      <c r="F210" s="4">
        <v>10.121457489999999</v>
      </c>
      <c r="G210" s="2" t="s">
        <v>122</v>
      </c>
      <c r="H210" s="5">
        <v>741</v>
      </c>
      <c r="I210" s="1" t="s">
        <v>8</v>
      </c>
      <c r="J210" s="40" t="s">
        <v>117</v>
      </c>
      <c r="N210" s="10" t="str">
        <f>IF(COUNTIFS( $B$2:$B$786, B210, $C$2:$C$786, C210, $D$2:$D$786, D210, $E$2:$E$786, E210) &gt; 1, "Duplicate", "Unique")</f>
        <v>Unique</v>
      </c>
    </row>
    <row r="211" spans="1:15" ht="26.5" thickBot="1" x14ac:dyDescent="0.4">
      <c r="A211" s="11">
        <v>46252.645138888889</v>
      </c>
      <c r="B211" s="8" t="s">
        <v>35</v>
      </c>
      <c r="C211" s="8" t="s">
        <v>7</v>
      </c>
      <c r="D211" s="8">
        <v>200</v>
      </c>
      <c r="E211" s="8">
        <v>232</v>
      </c>
      <c r="F211" s="4">
        <v>10.21377672</v>
      </c>
      <c r="G211" s="2" t="s">
        <v>42</v>
      </c>
      <c r="H211" s="5">
        <v>210.5</v>
      </c>
      <c r="I211" s="1" t="s">
        <v>8</v>
      </c>
      <c r="J211" s="17" t="s">
        <v>117</v>
      </c>
      <c r="N211" s="10" t="str">
        <f>IF(COUNTIFS( $B$2:$B$786, B211, $C$2:$C$786, C211, $D$2:$D$786, D211, $E$2:$E$786, E211) &gt; 1, "Duplicate", "Unique")</f>
        <v>Unique</v>
      </c>
    </row>
    <row r="212" spans="1:15" ht="26.5" thickBot="1" x14ac:dyDescent="0.4">
      <c r="A212" s="11">
        <v>46253.375</v>
      </c>
      <c r="B212" s="8" t="s">
        <v>14</v>
      </c>
      <c r="C212" s="8" t="s">
        <v>7</v>
      </c>
      <c r="D212" s="8">
        <v>50</v>
      </c>
      <c r="E212" s="8">
        <v>353</v>
      </c>
      <c r="F212" s="4">
        <v>10.3125</v>
      </c>
      <c r="G212" s="2" t="s">
        <v>45</v>
      </c>
      <c r="H212" s="5">
        <v>320</v>
      </c>
      <c r="I212" s="1" t="s">
        <v>8</v>
      </c>
      <c r="J212" s="40" t="s">
        <v>118</v>
      </c>
      <c r="K212" s="18" t="s">
        <v>145</v>
      </c>
      <c r="N212" s="10" t="str">
        <f>IF(COUNTIFS( $B$2:$B$786, B212, $C$2:$C$786, C212, $D$2:$D$786, D212, $E$2:$E$786, E212) &gt; 1, "Duplicate", "Unique")</f>
        <v>Unique</v>
      </c>
    </row>
    <row r="213" spans="1:15" ht="26.5" thickBot="1" x14ac:dyDescent="0.4">
      <c r="A213" s="8" t="s">
        <v>62</v>
      </c>
      <c r="B213" s="8" t="s">
        <v>123</v>
      </c>
      <c r="C213" s="8" t="s">
        <v>7</v>
      </c>
      <c r="D213" s="8">
        <v>200</v>
      </c>
      <c r="E213" s="8">
        <v>91.75</v>
      </c>
      <c r="F213" s="4">
        <v>10.475617099999999</v>
      </c>
      <c r="G213" s="2" t="s">
        <v>124</v>
      </c>
      <c r="H213" s="5">
        <v>83.05</v>
      </c>
      <c r="I213" s="1" t="s">
        <v>8</v>
      </c>
      <c r="J213" s="40"/>
      <c r="N213" s="10" t="str">
        <f>IF(COUNTIFS( $B$2:$B$786, B213, $C$2:$C$786, C213, $D$2:$D$786, D213, $E$2:$E$786, E213) &gt; 1, "Duplicate", "Unique")</f>
        <v>Unique</v>
      </c>
    </row>
    <row r="214" spans="1:15" ht="26.5" thickBot="1" x14ac:dyDescent="0.4">
      <c r="A214" s="8" t="s">
        <v>62</v>
      </c>
      <c r="B214" s="8" t="s">
        <v>74</v>
      </c>
      <c r="C214" s="8" t="s">
        <v>7</v>
      </c>
      <c r="D214" s="8">
        <v>1</v>
      </c>
      <c r="E214" s="12">
        <v>3810</v>
      </c>
      <c r="F214" s="4">
        <v>10.55655505</v>
      </c>
      <c r="G214" s="2" t="s">
        <v>75</v>
      </c>
      <c r="H214" s="5">
        <v>3446.2</v>
      </c>
      <c r="I214" s="1" t="s">
        <v>8</v>
      </c>
      <c r="J214" s="40" t="s">
        <v>118</v>
      </c>
      <c r="N214" s="10" t="str">
        <f>IF(COUNTIFS( $B$2:$B$786, B214, $C$2:$C$786, C214, $D$2:$D$786, D214, $E$2:$E$786, E214) &gt; 1, "Duplicate", "Unique")</f>
        <v>Unique</v>
      </c>
    </row>
    <row r="215" spans="1:15" ht="39" thickBot="1" x14ac:dyDescent="0.4">
      <c r="A215" s="3">
        <v>46269.375</v>
      </c>
      <c r="B215" s="1" t="s">
        <v>22</v>
      </c>
      <c r="C215" s="1" t="s">
        <v>7</v>
      </c>
      <c r="D215" s="4">
        <v>5</v>
      </c>
      <c r="E215" s="4">
        <v>471</v>
      </c>
      <c r="F215" s="4">
        <v>10.62830299</v>
      </c>
      <c r="G215" s="2" t="s">
        <v>73</v>
      </c>
      <c r="H215" s="5">
        <v>425.75</v>
      </c>
      <c r="I215" s="1" t="s">
        <v>8</v>
      </c>
      <c r="J215" s="18" t="s">
        <v>118</v>
      </c>
      <c r="K215" s="18" t="s">
        <v>255</v>
      </c>
      <c r="L215" s="18">
        <v>2105</v>
      </c>
      <c r="M215" s="27">
        <f>ABS((D215*E215)-L215)</f>
        <v>250</v>
      </c>
      <c r="N215" t="str">
        <f>IF(COUNTIFS( $B$2:$B$786, B215, $C$2:$C$786, C215, $D$2:$D$786, D215, $E$2:$E$786, E215) &gt; 1, "Duplicate", "Unique")</f>
        <v>Unique</v>
      </c>
    </row>
    <row r="216" spans="1:15" s="35" customFormat="1" ht="39" thickBot="1" x14ac:dyDescent="0.4">
      <c r="A216" s="8" t="s">
        <v>62</v>
      </c>
      <c r="B216" s="8" t="s">
        <v>53</v>
      </c>
      <c r="C216" s="8" t="s">
        <v>7</v>
      </c>
      <c r="D216" s="8">
        <v>3</v>
      </c>
      <c r="E216" s="12">
        <v>2710</v>
      </c>
      <c r="F216" s="4">
        <v>10.67548803</v>
      </c>
      <c r="G216" s="2" t="s">
        <v>54</v>
      </c>
      <c r="H216" s="5">
        <v>2448.6</v>
      </c>
      <c r="I216" s="1" t="s">
        <v>8</v>
      </c>
      <c r="J216" s="40" t="s">
        <v>118</v>
      </c>
      <c r="K216" s="18"/>
      <c r="L216" s="18"/>
      <c r="M216" s="18"/>
      <c r="N216" s="10" t="str">
        <f>IF(COUNTIFS( $B$2:$B$786, B216, $C$2:$C$786, C216, $D$2:$D$786, D216, $E$2:$E$786, E216) &gt; 1, "Duplicate", "Unique")</f>
        <v>Unique</v>
      </c>
      <c r="O216" s="10"/>
    </row>
    <row r="217" spans="1:15" ht="39" thickBot="1" x14ac:dyDescent="0.4">
      <c r="A217" s="8" t="s">
        <v>62</v>
      </c>
      <c r="B217" s="8" t="s">
        <v>43</v>
      </c>
      <c r="C217" s="8" t="s">
        <v>7</v>
      </c>
      <c r="D217" s="8">
        <v>5</v>
      </c>
      <c r="E217" s="12">
        <v>790</v>
      </c>
      <c r="F217" s="4">
        <v>10.78390128</v>
      </c>
      <c r="G217" s="2" t="s">
        <v>44</v>
      </c>
      <c r="H217" s="5">
        <v>713.1</v>
      </c>
      <c r="I217" s="1" t="s">
        <v>8</v>
      </c>
      <c r="J217" s="40"/>
      <c r="N217" s="10" t="str">
        <f>IF(COUNTIFS( $B$2:$B$786, B217, $C$2:$C$786, C217, $D$2:$D$786, D217, $E$2:$E$786, E217) &gt; 1, "Duplicate", "Unique")</f>
        <v>Unique</v>
      </c>
    </row>
    <row r="218" spans="1:15" ht="39" thickBot="1" x14ac:dyDescent="0.4">
      <c r="A218" s="11">
        <v>46252.6875</v>
      </c>
      <c r="B218" s="8" t="s">
        <v>27</v>
      </c>
      <c r="C218" s="8" t="s">
        <v>7</v>
      </c>
      <c r="D218" s="8">
        <v>2</v>
      </c>
      <c r="E218" s="8">
        <v>3048</v>
      </c>
      <c r="F218" s="4">
        <v>10.83636364</v>
      </c>
      <c r="G218" s="2" t="s">
        <v>131</v>
      </c>
      <c r="H218" s="5">
        <v>2750</v>
      </c>
      <c r="I218" s="1" t="s">
        <v>8</v>
      </c>
      <c r="J218" s="40" t="s">
        <v>117</v>
      </c>
      <c r="N218" s="10" t="str">
        <f>IF(COUNTIFS( $B$2:$B$786, B218, $C$2:$C$786, C218, $D$2:$D$786, D218, $E$2:$E$786, E218) &gt; 1, "Duplicate", "Unique")</f>
        <v>Unique</v>
      </c>
    </row>
    <row r="219" spans="1:15" ht="39" thickBot="1" x14ac:dyDescent="0.4">
      <c r="A219" s="8" t="s">
        <v>62</v>
      </c>
      <c r="B219" s="8" t="s">
        <v>51</v>
      </c>
      <c r="C219" s="8" t="s">
        <v>7</v>
      </c>
      <c r="D219" s="8">
        <v>10</v>
      </c>
      <c r="E219" s="13">
        <v>1024</v>
      </c>
      <c r="F219" s="4">
        <v>10.888515890000001</v>
      </c>
      <c r="G219" s="2" t="s">
        <v>52</v>
      </c>
      <c r="H219" s="5">
        <v>923.45</v>
      </c>
      <c r="I219" s="1" t="s">
        <v>8</v>
      </c>
      <c r="J219" s="40" t="s">
        <v>118</v>
      </c>
      <c r="N219" s="10" t="str">
        <f>IF(COUNTIFS( $B$2:$B$786, B219, $C$2:$C$786, C219, $D$2:$D$786, D219, $E$2:$E$786, E219) &gt; 1, "Duplicate", "Unique")</f>
        <v>Unique</v>
      </c>
    </row>
    <row r="220" spans="1:15" ht="39" thickBot="1" x14ac:dyDescent="0.4">
      <c r="A220" s="8" t="s">
        <v>62</v>
      </c>
      <c r="B220" s="8" t="s">
        <v>24</v>
      </c>
      <c r="C220" s="8" t="s">
        <v>7</v>
      </c>
      <c r="D220" s="8">
        <v>5</v>
      </c>
      <c r="E220" s="8">
        <v>468</v>
      </c>
      <c r="F220" s="4">
        <v>11.16389549</v>
      </c>
      <c r="G220" s="2" t="s">
        <v>56</v>
      </c>
      <c r="H220" s="5">
        <v>421</v>
      </c>
      <c r="I220" s="1" t="s">
        <v>8</v>
      </c>
      <c r="J220" s="40" t="s">
        <v>118</v>
      </c>
      <c r="N220" s="10" t="str">
        <f>IF(COUNTIFS( $B$2:$B$786, B220, $C$2:$C$786, C220, $D$2:$D$786, D220, $E$2:$E$786, E220) &gt; 1, "Duplicate", "Unique")</f>
        <v>Unique</v>
      </c>
    </row>
    <row r="221" spans="1:15" s="35" customFormat="1" ht="39" thickBot="1" x14ac:dyDescent="0.4">
      <c r="A221" s="3">
        <v>46260.375</v>
      </c>
      <c r="B221" s="1" t="s">
        <v>24</v>
      </c>
      <c r="C221" s="1" t="s">
        <v>7</v>
      </c>
      <c r="D221" s="4">
        <v>40</v>
      </c>
      <c r="E221" s="4">
        <v>468</v>
      </c>
      <c r="F221" s="4">
        <v>11.16389549</v>
      </c>
      <c r="G221" s="2" t="s">
        <v>56</v>
      </c>
      <c r="H221" s="5">
        <v>421</v>
      </c>
      <c r="I221" s="1" t="s">
        <v>8</v>
      </c>
      <c r="J221" s="18" t="s">
        <v>118</v>
      </c>
      <c r="K221" s="18" t="s">
        <v>173</v>
      </c>
      <c r="L221" s="18">
        <v>17920</v>
      </c>
      <c r="M221" s="18">
        <f>ABS((D221*E221)-L221)</f>
        <v>800</v>
      </c>
      <c r="N221" t="str">
        <f>IF(COUNTIFS( $B$2:$B$786, B221, $C$2:$C$786, C221, $D$2:$D$786, D221, $E$2:$E$786, E221) &gt; 1, "Duplicate", "Unique")</f>
        <v>Unique</v>
      </c>
      <c r="O221" s="10"/>
    </row>
    <row r="222" spans="1:15" s="35" customFormat="1" ht="26.5" thickBot="1" x14ac:dyDescent="0.4">
      <c r="A222" s="8" t="s">
        <v>62</v>
      </c>
      <c r="B222" s="8" t="s">
        <v>6</v>
      </c>
      <c r="C222" s="8" t="s">
        <v>7</v>
      </c>
      <c r="D222" s="8">
        <v>120</v>
      </c>
      <c r="E222" s="8">
        <v>300.5</v>
      </c>
      <c r="F222" s="4">
        <v>11.172770999999999</v>
      </c>
      <c r="G222" s="2" t="s">
        <v>130</v>
      </c>
      <c r="H222" s="5">
        <v>270.3</v>
      </c>
      <c r="I222" s="1" t="s">
        <v>8</v>
      </c>
      <c r="J222" s="40" t="s">
        <v>118</v>
      </c>
      <c r="K222" s="18"/>
      <c r="L222" s="18"/>
      <c r="M222" s="18"/>
      <c r="N222" s="10" t="str">
        <f>IF(COUNTIFS( $B$2:$B$786, B222, $C$2:$C$786, C222, $D$2:$D$786, D222, $E$2:$E$786, E222) &gt; 1, "Duplicate", "Unique")</f>
        <v>Unique</v>
      </c>
      <c r="O222" s="10"/>
    </row>
    <row r="223" spans="1:15" ht="39" thickBot="1" x14ac:dyDescent="0.4">
      <c r="A223" s="8" t="s">
        <v>62</v>
      </c>
      <c r="B223" s="8" t="s">
        <v>135</v>
      </c>
      <c r="C223" s="8" t="s">
        <v>7</v>
      </c>
      <c r="D223" s="8">
        <v>5</v>
      </c>
      <c r="E223" s="8">
        <v>2190</v>
      </c>
      <c r="F223" s="4">
        <v>11.308767469999999</v>
      </c>
      <c r="G223" s="2" t="s">
        <v>136</v>
      </c>
      <c r="H223" s="5">
        <v>1967.5</v>
      </c>
      <c r="I223" s="1" t="s">
        <v>8</v>
      </c>
      <c r="J223" s="40" t="s">
        <v>118</v>
      </c>
      <c r="N223" s="10" t="str">
        <f>IF(COUNTIFS( $B$2:$B$786, B223, $C$2:$C$786, C223, $D$2:$D$786, D223, $E$2:$E$786, E223) &gt; 1, "Duplicate", "Unique")</f>
        <v>Unique</v>
      </c>
      <c r="O223" s="35"/>
    </row>
    <row r="224" spans="1:15" ht="26.5" thickBot="1" x14ac:dyDescent="0.4">
      <c r="A224" s="11">
        <v>46252.688194444447</v>
      </c>
      <c r="B224" s="8" t="s">
        <v>14</v>
      </c>
      <c r="C224" s="8" t="s">
        <v>7</v>
      </c>
      <c r="D224" s="8">
        <v>50</v>
      </c>
      <c r="E224" s="8">
        <v>357</v>
      </c>
      <c r="F224" s="4">
        <v>11.5625</v>
      </c>
      <c r="G224" s="2" t="s">
        <v>45</v>
      </c>
      <c r="H224" s="5">
        <v>320</v>
      </c>
      <c r="I224" s="1" t="s">
        <v>8</v>
      </c>
      <c r="J224" s="40"/>
      <c r="N224" s="10" t="str">
        <f>IF(COUNTIFS( $B$2:$B$786, B224, $C$2:$C$786, C224, $D$2:$D$786, D224, $E$2:$E$786, E224) &gt; 1, "Duplicate", "Unique")</f>
        <v>Unique</v>
      </c>
      <c r="O224" s="35"/>
    </row>
    <row r="225" spans="1:15" ht="26.5" thickBot="1" x14ac:dyDescent="0.4">
      <c r="A225" s="8" t="s">
        <v>62</v>
      </c>
      <c r="B225" s="8" t="s">
        <v>26</v>
      </c>
      <c r="C225" s="8" t="s">
        <v>7</v>
      </c>
      <c r="D225" s="8">
        <v>25</v>
      </c>
      <c r="E225" s="8">
        <v>199.9</v>
      </c>
      <c r="F225" s="4">
        <v>11.582472790000001</v>
      </c>
      <c r="G225" s="2" t="s">
        <v>132</v>
      </c>
      <c r="H225" s="5">
        <v>179.15</v>
      </c>
      <c r="I225" s="1" t="s">
        <v>8</v>
      </c>
      <c r="J225" s="40" t="s">
        <v>117</v>
      </c>
      <c r="N225" s="10" t="str">
        <f>IF(COUNTIFS( $B$2:$B$786, B225, $C$2:$C$786, C225, $D$2:$D$786, D225, $E$2:$E$786, E225) &gt; 1, "Duplicate", "Unique")</f>
        <v>Unique</v>
      </c>
    </row>
    <row r="226" spans="1:15" ht="26.5" thickBot="1" x14ac:dyDescent="0.4">
      <c r="A226" s="11">
        <v>46252.635416666664</v>
      </c>
      <c r="B226" s="8" t="s">
        <v>35</v>
      </c>
      <c r="C226" s="8" t="s">
        <v>7</v>
      </c>
      <c r="D226" s="8">
        <v>200</v>
      </c>
      <c r="E226" s="8">
        <v>235</v>
      </c>
      <c r="F226" s="4">
        <v>11.638954869999999</v>
      </c>
      <c r="G226" s="2" t="s">
        <v>42</v>
      </c>
      <c r="H226" s="5">
        <v>210.5</v>
      </c>
      <c r="I226" s="1" t="s">
        <v>8</v>
      </c>
      <c r="J226" s="46" t="s">
        <v>55</v>
      </c>
      <c r="N226" s="10" t="str">
        <f>IF(COUNTIFS( $B$2:$B$786, B226, $C$2:$C$786, C226, $D$2:$D$786, D226, $E$2:$E$786, E226) &gt; 1, "Duplicate", "Unique")</f>
        <v>Unique</v>
      </c>
    </row>
    <row r="227" spans="1:15" ht="26.5" thickBot="1" x14ac:dyDescent="0.4">
      <c r="A227" s="3">
        <v>46260.375</v>
      </c>
      <c r="B227" s="1" t="s">
        <v>87</v>
      </c>
      <c r="C227" s="1" t="s">
        <v>7</v>
      </c>
      <c r="D227" s="4">
        <v>10</v>
      </c>
      <c r="E227" s="4">
        <v>1390</v>
      </c>
      <c r="F227" s="4">
        <v>12.09677419</v>
      </c>
      <c r="G227" s="2" t="s">
        <v>88</v>
      </c>
      <c r="H227" s="5">
        <v>1240</v>
      </c>
      <c r="I227" s="1" t="s">
        <v>8</v>
      </c>
      <c r="J227" s="18" t="s">
        <v>117</v>
      </c>
      <c r="K227" s="18" t="s">
        <v>176</v>
      </c>
      <c r="L227" s="18">
        <v>13600</v>
      </c>
      <c r="M227" s="18">
        <f>ABS((D227*E227)-L227)</f>
        <v>300</v>
      </c>
      <c r="N227" t="str">
        <f>IF(COUNTIFS( $B$2:$B$786, B227, $C$2:$C$786, C227, $D$2:$D$786, D227, $E$2:$E$786, E227) &gt; 1, "Duplicate", "Unique")</f>
        <v>Unique</v>
      </c>
    </row>
    <row r="228" spans="1:15" ht="26.5" thickBot="1" x14ac:dyDescent="0.4">
      <c r="A228" s="3">
        <v>46260.375</v>
      </c>
      <c r="B228" s="1" t="s">
        <v>13</v>
      </c>
      <c r="C228" s="1" t="s">
        <v>7</v>
      </c>
      <c r="D228" s="4">
        <v>5</v>
      </c>
      <c r="E228" s="4">
        <v>1994</v>
      </c>
      <c r="F228" s="4">
        <v>12.154789360000001</v>
      </c>
      <c r="G228" s="2" t="s">
        <v>91</v>
      </c>
      <c r="H228" s="5">
        <v>1777.9</v>
      </c>
      <c r="I228" s="1" t="s">
        <v>8</v>
      </c>
      <c r="J228" s="18" t="s">
        <v>118</v>
      </c>
      <c r="K228" s="18" t="s">
        <v>175</v>
      </c>
      <c r="L228" s="18">
        <v>9320</v>
      </c>
      <c r="M228" s="18">
        <f>ABS((D228*E228)-L228)</f>
        <v>650</v>
      </c>
      <c r="N228" t="str">
        <f>IF(COUNTIFS( $B$2:$B$786, B228, $C$2:$C$786, C228, $D$2:$D$786, D228, $E$2:$E$786, E228) &gt; 1, "Duplicate", "Unique")</f>
        <v>Unique</v>
      </c>
    </row>
    <row r="229" spans="1:15" ht="39" thickBot="1" x14ac:dyDescent="0.4">
      <c r="A229" s="3">
        <v>46259.375</v>
      </c>
      <c r="B229" s="1" t="s">
        <v>24</v>
      </c>
      <c r="C229" s="1" t="s">
        <v>7</v>
      </c>
      <c r="D229" s="4">
        <v>20</v>
      </c>
      <c r="E229" s="4">
        <v>472.5</v>
      </c>
      <c r="F229" s="4">
        <v>12.2327791</v>
      </c>
      <c r="G229" s="2" t="s">
        <v>56</v>
      </c>
      <c r="H229" s="5">
        <v>421</v>
      </c>
      <c r="I229" s="1" t="s">
        <v>8</v>
      </c>
      <c r="J229" s="40" t="s">
        <v>118</v>
      </c>
      <c r="K229" s="18" t="s">
        <v>164</v>
      </c>
      <c r="L229" s="18">
        <v>8800</v>
      </c>
      <c r="M229" s="18">
        <f>ABS((D229*E229)-L229)</f>
        <v>650</v>
      </c>
      <c r="N229" s="10" t="str">
        <f>IF(COUNTIFS( $B$2:$B$786, B229, $C$2:$C$786, C229, $D$2:$D$786, D229, $E$2:$E$786, E229) &gt; 1, "Duplicate", "Unique")</f>
        <v>Unique</v>
      </c>
      <c r="O229" s="35"/>
    </row>
    <row r="230" spans="1:15" ht="26.5" thickBot="1" x14ac:dyDescent="0.4">
      <c r="A230" s="3">
        <v>46265.415277777778</v>
      </c>
      <c r="B230" s="1" t="s">
        <v>16</v>
      </c>
      <c r="C230" s="1" t="s">
        <v>7</v>
      </c>
      <c r="D230" s="4">
        <v>5</v>
      </c>
      <c r="E230" s="4">
        <v>948</v>
      </c>
      <c r="F230" s="4">
        <v>12.45551601</v>
      </c>
      <c r="G230" s="2" t="s">
        <v>61</v>
      </c>
      <c r="H230" s="5">
        <v>843</v>
      </c>
      <c r="I230" s="1" t="s">
        <v>8</v>
      </c>
      <c r="J230" s="18" t="s">
        <v>118</v>
      </c>
      <c r="K230" s="18" t="s">
        <v>204</v>
      </c>
      <c r="L230" s="18">
        <v>4455</v>
      </c>
      <c r="M230" s="18">
        <f>ABS((D230*E230)-L230)</f>
        <v>285</v>
      </c>
      <c r="N230" t="str">
        <f>IF(COUNTIFS( $B$2:$B$786, B230, $C$2:$C$786, C230, $D$2:$D$786, D230, $E$2:$E$786, E230) &gt; 1, "Duplicate", "Unique")</f>
        <v>Unique</v>
      </c>
    </row>
    <row r="231" spans="1:15" ht="26.5" thickBot="1" x14ac:dyDescent="0.4">
      <c r="A231" s="3">
        <v>46266.375</v>
      </c>
      <c r="B231" s="1" t="s">
        <v>16</v>
      </c>
      <c r="C231" s="1" t="s">
        <v>7</v>
      </c>
      <c r="D231" s="4">
        <v>11</v>
      </c>
      <c r="E231" s="4">
        <v>948</v>
      </c>
      <c r="F231" s="4">
        <v>12.45551601</v>
      </c>
      <c r="G231" s="2" t="s">
        <v>61</v>
      </c>
      <c r="H231" s="5">
        <v>843</v>
      </c>
      <c r="I231" s="1" t="s">
        <v>8</v>
      </c>
      <c r="J231" s="18" t="s">
        <v>117</v>
      </c>
      <c r="K231" s="18" t="s">
        <v>225</v>
      </c>
      <c r="L231" s="18">
        <v>9702</v>
      </c>
      <c r="M231" s="18">
        <f>ABS((D231*E231)-L231)</f>
        <v>726</v>
      </c>
      <c r="N231" s="10" t="str">
        <f>IF(COUNTIFS( $B$2:$B$786, B231, $C$2:$C$786, C231, $D$2:$D$786, D231, $E$2:$E$786, E231) &gt; 1, "Duplicate", "Unique")</f>
        <v>Unique</v>
      </c>
    </row>
    <row r="232" spans="1:15" ht="26.5" thickBot="1" x14ac:dyDescent="0.4">
      <c r="A232" s="11">
        <v>46252.688194444447</v>
      </c>
      <c r="B232" s="8" t="s">
        <v>14</v>
      </c>
      <c r="C232" s="8" t="s">
        <v>7</v>
      </c>
      <c r="D232" s="8">
        <v>50</v>
      </c>
      <c r="E232" s="8">
        <v>361</v>
      </c>
      <c r="F232" s="4">
        <v>12.8125</v>
      </c>
      <c r="G232" s="2" t="s">
        <v>45</v>
      </c>
      <c r="H232" s="5">
        <v>320</v>
      </c>
      <c r="I232" s="1" t="s">
        <v>8</v>
      </c>
      <c r="J232" s="40"/>
      <c r="N232" s="10" t="str">
        <f>IF(COUNTIFS( $B$2:$B$786, B232, $C$2:$C$786, C232, $D$2:$D$786, D232, $E$2:$E$786, E232) &gt; 1, "Duplicate", "Unique")</f>
        <v>Unique</v>
      </c>
    </row>
    <row r="233" spans="1:15" ht="26.5" thickBot="1" x14ac:dyDescent="0.4">
      <c r="A233" s="11">
        <v>46252.635416666664</v>
      </c>
      <c r="B233" s="8" t="s">
        <v>35</v>
      </c>
      <c r="C233" s="8" t="s">
        <v>7</v>
      </c>
      <c r="D233" s="8">
        <v>120</v>
      </c>
      <c r="E233" s="8">
        <v>238.2</v>
      </c>
      <c r="F233" s="4">
        <v>13.15914489</v>
      </c>
      <c r="G233" s="2" t="s">
        <v>42</v>
      </c>
      <c r="H233" s="5">
        <v>210.5</v>
      </c>
      <c r="I233" s="1" t="s">
        <v>8</v>
      </c>
      <c r="J233" s="40" t="s">
        <v>118</v>
      </c>
      <c r="K233" s="18" t="s">
        <v>146</v>
      </c>
      <c r="N233" s="10" t="str">
        <f>IF(COUNTIFS( $B$2:$B$786, B233, $C$2:$C$786, C233, $D$2:$D$786, D233, $E$2:$E$786, E233) &gt; 1, "Duplicate", "Unique")</f>
        <v>Unique</v>
      </c>
    </row>
    <row r="234" spans="1:15" ht="26.5" thickBot="1" x14ac:dyDescent="0.4">
      <c r="A234" s="11">
        <v>46252.6875</v>
      </c>
      <c r="B234" s="8" t="s">
        <v>13</v>
      </c>
      <c r="C234" s="8" t="s">
        <v>7</v>
      </c>
      <c r="D234" s="8">
        <v>5</v>
      </c>
      <c r="E234" s="8">
        <v>2014</v>
      </c>
      <c r="F234" s="4">
        <v>13.27971202</v>
      </c>
      <c r="G234" s="2" t="s">
        <v>91</v>
      </c>
      <c r="H234" s="5">
        <v>1777.9</v>
      </c>
      <c r="I234" s="1" t="s">
        <v>8</v>
      </c>
      <c r="J234" s="40" t="s">
        <v>118</v>
      </c>
      <c r="N234" s="10" t="str">
        <f>IF(COUNTIFS( $B$2:$B$786, B234, $C$2:$C$786, C234, $D$2:$D$786, D234, $E$2:$E$786, E234) &gt; 1, "Duplicate", "Unique")</f>
        <v>Unique</v>
      </c>
      <c r="O234" s="35"/>
    </row>
    <row r="235" spans="1:15" ht="26.5" thickBot="1" x14ac:dyDescent="0.4">
      <c r="A235" s="8" t="s">
        <v>62</v>
      </c>
      <c r="B235" s="8" t="s">
        <v>35</v>
      </c>
      <c r="C235" s="8" t="s">
        <v>7</v>
      </c>
      <c r="D235" s="8">
        <v>200</v>
      </c>
      <c r="E235" s="8">
        <v>239</v>
      </c>
      <c r="F235" s="4">
        <v>13.539192399999999</v>
      </c>
      <c r="G235" s="2" t="s">
        <v>42</v>
      </c>
      <c r="H235" s="5">
        <v>210.5</v>
      </c>
      <c r="I235" s="1" t="s">
        <v>8</v>
      </c>
      <c r="J235" s="40"/>
      <c r="N235" s="10" t="str">
        <f>IF(COUNTIFS( $B$2:$B$786, B235, $C$2:$C$786, C235, $D$2:$D$786, D235, $E$2:$E$786, E235) &gt; 1, "Duplicate", "Unique")</f>
        <v>Unique</v>
      </c>
    </row>
    <row r="236" spans="1:15" ht="26.5" thickBot="1" x14ac:dyDescent="0.4">
      <c r="A236" s="8" t="s">
        <v>62</v>
      </c>
      <c r="B236" s="8" t="s">
        <v>17</v>
      </c>
      <c r="C236" s="8" t="s">
        <v>7</v>
      </c>
      <c r="D236" s="8">
        <v>5</v>
      </c>
      <c r="E236" s="12">
        <v>416</v>
      </c>
      <c r="F236" s="4">
        <v>13.972602739999999</v>
      </c>
      <c r="G236" s="2" t="s">
        <v>77</v>
      </c>
      <c r="H236" s="5">
        <v>365</v>
      </c>
      <c r="I236" s="1" t="s">
        <v>8</v>
      </c>
      <c r="J236" s="40"/>
      <c r="N236" s="10" t="str">
        <f>IF(COUNTIFS( $B$2:$B$786, B236, $C$2:$C$786, C236, $D$2:$D$786, D236, $E$2:$E$786, E236) &gt; 1, "Duplicate", "Unique")</f>
        <v>Unique</v>
      </c>
    </row>
    <row r="237" spans="1:15" ht="26.5" thickBot="1" x14ac:dyDescent="0.4">
      <c r="A237" s="3">
        <v>46265.375694444447</v>
      </c>
      <c r="B237" s="1" t="s">
        <v>16</v>
      </c>
      <c r="C237" s="1" t="s">
        <v>7</v>
      </c>
      <c r="D237" s="4">
        <v>5</v>
      </c>
      <c r="E237" s="4">
        <v>961</v>
      </c>
      <c r="F237" s="4">
        <v>13.99762752</v>
      </c>
      <c r="G237" s="2" t="s">
        <v>61</v>
      </c>
      <c r="H237" s="5">
        <v>843</v>
      </c>
      <c r="I237" s="1" t="s">
        <v>8</v>
      </c>
      <c r="J237" s="18" t="s">
        <v>118</v>
      </c>
      <c r="K237" s="18" t="s">
        <v>210</v>
      </c>
      <c r="L237" s="18">
        <v>4530</v>
      </c>
      <c r="M237" s="18">
        <f>ABS((D237*E237)-L237)</f>
        <v>275</v>
      </c>
      <c r="N237" t="str">
        <f>IF(COUNTIFS( $B$2:$B$786, B237, $C$2:$C$786, C237, $D$2:$D$786, D237, $E$2:$E$786, E237) &gt; 1, "Duplicate", "Unique")</f>
        <v>Unique</v>
      </c>
    </row>
    <row r="238" spans="1:15" ht="26.5" thickBot="1" x14ac:dyDescent="0.4">
      <c r="A238" s="11">
        <v>46252.688194444447</v>
      </c>
      <c r="B238" s="8" t="s">
        <v>14</v>
      </c>
      <c r="C238" s="8" t="s">
        <v>7</v>
      </c>
      <c r="D238" s="8">
        <v>50</v>
      </c>
      <c r="E238" s="8">
        <v>365</v>
      </c>
      <c r="F238" s="4">
        <v>14.0625</v>
      </c>
      <c r="G238" s="2" t="s">
        <v>45</v>
      </c>
      <c r="H238" s="5">
        <v>320</v>
      </c>
      <c r="I238" s="1" t="s">
        <v>8</v>
      </c>
      <c r="J238" s="40" t="s">
        <v>118</v>
      </c>
      <c r="N238" s="10" t="str">
        <f>IF(COUNTIFS( $B$2:$B$786, B238, $C$2:$C$786, C238, $D$2:$D$786, D238, $E$2:$E$786, E238) &gt; 1, "Duplicate", "Unique")</f>
        <v>Unique</v>
      </c>
    </row>
    <row r="239" spans="1:15" ht="39" thickBot="1" x14ac:dyDescent="0.4">
      <c r="A239" s="3">
        <v>46260.550694444442</v>
      </c>
      <c r="B239" s="1" t="s">
        <v>103</v>
      </c>
      <c r="C239" s="1" t="s">
        <v>7</v>
      </c>
      <c r="D239" s="4">
        <v>2</v>
      </c>
      <c r="E239" s="4">
        <v>2787.9</v>
      </c>
      <c r="F239" s="4">
        <v>14.11788784</v>
      </c>
      <c r="G239" s="2" t="s">
        <v>104</v>
      </c>
      <c r="H239" s="5">
        <v>2443</v>
      </c>
      <c r="I239" s="1" t="s">
        <v>8</v>
      </c>
      <c r="J239" s="18" t="s">
        <v>118</v>
      </c>
      <c r="K239" s="18" t="s">
        <v>170</v>
      </c>
      <c r="L239" s="18">
        <v>5275.8</v>
      </c>
      <c r="M239" s="18">
        <f>ABS((D239*E239)-L239)</f>
        <v>300</v>
      </c>
      <c r="N239" t="str">
        <f>IF(COUNTIFS( $B$2:$B$786, B239, $C$2:$C$786, C239, $D$2:$D$786, D239, $E$2:$E$786, E239) &gt; 1, "Duplicate", "Unique")</f>
        <v>Unique</v>
      </c>
    </row>
    <row r="240" spans="1:15" ht="39" thickBot="1" x14ac:dyDescent="0.4">
      <c r="A240" s="8" t="s">
        <v>62</v>
      </c>
      <c r="B240" s="8" t="s">
        <v>28</v>
      </c>
      <c r="C240" s="8" t="s">
        <v>7</v>
      </c>
      <c r="D240" s="8">
        <v>30</v>
      </c>
      <c r="E240" s="13">
        <v>974</v>
      </c>
      <c r="F240" s="4">
        <v>14.58823529</v>
      </c>
      <c r="G240" s="2" t="s">
        <v>125</v>
      </c>
      <c r="H240" s="5">
        <v>850</v>
      </c>
      <c r="I240" s="1" t="s">
        <v>8</v>
      </c>
      <c r="J240" s="40"/>
      <c r="N240" s="10" t="str">
        <f>IF(COUNTIFS( $B$2:$B$786, B240, $C$2:$C$786, C240, $D$2:$D$786, D240, $E$2:$E$786, E240) &gt; 1, "Duplicate", "Unique")</f>
        <v>Unique</v>
      </c>
    </row>
    <row r="241" spans="1:15" ht="26.5" thickBot="1" x14ac:dyDescent="0.4">
      <c r="A241" s="8" t="s">
        <v>62</v>
      </c>
      <c r="B241" s="8" t="s">
        <v>6</v>
      </c>
      <c r="C241" s="8" t="s">
        <v>7</v>
      </c>
      <c r="D241" s="8">
        <v>100</v>
      </c>
      <c r="E241" s="8">
        <v>310.5</v>
      </c>
      <c r="F241" s="4">
        <v>14.872364040000001</v>
      </c>
      <c r="G241" s="2" t="s">
        <v>130</v>
      </c>
      <c r="H241" s="5">
        <v>270.3</v>
      </c>
      <c r="I241" s="1" t="s">
        <v>8</v>
      </c>
      <c r="J241" s="40" t="s">
        <v>118</v>
      </c>
      <c r="N241" s="10" t="str">
        <f>IF(COUNTIFS( $B$2:$B$786, B241, $C$2:$C$786, C241, $D$2:$D$786, D241, $E$2:$E$786, E241) &gt; 1, "Duplicate", "Unique")</f>
        <v>Unique</v>
      </c>
    </row>
    <row r="242" spans="1:15" ht="26.5" thickBot="1" x14ac:dyDescent="0.4">
      <c r="A242" s="8" t="s">
        <v>62</v>
      </c>
      <c r="B242" s="8" t="s">
        <v>133</v>
      </c>
      <c r="C242" s="8" t="s">
        <v>7</v>
      </c>
      <c r="D242" s="8">
        <v>150</v>
      </c>
      <c r="E242" s="12">
        <v>129.9</v>
      </c>
      <c r="F242" s="4">
        <v>15.006640109999999</v>
      </c>
      <c r="G242" s="2" t="s">
        <v>134</v>
      </c>
      <c r="H242" s="5">
        <v>112.95</v>
      </c>
      <c r="I242" s="1" t="s">
        <v>8</v>
      </c>
      <c r="J242" s="40"/>
      <c r="N242" s="10" t="str">
        <f>IF(COUNTIFS( $B$2:$B$786, B242, $C$2:$C$786, C242, $D$2:$D$786, D242, $E$2:$E$786, E242) &gt; 1, "Duplicate", "Unique")</f>
        <v>Unique</v>
      </c>
    </row>
    <row r="243" spans="1:15" ht="26.5" thickBot="1" x14ac:dyDescent="0.4">
      <c r="A243" s="3">
        <v>46260.557638888888</v>
      </c>
      <c r="B243" s="1" t="s">
        <v>16</v>
      </c>
      <c r="C243" s="1" t="s">
        <v>7</v>
      </c>
      <c r="D243" s="4">
        <v>5</v>
      </c>
      <c r="E243" s="4">
        <v>971</v>
      </c>
      <c r="F243" s="4">
        <v>15.18386714</v>
      </c>
      <c r="G243" s="2" t="s">
        <v>61</v>
      </c>
      <c r="H243" s="5">
        <v>843</v>
      </c>
      <c r="I243" s="1" t="s">
        <v>8</v>
      </c>
      <c r="J243" s="18" t="s">
        <v>118</v>
      </c>
      <c r="K243" s="18" t="s">
        <v>167</v>
      </c>
      <c r="L243" s="18">
        <v>4605</v>
      </c>
      <c r="M243" s="18">
        <f>ABS((D243*E243)-L243)</f>
        <v>250</v>
      </c>
      <c r="N243" t="str">
        <f>IF(COUNTIFS( $B$2:$B$786, B243, $C$2:$C$786, C243, $D$2:$D$786, D243, $E$2:$E$786, E243) &gt; 1, "Duplicate", "Unique")</f>
        <v>Unique</v>
      </c>
    </row>
    <row r="244" spans="1:15" s="35" customFormat="1" ht="26.5" thickBot="1" x14ac:dyDescent="0.4">
      <c r="A244" s="3">
        <v>46260.634027777778</v>
      </c>
      <c r="B244" s="1" t="s">
        <v>29</v>
      </c>
      <c r="C244" s="1" t="s">
        <v>7</v>
      </c>
      <c r="D244" s="4">
        <v>5</v>
      </c>
      <c r="E244" s="4">
        <v>4148</v>
      </c>
      <c r="F244" s="4">
        <v>15.35038932</v>
      </c>
      <c r="G244" s="2" t="s">
        <v>137</v>
      </c>
      <c r="H244" s="5">
        <v>3596</v>
      </c>
      <c r="I244" s="1" t="s">
        <v>8</v>
      </c>
      <c r="J244" s="18" t="s">
        <v>118</v>
      </c>
      <c r="K244" s="18" t="s">
        <v>171</v>
      </c>
      <c r="L244" s="18">
        <v>20260</v>
      </c>
      <c r="M244" s="18">
        <f>ABS((D244*E244)-L244)</f>
        <v>480</v>
      </c>
      <c r="N244" t="str">
        <f>IF(COUNTIFS( $B$2:$B$786, B244, $C$2:$C$786, C244, $D$2:$D$786, D244, $E$2:$E$786, E244) &gt; 1, "Duplicate", "Unique")</f>
        <v>Unique</v>
      </c>
      <c r="O244" s="10"/>
    </row>
    <row r="245" spans="1:15" ht="26.5" thickBot="1" x14ac:dyDescent="0.4">
      <c r="A245" s="8" t="s">
        <v>62</v>
      </c>
      <c r="B245" s="8" t="s">
        <v>128</v>
      </c>
      <c r="C245" s="8" t="s">
        <v>7</v>
      </c>
      <c r="D245" s="8">
        <v>150</v>
      </c>
      <c r="E245" s="12">
        <v>136</v>
      </c>
      <c r="F245" s="4">
        <v>15.449915109999999</v>
      </c>
      <c r="G245" s="2" t="s">
        <v>129</v>
      </c>
      <c r="H245" s="5">
        <v>117.8</v>
      </c>
      <c r="I245" s="1" t="s">
        <v>8</v>
      </c>
      <c r="J245" s="40"/>
      <c r="N245" s="10" t="str">
        <f>IF(COUNTIFS( $B$2:$B$786, B245, $C$2:$C$786, C245, $D$2:$D$786, D245, $E$2:$E$786, E245) &gt; 1, "Duplicate", "Unique")</f>
        <v>Unique</v>
      </c>
    </row>
    <row r="246" spans="1:15" ht="26.5" thickBot="1" x14ac:dyDescent="0.4">
      <c r="A246" s="8" t="s">
        <v>62</v>
      </c>
      <c r="B246" s="8" t="s">
        <v>35</v>
      </c>
      <c r="C246" s="8" t="s">
        <v>7</v>
      </c>
      <c r="D246" s="8">
        <v>200</v>
      </c>
      <c r="E246" s="12">
        <v>244</v>
      </c>
      <c r="F246" s="4">
        <v>15.91448931</v>
      </c>
      <c r="G246" s="2" t="s">
        <v>42</v>
      </c>
      <c r="H246" s="5">
        <v>210.5</v>
      </c>
      <c r="I246" s="1" t="s">
        <v>8</v>
      </c>
      <c r="J246" s="40" t="s">
        <v>117</v>
      </c>
      <c r="N246" s="10" t="str">
        <f>IF(COUNTIFS( $B$2:$B$786, B246, $C$2:$C$786, C246, $D$2:$D$786, D246, $E$2:$E$786, E246) &gt; 1, "Duplicate", "Unique")</f>
        <v>Unique</v>
      </c>
    </row>
    <row r="247" spans="1:15" ht="39" thickBot="1" x14ac:dyDescent="0.4">
      <c r="A247" s="8" t="s">
        <v>62</v>
      </c>
      <c r="B247" s="8" t="s">
        <v>28</v>
      </c>
      <c r="C247" s="8" t="s">
        <v>7</v>
      </c>
      <c r="D247" s="8">
        <v>5</v>
      </c>
      <c r="E247" s="12">
        <v>986</v>
      </c>
      <c r="F247" s="4">
        <v>16</v>
      </c>
      <c r="G247" s="2" t="s">
        <v>125</v>
      </c>
      <c r="H247" s="5">
        <v>850</v>
      </c>
      <c r="I247" s="1" t="s">
        <v>8</v>
      </c>
      <c r="J247" s="40"/>
      <c r="N247" s="10" t="str">
        <f>IF(COUNTIFS( $B$2:$B$786, B247, $C$2:$C$786, C247, $D$2:$D$786, D247, $E$2:$E$786, E247) &gt; 1, "Duplicate", "Unique")</f>
        <v>Unique</v>
      </c>
    </row>
    <row r="248" spans="1:15" ht="26.5" thickBot="1" x14ac:dyDescent="0.4">
      <c r="A248" s="8" t="s">
        <v>62</v>
      </c>
      <c r="B248" s="8" t="s">
        <v>6</v>
      </c>
      <c r="C248" s="8" t="s">
        <v>7</v>
      </c>
      <c r="D248" s="8">
        <v>100</v>
      </c>
      <c r="E248" s="13">
        <v>314</v>
      </c>
      <c r="F248" s="4">
        <v>16.167221609999999</v>
      </c>
      <c r="G248" s="2" t="s">
        <v>130</v>
      </c>
      <c r="H248" s="5">
        <v>270.3</v>
      </c>
      <c r="I248" s="1" t="s">
        <v>8</v>
      </c>
      <c r="J248" s="40"/>
      <c r="N248" s="10" t="str">
        <f>IF(COUNTIFS( $B$2:$B$786, B248, $C$2:$C$786, C248, $D$2:$D$786, D248, $E$2:$E$786, E248) &gt; 1, "Duplicate", "Unique")</f>
        <v>Unique</v>
      </c>
    </row>
    <row r="249" spans="1:15" s="35" customFormat="1" ht="26.5" thickBot="1" x14ac:dyDescent="0.4">
      <c r="A249" s="8" t="s">
        <v>62</v>
      </c>
      <c r="B249" s="8" t="s">
        <v>63</v>
      </c>
      <c r="C249" s="8" t="s">
        <v>7</v>
      </c>
      <c r="D249" s="8">
        <v>11</v>
      </c>
      <c r="E249" s="12">
        <v>1170</v>
      </c>
      <c r="F249" s="4">
        <v>16.4410828</v>
      </c>
      <c r="G249" s="2" t="s">
        <v>64</v>
      </c>
      <c r="H249" s="5">
        <v>1004.8</v>
      </c>
      <c r="I249" s="1" t="s">
        <v>8</v>
      </c>
      <c r="J249" s="40"/>
      <c r="K249" s="18"/>
      <c r="L249" s="18"/>
      <c r="M249" s="18"/>
      <c r="N249" s="10" t="str">
        <f>IF(COUNTIFS( $B$2:$B$786, B249, $C$2:$C$786, C249, $D$2:$D$786, D249, $E$2:$E$786, E249) &gt; 1, "Duplicate", "Unique")</f>
        <v>Unique</v>
      </c>
      <c r="O249" s="10"/>
    </row>
    <row r="250" spans="1:15" ht="26.5" thickBot="1" x14ac:dyDescent="0.4">
      <c r="A250" s="8" t="s">
        <v>62</v>
      </c>
      <c r="B250" s="8" t="s">
        <v>14</v>
      </c>
      <c r="C250" s="8" t="s">
        <v>7</v>
      </c>
      <c r="D250" s="8">
        <v>17</v>
      </c>
      <c r="E250" s="8">
        <v>373</v>
      </c>
      <c r="F250" s="4">
        <v>16.5625</v>
      </c>
      <c r="G250" s="2" t="s">
        <v>45</v>
      </c>
      <c r="H250" s="5">
        <v>320</v>
      </c>
      <c r="I250" s="1" t="s">
        <v>8</v>
      </c>
      <c r="J250" s="40"/>
      <c r="N250" s="10" t="str">
        <f>IF(COUNTIFS( $B$2:$B$786, B250, $C$2:$C$786, C250, $D$2:$D$786, D250, $E$2:$E$786, E250) &gt; 1, "Duplicate", "Unique")</f>
        <v>Unique</v>
      </c>
    </row>
    <row r="251" spans="1:15" ht="26.5" thickBot="1" x14ac:dyDescent="0.4">
      <c r="A251" s="8" t="s">
        <v>62</v>
      </c>
      <c r="B251" s="8" t="s">
        <v>14</v>
      </c>
      <c r="C251" s="8" t="s">
        <v>7</v>
      </c>
      <c r="D251" s="8">
        <v>50</v>
      </c>
      <c r="E251" s="12">
        <v>373</v>
      </c>
      <c r="F251" s="4">
        <v>16.5625</v>
      </c>
      <c r="G251" s="2" t="s">
        <v>45</v>
      </c>
      <c r="H251" s="5">
        <v>320</v>
      </c>
      <c r="I251" s="1" t="s">
        <v>8</v>
      </c>
      <c r="J251" s="40" t="s">
        <v>118</v>
      </c>
      <c r="N251" s="10" t="str">
        <f>IF(COUNTIFS( $B$2:$B$786, B251, $C$2:$C$786, C251, $D$2:$D$786, D251, $E$2:$E$786, E251) &gt; 1, "Duplicate", "Unique")</f>
        <v>Unique</v>
      </c>
      <c r="O251" s="35"/>
    </row>
    <row r="252" spans="1:15" ht="39" thickBot="1" x14ac:dyDescent="0.4">
      <c r="A252" s="20">
        <v>46255</v>
      </c>
      <c r="B252" s="1" t="s">
        <v>20</v>
      </c>
      <c r="C252" s="1" t="s">
        <v>7</v>
      </c>
      <c r="D252" s="4">
        <v>20</v>
      </c>
      <c r="E252" s="4">
        <v>147</v>
      </c>
      <c r="F252" s="4">
        <v>17.12214166</v>
      </c>
      <c r="G252" s="2" t="s">
        <v>86</v>
      </c>
      <c r="H252" s="5">
        <v>125.51</v>
      </c>
      <c r="I252" s="1" t="s">
        <v>8</v>
      </c>
      <c r="J252" s="18" t="s">
        <v>55</v>
      </c>
      <c r="K252" s="18" t="s">
        <v>151</v>
      </c>
      <c r="L252" s="18">
        <v>2640</v>
      </c>
      <c r="M252" s="18">
        <f>ABS((D252*E252)-L252)</f>
        <v>300</v>
      </c>
      <c r="N252" s="10" t="str">
        <f>IF(COUNTIFS( $B$2:$B$786, B252, $C$2:$C$786, C252, $D$2:$D$786, D252, $E$2:$E$786, E252) &gt; 1, "Duplicate", "Unique")</f>
        <v>Unique</v>
      </c>
    </row>
    <row r="253" spans="1:15" ht="39" thickBot="1" x14ac:dyDescent="0.4">
      <c r="A253" s="8" t="s">
        <v>62</v>
      </c>
      <c r="B253" s="14" t="s">
        <v>28</v>
      </c>
      <c r="C253" s="8" t="s">
        <v>7</v>
      </c>
      <c r="D253" s="8">
        <v>40</v>
      </c>
      <c r="E253" s="15">
        <v>996</v>
      </c>
      <c r="F253" s="4">
        <v>17.176470590000001</v>
      </c>
      <c r="G253" s="2" t="s">
        <v>125</v>
      </c>
      <c r="H253" s="5">
        <v>850</v>
      </c>
      <c r="I253" s="1" t="s">
        <v>8</v>
      </c>
      <c r="J253" s="40" t="s">
        <v>118</v>
      </c>
      <c r="N253" s="10" t="str">
        <f>IF(COUNTIFS( $B$2:$B$786, B253, $C$2:$C$786, C253, $D$2:$D$786, D253, $E$2:$E$786, E253) &gt; 1, "Duplicate", "Unique")</f>
        <v>Unique</v>
      </c>
    </row>
    <row r="254" spans="1:15" ht="26.5" thickBot="1" x14ac:dyDescent="0.4">
      <c r="A254" s="8" t="s">
        <v>62</v>
      </c>
      <c r="B254" s="8" t="s">
        <v>26</v>
      </c>
      <c r="C254" s="8" t="s">
        <v>7</v>
      </c>
      <c r="D254" s="8">
        <v>25</v>
      </c>
      <c r="E254" s="8">
        <v>210</v>
      </c>
      <c r="F254" s="4">
        <v>17.220206529999999</v>
      </c>
      <c r="G254" s="2" t="s">
        <v>132</v>
      </c>
      <c r="H254" s="5">
        <v>179.15</v>
      </c>
      <c r="I254" s="1" t="s">
        <v>8</v>
      </c>
      <c r="J254" s="40"/>
      <c r="N254" s="10" t="str">
        <f>IF(COUNTIFS( $B$2:$B$786, B254, $C$2:$C$786, C254, $D$2:$D$786, D254, $E$2:$E$786, E254) &gt; 1, "Duplicate", "Unique")</f>
        <v>Unique</v>
      </c>
    </row>
    <row r="255" spans="1:15" ht="26.5" thickBot="1" x14ac:dyDescent="0.4">
      <c r="A255" s="8" t="s">
        <v>62</v>
      </c>
      <c r="B255" s="8" t="s">
        <v>6</v>
      </c>
      <c r="C255" s="8" t="s">
        <v>7</v>
      </c>
      <c r="D255" s="8">
        <v>100</v>
      </c>
      <c r="E255" s="12">
        <v>318</v>
      </c>
      <c r="F255" s="4">
        <v>17.647058820000002</v>
      </c>
      <c r="G255" s="2" t="s">
        <v>130</v>
      </c>
      <c r="H255" s="5">
        <v>270.3</v>
      </c>
      <c r="I255" s="1" t="s">
        <v>8</v>
      </c>
      <c r="J255" s="40"/>
      <c r="N255" s="10" t="str">
        <f>IF(COUNTIFS( $B$2:$B$786, B255, $C$2:$C$786, C255, $D$2:$D$786, D255, $E$2:$E$786, E255) &gt; 1, "Duplicate", "Unique")</f>
        <v>Unique</v>
      </c>
    </row>
    <row r="256" spans="1:15" ht="26.5" thickBot="1" x14ac:dyDescent="0.4">
      <c r="A256" s="11">
        <v>46252.6875</v>
      </c>
      <c r="B256" s="8" t="s">
        <v>13</v>
      </c>
      <c r="C256" s="8" t="s">
        <v>7</v>
      </c>
      <c r="D256" s="8">
        <v>5</v>
      </c>
      <c r="E256" s="8">
        <v>2094</v>
      </c>
      <c r="F256" s="4">
        <v>17.77940267</v>
      </c>
      <c r="G256" s="2" t="s">
        <v>91</v>
      </c>
      <c r="H256" s="5">
        <v>1777.9</v>
      </c>
      <c r="I256" s="1" t="s">
        <v>8</v>
      </c>
      <c r="J256" s="40" t="s">
        <v>118</v>
      </c>
      <c r="N256" s="10" t="str">
        <f>IF(COUNTIFS( $B$2:$B$786, B256, $C$2:$C$786, C256, $D$2:$D$786, D256, $E$2:$E$786, E256) &gt; 1, "Duplicate", "Unique")</f>
        <v>Unique</v>
      </c>
    </row>
    <row r="257" spans="1:15" ht="39" thickBot="1" x14ac:dyDescent="0.4">
      <c r="A257" s="8" t="s">
        <v>62</v>
      </c>
      <c r="B257" s="8" t="s">
        <v>28</v>
      </c>
      <c r="C257" s="8" t="s">
        <v>7</v>
      </c>
      <c r="D257" s="8">
        <v>5</v>
      </c>
      <c r="E257" s="12">
        <v>1002</v>
      </c>
      <c r="F257" s="4">
        <v>17.882352940000001</v>
      </c>
      <c r="G257" s="2" t="s">
        <v>125</v>
      </c>
      <c r="H257" s="5">
        <v>850</v>
      </c>
      <c r="I257" s="1" t="s">
        <v>8</v>
      </c>
      <c r="J257" s="40"/>
      <c r="N257" s="10" t="str">
        <f>IF(COUNTIFS( $B$2:$B$786, B257, $C$2:$C$786, C257, $D$2:$D$786, D257, $E$2:$E$786, E257) &gt; 1, "Duplicate", "Unique")</f>
        <v>Unique</v>
      </c>
      <c r="O257" s="35"/>
    </row>
    <row r="258" spans="1:15" ht="39" thickBot="1" x14ac:dyDescent="0.4">
      <c r="A258" s="3">
        <v>46258.375694444447</v>
      </c>
      <c r="B258" s="1" t="s">
        <v>22</v>
      </c>
      <c r="C258" s="1" t="s">
        <v>7</v>
      </c>
      <c r="D258" s="4">
        <v>5</v>
      </c>
      <c r="E258" s="4">
        <v>502</v>
      </c>
      <c r="F258" s="4">
        <v>17.909571339999999</v>
      </c>
      <c r="G258" s="2" t="s">
        <v>73</v>
      </c>
      <c r="H258" s="5">
        <v>425.75</v>
      </c>
      <c r="I258" s="1" t="s">
        <v>8</v>
      </c>
      <c r="J258" s="18" t="s">
        <v>118</v>
      </c>
      <c r="K258" s="18" t="s">
        <v>160</v>
      </c>
      <c r="L258" s="18">
        <v>2260</v>
      </c>
      <c r="M258" s="18">
        <f>ABS((D258*E258)-L258)</f>
        <v>250</v>
      </c>
      <c r="N258" s="10" t="str">
        <f>IF(COUNTIFS( $B$2:$B$786, B258, $C$2:$C$786, C258, $D$2:$D$786, D258, $E$2:$E$786, E258) &gt; 1, "Duplicate", "Unique")</f>
        <v>Unique</v>
      </c>
    </row>
    <row r="259" spans="1:15" ht="26.5" thickBot="1" x14ac:dyDescent="0.4">
      <c r="A259" s="8" t="s">
        <v>62</v>
      </c>
      <c r="B259" s="8" t="s">
        <v>138</v>
      </c>
      <c r="C259" s="8" t="s">
        <v>7</v>
      </c>
      <c r="D259" s="8">
        <v>50</v>
      </c>
      <c r="E259" s="12">
        <v>480</v>
      </c>
      <c r="F259" s="4">
        <v>17.95060818</v>
      </c>
      <c r="G259" s="2" t="s">
        <v>139</v>
      </c>
      <c r="H259" s="5">
        <v>406.95</v>
      </c>
      <c r="I259" s="1" t="s">
        <v>8</v>
      </c>
      <c r="J259" s="40"/>
      <c r="N259" s="10" t="str">
        <f>IF(COUNTIFS( $B$2:$B$786, B259, $C$2:$C$786, C259, $D$2:$D$786, D259, $E$2:$E$786, E259) &gt; 1, "Duplicate", "Unique")</f>
        <v>Unique</v>
      </c>
    </row>
    <row r="260" spans="1:15" ht="26.5" thickBot="1" x14ac:dyDescent="0.4">
      <c r="A260" s="8" t="s">
        <v>62</v>
      </c>
      <c r="B260" s="8" t="s">
        <v>6</v>
      </c>
      <c r="C260" s="8" t="s">
        <v>7</v>
      </c>
      <c r="D260" s="8">
        <v>100</v>
      </c>
      <c r="E260" s="13">
        <v>319</v>
      </c>
      <c r="F260" s="4">
        <v>18.01701813</v>
      </c>
      <c r="G260" s="2" t="s">
        <v>130</v>
      </c>
      <c r="H260" s="5">
        <v>270.3</v>
      </c>
      <c r="I260" s="1" t="s">
        <v>8</v>
      </c>
      <c r="J260" s="40"/>
      <c r="N260" s="10" t="str">
        <f>IF(COUNTIFS( $B$2:$B$786, B260, $C$2:$C$786, C260, $D$2:$D$786, D260, $E$2:$E$786, E260) &gt; 1, "Duplicate", "Unique")</f>
        <v>Unique</v>
      </c>
    </row>
    <row r="261" spans="1:15" ht="39" thickBot="1" x14ac:dyDescent="0.4">
      <c r="A261" s="9" t="s">
        <v>62</v>
      </c>
      <c r="B261" s="9" t="s">
        <v>119</v>
      </c>
      <c r="C261" s="9" t="s">
        <v>7</v>
      </c>
      <c r="D261" s="9">
        <v>7</v>
      </c>
      <c r="E261" s="12">
        <v>1170</v>
      </c>
      <c r="F261" s="4">
        <v>18.122160520000001</v>
      </c>
      <c r="G261" s="2" t="s">
        <v>120</v>
      </c>
      <c r="H261" s="5">
        <v>990.5</v>
      </c>
      <c r="I261" s="1" t="s">
        <v>8</v>
      </c>
      <c r="J261" s="40"/>
      <c r="N261" s="10" t="str">
        <f>IF(COUNTIFS( $B$2:$B$786, B261, $C$2:$C$786, C261, $D$2:$D$786, D261, $E$2:$E$786, E261) &gt; 1, "Duplicate", "Unique")</f>
        <v>Unique</v>
      </c>
    </row>
    <row r="262" spans="1:15" ht="26.5" thickBot="1" x14ac:dyDescent="0.4">
      <c r="A262" s="8" t="s">
        <v>62</v>
      </c>
      <c r="B262" s="8" t="s">
        <v>35</v>
      </c>
      <c r="C262" s="8" t="s">
        <v>7</v>
      </c>
      <c r="D262" s="8">
        <v>200</v>
      </c>
      <c r="E262" s="12">
        <v>249</v>
      </c>
      <c r="F262" s="4">
        <v>18.28978622</v>
      </c>
      <c r="G262" s="2" t="s">
        <v>42</v>
      </c>
      <c r="H262" s="5">
        <v>210.5</v>
      </c>
      <c r="I262" s="1" t="s">
        <v>8</v>
      </c>
      <c r="J262" s="40"/>
      <c r="N262" s="10" t="str">
        <f>IF(COUNTIFS( $B$2:$B$786, B262, $C$2:$C$786, C262, $D$2:$D$786, D262, $E$2:$E$786, E262) &gt; 1, "Duplicate", "Unique")</f>
        <v>Unique</v>
      </c>
    </row>
    <row r="263" spans="1:15" ht="39" thickBot="1" x14ac:dyDescent="0.4">
      <c r="A263" s="8" t="s">
        <v>62</v>
      </c>
      <c r="B263" s="8" t="s">
        <v>126</v>
      </c>
      <c r="C263" s="8" t="s">
        <v>7</v>
      </c>
      <c r="D263" s="8">
        <v>5</v>
      </c>
      <c r="E263" s="8">
        <v>596</v>
      </c>
      <c r="F263" s="4">
        <v>18.489065610000001</v>
      </c>
      <c r="G263" s="2" t="s">
        <v>127</v>
      </c>
      <c r="H263" s="5">
        <v>503</v>
      </c>
      <c r="I263" s="1" t="s">
        <v>8</v>
      </c>
      <c r="J263" s="40"/>
      <c r="N263" s="10" t="str">
        <f>IF(COUNTIFS( $B$2:$B$786, B263, $C$2:$C$786, C263, $D$2:$D$786, D263, $E$2:$E$786, E263) &gt; 1, "Duplicate", "Unique")</f>
        <v>Unique</v>
      </c>
    </row>
    <row r="264" spans="1:15" ht="26.5" thickBot="1" x14ac:dyDescent="0.4">
      <c r="A264" s="8" t="s">
        <v>62</v>
      </c>
      <c r="B264" s="8" t="s">
        <v>57</v>
      </c>
      <c r="C264" s="8" t="s">
        <v>7</v>
      </c>
      <c r="D264" s="8">
        <v>3</v>
      </c>
      <c r="E264" s="12">
        <v>3341</v>
      </c>
      <c r="F264" s="4">
        <v>18.841816949999998</v>
      </c>
      <c r="G264" s="2" t="s">
        <v>58</v>
      </c>
      <c r="H264" s="5">
        <v>2811.3</v>
      </c>
      <c r="I264" s="1" t="s">
        <v>8</v>
      </c>
      <c r="J264" s="40"/>
      <c r="N264" s="10" t="str">
        <f>IF(COUNTIFS( $B$2:$B$786, B264, $C$2:$C$786, C264, $D$2:$D$786, D264, $E$2:$E$786, E264) &gt; 1, "Duplicate", "Unique")</f>
        <v>Unique</v>
      </c>
    </row>
    <row r="265" spans="1:15" ht="26.5" thickBot="1" x14ac:dyDescent="0.4">
      <c r="A265" s="8" t="s">
        <v>62</v>
      </c>
      <c r="B265" s="8" t="s">
        <v>13</v>
      </c>
      <c r="C265" s="8" t="s">
        <v>7</v>
      </c>
      <c r="D265" s="8">
        <v>10</v>
      </c>
      <c r="E265" s="8">
        <v>2114</v>
      </c>
      <c r="F265" s="4">
        <v>18.904325329999999</v>
      </c>
      <c r="G265" s="2" t="s">
        <v>91</v>
      </c>
      <c r="H265" s="5">
        <v>1777.9</v>
      </c>
      <c r="I265" s="1" t="s">
        <v>8</v>
      </c>
      <c r="J265" s="40"/>
      <c r="N265" s="10" t="str">
        <f>IF(COUNTIFS( $B$2:$B$786, B265, $C$2:$C$786, C265, $D$2:$D$786, D265, $E$2:$E$786, E265) &gt; 1, "Duplicate", "Unique")</f>
        <v>Unique</v>
      </c>
    </row>
    <row r="266" spans="1:15" ht="26.5" thickBot="1" x14ac:dyDescent="0.4">
      <c r="A266" s="8" t="s">
        <v>62</v>
      </c>
      <c r="B266" s="8" t="s">
        <v>17</v>
      </c>
      <c r="C266" s="8" t="s">
        <v>7</v>
      </c>
      <c r="D266" s="8">
        <v>5</v>
      </c>
      <c r="E266" s="12">
        <v>435</v>
      </c>
      <c r="F266" s="4">
        <v>19.178082190000001</v>
      </c>
      <c r="G266" s="2" t="s">
        <v>77</v>
      </c>
      <c r="H266" s="5">
        <v>365</v>
      </c>
      <c r="I266" s="1" t="s">
        <v>8</v>
      </c>
      <c r="J266" s="40" t="s">
        <v>118</v>
      </c>
      <c r="N266" s="10" t="str">
        <f>IF(COUNTIFS( $B$2:$B$786, B266, $C$2:$C$786, C266, $D$2:$D$786, D266, $E$2:$E$786, E266) &gt; 1, "Duplicate", "Unique")</f>
        <v>Unique</v>
      </c>
    </row>
    <row r="267" spans="1:15" ht="26.5" thickBot="1" x14ac:dyDescent="0.4">
      <c r="A267" s="11">
        <v>46252.635416666664</v>
      </c>
      <c r="B267" s="8" t="s">
        <v>87</v>
      </c>
      <c r="C267" s="8" t="s">
        <v>7</v>
      </c>
      <c r="D267" s="8">
        <v>10</v>
      </c>
      <c r="E267" s="8">
        <v>1479</v>
      </c>
      <c r="F267" s="4">
        <v>19.27419355</v>
      </c>
      <c r="G267" s="2" t="s">
        <v>88</v>
      </c>
      <c r="H267" s="5">
        <v>1240</v>
      </c>
      <c r="I267" s="1" t="s">
        <v>8</v>
      </c>
      <c r="J267" s="40" t="s">
        <v>55</v>
      </c>
      <c r="N267" s="10" t="str">
        <f>IF(COUNTIFS( $B$2:$B$786, B267, $C$2:$C$786, C267, $D$2:$D$786, D267, $E$2:$E$786, E267) &gt; 1, "Duplicate", "Unique")</f>
        <v>Unique</v>
      </c>
    </row>
    <row r="268" spans="1:15" s="35" customFormat="1" ht="26.5" thickBot="1" x14ac:dyDescent="0.4">
      <c r="A268" s="8" t="s">
        <v>62</v>
      </c>
      <c r="B268" s="8" t="s">
        <v>6</v>
      </c>
      <c r="C268" s="8" t="s">
        <v>7</v>
      </c>
      <c r="D268" s="8">
        <v>150</v>
      </c>
      <c r="E268" s="12">
        <v>323</v>
      </c>
      <c r="F268" s="4">
        <v>19.496855350000001</v>
      </c>
      <c r="G268" s="2" t="s">
        <v>130</v>
      </c>
      <c r="H268" s="5">
        <v>270.3</v>
      </c>
      <c r="I268" s="1" t="s">
        <v>8</v>
      </c>
      <c r="J268" s="40" t="s">
        <v>118</v>
      </c>
      <c r="K268" s="18"/>
      <c r="L268" s="18"/>
      <c r="M268" s="18"/>
      <c r="N268" s="10" t="str">
        <f>IF(COUNTIFS( $B$2:$B$786, B268, $C$2:$C$786, C268, $D$2:$D$786, D268, $E$2:$E$786, E268) &gt; 1, "Duplicate", "Unique")</f>
        <v>Unique</v>
      </c>
      <c r="O268" s="10"/>
    </row>
    <row r="269" spans="1:15" ht="26.5" thickBot="1" x14ac:dyDescent="0.4">
      <c r="A269" s="8" t="s">
        <v>62</v>
      </c>
      <c r="B269" s="8" t="s">
        <v>14</v>
      </c>
      <c r="C269" s="8" t="s">
        <v>7</v>
      </c>
      <c r="D269" s="8">
        <v>50</v>
      </c>
      <c r="E269" s="12">
        <v>383</v>
      </c>
      <c r="F269" s="4">
        <v>19.6875</v>
      </c>
      <c r="G269" s="2" t="s">
        <v>45</v>
      </c>
      <c r="H269" s="5">
        <v>320</v>
      </c>
      <c r="I269" s="1" t="s">
        <v>8</v>
      </c>
      <c r="J269" s="40"/>
      <c r="N269" s="10" t="str">
        <f>IF(COUNTIFS( $B$2:$B$786, B269, $C$2:$C$786, C269, $D$2:$D$786, D269, $E$2:$E$786, E269) &gt; 1, "Duplicate", "Unique")</f>
        <v>Unique</v>
      </c>
    </row>
    <row r="270" spans="1:15" ht="26.5" thickBot="1" x14ac:dyDescent="0.4">
      <c r="A270" s="8" t="s">
        <v>62</v>
      </c>
      <c r="B270" s="8" t="s">
        <v>138</v>
      </c>
      <c r="C270" s="8" t="s">
        <v>7</v>
      </c>
      <c r="D270" s="8">
        <v>35</v>
      </c>
      <c r="E270" s="13">
        <v>494</v>
      </c>
      <c r="F270" s="4">
        <v>21.390834250000001</v>
      </c>
      <c r="G270" s="2" t="s">
        <v>139</v>
      </c>
      <c r="H270" s="5">
        <v>406.95</v>
      </c>
      <c r="I270" s="1" t="s">
        <v>8</v>
      </c>
      <c r="J270" s="40"/>
      <c r="N270" s="10" t="str">
        <f>IF(COUNTIFS( $B$2:$B$786, B270, $C$2:$C$786, C270, $D$2:$D$786, D270, $E$2:$E$786, E270) &gt; 1, "Duplicate", "Unique")</f>
        <v>Unique</v>
      </c>
    </row>
    <row r="271" spans="1:15" ht="26.5" thickBot="1" x14ac:dyDescent="0.4">
      <c r="A271" s="8" t="s">
        <v>62</v>
      </c>
      <c r="B271" s="8" t="s">
        <v>13</v>
      </c>
      <c r="C271" s="8" t="s">
        <v>7</v>
      </c>
      <c r="D271" s="8">
        <v>10</v>
      </c>
      <c r="E271" s="8">
        <v>2189</v>
      </c>
      <c r="F271" s="4">
        <v>23.122785310000001</v>
      </c>
      <c r="G271" s="2" t="s">
        <v>91</v>
      </c>
      <c r="H271" s="5">
        <v>1777.9</v>
      </c>
      <c r="I271" s="1" t="s">
        <v>8</v>
      </c>
      <c r="J271" s="40"/>
      <c r="N271" s="10" t="str">
        <f>IF(COUNTIFS( $B$2:$B$786, B271, $C$2:$C$786, C271, $D$2:$D$786, D271, $E$2:$E$786, E271) &gt; 1, "Duplicate", "Unique")</f>
        <v>Unique</v>
      </c>
    </row>
    <row r="272" spans="1:15" ht="39" thickBot="1" x14ac:dyDescent="0.4">
      <c r="A272" s="3">
        <v>46259.532638888886</v>
      </c>
      <c r="B272" s="1" t="s">
        <v>96</v>
      </c>
      <c r="C272" s="1" t="s">
        <v>7</v>
      </c>
      <c r="D272" s="4">
        <v>5</v>
      </c>
      <c r="E272" s="4">
        <v>218</v>
      </c>
      <c r="F272" s="4">
        <v>23.723042</v>
      </c>
      <c r="G272" s="2" t="s">
        <v>97</v>
      </c>
      <c r="H272" s="5">
        <v>176.2</v>
      </c>
      <c r="I272" s="1" t="s">
        <v>8</v>
      </c>
      <c r="J272" s="40" t="s">
        <v>118</v>
      </c>
      <c r="K272" s="18" t="s">
        <v>163</v>
      </c>
      <c r="L272" s="18">
        <v>840</v>
      </c>
      <c r="M272" s="18">
        <f>ABS((D272*E272)-L272)</f>
        <v>250</v>
      </c>
      <c r="N272" s="10" t="str">
        <f>IF(COUNTIFS( $B$2:$B$786, B272, $C$2:$C$786, C272, $D$2:$D$786, D272, $E$2:$E$786, E272) &gt; 1, "Duplicate", "Unique")</f>
        <v>Unique</v>
      </c>
    </row>
    <row r="273" spans="1:15" ht="26.5" thickBot="1" x14ac:dyDescent="0.4">
      <c r="A273" s="8" t="s">
        <v>62</v>
      </c>
      <c r="B273" s="8" t="s">
        <v>13</v>
      </c>
      <c r="C273" s="8" t="s">
        <v>7</v>
      </c>
      <c r="D273" s="8">
        <v>20</v>
      </c>
      <c r="E273" s="8">
        <v>2310</v>
      </c>
      <c r="F273" s="4">
        <v>29.928567409999999</v>
      </c>
      <c r="G273" s="2" t="s">
        <v>91</v>
      </c>
      <c r="H273" s="5">
        <v>1777.9</v>
      </c>
      <c r="I273" s="1" t="s">
        <v>8</v>
      </c>
      <c r="J273" s="40"/>
      <c r="N273" s="10" t="str">
        <f>IF(COUNTIFS( $B$2:$B$786, B273, $C$2:$C$786, C273, $D$2:$D$786, D273, $E$2:$E$786, E273) &gt; 1, "Duplicate", "Unique")</f>
        <v>Unique</v>
      </c>
    </row>
    <row r="274" spans="1:15" ht="26.5" thickBot="1" x14ac:dyDescent="0.4">
      <c r="A274" s="8" t="s">
        <v>62</v>
      </c>
      <c r="B274" s="8" t="s">
        <v>13</v>
      </c>
      <c r="C274" s="8" t="s">
        <v>7</v>
      </c>
      <c r="D274" s="8">
        <v>1</v>
      </c>
      <c r="E274" s="8">
        <v>2494</v>
      </c>
      <c r="F274" s="4">
        <v>40.277855899999999</v>
      </c>
      <c r="G274" s="2" t="s">
        <v>91</v>
      </c>
      <c r="H274" s="5">
        <v>1777.9</v>
      </c>
      <c r="I274" s="1" t="s">
        <v>8</v>
      </c>
      <c r="J274" s="40"/>
      <c r="N274" s="10" t="str">
        <f>IF(COUNTIFS( $B$2:$B$786, B274, $C$2:$C$786, C274, $D$2:$D$786, D274, $E$2:$E$786, E274) &gt; 1, "Duplicate", "Unique")</f>
        <v>Unique</v>
      </c>
    </row>
    <row r="275" spans="1:15" ht="26.5" thickBot="1" x14ac:dyDescent="0.4">
      <c r="A275" s="11">
        <v>46251.506249999999</v>
      </c>
      <c r="B275" s="8" t="s">
        <v>13</v>
      </c>
      <c r="C275" s="8" t="s">
        <v>7</v>
      </c>
      <c r="D275" s="8">
        <v>3</v>
      </c>
      <c r="E275" s="8">
        <v>2494</v>
      </c>
      <c r="F275" s="4">
        <v>40.277855899999999</v>
      </c>
      <c r="G275" s="2" t="s">
        <v>91</v>
      </c>
      <c r="H275" s="5">
        <v>1777.9</v>
      </c>
      <c r="I275" s="1" t="s">
        <v>8</v>
      </c>
      <c r="J275" s="40"/>
      <c r="N275" s="10" t="str">
        <f>IF(COUNTIFS( $B$2:$B$786, B275, $C$2:$C$786, C275, $D$2:$D$786, D275, $E$2:$E$786, E275) &gt; 1, "Duplicate", "Unique")</f>
        <v>Unique</v>
      </c>
      <c r="O275" s="35"/>
    </row>
    <row r="276" spans="1:15" ht="26.5" thickBot="1" x14ac:dyDescent="0.4">
      <c r="A276" s="8" t="s">
        <v>62</v>
      </c>
      <c r="B276" s="8" t="s">
        <v>141</v>
      </c>
      <c r="C276" s="8" t="s">
        <v>7</v>
      </c>
      <c r="D276" s="8">
        <v>23</v>
      </c>
      <c r="E276" s="12">
        <v>890</v>
      </c>
      <c r="F276" s="6" t="e">
        <v>#N/A</v>
      </c>
      <c r="G276" s="2" t="s">
        <v>142</v>
      </c>
      <c r="H276" s="7" t="e">
        <v>#N/A</v>
      </c>
      <c r="I276" s="1" t="s">
        <v>8</v>
      </c>
      <c r="J276" s="40"/>
      <c r="N276" s="10" t="str">
        <f>IF(COUNTIFS( $B$2:$B$786, B276, $C$2:$C$786, C276, $D$2:$D$786, D276, $E$2:$E$786, E276) &gt; 1, "Duplicate", "Unique")</f>
        <v>Unique</v>
      </c>
    </row>
    <row r="277" spans="1:15" s="35" customFormat="1" x14ac:dyDescent="0.35">
      <c r="A277" s="51">
        <v>46273.505925925929</v>
      </c>
      <c r="B277" s="35" t="s">
        <v>6</v>
      </c>
      <c r="C277" s="35" t="s">
        <v>7</v>
      </c>
      <c r="D277" s="35">
        <v>10</v>
      </c>
      <c r="E277" s="35">
        <v>291</v>
      </c>
      <c r="J277" s="33" t="s">
        <v>118</v>
      </c>
      <c r="K277" s="33" t="s">
        <v>274</v>
      </c>
      <c r="L277" s="33">
        <v>2657</v>
      </c>
      <c r="M277" s="33">
        <f>ABS((D277*E277)-L277)</f>
        <v>253</v>
      </c>
      <c r="N277" s="35" t="str">
        <f>IF(COUNTIFS( $B$2:$B$786, B277, $C$2:$C$786, C277, $D$2:$D$786, D277, $E$2:$E$786, E277) &gt; 1, "Duplicate", "Unique")</f>
        <v>Unique</v>
      </c>
    </row>
    <row r="278" spans="1:15" x14ac:dyDescent="0.35">
      <c r="A278" s="50">
        <v>46273.375601851854</v>
      </c>
      <c r="B278" s="10" t="s">
        <v>11</v>
      </c>
      <c r="C278" s="10" t="s">
        <v>7</v>
      </c>
      <c r="D278" s="10">
        <v>20</v>
      </c>
      <c r="E278" s="10">
        <v>296</v>
      </c>
      <c r="J278" s="18" t="s">
        <v>118</v>
      </c>
      <c r="K278" s="18" t="s">
        <v>275</v>
      </c>
      <c r="L278" s="18">
        <v>5620</v>
      </c>
      <c r="M278" s="33">
        <f t="shared" ref="M278:M283" si="4">ABS((D278*E278)-L278)</f>
        <v>300</v>
      </c>
      <c r="N278" s="10" t="str">
        <f>IF(COUNTIFS( $B$2:$B$786, B278, $C$2:$C$786, C278, $D$2:$D$786, D278, $E$2:$E$786, E278) &gt; 1, "Duplicate", "Unique")</f>
        <v>Unique</v>
      </c>
    </row>
    <row r="279" spans="1:15" x14ac:dyDescent="0.35">
      <c r="A279" s="50">
        <v>46273.375601851854</v>
      </c>
      <c r="B279" s="10" t="s">
        <v>13</v>
      </c>
      <c r="C279" s="10" t="s">
        <v>7</v>
      </c>
      <c r="D279" s="10">
        <v>5</v>
      </c>
      <c r="E279" s="10">
        <v>1844</v>
      </c>
      <c r="J279" s="18" t="s">
        <v>118</v>
      </c>
      <c r="K279" s="18" t="s">
        <v>276</v>
      </c>
      <c r="L279" s="18">
        <v>8570</v>
      </c>
      <c r="M279" s="33">
        <f t="shared" si="4"/>
        <v>650</v>
      </c>
      <c r="N279" s="10" t="str">
        <f>IF(COUNTIFS( $B$2:$B$786, B279, $C$2:$C$786, C279, $D$2:$D$786, D279, $E$2:$E$786, E279) &gt; 1, "Duplicate", "Unique")</f>
        <v>Unique</v>
      </c>
    </row>
    <row r="280" spans="1:15" x14ac:dyDescent="0.35">
      <c r="A280" s="50">
        <v>46273.375601851854</v>
      </c>
      <c r="B280" s="10" t="s">
        <v>9</v>
      </c>
      <c r="C280" s="10" t="s">
        <v>7</v>
      </c>
      <c r="D280" s="10">
        <v>90</v>
      </c>
      <c r="E280" s="10">
        <v>297</v>
      </c>
      <c r="J280" s="18" t="s">
        <v>117</v>
      </c>
      <c r="K280" s="18" t="s">
        <v>277</v>
      </c>
      <c r="L280" s="18">
        <v>26109.000000000004</v>
      </c>
      <c r="M280" s="33">
        <f t="shared" si="4"/>
        <v>620.99999999999636</v>
      </c>
      <c r="N280" s="10" t="str">
        <f>IF(COUNTIFS( $B$2:$B$786, B280, $C$2:$C$786, C280, $D$2:$D$786, D280, $E$2:$E$786, E280) &gt; 1, "Duplicate", "Unique")</f>
        <v>Unique</v>
      </c>
    </row>
    <row r="281" spans="1:15" x14ac:dyDescent="0.35">
      <c r="A281" s="50">
        <v>46273.385509259257</v>
      </c>
      <c r="B281" s="10" t="s">
        <v>25</v>
      </c>
      <c r="C281" s="10" t="s">
        <v>7</v>
      </c>
      <c r="D281" s="10">
        <v>500</v>
      </c>
      <c r="E281" s="10">
        <v>34.659999999999997</v>
      </c>
      <c r="J281" s="18" t="s">
        <v>118</v>
      </c>
      <c r="K281" s="18" t="s">
        <v>278</v>
      </c>
      <c r="L281" s="18">
        <v>16580</v>
      </c>
      <c r="M281" s="33">
        <f t="shared" si="4"/>
        <v>750</v>
      </c>
      <c r="N281" s="10" t="str">
        <f>IF(COUNTIFS( $B$2:$B$786, B281, $C$2:$C$786, C281, $D$2:$D$786, D281, $E$2:$E$786, E281) &gt; 1, "Duplicate", "Unique")</f>
        <v>Unique</v>
      </c>
    </row>
    <row r="282" spans="1:15" x14ac:dyDescent="0.35">
      <c r="A282" s="50">
        <v>46273.375601851854</v>
      </c>
      <c r="B282" s="10" t="s">
        <v>51</v>
      </c>
      <c r="C282" s="10" t="s">
        <v>7</v>
      </c>
      <c r="D282" s="10">
        <v>20</v>
      </c>
      <c r="E282" s="10">
        <v>937</v>
      </c>
      <c r="J282" s="18" t="s">
        <v>156</v>
      </c>
      <c r="K282" s="18" t="s">
        <v>279</v>
      </c>
      <c r="L282" s="18">
        <v>18340</v>
      </c>
      <c r="M282" s="33">
        <f t="shared" si="4"/>
        <v>400</v>
      </c>
      <c r="N282" s="10" t="str">
        <f>IF(COUNTIFS( $B$2:$B$786, B282, $C$2:$C$786, C282, $D$2:$D$786, D282, $E$2:$E$786, E282) &gt; 1, "Duplicate", "Unique")</f>
        <v>Unique</v>
      </c>
    </row>
    <row r="283" spans="1:15" x14ac:dyDescent="0.35">
      <c r="A283" s="50">
        <v>46273.375613425924</v>
      </c>
      <c r="B283" s="10" t="s">
        <v>49</v>
      </c>
      <c r="C283" s="10" t="s">
        <v>7</v>
      </c>
      <c r="D283" s="10">
        <v>5</v>
      </c>
      <c r="E283" s="10">
        <v>4052</v>
      </c>
      <c r="J283" s="18" t="s">
        <v>117</v>
      </c>
      <c r="K283" s="18" t="s">
        <v>280</v>
      </c>
      <c r="L283" s="18">
        <v>19760</v>
      </c>
      <c r="M283" s="33">
        <f t="shared" si="4"/>
        <v>500</v>
      </c>
      <c r="N283" s="10" t="str">
        <f>IF(COUNTIFS( $B$2:$B$786, B283, $C$2:$C$786, C283, $D$2:$D$786, D283, $E$2:$E$786, E283) &gt; 1, "Duplicate", "Unique")</f>
        <v>Unique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2026-09-08T15:31:42Z</dcterms:modified>
</cp:coreProperties>
</file>