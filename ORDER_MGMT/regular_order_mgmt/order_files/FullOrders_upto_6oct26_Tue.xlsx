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16" r:id="rId3"/>
  </sheets>
  <definedNames>
    <definedName name="_xlnm._FilterDatabase" localSheetId="0" hidden="1">Sheet1!$A$1:$P$301</definedName>
    <definedName name="_xlnm._FilterDatabase" localSheetId="2" hidden="1">'Sheet1 (2)'!$A$1:$P$301</definedName>
    <definedName name="_xlnm._FilterDatabase" localSheetId="1" hidden="1">Sheet2!$A$1:$N$1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1" i="16" l="1"/>
  <c r="L301" i="16"/>
  <c r="M301" i="16" s="1"/>
  <c r="N300" i="16"/>
  <c r="N299" i="16"/>
  <c r="N298" i="16"/>
  <c r="N297" i="16"/>
  <c r="N296" i="16"/>
  <c r="M296" i="16"/>
  <c r="N295" i="16"/>
  <c r="N294" i="16"/>
  <c r="N293" i="16"/>
  <c r="N292" i="16"/>
  <c r="M292" i="16"/>
  <c r="N291" i="16"/>
  <c r="N290" i="16"/>
  <c r="N289" i="16"/>
  <c r="M289" i="16"/>
  <c r="N288" i="16"/>
  <c r="N287" i="16"/>
  <c r="N286" i="16"/>
  <c r="M286" i="16"/>
  <c r="N285" i="16"/>
  <c r="M285" i="16"/>
  <c r="N284" i="16"/>
  <c r="N283" i="16"/>
  <c r="N282" i="16"/>
  <c r="N281" i="16"/>
  <c r="N280" i="16"/>
  <c r="M280" i="16"/>
  <c r="N279" i="16"/>
  <c r="M279" i="16"/>
  <c r="N278" i="16"/>
  <c r="N277" i="16"/>
  <c r="M277" i="16"/>
  <c r="N276" i="16"/>
  <c r="M276" i="16"/>
  <c r="N275" i="16"/>
  <c r="N274" i="16"/>
  <c r="N273" i="16"/>
  <c r="N272" i="16"/>
  <c r="N271" i="16"/>
  <c r="N270" i="16"/>
  <c r="N269" i="16"/>
  <c r="M269" i="16"/>
  <c r="N268" i="16"/>
  <c r="N267" i="16"/>
  <c r="M267" i="16"/>
  <c r="N266" i="16"/>
  <c r="N265" i="16"/>
  <c r="M265" i="16"/>
  <c r="N264" i="16"/>
  <c r="N263" i="16"/>
  <c r="M263" i="16"/>
  <c r="N262" i="16"/>
  <c r="M262" i="16"/>
  <c r="N261" i="16"/>
  <c r="M261" i="16"/>
  <c r="N260" i="16"/>
  <c r="M260" i="16"/>
  <c r="N259" i="16"/>
  <c r="M259" i="16"/>
  <c r="N258" i="16"/>
  <c r="N257" i="16"/>
  <c r="N256" i="16"/>
  <c r="N255" i="16"/>
  <c r="M255" i="16"/>
  <c r="N254" i="16"/>
  <c r="M254" i="16"/>
  <c r="N253" i="16"/>
  <c r="N252" i="16"/>
  <c r="M252" i="16"/>
  <c r="N251" i="16"/>
  <c r="N250" i="16"/>
  <c r="M250" i="16"/>
  <c r="N249" i="16"/>
  <c r="M249" i="16"/>
  <c r="N248" i="16"/>
  <c r="M248" i="16"/>
  <c r="N247" i="16"/>
  <c r="M247" i="16"/>
  <c r="N246" i="16"/>
  <c r="N245" i="16"/>
  <c r="M245" i="16"/>
  <c r="N244" i="16"/>
  <c r="M244" i="16"/>
  <c r="N243" i="16"/>
  <c r="N242" i="16"/>
  <c r="N241" i="16"/>
  <c r="M241" i="16"/>
  <c r="N240" i="16"/>
  <c r="N239" i="16"/>
  <c r="N238" i="16"/>
  <c r="N237" i="16"/>
  <c r="M237" i="16"/>
  <c r="N236" i="16"/>
  <c r="N235" i="16"/>
  <c r="M235" i="16"/>
  <c r="N234" i="16"/>
  <c r="M234" i="16"/>
  <c r="N233" i="16"/>
  <c r="N232" i="16"/>
  <c r="N231" i="16"/>
  <c r="N230" i="16"/>
  <c r="M230" i="16"/>
  <c r="N229" i="16"/>
  <c r="M229" i="16"/>
  <c r="N228" i="16"/>
  <c r="N227" i="16"/>
  <c r="M227" i="16"/>
  <c r="N226" i="16"/>
  <c r="M226" i="16"/>
  <c r="N225" i="16"/>
  <c r="M225" i="16"/>
  <c r="N224" i="16"/>
  <c r="N223" i="16"/>
  <c r="N222" i="16"/>
  <c r="N221" i="16"/>
  <c r="N220" i="16"/>
  <c r="M220" i="16"/>
  <c r="N219" i="16"/>
  <c r="M219" i="16"/>
  <c r="N218" i="16"/>
  <c r="M218" i="16"/>
  <c r="N217" i="16"/>
  <c r="N216" i="16"/>
  <c r="N215" i="16"/>
  <c r="M215" i="16"/>
  <c r="N214" i="16"/>
  <c r="N213" i="16"/>
  <c r="N212" i="16"/>
  <c r="N211" i="16"/>
  <c r="M211" i="16"/>
  <c r="N210" i="16"/>
  <c r="M210" i="16"/>
  <c r="N209" i="16"/>
  <c r="M209" i="16"/>
  <c r="N208" i="16"/>
  <c r="M208" i="16"/>
  <c r="N207" i="16"/>
  <c r="M207" i="16"/>
  <c r="N206" i="16"/>
  <c r="N205" i="16"/>
  <c r="M205" i="16"/>
  <c r="N204" i="16"/>
  <c r="N203" i="16"/>
  <c r="M203" i="16"/>
  <c r="N202" i="16"/>
  <c r="M202" i="16"/>
  <c r="N201" i="16"/>
  <c r="M201" i="16"/>
  <c r="N200" i="16"/>
  <c r="N199" i="16"/>
  <c r="M199" i="16"/>
  <c r="N198" i="16"/>
  <c r="N197" i="16"/>
  <c r="N196" i="16"/>
  <c r="M196" i="16"/>
  <c r="N195" i="16"/>
  <c r="N194" i="16"/>
  <c r="M194" i="16"/>
  <c r="N193" i="16"/>
  <c r="M193" i="16"/>
  <c r="N192" i="16"/>
  <c r="M192" i="16"/>
  <c r="N191" i="16"/>
  <c r="N190" i="16"/>
  <c r="M190" i="16"/>
  <c r="N189" i="16"/>
  <c r="M189" i="16"/>
  <c r="N188" i="16"/>
  <c r="N187" i="16"/>
  <c r="M187" i="16"/>
  <c r="N186" i="16"/>
  <c r="M186" i="16"/>
  <c r="N185" i="16"/>
  <c r="M185" i="16"/>
  <c r="N184" i="16"/>
  <c r="N183" i="16"/>
  <c r="M183" i="16"/>
  <c r="N182" i="16"/>
  <c r="N181" i="16"/>
  <c r="N180" i="16"/>
  <c r="M180" i="16"/>
  <c r="N179" i="16"/>
  <c r="M179" i="16"/>
  <c r="N178" i="16"/>
  <c r="N177" i="16"/>
  <c r="N176" i="16"/>
  <c r="N175" i="16"/>
  <c r="N174" i="16"/>
  <c r="N173" i="16"/>
  <c r="N172" i="16"/>
  <c r="M172" i="16"/>
  <c r="N171" i="16"/>
  <c r="N170" i="16"/>
  <c r="M170" i="16"/>
  <c r="N169" i="16"/>
  <c r="N168" i="16"/>
  <c r="N167" i="16"/>
  <c r="M167" i="16"/>
  <c r="N166" i="16"/>
  <c r="M166" i="16"/>
  <c r="N165" i="16"/>
  <c r="M165" i="16"/>
  <c r="N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N149" i="16"/>
  <c r="M149" i="16"/>
  <c r="N148" i="16"/>
  <c r="M148" i="16"/>
  <c r="N147" i="16"/>
  <c r="N146" i="16"/>
  <c r="N145" i="16"/>
  <c r="M145" i="16"/>
  <c r="N144" i="16"/>
  <c r="N143" i="16"/>
  <c r="M143" i="16"/>
  <c r="N142" i="16"/>
  <c r="M142" i="16"/>
  <c r="N141" i="16"/>
  <c r="M141" i="16"/>
  <c r="N140" i="16"/>
  <c r="M140" i="16"/>
  <c r="N139" i="16"/>
  <c r="N138" i="16"/>
  <c r="M138" i="16"/>
  <c r="N137" i="16"/>
  <c r="M137" i="16"/>
  <c r="N136" i="16"/>
  <c r="N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N119" i="16"/>
  <c r="M119" i="16"/>
  <c r="N118" i="16"/>
  <c r="M118" i="16"/>
  <c r="N117" i="16"/>
  <c r="M117" i="16"/>
  <c r="N116" i="16"/>
  <c r="M116" i="16"/>
  <c r="N115" i="16"/>
  <c r="N114" i="16"/>
  <c r="M114" i="16"/>
  <c r="N113" i="16"/>
  <c r="M113" i="16"/>
  <c r="N112" i="16"/>
  <c r="N111" i="16"/>
  <c r="M111" i="16"/>
  <c r="N110" i="16"/>
  <c r="N109" i="16"/>
  <c r="M109" i="16"/>
  <c r="N108" i="16"/>
  <c r="M108" i="16"/>
  <c r="N107" i="16"/>
  <c r="M107" i="16"/>
  <c r="N106" i="16"/>
  <c r="M106" i="16"/>
  <c r="N105" i="16"/>
  <c r="M105" i="16"/>
  <c r="N104" i="16"/>
  <c r="N103" i="16"/>
  <c r="M103" i="16"/>
  <c r="N102" i="16"/>
  <c r="M102" i="16"/>
  <c r="N101" i="16"/>
  <c r="N100" i="16"/>
  <c r="M100" i="16"/>
  <c r="N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L88" i="16"/>
  <c r="N87" i="16"/>
  <c r="M87" i="16"/>
  <c r="N86" i="16"/>
  <c r="M86" i="16"/>
  <c r="N85" i="16"/>
  <c r="M85" i="16"/>
  <c r="N84" i="16"/>
  <c r="M84" i="16"/>
  <c r="N83" i="16"/>
  <c r="N82" i="16"/>
  <c r="M82" i="16"/>
  <c r="N81" i="16"/>
  <c r="L81" i="16"/>
  <c r="M81" i="16" s="1"/>
  <c r="N80" i="16"/>
  <c r="M80" i="16"/>
  <c r="L80" i="16"/>
  <c r="N79" i="16"/>
  <c r="M79" i="16"/>
  <c r="N78" i="16"/>
  <c r="M78" i="16"/>
  <c r="N77" i="16"/>
  <c r="N76" i="16"/>
  <c r="M76" i="16"/>
  <c r="N75" i="16"/>
  <c r="N74" i="16"/>
  <c r="M74" i="16"/>
  <c r="N73" i="16"/>
  <c r="M73" i="16"/>
  <c r="N72" i="16"/>
  <c r="N71" i="16"/>
  <c r="M71" i="16"/>
  <c r="N70" i="16"/>
  <c r="M70" i="16"/>
  <c r="N69" i="16"/>
  <c r="M69" i="16"/>
  <c r="L69" i="16"/>
  <c r="N68" i="16"/>
  <c r="N67" i="16"/>
  <c r="M67" i="16"/>
  <c r="N66" i="16"/>
  <c r="M66" i="16"/>
  <c r="N65" i="16"/>
  <c r="M65" i="16"/>
  <c r="N64" i="16"/>
  <c r="M64" i="16"/>
  <c r="N63" i="16"/>
  <c r="M63" i="16"/>
  <c r="N62" i="16"/>
  <c r="N61" i="16"/>
  <c r="M61" i="16"/>
  <c r="N60" i="16"/>
  <c r="N59" i="16"/>
  <c r="N58" i="16"/>
  <c r="M58" i="16"/>
  <c r="N57" i="16"/>
  <c r="N56" i="16"/>
  <c r="M56" i="16"/>
  <c r="N55" i="16"/>
  <c r="M55" i="16"/>
  <c r="N54" i="16"/>
  <c r="N53" i="16"/>
  <c r="N52" i="16"/>
  <c r="L52" i="16"/>
  <c r="M52" i="16" s="1"/>
  <c r="N51" i="16"/>
  <c r="N50" i="16"/>
  <c r="M50" i="16"/>
  <c r="N49" i="16"/>
  <c r="N48" i="16"/>
  <c r="N47" i="16"/>
  <c r="N46" i="16"/>
  <c r="N45" i="16"/>
  <c r="N44" i="16"/>
  <c r="N43" i="16"/>
  <c r="N42" i="16"/>
  <c r="N41" i="16"/>
  <c r="M41" i="16"/>
  <c r="N40" i="16"/>
  <c r="M40" i="16"/>
  <c r="N39" i="16"/>
  <c r="N38" i="16"/>
  <c r="M38" i="16"/>
  <c r="N37" i="16"/>
  <c r="N36" i="16"/>
  <c r="N35" i="16"/>
  <c r="M35" i="16"/>
  <c r="L35" i="16"/>
  <c r="N34" i="16"/>
  <c r="N33" i="16"/>
  <c r="M33" i="16"/>
  <c r="L33" i="16"/>
  <c r="N32" i="16"/>
  <c r="N31" i="16"/>
  <c r="N30" i="16"/>
  <c r="N29" i="16"/>
  <c r="N28" i="16"/>
  <c r="L28" i="16"/>
  <c r="M28" i="16" s="1"/>
  <c r="N27" i="16"/>
  <c r="N26" i="16"/>
  <c r="N25" i="16"/>
  <c r="N24" i="16"/>
  <c r="N23" i="16"/>
  <c r="N22" i="16"/>
  <c r="M22" i="16"/>
  <c r="N21" i="16"/>
  <c r="N20" i="16"/>
  <c r="M20" i="16"/>
  <c r="N19" i="16"/>
  <c r="N18" i="16"/>
  <c r="N17" i="16"/>
  <c r="N16" i="16"/>
  <c r="N15" i="16"/>
  <c r="M15" i="16"/>
  <c r="N14" i="16"/>
  <c r="M14" i="16"/>
  <c r="N13" i="16"/>
  <c r="N12" i="16"/>
  <c r="N11" i="16"/>
  <c r="N10" i="16"/>
  <c r="N9" i="16"/>
  <c r="N8" i="16"/>
  <c r="N7" i="16"/>
  <c r="N6" i="16"/>
  <c r="N5" i="16"/>
  <c r="N4" i="16"/>
  <c r="M4" i="16"/>
  <c r="N3" i="16"/>
  <c r="N2" i="16"/>
  <c r="M2" i="16"/>
  <c r="L88" i="1"/>
  <c r="M88" i="1" s="1"/>
  <c r="L52" i="1"/>
  <c r="L301" i="1"/>
  <c r="N301" i="1"/>
  <c r="M301" i="1"/>
  <c r="L28" i="1" l="1"/>
  <c r="M126" i="1"/>
  <c r="N126" i="1"/>
  <c r="M90" i="1"/>
  <c r="N90" i="1"/>
  <c r="M58" i="1"/>
  <c r="N58" i="1"/>
  <c r="M187" i="1"/>
  <c r="N187" i="1"/>
  <c r="N89" i="1"/>
  <c r="M89" i="1"/>
  <c r="K6" i="5"/>
  <c r="L6" i="5"/>
  <c r="N20" i="1"/>
  <c r="M20" i="1"/>
  <c r="M96" i="1"/>
  <c r="N96" i="1"/>
  <c r="M277" i="1"/>
  <c r="N277" i="1"/>
  <c r="N167" i="1"/>
  <c r="M167" i="1"/>
  <c r="N69" i="1"/>
  <c r="L69" i="1"/>
  <c r="M69" i="1" s="1"/>
  <c r="L80" i="1"/>
  <c r="M80" i="1" s="1"/>
  <c r="M22" i="1"/>
  <c r="N22" i="1"/>
  <c r="M70" i="1"/>
  <c r="N70" i="1"/>
  <c r="M64" i="1"/>
  <c r="N64" i="1"/>
  <c r="N88" i="1"/>
  <c r="M79" i="1"/>
  <c r="N79" i="1"/>
  <c r="M61" i="1"/>
  <c r="N61" i="1"/>
  <c r="N80" i="1"/>
  <c r="M55" i="1"/>
  <c r="N55" i="1"/>
  <c r="N67" i="1"/>
  <c r="M67" i="1"/>
  <c r="M125" i="1"/>
  <c r="N125" i="1"/>
  <c r="M170" i="1"/>
  <c r="N170" i="1"/>
  <c r="M63" i="1"/>
  <c r="N63" i="1"/>
  <c r="N296" i="1"/>
  <c r="M296" i="1"/>
  <c r="M84" i="1" l="1"/>
  <c r="N84" i="1"/>
  <c r="M15" i="1"/>
  <c r="N15" i="1"/>
  <c r="N94" i="1"/>
  <c r="M94" i="1"/>
  <c r="N65" i="1"/>
  <c r="M65" i="1"/>
  <c r="N109" i="1"/>
  <c r="M109" i="1"/>
  <c r="N81" i="1" l="1"/>
  <c r="L81" i="1"/>
  <c r="M81" i="1" s="1"/>
  <c r="N33" i="1"/>
  <c r="L33" i="1"/>
  <c r="M33" i="1" s="1"/>
  <c r="N93" i="1"/>
  <c r="M93" i="1"/>
  <c r="N8" i="1"/>
  <c r="N11" i="1"/>
  <c r="N41" i="1"/>
  <c r="M41" i="1"/>
  <c r="N4" i="1"/>
  <c r="M4" i="1"/>
  <c r="N148" i="1"/>
  <c r="N2" i="1"/>
  <c r="N149" i="1"/>
  <c r="N118" i="1"/>
  <c r="N73" i="1"/>
  <c r="N141" i="1"/>
  <c r="M2" i="1"/>
  <c r="M149" i="1"/>
  <c r="M118" i="1"/>
  <c r="M73" i="1"/>
  <c r="M141" i="1"/>
  <c r="M148" i="1"/>
  <c r="N82" i="1"/>
  <c r="M82" i="1"/>
  <c r="N117" i="1"/>
  <c r="N131" i="1"/>
  <c r="N105" i="1"/>
  <c r="N166" i="1"/>
  <c r="N28" i="1"/>
  <c r="M131" i="1"/>
  <c r="M105" i="1"/>
  <c r="M166" i="1"/>
  <c r="M28" i="1"/>
  <c r="M117" i="1"/>
  <c r="N165" i="1"/>
  <c r="N155" i="1"/>
  <c r="N203" i="1"/>
  <c r="N172" i="1"/>
  <c r="N190" i="1"/>
  <c r="N205" i="1"/>
  <c r="N234" i="1"/>
  <c r="N151" i="1"/>
  <c r="N219" i="1"/>
  <c r="M155" i="1"/>
  <c r="M203" i="1"/>
  <c r="M172" i="1"/>
  <c r="M190" i="1"/>
  <c r="M205" i="1"/>
  <c r="M234" i="1"/>
  <c r="M151" i="1"/>
  <c r="M219" i="1"/>
  <c r="M165" i="1"/>
  <c r="N295" i="1"/>
  <c r="N294" i="1"/>
  <c r="N245" i="1"/>
  <c r="M245" i="1"/>
  <c r="N226" i="1"/>
  <c r="M226" i="1"/>
  <c r="M76" i="1"/>
  <c r="N76" i="1"/>
  <c r="N103" i="1"/>
  <c r="N98" i="1"/>
  <c r="N263" i="1"/>
  <c r="M98" i="1"/>
  <c r="M263" i="1"/>
  <c r="M103" i="1"/>
  <c r="N186" i="1"/>
  <c r="N78" i="1"/>
  <c r="N229" i="1"/>
  <c r="N137" i="1"/>
  <c r="N86" i="1"/>
  <c r="N107" i="1"/>
  <c r="M78" i="1"/>
  <c r="M229" i="1"/>
  <c r="M137" i="1"/>
  <c r="M86" i="1"/>
  <c r="M107" i="1"/>
  <c r="M186" i="1"/>
  <c r="N132" i="1"/>
  <c r="M132" i="1"/>
  <c r="M97" i="1"/>
  <c r="N97" i="1"/>
  <c r="M220" i="1" l="1"/>
  <c r="M123" i="1"/>
  <c r="M56" i="1"/>
  <c r="M111" i="1"/>
  <c r="M85" i="1"/>
  <c r="M130" i="1"/>
  <c r="N130" i="1"/>
  <c r="N220" i="1"/>
  <c r="N123" i="1"/>
  <c r="N56" i="1"/>
  <c r="N111" i="1"/>
  <c r="N85" i="1"/>
  <c r="M158" i="1"/>
  <c r="M159" i="1"/>
  <c r="M241" i="1"/>
  <c r="M92" i="1"/>
  <c r="M106" i="1"/>
  <c r="M202" i="1"/>
  <c r="N158" i="1"/>
  <c r="N159" i="1"/>
  <c r="N241" i="1"/>
  <c r="N92" i="1"/>
  <c r="N106" i="1"/>
  <c r="N202" i="1"/>
  <c r="L35" i="1"/>
  <c r="M35" i="1" s="1"/>
  <c r="N35" i="1"/>
  <c r="N162" i="1"/>
  <c r="N143" i="1"/>
  <c r="N102" i="1"/>
  <c r="N189" i="1"/>
  <c r="M162" i="1"/>
  <c r="M143" i="1"/>
  <c r="M102" i="1"/>
  <c r="M189" i="1"/>
  <c r="N259" i="1"/>
  <c r="N71" i="1"/>
  <c r="N50" i="1"/>
  <c r="M71" i="1"/>
  <c r="M50" i="1"/>
  <c r="M259" i="1"/>
  <c r="M40" i="1"/>
  <c r="N40" i="1"/>
  <c r="M116" i="1"/>
  <c r="N116" i="1"/>
  <c r="M87" i="1"/>
  <c r="N87" i="1"/>
  <c r="M133" i="1"/>
  <c r="N133" i="1"/>
  <c r="M100" i="1"/>
  <c r="N100" i="1"/>
  <c r="M199" i="1"/>
  <c r="N199" i="1"/>
  <c r="M74" i="1"/>
  <c r="N74" i="1"/>
  <c r="M156" i="1"/>
  <c r="N156" i="1"/>
  <c r="M249" i="1"/>
  <c r="N249" i="1"/>
  <c r="M91" i="1"/>
  <c r="N91" i="1"/>
  <c r="M113" i="1"/>
  <c r="N113" i="1"/>
  <c r="M157" i="1"/>
  <c r="N157" i="1"/>
  <c r="N250" i="1"/>
  <c r="N14" i="1"/>
  <c r="N124" i="1"/>
  <c r="N145" i="1"/>
  <c r="N128" i="1"/>
  <c r="N280" i="1"/>
  <c r="N121" i="1"/>
  <c r="N218" i="1"/>
  <c r="N248" i="1"/>
  <c r="N119" i="1"/>
  <c r="N180" i="1"/>
  <c r="M14" i="1"/>
  <c r="M124" i="1"/>
  <c r="M145" i="1"/>
  <c r="M128" i="1"/>
  <c r="M280" i="1"/>
  <c r="M121" i="1"/>
  <c r="M218" i="1"/>
  <c r="M248" i="1"/>
  <c r="M119" i="1"/>
  <c r="M180" i="1"/>
  <c r="M250" i="1"/>
  <c r="N216" i="1"/>
  <c r="M215" i="1"/>
  <c r="M279" i="1"/>
  <c r="M140" i="1"/>
  <c r="M127" i="1"/>
  <c r="M261" i="1"/>
  <c r="M237" i="1"/>
  <c r="M285" i="1"/>
  <c r="M255" i="1"/>
  <c r="M227" i="1"/>
  <c r="M129" i="1"/>
  <c r="M194" i="1"/>
  <c r="M108" i="1"/>
  <c r="M265" i="1"/>
  <c r="M208" i="1"/>
  <c r="N208" i="1"/>
  <c r="N215" i="1"/>
  <c r="N279" i="1"/>
  <c r="N140" i="1"/>
  <c r="N127" i="1"/>
  <c r="N261" i="1"/>
  <c r="N237" i="1"/>
  <c r="N285" i="1"/>
  <c r="N255" i="1"/>
  <c r="N227" i="1"/>
  <c r="N129" i="1"/>
  <c r="N194" i="1"/>
  <c r="N108" i="1"/>
  <c r="N265" i="1"/>
  <c r="K2" i="5"/>
  <c r="L2" i="5"/>
  <c r="N2" i="5"/>
  <c r="K3" i="5"/>
  <c r="L3" i="5"/>
  <c r="N3" i="5"/>
  <c r="K4" i="5"/>
  <c r="L4" i="5"/>
  <c r="N4" i="5"/>
  <c r="K5" i="5"/>
  <c r="L5" i="5"/>
  <c r="N5" i="5"/>
  <c r="M95" i="1"/>
  <c r="M247" i="1"/>
  <c r="M207" i="1"/>
  <c r="M267" i="1"/>
  <c r="M262" i="1"/>
  <c r="M269" i="1"/>
  <c r="M134" i="1"/>
  <c r="N95" i="1"/>
  <c r="N247" i="1"/>
  <c r="N207" i="1"/>
  <c r="N267" i="1"/>
  <c r="N262" i="1"/>
  <c r="N269" i="1"/>
  <c r="N134" i="1"/>
  <c r="N160" i="1"/>
  <c r="N225" i="1"/>
  <c r="N138" i="1"/>
  <c r="N163" i="1"/>
  <c r="N154" i="1"/>
  <c r="N211" i="1"/>
  <c r="N152" i="1"/>
  <c r="N254" i="1"/>
  <c r="N122" i="1"/>
  <c r="N161" i="1"/>
  <c r="N142" i="1"/>
  <c r="N66" i="1"/>
  <c r="M225" i="1"/>
  <c r="M138" i="1"/>
  <c r="M163" i="1"/>
  <c r="M154" i="1"/>
  <c r="M211" i="1"/>
  <c r="M152" i="1"/>
  <c r="M254" i="1"/>
  <c r="M122" i="1"/>
  <c r="M161" i="1"/>
  <c r="M142" i="1"/>
  <c r="M66" i="1"/>
  <c r="M160" i="1"/>
  <c r="M289" i="1" l="1"/>
  <c r="M244" i="1"/>
  <c r="M183" i="1"/>
  <c r="M196" i="1"/>
  <c r="M114" i="1"/>
  <c r="M230" i="1"/>
  <c r="M276" i="1"/>
  <c r="M52" i="1"/>
  <c r="M210" i="1"/>
  <c r="M185" i="1"/>
  <c r="M286" i="1"/>
  <c r="N286" i="1"/>
  <c r="N210" i="1"/>
  <c r="N185" i="1"/>
  <c r="N289" i="1"/>
  <c r="N244" i="1"/>
  <c r="N183" i="1"/>
  <c r="N196" i="1"/>
  <c r="N114" i="1"/>
  <c r="N230" i="1"/>
  <c r="N276" i="1"/>
  <c r="N52" i="1"/>
  <c r="M292" i="1"/>
  <c r="M209" i="1"/>
  <c r="M201" i="1"/>
  <c r="M193" i="1"/>
  <c r="N292" i="1"/>
  <c r="N209" i="1"/>
  <c r="N201" i="1"/>
  <c r="N193" i="1"/>
  <c r="M260" i="1"/>
  <c r="M179" i="1"/>
  <c r="M192" i="1"/>
  <c r="M252" i="1"/>
  <c r="M38" i="1"/>
  <c r="N38" i="1"/>
  <c r="N252" i="1"/>
  <c r="N192" i="1"/>
  <c r="N179" i="1"/>
  <c r="N260" i="1"/>
  <c r="M153" i="1" l="1"/>
  <c r="M235" i="1"/>
  <c r="N153" i="1"/>
  <c r="N235" i="1"/>
  <c r="N272" i="1" l="1"/>
  <c r="N29" i="1"/>
  <c r="N75" i="1"/>
  <c r="N39" i="1"/>
  <c r="N60" i="1"/>
  <c r="N72" i="1"/>
  <c r="N47" i="1"/>
  <c r="N54" i="1"/>
  <c r="N68" i="1"/>
  <c r="N46" i="1"/>
  <c r="N30" i="1"/>
  <c r="N17" i="1"/>
  <c r="N57" i="1"/>
  <c r="N62" i="1"/>
  <c r="N27" i="1"/>
  <c r="N32" i="1"/>
  <c r="N59" i="1"/>
  <c r="N9" i="1"/>
  <c r="N37" i="1"/>
  <c r="N23" i="1"/>
  <c r="N53" i="1"/>
  <c r="N44" i="1"/>
  <c r="N5" i="1"/>
  <c r="N34" i="1"/>
  <c r="N49" i="1"/>
  <c r="N13" i="1"/>
  <c r="N198" i="1"/>
  <c r="N45" i="1"/>
  <c r="N25" i="1"/>
  <c r="N48" i="1"/>
  <c r="N24" i="1"/>
  <c r="N177" i="1"/>
  <c r="N10" i="1"/>
  <c r="N43" i="1"/>
  <c r="N19" i="1"/>
  <c r="N36" i="1"/>
  <c r="N16" i="1"/>
  <c r="N31" i="1"/>
  <c r="N26" i="1"/>
  <c r="N7" i="1"/>
  <c r="N21" i="1"/>
  <c r="N42" i="1"/>
  <c r="N12" i="1"/>
  <c r="N6" i="1"/>
  <c r="N18" i="1"/>
  <c r="N51" i="1"/>
  <c r="N3" i="1"/>
  <c r="N278" i="1"/>
  <c r="N282" i="1"/>
  <c r="N184" i="1"/>
  <c r="N120" i="1"/>
  <c r="N164" i="1"/>
  <c r="N144" i="1"/>
  <c r="N135" i="1"/>
  <c r="N77" i="1"/>
  <c r="N110" i="1"/>
  <c r="N206" i="1"/>
  <c r="N168" i="1"/>
  <c r="N176" i="1"/>
  <c r="N224" i="1"/>
  <c r="N169" i="1"/>
  <c r="N173" i="1"/>
  <c r="N147" i="1"/>
  <c r="N182" i="1"/>
  <c r="N264" i="1"/>
  <c r="N178" i="1"/>
  <c r="N233" i="1"/>
  <c r="N112" i="1"/>
  <c r="N217" i="1"/>
  <c r="N150" i="1"/>
  <c r="N238" i="1"/>
  <c r="N236" i="1"/>
  <c r="N239" i="1"/>
  <c r="N290" i="1"/>
  <c r="N200" i="1"/>
  <c r="N228" i="1"/>
  <c r="N253" i="1"/>
  <c r="N146" i="1"/>
  <c r="N99" i="1"/>
  <c r="N213" i="1"/>
  <c r="N214" i="1"/>
  <c r="N204" i="1"/>
  <c r="N188" i="1"/>
  <c r="N195" i="1"/>
  <c r="N83" i="1"/>
  <c r="N222" i="1"/>
  <c r="N221" i="1"/>
  <c r="N174" i="1"/>
  <c r="N115" i="1"/>
  <c r="N258" i="1"/>
  <c r="N212" i="1"/>
  <c r="N223" i="1"/>
  <c r="N232" i="1"/>
  <c r="N191" i="1"/>
  <c r="N104" i="1"/>
  <c r="N101" i="1"/>
  <c r="N171" i="1"/>
  <c r="N270" i="1"/>
  <c r="N240" i="1"/>
  <c r="N273" i="1"/>
  <c r="N271" i="1"/>
  <c r="N242" i="1"/>
  <c r="N243" i="1"/>
  <c r="N275" i="1"/>
  <c r="N251" i="1"/>
  <c r="N246" i="1"/>
  <c r="N284" i="1"/>
  <c r="N197" i="1"/>
  <c r="N257" i="1"/>
  <c r="N139" i="1"/>
  <c r="N283" i="1"/>
  <c r="N256" i="1"/>
  <c r="N175" i="1"/>
  <c r="N291" i="1"/>
  <c r="N266" i="1"/>
  <c r="N288" i="1"/>
  <c r="N268" i="1"/>
  <c r="N231" i="1"/>
  <c r="N281" i="1"/>
  <c r="N274" i="1"/>
  <c r="N297" i="1"/>
  <c r="N287" i="1"/>
  <c r="N293" i="1"/>
  <c r="N298" i="1"/>
  <c r="N299" i="1"/>
  <c r="N300" i="1"/>
  <c r="N181" i="1"/>
  <c r="N136" i="1"/>
</calcChain>
</file>

<file path=xl/sharedStrings.xml><?xml version="1.0" encoding="utf-8"?>
<sst xmlns="http://schemas.openxmlformats.org/spreadsheetml/2006/main" count="3526" uniqueCount="321">
  <si>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</si>
  <si>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</si>
  <si>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</si>
  <si>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</si>
  <si>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</si>
  <si>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</si>
  <si>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</si>
  <si>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</si>
  <si>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</si>
  <si>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</si>
  <si>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</si>
  <si>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</si>
  <si>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</si>
  <si>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</si>
  <si>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</si>
  <si>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</si>
  <si>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</si>
  <si>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</si>
  <si>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</si>
  <si>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</si>
  <si>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</si>
  <si>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</si>
  <si>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</si>
  <si>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</si>
  <si>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</si>
  <si>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</si>
  <si>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</si>
  <si>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</si>
  <si>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</si>
  <si>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</si>
  <si>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</si>
  <si>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</si>
  <si>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</si>
  <si>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</si>
  <si>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</si>
  <si>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</si>
  <si>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</si>
  <si>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</si>
  <si>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</si>
  <si>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</si>
  <si>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</si>
  <si>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</si>
  <si>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</si>
  <si>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</si>
  <si>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</si>
  <si>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</si>
  <si>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</si>
  <si>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</si>
  <si>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</si>
  <si>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</si>
  <si>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</si>
  <si>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</si>
  <si>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</si>
  <si>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</si>
  <si>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</si>
  <si>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</si>
  <si>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</si>
  <si>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</si>
  <si>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</si>
  <si>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</si>
  <si>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</si>
  <si>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</si>
  <si>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</si>
  <si>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</si>
  <si>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</si>
  <si>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</si>
  <si>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</si>
  <si>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</si>
  <si>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</si>
  <si>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</si>
  <si>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</si>
  <si>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</si>
  <si>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</si>
  <si>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</si>
  <si>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</si>
  <si>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</si>
  <si>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</si>
  <si>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</si>
  <si>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</si>
  <si>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</si>
  <si>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</si>
  <si>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</si>
  <si>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</si>
  <si>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</si>
  <si>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</si>
  <si>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</si>
  <si>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</si>
  <si>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</si>
  <si>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</si>
  <si>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</si>
  <si>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</si>
  <si>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</si>
  <si>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</si>
  <si>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</si>
  <si>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</si>
  <si>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</si>
  <si>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</si>
  <si>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</si>
  <si>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</si>
  <si>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</si>
  <si>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</si>
  <si>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</si>
  <si>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</si>
  <si>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</si>
  <si>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</si>
  <si>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</si>
  <si>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</si>
  <si>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</si>
  <si>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</si>
  <si>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</si>
  <si>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</si>
  <si>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</si>
  <si>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</si>
  <si>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</si>
  <si>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</si>
  <si>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</si>
  <si>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</si>
  <si>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</si>
  <si>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</si>
  <si>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</si>
  <si>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</si>
  <si>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</si>
  <si>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</si>
  <si>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</si>
  <si>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</si>
  <si>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</si>
  <si>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</si>
  <si>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</si>
  <si>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</si>
  <si>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</si>
  <si>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</si>
  <si>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</si>
  <si>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</si>
  <si>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</si>
  <si>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</si>
  <si>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</si>
  <si>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</si>
  <si>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</si>
  <si>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</si>
  <si>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</si>
  <si>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</si>
  <si>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</si>
  <si>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</si>
  <si>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</si>
  <si>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</si>
  <si>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</si>
  <si>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</si>
  <si>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</si>
  <si>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</si>
  <si>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</si>
  <si>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</si>
  <si>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</si>
  <si>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</si>
  <si>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</si>
  <si>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</si>
  <si>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</si>
  <si>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</si>
  <si>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</si>
  <si>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</si>
  <si>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</si>
  <si>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</si>
  <si>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</si>
  <si>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</si>
  <si>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</si>
  <si>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</si>
  <si>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</si>
  <si>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</si>
  <si>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</si>
  <si>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</si>
  <si>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</si>
  <si>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</si>
  <si>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</si>
  <si>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</si>
  <si>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</si>
  <si>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</si>
  <si>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</si>
  <si>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</si>
  <si>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</si>
  <si>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</si>
  <si>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</si>
  <si>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</si>
  <si>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</si>
  <si>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</si>
  <si>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</si>
  <si>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</si>
  <si>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</si>
  <si>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</si>
  <si>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</si>
  <si>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</si>
  <si>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</si>
  <si>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</si>
  <si>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</si>
  <si>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</si>
  <si>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</si>
  <si>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</si>
  <si>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</si>
  <si>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</si>
  <si>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</si>
  <si>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</si>
  <si>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</si>
  <si>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</si>
  <si>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</si>
  <si>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</si>
  <si>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</si>
  <si>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</si>
  <si>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</si>
  <si>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</si>
  <si>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</si>
  <si>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</si>
  <si>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</si>
  <si>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</si>
  <si>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</si>
  <si>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</si>
  <si>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</si>
  <si>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</si>
  <si>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</si>
  <si>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</si>
  <si>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</si>
  <si>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</si>
  <si>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</si>
  <si>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</si>
  <si>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</si>
  <si>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</si>
  <si>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</si>
  <si>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</si>
  <si>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</si>
  <si>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</si>
  <si>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</si>
  <si>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</si>
  <si>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</si>
  <si>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</si>
  <si>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</si>
  <si>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</si>
  <si>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</si>
  <si>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</si>
  <si>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</si>
  <si>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</si>
  <si>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</si>
  <si>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</si>
  <si>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</si>
  <si>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</si>
  <si>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</si>
  <si>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</si>
  <si>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</si>
  <si>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</si>
  <si>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</si>
  <si>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</si>
  <si>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</si>
  <si>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</si>
  <si>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</si>
  <si>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</si>
  <si>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</si>
  <si>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</si>
  <si>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</si>
  <si>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</si>
  <si>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</si>
  <si>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</si>
  <si>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</si>
  <si>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</si>
  <si>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</si>
  <si>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</si>
  <si>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</si>
  <si>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</si>
  <si>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</si>
  <si>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</si>
  <si>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</si>
  <si>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</si>
  <si>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</si>
  <si>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</si>
  <si>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</si>
  <si>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</si>
  <si>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</si>
  <si>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</si>
  <si>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</si>
  <si>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</si>
  <si>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</si>
  <si>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</si>
  <si>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</si>
  <si>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</si>
  <si>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</si>
  <si>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</si>
  <si>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</si>
  <si>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</si>
  <si>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</si>
  <si>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</si>
  <si>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</si>
  <si>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</si>
  <si>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</si>
  <si>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B 2*3183.6 :21 SEP 2026 11:14:00 AM</t>
  </si>
  <si>
    <t>S 5/10*747 :21 SEP 2026 09:00:15 AM</t>
  </si>
  <si>
    <t>B 10/30*897 :21 SEP 2026 09:01:06 AM</t>
  </si>
  <si>
    <t>B 25*336 :22 SEP 2026 09:00:50 AM</t>
  </si>
  <si>
    <t>B 3*4710 :23 SEP 2026 10:19:15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</si>
  <si>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</si>
  <si>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</si>
  <si>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</si>
  <si>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</si>
  <si>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</si>
  <si>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</si>
  <si>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</si>
  <si>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100*324 :28 SEP 2026 09:38:19 AM</t>
  </si>
  <si>
    <t>B 10*1136 :28 SEP 2026 09:00:58 AM</t>
  </si>
  <si>
    <t>B 5*712 :28 SEP 2026 09:01:00 AM</t>
  </si>
  <si>
    <t>B 40*880 :28 SEP 2026 09:01:00 AM</t>
  </si>
  <si>
    <t>S 1*13698 :28 SEP 2026 09:00:17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</si>
  <si>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</si>
  <si>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</si>
  <si>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</si>
  <si>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</si>
  <si>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</si>
  <si>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</si>
  <si>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</si>
  <si>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</si>
  <si>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B 20*841.6 :01 OCT 2026 09:51:32 AM</t>
  </si>
  <si>
    <t>B 2*1434.1 :01 OCT 2026 09:49:15 AM</t>
  </si>
  <si>
    <t>S 50*291 :  5 OCT 2026 09:01:19 AM</t>
  </si>
  <si>
    <t>S 1*4763 :5 OCT 2026 09:01:00 AM</t>
  </si>
  <si>
    <t>B 2*1294.3 :06 OCT 2026 09:49:15 AM</t>
  </si>
  <si>
    <t>B 3*2300 : 6 oct 2026 09:00:49 AM</t>
  </si>
  <si>
    <t>S 5*1752 :6 oct 2026 09:01:00 AM</t>
  </si>
  <si>
    <t>S 1*20020 :6 oct 2026 09:26:47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</si>
</sst>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22" fontId="1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1"/>
  <sheetViews>
    <sheetView tabSelected="1" zoomScaleNormal="100" workbookViewId="0">
      <pane ySplit="1" topLeftCell="A296" activePane="bottomLeft" state="frozen"/>
      <selection pane="bottomLeft" activeCell="A301" sqref="A301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8" customWidth="1"/>
    <col min="11" max="11" width="19" style="18" customWidth="1"/>
    <col min="12" max="13" width="8.88671875" style="18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99999999999997" customHeight="1" thickBot="1" x14ac:dyDescent="0.35">
      <c r="A2" s="3">
        <v>46281.416666666664</v>
      </c>
      <c r="B2" s="1" t="s">
        <v>277</v>
      </c>
      <c r="C2" s="1" t="s">
        <v>10</v>
      </c>
      <c r="D2" s="4">
        <v>10</v>
      </c>
      <c r="E2" s="4">
        <v>706</v>
      </c>
      <c r="F2" s="4">
        <v>-26.073298430000001</v>
      </c>
      <c r="G2" s="2" t="s">
        <v>284</v>
      </c>
      <c r="H2" s="5">
        <v>955</v>
      </c>
      <c r="I2" s="1" t="s">
        <v>8</v>
      </c>
      <c r="J2" s="23" t="s">
        <v>40</v>
      </c>
      <c r="K2" s="18" t="s">
        <v>279</v>
      </c>
      <c r="L2" s="18">
        <v>17940</v>
      </c>
      <c r="M2" s="18">
        <f>ABS((D2*E2)-L2)</f>
        <v>10880</v>
      </c>
      <c r="N2" s="10" t="str">
        <f t="shared" ref="N2:N65" si="0">IF(COUNTIFS( $B$2:$B$688, B2, $C$2:$C$688, C2, $D$2:$D$688, D2, $E$2:$E$688, E2) &gt; 1, "Duplicate", "Unique")</f>
        <v>Unique</v>
      </c>
      <c r="O2" s="10"/>
      <c r="P2" s="10"/>
    </row>
    <row r="3" spans="1:16" customFormat="1" ht="27.6" customHeight="1" thickBot="1" x14ac:dyDescent="0.35">
      <c r="A3" s="6" t="s">
        <v>61</v>
      </c>
      <c r="B3" s="1" t="s">
        <v>114</v>
      </c>
      <c r="C3" s="1" t="s">
        <v>10</v>
      </c>
      <c r="D3" s="4">
        <v>2</v>
      </c>
      <c r="E3" s="4">
        <v>660</v>
      </c>
      <c r="F3" s="4">
        <v>-32.653061219999998</v>
      </c>
      <c r="G3" s="2" t="s">
        <v>115</v>
      </c>
      <c r="H3" s="5">
        <v>980</v>
      </c>
      <c r="I3" s="1" t="s">
        <v>8</v>
      </c>
      <c r="J3" s="35" t="s">
        <v>40</v>
      </c>
      <c r="K3" s="17"/>
      <c r="L3" s="17"/>
      <c r="M3" s="17"/>
      <c r="N3" t="str">
        <f t="shared" si="0"/>
        <v>Unique</v>
      </c>
    </row>
    <row r="4" spans="1:16" customFormat="1" ht="15" customHeight="1" thickBot="1" x14ac:dyDescent="0.35">
      <c r="A4" s="3">
        <v>46281.416666666664</v>
      </c>
      <c r="B4" s="1" t="s">
        <v>277</v>
      </c>
      <c r="C4" s="1" t="s">
        <v>10</v>
      </c>
      <c r="D4" s="4">
        <v>10</v>
      </c>
      <c r="E4" s="4">
        <v>726</v>
      </c>
      <c r="F4" s="4">
        <v>-23.97905759</v>
      </c>
      <c r="G4" s="2" t="s">
        <v>284</v>
      </c>
      <c r="H4" s="5">
        <v>955</v>
      </c>
      <c r="I4" s="1" t="s">
        <v>8</v>
      </c>
      <c r="J4" s="23" t="s">
        <v>40</v>
      </c>
      <c r="K4" s="18" t="s">
        <v>279</v>
      </c>
      <c r="L4" s="18">
        <v>17940</v>
      </c>
      <c r="M4" s="18">
        <f>ABS((D4*E4)-L4)</f>
        <v>10680</v>
      </c>
      <c r="N4" s="10" t="str">
        <f t="shared" si="0"/>
        <v>Unique</v>
      </c>
      <c r="O4" s="10"/>
      <c r="P4" s="10"/>
    </row>
    <row r="5" spans="1:16" customFormat="1" ht="15" customHeight="1" thickBot="1" x14ac:dyDescent="0.35">
      <c r="A5" s="6" t="s">
        <v>61</v>
      </c>
      <c r="B5" s="1" t="s">
        <v>99</v>
      </c>
      <c r="C5" s="1" t="s">
        <v>10</v>
      </c>
      <c r="D5" s="4">
        <v>25</v>
      </c>
      <c r="E5" s="4">
        <v>251</v>
      </c>
      <c r="F5" s="4">
        <v>-9.8354766869999999</v>
      </c>
      <c r="G5" s="2" t="s">
        <v>100</v>
      </c>
      <c r="H5" s="5">
        <v>278.38</v>
      </c>
      <c r="I5" s="1" t="s">
        <v>8</v>
      </c>
      <c r="J5" s="35" t="s">
        <v>40</v>
      </c>
      <c r="K5" s="17"/>
      <c r="L5" s="17"/>
      <c r="M5" s="17"/>
      <c r="N5" t="str">
        <f t="shared" si="0"/>
        <v>Unique</v>
      </c>
    </row>
    <row r="6" spans="1:16" customFormat="1" ht="40.799999999999997" customHeight="1" thickBot="1" x14ac:dyDescent="0.35">
      <c r="A6" s="6" t="s">
        <v>61</v>
      </c>
      <c r="B6" s="1" t="s">
        <v>91</v>
      </c>
      <c r="C6" s="1" t="s">
        <v>10</v>
      </c>
      <c r="D6" s="4">
        <v>2</v>
      </c>
      <c r="E6" s="4">
        <v>2560</v>
      </c>
      <c r="F6" s="4">
        <v>-22.798552470000001</v>
      </c>
      <c r="G6" s="2" t="s">
        <v>92</v>
      </c>
      <c r="H6" s="5">
        <v>3316</v>
      </c>
      <c r="I6" s="1" t="s">
        <v>8</v>
      </c>
      <c r="J6" s="35" t="s">
        <v>40</v>
      </c>
      <c r="K6" s="17"/>
      <c r="L6" s="17"/>
      <c r="M6" s="17"/>
      <c r="N6" t="str">
        <f t="shared" si="0"/>
        <v>Unique</v>
      </c>
    </row>
    <row r="7" spans="1:16" customFormat="1" ht="27.6" customHeight="1" thickBot="1" x14ac:dyDescent="0.35">
      <c r="A7" s="6" t="s">
        <v>61</v>
      </c>
      <c r="B7" s="1" t="s">
        <v>91</v>
      </c>
      <c r="C7" s="1" t="s">
        <v>10</v>
      </c>
      <c r="D7" s="4">
        <v>2</v>
      </c>
      <c r="E7" s="4">
        <v>2660</v>
      </c>
      <c r="F7" s="4">
        <v>-19.782870930000001</v>
      </c>
      <c r="G7" s="2" t="s">
        <v>92</v>
      </c>
      <c r="H7" s="5">
        <v>3316</v>
      </c>
      <c r="I7" s="1" t="s">
        <v>8</v>
      </c>
      <c r="J7" s="35"/>
      <c r="K7" s="17"/>
      <c r="L7" s="17"/>
      <c r="M7" s="17"/>
      <c r="N7" t="str">
        <f t="shared" si="0"/>
        <v>Unique</v>
      </c>
    </row>
    <row r="8" spans="1:16" customFormat="1" ht="27.6" customHeight="1" thickBot="1" x14ac:dyDescent="0.35">
      <c r="A8" s="6" t="s">
        <v>61</v>
      </c>
      <c r="B8" s="1" t="s">
        <v>12</v>
      </c>
      <c r="C8" s="1" t="s">
        <v>10</v>
      </c>
      <c r="D8" s="4">
        <v>1</v>
      </c>
      <c r="E8" s="4">
        <v>4014</v>
      </c>
      <c r="F8" s="4">
        <v>-15.362881120000001</v>
      </c>
      <c r="G8" s="2" t="s">
        <v>97</v>
      </c>
      <c r="H8" s="5">
        <v>4742.6000000000004</v>
      </c>
      <c r="I8" s="1" t="s">
        <v>8</v>
      </c>
      <c r="J8" s="35"/>
      <c r="K8" s="17"/>
      <c r="L8" s="17"/>
      <c r="M8" s="17"/>
      <c r="N8" t="str">
        <f t="shared" si="0"/>
        <v>Unique</v>
      </c>
    </row>
    <row r="9" spans="1:16" customFormat="1" ht="27.6" customHeight="1" thickBot="1" x14ac:dyDescent="0.35">
      <c r="A9" s="3">
        <v>46252.688194444447</v>
      </c>
      <c r="B9" s="1" t="s">
        <v>95</v>
      </c>
      <c r="C9" s="1" t="s">
        <v>10</v>
      </c>
      <c r="D9" s="4">
        <v>45</v>
      </c>
      <c r="E9" s="4">
        <v>136.15</v>
      </c>
      <c r="F9" s="4">
        <v>-21.346042749999999</v>
      </c>
      <c r="G9" s="2" t="s">
        <v>96</v>
      </c>
      <c r="H9" s="5">
        <v>173.1</v>
      </c>
      <c r="I9" s="1" t="s">
        <v>8</v>
      </c>
      <c r="J9" s="35" t="s">
        <v>54</v>
      </c>
      <c r="K9" s="17"/>
      <c r="L9" s="17"/>
      <c r="M9" s="17"/>
      <c r="N9" t="str">
        <f t="shared" si="0"/>
        <v>Unique</v>
      </c>
    </row>
    <row r="10" spans="1:16" customFormat="1" ht="27.6" customHeight="1" thickBot="1" x14ac:dyDescent="0.35">
      <c r="A10" s="6" t="s">
        <v>61</v>
      </c>
      <c r="B10" s="1" t="s">
        <v>91</v>
      </c>
      <c r="C10" s="1" t="s">
        <v>10</v>
      </c>
      <c r="D10" s="4">
        <v>1</v>
      </c>
      <c r="E10" s="4">
        <v>2752</v>
      </c>
      <c r="F10" s="4">
        <v>-17.00844391</v>
      </c>
      <c r="G10" s="2" t="s">
        <v>92</v>
      </c>
      <c r="H10" s="5">
        <v>3316</v>
      </c>
      <c r="I10" s="1" t="s">
        <v>8</v>
      </c>
      <c r="J10" s="35" t="s">
        <v>40</v>
      </c>
      <c r="K10" s="17"/>
      <c r="L10" s="17"/>
      <c r="M10" s="17"/>
      <c r="N10" t="str">
        <f t="shared" si="0"/>
        <v>Unique</v>
      </c>
    </row>
    <row r="11" spans="1:16" customFormat="1" ht="27.6" customHeight="1" thickBot="1" x14ac:dyDescent="0.35">
      <c r="A11" s="6" t="s">
        <v>61</v>
      </c>
      <c r="B11" s="1" t="s">
        <v>12</v>
      </c>
      <c r="C11" s="1" t="s">
        <v>10</v>
      </c>
      <c r="D11" s="4">
        <v>1</v>
      </c>
      <c r="E11" s="4">
        <v>4164</v>
      </c>
      <c r="F11" s="4">
        <v>-12.200059039999999</v>
      </c>
      <c r="G11" s="2" t="s">
        <v>97</v>
      </c>
      <c r="H11" s="5">
        <v>4742.6000000000004</v>
      </c>
      <c r="I11" s="1" t="s">
        <v>8</v>
      </c>
      <c r="J11" s="35"/>
      <c r="K11" s="17"/>
      <c r="L11" s="17"/>
      <c r="M11" s="17"/>
      <c r="N11" t="str">
        <f t="shared" si="0"/>
        <v>Unique</v>
      </c>
    </row>
    <row r="12" spans="1:16" customFormat="1" ht="27.6" customHeight="1" thickBot="1" x14ac:dyDescent="0.35">
      <c r="A12" s="6" t="s">
        <v>61</v>
      </c>
      <c r="B12" s="1" t="s">
        <v>112</v>
      </c>
      <c r="C12" s="1" t="s">
        <v>10</v>
      </c>
      <c r="D12" s="4">
        <v>4</v>
      </c>
      <c r="E12" s="4">
        <v>701</v>
      </c>
      <c r="F12" s="4">
        <v>-14.42871094</v>
      </c>
      <c r="G12" s="2" t="s">
        <v>113</v>
      </c>
      <c r="H12" s="5">
        <v>819.2</v>
      </c>
      <c r="I12" s="1" t="s">
        <v>8</v>
      </c>
      <c r="J12" s="35" t="s">
        <v>40</v>
      </c>
      <c r="K12" s="17"/>
      <c r="L12" s="17"/>
      <c r="M12" s="17"/>
      <c r="N12" t="str">
        <f t="shared" si="0"/>
        <v>Unique</v>
      </c>
    </row>
    <row r="13" spans="1:16" customFormat="1" ht="27.6" customHeight="1" thickBot="1" x14ac:dyDescent="0.35">
      <c r="A13" s="6" t="s">
        <v>61</v>
      </c>
      <c r="B13" s="1" t="s">
        <v>104</v>
      </c>
      <c r="C13" s="1" t="s">
        <v>10</v>
      </c>
      <c r="D13" s="4">
        <v>4</v>
      </c>
      <c r="E13" s="4">
        <v>1751</v>
      </c>
      <c r="F13" s="4">
        <v>-10.29713115</v>
      </c>
      <c r="G13" s="2" t="s">
        <v>105</v>
      </c>
      <c r="H13" s="5">
        <v>1952</v>
      </c>
      <c r="I13" s="1" t="s">
        <v>8</v>
      </c>
      <c r="J13" s="35"/>
      <c r="K13" s="17"/>
      <c r="L13" s="17"/>
      <c r="M13" s="17"/>
      <c r="N13" t="str">
        <f t="shared" si="0"/>
        <v>Unique</v>
      </c>
    </row>
    <row r="14" spans="1:16" ht="40.799999999999997" customHeight="1" thickBot="1" x14ac:dyDescent="0.35">
      <c r="A14" s="3">
        <v>46031.4375</v>
      </c>
      <c r="B14" s="1" t="s">
        <v>207</v>
      </c>
      <c r="C14" s="1" t="s">
        <v>10</v>
      </c>
      <c r="D14" s="4">
        <v>3</v>
      </c>
      <c r="E14" s="4">
        <v>1052</v>
      </c>
      <c r="F14" s="4">
        <v>-8.6012163340000001</v>
      </c>
      <c r="G14" s="2" t="s">
        <v>218</v>
      </c>
      <c r="H14" s="5">
        <v>1151</v>
      </c>
      <c r="I14" s="1" t="s">
        <v>8</v>
      </c>
      <c r="J14" s="23" t="s">
        <v>40</v>
      </c>
      <c r="M14" s="18">
        <f>ABS((D14*E14)-L14)</f>
        <v>3156</v>
      </c>
      <c r="N14" s="10" t="str">
        <f t="shared" si="0"/>
        <v>Unique</v>
      </c>
      <c r="P14" s="19"/>
    </row>
    <row r="15" spans="1:16" ht="40.799999999999997" customHeight="1" thickBot="1" x14ac:dyDescent="0.35">
      <c r="A15" s="49">
        <v>46289.375</v>
      </c>
      <c r="B15" s="2" t="s">
        <v>30</v>
      </c>
      <c r="C15" s="2" t="s">
        <v>10</v>
      </c>
      <c r="D15" s="5">
        <v>5</v>
      </c>
      <c r="E15" s="5">
        <v>601</v>
      </c>
      <c r="F15" s="4">
        <v>-12.759471619999999</v>
      </c>
      <c r="G15" s="2" t="s">
        <v>93</v>
      </c>
      <c r="H15" s="5">
        <v>688.9</v>
      </c>
      <c r="I15" s="1" t="s">
        <v>8</v>
      </c>
      <c r="J15" s="23" t="s">
        <v>40</v>
      </c>
      <c r="K15" s="18" t="s">
        <v>295</v>
      </c>
      <c r="L15" s="18">
        <v>3245</v>
      </c>
      <c r="M15" s="18">
        <f>ABS((D15*E15)-L15)</f>
        <v>240</v>
      </c>
      <c r="N15" s="10" t="str">
        <f t="shared" si="0"/>
        <v>Unique</v>
      </c>
    </row>
    <row r="16" spans="1:16" ht="15" customHeight="1" thickBot="1" x14ac:dyDescent="0.35">
      <c r="A16" s="6" t="s">
        <v>61</v>
      </c>
      <c r="B16" s="1" t="s">
        <v>20</v>
      </c>
      <c r="C16" s="1" t="s">
        <v>10</v>
      </c>
      <c r="D16" s="4">
        <v>100</v>
      </c>
      <c r="E16" s="4">
        <v>111</v>
      </c>
      <c r="F16" s="4">
        <v>-8.6043639360000004</v>
      </c>
      <c r="G16" s="2" t="s">
        <v>85</v>
      </c>
      <c r="H16" s="5">
        <v>121.45</v>
      </c>
      <c r="I16" s="1" t="s">
        <v>8</v>
      </c>
      <c r="J16" s="35"/>
      <c r="K16" s="17"/>
      <c r="L16" s="17"/>
      <c r="M16" s="17"/>
      <c r="N16" t="str">
        <f t="shared" si="0"/>
        <v>Unique</v>
      </c>
      <c r="O16"/>
      <c r="P16"/>
    </row>
    <row r="17" spans="1:16" ht="27.6" customHeight="1" thickBot="1" x14ac:dyDescent="0.35">
      <c r="A17" s="3">
        <v>46252.635416666664</v>
      </c>
      <c r="B17" s="1" t="s">
        <v>91</v>
      </c>
      <c r="C17" s="1" t="s">
        <v>10</v>
      </c>
      <c r="D17" s="4">
        <v>2</v>
      </c>
      <c r="E17" s="4">
        <v>2892</v>
      </c>
      <c r="F17" s="4">
        <v>-12.786489749999999</v>
      </c>
      <c r="G17" s="2" t="s">
        <v>92</v>
      </c>
      <c r="H17" s="5">
        <v>3316</v>
      </c>
      <c r="I17" s="1" t="s">
        <v>8</v>
      </c>
      <c r="J17" s="35"/>
      <c r="K17" s="17"/>
      <c r="L17" s="17"/>
      <c r="M17" s="17"/>
      <c r="N17" t="str">
        <f t="shared" si="0"/>
        <v>Unique</v>
      </c>
      <c r="O17"/>
      <c r="P17"/>
    </row>
    <row r="18" spans="1:16" ht="40.799999999999997" customHeight="1" thickBot="1" x14ac:dyDescent="0.35">
      <c r="A18" s="6" t="s">
        <v>61</v>
      </c>
      <c r="B18" s="1" t="s">
        <v>12</v>
      </c>
      <c r="C18" s="1" t="s">
        <v>10</v>
      </c>
      <c r="D18" s="4">
        <v>1</v>
      </c>
      <c r="E18" s="4">
        <v>4364</v>
      </c>
      <c r="F18" s="4">
        <v>-7.9829629320000004</v>
      </c>
      <c r="G18" s="2" t="s">
        <v>97</v>
      </c>
      <c r="H18" s="5">
        <v>4742.6000000000004</v>
      </c>
      <c r="I18" s="1" t="s">
        <v>8</v>
      </c>
      <c r="J18" s="36" t="s">
        <v>40</v>
      </c>
      <c r="K18" s="17"/>
      <c r="L18" s="17"/>
      <c r="M18" s="17"/>
      <c r="N18" t="str">
        <f t="shared" si="0"/>
        <v>Unique</v>
      </c>
      <c r="O18"/>
      <c r="P18"/>
    </row>
    <row r="19" spans="1:16" ht="27.6" customHeight="1" thickBot="1" x14ac:dyDescent="0.35">
      <c r="A19" s="6" t="s">
        <v>61</v>
      </c>
      <c r="B19" s="1" t="s">
        <v>33</v>
      </c>
      <c r="C19" s="1" t="s">
        <v>10</v>
      </c>
      <c r="D19" s="4">
        <v>1</v>
      </c>
      <c r="E19" s="4">
        <v>18052</v>
      </c>
      <c r="F19" s="4">
        <v>-10.456349210000001</v>
      </c>
      <c r="G19" s="2" t="s">
        <v>70</v>
      </c>
      <c r="H19" s="5">
        <v>20160</v>
      </c>
      <c r="I19" s="1" t="s">
        <v>8</v>
      </c>
      <c r="J19" s="35"/>
      <c r="K19" s="17"/>
      <c r="L19" s="17"/>
      <c r="M19" s="17"/>
      <c r="N19" t="str">
        <f t="shared" si="0"/>
        <v>Unique</v>
      </c>
      <c r="O19"/>
      <c r="P19"/>
    </row>
    <row r="20" spans="1:16" s="24" customFormat="1" ht="27.6" customHeight="1" thickBot="1" x14ac:dyDescent="0.35">
      <c r="A20" s="49">
        <v>46295.375</v>
      </c>
      <c r="B20" s="2" t="s">
        <v>30</v>
      </c>
      <c r="C20" s="2" t="s">
        <v>10</v>
      </c>
      <c r="D20" s="5">
        <v>5</v>
      </c>
      <c r="E20" s="5">
        <v>620</v>
      </c>
      <c r="F20" s="4">
        <v>-10.00145159</v>
      </c>
      <c r="G20" s="2" t="s">
        <v>93</v>
      </c>
      <c r="H20" s="5">
        <v>688.9</v>
      </c>
      <c r="I20" s="1" t="s">
        <v>8</v>
      </c>
      <c r="J20" s="23" t="s">
        <v>40</v>
      </c>
      <c r="K20" s="18" t="s">
        <v>309</v>
      </c>
      <c r="L20" s="18">
        <v>3395</v>
      </c>
      <c r="M20" s="18">
        <f>ABS((D20*E20)-L20)</f>
        <v>295</v>
      </c>
      <c r="N20" s="10" t="str">
        <f t="shared" si="0"/>
        <v>Unique</v>
      </c>
      <c r="O20" s="10"/>
      <c r="P20" s="10"/>
    </row>
    <row r="21" spans="1:16" ht="27.6" customHeight="1" thickBot="1" x14ac:dyDescent="0.35">
      <c r="A21" s="6" t="s">
        <v>61</v>
      </c>
      <c r="B21" s="1" t="s">
        <v>108</v>
      </c>
      <c r="C21" s="1" t="s">
        <v>10</v>
      </c>
      <c r="D21" s="4">
        <v>15</v>
      </c>
      <c r="E21" s="4">
        <v>4415</v>
      </c>
      <c r="F21" s="4">
        <v>-8.5580547619999994</v>
      </c>
      <c r="G21" s="2" t="s">
        <v>109</v>
      </c>
      <c r="H21" s="5">
        <v>4828.2</v>
      </c>
      <c r="I21" s="1" t="s">
        <v>8</v>
      </c>
      <c r="J21" s="35"/>
      <c r="K21" s="17"/>
      <c r="L21" s="17"/>
      <c r="M21" s="17"/>
      <c r="N21" t="str">
        <f t="shared" si="0"/>
        <v>Unique</v>
      </c>
      <c r="O21"/>
      <c r="P21"/>
    </row>
    <row r="22" spans="1:16" ht="27.6" customHeight="1" thickBot="1" x14ac:dyDescent="0.35">
      <c r="A22" s="49">
        <v>46300.375694444447</v>
      </c>
      <c r="B22" s="2" t="s">
        <v>12</v>
      </c>
      <c r="C22" s="2" t="s">
        <v>10</v>
      </c>
      <c r="D22" s="5">
        <v>1</v>
      </c>
      <c r="E22" s="5">
        <v>4510</v>
      </c>
      <c r="F22" s="4">
        <v>-4.9044827729999998</v>
      </c>
      <c r="G22" s="2" t="s">
        <v>97</v>
      </c>
      <c r="H22" s="5">
        <v>4742.6000000000004</v>
      </c>
      <c r="I22" s="1" t="s">
        <v>8</v>
      </c>
      <c r="J22" s="23" t="s">
        <v>117</v>
      </c>
      <c r="K22" s="18" t="s">
        <v>316</v>
      </c>
      <c r="L22" s="18">
        <v>4763</v>
      </c>
      <c r="M22" s="18">
        <f>ABS((D22*E22)-L22)</f>
        <v>253</v>
      </c>
      <c r="N22" s="10" t="str">
        <f t="shared" si="0"/>
        <v>Unique</v>
      </c>
    </row>
    <row r="23" spans="1:16" ht="27.6" customHeight="1" thickBot="1" x14ac:dyDescent="0.35">
      <c r="A23" s="6" t="s">
        <v>61</v>
      </c>
      <c r="B23" s="1" t="s">
        <v>31</v>
      </c>
      <c r="C23" s="1" t="s">
        <v>10</v>
      </c>
      <c r="D23" s="4">
        <v>25</v>
      </c>
      <c r="E23" s="4">
        <v>836</v>
      </c>
      <c r="F23" s="4">
        <v>-8.1924006150000004</v>
      </c>
      <c r="G23" s="2" t="s">
        <v>84</v>
      </c>
      <c r="H23" s="5">
        <v>910.6</v>
      </c>
      <c r="I23" s="1" t="s">
        <v>8</v>
      </c>
      <c r="J23" s="35" t="s">
        <v>40</v>
      </c>
      <c r="K23" s="17"/>
      <c r="L23" s="17"/>
      <c r="M23" s="17"/>
      <c r="N23" t="str">
        <f t="shared" si="0"/>
        <v>Unique</v>
      </c>
      <c r="O23"/>
      <c r="P23"/>
    </row>
    <row r="24" spans="1:16" ht="27.6" customHeight="1" thickBot="1" x14ac:dyDescent="0.35">
      <c r="A24" s="6" t="s">
        <v>61</v>
      </c>
      <c r="B24" s="1" t="s">
        <v>20</v>
      </c>
      <c r="C24" s="1" t="s">
        <v>10</v>
      </c>
      <c r="D24" s="4">
        <v>200</v>
      </c>
      <c r="E24" s="4">
        <v>115.25</v>
      </c>
      <c r="F24" s="4">
        <v>-5.1049814739999997</v>
      </c>
      <c r="G24" s="2" t="s">
        <v>85</v>
      </c>
      <c r="H24" s="5">
        <v>121.45</v>
      </c>
      <c r="I24" s="1" t="s">
        <v>8</v>
      </c>
      <c r="J24" s="35"/>
      <c r="K24" s="17"/>
      <c r="L24" s="17"/>
      <c r="M24" s="17"/>
      <c r="N24" t="str">
        <f t="shared" si="0"/>
        <v>Unique</v>
      </c>
      <c r="O24"/>
      <c r="P24"/>
    </row>
    <row r="25" spans="1:16" ht="27.6" customHeight="1" thickBot="1" x14ac:dyDescent="0.35">
      <c r="A25" s="6" t="s">
        <v>61</v>
      </c>
      <c r="B25" s="1" t="s">
        <v>20</v>
      </c>
      <c r="C25" s="1" t="s">
        <v>10</v>
      </c>
      <c r="D25" s="4">
        <v>50</v>
      </c>
      <c r="E25" s="4">
        <v>116</v>
      </c>
      <c r="F25" s="4">
        <v>-4.4874433920000003</v>
      </c>
      <c r="G25" s="2" t="s">
        <v>85</v>
      </c>
      <c r="H25" s="5">
        <v>121.45</v>
      </c>
      <c r="I25" s="1" t="s">
        <v>8</v>
      </c>
      <c r="J25" s="35"/>
      <c r="K25" s="17"/>
      <c r="L25" s="17"/>
      <c r="M25" s="17"/>
      <c r="N25" t="str">
        <f t="shared" si="0"/>
        <v>Unique</v>
      </c>
      <c r="O25"/>
      <c r="P25"/>
    </row>
    <row r="26" spans="1:16" ht="27.6" customHeight="1" thickBot="1" x14ac:dyDescent="0.35">
      <c r="A26" s="6" t="s">
        <v>61</v>
      </c>
      <c r="B26" s="1" t="s">
        <v>108</v>
      </c>
      <c r="C26" s="1" t="s">
        <v>10</v>
      </c>
      <c r="D26" s="4">
        <v>2</v>
      </c>
      <c r="E26" s="4">
        <v>4456</v>
      </c>
      <c r="F26" s="4">
        <v>-7.7088770139999996</v>
      </c>
      <c r="G26" s="2" t="s">
        <v>109</v>
      </c>
      <c r="H26" s="5">
        <v>4828.2</v>
      </c>
      <c r="I26" s="1" t="s">
        <v>8</v>
      </c>
      <c r="J26" s="35"/>
      <c r="K26" s="17"/>
      <c r="L26" s="17"/>
      <c r="M26" s="17"/>
      <c r="N26" t="str">
        <f t="shared" si="0"/>
        <v>Unique</v>
      </c>
      <c r="O26"/>
      <c r="P26"/>
    </row>
    <row r="27" spans="1:16" ht="27.6" customHeight="1" thickBot="1" x14ac:dyDescent="0.35">
      <c r="A27" s="6" t="s">
        <v>61</v>
      </c>
      <c r="B27" s="1" t="s">
        <v>33</v>
      </c>
      <c r="C27" s="1" t="s">
        <v>10</v>
      </c>
      <c r="D27" s="4">
        <v>1</v>
      </c>
      <c r="E27" s="4">
        <v>18552</v>
      </c>
      <c r="F27" s="4">
        <v>-7.9761904760000002</v>
      </c>
      <c r="G27" s="2" t="s">
        <v>70</v>
      </c>
      <c r="H27" s="5">
        <v>20160</v>
      </c>
      <c r="I27" s="1" t="s">
        <v>8</v>
      </c>
      <c r="J27" s="35"/>
      <c r="K27" s="17"/>
      <c r="L27" s="17"/>
      <c r="M27" s="17"/>
      <c r="N27" t="str">
        <f t="shared" si="0"/>
        <v>Unique</v>
      </c>
      <c r="O27"/>
      <c r="P27"/>
    </row>
    <row r="28" spans="1:16" ht="27.6" customHeight="1" thickBot="1" x14ac:dyDescent="0.35">
      <c r="A28" s="3">
        <v>46300.375694444447</v>
      </c>
      <c r="B28" s="1" t="s">
        <v>9</v>
      </c>
      <c r="C28" s="1" t="s">
        <v>10</v>
      </c>
      <c r="D28" s="4">
        <v>50</v>
      </c>
      <c r="E28" s="4">
        <v>278</v>
      </c>
      <c r="F28" s="4">
        <v>-4.0055248619999997</v>
      </c>
      <c r="G28" s="2" t="s">
        <v>94</v>
      </c>
      <c r="H28" s="5">
        <v>289.60000000000002</v>
      </c>
      <c r="I28" s="1" t="s">
        <v>8</v>
      </c>
      <c r="J28" s="23" t="s">
        <v>116</v>
      </c>
      <c r="K28" s="18" t="s">
        <v>315</v>
      </c>
      <c r="L28" s="18">
        <f>50*291</f>
        <v>14550</v>
      </c>
      <c r="M28" s="18">
        <f>ABS((D28*E28)-L28)</f>
        <v>650</v>
      </c>
      <c r="N28" s="10" t="str">
        <f t="shared" si="0"/>
        <v>Unique</v>
      </c>
    </row>
    <row r="29" spans="1:16" ht="15" customHeight="1" thickBot="1" x14ac:dyDescent="0.35">
      <c r="A29" s="3">
        <v>46254.375</v>
      </c>
      <c r="B29" s="1" t="s">
        <v>32</v>
      </c>
      <c r="C29" s="1" t="s">
        <v>10</v>
      </c>
      <c r="D29" s="4">
        <v>7</v>
      </c>
      <c r="E29" s="4">
        <v>2230</v>
      </c>
      <c r="F29" s="4">
        <v>-3.5049762009999998</v>
      </c>
      <c r="G29" s="2" t="s">
        <v>83</v>
      </c>
      <c r="H29" s="5">
        <v>2311</v>
      </c>
      <c r="I29" s="1" t="s">
        <v>8</v>
      </c>
      <c r="J29" s="50" t="s">
        <v>54</v>
      </c>
      <c r="K29" s="17" t="s">
        <v>146</v>
      </c>
      <c r="L29" s="17"/>
      <c r="M29" s="17"/>
      <c r="N29" s="10" t="str">
        <f t="shared" si="0"/>
        <v>Unique</v>
      </c>
      <c r="O29"/>
      <c r="P29"/>
    </row>
    <row r="30" spans="1:16" ht="27.6" customHeight="1" thickBot="1" x14ac:dyDescent="0.35">
      <c r="A30" s="3">
        <v>46252.635416666664</v>
      </c>
      <c r="B30" s="1" t="s">
        <v>31</v>
      </c>
      <c r="C30" s="1" t="s">
        <v>10</v>
      </c>
      <c r="D30" s="4">
        <v>50</v>
      </c>
      <c r="E30" s="4">
        <v>850</v>
      </c>
      <c r="F30" s="4">
        <v>-6.6549527780000002</v>
      </c>
      <c r="G30" s="2" t="s">
        <v>84</v>
      </c>
      <c r="H30" s="5">
        <v>910.6</v>
      </c>
      <c r="I30" s="1" t="s">
        <v>8</v>
      </c>
      <c r="J30" s="36" t="s">
        <v>54</v>
      </c>
      <c r="K30" s="17"/>
      <c r="L30" s="17"/>
      <c r="M30" s="17"/>
      <c r="N30" t="str">
        <f t="shared" si="0"/>
        <v>Unique</v>
      </c>
      <c r="P30"/>
    </row>
    <row r="31" spans="1:16" s="25" customFormat="1" ht="27.6" customHeight="1" thickBot="1" x14ac:dyDescent="0.35">
      <c r="A31" s="6" t="s">
        <v>61</v>
      </c>
      <c r="B31" s="1" t="s">
        <v>110</v>
      </c>
      <c r="C31" s="1" t="s">
        <v>10</v>
      </c>
      <c r="D31" s="4">
        <v>7</v>
      </c>
      <c r="E31" s="4">
        <v>411</v>
      </c>
      <c r="F31" s="4">
        <v>-4.7398308030000003</v>
      </c>
      <c r="G31" s="2" t="s">
        <v>111</v>
      </c>
      <c r="H31" s="5">
        <v>431.45</v>
      </c>
      <c r="I31" s="1" t="s">
        <v>8</v>
      </c>
      <c r="J31" s="35"/>
      <c r="K31" s="17"/>
      <c r="L31" s="17"/>
      <c r="M31" s="17"/>
      <c r="N31" t="str">
        <f t="shared" si="0"/>
        <v>Unique</v>
      </c>
      <c r="O31"/>
      <c r="P31"/>
    </row>
    <row r="32" spans="1:16" ht="27.6" customHeight="1" thickBot="1" x14ac:dyDescent="0.35">
      <c r="A32" s="6" t="s">
        <v>61</v>
      </c>
      <c r="B32" s="1" t="s">
        <v>9</v>
      </c>
      <c r="C32" s="1" t="s">
        <v>10</v>
      </c>
      <c r="D32" s="4">
        <v>20</v>
      </c>
      <c r="E32" s="4">
        <v>281</v>
      </c>
      <c r="F32" s="4">
        <v>-2.96961326</v>
      </c>
      <c r="G32" s="2" t="s">
        <v>94</v>
      </c>
      <c r="H32" s="5">
        <v>289.60000000000002</v>
      </c>
      <c r="I32" s="1" t="s">
        <v>8</v>
      </c>
      <c r="J32" s="35" t="s">
        <v>40</v>
      </c>
      <c r="K32" s="17"/>
      <c r="L32" s="17"/>
      <c r="M32" s="17"/>
      <c r="N32" t="str">
        <f t="shared" si="0"/>
        <v>Unique</v>
      </c>
      <c r="P32" s="25"/>
    </row>
    <row r="33" spans="1:16" ht="27.6" customHeight="1" thickBot="1" x14ac:dyDescent="0.35">
      <c r="A33" s="3">
        <v>46286.375</v>
      </c>
      <c r="B33" s="1" t="s">
        <v>42</v>
      </c>
      <c r="C33" s="1" t="s">
        <v>10</v>
      </c>
      <c r="D33" s="4">
        <v>5</v>
      </c>
      <c r="E33" s="4">
        <v>702</v>
      </c>
      <c r="F33" s="4">
        <v>-4.4247787609999998</v>
      </c>
      <c r="G33" s="2" t="s">
        <v>43</v>
      </c>
      <c r="H33" s="5">
        <v>734.5</v>
      </c>
      <c r="I33" s="1" t="s">
        <v>8</v>
      </c>
      <c r="J33" s="23" t="s">
        <v>40</v>
      </c>
      <c r="K33" s="18" t="s">
        <v>289</v>
      </c>
      <c r="L33" s="18">
        <f>7470/2</f>
        <v>3735</v>
      </c>
      <c r="M33" s="18">
        <f>ABS((D33*E33)-L33)</f>
        <v>225</v>
      </c>
      <c r="N33" s="10" t="str">
        <f t="shared" si="0"/>
        <v>Unique</v>
      </c>
    </row>
    <row r="34" spans="1:16" s="24" customFormat="1" ht="27.6" customHeight="1" thickBot="1" x14ac:dyDescent="0.35">
      <c r="A34" s="6" t="s">
        <v>61</v>
      </c>
      <c r="B34" s="1" t="s">
        <v>19</v>
      </c>
      <c r="C34" s="1" t="s">
        <v>10</v>
      </c>
      <c r="D34" s="4">
        <v>50</v>
      </c>
      <c r="E34" s="4">
        <v>206</v>
      </c>
      <c r="F34" s="4">
        <v>-2.2120953189999999</v>
      </c>
      <c r="G34" s="2" t="s">
        <v>39</v>
      </c>
      <c r="H34" s="5">
        <v>210.66</v>
      </c>
      <c r="I34" s="1" t="s">
        <v>8</v>
      </c>
      <c r="J34" s="35" t="s">
        <v>40</v>
      </c>
      <c r="K34" s="17"/>
      <c r="L34" s="17"/>
      <c r="M34" s="17"/>
      <c r="N34" t="str">
        <f t="shared" si="0"/>
        <v>Unique</v>
      </c>
      <c r="O34"/>
      <c r="P34"/>
    </row>
    <row r="35" spans="1:16" ht="27.6" customHeight="1" thickBot="1" x14ac:dyDescent="0.35">
      <c r="A35" s="3">
        <v>46121.375</v>
      </c>
      <c r="B35" s="1" t="s">
        <v>13</v>
      </c>
      <c r="C35" s="1" t="s">
        <v>10</v>
      </c>
      <c r="D35" s="4">
        <v>3</v>
      </c>
      <c r="E35" s="4">
        <v>1614</v>
      </c>
      <c r="F35" s="4">
        <v>-7.7134198639999996</v>
      </c>
      <c r="G35" s="2" t="s">
        <v>90</v>
      </c>
      <c r="H35" s="5">
        <v>1748.9</v>
      </c>
      <c r="I35" s="1" t="s">
        <v>8</v>
      </c>
      <c r="J35" s="23" t="s">
        <v>40</v>
      </c>
      <c r="K35" s="18" t="s">
        <v>237</v>
      </c>
      <c r="L35" s="18">
        <f>3*1794</f>
        <v>5382</v>
      </c>
      <c r="M35" s="18">
        <f>ABS((D35*E35)-L35)</f>
        <v>540</v>
      </c>
      <c r="N35" s="10" t="str">
        <f t="shared" si="0"/>
        <v>Unique</v>
      </c>
      <c r="O35"/>
      <c r="P35"/>
    </row>
    <row r="36" spans="1:16" ht="27.6" customHeight="1" thickBot="1" x14ac:dyDescent="0.35">
      <c r="A36" s="6" t="s">
        <v>61</v>
      </c>
      <c r="B36" s="1" t="s">
        <v>108</v>
      </c>
      <c r="C36" s="1" t="s">
        <v>10</v>
      </c>
      <c r="D36" s="4">
        <v>1</v>
      </c>
      <c r="E36" s="4">
        <v>4560</v>
      </c>
      <c r="F36" s="4">
        <v>-5.554865167</v>
      </c>
      <c r="G36" s="2" t="s">
        <v>109</v>
      </c>
      <c r="H36" s="5">
        <v>4828.2</v>
      </c>
      <c r="I36" s="1" t="s">
        <v>8</v>
      </c>
      <c r="J36" s="35"/>
      <c r="K36" s="17"/>
      <c r="L36" s="17"/>
      <c r="M36" s="17"/>
      <c r="N36" t="str">
        <f t="shared" si="0"/>
        <v>Unique</v>
      </c>
      <c r="O36"/>
      <c r="P36"/>
    </row>
    <row r="37" spans="1:16" ht="27.6" customHeight="1" thickBot="1" x14ac:dyDescent="0.35">
      <c r="A37" s="6" t="s">
        <v>61</v>
      </c>
      <c r="B37" s="1" t="s">
        <v>20</v>
      </c>
      <c r="C37" s="1" t="s">
        <v>10</v>
      </c>
      <c r="D37" s="4">
        <v>50</v>
      </c>
      <c r="E37" s="4">
        <v>119</v>
      </c>
      <c r="F37" s="4">
        <v>-2.0172910659999999</v>
      </c>
      <c r="G37" s="2" t="s">
        <v>85</v>
      </c>
      <c r="H37" s="5">
        <v>121.45</v>
      </c>
      <c r="I37" s="1" t="s">
        <v>8</v>
      </c>
      <c r="J37" s="35"/>
      <c r="K37" s="17"/>
      <c r="L37" s="17"/>
      <c r="M37" s="17"/>
      <c r="N37" t="str">
        <f t="shared" si="0"/>
        <v>Unique</v>
      </c>
      <c r="O37"/>
    </row>
    <row r="38" spans="1:16" ht="27.6" customHeight="1" thickBot="1" x14ac:dyDescent="0.35">
      <c r="A38" s="3">
        <v>46258.601388888892</v>
      </c>
      <c r="B38" s="1" t="s">
        <v>32</v>
      </c>
      <c r="C38" s="1" t="s">
        <v>10</v>
      </c>
      <c r="D38" s="4">
        <v>3</v>
      </c>
      <c r="E38" s="4">
        <v>2271</v>
      </c>
      <c r="F38" s="4">
        <v>-1.730852445</v>
      </c>
      <c r="G38" s="2" t="s">
        <v>83</v>
      </c>
      <c r="H38" s="5">
        <v>2311</v>
      </c>
      <c r="I38" s="1" t="s">
        <v>8</v>
      </c>
      <c r="J38" s="23" t="s">
        <v>54</v>
      </c>
      <c r="K38" s="18" t="s">
        <v>157</v>
      </c>
      <c r="L38" s="18">
        <v>7113</v>
      </c>
      <c r="M38" s="18">
        <f>ABS((D38*E38)-L38)</f>
        <v>300</v>
      </c>
      <c r="N38" s="10" t="str">
        <f t="shared" si="0"/>
        <v>Unique</v>
      </c>
      <c r="O38"/>
      <c r="P38"/>
    </row>
    <row r="39" spans="1:16" ht="14.4" customHeight="1" thickBot="1" x14ac:dyDescent="0.35">
      <c r="A39" s="3">
        <v>46252.688194444447</v>
      </c>
      <c r="B39" s="1" t="s">
        <v>21</v>
      </c>
      <c r="C39" s="1" t="s">
        <v>10</v>
      </c>
      <c r="D39" s="4">
        <v>5</v>
      </c>
      <c r="E39" s="4">
        <v>640</v>
      </c>
      <c r="F39" s="4">
        <v>-2.5875190259999998</v>
      </c>
      <c r="G39" s="2" t="s">
        <v>75</v>
      </c>
      <c r="H39" s="5">
        <v>657</v>
      </c>
      <c r="I39" s="1" t="s">
        <v>8</v>
      </c>
      <c r="J39" s="35" t="s">
        <v>40</v>
      </c>
      <c r="K39" s="17"/>
      <c r="L39" s="17"/>
      <c r="M39" s="17"/>
      <c r="N39" t="str">
        <f t="shared" si="0"/>
        <v>Unique</v>
      </c>
      <c r="O39"/>
      <c r="P39"/>
    </row>
    <row r="40" spans="1:16" ht="14.4" customHeight="1" thickBot="1" x14ac:dyDescent="0.35">
      <c r="A40" s="3">
        <v>46261.375</v>
      </c>
      <c r="B40" s="1" t="s">
        <v>31</v>
      </c>
      <c r="C40" s="1" t="s">
        <v>10</v>
      </c>
      <c r="D40" s="4">
        <v>20</v>
      </c>
      <c r="E40" s="4">
        <v>870</v>
      </c>
      <c r="F40" s="4">
        <v>-4.458598726</v>
      </c>
      <c r="G40" s="2" t="s">
        <v>84</v>
      </c>
      <c r="H40" s="5">
        <v>910.6</v>
      </c>
      <c r="I40" s="1" t="s">
        <v>8</v>
      </c>
      <c r="J40" s="23" t="s">
        <v>40</v>
      </c>
      <c r="K40" s="18" t="s">
        <v>183</v>
      </c>
      <c r="L40" s="18">
        <v>17700</v>
      </c>
      <c r="M40" s="18">
        <f>ABS((D40*E40)-L40)</f>
        <v>300</v>
      </c>
      <c r="N40" s="10" t="str">
        <f t="shared" si="0"/>
        <v>Unique</v>
      </c>
      <c r="P40" s="24"/>
    </row>
    <row r="41" spans="1:16" ht="14.4" customHeight="1" thickBot="1" x14ac:dyDescent="0.35">
      <c r="A41" s="3">
        <v>46283.375</v>
      </c>
      <c r="B41" s="1" t="s">
        <v>31</v>
      </c>
      <c r="C41" s="1" t="s">
        <v>10</v>
      </c>
      <c r="D41" s="4">
        <v>20</v>
      </c>
      <c r="E41" s="4">
        <v>870.2</v>
      </c>
      <c r="F41" s="4">
        <v>-4.4366351860000002</v>
      </c>
      <c r="G41" s="2" t="s">
        <v>84</v>
      </c>
      <c r="H41" s="5">
        <v>910.6</v>
      </c>
      <c r="I41" s="1" t="s">
        <v>8</v>
      </c>
      <c r="J41" s="23" t="s">
        <v>54</v>
      </c>
      <c r="K41" s="18" t="s">
        <v>286</v>
      </c>
      <c r="L41" s="18">
        <v>17920</v>
      </c>
      <c r="M41" s="18">
        <f>ABS((D41*E41)-L41)</f>
        <v>516</v>
      </c>
      <c r="N41" s="10" t="str">
        <f t="shared" si="0"/>
        <v>Unique</v>
      </c>
    </row>
    <row r="42" spans="1:16" s="24" customFormat="1" ht="14.4" customHeight="1" thickBot="1" x14ac:dyDescent="0.35">
      <c r="A42" s="6" t="s">
        <v>61</v>
      </c>
      <c r="B42" s="1" t="s">
        <v>22</v>
      </c>
      <c r="C42" s="1" t="s">
        <v>10</v>
      </c>
      <c r="D42" s="4">
        <v>29</v>
      </c>
      <c r="E42" s="4">
        <v>401</v>
      </c>
      <c r="F42" s="4">
        <v>-1.280157558</v>
      </c>
      <c r="G42" s="2" t="s">
        <v>72</v>
      </c>
      <c r="H42" s="5">
        <v>406.2</v>
      </c>
      <c r="I42" s="1" t="s">
        <v>8</v>
      </c>
      <c r="J42" s="22" t="s">
        <v>54</v>
      </c>
      <c r="K42" s="17"/>
      <c r="L42" s="17"/>
      <c r="M42" s="17"/>
      <c r="N42" t="str">
        <f t="shared" si="0"/>
        <v>Unique</v>
      </c>
      <c r="O42"/>
      <c r="P42" s="10"/>
    </row>
    <row r="43" spans="1:16" s="29" customFormat="1" ht="14.4" customHeight="1" thickBot="1" x14ac:dyDescent="0.35">
      <c r="A43" s="6" t="s">
        <v>61</v>
      </c>
      <c r="B43" s="1" t="s">
        <v>50</v>
      </c>
      <c r="C43" s="1" t="s">
        <v>10</v>
      </c>
      <c r="D43" s="4">
        <v>40</v>
      </c>
      <c r="E43" s="4">
        <v>862</v>
      </c>
      <c r="F43" s="4">
        <v>0.1161440186</v>
      </c>
      <c r="G43" s="2" t="s">
        <v>51</v>
      </c>
      <c r="H43" s="5">
        <v>861</v>
      </c>
      <c r="I43" s="1" t="s">
        <v>8</v>
      </c>
      <c r="J43" s="35" t="s">
        <v>54</v>
      </c>
      <c r="K43" s="17"/>
      <c r="L43" s="17"/>
      <c r="M43" s="17"/>
      <c r="N43" t="str">
        <f t="shared" si="0"/>
        <v>Unique</v>
      </c>
      <c r="O43"/>
      <c r="P43"/>
    </row>
    <row r="44" spans="1:16" ht="40.799999999999997" thickBot="1" x14ac:dyDescent="0.35">
      <c r="A44" s="6" t="s">
        <v>61</v>
      </c>
      <c r="B44" s="1" t="s">
        <v>23</v>
      </c>
      <c r="C44" s="1" t="s">
        <v>10</v>
      </c>
      <c r="D44" s="4">
        <v>50</v>
      </c>
      <c r="E44" s="4">
        <v>196</v>
      </c>
      <c r="F44" s="4">
        <v>-0.9350518069</v>
      </c>
      <c r="G44" s="2" t="s">
        <v>69</v>
      </c>
      <c r="H44" s="5">
        <v>197.85</v>
      </c>
      <c r="I44" s="1" t="s">
        <v>8</v>
      </c>
      <c r="J44" s="35" t="s">
        <v>40</v>
      </c>
      <c r="K44" s="17"/>
      <c r="L44" s="17"/>
      <c r="M44" s="17"/>
      <c r="N44" t="str">
        <f t="shared" si="0"/>
        <v>Unique</v>
      </c>
      <c r="O44"/>
      <c r="P44"/>
    </row>
    <row r="45" spans="1:16" ht="14.4" customHeight="1" thickBot="1" x14ac:dyDescent="0.35">
      <c r="A45" s="6" t="s">
        <v>61</v>
      </c>
      <c r="B45" s="1" t="s">
        <v>81</v>
      </c>
      <c r="C45" s="1" t="s">
        <v>10</v>
      </c>
      <c r="D45" s="4">
        <v>1</v>
      </c>
      <c r="E45" s="4">
        <v>4010</v>
      </c>
      <c r="F45" s="4">
        <v>0.69052102950000005</v>
      </c>
      <c r="G45" s="2" t="s">
        <v>82</v>
      </c>
      <c r="H45" s="5">
        <v>3982.5</v>
      </c>
      <c r="I45" s="1" t="s">
        <v>8</v>
      </c>
      <c r="J45" s="35" t="s">
        <v>40</v>
      </c>
      <c r="K45" s="17"/>
      <c r="L45" s="17"/>
      <c r="M45" s="17"/>
      <c r="N45" t="str">
        <f t="shared" si="0"/>
        <v>Unique</v>
      </c>
    </row>
    <row r="46" spans="1:16" customFormat="1" ht="40.799999999999997" thickBot="1" x14ac:dyDescent="0.35">
      <c r="A46" s="6" t="s">
        <v>61</v>
      </c>
      <c r="B46" s="1" t="s">
        <v>19</v>
      </c>
      <c r="C46" s="1" t="s">
        <v>10</v>
      </c>
      <c r="D46" s="4">
        <v>50</v>
      </c>
      <c r="E46" s="4">
        <v>212</v>
      </c>
      <c r="F46" s="4">
        <v>0.63609607899999998</v>
      </c>
      <c r="G46" s="2" t="s">
        <v>39</v>
      </c>
      <c r="H46" s="5">
        <v>210.66</v>
      </c>
      <c r="I46" s="1" t="s">
        <v>8</v>
      </c>
      <c r="J46" s="51" t="s">
        <v>40</v>
      </c>
      <c r="K46" s="17"/>
      <c r="L46" s="17"/>
      <c r="M46" s="17"/>
      <c r="N46" t="str">
        <f t="shared" si="0"/>
        <v>Unique</v>
      </c>
      <c r="O46" s="10"/>
      <c r="P46" s="10"/>
    </row>
    <row r="47" spans="1:16" customFormat="1" ht="40.799999999999997" thickBot="1" x14ac:dyDescent="0.35">
      <c r="A47" s="3">
        <v>46252.6875</v>
      </c>
      <c r="B47" s="1" t="s">
        <v>20</v>
      </c>
      <c r="C47" s="1" t="s">
        <v>10</v>
      </c>
      <c r="D47" s="4">
        <v>20</v>
      </c>
      <c r="E47" s="4">
        <v>122</v>
      </c>
      <c r="F47" s="4">
        <v>0.45286125980000003</v>
      </c>
      <c r="G47" s="2" t="s">
        <v>85</v>
      </c>
      <c r="H47" s="5">
        <v>121.45</v>
      </c>
      <c r="I47" s="1" t="s">
        <v>8</v>
      </c>
      <c r="J47" s="57" t="s">
        <v>40</v>
      </c>
      <c r="K47" s="17"/>
      <c r="L47" s="17"/>
      <c r="M47" s="17"/>
      <c r="N47" t="str">
        <f t="shared" si="0"/>
        <v>Unique</v>
      </c>
      <c r="O47" s="10"/>
      <c r="P47" s="10"/>
    </row>
    <row r="48" spans="1:16" customFormat="1" ht="27.6" thickBot="1" x14ac:dyDescent="0.35">
      <c r="A48" s="6" t="s">
        <v>61</v>
      </c>
      <c r="B48" s="1" t="s">
        <v>106</v>
      </c>
      <c r="C48" s="1" t="s">
        <v>10</v>
      </c>
      <c r="D48" s="4">
        <v>1</v>
      </c>
      <c r="E48" s="4">
        <v>6920</v>
      </c>
      <c r="F48" s="4">
        <v>-2.808988764</v>
      </c>
      <c r="G48" s="2" t="s">
        <v>107</v>
      </c>
      <c r="H48" s="5">
        <v>7120</v>
      </c>
      <c r="I48" s="1" t="s">
        <v>8</v>
      </c>
      <c r="J48" s="52" t="s">
        <v>54</v>
      </c>
      <c r="K48" s="17"/>
      <c r="L48" s="17"/>
      <c r="M48" s="17"/>
      <c r="N48" t="str">
        <f t="shared" si="0"/>
        <v>Unique</v>
      </c>
    </row>
    <row r="49" spans="1:16" customFormat="1" ht="27.6" thickBot="1" x14ac:dyDescent="0.35">
      <c r="A49" s="6" t="s">
        <v>61</v>
      </c>
      <c r="B49" s="1" t="s">
        <v>48</v>
      </c>
      <c r="C49" s="1" t="s">
        <v>10</v>
      </c>
      <c r="D49" s="4">
        <v>2</v>
      </c>
      <c r="E49" s="4">
        <v>3760</v>
      </c>
      <c r="F49" s="4">
        <v>-0.15932023370000001</v>
      </c>
      <c r="G49" s="2" t="s">
        <v>49</v>
      </c>
      <c r="H49" s="5">
        <v>3766</v>
      </c>
      <c r="I49" s="1" t="s">
        <v>8</v>
      </c>
      <c r="J49" s="51"/>
      <c r="K49" s="17"/>
      <c r="L49" s="17"/>
      <c r="M49" s="17"/>
      <c r="N49" t="str">
        <f t="shared" si="0"/>
        <v>Unique</v>
      </c>
      <c r="P49" s="10"/>
    </row>
    <row r="50" spans="1:16" customFormat="1" ht="40.799999999999997" thickBot="1" x14ac:dyDescent="0.35">
      <c r="A50" s="3">
        <v>46268.385416666664</v>
      </c>
      <c r="B50" s="1" t="s">
        <v>19</v>
      </c>
      <c r="C50" s="1" t="s">
        <v>10</v>
      </c>
      <c r="D50" s="4">
        <v>100</v>
      </c>
      <c r="E50" s="4">
        <v>214</v>
      </c>
      <c r="F50" s="4">
        <v>1.585493212</v>
      </c>
      <c r="G50" s="2" t="s">
        <v>39</v>
      </c>
      <c r="H50" s="5">
        <v>210.66</v>
      </c>
      <c r="I50" s="1" t="s">
        <v>8</v>
      </c>
      <c r="J50" s="18" t="s">
        <v>54</v>
      </c>
      <c r="K50" s="18" t="s">
        <v>232</v>
      </c>
      <c r="L50" s="18">
        <v>21900</v>
      </c>
      <c r="M50" s="18">
        <f>ABS((D50*E50)-L50)</f>
        <v>500</v>
      </c>
      <c r="N50" s="10" t="str">
        <f t="shared" si="0"/>
        <v>Unique</v>
      </c>
      <c r="O50" s="10"/>
      <c r="P50" s="10"/>
    </row>
    <row r="51" spans="1:16" customFormat="1" ht="40.799999999999997" thickBot="1" x14ac:dyDescent="0.35">
      <c r="A51" s="6" t="s">
        <v>61</v>
      </c>
      <c r="B51" s="1" t="s">
        <v>18</v>
      </c>
      <c r="C51" s="1" t="s">
        <v>10</v>
      </c>
      <c r="D51" s="4">
        <v>5</v>
      </c>
      <c r="E51" s="4">
        <v>1614</v>
      </c>
      <c r="F51" s="4">
        <v>-0.18552875699999999</v>
      </c>
      <c r="G51" s="2" t="s">
        <v>101</v>
      </c>
      <c r="H51" s="5">
        <v>1617</v>
      </c>
      <c r="I51" s="1" t="s">
        <v>8</v>
      </c>
      <c r="J51" s="52" t="s">
        <v>40</v>
      </c>
      <c r="K51" s="17"/>
      <c r="L51" s="17"/>
      <c r="M51" s="17"/>
      <c r="N51" t="str">
        <f t="shared" si="0"/>
        <v>Unique</v>
      </c>
    </row>
    <row r="52" spans="1:16" s="29" customFormat="1" ht="40.799999999999997" thickBot="1" x14ac:dyDescent="0.35">
      <c r="A52" s="3">
        <v>46301.375</v>
      </c>
      <c r="B52" s="1" t="s">
        <v>32</v>
      </c>
      <c r="C52" s="1" t="s">
        <v>7</v>
      </c>
      <c r="D52" s="4">
        <v>3</v>
      </c>
      <c r="E52" s="4">
        <v>2448</v>
      </c>
      <c r="F52" s="4">
        <v>5.9281696239999997</v>
      </c>
      <c r="G52" s="2" t="s">
        <v>83</v>
      </c>
      <c r="H52" s="5">
        <v>2311</v>
      </c>
      <c r="I52" s="1" t="s">
        <v>8</v>
      </c>
      <c r="J52" s="18" t="s">
        <v>117</v>
      </c>
      <c r="K52" s="18" t="s">
        <v>318</v>
      </c>
      <c r="L52" s="18">
        <f>3*2300</f>
        <v>6900</v>
      </c>
      <c r="M52" s="18">
        <f>ABS((D52*E52)-L52)</f>
        <v>444</v>
      </c>
      <c r="N52" t="str">
        <f t="shared" si="0"/>
        <v>Unique</v>
      </c>
      <c r="O52" s="10"/>
      <c r="P52" s="10"/>
    </row>
    <row r="53" spans="1:16" ht="27.6" thickBot="1" x14ac:dyDescent="0.35">
      <c r="A53" s="6" t="s">
        <v>61</v>
      </c>
      <c r="B53" s="1" t="s">
        <v>48</v>
      </c>
      <c r="C53" s="1" t="s">
        <v>10</v>
      </c>
      <c r="D53" s="4">
        <v>3</v>
      </c>
      <c r="E53" s="4">
        <v>3810</v>
      </c>
      <c r="F53" s="4">
        <v>1.1683483800000001</v>
      </c>
      <c r="G53" s="2" t="s">
        <v>49</v>
      </c>
      <c r="H53" s="5">
        <v>3766</v>
      </c>
      <c r="I53" s="1" t="s">
        <v>8</v>
      </c>
      <c r="J53" s="51"/>
      <c r="K53" s="17"/>
      <c r="L53" s="17"/>
      <c r="M53" s="17"/>
      <c r="N53" t="str">
        <f t="shared" si="0"/>
        <v>Unique</v>
      </c>
    </row>
    <row r="54" spans="1:16" s="25" customFormat="1" ht="40.799999999999997" thickBot="1" x14ac:dyDescent="0.35">
      <c r="A54" s="6" t="s">
        <v>61</v>
      </c>
      <c r="B54" s="1" t="s">
        <v>23</v>
      </c>
      <c r="C54" s="1" t="s">
        <v>10</v>
      </c>
      <c r="D54" s="4">
        <v>50</v>
      </c>
      <c r="E54" s="4">
        <v>201</v>
      </c>
      <c r="F54" s="4">
        <v>1.592115239</v>
      </c>
      <c r="G54" s="2" t="s">
        <v>69</v>
      </c>
      <c r="H54" s="5">
        <v>197.85</v>
      </c>
      <c r="I54" s="1" t="s">
        <v>8</v>
      </c>
      <c r="J54" s="57" t="s">
        <v>40</v>
      </c>
      <c r="K54" s="17"/>
      <c r="L54" s="17"/>
      <c r="M54" s="17"/>
      <c r="N54" t="str">
        <f t="shared" si="0"/>
        <v>Unique</v>
      </c>
      <c r="O54"/>
      <c r="P54"/>
    </row>
    <row r="55" spans="1:16" ht="27.6" thickBot="1" x14ac:dyDescent="0.35">
      <c r="A55" s="49">
        <v>46293.375</v>
      </c>
      <c r="B55" s="2" t="s">
        <v>88</v>
      </c>
      <c r="C55" s="2" t="s">
        <v>10</v>
      </c>
      <c r="D55" s="5">
        <v>1</v>
      </c>
      <c r="E55" s="5">
        <v>13052</v>
      </c>
      <c r="F55" s="4">
        <v>0.25347568939999998</v>
      </c>
      <c r="G55" s="2" t="s">
        <v>89</v>
      </c>
      <c r="H55" s="5">
        <v>13019</v>
      </c>
      <c r="I55" s="1" t="s">
        <v>8</v>
      </c>
      <c r="J55" s="18" t="s">
        <v>40</v>
      </c>
      <c r="K55" s="18" t="s">
        <v>304</v>
      </c>
      <c r="L55" s="18">
        <v>13698</v>
      </c>
      <c r="M55" s="18">
        <f>ABS((D55*E55)-L55)</f>
        <v>646</v>
      </c>
      <c r="N55" s="10" t="str">
        <f t="shared" si="0"/>
        <v>Unique</v>
      </c>
    </row>
    <row r="56" spans="1:16" ht="27.6" thickBot="1" x14ac:dyDescent="0.35">
      <c r="A56" s="11">
        <v>46243.375</v>
      </c>
      <c r="B56" s="8" t="s">
        <v>9</v>
      </c>
      <c r="C56" s="8" t="s">
        <v>7</v>
      </c>
      <c r="D56" s="8">
        <v>90</v>
      </c>
      <c r="E56" s="8">
        <v>299</v>
      </c>
      <c r="F56" s="4">
        <v>3.2458563539999998</v>
      </c>
      <c r="G56" s="2" t="s">
        <v>94</v>
      </c>
      <c r="H56" s="5">
        <v>289.60000000000002</v>
      </c>
      <c r="I56" s="1" t="s">
        <v>8</v>
      </c>
      <c r="J56" s="18" t="s">
        <v>116</v>
      </c>
      <c r="K56" s="18" t="s">
        <v>249</v>
      </c>
      <c r="L56" s="18">
        <v>26109.000000000004</v>
      </c>
      <c r="M56" s="18">
        <f>ABS((D56*E56)-L56)</f>
        <v>800.99999999999636</v>
      </c>
      <c r="N56" s="10" t="str">
        <f t="shared" si="0"/>
        <v>Unique</v>
      </c>
      <c r="P56"/>
    </row>
    <row r="57" spans="1:16" ht="27.6" thickBot="1" x14ac:dyDescent="0.35">
      <c r="A57" s="6" t="s">
        <v>61</v>
      </c>
      <c r="B57" s="1" t="s">
        <v>77</v>
      </c>
      <c r="C57" s="1" t="s">
        <v>10</v>
      </c>
      <c r="D57" s="4">
        <v>69</v>
      </c>
      <c r="E57" s="4">
        <v>1277</v>
      </c>
      <c r="F57" s="4">
        <v>1.2046283090000001</v>
      </c>
      <c r="G57" s="2" t="s">
        <v>78</v>
      </c>
      <c r="H57" s="5">
        <v>1261.8</v>
      </c>
      <c r="I57" s="1" t="s">
        <v>8</v>
      </c>
      <c r="J57" s="51"/>
      <c r="K57" s="17"/>
      <c r="L57" s="17"/>
      <c r="M57" s="17"/>
      <c r="N57" t="str">
        <f t="shared" si="0"/>
        <v>Unique</v>
      </c>
      <c r="O57"/>
      <c r="P57"/>
    </row>
    <row r="58" spans="1:16" ht="40.799999999999997" thickBot="1" x14ac:dyDescent="0.35">
      <c r="A58" s="49">
        <v>46296.410416666666</v>
      </c>
      <c r="B58" s="2" t="s">
        <v>50</v>
      </c>
      <c r="C58" s="2" t="s">
        <v>7</v>
      </c>
      <c r="D58" s="5">
        <v>20</v>
      </c>
      <c r="E58" s="5">
        <v>892</v>
      </c>
      <c r="F58" s="4">
        <v>3.6004645759999998</v>
      </c>
      <c r="G58" s="2" t="s">
        <v>51</v>
      </c>
      <c r="H58" s="5">
        <v>861</v>
      </c>
      <c r="I58" s="1" t="s">
        <v>8</v>
      </c>
      <c r="J58" s="18" t="s">
        <v>117</v>
      </c>
      <c r="K58" s="18" t="s">
        <v>313</v>
      </c>
      <c r="L58" s="18">
        <v>16832</v>
      </c>
      <c r="M58" s="18">
        <f>ABS((D58*E58)-L58)</f>
        <v>1008</v>
      </c>
      <c r="N58" s="10" t="str">
        <f t="shared" si="0"/>
        <v>Unique</v>
      </c>
    </row>
    <row r="59" spans="1:16" s="29" customFormat="1" ht="27.6" thickBot="1" x14ac:dyDescent="0.35">
      <c r="A59" s="6" t="s">
        <v>61</v>
      </c>
      <c r="B59" s="1" t="s">
        <v>48</v>
      </c>
      <c r="C59" s="1" t="s">
        <v>10</v>
      </c>
      <c r="D59" s="4">
        <v>2</v>
      </c>
      <c r="E59" s="4">
        <v>3830</v>
      </c>
      <c r="F59" s="4">
        <v>1.6994158260000001</v>
      </c>
      <c r="G59" s="2" t="s">
        <v>49</v>
      </c>
      <c r="H59" s="5">
        <v>3766</v>
      </c>
      <c r="I59" s="1" t="s">
        <v>8</v>
      </c>
      <c r="J59" s="51"/>
      <c r="K59" s="17"/>
      <c r="L59" s="17"/>
      <c r="M59" s="17"/>
      <c r="N59" t="str">
        <f t="shared" si="0"/>
        <v>Unique</v>
      </c>
      <c r="O59" s="10"/>
      <c r="P59" s="10"/>
    </row>
    <row r="60" spans="1:16" ht="27.6" thickBot="1" x14ac:dyDescent="0.35">
      <c r="A60" s="3">
        <v>46252.6875</v>
      </c>
      <c r="B60" s="1" t="s">
        <v>17</v>
      </c>
      <c r="C60" s="1" t="s">
        <v>10</v>
      </c>
      <c r="D60" s="4">
        <v>25</v>
      </c>
      <c r="E60" s="4">
        <v>326</v>
      </c>
      <c r="F60" s="4">
        <v>1.875</v>
      </c>
      <c r="G60" s="2" t="s">
        <v>76</v>
      </c>
      <c r="H60" s="5">
        <v>320</v>
      </c>
      <c r="I60" s="1" t="s">
        <v>8</v>
      </c>
      <c r="J60" s="51" t="s">
        <v>40</v>
      </c>
      <c r="K60" s="17"/>
      <c r="L60" s="17"/>
      <c r="M60" s="17"/>
      <c r="N60" t="str">
        <f t="shared" si="0"/>
        <v>Unique</v>
      </c>
      <c r="O60"/>
      <c r="P60"/>
    </row>
    <row r="61" spans="1:16" ht="40.799999999999997" thickBot="1" x14ac:dyDescent="0.35">
      <c r="A61" s="49">
        <v>46293.375694444447</v>
      </c>
      <c r="B61" s="2" t="s">
        <v>50</v>
      </c>
      <c r="C61" s="2" t="s">
        <v>7</v>
      </c>
      <c r="D61" s="5">
        <v>40</v>
      </c>
      <c r="E61" s="5">
        <v>898</v>
      </c>
      <c r="F61" s="4">
        <v>4.2973286880000003</v>
      </c>
      <c r="G61" s="2" t="s">
        <v>51</v>
      </c>
      <c r="H61" s="5">
        <v>861</v>
      </c>
      <c r="I61" s="1" t="s">
        <v>8</v>
      </c>
      <c r="J61" s="18" t="s">
        <v>116</v>
      </c>
      <c r="K61" s="18" t="s">
        <v>303</v>
      </c>
      <c r="L61" s="18">
        <v>35200</v>
      </c>
      <c r="M61" s="18">
        <f>ABS((D61*E61)-L61)</f>
        <v>720</v>
      </c>
      <c r="N61" s="10" t="str">
        <f t="shared" si="0"/>
        <v>Unique</v>
      </c>
    </row>
    <row r="62" spans="1:16" s="24" customFormat="1" ht="27.6" thickBot="1" x14ac:dyDescent="0.35">
      <c r="A62" s="6" t="s">
        <v>61</v>
      </c>
      <c r="B62" s="1" t="s">
        <v>48</v>
      </c>
      <c r="C62" s="1" t="s">
        <v>10</v>
      </c>
      <c r="D62" s="4">
        <v>2</v>
      </c>
      <c r="E62" s="4">
        <v>3856</v>
      </c>
      <c r="F62" s="4">
        <v>2.3898035050000002</v>
      </c>
      <c r="G62" s="2" t="s">
        <v>49</v>
      </c>
      <c r="H62" s="5">
        <v>3766</v>
      </c>
      <c r="I62" s="1" t="s">
        <v>8</v>
      </c>
      <c r="J62" s="51"/>
      <c r="K62" s="17"/>
      <c r="L62" s="17"/>
      <c r="M62" s="17"/>
      <c r="N62" t="str">
        <f t="shared" si="0"/>
        <v>Unique</v>
      </c>
      <c r="O62" s="19"/>
      <c r="P62" s="10"/>
    </row>
    <row r="63" spans="1:16" s="24" customFormat="1" ht="27.6" thickBot="1" x14ac:dyDescent="0.35">
      <c r="A63" s="58">
        <v>46290.385416666664</v>
      </c>
      <c r="B63" s="59" t="s">
        <v>25</v>
      </c>
      <c r="C63" s="59" t="s">
        <v>7</v>
      </c>
      <c r="D63" s="60">
        <v>200</v>
      </c>
      <c r="E63" s="60">
        <v>32.49</v>
      </c>
      <c r="F63" s="4">
        <v>3.968</v>
      </c>
      <c r="G63" s="2" t="s">
        <v>45</v>
      </c>
      <c r="H63" s="5">
        <v>31.25</v>
      </c>
      <c r="I63" s="1" t="s">
        <v>8</v>
      </c>
      <c r="J63" s="44" t="s">
        <v>116</v>
      </c>
      <c r="K63" s="44" t="s">
        <v>299</v>
      </c>
      <c r="L63" s="44">
        <v>6202</v>
      </c>
      <c r="M63" s="44">
        <f>ABS((D63*E63)-L63)</f>
        <v>296</v>
      </c>
      <c r="N63" s="24" t="str">
        <f t="shared" si="0"/>
        <v>Unique</v>
      </c>
      <c r="P63" s="24" t="s">
        <v>253</v>
      </c>
    </row>
    <row r="64" spans="1:16" ht="27.6" thickBot="1" x14ac:dyDescent="0.35">
      <c r="A64" s="49">
        <v>46293.375</v>
      </c>
      <c r="B64" s="2" t="s">
        <v>65</v>
      </c>
      <c r="C64" s="2" t="s">
        <v>7</v>
      </c>
      <c r="D64" s="5">
        <v>10</v>
      </c>
      <c r="E64" s="5">
        <v>1166</v>
      </c>
      <c r="F64" s="4">
        <v>2.577637019</v>
      </c>
      <c r="G64" s="2" t="s">
        <v>66</v>
      </c>
      <c r="H64" s="5">
        <v>1136.7</v>
      </c>
      <c r="I64" s="1" t="s">
        <v>8</v>
      </c>
      <c r="J64" s="18" t="s">
        <v>116</v>
      </c>
      <c r="K64" s="18" t="s">
        <v>301</v>
      </c>
      <c r="L64" s="18">
        <v>11360</v>
      </c>
      <c r="M64" s="18">
        <f>ABS((D64*E64)-L64)</f>
        <v>300</v>
      </c>
      <c r="N64" s="10" t="str">
        <f t="shared" si="0"/>
        <v>Unique</v>
      </c>
    </row>
    <row r="65" spans="1:16" ht="40.799999999999997" thickBot="1" x14ac:dyDescent="0.35">
      <c r="A65" s="3">
        <v>46288.429861111108</v>
      </c>
      <c r="B65" s="1" t="s">
        <v>12</v>
      </c>
      <c r="C65" s="1" t="s">
        <v>7</v>
      </c>
      <c r="D65" s="4">
        <v>3</v>
      </c>
      <c r="E65" s="4">
        <v>4948</v>
      </c>
      <c r="F65" s="4">
        <v>4.3309577030000002</v>
      </c>
      <c r="G65" s="2" t="s">
        <v>97</v>
      </c>
      <c r="H65" s="5">
        <v>4742.6000000000004</v>
      </c>
      <c r="I65" s="1" t="s">
        <v>8</v>
      </c>
      <c r="J65" s="18" t="s">
        <v>116</v>
      </c>
      <c r="K65" s="18" t="s">
        <v>292</v>
      </c>
      <c r="L65" s="18">
        <v>14130</v>
      </c>
      <c r="M65" s="18">
        <f>ABS((D65*E65)-L65)</f>
        <v>714</v>
      </c>
      <c r="N65" s="10" t="str">
        <f t="shared" si="0"/>
        <v>Unique</v>
      </c>
    </row>
    <row r="66" spans="1:16" ht="40.799999999999997" thickBot="1" x14ac:dyDescent="0.35">
      <c r="A66" s="3">
        <v>46261.375</v>
      </c>
      <c r="B66" s="1" t="s">
        <v>23</v>
      </c>
      <c r="C66" s="1" t="s">
        <v>10</v>
      </c>
      <c r="D66" s="4">
        <v>50</v>
      </c>
      <c r="E66" s="4">
        <v>204</v>
      </c>
      <c r="F66" s="4">
        <v>3.1084154659999998</v>
      </c>
      <c r="G66" s="2" t="s">
        <v>69</v>
      </c>
      <c r="H66" s="5">
        <v>197.85</v>
      </c>
      <c r="I66" s="1" t="s">
        <v>8</v>
      </c>
      <c r="J66" s="18" t="s">
        <v>40</v>
      </c>
      <c r="K66" s="18" t="s">
        <v>182</v>
      </c>
      <c r="L66" s="18">
        <v>10550</v>
      </c>
      <c r="M66" s="18">
        <f>ABS((D66*E66)-L66)</f>
        <v>350</v>
      </c>
      <c r="N66" s="10" t="str">
        <f t="shared" ref="N66:N129" si="1">IF(COUNTIFS( $B$2:$B$688, B66, $C$2:$C$688, C66, $D$2:$D$688, D66, $E$2:$E$688, E66) &gt; 1, "Duplicate", "Unique")</f>
        <v>Unique</v>
      </c>
    </row>
    <row r="67" spans="1:16" s="24" customFormat="1" ht="40.799999999999997" thickBot="1" x14ac:dyDescent="0.35">
      <c r="A67" s="49">
        <v>46301.393055555556</v>
      </c>
      <c r="B67" s="2" t="s">
        <v>33</v>
      </c>
      <c r="C67" s="2" t="s">
        <v>10</v>
      </c>
      <c r="D67" s="5">
        <v>1</v>
      </c>
      <c r="E67" s="5">
        <v>19550</v>
      </c>
      <c r="F67" s="4">
        <v>-3.0257936509999999</v>
      </c>
      <c r="G67" s="2" t="s">
        <v>70</v>
      </c>
      <c r="H67" s="5">
        <v>20160</v>
      </c>
      <c r="I67" s="1" t="s">
        <v>8</v>
      </c>
      <c r="J67" s="18" t="s">
        <v>40</v>
      </c>
      <c r="K67" s="18" t="s">
        <v>320</v>
      </c>
      <c r="L67" s="18">
        <v>20020</v>
      </c>
      <c r="M67" s="18">
        <f>ABS((D67*E67)-L67)</f>
        <v>470</v>
      </c>
      <c r="N67" s="10" t="str">
        <f t="shared" si="1"/>
        <v>Unique</v>
      </c>
      <c r="O67" s="10"/>
      <c r="P67" s="10"/>
    </row>
    <row r="68" spans="1:16" ht="27.6" thickBot="1" x14ac:dyDescent="0.35">
      <c r="A68" s="6" t="s">
        <v>61</v>
      </c>
      <c r="B68" s="1" t="s">
        <v>48</v>
      </c>
      <c r="C68" s="1" t="s">
        <v>10</v>
      </c>
      <c r="D68" s="4">
        <v>5</v>
      </c>
      <c r="E68" s="4">
        <v>3888</v>
      </c>
      <c r="F68" s="4">
        <v>3.2395114180000002</v>
      </c>
      <c r="G68" s="2" t="s">
        <v>49</v>
      </c>
      <c r="H68" s="5">
        <v>3766</v>
      </c>
      <c r="I68" s="1" t="s">
        <v>8</v>
      </c>
      <c r="J68" s="51"/>
      <c r="K68" s="17"/>
      <c r="L68" s="17"/>
      <c r="M68" s="17"/>
      <c r="N68" t="str">
        <f t="shared" si="1"/>
        <v>Unique</v>
      </c>
      <c r="O68" s="25"/>
    </row>
    <row r="69" spans="1:16" ht="40.799999999999997" thickBot="1" x14ac:dyDescent="0.35">
      <c r="A69" s="49">
        <v>46293.375694444447</v>
      </c>
      <c r="B69" s="2" t="s">
        <v>50</v>
      </c>
      <c r="C69" s="2" t="s">
        <v>7</v>
      </c>
      <c r="D69" s="5">
        <v>10</v>
      </c>
      <c r="E69" s="5">
        <v>907</v>
      </c>
      <c r="F69" s="4">
        <v>5.3426248550000004</v>
      </c>
      <c r="G69" s="2" t="s">
        <v>51</v>
      </c>
      <c r="H69" s="5">
        <v>861</v>
      </c>
      <c r="I69" s="1" t="s">
        <v>8</v>
      </c>
      <c r="J69" s="18" t="s">
        <v>116</v>
      </c>
      <c r="K69" s="18" t="s">
        <v>305</v>
      </c>
      <c r="L69" s="18">
        <f>17740/2</f>
        <v>8870</v>
      </c>
      <c r="M69" s="18">
        <f>ABS((D69*E69)-L69)</f>
        <v>200</v>
      </c>
      <c r="N69" s="10" t="str">
        <f t="shared" si="1"/>
        <v>Unique</v>
      </c>
    </row>
    <row r="70" spans="1:16" ht="27.6" thickBot="1" x14ac:dyDescent="0.35">
      <c r="A70" s="49">
        <v>46293.401388888888</v>
      </c>
      <c r="B70" s="2" t="s">
        <v>14</v>
      </c>
      <c r="C70" s="2" t="s">
        <v>7</v>
      </c>
      <c r="D70" s="5">
        <v>100</v>
      </c>
      <c r="E70" s="5">
        <v>329</v>
      </c>
      <c r="F70" s="4">
        <v>3.102475713</v>
      </c>
      <c r="G70" s="2" t="s">
        <v>44</v>
      </c>
      <c r="H70" s="5">
        <v>319.10000000000002</v>
      </c>
      <c r="I70" s="1" t="s">
        <v>8</v>
      </c>
      <c r="J70" s="18" t="s">
        <v>116</v>
      </c>
      <c r="K70" s="18" t="s">
        <v>300</v>
      </c>
      <c r="L70" s="18">
        <v>32400</v>
      </c>
      <c r="M70" s="18">
        <f>ABS((D70*E70)-L70)</f>
        <v>500</v>
      </c>
      <c r="N70" s="10" t="str">
        <f t="shared" si="1"/>
        <v>Unique</v>
      </c>
    </row>
    <row r="71" spans="1:16" ht="27.6" thickBot="1" x14ac:dyDescent="0.35">
      <c r="A71" s="3">
        <v>46268.375</v>
      </c>
      <c r="B71" s="1" t="s">
        <v>14</v>
      </c>
      <c r="C71" s="1" t="s">
        <v>7</v>
      </c>
      <c r="D71" s="4">
        <v>100</v>
      </c>
      <c r="E71" s="4">
        <v>334</v>
      </c>
      <c r="F71" s="4">
        <v>4.6693826390000002</v>
      </c>
      <c r="G71" s="2" t="s">
        <v>44</v>
      </c>
      <c r="H71" s="5">
        <v>319.10000000000002</v>
      </c>
      <c r="I71" s="1" t="s">
        <v>8</v>
      </c>
      <c r="J71" s="18" t="s">
        <v>116</v>
      </c>
      <c r="K71" s="18" t="s">
        <v>231</v>
      </c>
      <c r="L71" s="18">
        <v>32200</v>
      </c>
      <c r="M71" s="18">
        <f>ABS((D71*E71)-L71)</f>
        <v>1200</v>
      </c>
      <c r="N71" s="10" t="str">
        <f t="shared" si="1"/>
        <v>Unique</v>
      </c>
      <c r="O71" s="38" t="s">
        <v>239</v>
      </c>
    </row>
    <row r="72" spans="1:16" ht="27.6" thickBot="1" x14ac:dyDescent="0.35">
      <c r="A72" s="3">
        <v>46252.635416666664</v>
      </c>
      <c r="B72" s="1" t="s">
        <v>77</v>
      </c>
      <c r="C72" s="1" t="s">
        <v>10</v>
      </c>
      <c r="D72" s="4">
        <v>3</v>
      </c>
      <c r="E72" s="4">
        <v>1302</v>
      </c>
      <c r="F72" s="4">
        <v>3.1859248689999999</v>
      </c>
      <c r="G72" s="2" t="s">
        <v>78</v>
      </c>
      <c r="H72" s="5">
        <v>1261.8</v>
      </c>
      <c r="I72" s="1" t="s">
        <v>8</v>
      </c>
      <c r="J72" s="51" t="s">
        <v>40</v>
      </c>
      <c r="K72" s="17"/>
      <c r="L72" s="17"/>
      <c r="M72" s="17"/>
      <c r="N72" t="str">
        <f t="shared" si="1"/>
        <v>Unique</v>
      </c>
      <c r="O72"/>
      <c r="P72"/>
    </row>
    <row r="73" spans="1:16" s="29" customFormat="1" ht="27.6" thickBot="1" x14ac:dyDescent="0.35">
      <c r="A73" s="3">
        <v>46281.376388888886</v>
      </c>
      <c r="B73" s="1" t="s">
        <v>108</v>
      </c>
      <c r="C73" s="1" t="s">
        <v>7</v>
      </c>
      <c r="D73" s="4">
        <v>1</v>
      </c>
      <c r="E73" s="4">
        <v>4940</v>
      </c>
      <c r="F73" s="4">
        <v>2.315562736</v>
      </c>
      <c r="G73" s="2" t="s">
        <v>109</v>
      </c>
      <c r="H73" s="5">
        <v>4828.2</v>
      </c>
      <c r="I73" s="1" t="s">
        <v>8</v>
      </c>
      <c r="J73" s="18" t="s">
        <v>117</v>
      </c>
      <c r="K73" s="18" t="s">
        <v>282</v>
      </c>
      <c r="L73" s="18">
        <v>4640</v>
      </c>
      <c r="M73" s="18">
        <f>ABS((D73*E73)-L73)</f>
        <v>300</v>
      </c>
      <c r="N73" s="10" t="str">
        <f t="shared" si="1"/>
        <v>Unique</v>
      </c>
      <c r="O73" s="38" t="s">
        <v>239</v>
      </c>
      <c r="P73" s="10"/>
    </row>
    <row r="74" spans="1:16" s="29" customFormat="1" ht="40.799999999999997" thickBot="1" x14ac:dyDescent="0.35">
      <c r="A74" s="3">
        <v>46267.375</v>
      </c>
      <c r="B74" s="1" t="s">
        <v>81</v>
      </c>
      <c r="C74" s="1" t="s">
        <v>7</v>
      </c>
      <c r="D74" s="4">
        <v>2</v>
      </c>
      <c r="E74" s="4">
        <v>4290</v>
      </c>
      <c r="F74" s="4">
        <v>7.7212806030000003</v>
      </c>
      <c r="G74" s="2" t="s">
        <v>82</v>
      </c>
      <c r="H74" s="5">
        <v>3982.5</v>
      </c>
      <c r="I74" s="1" t="s">
        <v>8</v>
      </c>
      <c r="J74" s="18" t="s">
        <v>117</v>
      </c>
      <c r="K74" s="18" t="s">
        <v>224</v>
      </c>
      <c r="L74" s="18">
        <v>8220</v>
      </c>
      <c r="M74" s="18">
        <f>ABS((D74*E74)-L74)</f>
        <v>360</v>
      </c>
      <c r="N74" s="10" t="str">
        <f t="shared" si="1"/>
        <v>Unique</v>
      </c>
      <c r="O74" s="38" t="s">
        <v>239</v>
      </c>
      <c r="P74" s="10"/>
    </row>
    <row r="75" spans="1:16" ht="27.6" thickBot="1" x14ac:dyDescent="0.35">
      <c r="A75" s="3">
        <v>46252.645138888889</v>
      </c>
      <c r="B75" s="1" t="s">
        <v>67</v>
      </c>
      <c r="C75" s="1" t="s">
        <v>10</v>
      </c>
      <c r="D75" s="4">
        <v>10</v>
      </c>
      <c r="E75" s="4">
        <v>401</v>
      </c>
      <c r="F75" s="4">
        <v>3.6175710589999999</v>
      </c>
      <c r="G75" s="2" t="s">
        <v>68</v>
      </c>
      <c r="H75" s="5">
        <v>387</v>
      </c>
      <c r="I75" s="1" t="s">
        <v>8</v>
      </c>
      <c r="J75" s="53" t="s">
        <v>40</v>
      </c>
      <c r="K75" s="17"/>
      <c r="L75" s="17"/>
      <c r="M75" s="17"/>
      <c r="N75" t="str">
        <f t="shared" si="1"/>
        <v>Unique</v>
      </c>
    </row>
    <row r="76" spans="1:16" ht="40.799999999999997" thickBot="1" x14ac:dyDescent="0.35">
      <c r="A76" s="3">
        <v>46275.457638888889</v>
      </c>
      <c r="B76" s="1" t="s">
        <v>19</v>
      </c>
      <c r="C76" s="1" t="s">
        <v>10</v>
      </c>
      <c r="D76" s="4">
        <v>100</v>
      </c>
      <c r="E76" s="4">
        <v>222</v>
      </c>
      <c r="F76" s="4">
        <v>5.383081743</v>
      </c>
      <c r="G76" s="2" t="s">
        <v>39</v>
      </c>
      <c r="H76" s="5">
        <v>210.66</v>
      </c>
      <c r="I76" s="1" t="s">
        <v>8</v>
      </c>
      <c r="J76" s="18" t="s">
        <v>40</v>
      </c>
      <c r="K76" s="18" t="s">
        <v>263</v>
      </c>
      <c r="L76" s="18">
        <v>56375</v>
      </c>
      <c r="M76" s="18">
        <f>ABS((D76*E76)-L76)</f>
        <v>34175</v>
      </c>
      <c r="N76" s="10" t="str">
        <f t="shared" si="1"/>
        <v>Unique</v>
      </c>
    </row>
    <row r="77" spans="1:16" ht="27.6" thickBot="1" x14ac:dyDescent="0.35">
      <c r="A77" s="11">
        <v>46252.6875</v>
      </c>
      <c r="B77" s="8" t="s">
        <v>9</v>
      </c>
      <c r="C77" s="8" t="s">
        <v>7</v>
      </c>
      <c r="D77" s="8">
        <v>50</v>
      </c>
      <c r="E77" s="8">
        <v>305</v>
      </c>
      <c r="F77" s="4">
        <v>5.317679558</v>
      </c>
      <c r="G77" s="2" t="s">
        <v>94</v>
      </c>
      <c r="H77" s="5">
        <v>289.60000000000002</v>
      </c>
      <c r="I77" s="1" t="s">
        <v>8</v>
      </c>
      <c r="J77" s="34" t="s">
        <v>117</v>
      </c>
      <c r="N77" s="10" t="str">
        <f t="shared" si="1"/>
        <v>Unique</v>
      </c>
    </row>
    <row r="78" spans="1:16" ht="27.6" thickBot="1" x14ac:dyDescent="0.35">
      <c r="A78" s="3">
        <v>46274.375</v>
      </c>
      <c r="B78" s="1" t="s">
        <v>65</v>
      </c>
      <c r="C78" s="1" t="s">
        <v>7</v>
      </c>
      <c r="D78" s="4">
        <v>10</v>
      </c>
      <c r="E78" s="4">
        <v>1196</v>
      </c>
      <c r="F78" s="4">
        <v>5.2168558110000003</v>
      </c>
      <c r="G78" s="2" t="s">
        <v>66</v>
      </c>
      <c r="H78" s="5">
        <v>1136.7</v>
      </c>
      <c r="I78" s="1" t="s">
        <v>8</v>
      </c>
      <c r="J78" s="18" t="s">
        <v>116</v>
      </c>
      <c r="K78" s="18" t="s">
        <v>255</v>
      </c>
      <c r="L78" s="18">
        <v>11660</v>
      </c>
      <c r="M78" s="18">
        <f t="shared" ref="M78:M82" si="2">ABS((D78*E78)-L78)</f>
        <v>300</v>
      </c>
      <c r="N78" s="10" t="str">
        <f t="shared" si="1"/>
        <v>Unique</v>
      </c>
      <c r="O78" s="38" t="s">
        <v>239</v>
      </c>
    </row>
    <row r="79" spans="1:16" ht="40.799999999999997" thickBot="1" x14ac:dyDescent="0.35">
      <c r="A79" s="49">
        <v>46293.375694444447</v>
      </c>
      <c r="B79" s="2" t="s">
        <v>42</v>
      </c>
      <c r="C79" s="2" t="s">
        <v>7</v>
      </c>
      <c r="D79" s="5">
        <v>5</v>
      </c>
      <c r="E79" s="5">
        <v>762</v>
      </c>
      <c r="F79" s="4">
        <v>3.7440435669999999</v>
      </c>
      <c r="G79" s="2" t="s">
        <v>43</v>
      </c>
      <c r="H79" s="5">
        <v>734.5</v>
      </c>
      <c r="I79" s="1" t="s">
        <v>8</v>
      </c>
      <c r="J79" s="18" t="s">
        <v>117</v>
      </c>
      <c r="K79" s="18" t="s">
        <v>302</v>
      </c>
      <c r="L79" s="18">
        <v>3560</v>
      </c>
      <c r="M79" s="18">
        <f t="shared" si="2"/>
        <v>250</v>
      </c>
      <c r="N79" s="10" t="str">
        <f t="shared" si="1"/>
        <v>Unique</v>
      </c>
    </row>
    <row r="80" spans="1:16" ht="40.799999999999997" thickBot="1" x14ac:dyDescent="0.35">
      <c r="A80" s="49">
        <v>46293.375694444447</v>
      </c>
      <c r="B80" s="2" t="s">
        <v>50</v>
      </c>
      <c r="C80" s="2" t="s">
        <v>7</v>
      </c>
      <c r="D80" s="5">
        <v>10</v>
      </c>
      <c r="E80" s="5">
        <v>917</v>
      </c>
      <c r="F80" s="4">
        <v>6.5040650409999996</v>
      </c>
      <c r="G80" s="2" t="s">
        <v>51</v>
      </c>
      <c r="H80" s="5">
        <v>861</v>
      </c>
      <c r="I80" s="1" t="s">
        <v>8</v>
      </c>
      <c r="J80" s="18" t="s">
        <v>116</v>
      </c>
      <c r="K80" s="18" t="s">
        <v>305</v>
      </c>
      <c r="L80" s="18">
        <f>17740/2</f>
        <v>8870</v>
      </c>
      <c r="M80" s="18">
        <f t="shared" si="2"/>
        <v>300</v>
      </c>
      <c r="N80" s="10" t="str">
        <f t="shared" si="1"/>
        <v>Unique</v>
      </c>
    </row>
    <row r="81" spans="1:16" ht="40.799999999999997" thickBot="1" x14ac:dyDescent="0.35">
      <c r="A81" s="3">
        <v>46286.375694444447</v>
      </c>
      <c r="B81" s="1" t="s">
        <v>50</v>
      </c>
      <c r="C81" s="1" t="s">
        <v>7</v>
      </c>
      <c r="D81" s="4">
        <v>10</v>
      </c>
      <c r="E81" s="4">
        <v>927</v>
      </c>
      <c r="F81" s="4">
        <v>7.6655052259999996</v>
      </c>
      <c r="G81" s="2" t="s">
        <v>51</v>
      </c>
      <c r="H81" s="5">
        <v>861</v>
      </c>
      <c r="I81" s="1" t="s">
        <v>8</v>
      </c>
      <c r="J81" s="18" t="s">
        <v>116</v>
      </c>
      <c r="K81" s="18" t="s">
        <v>290</v>
      </c>
      <c r="L81" s="18">
        <f>26910/3</f>
        <v>8970</v>
      </c>
      <c r="M81" s="18">
        <f t="shared" si="2"/>
        <v>300</v>
      </c>
      <c r="N81" s="10" t="str">
        <f t="shared" si="1"/>
        <v>Unique</v>
      </c>
    </row>
    <row r="82" spans="1:16" ht="27.6" thickBot="1" x14ac:dyDescent="0.35">
      <c r="A82" s="3">
        <v>46280.435416666667</v>
      </c>
      <c r="B82" s="1" t="s">
        <v>67</v>
      </c>
      <c r="C82" s="1" t="s">
        <v>7</v>
      </c>
      <c r="D82" s="4">
        <v>50</v>
      </c>
      <c r="E82" s="4">
        <v>409</v>
      </c>
      <c r="F82" s="4">
        <v>5.6847545220000004</v>
      </c>
      <c r="G82" s="2" t="s">
        <v>68</v>
      </c>
      <c r="H82" s="5">
        <v>387</v>
      </c>
      <c r="I82" s="1" t="s">
        <v>8</v>
      </c>
      <c r="J82" s="18" t="s">
        <v>116</v>
      </c>
      <c r="K82" s="18" t="s">
        <v>275</v>
      </c>
      <c r="L82" s="18">
        <v>39300</v>
      </c>
      <c r="M82" s="18">
        <f t="shared" si="2"/>
        <v>18850</v>
      </c>
      <c r="N82" s="10" t="str">
        <f t="shared" si="1"/>
        <v>Unique</v>
      </c>
    </row>
    <row r="83" spans="1:16" ht="40.799999999999997" thickBot="1" x14ac:dyDescent="0.35">
      <c r="A83" s="8" t="s">
        <v>61</v>
      </c>
      <c r="B83" s="8" t="s">
        <v>42</v>
      </c>
      <c r="C83" s="8" t="s">
        <v>7</v>
      </c>
      <c r="D83" s="8">
        <v>10</v>
      </c>
      <c r="E83" s="8">
        <v>773</v>
      </c>
      <c r="F83" s="4">
        <v>5.2416609940000001</v>
      </c>
      <c r="G83" s="2" t="s">
        <v>43</v>
      </c>
      <c r="H83" s="5">
        <v>734.5</v>
      </c>
      <c r="I83" s="1" t="s">
        <v>8</v>
      </c>
      <c r="J83" s="34" t="s">
        <v>117</v>
      </c>
      <c r="N83" s="10" t="str">
        <f t="shared" si="1"/>
        <v>Unique</v>
      </c>
    </row>
    <row r="84" spans="1:16" s="29" customFormat="1" ht="40.799999999999997" thickBot="1" x14ac:dyDescent="0.35">
      <c r="A84" s="49">
        <v>46289.375694444447</v>
      </c>
      <c r="B84" s="2" t="s">
        <v>23</v>
      </c>
      <c r="C84" s="2" t="s">
        <v>7</v>
      </c>
      <c r="D84" s="5">
        <v>50</v>
      </c>
      <c r="E84" s="5">
        <v>211</v>
      </c>
      <c r="F84" s="4">
        <v>6.6464493300000003</v>
      </c>
      <c r="G84" s="2" t="s">
        <v>69</v>
      </c>
      <c r="H84" s="5">
        <v>197.85</v>
      </c>
      <c r="I84" s="1" t="s">
        <v>8</v>
      </c>
      <c r="J84" s="18" t="s">
        <v>116</v>
      </c>
      <c r="K84" s="18" t="s">
        <v>294</v>
      </c>
      <c r="L84" s="18">
        <v>10250</v>
      </c>
      <c r="M84" s="18">
        <f t="shared" ref="M84:M98" si="3">ABS((D84*E84)-L84)</f>
        <v>300</v>
      </c>
      <c r="N84" s="10" t="str">
        <f t="shared" si="1"/>
        <v>Unique</v>
      </c>
      <c r="O84" s="10"/>
      <c r="P84" s="10"/>
    </row>
    <row r="85" spans="1:16" ht="27.6" thickBot="1" x14ac:dyDescent="0.35">
      <c r="A85" s="40">
        <v>46273.375</v>
      </c>
      <c r="B85" s="41" t="s">
        <v>48</v>
      </c>
      <c r="C85" s="41" t="s">
        <v>7</v>
      </c>
      <c r="D85" s="41">
        <v>5</v>
      </c>
      <c r="E85" s="41">
        <v>4047</v>
      </c>
      <c r="F85" s="4">
        <v>7.4614976100000003</v>
      </c>
      <c r="G85" s="2" t="s">
        <v>49</v>
      </c>
      <c r="H85" s="5">
        <v>3766</v>
      </c>
      <c r="I85" s="1" t="s">
        <v>8</v>
      </c>
      <c r="J85" s="27" t="s">
        <v>116</v>
      </c>
      <c r="K85" s="27" t="s">
        <v>252</v>
      </c>
      <c r="L85" s="27">
        <v>19730.5</v>
      </c>
      <c r="M85" s="27">
        <f t="shared" si="3"/>
        <v>504.5</v>
      </c>
      <c r="N85" s="29" t="str">
        <f t="shared" si="1"/>
        <v>Duplicate</v>
      </c>
      <c r="O85" s="38" t="s">
        <v>239</v>
      </c>
      <c r="P85" s="29"/>
    </row>
    <row r="86" spans="1:16" ht="27.6" thickBot="1" x14ac:dyDescent="0.35">
      <c r="A86" s="30">
        <v>46274.375</v>
      </c>
      <c r="B86" s="31" t="s">
        <v>48</v>
      </c>
      <c r="C86" s="31" t="s">
        <v>7</v>
      </c>
      <c r="D86" s="32">
        <v>5</v>
      </c>
      <c r="E86" s="32">
        <v>4047</v>
      </c>
      <c r="F86" s="4">
        <v>7.4614976100000003</v>
      </c>
      <c r="G86" s="2" t="s">
        <v>49</v>
      </c>
      <c r="H86" s="5">
        <v>3766</v>
      </c>
      <c r="I86" s="1" t="s">
        <v>8</v>
      </c>
      <c r="J86" s="27" t="s">
        <v>116</v>
      </c>
      <c r="K86" s="27" t="s">
        <v>258</v>
      </c>
      <c r="L86" s="27">
        <v>19690</v>
      </c>
      <c r="M86" s="27">
        <f t="shared" si="3"/>
        <v>545</v>
      </c>
      <c r="N86" s="29" t="str">
        <f t="shared" si="1"/>
        <v>Duplicate</v>
      </c>
      <c r="O86" s="38" t="s">
        <v>239</v>
      </c>
      <c r="P86" s="29"/>
    </row>
    <row r="87" spans="1:16" ht="27.6" thickBot="1" x14ac:dyDescent="0.35">
      <c r="A87" s="3">
        <v>46267.461111111108</v>
      </c>
      <c r="B87" s="1" t="s">
        <v>14</v>
      </c>
      <c r="C87" s="1" t="s">
        <v>7</v>
      </c>
      <c r="D87" s="4">
        <v>100</v>
      </c>
      <c r="E87" s="4">
        <v>339</v>
      </c>
      <c r="F87" s="4">
        <v>6.2362895639999998</v>
      </c>
      <c r="G87" s="2" t="s">
        <v>44</v>
      </c>
      <c r="H87" s="5">
        <v>319.10000000000002</v>
      </c>
      <c r="I87" s="1" t="s">
        <v>8</v>
      </c>
      <c r="J87" s="18" t="s">
        <v>116</v>
      </c>
      <c r="K87" s="18" t="s">
        <v>220</v>
      </c>
      <c r="L87" s="18">
        <v>32900</v>
      </c>
      <c r="M87" s="18">
        <f t="shared" si="3"/>
        <v>1000</v>
      </c>
      <c r="N87" s="10" t="str">
        <f t="shared" si="1"/>
        <v>Unique</v>
      </c>
    </row>
    <row r="88" spans="1:16" ht="40.799999999999997" thickBot="1" x14ac:dyDescent="0.35">
      <c r="A88" s="49">
        <v>46301.375694444447</v>
      </c>
      <c r="B88" s="2" t="s">
        <v>13</v>
      </c>
      <c r="C88" s="2" t="s">
        <v>10</v>
      </c>
      <c r="D88" s="5">
        <v>5</v>
      </c>
      <c r="E88" s="5">
        <v>1664</v>
      </c>
      <c r="F88" s="4">
        <v>-4.8544799589999998</v>
      </c>
      <c r="G88" s="2" t="s">
        <v>90</v>
      </c>
      <c r="H88" s="5">
        <v>1748.9</v>
      </c>
      <c r="I88" s="1" t="s">
        <v>8</v>
      </c>
      <c r="J88" s="18" t="s">
        <v>40</v>
      </c>
      <c r="K88" s="18" t="s">
        <v>319</v>
      </c>
      <c r="L88" s="18">
        <f>5*1752</f>
        <v>8760</v>
      </c>
      <c r="M88" s="18">
        <f>ABS((D88*E88)-L88)</f>
        <v>440</v>
      </c>
      <c r="N88" s="10" t="str">
        <f t="shared" si="1"/>
        <v>Unique</v>
      </c>
    </row>
    <row r="89" spans="1:16" s="29" customFormat="1" ht="27.6" thickBot="1" x14ac:dyDescent="0.35">
      <c r="A89" s="54">
        <v>46296.586111111108</v>
      </c>
      <c r="B89" s="55" t="s">
        <v>77</v>
      </c>
      <c r="C89" s="55" t="s">
        <v>7</v>
      </c>
      <c r="D89" s="56">
        <v>5</v>
      </c>
      <c r="E89" s="56">
        <v>1348</v>
      </c>
      <c r="F89" s="4">
        <v>6.83151054</v>
      </c>
      <c r="G89" s="2" t="s">
        <v>78</v>
      </c>
      <c r="H89" s="5">
        <v>1261.8</v>
      </c>
      <c r="I89" s="1" t="s">
        <v>8</v>
      </c>
      <c r="J89" s="27" t="s">
        <v>117</v>
      </c>
      <c r="K89" s="27" t="s">
        <v>310</v>
      </c>
      <c r="L89" s="27">
        <v>6127.5</v>
      </c>
      <c r="M89" s="27">
        <f t="shared" si="3"/>
        <v>612.5</v>
      </c>
      <c r="N89" s="29" t="str">
        <f t="shared" si="1"/>
        <v>Duplicate</v>
      </c>
    </row>
    <row r="90" spans="1:16" ht="27.6" thickBot="1" x14ac:dyDescent="0.35">
      <c r="A90" s="54">
        <v>46296.420138888891</v>
      </c>
      <c r="B90" s="55" t="s">
        <v>77</v>
      </c>
      <c r="C90" s="55" t="s">
        <v>7</v>
      </c>
      <c r="D90" s="56">
        <v>5</v>
      </c>
      <c r="E90" s="56">
        <v>1348</v>
      </c>
      <c r="F90" s="4">
        <v>6.83151054</v>
      </c>
      <c r="G90" s="2" t="s">
        <v>78</v>
      </c>
      <c r="H90" s="5">
        <v>1261.8</v>
      </c>
      <c r="I90" s="1" t="s">
        <v>8</v>
      </c>
      <c r="J90" s="27" t="s">
        <v>117</v>
      </c>
      <c r="K90" s="27" t="s">
        <v>312</v>
      </c>
      <c r="L90" s="27">
        <v>6320</v>
      </c>
      <c r="M90" s="27">
        <f t="shared" si="3"/>
        <v>420</v>
      </c>
      <c r="N90" s="29" t="str">
        <f t="shared" si="1"/>
        <v>Duplicate</v>
      </c>
      <c r="O90" s="29"/>
      <c r="P90" s="29"/>
    </row>
    <row r="91" spans="1:16" ht="27.6" thickBot="1" x14ac:dyDescent="0.35">
      <c r="A91" s="3">
        <v>46267.375</v>
      </c>
      <c r="B91" s="1" t="s">
        <v>14</v>
      </c>
      <c r="C91" s="1" t="s">
        <v>7</v>
      </c>
      <c r="D91" s="4">
        <v>50</v>
      </c>
      <c r="E91" s="4">
        <v>341</v>
      </c>
      <c r="F91" s="4">
        <v>6.8630523349999999</v>
      </c>
      <c r="G91" s="2" t="s">
        <v>44</v>
      </c>
      <c r="H91" s="5">
        <v>319.10000000000002</v>
      </c>
      <c r="I91" s="1" t="s">
        <v>8</v>
      </c>
      <c r="J91" s="18" t="s">
        <v>116</v>
      </c>
      <c r="K91" s="18" t="s">
        <v>227</v>
      </c>
      <c r="L91" s="18">
        <v>16755</v>
      </c>
      <c r="M91" s="18">
        <f t="shared" si="3"/>
        <v>295</v>
      </c>
      <c r="N91" s="10" t="str">
        <f t="shared" si="1"/>
        <v>Unique</v>
      </c>
    </row>
    <row r="92" spans="1:16" ht="27.6" thickBot="1" x14ac:dyDescent="0.35">
      <c r="A92" s="3">
        <v>46272.375694444447</v>
      </c>
      <c r="B92" s="1" t="s">
        <v>62</v>
      </c>
      <c r="C92" s="1" t="s">
        <v>7</v>
      </c>
      <c r="D92" s="4">
        <v>15</v>
      </c>
      <c r="E92" s="4">
        <v>1048</v>
      </c>
      <c r="F92" s="4">
        <v>9.5775826009999996</v>
      </c>
      <c r="G92" s="2" t="s">
        <v>63</v>
      </c>
      <c r="H92" s="5">
        <v>956.4</v>
      </c>
      <c r="I92" s="1" t="s">
        <v>8</v>
      </c>
      <c r="J92" s="18" t="s">
        <v>116</v>
      </c>
      <c r="K92" s="18" t="s">
        <v>243</v>
      </c>
      <c r="L92" s="18">
        <v>15075</v>
      </c>
      <c r="M92" s="18">
        <f t="shared" si="3"/>
        <v>645</v>
      </c>
      <c r="N92" s="10" t="str">
        <f t="shared" si="1"/>
        <v>Unique</v>
      </c>
      <c r="O92" s="38" t="s">
        <v>239</v>
      </c>
    </row>
    <row r="93" spans="1:16" ht="27.6" thickBot="1" x14ac:dyDescent="0.35">
      <c r="A93" s="3">
        <v>46286.468055555553</v>
      </c>
      <c r="B93" s="1" t="s">
        <v>73</v>
      </c>
      <c r="C93" s="1" t="s">
        <v>7</v>
      </c>
      <c r="D93" s="4">
        <v>2</v>
      </c>
      <c r="E93" s="4">
        <v>3334</v>
      </c>
      <c r="F93" s="4">
        <v>0.99969706150000004</v>
      </c>
      <c r="G93" s="2" t="s">
        <v>74</v>
      </c>
      <c r="H93" s="5">
        <v>3301</v>
      </c>
      <c r="I93" s="1" t="s">
        <v>8</v>
      </c>
      <c r="J93" s="18" t="s">
        <v>117</v>
      </c>
      <c r="K93" s="18" t="s">
        <v>288</v>
      </c>
      <c r="L93" s="18">
        <v>6367.2</v>
      </c>
      <c r="M93" s="18">
        <f t="shared" si="3"/>
        <v>300.80000000000018</v>
      </c>
      <c r="N93" s="10" t="str">
        <f t="shared" si="1"/>
        <v>Unique</v>
      </c>
      <c r="O93" s="38" t="s">
        <v>239</v>
      </c>
    </row>
    <row r="94" spans="1:16" ht="40.799999999999997" thickBot="1" x14ac:dyDescent="0.35">
      <c r="A94" s="49">
        <v>46289.390277777777</v>
      </c>
      <c r="B94" s="2" t="s">
        <v>58</v>
      </c>
      <c r="C94" s="2" t="s">
        <v>7</v>
      </c>
      <c r="D94" s="5">
        <v>10</v>
      </c>
      <c r="E94" s="5">
        <v>1054</v>
      </c>
      <c r="F94" s="4">
        <v>9.7916666669999994</v>
      </c>
      <c r="G94" s="2" t="s">
        <v>59</v>
      </c>
      <c r="H94" s="5">
        <v>960</v>
      </c>
      <c r="I94" s="1" t="s">
        <v>8</v>
      </c>
      <c r="J94" s="18" t="s">
        <v>117</v>
      </c>
      <c r="K94" s="18" t="s">
        <v>293</v>
      </c>
      <c r="L94" s="18">
        <v>9886</v>
      </c>
      <c r="M94" s="18">
        <f t="shared" si="3"/>
        <v>654</v>
      </c>
      <c r="N94" s="10" t="str">
        <f t="shared" si="1"/>
        <v>Unique</v>
      </c>
    </row>
    <row r="95" spans="1:16" ht="40.799999999999997" thickBot="1" x14ac:dyDescent="0.35">
      <c r="A95" s="3">
        <v>46262.375</v>
      </c>
      <c r="B95" s="1" t="s">
        <v>81</v>
      </c>
      <c r="C95" s="1" t="s">
        <v>7</v>
      </c>
      <c r="D95" s="4">
        <v>2</v>
      </c>
      <c r="E95" s="4">
        <v>4360</v>
      </c>
      <c r="F95" s="4">
        <v>9.4789704960000005</v>
      </c>
      <c r="G95" s="2" t="s">
        <v>82</v>
      </c>
      <c r="H95" s="5">
        <v>3982.5</v>
      </c>
      <c r="I95" s="1" t="s">
        <v>8</v>
      </c>
      <c r="J95" s="18" t="s">
        <v>117</v>
      </c>
      <c r="K95" s="18" t="s">
        <v>185</v>
      </c>
      <c r="L95" s="18">
        <v>8420</v>
      </c>
      <c r="M95" s="18">
        <f t="shared" si="3"/>
        <v>300</v>
      </c>
      <c r="N95" s="10" t="str">
        <f t="shared" si="1"/>
        <v>Unique</v>
      </c>
    </row>
    <row r="96" spans="1:16" ht="40.799999999999997" thickBot="1" x14ac:dyDescent="0.35">
      <c r="A96" s="3">
        <v>46294.375</v>
      </c>
      <c r="B96" s="2" t="s">
        <v>35</v>
      </c>
      <c r="C96" s="2" t="s">
        <v>7</v>
      </c>
      <c r="D96" s="5">
        <v>5</v>
      </c>
      <c r="E96" s="5">
        <v>1149</v>
      </c>
      <c r="F96" s="4">
        <v>7.3530785759999997</v>
      </c>
      <c r="G96" s="2" t="s">
        <v>64</v>
      </c>
      <c r="H96" s="5">
        <v>1070.3</v>
      </c>
      <c r="I96" s="1" t="s">
        <v>8</v>
      </c>
      <c r="J96" s="18" t="s">
        <v>117</v>
      </c>
      <c r="K96" s="18" t="s">
        <v>307</v>
      </c>
      <c r="L96" s="18">
        <v>5450</v>
      </c>
      <c r="M96" s="18">
        <f t="shared" si="3"/>
        <v>295</v>
      </c>
      <c r="N96" s="10" t="str">
        <f t="shared" si="1"/>
        <v>Unique</v>
      </c>
    </row>
    <row r="97" spans="1:16" ht="40.799999999999997" thickBot="1" x14ac:dyDescent="0.35">
      <c r="A97" s="11">
        <v>46273.375</v>
      </c>
      <c r="B97" s="8" t="s">
        <v>50</v>
      </c>
      <c r="C97" s="8" t="s">
        <v>7</v>
      </c>
      <c r="D97" s="8">
        <v>10</v>
      </c>
      <c r="E97" s="8">
        <v>947</v>
      </c>
      <c r="F97" s="4">
        <v>9.9883855980000007</v>
      </c>
      <c r="G97" s="2" t="s">
        <v>51</v>
      </c>
      <c r="H97" s="5">
        <v>861</v>
      </c>
      <c r="I97" s="1" t="s">
        <v>8</v>
      </c>
      <c r="J97" s="18" t="s">
        <v>152</v>
      </c>
      <c r="K97" s="18" t="s">
        <v>251</v>
      </c>
      <c r="L97" s="18">
        <v>9170</v>
      </c>
      <c r="M97" s="27">
        <f t="shared" si="3"/>
        <v>300</v>
      </c>
      <c r="N97" s="10" t="str">
        <f t="shared" si="1"/>
        <v>Unique</v>
      </c>
    </row>
    <row r="98" spans="1:16" ht="40.799999999999997" thickBot="1" x14ac:dyDescent="0.35">
      <c r="A98" s="3">
        <v>46275.375</v>
      </c>
      <c r="B98" s="1" t="s">
        <v>23</v>
      </c>
      <c r="C98" s="1" t="s">
        <v>7</v>
      </c>
      <c r="D98" s="4">
        <v>50</v>
      </c>
      <c r="E98" s="4">
        <v>214</v>
      </c>
      <c r="F98" s="4">
        <v>8.1627495579999998</v>
      </c>
      <c r="G98" s="2" t="s">
        <v>69</v>
      </c>
      <c r="H98" s="5">
        <v>197.85</v>
      </c>
      <c r="I98" s="1" t="s">
        <v>8</v>
      </c>
      <c r="J98" s="18" t="s">
        <v>116</v>
      </c>
      <c r="K98" s="18" t="s">
        <v>261</v>
      </c>
      <c r="L98" s="18">
        <v>10400</v>
      </c>
      <c r="M98" s="18">
        <f t="shared" si="3"/>
        <v>300</v>
      </c>
      <c r="N98" s="10" t="str">
        <f t="shared" si="1"/>
        <v>Unique</v>
      </c>
    </row>
    <row r="99" spans="1:16" ht="27.6" thickBot="1" x14ac:dyDescent="0.35">
      <c r="A99" s="8" t="s">
        <v>61</v>
      </c>
      <c r="B99" s="8" t="s">
        <v>9</v>
      </c>
      <c r="C99" s="8" t="s">
        <v>7</v>
      </c>
      <c r="D99" s="8">
        <v>50</v>
      </c>
      <c r="E99" s="8">
        <v>317</v>
      </c>
      <c r="F99" s="4">
        <v>9.4613259670000005</v>
      </c>
      <c r="G99" s="2" t="s">
        <v>94</v>
      </c>
      <c r="H99" s="5">
        <v>289.60000000000002</v>
      </c>
      <c r="I99" s="1" t="s">
        <v>8</v>
      </c>
      <c r="J99" s="34"/>
      <c r="N99" s="10" t="str">
        <f t="shared" si="1"/>
        <v>Unique</v>
      </c>
    </row>
    <row r="100" spans="1:16" ht="27.6" thickBot="1" x14ac:dyDescent="0.35">
      <c r="A100" s="3">
        <v>46267.38958333333</v>
      </c>
      <c r="B100" s="1" t="s">
        <v>14</v>
      </c>
      <c r="C100" s="1" t="s">
        <v>7</v>
      </c>
      <c r="D100" s="4">
        <v>100</v>
      </c>
      <c r="E100" s="4">
        <v>344</v>
      </c>
      <c r="F100" s="4">
        <v>7.8031964900000004</v>
      </c>
      <c r="G100" s="2" t="s">
        <v>44</v>
      </c>
      <c r="H100" s="5">
        <v>319.10000000000002</v>
      </c>
      <c r="I100" s="1" t="s">
        <v>8</v>
      </c>
      <c r="J100" s="18" t="s">
        <v>116</v>
      </c>
      <c r="K100" s="18" t="s">
        <v>222</v>
      </c>
      <c r="L100" s="18">
        <v>33200</v>
      </c>
      <c r="M100" s="18">
        <f>ABS((D100*E100)-L100)</f>
        <v>1200</v>
      </c>
      <c r="N100" s="10" t="str">
        <f t="shared" si="1"/>
        <v>Unique</v>
      </c>
    </row>
    <row r="101" spans="1:16" ht="40.799999999999997" thickBot="1" x14ac:dyDescent="0.35">
      <c r="A101" s="8" t="s">
        <v>61</v>
      </c>
      <c r="B101" s="8" t="s">
        <v>42</v>
      </c>
      <c r="C101" s="8" t="s">
        <v>7</v>
      </c>
      <c r="D101" s="8">
        <v>5</v>
      </c>
      <c r="E101" s="12">
        <v>790</v>
      </c>
      <c r="F101" s="4">
        <v>7.5561606540000001</v>
      </c>
      <c r="G101" s="2" t="s">
        <v>43</v>
      </c>
      <c r="H101" s="5">
        <v>734.5</v>
      </c>
      <c r="I101" s="1" t="s">
        <v>8</v>
      </c>
      <c r="J101" s="34" t="s">
        <v>117</v>
      </c>
      <c r="N101" s="10" t="str">
        <f t="shared" si="1"/>
        <v>Unique</v>
      </c>
    </row>
    <row r="102" spans="1:16" s="29" customFormat="1" ht="40.799999999999997" thickBot="1" x14ac:dyDescent="0.35">
      <c r="A102" s="3">
        <v>46269.614583333336</v>
      </c>
      <c r="B102" s="1" t="s">
        <v>23</v>
      </c>
      <c r="C102" s="1" t="s">
        <v>7</v>
      </c>
      <c r="D102" s="4">
        <v>40</v>
      </c>
      <c r="E102" s="4">
        <v>219</v>
      </c>
      <c r="F102" s="4">
        <v>10.6899166</v>
      </c>
      <c r="G102" s="2" t="s">
        <v>69</v>
      </c>
      <c r="H102" s="5">
        <v>197.85</v>
      </c>
      <c r="I102" s="1" t="s">
        <v>8</v>
      </c>
      <c r="J102" s="18" t="s">
        <v>116</v>
      </c>
      <c r="K102" s="18" t="s">
        <v>235</v>
      </c>
      <c r="L102" s="18">
        <v>8480</v>
      </c>
      <c r="M102" s="26">
        <f>ABS((D102*E102)-L102)</f>
        <v>280</v>
      </c>
      <c r="N102" t="str">
        <f t="shared" si="1"/>
        <v>Unique</v>
      </c>
      <c r="O102" s="38" t="s">
        <v>239</v>
      </c>
      <c r="P102" s="10"/>
    </row>
    <row r="103" spans="1:16" s="29" customFormat="1" ht="40.799999999999997" thickBot="1" x14ac:dyDescent="0.35">
      <c r="A103" s="3">
        <v>46275.375</v>
      </c>
      <c r="B103" s="1" t="s">
        <v>21</v>
      </c>
      <c r="C103" s="1" t="s">
        <v>7</v>
      </c>
      <c r="D103" s="4">
        <v>5</v>
      </c>
      <c r="E103" s="4">
        <v>710</v>
      </c>
      <c r="F103" s="4">
        <v>8.0669710810000002</v>
      </c>
      <c r="G103" s="2" t="s">
        <v>75</v>
      </c>
      <c r="H103" s="5">
        <v>657</v>
      </c>
      <c r="I103" s="1" t="s">
        <v>8</v>
      </c>
      <c r="J103" s="18" t="s">
        <v>117</v>
      </c>
      <c r="K103" s="18" t="s">
        <v>260</v>
      </c>
      <c r="L103" s="18">
        <v>3300</v>
      </c>
      <c r="M103" s="18">
        <f>ABS((D103*E103)-L103)</f>
        <v>250</v>
      </c>
      <c r="N103" s="10" t="str">
        <f t="shared" si="1"/>
        <v>Unique</v>
      </c>
      <c r="O103" s="10"/>
      <c r="P103" s="10"/>
    </row>
    <row r="104" spans="1:16" ht="27.6" thickBot="1" x14ac:dyDescent="0.35">
      <c r="A104" s="8" t="s">
        <v>61</v>
      </c>
      <c r="B104" s="8" t="s">
        <v>137</v>
      </c>
      <c r="C104" s="8" t="s">
        <v>7</v>
      </c>
      <c r="D104" s="8">
        <v>50</v>
      </c>
      <c r="E104" s="12">
        <v>480</v>
      </c>
      <c r="F104" s="4">
        <v>9.1901728840000008</v>
      </c>
      <c r="G104" s="2" t="s">
        <v>138</v>
      </c>
      <c r="H104" s="5">
        <v>439.6</v>
      </c>
      <c r="I104" s="1" t="s">
        <v>8</v>
      </c>
      <c r="J104" s="34" t="s">
        <v>116</v>
      </c>
      <c r="N104" s="10" t="str">
        <f t="shared" si="1"/>
        <v>Unique</v>
      </c>
    </row>
    <row r="105" spans="1:16" ht="27.6" thickBot="1" x14ac:dyDescent="0.35">
      <c r="A105" s="3">
        <v>46280.435416666667</v>
      </c>
      <c r="B105" s="1" t="s">
        <v>67</v>
      </c>
      <c r="C105" s="1" t="s">
        <v>7</v>
      </c>
      <c r="D105" s="4">
        <v>50</v>
      </c>
      <c r="E105" s="4">
        <v>419</v>
      </c>
      <c r="F105" s="4">
        <v>8.2687338500000003</v>
      </c>
      <c r="G105" s="2" t="s">
        <v>68</v>
      </c>
      <c r="H105" s="5">
        <v>387</v>
      </c>
      <c r="I105" s="1" t="s">
        <v>8</v>
      </c>
      <c r="J105" s="18" t="s">
        <v>116</v>
      </c>
      <c r="K105" s="18" t="s">
        <v>275</v>
      </c>
      <c r="L105" s="18">
        <v>39300</v>
      </c>
      <c r="M105" s="18">
        <f>ABS((D105*E105)-L105)</f>
        <v>18350</v>
      </c>
      <c r="N105" s="10" t="str">
        <f t="shared" si="1"/>
        <v>Unique</v>
      </c>
    </row>
    <row r="106" spans="1:16" ht="40.799999999999997" thickBot="1" x14ac:dyDescent="0.35">
      <c r="A106" s="3">
        <v>46272.375694444447</v>
      </c>
      <c r="B106" s="1" t="s">
        <v>24</v>
      </c>
      <c r="C106" s="1" t="s">
        <v>7</v>
      </c>
      <c r="D106" s="4">
        <v>40</v>
      </c>
      <c r="E106" s="4">
        <v>448</v>
      </c>
      <c r="F106" s="4">
        <v>11.1662531</v>
      </c>
      <c r="G106" s="2" t="s">
        <v>55</v>
      </c>
      <c r="H106" s="5">
        <v>403</v>
      </c>
      <c r="I106" s="1" t="s">
        <v>8</v>
      </c>
      <c r="J106" s="18" t="s">
        <v>116</v>
      </c>
      <c r="K106" s="18" t="s">
        <v>244</v>
      </c>
      <c r="L106" s="18">
        <v>17040</v>
      </c>
      <c r="M106" s="18">
        <f>ABS((D106*E106)-L106)</f>
        <v>880</v>
      </c>
      <c r="N106" s="10" t="str">
        <f t="shared" si="1"/>
        <v>Unique</v>
      </c>
      <c r="O106" s="38" t="s">
        <v>239</v>
      </c>
    </row>
    <row r="107" spans="1:16" ht="40.799999999999997" thickBot="1" x14ac:dyDescent="0.35">
      <c r="A107" s="3">
        <v>46274.375</v>
      </c>
      <c r="B107" s="1" t="s">
        <v>52</v>
      </c>
      <c r="C107" s="1" t="s">
        <v>7</v>
      </c>
      <c r="D107" s="4">
        <v>2</v>
      </c>
      <c r="E107" s="4">
        <v>2576</v>
      </c>
      <c r="F107" s="4">
        <v>9.1525423729999993</v>
      </c>
      <c r="G107" s="2" t="s">
        <v>53</v>
      </c>
      <c r="H107" s="5">
        <v>2360</v>
      </c>
      <c r="I107" s="1" t="s">
        <v>8</v>
      </c>
      <c r="J107" s="18" t="s">
        <v>117</v>
      </c>
      <c r="K107" s="18" t="s">
        <v>259</v>
      </c>
      <c r="L107" s="18">
        <v>4852</v>
      </c>
      <c r="M107" s="18">
        <f>ABS((D107*E107)-L107)</f>
        <v>300</v>
      </c>
      <c r="N107" s="10" t="str">
        <f t="shared" si="1"/>
        <v>Unique</v>
      </c>
    </row>
    <row r="108" spans="1:16" ht="27.6" thickBot="1" x14ac:dyDescent="0.35">
      <c r="A108" s="3">
        <v>46265.375694444447</v>
      </c>
      <c r="B108" s="1" t="s">
        <v>48</v>
      </c>
      <c r="C108" s="1" t="s">
        <v>7</v>
      </c>
      <c r="D108" s="4">
        <v>5</v>
      </c>
      <c r="E108" s="4">
        <v>4092</v>
      </c>
      <c r="F108" s="4">
        <v>8.6563993630000002</v>
      </c>
      <c r="G108" s="2" t="s">
        <v>49</v>
      </c>
      <c r="H108" s="5">
        <v>3766</v>
      </c>
      <c r="I108" s="1" t="s">
        <v>8</v>
      </c>
      <c r="J108" s="18" t="s">
        <v>117</v>
      </c>
      <c r="K108" s="18" t="s">
        <v>205</v>
      </c>
      <c r="L108" s="18">
        <v>20010</v>
      </c>
      <c r="M108" s="18">
        <f>ABS((D108*E108)-L108)</f>
        <v>450</v>
      </c>
      <c r="N108" t="str">
        <f t="shared" si="1"/>
        <v>Unique</v>
      </c>
      <c r="P108"/>
    </row>
    <row r="109" spans="1:16" ht="27.6" thickBot="1" x14ac:dyDescent="0.35">
      <c r="A109" s="3">
        <v>46287.375</v>
      </c>
      <c r="B109" s="1" t="s">
        <v>17</v>
      </c>
      <c r="C109" s="1" t="s">
        <v>7</v>
      </c>
      <c r="D109" s="4">
        <v>25</v>
      </c>
      <c r="E109" s="4">
        <v>348</v>
      </c>
      <c r="F109" s="4">
        <v>8.75</v>
      </c>
      <c r="G109" s="2" t="s">
        <v>76</v>
      </c>
      <c r="H109" s="5">
        <v>320</v>
      </c>
      <c r="I109" s="1" t="s">
        <v>8</v>
      </c>
      <c r="J109" s="18" t="s">
        <v>116</v>
      </c>
      <c r="K109" s="18" t="s">
        <v>291</v>
      </c>
      <c r="L109" s="18">
        <v>8400</v>
      </c>
      <c r="M109" s="18">
        <f>ABS((D109*E109)-L109)</f>
        <v>300</v>
      </c>
      <c r="N109" s="10" t="str">
        <f t="shared" si="1"/>
        <v>Unique</v>
      </c>
    </row>
    <row r="110" spans="1:16" ht="27.6" thickBot="1" x14ac:dyDescent="0.35">
      <c r="A110" s="11">
        <v>46252.645138888889</v>
      </c>
      <c r="B110" s="8" t="s">
        <v>67</v>
      </c>
      <c r="C110" s="8" t="s">
        <v>7</v>
      </c>
      <c r="D110" s="8">
        <v>20</v>
      </c>
      <c r="E110" s="8">
        <v>424</v>
      </c>
      <c r="F110" s="4">
        <v>9.5607235139999993</v>
      </c>
      <c r="G110" s="2" t="s">
        <v>68</v>
      </c>
      <c r="H110" s="5">
        <v>387</v>
      </c>
      <c r="I110" s="1" t="s">
        <v>8</v>
      </c>
      <c r="J110" s="34"/>
      <c r="N110" s="10" t="str">
        <f t="shared" si="1"/>
        <v>Unique</v>
      </c>
      <c r="O110" s="38" t="s">
        <v>239</v>
      </c>
      <c r="P110"/>
    </row>
    <row r="111" spans="1:16" ht="27.6" thickBot="1" x14ac:dyDescent="0.35">
      <c r="A111" s="42">
        <v>46273.385416666664</v>
      </c>
      <c r="B111" s="43" t="s">
        <v>25</v>
      </c>
      <c r="C111" s="43" t="s">
        <v>7</v>
      </c>
      <c r="D111" s="43">
        <v>500</v>
      </c>
      <c r="E111" s="43">
        <v>34.479999999999997</v>
      </c>
      <c r="F111" s="4">
        <v>10.336</v>
      </c>
      <c r="G111" s="2" t="s">
        <v>45</v>
      </c>
      <c r="H111" s="5">
        <v>31.25</v>
      </c>
      <c r="I111" s="1" t="s">
        <v>8</v>
      </c>
      <c r="J111" s="44" t="s">
        <v>116</v>
      </c>
      <c r="K111" s="44" t="s">
        <v>250</v>
      </c>
      <c r="L111" s="44">
        <v>16580</v>
      </c>
      <c r="M111" s="44">
        <f>ABS((D111*E111)-L111)</f>
        <v>660</v>
      </c>
      <c r="N111" s="24" t="str">
        <f t="shared" si="1"/>
        <v>Unique</v>
      </c>
      <c r="O111" s="24"/>
      <c r="P111" s="24" t="s">
        <v>253</v>
      </c>
    </row>
    <row r="112" spans="1:16" ht="27.6" thickBot="1" x14ac:dyDescent="0.35">
      <c r="A112" s="11">
        <v>46252.635416666664</v>
      </c>
      <c r="B112" s="8" t="s">
        <v>73</v>
      </c>
      <c r="C112" s="8" t="s">
        <v>7</v>
      </c>
      <c r="D112" s="8">
        <v>5</v>
      </c>
      <c r="E112" s="8">
        <v>3482</v>
      </c>
      <c r="F112" s="4">
        <v>5.4831869129999999</v>
      </c>
      <c r="G112" s="2" t="s">
        <v>74</v>
      </c>
      <c r="H112" s="5">
        <v>3301</v>
      </c>
      <c r="I112" s="1" t="s">
        <v>8</v>
      </c>
      <c r="J112" s="34" t="s">
        <v>117</v>
      </c>
      <c r="N112" s="10" t="str">
        <f t="shared" si="1"/>
        <v>Unique</v>
      </c>
      <c r="P112"/>
    </row>
    <row r="113" spans="1:16" ht="40.799999999999997" thickBot="1" x14ac:dyDescent="0.35">
      <c r="A113" s="3">
        <v>46267.375</v>
      </c>
      <c r="B113" s="1" t="s">
        <v>50</v>
      </c>
      <c r="C113" s="1" t="s">
        <v>7</v>
      </c>
      <c r="D113" s="4">
        <v>10</v>
      </c>
      <c r="E113" s="4">
        <v>957</v>
      </c>
      <c r="F113" s="4">
        <v>11.14982578</v>
      </c>
      <c r="G113" s="2" t="s">
        <v>51</v>
      </c>
      <c r="H113" s="5">
        <v>861</v>
      </c>
      <c r="I113" s="1" t="s">
        <v>8</v>
      </c>
      <c r="J113" s="18" t="s">
        <v>116</v>
      </c>
      <c r="K113" s="18" t="s">
        <v>228</v>
      </c>
      <c r="L113" s="18">
        <v>9270</v>
      </c>
      <c r="M113" s="18">
        <f>ABS((D113*E113)-L113)</f>
        <v>300</v>
      </c>
      <c r="N113" s="10" t="str">
        <f t="shared" si="1"/>
        <v>Unique</v>
      </c>
      <c r="P113" s="19"/>
    </row>
    <row r="114" spans="1:16" ht="27.6" thickBot="1" x14ac:dyDescent="0.35">
      <c r="A114" s="3">
        <v>46260.375694444447</v>
      </c>
      <c r="B114" s="1" t="s">
        <v>48</v>
      </c>
      <c r="C114" s="1" t="s">
        <v>7</v>
      </c>
      <c r="D114" s="4">
        <v>5</v>
      </c>
      <c r="E114" s="4">
        <v>4112</v>
      </c>
      <c r="F114" s="4">
        <v>9.1874668079999999</v>
      </c>
      <c r="G114" s="2" t="s">
        <v>49</v>
      </c>
      <c r="H114" s="5">
        <v>3766</v>
      </c>
      <c r="I114" s="1" t="s">
        <v>8</v>
      </c>
      <c r="J114" s="18" t="s">
        <v>117</v>
      </c>
      <c r="K114" s="18" t="s">
        <v>169</v>
      </c>
      <c r="L114" s="18">
        <v>20260</v>
      </c>
      <c r="M114" s="18">
        <f>ABS((D114*E114)-L114)</f>
        <v>300</v>
      </c>
      <c r="N114" t="str">
        <f t="shared" si="1"/>
        <v>Unique</v>
      </c>
      <c r="O114"/>
      <c r="P114" s="29"/>
    </row>
    <row r="115" spans="1:16" s="29" customFormat="1" ht="27.6" thickBot="1" x14ac:dyDescent="0.35">
      <c r="A115" s="8" t="s">
        <v>61</v>
      </c>
      <c r="B115" s="8" t="s">
        <v>9</v>
      </c>
      <c r="C115" s="8" t="s">
        <v>7</v>
      </c>
      <c r="D115" s="8">
        <v>40</v>
      </c>
      <c r="E115" s="8">
        <v>320.5</v>
      </c>
      <c r="F115" s="4">
        <v>10.6698895</v>
      </c>
      <c r="G115" s="2" t="s">
        <v>94</v>
      </c>
      <c r="H115" s="5">
        <v>289.60000000000002</v>
      </c>
      <c r="I115" s="1" t="s">
        <v>8</v>
      </c>
      <c r="J115" s="34"/>
      <c r="K115" s="18"/>
      <c r="L115" s="18"/>
      <c r="M115" s="18"/>
      <c r="N115" s="10" t="str">
        <f t="shared" si="1"/>
        <v>Unique</v>
      </c>
      <c r="O115" s="10"/>
      <c r="P115" s="10"/>
    </row>
    <row r="116" spans="1:16" ht="27.6" thickBot="1" x14ac:dyDescent="0.35">
      <c r="A116" s="30">
        <v>46267.425694444442</v>
      </c>
      <c r="B116" s="31" t="s">
        <v>34</v>
      </c>
      <c r="C116" s="31" t="s">
        <v>7</v>
      </c>
      <c r="D116" s="32">
        <v>20</v>
      </c>
      <c r="E116" s="32">
        <v>219.5</v>
      </c>
      <c r="F116" s="4">
        <v>10.190763049999999</v>
      </c>
      <c r="G116" s="2" t="s">
        <v>41</v>
      </c>
      <c r="H116" s="5">
        <v>199.2</v>
      </c>
      <c r="I116" s="1" t="s">
        <v>8</v>
      </c>
      <c r="J116" s="27" t="s">
        <v>117</v>
      </c>
      <c r="K116" s="27" t="s">
        <v>219</v>
      </c>
      <c r="L116" s="27">
        <v>4120</v>
      </c>
      <c r="M116" s="27">
        <f>ABS((D116*E116)-L116)</f>
        <v>270</v>
      </c>
      <c r="N116" s="29" t="str">
        <f t="shared" si="1"/>
        <v>Unique</v>
      </c>
      <c r="O116" s="39" t="s">
        <v>239</v>
      </c>
      <c r="P116" s="29"/>
    </row>
    <row r="117" spans="1:16" ht="27.6" thickBot="1" x14ac:dyDescent="0.35">
      <c r="A117" s="30">
        <v>46280.593055555553</v>
      </c>
      <c r="B117" s="31" t="s">
        <v>34</v>
      </c>
      <c r="C117" s="31" t="s">
        <v>7</v>
      </c>
      <c r="D117" s="32">
        <v>10</v>
      </c>
      <c r="E117" s="32">
        <v>219.5</v>
      </c>
      <c r="F117" s="4">
        <v>10.190763049999999</v>
      </c>
      <c r="G117" s="2" t="s">
        <v>41</v>
      </c>
      <c r="H117" s="5">
        <v>199.2</v>
      </c>
      <c r="I117" s="1" t="s">
        <v>8</v>
      </c>
      <c r="J117" s="27" t="s">
        <v>117</v>
      </c>
      <c r="K117" s="27" t="s">
        <v>273</v>
      </c>
      <c r="L117" s="27">
        <v>2006.3999999999999</v>
      </c>
      <c r="M117" s="27">
        <f>ABS((D117*E117)-L117)</f>
        <v>188.60000000000014</v>
      </c>
      <c r="N117" s="29" t="str">
        <f t="shared" si="1"/>
        <v>Unique</v>
      </c>
      <c r="O117" s="39" t="s">
        <v>239</v>
      </c>
      <c r="P117" s="29"/>
    </row>
    <row r="118" spans="1:16" ht="27.6" thickBot="1" x14ac:dyDescent="0.35">
      <c r="A118" s="3">
        <v>46281.37777777778</v>
      </c>
      <c r="B118" s="1" t="s">
        <v>46</v>
      </c>
      <c r="C118" s="1" t="s">
        <v>7</v>
      </c>
      <c r="D118" s="4">
        <v>9</v>
      </c>
      <c r="E118" s="4">
        <v>2320</v>
      </c>
      <c r="F118" s="4">
        <v>10.792741169999999</v>
      </c>
      <c r="G118" s="2" t="s">
        <v>47</v>
      </c>
      <c r="H118" s="5">
        <v>2094</v>
      </c>
      <c r="I118" s="1" t="s">
        <v>8</v>
      </c>
      <c r="J118" s="23" t="s">
        <v>116</v>
      </c>
      <c r="K118" s="18" t="s">
        <v>281</v>
      </c>
      <c r="L118" s="18">
        <v>20070</v>
      </c>
      <c r="M118" s="18">
        <f>ABS((D118*E118)-L118)</f>
        <v>810</v>
      </c>
      <c r="N118" s="10" t="str">
        <f t="shared" si="1"/>
        <v>Unique</v>
      </c>
    </row>
    <row r="119" spans="1:16" ht="27.6" thickBot="1" x14ac:dyDescent="0.35">
      <c r="A119" s="3">
        <v>46266.642361111109</v>
      </c>
      <c r="B119" s="1" t="s">
        <v>14</v>
      </c>
      <c r="C119" s="1" t="s">
        <v>7</v>
      </c>
      <c r="D119" s="4">
        <v>100</v>
      </c>
      <c r="E119" s="4">
        <v>348</v>
      </c>
      <c r="F119" s="4">
        <v>9.0567220309999996</v>
      </c>
      <c r="G119" s="2" t="s">
        <v>44</v>
      </c>
      <c r="H119" s="5">
        <v>319.10000000000002</v>
      </c>
      <c r="I119" s="1" t="s">
        <v>8</v>
      </c>
      <c r="J119" s="18" t="s">
        <v>116</v>
      </c>
      <c r="K119" s="18" t="s">
        <v>216</v>
      </c>
      <c r="L119" s="18">
        <v>33950</v>
      </c>
      <c r="M119" s="18">
        <f>ABS((D119*E119)-L119)</f>
        <v>850</v>
      </c>
      <c r="N119" s="10" t="str">
        <f t="shared" si="1"/>
        <v>Unique</v>
      </c>
    </row>
    <row r="120" spans="1:16" s="29" customFormat="1" ht="27.6" thickBot="1" x14ac:dyDescent="0.35">
      <c r="A120" s="11">
        <v>46252.645138888889</v>
      </c>
      <c r="B120" s="8" t="s">
        <v>48</v>
      </c>
      <c r="C120" s="8" t="s">
        <v>7</v>
      </c>
      <c r="D120" s="8">
        <v>5</v>
      </c>
      <c r="E120" s="8">
        <v>4129</v>
      </c>
      <c r="F120" s="4">
        <v>9.6388741370000002</v>
      </c>
      <c r="G120" s="2" t="s">
        <v>49</v>
      </c>
      <c r="H120" s="5">
        <v>3766</v>
      </c>
      <c r="I120" s="1" t="s">
        <v>8</v>
      </c>
      <c r="J120" s="34"/>
      <c r="K120" s="18"/>
      <c r="L120" s="18"/>
      <c r="M120" s="18"/>
      <c r="N120" s="10" t="str">
        <f t="shared" si="1"/>
        <v>Unique</v>
      </c>
      <c r="O120" s="10"/>
      <c r="P120" s="10"/>
    </row>
    <row r="121" spans="1:16" ht="27.6" thickBot="1" x14ac:dyDescent="0.35">
      <c r="A121" s="3">
        <v>46266.375</v>
      </c>
      <c r="B121" s="1" t="s">
        <v>62</v>
      </c>
      <c r="C121" s="1" t="s">
        <v>7</v>
      </c>
      <c r="D121" s="4">
        <v>10</v>
      </c>
      <c r="E121" s="4">
        <v>1060</v>
      </c>
      <c r="F121" s="4">
        <v>10.832287750000001</v>
      </c>
      <c r="G121" s="2" t="s">
        <v>63</v>
      </c>
      <c r="H121" s="5">
        <v>956.4</v>
      </c>
      <c r="I121" s="1" t="s">
        <v>8</v>
      </c>
      <c r="J121" s="18" t="s">
        <v>116</v>
      </c>
      <c r="K121" s="18" t="s">
        <v>213</v>
      </c>
      <c r="L121" s="18">
        <v>10300</v>
      </c>
      <c r="M121" s="18">
        <f t="shared" ref="M121:M134" si="4">ABS((D121*E121)-L121)</f>
        <v>300</v>
      </c>
      <c r="N121" s="10" t="str">
        <f t="shared" si="1"/>
        <v>Unique</v>
      </c>
      <c r="P121" s="29"/>
    </row>
    <row r="122" spans="1:16" ht="27.6" thickBot="1" x14ac:dyDescent="0.35">
      <c r="A122" s="3">
        <v>46261.375</v>
      </c>
      <c r="B122" s="1" t="s">
        <v>14</v>
      </c>
      <c r="C122" s="1" t="s">
        <v>7</v>
      </c>
      <c r="D122" s="4">
        <v>50</v>
      </c>
      <c r="E122" s="4">
        <v>349</v>
      </c>
      <c r="F122" s="4">
        <v>9.3701034159999992</v>
      </c>
      <c r="G122" s="2" t="s">
        <v>44</v>
      </c>
      <c r="H122" s="5">
        <v>319.10000000000002</v>
      </c>
      <c r="I122" s="1" t="s">
        <v>8</v>
      </c>
      <c r="J122" s="18" t="s">
        <v>116</v>
      </c>
      <c r="K122" s="18" t="s">
        <v>179</v>
      </c>
      <c r="L122" s="18">
        <v>17150</v>
      </c>
      <c r="M122" s="18">
        <f t="shared" si="4"/>
        <v>300</v>
      </c>
      <c r="N122" s="10" t="str">
        <f t="shared" si="1"/>
        <v>Unique</v>
      </c>
    </row>
    <row r="123" spans="1:16" ht="40.799999999999997" thickBot="1" x14ac:dyDescent="0.35">
      <c r="A123" s="11">
        <v>46243.375</v>
      </c>
      <c r="B123" s="8" t="s">
        <v>13</v>
      </c>
      <c r="C123" s="8" t="s">
        <v>7</v>
      </c>
      <c r="D123" s="8">
        <v>5</v>
      </c>
      <c r="E123" s="8">
        <v>1844</v>
      </c>
      <c r="F123" s="4">
        <v>5.4377036990000001</v>
      </c>
      <c r="G123" s="2" t="s">
        <v>90</v>
      </c>
      <c r="H123" s="5">
        <v>1748.9</v>
      </c>
      <c r="I123" s="1" t="s">
        <v>8</v>
      </c>
      <c r="J123" s="18" t="s">
        <v>117</v>
      </c>
      <c r="K123" s="18" t="s">
        <v>248</v>
      </c>
      <c r="L123" s="18">
        <v>8570</v>
      </c>
      <c r="M123" s="27">
        <f t="shared" si="4"/>
        <v>650</v>
      </c>
      <c r="N123" s="10" t="str">
        <f t="shared" si="1"/>
        <v>Unique</v>
      </c>
      <c r="O123" s="38" t="s">
        <v>239</v>
      </c>
    </row>
    <row r="124" spans="1:16" ht="27.6" thickBot="1" x14ac:dyDescent="0.35">
      <c r="A124" s="3">
        <v>46266.375694444447</v>
      </c>
      <c r="B124" s="1" t="s">
        <v>65</v>
      </c>
      <c r="C124" s="1" t="s">
        <v>7</v>
      </c>
      <c r="D124" s="4">
        <v>5</v>
      </c>
      <c r="E124" s="4">
        <v>1248</v>
      </c>
      <c r="F124" s="4">
        <v>9.7915017150000008</v>
      </c>
      <c r="G124" s="2" t="s">
        <v>66</v>
      </c>
      <c r="H124" s="5">
        <v>1136.7</v>
      </c>
      <c r="I124" s="1" t="s">
        <v>8</v>
      </c>
      <c r="J124" s="18" t="s">
        <v>116</v>
      </c>
      <c r="K124" s="18" t="s">
        <v>209</v>
      </c>
      <c r="L124" s="18">
        <v>5940</v>
      </c>
      <c r="M124" s="18">
        <f t="shared" si="4"/>
        <v>300</v>
      </c>
      <c r="N124" s="10" t="str">
        <f t="shared" si="1"/>
        <v>Unique</v>
      </c>
    </row>
    <row r="125" spans="1:16" s="25" customFormat="1" ht="40.799999999999997" thickBot="1" x14ac:dyDescent="0.35">
      <c r="A125" s="3">
        <v>46290.385416666664</v>
      </c>
      <c r="B125" s="2" t="s">
        <v>22</v>
      </c>
      <c r="C125" s="2" t="s">
        <v>7</v>
      </c>
      <c r="D125" s="5">
        <v>10</v>
      </c>
      <c r="E125" s="5">
        <v>449</v>
      </c>
      <c r="F125" s="4">
        <v>10.536681440000001</v>
      </c>
      <c r="G125" s="2" t="s">
        <v>72</v>
      </c>
      <c r="H125" s="5">
        <v>406.2</v>
      </c>
      <c r="I125" s="1" t="s">
        <v>8</v>
      </c>
      <c r="J125" s="18" t="s">
        <v>117</v>
      </c>
      <c r="K125" s="18" t="s">
        <v>297</v>
      </c>
      <c r="L125" s="18">
        <v>4200</v>
      </c>
      <c r="M125" s="18">
        <f t="shared" si="4"/>
        <v>290</v>
      </c>
      <c r="N125" s="10" t="str">
        <f t="shared" si="1"/>
        <v>Unique</v>
      </c>
      <c r="O125" s="10"/>
      <c r="P125" s="10"/>
    </row>
    <row r="126" spans="1:16" ht="27.6" thickBot="1" x14ac:dyDescent="0.35">
      <c r="A126" s="49">
        <v>46296.443055555559</v>
      </c>
      <c r="B126" s="2" t="s">
        <v>15</v>
      </c>
      <c r="C126" s="2" t="s">
        <v>7</v>
      </c>
      <c r="D126" s="5">
        <v>5</v>
      </c>
      <c r="E126" s="5">
        <v>2276</v>
      </c>
      <c r="F126" s="4">
        <v>6.4197877219999997</v>
      </c>
      <c r="G126" s="2" t="s">
        <v>71</v>
      </c>
      <c r="H126" s="5">
        <v>2138.6999999999998</v>
      </c>
      <c r="I126" s="1" t="s">
        <v>8</v>
      </c>
      <c r="J126" s="18" t="s">
        <v>117</v>
      </c>
      <c r="K126" s="18" t="s">
        <v>311</v>
      </c>
      <c r="L126" s="18">
        <v>10725.5</v>
      </c>
      <c r="M126" s="18">
        <f t="shared" si="4"/>
        <v>654.5</v>
      </c>
      <c r="N126" s="10" t="str">
        <f t="shared" si="1"/>
        <v>Unique</v>
      </c>
    </row>
    <row r="127" spans="1:16" ht="40.799999999999997" thickBot="1" x14ac:dyDescent="0.35">
      <c r="A127" s="30">
        <v>46265.375694444447</v>
      </c>
      <c r="B127" s="31" t="s">
        <v>52</v>
      </c>
      <c r="C127" s="31" t="s">
        <v>7</v>
      </c>
      <c r="D127" s="32">
        <v>3</v>
      </c>
      <c r="E127" s="32">
        <v>2624</v>
      </c>
      <c r="F127" s="4">
        <v>11.18644068</v>
      </c>
      <c r="G127" s="2" t="s">
        <v>53</v>
      </c>
      <c r="H127" s="5">
        <v>2360</v>
      </c>
      <c r="I127" s="1" t="s">
        <v>8</v>
      </c>
      <c r="J127" s="27" t="s">
        <v>117</v>
      </c>
      <c r="K127" s="27" t="s">
        <v>197</v>
      </c>
      <c r="L127" s="27">
        <v>7578</v>
      </c>
      <c r="M127" s="27">
        <f t="shared" si="4"/>
        <v>294</v>
      </c>
      <c r="N127" s="28" t="str">
        <f t="shared" si="1"/>
        <v>Duplicate</v>
      </c>
    </row>
    <row r="128" spans="1:16" s="29" customFormat="1" ht="40.799999999999997" thickBot="1" x14ac:dyDescent="0.35">
      <c r="A128" s="30">
        <v>46266.375694444447</v>
      </c>
      <c r="B128" s="31" t="s">
        <v>52</v>
      </c>
      <c r="C128" s="31" t="s">
        <v>7</v>
      </c>
      <c r="D128" s="32">
        <v>3</v>
      </c>
      <c r="E128" s="32">
        <v>2624</v>
      </c>
      <c r="F128" s="4">
        <v>11.18644068</v>
      </c>
      <c r="G128" s="2" t="s">
        <v>53</v>
      </c>
      <c r="H128" s="5">
        <v>2360</v>
      </c>
      <c r="I128" s="1" t="s">
        <v>8</v>
      </c>
      <c r="J128" s="27" t="s">
        <v>117</v>
      </c>
      <c r="K128" s="27" t="s">
        <v>211</v>
      </c>
      <c r="L128" s="27">
        <v>7578</v>
      </c>
      <c r="M128" s="27">
        <f t="shared" si="4"/>
        <v>294</v>
      </c>
      <c r="N128" s="29" t="str">
        <f t="shared" si="1"/>
        <v>Duplicate</v>
      </c>
      <c r="O128" s="10"/>
      <c r="P128" s="10"/>
    </row>
    <row r="129" spans="1:16" ht="40.799999999999997" thickBot="1" x14ac:dyDescent="0.35">
      <c r="A129" s="30">
        <v>46265.375694444447</v>
      </c>
      <c r="B129" s="31" t="s">
        <v>6</v>
      </c>
      <c r="C129" s="31" t="s">
        <v>7</v>
      </c>
      <c r="D129" s="32">
        <v>20</v>
      </c>
      <c r="E129" s="32">
        <v>291</v>
      </c>
      <c r="F129" s="4">
        <v>12.55076388</v>
      </c>
      <c r="G129" s="2" t="s">
        <v>129</v>
      </c>
      <c r="H129" s="5">
        <v>258.55</v>
      </c>
      <c r="I129" s="1" t="s">
        <v>8</v>
      </c>
      <c r="J129" s="27" t="s">
        <v>117</v>
      </c>
      <c r="K129" s="27" t="s">
        <v>203</v>
      </c>
      <c r="L129" s="27">
        <v>5520</v>
      </c>
      <c r="M129" s="27">
        <f t="shared" si="4"/>
        <v>300</v>
      </c>
      <c r="N129" s="28" t="str">
        <f t="shared" si="1"/>
        <v>Unique</v>
      </c>
      <c r="O129" s="38" t="s">
        <v>239</v>
      </c>
    </row>
    <row r="130" spans="1:16" ht="40.799999999999997" thickBot="1" x14ac:dyDescent="0.35">
      <c r="A130" s="40">
        <v>46243.505555555559</v>
      </c>
      <c r="B130" s="41" t="s">
        <v>6</v>
      </c>
      <c r="C130" s="41" t="s">
        <v>7</v>
      </c>
      <c r="D130" s="41">
        <v>10</v>
      </c>
      <c r="E130" s="41">
        <v>291</v>
      </c>
      <c r="F130" s="4">
        <v>12.55076388</v>
      </c>
      <c r="G130" s="2" t="s">
        <v>129</v>
      </c>
      <c r="H130" s="5">
        <v>258.55</v>
      </c>
      <c r="I130" s="1" t="s">
        <v>8</v>
      </c>
      <c r="J130" s="27" t="s">
        <v>117</v>
      </c>
      <c r="K130" s="27" t="s">
        <v>246</v>
      </c>
      <c r="L130" s="27">
        <v>2657</v>
      </c>
      <c r="M130" s="27">
        <f t="shared" si="4"/>
        <v>253</v>
      </c>
      <c r="N130" s="29" t="str">
        <f t="shared" ref="N130:N193" si="5">IF(COUNTIFS( $B$2:$B$688, B130, $C$2:$C$688, C130, $D$2:$D$688, D130, $E$2:$E$688, E130) &gt; 1, "Duplicate", "Unique")</f>
        <v>Duplicate</v>
      </c>
      <c r="O130" s="38" t="s">
        <v>239</v>
      </c>
    </row>
    <row r="131" spans="1:16" ht="40.799999999999997" thickBot="1" x14ac:dyDescent="0.35">
      <c r="A131" s="30">
        <v>46280.588194444441</v>
      </c>
      <c r="B131" s="31" t="s">
        <v>6</v>
      </c>
      <c r="C131" s="31" t="s">
        <v>7</v>
      </c>
      <c r="D131" s="32">
        <v>10</v>
      </c>
      <c r="E131" s="32">
        <v>291</v>
      </c>
      <c r="F131" s="4">
        <v>12.55076388</v>
      </c>
      <c r="G131" s="2" t="s">
        <v>129</v>
      </c>
      <c r="H131" s="5">
        <v>258.55</v>
      </c>
      <c r="I131" s="1" t="s">
        <v>8</v>
      </c>
      <c r="J131" s="48" t="s">
        <v>117</v>
      </c>
      <c r="K131" s="27" t="s">
        <v>274</v>
      </c>
      <c r="L131" s="27">
        <v>2554.5</v>
      </c>
      <c r="M131" s="27">
        <f t="shared" si="4"/>
        <v>355.5</v>
      </c>
      <c r="N131" s="29" t="str">
        <f t="shared" si="5"/>
        <v>Duplicate</v>
      </c>
      <c r="O131" s="38" t="s">
        <v>239</v>
      </c>
      <c r="P131" s="29"/>
    </row>
    <row r="132" spans="1:16" ht="40.799999999999997" thickBot="1" x14ac:dyDescent="0.35">
      <c r="A132" s="11">
        <v>46273.375</v>
      </c>
      <c r="B132" s="8" t="s">
        <v>50</v>
      </c>
      <c r="C132" s="8" t="s">
        <v>7</v>
      </c>
      <c r="D132" s="8">
        <v>10</v>
      </c>
      <c r="E132" s="8">
        <v>937</v>
      </c>
      <c r="F132" s="4">
        <v>8.8269454120000006</v>
      </c>
      <c r="G132" s="2" t="s">
        <v>51</v>
      </c>
      <c r="H132" s="5">
        <v>861</v>
      </c>
      <c r="I132" s="1" t="s">
        <v>8</v>
      </c>
      <c r="J132" s="18" t="s">
        <v>152</v>
      </c>
      <c r="K132" s="18" t="s">
        <v>251</v>
      </c>
      <c r="L132" s="18">
        <v>9170</v>
      </c>
      <c r="M132" s="27">
        <f t="shared" si="4"/>
        <v>200</v>
      </c>
      <c r="N132" s="10" t="str">
        <f t="shared" si="5"/>
        <v>Unique</v>
      </c>
      <c r="O132" s="38" t="s">
        <v>239</v>
      </c>
    </row>
    <row r="133" spans="1:16" s="29" customFormat="1" ht="40.799999999999997" thickBot="1" x14ac:dyDescent="0.35">
      <c r="A133" s="30">
        <v>46267.424305555556</v>
      </c>
      <c r="B133" s="31" t="s">
        <v>52</v>
      </c>
      <c r="C133" s="31" t="s">
        <v>7</v>
      </c>
      <c r="D133" s="32">
        <v>2</v>
      </c>
      <c r="E133" s="32">
        <v>2624</v>
      </c>
      <c r="F133" s="4">
        <v>11.18644068</v>
      </c>
      <c r="G133" s="2" t="s">
        <v>53</v>
      </c>
      <c r="H133" s="5">
        <v>2360</v>
      </c>
      <c r="I133" s="1" t="s">
        <v>8</v>
      </c>
      <c r="J133" s="27" t="s">
        <v>117</v>
      </c>
      <c r="K133" s="27" t="s">
        <v>221</v>
      </c>
      <c r="L133" s="27">
        <v>4968</v>
      </c>
      <c r="M133" s="27">
        <f t="shared" si="4"/>
        <v>280</v>
      </c>
      <c r="N133" s="29" t="str">
        <f t="shared" si="5"/>
        <v>Unique</v>
      </c>
    </row>
    <row r="134" spans="1:16" s="29" customFormat="1" ht="27.6" thickBot="1" x14ac:dyDescent="0.35">
      <c r="A134" s="3">
        <v>46262.375</v>
      </c>
      <c r="B134" s="1" t="s">
        <v>62</v>
      </c>
      <c r="C134" s="1" t="s">
        <v>7</v>
      </c>
      <c r="D134" s="4">
        <v>10</v>
      </c>
      <c r="E134" s="4">
        <v>1071</v>
      </c>
      <c r="F134" s="4">
        <v>11.98243413</v>
      </c>
      <c r="G134" s="2" t="s">
        <v>63</v>
      </c>
      <c r="H134" s="5">
        <v>956.4</v>
      </c>
      <c r="I134" s="1" t="s">
        <v>8</v>
      </c>
      <c r="J134" s="18" t="s">
        <v>117</v>
      </c>
      <c r="K134" s="18" t="s">
        <v>191</v>
      </c>
      <c r="L134" s="18">
        <v>10410</v>
      </c>
      <c r="M134" s="18">
        <f t="shared" si="4"/>
        <v>300</v>
      </c>
      <c r="N134" s="10" t="str">
        <f t="shared" si="5"/>
        <v>Unique</v>
      </c>
      <c r="P134" s="10"/>
    </row>
    <row r="135" spans="1:16" ht="27.6" thickBot="1" x14ac:dyDescent="0.35">
      <c r="A135" s="11">
        <v>46252.645833333336</v>
      </c>
      <c r="B135" s="8" t="s">
        <v>48</v>
      </c>
      <c r="C135" s="8" t="s">
        <v>7</v>
      </c>
      <c r="D135" s="8">
        <v>5</v>
      </c>
      <c r="E135" s="8">
        <v>4177</v>
      </c>
      <c r="F135" s="4">
        <v>10.91343601</v>
      </c>
      <c r="G135" s="2" t="s">
        <v>49</v>
      </c>
      <c r="H135" s="5">
        <v>3766</v>
      </c>
      <c r="I135" s="1" t="s">
        <v>8</v>
      </c>
      <c r="J135" s="34"/>
      <c r="N135" s="10" t="str">
        <f t="shared" si="5"/>
        <v>Unique</v>
      </c>
      <c r="O135" s="24"/>
    </row>
    <row r="136" spans="1:16" ht="27.6" thickBot="1" x14ac:dyDescent="0.35">
      <c r="A136" s="11">
        <v>46253.375</v>
      </c>
      <c r="B136" s="8" t="s">
        <v>14</v>
      </c>
      <c r="C136" s="8" t="s">
        <v>7</v>
      </c>
      <c r="D136" s="8">
        <v>50</v>
      </c>
      <c r="E136" s="8">
        <v>353</v>
      </c>
      <c r="F136" s="4">
        <v>10.62362896</v>
      </c>
      <c r="G136" s="2" t="s">
        <v>44</v>
      </c>
      <c r="H136" s="5">
        <v>319.10000000000002</v>
      </c>
      <c r="I136" s="1" t="s">
        <v>8</v>
      </c>
      <c r="J136" s="34" t="s">
        <v>117</v>
      </c>
      <c r="K136" s="18" t="s">
        <v>143</v>
      </c>
      <c r="N136" s="10" t="str">
        <f t="shared" si="5"/>
        <v>Unique</v>
      </c>
    </row>
    <row r="137" spans="1:16" ht="40.799999999999997" thickBot="1" x14ac:dyDescent="0.35">
      <c r="A137" s="3">
        <v>46274.375</v>
      </c>
      <c r="B137" s="1" t="s">
        <v>21</v>
      </c>
      <c r="C137" s="1" t="s">
        <v>7</v>
      </c>
      <c r="D137" s="4">
        <v>5</v>
      </c>
      <c r="E137" s="4">
        <v>730</v>
      </c>
      <c r="F137" s="4">
        <v>11.11111111</v>
      </c>
      <c r="G137" s="2" t="s">
        <v>75</v>
      </c>
      <c r="H137" s="5">
        <v>657</v>
      </c>
      <c r="I137" s="1" t="s">
        <v>8</v>
      </c>
      <c r="J137" s="18" t="s">
        <v>117</v>
      </c>
      <c r="K137" s="18" t="s">
        <v>257</v>
      </c>
      <c r="L137" s="18">
        <v>3400</v>
      </c>
      <c r="M137" s="18">
        <f>ABS((D137*E137)-L137)</f>
        <v>250</v>
      </c>
      <c r="N137" s="10" t="str">
        <f t="shared" si="5"/>
        <v>Unique</v>
      </c>
    </row>
    <row r="138" spans="1:16" ht="40.799999999999997" thickBot="1" x14ac:dyDescent="0.35">
      <c r="A138" s="3">
        <v>46261.375694444447</v>
      </c>
      <c r="B138" s="1" t="s">
        <v>50</v>
      </c>
      <c r="C138" s="1" t="s">
        <v>7</v>
      </c>
      <c r="D138" s="4">
        <v>10</v>
      </c>
      <c r="E138" s="4">
        <v>977</v>
      </c>
      <c r="F138" s="4">
        <v>13.47270616</v>
      </c>
      <c r="G138" s="2" t="s">
        <v>51</v>
      </c>
      <c r="H138" s="5">
        <v>861</v>
      </c>
      <c r="I138" s="1" t="s">
        <v>8</v>
      </c>
      <c r="J138" s="18" t="s">
        <v>116</v>
      </c>
      <c r="K138" s="18" t="s">
        <v>173</v>
      </c>
      <c r="L138" s="18">
        <v>9470</v>
      </c>
      <c r="M138" s="18">
        <f>ABS((D138*E138)-L138)</f>
        <v>300</v>
      </c>
      <c r="N138" s="10" t="str">
        <f t="shared" si="5"/>
        <v>Unique</v>
      </c>
    </row>
    <row r="139" spans="1:16" ht="27.6" thickBot="1" x14ac:dyDescent="0.35">
      <c r="A139" s="8" t="s">
        <v>61</v>
      </c>
      <c r="B139" s="8" t="s">
        <v>137</v>
      </c>
      <c r="C139" s="8" t="s">
        <v>7</v>
      </c>
      <c r="D139" s="8">
        <v>35</v>
      </c>
      <c r="E139" s="13">
        <v>494</v>
      </c>
      <c r="F139" s="4">
        <v>12.37488626</v>
      </c>
      <c r="G139" s="2" t="s">
        <v>138</v>
      </c>
      <c r="H139" s="5">
        <v>439.6</v>
      </c>
      <c r="I139" s="1" t="s">
        <v>8</v>
      </c>
      <c r="J139" s="34"/>
      <c r="N139" s="10" t="str">
        <f t="shared" si="5"/>
        <v>Unique</v>
      </c>
    </row>
    <row r="140" spans="1:16" ht="40.799999999999997" thickBot="1" x14ac:dyDescent="0.35">
      <c r="A140" s="3">
        <v>46265.474999999999</v>
      </c>
      <c r="B140" s="1" t="s">
        <v>20</v>
      </c>
      <c r="C140" s="1" t="s">
        <v>7</v>
      </c>
      <c r="D140" s="4">
        <v>30</v>
      </c>
      <c r="E140" s="4">
        <v>137</v>
      </c>
      <c r="F140" s="4">
        <v>12.80362289</v>
      </c>
      <c r="G140" s="2" t="s">
        <v>85</v>
      </c>
      <c r="H140" s="5">
        <v>121.45</v>
      </c>
      <c r="I140" s="1" t="s">
        <v>8</v>
      </c>
      <c r="J140" s="18" t="s">
        <v>117</v>
      </c>
      <c r="K140" s="18" t="s">
        <v>196</v>
      </c>
      <c r="L140" s="18">
        <v>3810</v>
      </c>
      <c r="M140" s="18">
        <f>ABS((D140*E140)-L140)</f>
        <v>300</v>
      </c>
      <c r="N140" t="str">
        <f t="shared" si="5"/>
        <v>Unique</v>
      </c>
    </row>
    <row r="141" spans="1:16" ht="40.799999999999997" thickBot="1" x14ac:dyDescent="0.35">
      <c r="A141" s="3">
        <v>46281.375</v>
      </c>
      <c r="B141" s="1" t="s">
        <v>18</v>
      </c>
      <c r="C141" s="1" t="s">
        <v>7</v>
      </c>
      <c r="D141" s="4">
        <v>10</v>
      </c>
      <c r="E141" s="4">
        <v>1790</v>
      </c>
      <c r="F141" s="4">
        <v>10.698824979999999</v>
      </c>
      <c r="G141" s="2" t="s">
        <v>101</v>
      </c>
      <c r="H141" s="5">
        <v>1617</v>
      </c>
      <c r="I141" s="1" t="s">
        <v>8</v>
      </c>
      <c r="J141" s="18" t="s">
        <v>116</v>
      </c>
      <c r="K141" s="18" t="s">
        <v>283</v>
      </c>
      <c r="L141" s="18">
        <v>16500</v>
      </c>
      <c r="M141" s="18">
        <f>ABS((D141*E141)-L141)</f>
        <v>1400</v>
      </c>
      <c r="N141" s="10" t="str">
        <f t="shared" si="5"/>
        <v>Unique</v>
      </c>
      <c r="O141" s="38" t="s">
        <v>239</v>
      </c>
    </row>
    <row r="142" spans="1:16" ht="27.6" thickBot="1" x14ac:dyDescent="0.35">
      <c r="A142" s="3">
        <v>46261.375</v>
      </c>
      <c r="B142" s="1" t="s">
        <v>62</v>
      </c>
      <c r="C142" s="1" t="s">
        <v>7</v>
      </c>
      <c r="D142" s="4">
        <v>10</v>
      </c>
      <c r="E142" s="4">
        <v>1081</v>
      </c>
      <c r="F142" s="4">
        <v>13.028021750000001</v>
      </c>
      <c r="G142" s="2" t="s">
        <v>63</v>
      </c>
      <c r="H142" s="5">
        <v>956.4</v>
      </c>
      <c r="I142" s="1" t="s">
        <v>8</v>
      </c>
      <c r="J142" s="18" t="s">
        <v>117</v>
      </c>
      <c r="K142" s="18" t="s">
        <v>181</v>
      </c>
      <c r="L142" s="18">
        <v>10510</v>
      </c>
      <c r="M142" s="18">
        <f>ABS((D142*E142)-L142)</f>
        <v>300</v>
      </c>
      <c r="N142" s="10" t="str">
        <f t="shared" si="5"/>
        <v>Unique</v>
      </c>
    </row>
    <row r="143" spans="1:16" ht="40.799999999999997" thickBot="1" x14ac:dyDescent="0.35">
      <c r="A143" s="3">
        <v>46269.411111111112</v>
      </c>
      <c r="B143" s="1" t="s">
        <v>13</v>
      </c>
      <c r="C143" s="1" t="s">
        <v>7</v>
      </c>
      <c r="D143" s="4">
        <v>10</v>
      </c>
      <c r="E143" s="4">
        <v>1879</v>
      </c>
      <c r="F143" s="4">
        <v>7.4389616329999999</v>
      </c>
      <c r="G143" s="2" t="s">
        <v>90</v>
      </c>
      <c r="H143" s="5">
        <v>1748.9</v>
      </c>
      <c r="I143" s="1" t="s">
        <v>8</v>
      </c>
      <c r="J143" s="18" t="s">
        <v>117</v>
      </c>
      <c r="K143" s="18" t="s">
        <v>234</v>
      </c>
      <c r="L143" s="18">
        <v>18140</v>
      </c>
      <c r="M143" s="26">
        <f>ABS((D143*E143)-L143)</f>
        <v>650</v>
      </c>
      <c r="N143" t="str">
        <f t="shared" si="5"/>
        <v>Unique</v>
      </c>
    </row>
    <row r="144" spans="1:16" s="29" customFormat="1" ht="27.6" thickBot="1" x14ac:dyDescent="0.35">
      <c r="A144" s="11">
        <v>46252.688194444447</v>
      </c>
      <c r="B144" s="8" t="s">
        <v>14</v>
      </c>
      <c r="C144" s="8" t="s">
        <v>7</v>
      </c>
      <c r="D144" s="8">
        <v>50</v>
      </c>
      <c r="E144" s="8">
        <v>357</v>
      </c>
      <c r="F144" s="4">
        <v>11.8771545</v>
      </c>
      <c r="G144" s="2" t="s">
        <v>44</v>
      </c>
      <c r="H144" s="5">
        <v>319.10000000000002</v>
      </c>
      <c r="I144" s="1" t="s">
        <v>8</v>
      </c>
      <c r="J144" s="34"/>
      <c r="K144" s="18"/>
      <c r="L144" s="18"/>
      <c r="M144" s="18"/>
      <c r="N144" s="10" t="str">
        <f t="shared" si="5"/>
        <v>Unique</v>
      </c>
      <c r="P144" s="10"/>
    </row>
    <row r="145" spans="1:16" s="29" customFormat="1" ht="27.6" thickBot="1" x14ac:dyDescent="0.35">
      <c r="A145" s="3">
        <v>46266.375694444447</v>
      </c>
      <c r="B145" s="1" t="s">
        <v>120</v>
      </c>
      <c r="C145" s="1" t="s">
        <v>7</v>
      </c>
      <c r="D145" s="4">
        <v>25</v>
      </c>
      <c r="E145" s="4">
        <v>772</v>
      </c>
      <c r="F145" s="4">
        <v>11.496244949999999</v>
      </c>
      <c r="G145" s="2" t="s">
        <v>121</v>
      </c>
      <c r="H145" s="5">
        <v>692.4</v>
      </c>
      <c r="I145" s="1" t="s">
        <v>8</v>
      </c>
      <c r="J145" s="18" t="s">
        <v>116</v>
      </c>
      <c r="K145" s="18" t="s">
        <v>210</v>
      </c>
      <c r="L145" s="18">
        <v>18800</v>
      </c>
      <c r="M145" s="18">
        <f>ABS((D145*E145)-L145)</f>
        <v>500</v>
      </c>
      <c r="N145" s="10" t="str">
        <f t="shared" si="5"/>
        <v>Unique</v>
      </c>
      <c r="O145" s="39" t="s">
        <v>239</v>
      </c>
      <c r="P145" s="10"/>
    </row>
    <row r="146" spans="1:16" ht="27.6" thickBot="1" x14ac:dyDescent="0.35">
      <c r="A146" s="8" t="s">
        <v>61</v>
      </c>
      <c r="B146" s="8" t="s">
        <v>132</v>
      </c>
      <c r="C146" s="8" t="s">
        <v>7</v>
      </c>
      <c r="D146" s="8">
        <v>150</v>
      </c>
      <c r="E146" s="8">
        <v>123.4</v>
      </c>
      <c r="F146" s="4">
        <v>13.211009170000001</v>
      </c>
      <c r="G146" s="2" t="s">
        <v>133</v>
      </c>
      <c r="H146" s="5">
        <v>109</v>
      </c>
      <c r="I146" s="1" t="s">
        <v>8</v>
      </c>
      <c r="J146" s="34" t="s">
        <v>116</v>
      </c>
      <c r="N146" s="10" t="str">
        <f t="shared" si="5"/>
        <v>Unique</v>
      </c>
    </row>
    <row r="147" spans="1:16" ht="40.799999999999997" thickBot="1" x14ac:dyDescent="0.35">
      <c r="A147" s="11">
        <v>46252.635416666664</v>
      </c>
      <c r="B147" s="8" t="s">
        <v>81</v>
      </c>
      <c r="C147" s="8" t="s">
        <v>7</v>
      </c>
      <c r="D147" s="8">
        <v>1</v>
      </c>
      <c r="E147" s="8">
        <v>4556</v>
      </c>
      <c r="F147" s="4">
        <v>14.4005022</v>
      </c>
      <c r="G147" s="2" t="s">
        <v>82</v>
      </c>
      <c r="H147" s="5">
        <v>3982.5</v>
      </c>
      <c r="I147" s="1" t="s">
        <v>8</v>
      </c>
      <c r="J147" s="34"/>
      <c r="N147" s="10" t="str">
        <f t="shared" si="5"/>
        <v>Unique</v>
      </c>
    </row>
    <row r="148" spans="1:16" ht="40.799999999999997" thickBot="1" x14ac:dyDescent="0.35">
      <c r="A148" s="30">
        <v>46281.443055555559</v>
      </c>
      <c r="B148" s="31" t="s">
        <v>35</v>
      </c>
      <c r="C148" s="31" t="s">
        <v>7</v>
      </c>
      <c r="D148" s="32">
        <v>5</v>
      </c>
      <c r="E148" s="32">
        <v>1196</v>
      </c>
      <c r="F148" s="4">
        <v>11.744370740000001</v>
      </c>
      <c r="G148" s="2" t="s">
        <v>64</v>
      </c>
      <c r="H148" s="5">
        <v>1070.3</v>
      </c>
      <c r="I148" s="1" t="s">
        <v>8</v>
      </c>
      <c r="J148" s="27" t="s">
        <v>117</v>
      </c>
      <c r="K148" s="27" t="s">
        <v>278</v>
      </c>
      <c r="L148" s="27">
        <v>5585</v>
      </c>
      <c r="M148" s="27">
        <f>ABS((D148*E148)-L148)</f>
        <v>395</v>
      </c>
      <c r="N148" s="29" t="str">
        <f t="shared" si="5"/>
        <v>Duplicate</v>
      </c>
      <c r="O148" s="38" t="s">
        <v>239</v>
      </c>
      <c r="P148" s="29"/>
    </row>
    <row r="149" spans="1:16" ht="40.799999999999997" thickBot="1" x14ac:dyDescent="0.35">
      <c r="A149" s="30">
        <v>46281.388888888891</v>
      </c>
      <c r="B149" s="31" t="s">
        <v>35</v>
      </c>
      <c r="C149" s="31" t="s">
        <v>7</v>
      </c>
      <c r="D149" s="32">
        <v>5</v>
      </c>
      <c r="E149" s="32">
        <v>1196</v>
      </c>
      <c r="F149" s="4">
        <v>11.744370740000001</v>
      </c>
      <c r="G149" s="2" t="s">
        <v>64</v>
      </c>
      <c r="H149" s="5">
        <v>1070.3</v>
      </c>
      <c r="I149" s="1" t="s">
        <v>8</v>
      </c>
      <c r="J149" s="27" t="s">
        <v>117</v>
      </c>
      <c r="K149" s="27" t="s">
        <v>280</v>
      </c>
      <c r="L149" s="27">
        <v>5730</v>
      </c>
      <c r="M149" s="27">
        <f>ABS((D149*E149)-L149)</f>
        <v>250</v>
      </c>
      <c r="N149" s="29" t="str">
        <f t="shared" si="5"/>
        <v>Duplicate</v>
      </c>
      <c r="O149" s="38" t="s">
        <v>239</v>
      </c>
      <c r="P149" s="29"/>
    </row>
    <row r="150" spans="1:16" ht="27.6" thickBot="1" x14ac:dyDescent="0.35">
      <c r="A150" s="8" t="s">
        <v>61</v>
      </c>
      <c r="B150" s="8" t="s">
        <v>67</v>
      </c>
      <c r="C150" s="8" t="s">
        <v>7</v>
      </c>
      <c r="D150" s="8">
        <v>10</v>
      </c>
      <c r="E150" s="8">
        <v>435</v>
      </c>
      <c r="F150" s="4">
        <v>12.403100780000001</v>
      </c>
      <c r="G150" s="2" t="s">
        <v>68</v>
      </c>
      <c r="H150" s="5">
        <v>387</v>
      </c>
      <c r="I150" s="1" t="s">
        <v>8</v>
      </c>
      <c r="J150" s="34"/>
      <c r="N150" s="10" t="str">
        <f t="shared" si="5"/>
        <v>Unique</v>
      </c>
    </row>
    <row r="151" spans="1:16" ht="27.6" thickBot="1" x14ac:dyDescent="0.35">
      <c r="A151" s="3">
        <v>46276.375</v>
      </c>
      <c r="B151" s="1" t="s">
        <v>17</v>
      </c>
      <c r="C151" s="1" t="s">
        <v>7</v>
      </c>
      <c r="D151" s="4">
        <v>25</v>
      </c>
      <c r="E151" s="4">
        <v>360</v>
      </c>
      <c r="F151" s="4">
        <v>12.5</v>
      </c>
      <c r="G151" s="2" t="s">
        <v>76</v>
      </c>
      <c r="H151" s="5">
        <v>320</v>
      </c>
      <c r="I151" s="1" t="s">
        <v>8</v>
      </c>
      <c r="J151" s="18" t="s">
        <v>116</v>
      </c>
      <c r="K151" s="18" t="s">
        <v>271</v>
      </c>
      <c r="L151" s="18">
        <v>8700</v>
      </c>
      <c r="M151" s="18">
        <f t="shared" ref="M151:M163" si="6">ABS((D151*E151)-L151)</f>
        <v>300</v>
      </c>
      <c r="N151" s="10" t="str">
        <f t="shared" si="5"/>
        <v>Unique</v>
      </c>
    </row>
    <row r="152" spans="1:16" ht="27.6" thickBot="1" x14ac:dyDescent="0.35">
      <c r="A152" s="3">
        <v>46261.375</v>
      </c>
      <c r="B152" s="1" t="s">
        <v>14</v>
      </c>
      <c r="C152" s="1" t="s">
        <v>7</v>
      </c>
      <c r="D152" s="4">
        <v>100</v>
      </c>
      <c r="E152" s="4">
        <v>358</v>
      </c>
      <c r="F152" s="4">
        <v>12.190535880000001</v>
      </c>
      <c r="G152" s="2" t="s">
        <v>44</v>
      </c>
      <c r="H152" s="5">
        <v>319.10000000000002</v>
      </c>
      <c r="I152" s="1" t="s">
        <v>8</v>
      </c>
      <c r="J152" s="18" t="s">
        <v>116</v>
      </c>
      <c r="K152" s="18" t="s">
        <v>177</v>
      </c>
      <c r="L152" s="18">
        <v>34100</v>
      </c>
      <c r="M152" s="18">
        <f t="shared" si="6"/>
        <v>1700</v>
      </c>
      <c r="N152" s="10" t="str">
        <f t="shared" si="5"/>
        <v>Unique</v>
      </c>
      <c r="O152" s="29"/>
    </row>
    <row r="153" spans="1:16" ht="40.799999999999997" thickBot="1" x14ac:dyDescent="0.35">
      <c r="A153" s="33">
        <v>46255</v>
      </c>
      <c r="B153" s="31" t="s">
        <v>19</v>
      </c>
      <c r="C153" s="31" t="s">
        <v>7</v>
      </c>
      <c r="D153" s="32">
        <v>20</v>
      </c>
      <c r="E153" s="32">
        <v>241</v>
      </c>
      <c r="F153" s="4">
        <v>14.4023545</v>
      </c>
      <c r="G153" s="2" t="s">
        <v>39</v>
      </c>
      <c r="H153" s="5">
        <v>210.66</v>
      </c>
      <c r="I153" s="1" t="s">
        <v>8</v>
      </c>
      <c r="J153" s="27" t="s">
        <v>117</v>
      </c>
      <c r="K153" s="27" t="s">
        <v>148</v>
      </c>
      <c r="L153" s="27">
        <v>4680</v>
      </c>
      <c r="M153" s="27">
        <f t="shared" si="6"/>
        <v>140</v>
      </c>
      <c r="N153" s="29" t="str">
        <f t="shared" si="5"/>
        <v>Duplicate</v>
      </c>
      <c r="P153" s="29"/>
    </row>
    <row r="154" spans="1:16" ht="40.799999999999997" thickBot="1" x14ac:dyDescent="0.35">
      <c r="A154" s="30">
        <v>46261.385416666664</v>
      </c>
      <c r="B154" s="31" t="s">
        <v>19</v>
      </c>
      <c r="C154" s="31" t="s">
        <v>7</v>
      </c>
      <c r="D154" s="32">
        <v>20</v>
      </c>
      <c r="E154" s="32">
        <v>241</v>
      </c>
      <c r="F154" s="4">
        <v>14.4023545</v>
      </c>
      <c r="G154" s="2" t="s">
        <v>39</v>
      </c>
      <c r="H154" s="5">
        <v>210.66</v>
      </c>
      <c r="I154" s="1" t="s">
        <v>8</v>
      </c>
      <c r="J154" s="27" t="s">
        <v>117</v>
      </c>
      <c r="K154" s="27" t="s">
        <v>175</v>
      </c>
      <c r="L154" s="27">
        <v>4520</v>
      </c>
      <c r="M154" s="27">
        <f t="shared" si="6"/>
        <v>300</v>
      </c>
      <c r="N154" s="29" t="str">
        <f t="shared" si="5"/>
        <v>Duplicate</v>
      </c>
    </row>
    <row r="155" spans="1:16" ht="40.799999999999997" thickBot="1" x14ac:dyDescent="0.35">
      <c r="A155" s="3">
        <v>46335.442361111112</v>
      </c>
      <c r="B155" s="1" t="s">
        <v>79</v>
      </c>
      <c r="C155" s="1" t="s">
        <v>7</v>
      </c>
      <c r="D155" s="4">
        <v>10</v>
      </c>
      <c r="E155" s="4">
        <v>1460</v>
      </c>
      <c r="F155" s="4">
        <v>13.973458239999999</v>
      </c>
      <c r="G155" s="2" t="s">
        <v>80</v>
      </c>
      <c r="H155" s="5">
        <v>1281</v>
      </c>
      <c r="I155" s="1" t="s">
        <v>8</v>
      </c>
      <c r="J155" s="18" t="s">
        <v>116</v>
      </c>
      <c r="K155" s="18" t="s">
        <v>265</v>
      </c>
      <c r="L155" s="18">
        <v>14100</v>
      </c>
      <c r="M155" s="18">
        <f t="shared" si="6"/>
        <v>500</v>
      </c>
      <c r="N155" s="10" t="str">
        <f t="shared" si="5"/>
        <v>Unique</v>
      </c>
    </row>
    <row r="156" spans="1:16" s="29" customFormat="1" ht="40.799999999999997" thickBot="1" x14ac:dyDescent="0.35">
      <c r="A156" s="30">
        <v>46267.375</v>
      </c>
      <c r="B156" s="31" t="s">
        <v>35</v>
      </c>
      <c r="C156" s="31" t="s">
        <v>7</v>
      </c>
      <c r="D156" s="32">
        <v>5</v>
      </c>
      <c r="E156" s="32">
        <v>1206</v>
      </c>
      <c r="F156" s="4">
        <v>12.67868822</v>
      </c>
      <c r="G156" s="2" t="s">
        <v>64</v>
      </c>
      <c r="H156" s="5">
        <v>1070.3</v>
      </c>
      <c r="I156" s="1" t="s">
        <v>8</v>
      </c>
      <c r="J156" s="27" t="s">
        <v>117</v>
      </c>
      <c r="K156" s="27" t="s">
        <v>225</v>
      </c>
      <c r="L156" s="27">
        <v>5755</v>
      </c>
      <c r="M156" s="27">
        <f t="shared" si="6"/>
        <v>275</v>
      </c>
      <c r="N156" s="29" t="str">
        <f t="shared" si="5"/>
        <v>Duplicate</v>
      </c>
      <c r="O156" s="10"/>
      <c r="P156" s="10"/>
    </row>
    <row r="157" spans="1:16" ht="40.799999999999997" thickBot="1" x14ac:dyDescent="0.35">
      <c r="A157" s="30">
        <v>46267.375</v>
      </c>
      <c r="B157" s="31" t="s">
        <v>35</v>
      </c>
      <c r="C157" s="31" t="s">
        <v>7</v>
      </c>
      <c r="D157" s="32">
        <v>5</v>
      </c>
      <c r="E157" s="32">
        <v>1206</v>
      </c>
      <c r="F157" s="4">
        <v>12.67868822</v>
      </c>
      <c r="G157" s="2" t="s">
        <v>64</v>
      </c>
      <c r="H157" s="5">
        <v>1070.3</v>
      </c>
      <c r="I157" s="1" t="s">
        <v>8</v>
      </c>
      <c r="J157" s="27" t="s">
        <v>117</v>
      </c>
      <c r="K157" s="27" t="s">
        <v>229</v>
      </c>
      <c r="L157" s="27">
        <v>5805</v>
      </c>
      <c r="M157" s="27">
        <f t="shared" si="6"/>
        <v>225</v>
      </c>
      <c r="N157" s="29" t="str">
        <f t="shared" si="5"/>
        <v>Duplicate</v>
      </c>
    </row>
    <row r="158" spans="1:16" ht="40.799999999999997" thickBot="1" x14ac:dyDescent="0.35">
      <c r="A158" s="30">
        <v>46272.451388888891</v>
      </c>
      <c r="B158" s="31" t="s">
        <v>13</v>
      </c>
      <c r="C158" s="31" t="s">
        <v>7</v>
      </c>
      <c r="D158" s="32">
        <v>5</v>
      </c>
      <c r="E158" s="32">
        <v>1894</v>
      </c>
      <c r="F158" s="4">
        <v>8.2966436049999999</v>
      </c>
      <c r="G158" s="2" t="s">
        <v>90</v>
      </c>
      <c r="H158" s="5">
        <v>1748.9</v>
      </c>
      <c r="I158" s="1" t="s">
        <v>8</v>
      </c>
      <c r="J158" s="29" t="s">
        <v>117</v>
      </c>
      <c r="K158" s="27" t="s">
        <v>240</v>
      </c>
      <c r="L158" s="27">
        <v>8820</v>
      </c>
      <c r="M158" s="27">
        <f t="shared" si="6"/>
        <v>650</v>
      </c>
      <c r="N158" s="29" t="str">
        <f t="shared" si="5"/>
        <v>Unique</v>
      </c>
      <c r="O158" s="29"/>
      <c r="P158" s="29"/>
    </row>
    <row r="159" spans="1:16" ht="40.799999999999997" thickBot="1" x14ac:dyDescent="0.35">
      <c r="A159" s="30">
        <v>46272.390972222223</v>
      </c>
      <c r="B159" s="31" t="s">
        <v>13</v>
      </c>
      <c r="C159" s="31" t="s">
        <v>7</v>
      </c>
      <c r="D159" s="32">
        <v>20</v>
      </c>
      <c r="E159" s="32">
        <v>1894</v>
      </c>
      <c r="F159" s="4">
        <v>8.2966436049999999</v>
      </c>
      <c r="G159" s="2" t="s">
        <v>90</v>
      </c>
      <c r="H159" s="5">
        <v>1748.9</v>
      </c>
      <c r="I159" s="1" t="s">
        <v>8</v>
      </c>
      <c r="J159" s="29" t="s">
        <v>117</v>
      </c>
      <c r="K159" s="27" t="s">
        <v>241</v>
      </c>
      <c r="L159" s="27">
        <v>36946</v>
      </c>
      <c r="M159" s="27">
        <f t="shared" si="6"/>
        <v>934</v>
      </c>
      <c r="N159" s="29" t="str">
        <f t="shared" si="5"/>
        <v>Unique</v>
      </c>
      <c r="O159" s="29"/>
      <c r="P159" s="29"/>
    </row>
    <row r="160" spans="1:16" ht="27.6" thickBot="1" x14ac:dyDescent="0.35">
      <c r="A160" s="3">
        <v>46261.615277777775</v>
      </c>
      <c r="B160" s="1" t="s">
        <v>34</v>
      </c>
      <c r="C160" s="1" t="s">
        <v>7</v>
      </c>
      <c r="D160" s="4">
        <v>50</v>
      </c>
      <c r="E160" s="4">
        <v>226.3</v>
      </c>
      <c r="F160" s="4">
        <v>13.60441767</v>
      </c>
      <c r="G160" s="2" t="s">
        <v>41</v>
      </c>
      <c r="H160" s="5">
        <v>199.2</v>
      </c>
      <c r="I160" s="1" t="s">
        <v>8</v>
      </c>
      <c r="J160" s="18" t="s">
        <v>117</v>
      </c>
      <c r="K160" s="18" t="s">
        <v>172</v>
      </c>
      <c r="L160" s="18">
        <v>10814</v>
      </c>
      <c r="M160" s="18">
        <f t="shared" si="6"/>
        <v>501</v>
      </c>
      <c r="N160" s="10" t="str">
        <f t="shared" si="5"/>
        <v>Unique</v>
      </c>
      <c r="O160" s="38" t="s">
        <v>239</v>
      </c>
    </row>
    <row r="161" spans="1:16" s="29" customFormat="1" ht="27.6" thickBot="1" x14ac:dyDescent="0.35">
      <c r="A161" s="3">
        <v>46261.375</v>
      </c>
      <c r="B161" s="1" t="s">
        <v>56</v>
      </c>
      <c r="C161" s="1" t="s">
        <v>7</v>
      </c>
      <c r="D161" s="4">
        <v>5</v>
      </c>
      <c r="E161" s="4">
        <v>2972</v>
      </c>
      <c r="F161" s="4">
        <v>2.4827586209999999</v>
      </c>
      <c r="G161" s="2" t="s">
        <v>57</v>
      </c>
      <c r="H161" s="5">
        <v>2900</v>
      </c>
      <c r="I161" s="1" t="s">
        <v>8</v>
      </c>
      <c r="J161" s="18" t="s">
        <v>116</v>
      </c>
      <c r="K161" s="18" t="s">
        <v>180</v>
      </c>
      <c r="L161" s="18">
        <v>14440</v>
      </c>
      <c r="M161" s="18">
        <f t="shared" si="6"/>
        <v>420</v>
      </c>
      <c r="N161" s="10" t="str">
        <f t="shared" si="5"/>
        <v>Unique</v>
      </c>
      <c r="O161"/>
      <c r="P161" s="10"/>
    </row>
    <row r="162" spans="1:16" ht="40.799999999999997" thickBot="1" x14ac:dyDescent="0.35">
      <c r="A162" s="3">
        <v>46269.643055555556</v>
      </c>
      <c r="B162" s="1" t="s">
        <v>12</v>
      </c>
      <c r="C162" s="1" t="s">
        <v>7</v>
      </c>
      <c r="D162" s="4">
        <v>1</v>
      </c>
      <c r="E162" s="4">
        <v>5448</v>
      </c>
      <c r="F162" s="4">
        <v>14.87369797</v>
      </c>
      <c r="G162" s="2" t="s">
        <v>97</v>
      </c>
      <c r="H162" s="5">
        <v>4742.6000000000004</v>
      </c>
      <c r="I162" s="1" t="s">
        <v>8</v>
      </c>
      <c r="J162" s="18" t="s">
        <v>117</v>
      </c>
      <c r="K162" s="18" t="s">
        <v>233</v>
      </c>
      <c r="L162" s="18">
        <v>5180</v>
      </c>
      <c r="M162" s="26">
        <f t="shared" si="6"/>
        <v>268</v>
      </c>
      <c r="N162" t="str">
        <f t="shared" si="5"/>
        <v>Unique</v>
      </c>
    </row>
    <row r="163" spans="1:16" ht="40.799999999999997" thickBot="1" x14ac:dyDescent="0.35">
      <c r="A163" s="3">
        <v>46261.375694444447</v>
      </c>
      <c r="B163" s="1" t="s">
        <v>52</v>
      </c>
      <c r="C163" s="1" t="s">
        <v>7</v>
      </c>
      <c r="D163" s="4">
        <v>2</v>
      </c>
      <c r="E163" s="4">
        <v>2690</v>
      </c>
      <c r="F163" s="4">
        <v>13.98305085</v>
      </c>
      <c r="G163" s="2" t="s">
        <v>53</v>
      </c>
      <c r="H163" s="5">
        <v>2360</v>
      </c>
      <c r="I163" s="1" t="s">
        <v>8</v>
      </c>
      <c r="J163" s="18" t="s">
        <v>117</v>
      </c>
      <c r="K163" s="18" t="s">
        <v>174</v>
      </c>
      <c r="L163" s="18">
        <v>5120</v>
      </c>
      <c r="M163" s="18">
        <f t="shared" si="6"/>
        <v>260</v>
      </c>
      <c r="N163" s="10" t="str">
        <f t="shared" si="5"/>
        <v>Unique</v>
      </c>
    </row>
    <row r="164" spans="1:16" ht="40.799999999999997" thickBot="1" x14ac:dyDescent="0.35">
      <c r="A164" s="11">
        <v>46252.6875</v>
      </c>
      <c r="B164" s="8" t="s">
        <v>24</v>
      </c>
      <c r="C164" s="8" t="s">
        <v>7</v>
      </c>
      <c r="D164" s="8">
        <v>40</v>
      </c>
      <c r="E164" s="8">
        <v>458</v>
      </c>
      <c r="F164" s="4">
        <v>13.647642680000001</v>
      </c>
      <c r="G164" s="2" t="s">
        <v>55</v>
      </c>
      <c r="H164" s="5">
        <v>403</v>
      </c>
      <c r="I164" s="1" t="s">
        <v>8</v>
      </c>
      <c r="J164" s="34" t="s">
        <v>116</v>
      </c>
      <c r="N164" s="10" t="str">
        <f t="shared" si="5"/>
        <v>Unique</v>
      </c>
    </row>
    <row r="165" spans="1:16" ht="40.799999999999997" thickBot="1" x14ac:dyDescent="0.35">
      <c r="A165" s="30">
        <v>46335.62777777778</v>
      </c>
      <c r="B165" s="31" t="s">
        <v>11</v>
      </c>
      <c r="C165" s="31" t="s">
        <v>7</v>
      </c>
      <c r="D165" s="32">
        <v>20</v>
      </c>
      <c r="E165" s="32">
        <v>284.5</v>
      </c>
      <c r="F165" s="4">
        <v>10.05802708</v>
      </c>
      <c r="G165" s="2" t="s">
        <v>98</v>
      </c>
      <c r="H165" s="5">
        <v>258.5</v>
      </c>
      <c r="I165" s="1" t="s">
        <v>8</v>
      </c>
      <c r="J165" s="27" t="s">
        <v>117</v>
      </c>
      <c r="K165" s="27" t="s">
        <v>264</v>
      </c>
      <c r="L165" s="27">
        <v>5370</v>
      </c>
      <c r="M165" s="27">
        <f>ABS((D165*E165)-L165)</f>
        <v>320</v>
      </c>
      <c r="N165" s="29" t="str">
        <f t="shared" si="5"/>
        <v>Unique</v>
      </c>
      <c r="O165" s="29"/>
      <c r="P165" s="29"/>
    </row>
    <row r="166" spans="1:16" ht="40.799999999999997" thickBot="1" x14ac:dyDescent="0.35">
      <c r="A166" s="30">
        <v>46280.375694444447</v>
      </c>
      <c r="B166" s="31" t="s">
        <v>11</v>
      </c>
      <c r="C166" s="31" t="s">
        <v>7</v>
      </c>
      <c r="D166" s="32">
        <v>10</v>
      </c>
      <c r="E166" s="32">
        <v>284.5</v>
      </c>
      <c r="F166" s="4">
        <v>10.05802708</v>
      </c>
      <c r="G166" s="2" t="s">
        <v>98</v>
      </c>
      <c r="H166" s="5">
        <v>258.5</v>
      </c>
      <c r="I166" s="1" t="s">
        <v>8</v>
      </c>
      <c r="J166" s="27" t="s">
        <v>117</v>
      </c>
      <c r="K166" s="27" t="s">
        <v>276</v>
      </c>
      <c r="L166" s="27">
        <v>2610</v>
      </c>
      <c r="M166" s="27">
        <f>ABS((D166*E166)-L166)</f>
        <v>235</v>
      </c>
      <c r="N166" s="29" t="str">
        <f t="shared" si="5"/>
        <v>Unique</v>
      </c>
      <c r="O166" s="29"/>
      <c r="P166" s="29"/>
    </row>
    <row r="167" spans="1:16" ht="27.6" thickBot="1" x14ac:dyDescent="0.35">
      <c r="A167" s="3">
        <v>46294.475694444445</v>
      </c>
      <c r="B167" s="2" t="s">
        <v>16</v>
      </c>
      <c r="C167" s="2" t="s">
        <v>7</v>
      </c>
      <c r="D167" s="5">
        <v>5</v>
      </c>
      <c r="E167" s="5">
        <v>849</v>
      </c>
      <c r="F167" s="4">
        <v>14.112903230000001</v>
      </c>
      <c r="G167" s="2" t="s">
        <v>60</v>
      </c>
      <c r="H167" s="5">
        <v>744</v>
      </c>
      <c r="I167" s="1" t="s">
        <v>8</v>
      </c>
      <c r="J167" s="18" t="s">
        <v>117</v>
      </c>
      <c r="K167" s="18" t="s">
        <v>306</v>
      </c>
      <c r="L167" s="18">
        <v>3869</v>
      </c>
      <c r="M167" s="18">
        <f>ABS((D167*E167)-L167)</f>
        <v>376</v>
      </c>
      <c r="N167" s="10" t="str">
        <f t="shared" si="5"/>
        <v>Unique</v>
      </c>
    </row>
    <row r="168" spans="1:16" ht="27.6" thickBot="1" x14ac:dyDescent="0.35">
      <c r="A168" s="11">
        <v>46252.688194444447</v>
      </c>
      <c r="B168" s="8" t="s">
        <v>14</v>
      </c>
      <c r="C168" s="8" t="s">
        <v>7</v>
      </c>
      <c r="D168" s="8">
        <v>50</v>
      </c>
      <c r="E168" s="8">
        <v>361</v>
      </c>
      <c r="F168" s="4">
        <v>13.13068004</v>
      </c>
      <c r="G168" s="2" t="s">
        <v>44</v>
      </c>
      <c r="H168" s="5">
        <v>319.10000000000002</v>
      </c>
      <c r="I168" s="1" t="s">
        <v>8</v>
      </c>
      <c r="J168" s="34"/>
      <c r="N168" s="10" t="str">
        <f t="shared" si="5"/>
        <v>Unique</v>
      </c>
    </row>
    <row r="169" spans="1:16" ht="40.799999999999997" thickBot="1" x14ac:dyDescent="0.35">
      <c r="A169" s="11">
        <v>46252.635416666664</v>
      </c>
      <c r="B169" s="8" t="s">
        <v>50</v>
      </c>
      <c r="C169" s="8" t="s">
        <v>7</v>
      </c>
      <c r="D169" s="8">
        <v>10</v>
      </c>
      <c r="E169" s="8">
        <v>997</v>
      </c>
      <c r="F169" s="4">
        <v>15.79558653</v>
      </c>
      <c r="G169" s="2" t="s">
        <v>51</v>
      </c>
      <c r="H169" s="5">
        <v>861</v>
      </c>
      <c r="I169" s="1" t="s">
        <v>8</v>
      </c>
      <c r="J169" s="34" t="s">
        <v>116</v>
      </c>
      <c r="N169" s="10" t="str">
        <f t="shared" si="5"/>
        <v>Unique</v>
      </c>
    </row>
    <row r="170" spans="1:16" ht="40.799999999999997" thickBot="1" x14ac:dyDescent="0.35">
      <c r="A170" s="3">
        <v>46290.385416666664</v>
      </c>
      <c r="B170" s="2" t="s">
        <v>118</v>
      </c>
      <c r="C170" s="2" t="s">
        <v>7</v>
      </c>
      <c r="D170" s="5">
        <v>15</v>
      </c>
      <c r="E170" s="5">
        <v>1048</v>
      </c>
      <c r="F170" s="4">
        <v>16.070439690000001</v>
      </c>
      <c r="G170" s="2" t="s">
        <v>119</v>
      </c>
      <c r="H170" s="5">
        <v>902.9</v>
      </c>
      <c r="I170" s="1" t="s">
        <v>8</v>
      </c>
      <c r="J170" s="18" t="s">
        <v>54</v>
      </c>
      <c r="K170" s="18" t="s">
        <v>298</v>
      </c>
      <c r="L170" s="18">
        <v>15300</v>
      </c>
      <c r="M170" s="18">
        <f>ABS((D170*E170)-L170)</f>
        <v>420</v>
      </c>
      <c r="N170" s="10" t="str">
        <f t="shared" si="5"/>
        <v>Unique</v>
      </c>
    </row>
    <row r="171" spans="1:16" ht="27.6" thickBot="1" x14ac:dyDescent="0.35">
      <c r="A171" s="8" t="s">
        <v>61</v>
      </c>
      <c r="B171" s="8" t="s">
        <v>73</v>
      </c>
      <c r="C171" s="8" t="s">
        <v>7</v>
      </c>
      <c r="D171" s="8">
        <v>5</v>
      </c>
      <c r="E171" s="8">
        <v>3633</v>
      </c>
      <c r="F171" s="4">
        <v>10.05755832</v>
      </c>
      <c r="G171" s="2" t="s">
        <v>74</v>
      </c>
      <c r="H171" s="5">
        <v>3301</v>
      </c>
      <c r="I171" s="1" t="s">
        <v>8</v>
      </c>
      <c r="J171" s="34"/>
      <c r="N171" s="10" t="str">
        <f t="shared" si="5"/>
        <v>Unique</v>
      </c>
    </row>
    <row r="172" spans="1:16" ht="40.799999999999997" thickBot="1" x14ac:dyDescent="0.35">
      <c r="A172" s="3">
        <v>46276.4</v>
      </c>
      <c r="B172" s="1" t="s">
        <v>79</v>
      </c>
      <c r="C172" s="1" t="s">
        <v>7</v>
      </c>
      <c r="D172" s="4">
        <v>10</v>
      </c>
      <c r="E172" s="4">
        <v>1470</v>
      </c>
      <c r="F172" s="4">
        <v>14.75409836</v>
      </c>
      <c r="G172" s="2" t="s">
        <v>80</v>
      </c>
      <c r="H172" s="5">
        <v>1281</v>
      </c>
      <c r="I172" s="1" t="s">
        <v>8</v>
      </c>
      <c r="J172" s="18" t="s">
        <v>116</v>
      </c>
      <c r="K172" s="18" t="s">
        <v>267</v>
      </c>
      <c r="L172" s="18">
        <v>14200</v>
      </c>
      <c r="M172" s="18">
        <f>ABS((D172*E172)-L172)</f>
        <v>500</v>
      </c>
      <c r="N172" s="10" t="str">
        <f t="shared" si="5"/>
        <v>Unique</v>
      </c>
    </row>
    <row r="173" spans="1:16" ht="40.799999999999997" thickBot="1" x14ac:dyDescent="0.35">
      <c r="A173" s="11">
        <v>46252.688194444447</v>
      </c>
      <c r="B173" s="8" t="s">
        <v>28</v>
      </c>
      <c r="C173" s="8" t="s">
        <v>7</v>
      </c>
      <c r="D173" s="8">
        <v>30</v>
      </c>
      <c r="E173" s="8">
        <v>930</v>
      </c>
      <c r="F173" s="4">
        <v>12.91203788</v>
      </c>
      <c r="G173" s="2" t="s">
        <v>124</v>
      </c>
      <c r="H173" s="5">
        <v>823.65</v>
      </c>
      <c r="I173" s="1" t="s">
        <v>8</v>
      </c>
      <c r="J173" s="34"/>
      <c r="N173" s="10" t="str">
        <f t="shared" si="5"/>
        <v>Unique</v>
      </c>
      <c r="P173" s="29"/>
    </row>
    <row r="174" spans="1:16" ht="40.799999999999997" thickBot="1" x14ac:dyDescent="0.35">
      <c r="A174" s="8" t="s">
        <v>61</v>
      </c>
      <c r="B174" s="8" t="s">
        <v>52</v>
      </c>
      <c r="C174" s="8" t="s">
        <v>7</v>
      </c>
      <c r="D174" s="8">
        <v>3</v>
      </c>
      <c r="E174" s="12">
        <v>2710</v>
      </c>
      <c r="F174" s="4">
        <v>14.83050847</v>
      </c>
      <c r="G174" s="2" t="s">
        <v>53</v>
      </c>
      <c r="H174" s="5">
        <v>2360</v>
      </c>
      <c r="I174" s="1" t="s">
        <v>8</v>
      </c>
      <c r="J174" s="34" t="s">
        <v>117</v>
      </c>
      <c r="N174" s="10" t="str">
        <f t="shared" si="5"/>
        <v>Unique</v>
      </c>
    </row>
    <row r="175" spans="1:16" ht="40.799999999999997" thickBot="1" x14ac:dyDescent="0.35">
      <c r="A175" s="8" t="s">
        <v>61</v>
      </c>
      <c r="B175" s="8" t="s">
        <v>21</v>
      </c>
      <c r="C175" s="8" t="s">
        <v>7</v>
      </c>
      <c r="D175" s="8">
        <v>11</v>
      </c>
      <c r="E175" s="12">
        <v>749</v>
      </c>
      <c r="F175" s="4">
        <v>14.00304414</v>
      </c>
      <c r="G175" s="2" t="s">
        <v>75</v>
      </c>
      <c r="H175" s="5">
        <v>657</v>
      </c>
      <c r="I175" s="1" t="s">
        <v>8</v>
      </c>
      <c r="J175" s="34" t="s">
        <v>192</v>
      </c>
      <c r="N175" s="10" t="str">
        <f t="shared" si="5"/>
        <v>Unique</v>
      </c>
    </row>
    <row r="176" spans="1:16" ht="27.6" thickBot="1" x14ac:dyDescent="0.35">
      <c r="A176" s="11">
        <v>46252.635416666664</v>
      </c>
      <c r="B176" s="8" t="s">
        <v>122</v>
      </c>
      <c r="C176" s="8" t="s">
        <v>7</v>
      </c>
      <c r="D176" s="8">
        <v>200</v>
      </c>
      <c r="E176" s="8">
        <v>89.3</v>
      </c>
      <c r="F176" s="4">
        <v>15.823605710000001</v>
      </c>
      <c r="G176" s="2" t="s">
        <v>123</v>
      </c>
      <c r="H176" s="5">
        <v>77.099999999999994</v>
      </c>
      <c r="I176" s="1" t="s">
        <v>8</v>
      </c>
      <c r="J176" s="18" t="s">
        <v>117</v>
      </c>
      <c r="N176" s="10" t="str">
        <f t="shared" si="5"/>
        <v>Unique</v>
      </c>
      <c r="O176" s="38" t="s">
        <v>239</v>
      </c>
    </row>
    <row r="177" spans="1:16" ht="27.6" thickBot="1" x14ac:dyDescent="0.35">
      <c r="A177" s="6" t="s">
        <v>61</v>
      </c>
      <c r="B177" s="1" t="s">
        <v>15</v>
      </c>
      <c r="C177" s="1" t="s">
        <v>10</v>
      </c>
      <c r="D177" s="4">
        <v>30</v>
      </c>
      <c r="E177" s="4">
        <v>2435</v>
      </c>
      <c r="F177" s="4">
        <v>13.854210500000001</v>
      </c>
      <c r="G177" s="2" t="s">
        <v>71</v>
      </c>
      <c r="H177" s="5">
        <v>2138.6999999999998</v>
      </c>
      <c r="I177" s="1" t="s">
        <v>8</v>
      </c>
      <c r="J177" s="51" t="s">
        <v>54</v>
      </c>
      <c r="K177" s="17"/>
      <c r="L177" s="17"/>
      <c r="M177" s="17"/>
      <c r="N177" t="str">
        <f t="shared" si="5"/>
        <v>Unique</v>
      </c>
    </row>
    <row r="178" spans="1:16" ht="27.6" thickBot="1" x14ac:dyDescent="0.35">
      <c r="A178" s="8" t="s">
        <v>61</v>
      </c>
      <c r="B178" s="8" t="s">
        <v>120</v>
      </c>
      <c r="C178" s="8" t="s">
        <v>7</v>
      </c>
      <c r="D178" s="8">
        <v>10</v>
      </c>
      <c r="E178" s="8">
        <v>796</v>
      </c>
      <c r="F178" s="4">
        <v>14.962449449999999</v>
      </c>
      <c r="G178" s="2" t="s">
        <v>121</v>
      </c>
      <c r="H178" s="5">
        <v>692.4</v>
      </c>
      <c r="I178" s="1" t="s">
        <v>8</v>
      </c>
      <c r="J178" s="34" t="s">
        <v>116</v>
      </c>
      <c r="N178" s="10" t="str">
        <f t="shared" si="5"/>
        <v>Unique</v>
      </c>
    </row>
    <row r="179" spans="1:16" ht="40.799999999999997" thickBot="1" x14ac:dyDescent="0.35">
      <c r="A179" s="30">
        <v>46258.443749999999</v>
      </c>
      <c r="B179" s="31" t="s">
        <v>6</v>
      </c>
      <c r="C179" s="31" t="s">
        <v>7</v>
      </c>
      <c r="D179" s="32">
        <v>50</v>
      </c>
      <c r="E179" s="32">
        <v>294</v>
      </c>
      <c r="F179" s="4">
        <v>13.711081030000001</v>
      </c>
      <c r="G179" s="2" t="s">
        <v>129</v>
      </c>
      <c r="H179" s="5">
        <v>258.55</v>
      </c>
      <c r="I179" s="1" t="s">
        <v>8</v>
      </c>
      <c r="J179" s="27" t="s">
        <v>117</v>
      </c>
      <c r="K179" s="27" t="s">
        <v>154</v>
      </c>
      <c r="L179" s="27">
        <v>14172.5</v>
      </c>
      <c r="M179" s="27">
        <f>ABS((D179*E179)-L179)</f>
        <v>527.5</v>
      </c>
      <c r="N179" s="29" t="str">
        <f t="shared" si="5"/>
        <v>Unique</v>
      </c>
      <c r="O179" s="29"/>
      <c r="P179" s="29"/>
    </row>
    <row r="180" spans="1:16" s="29" customFormat="1" ht="27.6" thickBot="1" x14ac:dyDescent="0.35">
      <c r="A180" s="3">
        <v>46266.375</v>
      </c>
      <c r="B180" s="1" t="s">
        <v>88</v>
      </c>
      <c r="C180" s="1" t="s">
        <v>7</v>
      </c>
      <c r="D180" s="4">
        <v>1</v>
      </c>
      <c r="E180" s="4">
        <v>14852</v>
      </c>
      <c r="F180" s="4">
        <v>14.07942238</v>
      </c>
      <c r="G180" s="2" t="s">
        <v>89</v>
      </c>
      <c r="H180" s="5">
        <v>13019</v>
      </c>
      <c r="I180" s="1" t="s">
        <v>8</v>
      </c>
      <c r="J180" s="18" t="s">
        <v>117</v>
      </c>
      <c r="K180" s="18" t="s">
        <v>217</v>
      </c>
      <c r="L180" s="18">
        <v>14552</v>
      </c>
      <c r="M180" s="18">
        <f>ABS((D180*E180)-L180)</f>
        <v>300</v>
      </c>
      <c r="N180" s="10" t="str">
        <f t="shared" si="5"/>
        <v>Unique</v>
      </c>
      <c r="O180" s="38" t="s">
        <v>239</v>
      </c>
    </row>
    <row r="181" spans="1:16" ht="40.799999999999997" thickBot="1" x14ac:dyDescent="0.35">
      <c r="A181" s="40">
        <v>46253.4</v>
      </c>
      <c r="B181" s="41" t="s">
        <v>6</v>
      </c>
      <c r="C181" s="41" t="s">
        <v>7</v>
      </c>
      <c r="D181" s="41">
        <v>30</v>
      </c>
      <c r="E181" s="41">
        <v>294</v>
      </c>
      <c r="F181" s="4">
        <v>13.711081030000001</v>
      </c>
      <c r="G181" s="2" t="s">
        <v>129</v>
      </c>
      <c r="H181" s="5">
        <v>258.55</v>
      </c>
      <c r="I181" s="1" t="s">
        <v>8</v>
      </c>
      <c r="J181" s="48" t="s">
        <v>117</v>
      </c>
      <c r="K181" s="27" t="s">
        <v>142</v>
      </c>
      <c r="L181" s="27"/>
      <c r="M181" s="27"/>
      <c r="N181" s="29" t="str">
        <f t="shared" si="5"/>
        <v>Unique</v>
      </c>
      <c r="O181" s="29"/>
      <c r="P181" s="29"/>
    </row>
    <row r="182" spans="1:16" ht="27.6" thickBot="1" x14ac:dyDescent="0.35">
      <c r="A182" s="11">
        <v>46252.688194444447</v>
      </c>
      <c r="B182" s="8" t="s">
        <v>14</v>
      </c>
      <c r="C182" s="8" t="s">
        <v>7</v>
      </c>
      <c r="D182" s="8">
        <v>50</v>
      </c>
      <c r="E182" s="8">
        <v>365</v>
      </c>
      <c r="F182" s="4">
        <v>14.38420558</v>
      </c>
      <c r="G182" s="2" t="s">
        <v>44</v>
      </c>
      <c r="H182" s="5">
        <v>319.10000000000002</v>
      </c>
      <c r="I182" s="1" t="s">
        <v>8</v>
      </c>
      <c r="J182" s="34" t="s">
        <v>117</v>
      </c>
      <c r="N182" s="10" t="str">
        <f t="shared" si="5"/>
        <v>Unique</v>
      </c>
    </row>
    <row r="183" spans="1:16" ht="40.799999999999997" thickBot="1" x14ac:dyDescent="0.35">
      <c r="A183" s="3">
        <v>46260.425694444442</v>
      </c>
      <c r="B183" s="1" t="s">
        <v>13</v>
      </c>
      <c r="C183" s="1" t="s">
        <v>7</v>
      </c>
      <c r="D183" s="4">
        <v>20</v>
      </c>
      <c r="E183" s="4">
        <v>1924</v>
      </c>
      <c r="F183" s="4">
        <v>10.01200755</v>
      </c>
      <c r="G183" s="2" t="s">
        <v>90</v>
      </c>
      <c r="H183" s="5">
        <v>1748.9</v>
      </c>
      <c r="I183" s="1" t="s">
        <v>8</v>
      </c>
      <c r="J183" s="18" t="s">
        <v>117</v>
      </c>
      <c r="K183" s="18" t="s">
        <v>167</v>
      </c>
      <c r="L183" s="18">
        <v>37480</v>
      </c>
      <c r="M183" s="18">
        <f>ABS((D183*E183)-L183)</f>
        <v>1000</v>
      </c>
      <c r="N183" t="str">
        <f t="shared" si="5"/>
        <v>Unique</v>
      </c>
      <c r="P183" s="29"/>
    </row>
    <row r="184" spans="1:16" ht="27.6" thickBot="1" x14ac:dyDescent="0.35">
      <c r="A184" s="11">
        <v>46252.645138888889</v>
      </c>
      <c r="B184" s="8" t="s">
        <v>56</v>
      </c>
      <c r="C184" s="8" t="s">
        <v>7</v>
      </c>
      <c r="D184" s="8">
        <v>5</v>
      </c>
      <c r="E184" s="8">
        <v>2998</v>
      </c>
      <c r="F184" s="4">
        <v>3.3793103449999999</v>
      </c>
      <c r="G184" s="2" t="s">
        <v>57</v>
      </c>
      <c r="H184" s="5">
        <v>2900</v>
      </c>
      <c r="I184" s="1" t="s">
        <v>8</v>
      </c>
      <c r="J184" s="17" t="s">
        <v>116</v>
      </c>
      <c r="N184" s="10" t="str">
        <f t="shared" si="5"/>
        <v>Unique</v>
      </c>
    </row>
    <row r="185" spans="1:16" ht="40.799999999999997" thickBot="1" x14ac:dyDescent="0.35">
      <c r="A185" s="3">
        <v>46260.554861111108</v>
      </c>
      <c r="B185" s="1" t="s">
        <v>12</v>
      </c>
      <c r="C185" s="1" t="s">
        <v>7</v>
      </c>
      <c r="D185" s="4">
        <v>1</v>
      </c>
      <c r="E185" s="4">
        <v>5540</v>
      </c>
      <c r="F185" s="4">
        <v>16.813562180000002</v>
      </c>
      <c r="G185" s="2" t="s">
        <v>97</v>
      </c>
      <c r="H185" s="5">
        <v>4742.6000000000004</v>
      </c>
      <c r="I185" s="1" t="s">
        <v>8</v>
      </c>
      <c r="J185" s="18" t="s">
        <v>117</v>
      </c>
      <c r="K185" s="18" t="s">
        <v>164</v>
      </c>
      <c r="L185" s="18">
        <v>5290</v>
      </c>
      <c r="M185" s="18">
        <f>ABS((D185*E185)-L185)</f>
        <v>250</v>
      </c>
      <c r="N185" t="str">
        <f t="shared" si="5"/>
        <v>Unique</v>
      </c>
    </row>
    <row r="186" spans="1:16" ht="40.799999999999997" thickBot="1" x14ac:dyDescent="0.35">
      <c r="A186" s="3">
        <v>46274.414583333331</v>
      </c>
      <c r="B186" s="1" t="s">
        <v>12</v>
      </c>
      <c r="C186" s="1" t="s">
        <v>7</v>
      </c>
      <c r="D186" s="4">
        <v>2</v>
      </c>
      <c r="E186" s="4">
        <v>5274</v>
      </c>
      <c r="F186" s="4">
        <v>11.20482436</v>
      </c>
      <c r="G186" s="2" t="s">
        <v>97</v>
      </c>
      <c r="H186" s="5">
        <v>4742.6000000000004</v>
      </c>
      <c r="I186" s="1" t="s">
        <v>8</v>
      </c>
      <c r="J186" s="18" t="s">
        <v>117</v>
      </c>
      <c r="K186" s="18" t="s">
        <v>254</v>
      </c>
      <c r="L186" s="18">
        <v>9902</v>
      </c>
      <c r="M186" s="18">
        <f>ABS((D186*E186)-L186)</f>
        <v>646</v>
      </c>
      <c r="N186" s="10" t="str">
        <f t="shared" si="5"/>
        <v>Unique</v>
      </c>
      <c r="O186" s="38" t="s">
        <v>239</v>
      </c>
    </row>
    <row r="187" spans="1:16" ht="27.6" thickBot="1" x14ac:dyDescent="0.35">
      <c r="A187" s="49">
        <v>46296.40902777778</v>
      </c>
      <c r="B187" s="2" t="s">
        <v>285</v>
      </c>
      <c r="C187" s="2" t="s">
        <v>7</v>
      </c>
      <c r="D187" s="5">
        <v>2</v>
      </c>
      <c r="E187" s="5">
        <v>1584.1</v>
      </c>
      <c r="F187" s="4">
        <v>22.390481340000001</v>
      </c>
      <c r="G187" s="2" t="s">
        <v>287</v>
      </c>
      <c r="H187" s="5">
        <v>1294.3</v>
      </c>
      <c r="I187" s="1" t="s">
        <v>8</v>
      </c>
      <c r="J187" s="18" t="s">
        <v>117</v>
      </c>
      <c r="K187" s="18" t="s">
        <v>314</v>
      </c>
      <c r="L187" s="18">
        <v>2868.2</v>
      </c>
      <c r="M187" s="18">
        <f>ABS((D187*E187)-L187)</f>
        <v>300</v>
      </c>
      <c r="N187" s="10" t="str">
        <f t="shared" si="5"/>
        <v>Unique</v>
      </c>
    </row>
    <row r="188" spans="1:16" ht="27.6" thickBot="1" x14ac:dyDescent="0.35">
      <c r="A188" s="11">
        <v>46252.635416666664</v>
      </c>
      <c r="B188" s="8" t="s">
        <v>46</v>
      </c>
      <c r="C188" s="8" t="s">
        <v>7</v>
      </c>
      <c r="D188" s="8">
        <v>8</v>
      </c>
      <c r="E188" s="8">
        <v>2448</v>
      </c>
      <c r="F188" s="4">
        <v>16.905444129999999</v>
      </c>
      <c r="G188" s="2" t="s">
        <v>47</v>
      </c>
      <c r="H188" s="5">
        <v>2094</v>
      </c>
      <c r="I188" s="1" t="s">
        <v>8</v>
      </c>
      <c r="J188" s="34"/>
      <c r="N188" s="10" t="str">
        <f t="shared" si="5"/>
        <v>Unique</v>
      </c>
    </row>
    <row r="189" spans="1:16" s="29" customFormat="1" ht="40.799999999999997" thickBot="1" x14ac:dyDescent="0.35">
      <c r="A189" s="3">
        <v>46269.375</v>
      </c>
      <c r="B189" s="1" t="s">
        <v>22</v>
      </c>
      <c r="C189" s="1" t="s">
        <v>7</v>
      </c>
      <c r="D189" s="4">
        <v>5</v>
      </c>
      <c r="E189" s="4">
        <v>471</v>
      </c>
      <c r="F189" s="4">
        <v>15.952732640000001</v>
      </c>
      <c r="G189" s="2" t="s">
        <v>72</v>
      </c>
      <c r="H189" s="5">
        <v>406.2</v>
      </c>
      <c r="I189" s="1" t="s">
        <v>8</v>
      </c>
      <c r="J189" s="18" t="s">
        <v>117</v>
      </c>
      <c r="K189" s="18" t="s">
        <v>236</v>
      </c>
      <c r="L189" s="18">
        <v>2105</v>
      </c>
      <c r="M189" s="26">
        <f>ABS((D189*E189)-L189)</f>
        <v>250</v>
      </c>
      <c r="N189" t="str">
        <f t="shared" si="5"/>
        <v>Unique</v>
      </c>
      <c r="O189" s="10"/>
      <c r="P189" s="10"/>
    </row>
    <row r="190" spans="1:16" ht="40.799999999999997" thickBot="1" x14ac:dyDescent="0.35">
      <c r="A190" s="3">
        <v>46276.390277777777</v>
      </c>
      <c r="B190" s="1" t="s">
        <v>79</v>
      </c>
      <c r="C190" s="1" t="s">
        <v>7</v>
      </c>
      <c r="D190" s="4">
        <v>10</v>
      </c>
      <c r="E190" s="4">
        <v>1490</v>
      </c>
      <c r="F190" s="4">
        <v>16.31537861</v>
      </c>
      <c r="G190" s="2" t="s">
        <v>80</v>
      </c>
      <c r="H190" s="5">
        <v>1281</v>
      </c>
      <c r="I190" s="1" t="s">
        <v>8</v>
      </c>
      <c r="J190" s="18" t="s">
        <v>116</v>
      </c>
      <c r="K190" s="18" t="s">
        <v>268</v>
      </c>
      <c r="L190" s="18">
        <v>14400</v>
      </c>
      <c r="M190" s="18">
        <f>ABS((D190*E190)-L190)</f>
        <v>500</v>
      </c>
      <c r="N190" s="10" t="str">
        <f t="shared" si="5"/>
        <v>Unique</v>
      </c>
    </row>
    <row r="191" spans="1:16" ht="40.799999999999997" thickBot="1" x14ac:dyDescent="0.35">
      <c r="A191" s="43" t="s">
        <v>61</v>
      </c>
      <c r="B191" s="45" t="s">
        <v>23</v>
      </c>
      <c r="C191" s="43" t="s">
        <v>7</v>
      </c>
      <c r="D191" s="43">
        <v>40</v>
      </c>
      <c r="E191" s="46">
        <v>229</v>
      </c>
      <c r="F191" s="4">
        <v>15.744250689999999</v>
      </c>
      <c r="G191" s="2" t="s">
        <v>69</v>
      </c>
      <c r="H191" s="5">
        <v>197.85</v>
      </c>
      <c r="I191" s="1" t="s">
        <v>8</v>
      </c>
      <c r="J191" s="47" t="s">
        <v>116</v>
      </c>
      <c r="K191" s="44"/>
      <c r="L191" s="44"/>
      <c r="M191" s="44"/>
      <c r="N191" s="24" t="str">
        <f t="shared" si="5"/>
        <v>Unique</v>
      </c>
      <c r="O191" s="24"/>
      <c r="P191" s="24" t="s">
        <v>253</v>
      </c>
    </row>
    <row r="192" spans="1:16" ht="27.6" thickBot="1" x14ac:dyDescent="0.35">
      <c r="A192" s="30">
        <v>46258.443055555559</v>
      </c>
      <c r="B192" s="31" t="s">
        <v>34</v>
      </c>
      <c r="C192" s="31" t="s">
        <v>7</v>
      </c>
      <c r="D192" s="32">
        <v>50</v>
      </c>
      <c r="E192" s="32">
        <v>229.5</v>
      </c>
      <c r="F192" s="4">
        <v>15.210843369999999</v>
      </c>
      <c r="G192" s="2" t="s">
        <v>41</v>
      </c>
      <c r="H192" s="5">
        <v>199.2</v>
      </c>
      <c r="I192" s="1" t="s">
        <v>8</v>
      </c>
      <c r="J192" s="27" t="s">
        <v>117</v>
      </c>
      <c r="K192" s="27" t="s">
        <v>155</v>
      </c>
      <c r="L192" s="27">
        <v>11175</v>
      </c>
      <c r="M192" s="27">
        <f>ABS((D192*E192)-L192)</f>
        <v>300</v>
      </c>
      <c r="N192" s="29" t="str">
        <f t="shared" si="5"/>
        <v>Unique</v>
      </c>
      <c r="O192" s="29"/>
      <c r="P192" s="29"/>
    </row>
    <row r="193" spans="1:16" ht="27.6" thickBot="1" x14ac:dyDescent="0.35">
      <c r="A193" s="30">
        <v>46259.375</v>
      </c>
      <c r="B193" s="31" t="s">
        <v>34</v>
      </c>
      <c r="C193" s="31" t="s">
        <v>7</v>
      </c>
      <c r="D193" s="32">
        <v>20</v>
      </c>
      <c r="E193" s="32">
        <v>229.5</v>
      </c>
      <c r="F193" s="4">
        <v>15.210843369999999</v>
      </c>
      <c r="G193" s="2" t="s">
        <v>41</v>
      </c>
      <c r="H193" s="5">
        <v>199.2</v>
      </c>
      <c r="I193" s="1" t="s">
        <v>8</v>
      </c>
      <c r="J193" s="27" t="s">
        <v>117</v>
      </c>
      <c r="K193" s="27" t="s">
        <v>161</v>
      </c>
      <c r="L193" s="27">
        <v>4402</v>
      </c>
      <c r="M193" s="27">
        <f>ABS((D193*E193)-L193)</f>
        <v>188</v>
      </c>
      <c r="N193" s="29" t="str">
        <f t="shared" si="5"/>
        <v>Unique</v>
      </c>
      <c r="O193" s="29"/>
      <c r="P193" s="29"/>
    </row>
    <row r="194" spans="1:16" ht="40.799999999999997" thickBot="1" x14ac:dyDescent="0.35">
      <c r="A194" s="3">
        <v>46265.375694444447</v>
      </c>
      <c r="B194" s="1" t="s">
        <v>35</v>
      </c>
      <c r="C194" s="1" t="s">
        <v>7</v>
      </c>
      <c r="D194" s="4">
        <v>5</v>
      </c>
      <c r="E194" s="4">
        <v>1236</v>
      </c>
      <c r="F194" s="4">
        <v>15.48164066</v>
      </c>
      <c r="G194" s="2" t="s">
        <v>64</v>
      </c>
      <c r="H194" s="5">
        <v>1070.3</v>
      </c>
      <c r="I194" s="1" t="s">
        <v>8</v>
      </c>
      <c r="J194" s="18" t="s">
        <v>117</v>
      </c>
      <c r="K194" s="18" t="s">
        <v>204</v>
      </c>
      <c r="L194" s="18">
        <v>5905</v>
      </c>
      <c r="M194" s="18">
        <f>ABS((D194*E194)-L194)</f>
        <v>275</v>
      </c>
      <c r="N194" t="str">
        <f t="shared" ref="N194:N257" si="7">IF(COUNTIFS( $B$2:$B$688, B194, $C$2:$C$688, C194, $D$2:$D$688, D194, $E$2:$E$688, E194) &gt; 1, "Duplicate", "Unique")</f>
        <v>Unique</v>
      </c>
    </row>
    <row r="195" spans="1:16" ht="40.799999999999997" thickBot="1" x14ac:dyDescent="0.35">
      <c r="A195" s="8" t="s">
        <v>61</v>
      </c>
      <c r="B195" s="8" t="s">
        <v>24</v>
      </c>
      <c r="C195" s="8" t="s">
        <v>7</v>
      </c>
      <c r="D195" s="8">
        <v>5</v>
      </c>
      <c r="E195" s="8">
        <v>468</v>
      </c>
      <c r="F195" s="4">
        <v>16.129032259999999</v>
      </c>
      <c r="G195" s="2" t="s">
        <v>55</v>
      </c>
      <c r="H195" s="5">
        <v>403</v>
      </c>
      <c r="I195" s="1" t="s">
        <v>8</v>
      </c>
      <c r="J195" s="34" t="s">
        <v>117</v>
      </c>
      <c r="N195" s="10" t="str">
        <f t="shared" si="7"/>
        <v>Unique</v>
      </c>
    </row>
    <row r="196" spans="1:16" ht="40.799999999999997" thickBot="1" x14ac:dyDescent="0.35">
      <c r="A196" s="3">
        <v>46260.375</v>
      </c>
      <c r="B196" s="1" t="s">
        <v>24</v>
      </c>
      <c r="C196" s="1" t="s">
        <v>7</v>
      </c>
      <c r="D196" s="4">
        <v>40</v>
      </c>
      <c r="E196" s="4">
        <v>468</v>
      </c>
      <c r="F196" s="4">
        <v>16.129032259999999</v>
      </c>
      <c r="G196" s="2" t="s">
        <v>55</v>
      </c>
      <c r="H196" s="5">
        <v>403</v>
      </c>
      <c r="I196" s="1" t="s">
        <v>8</v>
      </c>
      <c r="J196" s="18" t="s">
        <v>117</v>
      </c>
      <c r="K196" s="18" t="s">
        <v>168</v>
      </c>
      <c r="L196" s="18">
        <v>17920</v>
      </c>
      <c r="M196" s="18">
        <f>ABS((D196*E196)-L196)</f>
        <v>800</v>
      </c>
      <c r="N196" t="str">
        <f t="shared" si="7"/>
        <v>Unique</v>
      </c>
    </row>
    <row r="197" spans="1:16" ht="27.6" thickBot="1" x14ac:dyDescent="0.35">
      <c r="A197" s="8" t="s">
        <v>61</v>
      </c>
      <c r="B197" s="8" t="s">
        <v>73</v>
      </c>
      <c r="C197" s="8" t="s">
        <v>7</v>
      </c>
      <c r="D197" s="8">
        <v>1</v>
      </c>
      <c r="E197" s="8">
        <v>3710</v>
      </c>
      <c r="F197" s="4">
        <v>12.390184789999999</v>
      </c>
      <c r="G197" s="2" t="s">
        <v>74</v>
      </c>
      <c r="H197" s="5">
        <v>3301</v>
      </c>
      <c r="I197" s="1" t="s">
        <v>8</v>
      </c>
      <c r="J197" s="34" t="s">
        <v>117</v>
      </c>
      <c r="N197" s="10" t="str">
        <f t="shared" si="7"/>
        <v>Unique</v>
      </c>
    </row>
    <row r="198" spans="1:16" ht="27.6" thickBot="1" x14ac:dyDescent="0.35">
      <c r="A198" s="6" t="s">
        <v>61</v>
      </c>
      <c r="B198" s="1" t="s">
        <v>15</v>
      </c>
      <c r="C198" s="1" t="s">
        <v>10</v>
      </c>
      <c r="D198" s="4">
        <v>5</v>
      </c>
      <c r="E198" s="4">
        <v>2470</v>
      </c>
      <c r="F198" s="4">
        <v>15.490718660000001</v>
      </c>
      <c r="G198" s="2" t="s">
        <v>71</v>
      </c>
      <c r="H198" s="5">
        <v>2138.6999999999998</v>
      </c>
      <c r="I198" s="1" t="s">
        <v>8</v>
      </c>
      <c r="J198" s="51" t="s">
        <v>40</v>
      </c>
      <c r="K198" s="17"/>
      <c r="L198" s="17"/>
      <c r="M198" s="17"/>
      <c r="N198" t="str">
        <f t="shared" si="7"/>
        <v>Unique</v>
      </c>
      <c r="P198" s="24"/>
    </row>
    <row r="199" spans="1:16" ht="27.6" thickBot="1" x14ac:dyDescent="0.35">
      <c r="A199" s="3">
        <v>46267.375</v>
      </c>
      <c r="B199" s="1" t="s">
        <v>77</v>
      </c>
      <c r="C199" s="1" t="s">
        <v>7</v>
      </c>
      <c r="D199" s="4">
        <v>3</v>
      </c>
      <c r="E199" s="4">
        <v>1460</v>
      </c>
      <c r="F199" s="4">
        <v>15.707719129999999</v>
      </c>
      <c r="G199" s="2" t="s">
        <v>78</v>
      </c>
      <c r="H199" s="5">
        <v>1261.8</v>
      </c>
      <c r="I199" s="1" t="s">
        <v>8</v>
      </c>
      <c r="J199" s="18" t="s">
        <v>117</v>
      </c>
      <c r="K199" s="18" t="s">
        <v>223</v>
      </c>
      <c r="L199" s="18">
        <v>4080</v>
      </c>
      <c r="M199" s="18">
        <f>ABS((D199*E199)-L199)</f>
        <v>300</v>
      </c>
      <c r="N199" s="10" t="str">
        <f t="shared" si="7"/>
        <v>Unique</v>
      </c>
    </row>
    <row r="200" spans="1:16" ht="40.799999999999997" thickBot="1" x14ac:dyDescent="0.35">
      <c r="A200" s="11">
        <v>46252.6875</v>
      </c>
      <c r="B200" s="8" t="s">
        <v>27</v>
      </c>
      <c r="C200" s="8" t="s">
        <v>7</v>
      </c>
      <c r="D200" s="8">
        <v>2</v>
      </c>
      <c r="E200" s="8">
        <v>3048</v>
      </c>
      <c r="F200" s="4">
        <v>17.09565886</v>
      </c>
      <c r="G200" s="2" t="s">
        <v>130</v>
      </c>
      <c r="H200" s="5">
        <v>2603</v>
      </c>
      <c r="I200" s="1" t="s">
        <v>8</v>
      </c>
      <c r="J200" s="34" t="s">
        <v>116</v>
      </c>
      <c r="N200" s="10" t="str">
        <f t="shared" si="7"/>
        <v>Unique</v>
      </c>
    </row>
    <row r="201" spans="1:16" ht="40.799999999999997" thickBot="1" x14ac:dyDescent="0.35">
      <c r="A201" s="3">
        <v>46259.388194444444</v>
      </c>
      <c r="B201" s="1" t="s">
        <v>13</v>
      </c>
      <c r="C201" s="1" t="s">
        <v>7</v>
      </c>
      <c r="D201" s="4">
        <v>20</v>
      </c>
      <c r="E201" s="4">
        <v>1948</v>
      </c>
      <c r="F201" s="4">
        <v>11.3842987</v>
      </c>
      <c r="G201" s="2" t="s">
        <v>90</v>
      </c>
      <c r="H201" s="5">
        <v>1748.9</v>
      </c>
      <c r="I201" s="1" t="s">
        <v>8</v>
      </c>
      <c r="J201" s="18" t="s">
        <v>116</v>
      </c>
      <c r="K201" s="18" t="s">
        <v>160</v>
      </c>
      <c r="L201" s="18">
        <v>38020</v>
      </c>
      <c r="M201" s="18">
        <f>ABS((D201*E201)-L201)</f>
        <v>940</v>
      </c>
      <c r="N201" s="10" t="str">
        <f t="shared" si="7"/>
        <v>Unique</v>
      </c>
    </row>
    <row r="202" spans="1:16" ht="27.6" thickBot="1" x14ac:dyDescent="0.35">
      <c r="A202" s="3">
        <v>46272.375694444447</v>
      </c>
      <c r="B202" s="1" t="s">
        <v>86</v>
      </c>
      <c r="C202" s="1" t="s">
        <v>7</v>
      </c>
      <c r="D202" s="4">
        <v>10</v>
      </c>
      <c r="E202" s="4">
        <v>1280</v>
      </c>
      <c r="F202" s="4">
        <v>16.1629912</v>
      </c>
      <c r="G202" s="2" t="s">
        <v>87</v>
      </c>
      <c r="H202" s="5">
        <v>1101.9000000000001</v>
      </c>
      <c r="I202" s="1" t="s">
        <v>8</v>
      </c>
      <c r="J202" s="18" t="s">
        <v>116</v>
      </c>
      <c r="K202" s="18" t="s">
        <v>245</v>
      </c>
      <c r="L202" s="18">
        <v>12510</v>
      </c>
      <c r="M202" s="18">
        <f>ABS((D202*E202)-L202)</f>
        <v>290</v>
      </c>
      <c r="N202" s="10" t="str">
        <f t="shared" si="7"/>
        <v>Unique</v>
      </c>
    </row>
    <row r="203" spans="1:16" ht="27.6" thickBot="1" x14ac:dyDescent="0.35">
      <c r="A203" s="3">
        <v>46335.421527777777</v>
      </c>
      <c r="B203" s="1" t="s">
        <v>16</v>
      </c>
      <c r="C203" s="1" t="s">
        <v>7</v>
      </c>
      <c r="D203" s="4">
        <v>10</v>
      </c>
      <c r="E203" s="4">
        <v>884.9</v>
      </c>
      <c r="F203" s="4">
        <v>18.938172040000001</v>
      </c>
      <c r="G203" s="2" t="s">
        <v>60</v>
      </c>
      <c r="H203" s="5">
        <v>744</v>
      </c>
      <c r="I203" s="1" t="s">
        <v>8</v>
      </c>
      <c r="J203" s="18" t="s">
        <v>117</v>
      </c>
      <c r="K203" s="18" t="s">
        <v>266</v>
      </c>
      <c r="L203" s="18">
        <v>8049</v>
      </c>
      <c r="M203" s="18">
        <f>ABS((D203*E203)-L203)</f>
        <v>800</v>
      </c>
      <c r="N203" s="10" t="str">
        <f t="shared" si="7"/>
        <v>Unique</v>
      </c>
      <c r="O203" s="38" t="s">
        <v>239</v>
      </c>
    </row>
    <row r="204" spans="1:16" ht="40.799999999999997" thickBot="1" x14ac:dyDescent="0.35">
      <c r="A204" s="8" t="s">
        <v>61</v>
      </c>
      <c r="B204" s="8" t="s">
        <v>50</v>
      </c>
      <c r="C204" s="8" t="s">
        <v>7</v>
      </c>
      <c r="D204" s="8">
        <v>10</v>
      </c>
      <c r="E204" s="13">
        <v>1024</v>
      </c>
      <c r="F204" s="4">
        <v>18.931475030000001</v>
      </c>
      <c r="G204" s="2" t="s">
        <v>51</v>
      </c>
      <c r="H204" s="5">
        <v>861</v>
      </c>
      <c r="I204" s="1" t="s">
        <v>8</v>
      </c>
      <c r="J204" s="34" t="s">
        <v>117</v>
      </c>
      <c r="N204" s="10" t="str">
        <f t="shared" si="7"/>
        <v>Unique</v>
      </c>
    </row>
    <row r="205" spans="1:16" ht="40.799999999999997" thickBot="1" x14ac:dyDescent="0.35">
      <c r="A205" s="3">
        <v>46276.388194444444</v>
      </c>
      <c r="B205" s="1" t="s">
        <v>79</v>
      </c>
      <c r="C205" s="1" t="s">
        <v>7</v>
      </c>
      <c r="D205" s="4">
        <v>10</v>
      </c>
      <c r="E205" s="4">
        <v>1510</v>
      </c>
      <c r="F205" s="4">
        <v>17.876658859999999</v>
      </c>
      <c r="G205" s="2" t="s">
        <v>80</v>
      </c>
      <c r="H205" s="5">
        <v>1281</v>
      </c>
      <c r="I205" s="1" t="s">
        <v>8</v>
      </c>
      <c r="J205" s="18" t="s">
        <v>116</v>
      </c>
      <c r="K205" s="18" t="s">
        <v>269</v>
      </c>
      <c r="L205" s="18">
        <v>14650</v>
      </c>
      <c r="M205" s="18">
        <f>ABS((D205*E205)-L205)</f>
        <v>450</v>
      </c>
      <c r="N205" s="10" t="str">
        <f t="shared" si="7"/>
        <v>Unique</v>
      </c>
    </row>
    <row r="206" spans="1:16" ht="27.6" thickBot="1" x14ac:dyDescent="0.35">
      <c r="A206" s="11">
        <v>46252.645138888889</v>
      </c>
      <c r="B206" s="8" t="s">
        <v>34</v>
      </c>
      <c r="C206" s="8" t="s">
        <v>7</v>
      </c>
      <c r="D206" s="8">
        <v>200</v>
      </c>
      <c r="E206" s="8">
        <v>232</v>
      </c>
      <c r="F206" s="4">
        <v>16.465863450000001</v>
      </c>
      <c r="G206" s="2" t="s">
        <v>41</v>
      </c>
      <c r="H206" s="5">
        <v>199.2</v>
      </c>
      <c r="I206" s="1" t="s">
        <v>8</v>
      </c>
      <c r="J206" s="17" t="s">
        <v>116</v>
      </c>
      <c r="N206" s="10" t="str">
        <f t="shared" si="7"/>
        <v>Unique</v>
      </c>
    </row>
    <row r="207" spans="1:16" ht="40.799999999999997" thickBot="1" x14ac:dyDescent="0.35">
      <c r="A207" s="3">
        <v>46262.375</v>
      </c>
      <c r="B207" s="1" t="s">
        <v>58</v>
      </c>
      <c r="C207" s="1" t="s">
        <v>7</v>
      </c>
      <c r="D207" s="4">
        <v>4</v>
      </c>
      <c r="E207" s="4">
        <v>1146</v>
      </c>
      <c r="F207" s="4">
        <v>19.375</v>
      </c>
      <c r="G207" s="2" t="s">
        <v>59</v>
      </c>
      <c r="H207" s="5">
        <v>960</v>
      </c>
      <c r="I207" s="1" t="s">
        <v>8</v>
      </c>
      <c r="J207" s="18" t="s">
        <v>116</v>
      </c>
      <c r="K207" s="18" t="s">
        <v>187</v>
      </c>
      <c r="L207" s="18">
        <v>4264</v>
      </c>
      <c r="M207" s="18">
        <f>ABS((D207*E207)-L207)</f>
        <v>320</v>
      </c>
      <c r="N207" s="10" t="str">
        <f t="shared" si="7"/>
        <v>Unique</v>
      </c>
    </row>
    <row r="208" spans="1:16" ht="40.799999999999997" thickBot="1" x14ac:dyDescent="0.35">
      <c r="A208" s="3">
        <v>46265.486111111109</v>
      </c>
      <c r="B208" s="1" t="s">
        <v>58</v>
      </c>
      <c r="C208" s="1" t="s">
        <v>7</v>
      </c>
      <c r="D208" s="4">
        <v>5</v>
      </c>
      <c r="E208" s="4">
        <v>1146</v>
      </c>
      <c r="F208" s="4">
        <v>19.375</v>
      </c>
      <c r="G208" s="2" t="s">
        <v>59</v>
      </c>
      <c r="H208" s="5">
        <v>960</v>
      </c>
      <c r="I208" s="1" t="s">
        <v>8</v>
      </c>
      <c r="J208" s="18" t="s">
        <v>117</v>
      </c>
      <c r="K208" s="18" t="s">
        <v>193</v>
      </c>
      <c r="L208" s="18">
        <v>5282</v>
      </c>
      <c r="M208" s="18">
        <f>ABS((D208*E208)-L208)</f>
        <v>448</v>
      </c>
      <c r="N208" t="str">
        <f t="shared" si="7"/>
        <v>Unique</v>
      </c>
    </row>
    <row r="209" spans="1:16" ht="40.799999999999997" thickBot="1" x14ac:dyDescent="0.35">
      <c r="A209" s="3">
        <v>46259.375</v>
      </c>
      <c r="B209" s="1" t="s">
        <v>24</v>
      </c>
      <c r="C209" s="1" t="s">
        <v>7</v>
      </c>
      <c r="D209" s="4">
        <v>20</v>
      </c>
      <c r="E209" s="4">
        <v>472.5</v>
      </c>
      <c r="F209" s="4">
        <v>17.245657569999999</v>
      </c>
      <c r="G209" s="2" t="s">
        <v>55</v>
      </c>
      <c r="H209" s="5">
        <v>403</v>
      </c>
      <c r="I209" s="1" t="s">
        <v>8</v>
      </c>
      <c r="J209" s="34" t="s">
        <v>117</v>
      </c>
      <c r="K209" s="18" t="s">
        <v>159</v>
      </c>
      <c r="L209" s="18">
        <v>8800</v>
      </c>
      <c r="M209" s="18">
        <f>ABS((D209*E209)-L209)</f>
        <v>650</v>
      </c>
      <c r="N209" s="10" t="str">
        <f t="shared" si="7"/>
        <v>Unique</v>
      </c>
      <c r="O209" s="29"/>
    </row>
    <row r="210" spans="1:16" ht="40.799999999999997" thickBot="1" x14ac:dyDescent="0.35">
      <c r="A210" s="30">
        <v>46260.556944444441</v>
      </c>
      <c r="B210" s="31" t="s">
        <v>35</v>
      </c>
      <c r="C210" s="31" t="s">
        <v>7</v>
      </c>
      <c r="D210" s="32">
        <v>5</v>
      </c>
      <c r="E210" s="32">
        <v>1251</v>
      </c>
      <c r="F210" s="4">
        <v>16.883116879999999</v>
      </c>
      <c r="G210" s="2" t="s">
        <v>64</v>
      </c>
      <c r="H210" s="5">
        <v>1070.3</v>
      </c>
      <c r="I210" s="1" t="s">
        <v>8</v>
      </c>
      <c r="J210" s="27" t="s">
        <v>117</v>
      </c>
      <c r="K210" s="27" t="s">
        <v>163</v>
      </c>
      <c r="L210" s="27">
        <v>6105</v>
      </c>
      <c r="M210" s="27">
        <f>ABS((D210*E210)-L210)</f>
        <v>150</v>
      </c>
      <c r="N210" s="28" t="str">
        <f t="shared" si="7"/>
        <v>Duplicate</v>
      </c>
    </row>
    <row r="211" spans="1:16" ht="40.799999999999997" thickBot="1" x14ac:dyDescent="0.35">
      <c r="A211" s="30">
        <v>46261.375</v>
      </c>
      <c r="B211" s="31" t="s">
        <v>35</v>
      </c>
      <c r="C211" s="31" t="s">
        <v>7</v>
      </c>
      <c r="D211" s="32">
        <v>5</v>
      </c>
      <c r="E211" s="32">
        <v>1251</v>
      </c>
      <c r="F211" s="4">
        <v>16.883116879999999</v>
      </c>
      <c r="G211" s="2" t="s">
        <v>64</v>
      </c>
      <c r="H211" s="5">
        <v>1070.3</v>
      </c>
      <c r="I211" s="1" t="s">
        <v>8</v>
      </c>
      <c r="J211" s="27" t="s">
        <v>117</v>
      </c>
      <c r="K211" s="27" t="s">
        <v>176</v>
      </c>
      <c r="L211" s="27">
        <v>6005</v>
      </c>
      <c r="M211" s="27">
        <f>ABS((D211*E211)-L211)</f>
        <v>250</v>
      </c>
      <c r="N211" s="29" t="str">
        <f t="shared" si="7"/>
        <v>Duplicate</v>
      </c>
    </row>
    <row r="212" spans="1:16" ht="40.799999999999997" thickBot="1" x14ac:dyDescent="0.35">
      <c r="A212" s="8" t="s">
        <v>61</v>
      </c>
      <c r="B212" s="8" t="s">
        <v>6</v>
      </c>
      <c r="C212" s="8" t="s">
        <v>7</v>
      </c>
      <c r="D212" s="8">
        <v>120</v>
      </c>
      <c r="E212" s="8">
        <v>300.5</v>
      </c>
      <c r="F212" s="4">
        <v>16.22510153</v>
      </c>
      <c r="G212" s="2" t="s">
        <v>129</v>
      </c>
      <c r="H212" s="5">
        <v>258.55</v>
      </c>
      <c r="I212" s="1" t="s">
        <v>8</v>
      </c>
      <c r="J212" s="34" t="s">
        <v>117</v>
      </c>
      <c r="N212" s="10" t="str">
        <f t="shared" si="7"/>
        <v>Unique</v>
      </c>
    </row>
    <row r="213" spans="1:16" ht="27.6" thickBot="1" x14ac:dyDescent="0.35">
      <c r="A213" s="8" t="s">
        <v>61</v>
      </c>
      <c r="B213" s="8" t="s">
        <v>14</v>
      </c>
      <c r="C213" s="8" t="s">
        <v>7</v>
      </c>
      <c r="D213" s="8">
        <v>17</v>
      </c>
      <c r="E213" s="8">
        <v>373</v>
      </c>
      <c r="F213" s="4">
        <v>16.89125666</v>
      </c>
      <c r="G213" s="2" t="s">
        <v>44</v>
      </c>
      <c r="H213" s="5">
        <v>319.10000000000002</v>
      </c>
      <c r="I213" s="1" t="s">
        <v>8</v>
      </c>
      <c r="J213" s="34"/>
      <c r="N213" s="10" t="str">
        <f t="shared" si="7"/>
        <v>Unique</v>
      </c>
    </row>
    <row r="214" spans="1:16" ht="27.6" thickBot="1" x14ac:dyDescent="0.35">
      <c r="A214" s="8" t="s">
        <v>61</v>
      </c>
      <c r="B214" s="8" t="s">
        <v>14</v>
      </c>
      <c r="C214" s="8" t="s">
        <v>7</v>
      </c>
      <c r="D214" s="8">
        <v>50</v>
      </c>
      <c r="E214" s="12">
        <v>373</v>
      </c>
      <c r="F214" s="4">
        <v>16.89125666</v>
      </c>
      <c r="G214" s="2" t="s">
        <v>44</v>
      </c>
      <c r="H214" s="5">
        <v>319.10000000000002</v>
      </c>
      <c r="I214" s="1" t="s">
        <v>8</v>
      </c>
      <c r="J214" s="34" t="s">
        <v>117</v>
      </c>
      <c r="N214" s="10" t="str">
        <f t="shared" si="7"/>
        <v>Unique</v>
      </c>
      <c r="O214" s="29"/>
    </row>
    <row r="215" spans="1:16" ht="40.799999999999997" thickBot="1" x14ac:dyDescent="0.35">
      <c r="A215" s="3">
        <v>46265.460416666669</v>
      </c>
      <c r="B215" s="1" t="s">
        <v>18</v>
      </c>
      <c r="C215" s="1" t="s">
        <v>7</v>
      </c>
      <c r="D215" s="4">
        <v>5</v>
      </c>
      <c r="E215" s="4">
        <v>1892</v>
      </c>
      <c r="F215" s="4">
        <v>17.00680272</v>
      </c>
      <c r="G215" s="2" t="s">
        <v>101</v>
      </c>
      <c r="H215" s="5">
        <v>1617</v>
      </c>
      <c r="I215" s="1" t="s">
        <v>8</v>
      </c>
      <c r="J215" s="18" t="s">
        <v>117</v>
      </c>
      <c r="K215" s="18" t="s">
        <v>194</v>
      </c>
      <c r="L215" s="18">
        <v>8810</v>
      </c>
      <c r="M215" s="18">
        <f>ABS((D215*E215)-L215)</f>
        <v>650</v>
      </c>
      <c r="N215" t="str">
        <f t="shared" si="7"/>
        <v>Unique</v>
      </c>
      <c r="P215" s="29"/>
    </row>
    <row r="216" spans="1:16" ht="27.6" thickBot="1" x14ac:dyDescent="0.35">
      <c r="A216" s="8" t="s">
        <v>61</v>
      </c>
      <c r="B216" s="8" t="s">
        <v>120</v>
      </c>
      <c r="C216" s="8" t="s">
        <v>7</v>
      </c>
      <c r="D216" s="8">
        <v>10</v>
      </c>
      <c r="E216" s="8">
        <v>816</v>
      </c>
      <c r="F216" s="4">
        <v>17.85095321</v>
      </c>
      <c r="G216" s="2" t="s">
        <v>121</v>
      </c>
      <c r="H216" s="5">
        <v>692.4</v>
      </c>
      <c r="I216" s="1" t="s">
        <v>8</v>
      </c>
      <c r="J216" s="34" t="s">
        <v>116</v>
      </c>
      <c r="N216" s="10" t="str">
        <f t="shared" si="7"/>
        <v>Unique</v>
      </c>
      <c r="P216" s="29"/>
    </row>
    <row r="217" spans="1:16" ht="27.6" thickBot="1" x14ac:dyDescent="0.35">
      <c r="A217" s="8" t="s">
        <v>61</v>
      </c>
      <c r="B217" s="8" t="s">
        <v>122</v>
      </c>
      <c r="C217" s="8" t="s">
        <v>7</v>
      </c>
      <c r="D217" s="8">
        <v>200</v>
      </c>
      <c r="E217" s="8">
        <v>90.75</v>
      </c>
      <c r="F217" s="4">
        <v>17.70428016</v>
      </c>
      <c r="G217" s="2" t="s">
        <v>123</v>
      </c>
      <c r="H217" s="5">
        <v>77.099999999999994</v>
      </c>
      <c r="I217" s="1" t="s">
        <v>8</v>
      </c>
      <c r="J217" s="34" t="s">
        <v>54</v>
      </c>
      <c r="N217" s="10" t="str">
        <f t="shared" si="7"/>
        <v>Unique</v>
      </c>
    </row>
    <row r="218" spans="1:16" ht="27.6" thickBot="1" x14ac:dyDescent="0.35">
      <c r="A218" s="3">
        <v>46266.375</v>
      </c>
      <c r="B218" s="1" t="s">
        <v>86</v>
      </c>
      <c r="C218" s="1" t="s">
        <v>7</v>
      </c>
      <c r="D218" s="4">
        <v>10</v>
      </c>
      <c r="E218" s="4">
        <v>1296</v>
      </c>
      <c r="F218" s="4">
        <v>17.615028590000001</v>
      </c>
      <c r="G218" s="2" t="s">
        <v>87</v>
      </c>
      <c r="H218" s="5">
        <v>1101.9000000000001</v>
      </c>
      <c r="I218" s="1" t="s">
        <v>8</v>
      </c>
      <c r="J218" s="18" t="s">
        <v>116</v>
      </c>
      <c r="K218" s="18" t="s">
        <v>214</v>
      </c>
      <c r="L218" s="18">
        <v>12600</v>
      </c>
      <c r="M218" s="18">
        <f>ABS((D218*E218)-L218)</f>
        <v>360</v>
      </c>
      <c r="N218" s="10" t="str">
        <f t="shared" si="7"/>
        <v>Unique</v>
      </c>
    </row>
    <row r="219" spans="1:16" ht="40.799999999999997" thickBot="1" x14ac:dyDescent="0.35">
      <c r="A219" s="3">
        <v>46276.375</v>
      </c>
      <c r="B219" s="1" t="s">
        <v>102</v>
      </c>
      <c r="C219" s="1" t="s">
        <v>7</v>
      </c>
      <c r="D219" s="4">
        <v>8</v>
      </c>
      <c r="E219" s="4">
        <v>2472</v>
      </c>
      <c r="F219" s="4">
        <v>17.52400875</v>
      </c>
      <c r="G219" s="2" t="s">
        <v>103</v>
      </c>
      <c r="H219" s="5">
        <v>2103.4</v>
      </c>
      <c r="I219" s="1" t="s">
        <v>8</v>
      </c>
      <c r="J219" s="18" t="s">
        <v>116</v>
      </c>
      <c r="K219" s="18" t="s">
        <v>272</v>
      </c>
      <c r="L219" s="18">
        <v>18960</v>
      </c>
      <c r="M219" s="18">
        <f>ABS((D219*E219)-L219)</f>
        <v>816</v>
      </c>
      <c r="N219" s="10" t="str">
        <f t="shared" si="7"/>
        <v>Unique</v>
      </c>
    </row>
    <row r="220" spans="1:16" ht="40.799999999999997" thickBot="1" x14ac:dyDescent="0.35">
      <c r="A220" s="11">
        <v>46243.375</v>
      </c>
      <c r="B220" s="8" t="s">
        <v>11</v>
      </c>
      <c r="C220" s="8" t="s">
        <v>7</v>
      </c>
      <c r="D220" s="8">
        <v>20</v>
      </c>
      <c r="E220" s="8">
        <v>296</v>
      </c>
      <c r="F220" s="4">
        <v>14.50676983</v>
      </c>
      <c r="G220" s="2" t="s">
        <v>98</v>
      </c>
      <c r="H220" s="5">
        <v>258.5</v>
      </c>
      <c r="I220" s="1" t="s">
        <v>8</v>
      </c>
      <c r="J220" s="18" t="s">
        <v>117</v>
      </c>
      <c r="K220" s="18" t="s">
        <v>247</v>
      </c>
      <c r="L220" s="18">
        <v>5620</v>
      </c>
      <c r="M220" s="27">
        <f>ABS((D220*E220)-L220)</f>
        <v>300</v>
      </c>
      <c r="N220" s="10" t="str">
        <f t="shared" si="7"/>
        <v>Unique</v>
      </c>
      <c r="P220" s="25"/>
    </row>
    <row r="221" spans="1:16" ht="40.799999999999997" thickBot="1" x14ac:dyDescent="0.35">
      <c r="A221" s="8" t="s">
        <v>61</v>
      </c>
      <c r="B221" s="8" t="s">
        <v>134</v>
      </c>
      <c r="C221" s="8" t="s">
        <v>7</v>
      </c>
      <c r="D221" s="8">
        <v>5</v>
      </c>
      <c r="E221" s="8">
        <v>2190</v>
      </c>
      <c r="F221" s="4">
        <v>15.842369740000001</v>
      </c>
      <c r="G221" s="2" t="s">
        <v>135</v>
      </c>
      <c r="H221" s="5">
        <v>1890.5</v>
      </c>
      <c r="I221" s="1" t="s">
        <v>8</v>
      </c>
      <c r="J221" s="34" t="s">
        <v>117</v>
      </c>
      <c r="N221" s="10" t="str">
        <f t="shared" si="7"/>
        <v>Unique</v>
      </c>
      <c r="O221" s="29"/>
    </row>
    <row r="222" spans="1:16" ht="40.799999999999997" thickBot="1" x14ac:dyDescent="0.35">
      <c r="A222" s="8" t="s">
        <v>61</v>
      </c>
      <c r="B222" s="8" t="s">
        <v>118</v>
      </c>
      <c r="C222" s="8" t="s">
        <v>7</v>
      </c>
      <c r="D222" s="8">
        <v>15</v>
      </c>
      <c r="E222" s="8">
        <v>1090</v>
      </c>
      <c r="F222" s="4">
        <v>20.722117619999999</v>
      </c>
      <c r="G222" s="2" t="s">
        <v>119</v>
      </c>
      <c r="H222" s="5">
        <v>902.9</v>
      </c>
      <c r="I222" s="1" t="s">
        <v>8</v>
      </c>
      <c r="J222" s="34"/>
      <c r="N222" s="10" t="str">
        <f t="shared" si="7"/>
        <v>Unique</v>
      </c>
    </row>
    <row r="223" spans="1:16" ht="27.6" thickBot="1" x14ac:dyDescent="0.35">
      <c r="A223" s="8" t="s">
        <v>61</v>
      </c>
      <c r="B223" s="8" t="s">
        <v>132</v>
      </c>
      <c r="C223" s="8" t="s">
        <v>7</v>
      </c>
      <c r="D223" s="8">
        <v>150</v>
      </c>
      <c r="E223" s="12">
        <v>129.9</v>
      </c>
      <c r="F223" s="4">
        <v>19.174311929999998</v>
      </c>
      <c r="G223" s="2" t="s">
        <v>133</v>
      </c>
      <c r="H223" s="5">
        <v>109</v>
      </c>
      <c r="I223" s="1" t="s">
        <v>8</v>
      </c>
      <c r="J223" s="34"/>
      <c r="N223" s="10" t="str">
        <f t="shared" si="7"/>
        <v>Unique</v>
      </c>
    </row>
    <row r="224" spans="1:16" ht="27.6" thickBot="1" x14ac:dyDescent="0.35">
      <c r="A224" s="11">
        <v>46252.635416666664</v>
      </c>
      <c r="B224" s="8" t="s">
        <v>34</v>
      </c>
      <c r="C224" s="8" t="s">
        <v>7</v>
      </c>
      <c r="D224" s="8">
        <v>200</v>
      </c>
      <c r="E224" s="8">
        <v>235</v>
      </c>
      <c r="F224" s="4">
        <v>17.971887550000002</v>
      </c>
      <c r="G224" s="2" t="s">
        <v>41</v>
      </c>
      <c r="H224" s="5">
        <v>199.2</v>
      </c>
      <c r="I224" s="1" t="s">
        <v>8</v>
      </c>
      <c r="J224" s="37" t="s">
        <v>54</v>
      </c>
      <c r="N224" s="10" t="str">
        <f t="shared" si="7"/>
        <v>Unique</v>
      </c>
    </row>
    <row r="225" spans="1:16" ht="27.6" thickBot="1" x14ac:dyDescent="0.35">
      <c r="A225" s="3">
        <v>46261.375694444447</v>
      </c>
      <c r="B225" s="1" t="s">
        <v>77</v>
      </c>
      <c r="C225" s="1" t="s">
        <v>7</v>
      </c>
      <c r="D225" s="4">
        <v>5</v>
      </c>
      <c r="E225" s="4">
        <v>1490</v>
      </c>
      <c r="F225" s="4">
        <v>18.085274999999999</v>
      </c>
      <c r="G225" s="2" t="s">
        <v>78</v>
      </c>
      <c r="H225" s="5">
        <v>1261.8</v>
      </c>
      <c r="I225" s="1" t="s">
        <v>8</v>
      </c>
      <c r="J225" s="18" t="s">
        <v>117</v>
      </c>
      <c r="K225" s="18" t="s">
        <v>184</v>
      </c>
      <c r="L225" s="18">
        <v>7200</v>
      </c>
      <c r="M225" s="18">
        <f>ABS((D225*E225)-L225)</f>
        <v>250</v>
      </c>
      <c r="N225" s="10" t="str">
        <f t="shared" si="7"/>
        <v>Unique</v>
      </c>
    </row>
    <row r="226" spans="1:16" ht="27.6" thickBot="1" x14ac:dyDescent="0.35">
      <c r="A226" s="3">
        <v>46275.507638888892</v>
      </c>
      <c r="B226" s="1" t="s">
        <v>15</v>
      </c>
      <c r="C226" s="1" t="s">
        <v>7</v>
      </c>
      <c r="D226" s="4">
        <v>10</v>
      </c>
      <c r="E226" s="4">
        <v>2548</v>
      </c>
      <c r="F226" s="4">
        <v>19.137793989999999</v>
      </c>
      <c r="G226" s="2" t="s">
        <v>71</v>
      </c>
      <c r="H226" s="5">
        <v>2138.6999999999998</v>
      </c>
      <c r="I226" s="1" t="s">
        <v>8</v>
      </c>
      <c r="J226" s="18" t="s">
        <v>116</v>
      </c>
      <c r="K226" s="18" t="s">
        <v>262</v>
      </c>
      <c r="L226" s="18">
        <v>73800</v>
      </c>
      <c r="M226" s="18">
        <f>ABS((D226*E226)-L226)</f>
        <v>48320</v>
      </c>
      <c r="N226" s="10" t="str">
        <f t="shared" si="7"/>
        <v>Unique</v>
      </c>
      <c r="O226" s="38" t="s">
        <v>239</v>
      </c>
    </row>
    <row r="227" spans="1:16" s="29" customFormat="1" ht="27.6" thickBot="1" x14ac:dyDescent="0.35">
      <c r="A227" s="3">
        <v>46265.375694444447</v>
      </c>
      <c r="B227" s="1" t="s">
        <v>77</v>
      </c>
      <c r="C227" s="1" t="s">
        <v>7</v>
      </c>
      <c r="D227" s="4">
        <v>3</v>
      </c>
      <c r="E227" s="4">
        <v>1490</v>
      </c>
      <c r="F227" s="4">
        <v>18.085274999999999</v>
      </c>
      <c r="G227" s="2" t="s">
        <v>78</v>
      </c>
      <c r="H227" s="5">
        <v>1261.8</v>
      </c>
      <c r="I227" s="1" t="s">
        <v>8</v>
      </c>
      <c r="J227" s="18" t="s">
        <v>117</v>
      </c>
      <c r="K227" s="18" t="s">
        <v>202</v>
      </c>
      <c r="L227" s="18">
        <v>4170</v>
      </c>
      <c r="M227" s="18">
        <f>ABS((D227*E227)-L227)</f>
        <v>300</v>
      </c>
      <c r="N227" t="str">
        <f t="shared" si="7"/>
        <v>Unique</v>
      </c>
      <c r="O227" s="10"/>
      <c r="P227" s="10"/>
    </row>
    <row r="228" spans="1:16" s="29" customFormat="1" ht="27.6" thickBot="1" x14ac:dyDescent="0.35">
      <c r="A228" s="8" t="s">
        <v>61</v>
      </c>
      <c r="B228" s="8" t="s">
        <v>122</v>
      </c>
      <c r="C228" s="8" t="s">
        <v>7</v>
      </c>
      <c r="D228" s="8">
        <v>200</v>
      </c>
      <c r="E228" s="8">
        <v>91.75</v>
      </c>
      <c r="F228" s="4">
        <v>19.001297019999999</v>
      </c>
      <c r="G228" s="2" t="s">
        <v>123</v>
      </c>
      <c r="H228" s="5">
        <v>77.099999999999994</v>
      </c>
      <c r="I228" s="1" t="s">
        <v>8</v>
      </c>
      <c r="J228" s="34"/>
      <c r="K228" s="18"/>
      <c r="L228" s="18"/>
      <c r="M228" s="18"/>
      <c r="N228" s="10" t="str">
        <f t="shared" si="7"/>
        <v>Unique</v>
      </c>
      <c r="O228" s="10"/>
      <c r="P228" s="10"/>
    </row>
    <row r="229" spans="1:16" ht="40.799999999999997" thickBot="1" x14ac:dyDescent="0.35">
      <c r="A229" s="3">
        <v>46274.375</v>
      </c>
      <c r="B229" s="1" t="s">
        <v>102</v>
      </c>
      <c r="C229" s="1" t="s">
        <v>7</v>
      </c>
      <c r="D229" s="4">
        <v>7</v>
      </c>
      <c r="E229" s="4">
        <v>2494</v>
      </c>
      <c r="F229" s="4">
        <v>18.56993439</v>
      </c>
      <c r="G229" s="2" t="s">
        <v>103</v>
      </c>
      <c r="H229" s="5">
        <v>2103.4</v>
      </c>
      <c r="I229" s="1" t="s">
        <v>8</v>
      </c>
      <c r="J229" s="18" t="s">
        <v>116</v>
      </c>
      <c r="K229" s="18" t="s">
        <v>256</v>
      </c>
      <c r="L229" s="18">
        <v>16807</v>
      </c>
      <c r="M229" s="18">
        <f>ABS((D229*E229)-L229)</f>
        <v>651</v>
      </c>
      <c r="N229" s="10" t="str">
        <f t="shared" si="7"/>
        <v>Unique</v>
      </c>
    </row>
    <row r="230" spans="1:16" ht="40.799999999999997" thickBot="1" x14ac:dyDescent="0.35">
      <c r="A230" s="3">
        <v>46260.375</v>
      </c>
      <c r="B230" s="1" t="s">
        <v>13</v>
      </c>
      <c r="C230" s="1" t="s">
        <v>7</v>
      </c>
      <c r="D230" s="4">
        <v>5</v>
      </c>
      <c r="E230" s="4">
        <v>1994</v>
      </c>
      <c r="F230" s="4">
        <v>14.014523410000001</v>
      </c>
      <c r="G230" s="2" t="s">
        <v>90</v>
      </c>
      <c r="H230" s="5">
        <v>1748.9</v>
      </c>
      <c r="I230" s="1" t="s">
        <v>8</v>
      </c>
      <c r="J230" s="18" t="s">
        <v>117</v>
      </c>
      <c r="K230" s="18" t="s">
        <v>170</v>
      </c>
      <c r="L230" s="18">
        <v>9320</v>
      </c>
      <c r="M230" s="18">
        <f>ABS((D230*E230)-L230)</f>
        <v>650</v>
      </c>
      <c r="N230" t="str">
        <f t="shared" si="7"/>
        <v>Unique</v>
      </c>
      <c r="P230" s="29"/>
    </row>
    <row r="231" spans="1:16" ht="27.6" thickBot="1" x14ac:dyDescent="0.35">
      <c r="A231" s="8" t="s">
        <v>61</v>
      </c>
      <c r="B231" s="8" t="s">
        <v>73</v>
      </c>
      <c r="C231" s="8" t="s">
        <v>7</v>
      </c>
      <c r="D231" s="8">
        <v>1</v>
      </c>
      <c r="E231" s="12">
        <v>3810</v>
      </c>
      <c r="F231" s="4">
        <v>15.41956983</v>
      </c>
      <c r="G231" s="2" t="s">
        <v>74</v>
      </c>
      <c r="H231" s="5">
        <v>3301</v>
      </c>
      <c r="I231" s="1" t="s">
        <v>8</v>
      </c>
      <c r="J231" s="34" t="s">
        <v>117</v>
      </c>
      <c r="N231" s="10" t="str">
        <f t="shared" si="7"/>
        <v>Unique</v>
      </c>
    </row>
    <row r="232" spans="1:16" ht="40.799999999999997" thickBot="1" x14ac:dyDescent="0.35">
      <c r="A232" s="8" t="s">
        <v>61</v>
      </c>
      <c r="B232" s="8" t="s">
        <v>28</v>
      </c>
      <c r="C232" s="8" t="s">
        <v>7</v>
      </c>
      <c r="D232" s="8">
        <v>30</v>
      </c>
      <c r="E232" s="13">
        <v>974</v>
      </c>
      <c r="F232" s="4">
        <v>18.254112790000001</v>
      </c>
      <c r="G232" s="2" t="s">
        <v>124</v>
      </c>
      <c r="H232" s="5">
        <v>823.65</v>
      </c>
      <c r="I232" s="1" t="s">
        <v>8</v>
      </c>
      <c r="J232" s="34"/>
      <c r="N232" s="10" t="str">
        <f t="shared" si="7"/>
        <v>Unique</v>
      </c>
    </row>
    <row r="233" spans="1:16" ht="27.6" thickBot="1" x14ac:dyDescent="0.35">
      <c r="A233" s="8" t="s">
        <v>61</v>
      </c>
      <c r="B233" s="8" t="s">
        <v>127</v>
      </c>
      <c r="C233" s="8" t="s">
        <v>7</v>
      </c>
      <c r="D233" s="8">
        <v>150</v>
      </c>
      <c r="E233" s="8">
        <v>129</v>
      </c>
      <c r="F233" s="4">
        <v>19.643850860000001</v>
      </c>
      <c r="G233" s="2" t="s">
        <v>128</v>
      </c>
      <c r="H233" s="5">
        <v>107.82</v>
      </c>
      <c r="I233" s="1" t="s">
        <v>8</v>
      </c>
      <c r="J233" s="34"/>
      <c r="N233" s="10" t="str">
        <f t="shared" si="7"/>
        <v>Unique</v>
      </c>
    </row>
    <row r="234" spans="1:16" ht="40.799999999999997" thickBot="1" x14ac:dyDescent="0.35">
      <c r="A234" s="3">
        <v>46276.375</v>
      </c>
      <c r="B234" s="1" t="s">
        <v>79</v>
      </c>
      <c r="C234" s="1" t="s">
        <v>7</v>
      </c>
      <c r="D234" s="4">
        <v>10</v>
      </c>
      <c r="E234" s="4">
        <v>1548</v>
      </c>
      <c r="F234" s="4">
        <v>20.84309133</v>
      </c>
      <c r="G234" s="2" t="s">
        <v>80</v>
      </c>
      <c r="H234" s="5">
        <v>1281</v>
      </c>
      <c r="I234" s="1" t="s">
        <v>8</v>
      </c>
      <c r="J234" s="18" t="s">
        <v>116</v>
      </c>
      <c r="K234" s="18" t="s">
        <v>270</v>
      </c>
      <c r="L234" s="18">
        <v>15030</v>
      </c>
      <c r="M234" s="18">
        <f>ABS((D234*E234)-L234)</f>
        <v>450</v>
      </c>
      <c r="N234" s="10" t="str">
        <f t="shared" si="7"/>
        <v>Unique</v>
      </c>
    </row>
    <row r="235" spans="1:16" ht="40.799999999999997" thickBot="1" x14ac:dyDescent="0.35">
      <c r="A235" s="20">
        <v>46255</v>
      </c>
      <c r="B235" s="1" t="s">
        <v>20</v>
      </c>
      <c r="C235" s="1" t="s">
        <v>7</v>
      </c>
      <c r="D235" s="4">
        <v>20</v>
      </c>
      <c r="E235" s="4">
        <v>147</v>
      </c>
      <c r="F235" s="4">
        <v>21.037463979999998</v>
      </c>
      <c r="G235" s="2" t="s">
        <v>85</v>
      </c>
      <c r="H235" s="5">
        <v>121.45</v>
      </c>
      <c r="I235" s="1" t="s">
        <v>8</v>
      </c>
      <c r="J235" s="18" t="s">
        <v>54</v>
      </c>
      <c r="K235" s="18" t="s">
        <v>147</v>
      </c>
      <c r="L235" s="18">
        <v>2640</v>
      </c>
      <c r="M235" s="18">
        <f>ABS((D235*E235)-L235)</f>
        <v>300</v>
      </c>
      <c r="N235" s="10" t="str">
        <f t="shared" si="7"/>
        <v>Unique</v>
      </c>
    </row>
    <row r="236" spans="1:16" ht="27.6" thickBot="1" x14ac:dyDescent="0.35">
      <c r="A236" s="11">
        <v>46252.635416666664</v>
      </c>
      <c r="B236" s="8" t="s">
        <v>34</v>
      </c>
      <c r="C236" s="8" t="s">
        <v>7</v>
      </c>
      <c r="D236" s="8">
        <v>120</v>
      </c>
      <c r="E236" s="8">
        <v>238.2</v>
      </c>
      <c r="F236" s="4">
        <v>19.578313250000001</v>
      </c>
      <c r="G236" s="2" t="s">
        <v>41</v>
      </c>
      <c r="H236" s="5">
        <v>199.2</v>
      </c>
      <c r="I236" s="1" t="s">
        <v>8</v>
      </c>
      <c r="J236" s="34" t="s">
        <v>117</v>
      </c>
      <c r="K236" s="18" t="s">
        <v>144</v>
      </c>
      <c r="N236" s="10" t="str">
        <f t="shared" si="7"/>
        <v>Unique</v>
      </c>
    </row>
    <row r="237" spans="1:16" ht="27.6" thickBot="1" x14ac:dyDescent="0.35">
      <c r="A237" s="3">
        <v>46265.375694444447</v>
      </c>
      <c r="B237" s="1" t="s">
        <v>86</v>
      </c>
      <c r="C237" s="1" t="s">
        <v>7</v>
      </c>
      <c r="D237" s="4">
        <v>10</v>
      </c>
      <c r="E237" s="4">
        <v>1320</v>
      </c>
      <c r="F237" s="4">
        <v>19.793084669999999</v>
      </c>
      <c r="G237" s="2" t="s">
        <v>87</v>
      </c>
      <c r="H237" s="5">
        <v>1101.9000000000001</v>
      </c>
      <c r="I237" s="1" t="s">
        <v>8</v>
      </c>
      <c r="J237" s="18" t="s">
        <v>116</v>
      </c>
      <c r="K237" s="18" t="s">
        <v>199</v>
      </c>
      <c r="L237" s="18">
        <v>12800</v>
      </c>
      <c r="M237" s="18">
        <f>ABS((D237*E237)-L237)</f>
        <v>400</v>
      </c>
      <c r="N237" t="str">
        <f t="shared" si="7"/>
        <v>Unique</v>
      </c>
    </row>
    <row r="238" spans="1:16" ht="40.799999999999997" thickBot="1" x14ac:dyDescent="0.35">
      <c r="A238" s="11">
        <v>46252.6875</v>
      </c>
      <c r="B238" s="8" t="s">
        <v>13</v>
      </c>
      <c r="C238" s="8" t="s">
        <v>7</v>
      </c>
      <c r="D238" s="8">
        <v>5</v>
      </c>
      <c r="E238" s="8">
        <v>2014</v>
      </c>
      <c r="F238" s="4">
        <v>15.158099379999999</v>
      </c>
      <c r="G238" s="2" t="s">
        <v>90</v>
      </c>
      <c r="H238" s="5">
        <v>1748.9</v>
      </c>
      <c r="I238" s="1" t="s">
        <v>8</v>
      </c>
      <c r="J238" s="34" t="s">
        <v>117</v>
      </c>
      <c r="N238" s="10" t="str">
        <f t="shared" si="7"/>
        <v>Unique</v>
      </c>
      <c r="O238" s="29"/>
    </row>
    <row r="239" spans="1:16" ht="27.6" thickBot="1" x14ac:dyDescent="0.35">
      <c r="A239" s="8" t="s">
        <v>61</v>
      </c>
      <c r="B239" s="8" t="s">
        <v>34</v>
      </c>
      <c r="C239" s="8" t="s">
        <v>7</v>
      </c>
      <c r="D239" s="8">
        <v>200</v>
      </c>
      <c r="E239" s="8">
        <v>239</v>
      </c>
      <c r="F239" s="4">
        <v>19.979919679999998</v>
      </c>
      <c r="G239" s="2" t="s">
        <v>41</v>
      </c>
      <c r="H239" s="5">
        <v>199.2</v>
      </c>
      <c r="I239" s="1" t="s">
        <v>8</v>
      </c>
      <c r="J239" s="34" t="s">
        <v>116</v>
      </c>
      <c r="N239" s="10" t="str">
        <f t="shared" si="7"/>
        <v>Unique</v>
      </c>
    </row>
    <row r="240" spans="1:16" s="29" customFormat="1" ht="27.6" thickBot="1" x14ac:dyDescent="0.35">
      <c r="A240" s="8" t="s">
        <v>61</v>
      </c>
      <c r="B240" s="8" t="s">
        <v>14</v>
      </c>
      <c r="C240" s="8" t="s">
        <v>7</v>
      </c>
      <c r="D240" s="8">
        <v>50</v>
      </c>
      <c r="E240" s="12">
        <v>383</v>
      </c>
      <c r="F240" s="4">
        <v>20.025070509999999</v>
      </c>
      <c r="G240" s="2" t="s">
        <v>44</v>
      </c>
      <c r="H240" s="5">
        <v>319.10000000000002</v>
      </c>
      <c r="I240" s="1" t="s">
        <v>8</v>
      </c>
      <c r="J240" s="34"/>
      <c r="K240" s="18"/>
      <c r="L240" s="18"/>
      <c r="M240" s="18"/>
      <c r="N240" s="10" t="str">
        <f t="shared" si="7"/>
        <v>Unique</v>
      </c>
      <c r="O240" s="10"/>
      <c r="P240" s="10"/>
    </row>
    <row r="241" spans="1:16" ht="27.6" thickBot="1" x14ac:dyDescent="0.35">
      <c r="A241" s="3">
        <v>46272.375694444447</v>
      </c>
      <c r="B241" s="1" t="s">
        <v>16</v>
      </c>
      <c r="C241" s="1" t="s">
        <v>7</v>
      </c>
      <c r="D241" s="4">
        <v>5</v>
      </c>
      <c r="E241" s="4">
        <v>902</v>
      </c>
      <c r="F241" s="4">
        <v>21.236559140000001</v>
      </c>
      <c r="G241" s="2" t="s">
        <v>60</v>
      </c>
      <c r="H241" s="5">
        <v>744</v>
      </c>
      <c r="I241" s="1" t="s">
        <v>8</v>
      </c>
      <c r="J241" s="18" t="s">
        <v>117</v>
      </c>
      <c r="K241" s="18" t="s">
        <v>242</v>
      </c>
      <c r="L241" s="18">
        <v>4260</v>
      </c>
      <c r="M241" s="18">
        <f>ABS((D241*E241)-L241)</f>
        <v>250</v>
      </c>
      <c r="N241" s="10" t="str">
        <f t="shared" si="7"/>
        <v>Unique</v>
      </c>
      <c r="P241" s="29"/>
    </row>
    <row r="242" spans="1:16" ht="40.799999999999997" thickBot="1" x14ac:dyDescent="0.35">
      <c r="A242" s="8" t="s">
        <v>61</v>
      </c>
      <c r="B242" s="8" t="s">
        <v>28</v>
      </c>
      <c r="C242" s="8" t="s">
        <v>7</v>
      </c>
      <c r="D242" s="8">
        <v>5</v>
      </c>
      <c r="E242" s="12">
        <v>986</v>
      </c>
      <c r="F242" s="4">
        <v>19.71104231</v>
      </c>
      <c r="G242" s="2" t="s">
        <v>124</v>
      </c>
      <c r="H242" s="5">
        <v>823.65</v>
      </c>
      <c r="I242" s="1" t="s">
        <v>8</v>
      </c>
      <c r="J242" s="34"/>
      <c r="N242" s="10" t="str">
        <f t="shared" si="7"/>
        <v>Unique</v>
      </c>
    </row>
    <row r="243" spans="1:16" ht="27.6" thickBot="1" x14ac:dyDescent="0.35">
      <c r="A243" s="8" t="s">
        <v>61</v>
      </c>
      <c r="B243" s="8" t="s">
        <v>62</v>
      </c>
      <c r="C243" s="8" t="s">
        <v>7</v>
      </c>
      <c r="D243" s="8">
        <v>11</v>
      </c>
      <c r="E243" s="12">
        <v>1170</v>
      </c>
      <c r="F243" s="4">
        <v>22.33375157</v>
      </c>
      <c r="G243" s="2" t="s">
        <v>63</v>
      </c>
      <c r="H243" s="5">
        <v>956.4</v>
      </c>
      <c r="I243" s="1" t="s">
        <v>8</v>
      </c>
      <c r="J243" s="34"/>
      <c r="N243" s="10" t="str">
        <f t="shared" si="7"/>
        <v>Unique</v>
      </c>
    </row>
    <row r="244" spans="1:16" s="29" customFormat="1" ht="40.799999999999997" thickBot="1" x14ac:dyDescent="0.35">
      <c r="A244" s="3">
        <v>46260.634027777778</v>
      </c>
      <c r="B244" s="1" t="s">
        <v>29</v>
      </c>
      <c r="C244" s="1" t="s">
        <v>7</v>
      </c>
      <c r="D244" s="4">
        <v>5</v>
      </c>
      <c r="E244" s="4">
        <v>4148</v>
      </c>
      <c r="F244" s="4">
        <v>22</v>
      </c>
      <c r="G244" s="2" t="s">
        <v>136</v>
      </c>
      <c r="H244" s="5">
        <v>3400</v>
      </c>
      <c r="I244" s="1" t="s">
        <v>8</v>
      </c>
      <c r="J244" s="18" t="s">
        <v>117</v>
      </c>
      <c r="K244" s="18" t="s">
        <v>166</v>
      </c>
      <c r="L244" s="18">
        <v>20260</v>
      </c>
      <c r="M244" s="18">
        <f>ABS((D244*E244)-L244)</f>
        <v>480</v>
      </c>
      <c r="N244" t="str">
        <f t="shared" si="7"/>
        <v>Unique</v>
      </c>
      <c r="O244" s="10"/>
      <c r="P244" s="10"/>
    </row>
    <row r="245" spans="1:16" ht="27.6" thickBot="1" x14ac:dyDescent="0.35">
      <c r="A245" s="3">
        <v>46275.507638888892</v>
      </c>
      <c r="B245" s="1" t="s">
        <v>15</v>
      </c>
      <c r="C245" s="1" t="s">
        <v>7</v>
      </c>
      <c r="D245" s="4">
        <v>10</v>
      </c>
      <c r="E245" s="4">
        <v>2590</v>
      </c>
      <c r="F245" s="4">
        <v>21.101603780000001</v>
      </c>
      <c r="G245" s="2" t="s">
        <v>71</v>
      </c>
      <c r="H245" s="5">
        <v>2138.6999999999998</v>
      </c>
      <c r="I245" s="1" t="s">
        <v>8</v>
      </c>
      <c r="J245" s="18" t="s">
        <v>116</v>
      </c>
      <c r="K245" s="18" t="s">
        <v>262</v>
      </c>
      <c r="L245" s="18">
        <v>73800</v>
      </c>
      <c r="M245" s="18">
        <f>ABS((D245*E245)-L245)</f>
        <v>47900</v>
      </c>
      <c r="N245" s="10" t="str">
        <f t="shared" si="7"/>
        <v>Unique</v>
      </c>
      <c r="O245" s="38" t="s">
        <v>239</v>
      </c>
    </row>
    <row r="246" spans="1:16" ht="40.799999999999997" thickBot="1" x14ac:dyDescent="0.35">
      <c r="A246" s="8" t="s">
        <v>61</v>
      </c>
      <c r="B246" s="8" t="s">
        <v>6</v>
      </c>
      <c r="C246" s="8" t="s">
        <v>7</v>
      </c>
      <c r="D246" s="8">
        <v>100</v>
      </c>
      <c r="E246" s="8">
        <v>310.5</v>
      </c>
      <c r="F246" s="4">
        <v>20.09282537</v>
      </c>
      <c r="G246" s="2" t="s">
        <v>129</v>
      </c>
      <c r="H246" s="5">
        <v>258.55</v>
      </c>
      <c r="I246" s="1" t="s">
        <v>8</v>
      </c>
      <c r="J246" s="34" t="s">
        <v>117</v>
      </c>
      <c r="N246" s="10" t="str">
        <f t="shared" si="7"/>
        <v>Unique</v>
      </c>
    </row>
    <row r="247" spans="1:16" ht="27.6" thickBot="1" x14ac:dyDescent="0.35">
      <c r="A247" s="3">
        <v>46262.375</v>
      </c>
      <c r="B247" s="1" t="s">
        <v>86</v>
      </c>
      <c r="C247" s="1" t="s">
        <v>7</v>
      </c>
      <c r="D247" s="4">
        <v>10</v>
      </c>
      <c r="E247" s="4">
        <v>1340</v>
      </c>
      <c r="F247" s="4">
        <v>21.608131409999999</v>
      </c>
      <c r="G247" s="2" t="s">
        <v>87</v>
      </c>
      <c r="H247" s="5">
        <v>1101.9000000000001</v>
      </c>
      <c r="I247" s="1" t="s">
        <v>8</v>
      </c>
      <c r="J247" s="18" t="s">
        <v>116</v>
      </c>
      <c r="K247" s="18" t="s">
        <v>186</v>
      </c>
      <c r="L247" s="18">
        <v>13030</v>
      </c>
      <c r="M247" s="18">
        <f>ABS((D247*E247)-L247)</f>
        <v>370</v>
      </c>
      <c r="N247" s="10" t="str">
        <f t="shared" si="7"/>
        <v>Unique</v>
      </c>
      <c r="P247" s="29"/>
    </row>
    <row r="248" spans="1:16" ht="27.6" thickBot="1" x14ac:dyDescent="0.35">
      <c r="A248" s="3">
        <v>46266.375</v>
      </c>
      <c r="B248" s="1" t="s">
        <v>15</v>
      </c>
      <c r="C248" s="1" t="s">
        <v>7</v>
      </c>
      <c r="D248" s="4">
        <v>10</v>
      </c>
      <c r="E248" s="4">
        <v>2595</v>
      </c>
      <c r="F248" s="4">
        <v>21.335390660000002</v>
      </c>
      <c r="G248" s="2" t="s">
        <v>71</v>
      </c>
      <c r="H248" s="5">
        <v>2138.6999999999998</v>
      </c>
      <c r="I248" s="1" t="s">
        <v>8</v>
      </c>
      <c r="J248" s="18" t="s">
        <v>117</v>
      </c>
      <c r="K248" s="18" t="s">
        <v>215</v>
      </c>
      <c r="L248" s="18">
        <v>25300</v>
      </c>
      <c r="M248" s="18">
        <f>ABS((D248*E248)-L248)</f>
        <v>650</v>
      </c>
      <c r="N248" s="10" t="str">
        <f t="shared" si="7"/>
        <v>Unique</v>
      </c>
      <c r="O248" s="38" t="s">
        <v>239</v>
      </c>
    </row>
    <row r="249" spans="1:16" s="29" customFormat="1" ht="27.6" thickBot="1" x14ac:dyDescent="0.35">
      <c r="A249" s="3">
        <v>46267.513888888891</v>
      </c>
      <c r="B249" s="1" t="s">
        <v>15</v>
      </c>
      <c r="C249" s="1" t="s">
        <v>7</v>
      </c>
      <c r="D249" s="4">
        <v>5</v>
      </c>
      <c r="E249" s="4">
        <v>2595</v>
      </c>
      <c r="F249" s="4">
        <v>21.335390660000002</v>
      </c>
      <c r="G249" s="2" t="s">
        <v>71</v>
      </c>
      <c r="H249" s="5">
        <v>2138.6999999999998</v>
      </c>
      <c r="I249" s="1" t="s">
        <v>8</v>
      </c>
      <c r="J249" s="18" t="s">
        <v>117</v>
      </c>
      <c r="K249" s="18" t="s">
        <v>226</v>
      </c>
      <c r="L249" s="18">
        <v>12480</v>
      </c>
      <c r="M249" s="18">
        <f>ABS((D249*E249)-L249)</f>
        <v>495</v>
      </c>
      <c r="N249" s="10" t="str">
        <f t="shared" si="7"/>
        <v>Unique</v>
      </c>
      <c r="O249" s="38" t="s">
        <v>239</v>
      </c>
      <c r="P249" s="10"/>
    </row>
    <row r="250" spans="1:16" s="29" customFormat="1" ht="40.799999999999997" thickBot="1" x14ac:dyDescent="0.35">
      <c r="A250" s="3">
        <v>46266.509722222225</v>
      </c>
      <c r="B250" s="1" t="s">
        <v>11</v>
      </c>
      <c r="C250" s="1" t="s">
        <v>7</v>
      </c>
      <c r="D250" s="4">
        <v>20</v>
      </c>
      <c r="E250" s="4">
        <v>306</v>
      </c>
      <c r="F250" s="4">
        <v>18.37524178</v>
      </c>
      <c r="G250" s="2" t="s">
        <v>98</v>
      </c>
      <c r="H250" s="5">
        <v>258.5</v>
      </c>
      <c r="I250" s="1" t="s">
        <v>8</v>
      </c>
      <c r="J250" s="18" t="s">
        <v>117</v>
      </c>
      <c r="K250" s="18" t="s">
        <v>208</v>
      </c>
      <c r="L250" s="18">
        <v>5820</v>
      </c>
      <c r="M250" s="18">
        <f>ABS((D250*E250)-L250)</f>
        <v>300</v>
      </c>
      <c r="N250" s="10" t="str">
        <f t="shared" si="7"/>
        <v>Unique</v>
      </c>
      <c r="O250" s="10"/>
      <c r="P250" s="10"/>
    </row>
    <row r="251" spans="1:16" ht="40.799999999999997" thickBot="1" x14ac:dyDescent="0.35">
      <c r="A251" s="8" t="s">
        <v>61</v>
      </c>
      <c r="B251" s="14" t="s">
        <v>28</v>
      </c>
      <c r="C251" s="8" t="s">
        <v>7</v>
      </c>
      <c r="D251" s="8">
        <v>40</v>
      </c>
      <c r="E251" s="15">
        <v>996</v>
      </c>
      <c r="F251" s="4">
        <v>20.925150250000002</v>
      </c>
      <c r="G251" s="2" t="s">
        <v>124</v>
      </c>
      <c r="H251" s="5">
        <v>823.65</v>
      </c>
      <c r="I251" s="1" t="s">
        <v>8</v>
      </c>
      <c r="J251" s="34" t="s">
        <v>117</v>
      </c>
      <c r="N251" s="10" t="str">
        <f t="shared" si="7"/>
        <v>Unique</v>
      </c>
    </row>
    <row r="252" spans="1:16" ht="40.799999999999997" thickBot="1" x14ac:dyDescent="0.35">
      <c r="A252" s="3">
        <v>46258.375694444447</v>
      </c>
      <c r="B252" s="1" t="s">
        <v>22</v>
      </c>
      <c r="C252" s="1" t="s">
        <v>7</v>
      </c>
      <c r="D252" s="4">
        <v>5</v>
      </c>
      <c r="E252" s="4">
        <v>499</v>
      </c>
      <c r="F252" s="4">
        <v>22.845888720000001</v>
      </c>
      <c r="G252" s="2" t="s">
        <v>72</v>
      </c>
      <c r="H252" s="5">
        <v>406.2</v>
      </c>
      <c r="I252" s="1" t="s">
        <v>8</v>
      </c>
      <c r="J252" s="18" t="s">
        <v>117</v>
      </c>
      <c r="K252" s="18" t="s">
        <v>156</v>
      </c>
      <c r="L252" s="18">
        <v>2260</v>
      </c>
      <c r="M252" s="18">
        <f>ABS((D252*E252)-L252)</f>
        <v>235</v>
      </c>
      <c r="N252" s="10" t="str">
        <f t="shared" si="7"/>
        <v>Unique</v>
      </c>
    </row>
    <row r="253" spans="1:16" s="29" customFormat="1" ht="27.6" thickBot="1" x14ac:dyDescent="0.35">
      <c r="A253" s="8" t="s">
        <v>61</v>
      </c>
      <c r="B253" s="8" t="s">
        <v>26</v>
      </c>
      <c r="C253" s="8" t="s">
        <v>7</v>
      </c>
      <c r="D253" s="8">
        <v>25</v>
      </c>
      <c r="E253" s="8">
        <v>199.9</v>
      </c>
      <c r="F253" s="4">
        <v>24.246379510000001</v>
      </c>
      <c r="G253" s="2" t="s">
        <v>131</v>
      </c>
      <c r="H253" s="5">
        <v>160.88999999999999</v>
      </c>
      <c r="I253" s="1" t="s">
        <v>8</v>
      </c>
      <c r="J253" s="34" t="s">
        <v>116</v>
      </c>
      <c r="K253" s="18"/>
      <c r="L253" s="18"/>
      <c r="M253" s="18"/>
      <c r="N253" s="10" t="str">
        <f t="shared" si="7"/>
        <v>Unique</v>
      </c>
      <c r="O253" s="10"/>
      <c r="P253" s="10"/>
    </row>
    <row r="254" spans="1:16" ht="40.799999999999997" thickBot="1" x14ac:dyDescent="0.35">
      <c r="A254" s="3">
        <v>46261.375</v>
      </c>
      <c r="B254" s="1" t="s">
        <v>18</v>
      </c>
      <c r="C254" s="1" t="s">
        <v>7</v>
      </c>
      <c r="D254" s="4">
        <v>2</v>
      </c>
      <c r="E254" s="4">
        <v>1970</v>
      </c>
      <c r="F254" s="4">
        <v>21.8305504</v>
      </c>
      <c r="G254" s="2" t="s">
        <v>101</v>
      </c>
      <c r="H254" s="5">
        <v>1617</v>
      </c>
      <c r="I254" s="1" t="s">
        <v>8</v>
      </c>
      <c r="J254" s="18" t="s">
        <v>116</v>
      </c>
      <c r="K254" s="18" t="s">
        <v>178</v>
      </c>
      <c r="L254" s="18">
        <v>3680</v>
      </c>
      <c r="M254" s="18">
        <f>ABS((D254*E254)-L254)</f>
        <v>260</v>
      </c>
      <c r="N254" s="10" t="str">
        <f t="shared" si="7"/>
        <v>Unique</v>
      </c>
    </row>
    <row r="255" spans="1:16" ht="27.6" thickBot="1" x14ac:dyDescent="0.35">
      <c r="A255" s="3">
        <v>46265.375694444447</v>
      </c>
      <c r="B255" s="1" t="s">
        <v>15</v>
      </c>
      <c r="C255" s="1" t="s">
        <v>7</v>
      </c>
      <c r="D255" s="4">
        <v>10</v>
      </c>
      <c r="E255" s="4">
        <v>2608</v>
      </c>
      <c r="F255" s="4">
        <v>21.943236550000002</v>
      </c>
      <c r="G255" s="2" t="s">
        <v>71</v>
      </c>
      <c r="H255" s="5">
        <v>2138.6999999999998</v>
      </c>
      <c r="I255" s="1" t="s">
        <v>8</v>
      </c>
      <c r="J255" s="18" t="s">
        <v>117</v>
      </c>
      <c r="K255" s="18" t="s">
        <v>201</v>
      </c>
      <c r="L255" s="18">
        <v>25780</v>
      </c>
      <c r="M255" s="18">
        <f>ABS((D255*E255)-L255)</f>
        <v>300</v>
      </c>
      <c r="N255" t="str">
        <f t="shared" si="7"/>
        <v>Unique</v>
      </c>
      <c r="O255" s="38" t="s">
        <v>239</v>
      </c>
      <c r="P255"/>
    </row>
    <row r="256" spans="1:16" s="29" customFormat="1" ht="40.799999999999997" thickBot="1" x14ac:dyDescent="0.35">
      <c r="A256" s="8" t="s">
        <v>61</v>
      </c>
      <c r="B256" s="8" t="s">
        <v>6</v>
      </c>
      <c r="C256" s="8" t="s">
        <v>7</v>
      </c>
      <c r="D256" s="8">
        <v>100</v>
      </c>
      <c r="E256" s="13">
        <v>314</v>
      </c>
      <c r="F256" s="4">
        <v>21.44652872</v>
      </c>
      <c r="G256" s="2" t="s">
        <v>129</v>
      </c>
      <c r="H256" s="5">
        <v>258.55</v>
      </c>
      <c r="I256" s="1" t="s">
        <v>8</v>
      </c>
      <c r="J256" s="34" t="s">
        <v>116</v>
      </c>
      <c r="K256" s="18"/>
      <c r="L256" s="18"/>
      <c r="M256" s="18"/>
      <c r="N256" s="10" t="str">
        <f t="shared" si="7"/>
        <v>Unique</v>
      </c>
      <c r="O256" s="10"/>
      <c r="P256" s="10"/>
    </row>
    <row r="257" spans="1:16" s="29" customFormat="1" ht="40.799999999999997" thickBot="1" x14ac:dyDescent="0.35">
      <c r="A257" s="8" t="s">
        <v>61</v>
      </c>
      <c r="B257" s="8" t="s">
        <v>28</v>
      </c>
      <c r="C257" s="8" t="s">
        <v>7</v>
      </c>
      <c r="D257" s="8">
        <v>5</v>
      </c>
      <c r="E257" s="12">
        <v>1002</v>
      </c>
      <c r="F257" s="4">
        <v>21.653615009999999</v>
      </c>
      <c r="G257" s="2" t="s">
        <v>124</v>
      </c>
      <c r="H257" s="5">
        <v>823.65</v>
      </c>
      <c r="I257" s="1" t="s">
        <v>8</v>
      </c>
      <c r="J257" s="34"/>
      <c r="K257" s="18"/>
      <c r="L257" s="18"/>
      <c r="M257" s="18"/>
      <c r="N257" s="10" t="str">
        <f t="shared" si="7"/>
        <v>Unique</v>
      </c>
      <c r="P257" s="10"/>
    </row>
    <row r="258" spans="1:16" ht="27.6" thickBot="1" x14ac:dyDescent="0.35">
      <c r="A258" s="8" t="s">
        <v>61</v>
      </c>
      <c r="B258" s="8" t="s">
        <v>34</v>
      </c>
      <c r="C258" s="8" t="s">
        <v>7</v>
      </c>
      <c r="D258" s="8">
        <v>200</v>
      </c>
      <c r="E258" s="12">
        <v>244</v>
      </c>
      <c r="F258" s="4">
        <v>22.489959840000001</v>
      </c>
      <c r="G258" s="2" t="s">
        <v>41</v>
      </c>
      <c r="H258" s="5">
        <v>199.2</v>
      </c>
      <c r="I258" s="1" t="s">
        <v>8</v>
      </c>
      <c r="J258" s="34" t="s">
        <v>116</v>
      </c>
      <c r="N258" s="10" t="str">
        <f t="shared" ref="N258:N301" si="8">IF(COUNTIFS( $B$2:$B$688, B258, $C$2:$C$688, C258, $D$2:$D$688, D258, $E$2:$E$688, E258) &gt; 1, "Duplicate", "Unique")</f>
        <v>Unique</v>
      </c>
    </row>
    <row r="259" spans="1:16" ht="27.6" thickBot="1" x14ac:dyDescent="0.35">
      <c r="A259" s="3">
        <v>46268.375</v>
      </c>
      <c r="B259" s="1" t="s">
        <v>16</v>
      </c>
      <c r="C259" s="1" t="s">
        <v>7</v>
      </c>
      <c r="D259" s="4">
        <v>30</v>
      </c>
      <c r="E259" s="4">
        <v>920</v>
      </c>
      <c r="F259" s="4">
        <v>23.655913980000001</v>
      </c>
      <c r="G259" s="2" t="s">
        <v>60</v>
      </c>
      <c r="H259" s="5">
        <v>744</v>
      </c>
      <c r="I259" s="1" t="s">
        <v>8</v>
      </c>
      <c r="J259" s="18" t="s">
        <v>116</v>
      </c>
      <c r="K259" s="18" t="s">
        <v>230</v>
      </c>
      <c r="L259" s="18">
        <v>25800</v>
      </c>
      <c r="M259" s="18">
        <f>ABS((D259*E259)-L259)</f>
        <v>1800</v>
      </c>
      <c r="N259" s="10" t="str">
        <f t="shared" si="8"/>
        <v>Unique</v>
      </c>
    </row>
    <row r="260" spans="1:16" ht="27.6" thickBot="1" x14ac:dyDescent="0.35">
      <c r="A260" s="3">
        <v>46258.629861111112</v>
      </c>
      <c r="B260" s="1" t="s">
        <v>17</v>
      </c>
      <c r="C260" s="1" t="s">
        <v>7</v>
      </c>
      <c r="D260" s="4">
        <v>25</v>
      </c>
      <c r="E260" s="4">
        <v>392.5</v>
      </c>
      <c r="F260" s="4">
        <v>22.65625</v>
      </c>
      <c r="G260" s="2" t="s">
        <v>76</v>
      </c>
      <c r="H260" s="5">
        <v>320</v>
      </c>
      <c r="I260" s="1" t="s">
        <v>8</v>
      </c>
      <c r="J260" s="18" t="s">
        <v>117</v>
      </c>
      <c r="K260" s="18" t="s">
        <v>153</v>
      </c>
      <c r="L260" s="18">
        <v>9312.5</v>
      </c>
      <c r="M260" s="18">
        <f>ABS((D260*E260)-L260)</f>
        <v>500</v>
      </c>
      <c r="N260" s="10" t="str">
        <f t="shared" si="8"/>
        <v>Unique</v>
      </c>
      <c r="O260" s="38" t="s">
        <v>239</v>
      </c>
    </row>
    <row r="261" spans="1:16" ht="27.6" thickBot="1" x14ac:dyDescent="0.35">
      <c r="A261" s="3">
        <v>46265.390277777777</v>
      </c>
      <c r="B261" s="1" t="s">
        <v>15</v>
      </c>
      <c r="C261" s="1" t="s">
        <v>7</v>
      </c>
      <c r="D261" s="4">
        <v>10</v>
      </c>
      <c r="E261" s="4">
        <v>2618</v>
      </c>
      <c r="F261" s="4">
        <v>22.410810309999999</v>
      </c>
      <c r="G261" s="2" t="s">
        <v>71</v>
      </c>
      <c r="H261" s="5">
        <v>2138.6999999999998</v>
      </c>
      <c r="I261" s="1" t="s">
        <v>8</v>
      </c>
      <c r="J261" s="18" t="s">
        <v>116</v>
      </c>
      <c r="K261" s="18" t="s">
        <v>198</v>
      </c>
      <c r="L261" s="18">
        <v>25530</v>
      </c>
      <c r="M261" s="18">
        <f>ABS((D261*E261)-L261)</f>
        <v>650</v>
      </c>
      <c r="N261" t="str">
        <f t="shared" si="8"/>
        <v>Unique</v>
      </c>
      <c r="O261"/>
      <c r="P261"/>
    </row>
    <row r="262" spans="1:16" ht="27.6" thickBot="1" x14ac:dyDescent="0.35">
      <c r="A262" s="3">
        <v>46262.375</v>
      </c>
      <c r="B262" s="1" t="s">
        <v>86</v>
      </c>
      <c r="C262" s="1" t="s">
        <v>7</v>
      </c>
      <c r="D262" s="4">
        <v>10</v>
      </c>
      <c r="E262" s="4">
        <v>1360</v>
      </c>
      <c r="F262" s="4">
        <v>23.423178149999998</v>
      </c>
      <c r="G262" s="2" t="s">
        <v>87</v>
      </c>
      <c r="H262" s="5">
        <v>1101.9000000000001</v>
      </c>
      <c r="I262" s="1" t="s">
        <v>8</v>
      </c>
      <c r="J262" s="18" t="s">
        <v>116</v>
      </c>
      <c r="K262" s="18" t="s">
        <v>189</v>
      </c>
      <c r="L262" s="18">
        <v>13300</v>
      </c>
      <c r="M262" s="18">
        <f>ABS((D262*E262)-L262)</f>
        <v>300</v>
      </c>
      <c r="N262" s="10" t="str">
        <f t="shared" si="8"/>
        <v>Unique</v>
      </c>
    </row>
    <row r="263" spans="1:16" ht="27.6" thickBot="1" x14ac:dyDescent="0.35">
      <c r="A263" s="3">
        <v>46275.507638888892</v>
      </c>
      <c r="B263" s="1" t="s">
        <v>15</v>
      </c>
      <c r="C263" s="1" t="s">
        <v>7</v>
      </c>
      <c r="D263" s="4">
        <v>10</v>
      </c>
      <c r="E263" s="4">
        <v>2632</v>
      </c>
      <c r="F263" s="4">
        <v>23.06541357</v>
      </c>
      <c r="G263" s="2" t="s">
        <v>71</v>
      </c>
      <c r="H263" s="5">
        <v>2138.6999999999998</v>
      </c>
      <c r="I263" s="1" t="s">
        <v>8</v>
      </c>
      <c r="J263" s="18" t="s">
        <v>116</v>
      </c>
      <c r="K263" s="18" t="s">
        <v>262</v>
      </c>
      <c r="L263" s="18">
        <v>73800</v>
      </c>
      <c r="M263" s="18">
        <f>ABS((D263*E263)-L263)</f>
        <v>47480</v>
      </c>
      <c r="N263" s="10" t="str">
        <f t="shared" si="8"/>
        <v>Unique</v>
      </c>
    </row>
    <row r="264" spans="1:16" ht="40.799999999999997" thickBot="1" x14ac:dyDescent="0.35">
      <c r="A264" s="11">
        <v>46252.635416666664</v>
      </c>
      <c r="B264" s="8" t="s">
        <v>125</v>
      </c>
      <c r="C264" s="41" t="s">
        <v>7</v>
      </c>
      <c r="D264" s="8">
        <v>6</v>
      </c>
      <c r="E264" s="8">
        <v>548</v>
      </c>
      <c r="F264" s="4">
        <v>23.409525949999999</v>
      </c>
      <c r="G264" s="2" t="s">
        <v>126</v>
      </c>
      <c r="H264" s="5">
        <v>444.05</v>
      </c>
      <c r="I264" s="1" t="s">
        <v>8</v>
      </c>
      <c r="J264" s="34"/>
      <c r="N264" s="10" t="str">
        <f t="shared" si="8"/>
        <v>Unique</v>
      </c>
      <c r="O264" s="29"/>
    </row>
    <row r="265" spans="1:16" ht="27.6" thickBot="1" x14ac:dyDescent="0.35">
      <c r="A265" s="3">
        <v>46265.375694444447</v>
      </c>
      <c r="B265" s="1" t="s">
        <v>15</v>
      </c>
      <c r="C265" s="1" t="s">
        <v>7</v>
      </c>
      <c r="D265" s="4">
        <v>10</v>
      </c>
      <c r="E265" s="4">
        <v>2636</v>
      </c>
      <c r="F265" s="4">
        <v>23.252443070000002</v>
      </c>
      <c r="G265" s="2" t="s">
        <v>71</v>
      </c>
      <c r="H265" s="5">
        <v>2138.6999999999998</v>
      </c>
      <c r="I265" s="1" t="s">
        <v>8</v>
      </c>
      <c r="J265" s="18" t="s">
        <v>116</v>
      </c>
      <c r="K265" s="18" t="s">
        <v>206</v>
      </c>
      <c r="L265" s="18">
        <v>26020</v>
      </c>
      <c r="M265" s="18">
        <f>ABS((D265*E265)-L265)</f>
        <v>340</v>
      </c>
      <c r="N265" t="str">
        <f t="shared" si="8"/>
        <v>Unique</v>
      </c>
    </row>
    <row r="266" spans="1:16" ht="40.799999999999997" thickBot="1" x14ac:dyDescent="0.35">
      <c r="A266" s="8" t="s">
        <v>61</v>
      </c>
      <c r="B266" s="8" t="s">
        <v>6</v>
      </c>
      <c r="C266" s="8" t="s">
        <v>7</v>
      </c>
      <c r="D266" s="8">
        <v>100</v>
      </c>
      <c r="E266" s="12">
        <v>318</v>
      </c>
      <c r="F266" s="4">
        <v>22.993618260000002</v>
      </c>
      <c r="G266" s="2" t="s">
        <v>129</v>
      </c>
      <c r="H266" s="5">
        <v>258.55</v>
      </c>
      <c r="I266" s="1" t="s">
        <v>8</v>
      </c>
      <c r="J266" s="34" t="s">
        <v>116</v>
      </c>
      <c r="N266" s="10" t="str">
        <f t="shared" si="8"/>
        <v>Unique</v>
      </c>
    </row>
    <row r="267" spans="1:16" ht="27.6" thickBot="1" x14ac:dyDescent="0.35">
      <c r="A267" s="3">
        <v>46262.463194444441</v>
      </c>
      <c r="B267" s="1" t="s">
        <v>15</v>
      </c>
      <c r="C267" s="1" t="s">
        <v>7</v>
      </c>
      <c r="D267" s="4">
        <v>10</v>
      </c>
      <c r="E267" s="4">
        <v>2648</v>
      </c>
      <c r="F267" s="4">
        <v>23.813531579999999</v>
      </c>
      <c r="G267" s="2" t="s">
        <v>71</v>
      </c>
      <c r="H267" s="5">
        <v>2138.6999999999998</v>
      </c>
      <c r="I267" s="1" t="s">
        <v>8</v>
      </c>
      <c r="J267" s="18" t="s">
        <v>116</v>
      </c>
      <c r="K267" s="18" t="s">
        <v>188</v>
      </c>
      <c r="L267" s="18">
        <v>26180</v>
      </c>
      <c r="M267" s="18">
        <f>ABS((D267*E267)-L267)</f>
        <v>300</v>
      </c>
      <c r="N267" s="10" t="str">
        <f t="shared" si="8"/>
        <v>Unique</v>
      </c>
    </row>
    <row r="268" spans="1:16" ht="40.799999999999997" thickBot="1" x14ac:dyDescent="0.35">
      <c r="A268" s="8" t="s">
        <v>61</v>
      </c>
      <c r="B268" s="8" t="s">
        <v>6</v>
      </c>
      <c r="C268" s="8" t="s">
        <v>7</v>
      </c>
      <c r="D268" s="8">
        <v>100</v>
      </c>
      <c r="E268" s="13">
        <v>319</v>
      </c>
      <c r="F268" s="4">
        <v>23.380390640000002</v>
      </c>
      <c r="G268" s="2" t="s">
        <v>129</v>
      </c>
      <c r="H268" s="5">
        <v>258.55</v>
      </c>
      <c r="I268" s="1" t="s">
        <v>8</v>
      </c>
      <c r="J268" s="34" t="s">
        <v>116</v>
      </c>
      <c r="N268" s="10" t="str">
        <f t="shared" si="8"/>
        <v>Unique</v>
      </c>
    </row>
    <row r="269" spans="1:16" ht="27.6" thickBot="1" x14ac:dyDescent="0.35">
      <c r="A269" s="3">
        <v>46262.375</v>
      </c>
      <c r="B269" s="1" t="s">
        <v>15</v>
      </c>
      <c r="C269" s="1" t="s">
        <v>7</v>
      </c>
      <c r="D269" s="4">
        <v>10</v>
      </c>
      <c r="E269" s="4">
        <v>2660</v>
      </c>
      <c r="F269" s="4">
        <v>24.374620100000001</v>
      </c>
      <c r="G269" s="2" t="s">
        <v>71</v>
      </c>
      <c r="H269" s="5">
        <v>2138.6999999999998</v>
      </c>
      <c r="I269" s="1" t="s">
        <v>8</v>
      </c>
      <c r="J269" s="18" t="s">
        <v>116</v>
      </c>
      <c r="K269" s="18" t="s">
        <v>190</v>
      </c>
      <c r="L269" s="18">
        <v>26300</v>
      </c>
      <c r="M269" s="18">
        <f>ABS((D269*E269)-L269)</f>
        <v>300</v>
      </c>
      <c r="N269" s="10" t="str">
        <f t="shared" si="8"/>
        <v>Unique</v>
      </c>
    </row>
    <row r="270" spans="1:16" ht="40.799999999999997" thickBot="1" x14ac:dyDescent="0.35">
      <c r="A270" s="11">
        <v>46252.6875</v>
      </c>
      <c r="B270" s="8" t="s">
        <v>13</v>
      </c>
      <c r="C270" s="8" t="s">
        <v>7</v>
      </c>
      <c r="D270" s="8">
        <v>5</v>
      </c>
      <c r="E270" s="8">
        <v>2094</v>
      </c>
      <c r="F270" s="4">
        <v>19.732403219999998</v>
      </c>
      <c r="G270" s="2" t="s">
        <v>90</v>
      </c>
      <c r="H270" s="5">
        <v>1748.9</v>
      </c>
      <c r="I270" s="1" t="s">
        <v>8</v>
      </c>
      <c r="J270" s="34" t="s">
        <v>117</v>
      </c>
      <c r="N270" s="10" t="str">
        <f t="shared" si="8"/>
        <v>Unique</v>
      </c>
    </row>
    <row r="271" spans="1:16" ht="27.6" thickBot="1" x14ac:dyDescent="0.35">
      <c r="A271" s="8" t="s">
        <v>61</v>
      </c>
      <c r="B271" s="8" t="s">
        <v>34</v>
      </c>
      <c r="C271" s="8" t="s">
        <v>7</v>
      </c>
      <c r="D271" s="8">
        <v>200</v>
      </c>
      <c r="E271" s="12">
        <v>249</v>
      </c>
      <c r="F271" s="4">
        <v>25</v>
      </c>
      <c r="G271" s="2" t="s">
        <v>41</v>
      </c>
      <c r="H271" s="5">
        <v>199.2</v>
      </c>
      <c r="I271" s="1" t="s">
        <v>8</v>
      </c>
      <c r="J271" s="34" t="s">
        <v>116</v>
      </c>
      <c r="N271" s="10" t="str">
        <f t="shared" si="8"/>
        <v>Unique</v>
      </c>
    </row>
    <row r="272" spans="1:16" ht="27.6" thickBot="1" x14ac:dyDescent="0.35">
      <c r="A272" s="3">
        <v>46254.642361111109</v>
      </c>
      <c r="B272" s="1" t="s">
        <v>15</v>
      </c>
      <c r="C272" s="1" t="s">
        <v>7</v>
      </c>
      <c r="D272" s="4">
        <v>10</v>
      </c>
      <c r="E272" s="4">
        <v>2672</v>
      </c>
      <c r="F272" s="4">
        <v>24.935708609999999</v>
      </c>
      <c r="G272" s="2" t="s">
        <v>71</v>
      </c>
      <c r="H272" s="5">
        <v>2138.6999999999998</v>
      </c>
      <c r="I272" s="1" t="s">
        <v>8</v>
      </c>
      <c r="J272" s="17" t="s">
        <v>116</v>
      </c>
      <c r="K272" s="17" t="s">
        <v>145</v>
      </c>
      <c r="L272" s="17"/>
      <c r="M272" s="17"/>
      <c r="N272" s="10" t="str">
        <f t="shared" si="8"/>
        <v>Unique</v>
      </c>
    </row>
    <row r="273" spans="1:16" s="29" customFormat="1" ht="27.6" thickBot="1" x14ac:dyDescent="0.35">
      <c r="A273" s="8" t="s">
        <v>61</v>
      </c>
      <c r="B273" s="8" t="s">
        <v>127</v>
      </c>
      <c r="C273" s="8" t="s">
        <v>7</v>
      </c>
      <c r="D273" s="8">
        <v>150</v>
      </c>
      <c r="E273" s="12">
        <v>136</v>
      </c>
      <c r="F273" s="4">
        <v>26.136152849999998</v>
      </c>
      <c r="G273" s="2" t="s">
        <v>128</v>
      </c>
      <c r="H273" s="5">
        <v>107.82</v>
      </c>
      <c r="I273" s="1" t="s">
        <v>8</v>
      </c>
      <c r="J273" s="34"/>
      <c r="K273" s="18"/>
      <c r="L273" s="18"/>
      <c r="M273" s="18"/>
      <c r="N273" s="10" t="str">
        <f t="shared" si="8"/>
        <v>Unique</v>
      </c>
      <c r="O273" s="10"/>
      <c r="P273" s="10"/>
    </row>
    <row r="274" spans="1:16" s="29" customFormat="1" ht="40.799999999999997" thickBot="1" x14ac:dyDescent="0.35">
      <c r="A274" s="8" t="s">
        <v>61</v>
      </c>
      <c r="B274" s="8" t="s">
        <v>6</v>
      </c>
      <c r="C274" s="8" t="s">
        <v>7</v>
      </c>
      <c r="D274" s="8">
        <v>150</v>
      </c>
      <c r="E274" s="12">
        <v>323</v>
      </c>
      <c r="F274" s="4">
        <v>24.92748018</v>
      </c>
      <c r="G274" s="2" t="s">
        <v>129</v>
      </c>
      <c r="H274" s="5">
        <v>258.55</v>
      </c>
      <c r="I274" s="1" t="s">
        <v>8</v>
      </c>
      <c r="J274" s="34" t="s">
        <v>117</v>
      </c>
      <c r="K274" s="18"/>
      <c r="L274" s="18"/>
      <c r="M274" s="18"/>
      <c r="N274" s="10" t="str">
        <f t="shared" si="8"/>
        <v>Unique</v>
      </c>
      <c r="O274" s="10"/>
      <c r="P274" s="10"/>
    </row>
    <row r="275" spans="1:16" ht="40.799999999999997" thickBot="1" x14ac:dyDescent="0.35">
      <c r="A275" s="8" t="s">
        <v>61</v>
      </c>
      <c r="B275" s="8" t="s">
        <v>13</v>
      </c>
      <c r="C275" s="8" t="s">
        <v>7</v>
      </c>
      <c r="D275" s="8">
        <v>10</v>
      </c>
      <c r="E275" s="8">
        <v>2114</v>
      </c>
      <c r="F275" s="4">
        <v>20.875979189999999</v>
      </c>
      <c r="G275" s="2" t="s">
        <v>90</v>
      </c>
      <c r="H275" s="5">
        <v>1748.9</v>
      </c>
      <c r="I275" s="1" t="s">
        <v>8</v>
      </c>
      <c r="J275" s="34"/>
      <c r="N275" s="10" t="str">
        <f t="shared" si="8"/>
        <v>Unique</v>
      </c>
      <c r="P275" s="29"/>
    </row>
    <row r="276" spans="1:16" ht="27.6" thickBot="1" x14ac:dyDescent="0.35">
      <c r="A276" s="3">
        <v>46260.375</v>
      </c>
      <c r="B276" s="1" t="s">
        <v>86</v>
      </c>
      <c r="C276" s="1" t="s">
        <v>7</v>
      </c>
      <c r="D276" s="4">
        <v>10</v>
      </c>
      <c r="E276" s="4">
        <v>1390</v>
      </c>
      <c r="F276" s="4">
        <v>26.14574825</v>
      </c>
      <c r="G276" s="2" t="s">
        <v>87</v>
      </c>
      <c r="H276" s="5">
        <v>1101.9000000000001</v>
      </c>
      <c r="I276" s="1" t="s">
        <v>8</v>
      </c>
      <c r="J276" s="18" t="s">
        <v>116</v>
      </c>
      <c r="K276" s="18" t="s">
        <v>171</v>
      </c>
      <c r="L276" s="18">
        <v>13600</v>
      </c>
      <c r="M276" s="18">
        <f>ABS((D276*E276)-L276)</f>
        <v>300</v>
      </c>
      <c r="N276" t="str">
        <f t="shared" si="8"/>
        <v>Unique</v>
      </c>
    </row>
    <row r="277" spans="1:16" ht="27.6" thickBot="1" x14ac:dyDescent="0.35">
      <c r="A277" s="3">
        <v>46294.375</v>
      </c>
      <c r="B277" s="2" t="s">
        <v>285</v>
      </c>
      <c r="C277" s="2" t="s">
        <v>7</v>
      </c>
      <c r="D277" s="5">
        <v>2</v>
      </c>
      <c r="E277" s="5">
        <v>1740</v>
      </c>
      <c r="F277" s="4">
        <v>34.435602260000003</v>
      </c>
      <c r="G277" s="2" t="s">
        <v>287</v>
      </c>
      <c r="H277" s="5">
        <v>1294.3</v>
      </c>
      <c r="I277" s="1" t="s">
        <v>8</v>
      </c>
      <c r="J277" s="18" t="s">
        <v>117</v>
      </c>
      <c r="K277" s="18" t="s">
        <v>308</v>
      </c>
      <c r="L277" s="18">
        <v>3180</v>
      </c>
      <c r="M277" s="18">
        <f>ABS((D277*E277)-L277)</f>
        <v>300</v>
      </c>
      <c r="N277" s="10" t="str">
        <f t="shared" si="8"/>
        <v>Unique</v>
      </c>
    </row>
    <row r="278" spans="1:16" ht="27.6" thickBot="1" x14ac:dyDescent="0.35">
      <c r="A278" s="11">
        <v>46252.6875</v>
      </c>
      <c r="B278" s="8" t="s">
        <v>15</v>
      </c>
      <c r="C278" s="8" t="s">
        <v>7</v>
      </c>
      <c r="D278" s="8">
        <v>10</v>
      </c>
      <c r="E278" s="8">
        <v>2696</v>
      </c>
      <c r="F278" s="4">
        <v>26.057885630000001</v>
      </c>
      <c r="G278" s="2" t="s">
        <v>71</v>
      </c>
      <c r="H278" s="5">
        <v>2138.6999999999998</v>
      </c>
      <c r="I278" s="1" t="s">
        <v>8</v>
      </c>
      <c r="J278" s="34" t="s">
        <v>152</v>
      </c>
      <c r="N278" s="10" t="str">
        <f t="shared" si="8"/>
        <v>Unique</v>
      </c>
    </row>
    <row r="279" spans="1:16" ht="27.6" thickBot="1" x14ac:dyDescent="0.35">
      <c r="A279" s="3">
        <v>46265.415277777778</v>
      </c>
      <c r="B279" s="1" t="s">
        <v>16</v>
      </c>
      <c r="C279" s="1" t="s">
        <v>7</v>
      </c>
      <c r="D279" s="4">
        <v>5</v>
      </c>
      <c r="E279" s="4">
        <v>948</v>
      </c>
      <c r="F279" s="4">
        <v>27.41935484</v>
      </c>
      <c r="G279" s="2" t="s">
        <v>60</v>
      </c>
      <c r="H279" s="5">
        <v>744</v>
      </c>
      <c r="I279" s="1" t="s">
        <v>8</v>
      </c>
      <c r="J279" s="18" t="s">
        <v>117</v>
      </c>
      <c r="K279" s="18" t="s">
        <v>195</v>
      </c>
      <c r="L279" s="18">
        <v>4455</v>
      </c>
      <c r="M279" s="18">
        <f>ABS((D279*E279)-L279)</f>
        <v>285</v>
      </c>
      <c r="N279" t="str">
        <f t="shared" si="8"/>
        <v>Unique</v>
      </c>
    </row>
    <row r="280" spans="1:16" ht="27.6" thickBot="1" x14ac:dyDescent="0.35">
      <c r="A280" s="3">
        <v>46266.375</v>
      </c>
      <c r="B280" s="1" t="s">
        <v>16</v>
      </c>
      <c r="C280" s="1" t="s">
        <v>7</v>
      </c>
      <c r="D280" s="4">
        <v>11</v>
      </c>
      <c r="E280" s="4">
        <v>948</v>
      </c>
      <c r="F280" s="4">
        <v>27.41935484</v>
      </c>
      <c r="G280" s="2" t="s">
        <v>60</v>
      </c>
      <c r="H280" s="5">
        <v>744</v>
      </c>
      <c r="I280" s="1" t="s">
        <v>8</v>
      </c>
      <c r="J280" s="18" t="s">
        <v>116</v>
      </c>
      <c r="K280" s="18" t="s">
        <v>212</v>
      </c>
      <c r="L280" s="18">
        <v>9702</v>
      </c>
      <c r="M280" s="18">
        <f>ABS((D280*E280)-L280)</f>
        <v>726</v>
      </c>
      <c r="N280" s="10" t="str">
        <f t="shared" si="8"/>
        <v>Unique</v>
      </c>
    </row>
    <row r="281" spans="1:16" ht="40.799999999999997" thickBot="1" x14ac:dyDescent="0.35">
      <c r="A281" s="9" t="s">
        <v>61</v>
      </c>
      <c r="B281" s="9" t="s">
        <v>118</v>
      </c>
      <c r="C281" s="9" t="s">
        <v>7</v>
      </c>
      <c r="D281" s="9">
        <v>7</v>
      </c>
      <c r="E281" s="12">
        <v>1170</v>
      </c>
      <c r="F281" s="4">
        <v>29.582456530000002</v>
      </c>
      <c r="G281" s="2" t="s">
        <v>119</v>
      </c>
      <c r="H281" s="5">
        <v>902.9</v>
      </c>
      <c r="I281" s="1" t="s">
        <v>8</v>
      </c>
      <c r="J281" s="34"/>
      <c r="N281" s="10" t="str">
        <f t="shared" si="8"/>
        <v>Unique</v>
      </c>
    </row>
    <row r="282" spans="1:16" ht="27.6" thickBot="1" x14ac:dyDescent="0.35">
      <c r="A282" s="11">
        <v>46252.6875</v>
      </c>
      <c r="B282" s="8" t="s">
        <v>15</v>
      </c>
      <c r="C282" s="8" t="s">
        <v>7</v>
      </c>
      <c r="D282" s="8">
        <v>10</v>
      </c>
      <c r="E282" s="8">
        <v>2720</v>
      </c>
      <c r="F282" s="4">
        <v>27.18006265</v>
      </c>
      <c r="G282" s="2" t="s">
        <v>71</v>
      </c>
      <c r="H282" s="5">
        <v>2138.6999999999998</v>
      </c>
      <c r="I282" s="1" t="s">
        <v>8</v>
      </c>
      <c r="J282" s="34" t="s">
        <v>116</v>
      </c>
      <c r="N282" s="10" t="str">
        <f t="shared" si="8"/>
        <v>Unique</v>
      </c>
    </row>
    <row r="283" spans="1:16" ht="27.6" thickBot="1" x14ac:dyDescent="0.35">
      <c r="A283" s="8" t="s">
        <v>61</v>
      </c>
      <c r="B283" s="8" t="s">
        <v>56</v>
      </c>
      <c r="C283" s="8" t="s">
        <v>7</v>
      </c>
      <c r="D283" s="8">
        <v>3</v>
      </c>
      <c r="E283" s="12">
        <v>3341</v>
      </c>
      <c r="F283" s="4">
        <v>15.20689655</v>
      </c>
      <c r="G283" s="2" t="s">
        <v>57</v>
      </c>
      <c r="H283" s="5">
        <v>2900</v>
      </c>
      <c r="I283" s="1" t="s">
        <v>8</v>
      </c>
      <c r="J283" s="34"/>
      <c r="N283" s="10" t="str">
        <f t="shared" si="8"/>
        <v>Unique</v>
      </c>
      <c r="P283" s="29"/>
    </row>
    <row r="284" spans="1:16" ht="27.6" thickBot="1" x14ac:dyDescent="0.35">
      <c r="A284" s="8" t="s">
        <v>61</v>
      </c>
      <c r="B284" s="8" t="s">
        <v>26</v>
      </c>
      <c r="C284" s="8" t="s">
        <v>7</v>
      </c>
      <c r="D284" s="8">
        <v>25</v>
      </c>
      <c r="E284" s="8">
        <v>210</v>
      </c>
      <c r="F284" s="4">
        <v>30.523960469999999</v>
      </c>
      <c r="G284" s="2" t="s">
        <v>131</v>
      </c>
      <c r="H284" s="5">
        <v>160.88999999999999</v>
      </c>
      <c r="I284" s="1" t="s">
        <v>8</v>
      </c>
      <c r="J284" s="34"/>
      <c r="N284" s="10" t="str">
        <f t="shared" si="8"/>
        <v>Unique</v>
      </c>
    </row>
    <row r="285" spans="1:16" ht="27.6" thickBot="1" x14ac:dyDescent="0.35">
      <c r="A285" s="3">
        <v>46265.375694444447</v>
      </c>
      <c r="B285" s="1" t="s">
        <v>16</v>
      </c>
      <c r="C285" s="1" t="s">
        <v>7</v>
      </c>
      <c r="D285" s="4">
        <v>5</v>
      </c>
      <c r="E285" s="4">
        <v>961</v>
      </c>
      <c r="F285" s="4">
        <v>29.166666670000001</v>
      </c>
      <c r="G285" s="2" t="s">
        <v>60</v>
      </c>
      <c r="H285" s="5">
        <v>744</v>
      </c>
      <c r="I285" s="1" t="s">
        <v>8</v>
      </c>
      <c r="J285" s="18" t="s">
        <v>117</v>
      </c>
      <c r="K285" s="18" t="s">
        <v>200</v>
      </c>
      <c r="L285" s="18">
        <v>4530</v>
      </c>
      <c r="M285" s="18">
        <f>ABS((D285*E285)-L285)</f>
        <v>275</v>
      </c>
      <c r="N285" t="str">
        <f t="shared" si="8"/>
        <v>Unique</v>
      </c>
    </row>
    <row r="286" spans="1:16" ht="27.6" thickBot="1" x14ac:dyDescent="0.35">
      <c r="A286" s="3">
        <v>46260.557638888888</v>
      </c>
      <c r="B286" s="1" t="s">
        <v>16</v>
      </c>
      <c r="C286" s="1" t="s">
        <v>7</v>
      </c>
      <c r="D286" s="4">
        <v>5</v>
      </c>
      <c r="E286" s="4">
        <v>971</v>
      </c>
      <c r="F286" s="4">
        <v>30.51075269</v>
      </c>
      <c r="G286" s="2" t="s">
        <v>60</v>
      </c>
      <c r="H286" s="5">
        <v>744</v>
      </c>
      <c r="I286" s="1" t="s">
        <v>8</v>
      </c>
      <c r="J286" s="18" t="s">
        <v>117</v>
      </c>
      <c r="K286" s="18" t="s">
        <v>162</v>
      </c>
      <c r="L286" s="18">
        <v>4605</v>
      </c>
      <c r="M286" s="18">
        <f>ABS((D286*E286)-L286)</f>
        <v>250</v>
      </c>
      <c r="N286" t="str">
        <f t="shared" si="8"/>
        <v>Unique</v>
      </c>
      <c r="P286" s="29"/>
    </row>
    <row r="287" spans="1:16" ht="27.6" thickBot="1" x14ac:dyDescent="0.35">
      <c r="A287" s="8" t="s">
        <v>61</v>
      </c>
      <c r="B287" s="8" t="s">
        <v>17</v>
      </c>
      <c r="C287" s="8" t="s">
        <v>7</v>
      </c>
      <c r="D287" s="8">
        <v>5</v>
      </c>
      <c r="E287" s="12">
        <v>416</v>
      </c>
      <c r="F287" s="4">
        <v>30</v>
      </c>
      <c r="G287" s="2" t="s">
        <v>76</v>
      </c>
      <c r="H287" s="5">
        <v>320</v>
      </c>
      <c r="I287" s="1" t="s">
        <v>8</v>
      </c>
      <c r="J287" s="34"/>
      <c r="N287" s="10" t="str">
        <f t="shared" si="8"/>
        <v>Unique</v>
      </c>
    </row>
    <row r="288" spans="1:16" ht="40.799999999999997" thickBot="1" x14ac:dyDescent="0.35">
      <c r="A288" s="8" t="s">
        <v>61</v>
      </c>
      <c r="B288" s="8" t="s">
        <v>13</v>
      </c>
      <c r="C288" s="8" t="s">
        <v>7</v>
      </c>
      <c r="D288" s="8">
        <v>10</v>
      </c>
      <c r="E288" s="8">
        <v>2189</v>
      </c>
      <c r="F288" s="4">
        <v>25.16438904</v>
      </c>
      <c r="G288" s="2" t="s">
        <v>90</v>
      </c>
      <c r="H288" s="5">
        <v>1748.9</v>
      </c>
      <c r="I288" s="1" t="s">
        <v>8</v>
      </c>
      <c r="J288" s="34"/>
      <c r="N288" s="10" t="str">
        <f t="shared" si="8"/>
        <v>Unique</v>
      </c>
    </row>
    <row r="289" spans="1:16" ht="40.799999999999997" thickBot="1" x14ac:dyDescent="0.35">
      <c r="A289" s="3">
        <v>46260.550694444442</v>
      </c>
      <c r="B289" s="1" t="s">
        <v>102</v>
      </c>
      <c r="C289" s="1" t="s">
        <v>7</v>
      </c>
      <c r="D289" s="4">
        <v>2</v>
      </c>
      <c r="E289" s="4">
        <v>2787.9</v>
      </c>
      <c r="F289" s="4">
        <v>32.542550159999998</v>
      </c>
      <c r="G289" s="2" t="s">
        <v>103</v>
      </c>
      <c r="H289" s="5">
        <v>2103.4</v>
      </c>
      <c r="I289" s="1" t="s">
        <v>8</v>
      </c>
      <c r="J289" s="18" t="s">
        <v>117</v>
      </c>
      <c r="K289" s="18" t="s">
        <v>165</v>
      </c>
      <c r="L289" s="18">
        <v>5275.8</v>
      </c>
      <c r="M289" s="18">
        <f>ABS((D289*E289)-L289)</f>
        <v>300</v>
      </c>
      <c r="N289" t="str">
        <f t="shared" si="8"/>
        <v>Unique</v>
      </c>
    </row>
    <row r="290" spans="1:16" ht="27.6" thickBot="1" x14ac:dyDescent="0.35">
      <c r="A290" s="11">
        <v>46252.635416666664</v>
      </c>
      <c r="B290" s="8" t="s">
        <v>86</v>
      </c>
      <c r="C290" s="8" t="s">
        <v>7</v>
      </c>
      <c r="D290" s="8">
        <v>10</v>
      </c>
      <c r="E290" s="8">
        <v>1479</v>
      </c>
      <c r="F290" s="4">
        <v>34.22270623</v>
      </c>
      <c r="G290" s="2" t="s">
        <v>87</v>
      </c>
      <c r="H290" s="5">
        <v>1101.9000000000001</v>
      </c>
      <c r="I290" s="1" t="s">
        <v>8</v>
      </c>
      <c r="J290" s="34" t="s">
        <v>54</v>
      </c>
      <c r="N290" s="10" t="str">
        <f t="shared" si="8"/>
        <v>Unique</v>
      </c>
    </row>
    <row r="291" spans="1:16" ht="40.799999999999997" thickBot="1" x14ac:dyDescent="0.35">
      <c r="A291" s="8" t="s">
        <v>61</v>
      </c>
      <c r="B291" s="8" t="s">
        <v>125</v>
      </c>
      <c r="C291" s="8" t="s">
        <v>7</v>
      </c>
      <c r="D291" s="8">
        <v>5</v>
      </c>
      <c r="E291" s="8">
        <v>596</v>
      </c>
      <c r="F291" s="4">
        <v>34.219119470000003</v>
      </c>
      <c r="G291" s="2" t="s">
        <v>126</v>
      </c>
      <c r="H291" s="5">
        <v>444.05</v>
      </c>
      <c r="I291" s="1" t="s">
        <v>8</v>
      </c>
      <c r="J291" s="34"/>
      <c r="N291" s="10" t="str">
        <f t="shared" si="8"/>
        <v>Unique</v>
      </c>
    </row>
    <row r="292" spans="1:16" ht="40.799999999999997" thickBot="1" x14ac:dyDescent="0.35">
      <c r="A292" s="3">
        <v>46259.532638888886</v>
      </c>
      <c r="B292" s="1" t="s">
        <v>95</v>
      </c>
      <c r="C292" s="1" t="s">
        <v>7</v>
      </c>
      <c r="D292" s="4">
        <v>5</v>
      </c>
      <c r="E292" s="4">
        <v>218</v>
      </c>
      <c r="F292" s="4">
        <v>25.938763720000001</v>
      </c>
      <c r="G292" s="2" t="s">
        <v>96</v>
      </c>
      <c r="H292" s="5">
        <v>173.1</v>
      </c>
      <c r="I292" s="1" t="s">
        <v>8</v>
      </c>
      <c r="J292" s="34" t="s">
        <v>117</v>
      </c>
      <c r="K292" s="18" t="s">
        <v>158</v>
      </c>
      <c r="L292" s="18">
        <v>840</v>
      </c>
      <c r="M292" s="18">
        <f>ABS((D292*E292)-L292)</f>
        <v>250</v>
      </c>
      <c r="N292" s="10" t="str">
        <f t="shared" si="8"/>
        <v>Unique</v>
      </c>
    </row>
    <row r="293" spans="1:16" ht="27.6" thickBot="1" x14ac:dyDescent="0.35">
      <c r="A293" s="8" t="s">
        <v>61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35.9375</v>
      </c>
      <c r="G293" s="2" t="s">
        <v>76</v>
      </c>
      <c r="H293" s="5">
        <v>320</v>
      </c>
      <c r="I293" s="1" t="s">
        <v>8</v>
      </c>
      <c r="J293" s="34" t="s">
        <v>117</v>
      </c>
      <c r="N293" s="10" t="str">
        <f t="shared" si="8"/>
        <v>Unique</v>
      </c>
    </row>
    <row r="294" spans="1:16" ht="27.6" thickBot="1" x14ac:dyDescent="0.35">
      <c r="A294" s="11">
        <v>46252.6875</v>
      </c>
      <c r="B294" s="8" t="s">
        <v>15</v>
      </c>
      <c r="C294" s="8" t="s">
        <v>7</v>
      </c>
      <c r="D294" s="8">
        <v>10</v>
      </c>
      <c r="E294" s="8">
        <v>2896</v>
      </c>
      <c r="F294" s="4">
        <v>35.409360829999997</v>
      </c>
      <c r="G294" s="2" t="s">
        <v>71</v>
      </c>
      <c r="H294" s="5">
        <v>2138.6999999999998</v>
      </c>
      <c r="I294" s="1" t="s">
        <v>8</v>
      </c>
      <c r="J294" s="34" t="s">
        <v>117</v>
      </c>
      <c r="N294" s="10" t="str">
        <f t="shared" si="8"/>
        <v>Unique</v>
      </c>
    </row>
    <row r="295" spans="1:16" ht="27.6" thickBot="1" x14ac:dyDescent="0.35">
      <c r="A295" s="11">
        <v>46252.6875</v>
      </c>
      <c r="B295" s="8" t="s">
        <v>15</v>
      </c>
      <c r="C295" s="8" t="s">
        <v>7</v>
      </c>
      <c r="D295" s="8">
        <v>10</v>
      </c>
      <c r="E295" s="8">
        <v>2908</v>
      </c>
      <c r="F295" s="4">
        <v>35.970449340000002</v>
      </c>
      <c r="G295" s="2" t="s">
        <v>71</v>
      </c>
      <c r="H295" s="5">
        <v>2138.6999999999998</v>
      </c>
      <c r="I295" s="1" t="s">
        <v>8</v>
      </c>
      <c r="J295" s="34" t="s">
        <v>117</v>
      </c>
      <c r="N295" s="10" t="str">
        <f t="shared" si="8"/>
        <v>Unique</v>
      </c>
    </row>
    <row r="296" spans="1:16" s="29" customFormat="1" ht="27.6" thickBot="1" x14ac:dyDescent="0.35">
      <c r="A296" s="3">
        <v>46290.385416666664</v>
      </c>
      <c r="B296" s="2" t="s">
        <v>285</v>
      </c>
      <c r="C296" s="2" t="s">
        <v>7</v>
      </c>
      <c r="D296" s="5">
        <v>2</v>
      </c>
      <c r="E296" s="5">
        <v>1885.5</v>
      </c>
      <c r="F296" s="4">
        <v>45.677200030000002</v>
      </c>
      <c r="G296" s="2" t="s">
        <v>287</v>
      </c>
      <c r="H296" s="5">
        <v>1294.3</v>
      </c>
      <c r="I296" s="1" t="s">
        <v>8</v>
      </c>
      <c r="J296" s="18" t="s">
        <v>117</v>
      </c>
      <c r="K296" s="18" t="s">
        <v>296</v>
      </c>
      <c r="L296" s="18">
        <v>3521</v>
      </c>
      <c r="M296" s="18">
        <f>ABS((D296*E296)-L296)</f>
        <v>250</v>
      </c>
      <c r="N296" s="10" t="str">
        <f t="shared" si="8"/>
        <v>Unique</v>
      </c>
      <c r="O296" s="10"/>
      <c r="P296" s="10"/>
    </row>
    <row r="297" spans="1:16" ht="40.799999999999997" thickBot="1" x14ac:dyDescent="0.35">
      <c r="A297" s="8" t="s">
        <v>61</v>
      </c>
      <c r="B297" s="8" t="s">
        <v>13</v>
      </c>
      <c r="C297" s="8" t="s">
        <v>7</v>
      </c>
      <c r="D297" s="8">
        <v>20</v>
      </c>
      <c r="E297" s="8">
        <v>2310</v>
      </c>
      <c r="F297" s="4">
        <v>32.083023609999998</v>
      </c>
      <c r="G297" s="2" t="s">
        <v>90</v>
      </c>
      <c r="H297" s="5">
        <v>1748.9</v>
      </c>
      <c r="I297" s="1" t="s">
        <v>8</v>
      </c>
      <c r="J297" s="34"/>
      <c r="N297" s="10" t="str">
        <f t="shared" si="8"/>
        <v>Unique</v>
      </c>
    </row>
    <row r="298" spans="1:16" s="29" customFormat="1" ht="40.799999999999997" thickBot="1" x14ac:dyDescent="0.35">
      <c r="A298" s="41" t="s">
        <v>61</v>
      </c>
      <c r="B298" s="41" t="s">
        <v>13</v>
      </c>
      <c r="C298" s="41" t="s">
        <v>7</v>
      </c>
      <c r="D298" s="41">
        <v>1</v>
      </c>
      <c r="E298" s="41">
        <v>2494</v>
      </c>
      <c r="F298" s="4">
        <v>42.603922470000001</v>
      </c>
      <c r="G298" s="2" t="s">
        <v>90</v>
      </c>
      <c r="H298" s="5">
        <v>1748.9</v>
      </c>
      <c r="I298" s="1" t="s">
        <v>8</v>
      </c>
      <c r="J298" s="48" t="s">
        <v>117</v>
      </c>
      <c r="K298" s="27"/>
      <c r="L298" s="27"/>
      <c r="M298" s="27"/>
      <c r="N298" s="29" t="str">
        <f t="shared" si="8"/>
        <v>Unique</v>
      </c>
    </row>
    <row r="299" spans="1:16" ht="40.799999999999997" thickBot="1" x14ac:dyDescent="0.35">
      <c r="A299" s="40">
        <v>46251.506249999999</v>
      </c>
      <c r="B299" s="41" t="s">
        <v>13</v>
      </c>
      <c r="C299" s="41" t="s">
        <v>7</v>
      </c>
      <c r="D299" s="41">
        <v>3</v>
      </c>
      <c r="E299" s="41">
        <v>2494</v>
      </c>
      <c r="F299" s="4">
        <v>42.603922470000001</v>
      </c>
      <c r="G299" s="2" t="s">
        <v>90</v>
      </c>
      <c r="H299" s="5">
        <v>1748.9</v>
      </c>
      <c r="I299" s="1" t="s">
        <v>8</v>
      </c>
      <c r="J299" s="48" t="s">
        <v>117</v>
      </c>
      <c r="K299" s="27"/>
      <c r="L299" s="27"/>
      <c r="M299" s="27"/>
      <c r="N299" s="29" t="str">
        <f t="shared" si="8"/>
        <v>Unique</v>
      </c>
      <c r="O299" s="29"/>
      <c r="P299" s="29"/>
    </row>
    <row r="300" spans="1:16" ht="27.6" thickBot="1" x14ac:dyDescent="0.35">
      <c r="A300" s="8" t="s">
        <v>61</v>
      </c>
      <c r="B300" s="8" t="s">
        <v>140</v>
      </c>
      <c r="C300" s="8" t="s">
        <v>7</v>
      </c>
      <c r="D300" s="8">
        <v>23</v>
      </c>
      <c r="E300" s="12">
        <v>890</v>
      </c>
      <c r="F300" s="6" t="e">
        <v>#N/A</v>
      </c>
      <c r="G300" s="2" t="s">
        <v>141</v>
      </c>
      <c r="H300" s="7" t="e">
        <v>#N/A</v>
      </c>
      <c r="I300" s="1" t="s">
        <v>8</v>
      </c>
      <c r="J300" s="34" t="s">
        <v>116</v>
      </c>
      <c r="N300" s="10" t="str">
        <f t="shared" si="8"/>
        <v>Unique</v>
      </c>
    </row>
    <row r="301" spans="1:16" ht="27.6" thickBot="1" x14ac:dyDescent="0.35">
      <c r="A301" s="49">
        <v>46301.40902777778</v>
      </c>
      <c r="B301" s="2" t="s">
        <v>285</v>
      </c>
      <c r="C301" s="2" t="s">
        <v>7</v>
      </c>
      <c r="D301" s="5">
        <v>2</v>
      </c>
      <c r="E301" s="5">
        <v>1444.3</v>
      </c>
      <c r="F301" s="4">
        <v>11.58927606</v>
      </c>
      <c r="G301" s="2" t="s">
        <v>287</v>
      </c>
      <c r="H301" s="5">
        <v>1294.3</v>
      </c>
      <c r="I301" s="1" t="s">
        <v>8</v>
      </c>
      <c r="J301" s="18" t="s">
        <v>117</v>
      </c>
      <c r="K301" s="18" t="s">
        <v>317</v>
      </c>
      <c r="L301" s="18">
        <f>2*1294.3</f>
        <v>2588.6</v>
      </c>
      <c r="M301" s="18">
        <f>ABS((D301*E301)-L301)</f>
        <v>300</v>
      </c>
      <c r="N301" s="10" t="str">
        <f t="shared" si="8"/>
        <v>Unique</v>
      </c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C10" sqref="C10"/>
    </sheetView>
  </sheetViews>
  <sheetFormatPr defaultRowHeight="14.4" x14ac:dyDescent="0.3"/>
  <cols>
    <col min="1" max="1" width="19.5546875" customWidth="1"/>
    <col min="2" max="2" width="14.6640625" customWidth="1"/>
    <col min="11" max="1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K2" t="str">
        <f t="shared" ref="K2:K5" si="0">C2 &amp; " " &amp; D2 &amp; "*" &amp; E2 &amp; " :" &amp; A2</f>
        <v xml:space="preserve"> * :</v>
      </c>
      <c r="L2">
        <f t="shared" ref="L2:L5" si="1">D2*E2</f>
        <v>0</v>
      </c>
      <c r="N2" t="str">
        <f>IF(COUNTIFS( $B$2:$B$894, B2) &gt; 1, "Duplicate", "Unique")</f>
        <v>Unique</v>
      </c>
    </row>
    <row r="3" spans="1:14" x14ac:dyDescent="0.3">
      <c r="K3" t="str">
        <f t="shared" si="0"/>
        <v xml:space="preserve"> * :</v>
      </c>
      <c r="L3">
        <f t="shared" si="1"/>
        <v>0</v>
      </c>
      <c r="N3" t="str">
        <f>IF(COUNTIFS( $B$2:$B$894, B3) &gt; 1, "Duplicate", "Unique")</f>
        <v>Unique</v>
      </c>
    </row>
    <row r="4" spans="1:14" x14ac:dyDescent="0.3">
      <c r="K4" t="str">
        <f t="shared" si="0"/>
        <v xml:space="preserve"> * :</v>
      </c>
      <c r="L4">
        <f t="shared" si="1"/>
        <v>0</v>
      </c>
      <c r="N4" t="str">
        <f>IF(COUNTIFS( $B$2:$B$894, B4) &gt; 1, "Duplicate", "Unique")</f>
        <v>Unique</v>
      </c>
    </row>
    <row r="5" spans="1:14" x14ac:dyDescent="0.3">
      <c r="K5" t="str">
        <f t="shared" si="0"/>
        <v xml:space="preserve"> * :</v>
      </c>
      <c r="L5">
        <f t="shared" si="1"/>
        <v>0</v>
      </c>
      <c r="N5" t="str">
        <f>IF(COUNTIFS( $B$2:$B$894, B5) &gt; 1, "Duplicate", "Unique")</f>
        <v>Unique</v>
      </c>
    </row>
    <row r="6" spans="1:14" x14ac:dyDescent="0.3">
      <c r="K6" t="str">
        <f t="shared" ref="K6" si="2">C6 &amp; " " &amp; D6 &amp; "*" &amp; E6 &amp; " :" &amp; A6</f>
        <v xml:space="preserve"> * :</v>
      </c>
      <c r="L6">
        <f t="shared" ref="L6" si="3">D6*E6</f>
        <v>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0"/>
  <sheetViews>
    <sheetView zoomScaleNormal="100" workbookViewId="0">
      <pane ySplit="1" topLeftCell="A2" activePane="bottomLeft" state="frozen"/>
      <selection pane="bottomLeft" activeCell="F10" sqref="F10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8" customWidth="1"/>
    <col min="11" max="11" width="19" style="18" customWidth="1"/>
    <col min="12" max="13" width="8.88671875" style="18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99999999999997" customHeight="1" thickBot="1" x14ac:dyDescent="0.35">
      <c r="A2" s="3">
        <v>46281.416666666664</v>
      </c>
      <c r="B2" s="1" t="s">
        <v>277</v>
      </c>
      <c r="C2" s="1" t="s">
        <v>10</v>
      </c>
      <c r="D2" s="4">
        <v>10</v>
      </c>
      <c r="E2" s="4">
        <v>706</v>
      </c>
      <c r="F2" s="4">
        <v>-30.689181229999999</v>
      </c>
      <c r="G2" s="2" t="s">
        <v>284</v>
      </c>
      <c r="H2" s="5">
        <v>1018.6</v>
      </c>
      <c r="I2" s="1" t="s">
        <v>8</v>
      </c>
      <c r="J2" s="23" t="s">
        <v>40</v>
      </c>
      <c r="K2" s="18" t="s">
        <v>279</v>
      </c>
      <c r="L2" s="18">
        <v>17940</v>
      </c>
      <c r="M2" s="18">
        <f>ABS((D2*E2)-L2)</f>
        <v>10880</v>
      </c>
      <c r="N2" s="10" t="str">
        <f t="shared" ref="N2:N65" si="0">IF(COUNTIFS( $B$2:$B$688, B2, $C$2:$C$688, C2, $D$2:$D$688, D2, $E$2:$E$688, E2) &gt; 1, "Duplicate", "Unique")</f>
        <v>Unique</v>
      </c>
      <c r="O2" s="10"/>
      <c r="P2" s="10"/>
    </row>
    <row r="3" spans="1:16" customFormat="1" ht="27.6" customHeight="1" thickBot="1" x14ac:dyDescent="0.35">
      <c r="A3" s="6" t="s">
        <v>61</v>
      </c>
      <c r="B3" s="1" t="s">
        <v>114</v>
      </c>
      <c r="C3" s="1" t="s">
        <v>10</v>
      </c>
      <c r="D3" s="4">
        <v>2</v>
      </c>
      <c r="E3" s="4">
        <v>660</v>
      </c>
      <c r="F3" s="4">
        <v>-30.284144919999999</v>
      </c>
      <c r="G3" s="2" t="s">
        <v>115</v>
      </c>
      <c r="H3" s="5">
        <v>946.7</v>
      </c>
      <c r="I3" s="1" t="s">
        <v>8</v>
      </c>
      <c r="J3" s="35" t="s">
        <v>40</v>
      </c>
      <c r="K3" s="17"/>
      <c r="L3" s="17"/>
      <c r="M3" s="17"/>
      <c r="N3" t="str">
        <f t="shared" si="0"/>
        <v>Unique</v>
      </c>
    </row>
    <row r="4" spans="1:16" customFormat="1" ht="15" customHeight="1" thickBot="1" x14ac:dyDescent="0.35">
      <c r="A4" s="3">
        <v>46281.416666666664</v>
      </c>
      <c r="B4" s="1" t="s">
        <v>277</v>
      </c>
      <c r="C4" s="1" t="s">
        <v>10</v>
      </c>
      <c r="D4" s="4">
        <v>10</v>
      </c>
      <c r="E4" s="4">
        <v>726</v>
      </c>
      <c r="F4" s="4">
        <v>-28.72570194</v>
      </c>
      <c r="G4" s="2" t="s">
        <v>284</v>
      </c>
      <c r="H4" s="5">
        <v>1018.6</v>
      </c>
      <c r="I4" s="1" t="s">
        <v>8</v>
      </c>
      <c r="J4" s="23" t="s">
        <v>40</v>
      </c>
      <c r="K4" s="18" t="s">
        <v>279</v>
      </c>
      <c r="L4" s="18">
        <v>17940</v>
      </c>
      <c r="M4" s="18">
        <f>ABS((D4*E4)-L4)</f>
        <v>10680</v>
      </c>
      <c r="N4" s="10" t="str">
        <f t="shared" si="0"/>
        <v>Unique</v>
      </c>
      <c r="O4" s="10"/>
      <c r="P4" s="10"/>
    </row>
    <row r="5" spans="1:16" customFormat="1" ht="15" customHeight="1" thickBot="1" x14ac:dyDescent="0.35">
      <c r="A5" s="6" t="s">
        <v>61</v>
      </c>
      <c r="B5" s="1" t="s">
        <v>99</v>
      </c>
      <c r="C5" s="1" t="s">
        <v>10</v>
      </c>
      <c r="D5" s="4">
        <v>25</v>
      </c>
      <c r="E5" s="4">
        <v>251</v>
      </c>
      <c r="F5" s="4">
        <v>-24.731182799999999</v>
      </c>
      <c r="G5" s="2" t="s">
        <v>100</v>
      </c>
      <c r="H5" s="5">
        <v>260.39999999999998</v>
      </c>
      <c r="I5" s="1" t="s">
        <v>8</v>
      </c>
      <c r="J5" s="35" t="s">
        <v>40</v>
      </c>
      <c r="K5" s="17"/>
      <c r="L5" s="17"/>
      <c r="M5" s="17"/>
      <c r="N5" t="str">
        <f t="shared" si="0"/>
        <v>Unique</v>
      </c>
    </row>
    <row r="6" spans="1:16" customFormat="1" ht="40.799999999999997" customHeight="1" thickBot="1" x14ac:dyDescent="0.35">
      <c r="A6" s="6" t="s">
        <v>61</v>
      </c>
      <c r="B6" s="1" t="s">
        <v>91</v>
      </c>
      <c r="C6" s="1" t="s">
        <v>10</v>
      </c>
      <c r="D6" s="4">
        <v>2</v>
      </c>
      <c r="E6" s="4">
        <v>2560</v>
      </c>
      <c r="F6" s="4">
        <v>-19.03858318</v>
      </c>
      <c r="G6" s="2" t="s">
        <v>92</v>
      </c>
      <c r="H6" s="5">
        <v>3162</v>
      </c>
      <c r="I6" s="1" t="s">
        <v>8</v>
      </c>
      <c r="J6" s="35" t="s">
        <v>40</v>
      </c>
      <c r="K6" s="17"/>
      <c r="L6" s="17"/>
      <c r="M6" s="17"/>
      <c r="N6" t="str">
        <f t="shared" si="0"/>
        <v>Unique</v>
      </c>
    </row>
    <row r="7" spans="1:16" customFormat="1" ht="27.6" customHeight="1" thickBot="1" x14ac:dyDescent="0.35">
      <c r="A7" s="6" t="s">
        <v>61</v>
      </c>
      <c r="B7" s="1" t="s">
        <v>91</v>
      </c>
      <c r="C7" s="1" t="s">
        <v>10</v>
      </c>
      <c r="D7" s="4">
        <v>2</v>
      </c>
      <c r="E7" s="4">
        <v>2660</v>
      </c>
      <c r="F7" s="4">
        <v>-15.87602783</v>
      </c>
      <c r="G7" s="2" t="s">
        <v>92</v>
      </c>
      <c r="H7" s="5">
        <v>3162</v>
      </c>
      <c r="I7" s="1" t="s">
        <v>8</v>
      </c>
      <c r="J7" s="35"/>
      <c r="K7" s="17"/>
      <c r="L7" s="17"/>
      <c r="M7" s="17"/>
      <c r="N7" t="str">
        <f t="shared" si="0"/>
        <v>Unique</v>
      </c>
    </row>
    <row r="8" spans="1:16" customFormat="1" ht="27.6" customHeight="1" thickBot="1" x14ac:dyDescent="0.35">
      <c r="A8" s="6" t="s">
        <v>61</v>
      </c>
      <c r="B8" s="1" t="s">
        <v>12</v>
      </c>
      <c r="C8" s="1" t="s">
        <v>10</v>
      </c>
      <c r="D8" s="4">
        <v>1</v>
      </c>
      <c r="E8" s="4">
        <v>4014</v>
      </c>
      <c r="F8" s="4">
        <v>-15.76429111</v>
      </c>
      <c r="G8" s="2" t="s">
        <v>97</v>
      </c>
      <c r="H8" s="5">
        <v>4765.2</v>
      </c>
      <c r="I8" s="1" t="s">
        <v>8</v>
      </c>
      <c r="J8" s="35"/>
      <c r="K8" s="17"/>
      <c r="L8" s="17"/>
      <c r="M8" s="17"/>
      <c r="N8" t="str">
        <f t="shared" si="0"/>
        <v>Unique</v>
      </c>
    </row>
    <row r="9" spans="1:16" customFormat="1" ht="27.6" customHeight="1" thickBot="1" x14ac:dyDescent="0.35">
      <c r="A9" s="3">
        <v>46252.688194444447</v>
      </c>
      <c r="B9" s="1" t="s">
        <v>95</v>
      </c>
      <c r="C9" s="1" t="s">
        <v>10</v>
      </c>
      <c r="D9" s="4">
        <v>45</v>
      </c>
      <c r="E9" s="4">
        <v>136.15</v>
      </c>
      <c r="F9" s="4">
        <v>-14.371069179999999</v>
      </c>
      <c r="G9" s="2" t="s">
        <v>96</v>
      </c>
      <c r="H9" s="5">
        <v>159</v>
      </c>
      <c r="I9" s="1" t="s">
        <v>8</v>
      </c>
      <c r="J9" s="35" t="s">
        <v>54</v>
      </c>
      <c r="K9" s="17"/>
      <c r="L9" s="17"/>
      <c r="M9" s="17"/>
      <c r="N9" t="str">
        <f t="shared" si="0"/>
        <v>Unique</v>
      </c>
    </row>
    <row r="10" spans="1:16" customFormat="1" ht="27.6" customHeight="1" thickBot="1" x14ac:dyDescent="0.35">
      <c r="A10" s="6" t="s">
        <v>61</v>
      </c>
      <c r="B10" s="1" t="s">
        <v>91</v>
      </c>
      <c r="C10" s="1" t="s">
        <v>10</v>
      </c>
      <c r="D10" s="4">
        <v>1</v>
      </c>
      <c r="E10" s="4">
        <v>2752</v>
      </c>
      <c r="F10" s="4">
        <v>-12.966476910000001</v>
      </c>
      <c r="G10" s="2" t="s">
        <v>92</v>
      </c>
      <c r="H10" s="5">
        <v>3162</v>
      </c>
      <c r="I10" s="1" t="s">
        <v>8</v>
      </c>
      <c r="J10" s="35" t="s">
        <v>40</v>
      </c>
      <c r="K10" s="17"/>
      <c r="L10" s="17"/>
      <c r="M10" s="17"/>
      <c r="N10" t="str">
        <f t="shared" si="0"/>
        <v>Unique</v>
      </c>
    </row>
    <row r="11" spans="1:16" customFormat="1" ht="27.6" customHeight="1" thickBot="1" x14ac:dyDescent="0.35">
      <c r="A11" s="6" t="s">
        <v>61</v>
      </c>
      <c r="B11" s="1" t="s">
        <v>12</v>
      </c>
      <c r="C11" s="1" t="s">
        <v>10</v>
      </c>
      <c r="D11" s="4">
        <v>1</v>
      </c>
      <c r="E11" s="4">
        <v>4164</v>
      </c>
      <c r="F11" s="4">
        <v>-12.6164694</v>
      </c>
      <c r="G11" s="2" t="s">
        <v>97</v>
      </c>
      <c r="H11" s="5">
        <v>4765.2</v>
      </c>
      <c r="I11" s="1" t="s">
        <v>8</v>
      </c>
      <c r="J11" s="35"/>
      <c r="K11" s="17"/>
      <c r="L11" s="17"/>
      <c r="M11" s="17"/>
      <c r="N11" t="str">
        <f t="shared" si="0"/>
        <v>Unique</v>
      </c>
    </row>
    <row r="12" spans="1:16" customFormat="1" ht="27.6" customHeight="1" thickBot="1" x14ac:dyDescent="0.35">
      <c r="A12" s="6" t="s">
        <v>61</v>
      </c>
      <c r="B12" s="1" t="s">
        <v>112</v>
      </c>
      <c r="C12" s="1" t="s">
        <v>10</v>
      </c>
      <c r="D12" s="4">
        <v>4</v>
      </c>
      <c r="E12" s="4">
        <v>701</v>
      </c>
      <c r="F12" s="4">
        <v>-11.71284635</v>
      </c>
      <c r="G12" s="2" t="s">
        <v>113</v>
      </c>
      <c r="H12" s="5">
        <v>794</v>
      </c>
      <c r="I12" s="1" t="s">
        <v>8</v>
      </c>
      <c r="J12" s="35" t="s">
        <v>40</v>
      </c>
      <c r="K12" s="17"/>
      <c r="L12" s="17"/>
      <c r="M12" s="17"/>
      <c r="N12" t="str">
        <f t="shared" si="0"/>
        <v>Unique</v>
      </c>
    </row>
    <row r="13" spans="1:16" customFormat="1" ht="27.6" customHeight="1" thickBot="1" x14ac:dyDescent="0.35">
      <c r="A13" s="6" t="s">
        <v>61</v>
      </c>
      <c r="B13" s="1" t="s">
        <v>104</v>
      </c>
      <c r="C13" s="1" t="s">
        <v>10</v>
      </c>
      <c r="D13" s="4">
        <v>4</v>
      </c>
      <c r="E13" s="4">
        <v>1751</v>
      </c>
      <c r="F13" s="4">
        <v>-11.071609949999999</v>
      </c>
      <c r="G13" s="2" t="s">
        <v>105</v>
      </c>
      <c r="H13" s="5">
        <v>1969</v>
      </c>
      <c r="I13" s="1" t="s">
        <v>8</v>
      </c>
      <c r="J13" s="35"/>
      <c r="K13" s="17"/>
      <c r="L13" s="17"/>
      <c r="M13" s="17"/>
      <c r="N13" t="str">
        <f t="shared" si="0"/>
        <v>Unique</v>
      </c>
    </row>
    <row r="14" spans="1:16" ht="40.799999999999997" customHeight="1" thickBot="1" x14ac:dyDescent="0.35">
      <c r="A14" s="3">
        <v>46031.4375</v>
      </c>
      <c r="B14" s="1" t="s">
        <v>207</v>
      </c>
      <c r="C14" s="1" t="s">
        <v>10</v>
      </c>
      <c r="D14" s="4">
        <v>3</v>
      </c>
      <c r="E14" s="4">
        <v>1052</v>
      </c>
      <c r="F14" s="4">
        <v>-9.7770154369999993</v>
      </c>
      <c r="G14" s="2" t="s">
        <v>218</v>
      </c>
      <c r="H14" s="5">
        <v>1166</v>
      </c>
      <c r="I14" s="1" t="s">
        <v>8</v>
      </c>
      <c r="J14" s="23" t="s">
        <v>40</v>
      </c>
      <c r="M14" s="18">
        <f>ABS((D14*E14)-L14)</f>
        <v>3156</v>
      </c>
      <c r="N14" s="10" t="str">
        <f t="shared" si="0"/>
        <v>Unique</v>
      </c>
      <c r="P14" s="19"/>
    </row>
    <row r="15" spans="1:16" ht="40.799999999999997" customHeight="1" thickBot="1" x14ac:dyDescent="0.35">
      <c r="A15" s="49">
        <v>46289.375</v>
      </c>
      <c r="B15" s="2" t="s">
        <v>30</v>
      </c>
      <c r="C15" s="2" t="s">
        <v>10</v>
      </c>
      <c r="D15" s="5">
        <v>5</v>
      </c>
      <c r="E15" s="5">
        <v>601</v>
      </c>
      <c r="F15" s="4">
        <v>-9.2282132610000005</v>
      </c>
      <c r="G15" s="2" t="s">
        <v>93</v>
      </c>
      <c r="H15" s="5">
        <v>662.1</v>
      </c>
      <c r="I15" s="1" t="s">
        <v>8</v>
      </c>
      <c r="J15" s="23" t="s">
        <v>40</v>
      </c>
      <c r="K15" s="18" t="s">
        <v>295</v>
      </c>
      <c r="L15" s="18">
        <v>3245</v>
      </c>
      <c r="M15" s="18">
        <f>ABS((D15*E15)-L15)</f>
        <v>240</v>
      </c>
      <c r="N15" s="10" t="str">
        <f t="shared" si="0"/>
        <v>Unique</v>
      </c>
    </row>
    <row r="16" spans="1:16" ht="15" customHeight="1" thickBot="1" x14ac:dyDescent="0.35">
      <c r="A16" s="6" t="s">
        <v>61</v>
      </c>
      <c r="B16" s="1" t="s">
        <v>20</v>
      </c>
      <c r="C16" s="1" t="s">
        <v>10</v>
      </c>
      <c r="D16" s="4">
        <v>100</v>
      </c>
      <c r="E16" s="4">
        <v>111</v>
      </c>
      <c r="F16" s="4">
        <v>-8.7246114630000005</v>
      </c>
      <c r="G16" s="2" t="s">
        <v>85</v>
      </c>
      <c r="H16" s="5">
        <v>121.61</v>
      </c>
      <c r="I16" s="1" t="s">
        <v>8</v>
      </c>
      <c r="J16" s="35"/>
      <c r="K16" s="17"/>
      <c r="L16" s="17"/>
      <c r="M16" s="17"/>
      <c r="N16" t="str">
        <f t="shared" si="0"/>
        <v>Unique</v>
      </c>
      <c r="O16"/>
      <c r="P16"/>
    </row>
    <row r="17" spans="1:16" ht="27.6" customHeight="1" thickBot="1" x14ac:dyDescent="0.35">
      <c r="A17" s="3">
        <v>46252.635416666664</v>
      </c>
      <c r="B17" s="1" t="s">
        <v>91</v>
      </c>
      <c r="C17" s="1" t="s">
        <v>10</v>
      </c>
      <c r="D17" s="4">
        <v>2</v>
      </c>
      <c r="E17" s="4">
        <v>2892</v>
      </c>
      <c r="F17" s="4">
        <v>-8.5388994310000008</v>
      </c>
      <c r="G17" s="2" t="s">
        <v>92</v>
      </c>
      <c r="H17" s="5">
        <v>3162</v>
      </c>
      <c r="I17" s="1" t="s">
        <v>8</v>
      </c>
      <c r="J17" s="35"/>
      <c r="K17" s="17"/>
      <c r="L17" s="17"/>
      <c r="M17" s="17"/>
      <c r="N17" t="str">
        <f t="shared" si="0"/>
        <v>Unique</v>
      </c>
      <c r="O17"/>
      <c r="P17"/>
    </row>
    <row r="18" spans="1:16" ht="40.799999999999997" customHeight="1" thickBot="1" x14ac:dyDescent="0.35">
      <c r="A18" s="6" t="s">
        <v>61</v>
      </c>
      <c r="B18" s="1" t="s">
        <v>12</v>
      </c>
      <c r="C18" s="1" t="s">
        <v>10</v>
      </c>
      <c r="D18" s="4">
        <v>1</v>
      </c>
      <c r="E18" s="4">
        <v>4364</v>
      </c>
      <c r="F18" s="4">
        <v>-8.4193737930000001</v>
      </c>
      <c r="G18" s="2" t="s">
        <v>97</v>
      </c>
      <c r="H18" s="5">
        <v>4765.2</v>
      </c>
      <c r="I18" s="1" t="s">
        <v>8</v>
      </c>
      <c r="J18" s="36" t="s">
        <v>40</v>
      </c>
      <c r="K18" s="17"/>
      <c r="L18" s="17"/>
      <c r="M18" s="17"/>
      <c r="N18" t="str">
        <f t="shared" si="0"/>
        <v>Unique</v>
      </c>
      <c r="O18"/>
      <c r="P18"/>
    </row>
    <row r="19" spans="1:16" ht="27.6" customHeight="1" thickBot="1" x14ac:dyDescent="0.35">
      <c r="A19" s="6" t="s">
        <v>61</v>
      </c>
      <c r="B19" s="1" t="s">
        <v>33</v>
      </c>
      <c r="C19" s="1" t="s">
        <v>10</v>
      </c>
      <c r="D19" s="4">
        <v>1</v>
      </c>
      <c r="E19" s="4">
        <v>18052</v>
      </c>
      <c r="F19" s="4">
        <v>-7.015555784</v>
      </c>
      <c r="G19" s="2" t="s">
        <v>70</v>
      </c>
      <c r="H19" s="5">
        <v>19414</v>
      </c>
      <c r="I19" s="1" t="s">
        <v>8</v>
      </c>
      <c r="J19" s="35"/>
      <c r="K19" s="17"/>
      <c r="L19" s="17"/>
      <c r="M19" s="17"/>
      <c r="N19" t="str">
        <f t="shared" si="0"/>
        <v>Unique</v>
      </c>
      <c r="O19"/>
      <c r="P19"/>
    </row>
    <row r="20" spans="1:16" s="24" customFormat="1" ht="27.6" customHeight="1" thickBot="1" x14ac:dyDescent="0.35">
      <c r="A20" s="49">
        <v>46295.375</v>
      </c>
      <c r="B20" s="2" t="s">
        <v>30</v>
      </c>
      <c r="C20" s="2" t="s">
        <v>10</v>
      </c>
      <c r="D20" s="5">
        <v>5</v>
      </c>
      <c r="E20" s="5">
        <v>620</v>
      </c>
      <c r="F20" s="4">
        <v>-6.3585561090000002</v>
      </c>
      <c r="G20" s="2" t="s">
        <v>93</v>
      </c>
      <c r="H20" s="5">
        <v>662.1</v>
      </c>
      <c r="I20" s="1" t="s">
        <v>8</v>
      </c>
      <c r="J20" s="23" t="s">
        <v>40</v>
      </c>
      <c r="K20" s="18" t="s">
        <v>309</v>
      </c>
      <c r="L20" s="18">
        <v>3395</v>
      </c>
      <c r="M20" s="18">
        <f>ABS((D20*E20)-L20)</f>
        <v>295</v>
      </c>
      <c r="N20" s="10" t="str">
        <f t="shared" si="0"/>
        <v>Unique</v>
      </c>
      <c r="O20" s="10"/>
      <c r="P20" s="10"/>
    </row>
    <row r="21" spans="1:16" ht="27.6" customHeight="1" thickBot="1" x14ac:dyDescent="0.35">
      <c r="A21" s="6" t="s">
        <v>61</v>
      </c>
      <c r="B21" s="1" t="s">
        <v>108</v>
      </c>
      <c r="C21" s="1" t="s">
        <v>10</v>
      </c>
      <c r="D21" s="4">
        <v>15</v>
      </c>
      <c r="E21" s="4">
        <v>4415</v>
      </c>
      <c r="F21" s="4">
        <v>-5.4664582570000002</v>
      </c>
      <c r="G21" s="2" t="s">
        <v>109</v>
      </c>
      <c r="H21" s="5">
        <v>4670.3</v>
      </c>
      <c r="I21" s="1" t="s">
        <v>8</v>
      </c>
      <c r="J21" s="35"/>
      <c r="K21" s="17"/>
      <c r="L21" s="17"/>
      <c r="M21" s="17"/>
      <c r="N21" t="str">
        <f t="shared" si="0"/>
        <v>Unique</v>
      </c>
      <c r="O21"/>
      <c r="P21"/>
    </row>
    <row r="22" spans="1:16" ht="27.6" customHeight="1" thickBot="1" x14ac:dyDescent="0.35">
      <c r="A22" s="49">
        <v>46300.375694444447</v>
      </c>
      <c r="B22" s="2" t="s">
        <v>12</v>
      </c>
      <c r="C22" s="2" t="s">
        <v>10</v>
      </c>
      <c r="D22" s="5">
        <v>1</v>
      </c>
      <c r="E22" s="5">
        <v>4510</v>
      </c>
      <c r="F22" s="4">
        <v>-5.355493998</v>
      </c>
      <c r="G22" s="2" t="s">
        <v>97</v>
      </c>
      <c r="H22" s="5">
        <v>4765.2</v>
      </c>
      <c r="I22" s="1" t="s">
        <v>8</v>
      </c>
      <c r="J22" s="23" t="s">
        <v>117</v>
      </c>
      <c r="K22" s="18" t="s">
        <v>316</v>
      </c>
      <c r="L22" s="18">
        <v>4763</v>
      </c>
      <c r="M22" s="18">
        <f>ABS((D22*E22)-L22)</f>
        <v>253</v>
      </c>
      <c r="N22" s="10" t="str">
        <f t="shared" si="0"/>
        <v>Unique</v>
      </c>
    </row>
    <row r="23" spans="1:16" ht="27.6" customHeight="1" thickBot="1" x14ac:dyDescent="0.35">
      <c r="A23" s="6" t="s">
        <v>61</v>
      </c>
      <c r="B23" s="1" t="s">
        <v>31</v>
      </c>
      <c r="C23" s="1" t="s">
        <v>10</v>
      </c>
      <c r="D23" s="4">
        <v>25</v>
      </c>
      <c r="E23" s="4">
        <v>836</v>
      </c>
      <c r="F23" s="4">
        <v>-5.2476481919999998</v>
      </c>
      <c r="G23" s="2" t="s">
        <v>84</v>
      </c>
      <c r="H23" s="5">
        <v>882.3</v>
      </c>
      <c r="I23" s="1" t="s">
        <v>8</v>
      </c>
      <c r="J23" s="35" t="s">
        <v>40</v>
      </c>
      <c r="K23" s="17"/>
      <c r="L23" s="17"/>
      <c r="M23" s="17"/>
      <c r="N23" t="str">
        <f t="shared" si="0"/>
        <v>Unique</v>
      </c>
      <c r="O23"/>
      <c r="P23"/>
    </row>
    <row r="24" spans="1:16" ht="27.6" customHeight="1" thickBot="1" x14ac:dyDescent="0.35">
      <c r="A24" s="6" t="s">
        <v>61</v>
      </c>
      <c r="B24" s="1" t="s">
        <v>20</v>
      </c>
      <c r="C24" s="1" t="s">
        <v>10</v>
      </c>
      <c r="D24" s="4">
        <v>200</v>
      </c>
      <c r="E24" s="4">
        <v>115.25</v>
      </c>
      <c r="F24" s="4">
        <v>-5.229833073</v>
      </c>
      <c r="G24" s="2" t="s">
        <v>85</v>
      </c>
      <c r="H24" s="5">
        <v>121.61</v>
      </c>
      <c r="I24" s="1" t="s">
        <v>8</v>
      </c>
      <c r="J24" s="35"/>
      <c r="K24" s="17"/>
      <c r="L24" s="17"/>
      <c r="M24" s="17"/>
      <c r="N24" t="str">
        <f t="shared" si="0"/>
        <v>Unique</v>
      </c>
      <c r="O24"/>
      <c r="P24"/>
    </row>
    <row r="25" spans="1:16" ht="27.6" customHeight="1" thickBot="1" x14ac:dyDescent="0.35">
      <c r="A25" s="6" t="s">
        <v>61</v>
      </c>
      <c r="B25" s="1" t="s">
        <v>20</v>
      </c>
      <c r="C25" s="1" t="s">
        <v>10</v>
      </c>
      <c r="D25" s="4">
        <v>50</v>
      </c>
      <c r="E25" s="4">
        <v>116</v>
      </c>
      <c r="F25" s="4">
        <v>-4.6131074749999996</v>
      </c>
      <c r="G25" s="2" t="s">
        <v>85</v>
      </c>
      <c r="H25" s="5">
        <v>121.61</v>
      </c>
      <c r="I25" s="1" t="s">
        <v>8</v>
      </c>
      <c r="J25" s="35"/>
      <c r="K25" s="17"/>
      <c r="L25" s="17"/>
      <c r="M25" s="17"/>
      <c r="N25" t="str">
        <f t="shared" si="0"/>
        <v>Unique</v>
      </c>
      <c r="O25"/>
      <c r="P25"/>
    </row>
    <row r="26" spans="1:16" ht="27.6" customHeight="1" thickBot="1" x14ac:dyDescent="0.35">
      <c r="A26" s="6" t="s">
        <v>61</v>
      </c>
      <c r="B26" s="1" t="s">
        <v>108</v>
      </c>
      <c r="C26" s="1" t="s">
        <v>10</v>
      </c>
      <c r="D26" s="4">
        <v>2</v>
      </c>
      <c r="E26" s="4">
        <v>4456</v>
      </c>
      <c r="F26" s="4">
        <v>-4.5885703270000002</v>
      </c>
      <c r="G26" s="2" t="s">
        <v>109</v>
      </c>
      <c r="H26" s="5">
        <v>4670.3</v>
      </c>
      <c r="I26" s="1" t="s">
        <v>8</v>
      </c>
      <c r="J26" s="35"/>
      <c r="K26" s="17"/>
      <c r="L26" s="17"/>
      <c r="M26" s="17"/>
      <c r="N26" t="str">
        <f t="shared" si="0"/>
        <v>Unique</v>
      </c>
      <c r="O26"/>
      <c r="P26"/>
    </row>
    <row r="27" spans="1:16" ht="27.6" customHeight="1" thickBot="1" x14ac:dyDescent="0.35">
      <c r="A27" s="6" t="s">
        <v>61</v>
      </c>
      <c r="B27" s="1" t="s">
        <v>33</v>
      </c>
      <c r="C27" s="1" t="s">
        <v>10</v>
      </c>
      <c r="D27" s="4">
        <v>1</v>
      </c>
      <c r="E27" s="4">
        <v>18552</v>
      </c>
      <c r="F27" s="4">
        <v>-4.4400947769999997</v>
      </c>
      <c r="G27" s="2" t="s">
        <v>70</v>
      </c>
      <c r="H27" s="5">
        <v>19414</v>
      </c>
      <c r="I27" s="1" t="s">
        <v>8</v>
      </c>
      <c r="J27" s="35"/>
      <c r="K27" s="17"/>
      <c r="L27" s="17"/>
      <c r="M27" s="17"/>
      <c r="N27" t="str">
        <f t="shared" si="0"/>
        <v>Unique</v>
      </c>
      <c r="O27"/>
      <c r="P27"/>
    </row>
    <row r="28" spans="1:16" ht="27.6" customHeight="1" thickBot="1" x14ac:dyDescent="0.35">
      <c r="A28" s="3">
        <v>46300.375694444447</v>
      </c>
      <c r="B28" s="1" t="s">
        <v>9</v>
      </c>
      <c r="C28" s="1" t="s">
        <v>10</v>
      </c>
      <c r="D28" s="4">
        <v>50</v>
      </c>
      <c r="E28" s="4">
        <v>278</v>
      </c>
      <c r="F28" s="4">
        <v>-4.4345135789999999</v>
      </c>
      <c r="G28" s="2" t="s">
        <v>94</v>
      </c>
      <c r="H28" s="5">
        <v>290.89999999999998</v>
      </c>
      <c r="I28" s="1" t="s">
        <v>8</v>
      </c>
      <c r="J28" s="23" t="s">
        <v>116</v>
      </c>
      <c r="K28" s="18" t="s">
        <v>315</v>
      </c>
      <c r="L28" s="18">
        <f>50*291</f>
        <v>14550</v>
      </c>
      <c r="M28" s="18">
        <f>ABS((D28*E28)-L28)</f>
        <v>650</v>
      </c>
      <c r="N28" s="10" t="str">
        <f t="shared" si="0"/>
        <v>Unique</v>
      </c>
    </row>
    <row r="29" spans="1:16" ht="15" customHeight="1" thickBot="1" x14ac:dyDescent="0.35">
      <c r="A29" s="3">
        <v>46254.375</v>
      </c>
      <c r="B29" s="1" t="s">
        <v>32</v>
      </c>
      <c r="C29" s="1" t="s">
        <v>10</v>
      </c>
      <c r="D29" s="4">
        <v>7</v>
      </c>
      <c r="E29" s="4">
        <v>2230</v>
      </c>
      <c r="F29" s="4">
        <v>-3.8793103449999999</v>
      </c>
      <c r="G29" s="2" t="s">
        <v>83</v>
      </c>
      <c r="H29" s="5">
        <v>2320</v>
      </c>
      <c r="I29" s="1" t="s">
        <v>8</v>
      </c>
      <c r="J29" s="50" t="s">
        <v>54</v>
      </c>
      <c r="K29" s="17" t="s">
        <v>146</v>
      </c>
      <c r="L29" s="17"/>
      <c r="M29" s="17"/>
      <c r="N29" s="10" t="str">
        <f t="shared" si="0"/>
        <v>Unique</v>
      </c>
      <c r="O29"/>
      <c r="P29"/>
    </row>
    <row r="30" spans="1:16" ht="27.6" customHeight="1" thickBot="1" x14ac:dyDescent="0.35">
      <c r="A30" s="3">
        <v>46252.635416666664</v>
      </c>
      <c r="B30" s="1" t="s">
        <v>31</v>
      </c>
      <c r="C30" s="1" t="s">
        <v>10</v>
      </c>
      <c r="D30" s="4">
        <v>50</v>
      </c>
      <c r="E30" s="4">
        <v>850</v>
      </c>
      <c r="F30" s="4">
        <v>-3.6608863199999999</v>
      </c>
      <c r="G30" s="2" t="s">
        <v>84</v>
      </c>
      <c r="H30" s="5">
        <v>882.3</v>
      </c>
      <c r="I30" s="1" t="s">
        <v>8</v>
      </c>
      <c r="J30" s="36" t="s">
        <v>54</v>
      </c>
      <c r="K30" s="17"/>
      <c r="L30" s="17"/>
      <c r="M30" s="17"/>
      <c r="N30" t="str">
        <f t="shared" si="0"/>
        <v>Unique</v>
      </c>
      <c r="P30"/>
    </row>
    <row r="31" spans="1:16" s="25" customFormat="1" ht="27.6" customHeight="1" thickBot="1" x14ac:dyDescent="0.35">
      <c r="A31" s="6" t="s">
        <v>61</v>
      </c>
      <c r="B31" s="1" t="s">
        <v>110</v>
      </c>
      <c r="C31" s="1" t="s">
        <v>10</v>
      </c>
      <c r="D31" s="4">
        <v>7</v>
      </c>
      <c r="E31" s="4">
        <v>411</v>
      </c>
      <c r="F31" s="4">
        <v>-3.5098016200000002</v>
      </c>
      <c r="G31" s="2" t="s">
        <v>111</v>
      </c>
      <c r="H31" s="5">
        <v>425.95</v>
      </c>
      <c r="I31" s="1" t="s">
        <v>8</v>
      </c>
      <c r="J31" s="35"/>
      <c r="K31" s="17"/>
      <c r="L31" s="17"/>
      <c r="M31" s="17"/>
      <c r="N31" t="str">
        <f t="shared" si="0"/>
        <v>Unique</v>
      </c>
      <c r="O31"/>
      <c r="P31"/>
    </row>
    <row r="32" spans="1:16" ht="27.6" customHeight="1" thickBot="1" x14ac:dyDescent="0.35">
      <c r="A32" s="6" t="s">
        <v>61</v>
      </c>
      <c r="B32" s="1" t="s">
        <v>9</v>
      </c>
      <c r="C32" s="1" t="s">
        <v>10</v>
      </c>
      <c r="D32" s="4">
        <v>20</v>
      </c>
      <c r="E32" s="4">
        <v>281</v>
      </c>
      <c r="F32" s="4">
        <v>-3.4032313510000001</v>
      </c>
      <c r="G32" s="2" t="s">
        <v>94</v>
      </c>
      <c r="H32" s="5">
        <v>290.89999999999998</v>
      </c>
      <c r="I32" s="1" t="s">
        <v>8</v>
      </c>
      <c r="J32" s="35" t="s">
        <v>40</v>
      </c>
      <c r="K32" s="17"/>
      <c r="L32" s="17"/>
      <c r="M32" s="17"/>
      <c r="N32" t="str">
        <f t="shared" si="0"/>
        <v>Unique</v>
      </c>
      <c r="P32" s="25"/>
    </row>
    <row r="33" spans="1:16" ht="27.6" customHeight="1" thickBot="1" x14ac:dyDescent="0.35">
      <c r="A33" s="3">
        <v>46286.375</v>
      </c>
      <c r="B33" s="1" t="s">
        <v>42</v>
      </c>
      <c r="C33" s="1" t="s">
        <v>10</v>
      </c>
      <c r="D33" s="4">
        <v>5</v>
      </c>
      <c r="E33" s="4">
        <v>702</v>
      </c>
      <c r="F33" s="4">
        <v>-2.9716655150000002</v>
      </c>
      <c r="G33" s="2" t="s">
        <v>43</v>
      </c>
      <c r="H33" s="5">
        <v>723.5</v>
      </c>
      <c r="I33" s="1" t="s">
        <v>8</v>
      </c>
      <c r="J33" s="23" t="s">
        <v>40</v>
      </c>
      <c r="K33" s="18" t="s">
        <v>289</v>
      </c>
      <c r="L33" s="18">
        <f>7470/2</f>
        <v>3735</v>
      </c>
      <c r="M33" s="18">
        <f>ABS((D33*E33)-L33)</f>
        <v>225</v>
      </c>
      <c r="N33" s="10" t="str">
        <f t="shared" si="0"/>
        <v>Unique</v>
      </c>
    </row>
    <row r="34" spans="1:16" s="24" customFormat="1" ht="27.6" customHeight="1" thickBot="1" x14ac:dyDescent="0.35">
      <c r="A34" s="6" t="s">
        <v>61</v>
      </c>
      <c r="B34" s="1" t="s">
        <v>19</v>
      </c>
      <c r="C34" s="1" t="s">
        <v>10</v>
      </c>
      <c r="D34" s="4">
        <v>50</v>
      </c>
      <c r="E34" s="4">
        <v>206</v>
      </c>
      <c r="F34" s="4">
        <v>-2.7889198240000002</v>
      </c>
      <c r="G34" s="2" t="s">
        <v>39</v>
      </c>
      <c r="H34" s="5">
        <v>211.91</v>
      </c>
      <c r="I34" s="1" t="s">
        <v>8</v>
      </c>
      <c r="J34" s="35" t="s">
        <v>40</v>
      </c>
      <c r="K34" s="17"/>
      <c r="L34" s="17"/>
      <c r="M34" s="17"/>
      <c r="N34" t="str">
        <f t="shared" si="0"/>
        <v>Unique</v>
      </c>
      <c r="O34"/>
      <c r="P34"/>
    </row>
    <row r="35" spans="1:16" ht="27.6" customHeight="1" thickBot="1" x14ac:dyDescent="0.35">
      <c r="A35" s="3">
        <v>46121.375</v>
      </c>
      <c r="B35" s="1" t="s">
        <v>13</v>
      </c>
      <c r="C35" s="1" t="s">
        <v>10</v>
      </c>
      <c r="D35" s="4">
        <v>3</v>
      </c>
      <c r="E35" s="4">
        <v>1614</v>
      </c>
      <c r="F35" s="4">
        <v>-2.771084337</v>
      </c>
      <c r="G35" s="2" t="s">
        <v>90</v>
      </c>
      <c r="H35" s="5">
        <v>1660</v>
      </c>
      <c r="I35" s="1" t="s">
        <v>8</v>
      </c>
      <c r="J35" s="23" t="s">
        <v>40</v>
      </c>
      <c r="K35" s="18" t="s">
        <v>237</v>
      </c>
      <c r="L35" s="18">
        <f>3*1794</f>
        <v>5382</v>
      </c>
      <c r="M35" s="18">
        <f>ABS((D35*E35)-L35)</f>
        <v>540</v>
      </c>
      <c r="N35" s="10" t="str">
        <f t="shared" si="0"/>
        <v>Unique</v>
      </c>
      <c r="O35"/>
      <c r="P35"/>
    </row>
    <row r="36" spans="1:16" ht="27.6" customHeight="1" thickBot="1" x14ac:dyDescent="0.35">
      <c r="A36" s="6" t="s">
        <v>61</v>
      </c>
      <c r="B36" s="1" t="s">
        <v>108</v>
      </c>
      <c r="C36" s="1" t="s">
        <v>10</v>
      </c>
      <c r="D36" s="4">
        <v>1</v>
      </c>
      <c r="E36" s="4">
        <v>4560</v>
      </c>
      <c r="F36" s="4">
        <v>-2.3617326510000001</v>
      </c>
      <c r="G36" s="2" t="s">
        <v>109</v>
      </c>
      <c r="H36" s="5">
        <v>4670.3</v>
      </c>
      <c r="I36" s="1" t="s">
        <v>8</v>
      </c>
      <c r="J36" s="35"/>
      <c r="K36" s="17"/>
      <c r="L36" s="17"/>
      <c r="M36" s="17"/>
      <c r="N36" t="str">
        <f t="shared" si="0"/>
        <v>Unique</v>
      </c>
      <c r="O36"/>
      <c r="P36"/>
    </row>
    <row r="37" spans="1:16" ht="27.6" customHeight="1" thickBot="1" x14ac:dyDescent="0.35">
      <c r="A37" s="6" t="s">
        <v>61</v>
      </c>
      <c r="B37" s="1" t="s">
        <v>20</v>
      </c>
      <c r="C37" s="1" t="s">
        <v>10</v>
      </c>
      <c r="D37" s="4">
        <v>50</v>
      </c>
      <c r="E37" s="4">
        <v>119</v>
      </c>
      <c r="F37" s="4">
        <v>-2.1462050819999998</v>
      </c>
      <c r="G37" s="2" t="s">
        <v>85</v>
      </c>
      <c r="H37" s="5">
        <v>121.61</v>
      </c>
      <c r="I37" s="1" t="s">
        <v>8</v>
      </c>
      <c r="J37" s="35"/>
      <c r="K37" s="17"/>
      <c r="L37" s="17"/>
      <c r="M37" s="17"/>
      <c r="N37" t="str">
        <f t="shared" si="0"/>
        <v>Unique</v>
      </c>
      <c r="O37"/>
    </row>
    <row r="38" spans="1:16" ht="27.6" customHeight="1" thickBot="1" x14ac:dyDescent="0.35">
      <c r="A38" s="3">
        <v>46258.601388888892</v>
      </c>
      <c r="B38" s="1" t="s">
        <v>32</v>
      </c>
      <c r="C38" s="1" t="s">
        <v>10</v>
      </c>
      <c r="D38" s="4">
        <v>3</v>
      </c>
      <c r="E38" s="4">
        <v>2271</v>
      </c>
      <c r="F38" s="4">
        <v>-2.1120689659999998</v>
      </c>
      <c r="G38" s="2" t="s">
        <v>83</v>
      </c>
      <c r="H38" s="5">
        <v>2320</v>
      </c>
      <c r="I38" s="1" t="s">
        <v>8</v>
      </c>
      <c r="J38" s="23" t="s">
        <v>54</v>
      </c>
      <c r="K38" s="18" t="s">
        <v>157</v>
      </c>
      <c r="L38" s="18">
        <v>7113</v>
      </c>
      <c r="M38" s="18">
        <f>ABS((D38*E38)-L38)</f>
        <v>300</v>
      </c>
      <c r="N38" s="10" t="str">
        <f t="shared" si="0"/>
        <v>Unique</v>
      </c>
      <c r="O38"/>
      <c r="P38"/>
    </row>
    <row r="39" spans="1:16" ht="14.4" customHeight="1" thickBot="1" x14ac:dyDescent="0.35">
      <c r="A39" s="3">
        <v>46252.688194444447</v>
      </c>
      <c r="B39" s="1" t="s">
        <v>21</v>
      </c>
      <c r="C39" s="1" t="s">
        <v>10</v>
      </c>
      <c r="D39" s="4">
        <v>5</v>
      </c>
      <c r="E39" s="4">
        <v>640</v>
      </c>
      <c r="F39" s="4">
        <v>-1.530886991</v>
      </c>
      <c r="G39" s="2" t="s">
        <v>75</v>
      </c>
      <c r="H39" s="5">
        <v>649.95000000000005</v>
      </c>
      <c r="I39" s="1" t="s">
        <v>8</v>
      </c>
      <c r="J39" s="35" t="s">
        <v>40</v>
      </c>
      <c r="K39" s="17"/>
      <c r="L39" s="17"/>
      <c r="M39" s="17"/>
      <c r="N39" t="str">
        <f t="shared" si="0"/>
        <v>Unique</v>
      </c>
      <c r="O39"/>
      <c r="P39"/>
    </row>
    <row r="40" spans="1:16" ht="14.4" customHeight="1" thickBot="1" x14ac:dyDescent="0.35">
      <c r="A40" s="3">
        <v>46261.375</v>
      </c>
      <c r="B40" s="1" t="s">
        <v>31</v>
      </c>
      <c r="C40" s="1" t="s">
        <v>10</v>
      </c>
      <c r="D40" s="4">
        <v>20</v>
      </c>
      <c r="E40" s="4">
        <v>870</v>
      </c>
      <c r="F40" s="4">
        <v>-1.394083645</v>
      </c>
      <c r="G40" s="2" t="s">
        <v>84</v>
      </c>
      <c r="H40" s="5">
        <v>882.3</v>
      </c>
      <c r="I40" s="1" t="s">
        <v>8</v>
      </c>
      <c r="J40" s="23" t="s">
        <v>40</v>
      </c>
      <c r="K40" s="18" t="s">
        <v>183</v>
      </c>
      <c r="L40" s="18">
        <v>17700</v>
      </c>
      <c r="M40" s="18">
        <f>ABS((D40*E40)-L40)</f>
        <v>300</v>
      </c>
      <c r="N40" s="10" t="str">
        <f t="shared" si="0"/>
        <v>Unique</v>
      </c>
      <c r="P40" s="24"/>
    </row>
    <row r="41" spans="1:16" ht="14.4" customHeight="1" thickBot="1" x14ac:dyDescent="0.35">
      <c r="A41" s="3">
        <v>46283.375</v>
      </c>
      <c r="B41" s="1" t="s">
        <v>31</v>
      </c>
      <c r="C41" s="1" t="s">
        <v>10</v>
      </c>
      <c r="D41" s="4">
        <v>20</v>
      </c>
      <c r="E41" s="4">
        <v>870.2</v>
      </c>
      <c r="F41" s="4">
        <v>-1.3714156179999999</v>
      </c>
      <c r="G41" s="2" t="s">
        <v>84</v>
      </c>
      <c r="H41" s="5">
        <v>882.3</v>
      </c>
      <c r="I41" s="1" t="s">
        <v>8</v>
      </c>
      <c r="J41" s="23" t="s">
        <v>54</v>
      </c>
      <c r="K41" s="18" t="s">
        <v>286</v>
      </c>
      <c r="L41" s="18">
        <v>17920</v>
      </c>
      <c r="M41" s="18">
        <f>ABS((D41*E41)-L41)</f>
        <v>516</v>
      </c>
      <c r="N41" s="10" t="str">
        <f t="shared" si="0"/>
        <v>Unique</v>
      </c>
    </row>
    <row r="42" spans="1:16" s="24" customFormat="1" ht="14.4" customHeight="1" thickBot="1" x14ac:dyDescent="0.35">
      <c r="A42" s="6" t="s">
        <v>61</v>
      </c>
      <c r="B42" s="1" t="s">
        <v>22</v>
      </c>
      <c r="C42" s="1" t="s">
        <v>10</v>
      </c>
      <c r="D42" s="4">
        <v>29</v>
      </c>
      <c r="E42" s="4">
        <v>401</v>
      </c>
      <c r="F42" s="4">
        <v>-0.98765432099999995</v>
      </c>
      <c r="G42" s="2" t="s">
        <v>72</v>
      </c>
      <c r="H42" s="5">
        <v>405</v>
      </c>
      <c r="I42" s="1" t="s">
        <v>8</v>
      </c>
      <c r="J42" s="22" t="s">
        <v>54</v>
      </c>
      <c r="K42" s="17"/>
      <c r="L42" s="17"/>
      <c r="M42" s="17"/>
      <c r="N42" t="str">
        <f t="shared" si="0"/>
        <v>Unique</v>
      </c>
      <c r="O42"/>
      <c r="P42" s="10"/>
    </row>
    <row r="43" spans="1:16" s="29" customFormat="1" ht="14.4" customHeight="1" thickBot="1" x14ac:dyDescent="0.35">
      <c r="A43" s="6" t="s">
        <v>61</v>
      </c>
      <c r="B43" s="1" t="s">
        <v>50</v>
      </c>
      <c r="C43" s="1" t="s">
        <v>10</v>
      </c>
      <c r="D43" s="4">
        <v>40</v>
      </c>
      <c r="E43" s="4">
        <v>862</v>
      </c>
      <c r="F43" s="4">
        <v>-0.87966423270000005</v>
      </c>
      <c r="G43" s="2" t="s">
        <v>51</v>
      </c>
      <c r="H43" s="5">
        <v>869.65</v>
      </c>
      <c r="I43" s="1" t="s">
        <v>8</v>
      </c>
      <c r="J43" s="35" t="s">
        <v>54</v>
      </c>
      <c r="K43" s="17"/>
      <c r="L43" s="17"/>
      <c r="M43" s="17"/>
      <c r="N43" t="str">
        <f t="shared" si="0"/>
        <v>Unique</v>
      </c>
      <c r="O43"/>
      <c r="P43"/>
    </row>
    <row r="44" spans="1:16" ht="40.799999999999997" thickBot="1" x14ac:dyDescent="0.35">
      <c r="A44" s="6" t="s">
        <v>61</v>
      </c>
      <c r="B44" s="1" t="s">
        <v>23</v>
      </c>
      <c r="C44" s="1" t="s">
        <v>10</v>
      </c>
      <c r="D44" s="4">
        <v>50</v>
      </c>
      <c r="E44" s="4">
        <v>196</v>
      </c>
      <c r="F44" s="4">
        <v>-0.19858444929999999</v>
      </c>
      <c r="G44" s="2" t="s">
        <v>69</v>
      </c>
      <c r="H44" s="5">
        <v>196.39</v>
      </c>
      <c r="I44" s="1" t="s">
        <v>8</v>
      </c>
      <c r="J44" s="35" t="s">
        <v>40</v>
      </c>
      <c r="K44" s="17"/>
      <c r="L44" s="17"/>
      <c r="M44" s="17"/>
      <c r="N44" t="str">
        <f t="shared" si="0"/>
        <v>Unique</v>
      </c>
      <c r="O44"/>
      <c r="P44"/>
    </row>
    <row r="45" spans="1:16" ht="14.4" customHeight="1" thickBot="1" x14ac:dyDescent="0.35">
      <c r="A45" s="6" t="s">
        <v>61</v>
      </c>
      <c r="B45" s="1" t="s">
        <v>81</v>
      </c>
      <c r="C45" s="1" t="s">
        <v>10</v>
      </c>
      <c r="D45" s="4">
        <v>1</v>
      </c>
      <c r="E45" s="4">
        <v>4010</v>
      </c>
      <c r="F45" s="4">
        <v>-0.12453300119999999</v>
      </c>
      <c r="G45" s="2" t="s">
        <v>82</v>
      </c>
      <c r="H45" s="5">
        <v>4015</v>
      </c>
      <c r="I45" s="1" t="s">
        <v>8</v>
      </c>
      <c r="J45" s="35" t="s">
        <v>40</v>
      </c>
      <c r="K45" s="17"/>
      <c r="L45" s="17"/>
      <c r="M45" s="17"/>
      <c r="N45" t="str">
        <f t="shared" si="0"/>
        <v>Unique</v>
      </c>
    </row>
    <row r="46" spans="1:16" customFormat="1" ht="40.799999999999997" thickBot="1" x14ac:dyDescent="0.35">
      <c r="A46" s="6" t="s">
        <v>61</v>
      </c>
      <c r="B46" s="1" t="s">
        <v>19</v>
      </c>
      <c r="C46" s="1" t="s">
        <v>10</v>
      </c>
      <c r="D46" s="4">
        <v>50</v>
      </c>
      <c r="E46" s="4">
        <v>212</v>
      </c>
      <c r="F46" s="4">
        <v>4.2470860270000001E-2</v>
      </c>
      <c r="G46" s="2" t="s">
        <v>39</v>
      </c>
      <c r="H46" s="5">
        <v>211.91</v>
      </c>
      <c r="I46" s="1" t="s">
        <v>8</v>
      </c>
      <c r="J46" s="51" t="s">
        <v>40</v>
      </c>
      <c r="K46" s="17"/>
      <c r="L46" s="17"/>
      <c r="M46" s="17"/>
      <c r="N46" t="str">
        <f t="shared" si="0"/>
        <v>Unique</v>
      </c>
      <c r="O46" s="10"/>
      <c r="P46" s="10"/>
    </row>
    <row r="47" spans="1:16" customFormat="1" ht="40.799999999999997" thickBot="1" x14ac:dyDescent="0.35">
      <c r="A47" s="3">
        <v>46252.6875</v>
      </c>
      <c r="B47" s="1" t="s">
        <v>20</v>
      </c>
      <c r="C47" s="1" t="s">
        <v>10</v>
      </c>
      <c r="D47" s="4">
        <v>20</v>
      </c>
      <c r="E47" s="4">
        <v>122</v>
      </c>
      <c r="F47" s="4">
        <v>0.32069731109999999</v>
      </c>
      <c r="G47" s="2" t="s">
        <v>85</v>
      </c>
      <c r="H47" s="5">
        <v>121.61</v>
      </c>
      <c r="I47" s="1" t="s">
        <v>8</v>
      </c>
      <c r="J47" s="57" t="s">
        <v>40</v>
      </c>
      <c r="K47" s="17"/>
      <c r="L47" s="17"/>
      <c r="M47" s="17"/>
      <c r="N47" t="str">
        <f t="shared" si="0"/>
        <v>Unique</v>
      </c>
      <c r="O47" s="10"/>
      <c r="P47" s="10"/>
    </row>
    <row r="48" spans="1:16" customFormat="1" ht="27.6" thickBot="1" x14ac:dyDescent="0.35">
      <c r="A48" s="6" t="s">
        <v>61</v>
      </c>
      <c r="B48" s="1" t="s">
        <v>106</v>
      </c>
      <c r="C48" s="1" t="s">
        <v>10</v>
      </c>
      <c r="D48" s="4">
        <v>1</v>
      </c>
      <c r="E48" s="4">
        <v>6920</v>
      </c>
      <c r="F48" s="4">
        <v>0.5010529373</v>
      </c>
      <c r="G48" s="2" t="s">
        <v>107</v>
      </c>
      <c r="H48" s="5">
        <v>6885.5</v>
      </c>
      <c r="I48" s="1" t="s">
        <v>8</v>
      </c>
      <c r="J48" s="52" t="s">
        <v>54</v>
      </c>
      <c r="K48" s="17"/>
      <c r="L48" s="17"/>
      <c r="M48" s="17"/>
      <c r="N48" t="str">
        <f t="shared" si="0"/>
        <v>Unique</v>
      </c>
    </row>
    <row r="49" spans="1:16" customFormat="1" ht="27.6" thickBot="1" x14ac:dyDescent="0.35">
      <c r="A49" s="6" t="s">
        <v>61</v>
      </c>
      <c r="B49" s="1" t="s">
        <v>48</v>
      </c>
      <c r="C49" s="1" t="s">
        <v>10</v>
      </c>
      <c r="D49" s="4">
        <v>2</v>
      </c>
      <c r="E49" s="4">
        <v>3760</v>
      </c>
      <c r="F49" s="4">
        <v>0.71248727700000003</v>
      </c>
      <c r="G49" s="2" t="s">
        <v>49</v>
      </c>
      <c r="H49" s="5">
        <v>3733.4</v>
      </c>
      <c r="I49" s="1" t="s">
        <v>8</v>
      </c>
      <c r="J49" s="51"/>
      <c r="K49" s="17"/>
      <c r="L49" s="17"/>
      <c r="M49" s="17"/>
      <c r="N49" t="str">
        <f t="shared" si="0"/>
        <v>Unique</v>
      </c>
      <c r="P49" s="10"/>
    </row>
    <row r="50" spans="1:16" customFormat="1" ht="40.799999999999997" thickBot="1" x14ac:dyDescent="0.35">
      <c r="A50" s="3">
        <v>46268.385416666664</v>
      </c>
      <c r="B50" s="1" t="s">
        <v>19</v>
      </c>
      <c r="C50" s="1" t="s">
        <v>10</v>
      </c>
      <c r="D50" s="4">
        <v>100</v>
      </c>
      <c r="E50" s="4">
        <v>214</v>
      </c>
      <c r="F50" s="4">
        <v>0.98626775519999998</v>
      </c>
      <c r="G50" s="2" t="s">
        <v>39</v>
      </c>
      <c r="H50" s="5">
        <v>211.91</v>
      </c>
      <c r="I50" s="1" t="s">
        <v>8</v>
      </c>
      <c r="J50" s="18" t="s">
        <v>54</v>
      </c>
      <c r="K50" s="18" t="s">
        <v>232</v>
      </c>
      <c r="L50" s="18">
        <v>21900</v>
      </c>
      <c r="M50" s="18">
        <f>ABS((D50*E50)-L50)</f>
        <v>500</v>
      </c>
      <c r="N50" s="10" t="str">
        <f t="shared" si="0"/>
        <v>Unique</v>
      </c>
      <c r="O50" s="10"/>
      <c r="P50" s="10"/>
    </row>
    <row r="51" spans="1:16" customFormat="1" ht="40.799999999999997" thickBot="1" x14ac:dyDescent="0.35">
      <c r="A51" s="6" t="s">
        <v>61</v>
      </c>
      <c r="B51" s="1" t="s">
        <v>18</v>
      </c>
      <c r="C51" s="1" t="s">
        <v>10</v>
      </c>
      <c r="D51" s="4">
        <v>5</v>
      </c>
      <c r="E51" s="4">
        <v>1614</v>
      </c>
      <c r="F51" s="4">
        <v>1.0012515639999999</v>
      </c>
      <c r="G51" s="2" t="s">
        <v>101</v>
      </c>
      <c r="H51" s="5">
        <v>1598</v>
      </c>
      <c r="I51" s="1" t="s">
        <v>8</v>
      </c>
      <c r="J51" s="52" t="s">
        <v>40</v>
      </c>
      <c r="K51" s="17"/>
      <c r="L51" s="17"/>
      <c r="M51" s="17"/>
      <c r="N51" t="str">
        <f t="shared" si="0"/>
        <v>Unique</v>
      </c>
    </row>
    <row r="52" spans="1:16" s="29" customFormat="1" ht="40.799999999999997" thickBot="1" x14ac:dyDescent="0.35">
      <c r="A52" s="3">
        <v>46301.375</v>
      </c>
      <c r="B52" s="1" t="s">
        <v>32</v>
      </c>
      <c r="C52" s="1" t="s">
        <v>7</v>
      </c>
      <c r="D52" s="4">
        <v>3</v>
      </c>
      <c r="E52" s="4">
        <v>2448</v>
      </c>
      <c r="F52" s="4">
        <v>1.2068965519999999</v>
      </c>
      <c r="G52" s="2" t="s">
        <v>83</v>
      </c>
      <c r="H52" s="5">
        <v>2320</v>
      </c>
      <c r="I52" s="1" t="s">
        <v>8</v>
      </c>
      <c r="J52" s="18" t="s">
        <v>117</v>
      </c>
      <c r="K52" s="18" t="s">
        <v>318</v>
      </c>
      <c r="L52" s="18">
        <f>3*2300</f>
        <v>6900</v>
      </c>
      <c r="M52" s="18">
        <f>ABS((D52*E52)-L52)</f>
        <v>444</v>
      </c>
      <c r="N52" t="str">
        <f t="shared" si="0"/>
        <v>Unique</v>
      </c>
      <c r="O52" s="10"/>
      <c r="P52" s="10"/>
    </row>
    <row r="53" spans="1:16" ht="27.6" thickBot="1" x14ac:dyDescent="0.35">
      <c r="A53" s="6" t="s">
        <v>61</v>
      </c>
      <c r="B53" s="1" t="s">
        <v>48</v>
      </c>
      <c r="C53" s="1" t="s">
        <v>10</v>
      </c>
      <c r="D53" s="4">
        <v>3</v>
      </c>
      <c r="E53" s="4">
        <v>3810</v>
      </c>
      <c r="F53" s="4">
        <v>2.0517490760000001</v>
      </c>
      <c r="G53" s="2" t="s">
        <v>49</v>
      </c>
      <c r="H53" s="5">
        <v>3733.4</v>
      </c>
      <c r="I53" s="1" t="s">
        <v>8</v>
      </c>
      <c r="J53" s="51"/>
      <c r="K53" s="17"/>
      <c r="L53" s="17"/>
      <c r="M53" s="17"/>
      <c r="N53" t="str">
        <f t="shared" si="0"/>
        <v>Unique</v>
      </c>
    </row>
    <row r="54" spans="1:16" s="25" customFormat="1" ht="40.799999999999997" thickBot="1" x14ac:dyDescent="0.35">
      <c r="A54" s="6" t="s">
        <v>61</v>
      </c>
      <c r="B54" s="1" t="s">
        <v>23</v>
      </c>
      <c r="C54" s="1" t="s">
        <v>10</v>
      </c>
      <c r="D54" s="4">
        <v>50</v>
      </c>
      <c r="E54" s="4">
        <v>201</v>
      </c>
      <c r="F54" s="4">
        <v>2.3473700289999999</v>
      </c>
      <c r="G54" s="2" t="s">
        <v>69</v>
      </c>
      <c r="H54" s="5">
        <v>196.39</v>
      </c>
      <c r="I54" s="1" t="s">
        <v>8</v>
      </c>
      <c r="J54" s="57" t="s">
        <v>40</v>
      </c>
      <c r="K54" s="17"/>
      <c r="L54" s="17"/>
      <c r="M54" s="17"/>
      <c r="N54" t="str">
        <f t="shared" si="0"/>
        <v>Unique</v>
      </c>
      <c r="O54"/>
      <c r="P54"/>
    </row>
    <row r="55" spans="1:16" ht="27.6" thickBot="1" x14ac:dyDescent="0.35">
      <c r="A55" s="49">
        <v>46293.375</v>
      </c>
      <c r="B55" s="2" t="s">
        <v>88</v>
      </c>
      <c r="C55" s="2" t="s">
        <v>10</v>
      </c>
      <c r="D55" s="5">
        <v>1</v>
      </c>
      <c r="E55" s="5">
        <v>13052</v>
      </c>
      <c r="F55" s="4">
        <v>2.384687794</v>
      </c>
      <c r="G55" s="2" t="s">
        <v>89</v>
      </c>
      <c r="H55" s="5">
        <v>12748</v>
      </c>
      <c r="I55" s="1" t="s">
        <v>8</v>
      </c>
      <c r="J55" s="18" t="s">
        <v>40</v>
      </c>
      <c r="K55" s="18" t="s">
        <v>304</v>
      </c>
      <c r="L55" s="18">
        <v>13698</v>
      </c>
      <c r="M55" s="18">
        <f>ABS((D55*E55)-L55)</f>
        <v>646</v>
      </c>
      <c r="N55" s="10" t="str">
        <f t="shared" si="0"/>
        <v>Unique</v>
      </c>
    </row>
    <row r="56" spans="1:16" ht="27.6" thickBot="1" x14ac:dyDescent="0.35">
      <c r="A56" s="11">
        <v>46243.375</v>
      </c>
      <c r="B56" s="8" t="s">
        <v>9</v>
      </c>
      <c r="C56" s="8" t="s">
        <v>7</v>
      </c>
      <c r="D56" s="8">
        <v>90</v>
      </c>
      <c r="E56" s="8">
        <v>299</v>
      </c>
      <c r="F56" s="4">
        <v>2.4407012720000001</v>
      </c>
      <c r="G56" s="2" t="s">
        <v>94</v>
      </c>
      <c r="H56" s="5">
        <v>290.89999999999998</v>
      </c>
      <c r="I56" s="1" t="s">
        <v>8</v>
      </c>
      <c r="J56" s="18" t="s">
        <v>116</v>
      </c>
      <c r="K56" s="18" t="s">
        <v>249</v>
      </c>
      <c r="L56" s="18">
        <v>26109.000000000004</v>
      </c>
      <c r="M56" s="18">
        <f>ABS((D56*E56)-L56)</f>
        <v>800.99999999999636</v>
      </c>
      <c r="N56" s="10" t="str">
        <f t="shared" si="0"/>
        <v>Unique</v>
      </c>
      <c r="P56"/>
    </row>
    <row r="57" spans="1:16" ht="27.6" thickBot="1" x14ac:dyDescent="0.35">
      <c r="A57" s="6" t="s">
        <v>61</v>
      </c>
      <c r="B57" s="1" t="s">
        <v>77</v>
      </c>
      <c r="C57" s="1" t="s">
        <v>10</v>
      </c>
      <c r="D57" s="4">
        <v>69</v>
      </c>
      <c r="E57" s="4">
        <v>1277</v>
      </c>
      <c r="F57" s="4">
        <v>2.4879614769999998</v>
      </c>
      <c r="G57" s="2" t="s">
        <v>78</v>
      </c>
      <c r="H57" s="5">
        <v>1246</v>
      </c>
      <c r="I57" s="1" t="s">
        <v>8</v>
      </c>
      <c r="J57" s="51"/>
      <c r="K57" s="17"/>
      <c r="L57" s="17"/>
      <c r="M57" s="17"/>
      <c r="N57" t="str">
        <f t="shared" si="0"/>
        <v>Unique</v>
      </c>
      <c r="O57"/>
      <c r="P57"/>
    </row>
    <row r="58" spans="1:16" ht="40.799999999999997" thickBot="1" x14ac:dyDescent="0.35">
      <c r="A58" s="49">
        <v>46296.410416666666</v>
      </c>
      <c r="B58" s="2" t="s">
        <v>50</v>
      </c>
      <c r="C58" s="2" t="s">
        <v>7</v>
      </c>
      <c r="D58" s="5">
        <v>20</v>
      </c>
      <c r="E58" s="5">
        <v>892</v>
      </c>
      <c r="F58" s="4">
        <v>2.5699994249999998</v>
      </c>
      <c r="G58" s="2" t="s">
        <v>51</v>
      </c>
      <c r="H58" s="5">
        <v>869.65</v>
      </c>
      <c r="I58" s="1" t="s">
        <v>8</v>
      </c>
      <c r="J58" s="18" t="s">
        <v>117</v>
      </c>
      <c r="K58" s="18" t="s">
        <v>313</v>
      </c>
      <c r="L58" s="18">
        <v>16832</v>
      </c>
      <c r="M58" s="18">
        <f>ABS((D58*E58)-L58)</f>
        <v>1008</v>
      </c>
      <c r="N58" s="10" t="str">
        <f t="shared" si="0"/>
        <v>Unique</v>
      </c>
    </row>
    <row r="59" spans="1:16" s="29" customFormat="1" ht="27.6" thickBot="1" x14ac:dyDescent="0.35">
      <c r="A59" s="6" t="s">
        <v>61</v>
      </c>
      <c r="B59" s="1" t="s">
        <v>48</v>
      </c>
      <c r="C59" s="1" t="s">
        <v>10</v>
      </c>
      <c r="D59" s="4">
        <v>2</v>
      </c>
      <c r="E59" s="4">
        <v>3830</v>
      </c>
      <c r="F59" s="4">
        <v>2.5874537950000001</v>
      </c>
      <c r="G59" s="2" t="s">
        <v>49</v>
      </c>
      <c r="H59" s="5">
        <v>3733.4</v>
      </c>
      <c r="I59" s="1" t="s">
        <v>8</v>
      </c>
      <c r="J59" s="51"/>
      <c r="K59" s="17"/>
      <c r="L59" s="17"/>
      <c r="M59" s="17"/>
      <c r="N59" t="str">
        <f t="shared" si="0"/>
        <v>Unique</v>
      </c>
      <c r="O59" s="10"/>
      <c r="P59" s="10"/>
    </row>
    <row r="60" spans="1:16" ht="27.6" thickBot="1" x14ac:dyDescent="0.35">
      <c r="A60" s="3">
        <v>46252.6875</v>
      </c>
      <c r="B60" s="1" t="s">
        <v>17</v>
      </c>
      <c r="C60" s="1" t="s">
        <v>10</v>
      </c>
      <c r="D60" s="4">
        <v>25</v>
      </c>
      <c r="E60" s="4">
        <v>326</v>
      </c>
      <c r="F60" s="4">
        <v>2.8391167190000002</v>
      </c>
      <c r="G60" s="2" t="s">
        <v>76</v>
      </c>
      <c r="H60" s="5">
        <v>317</v>
      </c>
      <c r="I60" s="1" t="s">
        <v>8</v>
      </c>
      <c r="J60" s="51" t="s">
        <v>40</v>
      </c>
      <c r="K60" s="17"/>
      <c r="L60" s="17"/>
      <c r="M60" s="17"/>
      <c r="N60" t="str">
        <f t="shared" si="0"/>
        <v>Unique</v>
      </c>
      <c r="O60"/>
      <c r="P60"/>
    </row>
    <row r="61" spans="1:16" ht="40.799999999999997" thickBot="1" x14ac:dyDescent="0.35">
      <c r="A61" s="49">
        <v>46293.375694444447</v>
      </c>
      <c r="B61" s="2" t="s">
        <v>50</v>
      </c>
      <c r="C61" s="2" t="s">
        <v>7</v>
      </c>
      <c r="D61" s="5">
        <v>40</v>
      </c>
      <c r="E61" s="5">
        <v>898</v>
      </c>
      <c r="F61" s="4">
        <v>3.2599321570000002</v>
      </c>
      <c r="G61" s="2" t="s">
        <v>51</v>
      </c>
      <c r="H61" s="5">
        <v>869.65</v>
      </c>
      <c r="I61" s="1" t="s">
        <v>8</v>
      </c>
      <c r="J61" s="18" t="s">
        <v>116</v>
      </c>
      <c r="K61" s="18" t="s">
        <v>303</v>
      </c>
      <c r="L61" s="18">
        <v>35200</v>
      </c>
      <c r="M61" s="18">
        <f>ABS((D61*E61)-L61)</f>
        <v>720</v>
      </c>
      <c r="N61" s="10" t="str">
        <f t="shared" si="0"/>
        <v>Unique</v>
      </c>
    </row>
    <row r="62" spans="1:16" s="24" customFormat="1" ht="27.6" thickBot="1" x14ac:dyDescent="0.35">
      <c r="A62" s="6" t="s">
        <v>61</v>
      </c>
      <c r="B62" s="1" t="s">
        <v>48</v>
      </c>
      <c r="C62" s="1" t="s">
        <v>10</v>
      </c>
      <c r="D62" s="4">
        <v>2</v>
      </c>
      <c r="E62" s="4">
        <v>3856</v>
      </c>
      <c r="F62" s="4">
        <v>3.2838699309999999</v>
      </c>
      <c r="G62" s="2" t="s">
        <v>49</v>
      </c>
      <c r="H62" s="5">
        <v>3733.4</v>
      </c>
      <c r="I62" s="1" t="s">
        <v>8</v>
      </c>
      <c r="J62" s="51"/>
      <c r="K62" s="17"/>
      <c r="L62" s="17"/>
      <c r="M62" s="17"/>
      <c r="N62" t="str">
        <f t="shared" si="0"/>
        <v>Unique</v>
      </c>
      <c r="O62" s="19"/>
      <c r="P62" s="10"/>
    </row>
    <row r="63" spans="1:16" s="24" customFormat="1" ht="27.6" thickBot="1" x14ac:dyDescent="0.35">
      <c r="A63" s="58">
        <v>46290.385416666664</v>
      </c>
      <c r="B63" s="59" t="s">
        <v>25</v>
      </c>
      <c r="C63" s="59" t="s">
        <v>7</v>
      </c>
      <c r="D63" s="60">
        <v>200</v>
      </c>
      <c r="E63" s="60">
        <v>32.49</v>
      </c>
      <c r="F63" s="61">
        <v>3.4713375800000001</v>
      </c>
      <c r="G63" s="59" t="s">
        <v>45</v>
      </c>
      <c r="H63" s="60">
        <v>31.4</v>
      </c>
      <c r="I63" s="62" t="s">
        <v>8</v>
      </c>
      <c r="J63" s="44" t="s">
        <v>116</v>
      </c>
      <c r="K63" s="44" t="s">
        <v>299</v>
      </c>
      <c r="L63" s="44">
        <v>6202</v>
      </c>
      <c r="M63" s="44">
        <f>ABS((D63*E63)-L63)</f>
        <v>296</v>
      </c>
      <c r="N63" s="24" t="str">
        <f t="shared" si="0"/>
        <v>Unique</v>
      </c>
      <c r="P63" s="24" t="s">
        <v>253</v>
      </c>
    </row>
    <row r="64" spans="1:16" ht="27.6" thickBot="1" x14ac:dyDescent="0.35">
      <c r="A64" s="49">
        <v>46293.375</v>
      </c>
      <c r="B64" s="2" t="s">
        <v>65</v>
      </c>
      <c r="C64" s="2" t="s">
        <v>7</v>
      </c>
      <c r="D64" s="5">
        <v>10</v>
      </c>
      <c r="E64" s="5">
        <v>1166</v>
      </c>
      <c r="F64" s="4">
        <v>3.5432022019999998</v>
      </c>
      <c r="G64" s="2" t="s">
        <v>66</v>
      </c>
      <c r="H64" s="5">
        <v>1126.0999999999999</v>
      </c>
      <c r="I64" s="1" t="s">
        <v>8</v>
      </c>
      <c r="J64" s="18" t="s">
        <v>116</v>
      </c>
      <c r="K64" s="18" t="s">
        <v>301</v>
      </c>
      <c r="L64" s="18">
        <v>11360</v>
      </c>
      <c r="M64" s="18">
        <f>ABS((D64*E64)-L64)</f>
        <v>300</v>
      </c>
      <c r="N64" s="10" t="str">
        <f t="shared" si="0"/>
        <v>Unique</v>
      </c>
    </row>
    <row r="65" spans="1:16" ht="40.799999999999997" thickBot="1" x14ac:dyDescent="0.35">
      <c r="A65" s="3">
        <v>46288.429861111108</v>
      </c>
      <c r="B65" s="1" t="s">
        <v>12</v>
      </c>
      <c r="C65" s="1" t="s">
        <v>7</v>
      </c>
      <c r="D65" s="4">
        <v>3</v>
      </c>
      <c r="E65" s="4">
        <v>4948</v>
      </c>
      <c r="F65" s="4">
        <v>3.8361453870000002</v>
      </c>
      <c r="G65" s="2" t="s">
        <v>97</v>
      </c>
      <c r="H65" s="5">
        <v>4765.2</v>
      </c>
      <c r="I65" s="1" t="s">
        <v>8</v>
      </c>
      <c r="J65" s="18" t="s">
        <v>116</v>
      </c>
      <c r="K65" s="18" t="s">
        <v>292</v>
      </c>
      <c r="L65" s="18">
        <v>14130</v>
      </c>
      <c r="M65" s="18">
        <f>ABS((D65*E65)-L65)</f>
        <v>714</v>
      </c>
      <c r="N65" s="10" t="str">
        <f t="shared" si="0"/>
        <v>Unique</v>
      </c>
    </row>
    <row r="66" spans="1:16" ht="40.799999999999997" thickBot="1" x14ac:dyDescent="0.35">
      <c r="A66" s="3">
        <v>46261.375</v>
      </c>
      <c r="B66" s="1" t="s">
        <v>23</v>
      </c>
      <c r="C66" s="1" t="s">
        <v>10</v>
      </c>
      <c r="D66" s="4">
        <v>50</v>
      </c>
      <c r="E66" s="4">
        <v>204</v>
      </c>
      <c r="F66" s="4">
        <v>3.8749427160000001</v>
      </c>
      <c r="G66" s="2" t="s">
        <v>69</v>
      </c>
      <c r="H66" s="5">
        <v>196.39</v>
      </c>
      <c r="I66" s="1" t="s">
        <v>8</v>
      </c>
      <c r="J66" s="18" t="s">
        <v>40</v>
      </c>
      <c r="K66" s="18" t="s">
        <v>182</v>
      </c>
      <c r="L66" s="18">
        <v>10550</v>
      </c>
      <c r="M66" s="18">
        <f>ABS((D66*E66)-L66)</f>
        <v>350</v>
      </c>
      <c r="N66" s="10" t="str">
        <f t="shared" ref="N66:N129" si="1">IF(COUNTIFS( $B$2:$B$688, B66, $C$2:$C$688, C66, $D$2:$D$688, D66, $E$2:$E$688, E66) &gt; 1, "Duplicate", "Unique")</f>
        <v>Unique</v>
      </c>
    </row>
    <row r="67" spans="1:16" s="24" customFormat="1" ht="40.799999999999997" thickBot="1" x14ac:dyDescent="0.35">
      <c r="A67" s="49">
        <v>46301.393055555556</v>
      </c>
      <c r="B67" s="2" t="s">
        <v>33</v>
      </c>
      <c r="C67" s="2" t="s">
        <v>10</v>
      </c>
      <c r="D67" s="5">
        <v>1</v>
      </c>
      <c r="E67" s="5">
        <v>19550</v>
      </c>
      <c r="F67" s="4">
        <v>4.0486247039999999</v>
      </c>
      <c r="G67" s="2" t="s">
        <v>70</v>
      </c>
      <c r="H67" s="5">
        <v>19414</v>
      </c>
      <c r="I67" s="1" t="s">
        <v>8</v>
      </c>
      <c r="J67" s="18" t="s">
        <v>40</v>
      </c>
      <c r="K67" s="18" t="s">
        <v>320</v>
      </c>
      <c r="L67" s="18">
        <v>20020</v>
      </c>
      <c r="M67" s="18">
        <f>ABS((D67*E67)-L67)</f>
        <v>470</v>
      </c>
      <c r="N67" s="10" t="str">
        <f t="shared" si="1"/>
        <v>Unique</v>
      </c>
      <c r="O67" s="10"/>
      <c r="P67" s="10"/>
    </row>
    <row r="68" spans="1:16" ht="27.6" thickBot="1" x14ac:dyDescent="0.35">
      <c r="A68" s="6" t="s">
        <v>61</v>
      </c>
      <c r="B68" s="1" t="s">
        <v>48</v>
      </c>
      <c r="C68" s="1" t="s">
        <v>10</v>
      </c>
      <c r="D68" s="4">
        <v>5</v>
      </c>
      <c r="E68" s="4">
        <v>3888</v>
      </c>
      <c r="F68" s="4">
        <v>4.1409974820000004</v>
      </c>
      <c r="G68" s="2" t="s">
        <v>49</v>
      </c>
      <c r="H68" s="5">
        <v>3733.4</v>
      </c>
      <c r="I68" s="1" t="s">
        <v>8</v>
      </c>
      <c r="J68" s="51"/>
      <c r="K68" s="17"/>
      <c r="L68" s="17"/>
      <c r="M68" s="17"/>
      <c r="N68" t="str">
        <f t="shared" si="1"/>
        <v>Unique</v>
      </c>
      <c r="O68" s="25"/>
    </row>
    <row r="69" spans="1:16" ht="40.799999999999997" thickBot="1" x14ac:dyDescent="0.35">
      <c r="A69" s="49">
        <v>46293.375694444447</v>
      </c>
      <c r="B69" s="2" t="s">
        <v>50</v>
      </c>
      <c r="C69" s="2" t="s">
        <v>7</v>
      </c>
      <c r="D69" s="5">
        <v>10</v>
      </c>
      <c r="E69" s="5">
        <v>907</v>
      </c>
      <c r="F69" s="4">
        <v>4.294831254</v>
      </c>
      <c r="G69" s="2" t="s">
        <v>51</v>
      </c>
      <c r="H69" s="5">
        <v>869.65</v>
      </c>
      <c r="I69" s="1" t="s">
        <v>8</v>
      </c>
      <c r="J69" s="18" t="s">
        <v>116</v>
      </c>
      <c r="K69" s="18" t="s">
        <v>305</v>
      </c>
      <c r="L69" s="18">
        <f>17740/2</f>
        <v>8870</v>
      </c>
      <c r="M69" s="18">
        <f>ABS((D69*E69)-L69)</f>
        <v>200</v>
      </c>
      <c r="N69" s="10" t="str">
        <f t="shared" si="1"/>
        <v>Unique</v>
      </c>
    </row>
    <row r="70" spans="1:16" ht="27.6" thickBot="1" x14ac:dyDescent="0.35">
      <c r="A70" s="49">
        <v>46293.401388888888</v>
      </c>
      <c r="B70" s="2" t="s">
        <v>14</v>
      </c>
      <c r="C70" s="2" t="s">
        <v>7</v>
      </c>
      <c r="D70" s="5">
        <v>100</v>
      </c>
      <c r="E70" s="5">
        <v>329</v>
      </c>
      <c r="F70" s="4">
        <v>4.4278685920000003</v>
      </c>
      <c r="G70" s="2" t="s">
        <v>44</v>
      </c>
      <c r="H70" s="5">
        <v>315.05</v>
      </c>
      <c r="I70" s="1" t="s">
        <v>8</v>
      </c>
      <c r="J70" s="18" t="s">
        <v>116</v>
      </c>
      <c r="K70" s="18" t="s">
        <v>300</v>
      </c>
      <c r="L70" s="18">
        <v>32400</v>
      </c>
      <c r="M70" s="18">
        <f>ABS((D70*E70)-L70)</f>
        <v>500</v>
      </c>
      <c r="N70" s="10" t="str">
        <f t="shared" si="1"/>
        <v>Unique</v>
      </c>
    </row>
    <row r="71" spans="1:16" ht="27.6" thickBot="1" x14ac:dyDescent="0.35">
      <c r="A71" s="3">
        <v>46268.375</v>
      </c>
      <c r="B71" s="1" t="s">
        <v>14</v>
      </c>
      <c r="C71" s="1" t="s">
        <v>7</v>
      </c>
      <c r="D71" s="4">
        <v>100</v>
      </c>
      <c r="E71" s="4">
        <v>334</v>
      </c>
      <c r="F71" s="4">
        <v>6.0149182669999997</v>
      </c>
      <c r="G71" s="2" t="s">
        <v>44</v>
      </c>
      <c r="H71" s="5">
        <v>315.05</v>
      </c>
      <c r="I71" s="1" t="s">
        <v>8</v>
      </c>
      <c r="J71" s="18" t="s">
        <v>116</v>
      </c>
      <c r="K71" s="18" t="s">
        <v>231</v>
      </c>
      <c r="L71" s="18">
        <v>32200</v>
      </c>
      <c r="M71" s="18">
        <f>ABS((D71*E71)-L71)</f>
        <v>1200</v>
      </c>
      <c r="N71" s="10" t="str">
        <f t="shared" si="1"/>
        <v>Unique</v>
      </c>
      <c r="O71" s="38" t="s">
        <v>239</v>
      </c>
    </row>
    <row r="72" spans="1:16" ht="27.6" thickBot="1" x14ac:dyDescent="0.35">
      <c r="A72" s="3">
        <v>46252.635416666664</v>
      </c>
      <c r="B72" s="1" t="s">
        <v>77</v>
      </c>
      <c r="C72" s="1" t="s">
        <v>10</v>
      </c>
      <c r="D72" s="4">
        <v>3</v>
      </c>
      <c r="E72" s="4">
        <v>1302</v>
      </c>
      <c r="F72" s="4">
        <v>4.4943820219999999</v>
      </c>
      <c r="G72" s="2" t="s">
        <v>78</v>
      </c>
      <c r="H72" s="5">
        <v>1246</v>
      </c>
      <c r="I72" s="1" t="s">
        <v>8</v>
      </c>
      <c r="J72" s="51" t="s">
        <v>40</v>
      </c>
      <c r="K72" s="17"/>
      <c r="L72" s="17"/>
      <c r="M72" s="17"/>
      <c r="N72" t="str">
        <f t="shared" si="1"/>
        <v>Unique</v>
      </c>
      <c r="O72"/>
      <c r="P72"/>
    </row>
    <row r="73" spans="1:16" s="29" customFormat="1" ht="27.6" thickBot="1" x14ac:dyDescent="0.35">
      <c r="A73" s="3">
        <v>46281.376388888886</v>
      </c>
      <c r="B73" s="1" t="s">
        <v>108</v>
      </c>
      <c r="C73" s="1" t="s">
        <v>7</v>
      </c>
      <c r="D73" s="4">
        <v>1</v>
      </c>
      <c r="E73" s="4">
        <v>4940</v>
      </c>
      <c r="F73" s="4">
        <v>5.7747896279999997</v>
      </c>
      <c r="G73" s="2" t="s">
        <v>109</v>
      </c>
      <c r="H73" s="5">
        <v>4670.3</v>
      </c>
      <c r="I73" s="1" t="s">
        <v>8</v>
      </c>
      <c r="J73" s="18" t="s">
        <v>117</v>
      </c>
      <c r="K73" s="18" t="s">
        <v>282</v>
      </c>
      <c r="L73" s="18">
        <v>4640</v>
      </c>
      <c r="M73" s="18">
        <f>ABS((D73*E73)-L73)</f>
        <v>300</v>
      </c>
      <c r="N73" s="10" t="str">
        <f t="shared" si="1"/>
        <v>Unique</v>
      </c>
      <c r="O73" s="38" t="s">
        <v>239</v>
      </c>
      <c r="P73" s="10"/>
    </row>
    <row r="74" spans="1:16" s="29" customFormat="1" ht="40.799999999999997" thickBot="1" x14ac:dyDescent="0.35">
      <c r="A74" s="3">
        <v>46267.375</v>
      </c>
      <c r="B74" s="1" t="s">
        <v>81</v>
      </c>
      <c r="C74" s="1" t="s">
        <v>7</v>
      </c>
      <c r="D74" s="4">
        <v>2</v>
      </c>
      <c r="E74" s="4">
        <v>4290</v>
      </c>
      <c r="F74" s="4">
        <v>6.8493150680000001</v>
      </c>
      <c r="G74" s="2" t="s">
        <v>82</v>
      </c>
      <c r="H74" s="5">
        <v>4015</v>
      </c>
      <c r="I74" s="1" t="s">
        <v>8</v>
      </c>
      <c r="J74" s="18" t="s">
        <v>117</v>
      </c>
      <c r="K74" s="18" t="s">
        <v>224</v>
      </c>
      <c r="L74" s="18">
        <v>8220</v>
      </c>
      <c r="M74" s="18">
        <f>ABS((D74*E74)-L74)</f>
        <v>360</v>
      </c>
      <c r="N74" s="10" t="str">
        <f t="shared" si="1"/>
        <v>Unique</v>
      </c>
      <c r="O74" s="38" t="s">
        <v>239</v>
      </c>
      <c r="P74" s="10"/>
    </row>
    <row r="75" spans="1:16" ht="27.6" thickBot="1" x14ac:dyDescent="0.35">
      <c r="A75" s="3">
        <v>46252.645138888889</v>
      </c>
      <c r="B75" s="1" t="s">
        <v>67</v>
      </c>
      <c r="C75" s="1" t="s">
        <v>10</v>
      </c>
      <c r="D75" s="4">
        <v>10</v>
      </c>
      <c r="E75" s="4">
        <v>401</v>
      </c>
      <c r="F75" s="4">
        <v>4.6724092930000003</v>
      </c>
      <c r="G75" s="2" t="s">
        <v>68</v>
      </c>
      <c r="H75" s="5">
        <v>383.1</v>
      </c>
      <c r="I75" s="1" t="s">
        <v>8</v>
      </c>
      <c r="J75" s="53" t="s">
        <v>40</v>
      </c>
      <c r="K75" s="17"/>
      <c r="L75" s="17"/>
      <c r="M75" s="17"/>
      <c r="N75" t="str">
        <f t="shared" si="1"/>
        <v>Unique</v>
      </c>
    </row>
    <row r="76" spans="1:16" ht="40.799999999999997" thickBot="1" x14ac:dyDescent="0.35">
      <c r="A76" s="3">
        <v>46275.457638888889</v>
      </c>
      <c r="B76" s="1" t="s">
        <v>19</v>
      </c>
      <c r="C76" s="1" t="s">
        <v>10</v>
      </c>
      <c r="D76" s="4">
        <v>100</v>
      </c>
      <c r="E76" s="4">
        <v>222</v>
      </c>
      <c r="F76" s="4">
        <v>4.761455335</v>
      </c>
      <c r="G76" s="2" t="s">
        <v>39</v>
      </c>
      <c r="H76" s="5">
        <v>211.91</v>
      </c>
      <c r="I76" s="1" t="s">
        <v>8</v>
      </c>
      <c r="J76" s="18" t="s">
        <v>40</v>
      </c>
      <c r="K76" s="18" t="s">
        <v>263</v>
      </c>
      <c r="L76" s="18">
        <v>56375</v>
      </c>
      <c r="M76" s="18">
        <f>ABS((D76*E76)-L76)</f>
        <v>34175</v>
      </c>
      <c r="N76" s="10" t="str">
        <f t="shared" si="1"/>
        <v>Unique</v>
      </c>
    </row>
    <row r="77" spans="1:16" ht="27.6" thickBot="1" x14ac:dyDescent="0.35">
      <c r="A77" s="11">
        <v>46252.6875</v>
      </c>
      <c r="B77" s="8" t="s">
        <v>9</v>
      </c>
      <c r="C77" s="8" t="s">
        <v>7</v>
      </c>
      <c r="D77" s="8">
        <v>50</v>
      </c>
      <c r="E77" s="8">
        <v>305</v>
      </c>
      <c r="F77" s="4">
        <v>4.8470264700000003</v>
      </c>
      <c r="G77" s="2" t="s">
        <v>94</v>
      </c>
      <c r="H77" s="5">
        <v>290.89999999999998</v>
      </c>
      <c r="I77" s="1" t="s">
        <v>8</v>
      </c>
      <c r="J77" s="34" t="s">
        <v>117</v>
      </c>
      <c r="N77" s="10" t="str">
        <f t="shared" si="1"/>
        <v>Unique</v>
      </c>
    </row>
    <row r="78" spans="1:16" ht="27.6" thickBot="1" x14ac:dyDescent="0.35">
      <c r="A78" s="3">
        <v>46274.375</v>
      </c>
      <c r="B78" s="1" t="s">
        <v>65</v>
      </c>
      <c r="C78" s="1" t="s">
        <v>7</v>
      </c>
      <c r="D78" s="4">
        <v>10</v>
      </c>
      <c r="E78" s="4">
        <v>1196</v>
      </c>
      <c r="F78" s="4">
        <v>6.2072640090000002</v>
      </c>
      <c r="G78" s="2" t="s">
        <v>66</v>
      </c>
      <c r="H78" s="5">
        <v>1126.0999999999999</v>
      </c>
      <c r="I78" s="1" t="s">
        <v>8</v>
      </c>
      <c r="J78" s="18" t="s">
        <v>116</v>
      </c>
      <c r="K78" s="18" t="s">
        <v>255</v>
      </c>
      <c r="L78" s="18">
        <v>11660</v>
      </c>
      <c r="M78" s="18">
        <f t="shared" ref="M78:M82" si="2">ABS((D78*E78)-L78)</f>
        <v>300</v>
      </c>
      <c r="N78" s="10" t="str">
        <f t="shared" si="1"/>
        <v>Unique</v>
      </c>
      <c r="O78" s="38" t="s">
        <v>239</v>
      </c>
    </row>
    <row r="79" spans="1:16" ht="40.799999999999997" thickBot="1" x14ac:dyDescent="0.35">
      <c r="A79" s="49">
        <v>46293.375694444447</v>
      </c>
      <c r="B79" s="2" t="s">
        <v>42</v>
      </c>
      <c r="C79" s="2" t="s">
        <v>7</v>
      </c>
      <c r="D79" s="5">
        <v>5</v>
      </c>
      <c r="E79" s="5">
        <v>762</v>
      </c>
      <c r="F79" s="4">
        <v>5.3213545269999996</v>
      </c>
      <c r="G79" s="2" t="s">
        <v>43</v>
      </c>
      <c r="H79" s="5">
        <v>723.5</v>
      </c>
      <c r="I79" s="1" t="s">
        <v>8</v>
      </c>
      <c r="J79" s="18" t="s">
        <v>117</v>
      </c>
      <c r="K79" s="18" t="s">
        <v>302</v>
      </c>
      <c r="L79" s="18">
        <v>3560</v>
      </c>
      <c r="M79" s="18">
        <f t="shared" si="2"/>
        <v>250</v>
      </c>
      <c r="N79" s="10" t="str">
        <f t="shared" si="1"/>
        <v>Unique</v>
      </c>
    </row>
    <row r="80" spans="1:16" ht="40.799999999999997" thickBot="1" x14ac:dyDescent="0.35">
      <c r="A80" s="49">
        <v>46293.375694444447</v>
      </c>
      <c r="B80" s="2" t="s">
        <v>50</v>
      </c>
      <c r="C80" s="2" t="s">
        <v>7</v>
      </c>
      <c r="D80" s="5">
        <v>10</v>
      </c>
      <c r="E80" s="5">
        <v>917</v>
      </c>
      <c r="F80" s="4">
        <v>5.4447191400000001</v>
      </c>
      <c r="G80" s="2" t="s">
        <v>51</v>
      </c>
      <c r="H80" s="5">
        <v>869.65</v>
      </c>
      <c r="I80" s="1" t="s">
        <v>8</v>
      </c>
      <c r="J80" s="18" t="s">
        <v>116</v>
      </c>
      <c r="K80" s="18" t="s">
        <v>305</v>
      </c>
      <c r="L80" s="18">
        <f>17740/2</f>
        <v>8870</v>
      </c>
      <c r="M80" s="18">
        <f t="shared" si="2"/>
        <v>300</v>
      </c>
      <c r="N80" s="10" t="str">
        <f t="shared" si="1"/>
        <v>Unique</v>
      </c>
    </row>
    <row r="81" spans="1:16" ht="40.799999999999997" thickBot="1" x14ac:dyDescent="0.35">
      <c r="A81" s="3">
        <v>46286.375694444447</v>
      </c>
      <c r="B81" s="1" t="s">
        <v>50</v>
      </c>
      <c r="C81" s="1" t="s">
        <v>7</v>
      </c>
      <c r="D81" s="4">
        <v>10</v>
      </c>
      <c r="E81" s="4">
        <v>927</v>
      </c>
      <c r="F81" s="4">
        <v>6.5946070260000003</v>
      </c>
      <c r="G81" s="2" t="s">
        <v>51</v>
      </c>
      <c r="H81" s="5">
        <v>869.65</v>
      </c>
      <c r="I81" s="1" t="s">
        <v>8</v>
      </c>
      <c r="J81" s="18" t="s">
        <v>116</v>
      </c>
      <c r="K81" s="18" t="s">
        <v>290</v>
      </c>
      <c r="L81" s="18">
        <f>26910/3</f>
        <v>8970</v>
      </c>
      <c r="M81" s="18">
        <f t="shared" si="2"/>
        <v>300</v>
      </c>
      <c r="N81" s="10" t="str">
        <f t="shared" si="1"/>
        <v>Unique</v>
      </c>
    </row>
    <row r="82" spans="1:16" ht="27.6" thickBot="1" x14ac:dyDescent="0.35">
      <c r="A82" s="3">
        <v>46280.435416666667</v>
      </c>
      <c r="B82" s="1" t="s">
        <v>67</v>
      </c>
      <c r="C82" s="1" t="s">
        <v>7</v>
      </c>
      <c r="D82" s="4">
        <v>50</v>
      </c>
      <c r="E82" s="4">
        <v>409</v>
      </c>
      <c r="F82" s="4">
        <v>6.7606369089999996</v>
      </c>
      <c r="G82" s="2" t="s">
        <v>68</v>
      </c>
      <c r="H82" s="5">
        <v>383.1</v>
      </c>
      <c r="I82" s="1" t="s">
        <v>8</v>
      </c>
      <c r="J82" s="18" t="s">
        <v>116</v>
      </c>
      <c r="K82" s="18" t="s">
        <v>275</v>
      </c>
      <c r="L82" s="18">
        <v>39300</v>
      </c>
      <c r="M82" s="18">
        <f t="shared" si="2"/>
        <v>18850</v>
      </c>
      <c r="N82" s="10" t="str">
        <f t="shared" si="1"/>
        <v>Unique</v>
      </c>
    </row>
    <row r="83" spans="1:16" ht="40.799999999999997" thickBot="1" x14ac:dyDescent="0.35">
      <c r="A83" s="8" t="s">
        <v>61</v>
      </c>
      <c r="B83" s="8" t="s">
        <v>42</v>
      </c>
      <c r="C83" s="8" t="s">
        <v>7</v>
      </c>
      <c r="D83" s="8">
        <v>10</v>
      </c>
      <c r="E83" s="8">
        <v>773</v>
      </c>
      <c r="F83" s="4">
        <v>6.8417415339999996</v>
      </c>
      <c r="G83" s="2" t="s">
        <v>43</v>
      </c>
      <c r="H83" s="5">
        <v>723.5</v>
      </c>
      <c r="I83" s="1" t="s">
        <v>8</v>
      </c>
      <c r="J83" s="34" t="s">
        <v>117</v>
      </c>
      <c r="N83" s="10" t="str">
        <f t="shared" si="1"/>
        <v>Unique</v>
      </c>
    </row>
    <row r="84" spans="1:16" s="29" customFormat="1" ht="40.799999999999997" thickBot="1" x14ac:dyDescent="0.35">
      <c r="A84" s="49">
        <v>46289.375694444447</v>
      </c>
      <c r="B84" s="2" t="s">
        <v>23</v>
      </c>
      <c r="C84" s="2" t="s">
        <v>7</v>
      </c>
      <c r="D84" s="5">
        <v>50</v>
      </c>
      <c r="E84" s="5">
        <v>211</v>
      </c>
      <c r="F84" s="4">
        <v>7.4392789859999997</v>
      </c>
      <c r="G84" s="2" t="s">
        <v>69</v>
      </c>
      <c r="H84" s="5">
        <v>196.39</v>
      </c>
      <c r="I84" s="1" t="s">
        <v>8</v>
      </c>
      <c r="J84" s="18" t="s">
        <v>116</v>
      </c>
      <c r="K84" s="18" t="s">
        <v>294</v>
      </c>
      <c r="L84" s="18">
        <v>10250</v>
      </c>
      <c r="M84" s="18">
        <f t="shared" ref="M84:M98" si="3">ABS((D84*E84)-L84)</f>
        <v>300</v>
      </c>
      <c r="N84" s="10" t="str">
        <f t="shared" si="1"/>
        <v>Unique</v>
      </c>
      <c r="O84" s="10"/>
      <c r="P84" s="10"/>
    </row>
    <row r="85" spans="1:16" ht="27.6" thickBot="1" x14ac:dyDescent="0.35">
      <c r="A85" s="40">
        <v>46273.375</v>
      </c>
      <c r="B85" s="41" t="s">
        <v>48</v>
      </c>
      <c r="C85" s="41" t="s">
        <v>7</v>
      </c>
      <c r="D85" s="41">
        <v>5</v>
      </c>
      <c r="E85" s="41">
        <v>4047</v>
      </c>
      <c r="F85" s="4">
        <v>8.3998500029999992</v>
      </c>
      <c r="G85" s="2" t="s">
        <v>49</v>
      </c>
      <c r="H85" s="5">
        <v>3733.4</v>
      </c>
      <c r="I85" s="1" t="s">
        <v>8</v>
      </c>
      <c r="J85" s="27" t="s">
        <v>116</v>
      </c>
      <c r="K85" s="27" t="s">
        <v>252</v>
      </c>
      <c r="L85" s="27">
        <v>19730.5</v>
      </c>
      <c r="M85" s="27">
        <f t="shared" si="3"/>
        <v>504.5</v>
      </c>
      <c r="N85" s="29" t="str">
        <f t="shared" si="1"/>
        <v>Duplicate</v>
      </c>
      <c r="O85" s="38" t="s">
        <v>239</v>
      </c>
      <c r="P85" s="29"/>
    </row>
    <row r="86" spans="1:16" ht="27.6" thickBot="1" x14ac:dyDescent="0.35">
      <c r="A86" s="30">
        <v>46274.375</v>
      </c>
      <c r="B86" s="31" t="s">
        <v>48</v>
      </c>
      <c r="C86" s="31" t="s">
        <v>7</v>
      </c>
      <c r="D86" s="32">
        <v>5</v>
      </c>
      <c r="E86" s="32">
        <v>4047</v>
      </c>
      <c r="F86" s="4">
        <v>8.3998500029999992</v>
      </c>
      <c r="G86" s="2" t="s">
        <v>49</v>
      </c>
      <c r="H86" s="5">
        <v>3733.4</v>
      </c>
      <c r="I86" s="1" t="s">
        <v>8</v>
      </c>
      <c r="J86" s="27" t="s">
        <v>116</v>
      </c>
      <c r="K86" s="27" t="s">
        <v>258</v>
      </c>
      <c r="L86" s="27">
        <v>19690</v>
      </c>
      <c r="M86" s="27">
        <f t="shared" si="3"/>
        <v>545</v>
      </c>
      <c r="N86" s="29" t="str">
        <f t="shared" si="1"/>
        <v>Duplicate</v>
      </c>
      <c r="O86" s="38" t="s">
        <v>239</v>
      </c>
      <c r="P86" s="29"/>
    </row>
    <row r="87" spans="1:16" ht="27.6" thickBot="1" x14ac:dyDescent="0.35">
      <c r="A87" s="3">
        <v>46267.461111111108</v>
      </c>
      <c r="B87" s="1" t="s">
        <v>14</v>
      </c>
      <c r="C87" s="1" t="s">
        <v>7</v>
      </c>
      <c r="D87" s="4">
        <v>100</v>
      </c>
      <c r="E87" s="4">
        <v>339</v>
      </c>
      <c r="F87" s="4">
        <v>7.6019679419999999</v>
      </c>
      <c r="G87" s="2" t="s">
        <v>44</v>
      </c>
      <c r="H87" s="5">
        <v>315.05</v>
      </c>
      <c r="I87" s="1" t="s">
        <v>8</v>
      </c>
      <c r="J87" s="18" t="s">
        <v>116</v>
      </c>
      <c r="K87" s="18" t="s">
        <v>220</v>
      </c>
      <c r="L87" s="18">
        <v>32900</v>
      </c>
      <c r="M87" s="18">
        <f t="shared" si="3"/>
        <v>1000</v>
      </c>
      <c r="N87" s="10" t="str">
        <f t="shared" si="1"/>
        <v>Unique</v>
      </c>
    </row>
    <row r="88" spans="1:16" ht="40.799999999999997" thickBot="1" x14ac:dyDescent="0.35">
      <c r="A88" s="49">
        <v>46301.375694444447</v>
      </c>
      <c r="B88" s="2" t="s">
        <v>13</v>
      </c>
      <c r="C88" s="2" t="s">
        <v>10</v>
      </c>
      <c r="D88" s="5">
        <v>5</v>
      </c>
      <c r="E88" s="5">
        <v>1664</v>
      </c>
      <c r="F88" s="4">
        <v>8.0722891570000002</v>
      </c>
      <c r="G88" s="2" t="s">
        <v>90</v>
      </c>
      <c r="H88" s="5">
        <v>1660</v>
      </c>
      <c r="I88" s="1" t="s">
        <v>8</v>
      </c>
      <c r="J88" s="18" t="s">
        <v>40</v>
      </c>
      <c r="K88" s="18" t="s">
        <v>319</v>
      </c>
      <c r="L88" s="18">
        <f>5*1752</f>
        <v>8760</v>
      </c>
      <c r="M88" s="18">
        <f>ABS((D88*E88)-L88)</f>
        <v>440</v>
      </c>
      <c r="N88" s="10" t="str">
        <f t="shared" si="1"/>
        <v>Unique</v>
      </c>
    </row>
    <row r="89" spans="1:16" s="29" customFormat="1" ht="27.6" thickBot="1" x14ac:dyDescent="0.35">
      <c r="A89" s="54">
        <v>46296.586111111108</v>
      </c>
      <c r="B89" s="55" t="s">
        <v>77</v>
      </c>
      <c r="C89" s="55" t="s">
        <v>7</v>
      </c>
      <c r="D89" s="56">
        <v>5</v>
      </c>
      <c r="E89" s="56">
        <v>1348</v>
      </c>
      <c r="F89" s="4">
        <v>8.1861958270000006</v>
      </c>
      <c r="G89" s="2" t="s">
        <v>78</v>
      </c>
      <c r="H89" s="5">
        <v>1246</v>
      </c>
      <c r="I89" s="1" t="s">
        <v>8</v>
      </c>
      <c r="J89" s="27" t="s">
        <v>117</v>
      </c>
      <c r="K89" s="27" t="s">
        <v>310</v>
      </c>
      <c r="L89" s="27">
        <v>6127.5</v>
      </c>
      <c r="M89" s="27">
        <f t="shared" si="3"/>
        <v>612.5</v>
      </c>
      <c r="N89" s="29" t="str">
        <f t="shared" si="1"/>
        <v>Duplicate</v>
      </c>
    </row>
    <row r="90" spans="1:16" ht="27.6" thickBot="1" x14ac:dyDescent="0.35">
      <c r="A90" s="54">
        <v>46296.420138888891</v>
      </c>
      <c r="B90" s="55" t="s">
        <v>77</v>
      </c>
      <c r="C90" s="55" t="s">
        <v>7</v>
      </c>
      <c r="D90" s="56">
        <v>5</v>
      </c>
      <c r="E90" s="56">
        <v>1348</v>
      </c>
      <c r="F90" s="4">
        <v>8.1861958270000006</v>
      </c>
      <c r="G90" s="2" t="s">
        <v>78</v>
      </c>
      <c r="H90" s="5">
        <v>1246</v>
      </c>
      <c r="I90" s="1" t="s">
        <v>8</v>
      </c>
      <c r="J90" s="27" t="s">
        <v>117</v>
      </c>
      <c r="K90" s="27" t="s">
        <v>312</v>
      </c>
      <c r="L90" s="27">
        <v>6320</v>
      </c>
      <c r="M90" s="27">
        <f t="shared" si="3"/>
        <v>420</v>
      </c>
      <c r="N90" s="29" t="str">
        <f t="shared" si="1"/>
        <v>Duplicate</v>
      </c>
      <c r="O90" s="29"/>
      <c r="P90" s="29"/>
    </row>
    <row r="91" spans="1:16" ht="27.6" thickBot="1" x14ac:dyDescent="0.35">
      <c r="A91" s="3">
        <v>46267.375</v>
      </c>
      <c r="B91" s="1" t="s">
        <v>14</v>
      </c>
      <c r="C91" s="1" t="s">
        <v>7</v>
      </c>
      <c r="D91" s="4">
        <v>50</v>
      </c>
      <c r="E91" s="4">
        <v>341</v>
      </c>
      <c r="F91" s="4">
        <v>8.2367878109999992</v>
      </c>
      <c r="G91" s="2" t="s">
        <v>44</v>
      </c>
      <c r="H91" s="5">
        <v>315.05</v>
      </c>
      <c r="I91" s="1" t="s">
        <v>8</v>
      </c>
      <c r="J91" s="18" t="s">
        <v>116</v>
      </c>
      <c r="K91" s="18" t="s">
        <v>227</v>
      </c>
      <c r="L91" s="18">
        <v>16755</v>
      </c>
      <c r="M91" s="18">
        <f t="shared" si="3"/>
        <v>295</v>
      </c>
      <c r="N91" s="10" t="str">
        <f t="shared" si="1"/>
        <v>Unique</v>
      </c>
    </row>
    <row r="92" spans="1:16" ht="27.6" thickBot="1" x14ac:dyDescent="0.35">
      <c r="A92" s="3">
        <v>46272.375694444447</v>
      </c>
      <c r="B92" s="1" t="s">
        <v>62</v>
      </c>
      <c r="C92" s="1" t="s">
        <v>7</v>
      </c>
      <c r="D92" s="4">
        <v>15</v>
      </c>
      <c r="E92" s="4">
        <v>1048</v>
      </c>
      <c r="F92" s="4">
        <v>9.3603255769999993</v>
      </c>
      <c r="G92" s="2" t="s">
        <v>63</v>
      </c>
      <c r="H92" s="5">
        <v>958.3</v>
      </c>
      <c r="I92" s="1" t="s">
        <v>8</v>
      </c>
      <c r="J92" s="18" t="s">
        <v>116</v>
      </c>
      <c r="K92" s="18" t="s">
        <v>243</v>
      </c>
      <c r="L92" s="18">
        <v>15075</v>
      </c>
      <c r="M92" s="18">
        <f t="shared" si="3"/>
        <v>645</v>
      </c>
      <c r="N92" s="10" t="str">
        <f t="shared" si="1"/>
        <v>Unique</v>
      </c>
      <c r="O92" s="38" t="s">
        <v>239</v>
      </c>
    </row>
    <row r="93" spans="1:16" ht="27.6" thickBot="1" x14ac:dyDescent="0.35">
      <c r="A93" s="3">
        <v>46286.468055555553</v>
      </c>
      <c r="B93" s="1" t="s">
        <v>73</v>
      </c>
      <c r="C93" s="1" t="s">
        <v>7</v>
      </c>
      <c r="D93" s="4">
        <v>2</v>
      </c>
      <c r="E93" s="4">
        <v>3334</v>
      </c>
      <c r="F93" s="4">
        <v>5.2398989900000004</v>
      </c>
      <c r="G93" s="2" t="s">
        <v>74</v>
      </c>
      <c r="H93" s="5">
        <v>3168</v>
      </c>
      <c r="I93" s="1" t="s">
        <v>8</v>
      </c>
      <c r="J93" s="18" t="s">
        <v>117</v>
      </c>
      <c r="K93" s="18" t="s">
        <v>288</v>
      </c>
      <c r="L93" s="18">
        <v>6367.2</v>
      </c>
      <c r="M93" s="18">
        <f t="shared" si="3"/>
        <v>300.80000000000018</v>
      </c>
      <c r="N93" s="10" t="str">
        <f t="shared" si="1"/>
        <v>Unique</v>
      </c>
      <c r="O93" s="38" t="s">
        <v>239</v>
      </c>
    </row>
    <row r="94" spans="1:16" ht="40.799999999999997" thickBot="1" x14ac:dyDescent="0.35">
      <c r="A94" s="49">
        <v>46289.390277777777</v>
      </c>
      <c r="B94" s="2" t="s">
        <v>58</v>
      </c>
      <c r="C94" s="2" t="s">
        <v>7</v>
      </c>
      <c r="D94" s="5">
        <v>10</v>
      </c>
      <c r="E94" s="5">
        <v>1054</v>
      </c>
      <c r="F94" s="4">
        <v>8.5590689050000002</v>
      </c>
      <c r="G94" s="2" t="s">
        <v>59</v>
      </c>
      <c r="H94" s="5">
        <v>970.9</v>
      </c>
      <c r="I94" s="1" t="s">
        <v>8</v>
      </c>
      <c r="J94" s="18" t="s">
        <v>117</v>
      </c>
      <c r="K94" s="18" t="s">
        <v>293</v>
      </c>
      <c r="L94" s="18">
        <v>9886</v>
      </c>
      <c r="M94" s="18">
        <f t="shared" si="3"/>
        <v>654</v>
      </c>
      <c r="N94" s="10" t="str">
        <f t="shared" si="1"/>
        <v>Unique</v>
      </c>
    </row>
    <row r="95" spans="1:16" ht="40.799999999999997" thickBot="1" x14ac:dyDescent="0.35">
      <c r="A95" s="3">
        <v>46262.375</v>
      </c>
      <c r="B95" s="1" t="s">
        <v>81</v>
      </c>
      <c r="C95" s="1" t="s">
        <v>7</v>
      </c>
      <c r="D95" s="4">
        <v>2</v>
      </c>
      <c r="E95" s="4">
        <v>4360</v>
      </c>
      <c r="F95" s="4">
        <v>8.5927770859999999</v>
      </c>
      <c r="G95" s="2" t="s">
        <v>82</v>
      </c>
      <c r="H95" s="5">
        <v>4015</v>
      </c>
      <c r="I95" s="1" t="s">
        <v>8</v>
      </c>
      <c r="J95" s="18" t="s">
        <v>117</v>
      </c>
      <c r="K95" s="18" t="s">
        <v>185</v>
      </c>
      <c r="L95" s="18">
        <v>8420</v>
      </c>
      <c r="M95" s="18">
        <f t="shared" si="3"/>
        <v>300</v>
      </c>
      <c r="N95" s="10" t="str">
        <f t="shared" si="1"/>
        <v>Unique</v>
      </c>
    </row>
    <row r="96" spans="1:16" ht="40.799999999999997" thickBot="1" x14ac:dyDescent="0.35">
      <c r="A96" s="3">
        <v>46294.375</v>
      </c>
      <c r="B96" s="2" t="s">
        <v>35</v>
      </c>
      <c r="C96" s="2" t="s">
        <v>7</v>
      </c>
      <c r="D96" s="5">
        <v>5</v>
      </c>
      <c r="E96" s="5">
        <v>1149</v>
      </c>
      <c r="F96" s="4">
        <v>8.6011342160000002</v>
      </c>
      <c r="G96" s="2" t="s">
        <v>64</v>
      </c>
      <c r="H96" s="5">
        <v>1058</v>
      </c>
      <c r="I96" s="1" t="s">
        <v>8</v>
      </c>
      <c r="J96" s="18" t="s">
        <v>117</v>
      </c>
      <c r="K96" s="18" t="s">
        <v>307</v>
      </c>
      <c r="L96" s="18">
        <v>5450</v>
      </c>
      <c r="M96" s="18">
        <f t="shared" si="3"/>
        <v>295</v>
      </c>
      <c r="N96" s="10" t="str">
        <f t="shared" si="1"/>
        <v>Unique</v>
      </c>
    </row>
    <row r="97" spans="1:16" ht="40.799999999999997" thickBot="1" x14ac:dyDescent="0.35">
      <c r="A97" s="11">
        <v>46273.375</v>
      </c>
      <c r="B97" s="8" t="s">
        <v>50</v>
      </c>
      <c r="C97" s="8" t="s">
        <v>7</v>
      </c>
      <c r="D97" s="8">
        <v>10</v>
      </c>
      <c r="E97" s="8">
        <v>947</v>
      </c>
      <c r="F97" s="4">
        <v>8.8943827980000005</v>
      </c>
      <c r="G97" s="2" t="s">
        <v>51</v>
      </c>
      <c r="H97" s="5">
        <v>869.65</v>
      </c>
      <c r="I97" s="1" t="s">
        <v>8</v>
      </c>
      <c r="J97" s="18" t="s">
        <v>152</v>
      </c>
      <c r="K97" s="18" t="s">
        <v>251</v>
      </c>
      <c r="L97" s="18">
        <v>9170</v>
      </c>
      <c r="M97" s="27">
        <f t="shared" si="3"/>
        <v>300</v>
      </c>
      <c r="N97" s="10" t="str">
        <f t="shared" si="1"/>
        <v>Unique</v>
      </c>
    </row>
    <row r="98" spans="1:16" ht="40.799999999999997" thickBot="1" x14ac:dyDescent="0.35">
      <c r="A98" s="3">
        <v>46275.375</v>
      </c>
      <c r="B98" s="1" t="s">
        <v>23</v>
      </c>
      <c r="C98" s="1" t="s">
        <v>7</v>
      </c>
      <c r="D98" s="4">
        <v>50</v>
      </c>
      <c r="E98" s="4">
        <v>214</v>
      </c>
      <c r="F98" s="4">
        <v>8.9668516730000007</v>
      </c>
      <c r="G98" s="2" t="s">
        <v>69</v>
      </c>
      <c r="H98" s="5">
        <v>196.39</v>
      </c>
      <c r="I98" s="1" t="s">
        <v>8</v>
      </c>
      <c r="J98" s="18" t="s">
        <v>116</v>
      </c>
      <c r="K98" s="18" t="s">
        <v>261</v>
      </c>
      <c r="L98" s="18">
        <v>10400</v>
      </c>
      <c r="M98" s="18">
        <f t="shared" si="3"/>
        <v>300</v>
      </c>
      <c r="N98" s="10" t="str">
        <f t="shared" si="1"/>
        <v>Unique</v>
      </c>
    </row>
    <row r="99" spans="1:16" ht="27.6" thickBot="1" x14ac:dyDescent="0.35">
      <c r="A99" s="8" t="s">
        <v>61</v>
      </c>
      <c r="B99" s="8" t="s">
        <v>9</v>
      </c>
      <c r="C99" s="8" t="s">
        <v>7</v>
      </c>
      <c r="D99" s="8">
        <v>50</v>
      </c>
      <c r="E99" s="8">
        <v>317</v>
      </c>
      <c r="F99" s="4">
        <v>8.9721553800000002</v>
      </c>
      <c r="G99" s="2" t="s">
        <v>94</v>
      </c>
      <c r="H99" s="5">
        <v>290.89999999999998</v>
      </c>
      <c r="I99" s="1" t="s">
        <v>8</v>
      </c>
      <c r="J99" s="34"/>
      <c r="N99" s="10" t="str">
        <f t="shared" si="1"/>
        <v>Unique</v>
      </c>
    </row>
    <row r="100" spans="1:16" ht="27.6" thickBot="1" x14ac:dyDescent="0.35">
      <c r="A100" s="3">
        <v>46267.38958333333</v>
      </c>
      <c r="B100" s="1" t="s">
        <v>14</v>
      </c>
      <c r="C100" s="1" t="s">
        <v>7</v>
      </c>
      <c r="D100" s="4">
        <v>100</v>
      </c>
      <c r="E100" s="4">
        <v>344</v>
      </c>
      <c r="F100" s="4">
        <v>9.1890176159999992</v>
      </c>
      <c r="G100" s="2" t="s">
        <v>44</v>
      </c>
      <c r="H100" s="5">
        <v>315.05</v>
      </c>
      <c r="I100" s="1" t="s">
        <v>8</v>
      </c>
      <c r="J100" s="18" t="s">
        <v>116</v>
      </c>
      <c r="K100" s="18" t="s">
        <v>222</v>
      </c>
      <c r="L100" s="18">
        <v>33200</v>
      </c>
      <c r="M100" s="18">
        <f>ABS((D100*E100)-L100)</f>
        <v>1200</v>
      </c>
      <c r="N100" s="10" t="str">
        <f t="shared" si="1"/>
        <v>Unique</v>
      </c>
    </row>
    <row r="101" spans="1:16" ht="40.799999999999997" thickBot="1" x14ac:dyDescent="0.35">
      <c r="A101" s="8" t="s">
        <v>61</v>
      </c>
      <c r="B101" s="8" t="s">
        <v>42</v>
      </c>
      <c r="C101" s="8" t="s">
        <v>7</v>
      </c>
      <c r="D101" s="8">
        <v>5</v>
      </c>
      <c r="E101" s="12">
        <v>790</v>
      </c>
      <c r="F101" s="4">
        <v>9.1914305459999994</v>
      </c>
      <c r="G101" s="2" t="s">
        <v>43</v>
      </c>
      <c r="H101" s="5">
        <v>723.5</v>
      </c>
      <c r="I101" s="1" t="s">
        <v>8</v>
      </c>
      <c r="J101" s="34" t="s">
        <v>117</v>
      </c>
      <c r="N101" s="10" t="str">
        <f t="shared" si="1"/>
        <v>Unique</v>
      </c>
    </row>
    <row r="102" spans="1:16" s="29" customFormat="1" ht="40.799999999999997" thickBot="1" x14ac:dyDescent="0.35">
      <c r="A102" s="3">
        <v>46269.614583333336</v>
      </c>
      <c r="B102" s="1" t="s">
        <v>23</v>
      </c>
      <c r="C102" s="1" t="s">
        <v>7</v>
      </c>
      <c r="D102" s="4">
        <v>40</v>
      </c>
      <c r="E102" s="4">
        <v>219</v>
      </c>
      <c r="F102" s="4">
        <v>11.512806149999999</v>
      </c>
      <c r="G102" s="2" t="s">
        <v>69</v>
      </c>
      <c r="H102" s="5">
        <v>196.39</v>
      </c>
      <c r="I102" s="1" t="s">
        <v>8</v>
      </c>
      <c r="J102" s="18" t="s">
        <v>116</v>
      </c>
      <c r="K102" s="18" t="s">
        <v>235</v>
      </c>
      <c r="L102" s="18">
        <v>8480</v>
      </c>
      <c r="M102" s="26">
        <f>ABS((D102*E102)-L102)</f>
        <v>280</v>
      </c>
      <c r="N102" t="str">
        <f t="shared" si="1"/>
        <v>Unique</v>
      </c>
      <c r="O102" s="38" t="s">
        <v>239</v>
      </c>
      <c r="P102" s="10"/>
    </row>
    <row r="103" spans="1:16" s="29" customFormat="1" ht="40.799999999999997" thickBot="1" x14ac:dyDescent="0.35">
      <c r="A103" s="3">
        <v>46275.375</v>
      </c>
      <c r="B103" s="1" t="s">
        <v>21</v>
      </c>
      <c r="C103" s="1" t="s">
        <v>7</v>
      </c>
      <c r="D103" s="4">
        <v>5</v>
      </c>
      <c r="E103" s="4">
        <v>710</v>
      </c>
      <c r="F103" s="4">
        <v>9.2391722440000006</v>
      </c>
      <c r="G103" s="2" t="s">
        <v>75</v>
      </c>
      <c r="H103" s="5">
        <v>649.95000000000005</v>
      </c>
      <c r="I103" s="1" t="s">
        <v>8</v>
      </c>
      <c r="J103" s="18" t="s">
        <v>117</v>
      </c>
      <c r="K103" s="18" t="s">
        <v>260</v>
      </c>
      <c r="L103" s="18">
        <v>3300</v>
      </c>
      <c r="M103" s="18">
        <f>ABS((D103*E103)-L103)</f>
        <v>250</v>
      </c>
      <c r="N103" s="10" t="str">
        <f t="shared" si="1"/>
        <v>Unique</v>
      </c>
      <c r="O103" s="10"/>
      <c r="P103" s="10"/>
    </row>
    <row r="104" spans="1:16" ht="27.6" thickBot="1" x14ac:dyDescent="0.35">
      <c r="A104" s="8" t="s">
        <v>61</v>
      </c>
      <c r="B104" s="8" t="s">
        <v>137</v>
      </c>
      <c r="C104" s="8" t="s">
        <v>7</v>
      </c>
      <c r="D104" s="8">
        <v>50</v>
      </c>
      <c r="E104" s="12">
        <v>480</v>
      </c>
      <c r="F104" s="4">
        <v>9.2647393579999999</v>
      </c>
      <c r="G104" s="2" t="s">
        <v>138</v>
      </c>
      <c r="H104" s="5">
        <v>439.3</v>
      </c>
      <c r="I104" s="1" t="s">
        <v>8</v>
      </c>
      <c r="J104" s="34" t="s">
        <v>116</v>
      </c>
      <c r="N104" s="10" t="str">
        <f t="shared" si="1"/>
        <v>Unique</v>
      </c>
    </row>
    <row r="105" spans="1:16" ht="27.6" thickBot="1" x14ac:dyDescent="0.35">
      <c r="A105" s="3">
        <v>46280.435416666667</v>
      </c>
      <c r="B105" s="1" t="s">
        <v>67</v>
      </c>
      <c r="C105" s="1" t="s">
        <v>7</v>
      </c>
      <c r="D105" s="4">
        <v>50</v>
      </c>
      <c r="E105" s="4">
        <v>419</v>
      </c>
      <c r="F105" s="4">
        <v>9.3709214299999992</v>
      </c>
      <c r="G105" s="2" t="s">
        <v>68</v>
      </c>
      <c r="H105" s="5">
        <v>383.1</v>
      </c>
      <c r="I105" s="1" t="s">
        <v>8</v>
      </c>
      <c r="J105" s="18" t="s">
        <v>116</v>
      </c>
      <c r="K105" s="18" t="s">
        <v>275</v>
      </c>
      <c r="L105" s="18">
        <v>39300</v>
      </c>
      <c r="M105" s="18">
        <f>ABS((D105*E105)-L105)</f>
        <v>18350</v>
      </c>
      <c r="N105" s="10" t="str">
        <f t="shared" si="1"/>
        <v>Unique</v>
      </c>
    </row>
    <row r="106" spans="1:16" ht="40.799999999999997" thickBot="1" x14ac:dyDescent="0.35">
      <c r="A106" s="3">
        <v>46272.375694444447</v>
      </c>
      <c r="B106" s="1" t="s">
        <v>24</v>
      </c>
      <c r="C106" s="1" t="s">
        <v>7</v>
      </c>
      <c r="D106" s="4">
        <v>40</v>
      </c>
      <c r="E106" s="4">
        <v>448</v>
      </c>
      <c r="F106" s="4">
        <v>11.95801574</v>
      </c>
      <c r="G106" s="2" t="s">
        <v>55</v>
      </c>
      <c r="H106" s="5">
        <v>400.15</v>
      </c>
      <c r="I106" s="1" t="s">
        <v>8</v>
      </c>
      <c r="J106" s="18" t="s">
        <v>116</v>
      </c>
      <c r="K106" s="18" t="s">
        <v>244</v>
      </c>
      <c r="L106" s="18">
        <v>17040</v>
      </c>
      <c r="M106" s="18">
        <f>ABS((D106*E106)-L106)</f>
        <v>880</v>
      </c>
      <c r="N106" s="10" t="str">
        <f t="shared" si="1"/>
        <v>Unique</v>
      </c>
      <c r="O106" s="38" t="s">
        <v>239</v>
      </c>
    </row>
    <row r="107" spans="1:16" ht="40.799999999999997" thickBot="1" x14ac:dyDescent="0.35">
      <c r="A107" s="3">
        <v>46274.375</v>
      </c>
      <c r="B107" s="1" t="s">
        <v>52</v>
      </c>
      <c r="C107" s="1" t="s">
        <v>7</v>
      </c>
      <c r="D107" s="4">
        <v>2</v>
      </c>
      <c r="E107" s="4">
        <v>2576</v>
      </c>
      <c r="F107" s="4">
        <v>9.5005313499999993</v>
      </c>
      <c r="G107" s="2" t="s">
        <v>53</v>
      </c>
      <c r="H107" s="5">
        <v>2352.5</v>
      </c>
      <c r="I107" s="1" t="s">
        <v>8</v>
      </c>
      <c r="J107" s="18" t="s">
        <v>117</v>
      </c>
      <c r="K107" s="18" t="s">
        <v>259</v>
      </c>
      <c r="L107" s="18">
        <v>4852</v>
      </c>
      <c r="M107" s="18">
        <f>ABS((D107*E107)-L107)</f>
        <v>300</v>
      </c>
      <c r="N107" s="10" t="str">
        <f t="shared" si="1"/>
        <v>Unique</v>
      </c>
    </row>
    <row r="108" spans="1:16" ht="27.6" thickBot="1" x14ac:dyDescent="0.35">
      <c r="A108" s="3">
        <v>46265.375694444447</v>
      </c>
      <c r="B108" s="1" t="s">
        <v>48</v>
      </c>
      <c r="C108" s="1" t="s">
        <v>7</v>
      </c>
      <c r="D108" s="4">
        <v>5</v>
      </c>
      <c r="E108" s="4">
        <v>4092</v>
      </c>
      <c r="F108" s="4">
        <v>9.6051856220000005</v>
      </c>
      <c r="G108" s="2" t="s">
        <v>49</v>
      </c>
      <c r="H108" s="5">
        <v>3733.4</v>
      </c>
      <c r="I108" s="1" t="s">
        <v>8</v>
      </c>
      <c r="J108" s="18" t="s">
        <v>117</v>
      </c>
      <c r="K108" s="18" t="s">
        <v>205</v>
      </c>
      <c r="L108" s="18">
        <v>20010</v>
      </c>
      <c r="M108" s="18">
        <f>ABS((D108*E108)-L108)</f>
        <v>450</v>
      </c>
      <c r="N108" t="str">
        <f t="shared" si="1"/>
        <v>Unique</v>
      </c>
      <c r="P108"/>
    </row>
    <row r="109" spans="1:16" ht="27.6" thickBot="1" x14ac:dyDescent="0.35">
      <c r="A109" s="3">
        <v>46287.375</v>
      </c>
      <c r="B109" s="1" t="s">
        <v>17</v>
      </c>
      <c r="C109" s="1" t="s">
        <v>7</v>
      </c>
      <c r="D109" s="4">
        <v>25</v>
      </c>
      <c r="E109" s="4">
        <v>348</v>
      </c>
      <c r="F109" s="4">
        <v>9.7791798110000006</v>
      </c>
      <c r="G109" s="2" t="s">
        <v>76</v>
      </c>
      <c r="H109" s="5">
        <v>317</v>
      </c>
      <c r="I109" s="1" t="s">
        <v>8</v>
      </c>
      <c r="J109" s="18" t="s">
        <v>116</v>
      </c>
      <c r="K109" s="18" t="s">
        <v>291</v>
      </c>
      <c r="L109" s="18">
        <v>8400</v>
      </c>
      <c r="M109" s="18">
        <f>ABS((D109*E109)-L109)</f>
        <v>300</v>
      </c>
      <c r="N109" s="10" t="str">
        <f t="shared" si="1"/>
        <v>Unique</v>
      </c>
    </row>
    <row r="110" spans="1:16" ht="27.6" thickBot="1" x14ac:dyDescent="0.35">
      <c r="A110" s="11">
        <v>46252.645138888889</v>
      </c>
      <c r="B110" s="8" t="s">
        <v>67</v>
      </c>
      <c r="C110" s="8" t="s">
        <v>7</v>
      </c>
      <c r="D110" s="8">
        <v>20</v>
      </c>
      <c r="E110" s="8">
        <v>424</v>
      </c>
      <c r="F110" s="4">
        <v>10.676063689999999</v>
      </c>
      <c r="G110" s="2" t="s">
        <v>68</v>
      </c>
      <c r="H110" s="5">
        <v>383.1</v>
      </c>
      <c r="I110" s="1" t="s">
        <v>8</v>
      </c>
      <c r="J110" s="34"/>
      <c r="N110" s="10" t="str">
        <f t="shared" si="1"/>
        <v>Unique</v>
      </c>
      <c r="O110" s="38" t="s">
        <v>239</v>
      </c>
      <c r="P110"/>
    </row>
    <row r="111" spans="1:16" ht="27.6" thickBot="1" x14ac:dyDescent="0.35">
      <c r="A111" s="42">
        <v>46273.385416666664</v>
      </c>
      <c r="B111" s="43" t="s">
        <v>25</v>
      </c>
      <c r="C111" s="43" t="s">
        <v>7</v>
      </c>
      <c r="D111" s="43">
        <v>500</v>
      </c>
      <c r="E111" s="43">
        <v>34.479999999999997</v>
      </c>
      <c r="F111" s="4">
        <v>9.8089171969999995</v>
      </c>
      <c r="G111" s="2" t="s">
        <v>45</v>
      </c>
      <c r="H111" s="5">
        <v>31.4</v>
      </c>
      <c r="I111" s="1" t="s">
        <v>8</v>
      </c>
      <c r="J111" s="44" t="s">
        <v>116</v>
      </c>
      <c r="K111" s="44" t="s">
        <v>250</v>
      </c>
      <c r="L111" s="44">
        <v>16580</v>
      </c>
      <c r="M111" s="44">
        <f>ABS((D111*E111)-L111)</f>
        <v>660</v>
      </c>
      <c r="N111" s="24" t="str">
        <f t="shared" si="1"/>
        <v>Unique</v>
      </c>
      <c r="O111" s="24"/>
      <c r="P111" s="24" t="s">
        <v>253</v>
      </c>
    </row>
    <row r="112" spans="1:16" ht="27.6" thickBot="1" x14ac:dyDescent="0.35">
      <c r="A112" s="11">
        <v>46252.635416666664</v>
      </c>
      <c r="B112" s="8" t="s">
        <v>73</v>
      </c>
      <c r="C112" s="8" t="s">
        <v>7</v>
      </c>
      <c r="D112" s="8">
        <v>5</v>
      </c>
      <c r="E112" s="8">
        <v>3482</v>
      </c>
      <c r="F112" s="4">
        <v>9.9116161619999996</v>
      </c>
      <c r="G112" s="2" t="s">
        <v>74</v>
      </c>
      <c r="H112" s="5">
        <v>3168</v>
      </c>
      <c r="I112" s="1" t="s">
        <v>8</v>
      </c>
      <c r="J112" s="34" t="s">
        <v>117</v>
      </c>
      <c r="N112" s="10" t="str">
        <f t="shared" si="1"/>
        <v>Unique</v>
      </c>
      <c r="P112"/>
    </row>
    <row r="113" spans="1:16" ht="40.799999999999997" thickBot="1" x14ac:dyDescent="0.35">
      <c r="A113" s="3">
        <v>46267.375</v>
      </c>
      <c r="B113" s="1" t="s">
        <v>50</v>
      </c>
      <c r="C113" s="1" t="s">
        <v>7</v>
      </c>
      <c r="D113" s="4">
        <v>10</v>
      </c>
      <c r="E113" s="4">
        <v>957</v>
      </c>
      <c r="F113" s="4">
        <v>10.04427068</v>
      </c>
      <c r="G113" s="2" t="s">
        <v>51</v>
      </c>
      <c r="H113" s="5">
        <v>869.65</v>
      </c>
      <c r="I113" s="1" t="s">
        <v>8</v>
      </c>
      <c r="J113" s="18" t="s">
        <v>116</v>
      </c>
      <c r="K113" s="18" t="s">
        <v>228</v>
      </c>
      <c r="L113" s="18">
        <v>9270</v>
      </c>
      <c r="M113" s="18">
        <f>ABS((D113*E113)-L113)</f>
        <v>300</v>
      </c>
      <c r="N113" s="10" t="str">
        <f t="shared" si="1"/>
        <v>Unique</v>
      </c>
      <c r="P113" s="19"/>
    </row>
    <row r="114" spans="1:16" ht="27.6" thickBot="1" x14ac:dyDescent="0.35">
      <c r="A114" s="3">
        <v>46260.375694444447</v>
      </c>
      <c r="B114" s="1" t="s">
        <v>48</v>
      </c>
      <c r="C114" s="1" t="s">
        <v>7</v>
      </c>
      <c r="D114" s="4">
        <v>5</v>
      </c>
      <c r="E114" s="4">
        <v>4112</v>
      </c>
      <c r="F114" s="4">
        <v>10.14089034</v>
      </c>
      <c r="G114" s="2" t="s">
        <v>49</v>
      </c>
      <c r="H114" s="5">
        <v>3733.4</v>
      </c>
      <c r="I114" s="1" t="s">
        <v>8</v>
      </c>
      <c r="J114" s="18" t="s">
        <v>117</v>
      </c>
      <c r="K114" s="18" t="s">
        <v>169</v>
      </c>
      <c r="L114" s="18">
        <v>20260</v>
      </c>
      <c r="M114" s="18">
        <f>ABS((D114*E114)-L114)</f>
        <v>300</v>
      </c>
      <c r="N114" t="str">
        <f t="shared" si="1"/>
        <v>Unique</v>
      </c>
      <c r="O114"/>
      <c r="P114" s="29"/>
    </row>
    <row r="115" spans="1:16" s="29" customFormat="1" ht="27.6" thickBot="1" x14ac:dyDescent="0.35">
      <c r="A115" s="8" t="s">
        <v>61</v>
      </c>
      <c r="B115" s="8" t="s">
        <v>9</v>
      </c>
      <c r="C115" s="8" t="s">
        <v>7</v>
      </c>
      <c r="D115" s="8">
        <v>40</v>
      </c>
      <c r="E115" s="8">
        <v>320.5</v>
      </c>
      <c r="F115" s="4">
        <v>10.175317980000001</v>
      </c>
      <c r="G115" s="2" t="s">
        <v>94</v>
      </c>
      <c r="H115" s="5">
        <v>290.89999999999998</v>
      </c>
      <c r="I115" s="1" t="s">
        <v>8</v>
      </c>
      <c r="J115" s="34"/>
      <c r="K115" s="18"/>
      <c r="L115" s="18"/>
      <c r="M115" s="18"/>
      <c r="N115" s="10" t="str">
        <f t="shared" si="1"/>
        <v>Unique</v>
      </c>
      <c r="O115" s="10"/>
      <c r="P115" s="10"/>
    </row>
    <row r="116" spans="1:16" ht="27.6" thickBot="1" x14ac:dyDescent="0.35">
      <c r="A116" s="30">
        <v>46267.425694444442</v>
      </c>
      <c r="B116" s="31" t="s">
        <v>34</v>
      </c>
      <c r="C116" s="31" t="s">
        <v>7</v>
      </c>
      <c r="D116" s="32">
        <v>20</v>
      </c>
      <c r="E116" s="32">
        <v>219.5</v>
      </c>
      <c r="F116" s="4">
        <v>11.534552850000001</v>
      </c>
      <c r="G116" s="2" t="s">
        <v>41</v>
      </c>
      <c r="H116" s="5">
        <v>196.8</v>
      </c>
      <c r="I116" s="1" t="s">
        <v>8</v>
      </c>
      <c r="J116" s="27" t="s">
        <v>117</v>
      </c>
      <c r="K116" s="27" t="s">
        <v>219</v>
      </c>
      <c r="L116" s="27">
        <v>4120</v>
      </c>
      <c r="M116" s="27">
        <f>ABS((D116*E116)-L116)</f>
        <v>270</v>
      </c>
      <c r="N116" s="29" t="str">
        <f t="shared" si="1"/>
        <v>Unique</v>
      </c>
      <c r="O116" s="39" t="s">
        <v>239</v>
      </c>
      <c r="P116" s="29"/>
    </row>
    <row r="117" spans="1:16" ht="27.6" thickBot="1" x14ac:dyDescent="0.35">
      <c r="A117" s="30">
        <v>46280.593055555553</v>
      </c>
      <c r="B117" s="31" t="s">
        <v>34</v>
      </c>
      <c r="C117" s="31" t="s">
        <v>7</v>
      </c>
      <c r="D117" s="32">
        <v>10</v>
      </c>
      <c r="E117" s="32">
        <v>219.5</v>
      </c>
      <c r="F117" s="4">
        <v>11.534552850000001</v>
      </c>
      <c r="G117" s="2" t="s">
        <v>41</v>
      </c>
      <c r="H117" s="5">
        <v>196.8</v>
      </c>
      <c r="I117" s="1" t="s">
        <v>8</v>
      </c>
      <c r="J117" s="27" t="s">
        <v>117</v>
      </c>
      <c r="K117" s="27" t="s">
        <v>273</v>
      </c>
      <c r="L117" s="27">
        <v>2006.3999999999999</v>
      </c>
      <c r="M117" s="27">
        <f>ABS((D117*E117)-L117)</f>
        <v>188.60000000000014</v>
      </c>
      <c r="N117" s="29" t="str">
        <f t="shared" si="1"/>
        <v>Unique</v>
      </c>
      <c r="O117" s="39" t="s">
        <v>239</v>
      </c>
      <c r="P117" s="29"/>
    </row>
    <row r="118" spans="1:16" ht="27.6" thickBot="1" x14ac:dyDescent="0.35">
      <c r="A118" s="3">
        <v>46281.37777777778</v>
      </c>
      <c r="B118" s="1" t="s">
        <v>46</v>
      </c>
      <c r="C118" s="1" t="s">
        <v>7</v>
      </c>
      <c r="D118" s="4">
        <v>9</v>
      </c>
      <c r="E118" s="4">
        <v>2320</v>
      </c>
      <c r="F118" s="4">
        <v>10.21377672</v>
      </c>
      <c r="G118" s="2" t="s">
        <v>47</v>
      </c>
      <c r="H118" s="5">
        <v>2105</v>
      </c>
      <c r="I118" s="1" t="s">
        <v>8</v>
      </c>
      <c r="J118" s="23" t="s">
        <v>116</v>
      </c>
      <c r="K118" s="18" t="s">
        <v>281</v>
      </c>
      <c r="L118" s="18">
        <v>20070</v>
      </c>
      <c r="M118" s="18">
        <f>ABS((D118*E118)-L118)</f>
        <v>810</v>
      </c>
      <c r="N118" s="10" t="str">
        <f t="shared" si="1"/>
        <v>Unique</v>
      </c>
    </row>
    <row r="119" spans="1:16" ht="27.6" thickBot="1" x14ac:dyDescent="0.35">
      <c r="A119" s="3">
        <v>46266.642361111109</v>
      </c>
      <c r="B119" s="1" t="s">
        <v>14</v>
      </c>
      <c r="C119" s="1" t="s">
        <v>7</v>
      </c>
      <c r="D119" s="4">
        <v>100</v>
      </c>
      <c r="E119" s="4">
        <v>348</v>
      </c>
      <c r="F119" s="4">
        <v>10.45865736</v>
      </c>
      <c r="G119" s="2" t="s">
        <v>44</v>
      </c>
      <c r="H119" s="5">
        <v>315.05</v>
      </c>
      <c r="I119" s="1" t="s">
        <v>8</v>
      </c>
      <c r="J119" s="18" t="s">
        <v>116</v>
      </c>
      <c r="K119" s="18" t="s">
        <v>216</v>
      </c>
      <c r="L119" s="18">
        <v>33950</v>
      </c>
      <c r="M119" s="18">
        <f>ABS((D119*E119)-L119)</f>
        <v>850</v>
      </c>
      <c r="N119" s="10" t="str">
        <f t="shared" si="1"/>
        <v>Unique</v>
      </c>
    </row>
    <row r="120" spans="1:16" s="29" customFormat="1" ht="27.6" thickBot="1" x14ac:dyDescent="0.35">
      <c r="A120" s="11">
        <v>46252.645138888889</v>
      </c>
      <c r="B120" s="8" t="s">
        <v>48</v>
      </c>
      <c r="C120" s="8" t="s">
        <v>7</v>
      </c>
      <c r="D120" s="8">
        <v>5</v>
      </c>
      <c r="E120" s="8">
        <v>4129</v>
      </c>
      <c r="F120" s="4">
        <v>10.596239349999999</v>
      </c>
      <c r="G120" s="2" t="s">
        <v>49</v>
      </c>
      <c r="H120" s="5">
        <v>3733.4</v>
      </c>
      <c r="I120" s="1" t="s">
        <v>8</v>
      </c>
      <c r="J120" s="34"/>
      <c r="K120" s="18"/>
      <c r="L120" s="18"/>
      <c r="M120" s="18"/>
      <c r="N120" s="10" t="str">
        <f t="shared" si="1"/>
        <v>Unique</v>
      </c>
      <c r="O120" s="10"/>
      <c r="P120" s="10"/>
    </row>
    <row r="121" spans="1:16" ht="27.6" thickBot="1" x14ac:dyDescent="0.35">
      <c r="A121" s="3">
        <v>46266.375</v>
      </c>
      <c r="B121" s="1" t="s">
        <v>62</v>
      </c>
      <c r="C121" s="1" t="s">
        <v>7</v>
      </c>
      <c r="D121" s="4">
        <v>10</v>
      </c>
      <c r="E121" s="4">
        <v>1060</v>
      </c>
      <c r="F121" s="4">
        <v>10.61254304</v>
      </c>
      <c r="G121" s="2" t="s">
        <v>63</v>
      </c>
      <c r="H121" s="5">
        <v>958.3</v>
      </c>
      <c r="I121" s="1" t="s">
        <v>8</v>
      </c>
      <c r="J121" s="18" t="s">
        <v>116</v>
      </c>
      <c r="K121" s="18" t="s">
        <v>213</v>
      </c>
      <c r="L121" s="18">
        <v>10300</v>
      </c>
      <c r="M121" s="18">
        <f t="shared" ref="M121:M134" si="4">ABS((D121*E121)-L121)</f>
        <v>300</v>
      </c>
      <c r="N121" s="10" t="str">
        <f t="shared" si="1"/>
        <v>Unique</v>
      </c>
      <c r="P121" s="29"/>
    </row>
    <row r="122" spans="1:16" ht="27.6" thickBot="1" x14ac:dyDescent="0.35">
      <c r="A122" s="3">
        <v>46261.375</v>
      </c>
      <c r="B122" s="1" t="s">
        <v>14</v>
      </c>
      <c r="C122" s="1" t="s">
        <v>7</v>
      </c>
      <c r="D122" s="4">
        <v>50</v>
      </c>
      <c r="E122" s="4">
        <v>349</v>
      </c>
      <c r="F122" s="4">
        <v>10.77606729</v>
      </c>
      <c r="G122" s="2" t="s">
        <v>44</v>
      </c>
      <c r="H122" s="5">
        <v>315.05</v>
      </c>
      <c r="I122" s="1" t="s">
        <v>8</v>
      </c>
      <c r="J122" s="18" t="s">
        <v>116</v>
      </c>
      <c r="K122" s="18" t="s">
        <v>179</v>
      </c>
      <c r="L122" s="18">
        <v>17150</v>
      </c>
      <c r="M122" s="18">
        <f t="shared" si="4"/>
        <v>300</v>
      </c>
      <c r="N122" s="10" t="str">
        <f t="shared" si="1"/>
        <v>Unique</v>
      </c>
    </row>
    <row r="123" spans="1:16" ht="40.799999999999997" thickBot="1" x14ac:dyDescent="0.35">
      <c r="A123" s="11">
        <v>46243.375</v>
      </c>
      <c r="B123" s="8" t="s">
        <v>13</v>
      </c>
      <c r="C123" s="8" t="s">
        <v>7</v>
      </c>
      <c r="D123" s="8">
        <v>5</v>
      </c>
      <c r="E123" s="8">
        <v>1844</v>
      </c>
      <c r="F123" s="4">
        <v>11.08433735</v>
      </c>
      <c r="G123" s="2" t="s">
        <v>90</v>
      </c>
      <c r="H123" s="5">
        <v>1660</v>
      </c>
      <c r="I123" s="1" t="s">
        <v>8</v>
      </c>
      <c r="J123" s="18" t="s">
        <v>117</v>
      </c>
      <c r="K123" s="18" t="s">
        <v>248</v>
      </c>
      <c r="L123" s="18">
        <v>8570</v>
      </c>
      <c r="M123" s="27">
        <f t="shared" si="4"/>
        <v>650</v>
      </c>
      <c r="N123" s="10" t="str">
        <f t="shared" si="1"/>
        <v>Unique</v>
      </c>
      <c r="O123" s="38" t="s">
        <v>239</v>
      </c>
    </row>
    <row r="124" spans="1:16" ht="27.6" thickBot="1" x14ac:dyDescent="0.35">
      <c r="A124" s="3">
        <v>46266.375694444447</v>
      </c>
      <c r="B124" s="1" t="s">
        <v>65</v>
      </c>
      <c r="C124" s="1" t="s">
        <v>7</v>
      </c>
      <c r="D124" s="4">
        <v>5</v>
      </c>
      <c r="E124" s="4">
        <v>1248</v>
      </c>
      <c r="F124" s="4">
        <v>10.824971140000001</v>
      </c>
      <c r="G124" s="2" t="s">
        <v>66</v>
      </c>
      <c r="H124" s="5">
        <v>1126.0999999999999</v>
      </c>
      <c r="I124" s="1" t="s">
        <v>8</v>
      </c>
      <c r="J124" s="18" t="s">
        <v>116</v>
      </c>
      <c r="K124" s="18" t="s">
        <v>209</v>
      </c>
      <c r="L124" s="18">
        <v>5940</v>
      </c>
      <c r="M124" s="18">
        <f t="shared" si="4"/>
        <v>300</v>
      </c>
      <c r="N124" s="10" t="str">
        <f t="shared" si="1"/>
        <v>Unique</v>
      </c>
    </row>
    <row r="125" spans="1:16" s="25" customFormat="1" ht="40.799999999999997" thickBot="1" x14ac:dyDescent="0.35">
      <c r="A125" s="3">
        <v>46290.385416666664</v>
      </c>
      <c r="B125" s="2" t="s">
        <v>22</v>
      </c>
      <c r="C125" s="2" t="s">
        <v>7</v>
      </c>
      <c r="D125" s="5">
        <v>10</v>
      </c>
      <c r="E125" s="5">
        <v>449</v>
      </c>
      <c r="F125" s="4">
        <v>10.86419753</v>
      </c>
      <c r="G125" s="2" t="s">
        <v>72</v>
      </c>
      <c r="H125" s="5">
        <v>405</v>
      </c>
      <c r="I125" s="1" t="s">
        <v>8</v>
      </c>
      <c r="J125" s="18" t="s">
        <v>117</v>
      </c>
      <c r="K125" s="18" t="s">
        <v>297</v>
      </c>
      <c r="L125" s="18">
        <v>4200</v>
      </c>
      <c r="M125" s="18">
        <f t="shared" si="4"/>
        <v>290</v>
      </c>
      <c r="N125" s="10" t="str">
        <f t="shared" si="1"/>
        <v>Unique</v>
      </c>
      <c r="O125" s="10"/>
      <c r="P125" s="10"/>
    </row>
    <row r="126" spans="1:16" ht="27.6" thickBot="1" x14ac:dyDescent="0.35">
      <c r="A126" s="49">
        <v>46296.443055555559</v>
      </c>
      <c r="B126" s="2" t="s">
        <v>15</v>
      </c>
      <c r="C126" s="2" t="s">
        <v>7</v>
      </c>
      <c r="D126" s="5">
        <v>5</v>
      </c>
      <c r="E126" s="5">
        <v>2276</v>
      </c>
      <c r="F126" s="4">
        <v>11.327106349999999</v>
      </c>
      <c r="G126" s="2" t="s">
        <v>71</v>
      </c>
      <c r="H126" s="5">
        <v>2109.1</v>
      </c>
      <c r="I126" s="1" t="s">
        <v>8</v>
      </c>
      <c r="J126" s="18" t="s">
        <v>117</v>
      </c>
      <c r="K126" s="18" t="s">
        <v>311</v>
      </c>
      <c r="L126" s="18">
        <v>10725.5</v>
      </c>
      <c r="M126" s="18">
        <f t="shared" si="4"/>
        <v>654.5</v>
      </c>
      <c r="N126" s="10" t="str">
        <f t="shared" si="1"/>
        <v>Unique</v>
      </c>
    </row>
    <row r="127" spans="1:16" ht="40.799999999999997" thickBot="1" x14ac:dyDescent="0.35">
      <c r="A127" s="30">
        <v>46265.375694444447</v>
      </c>
      <c r="B127" s="31" t="s">
        <v>52</v>
      </c>
      <c r="C127" s="31" t="s">
        <v>7</v>
      </c>
      <c r="D127" s="32">
        <v>3</v>
      </c>
      <c r="E127" s="32">
        <v>2624</v>
      </c>
      <c r="F127" s="4">
        <v>11.540913919999999</v>
      </c>
      <c r="G127" s="2" t="s">
        <v>53</v>
      </c>
      <c r="H127" s="5">
        <v>2352.5</v>
      </c>
      <c r="I127" s="1" t="s">
        <v>8</v>
      </c>
      <c r="J127" s="27" t="s">
        <v>117</v>
      </c>
      <c r="K127" s="27" t="s">
        <v>197</v>
      </c>
      <c r="L127" s="27">
        <v>7578</v>
      </c>
      <c r="M127" s="27">
        <f t="shared" si="4"/>
        <v>294</v>
      </c>
      <c r="N127" s="28" t="str">
        <f t="shared" si="1"/>
        <v>Duplicate</v>
      </c>
    </row>
    <row r="128" spans="1:16" s="29" customFormat="1" ht="40.799999999999997" thickBot="1" x14ac:dyDescent="0.35">
      <c r="A128" s="30">
        <v>46266.375694444447</v>
      </c>
      <c r="B128" s="31" t="s">
        <v>52</v>
      </c>
      <c r="C128" s="31" t="s">
        <v>7</v>
      </c>
      <c r="D128" s="32">
        <v>3</v>
      </c>
      <c r="E128" s="32">
        <v>2624</v>
      </c>
      <c r="F128" s="4">
        <v>11.540913919999999</v>
      </c>
      <c r="G128" s="2" t="s">
        <v>53</v>
      </c>
      <c r="H128" s="5">
        <v>2352.5</v>
      </c>
      <c r="I128" s="1" t="s">
        <v>8</v>
      </c>
      <c r="J128" s="27" t="s">
        <v>117</v>
      </c>
      <c r="K128" s="27" t="s">
        <v>211</v>
      </c>
      <c r="L128" s="27">
        <v>7578</v>
      </c>
      <c r="M128" s="27">
        <f t="shared" si="4"/>
        <v>294</v>
      </c>
      <c r="N128" s="29" t="str">
        <f t="shared" si="1"/>
        <v>Duplicate</v>
      </c>
      <c r="O128" s="10"/>
      <c r="P128" s="10"/>
    </row>
    <row r="129" spans="1:16" ht="40.799999999999997" thickBot="1" x14ac:dyDescent="0.35">
      <c r="A129" s="30">
        <v>46265.375694444447</v>
      </c>
      <c r="B129" s="31" t="s">
        <v>6</v>
      </c>
      <c r="C129" s="31" t="s">
        <v>7</v>
      </c>
      <c r="D129" s="32">
        <v>20</v>
      </c>
      <c r="E129" s="32">
        <v>291</v>
      </c>
      <c r="F129" s="4">
        <v>14.58948612</v>
      </c>
      <c r="G129" s="2" t="s">
        <v>129</v>
      </c>
      <c r="H129" s="5">
        <v>253.95</v>
      </c>
      <c r="I129" s="1" t="s">
        <v>8</v>
      </c>
      <c r="J129" s="27" t="s">
        <v>117</v>
      </c>
      <c r="K129" s="27" t="s">
        <v>203</v>
      </c>
      <c r="L129" s="27">
        <v>5520</v>
      </c>
      <c r="M129" s="27">
        <f t="shared" si="4"/>
        <v>300</v>
      </c>
      <c r="N129" s="28" t="str">
        <f t="shared" si="1"/>
        <v>Unique</v>
      </c>
      <c r="O129" s="38" t="s">
        <v>239</v>
      </c>
    </row>
    <row r="130" spans="1:16" ht="40.799999999999997" thickBot="1" x14ac:dyDescent="0.35">
      <c r="A130" s="40">
        <v>46243.505555555559</v>
      </c>
      <c r="B130" s="41" t="s">
        <v>6</v>
      </c>
      <c r="C130" s="41" t="s">
        <v>7</v>
      </c>
      <c r="D130" s="41">
        <v>10</v>
      </c>
      <c r="E130" s="41">
        <v>291</v>
      </c>
      <c r="F130" s="4">
        <v>14.58948612</v>
      </c>
      <c r="G130" s="2" t="s">
        <v>129</v>
      </c>
      <c r="H130" s="5">
        <v>253.95</v>
      </c>
      <c r="I130" s="1" t="s">
        <v>8</v>
      </c>
      <c r="J130" s="27" t="s">
        <v>117</v>
      </c>
      <c r="K130" s="27" t="s">
        <v>246</v>
      </c>
      <c r="L130" s="27">
        <v>2657</v>
      </c>
      <c r="M130" s="27">
        <f t="shared" si="4"/>
        <v>253</v>
      </c>
      <c r="N130" s="29" t="str">
        <f t="shared" ref="N130:N193" si="5">IF(COUNTIFS( $B$2:$B$688, B130, $C$2:$C$688, C130, $D$2:$D$688, D130, $E$2:$E$688, E130) &gt; 1, "Duplicate", "Unique")</f>
        <v>Duplicate</v>
      </c>
      <c r="O130" s="38" t="s">
        <v>239</v>
      </c>
    </row>
    <row r="131" spans="1:16" ht="40.799999999999997" thickBot="1" x14ac:dyDescent="0.35">
      <c r="A131" s="30">
        <v>46280.588194444441</v>
      </c>
      <c r="B131" s="31" t="s">
        <v>6</v>
      </c>
      <c r="C131" s="31" t="s">
        <v>7</v>
      </c>
      <c r="D131" s="32">
        <v>10</v>
      </c>
      <c r="E131" s="32">
        <v>291</v>
      </c>
      <c r="F131" s="4">
        <v>14.58948612</v>
      </c>
      <c r="G131" s="2" t="s">
        <v>129</v>
      </c>
      <c r="H131" s="5">
        <v>253.95</v>
      </c>
      <c r="I131" s="1" t="s">
        <v>8</v>
      </c>
      <c r="J131" s="48" t="s">
        <v>117</v>
      </c>
      <c r="K131" s="27" t="s">
        <v>274</v>
      </c>
      <c r="L131" s="27">
        <v>2554.5</v>
      </c>
      <c r="M131" s="27">
        <f t="shared" si="4"/>
        <v>355.5</v>
      </c>
      <c r="N131" s="29" t="str">
        <f t="shared" si="5"/>
        <v>Duplicate</v>
      </c>
      <c r="O131" s="38" t="s">
        <v>239</v>
      </c>
      <c r="P131" s="29"/>
    </row>
    <row r="132" spans="1:16" ht="40.799999999999997" thickBot="1" x14ac:dyDescent="0.35">
      <c r="A132" s="11">
        <v>46273.375</v>
      </c>
      <c r="B132" s="8" t="s">
        <v>50</v>
      </c>
      <c r="C132" s="8" t="s">
        <v>7</v>
      </c>
      <c r="D132" s="8">
        <v>10</v>
      </c>
      <c r="E132" s="8">
        <v>937</v>
      </c>
      <c r="F132" s="4">
        <v>7.7444949120000004</v>
      </c>
      <c r="G132" s="2" t="s">
        <v>51</v>
      </c>
      <c r="H132" s="5">
        <v>869.65</v>
      </c>
      <c r="I132" s="1" t="s">
        <v>8</v>
      </c>
      <c r="J132" s="18" t="s">
        <v>152</v>
      </c>
      <c r="K132" s="18" t="s">
        <v>251</v>
      </c>
      <c r="L132" s="18">
        <v>9170</v>
      </c>
      <c r="M132" s="27">
        <f t="shared" si="4"/>
        <v>200</v>
      </c>
      <c r="N132" s="10" t="str">
        <f t="shared" si="5"/>
        <v>Unique</v>
      </c>
      <c r="O132" s="38" t="s">
        <v>239</v>
      </c>
    </row>
    <row r="133" spans="1:16" s="29" customFormat="1" ht="40.799999999999997" thickBot="1" x14ac:dyDescent="0.35">
      <c r="A133" s="30">
        <v>46267.424305555556</v>
      </c>
      <c r="B133" s="31" t="s">
        <v>52</v>
      </c>
      <c r="C133" s="31" t="s">
        <v>7</v>
      </c>
      <c r="D133" s="32">
        <v>2</v>
      </c>
      <c r="E133" s="32">
        <v>2624</v>
      </c>
      <c r="F133" s="4">
        <v>11.540913919999999</v>
      </c>
      <c r="G133" s="2" t="s">
        <v>53</v>
      </c>
      <c r="H133" s="5">
        <v>2352.5</v>
      </c>
      <c r="I133" s="1" t="s">
        <v>8</v>
      </c>
      <c r="J133" s="27" t="s">
        <v>117</v>
      </c>
      <c r="K133" s="27" t="s">
        <v>221</v>
      </c>
      <c r="L133" s="27">
        <v>4968</v>
      </c>
      <c r="M133" s="27">
        <f t="shared" si="4"/>
        <v>280</v>
      </c>
      <c r="N133" s="29" t="str">
        <f t="shared" si="5"/>
        <v>Unique</v>
      </c>
    </row>
    <row r="134" spans="1:16" s="29" customFormat="1" ht="27.6" thickBot="1" x14ac:dyDescent="0.35">
      <c r="A134" s="3">
        <v>46262.375</v>
      </c>
      <c r="B134" s="1" t="s">
        <v>62</v>
      </c>
      <c r="C134" s="1" t="s">
        <v>7</v>
      </c>
      <c r="D134" s="4">
        <v>10</v>
      </c>
      <c r="E134" s="4">
        <v>1071</v>
      </c>
      <c r="F134" s="4">
        <v>11.760409060000001</v>
      </c>
      <c r="G134" s="2" t="s">
        <v>63</v>
      </c>
      <c r="H134" s="5">
        <v>958.3</v>
      </c>
      <c r="I134" s="1" t="s">
        <v>8</v>
      </c>
      <c r="J134" s="18" t="s">
        <v>117</v>
      </c>
      <c r="K134" s="18" t="s">
        <v>191</v>
      </c>
      <c r="L134" s="18">
        <v>10410</v>
      </c>
      <c r="M134" s="18">
        <f t="shared" si="4"/>
        <v>300</v>
      </c>
      <c r="N134" s="10" t="str">
        <f t="shared" si="5"/>
        <v>Unique</v>
      </c>
      <c r="P134" s="10"/>
    </row>
    <row r="135" spans="1:16" ht="27.6" thickBot="1" x14ac:dyDescent="0.35">
      <c r="A135" s="11">
        <v>46252.645833333336</v>
      </c>
      <c r="B135" s="8" t="s">
        <v>48</v>
      </c>
      <c r="C135" s="8" t="s">
        <v>7</v>
      </c>
      <c r="D135" s="8">
        <v>5</v>
      </c>
      <c r="E135" s="8">
        <v>4177</v>
      </c>
      <c r="F135" s="4">
        <v>11.88193068</v>
      </c>
      <c r="G135" s="2" t="s">
        <v>49</v>
      </c>
      <c r="H135" s="5">
        <v>3733.4</v>
      </c>
      <c r="I135" s="1" t="s">
        <v>8</v>
      </c>
      <c r="J135" s="34"/>
      <c r="N135" s="10" t="str">
        <f t="shared" si="5"/>
        <v>Unique</v>
      </c>
      <c r="O135" s="24"/>
    </row>
    <row r="136" spans="1:16" ht="27.6" thickBot="1" x14ac:dyDescent="0.35">
      <c r="A136" s="11">
        <v>46253.375</v>
      </c>
      <c r="B136" s="8" t="s">
        <v>14</v>
      </c>
      <c r="C136" s="8" t="s">
        <v>7</v>
      </c>
      <c r="D136" s="8">
        <v>50</v>
      </c>
      <c r="E136" s="8">
        <v>353</v>
      </c>
      <c r="F136" s="4">
        <v>12.045707030000001</v>
      </c>
      <c r="G136" s="2" t="s">
        <v>44</v>
      </c>
      <c r="H136" s="5">
        <v>315.05</v>
      </c>
      <c r="I136" s="1" t="s">
        <v>8</v>
      </c>
      <c r="J136" s="34" t="s">
        <v>117</v>
      </c>
      <c r="K136" s="18" t="s">
        <v>143</v>
      </c>
      <c r="N136" s="10" t="str">
        <f t="shared" si="5"/>
        <v>Unique</v>
      </c>
    </row>
    <row r="137" spans="1:16" ht="40.799999999999997" thickBot="1" x14ac:dyDescent="0.35">
      <c r="A137" s="3">
        <v>46274.375</v>
      </c>
      <c r="B137" s="1" t="s">
        <v>21</v>
      </c>
      <c r="C137" s="1" t="s">
        <v>7</v>
      </c>
      <c r="D137" s="4">
        <v>5</v>
      </c>
      <c r="E137" s="4">
        <v>730</v>
      </c>
      <c r="F137" s="4">
        <v>12.31633203</v>
      </c>
      <c r="G137" s="2" t="s">
        <v>75</v>
      </c>
      <c r="H137" s="5">
        <v>649.95000000000005</v>
      </c>
      <c r="I137" s="1" t="s">
        <v>8</v>
      </c>
      <c r="J137" s="18" t="s">
        <v>117</v>
      </c>
      <c r="K137" s="18" t="s">
        <v>257</v>
      </c>
      <c r="L137" s="18">
        <v>3400</v>
      </c>
      <c r="M137" s="18">
        <f>ABS((D137*E137)-L137)</f>
        <v>250</v>
      </c>
      <c r="N137" s="10" t="str">
        <f t="shared" si="5"/>
        <v>Unique</v>
      </c>
    </row>
    <row r="138" spans="1:16" ht="40.799999999999997" thickBot="1" x14ac:dyDescent="0.35">
      <c r="A138" s="3">
        <v>46261.375694444447</v>
      </c>
      <c r="B138" s="1" t="s">
        <v>50</v>
      </c>
      <c r="C138" s="1" t="s">
        <v>7</v>
      </c>
      <c r="D138" s="4">
        <v>10</v>
      </c>
      <c r="E138" s="4">
        <v>977</v>
      </c>
      <c r="F138" s="4">
        <v>12.344046459999999</v>
      </c>
      <c r="G138" s="2" t="s">
        <v>51</v>
      </c>
      <c r="H138" s="5">
        <v>869.65</v>
      </c>
      <c r="I138" s="1" t="s">
        <v>8</v>
      </c>
      <c r="J138" s="18" t="s">
        <v>116</v>
      </c>
      <c r="K138" s="18" t="s">
        <v>173</v>
      </c>
      <c r="L138" s="18">
        <v>9470</v>
      </c>
      <c r="M138" s="18">
        <f>ABS((D138*E138)-L138)</f>
        <v>300</v>
      </c>
      <c r="N138" s="10" t="str">
        <f t="shared" si="5"/>
        <v>Unique</v>
      </c>
    </row>
    <row r="139" spans="1:16" ht="27.6" thickBot="1" x14ac:dyDescent="0.35">
      <c r="A139" s="8" t="s">
        <v>61</v>
      </c>
      <c r="B139" s="8" t="s">
        <v>137</v>
      </c>
      <c r="C139" s="8" t="s">
        <v>7</v>
      </c>
      <c r="D139" s="8">
        <v>35</v>
      </c>
      <c r="E139" s="13">
        <v>494</v>
      </c>
      <c r="F139" s="4">
        <v>12.451627589999999</v>
      </c>
      <c r="G139" s="2" t="s">
        <v>138</v>
      </c>
      <c r="H139" s="5">
        <v>439.3</v>
      </c>
      <c r="I139" s="1" t="s">
        <v>8</v>
      </c>
      <c r="J139" s="34"/>
      <c r="N139" s="10" t="str">
        <f t="shared" si="5"/>
        <v>Unique</v>
      </c>
    </row>
    <row r="140" spans="1:16" ht="40.799999999999997" thickBot="1" x14ac:dyDescent="0.35">
      <c r="A140" s="3">
        <v>46265.474999999999</v>
      </c>
      <c r="B140" s="1" t="s">
        <v>20</v>
      </c>
      <c r="C140" s="1" t="s">
        <v>7</v>
      </c>
      <c r="D140" s="4">
        <v>30</v>
      </c>
      <c r="E140" s="4">
        <v>137</v>
      </c>
      <c r="F140" s="4">
        <v>12.655209279999999</v>
      </c>
      <c r="G140" s="2" t="s">
        <v>85</v>
      </c>
      <c r="H140" s="5">
        <v>121.61</v>
      </c>
      <c r="I140" s="1" t="s">
        <v>8</v>
      </c>
      <c r="J140" s="18" t="s">
        <v>117</v>
      </c>
      <c r="K140" s="18" t="s">
        <v>196</v>
      </c>
      <c r="L140" s="18">
        <v>3810</v>
      </c>
      <c r="M140" s="18">
        <f>ABS((D140*E140)-L140)</f>
        <v>300</v>
      </c>
      <c r="N140" t="str">
        <f t="shared" si="5"/>
        <v>Unique</v>
      </c>
    </row>
    <row r="141" spans="1:16" ht="40.799999999999997" thickBot="1" x14ac:dyDescent="0.35">
      <c r="A141" s="3">
        <v>46281.375</v>
      </c>
      <c r="B141" s="1" t="s">
        <v>18</v>
      </c>
      <c r="C141" s="1" t="s">
        <v>7</v>
      </c>
      <c r="D141" s="4">
        <v>10</v>
      </c>
      <c r="E141" s="4">
        <v>1790</v>
      </c>
      <c r="F141" s="4">
        <v>12.015018769999999</v>
      </c>
      <c r="G141" s="2" t="s">
        <v>101</v>
      </c>
      <c r="H141" s="5">
        <v>1598</v>
      </c>
      <c r="I141" s="1" t="s">
        <v>8</v>
      </c>
      <c r="J141" s="18" t="s">
        <v>116</v>
      </c>
      <c r="K141" s="18" t="s">
        <v>283</v>
      </c>
      <c r="L141" s="18">
        <v>16500</v>
      </c>
      <c r="M141" s="18">
        <f>ABS((D141*E141)-L141)</f>
        <v>1400</v>
      </c>
      <c r="N141" s="10" t="str">
        <f t="shared" si="5"/>
        <v>Unique</v>
      </c>
      <c r="O141" s="38" t="s">
        <v>239</v>
      </c>
    </row>
    <row r="142" spans="1:16" ht="27.6" thickBot="1" x14ac:dyDescent="0.35">
      <c r="A142" s="3">
        <v>46261.375</v>
      </c>
      <c r="B142" s="1" t="s">
        <v>62</v>
      </c>
      <c r="C142" s="1" t="s">
        <v>7</v>
      </c>
      <c r="D142" s="4">
        <v>10</v>
      </c>
      <c r="E142" s="4">
        <v>1081</v>
      </c>
      <c r="F142" s="4">
        <v>12.80392361</v>
      </c>
      <c r="G142" s="2" t="s">
        <v>63</v>
      </c>
      <c r="H142" s="5">
        <v>958.3</v>
      </c>
      <c r="I142" s="1" t="s">
        <v>8</v>
      </c>
      <c r="J142" s="18" t="s">
        <v>117</v>
      </c>
      <c r="K142" s="18" t="s">
        <v>181</v>
      </c>
      <c r="L142" s="18">
        <v>10510</v>
      </c>
      <c r="M142" s="18">
        <f>ABS((D142*E142)-L142)</f>
        <v>300</v>
      </c>
      <c r="N142" s="10" t="str">
        <f t="shared" si="5"/>
        <v>Unique</v>
      </c>
    </row>
    <row r="143" spans="1:16" ht="40.799999999999997" thickBot="1" x14ac:dyDescent="0.35">
      <c r="A143" s="3">
        <v>46269.411111111112</v>
      </c>
      <c r="B143" s="1" t="s">
        <v>13</v>
      </c>
      <c r="C143" s="1" t="s">
        <v>7</v>
      </c>
      <c r="D143" s="4">
        <v>10</v>
      </c>
      <c r="E143" s="4">
        <v>1879</v>
      </c>
      <c r="F143" s="4">
        <v>13.19277108</v>
      </c>
      <c r="G143" s="2" t="s">
        <v>90</v>
      </c>
      <c r="H143" s="5">
        <v>1660</v>
      </c>
      <c r="I143" s="1" t="s">
        <v>8</v>
      </c>
      <c r="J143" s="18" t="s">
        <v>117</v>
      </c>
      <c r="K143" s="18" t="s">
        <v>234</v>
      </c>
      <c r="L143" s="18">
        <v>18140</v>
      </c>
      <c r="M143" s="26">
        <f>ABS((D143*E143)-L143)</f>
        <v>650</v>
      </c>
      <c r="N143" t="str">
        <f t="shared" si="5"/>
        <v>Unique</v>
      </c>
    </row>
    <row r="144" spans="1:16" s="29" customFormat="1" ht="27.6" thickBot="1" x14ac:dyDescent="0.35">
      <c r="A144" s="11">
        <v>46252.688194444447</v>
      </c>
      <c r="B144" s="8" t="s">
        <v>14</v>
      </c>
      <c r="C144" s="8" t="s">
        <v>7</v>
      </c>
      <c r="D144" s="8">
        <v>50</v>
      </c>
      <c r="E144" s="8">
        <v>357</v>
      </c>
      <c r="F144" s="4">
        <v>13.31534677</v>
      </c>
      <c r="G144" s="2" t="s">
        <v>44</v>
      </c>
      <c r="H144" s="5">
        <v>315.05</v>
      </c>
      <c r="I144" s="1" t="s">
        <v>8</v>
      </c>
      <c r="J144" s="34"/>
      <c r="K144" s="18"/>
      <c r="L144" s="18"/>
      <c r="M144" s="18"/>
      <c r="N144" s="10" t="str">
        <f t="shared" si="5"/>
        <v>Unique</v>
      </c>
      <c r="P144" s="10"/>
    </row>
    <row r="145" spans="1:16" s="29" customFormat="1" ht="27.6" thickBot="1" x14ac:dyDescent="0.35">
      <c r="A145" s="3">
        <v>46266.375694444447</v>
      </c>
      <c r="B145" s="1" t="s">
        <v>120</v>
      </c>
      <c r="C145" s="1" t="s">
        <v>7</v>
      </c>
      <c r="D145" s="4">
        <v>25</v>
      </c>
      <c r="E145" s="4">
        <v>772</v>
      </c>
      <c r="F145" s="4">
        <v>12.20930233</v>
      </c>
      <c r="G145" s="2" t="s">
        <v>121</v>
      </c>
      <c r="H145" s="5">
        <v>688</v>
      </c>
      <c r="I145" s="1" t="s">
        <v>8</v>
      </c>
      <c r="J145" s="18" t="s">
        <v>116</v>
      </c>
      <c r="K145" s="18" t="s">
        <v>210</v>
      </c>
      <c r="L145" s="18">
        <v>18800</v>
      </c>
      <c r="M145" s="18">
        <f>ABS((D145*E145)-L145)</f>
        <v>500</v>
      </c>
      <c r="N145" s="10" t="str">
        <f t="shared" si="5"/>
        <v>Unique</v>
      </c>
      <c r="O145" s="39" t="s">
        <v>239</v>
      </c>
      <c r="P145" s="10"/>
    </row>
    <row r="146" spans="1:16" ht="27.6" thickBot="1" x14ac:dyDescent="0.35">
      <c r="A146" s="8" t="s">
        <v>61</v>
      </c>
      <c r="B146" s="8" t="s">
        <v>132</v>
      </c>
      <c r="C146" s="8" t="s">
        <v>7</v>
      </c>
      <c r="D146" s="8">
        <v>150</v>
      </c>
      <c r="E146" s="8">
        <v>123.4</v>
      </c>
      <c r="F146" s="4">
        <v>13.39827238</v>
      </c>
      <c r="G146" s="2" t="s">
        <v>133</v>
      </c>
      <c r="H146" s="5">
        <v>108.82</v>
      </c>
      <c r="I146" s="1" t="s">
        <v>8</v>
      </c>
      <c r="J146" s="34" t="s">
        <v>116</v>
      </c>
      <c r="N146" s="10" t="str">
        <f t="shared" si="5"/>
        <v>Unique</v>
      </c>
    </row>
    <row r="147" spans="1:16" ht="40.799999999999997" thickBot="1" x14ac:dyDescent="0.35">
      <c r="A147" s="11">
        <v>46252.635416666664</v>
      </c>
      <c r="B147" s="8" t="s">
        <v>81</v>
      </c>
      <c r="C147" s="8" t="s">
        <v>7</v>
      </c>
      <c r="D147" s="8">
        <v>1</v>
      </c>
      <c r="E147" s="8">
        <v>4556</v>
      </c>
      <c r="F147" s="4">
        <v>13.47447073</v>
      </c>
      <c r="G147" s="2" t="s">
        <v>82</v>
      </c>
      <c r="H147" s="5">
        <v>4015</v>
      </c>
      <c r="I147" s="1" t="s">
        <v>8</v>
      </c>
      <c r="J147" s="34"/>
      <c r="N147" s="10" t="str">
        <f t="shared" si="5"/>
        <v>Unique</v>
      </c>
    </row>
    <row r="148" spans="1:16" ht="40.799999999999997" thickBot="1" x14ac:dyDescent="0.35">
      <c r="A148" s="30">
        <v>46281.443055555559</v>
      </c>
      <c r="B148" s="31" t="s">
        <v>35</v>
      </c>
      <c r="C148" s="31" t="s">
        <v>7</v>
      </c>
      <c r="D148" s="32">
        <v>5</v>
      </c>
      <c r="E148" s="32">
        <v>1196</v>
      </c>
      <c r="F148" s="4">
        <v>13.043478260000001</v>
      </c>
      <c r="G148" s="2" t="s">
        <v>64</v>
      </c>
      <c r="H148" s="5">
        <v>1058</v>
      </c>
      <c r="I148" s="1" t="s">
        <v>8</v>
      </c>
      <c r="J148" s="27" t="s">
        <v>117</v>
      </c>
      <c r="K148" s="27" t="s">
        <v>278</v>
      </c>
      <c r="L148" s="27">
        <v>5585</v>
      </c>
      <c r="M148" s="27">
        <f>ABS((D148*E148)-L148)</f>
        <v>395</v>
      </c>
      <c r="N148" s="29" t="str">
        <f t="shared" si="5"/>
        <v>Duplicate</v>
      </c>
      <c r="O148" s="38" t="s">
        <v>239</v>
      </c>
      <c r="P148" s="29"/>
    </row>
    <row r="149" spans="1:16" ht="40.799999999999997" thickBot="1" x14ac:dyDescent="0.35">
      <c r="A149" s="30">
        <v>46281.388888888891</v>
      </c>
      <c r="B149" s="31" t="s">
        <v>35</v>
      </c>
      <c r="C149" s="31" t="s">
        <v>7</v>
      </c>
      <c r="D149" s="32">
        <v>5</v>
      </c>
      <c r="E149" s="32">
        <v>1196</v>
      </c>
      <c r="F149" s="4">
        <v>13.043478260000001</v>
      </c>
      <c r="G149" s="2" t="s">
        <v>64</v>
      </c>
      <c r="H149" s="5">
        <v>1058</v>
      </c>
      <c r="I149" s="1" t="s">
        <v>8</v>
      </c>
      <c r="J149" s="27" t="s">
        <v>117</v>
      </c>
      <c r="K149" s="27" t="s">
        <v>280</v>
      </c>
      <c r="L149" s="27">
        <v>5730</v>
      </c>
      <c r="M149" s="27">
        <f>ABS((D149*E149)-L149)</f>
        <v>250</v>
      </c>
      <c r="N149" s="29" t="str">
        <f t="shared" si="5"/>
        <v>Duplicate</v>
      </c>
      <c r="O149" s="38" t="s">
        <v>239</v>
      </c>
      <c r="P149" s="29"/>
    </row>
    <row r="150" spans="1:16" ht="27.6" thickBot="1" x14ac:dyDescent="0.35">
      <c r="A150" s="8" t="s">
        <v>61</v>
      </c>
      <c r="B150" s="8" t="s">
        <v>67</v>
      </c>
      <c r="C150" s="8" t="s">
        <v>7</v>
      </c>
      <c r="D150" s="8">
        <v>10</v>
      </c>
      <c r="E150" s="8">
        <v>435</v>
      </c>
      <c r="F150" s="4">
        <v>13.547376659999999</v>
      </c>
      <c r="G150" s="2" t="s">
        <v>68</v>
      </c>
      <c r="H150" s="5">
        <v>383.1</v>
      </c>
      <c r="I150" s="1" t="s">
        <v>8</v>
      </c>
      <c r="J150" s="34"/>
      <c r="N150" s="10" t="str">
        <f t="shared" si="5"/>
        <v>Unique</v>
      </c>
    </row>
    <row r="151" spans="1:16" ht="27.6" thickBot="1" x14ac:dyDescent="0.35">
      <c r="A151" s="3">
        <v>46276.375</v>
      </c>
      <c r="B151" s="1" t="s">
        <v>17</v>
      </c>
      <c r="C151" s="1" t="s">
        <v>7</v>
      </c>
      <c r="D151" s="4">
        <v>25</v>
      </c>
      <c r="E151" s="4">
        <v>360</v>
      </c>
      <c r="F151" s="4">
        <v>13.564668770000001</v>
      </c>
      <c r="G151" s="2" t="s">
        <v>76</v>
      </c>
      <c r="H151" s="5">
        <v>317</v>
      </c>
      <c r="I151" s="1" t="s">
        <v>8</v>
      </c>
      <c r="J151" s="18" t="s">
        <v>116</v>
      </c>
      <c r="K151" s="18" t="s">
        <v>271</v>
      </c>
      <c r="L151" s="18">
        <v>8700</v>
      </c>
      <c r="M151" s="18">
        <f t="shared" ref="M151:M163" si="6">ABS((D151*E151)-L151)</f>
        <v>300</v>
      </c>
      <c r="N151" s="10" t="str">
        <f t="shared" si="5"/>
        <v>Unique</v>
      </c>
    </row>
    <row r="152" spans="1:16" ht="27.6" thickBot="1" x14ac:dyDescent="0.35">
      <c r="A152" s="3">
        <v>46261.375</v>
      </c>
      <c r="B152" s="1" t="s">
        <v>14</v>
      </c>
      <c r="C152" s="1" t="s">
        <v>7</v>
      </c>
      <c r="D152" s="4">
        <v>100</v>
      </c>
      <c r="E152" s="4">
        <v>358</v>
      </c>
      <c r="F152" s="4">
        <v>13.632756710000001</v>
      </c>
      <c r="G152" s="2" t="s">
        <v>44</v>
      </c>
      <c r="H152" s="5">
        <v>315.05</v>
      </c>
      <c r="I152" s="1" t="s">
        <v>8</v>
      </c>
      <c r="J152" s="18" t="s">
        <v>116</v>
      </c>
      <c r="K152" s="18" t="s">
        <v>177</v>
      </c>
      <c r="L152" s="18">
        <v>34100</v>
      </c>
      <c r="M152" s="18">
        <f t="shared" si="6"/>
        <v>1700</v>
      </c>
      <c r="N152" s="10" t="str">
        <f t="shared" si="5"/>
        <v>Unique</v>
      </c>
      <c r="O152" s="29"/>
    </row>
    <row r="153" spans="1:16" ht="40.799999999999997" thickBot="1" x14ac:dyDescent="0.35">
      <c r="A153" s="33">
        <v>46255</v>
      </c>
      <c r="B153" s="31" t="s">
        <v>19</v>
      </c>
      <c r="C153" s="31" t="s">
        <v>7</v>
      </c>
      <c r="D153" s="32">
        <v>20</v>
      </c>
      <c r="E153" s="32">
        <v>241</v>
      </c>
      <c r="F153" s="4">
        <v>13.72752584</v>
      </c>
      <c r="G153" s="2" t="s">
        <v>39</v>
      </c>
      <c r="H153" s="5">
        <v>211.91</v>
      </c>
      <c r="I153" s="1" t="s">
        <v>8</v>
      </c>
      <c r="J153" s="27" t="s">
        <v>117</v>
      </c>
      <c r="K153" s="27" t="s">
        <v>148</v>
      </c>
      <c r="L153" s="27">
        <v>4680</v>
      </c>
      <c r="M153" s="27">
        <f t="shared" si="6"/>
        <v>140</v>
      </c>
      <c r="N153" s="29" t="str">
        <f t="shared" si="5"/>
        <v>Duplicate</v>
      </c>
      <c r="P153" s="29"/>
    </row>
    <row r="154" spans="1:16" ht="40.799999999999997" thickBot="1" x14ac:dyDescent="0.35">
      <c r="A154" s="30">
        <v>46261.385416666664</v>
      </c>
      <c r="B154" s="31" t="s">
        <v>19</v>
      </c>
      <c r="C154" s="31" t="s">
        <v>7</v>
      </c>
      <c r="D154" s="32">
        <v>20</v>
      </c>
      <c r="E154" s="32">
        <v>241</v>
      </c>
      <c r="F154" s="4">
        <v>13.72752584</v>
      </c>
      <c r="G154" s="2" t="s">
        <v>39</v>
      </c>
      <c r="H154" s="5">
        <v>211.91</v>
      </c>
      <c r="I154" s="1" t="s">
        <v>8</v>
      </c>
      <c r="J154" s="27" t="s">
        <v>117</v>
      </c>
      <c r="K154" s="27" t="s">
        <v>175</v>
      </c>
      <c r="L154" s="27">
        <v>4520</v>
      </c>
      <c r="M154" s="27">
        <f t="shared" si="6"/>
        <v>300</v>
      </c>
      <c r="N154" s="29" t="str">
        <f t="shared" si="5"/>
        <v>Duplicate</v>
      </c>
    </row>
    <row r="155" spans="1:16" ht="40.799999999999997" thickBot="1" x14ac:dyDescent="0.35">
      <c r="A155" s="3">
        <v>46335.442361111112</v>
      </c>
      <c r="B155" s="1" t="s">
        <v>79</v>
      </c>
      <c r="C155" s="1" t="s">
        <v>7</v>
      </c>
      <c r="D155" s="4">
        <v>10</v>
      </c>
      <c r="E155" s="4">
        <v>1460</v>
      </c>
      <c r="F155" s="4">
        <v>13.973458239999999</v>
      </c>
      <c r="G155" s="2" t="s">
        <v>80</v>
      </c>
      <c r="H155" s="5">
        <v>1281</v>
      </c>
      <c r="I155" s="1" t="s">
        <v>8</v>
      </c>
      <c r="J155" s="18" t="s">
        <v>116</v>
      </c>
      <c r="K155" s="18" t="s">
        <v>265</v>
      </c>
      <c r="L155" s="18">
        <v>14100</v>
      </c>
      <c r="M155" s="18">
        <f t="shared" si="6"/>
        <v>500</v>
      </c>
      <c r="N155" s="10" t="str">
        <f t="shared" si="5"/>
        <v>Unique</v>
      </c>
    </row>
    <row r="156" spans="1:16" s="29" customFormat="1" ht="40.799999999999997" thickBot="1" x14ac:dyDescent="0.35">
      <c r="A156" s="30">
        <v>46267.375</v>
      </c>
      <c r="B156" s="31" t="s">
        <v>35</v>
      </c>
      <c r="C156" s="31" t="s">
        <v>7</v>
      </c>
      <c r="D156" s="32">
        <v>5</v>
      </c>
      <c r="E156" s="32">
        <v>1206</v>
      </c>
      <c r="F156" s="4">
        <v>13.98865784</v>
      </c>
      <c r="G156" s="2" t="s">
        <v>64</v>
      </c>
      <c r="H156" s="5">
        <v>1058</v>
      </c>
      <c r="I156" s="1" t="s">
        <v>8</v>
      </c>
      <c r="J156" s="27" t="s">
        <v>117</v>
      </c>
      <c r="K156" s="27" t="s">
        <v>225</v>
      </c>
      <c r="L156" s="27">
        <v>5755</v>
      </c>
      <c r="M156" s="27">
        <f t="shared" si="6"/>
        <v>275</v>
      </c>
      <c r="N156" s="29" t="str">
        <f t="shared" si="5"/>
        <v>Duplicate</v>
      </c>
      <c r="O156" s="10"/>
      <c r="P156" s="10"/>
    </row>
    <row r="157" spans="1:16" ht="40.799999999999997" thickBot="1" x14ac:dyDescent="0.35">
      <c r="A157" s="30">
        <v>46267.375</v>
      </c>
      <c r="B157" s="31" t="s">
        <v>35</v>
      </c>
      <c r="C157" s="31" t="s">
        <v>7</v>
      </c>
      <c r="D157" s="32">
        <v>5</v>
      </c>
      <c r="E157" s="32">
        <v>1206</v>
      </c>
      <c r="F157" s="4">
        <v>13.98865784</v>
      </c>
      <c r="G157" s="2" t="s">
        <v>64</v>
      </c>
      <c r="H157" s="5">
        <v>1058</v>
      </c>
      <c r="I157" s="1" t="s">
        <v>8</v>
      </c>
      <c r="J157" s="27" t="s">
        <v>117</v>
      </c>
      <c r="K157" s="27" t="s">
        <v>229</v>
      </c>
      <c r="L157" s="27">
        <v>5805</v>
      </c>
      <c r="M157" s="27">
        <f t="shared" si="6"/>
        <v>225</v>
      </c>
      <c r="N157" s="29" t="str">
        <f t="shared" si="5"/>
        <v>Duplicate</v>
      </c>
    </row>
    <row r="158" spans="1:16" ht="40.799999999999997" thickBot="1" x14ac:dyDescent="0.35">
      <c r="A158" s="30">
        <v>46272.451388888891</v>
      </c>
      <c r="B158" s="31" t="s">
        <v>13</v>
      </c>
      <c r="C158" s="31" t="s">
        <v>7</v>
      </c>
      <c r="D158" s="32">
        <v>5</v>
      </c>
      <c r="E158" s="32">
        <v>1894</v>
      </c>
      <c r="F158" s="4">
        <v>14.09638554</v>
      </c>
      <c r="G158" s="2" t="s">
        <v>90</v>
      </c>
      <c r="H158" s="5">
        <v>1660</v>
      </c>
      <c r="I158" s="1" t="s">
        <v>8</v>
      </c>
      <c r="J158" s="29" t="s">
        <v>117</v>
      </c>
      <c r="K158" s="27" t="s">
        <v>240</v>
      </c>
      <c r="L158" s="27">
        <v>8820</v>
      </c>
      <c r="M158" s="27">
        <f t="shared" si="6"/>
        <v>650</v>
      </c>
      <c r="N158" s="29" t="str">
        <f t="shared" si="5"/>
        <v>Unique</v>
      </c>
      <c r="O158" s="29"/>
      <c r="P158" s="29"/>
    </row>
    <row r="159" spans="1:16" ht="40.799999999999997" thickBot="1" x14ac:dyDescent="0.35">
      <c r="A159" s="30">
        <v>46272.390972222223</v>
      </c>
      <c r="B159" s="31" t="s">
        <v>13</v>
      </c>
      <c r="C159" s="31" t="s">
        <v>7</v>
      </c>
      <c r="D159" s="32">
        <v>20</v>
      </c>
      <c r="E159" s="32">
        <v>1894</v>
      </c>
      <c r="F159" s="4">
        <v>14.09638554</v>
      </c>
      <c r="G159" s="2" t="s">
        <v>90</v>
      </c>
      <c r="H159" s="5">
        <v>1660</v>
      </c>
      <c r="I159" s="1" t="s">
        <v>8</v>
      </c>
      <c r="J159" s="29" t="s">
        <v>117</v>
      </c>
      <c r="K159" s="27" t="s">
        <v>241</v>
      </c>
      <c r="L159" s="27">
        <v>36946</v>
      </c>
      <c r="M159" s="27">
        <f t="shared" si="6"/>
        <v>934</v>
      </c>
      <c r="N159" s="29" t="str">
        <f t="shared" si="5"/>
        <v>Unique</v>
      </c>
      <c r="O159" s="29"/>
      <c r="P159" s="29"/>
    </row>
    <row r="160" spans="1:16" ht="27.6" thickBot="1" x14ac:dyDescent="0.35">
      <c r="A160" s="3">
        <v>46261.615277777775</v>
      </c>
      <c r="B160" s="1" t="s">
        <v>34</v>
      </c>
      <c r="C160" s="1" t="s">
        <v>7</v>
      </c>
      <c r="D160" s="4">
        <v>50</v>
      </c>
      <c r="E160" s="4">
        <v>226.3</v>
      </c>
      <c r="F160" s="4">
        <v>14.989837400000001</v>
      </c>
      <c r="G160" s="2" t="s">
        <v>41</v>
      </c>
      <c r="H160" s="5">
        <v>196.8</v>
      </c>
      <c r="I160" s="1" t="s">
        <v>8</v>
      </c>
      <c r="J160" s="18" t="s">
        <v>117</v>
      </c>
      <c r="K160" s="18" t="s">
        <v>172</v>
      </c>
      <c r="L160" s="18">
        <v>10814</v>
      </c>
      <c r="M160" s="18">
        <f t="shared" si="6"/>
        <v>501</v>
      </c>
      <c r="N160" s="10" t="str">
        <f t="shared" si="5"/>
        <v>Unique</v>
      </c>
      <c r="O160" s="38" t="s">
        <v>239</v>
      </c>
    </row>
    <row r="161" spans="1:16" s="29" customFormat="1" ht="27.6" thickBot="1" x14ac:dyDescent="0.35">
      <c r="A161" s="3">
        <v>46261.375</v>
      </c>
      <c r="B161" s="1" t="s">
        <v>56</v>
      </c>
      <c r="C161" s="1" t="s">
        <v>7</v>
      </c>
      <c r="D161" s="4">
        <v>5</v>
      </c>
      <c r="E161" s="4">
        <v>2972</v>
      </c>
      <c r="F161" s="4">
        <v>14.17505809</v>
      </c>
      <c r="G161" s="2" t="s">
        <v>57</v>
      </c>
      <c r="H161" s="5">
        <v>2582</v>
      </c>
      <c r="I161" s="1" t="s">
        <v>8</v>
      </c>
      <c r="J161" s="18" t="s">
        <v>116</v>
      </c>
      <c r="K161" s="18" t="s">
        <v>180</v>
      </c>
      <c r="L161" s="18">
        <v>14440</v>
      </c>
      <c r="M161" s="18">
        <f t="shared" si="6"/>
        <v>420</v>
      </c>
      <c r="N161" s="10" t="str">
        <f t="shared" si="5"/>
        <v>Unique</v>
      </c>
      <c r="O161"/>
      <c r="P161" s="10"/>
    </row>
    <row r="162" spans="1:16" ht="40.799999999999997" thickBot="1" x14ac:dyDescent="0.35">
      <c r="A162" s="3">
        <v>46269.643055555556</v>
      </c>
      <c r="B162" s="1" t="s">
        <v>12</v>
      </c>
      <c r="C162" s="1" t="s">
        <v>7</v>
      </c>
      <c r="D162" s="4">
        <v>1</v>
      </c>
      <c r="E162" s="4">
        <v>5448</v>
      </c>
      <c r="F162" s="4">
        <v>14.328884410000001</v>
      </c>
      <c r="G162" s="2" t="s">
        <v>97</v>
      </c>
      <c r="H162" s="5">
        <v>4765.2</v>
      </c>
      <c r="I162" s="1" t="s">
        <v>8</v>
      </c>
      <c r="J162" s="18" t="s">
        <v>117</v>
      </c>
      <c r="K162" s="18" t="s">
        <v>233</v>
      </c>
      <c r="L162" s="18">
        <v>5180</v>
      </c>
      <c r="M162" s="26">
        <f t="shared" si="6"/>
        <v>268</v>
      </c>
      <c r="N162" t="str">
        <f t="shared" si="5"/>
        <v>Unique</v>
      </c>
    </row>
    <row r="163" spans="1:16" ht="40.799999999999997" thickBot="1" x14ac:dyDescent="0.35">
      <c r="A163" s="3">
        <v>46261.375694444447</v>
      </c>
      <c r="B163" s="1" t="s">
        <v>52</v>
      </c>
      <c r="C163" s="1" t="s">
        <v>7</v>
      </c>
      <c r="D163" s="4">
        <v>2</v>
      </c>
      <c r="E163" s="4">
        <v>2690</v>
      </c>
      <c r="F163" s="4">
        <v>14.34643996</v>
      </c>
      <c r="G163" s="2" t="s">
        <v>53</v>
      </c>
      <c r="H163" s="5">
        <v>2352.5</v>
      </c>
      <c r="I163" s="1" t="s">
        <v>8</v>
      </c>
      <c r="J163" s="18" t="s">
        <v>117</v>
      </c>
      <c r="K163" s="18" t="s">
        <v>174</v>
      </c>
      <c r="L163" s="18">
        <v>5120</v>
      </c>
      <c r="M163" s="18">
        <f t="shared" si="6"/>
        <v>260</v>
      </c>
      <c r="N163" s="10" t="str">
        <f t="shared" si="5"/>
        <v>Unique</v>
      </c>
    </row>
    <row r="164" spans="1:16" ht="40.799999999999997" thickBot="1" x14ac:dyDescent="0.35">
      <c r="A164" s="11">
        <v>46252.6875</v>
      </c>
      <c r="B164" s="8" t="s">
        <v>24</v>
      </c>
      <c r="C164" s="8" t="s">
        <v>7</v>
      </c>
      <c r="D164" s="8">
        <v>40</v>
      </c>
      <c r="E164" s="8">
        <v>458</v>
      </c>
      <c r="F164" s="4">
        <v>14.457078599999999</v>
      </c>
      <c r="G164" s="2" t="s">
        <v>55</v>
      </c>
      <c r="H164" s="5">
        <v>400.15</v>
      </c>
      <c r="I164" s="1" t="s">
        <v>8</v>
      </c>
      <c r="J164" s="34" t="s">
        <v>116</v>
      </c>
      <c r="N164" s="10" t="str">
        <f t="shared" si="5"/>
        <v>Unique</v>
      </c>
    </row>
    <row r="165" spans="1:16" ht="40.799999999999997" thickBot="1" x14ac:dyDescent="0.35">
      <c r="A165" s="30">
        <v>46335.62777777778</v>
      </c>
      <c r="B165" s="31" t="s">
        <v>11</v>
      </c>
      <c r="C165" s="31" t="s">
        <v>7</v>
      </c>
      <c r="D165" s="32">
        <v>20</v>
      </c>
      <c r="E165" s="32">
        <v>284.5</v>
      </c>
      <c r="F165" s="4">
        <v>14.48692153</v>
      </c>
      <c r="G165" s="2" t="s">
        <v>98</v>
      </c>
      <c r="H165" s="5">
        <v>248.5</v>
      </c>
      <c r="I165" s="1" t="s">
        <v>8</v>
      </c>
      <c r="J165" s="27" t="s">
        <v>117</v>
      </c>
      <c r="K165" s="27" t="s">
        <v>264</v>
      </c>
      <c r="L165" s="27">
        <v>5370</v>
      </c>
      <c r="M165" s="27">
        <f>ABS((D165*E165)-L165)</f>
        <v>320</v>
      </c>
      <c r="N165" s="29" t="str">
        <f t="shared" si="5"/>
        <v>Unique</v>
      </c>
      <c r="O165" s="29"/>
      <c r="P165" s="29"/>
    </row>
    <row r="166" spans="1:16" ht="40.799999999999997" thickBot="1" x14ac:dyDescent="0.35">
      <c r="A166" s="30">
        <v>46280.375694444447</v>
      </c>
      <c r="B166" s="31" t="s">
        <v>11</v>
      </c>
      <c r="C166" s="31" t="s">
        <v>7</v>
      </c>
      <c r="D166" s="32">
        <v>10</v>
      </c>
      <c r="E166" s="32">
        <v>284.5</v>
      </c>
      <c r="F166" s="4">
        <v>14.48692153</v>
      </c>
      <c r="G166" s="2" t="s">
        <v>98</v>
      </c>
      <c r="H166" s="5">
        <v>248.5</v>
      </c>
      <c r="I166" s="1" t="s">
        <v>8</v>
      </c>
      <c r="J166" s="27" t="s">
        <v>117</v>
      </c>
      <c r="K166" s="27" t="s">
        <v>276</v>
      </c>
      <c r="L166" s="27">
        <v>2610</v>
      </c>
      <c r="M166" s="27">
        <f>ABS((D166*E166)-L166)</f>
        <v>235</v>
      </c>
      <c r="N166" s="29" t="str">
        <f t="shared" si="5"/>
        <v>Unique</v>
      </c>
      <c r="O166" s="29"/>
      <c r="P166" s="29"/>
    </row>
    <row r="167" spans="1:16" ht="27.6" thickBot="1" x14ac:dyDescent="0.35">
      <c r="A167" s="3">
        <v>46294.475694444445</v>
      </c>
      <c r="B167" s="2" t="s">
        <v>16</v>
      </c>
      <c r="C167" s="2" t="s">
        <v>7</v>
      </c>
      <c r="D167" s="5">
        <v>5</v>
      </c>
      <c r="E167" s="5">
        <v>849</v>
      </c>
      <c r="F167" s="4">
        <v>14.54398273</v>
      </c>
      <c r="G167" s="2" t="s">
        <v>60</v>
      </c>
      <c r="H167" s="5">
        <v>741.2</v>
      </c>
      <c r="I167" s="1" t="s">
        <v>8</v>
      </c>
      <c r="J167" s="18" t="s">
        <v>117</v>
      </c>
      <c r="K167" s="18" t="s">
        <v>306</v>
      </c>
      <c r="L167" s="18">
        <v>3869</v>
      </c>
      <c r="M167" s="18">
        <f>ABS((D167*E167)-L167)</f>
        <v>376</v>
      </c>
      <c r="N167" s="10" t="str">
        <f t="shared" si="5"/>
        <v>Unique</v>
      </c>
    </row>
    <row r="168" spans="1:16" ht="27.6" thickBot="1" x14ac:dyDescent="0.35">
      <c r="A168" s="11">
        <v>46252.688194444447</v>
      </c>
      <c r="B168" s="8" t="s">
        <v>14</v>
      </c>
      <c r="C168" s="8" t="s">
        <v>7</v>
      </c>
      <c r="D168" s="8">
        <v>50</v>
      </c>
      <c r="E168" s="8">
        <v>361</v>
      </c>
      <c r="F168" s="4">
        <v>14.58498651</v>
      </c>
      <c r="G168" s="2" t="s">
        <v>44</v>
      </c>
      <c r="H168" s="5">
        <v>315.05</v>
      </c>
      <c r="I168" s="1" t="s">
        <v>8</v>
      </c>
      <c r="J168" s="34"/>
      <c r="N168" s="10" t="str">
        <f t="shared" si="5"/>
        <v>Unique</v>
      </c>
    </row>
    <row r="169" spans="1:16" ht="40.799999999999997" thickBot="1" x14ac:dyDescent="0.35">
      <c r="A169" s="11">
        <v>46252.635416666664</v>
      </c>
      <c r="B169" s="8" t="s">
        <v>50</v>
      </c>
      <c r="C169" s="8" t="s">
        <v>7</v>
      </c>
      <c r="D169" s="8">
        <v>10</v>
      </c>
      <c r="E169" s="8">
        <v>997</v>
      </c>
      <c r="F169" s="4">
        <v>14.64382223</v>
      </c>
      <c r="G169" s="2" t="s">
        <v>51</v>
      </c>
      <c r="H169" s="5">
        <v>869.65</v>
      </c>
      <c r="I169" s="1" t="s">
        <v>8</v>
      </c>
      <c r="J169" s="34" t="s">
        <v>116</v>
      </c>
      <c r="N169" s="10" t="str">
        <f t="shared" si="5"/>
        <v>Unique</v>
      </c>
    </row>
    <row r="170" spans="1:16" ht="40.799999999999997" thickBot="1" x14ac:dyDescent="0.35">
      <c r="A170" s="3">
        <v>46290.385416666664</v>
      </c>
      <c r="B170" s="2" t="s">
        <v>118</v>
      </c>
      <c r="C170" s="2" t="s">
        <v>7</v>
      </c>
      <c r="D170" s="5">
        <v>15</v>
      </c>
      <c r="E170" s="5">
        <v>1048</v>
      </c>
      <c r="F170" s="4">
        <v>14.66083151</v>
      </c>
      <c r="G170" s="2" t="s">
        <v>119</v>
      </c>
      <c r="H170" s="5">
        <v>914</v>
      </c>
      <c r="I170" s="1" t="s">
        <v>8</v>
      </c>
      <c r="J170" s="18" t="s">
        <v>54</v>
      </c>
      <c r="K170" s="18" t="s">
        <v>298</v>
      </c>
      <c r="L170" s="18">
        <v>15300</v>
      </c>
      <c r="M170" s="18">
        <f>ABS((D170*E170)-L170)</f>
        <v>420</v>
      </c>
      <c r="N170" s="10" t="str">
        <f t="shared" si="5"/>
        <v>Unique</v>
      </c>
    </row>
    <row r="171" spans="1:16" ht="27.6" thickBot="1" x14ac:dyDescent="0.35">
      <c r="A171" s="8" t="s">
        <v>61</v>
      </c>
      <c r="B171" s="8" t="s">
        <v>73</v>
      </c>
      <c r="C171" s="8" t="s">
        <v>7</v>
      </c>
      <c r="D171" s="8">
        <v>5</v>
      </c>
      <c r="E171" s="8">
        <v>3633</v>
      </c>
      <c r="F171" s="4">
        <v>14.6780303</v>
      </c>
      <c r="G171" s="2" t="s">
        <v>74</v>
      </c>
      <c r="H171" s="5">
        <v>3168</v>
      </c>
      <c r="I171" s="1" t="s">
        <v>8</v>
      </c>
      <c r="J171" s="34"/>
      <c r="N171" s="10" t="str">
        <f t="shared" si="5"/>
        <v>Unique</v>
      </c>
    </row>
    <row r="172" spans="1:16" ht="40.799999999999997" thickBot="1" x14ac:dyDescent="0.35">
      <c r="A172" s="3">
        <v>46276.4</v>
      </c>
      <c r="B172" s="1" t="s">
        <v>79</v>
      </c>
      <c r="C172" s="1" t="s">
        <v>7</v>
      </c>
      <c r="D172" s="4">
        <v>10</v>
      </c>
      <c r="E172" s="4">
        <v>1470</v>
      </c>
      <c r="F172" s="4">
        <v>14.75409836</v>
      </c>
      <c r="G172" s="2" t="s">
        <v>80</v>
      </c>
      <c r="H172" s="5">
        <v>1281</v>
      </c>
      <c r="I172" s="1" t="s">
        <v>8</v>
      </c>
      <c r="J172" s="18" t="s">
        <v>116</v>
      </c>
      <c r="K172" s="18" t="s">
        <v>267</v>
      </c>
      <c r="L172" s="18">
        <v>14200</v>
      </c>
      <c r="M172" s="18">
        <f>ABS((D172*E172)-L172)</f>
        <v>500</v>
      </c>
      <c r="N172" s="10" t="str">
        <f t="shared" si="5"/>
        <v>Unique</v>
      </c>
    </row>
    <row r="173" spans="1:16" ht="40.799999999999997" thickBot="1" x14ac:dyDescent="0.35">
      <c r="A173" s="11">
        <v>46252.688194444447</v>
      </c>
      <c r="B173" s="8" t="s">
        <v>28</v>
      </c>
      <c r="C173" s="8" t="s">
        <v>7</v>
      </c>
      <c r="D173" s="8">
        <v>30</v>
      </c>
      <c r="E173" s="8">
        <v>930</v>
      </c>
      <c r="F173" s="4">
        <v>15.013603760000001</v>
      </c>
      <c r="G173" s="2" t="s">
        <v>124</v>
      </c>
      <c r="H173" s="5">
        <v>808.6</v>
      </c>
      <c r="I173" s="1" t="s">
        <v>8</v>
      </c>
      <c r="J173" s="34"/>
      <c r="N173" s="10" t="str">
        <f t="shared" si="5"/>
        <v>Unique</v>
      </c>
      <c r="P173" s="29"/>
    </row>
    <row r="174" spans="1:16" ht="40.799999999999997" thickBot="1" x14ac:dyDescent="0.35">
      <c r="A174" s="8" t="s">
        <v>61</v>
      </c>
      <c r="B174" s="8" t="s">
        <v>52</v>
      </c>
      <c r="C174" s="8" t="s">
        <v>7</v>
      </c>
      <c r="D174" s="8">
        <v>3</v>
      </c>
      <c r="E174" s="12">
        <v>2710</v>
      </c>
      <c r="F174" s="4">
        <v>15.19659936</v>
      </c>
      <c r="G174" s="2" t="s">
        <v>53</v>
      </c>
      <c r="H174" s="5">
        <v>2352.5</v>
      </c>
      <c r="I174" s="1" t="s">
        <v>8</v>
      </c>
      <c r="J174" s="34" t="s">
        <v>117</v>
      </c>
      <c r="N174" s="10" t="str">
        <f t="shared" si="5"/>
        <v>Unique</v>
      </c>
    </row>
    <row r="175" spans="1:16" ht="40.799999999999997" thickBot="1" x14ac:dyDescent="0.35">
      <c r="A175" s="8" t="s">
        <v>61</v>
      </c>
      <c r="B175" s="8" t="s">
        <v>21</v>
      </c>
      <c r="C175" s="8" t="s">
        <v>7</v>
      </c>
      <c r="D175" s="8">
        <v>11</v>
      </c>
      <c r="E175" s="12">
        <v>749</v>
      </c>
      <c r="F175" s="4">
        <v>15.23963382</v>
      </c>
      <c r="G175" s="2" t="s">
        <v>75</v>
      </c>
      <c r="H175" s="5">
        <v>649.95000000000005</v>
      </c>
      <c r="I175" s="1" t="s">
        <v>8</v>
      </c>
      <c r="J175" s="34" t="s">
        <v>192</v>
      </c>
      <c r="N175" s="10" t="str">
        <f t="shared" si="5"/>
        <v>Unique</v>
      </c>
    </row>
    <row r="176" spans="1:16" ht="27.6" thickBot="1" x14ac:dyDescent="0.35">
      <c r="A176" s="11">
        <v>46252.635416666664</v>
      </c>
      <c r="B176" s="8" t="s">
        <v>122</v>
      </c>
      <c r="C176" s="8" t="s">
        <v>7</v>
      </c>
      <c r="D176" s="8">
        <v>200</v>
      </c>
      <c r="E176" s="8">
        <v>89.3</v>
      </c>
      <c r="F176" s="4">
        <v>16.900117819999998</v>
      </c>
      <c r="G176" s="2" t="s">
        <v>123</v>
      </c>
      <c r="H176" s="5">
        <v>76.39</v>
      </c>
      <c r="I176" s="1" t="s">
        <v>8</v>
      </c>
      <c r="J176" s="18" t="s">
        <v>117</v>
      </c>
      <c r="N176" s="10" t="str">
        <f t="shared" si="5"/>
        <v>Unique</v>
      </c>
      <c r="O176" s="38" t="s">
        <v>239</v>
      </c>
    </row>
    <row r="177" spans="1:16" ht="27.6" thickBot="1" x14ac:dyDescent="0.35">
      <c r="A177" s="6" t="s">
        <v>61</v>
      </c>
      <c r="B177" s="1" t="s">
        <v>15</v>
      </c>
      <c r="C177" s="1" t="s">
        <v>10</v>
      </c>
      <c r="D177" s="4">
        <v>30</v>
      </c>
      <c r="E177" s="4">
        <v>2435</v>
      </c>
      <c r="F177" s="4">
        <v>15.452088570000001</v>
      </c>
      <c r="G177" s="2" t="s">
        <v>71</v>
      </c>
      <c r="H177" s="5">
        <v>2109.1</v>
      </c>
      <c r="I177" s="1" t="s">
        <v>8</v>
      </c>
      <c r="J177" s="51" t="s">
        <v>54</v>
      </c>
      <c r="K177" s="17"/>
      <c r="L177" s="17"/>
      <c r="M177" s="17"/>
      <c r="N177" t="str">
        <f t="shared" si="5"/>
        <v>Unique</v>
      </c>
    </row>
    <row r="178" spans="1:16" ht="27.6" thickBot="1" x14ac:dyDescent="0.35">
      <c r="A178" s="8" t="s">
        <v>61</v>
      </c>
      <c r="B178" s="8" t="s">
        <v>120</v>
      </c>
      <c r="C178" s="8" t="s">
        <v>7</v>
      </c>
      <c r="D178" s="8">
        <v>10</v>
      </c>
      <c r="E178" s="8">
        <v>796</v>
      </c>
      <c r="F178" s="4">
        <v>15.69767442</v>
      </c>
      <c r="G178" s="2" t="s">
        <v>121</v>
      </c>
      <c r="H178" s="5">
        <v>688</v>
      </c>
      <c r="I178" s="1" t="s">
        <v>8</v>
      </c>
      <c r="J178" s="34" t="s">
        <v>116</v>
      </c>
      <c r="N178" s="10" t="str">
        <f t="shared" si="5"/>
        <v>Unique</v>
      </c>
    </row>
    <row r="179" spans="1:16" ht="40.799999999999997" thickBot="1" x14ac:dyDescent="0.35">
      <c r="A179" s="30">
        <v>46258.443749999999</v>
      </c>
      <c r="B179" s="31" t="s">
        <v>6</v>
      </c>
      <c r="C179" s="31" t="s">
        <v>7</v>
      </c>
      <c r="D179" s="32">
        <v>50</v>
      </c>
      <c r="E179" s="32">
        <v>294</v>
      </c>
      <c r="F179" s="4">
        <v>15.77082103</v>
      </c>
      <c r="G179" s="2" t="s">
        <v>129</v>
      </c>
      <c r="H179" s="5">
        <v>253.95</v>
      </c>
      <c r="I179" s="1" t="s">
        <v>8</v>
      </c>
      <c r="J179" s="27" t="s">
        <v>117</v>
      </c>
      <c r="K179" s="27" t="s">
        <v>154</v>
      </c>
      <c r="L179" s="27">
        <v>14172.5</v>
      </c>
      <c r="M179" s="27">
        <f>ABS((D179*E179)-L179)</f>
        <v>527.5</v>
      </c>
      <c r="N179" s="29" t="str">
        <f t="shared" si="5"/>
        <v>Unique</v>
      </c>
      <c r="O179" s="29"/>
      <c r="P179" s="29"/>
    </row>
    <row r="180" spans="1:16" s="29" customFormat="1" ht="27.6" thickBot="1" x14ac:dyDescent="0.35">
      <c r="A180" s="3">
        <v>46266.375</v>
      </c>
      <c r="B180" s="1" t="s">
        <v>88</v>
      </c>
      <c r="C180" s="1" t="s">
        <v>7</v>
      </c>
      <c r="D180" s="4">
        <v>1</v>
      </c>
      <c r="E180" s="4">
        <v>14852</v>
      </c>
      <c r="F180" s="4">
        <v>16.504549730000001</v>
      </c>
      <c r="G180" s="2" t="s">
        <v>89</v>
      </c>
      <c r="H180" s="5">
        <v>12748</v>
      </c>
      <c r="I180" s="1" t="s">
        <v>8</v>
      </c>
      <c r="J180" s="18" t="s">
        <v>117</v>
      </c>
      <c r="K180" s="18" t="s">
        <v>217</v>
      </c>
      <c r="L180" s="18">
        <v>14552</v>
      </c>
      <c r="M180" s="18">
        <f>ABS((D180*E180)-L180)</f>
        <v>300</v>
      </c>
      <c r="N180" s="10" t="str">
        <f t="shared" si="5"/>
        <v>Unique</v>
      </c>
      <c r="O180" s="38" t="s">
        <v>239</v>
      </c>
    </row>
    <row r="181" spans="1:16" ht="40.799999999999997" thickBot="1" x14ac:dyDescent="0.35">
      <c r="A181" s="40">
        <v>46253.4</v>
      </c>
      <c r="B181" s="41" t="s">
        <v>6</v>
      </c>
      <c r="C181" s="41" t="s">
        <v>7</v>
      </c>
      <c r="D181" s="41">
        <v>30</v>
      </c>
      <c r="E181" s="41">
        <v>294</v>
      </c>
      <c r="F181" s="4">
        <v>15.77082103</v>
      </c>
      <c r="G181" s="2" t="s">
        <v>129</v>
      </c>
      <c r="H181" s="5">
        <v>253.95</v>
      </c>
      <c r="I181" s="1" t="s">
        <v>8</v>
      </c>
      <c r="J181" s="48" t="s">
        <v>117</v>
      </c>
      <c r="K181" s="27" t="s">
        <v>142</v>
      </c>
      <c r="L181" s="27"/>
      <c r="M181" s="27"/>
      <c r="N181" s="29" t="str">
        <f t="shared" si="5"/>
        <v>Unique</v>
      </c>
      <c r="O181" s="29"/>
      <c r="P181" s="29"/>
    </row>
    <row r="182" spans="1:16" ht="27.6" thickBot="1" x14ac:dyDescent="0.35">
      <c r="A182" s="11">
        <v>46252.688194444447</v>
      </c>
      <c r="B182" s="8" t="s">
        <v>14</v>
      </c>
      <c r="C182" s="8" t="s">
        <v>7</v>
      </c>
      <c r="D182" s="8">
        <v>50</v>
      </c>
      <c r="E182" s="8">
        <v>365</v>
      </c>
      <c r="F182" s="4">
        <v>15.854626250000001</v>
      </c>
      <c r="G182" s="2" t="s">
        <v>44</v>
      </c>
      <c r="H182" s="5">
        <v>315.05</v>
      </c>
      <c r="I182" s="1" t="s">
        <v>8</v>
      </c>
      <c r="J182" s="34" t="s">
        <v>117</v>
      </c>
      <c r="N182" s="10" t="str">
        <f t="shared" si="5"/>
        <v>Unique</v>
      </c>
    </row>
    <row r="183" spans="1:16" ht="40.799999999999997" thickBot="1" x14ac:dyDescent="0.35">
      <c r="A183" s="3">
        <v>46260.425694444442</v>
      </c>
      <c r="B183" s="1" t="s">
        <v>13</v>
      </c>
      <c r="C183" s="1" t="s">
        <v>7</v>
      </c>
      <c r="D183" s="4">
        <v>20</v>
      </c>
      <c r="E183" s="4">
        <v>1924</v>
      </c>
      <c r="F183" s="4">
        <v>15.90361446</v>
      </c>
      <c r="G183" s="2" t="s">
        <v>90</v>
      </c>
      <c r="H183" s="5">
        <v>1660</v>
      </c>
      <c r="I183" s="1" t="s">
        <v>8</v>
      </c>
      <c r="J183" s="18" t="s">
        <v>117</v>
      </c>
      <c r="K183" s="18" t="s">
        <v>167</v>
      </c>
      <c r="L183" s="18">
        <v>37480</v>
      </c>
      <c r="M183" s="18">
        <f>ABS((D183*E183)-L183)</f>
        <v>1000</v>
      </c>
      <c r="N183" t="str">
        <f t="shared" si="5"/>
        <v>Unique</v>
      </c>
      <c r="P183" s="29"/>
    </row>
    <row r="184" spans="1:16" ht="27.6" thickBot="1" x14ac:dyDescent="0.35">
      <c r="A184" s="11">
        <v>46252.645138888889</v>
      </c>
      <c r="B184" s="8" t="s">
        <v>56</v>
      </c>
      <c r="C184" s="8" t="s">
        <v>7</v>
      </c>
      <c r="D184" s="8">
        <v>5</v>
      </c>
      <c r="E184" s="8">
        <v>2998</v>
      </c>
      <c r="F184" s="4">
        <v>16.11154144</v>
      </c>
      <c r="G184" s="2" t="s">
        <v>57</v>
      </c>
      <c r="H184" s="5">
        <v>2582</v>
      </c>
      <c r="I184" s="1" t="s">
        <v>8</v>
      </c>
      <c r="J184" s="17" t="s">
        <v>116</v>
      </c>
      <c r="N184" s="10" t="str">
        <f t="shared" si="5"/>
        <v>Unique</v>
      </c>
    </row>
    <row r="185" spans="1:16" ht="40.799999999999997" thickBot="1" x14ac:dyDescent="0.35">
      <c r="A185" s="3">
        <v>46260.554861111108</v>
      </c>
      <c r="B185" s="1" t="s">
        <v>12</v>
      </c>
      <c r="C185" s="1" t="s">
        <v>7</v>
      </c>
      <c r="D185" s="4">
        <v>1</v>
      </c>
      <c r="E185" s="4">
        <v>5540</v>
      </c>
      <c r="F185" s="4">
        <v>16.259548389999999</v>
      </c>
      <c r="G185" s="2" t="s">
        <v>97</v>
      </c>
      <c r="H185" s="5">
        <v>4765.2</v>
      </c>
      <c r="I185" s="1" t="s">
        <v>8</v>
      </c>
      <c r="J185" s="18" t="s">
        <v>117</v>
      </c>
      <c r="K185" s="18" t="s">
        <v>164</v>
      </c>
      <c r="L185" s="18">
        <v>5290</v>
      </c>
      <c r="M185" s="18">
        <f>ABS((D185*E185)-L185)</f>
        <v>250</v>
      </c>
      <c r="N185" t="str">
        <f t="shared" si="5"/>
        <v>Unique</v>
      </c>
    </row>
    <row r="186" spans="1:16" ht="40.799999999999997" thickBot="1" x14ac:dyDescent="0.35">
      <c r="A186" s="3">
        <v>46274.414583333331</v>
      </c>
      <c r="B186" s="1" t="s">
        <v>12</v>
      </c>
      <c r="C186" s="1" t="s">
        <v>7</v>
      </c>
      <c r="D186" s="4">
        <v>2</v>
      </c>
      <c r="E186" s="4">
        <v>5274</v>
      </c>
      <c r="F186" s="4">
        <v>10.677411230000001</v>
      </c>
      <c r="G186" s="2" t="s">
        <v>97</v>
      </c>
      <c r="H186" s="5">
        <v>4765.2</v>
      </c>
      <c r="I186" s="1" t="s">
        <v>8</v>
      </c>
      <c r="J186" s="18" t="s">
        <v>117</v>
      </c>
      <c r="K186" s="18" t="s">
        <v>254</v>
      </c>
      <c r="L186" s="18">
        <v>9902</v>
      </c>
      <c r="M186" s="18">
        <f>ABS((D186*E186)-L186)</f>
        <v>646</v>
      </c>
      <c r="N186" s="10" t="str">
        <f t="shared" si="5"/>
        <v>Unique</v>
      </c>
      <c r="O186" s="38" t="s">
        <v>239</v>
      </c>
    </row>
    <row r="187" spans="1:16" ht="27.6" thickBot="1" x14ac:dyDescent="0.35">
      <c r="A187" s="49">
        <v>46296.40902777778</v>
      </c>
      <c r="B187" s="2" t="s">
        <v>285</v>
      </c>
      <c r="C187" s="2" t="s">
        <v>7</v>
      </c>
      <c r="D187" s="5">
        <v>2</v>
      </c>
      <c r="E187" s="5">
        <v>1584.1</v>
      </c>
      <c r="F187" s="4">
        <v>16.272753959999999</v>
      </c>
      <c r="G187" s="2" t="s">
        <v>287</v>
      </c>
      <c r="H187" s="5">
        <v>1362.4</v>
      </c>
      <c r="I187" s="1" t="s">
        <v>8</v>
      </c>
      <c r="J187" s="18" t="s">
        <v>117</v>
      </c>
      <c r="K187" s="18" t="s">
        <v>314</v>
      </c>
      <c r="L187" s="18">
        <v>2868.2</v>
      </c>
      <c r="M187" s="18">
        <f>ABS((D187*E187)-L187)</f>
        <v>300</v>
      </c>
      <c r="N187" s="10" t="str">
        <f t="shared" si="5"/>
        <v>Unique</v>
      </c>
    </row>
    <row r="188" spans="1:16" ht="27.6" thickBot="1" x14ac:dyDescent="0.35">
      <c r="A188" s="11">
        <v>46252.635416666664</v>
      </c>
      <c r="B188" s="8" t="s">
        <v>46</v>
      </c>
      <c r="C188" s="8" t="s">
        <v>7</v>
      </c>
      <c r="D188" s="8">
        <v>8</v>
      </c>
      <c r="E188" s="8">
        <v>2448</v>
      </c>
      <c r="F188" s="4">
        <v>16.294536820000001</v>
      </c>
      <c r="G188" s="2" t="s">
        <v>47</v>
      </c>
      <c r="H188" s="5">
        <v>2105</v>
      </c>
      <c r="I188" s="1" t="s">
        <v>8</v>
      </c>
      <c r="J188" s="34"/>
      <c r="N188" s="10" t="str">
        <f t="shared" si="5"/>
        <v>Unique</v>
      </c>
    </row>
    <row r="189" spans="1:16" s="29" customFormat="1" ht="40.799999999999997" thickBot="1" x14ac:dyDescent="0.35">
      <c r="A189" s="3">
        <v>46269.375</v>
      </c>
      <c r="B189" s="1" t="s">
        <v>22</v>
      </c>
      <c r="C189" s="1" t="s">
        <v>7</v>
      </c>
      <c r="D189" s="4">
        <v>5</v>
      </c>
      <c r="E189" s="4">
        <v>471</v>
      </c>
      <c r="F189" s="4">
        <v>16.296296300000002</v>
      </c>
      <c r="G189" s="2" t="s">
        <v>72</v>
      </c>
      <c r="H189" s="5">
        <v>405</v>
      </c>
      <c r="I189" s="1" t="s">
        <v>8</v>
      </c>
      <c r="J189" s="18" t="s">
        <v>117</v>
      </c>
      <c r="K189" s="18" t="s">
        <v>236</v>
      </c>
      <c r="L189" s="18">
        <v>2105</v>
      </c>
      <c r="M189" s="26">
        <f>ABS((D189*E189)-L189)</f>
        <v>250</v>
      </c>
      <c r="N189" t="str">
        <f t="shared" si="5"/>
        <v>Unique</v>
      </c>
      <c r="O189" s="10"/>
      <c r="P189" s="10"/>
    </row>
    <row r="190" spans="1:16" ht="40.799999999999997" thickBot="1" x14ac:dyDescent="0.35">
      <c r="A190" s="3">
        <v>46276.390277777777</v>
      </c>
      <c r="B190" s="1" t="s">
        <v>79</v>
      </c>
      <c r="C190" s="1" t="s">
        <v>7</v>
      </c>
      <c r="D190" s="4">
        <v>10</v>
      </c>
      <c r="E190" s="4">
        <v>1490</v>
      </c>
      <c r="F190" s="4">
        <v>16.31537861</v>
      </c>
      <c r="G190" s="2" t="s">
        <v>80</v>
      </c>
      <c r="H190" s="5">
        <v>1281</v>
      </c>
      <c r="I190" s="1" t="s">
        <v>8</v>
      </c>
      <c r="J190" s="18" t="s">
        <v>116</v>
      </c>
      <c r="K190" s="18" t="s">
        <v>268</v>
      </c>
      <c r="L190" s="18">
        <v>14400</v>
      </c>
      <c r="M190" s="18">
        <f>ABS((D190*E190)-L190)</f>
        <v>500</v>
      </c>
      <c r="N190" s="10" t="str">
        <f t="shared" si="5"/>
        <v>Unique</v>
      </c>
    </row>
    <row r="191" spans="1:16" ht="40.799999999999997" thickBot="1" x14ac:dyDescent="0.35">
      <c r="A191" s="43" t="s">
        <v>61</v>
      </c>
      <c r="B191" s="45" t="s">
        <v>23</v>
      </c>
      <c r="C191" s="43" t="s">
        <v>7</v>
      </c>
      <c r="D191" s="43">
        <v>40</v>
      </c>
      <c r="E191" s="46">
        <v>229</v>
      </c>
      <c r="F191" s="4">
        <v>16.604715110000001</v>
      </c>
      <c r="G191" s="2" t="s">
        <v>69</v>
      </c>
      <c r="H191" s="5">
        <v>196.39</v>
      </c>
      <c r="I191" s="1" t="s">
        <v>8</v>
      </c>
      <c r="J191" s="47" t="s">
        <v>116</v>
      </c>
      <c r="K191" s="44"/>
      <c r="L191" s="44"/>
      <c r="M191" s="44"/>
      <c r="N191" s="24" t="str">
        <f t="shared" si="5"/>
        <v>Unique</v>
      </c>
      <c r="O191" s="24"/>
      <c r="P191" s="24" t="s">
        <v>253</v>
      </c>
    </row>
    <row r="192" spans="1:16" ht="27.6" thickBot="1" x14ac:dyDescent="0.35">
      <c r="A192" s="30">
        <v>46258.443055555559</v>
      </c>
      <c r="B192" s="31" t="s">
        <v>34</v>
      </c>
      <c r="C192" s="31" t="s">
        <v>7</v>
      </c>
      <c r="D192" s="32">
        <v>50</v>
      </c>
      <c r="E192" s="32">
        <v>229.5</v>
      </c>
      <c r="F192" s="4">
        <v>16.615853659999999</v>
      </c>
      <c r="G192" s="2" t="s">
        <v>41</v>
      </c>
      <c r="H192" s="5">
        <v>196.8</v>
      </c>
      <c r="I192" s="1" t="s">
        <v>8</v>
      </c>
      <c r="J192" s="27" t="s">
        <v>117</v>
      </c>
      <c r="K192" s="27" t="s">
        <v>155</v>
      </c>
      <c r="L192" s="27">
        <v>11175</v>
      </c>
      <c r="M192" s="27">
        <f>ABS((D192*E192)-L192)</f>
        <v>300</v>
      </c>
      <c r="N192" s="29" t="str">
        <f t="shared" si="5"/>
        <v>Unique</v>
      </c>
      <c r="O192" s="29"/>
      <c r="P192" s="29"/>
    </row>
    <row r="193" spans="1:16" ht="27.6" thickBot="1" x14ac:dyDescent="0.35">
      <c r="A193" s="30">
        <v>46259.375</v>
      </c>
      <c r="B193" s="31" t="s">
        <v>34</v>
      </c>
      <c r="C193" s="31" t="s">
        <v>7</v>
      </c>
      <c r="D193" s="32">
        <v>20</v>
      </c>
      <c r="E193" s="32">
        <v>229.5</v>
      </c>
      <c r="F193" s="4">
        <v>16.615853659999999</v>
      </c>
      <c r="G193" s="2" t="s">
        <v>41</v>
      </c>
      <c r="H193" s="5">
        <v>196.8</v>
      </c>
      <c r="I193" s="1" t="s">
        <v>8</v>
      </c>
      <c r="J193" s="27" t="s">
        <v>117</v>
      </c>
      <c r="K193" s="27" t="s">
        <v>161</v>
      </c>
      <c r="L193" s="27">
        <v>4402</v>
      </c>
      <c r="M193" s="27">
        <f>ABS((D193*E193)-L193)</f>
        <v>188</v>
      </c>
      <c r="N193" s="29" t="str">
        <f t="shared" si="5"/>
        <v>Unique</v>
      </c>
      <c r="O193" s="29"/>
      <c r="P193" s="29"/>
    </row>
    <row r="194" spans="1:16" ht="40.799999999999997" thickBot="1" x14ac:dyDescent="0.35">
      <c r="A194" s="3">
        <v>46265.375694444447</v>
      </c>
      <c r="B194" s="1" t="s">
        <v>35</v>
      </c>
      <c r="C194" s="1" t="s">
        <v>7</v>
      </c>
      <c r="D194" s="4">
        <v>5</v>
      </c>
      <c r="E194" s="4">
        <v>1236</v>
      </c>
      <c r="F194" s="4">
        <v>16.824196600000001</v>
      </c>
      <c r="G194" s="2" t="s">
        <v>64</v>
      </c>
      <c r="H194" s="5">
        <v>1058</v>
      </c>
      <c r="I194" s="1" t="s">
        <v>8</v>
      </c>
      <c r="J194" s="18" t="s">
        <v>117</v>
      </c>
      <c r="K194" s="18" t="s">
        <v>204</v>
      </c>
      <c r="L194" s="18">
        <v>5905</v>
      </c>
      <c r="M194" s="18">
        <f>ABS((D194*E194)-L194)</f>
        <v>275</v>
      </c>
      <c r="N194" t="str">
        <f t="shared" ref="N194:N257" si="7">IF(COUNTIFS( $B$2:$B$688, B194, $C$2:$C$688, C194, $D$2:$D$688, D194, $E$2:$E$688, E194) &gt; 1, "Duplicate", "Unique")</f>
        <v>Unique</v>
      </c>
    </row>
    <row r="195" spans="1:16" ht="40.799999999999997" thickBot="1" x14ac:dyDescent="0.35">
      <c r="A195" s="8" t="s">
        <v>61</v>
      </c>
      <c r="B195" s="8" t="s">
        <v>24</v>
      </c>
      <c r="C195" s="8" t="s">
        <v>7</v>
      </c>
      <c r="D195" s="8">
        <v>5</v>
      </c>
      <c r="E195" s="8">
        <v>468</v>
      </c>
      <c r="F195" s="4">
        <v>16.956141450000001</v>
      </c>
      <c r="G195" s="2" t="s">
        <v>55</v>
      </c>
      <c r="H195" s="5">
        <v>400.15</v>
      </c>
      <c r="I195" s="1" t="s">
        <v>8</v>
      </c>
      <c r="J195" s="34" t="s">
        <v>117</v>
      </c>
      <c r="N195" s="10" t="str">
        <f t="shared" si="7"/>
        <v>Unique</v>
      </c>
    </row>
    <row r="196" spans="1:16" ht="40.799999999999997" thickBot="1" x14ac:dyDescent="0.35">
      <c r="A196" s="3">
        <v>46260.375</v>
      </c>
      <c r="B196" s="1" t="s">
        <v>24</v>
      </c>
      <c r="C196" s="1" t="s">
        <v>7</v>
      </c>
      <c r="D196" s="4">
        <v>40</v>
      </c>
      <c r="E196" s="4">
        <v>468</v>
      </c>
      <c r="F196" s="4">
        <v>16.956141450000001</v>
      </c>
      <c r="G196" s="2" t="s">
        <v>55</v>
      </c>
      <c r="H196" s="5">
        <v>400.15</v>
      </c>
      <c r="I196" s="1" t="s">
        <v>8</v>
      </c>
      <c r="J196" s="18" t="s">
        <v>117</v>
      </c>
      <c r="K196" s="18" t="s">
        <v>168</v>
      </c>
      <c r="L196" s="18">
        <v>17920</v>
      </c>
      <c r="M196" s="18">
        <f>ABS((D196*E196)-L196)</f>
        <v>800</v>
      </c>
      <c r="N196" t="str">
        <f t="shared" si="7"/>
        <v>Unique</v>
      </c>
    </row>
    <row r="197" spans="1:16" ht="27.6" thickBot="1" x14ac:dyDescent="0.35">
      <c r="A197" s="8" t="s">
        <v>61</v>
      </c>
      <c r="B197" s="8" t="s">
        <v>73</v>
      </c>
      <c r="C197" s="8" t="s">
        <v>7</v>
      </c>
      <c r="D197" s="8">
        <v>1</v>
      </c>
      <c r="E197" s="8">
        <v>3710</v>
      </c>
      <c r="F197" s="4">
        <v>17.108585860000002</v>
      </c>
      <c r="G197" s="2" t="s">
        <v>74</v>
      </c>
      <c r="H197" s="5">
        <v>3168</v>
      </c>
      <c r="I197" s="1" t="s">
        <v>8</v>
      </c>
      <c r="J197" s="34" t="s">
        <v>117</v>
      </c>
      <c r="N197" s="10" t="str">
        <f t="shared" si="7"/>
        <v>Unique</v>
      </c>
    </row>
    <row r="198" spans="1:16" ht="27.6" thickBot="1" x14ac:dyDescent="0.35">
      <c r="A198" s="6" t="s">
        <v>61</v>
      </c>
      <c r="B198" s="1" t="s">
        <v>15</v>
      </c>
      <c r="C198" s="1" t="s">
        <v>10</v>
      </c>
      <c r="D198" s="4">
        <v>5</v>
      </c>
      <c r="E198" s="4">
        <v>2470</v>
      </c>
      <c r="F198" s="4">
        <v>17.111564170000001</v>
      </c>
      <c r="G198" s="2" t="s">
        <v>71</v>
      </c>
      <c r="H198" s="5">
        <v>2109.1</v>
      </c>
      <c r="I198" s="1" t="s">
        <v>8</v>
      </c>
      <c r="J198" s="51" t="s">
        <v>40</v>
      </c>
      <c r="K198" s="17"/>
      <c r="L198" s="17"/>
      <c r="M198" s="17"/>
      <c r="N198" t="str">
        <f t="shared" si="7"/>
        <v>Unique</v>
      </c>
      <c r="P198" s="24"/>
    </row>
    <row r="199" spans="1:16" ht="27.6" thickBot="1" x14ac:dyDescent="0.35">
      <c r="A199" s="3">
        <v>46267.375</v>
      </c>
      <c r="B199" s="1" t="s">
        <v>77</v>
      </c>
      <c r="C199" s="1" t="s">
        <v>7</v>
      </c>
      <c r="D199" s="4">
        <v>3</v>
      </c>
      <c r="E199" s="4">
        <v>1460</v>
      </c>
      <c r="F199" s="4">
        <v>17.174959869999999</v>
      </c>
      <c r="G199" s="2" t="s">
        <v>78</v>
      </c>
      <c r="H199" s="5">
        <v>1246</v>
      </c>
      <c r="I199" s="1" t="s">
        <v>8</v>
      </c>
      <c r="J199" s="18" t="s">
        <v>117</v>
      </c>
      <c r="K199" s="18" t="s">
        <v>223</v>
      </c>
      <c r="L199" s="18">
        <v>4080</v>
      </c>
      <c r="M199" s="18">
        <f>ABS((D199*E199)-L199)</f>
        <v>300</v>
      </c>
      <c r="N199" s="10" t="str">
        <f t="shared" si="7"/>
        <v>Unique</v>
      </c>
    </row>
    <row r="200" spans="1:16" ht="40.799999999999997" thickBot="1" x14ac:dyDescent="0.35">
      <c r="A200" s="11">
        <v>46252.6875</v>
      </c>
      <c r="B200" s="8" t="s">
        <v>27</v>
      </c>
      <c r="C200" s="8" t="s">
        <v>7</v>
      </c>
      <c r="D200" s="8">
        <v>2</v>
      </c>
      <c r="E200" s="8">
        <v>3048</v>
      </c>
      <c r="F200" s="4">
        <v>17.185697810000001</v>
      </c>
      <c r="G200" s="2" t="s">
        <v>130</v>
      </c>
      <c r="H200" s="5">
        <v>2601</v>
      </c>
      <c r="I200" s="1" t="s">
        <v>8</v>
      </c>
      <c r="J200" s="34" t="s">
        <v>116</v>
      </c>
      <c r="N200" s="10" t="str">
        <f t="shared" si="7"/>
        <v>Unique</v>
      </c>
    </row>
    <row r="201" spans="1:16" ht="40.799999999999997" thickBot="1" x14ac:dyDescent="0.35">
      <c r="A201" s="3">
        <v>46259.388194444444</v>
      </c>
      <c r="B201" s="1" t="s">
        <v>13</v>
      </c>
      <c r="C201" s="1" t="s">
        <v>7</v>
      </c>
      <c r="D201" s="4">
        <v>20</v>
      </c>
      <c r="E201" s="4">
        <v>1948</v>
      </c>
      <c r="F201" s="4">
        <v>17.349397589999999</v>
      </c>
      <c r="G201" s="2" t="s">
        <v>90</v>
      </c>
      <c r="H201" s="5">
        <v>1660</v>
      </c>
      <c r="I201" s="1" t="s">
        <v>8</v>
      </c>
      <c r="J201" s="18" t="s">
        <v>116</v>
      </c>
      <c r="K201" s="18" t="s">
        <v>160</v>
      </c>
      <c r="L201" s="18">
        <v>38020</v>
      </c>
      <c r="M201" s="18">
        <f>ABS((D201*E201)-L201)</f>
        <v>940</v>
      </c>
      <c r="N201" s="10" t="str">
        <f t="shared" si="7"/>
        <v>Unique</v>
      </c>
    </row>
    <row r="202" spans="1:16" ht="27.6" thickBot="1" x14ac:dyDescent="0.35">
      <c r="A202" s="3">
        <v>46272.375694444447</v>
      </c>
      <c r="B202" s="1" t="s">
        <v>86</v>
      </c>
      <c r="C202" s="1" t="s">
        <v>7</v>
      </c>
      <c r="D202" s="4">
        <v>10</v>
      </c>
      <c r="E202" s="4">
        <v>1280</v>
      </c>
      <c r="F202" s="4">
        <v>17.431192660000001</v>
      </c>
      <c r="G202" s="2" t="s">
        <v>87</v>
      </c>
      <c r="H202" s="5">
        <v>1090</v>
      </c>
      <c r="I202" s="1" t="s">
        <v>8</v>
      </c>
      <c r="J202" s="18" t="s">
        <v>116</v>
      </c>
      <c r="K202" s="18" t="s">
        <v>245</v>
      </c>
      <c r="L202" s="18">
        <v>12510</v>
      </c>
      <c r="M202" s="18">
        <f>ABS((D202*E202)-L202)</f>
        <v>290</v>
      </c>
      <c r="N202" s="10" t="str">
        <f t="shared" si="7"/>
        <v>Unique</v>
      </c>
    </row>
    <row r="203" spans="1:16" ht="27.6" thickBot="1" x14ac:dyDescent="0.35">
      <c r="A203" s="3">
        <v>46335.421527777777</v>
      </c>
      <c r="B203" s="1" t="s">
        <v>16</v>
      </c>
      <c r="C203" s="1" t="s">
        <v>7</v>
      </c>
      <c r="D203" s="4">
        <v>10</v>
      </c>
      <c r="E203" s="4">
        <v>884.9</v>
      </c>
      <c r="F203" s="4">
        <v>19.387479760000002</v>
      </c>
      <c r="G203" s="2" t="s">
        <v>60</v>
      </c>
      <c r="H203" s="5">
        <v>741.2</v>
      </c>
      <c r="I203" s="1" t="s">
        <v>8</v>
      </c>
      <c r="J203" s="18" t="s">
        <v>117</v>
      </c>
      <c r="K203" s="18" t="s">
        <v>266</v>
      </c>
      <c r="L203" s="18">
        <v>8049</v>
      </c>
      <c r="M203" s="18">
        <f>ABS((D203*E203)-L203)</f>
        <v>800</v>
      </c>
      <c r="N203" s="10" t="str">
        <f t="shared" si="7"/>
        <v>Unique</v>
      </c>
      <c r="O203" s="38" t="s">
        <v>239</v>
      </c>
    </row>
    <row r="204" spans="1:16" ht="40.799999999999997" thickBot="1" x14ac:dyDescent="0.35">
      <c r="A204" s="8" t="s">
        <v>61</v>
      </c>
      <c r="B204" s="8" t="s">
        <v>50</v>
      </c>
      <c r="C204" s="8" t="s">
        <v>7</v>
      </c>
      <c r="D204" s="8">
        <v>10</v>
      </c>
      <c r="E204" s="13">
        <v>1024</v>
      </c>
      <c r="F204" s="4">
        <v>17.748519519999999</v>
      </c>
      <c r="G204" s="2" t="s">
        <v>51</v>
      </c>
      <c r="H204" s="5">
        <v>869.65</v>
      </c>
      <c r="I204" s="1" t="s">
        <v>8</v>
      </c>
      <c r="J204" s="34" t="s">
        <v>117</v>
      </c>
      <c r="N204" s="10" t="str">
        <f t="shared" si="7"/>
        <v>Unique</v>
      </c>
    </row>
    <row r="205" spans="1:16" ht="40.799999999999997" thickBot="1" x14ac:dyDescent="0.35">
      <c r="A205" s="3">
        <v>46276.388194444444</v>
      </c>
      <c r="B205" s="1" t="s">
        <v>79</v>
      </c>
      <c r="C205" s="1" t="s">
        <v>7</v>
      </c>
      <c r="D205" s="4">
        <v>10</v>
      </c>
      <c r="E205" s="4">
        <v>1510</v>
      </c>
      <c r="F205" s="4">
        <v>17.876658859999999</v>
      </c>
      <c r="G205" s="2" t="s">
        <v>80</v>
      </c>
      <c r="H205" s="5">
        <v>1281</v>
      </c>
      <c r="I205" s="1" t="s">
        <v>8</v>
      </c>
      <c r="J205" s="18" t="s">
        <v>116</v>
      </c>
      <c r="K205" s="18" t="s">
        <v>269</v>
      </c>
      <c r="L205" s="18">
        <v>14650</v>
      </c>
      <c r="M205" s="18">
        <f>ABS((D205*E205)-L205)</f>
        <v>450</v>
      </c>
      <c r="N205" s="10" t="str">
        <f t="shared" si="7"/>
        <v>Unique</v>
      </c>
    </row>
    <row r="206" spans="1:16" ht="27.6" thickBot="1" x14ac:dyDescent="0.35">
      <c r="A206" s="11">
        <v>46252.645138888889</v>
      </c>
      <c r="B206" s="8" t="s">
        <v>34</v>
      </c>
      <c r="C206" s="8" t="s">
        <v>7</v>
      </c>
      <c r="D206" s="8">
        <v>200</v>
      </c>
      <c r="E206" s="8">
        <v>232</v>
      </c>
      <c r="F206" s="4">
        <v>17.886178860000001</v>
      </c>
      <c r="G206" s="2" t="s">
        <v>41</v>
      </c>
      <c r="H206" s="5">
        <v>196.8</v>
      </c>
      <c r="I206" s="1" t="s">
        <v>8</v>
      </c>
      <c r="J206" s="17" t="s">
        <v>116</v>
      </c>
      <c r="N206" s="10" t="str">
        <f t="shared" si="7"/>
        <v>Unique</v>
      </c>
    </row>
    <row r="207" spans="1:16" ht="40.799999999999997" thickBot="1" x14ac:dyDescent="0.35">
      <c r="A207" s="3">
        <v>46262.375</v>
      </c>
      <c r="B207" s="1" t="s">
        <v>58</v>
      </c>
      <c r="C207" s="1" t="s">
        <v>7</v>
      </c>
      <c r="D207" s="4">
        <v>4</v>
      </c>
      <c r="E207" s="4">
        <v>1146</v>
      </c>
      <c r="F207" s="4">
        <v>18.034813060000001</v>
      </c>
      <c r="G207" s="2" t="s">
        <v>59</v>
      </c>
      <c r="H207" s="5">
        <v>970.9</v>
      </c>
      <c r="I207" s="1" t="s">
        <v>8</v>
      </c>
      <c r="J207" s="18" t="s">
        <v>116</v>
      </c>
      <c r="K207" s="18" t="s">
        <v>187</v>
      </c>
      <c r="L207" s="18">
        <v>4264</v>
      </c>
      <c r="M207" s="18">
        <f>ABS((D207*E207)-L207)</f>
        <v>320</v>
      </c>
      <c r="N207" s="10" t="str">
        <f t="shared" si="7"/>
        <v>Unique</v>
      </c>
    </row>
    <row r="208" spans="1:16" ht="40.799999999999997" thickBot="1" x14ac:dyDescent="0.35">
      <c r="A208" s="3">
        <v>46265.486111111109</v>
      </c>
      <c r="B208" s="1" t="s">
        <v>58</v>
      </c>
      <c r="C208" s="1" t="s">
        <v>7</v>
      </c>
      <c r="D208" s="4">
        <v>5</v>
      </c>
      <c r="E208" s="4">
        <v>1146</v>
      </c>
      <c r="F208" s="4">
        <v>18.034813060000001</v>
      </c>
      <c r="G208" s="2" t="s">
        <v>59</v>
      </c>
      <c r="H208" s="5">
        <v>970.9</v>
      </c>
      <c r="I208" s="1" t="s">
        <v>8</v>
      </c>
      <c r="J208" s="18" t="s">
        <v>117</v>
      </c>
      <c r="K208" s="18" t="s">
        <v>193</v>
      </c>
      <c r="L208" s="18">
        <v>5282</v>
      </c>
      <c r="M208" s="18">
        <f>ABS((D208*E208)-L208)</f>
        <v>448</v>
      </c>
      <c r="N208" t="str">
        <f t="shared" si="7"/>
        <v>Unique</v>
      </c>
    </row>
    <row r="209" spans="1:16" ht="40.799999999999997" thickBot="1" x14ac:dyDescent="0.35">
      <c r="A209" s="3">
        <v>46259.375</v>
      </c>
      <c r="B209" s="1" t="s">
        <v>24</v>
      </c>
      <c r="C209" s="1" t="s">
        <v>7</v>
      </c>
      <c r="D209" s="4">
        <v>20</v>
      </c>
      <c r="E209" s="4">
        <v>472.5</v>
      </c>
      <c r="F209" s="4">
        <v>18.080719729999998</v>
      </c>
      <c r="G209" s="2" t="s">
        <v>55</v>
      </c>
      <c r="H209" s="5">
        <v>400.15</v>
      </c>
      <c r="I209" s="1" t="s">
        <v>8</v>
      </c>
      <c r="J209" s="34" t="s">
        <v>117</v>
      </c>
      <c r="K209" s="18" t="s">
        <v>159</v>
      </c>
      <c r="L209" s="18">
        <v>8800</v>
      </c>
      <c r="M209" s="18">
        <f>ABS((D209*E209)-L209)</f>
        <v>650</v>
      </c>
      <c r="N209" s="10" t="str">
        <f t="shared" si="7"/>
        <v>Unique</v>
      </c>
      <c r="O209" s="29"/>
    </row>
    <row r="210" spans="1:16" ht="40.799999999999997" thickBot="1" x14ac:dyDescent="0.35">
      <c r="A210" s="30">
        <v>46260.556944444441</v>
      </c>
      <c r="B210" s="31" t="s">
        <v>35</v>
      </c>
      <c r="C210" s="31" t="s">
        <v>7</v>
      </c>
      <c r="D210" s="32">
        <v>5</v>
      </c>
      <c r="E210" s="32">
        <v>1251</v>
      </c>
      <c r="F210" s="4">
        <v>18.241965969999999</v>
      </c>
      <c r="G210" s="2" t="s">
        <v>64</v>
      </c>
      <c r="H210" s="5">
        <v>1058</v>
      </c>
      <c r="I210" s="1" t="s">
        <v>8</v>
      </c>
      <c r="J210" s="27" t="s">
        <v>117</v>
      </c>
      <c r="K210" s="27" t="s">
        <v>163</v>
      </c>
      <c r="L210" s="27">
        <v>6105</v>
      </c>
      <c r="M210" s="27">
        <f>ABS((D210*E210)-L210)</f>
        <v>150</v>
      </c>
      <c r="N210" s="28" t="str">
        <f t="shared" si="7"/>
        <v>Duplicate</v>
      </c>
    </row>
    <row r="211" spans="1:16" ht="40.799999999999997" thickBot="1" x14ac:dyDescent="0.35">
      <c r="A211" s="30">
        <v>46261.375</v>
      </c>
      <c r="B211" s="31" t="s">
        <v>35</v>
      </c>
      <c r="C211" s="31" t="s">
        <v>7</v>
      </c>
      <c r="D211" s="32">
        <v>5</v>
      </c>
      <c r="E211" s="32">
        <v>1251</v>
      </c>
      <c r="F211" s="4">
        <v>18.241965969999999</v>
      </c>
      <c r="G211" s="2" t="s">
        <v>64</v>
      </c>
      <c r="H211" s="5">
        <v>1058</v>
      </c>
      <c r="I211" s="1" t="s">
        <v>8</v>
      </c>
      <c r="J211" s="27" t="s">
        <v>117</v>
      </c>
      <c r="K211" s="27" t="s">
        <v>176</v>
      </c>
      <c r="L211" s="27">
        <v>6005</v>
      </c>
      <c r="M211" s="27">
        <f>ABS((D211*E211)-L211)</f>
        <v>250</v>
      </c>
      <c r="N211" s="29" t="str">
        <f t="shared" si="7"/>
        <v>Duplicate</v>
      </c>
    </row>
    <row r="212" spans="1:16" ht="40.799999999999997" thickBot="1" x14ac:dyDescent="0.35">
      <c r="A212" s="8" t="s">
        <v>61</v>
      </c>
      <c r="B212" s="8" t="s">
        <v>6</v>
      </c>
      <c r="C212" s="8" t="s">
        <v>7</v>
      </c>
      <c r="D212" s="8">
        <v>120</v>
      </c>
      <c r="E212" s="8">
        <v>300.5</v>
      </c>
      <c r="F212" s="4">
        <v>18.330380000000002</v>
      </c>
      <c r="G212" s="2" t="s">
        <v>129</v>
      </c>
      <c r="H212" s="5">
        <v>253.95</v>
      </c>
      <c r="I212" s="1" t="s">
        <v>8</v>
      </c>
      <c r="J212" s="34" t="s">
        <v>117</v>
      </c>
      <c r="N212" s="10" t="str">
        <f t="shared" si="7"/>
        <v>Unique</v>
      </c>
    </row>
    <row r="213" spans="1:16" ht="27.6" thickBot="1" x14ac:dyDescent="0.35">
      <c r="A213" s="8" t="s">
        <v>61</v>
      </c>
      <c r="B213" s="8" t="s">
        <v>14</v>
      </c>
      <c r="C213" s="8" t="s">
        <v>7</v>
      </c>
      <c r="D213" s="8">
        <v>17</v>
      </c>
      <c r="E213" s="8">
        <v>373</v>
      </c>
      <c r="F213" s="4">
        <v>18.39390573</v>
      </c>
      <c r="G213" s="2" t="s">
        <v>44</v>
      </c>
      <c r="H213" s="5">
        <v>315.05</v>
      </c>
      <c r="I213" s="1" t="s">
        <v>8</v>
      </c>
      <c r="J213" s="34"/>
      <c r="N213" s="10" t="str">
        <f t="shared" si="7"/>
        <v>Unique</v>
      </c>
    </row>
    <row r="214" spans="1:16" ht="27.6" thickBot="1" x14ac:dyDescent="0.35">
      <c r="A214" s="8" t="s">
        <v>61</v>
      </c>
      <c r="B214" s="8" t="s">
        <v>14</v>
      </c>
      <c r="C214" s="8" t="s">
        <v>7</v>
      </c>
      <c r="D214" s="8">
        <v>50</v>
      </c>
      <c r="E214" s="12">
        <v>373</v>
      </c>
      <c r="F214" s="4">
        <v>18.39390573</v>
      </c>
      <c r="G214" s="2" t="s">
        <v>44</v>
      </c>
      <c r="H214" s="5">
        <v>315.05</v>
      </c>
      <c r="I214" s="1" t="s">
        <v>8</v>
      </c>
      <c r="J214" s="34" t="s">
        <v>117</v>
      </c>
      <c r="N214" s="10" t="str">
        <f t="shared" si="7"/>
        <v>Unique</v>
      </c>
      <c r="O214" s="29"/>
    </row>
    <row r="215" spans="1:16" ht="40.799999999999997" thickBot="1" x14ac:dyDescent="0.35">
      <c r="A215" s="3">
        <v>46265.460416666669</v>
      </c>
      <c r="B215" s="1" t="s">
        <v>18</v>
      </c>
      <c r="C215" s="1" t="s">
        <v>7</v>
      </c>
      <c r="D215" s="4">
        <v>5</v>
      </c>
      <c r="E215" s="4">
        <v>1892</v>
      </c>
      <c r="F215" s="4">
        <v>18.397997499999999</v>
      </c>
      <c r="G215" s="2" t="s">
        <v>101</v>
      </c>
      <c r="H215" s="5">
        <v>1598</v>
      </c>
      <c r="I215" s="1" t="s">
        <v>8</v>
      </c>
      <c r="J215" s="18" t="s">
        <v>117</v>
      </c>
      <c r="K215" s="18" t="s">
        <v>194</v>
      </c>
      <c r="L215" s="18">
        <v>8810</v>
      </c>
      <c r="M215" s="18">
        <f>ABS((D215*E215)-L215)</f>
        <v>650</v>
      </c>
      <c r="N215" t="str">
        <f t="shared" si="7"/>
        <v>Unique</v>
      </c>
      <c r="P215" s="29"/>
    </row>
    <row r="216" spans="1:16" ht="27.6" thickBot="1" x14ac:dyDescent="0.35">
      <c r="A216" s="8" t="s">
        <v>61</v>
      </c>
      <c r="B216" s="8" t="s">
        <v>120</v>
      </c>
      <c r="C216" s="8" t="s">
        <v>7</v>
      </c>
      <c r="D216" s="8">
        <v>10</v>
      </c>
      <c r="E216" s="8">
        <v>816</v>
      </c>
      <c r="F216" s="4">
        <v>18.60465116</v>
      </c>
      <c r="G216" s="2" t="s">
        <v>121</v>
      </c>
      <c r="H216" s="5">
        <v>688</v>
      </c>
      <c r="I216" s="1" t="s">
        <v>8</v>
      </c>
      <c r="J216" s="34" t="s">
        <v>116</v>
      </c>
      <c r="N216" s="10" t="str">
        <f t="shared" si="7"/>
        <v>Unique</v>
      </c>
      <c r="P216" s="29"/>
    </row>
    <row r="217" spans="1:16" ht="27.6" thickBot="1" x14ac:dyDescent="0.35">
      <c r="A217" s="8" t="s">
        <v>61</v>
      </c>
      <c r="B217" s="8" t="s">
        <v>122</v>
      </c>
      <c r="C217" s="8" t="s">
        <v>7</v>
      </c>
      <c r="D217" s="8">
        <v>200</v>
      </c>
      <c r="E217" s="8">
        <v>90.75</v>
      </c>
      <c r="F217" s="4">
        <v>18.79827203</v>
      </c>
      <c r="G217" s="2" t="s">
        <v>123</v>
      </c>
      <c r="H217" s="5">
        <v>76.39</v>
      </c>
      <c r="I217" s="1" t="s">
        <v>8</v>
      </c>
      <c r="J217" s="34" t="s">
        <v>54</v>
      </c>
      <c r="N217" s="10" t="str">
        <f t="shared" si="7"/>
        <v>Unique</v>
      </c>
    </row>
    <row r="218" spans="1:16" ht="27.6" thickBot="1" x14ac:dyDescent="0.35">
      <c r="A218" s="3">
        <v>46266.375</v>
      </c>
      <c r="B218" s="1" t="s">
        <v>86</v>
      </c>
      <c r="C218" s="1" t="s">
        <v>7</v>
      </c>
      <c r="D218" s="4">
        <v>10</v>
      </c>
      <c r="E218" s="4">
        <v>1296</v>
      </c>
      <c r="F218" s="4">
        <v>18.899082570000001</v>
      </c>
      <c r="G218" s="2" t="s">
        <v>87</v>
      </c>
      <c r="H218" s="5">
        <v>1090</v>
      </c>
      <c r="I218" s="1" t="s">
        <v>8</v>
      </c>
      <c r="J218" s="18" t="s">
        <v>116</v>
      </c>
      <c r="K218" s="18" t="s">
        <v>214</v>
      </c>
      <c r="L218" s="18">
        <v>12600</v>
      </c>
      <c r="M218" s="18">
        <f>ABS((D218*E218)-L218)</f>
        <v>360</v>
      </c>
      <c r="N218" s="10" t="str">
        <f t="shared" si="7"/>
        <v>Unique</v>
      </c>
    </row>
    <row r="219" spans="1:16" ht="40.799999999999997" thickBot="1" x14ac:dyDescent="0.35">
      <c r="A219" s="3">
        <v>46276.375</v>
      </c>
      <c r="B219" s="1" t="s">
        <v>102</v>
      </c>
      <c r="C219" s="1" t="s">
        <v>7</v>
      </c>
      <c r="D219" s="4">
        <v>8</v>
      </c>
      <c r="E219" s="4">
        <v>2472</v>
      </c>
      <c r="F219" s="4">
        <v>19.057939600000001</v>
      </c>
      <c r="G219" s="2" t="s">
        <v>103</v>
      </c>
      <c r="H219" s="5">
        <v>2076.3000000000002</v>
      </c>
      <c r="I219" s="1" t="s">
        <v>8</v>
      </c>
      <c r="J219" s="18" t="s">
        <v>116</v>
      </c>
      <c r="K219" s="18" t="s">
        <v>272</v>
      </c>
      <c r="L219" s="18">
        <v>18960</v>
      </c>
      <c r="M219" s="18">
        <f>ABS((D219*E219)-L219)</f>
        <v>816</v>
      </c>
      <c r="N219" s="10" t="str">
        <f t="shared" si="7"/>
        <v>Unique</v>
      </c>
    </row>
    <row r="220" spans="1:16" ht="40.799999999999997" thickBot="1" x14ac:dyDescent="0.35">
      <c r="A220" s="11">
        <v>46243.375</v>
      </c>
      <c r="B220" s="8" t="s">
        <v>11</v>
      </c>
      <c r="C220" s="8" t="s">
        <v>7</v>
      </c>
      <c r="D220" s="8">
        <v>20</v>
      </c>
      <c r="E220" s="8">
        <v>296</v>
      </c>
      <c r="F220" s="4">
        <v>19.114688130000001</v>
      </c>
      <c r="G220" s="2" t="s">
        <v>98</v>
      </c>
      <c r="H220" s="5">
        <v>248.5</v>
      </c>
      <c r="I220" s="1" t="s">
        <v>8</v>
      </c>
      <c r="J220" s="18" t="s">
        <v>117</v>
      </c>
      <c r="K220" s="18" t="s">
        <v>247</v>
      </c>
      <c r="L220" s="18">
        <v>5620</v>
      </c>
      <c r="M220" s="27">
        <f>ABS((D220*E220)-L220)</f>
        <v>300</v>
      </c>
      <c r="N220" s="10" t="str">
        <f t="shared" si="7"/>
        <v>Unique</v>
      </c>
      <c r="P220" s="25"/>
    </row>
    <row r="221" spans="1:16" ht="40.799999999999997" thickBot="1" x14ac:dyDescent="0.35">
      <c r="A221" s="8" t="s">
        <v>61</v>
      </c>
      <c r="B221" s="8" t="s">
        <v>134</v>
      </c>
      <c r="C221" s="8" t="s">
        <v>7</v>
      </c>
      <c r="D221" s="8">
        <v>5</v>
      </c>
      <c r="E221" s="8">
        <v>2190</v>
      </c>
      <c r="F221" s="4">
        <v>19.209623860000001</v>
      </c>
      <c r="G221" s="2" t="s">
        <v>135</v>
      </c>
      <c r="H221" s="5">
        <v>1837.1</v>
      </c>
      <c r="I221" s="1" t="s">
        <v>8</v>
      </c>
      <c r="J221" s="34" t="s">
        <v>117</v>
      </c>
      <c r="N221" s="10" t="str">
        <f t="shared" si="7"/>
        <v>Unique</v>
      </c>
      <c r="O221" s="29"/>
    </row>
    <row r="222" spans="1:16" ht="40.799999999999997" thickBot="1" x14ac:dyDescent="0.35">
      <c r="A222" s="8" t="s">
        <v>61</v>
      </c>
      <c r="B222" s="8" t="s">
        <v>118</v>
      </c>
      <c r="C222" s="8" t="s">
        <v>7</v>
      </c>
      <c r="D222" s="8">
        <v>15</v>
      </c>
      <c r="E222" s="8">
        <v>1090</v>
      </c>
      <c r="F222" s="4">
        <v>19.25601751</v>
      </c>
      <c r="G222" s="2" t="s">
        <v>119</v>
      </c>
      <c r="H222" s="5">
        <v>914</v>
      </c>
      <c r="I222" s="1" t="s">
        <v>8</v>
      </c>
      <c r="J222" s="34"/>
      <c r="N222" s="10" t="str">
        <f t="shared" si="7"/>
        <v>Unique</v>
      </c>
    </row>
    <row r="223" spans="1:16" ht="27.6" thickBot="1" x14ac:dyDescent="0.35">
      <c r="A223" s="8" t="s">
        <v>61</v>
      </c>
      <c r="B223" s="8" t="s">
        <v>132</v>
      </c>
      <c r="C223" s="8" t="s">
        <v>7</v>
      </c>
      <c r="D223" s="8">
        <v>150</v>
      </c>
      <c r="E223" s="12">
        <v>129.9</v>
      </c>
      <c r="F223" s="4">
        <v>19.371439070000001</v>
      </c>
      <c r="G223" s="2" t="s">
        <v>133</v>
      </c>
      <c r="H223" s="5">
        <v>108.82</v>
      </c>
      <c r="I223" s="1" t="s">
        <v>8</v>
      </c>
      <c r="J223" s="34"/>
      <c r="N223" s="10" t="str">
        <f t="shared" si="7"/>
        <v>Unique</v>
      </c>
    </row>
    <row r="224" spans="1:16" ht="27.6" thickBot="1" x14ac:dyDescent="0.35">
      <c r="A224" s="11">
        <v>46252.635416666664</v>
      </c>
      <c r="B224" s="8" t="s">
        <v>34</v>
      </c>
      <c r="C224" s="8" t="s">
        <v>7</v>
      </c>
      <c r="D224" s="8">
        <v>200</v>
      </c>
      <c r="E224" s="8">
        <v>235</v>
      </c>
      <c r="F224" s="4">
        <v>19.410569110000001</v>
      </c>
      <c r="G224" s="2" t="s">
        <v>41</v>
      </c>
      <c r="H224" s="5">
        <v>196.8</v>
      </c>
      <c r="I224" s="1" t="s">
        <v>8</v>
      </c>
      <c r="J224" s="37" t="s">
        <v>54</v>
      </c>
      <c r="N224" s="10" t="str">
        <f t="shared" si="7"/>
        <v>Unique</v>
      </c>
    </row>
    <row r="225" spans="1:16" ht="27.6" thickBot="1" x14ac:dyDescent="0.35">
      <c r="A225" s="3">
        <v>46261.375694444447</v>
      </c>
      <c r="B225" s="1" t="s">
        <v>77</v>
      </c>
      <c r="C225" s="1" t="s">
        <v>7</v>
      </c>
      <c r="D225" s="4">
        <v>5</v>
      </c>
      <c r="E225" s="4">
        <v>1490</v>
      </c>
      <c r="F225" s="4">
        <v>19.582664529999999</v>
      </c>
      <c r="G225" s="2" t="s">
        <v>78</v>
      </c>
      <c r="H225" s="5">
        <v>1246</v>
      </c>
      <c r="I225" s="1" t="s">
        <v>8</v>
      </c>
      <c r="J225" s="18" t="s">
        <v>117</v>
      </c>
      <c r="K225" s="18" t="s">
        <v>184</v>
      </c>
      <c r="L225" s="18">
        <v>7200</v>
      </c>
      <c r="M225" s="18">
        <f>ABS((D225*E225)-L225)</f>
        <v>250</v>
      </c>
      <c r="N225" s="10" t="str">
        <f t="shared" si="7"/>
        <v>Unique</v>
      </c>
    </row>
    <row r="226" spans="1:16" ht="27.6" thickBot="1" x14ac:dyDescent="0.35">
      <c r="A226" s="3">
        <v>46275.507638888892</v>
      </c>
      <c r="B226" s="1" t="s">
        <v>15</v>
      </c>
      <c r="C226" s="1" t="s">
        <v>7</v>
      </c>
      <c r="D226" s="4">
        <v>10</v>
      </c>
      <c r="E226" s="4">
        <v>2548</v>
      </c>
      <c r="F226" s="4">
        <v>20.8098241</v>
      </c>
      <c r="G226" s="2" t="s">
        <v>71</v>
      </c>
      <c r="H226" s="5">
        <v>2109.1</v>
      </c>
      <c r="I226" s="1" t="s">
        <v>8</v>
      </c>
      <c r="J226" s="18" t="s">
        <v>116</v>
      </c>
      <c r="K226" s="18" t="s">
        <v>262</v>
      </c>
      <c r="L226" s="18">
        <v>73800</v>
      </c>
      <c r="M226" s="18">
        <f>ABS((D226*E226)-L226)</f>
        <v>48320</v>
      </c>
      <c r="N226" s="10" t="str">
        <f t="shared" si="7"/>
        <v>Unique</v>
      </c>
      <c r="O226" s="38" t="s">
        <v>239</v>
      </c>
    </row>
    <row r="227" spans="1:16" s="29" customFormat="1" ht="27.6" thickBot="1" x14ac:dyDescent="0.35">
      <c r="A227" s="3">
        <v>46265.375694444447</v>
      </c>
      <c r="B227" s="1" t="s">
        <v>77</v>
      </c>
      <c r="C227" s="1" t="s">
        <v>7</v>
      </c>
      <c r="D227" s="4">
        <v>3</v>
      </c>
      <c r="E227" s="4">
        <v>1490</v>
      </c>
      <c r="F227" s="4">
        <v>19.582664529999999</v>
      </c>
      <c r="G227" s="2" t="s">
        <v>78</v>
      </c>
      <c r="H227" s="5">
        <v>1246</v>
      </c>
      <c r="I227" s="1" t="s">
        <v>8</v>
      </c>
      <c r="J227" s="18" t="s">
        <v>117</v>
      </c>
      <c r="K227" s="18" t="s">
        <v>202</v>
      </c>
      <c r="L227" s="18">
        <v>4170</v>
      </c>
      <c r="M227" s="18">
        <f>ABS((D227*E227)-L227)</f>
        <v>300</v>
      </c>
      <c r="N227" t="str">
        <f t="shared" si="7"/>
        <v>Unique</v>
      </c>
      <c r="O227" s="10"/>
      <c r="P227" s="10"/>
    </row>
    <row r="228" spans="1:16" s="29" customFormat="1" ht="27.6" thickBot="1" x14ac:dyDescent="0.35">
      <c r="A228" s="8" t="s">
        <v>61</v>
      </c>
      <c r="B228" s="8" t="s">
        <v>122</v>
      </c>
      <c r="C228" s="8" t="s">
        <v>7</v>
      </c>
      <c r="D228" s="8">
        <v>200</v>
      </c>
      <c r="E228" s="8">
        <v>91.75</v>
      </c>
      <c r="F228" s="4">
        <v>20.107343889999999</v>
      </c>
      <c r="G228" s="2" t="s">
        <v>123</v>
      </c>
      <c r="H228" s="5">
        <v>76.39</v>
      </c>
      <c r="I228" s="1" t="s">
        <v>8</v>
      </c>
      <c r="J228" s="34"/>
      <c r="K228" s="18"/>
      <c r="L228" s="18"/>
      <c r="M228" s="18"/>
      <c r="N228" s="10" t="str">
        <f t="shared" si="7"/>
        <v>Unique</v>
      </c>
      <c r="O228" s="10"/>
      <c r="P228" s="10"/>
    </row>
    <row r="229" spans="1:16" ht="40.799999999999997" thickBot="1" x14ac:dyDescent="0.35">
      <c r="A229" s="3">
        <v>46274.375</v>
      </c>
      <c r="B229" s="1" t="s">
        <v>102</v>
      </c>
      <c r="C229" s="1" t="s">
        <v>7</v>
      </c>
      <c r="D229" s="4">
        <v>7</v>
      </c>
      <c r="E229" s="4">
        <v>2494</v>
      </c>
      <c r="F229" s="4">
        <v>20.117516739999999</v>
      </c>
      <c r="G229" s="2" t="s">
        <v>103</v>
      </c>
      <c r="H229" s="5">
        <v>2076.3000000000002</v>
      </c>
      <c r="I229" s="1" t="s">
        <v>8</v>
      </c>
      <c r="J229" s="18" t="s">
        <v>116</v>
      </c>
      <c r="K229" s="18" t="s">
        <v>256</v>
      </c>
      <c r="L229" s="18">
        <v>16807</v>
      </c>
      <c r="M229" s="18">
        <f>ABS((D229*E229)-L229)</f>
        <v>651</v>
      </c>
      <c r="N229" s="10" t="str">
        <f t="shared" si="7"/>
        <v>Unique</v>
      </c>
    </row>
    <row r="230" spans="1:16" ht="40.799999999999997" thickBot="1" x14ac:dyDescent="0.35">
      <c r="A230" s="3">
        <v>46260.375</v>
      </c>
      <c r="B230" s="1" t="s">
        <v>13</v>
      </c>
      <c r="C230" s="1" t="s">
        <v>7</v>
      </c>
      <c r="D230" s="4">
        <v>5</v>
      </c>
      <c r="E230" s="4">
        <v>1994</v>
      </c>
      <c r="F230" s="4">
        <v>20.12048193</v>
      </c>
      <c r="G230" s="2" t="s">
        <v>90</v>
      </c>
      <c r="H230" s="5">
        <v>1660</v>
      </c>
      <c r="I230" s="1" t="s">
        <v>8</v>
      </c>
      <c r="J230" s="18" t="s">
        <v>117</v>
      </c>
      <c r="K230" s="18" t="s">
        <v>170</v>
      </c>
      <c r="L230" s="18">
        <v>9320</v>
      </c>
      <c r="M230" s="18">
        <f>ABS((D230*E230)-L230)</f>
        <v>650</v>
      </c>
      <c r="N230" t="str">
        <f t="shared" si="7"/>
        <v>Unique</v>
      </c>
      <c r="P230" s="29"/>
    </row>
    <row r="231" spans="1:16" ht="27.6" thickBot="1" x14ac:dyDescent="0.35">
      <c r="A231" s="8" t="s">
        <v>61</v>
      </c>
      <c r="B231" s="8" t="s">
        <v>73</v>
      </c>
      <c r="C231" s="8" t="s">
        <v>7</v>
      </c>
      <c r="D231" s="8">
        <v>1</v>
      </c>
      <c r="E231" s="12">
        <v>3810</v>
      </c>
      <c r="F231" s="4">
        <v>20.26515152</v>
      </c>
      <c r="G231" s="2" t="s">
        <v>74</v>
      </c>
      <c r="H231" s="5">
        <v>3168</v>
      </c>
      <c r="I231" s="1" t="s">
        <v>8</v>
      </c>
      <c r="J231" s="34" t="s">
        <v>117</v>
      </c>
      <c r="N231" s="10" t="str">
        <f t="shared" si="7"/>
        <v>Unique</v>
      </c>
    </row>
    <row r="232" spans="1:16" ht="40.799999999999997" thickBot="1" x14ac:dyDescent="0.35">
      <c r="A232" s="8" t="s">
        <v>61</v>
      </c>
      <c r="B232" s="8" t="s">
        <v>28</v>
      </c>
      <c r="C232" s="8" t="s">
        <v>7</v>
      </c>
      <c r="D232" s="8">
        <v>30</v>
      </c>
      <c r="E232" s="13">
        <v>974</v>
      </c>
      <c r="F232" s="4">
        <v>20.455107590000001</v>
      </c>
      <c r="G232" s="2" t="s">
        <v>124</v>
      </c>
      <c r="H232" s="5">
        <v>808.6</v>
      </c>
      <c r="I232" s="1" t="s">
        <v>8</v>
      </c>
      <c r="J232" s="34"/>
      <c r="N232" s="10" t="str">
        <f t="shared" si="7"/>
        <v>Unique</v>
      </c>
    </row>
    <row r="233" spans="1:16" ht="27.6" thickBot="1" x14ac:dyDescent="0.35">
      <c r="A233" s="8" t="s">
        <v>61</v>
      </c>
      <c r="B233" s="8" t="s">
        <v>127</v>
      </c>
      <c r="C233" s="8" t="s">
        <v>7</v>
      </c>
      <c r="D233" s="8">
        <v>150</v>
      </c>
      <c r="E233" s="8">
        <v>129</v>
      </c>
      <c r="F233" s="4">
        <v>20.583286600000001</v>
      </c>
      <c r="G233" s="2" t="s">
        <v>128</v>
      </c>
      <c r="H233" s="5">
        <v>106.98</v>
      </c>
      <c r="I233" s="1" t="s">
        <v>8</v>
      </c>
      <c r="J233" s="34"/>
      <c r="N233" s="10" t="str">
        <f t="shared" si="7"/>
        <v>Unique</v>
      </c>
    </row>
    <row r="234" spans="1:16" ht="40.799999999999997" thickBot="1" x14ac:dyDescent="0.35">
      <c r="A234" s="3">
        <v>46276.375</v>
      </c>
      <c r="B234" s="1" t="s">
        <v>79</v>
      </c>
      <c r="C234" s="1" t="s">
        <v>7</v>
      </c>
      <c r="D234" s="4">
        <v>10</v>
      </c>
      <c r="E234" s="4">
        <v>1548</v>
      </c>
      <c r="F234" s="4">
        <v>20.84309133</v>
      </c>
      <c r="G234" s="2" t="s">
        <v>80</v>
      </c>
      <c r="H234" s="5">
        <v>1281</v>
      </c>
      <c r="I234" s="1" t="s">
        <v>8</v>
      </c>
      <c r="J234" s="18" t="s">
        <v>116</v>
      </c>
      <c r="K234" s="18" t="s">
        <v>270</v>
      </c>
      <c r="L234" s="18">
        <v>15030</v>
      </c>
      <c r="M234" s="18">
        <f>ABS((D234*E234)-L234)</f>
        <v>450</v>
      </c>
      <c r="N234" s="10" t="str">
        <f t="shared" si="7"/>
        <v>Unique</v>
      </c>
    </row>
    <row r="235" spans="1:16" ht="40.799999999999997" thickBot="1" x14ac:dyDescent="0.35">
      <c r="A235" s="20">
        <v>46255</v>
      </c>
      <c r="B235" s="1" t="s">
        <v>20</v>
      </c>
      <c r="C235" s="1" t="s">
        <v>7</v>
      </c>
      <c r="D235" s="4">
        <v>20</v>
      </c>
      <c r="E235" s="4">
        <v>147</v>
      </c>
      <c r="F235" s="4">
        <v>20.878217249999999</v>
      </c>
      <c r="G235" s="2" t="s">
        <v>85</v>
      </c>
      <c r="H235" s="5">
        <v>121.61</v>
      </c>
      <c r="I235" s="1" t="s">
        <v>8</v>
      </c>
      <c r="J235" s="18" t="s">
        <v>54</v>
      </c>
      <c r="K235" s="18" t="s">
        <v>147</v>
      </c>
      <c r="L235" s="18">
        <v>2640</v>
      </c>
      <c r="M235" s="18">
        <f>ABS((D235*E235)-L235)</f>
        <v>300</v>
      </c>
      <c r="N235" s="10" t="str">
        <f t="shared" si="7"/>
        <v>Unique</v>
      </c>
    </row>
    <row r="236" spans="1:16" ht="27.6" thickBot="1" x14ac:dyDescent="0.35">
      <c r="A236" s="11">
        <v>46252.635416666664</v>
      </c>
      <c r="B236" s="8" t="s">
        <v>34</v>
      </c>
      <c r="C236" s="8" t="s">
        <v>7</v>
      </c>
      <c r="D236" s="8">
        <v>120</v>
      </c>
      <c r="E236" s="8">
        <v>238.2</v>
      </c>
      <c r="F236" s="4">
        <v>21.036585370000001</v>
      </c>
      <c r="G236" s="2" t="s">
        <v>41</v>
      </c>
      <c r="H236" s="5">
        <v>196.8</v>
      </c>
      <c r="I236" s="1" t="s">
        <v>8</v>
      </c>
      <c r="J236" s="34" t="s">
        <v>117</v>
      </c>
      <c r="K236" s="18" t="s">
        <v>144</v>
      </c>
      <c r="N236" s="10" t="str">
        <f t="shared" si="7"/>
        <v>Unique</v>
      </c>
    </row>
    <row r="237" spans="1:16" ht="27.6" thickBot="1" x14ac:dyDescent="0.35">
      <c r="A237" s="3">
        <v>46265.375694444447</v>
      </c>
      <c r="B237" s="1" t="s">
        <v>86</v>
      </c>
      <c r="C237" s="1" t="s">
        <v>7</v>
      </c>
      <c r="D237" s="4">
        <v>10</v>
      </c>
      <c r="E237" s="4">
        <v>1320</v>
      </c>
      <c r="F237" s="4">
        <v>21.100917429999999</v>
      </c>
      <c r="G237" s="2" t="s">
        <v>87</v>
      </c>
      <c r="H237" s="5">
        <v>1090</v>
      </c>
      <c r="I237" s="1" t="s">
        <v>8</v>
      </c>
      <c r="J237" s="18" t="s">
        <v>116</v>
      </c>
      <c r="K237" s="18" t="s">
        <v>199</v>
      </c>
      <c r="L237" s="18">
        <v>12800</v>
      </c>
      <c r="M237" s="18">
        <f>ABS((D237*E237)-L237)</f>
        <v>400</v>
      </c>
      <c r="N237" t="str">
        <f t="shared" si="7"/>
        <v>Unique</v>
      </c>
    </row>
    <row r="238" spans="1:16" ht="40.799999999999997" thickBot="1" x14ac:dyDescent="0.35">
      <c r="A238" s="11">
        <v>46252.6875</v>
      </c>
      <c r="B238" s="8" t="s">
        <v>13</v>
      </c>
      <c r="C238" s="8" t="s">
        <v>7</v>
      </c>
      <c r="D238" s="8">
        <v>5</v>
      </c>
      <c r="E238" s="8">
        <v>2014</v>
      </c>
      <c r="F238" s="4">
        <v>21.325301199999998</v>
      </c>
      <c r="G238" s="2" t="s">
        <v>90</v>
      </c>
      <c r="H238" s="5">
        <v>1660</v>
      </c>
      <c r="I238" s="1" t="s">
        <v>8</v>
      </c>
      <c r="J238" s="34" t="s">
        <v>117</v>
      </c>
      <c r="N238" s="10" t="str">
        <f t="shared" si="7"/>
        <v>Unique</v>
      </c>
      <c r="O238" s="29"/>
    </row>
    <row r="239" spans="1:16" ht="27.6" thickBot="1" x14ac:dyDescent="0.35">
      <c r="A239" s="8" t="s">
        <v>61</v>
      </c>
      <c r="B239" s="8" t="s">
        <v>34</v>
      </c>
      <c r="C239" s="8" t="s">
        <v>7</v>
      </c>
      <c r="D239" s="8">
        <v>200</v>
      </c>
      <c r="E239" s="8">
        <v>239</v>
      </c>
      <c r="F239" s="4">
        <v>21.443089430000001</v>
      </c>
      <c r="G239" s="2" t="s">
        <v>41</v>
      </c>
      <c r="H239" s="5">
        <v>196.8</v>
      </c>
      <c r="I239" s="1" t="s">
        <v>8</v>
      </c>
      <c r="J239" s="34" t="s">
        <v>116</v>
      </c>
      <c r="N239" s="10" t="str">
        <f t="shared" si="7"/>
        <v>Unique</v>
      </c>
    </row>
    <row r="240" spans="1:16" s="29" customFormat="1" ht="27.6" thickBot="1" x14ac:dyDescent="0.35">
      <c r="A240" s="8" t="s">
        <v>61</v>
      </c>
      <c r="B240" s="8" t="s">
        <v>14</v>
      </c>
      <c r="C240" s="8" t="s">
        <v>7</v>
      </c>
      <c r="D240" s="8">
        <v>50</v>
      </c>
      <c r="E240" s="12">
        <v>383</v>
      </c>
      <c r="F240" s="4">
        <v>21.568005079999999</v>
      </c>
      <c r="G240" s="2" t="s">
        <v>44</v>
      </c>
      <c r="H240" s="5">
        <v>315.05</v>
      </c>
      <c r="I240" s="1" t="s">
        <v>8</v>
      </c>
      <c r="J240" s="34"/>
      <c r="K240" s="18"/>
      <c r="L240" s="18"/>
      <c r="M240" s="18"/>
      <c r="N240" s="10" t="str">
        <f t="shared" si="7"/>
        <v>Unique</v>
      </c>
      <c r="O240" s="10"/>
      <c r="P240" s="10"/>
    </row>
    <row r="241" spans="1:16" ht="27.6" thickBot="1" x14ac:dyDescent="0.35">
      <c r="A241" s="3">
        <v>46272.375694444447</v>
      </c>
      <c r="B241" s="1" t="s">
        <v>16</v>
      </c>
      <c r="C241" s="1" t="s">
        <v>7</v>
      </c>
      <c r="D241" s="4">
        <v>5</v>
      </c>
      <c r="E241" s="4">
        <v>902</v>
      </c>
      <c r="F241" s="4">
        <v>21.694549380000002</v>
      </c>
      <c r="G241" s="2" t="s">
        <v>60</v>
      </c>
      <c r="H241" s="5">
        <v>741.2</v>
      </c>
      <c r="I241" s="1" t="s">
        <v>8</v>
      </c>
      <c r="J241" s="18" t="s">
        <v>117</v>
      </c>
      <c r="K241" s="18" t="s">
        <v>242</v>
      </c>
      <c r="L241" s="18">
        <v>4260</v>
      </c>
      <c r="M241" s="18">
        <f>ABS((D241*E241)-L241)</f>
        <v>250</v>
      </c>
      <c r="N241" s="10" t="str">
        <f t="shared" si="7"/>
        <v>Unique</v>
      </c>
      <c r="P241" s="29"/>
    </row>
    <row r="242" spans="1:16" ht="40.799999999999997" thickBot="1" x14ac:dyDescent="0.35">
      <c r="A242" s="8" t="s">
        <v>61</v>
      </c>
      <c r="B242" s="8" t="s">
        <v>28</v>
      </c>
      <c r="C242" s="8" t="s">
        <v>7</v>
      </c>
      <c r="D242" s="8">
        <v>5</v>
      </c>
      <c r="E242" s="12">
        <v>986</v>
      </c>
      <c r="F242" s="4">
        <v>21.939154089999999</v>
      </c>
      <c r="G242" s="2" t="s">
        <v>124</v>
      </c>
      <c r="H242" s="5">
        <v>808.6</v>
      </c>
      <c r="I242" s="1" t="s">
        <v>8</v>
      </c>
      <c r="J242" s="34"/>
      <c r="N242" s="10" t="str">
        <f t="shared" si="7"/>
        <v>Unique</v>
      </c>
    </row>
    <row r="243" spans="1:16" ht="27.6" thickBot="1" x14ac:dyDescent="0.35">
      <c r="A243" s="8" t="s">
        <v>61</v>
      </c>
      <c r="B243" s="8" t="s">
        <v>62</v>
      </c>
      <c r="C243" s="8" t="s">
        <v>7</v>
      </c>
      <c r="D243" s="8">
        <v>11</v>
      </c>
      <c r="E243" s="12">
        <v>1170</v>
      </c>
      <c r="F243" s="4">
        <v>22.09120317</v>
      </c>
      <c r="G243" s="2" t="s">
        <v>63</v>
      </c>
      <c r="H243" s="5">
        <v>958.3</v>
      </c>
      <c r="I243" s="1" t="s">
        <v>8</v>
      </c>
      <c r="J243" s="34"/>
      <c r="N243" s="10" t="str">
        <f t="shared" si="7"/>
        <v>Unique</v>
      </c>
    </row>
    <row r="244" spans="1:16" s="29" customFormat="1" ht="40.799999999999997" thickBot="1" x14ac:dyDescent="0.35">
      <c r="A244" s="3">
        <v>46260.634027777778</v>
      </c>
      <c r="B244" s="1" t="s">
        <v>29</v>
      </c>
      <c r="C244" s="1" t="s">
        <v>7</v>
      </c>
      <c r="D244" s="4">
        <v>5</v>
      </c>
      <c r="E244" s="4">
        <v>4148</v>
      </c>
      <c r="F244" s="4">
        <v>22.186874039999999</v>
      </c>
      <c r="G244" s="2" t="s">
        <v>136</v>
      </c>
      <c r="H244" s="5">
        <v>3394.8</v>
      </c>
      <c r="I244" s="1" t="s">
        <v>8</v>
      </c>
      <c r="J244" s="18" t="s">
        <v>117</v>
      </c>
      <c r="K244" s="18" t="s">
        <v>166</v>
      </c>
      <c r="L244" s="18">
        <v>20260</v>
      </c>
      <c r="M244" s="18">
        <f>ABS((D244*E244)-L244)</f>
        <v>480</v>
      </c>
      <c r="N244" t="str">
        <f t="shared" si="7"/>
        <v>Unique</v>
      </c>
      <c r="O244" s="10"/>
      <c r="P244" s="10"/>
    </row>
    <row r="245" spans="1:16" ht="27.6" thickBot="1" x14ac:dyDescent="0.35">
      <c r="A245" s="3">
        <v>46275.507638888892</v>
      </c>
      <c r="B245" s="1" t="s">
        <v>15</v>
      </c>
      <c r="C245" s="1" t="s">
        <v>7</v>
      </c>
      <c r="D245" s="4">
        <v>10</v>
      </c>
      <c r="E245" s="4">
        <v>2590</v>
      </c>
      <c r="F245" s="4">
        <v>22.801194819999999</v>
      </c>
      <c r="G245" s="2" t="s">
        <v>71</v>
      </c>
      <c r="H245" s="5">
        <v>2109.1</v>
      </c>
      <c r="I245" s="1" t="s">
        <v>8</v>
      </c>
      <c r="J245" s="18" t="s">
        <v>116</v>
      </c>
      <c r="K245" s="18" t="s">
        <v>262</v>
      </c>
      <c r="L245" s="18">
        <v>73800</v>
      </c>
      <c r="M245" s="18">
        <f>ABS((D245*E245)-L245)</f>
        <v>47900</v>
      </c>
      <c r="N245" s="10" t="str">
        <f t="shared" si="7"/>
        <v>Unique</v>
      </c>
      <c r="O245" s="38" t="s">
        <v>239</v>
      </c>
    </row>
    <row r="246" spans="1:16" ht="40.799999999999997" thickBot="1" x14ac:dyDescent="0.35">
      <c r="A246" s="8" t="s">
        <v>61</v>
      </c>
      <c r="B246" s="8" t="s">
        <v>6</v>
      </c>
      <c r="C246" s="8" t="s">
        <v>7</v>
      </c>
      <c r="D246" s="8">
        <v>100</v>
      </c>
      <c r="E246" s="8">
        <v>310.5</v>
      </c>
      <c r="F246" s="4">
        <v>22.268163019999999</v>
      </c>
      <c r="G246" s="2" t="s">
        <v>129</v>
      </c>
      <c r="H246" s="5">
        <v>253.95</v>
      </c>
      <c r="I246" s="1" t="s">
        <v>8</v>
      </c>
      <c r="J246" s="34" t="s">
        <v>117</v>
      </c>
      <c r="N246" s="10" t="str">
        <f t="shared" si="7"/>
        <v>Unique</v>
      </c>
    </row>
    <row r="247" spans="1:16" ht="27.6" thickBot="1" x14ac:dyDescent="0.35">
      <c r="A247" s="3">
        <v>46262.375</v>
      </c>
      <c r="B247" s="1" t="s">
        <v>86</v>
      </c>
      <c r="C247" s="1" t="s">
        <v>7</v>
      </c>
      <c r="D247" s="4">
        <v>10</v>
      </c>
      <c r="E247" s="4">
        <v>1340</v>
      </c>
      <c r="F247" s="4">
        <v>22.93577982</v>
      </c>
      <c r="G247" s="2" t="s">
        <v>87</v>
      </c>
      <c r="H247" s="5">
        <v>1090</v>
      </c>
      <c r="I247" s="1" t="s">
        <v>8</v>
      </c>
      <c r="J247" s="18" t="s">
        <v>116</v>
      </c>
      <c r="K247" s="18" t="s">
        <v>186</v>
      </c>
      <c r="L247" s="18">
        <v>13030</v>
      </c>
      <c r="M247" s="18">
        <f>ABS((D247*E247)-L247)</f>
        <v>370</v>
      </c>
      <c r="N247" s="10" t="str">
        <f t="shared" si="7"/>
        <v>Unique</v>
      </c>
      <c r="P247" s="29"/>
    </row>
    <row r="248" spans="1:16" ht="27.6" thickBot="1" x14ac:dyDescent="0.35">
      <c r="A248" s="3">
        <v>46266.375</v>
      </c>
      <c r="B248" s="1" t="s">
        <v>15</v>
      </c>
      <c r="C248" s="1" t="s">
        <v>7</v>
      </c>
      <c r="D248" s="4">
        <v>10</v>
      </c>
      <c r="E248" s="4">
        <v>2595</v>
      </c>
      <c r="F248" s="4">
        <v>23.038262769999999</v>
      </c>
      <c r="G248" s="2" t="s">
        <v>71</v>
      </c>
      <c r="H248" s="5">
        <v>2109.1</v>
      </c>
      <c r="I248" s="1" t="s">
        <v>8</v>
      </c>
      <c r="J248" s="18" t="s">
        <v>117</v>
      </c>
      <c r="K248" s="18" t="s">
        <v>215</v>
      </c>
      <c r="L248" s="18">
        <v>25300</v>
      </c>
      <c r="M248" s="18">
        <f>ABS((D248*E248)-L248)</f>
        <v>650</v>
      </c>
      <c r="N248" s="10" t="str">
        <f t="shared" si="7"/>
        <v>Unique</v>
      </c>
      <c r="O248" s="38" t="s">
        <v>239</v>
      </c>
    </row>
    <row r="249" spans="1:16" s="29" customFormat="1" ht="27.6" thickBot="1" x14ac:dyDescent="0.35">
      <c r="A249" s="3">
        <v>46267.513888888891</v>
      </c>
      <c r="B249" s="1" t="s">
        <v>15</v>
      </c>
      <c r="C249" s="1" t="s">
        <v>7</v>
      </c>
      <c r="D249" s="4">
        <v>5</v>
      </c>
      <c r="E249" s="4">
        <v>2595</v>
      </c>
      <c r="F249" s="4">
        <v>23.038262769999999</v>
      </c>
      <c r="G249" s="2" t="s">
        <v>71</v>
      </c>
      <c r="H249" s="5">
        <v>2109.1</v>
      </c>
      <c r="I249" s="1" t="s">
        <v>8</v>
      </c>
      <c r="J249" s="18" t="s">
        <v>117</v>
      </c>
      <c r="K249" s="18" t="s">
        <v>226</v>
      </c>
      <c r="L249" s="18">
        <v>12480</v>
      </c>
      <c r="M249" s="18">
        <f>ABS((D249*E249)-L249)</f>
        <v>495</v>
      </c>
      <c r="N249" s="10" t="str">
        <f t="shared" si="7"/>
        <v>Unique</v>
      </c>
      <c r="O249" s="38" t="s">
        <v>239</v>
      </c>
      <c r="P249" s="10"/>
    </row>
    <row r="250" spans="1:16" s="29" customFormat="1" ht="40.799999999999997" thickBot="1" x14ac:dyDescent="0.35">
      <c r="A250" s="3">
        <v>46266.509722222225</v>
      </c>
      <c r="B250" s="1" t="s">
        <v>11</v>
      </c>
      <c r="C250" s="1" t="s">
        <v>7</v>
      </c>
      <c r="D250" s="4">
        <v>20</v>
      </c>
      <c r="E250" s="4">
        <v>306</v>
      </c>
      <c r="F250" s="4">
        <v>23.138833000000002</v>
      </c>
      <c r="G250" s="2" t="s">
        <v>98</v>
      </c>
      <c r="H250" s="5">
        <v>248.5</v>
      </c>
      <c r="I250" s="1" t="s">
        <v>8</v>
      </c>
      <c r="J250" s="18" t="s">
        <v>117</v>
      </c>
      <c r="K250" s="18" t="s">
        <v>208</v>
      </c>
      <c r="L250" s="18">
        <v>5820</v>
      </c>
      <c r="M250" s="18">
        <f>ABS((D250*E250)-L250)</f>
        <v>300</v>
      </c>
      <c r="N250" s="10" t="str">
        <f t="shared" si="7"/>
        <v>Unique</v>
      </c>
      <c r="O250" s="10"/>
      <c r="P250" s="10"/>
    </row>
    <row r="251" spans="1:16" ht="40.799999999999997" thickBot="1" x14ac:dyDescent="0.35">
      <c r="A251" s="8" t="s">
        <v>61</v>
      </c>
      <c r="B251" s="14" t="s">
        <v>28</v>
      </c>
      <c r="C251" s="8" t="s">
        <v>7</v>
      </c>
      <c r="D251" s="8">
        <v>40</v>
      </c>
      <c r="E251" s="15">
        <v>996</v>
      </c>
      <c r="F251" s="4">
        <v>23.175859509999999</v>
      </c>
      <c r="G251" s="2" t="s">
        <v>124</v>
      </c>
      <c r="H251" s="5">
        <v>808.6</v>
      </c>
      <c r="I251" s="1" t="s">
        <v>8</v>
      </c>
      <c r="J251" s="34" t="s">
        <v>117</v>
      </c>
      <c r="N251" s="10" t="str">
        <f t="shared" si="7"/>
        <v>Unique</v>
      </c>
    </row>
    <row r="252" spans="1:16" ht="40.799999999999997" thickBot="1" x14ac:dyDescent="0.35">
      <c r="A252" s="3">
        <v>46258.375694444447</v>
      </c>
      <c r="B252" s="1" t="s">
        <v>22</v>
      </c>
      <c r="C252" s="1" t="s">
        <v>7</v>
      </c>
      <c r="D252" s="4">
        <v>5</v>
      </c>
      <c r="E252" s="4">
        <v>499</v>
      </c>
      <c r="F252" s="4">
        <v>23.20987654</v>
      </c>
      <c r="G252" s="2" t="s">
        <v>72</v>
      </c>
      <c r="H252" s="5">
        <v>405</v>
      </c>
      <c r="I252" s="1" t="s">
        <v>8</v>
      </c>
      <c r="J252" s="18" t="s">
        <v>117</v>
      </c>
      <c r="K252" s="18" t="s">
        <v>156</v>
      </c>
      <c r="L252" s="18">
        <v>2260</v>
      </c>
      <c r="M252" s="18">
        <f>ABS((D252*E252)-L252)</f>
        <v>235</v>
      </c>
      <c r="N252" s="10" t="str">
        <f t="shared" si="7"/>
        <v>Unique</v>
      </c>
    </row>
    <row r="253" spans="1:16" s="29" customFormat="1" ht="27.6" thickBot="1" x14ac:dyDescent="0.35">
      <c r="A253" s="8" t="s">
        <v>61</v>
      </c>
      <c r="B253" s="8" t="s">
        <v>26</v>
      </c>
      <c r="C253" s="8" t="s">
        <v>7</v>
      </c>
      <c r="D253" s="8">
        <v>25</v>
      </c>
      <c r="E253" s="8">
        <v>199.9</v>
      </c>
      <c r="F253" s="4">
        <v>23.273310309999999</v>
      </c>
      <c r="G253" s="2" t="s">
        <v>131</v>
      </c>
      <c r="H253" s="5">
        <v>162.16</v>
      </c>
      <c r="I253" s="1" t="s">
        <v>8</v>
      </c>
      <c r="J253" s="34" t="s">
        <v>116</v>
      </c>
      <c r="K253" s="18"/>
      <c r="L253" s="18"/>
      <c r="M253" s="18"/>
      <c r="N253" s="10" t="str">
        <f t="shared" si="7"/>
        <v>Unique</v>
      </c>
      <c r="O253" s="10"/>
      <c r="P253" s="10"/>
    </row>
    <row r="254" spans="1:16" ht="40.799999999999997" thickBot="1" x14ac:dyDescent="0.35">
      <c r="A254" s="3">
        <v>46261.375</v>
      </c>
      <c r="B254" s="1" t="s">
        <v>18</v>
      </c>
      <c r="C254" s="1" t="s">
        <v>7</v>
      </c>
      <c r="D254" s="4">
        <v>2</v>
      </c>
      <c r="E254" s="4">
        <v>1970</v>
      </c>
      <c r="F254" s="4">
        <v>23.279098869999999</v>
      </c>
      <c r="G254" s="2" t="s">
        <v>101</v>
      </c>
      <c r="H254" s="5">
        <v>1598</v>
      </c>
      <c r="I254" s="1" t="s">
        <v>8</v>
      </c>
      <c r="J254" s="18" t="s">
        <v>116</v>
      </c>
      <c r="K254" s="18" t="s">
        <v>178</v>
      </c>
      <c r="L254" s="18">
        <v>3680</v>
      </c>
      <c r="M254" s="18">
        <f>ABS((D254*E254)-L254)</f>
        <v>260</v>
      </c>
      <c r="N254" s="10" t="str">
        <f t="shared" si="7"/>
        <v>Unique</v>
      </c>
    </row>
    <row r="255" spans="1:16" ht="27.6" thickBot="1" x14ac:dyDescent="0.35">
      <c r="A255" s="3">
        <v>46265.375694444447</v>
      </c>
      <c r="B255" s="1" t="s">
        <v>15</v>
      </c>
      <c r="C255" s="1" t="s">
        <v>7</v>
      </c>
      <c r="D255" s="4">
        <v>10</v>
      </c>
      <c r="E255" s="4">
        <v>2608</v>
      </c>
      <c r="F255" s="4">
        <v>23.654639419999999</v>
      </c>
      <c r="G255" s="2" t="s">
        <v>71</v>
      </c>
      <c r="H255" s="5">
        <v>2109.1</v>
      </c>
      <c r="I255" s="1" t="s">
        <v>8</v>
      </c>
      <c r="J255" s="18" t="s">
        <v>117</v>
      </c>
      <c r="K255" s="18" t="s">
        <v>201</v>
      </c>
      <c r="L255" s="18">
        <v>25780</v>
      </c>
      <c r="M255" s="18">
        <f>ABS((D255*E255)-L255)</f>
        <v>300</v>
      </c>
      <c r="N255" t="str">
        <f t="shared" si="7"/>
        <v>Unique</v>
      </c>
      <c r="O255" s="38" t="s">
        <v>239</v>
      </c>
      <c r="P255"/>
    </row>
    <row r="256" spans="1:16" s="29" customFormat="1" ht="40.799999999999997" thickBot="1" x14ac:dyDescent="0.35">
      <c r="A256" s="8" t="s">
        <v>61</v>
      </c>
      <c r="B256" s="8" t="s">
        <v>6</v>
      </c>
      <c r="C256" s="8" t="s">
        <v>7</v>
      </c>
      <c r="D256" s="8">
        <v>100</v>
      </c>
      <c r="E256" s="13">
        <v>314</v>
      </c>
      <c r="F256" s="4">
        <v>23.64638708</v>
      </c>
      <c r="G256" s="2" t="s">
        <v>129</v>
      </c>
      <c r="H256" s="5">
        <v>253.95</v>
      </c>
      <c r="I256" s="1" t="s">
        <v>8</v>
      </c>
      <c r="J256" s="34" t="s">
        <v>116</v>
      </c>
      <c r="K256" s="18"/>
      <c r="L256" s="18"/>
      <c r="M256" s="18"/>
      <c r="N256" s="10" t="str">
        <f t="shared" si="7"/>
        <v>Unique</v>
      </c>
      <c r="O256" s="10"/>
      <c r="P256" s="10"/>
    </row>
    <row r="257" spans="1:16" s="29" customFormat="1" ht="40.799999999999997" thickBot="1" x14ac:dyDescent="0.35">
      <c r="A257" s="8" t="s">
        <v>61</v>
      </c>
      <c r="B257" s="8" t="s">
        <v>28</v>
      </c>
      <c r="C257" s="8" t="s">
        <v>7</v>
      </c>
      <c r="D257" s="8">
        <v>5</v>
      </c>
      <c r="E257" s="12">
        <v>1002</v>
      </c>
      <c r="F257" s="4">
        <v>23.917882760000001</v>
      </c>
      <c r="G257" s="2" t="s">
        <v>124</v>
      </c>
      <c r="H257" s="5">
        <v>808.6</v>
      </c>
      <c r="I257" s="1" t="s">
        <v>8</v>
      </c>
      <c r="J257" s="34"/>
      <c r="K257" s="18"/>
      <c r="L257" s="18"/>
      <c r="M257" s="18"/>
      <c r="N257" s="10" t="str">
        <f t="shared" si="7"/>
        <v>Unique</v>
      </c>
      <c r="P257" s="10"/>
    </row>
    <row r="258" spans="1:16" ht="27.6" thickBot="1" x14ac:dyDescent="0.35">
      <c r="A258" s="8" t="s">
        <v>61</v>
      </c>
      <c r="B258" s="8" t="s">
        <v>34</v>
      </c>
      <c r="C258" s="8" t="s">
        <v>7</v>
      </c>
      <c r="D258" s="8">
        <v>200</v>
      </c>
      <c r="E258" s="12">
        <v>244</v>
      </c>
      <c r="F258" s="4">
        <v>23.983739839999998</v>
      </c>
      <c r="G258" s="2" t="s">
        <v>41</v>
      </c>
      <c r="H258" s="5">
        <v>196.8</v>
      </c>
      <c r="I258" s="1" t="s">
        <v>8</v>
      </c>
      <c r="J258" s="34" t="s">
        <v>116</v>
      </c>
      <c r="N258" s="10" t="str">
        <f t="shared" ref="N258:N301" si="8">IF(COUNTIFS( $B$2:$B$688, B258, $C$2:$C$688, C258, $D$2:$D$688, D258, $E$2:$E$688, E258) &gt; 1, "Duplicate", "Unique")</f>
        <v>Unique</v>
      </c>
    </row>
    <row r="259" spans="1:16" ht="27.6" thickBot="1" x14ac:dyDescent="0.35">
      <c r="A259" s="3">
        <v>46268.375</v>
      </c>
      <c r="B259" s="1" t="s">
        <v>16</v>
      </c>
      <c r="C259" s="1" t="s">
        <v>7</v>
      </c>
      <c r="D259" s="4">
        <v>30</v>
      </c>
      <c r="E259" s="4">
        <v>920</v>
      </c>
      <c r="F259" s="4">
        <v>24.123043710000001</v>
      </c>
      <c r="G259" s="2" t="s">
        <v>60</v>
      </c>
      <c r="H259" s="5">
        <v>741.2</v>
      </c>
      <c r="I259" s="1" t="s">
        <v>8</v>
      </c>
      <c r="J259" s="18" t="s">
        <v>116</v>
      </c>
      <c r="K259" s="18" t="s">
        <v>230</v>
      </c>
      <c r="L259" s="18">
        <v>25800</v>
      </c>
      <c r="M259" s="18">
        <f>ABS((D259*E259)-L259)</f>
        <v>1800</v>
      </c>
      <c r="N259" s="10" t="str">
        <f t="shared" si="8"/>
        <v>Unique</v>
      </c>
    </row>
    <row r="260" spans="1:16" ht="27.6" thickBot="1" x14ac:dyDescent="0.35">
      <c r="A260" s="3">
        <v>46258.629861111112</v>
      </c>
      <c r="B260" s="1" t="s">
        <v>17</v>
      </c>
      <c r="C260" s="1" t="s">
        <v>7</v>
      </c>
      <c r="D260" s="4">
        <v>25</v>
      </c>
      <c r="E260" s="4">
        <v>392.5</v>
      </c>
      <c r="F260" s="4">
        <v>23.817034700000001</v>
      </c>
      <c r="G260" s="2" t="s">
        <v>76</v>
      </c>
      <c r="H260" s="5">
        <v>317</v>
      </c>
      <c r="I260" s="1" t="s">
        <v>8</v>
      </c>
      <c r="J260" s="18" t="s">
        <v>117</v>
      </c>
      <c r="K260" s="18" t="s">
        <v>153</v>
      </c>
      <c r="L260" s="18">
        <v>9312.5</v>
      </c>
      <c r="M260" s="18">
        <f>ABS((D260*E260)-L260)</f>
        <v>500</v>
      </c>
      <c r="N260" s="10" t="str">
        <f t="shared" si="8"/>
        <v>Unique</v>
      </c>
      <c r="O260" s="38" t="s">
        <v>239</v>
      </c>
    </row>
    <row r="261" spans="1:16" ht="27.6" thickBot="1" x14ac:dyDescent="0.35">
      <c r="A261" s="3">
        <v>46265.390277777777</v>
      </c>
      <c r="B261" s="1" t="s">
        <v>15</v>
      </c>
      <c r="C261" s="1" t="s">
        <v>7</v>
      </c>
      <c r="D261" s="4">
        <v>10</v>
      </c>
      <c r="E261" s="4">
        <v>2618</v>
      </c>
      <c r="F261" s="4">
        <v>24.128775310000002</v>
      </c>
      <c r="G261" s="2" t="s">
        <v>71</v>
      </c>
      <c r="H261" s="5">
        <v>2109.1</v>
      </c>
      <c r="I261" s="1" t="s">
        <v>8</v>
      </c>
      <c r="J261" s="18" t="s">
        <v>116</v>
      </c>
      <c r="K261" s="18" t="s">
        <v>198</v>
      </c>
      <c r="L261" s="18">
        <v>25530</v>
      </c>
      <c r="M261" s="18">
        <f>ABS((D261*E261)-L261)</f>
        <v>650</v>
      </c>
      <c r="N261" t="str">
        <f t="shared" si="8"/>
        <v>Unique</v>
      </c>
      <c r="O261"/>
      <c r="P261"/>
    </row>
    <row r="262" spans="1:16" ht="27.6" thickBot="1" x14ac:dyDescent="0.35">
      <c r="A262" s="3">
        <v>46262.375</v>
      </c>
      <c r="B262" s="1" t="s">
        <v>86</v>
      </c>
      <c r="C262" s="1" t="s">
        <v>7</v>
      </c>
      <c r="D262" s="4">
        <v>10</v>
      </c>
      <c r="E262" s="4">
        <v>1360</v>
      </c>
      <c r="F262" s="4">
        <v>24.770642200000001</v>
      </c>
      <c r="G262" s="2" t="s">
        <v>87</v>
      </c>
      <c r="H262" s="5">
        <v>1090</v>
      </c>
      <c r="I262" s="1" t="s">
        <v>8</v>
      </c>
      <c r="J262" s="18" t="s">
        <v>116</v>
      </c>
      <c r="K262" s="18" t="s">
        <v>189</v>
      </c>
      <c r="L262" s="18">
        <v>13300</v>
      </c>
      <c r="M262" s="18">
        <f>ABS((D262*E262)-L262)</f>
        <v>300</v>
      </c>
      <c r="N262" s="10" t="str">
        <f t="shared" si="8"/>
        <v>Unique</v>
      </c>
    </row>
    <row r="263" spans="1:16" ht="27.6" thickBot="1" x14ac:dyDescent="0.35">
      <c r="A263" s="3">
        <v>46275.507638888892</v>
      </c>
      <c r="B263" s="1" t="s">
        <v>15</v>
      </c>
      <c r="C263" s="1" t="s">
        <v>7</v>
      </c>
      <c r="D263" s="4">
        <v>10</v>
      </c>
      <c r="E263" s="4">
        <v>2632</v>
      </c>
      <c r="F263" s="4">
        <v>24.792565549999999</v>
      </c>
      <c r="G263" s="2" t="s">
        <v>71</v>
      </c>
      <c r="H263" s="5">
        <v>2109.1</v>
      </c>
      <c r="I263" s="1" t="s">
        <v>8</v>
      </c>
      <c r="J263" s="18" t="s">
        <v>116</v>
      </c>
      <c r="K263" s="18" t="s">
        <v>262</v>
      </c>
      <c r="L263" s="18">
        <v>73800</v>
      </c>
      <c r="M263" s="18">
        <f>ABS((D263*E263)-L263)</f>
        <v>47480</v>
      </c>
      <c r="N263" s="10" t="str">
        <f t="shared" si="8"/>
        <v>Unique</v>
      </c>
    </row>
    <row r="264" spans="1:16" ht="40.799999999999997" thickBot="1" x14ac:dyDescent="0.35">
      <c r="A264" s="11">
        <v>46252.635416666664</v>
      </c>
      <c r="B264" s="8" t="s">
        <v>125</v>
      </c>
      <c r="C264" s="41" t="s">
        <v>7</v>
      </c>
      <c r="D264" s="8">
        <v>6</v>
      </c>
      <c r="E264" s="8">
        <v>548</v>
      </c>
      <c r="F264" s="4">
        <v>24.800728759999998</v>
      </c>
      <c r="G264" s="2" t="s">
        <v>126</v>
      </c>
      <c r="H264" s="5">
        <v>439.1</v>
      </c>
      <c r="I264" s="1" t="s">
        <v>8</v>
      </c>
      <c r="J264" s="34"/>
      <c r="N264" s="10" t="str">
        <f t="shared" si="8"/>
        <v>Unique</v>
      </c>
      <c r="O264" s="29"/>
    </row>
    <row r="265" spans="1:16" ht="27.6" thickBot="1" x14ac:dyDescent="0.35">
      <c r="A265" s="3">
        <v>46265.375694444447</v>
      </c>
      <c r="B265" s="1" t="s">
        <v>15</v>
      </c>
      <c r="C265" s="1" t="s">
        <v>7</v>
      </c>
      <c r="D265" s="4">
        <v>10</v>
      </c>
      <c r="E265" s="4">
        <v>2636</v>
      </c>
      <c r="F265" s="4">
        <v>24.9822199</v>
      </c>
      <c r="G265" s="2" t="s">
        <v>71</v>
      </c>
      <c r="H265" s="5">
        <v>2109.1</v>
      </c>
      <c r="I265" s="1" t="s">
        <v>8</v>
      </c>
      <c r="J265" s="18" t="s">
        <v>116</v>
      </c>
      <c r="K265" s="18" t="s">
        <v>206</v>
      </c>
      <c r="L265" s="18">
        <v>26020</v>
      </c>
      <c r="M265" s="18">
        <f>ABS((D265*E265)-L265)</f>
        <v>340</v>
      </c>
      <c r="N265" t="str">
        <f t="shared" si="8"/>
        <v>Unique</v>
      </c>
    </row>
    <row r="266" spans="1:16" ht="40.799999999999997" thickBot="1" x14ac:dyDescent="0.35">
      <c r="A266" s="8" t="s">
        <v>61</v>
      </c>
      <c r="B266" s="8" t="s">
        <v>6</v>
      </c>
      <c r="C266" s="8" t="s">
        <v>7</v>
      </c>
      <c r="D266" s="8">
        <v>100</v>
      </c>
      <c r="E266" s="12">
        <v>318</v>
      </c>
      <c r="F266" s="4">
        <v>25.221500299999999</v>
      </c>
      <c r="G266" s="2" t="s">
        <v>129</v>
      </c>
      <c r="H266" s="5">
        <v>253.95</v>
      </c>
      <c r="I266" s="1" t="s">
        <v>8</v>
      </c>
      <c r="J266" s="34" t="s">
        <v>116</v>
      </c>
      <c r="N266" s="10" t="str">
        <f t="shared" si="8"/>
        <v>Unique</v>
      </c>
    </row>
    <row r="267" spans="1:16" ht="27.6" thickBot="1" x14ac:dyDescent="0.35">
      <c r="A267" s="3">
        <v>46262.463194444441</v>
      </c>
      <c r="B267" s="1" t="s">
        <v>15</v>
      </c>
      <c r="C267" s="1" t="s">
        <v>7</v>
      </c>
      <c r="D267" s="4">
        <v>10</v>
      </c>
      <c r="E267" s="4">
        <v>2648</v>
      </c>
      <c r="F267" s="4">
        <v>25.551182969999999</v>
      </c>
      <c r="G267" s="2" t="s">
        <v>71</v>
      </c>
      <c r="H267" s="5">
        <v>2109.1</v>
      </c>
      <c r="I267" s="1" t="s">
        <v>8</v>
      </c>
      <c r="J267" s="18" t="s">
        <v>116</v>
      </c>
      <c r="K267" s="18" t="s">
        <v>188</v>
      </c>
      <c r="L267" s="18">
        <v>26180</v>
      </c>
      <c r="M267" s="18">
        <f>ABS((D267*E267)-L267)</f>
        <v>300</v>
      </c>
      <c r="N267" s="10" t="str">
        <f t="shared" si="8"/>
        <v>Unique</v>
      </c>
    </row>
    <row r="268" spans="1:16" ht="40.799999999999997" thickBot="1" x14ac:dyDescent="0.35">
      <c r="A268" s="8" t="s">
        <v>61</v>
      </c>
      <c r="B268" s="8" t="s">
        <v>6</v>
      </c>
      <c r="C268" s="8" t="s">
        <v>7</v>
      </c>
      <c r="D268" s="8">
        <v>100</v>
      </c>
      <c r="E268" s="13">
        <v>319</v>
      </c>
      <c r="F268" s="4">
        <v>25.6152786</v>
      </c>
      <c r="G268" s="2" t="s">
        <v>129</v>
      </c>
      <c r="H268" s="5">
        <v>253.95</v>
      </c>
      <c r="I268" s="1" t="s">
        <v>8</v>
      </c>
      <c r="J268" s="34" t="s">
        <v>116</v>
      </c>
      <c r="N268" s="10" t="str">
        <f t="shared" si="8"/>
        <v>Unique</v>
      </c>
    </row>
    <row r="269" spans="1:16" ht="27.6" thickBot="1" x14ac:dyDescent="0.35">
      <c r="A269" s="3">
        <v>46262.375</v>
      </c>
      <c r="B269" s="1" t="s">
        <v>15</v>
      </c>
      <c r="C269" s="1" t="s">
        <v>7</v>
      </c>
      <c r="D269" s="4">
        <v>10</v>
      </c>
      <c r="E269" s="4">
        <v>2660</v>
      </c>
      <c r="F269" s="4">
        <v>26.120146030000001</v>
      </c>
      <c r="G269" s="2" t="s">
        <v>71</v>
      </c>
      <c r="H269" s="5">
        <v>2109.1</v>
      </c>
      <c r="I269" s="1" t="s">
        <v>8</v>
      </c>
      <c r="J269" s="18" t="s">
        <v>116</v>
      </c>
      <c r="K269" s="18" t="s">
        <v>190</v>
      </c>
      <c r="L269" s="18">
        <v>26300</v>
      </c>
      <c r="M269" s="18">
        <f>ABS((D269*E269)-L269)</f>
        <v>300</v>
      </c>
      <c r="N269" s="10" t="str">
        <f t="shared" si="8"/>
        <v>Unique</v>
      </c>
    </row>
    <row r="270" spans="1:16" ht="40.799999999999997" thickBot="1" x14ac:dyDescent="0.35">
      <c r="A270" s="11">
        <v>46252.6875</v>
      </c>
      <c r="B270" s="8" t="s">
        <v>13</v>
      </c>
      <c r="C270" s="8" t="s">
        <v>7</v>
      </c>
      <c r="D270" s="8">
        <v>5</v>
      </c>
      <c r="E270" s="8">
        <v>2094</v>
      </c>
      <c r="F270" s="4">
        <v>26.14457831</v>
      </c>
      <c r="G270" s="2" t="s">
        <v>90</v>
      </c>
      <c r="H270" s="5">
        <v>1660</v>
      </c>
      <c r="I270" s="1" t="s">
        <v>8</v>
      </c>
      <c r="J270" s="34" t="s">
        <v>117</v>
      </c>
      <c r="N270" s="10" t="str">
        <f t="shared" si="8"/>
        <v>Unique</v>
      </c>
    </row>
    <row r="271" spans="1:16" ht="27.6" thickBot="1" x14ac:dyDescent="0.35">
      <c r="A271" s="8" t="s">
        <v>61</v>
      </c>
      <c r="B271" s="8" t="s">
        <v>34</v>
      </c>
      <c r="C271" s="8" t="s">
        <v>7</v>
      </c>
      <c r="D271" s="8">
        <v>200</v>
      </c>
      <c r="E271" s="12">
        <v>249</v>
      </c>
      <c r="F271" s="4">
        <v>26.524390239999999</v>
      </c>
      <c r="G271" s="2" t="s">
        <v>41</v>
      </c>
      <c r="H271" s="5">
        <v>196.8</v>
      </c>
      <c r="I271" s="1" t="s">
        <v>8</v>
      </c>
      <c r="J271" s="34" t="s">
        <v>116</v>
      </c>
      <c r="N271" s="10" t="str">
        <f t="shared" si="8"/>
        <v>Unique</v>
      </c>
    </row>
    <row r="272" spans="1:16" ht="27.6" thickBot="1" x14ac:dyDescent="0.35">
      <c r="A272" s="3">
        <v>46254.642361111109</v>
      </c>
      <c r="B272" s="1" t="s">
        <v>15</v>
      </c>
      <c r="C272" s="1" t="s">
        <v>7</v>
      </c>
      <c r="D272" s="4">
        <v>10</v>
      </c>
      <c r="E272" s="4">
        <v>2672</v>
      </c>
      <c r="F272" s="4">
        <v>26.6891091</v>
      </c>
      <c r="G272" s="2" t="s">
        <v>71</v>
      </c>
      <c r="H272" s="5">
        <v>2109.1</v>
      </c>
      <c r="I272" s="1" t="s">
        <v>8</v>
      </c>
      <c r="J272" s="17" t="s">
        <v>116</v>
      </c>
      <c r="K272" s="17" t="s">
        <v>145</v>
      </c>
      <c r="L272" s="17"/>
      <c r="M272" s="17"/>
      <c r="N272" s="10" t="str">
        <f t="shared" si="8"/>
        <v>Unique</v>
      </c>
    </row>
    <row r="273" spans="1:16" s="29" customFormat="1" ht="27.6" thickBot="1" x14ac:dyDescent="0.35">
      <c r="A273" s="8" t="s">
        <v>61</v>
      </c>
      <c r="B273" s="8" t="s">
        <v>127</v>
      </c>
      <c r="C273" s="8" t="s">
        <v>7</v>
      </c>
      <c r="D273" s="8">
        <v>150</v>
      </c>
      <c r="E273" s="12">
        <v>136</v>
      </c>
      <c r="F273" s="4">
        <v>27.126565710000001</v>
      </c>
      <c r="G273" s="2" t="s">
        <v>128</v>
      </c>
      <c r="H273" s="5">
        <v>106.98</v>
      </c>
      <c r="I273" s="1" t="s">
        <v>8</v>
      </c>
      <c r="J273" s="34"/>
      <c r="K273" s="18"/>
      <c r="L273" s="18"/>
      <c r="M273" s="18"/>
      <c r="N273" s="10" t="str">
        <f t="shared" si="8"/>
        <v>Unique</v>
      </c>
      <c r="O273" s="10"/>
      <c r="P273" s="10"/>
    </row>
    <row r="274" spans="1:16" s="29" customFormat="1" ht="40.799999999999997" thickBot="1" x14ac:dyDescent="0.35">
      <c r="A274" s="8" t="s">
        <v>61</v>
      </c>
      <c r="B274" s="8" t="s">
        <v>6</v>
      </c>
      <c r="C274" s="8" t="s">
        <v>7</v>
      </c>
      <c r="D274" s="8">
        <v>150</v>
      </c>
      <c r="E274" s="12">
        <v>323</v>
      </c>
      <c r="F274" s="4">
        <v>27.190391810000001</v>
      </c>
      <c r="G274" s="2" t="s">
        <v>129</v>
      </c>
      <c r="H274" s="5">
        <v>253.95</v>
      </c>
      <c r="I274" s="1" t="s">
        <v>8</v>
      </c>
      <c r="J274" s="34" t="s">
        <v>117</v>
      </c>
      <c r="K274" s="18"/>
      <c r="L274" s="18"/>
      <c r="M274" s="18"/>
      <c r="N274" s="10" t="str">
        <f t="shared" si="8"/>
        <v>Unique</v>
      </c>
      <c r="O274" s="10"/>
      <c r="P274" s="10"/>
    </row>
    <row r="275" spans="1:16" ht="40.799999999999997" thickBot="1" x14ac:dyDescent="0.35">
      <c r="A275" s="8" t="s">
        <v>61</v>
      </c>
      <c r="B275" s="8" t="s">
        <v>13</v>
      </c>
      <c r="C275" s="8" t="s">
        <v>7</v>
      </c>
      <c r="D275" s="8">
        <v>10</v>
      </c>
      <c r="E275" s="8">
        <v>2114</v>
      </c>
      <c r="F275" s="4">
        <v>27.349397589999999</v>
      </c>
      <c r="G275" s="2" t="s">
        <v>90</v>
      </c>
      <c r="H275" s="5">
        <v>1660</v>
      </c>
      <c r="I275" s="1" t="s">
        <v>8</v>
      </c>
      <c r="J275" s="34"/>
      <c r="N275" s="10" t="str">
        <f t="shared" si="8"/>
        <v>Unique</v>
      </c>
      <c r="P275" s="29"/>
    </row>
    <row r="276" spans="1:16" ht="27.6" thickBot="1" x14ac:dyDescent="0.35">
      <c r="A276" s="3">
        <v>46260.375</v>
      </c>
      <c r="B276" s="1" t="s">
        <v>86</v>
      </c>
      <c r="C276" s="1" t="s">
        <v>7</v>
      </c>
      <c r="D276" s="4">
        <v>10</v>
      </c>
      <c r="E276" s="4">
        <v>1390</v>
      </c>
      <c r="F276" s="4">
        <v>27.522935780000001</v>
      </c>
      <c r="G276" s="2" t="s">
        <v>87</v>
      </c>
      <c r="H276" s="5">
        <v>1090</v>
      </c>
      <c r="I276" s="1" t="s">
        <v>8</v>
      </c>
      <c r="J276" s="18" t="s">
        <v>116</v>
      </c>
      <c r="K276" s="18" t="s">
        <v>171</v>
      </c>
      <c r="L276" s="18">
        <v>13600</v>
      </c>
      <c r="M276" s="18">
        <f>ABS((D276*E276)-L276)</f>
        <v>300</v>
      </c>
      <c r="N276" t="str">
        <f t="shared" si="8"/>
        <v>Unique</v>
      </c>
    </row>
    <row r="277" spans="1:16" ht="27.6" thickBot="1" x14ac:dyDescent="0.35">
      <c r="A277" s="3">
        <v>46294.375</v>
      </c>
      <c r="B277" s="2" t="s">
        <v>285</v>
      </c>
      <c r="C277" s="2" t="s">
        <v>7</v>
      </c>
      <c r="D277" s="5">
        <v>2</v>
      </c>
      <c r="E277" s="5">
        <v>1740</v>
      </c>
      <c r="F277" s="4">
        <v>27.71579565</v>
      </c>
      <c r="G277" s="2" t="s">
        <v>287</v>
      </c>
      <c r="H277" s="5">
        <v>1362.4</v>
      </c>
      <c r="I277" s="1" t="s">
        <v>8</v>
      </c>
      <c r="J277" s="18" t="s">
        <v>117</v>
      </c>
      <c r="K277" s="18" t="s">
        <v>308</v>
      </c>
      <c r="L277" s="18">
        <v>3180</v>
      </c>
      <c r="M277" s="18">
        <f>ABS((D277*E277)-L277)</f>
        <v>300</v>
      </c>
      <c r="N277" s="10" t="str">
        <f t="shared" si="8"/>
        <v>Unique</v>
      </c>
    </row>
    <row r="278" spans="1:16" ht="27.6" thickBot="1" x14ac:dyDescent="0.35">
      <c r="A278" s="11">
        <v>46252.6875</v>
      </c>
      <c r="B278" s="8" t="s">
        <v>15</v>
      </c>
      <c r="C278" s="8" t="s">
        <v>7</v>
      </c>
      <c r="D278" s="8">
        <v>10</v>
      </c>
      <c r="E278" s="8">
        <v>2696</v>
      </c>
      <c r="F278" s="4">
        <v>27.82703523</v>
      </c>
      <c r="G278" s="2" t="s">
        <v>71</v>
      </c>
      <c r="H278" s="5">
        <v>2109.1</v>
      </c>
      <c r="I278" s="1" t="s">
        <v>8</v>
      </c>
      <c r="J278" s="34" t="s">
        <v>152</v>
      </c>
      <c r="N278" s="10" t="str">
        <f t="shared" si="8"/>
        <v>Unique</v>
      </c>
    </row>
    <row r="279" spans="1:16" ht="27.6" thickBot="1" x14ac:dyDescent="0.35">
      <c r="A279" s="3">
        <v>46265.415277777778</v>
      </c>
      <c r="B279" s="1" t="s">
        <v>16</v>
      </c>
      <c r="C279" s="1" t="s">
        <v>7</v>
      </c>
      <c r="D279" s="4">
        <v>5</v>
      </c>
      <c r="E279" s="4">
        <v>948</v>
      </c>
      <c r="F279" s="4">
        <v>27.900701569999999</v>
      </c>
      <c r="G279" s="2" t="s">
        <v>60</v>
      </c>
      <c r="H279" s="5">
        <v>741.2</v>
      </c>
      <c r="I279" s="1" t="s">
        <v>8</v>
      </c>
      <c r="J279" s="18" t="s">
        <v>117</v>
      </c>
      <c r="K279" s="18" t="s">
        <v>195</v>
      </c>
      <c r="L279" s="18">
        <v>4455</v>
      </c>
      <c r="M279" s="18">
        <f>ABS((D279*E279)-L279)</f>
        <v>285</v>
      </c>
      <c r="N279" t="str">
        <f t="shared" si="8"/>
        <v>Unique</v>
      </c>
    </row>
    <row r="280" spans="1:16" ht="27.6" thickBot="1" x14ac:dyDescent="0.35">
      <c r="A280" s="3">
        <v>46266.375</v>
      </c>
      <c r="B280" s="1" t="s">
        <v>16</v>
      </c>
      <c r="C280" s="1" t="s">
        <v>7</v>
      </c>
      <c r="D280" s="4">
        <v>11</v>
      </c>
      <c r="E280" s="4">
        <v>948</v>
      </c>
      <c r="F280" s="4">
        <v>27.900701569999999</v>
      </c>
      <c r="G280" s="2" t="s">
        <v>60</v>
      </c>
      <c r="H280" s="5">
        <v>741.2</v>
      </c>
      <c r="I280" s="1" t="s">
        <v>8</v>
      </c>
      <c r="J280" s="18" t="s">
        <v>116</v>
      </c>
      <c r="K280" s="18" t="s">
        <v>212</v>
      </c>
      <c r="L280" s="18">
        <v>9702</v>
      </c>
      <c r="M280" s="18">
        <f>ABS((D280*E280)-L280)</f>
        <v>726</v>
      </c>
      <c r="N280" s="10" t="str">
        <f t="shared" si="8"/>
        <v>Unique</v>
      </c>
    </row>
    <row r="281" spans="1:16" ht="40.799999999999997" thickBot="1" x14ac:dyDescent="0.35">
      <c r="A281" s="9" t="s">
        <v>61</v>
      </c>
      <c r="B281" s="9" t="s">
        <v>118</v>
      </c>
      <c r="C281" s="9" t="s">
        <v>7</v>
      </c>
      <c r="D281" s="9">
        <v>7</v>
      </c>
      <c r="E281" s="12">
        <v>1170</v>
      </c>
      <c r="F281" s="4">
        <v>28.008752739999998</v>
      </c>
      <c r="G281" s="2" t="s">
        <v>119</v>
      </c>
      <c r="H281" s="5">
        <v>914</v>
      </c>
      <c r="I281" s="1" t="s">
        <v>8</v>
      </c>
      <c r="J281" s="34"/>
      <c r="N281" s="10" t="str">
        <f t="shared" si="8"/>
        <v>Unique</v>
      </c>
    </row>
    <row r="282" spans="1:16" ht="27.6" thickBot="1" x14ac:dyDescent="0.35">
      <c r="A282" s="11">
        <v>46252.6875</v>
      </c>
      <c r="B282" s="8" t="s">
        <v>15</v>
      </c>
      <c r="C282" s="8" t="s">
        <v>7</v>
      </c>
      <c r="D282" s="8">
        <v>10</v>
      </c>
      <c r="E282" s="8">
        <v>2720</v>
      </c>
      <c r="F282" s="4">
        <v>28.96496136</v>
      </c>
      <c r="G282" s="2" t="s">
        <v>71</v>
      </c>
      <c r="H282" s="5">
        <v>2109.1</v>
      </c>
      <c r="I282" s="1" t="s">
        <v>8</v>
      </c>
      <c r="J282" s="34" t="s">
        <v>116</v>
      </c>
      <c r="N282" s="10" t="str">
        <f t="shared" si="8"/>
        <v>Unique</v>
      </c>
    </row>
    <row r="283" spans="1:16" ht="27.6" thickBot="1" x14ac:dyDescent="0.35">
      <c r="A283" s="8" t="s">
        <v>61</v>
      </c>
      <c r="B283" s="8" t="s">
        <v>56</v>
      </c>
      <c r="C283" s="8" t="s">
        <v>7</v>
      </c>
      <c r="D283" s="8">
        <v>3</v>
      </c>
      <c r="E283" s="12">
        <v>3341</v>
      </c>
      <c r="F283" s="4">
        <v>29.3958172</v>
      </c>
      <c r="G283" s="2" t="s">
        <v>57</v>
      </c>
      <c r="H283" s="5">
        <v>2582</v>
      </c>
      <c r="I283" s="1" t="s">
        <v>8</v>
      </c>
      <c r="J283" s="34"/>
      <c r="N283" s="10" t="str">
        <f t="shared" si="8"/>
        <v>Unique</v>
      </c>
      <c r="P283" s="29"/>
    </row>
    <row r="284" spans="1:16" ht="27.6" thickBot="1" x14ac:dyDescent="0.35">
      <c r="A284" s="8" t="s">
        <v>61</v>
      </c>
      <c r="B284" s="8" t="s">
        <v>26</v>
      </c>
      <c r="C284" s="8" t="s">
        <v>7</v>
      </c>
      <c r="D284" s="8">
        <v>25</v>
      </c>
      <c r="E284" s="8">
        <v>210</v>
      </c>
      <c r="F284" s="4">
        <v>29.501726690000002</v>
      </c>
      <c r="G284" s="2" t="s">
        <v>131</v>
      </c>
      <c r="H284" s="5">
        <v>162.16</v>
      </c>
      <c r="I284" s="1" t="s">
        <v>8</v>
      </c>
      <c r="J284" s="34"/>
      <c r="N284" s="10" t="str">
        <f t="shared" si="8"/>
        <v>Unique</v>
      </c>
    </row>
    <row r="285" spans="1:16" ht="27.6" thickBot="1" x14ac:dyDescent="0.35">
      <c r="A285" s="3">
        <v>46265.375694444447</v>
      </c>
      <c r="B285" s="1" t="s">
        <v>16</v>
      </c>
      <c r="C285" s="1" t="s">
        <v>7</v>
      </c>
      <c r="D285" s="4">
        <v>5</v>
      </c>
      <c r="E285" s="4">
        <v>961</v>
      </c>
      <c r="F285" s="4">
        <v>29.65461414</v>
      </c>
      <c r="G285" s="2" t="s">
        <v>60</v>
      </c>
      <c r="H285" s="5">
        <v>741.2</v>
      </c>
      <c r="I285" s="1" t="s">
        <v>8</v>
      </c>
      <c r="J285" s="18" t="s">
        <v>117</v>
      </c>
      <c r="K285" s="18" t="s">
        <v>200</v>
      </c>
      <c r="L285" s="18">
        <v>4530</v>
      </c>
      <c r="M285" s="18">
        <f>ABS((D285*E285)-L285)</f>
        <v>275</v>
      </c>
      <c r="N285" t="str">
        <f t="shared" si="8"/>
        <v>Unique</v>
      </c>
    </row>
    <row r="286" spans="1:16" ht="27.6" thickBot="1" x14ac:dyDescent="0.35">
      <c r="A286" s="3">
        <v>46260.557638888888</v>
      </c>
      <c r="B286" s="1" t="s">
        <v>16</v>
      </c>
      <c r="C286" s="1" t="s">
        <v>7</v>
      </c>
      <c r="D286" s="4">
        <v>5</v>
      </c>
      <c r="E286" s="4">
        <v>971</v>
      </c>
      <c r="F286" s="4">
        <v>31.003777660000001</v>
      </c>
      <c r="G286" s="2" t="s">
        <v>60</v>
      </c>
      <c r="H286" s="5">
        <v>741.2</v>
      </c>
      <c r="I286" s="1" t="s">
        <v>8</v>
      </c>
      <c r="J286" s="18" t="s">
        <v>117</v>
      </c>
      <c r="K286" s="18" t="s">
        <v>162</v>
      </c>
      <c r="L286" s="18">
        <v>4605</v>
      </c>
      <c r="M286" s="18">
        <f>ABS((D286*E286)-L286)</f>
        <v>250</v>
      </c>
      <c r="N286" t="str">
        <f t="shared" si="8"/>
        <v>Unique</v>
      </c>
      <c r="P286" s="29"/>
    </row>
    <row r="287" spans="1:16" ht="27.6" thickBot="1" x14ac:dyDescent="0.35">
      <c r="A287" s="8" t="s">
        <v>61</v>
      </c>
      <c r="B287" s="8" t="s">
        <v>17</v>
      </c>
      <c r="C287" s="8" t="s">
        <v>7</v>
      </c>
      <c r="D287" s="8">
        <v>5</v>
      </c>
      <c r="E287" s="12">
        <v>416</v>
      </c>
      <c r="F287" s="4">
        <v>31.230283910000001</v>
      </c>
      <c r="G287" s="2" t="s">
        <v>76</v>
      </c>
      <c r="H287" s="5">
        <v>317</v>
      </c>
      <c r="I287" s="1" t="s">
        <v>8</v>
      </c>
      <c r="J287" s="34"/>
      <c r="N287" s="10" t="str">
        <f t="shared" si="8"/>
        <v>Unique</v>
      </c>
    </row>
    <row r="288" spans="1:16" ht="40.799999999999997" thickBot="1" x14ac:dyDescent="0.35">
      <c r="A288" s="8" t="s">
        <v>61</v>
      </c>
      <c r="B288" s="8" t="s">
        <v>13</v>
      </c>
      <c r="C288" s="8" t="s">
        <v>7</v>
      </c>
      <c r="D288" s="8">
        <v>10</v>
      </c>
      <c r="E288" s="8">
        <v>2189</v>
      </c>
      <c r="F288" s="4">
        <v>31.867469880000002</v>
      </c>
      <c r="G288" s="2" t="s">
        <v>90</v>
      </c>
      <c r="H288" s="5">
        <v>1660</v>
      </c>
      <c r="I288" s="1" t="s">
        <v>8</v>
      </c>
      <c r="J288" s="34"/>
      <c r="N288" s="10" t="str">
        <f t="shared" si="8"/>
        <v>Unique</v>
      </c>
    </row>
    <row r="289" spans="1:16" ht="40.799999999999997" thickBot="1" x14ac:dyDescent="0.35">
      <c r="A289" s="3">
        <v>46260.550694444442</v>
      </c>
      <c r="B289" s="1" t="s">
        <v>102</v>
      </c>
      <c r="C289" s="1" t="s">
        <v>7</v>
      </c>
      <c r="D289" s="4">
        <v>2</v>
      </c>
      <c r="E289" s="4">
        <v>2787.9</v>
      </c>
      <c r="F289" s="4">
        <v>34.272503970000002</v>
      </c>
      <c r="G289" s="2" t="s">
        <v>103</v>
      </c>
      <c r="H289" s="5">
        <v>2076.3000000000002</v>
      </c>
      <c r="I289" s="1" t="s">
        <v>8</v>
      </c>
      <c r="J289" s="18" t="s">
        <v>117</v>
      </c>
      <c r="K289" s="18" t="s">
        <v>165</v>
      </c>
      <c r="L289" s="18">
        <v>5275.8</v>
      </c>
      <c r="M289" s="18">
        <f>ABS((D289*E289)-L289)</f>
        <v>300</v>
      </c>
      <c r="N289" t="str">
        <f t="shared" si="8"/>
        <v>Unique</v>
      </c>
    </row>
    <row r="290" spans="1:16" ht="27.6" thickBot="1" x14ac:dyDescent="0.35">
      <c r="A290" s="11">
        <v>46252.635416666664</v>
      </c>
      <c r="B290" s="8" t="s">
        <v>86</v>
      </c>
      <c r="C290" s="8" t="s">
        <v>7</v>
      </c>
      <c r="D290" s="8">
        <v>10</v>
      </c>
      <c r="E290" s="8">
        <v>1479</v>
      </c>
      <c r="F290" s="4">
        <v>35.68807339</v>
      </c>
      <c r="G290" s="2" t="s">
        <v>87</v>
      </c>
      <c r="H290" s="5">
        <v>1090</v>
      </c>
      <c r="I290" s="1" t="s">
        <v>8</v>
      </c>
      <c r="J290" s="34" t="s">
        <v>54</v>
      </c>
      <c r="N290" s="10" t="str">
        <f t="shared" si="8"/>
        <v>Unique</v>
      </c>
    </row>
    <row r="291" spans="1:16" ht="40.799999999999997" thickBot="1" x14ac:dyDescent="0.35">
      <c r="A291" s="8" t="s">
        <v>61</v>
      </c>
      <c r="B291" s="8" t="s">
        <v>125</v>
      </c>
      <c r="C291" s="8" t="s">
        <v>7</v>
      </c>
      <c r="D291" s="8">
        <v>5</v>
      </c>
      <c r="E291" s="8">
        <v>596</v>
      </c>
      <c r="F291" s="4">
        <v>35.732179459999998</v>
      </c>
      <c r="G291" s="2" t="s">
        <v>126</v>
      </c>
      <c r="H291" s="5">
        <v>439.1</v>
      </c>
      <c r="I291" s="1" t="s">
        <v>8</v>
      </c>
      <c r="J291" s="34"/>
      <c r="N291" s="10" t="str">
        <f t="shared" si="8"/>
        <v>Unique</v>
      </c>
    </row>
    <row r="292" spans="1:16" ht="40.799999999999997" thickBot="1" x14ac:dyDescent="0.35">
      <c r="A292" s="3">
        <v>46259.532638888886</v>
      </c>
      <c r="B292" s="1" t="s">
        <v>95</v>
      </c>
      <c r="C292" s="1" t="s">
        <v>7</v>
      </c>
      <c r="D292" s="4">
        <v>5</v>
      </c>
      <c r="E292" s="4">
        <v>218</v>
      </c>
      <c r="F292" s="4">
        <v>37.106918239999999</v>
      </c>
      <c r="G292" s="2" t="s">
        <v>96</v>
      </c>
      <c r="H292" s="5">
        <v>159</v>
      </c>
      <c r="I292" s="1" t="s">
        <v>8</v>
      </c>
      <c r="J292" s="34" t="s">
        <v>117</v>
      </c>
      <c r="K292" s="18" t="s">
        <v>158</v>
      </c>
      <c r="L292" s="18">
        <v>840</v>
      </c>
      <c r="M292" s="18">
        <f>ABS((D292*E292)-L292)</f>
        <v>250</v>
      </c>
      <c r="N292" s="10" t="str">
        <f t="shared" si="8"/>
        <v>Unique</v>
      </c>
    </row>
    <row r="293" spans="1:16" ht="27.6" thickBot="1" x14ac:dyDescent="0.35">
      <c r="A293" s="8" t="s">
        <v>61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37.223974759999997</v>
      </c>
      <c r="G293" s="2" t="s">
        <v>76</v>
      </c>
      <c r="H293" s="5">
        <v>317</v>
      </c>
      <c r="I293" s="1" t="s">
        <v>8</v>
      </c>
      <c r="J293" s="34" t="s">
        <v>117</v>
      </c>
      <c r="N293" s="10" t="str">
        <f t="shared" si="8"/>
        <v>Unique</v>
      </c>
    </row>
    <row r="294" spans="1:16" ht="27.6" thickBot="1" x14ac:dyDescent="0.35">
      <c r="A294" s="11">
        <v>46252.6875</v>
      </c>
      <c r="B294" s="8" t="s">
        <v>15</v>
      </c>
      <c r="C294" s="8" t="s">
        <v>7</v>
      </c>
      <c r="D294" s="8">
        <v>10</v>
      </c>
      <c r="E294" s="8">
        <v>2896</v>
      </c>
      <c r="F294" s="4">
        <v>37.309752979999999</v>
      </c>
      <c r="G294" s="2" t="s">
        <v>71</v>
      </c>
      <c r="H294" s="5">
        <v>2109.1</v>
      </c>
      <c r="I294" s="1" t="s">
        <v>8</v>
      </c>
      <c r="J294" s="34" t="s">
        <v>117</v>
      </c>
      <c r="N294" s="10" t="str">
        <f t="shared" si="8"/>
        <v>Unique</v>
      </c>
    </row>
    <row r="295" spans="1:16" ht="27.6" thickBot="1" x14ac:dyDescent="0.35">
      <c r="A295" s="11">
        <v>46252.6875</v>
      </c>
      <c r="B295" s="8" t="s">
        <v>15</v>
      </c>
      <c r="C295" s="8" t="s">
        <v>7</v>
      </c>
      <c r="D295" s="8">
        <v>10</v>
      </c>
      <c r="E295" s="8">
        <v>2908</v>
      </c>
      <c r="F295" s="4">
        <v>37.87871604</v>
      </c>
      <c r="G295" s="2" t="s">
        <v>71</v>
      </c>
      <c r="H295" s="5">
        <v>2109.1</v>
      </c>
      <c r="I295" s="1" t="s">
        <v>8</v>
      </c>
      <c r="J295" s="34" t="s">
        <v>117</v>
      </c>
      <c r="N295" s="10" t="str">
        <f t="shared" si="8"/>
        <v>Unique</v>
      </c>
    </row>
    <row r="296" spans="1:16" s="29" customFormat="1" ht="27.6" thickBot="1" x14ac:dyDescent="0.35">
      <c r="A296" s="3">
        <v>46290.385416666664</v>
      </c>
      <c r="B296" s="2" t="s">
        <v>285</v>
      </c>
      <c r="C296" s="2" t="s">
        <v>7</v>
      </c>
      <c r="D296" s="5">
        <v>2</v>
      </c>
      <c r="E296" s="5">
        <v>1885.5</v>
      </c>
      <c r="F296" s="4">
        <v>38.395478570000002</v>
      </c>
      <c r="G296" s="2" t="s">
        <v>287</v>
      </c>
      <c r="H296" s="5">
        <v>1362.4</v>
      </c>
      <c r="I296" s="1" t="s">
        <v>8</v>
      </c>
      <c r="J296" s="18" t="s">
        <v>117</v>
      </c>
      <c r="K296" s="18" t="s">
        <v>296</v>
      </c>
      <c r="L296" s="18">
        <v>3521</v>
      </c>
      <c r="M296" s="18">
        <f>ABS((D296*E296)-L296)</f>
        <v>250</v>
      </c>
      <c r="N296" s="10" t="str">
        <f t="shared" si="8"/>
        <v>Unique</v>
      </c>
      <c r="O296" s="10"/>
      <c r="P296" s="10"/>
    </row>
    <row r="297" spans="1:16" ht="40.799999999999997" thickBot="1" x14ac:dyDescent="0.35">
      <c r="A297" s="8" t="s">
        <v>61</v>
      </c>
      <c r="B297" s="8" t="s">
        <v>13</v>
      </c>
      <c r="C297" s="8" t="s">
        <v>7</v>
      </c>
      <c r="D297" s="8">
        <v>20</v>
      </c>
      <c r="E297" s="8">
        <v>2310</v>
      </c>
      <c r="F297" s="4">
        <v>39.156626510000002</v>
      </c>
      <c r="G297" s="2" t="s">
        <v>90</v>
      </c>
      <c r="H297" s="5">
        <v>1660</v>
      </c>
      <c r="I297" s="1" t="s">
        <v>8</v>
      </c>
      <c r="J297" s="34"/>
      <c r="N297" s="10" t="str">
        <f t="shared" si="8"/>
        <v>Unique</v>
      </c>
    </row>
    <row r="298" spans="1:16" s="29" customFormat="1" ht="40.799999999999997" thickBot="1" x14ac:dyDescent="0.35">
      <c r="A298" s="41" t="s">
        <v>61</v>
      </c>
      <c r="B298" s="41" t="s">
        <v>13</v>
      </c>
      <c r="C298" s="41" t="s">
        <v>7</v>
      </c>
      <c r="D298" s="41">
        <v>1</v>
      </c>
      <c r="E298" s="41">
        <v>2494</v>
      </c>
      <c r="F298" s="4">
        <v>50.240963860000001</v>
      </c>
      <c r="G298" s="2" t="s">
        <v>90</v>
      </c>
      <c r="H298" s="5">
        <v>1660</v>
      </c>
      <c r="I298" s="1" t="s">
        <v>8</v>
      </c>
      <c r="J298" s="48" t="s">
        <v>117</v>
      </c>
      <c r="K298" s="27"/>
      <c r="L298" s="27"/>
      <c r="M298" s="27"/>
      <c r="N298" s="29" t="str">
        <f t="shared" si="8"/>
        <v>Unique</v>
      </c>
    </row>
    <row r="299" spans="1:16" ht="40.799999999999997" thickBot="1" x14ac:dyDescent="0.35">
      <c r="A299" s="40">
        <v>46251.506249999999</v>
      </c>
      <c r="B299" s="41" t="s">
        <v>13</v>
      </c>
      <c r="C299" s="41" t="s">
        <v>7</v>
      </c>
      <c r="D299" s="41">
        <v>3</v>
      </c>
      <c r="E299" s="41">
        <v>2494</v>
      </c>
      <c r="F299" s="4">
        <v>50.240963860000001</v>
      </c>
      <c r="G299" s="2" t="s">
        <v>90</v>
      </c>
      <c r="H299" s="5">
        <v>1660</v>
      </c>
      <c r="I299" s="1" t="s">
        <v>8</v>
      </c>
      <c r="J299" s="48" t="s">
        <v>117</v>
      </c>
      <c r="K299" s="27"/>
      <c r="L299" s="27"/>
      <c r="M299" s="27"/>
      <c r="N299" s="29" t="str">
        <f t="shared" si="8"/>
        <v>Unique</v>
      </c>
      <c r="O299" s="29"/>
      <c r="P299" s="29"/>
    </row>
    <row r="300" spans="1:16" ht="27.6" thickBot="1" x14ac:dyDescent="0.35">
      <c r="A300" s="8" t="s">
        <v>61</v>
      </c>
      <c r="B300" s="8" t="s">
        <v>140</v>
      </c>
      <c r="C300" s="8" t="s">
        <v>7</v>
      </c>
      <c r="D300" s="8">
        <v>23</v>
      </c>
      <c r="E300" s="12">
        <v>890</v>
      </c>
      <c r="F300" s="6" t="e">
        <v>#N/A</v>
      </c>
      <c r="G300" s="2" t="s">
        <v>141</v>
      </c>
      <c r="H300" s="7" t="e">
        <v>#N/A</v>
      </c>
      <c r="I300" s="1" t="s">
        <v>8</v>
      </c>
      <c r="J300" s="34" t="s">
        <v>116</v>
      </c>
      <c r="N300" s="10" t="str">
        <f t="shared" si="8"/>
        <v>Unique</v>
      </c>
    </row>
    <row r="301" spans="1:16" ht="27.6" thickBot="1" x14ac:dyDescent="0.35">
      <c r="A301" s="49">
        <v>46301.40902777778</v>
      </c>
      <c r="B301" s="2" t="s">
        <v>285</v>
      </c>
      <c r="C301" s="2" t="s">
        <v>7</v>
      </c>
      <c r="D301" s="5">
        <v>2</v>
      </c>
      <c r="E301" s="5">
        <v>1444.3</v>
      </c>
      <c r="F301" s="4">
        <v>16.272753959999999</v>
      </c>
      <c r="G301" s="2" t="s">
        <v>287</v>
      </c>
      <c r="H301" s="5">
        <v>1362.4</v>
      </c>
      <c r="I301" s="1" t="s">
        <v>8</v>
      </c>
      <c r="J301" s="18" t="s">
        <v>117</v>
      </c>
      <c r="K301" s="18" t="s">
        <v>317</v>
      </c>
      <c r="L301" s="18">
        <f>2*1294.3</f>
        <v>2588.6</v>
      </c>
      <c r="M301" s="18">
        <f>ABS((D301*E301)-L301)</f>
        <v>300</v>
      </c>
      <c r="N301" s="10" t="str">
        <f t="shared" si="8"/>
        <v>Unique</v>
      </c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2026-10-06T17:34:45Z</dcterms:modified>
</cp:coreProperties>
</file>