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BE252D4-2773-4E0A-9EEF-A2CC2EBB3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  <sheet name="Sheet2" sheetId="2" r:id="rId3"/>
    <sheet name="Rough" sheetId="5" r:id="rId4"/>
  </sheets>
  <definedNames>
    <definedName name="_xlnm._FilterDatabase" localSheetId="0" hidden="1">Sheet1!$A$1:$F$288</definedName>
    <definedName name="_xlnm._FilterDatabase" localSheetId="2" hidden="1">Sheet2!$A$1:$H$233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3" l="1" a="1"/>
  <c r="H1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<sst xmlns="http://schemas.openxmlformats.org/spreadsheetml/2006/main" count="1739" uniqueCount="117">
  <si>
    <t>Date</t>
  </si>
  <si>
    <t>Stock</t>
  </si>
  <si>
    <t>Order Type (Buy/Sell)</t>
  </si>
  <si>
    <t>Quantity</t>
  </si>
  <si>
    <t>Price</t>
  </si>
  <si>
    <t>Status</t>
  </si>
  <si>
    <t>17 AUG 2026 04:31:38 PM</t>
  </si>
  <si>
    <t>KERNEXEQ</t>
  </si>
  <si>
    <t>S</t>
  </si>
  <si>
    <t>Expired</t>
  </si>
  <si>
    <t>17 AUG 2026 04:31:40 PM</t>
  </si>
  <si>
    <t>NETWEBEQ</t>
  </si>
  <si>
    <t>B</t>
  </si>
  <si>
    <t>17 AUG 2026 04:31:37 PM</t>
  </si>
  <si>
    <t>E2EEQ</t>
  </si>
  <si>
    <t>17 AUG 2026 04:31:33 PM</t>
  </si>
  <si>
    <t>APOLLOTYREEQ</t>
  </si>
  <si>
    <t>17 AUG 2026 04:31:44 PM</t>
  </si>
  <si>
    <t>IGILEQ</t>
  </si>
  <si>
    <t>GRSEEQ</t>
  </si>
  <si>
    <t>17 AUG 2026 04:31:36 PM</t>
  </si>
  <si>
    <t>SENCOEQ</t>
  </si>
  <si>
    <t>ZENTECEQ</t>
  </si>
  <si>
    <t>SILVERBEESEQ</t>
  </si>
  <si>
    <t>17 AUG 2026 04:31:41 PM</t>
  </si>
  <si>
    <t>17 AUG 2026 04:31:46 PM</t>
  </si>
  <si>
    <t>URBANCOEQ</t>
  </si>
  <si>
    <t>SCIEQ</t>
  </si>
  <si>
    <t>EXIDEINDEQ</t>
  </si>
  <si>
    <t>17 AUG 2026 04:31:39 PM</t>
  </si>
  <si>
    <t>PRINCEPIPEEQ</t>
  </si>
  <si>
    <t>17 AUG 2026 04:31:45 PM</t>
  </si>
  <si>
    <t>JUSTDIALEQ</t>
  </si>
  <si>
    <t>GOLDBEESEQ</t>
  </si>
  <si>
    <t>17 AUG 2026 04:31:43 PM</t>
  </si>
  <si>
    <t>MOSCHIPEQ</t>
  </si>
  <si>
    <t>RAILTELEQ</t>
  </si>
  <si>
    <t>ARE&amp;MEQ</t>
  </si>
  <si>
    <t>WAAREERTLEQ</t>
  </si>
  <si>
    <t>HUDCOEQ</t>
  </si>
  <si>
    <t>IRCONEQ</t>
  </si>
  <si>
    <t>17 AUG 2026 03:15:13 PM</t>
  </si>
  <si>
    <t>COCHINSHIPEQ</t>
  </si>
  <si>
    <t>17 AUG 2026 03:28:19 PM</t>
  </si>
  <si>
    <t>KFINTECHEQ</t>
  </si>
  <si>
    <t>17 AUG 2026 03:15:08 PM</t>
  </si>
  <si>
    <t>17 AUG 2026 03:15:12 PM</t>
  </si>
  <si>
    <t>BSEEQ</t>
  </si>
  <si>
    <t>17 AUG 2026 03:28:18 PM</t>
  </si>
  <si>
    <t>IRFCEQ</t>
  </si>
  <si>
    <t>17 AUG 2026 03:15:10 PM</t>
  </si>
  <si>
    <t>BDLEQ</t>
  </si>
  <si>
    <t>CGPOWEREQ</t>
  </si>
  <si>
    <t>HALEQ</t>
  </si>
  <si>
    <t>MAZDOCKEQ</t>
  </si>
  <si>
    <t>17 AUG 2026 03:15:09 PM</t>
  </si>
  <si>
    <t>LODHAEQ</t>
  </si>
  <si>
    <t>17 AUG 2026 03:15:11 PM</t>
  </si>
  <si>
    <t>BELEQ</t>
  </si>
  <si>
    <t>17 AUG 2026 03:28:20 PM</t>
  </si>
  <si>
    <t>SOLARINDSEQ</t>
  </si>
  <si>
    <t>TCSEQ</t>
  </si>
  <si>
    <t>DIXONEQ</t>
  </si>
  <si>
    <t>GLENMARKEQ</t>
  </si>
  <si>
    <t>SBINEQ</t>
  </si>
  <si>
    <t>CDSLEQ</t>
  </si>
  <si>
    <t>NAM-INDIAEQ</t>
  </si>
  <si>
    <t>17 AUG 2026 03:28:17 PM</t>
  </si>
  <si>
    <t>LTEQ</t>
  </si>
  <si>
    <t>TVSMOTOREQ</t>
  </si>
  <si>
    <t>BAJFINANCEEQ</t>
  </si>
  <si>
    <t>RVNLEQ</t>
  </si>
  <si>
    <t>17 AUG 2026 03:28:16 PM</t>
  </si>
  <si>
    <t>TRENTEQ</t>
  </si>
  <si>
    <t>INDHOTELEQ</t>
  </si>
  <si>
    <t>17 AUG 2026 03:28:22 PM</t>
  </si>
  <si>
    <t>HDFCAMCEQ</t>
  </si>
  <si>
    <t>IREDAEQ</t>
  </si>
  <si>
    <t>HINDUNILVREQ</t>
  </si>
  <si>
    <t>CONCOREQ</t>
  </si>
  <si>
    <t>17 AUG 2026 03:15:14 PM</t>
  </si>
  <si>
    <t>17 AUG 2026 03:28:21 PM</t>
  </si>
  <si>
    <t>CAMSEQ</t>
  </si>
  <si>
    <t>MAXHEALTHEQ</t>
  </si>
  <si>
    <t>ITBEESEQ</t>
  </si>
  <si>
    <t>########</t>
  </si>
  <si>
    <t>MAFANGEQ</t>
  </si>
  <si>
    <t>MCXEQ</t>
  </si>
  <si>
    <t>LALPATHLABEQ</t>
  </si>
  <si>
    <t>ABBEQ</t>
  </si>
  <si>
    <t>SONACOMSEQ</t>
  </si>
  <si>
    <t>TMCVEQ</t>
  </si>
  <si>
    <t>AARTIPHARMEQ</t>
  </si>
  <si>
    <t>KAYNESEQ</t>
  </si>
  <si>
    <t>VBLEQ</t>
  </si>
  <si>
    <t>NSDLEQ</t>
  </si>
  <si>
    <t>17 AUG 2026 02:14:08 PM</t>
  </si>
  <si>
    <t>Executed</t>
  </si>
  <si>
    <t>17 AUG 2026 02:02:34 PM</t>
  </si>
  <si>
    <t>17 AUG 2026 12:09:03 PM</t>
  </si>
  <si>
    <t>17 AUG 2026 10:28:54 AM</t>
  </si>
  <si>
    <t>17 AUG 2026 10:00:02 AM</t>
  </si>
  <si>
    <t>DHOOTTRANSEQ</t>
  </si>
  <si>
    <t>17 AUG 2026 11:13:04 AM</t>
  </si>
  <si>
    <t>17 AUG 2026 09:57:17 AM</t>
  </si>
  <si>
    <t>17 AUG 2026 09:33:09 AM</t>
  </si>
  <si>
    <t>17 AUG 2026 09:21:29 AM</t>
  </si>
  <si>
    <t>17 AUG 2026 09:19:45 AM</t>
  </si>
  <si>
    <t>17 AUG 2026 09:16:33 AM</t>
  </si>
  <si>
    <t>17 AUG 2026 09:15:41 AM</t>
  </si>
  <si>
    <t>17 AUG 2026 12:30:22 PM</t>
  </si>
  <si>
    <t>17 AUG 2026 10:28:23 AM</t>
  </si>
  <si>
    <t>17 AUG 2026 09:01:04 AM</t>
  </si>
  <si>
    <t>17 AUG 2026 09:01:03 AM</t>
  </si>
  <si>
    <t>17 AUG 2026 11:20:06 AM</t>
  </si>
  <si>
    <t>17 AUG 2026 09:01:02 AM</t>
  </si>
  <si>
    <t>17 AUG 2026 09:15:10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</si>
</sst>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wrapText="1"/>
    </xf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22" fontId="1" fillId="4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88"/>
  <sheetViews>
    <sheetView tabSelected="1" topLeftCell="A2" workbookViewId="0">
      <selection activeCell="F291" sqref="F291"/>
    </sheetView>
  </sheetViews>
  <sheetFormatPr defaultRowHeight="14.5" x14ac:dyDescent="0.35"/>
  <cols>
    <col min="1" max="1" width="27" customWidth="1"/>
    <col min="2" max="2" width="14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22" customFormat="1" x14ac:dyDescent="0.35">
      <c r="A2" s="22" t="s">
        <v>6</v>
      </c>
      <c r="B2" s="22" t="s">
        <v>7</v>
      </c>
      <c r="C2" s="22" t="s">
        <v>8</v>
      </c>
      <c r="D2" s="22">
        <v>3</v>
      </c>
      <c r="E2" s="22">
        <v>1896</v>
      </c>
      <c r="F2" s="22" t="s">
        <v>9</v>
      </c>
    </row>
    <row r="3" spans="1:6" hidden="1" x14ac:dyDescent="0.35">
      <c r="A3" t="s">
        <v>10</v>
      </c>
      <c r="B3" t="s">
        <v>11</v>
      </c>
      <c r="C3" t="s">
        <v>12</v>
      </c>
      <c r="D3">
        <v>1</v>
      </c>
      <c r="E3">
        <v>5010</v>
      </c>
      <c r="F3" t="s">
        <v>9</v>
      </c>
    </row>
    <row r="4" spans="1:6" hidden="1" x14ac:dyDescent="0.35">
      <c r="A4" t="s">
        <v>13</v>
      </c>
      <c r="B4" t="s">
        <v>14</v>
      </c>
      <c r="C4" t="s">
        <v>12</v>
      </c>
      <c r="D4">
        <v>5</v>
      </c>
      <c r="E4">
        <v>634</v>
      </c>
      <c r="F4" t="s">
        <v>9</v>
      </c>
    </row>
    <row r="5" spans="1:6" hidden="1" x14ac:dyDescent="0.35">
      <c r="A5" t="s">
        <v>15</v>
      </c>
      <c r="B5" t="s">
        <v>16</v>
      </c>
      <c r="C5" t="s">
        <v>12</v>
      </c>
      <c r="D5">
        <v>40</v>
      </c>
      <c r="E5">
        <v>426</v>
      </c>
      <c r="F5" t="s">
        <v>9</v>
      </c>
    </row>
    <row r="6" spans="1:6" hidden="1" x14ac:dyDescent="0.35">
      <c r="A6" t="s">
        <v>15</v>
      </c>
      <c r="B6" t="s">
        <v>16</v>
      </c>
      <c r="C6" t="s">
        <v>8</v>
      </c>
      <c r="D6">
        <v>40</v>
      </c>
      <c r="E6">
        <v>446</v>
      </c>
      <c r="F6" t="s">
        <v>9</v>
      </c>
    </row>
    <row r="7" spans="1:6" x14ac:dyDescent="0.35">
      <c r="A7" t="s">
        <v>6</v>
      </c>
      <c r="B7" t="s">
        <v>7</v>
      </c>
      <c r="C7" t="s">
        <v>12</v>
      </c>
      <c r="D7">
        <v>2</v>
      </c>
      <c r="E7">
        <v>1664</v>
      </c>
      <c r="F7" t="s">
        <v>9</v>
      </c>
    </row>
    <row r="8" spans="1:6" s="21" customFormat="1" x14ac:dyDescent="0.35">
      <c r="A8" s="21" t="s">
        <v>6</v>
      </c>
      <c r="B8" s="21" t="s">
        <v>7</v>
      </c>
      <c r="C8" s="21" t="s">
        <v>8</v>
      </c>
      <c r="D8" s="21">
        <v>5</v>
      </c>
      <c r="E8" s="21">
        <v>1914</v>
      </c>
      <c r="F8" s="21" t="s">
        <v>9</v>
      </c>
    </row>
    <row r="9" spans="1:6" hidden="1" x14ac:dyDescent="0.35">
      <c r="A9" t="s">
        <v>17</v>
      </c>
      <c r="B9" t="s">
        <v>18</v>
      </c>
      <c r="C9" t="s">
        <v>8</v>
      </c>
      <c r="D9">
        <v>17</v>
      </c>
      <c r="E9">
        <v>373</v>
      </c>
      <c r="F9" t="s">
        <v>9</v>
      </c>
    </row>
    <row r="10" spans="1:6" hidden="1" x14ac:dyDescent="0.35">
      <c r="A10" t="s">
        <v>17</v>
      </c>
      <c r="B10" t="s">
        <v>18</v>
      </c>
      <c r="C10" t="s">
        <v>12</v>
      </c>
      <c r="D10">
        <v>50</v>
      </c>
      <c r="E10">
        <v>348</v>
      </c>
      <c r="F10" t="s">
        <v>9</v>
      </c>
    </row>
    <row r="11" spans="1:6" hidden="1" x14ac:dyDescent="0.35">
      <c r="A11" t="s">
        <v>17</v>
      </c>
      <c r="B11" t="s">
        <v>18</v>
      </c>
      <c r="C11" t="s">
        <v>12</v>
      </c>
      <c r="D11">
        <v>50</v>
      </c>
      <c r="E11">
        <v>344</v>
      </c>
      <c r="F11" t="s">
        <v>9</v>
      </c>
    </row>
    <row r="12" spans="1:6" hidden="1" x14ac:dyDescent="0.35">
      <c r="A12" t="s">
        <v>13</v>
      </c>
      <c r="B12" t="s">
        <v>19</v>
      </c>
      <c r="C12" t="s">
        <v>8</v>
      </c>
      <c r="D12">
        <v>10</v>
      </c>
      <c r="E12">
        <v>2648</v>
      </c>
      <c r="F12" t="s">
        <v>9</v>
      </c>
    </row>
    <row r="13" spans="1:6" hidden="1" x14ac:dyDescent="0.35">
      <c r="A13" t="s">
        <v>20</v>
      </c>
      <c r="B13" t="s">
        <v>19</v>
      </c>
      <c r="C13" t="s">
        <v>8</v>
      </c>
      <c r="D13">
        <v>10</v>
      </c>
      <c r="E13">
        <v>2636</v>
      </c>
      <c r="F13" t="s">
        <v>9</v>
      </c>
    </row>
    <row r="14" spans="1:6" s="20" customFormat="1" x14ac:dyDescent="0.35">
      <c r="A14" s="20" t="s">
        <v>6</v>
      </c>
      <c r="B14" s="20" t="s">
        <v>7</v>
      </c>
      <c r="C14" s="20" t="s">
        <v>8</v>
      </c>
      <c r="D14" s="20">
        <v>5</v>
      </c>
      <c r="E14" s="20">
        <v>2014</v>
      </c>
      <c r="F14" s="20" t="s">
        <v>9</v>
      </c>
    </row>
    <row r="15" spans="1:6" hidden="1" x14ac:dyDescent="0.35">
      <c r="A15" t="s">
        <v>10</v>
      </c>
      <c r="B15" t="s">
        <v>21</v>
      </c>
      <c r="C15" t="s">
        <v>12</v>
      </c>
      <c r="D15">
        <v>25</v>
      </c>
      <c r="E15">
        <v>326</v>
      </c>
      <c r="F15" t="s">
        <v>9</v>
      </c>
    </row>
    <row r="16" spans="1:6" hidden="1" x14ac:dyDescent="0.35">
      <c r="A16" t="s">
        <v>13</v>
      </c>
      <c r="B16" t="s">
        <v>22</v>
      </c>
      <c r="C16" t="s">
        <v>12</v>
      </c>
      <c r="D16">
        <v>10</v>
      </c>
      <c r="E16">
        <v>1666</v>
      </c>
      <c r="F16" t="s">
        <v>9</v>
      </c>
    </row>
    <row r="17" spans="1:6" hidden="1" x14ac:dyDescent="0.35">
      <c r="A17" t="s">
        <v>20</v>
      </c>
      <c r="B17" t="s">
        <v>23</v>
      </c>
      <c r="C17" t="s">
        <v>12</v>
      </c>
      <c r="D17">
        <v>100</v>
      </c>
      <c r="E17">
        <v>217</v>
      </c>
      <c r="F17" t="s">
        <v>9</v>
      </c>
    </row>
    <row r="18" spans="1:6" hidden="1" x14ac:dyDescent="0.35">
      <c r="A18" t="s">
        <v>20</v>
      </c>
      <c r="B18" t="s">
        <v>23</v>
      </c>
      <c r="C18" t="s">
        <v>12</v>
      </c>
      <c r="D18">
        <v>100</v>
      </c>
      <c r="E18">
        <v>220</v>
      </c>
      <c r="F18" t="s">
        <v>9</v>
      </c>
    </row>
    <row r="19" spans="1:6" hidden="1" x14ac:dyDescent="0.35">
      <c r="A19" t="s">
        <v>17</v>
      </c>
      <c r="B19" t="s">
        <v>18</v>
      </c>
      <c r="C19" t="s">
        <v>8</v>
      </c>
      <c r="D19">
        <v>50</v>
      </c>
      <c r="E19">
        <v>361</v>
      </c>
      <c r="F19" t="s">
        <v>9</v>
      </c>
    </row>
    <row r="20" spans="1:6" hidden="1" x14ac:dyDescent="0.35">
      <c r="A20" t="s">
        <v>24</v>
      </c>
      <c r="B20" t="s">
        <v>21</v>
      </c>
      <c r="C20" t="s">
        <v>8</v>
      </c>
      <c r="D20">
        <v>25</v>
      </c>
      <c r="E20">
        <v>348</v>
      </c>
      <c r="F20" t="s">
        <v>9</v>
      </c>
    </row>
    <row r="21" spans="1:6" s="19" customFormat="1" x14ac:dyDescent="0.35">
      <c r="A21" s="19" t="s">
        <v>6</v>
      </c>
      <c r="B21" s="19" t="s">
        <v>7</v>
      </c>
      <c r="C21" s="19" t="s">
        <v>8</v>
      </c>
      <c r="D21" s="19">
        <v>5</v>
      </c>
      <c r="E21" s="19">
        <v>2094</v>
      </c>
      <c r="F21" s="19" t="s">
        <v>9</v>
      </c>
    </row>
    <row r="22" spans="1:6" hidden="1" x14ac:dyDescent="0.35">
      <c r="A22" t="s">
        <v>17</v>
      </c>
      <c r="B22" t="s">
        <v>18</v>
      </c>
      <c r="C22" t="s">
        <v>8</v>
      </c>
      <c r="D22">
        <v>50</v>
      </c>
      <c r="E22">
        <v>365</v>
      </c>
      <c r="F22" t="s">
        <v>9</v>
      </c>
    </row>
    <row r="23" spans="1:6" hidden="1" x14ac:dyDescent="0.35">
      <c r="A23" t="s">
        <v>17</v>
      </c>
      <c r="B23" t="s">
        <v>18</v>
      </c>
      <c r="C23" t="s">
        <v>12</v>
      </c>
      <c r="D23">
        <v>100</v>
      </c>
      <c r="E23">
        <v>327</v>
      </c>
      <c r="F23" t="s">
        <v>9</v>
      </c>
    </row>
    <row r="24" spans="1:6" hidden="1" x14ac:dyDescent="0.35">
      <c r="A24" t="s">
        <v>25</v>
      </c>
      <c r="B24" t="s">
        <v>26</v>
      </c>
      <c r="C24" t="s">
        <v>12</v>
      </c>
      <c r="D24">
        <v>45</v>
      </c>
      <c r="E24">
        <v>136.15</v>
      </c>
      <c r="F24" t="s">
        <v>9</v>
      </c>
    </row>
    <row r="25" spans="1:6" hidden="1" x14ac:dyDescent="0.35">
      <c r="A25" t="s">
        <v>15</v>
      </c>
      <c r="B25" t="s">
        <v>27</v>
      </c>
      <c r="C25" t="s">
        <v>12</v>
      </c>
      <c r="D25">
        <v>37</v>
      </c>
      <c r="E25">
        <v>277</v>
      </c>
      <c r="F25" t="s">
        <v>9</v>
      </c>
    </row>
    <row r="26" spans="1:6" hidden="1" x14ac:dyDescent="0.35">
      <c r="A26" t="s">
        <v>15</v>
      </c>
      <c r="B26" t="s">
        <v>28</v>
      </c>
      <c r="C26" t="s">
        <v>12</v>
      </c>
      <c r="D26">
        <v>5</v>
      </c>
      <c r="E26">
        <v>452</v>
      </c>
      <c r="F26" t="s">
        <v>9</v>
      </c>
    </row>
    <row r="27" spans="1:6" hidden="1" x14ac:dyDescent="0.35">
      <c r="A27" t="s">
        <v>29</v>
      </c>
      <c r="B27" t="s">
        <v>30</v>
      </c>
      <c r="C27" t="s">
        <v>12</v>
      </c>
      <c r="D27">
        <v>60</v>
      </c>
      <c r="E27">
        <v>271</v>
      </c>
      <c r="F27" t="s">
        <v>9</v>
      </c>
    </row>
    <row r="28" spans="1:6" hidden="1" x14ac:dyDescent="0.35">
      <c r="A28" t="s">
        <v>31</v>
      </c>
      <c r="B28" t="s">
        <v>18</v>
      </c>
      <c r="C28" t="s">
        <v>12</v>
      </c>
      <c r="D28">
        <v>100</v>
      </c>
      <c r="E28">
        <v>331</v>
      </c>
      <c r="F28" t="s">
        <v>9</v>
      </c>
    </row>
    <row r="29" spans="1:6" hidden="1" x14ac:dyDescent="0.35">
      <c r="A29" t="s">
        <v>31</v>
      </c>
      <c r="B29" t="s">
        <v>18</v>
      </c>
      <c r="C29" t="s">
        <v>12</v>
      </c>
      <c r="D29">
        <v>100</v>
      </c>
      <c r="E29">
        <v>335</v>
      </c>
      <c r="F29" t="s">
        <v>9</v>
      </c>
    </row>
    <row r="30" spans="1:6" hidden="1" x14ac:dyDescent="0.35">
      <c r="A30" t="s">
        <v>20</v>
      </c>
      <c r="B30" t="s">
        <v>19</v>
      </c>
      <c r="C30" t="s">
        <v>12</v>
      </c>
      <c r="D30">
        <v>5</v>
      </c>
      <c r="E30">
        <v>2510</v>
      </c>
      <c r="F30" t="s">
        <v>9</v>
      </c>
    </row>
    <row r="31" spans="1:6" hidden="1" x14ac:dyDescent="0.35">
      <c r="A31" t="s">
        <v>31</v>
      </c>
      <c r="B31" t="s">
        <v>18</v>
      </c>
      <c r="C31" t="s">
        <v>12</v>
      </c>
      <c r="D31">
        <v>100</v>
      </c>
      <c r="E31">
        <v>337</v>
      </c>
      <c r="F31" t="s">
        <v>9</v>
      </c>
    </row>
    <row r="32" spans="1:6" hidden="1" x14ac:dyDescent="0.35">
      <c r="A32" t="s">
        <v>31</v>
      </c>
      <c r="B32" t="s">
        <v>32</v>
      </c>
      <c r="C32" t="s">
        <v>12</v>
      </c>
      <c r="D32">
        <v>5</v>
      </c>
      <c r="E32">
        <v>660</v>
      </c>
      <c r="F32" t="s">
        <v>9</v>
      </c>
    </row>
    <row r="33" spans="1:6" hidden="1" x14ac:dyDescent="0.35">
      <c r="A33" t="s">
        <v>10</v>
      </c>
      <c r="B33" t="s">
        <v>33</v>
      </c>
      <c r="C33" t="s">
        <v>12</v>
      </c>
      <c r="D33">
        <v>50</v>
      </c>
      <c r="E33">
        <v>122</v>
      </c>
      <c r="F33" t="s">
        <v>9</v>
      </c>
    </row>
    <row r="34" spans="1:6" hidden="1" x14ac:dyDescent="0.35">
      <c r="A34" t="s">
        <v>34</v>
      </c>
      <c r="B34" t="s">
        <v>35</v>
      </c>
      <c r="C34" t="s">
        <v>12</v>
      </c>
      <c r="D34">
        <v>50</v>
      </c>
      <c r="E34">
        <v>203.5</v>
      </c>
      <c r="F34" t="s">
        <v>9</v>
      </c>
    </row>
    <row r="35" spans="1:6" hidden="1" x14ac:dyDescent="0.35">
      <c r="A35" t="s">
        <v>20</v>
      </c>
      <c r="B35" t="s">
        <v>19</v>
      </c>
      <c r="C35" t="s">
        <v>12</v>
      </c>
      <c r="D35">
        <v>10</v>
      </c>
      <c r="E35">
        <v>2553</v>
      </c>
      <c r="F35" t="s">
        <v>9</v>
      </c>
    </row>
    <row r="36" spans="1:6" hidden="1" x14ac:dyDescent="0.35">
      <c r="A36" t="s">
        <v>15</v>
      </c>
      <c r="B36" t="s">
        <v>36</v>
      </c>
      <c r="C36" t="s">
        <v>12</v>
      </c>
      <c r="D36">
        <v>20</v>
      </c>
      <c r="E36">
        <v>276</v>
      </c>
      <c r="F36" t="s">
        <v>9</v>
      </c>
    </row>
    <row r="37" spans="1:6" hidden="1" x14ac:dyDescent="0.35">
      <c r="A37" t="s">
        <v>15</v>
      </c>
      <c r="B37" t="s">
        <v>37</v>
      </c>
      <c r="C37" t="s">
        <v>12</v>
      </c>
      <c r="D37">
        <v>5</v>
      </c>
      <c r="E37">
        <v>916</v>
      </c>
      <c r="F37" t="s">
        <v>9</v>
      </c>
    </row>
    <row r="38" spans="1:6" hidden="1" x14ac:dyDescent="0.35">
      <c r="A38" t="s">
        <v>17</v>
      </c>
      <c r="B38" t="s">
        <v>18</v>
      </c>
      <c r="C38" t="s">
        <v>12</v>
      </c>
      <c r="D38">
        <v>100</v>
      </c>
      <c r="E38">
        <v>341</v>
      </c>
      <c r="F38" t="s">
        <v>9</v>
      </c>
    </row>
    <row r="39" spans="1:6" hidden="1" x14ac:dyDescent="0.35">
      <c r="A39" t="s">
        <v>20</v>
      </c>
      <c r="B39" t="s">
        <v>19</v>
      </c>
      <c r="C39" t="s">
        <v>12</v>
      </c>
      <c r="D39">
        <v>10</v>
      </c>
      <c r="E39">
        <v>2578</v>
      </c>
      <c r="F39" t="s">
        <v>9</v>
      </c>
    </row>
    <row r="40" spans="1:6" x14ac:dyDescent="0.35">
      <c r="A40" t="s">
        <v>6</v>
      </c>
      <c r="B40" t="s">
        <v>7</v>
      </c>
      <c r="C40" t="s">
        <v>8</v>
      </c>
      <c r="D40">
        <v>20</v>
      </c>
      <c r="E40">
        <v>2310</v>
      </c>
      <c r="F40" t="s">
        <v>9</v>
      </c>
    </row>
    <row r="41" spans="1:6" x14ac:dyDescent="0.35">
      <c r="A41" t="s">
        <v>6</v>
      </c>
      <c r="B41" t="s">
        <v>7</v>
      </c>
      <c r="C41" t="s">
        <v>8</v>
      </c>
      <c r="D41">
        <v>10</v>
      </c>
      <c r="E41">
        <v>2189</v>
      </c>
      <c r="F41" t="s">
        <v>9</v>
      </c>
    </row>
    <row r="42" spans="1:6" hidden="1" x14ac:dyDescent="0.35">
      <c r="A42" t="s">
        <v>15</v>
      </c>
      <c r="B42" t="s">
        <v>36</v>
      </c>
      <c r="C42" t="s">
        <v>8</v>
      </c>
      <c r="D42">
        <v>120</v>
      </c>
      <c r="E42">
        <v>300.5</v>
      </c>
      <c r="F42" t="s">
        <v>9</v>
      </c>
    </row>
    <row r="43" spans="1:6" hidden="1" x14ac:dyDescent="0.35">
      <c r="A43" t="s">
        <v>15</v>
      </c>
      <c r="B43" t="s">
        <v>27</v>
      </c>
      <c r="C43" t="s">
        <v>8</v>
      </c>
      <c r="D43">
        <v>50</v>
      </c>
      <c r="E43">
        <v>305</v>
      </c>
      <c r="F43" t="s">
        <v>9</v>
      </c>
    </row>
    <row r="44" spans="1:6" hidden="1" x14ac:dyDescent="0.35">
      <c r="A44" t="s">
        <v>31</v>
      </c>
      <c r="B44" t="s">
        <v>38</v>
      </c>
      <c r="C44" t="s">
        <v>8</v>
      </c>
      <c r="D44">
        <v>30</v>
      </c>
      <c r="E44">
        <v>930</v>
      </c>
      <c r="F44" t="s">
        <v>9</v>
      </c>
    </row>
    <row r="45" spans="1:6" hidden="1" x14ac:dyDescent="0.35">
      <c r="A45" t="s">
        <v>17</v>
      </c>
      <c r="B45" t="s">
        <v>18</v>
      </c>
      <c r="C45" t="s">
        <v>8</v>
      </c>
      <c r="D45">
        <v>50</v>
      </c>
      <c r="E45">
        <v>365</v>
      </c>
      <c r="F45" t="s">
        <v>9</v>
      </c>
    </row>
    <row r="46" spans="1:6" hidden="1" x14ac:dyDescent="0.35">
      <c r="A46" t="s">
        <v>24</v>
      </c>
      <c r="B46" t="s">
        <v>21</v>
      </c>
      <c r="C46" t="s">
        <v>8</v>
      </c>
      <c r="D46">
        <v>25</v>
      </c>
      <c r="E46">
        <v>360</v>
      </c>
      <c r="F46" t="s">
        <v>9</v>
      </c>
    </row>
    <row r="47" spans="1:6" hidden="1" x14ac:dyDescent="0.35">
      <c r="A47" t="s">
        <v>34</v>
      </c>
      <c r="B47" t="s">
        <v>39</v>
      </c>
      <c r="C47" t="s">
        <v>8</v>
      </c>
      <c r="D47">
        <v>25</v>
      </c>
      <c r="E47">
        <v>199.9</v>
      </c>
      <c r="F47" t="s">
        <v>9</v>
      </c>
    </row>
    <row r="48" spans="1:6" hidden="1" x14ac:dyDescent="0.35">
      <c r="A48" t="s">
        <v>15</v>
      </c>
      <c r="B48" t="s">
        <v>16</v>
      </c>
      <c r="C48" t="s">
        <v>8</v>
      </c>
      <c r="D48">
        <v>5</v>
      </c>
      <c r="E48">
        <v>467.25</v>
      </c>
      <c r="F48" t="s">
        <v>9</v>
      </c>
    </row>
    <row r="49" spans="1:6" hidden="1" x14ac:dyDescent="0.35">
      <c r="A49" t="s">
        <v>34</v>
      </c>
      <c r="B49" t="s">
        <v>35</v>
      </c>
      <c r="C49" t="s">
        <v>8</v>
      </c>
      <c r="D49">
        <v>65</v>
      </c>
      <c r="E49">
        <v>219</v>
      </c>
      <c r="F49" t="s">
        <v>9</v>
      </c>
    </row>
    <row r="50" spans="1:6" hidden="1" x14ac:dyDescent="0.35">
      <c r="A50" t="s">
        <v>15</v>
      </c>
      <c r="B50" t="s">
        <v>36</v>
      </c>
      <c r="C50" t="s">
        <v>8</v>
      </c>
      <c r="D50">
        <v>30</v>
      </c>
      <c r="E50">
        <v>294</v>
      </c>
      <c r="F50" t="s">
        <v>9</v>
      </c>
    </row>
    <row r="51" spans="1:6" hidden="1" x14ac:dyDescent="0.35">
      <c r="A51" t="s">
        <v>20</v>
      </c>
      <c r="B51" t="s">
        <v>40</v>
      </c>
      <c r="C51" t="s">
        <v>8</v>
      </c>
      <c r="D51">
        <v>150</v>
      </c>
      <c r="E51">
        <v>130</v>
      </c>
      <c r="F51" t="s">
        <v>9</v>
      </c>
    </row>
    <row r="52" spans="1:6" hidden="1" x14ac:dyDescent="0.35">
      <c r="A52" t="s">
        <v>15</v>
      </c>
      <c r="B52" t="s">
        <v>36</v>
      </c>
      <c r="C52" t="s">
        <v>8</v>
      </c>
      <c r="D52">
        <v>50</v>
      </c>
      <c r="E52">
        <v>293</v>
      </c>
      <c r="F52" t="s">
        <v>9</v>
      </c>
    </row>
    <row r="53" spans="1:6" ht="15" thickBot="1" x14ac:dyDescent="0.4">
      <c r="A53" t="s">
        <v>6</v>
      </c>
      <c r="B53" t="s">
        <v>7</v>
      </c>
      <c r="C53" t="s">
        <v>8</v>
      </c>
      <c r="D53">
        <v>10</v>
      </c>
      <c r="E53">
        <v>2114</v>
      </c>
      <c r="F53" t="s">
        <v>9</v>
      </c>
    </row>
    <row r="54" spans="1:6" hidden="1" x14ac:dyDescent="0.35">
      <c r="A54" t="s">
        <v>13</v>
      </c>
      <c r="B54" t="s">
        <v>19</v>
      </c>
      <c r="C54" t="s">
        <v>8</v>
      </c>
      <c r="D54">
        <v>10</v>
      </c>
      <c r="E54">
        <v>2696</v>
      </c>
      <c r="F54" t="s">
        <v>9</v>
      </c>
    </row>
    <row r="55" spans="1:6" hidden="1" x14ac:dyDescent="0.35">
      <c r="A55" t="s">
        <v>13</v>
      </c>
      <c r="B55" t="s">
        <v>23</v>
      </c>
      <c r="C55" t="s">
        <v>8</v>
      </c>
      <c r="D55">
        <v>50</v>
      </c>
      <c r="E55">
        <v>228</v>
      </c>
      <c r="F55" t="s">
        <v>9</v>
      </c>
    </row>
    <row r="56" spans="1:6" hidden="1" x14ac:dyDescent="0.35">
      <c r="A56" t="s">
        <v>34</v>
      </c>
      <c r="B56" t="s">
        <v>35</v>
      </c>
      <c r="C56" t="s">
        <v>8</v>
      </c>
      <c r="D56">
        <v>50</v>
      </c>
      <c r="E56">
        <v>214</v>
      </c>
      <c r="F56" t="s">
        <v>9</v>
      </c>
    </row>
    <row r="57" spans="1:6" hidden="1" x14ac:dyDescent="0.35">
      <c r="A57" t="s">
        <v>20</v>
      </c>
      <c r="B57" t="s">
        <v>19</v>
      </c>
      <c r="C57" t="s">
        <v>8</v>
      </c>
      <c r="D57">
        <v>10</v>
      </c>
      <c r="E57">
        <v>2672</v>
      </c>
      <c r="F57" t="s">
        <v>9</v>
      </c>
    </row>
    <row r="58" spans="1:6" hidden="1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</row>
    <row r="59" spans="1:6" hidden="1" x14ac:dyDescent="0.35">
      <c r="A59" t="s">
        <v>41</v>
      </c>
      <c r="B59" t="s">
        <v>42</v>
      </c>
      <c r="C59" t="s">
        <v>8</v>
      </c>
      <c r="D59">
        <v>10</v>
      </c>
      <c r="E59">
        <v>1510</v>
      </c>
      <c r="F59" t="s">
        <v>9</v>
      </c>
    </row>
    <row r="60" spans="1:6" hidden="1" x14ac:dyDescent="0.35">
      <c r="A60" t="s">
        <v>43</v>
      </c>
      <c r="B60" t="s">
        <v>44</v>
      </c>
      <c r="C60" t="s">
        <v>8</v>
      </c>
      <c r="D60">
        <v>10</v>
      </c>
      <c r="E60">
        <v>997</v>
      </c>
      <c r="F60" t="s">
        <v>9</v>
      </c>
    </row>
    <row r="61" spans="1:6" hidden="1" x14ac:dyDescent="0.35">
      <c r="A61" t="s">
        <v>45</v>
      </c>
      <c r="B61" t="s">
        <v>44</v>
      </c>
      <c r="C61" t="s">
        <v>12</v>
      </c>
      <c r="D61">
        <v>10</v>
      </c>
      <c r="E61">
        <v>937</v>
      </c>
      <c r="F61" t="s">
        <v>9</v>
      </c>
    </row>
    <row r="62" spans="1:6" hidden="1" x14ac:dyDescent="0.35">
      <c r="A62" t="s">
        <v>45</v>
      </c>
      <c r="B62" t="s">
        <v>44</v>
      </c>
      <c r="C62" t="s">
        <v>12</v>
      </c>
      <c r="D62">
        <v>10</v>
      </c>
      <c r="E62">
        <v>927</v>
      </c>
      <c r="F62" t="s">
        <v>9</v>
      </c>
    </row>
    <row r="63" spans="1:6" ht="15" hidden="1" thickBot="1" x14ac:dyDescent="0.4">
      <c r="A63" t="s">
        <v>46</v>
      </c>
      <c r="B63" t="s">
        <v>47</v>
      </c>
      <c r="C63" t="s">
        <v>12</v>
      </c>
      <c r="D63">
        <v>2</v>
      </c>
      <c r="E63">
        <v>3210</v>
      </c>
      <c r="F63" t="s">
        <v>9</v>
      </c>
    </row>
    <row r="64" spans="1:6" ht="15" hidden="1" thickBot="1" x14ac:dyDescent="0.4">
      <c r="A64" t="s">
        <v>48</v>
      </c>
      <c r="B64" t="s">
        <v>49</v>
      </c>
      <c r="C64" t="s">
        <v>8</v>
      </c>
      <c r="D64">
        <v>200</v>
      </c>
      <c r="E64">
        <v>89.3</v>
      </c>
      <c r="F64" t="s">
        <v>9</v>
      </c>
    </row>
    <row r="65" spans="1:6" ht="15" hidden="1" thickBot="1" x14ac:dyDescent="0.4">
      <c r="A65" t="s">
        <v>46</v>
      </c>
      <c r="B65" t="s">
        <v>47</v>
      </c>
      <c r="C65" t="s">
        <v>8</v>
      </c>
      <c r="D65">
        <v>5</v>
      </c>
      <c r="E65">
        <v>3482</v>
      </c>
      <c r="F65" t="s">
        <v>9</v>
      </c>
    </row>
    <row r="66" spans="1:6" ht="15" hidden="1" thickBot="1" x14ac:dyDescent="0.4">
      <c r="A66" t="s">
        <v>50</v>
      </c>
      <c r="B66" t="s">
        <v>51</v>
      </c>
      <c r="C66" t="s">
        <v>8</v>
      </c>
      <c r="D66">
        <v>10</v>
      </c>
      <c r="E66">
        <v>1479</v>
      </c>
      <c r="F66" t="s">
        <v>9</v>
      </c>
    </row>
    <row r="67" spans="1:6" ht="15" hidden="1" thickBot="1" x14ac:dyDescent="0.4">
      <c r="A67" t="s">
        <v>41</v>
      </c>
      <c r="B67" t="s">
        <v>52</v>
      </c>
      <c r="C67" t="s">
        <v>12</v>
      </c>
      <c r="D67">
        <v>20</v>
      </c>
      <c r="E67">
        <v>861</v>
      </c>
      <c r="F67" t="s">
        <v>9</v>
      </c>
    </row>
    <row r="68" spans="1:6" ht="15" hidden="1" thickBot="1" x14ac:dyDescent="0.4">
      <c r="A68" t="s">
        <v>43</v>
      </c>
      <c r="B68" t="s">
        <v>42</v>
      </c>
      <c r="C68" t="s">
        <v>12</v>
      </c>
      <c r="D68">
        <v>10</v>
      </c>
      <c r="E68">
        <v>1440</v>
      </c>
      <c r="F68" t="s">
        <v>9</v>
      </c>
    </row>
    <row r="69" spans="1:6" ht="15" hidden="1" thickBot="1" x14ac:dyDescent="0.4">
      <c r="A69" t="s">
        <v>50</v>
      </c>
      <c r="B69" t="s">
        <v>53</v>
      </c>
      <c r="C69" t="s">
        <v>12</v>
      </c>
      <c r="D69">
        <v>1</v>
      </c>
      <c r="E69">
        <v>4640</v>
      </c>
      <c r="F69" t="s">
        <v>9</v>
      </c>
    </row>
    <row r="70" spans="1:6" ht="15" hidden="1" thickBot="1" x14ac:dyDescent="0.4">
      <c r="A70" t="s">
        <v>50</v>
      </c>
      <c r="B70" t="s">
        <v>54</v>
      </c>
      <c r="C70" t="s">
        <v>12</v>
      </c>
      <c r="D70">
        <v>7</v>
      </c>
      <c r="E70">
        <v>2401</v>
      </c>
      <c r="F70" t="s">
        <v>9</v>
      </c>
    </row>
    <row r="71" spans="1:6" ht="15" hidden="1" thickBot="1" x14ac:dyDescent="0.4">
      <c r="A71" t="s">
        <v>50</v>
      </c>
      <c r="B71" t="s">
        <v>51</v>
      </c>
      <c r="C71" t="s">
        <v>12</v>
      </c>
      <c r="D71">
        <v>10</v>
      </c>
      <c r="E71">
        <v>1303</v>
      </c>
      <c r="F71" t="s">
        <v>9</v>
      </c>
    </row>
    <row r="72" spans="1:6" ht="15" hidden="1" thickBot="1" x14ac:dyDescent="0.4">
      <c r="A72" t="s">
        <v>55</v>
      </c>
      <c r="B72" t="s">
        <v>56</v>
      </c>
      <c r="C72" t="s">
        <v>12</v>
      </c>
      <c r="D72">
        <v>10</v>
      </c>
      <c r="E72">
        <v>1166</v>
      </c>
      <c r="F72" t="s">
        <v>9</v>
      </c>
    </row>
    <row r="73" spans="1:6" ht="15" hidden="1" thickBot="1" x14ac:dyDescent="0.4">
      <c r="A73" t="s">
        <v>41</v>
      </c>
      <c r="B73" t="s">
        <v>42</v>
      </c>
      <c r="C73" t="s">
        <v>12</v>
      </c>
      <c r="D73">
        <v>10</v>
      </c>
      <c r="E73">
        <v>1410</v>
      </c>
      <c r="F73" t="s">
        <v>9</v>
      </c>
    </row>
    <row r="74" spans="1:6" ht="15" hidden="1" thickBot="1" x14ac:dyDescent="0.4">
      <c r="A74" t="s">
        <v>57</v>
      </c>
      <c r="B74" t="s">
        <v>58</v>
      </c>
      <c r="C74" t="s">
        <v>12</v>
      </c>
      <c r="D74">
        <v>100</v>
      </c>
      <c r="E74">
        <v>390</v>
      </c>
      <c r="F74" t="s">
        <v>9</v>
      </c>
    </row>
    <row r="75" spans="1:6" ht="15" hidden="1" thickBot="1" x14ac:dyDescent="0.4">
      <c r="A75" t="s">
        <v>59</v>
      </c>
      <c r="B75" t="s">
        <v>42</v>
      </c>
      <c r="C75" t="s">
        <v>12</v>
      </c>
      <c r="D75">
        <v>10</v>
      </c>
      <c r="E75">
        <v>1420</v>
      </c>
      <c r="F75" t="s">
        <v>9</v>
      </c>
    </row>
    <row r="76" spans="1:6" ht="15" hidden="1" thickBot="1" x14ac:dyDescent="0.4">
      <c r="A76" t="s">
        <v>45</v>
      </c>
      <c r="B76" t="s">
        <v>44</v>
      </c>
      <c r="C76" t="s">
        <v>12</v>
      </c>
      <c r="D76">
        <v>40</v>
      </c>
      <c r="E76">
        <v>897</v>
      </c>
      <c r="F76" t="s">
        <v>9</v>
      </c>
    </row>
    <row r="77" spans="1:6" ht="15" hidden="1" thickBot="1" x14ac:dyDescent="0.4">
      <c r="A77" t="s">
        <v>50</v>
      </c>
      <c r="B77" t="s">
        <v>60</v>
      </c>
      <c r="C77" t="s">
        <v>12</v>
      </c>
      <c r="D77">
        <v>1</v>
      </c>
      <c r="E77">
        <v>19052</v>
      </c>
      <c r="F77" t="s">
        <v>9</v>
      </c>
    </row>
    <row r="78" spans="1:6" ht="15" hidden="1" thickBot="1" x14ac:dyDescent="0.4">
      <c r="A78" t="s">
        <v>41</v>
      </c>
      <c r="B78" t="s">
        <v>52</v>
      </c>
      <c r="C78" t="s">
        <v>12</v>
      </c>
      <c r="D78">
        <v>50</v>
      </c>
      <c r="E78">
        <v>850</v>
      </c>
      <c r="F78" t="s">
        <v>9</v>
      </c>
    </row>
    <row r="79" spans="1:6" ht="15" hidden="1" thickBot="1" x14ac:dyDescent="0.4">
      <c r="A79" t="s">
        <v>48</v>
      </c>
      <c r="B79" t="s">
        <v>61</v>
      </c>
      <c r="C79" t="s">
        <v>12</v>
      </c>
      <c r="D79">
        <v>9</v>
      </c>
      <c r="E79">
        <v>2251</v>
      </c>
      <c r="F79" t="s">
        <v>9</v>
      </c>
    </row>
    <row r="80" spans="1:6" ht="15" hidden="1" thickBot="1" x14ac:dyDescent="0.4">
      <c r="A80" t="s">
        <v>55</v>
      </c>
      <c r="B80" t="s">
        <v>62</v>
      </c>
      <c r="C80" t="s">
        <v>12</v>
      </c>
      <c r="D80">
        <v>1</v>
      </c>
      <c r="E80">
        <v>13552</v>
      </c>
      <c r="F80" t="s">
        <v>9</v>
      </c>
    </row>
    <row r="81" spans="1:6" ht="15" hidden="1" thickBot="1" x14ac:dyDescent="0.4">
      <c r="A81" t="s">
        <v>48</v>
      </c>
      <c r="B81" t="s">
        <v>51</v>
      </c>
      <c r="C81" t="s">
        <v>12</v>
      </c>
      <c r="D81">
        <v>10</v>
      </c>
      <c r="E81">
        <v>1340</v>
      </c>
      <c r="F81" t="s">
        <v>9</v>
      </c>
    </row>
    <row r="82" spans="1:6" ht="15" hidden="1" thickBot="1" x14ac:dyDescent="0.4">
      <c r="A82" t="s">
        <v>50</v>
      </c>
      <c r="B82" t="s">
        <v>63</v>
      </c>
      <c r="C82" t="s">
        <v>12</v>
      </c>
      <c r="D82">
        <v>7</v>
      </c>
      <c r="E82">
        <v>2230</v>
      </c>
      <c r="F82" t="s">
        <v>9</v>
      </c>
    </row>
    <row r="83" spans="1:6" ht="15" hidden="1" thickBot="1" x14ac:dyDescent="0.4">
      <c r="A83" t="s">
        <v>55</v>
      </c>
      <c r="B83" t="s">
        <v>56</v>
      </c>
      <c r="C83" t="s">
        <v>12</v>
      </c>
      <c r="D83">
        <v>5</v>
      </c>
      <c r="E83">
        <v>1188</v>
      </c>
      <c r="F83" t="s">
        <v>9</v>
      </c>
    </row>
    <row r="84" spans="1:6" ht="15" hidden="1" thickBot="1" x14ac:dyDescent="0.4">
      <c r="A84" t="s">
        <v>55</v>
      </c>
      <c r="B84" t="s">
        <v>44</v>
      </c>
      <c r="C84" t="s">
        <v>12</v>
      </c>
      <c r="D84">
        <v>20</v>
      </c>
      <c r="E84">
        <v>917</v>
      </c>
      <c r="F84" t="s">
        <v>9</v>
      </c>
    </row>
    <row r="85" spans="1:6" ht="15" hidden="1" thickBot="1" x14ac:dyDescent="0.4">
      <c r="A85" t="s">
        <v>55</v>
      </c>
      <c r="B85" t="s">
        <v>64</v>
      </c>
      <c r="C85" t="s">
        <v>12</v>
      </c>
      <c r="D85">
        <v>10</v>
      </c>
      <c r="E85">
        <v>1030</v>
      </c>
      <c r="F85" t="s">
        <v>9</v>
      </c>
    </row>
    <row r="86" spans="1:6" ht="15" hidden="1" thickBot="1" x14ac:dyDescent="0.4">
      <c r="A86" t="s">
        <v>46</v>
      </c>
      <c r="B86" t="s">
        <v>65</v>
      </c>
      <c r="C86" t="s">
        <v>12</v>
      </c>
      <c r="D86">
        <v>3</v>
      </c>
      <c r="E86">
        <v>1302</v>
      </c>
      <c r="F86" t="s">
        <v>9</v>
      </c>
    </row>
    <row r="87" spans="1:6" ht="15" hidden="1" thickBot="1" x14ac:dyDescent="0.4">
      <c r="A87" t="s">
        <v>50</v>
      </c>
      <c r="B87" t="s">
        <v>66</v>
      </c>
      <c r="C87" t="s">
        <v>12</v>
      </c>
      <c r="D87">
        <v>5</v>
      </c>
      <c r="E87">
        <v>1132</v>
      </c>
      <c r="F87" t="s">
        <v>9</v>
      </c>
    </row>
    <row r="88" spans="1:6" ht="15" hidden="1" thickBot="1" x14ac:dyDescent="0.4">
      <c r="A88" t="s">
        <v>67</v>
      </c>
      <c r="B88" t="s">
        <v>58</v>
      </c>
      <c r="C88" t="s">
        <v>12</v>
      </c>
      <c r="D88">
        <v>10</v>
      </c>
      <c r="E88">
        <v>400</v>
      </c>
      <c r="F88" t="s">
        <v>9</v>
      </c>
    </row>
    <row r="89" spans="1:6" ht="15" hidden="1" thickBot="1" x14ac:dyDescent="0.4">
      <c r="A89" t="s">
        <v>55</v>
      </c>
      <c r="B89" t="s">
        <v>68</v>
      </c>
      <c r="C89" t="s">
        <v>12</v>
      </c>
      <c r="D89">
        <v>5</v>
      </c>
      <c r="E89">
        <v>3952</v>
      </c>
      <c r="F89" t="s">
        <v>9</v>
      </c>
    </row>
    <row r="90" spans="1:6" ht="15" hidden="1" thickBot="1" x14ac:dyDescent="0.4">
      <c r="A90" t="s">
        <v>57</v>
      </c>
      <c r="B90" t="s">
        <v>69</v>
      </c>
      <c r="C90" t="s">
        <v>12</v>
      </c>
      <c r="D90">
        <v>2</v>
      </c>
      <c r="E90">
        <v>4206</v>
      </c>
      <c r="F90" t="s">
        <v>9</v>
      </c>
    </row>
    <row r="91" spans="1:6" ht="15" hidden="1" thickBot="1" x14ac:dyDescent="0.4">
      <c r="A91" t="s">
        <v>48</v>
      </c>
      <c r="B91" t="s">
        <v>60</v>
      </c>
      <c r="C91" t="s">
        <v>12</v>
      </c>
      <c r="D91">
        <v>1</v>
      </c>
      <c r="E91">
        <v>19552</v>
      </c>
      <c r="F91" t="s">
        <v>9</v>
      </c>
    </row>
    <row r="92" spans="1:6" ht="15" hidden="1" thickBot="1" x14ac:dyDescent="0.4">
      <c r="A92" t="s">
        <v>57</v>
      </c>
      <c r="B92" t="s">
        <v>66</v>
      </c>
      <c r="C92" t="s">
        <v>12</v>
      </c>
      <c r="D92">
        <v>5</v>
      </c>
      <c r="E92">
        <v>1142</v>
      </c>
      <c r="F92" t="s">
        <v>9</v>
      </c>
    </row>
    <row r="93" spans="1:6" ht="15" hidden="1" thickBot="1" x14ac:dyDescent="0.4">
      <c r="A93" t="s">
        <v>59</v>
      </c>
      <c r="B93" t="s">
        <v>70</v>
      </c>
      <c r="C93" t="s">
        <v>12</v>
      </c>
      <c r="D93">
        <v>4</v>
      </c>
      <c r="E93">
        <v>1066</v>
      </c>
      <c r="F93" t="s">
        <v>9</v>
      </c>
    </row>
    <row r="94" spans="1:6" ht="15" hidden="1" thickBot="1" x14ac:dyDescent="0.4">
      <c r="A94" t="s">
        <v>59</v>
      </c>
      <c r="B94" t="s">
        <v>71</v>
      </c>
      <c r="C94" t="s">
        <v>12</v>
      </c>
      <c r="D94">
        <v>10</v>
      </c>
      <c r="E94">
        <v>223</v>
      </c>
      <c r="F94" t="s">
        <v>9</v>
      </c>
    </row>
    <row r="95" spans="1:6" ht="15" hidden="1" thickBot="1" x14ac:dyDescent="0.4">
      <c r="A95" t="s">
        <v>72</v>
      </c>
      <c r="B95" t="s">
        <v>73</v>
      </c>
      <c r="C95" t="s">
        <v>12</v>
      </c>
      <c r="D95">
        <v>5</v>
      </c>
      <c r="E95">
        <v>2938</v>
      </c>
      <c r="F95" t="s">
        <v>9</v>
      </c>
    </row>
    <row r="96" spans="1:6" ht="15" hidden="1" thickBot="1" x14ac:dyDescent="0.4">
      <c r="A96" t="s">
        <v>59</v>
      </c>
      <c r="B96" t="s">
        <v>68</v>
      </c>
      <c r="C96" t="s">
        <v>12</v>
      </c>
      <c r="D96">
        <v>5</v>
      </c>
      <c r="E96">
        <v>4002</v>
      </c>
      <c r="F96" t="s">
        <v>9</v>
      </c>
    </row>
    <row r="97" spans="1:6" ht="15" hidden="1" thickBot="1" x14ac:dyDescent="0.4">
      <c r="A97" t="s">
        <v>43</v>
      </c>
      <c r="B97" t="s">
        <v>74</v>
      </c>
      <c r="C97" t="s">
        <v>12</v>
      </c>
      <c r="D97">
        <v>5</v>
      </c>
      <c r="E97">
        <v>712</v>
      </c>
      <c r="F97" t="s">
        <v>9</v>
      </c>
    </row>
    <row r="98" spans="1:6" ht="15" hidden="1" thickBot="1" x14ac:dyDescent="0.4">
      <c r="A98" t="s">
        <v>57</v>
      </c>
      <c r="B98" t="s">
        <v>66</v>
      </c>
      <c r="C98" t="s">
        <v>12</v>
      </c>
      <c r="D98">
        <v>5</v>
      </c>
      <c r="E98">
        <v>1152</v>
      </c>
      <c r="F98" t="s">
        <v>9</v>
      </c>
    </row>
    <row r="99" spans="1:6" ht="15" hidden="1" thickBot="1" x14ac:dyDescent="0.4">
      <c r="A99" t="s">
        <v>75</v>
      </c>
      <c r="B99" t="s">
        <v>76</v>
      </c>
      <c r="C99" t="s">
        <v>12</v>
      </c>
      <c r="D99">
        <v>2</v>
      </c>
      <c r="E99">
        <v>2460</v>
      </c>
      <c r="F99" t="s">
        <v>9</v>
      </c>
    </row>
    <row r="100" spans="1:6" ht="15" hidden="1" thickBot="1" x14ac:dyDescent="0.4">
      <c r="A100" t="s">
        <v>41</v>
      </c>
      <c r="B100" t="s">
        <v>77</v>
      </c>
      <c r="C100" t="s">
        <v>8</v>
      </c>
      <c r="D100">
        <v>150</v>
      </c>
      <c r="E100">
        <v>123.4</v>
      </c>
      <c r="F100" t="s">
        <v>9</v>
      </c>
    </row>
    <row r="101" spans="1:6" ht="15" hidden="1" thickBot="1" x14ac:dyDescent="0.4">
      <c r="A101" t="s">
        <v>46</v>
      </c>
      <c r="B101" t="s">
        <v>78</v>
      </c>
      <c r="C101" t="s">
        <v>8</v>
      </c>
      <c r="D101">
        <v>5</v>
      </c>
      <c r="E101">
        <v>2190</v>
      </c>
      <c r="F101" t="s">
        <v>9</v>
      </c>
    </row>
    <row r="102" spans="1:6" ht="15" hidden="1" thickBot="1" x14ac:dyDescent="0.4">
      <c r="A102" t="s">
        <v>46</v>
      </c>
      <c r="B102" t="s">
        <v>69</v>
      </c>
      <c r="C102" t="s">
        <v>8</v>
      </c>
      <c r="D102">
        <v>1</v>
      </c>
      <c r="E102">
        <v>4556</v>
      </c>
      <c r="F102" t="s">
        <v>9</v>
      </c>
    </row>
    <row r="103" spans="1:6" ht="15" hidden="1" thickBot="1" x14ac:dyDescent="0.4">
      <c r="A103" t="s">
        <v>46</v>
      </c>
      <c r="B103" t="s">
        <v>47</v>
      </c>
      <c r="C103" t="s">
        <v>8</v>
      </c>
      <c r="D103">
        <v>5</v>
      </c>
      <c r="E103">
        <v>3633</v>
      </c>
      <c r="F103" t="s">
        <v>9</v>
      </c>
    </row>
    <row r="104" spans="1:6" ht="15" hidden="1" thickBot="1" x14ac:dyDescent="0.4">
      <c r="A104" t="s">
        <v>55</v>
      </c>
      <c r="B104" t="s">
        <v>71</v>
      </c>
      <c r="C104" t="s">
        <v>8</v>
      </c>
      <c r="D104">
        <v>110</v>
      </c>
      <c r="E104">
        <v>238.2</v>
      </c>
      <c r="F104" t="s">
        <v>9</v>
      </c>
    </row>
    <row r="105" spans="1:6" ht="15" hidden="1" thickBot="1" x14ac:dyDescent="0.4">
      <c r="A105" t="s">
        <v>67</v>
      </c>
      <c r="B105" t="s">
        <v>66</v>
      </c>
      <c r="C105" t="s">
        <v>8</v>
      </c>
      <c r="D105">
        <v>10</v>
      </c>
      <c r="E105">
        <v>1221</v>
      </c>
      <c r="F105" t="s">
        <v>9</v>
      </c>
    </row>
    <row r="106" spans="1:6" ht="15" hidden="1" thickBot="1" x14ac:dyDescent="0.4">
      <c r="A106" t="s">
        <v>55</v>
      </c>
      <c r="B106" t="s">
        <v>63</v>
      </c>
      <c r="C106" t="s">
        <v>8</v>
      </c>
      <c r="D106">
        <v>6</v>
      </c>
      <c r="E106">
        <v>2420</v>
      </c>
      <c r="F106" t="s">
        <v>9</v>
      </c>
    </row>
    <row r="107" spans="1:6" ht="15" hidden="1" thickBot="1" x14ac:dyDescent="0.4">
      <c r="A107" t="s">
        <v>67</v>
      </c>
      <c r="B107" t="s">
        <v>66</v>
      </c>
      <c r="C107" t="s">
        <v>8</v>
      </c>
      <c r="D107">
        <v>5</v>
      </c>
      <c r="E107">
        <v>1212</v>
      </c>
      <c r="F107" t="s">
        <v>9</v>
      </c>
    </row>
    <row r="108" spans="1:6" ht="15" hidden="1" thickBot="1" x14ac:dyDescent="0.4">
      <c r="A108" t="s">
        <v>57</v>
      </c>
      <c r="B108" t="s">
        <v>61</v>
      </c>
      <c r="C108" t="s">
        <v>8</v>
      </c>
      <c r="D108">
        <v>8</v>
      </c>
      <c r="E108">
        <v>2448</v>
      </c>
      <c r="F108" t="s">
        <v>9</v>
      </c>
    </row>
    <row r="109" spans="1:6" ht="15" hidden="1" thickBot="1" x14ac:dyDescent="0.4">
      <c r="A109" t="s">
        <v>41</v>
      </c>
      <c r="B109" t="s">
        <v>42</v>
      </c>
      <c r="C109" t="s">
        <v>8</v>
      </c>
      <c r="D109">
        <v>10</v>
      </c>
      <c r="E109">
        <v>1548</v>
      </c>
      <c r="F109" t="s">
        <v>9</v>
      </c>
    </row>
    <row r="110" spans="1:6" ht="15" hidden="1" thickBot="1" x14ac:dyDescent="0.4">
      <c r="A110" t="s">
        <v>41</v>
      </c>
      <c r="B110" t="s">
        <v>79</v>
      </c>
      <c r="C110" t="s">
        <v>8</v>
      </c>
      <c r="D110">
        <v>6</v>
      </c>
      <c r="E110">
        <v>548</v>
      </c>
      <c r="F110" t="s">
        <v>9</v>
      </c>
    </row>
    <row r="111" spans="1:6" ht="15" hidden="1" thickBot="1" x14ac:dyDescent="0.4">
      <c r="A111" t="s">
        <v>80</v>
      </c>
      <c r="B111" t="s">
        <v>49</v>
      </c>
      <c r="C111" t="s">
        <v>8</v>
      </c>
      <c r="D111">
        <v>200</v>
      </c>
      <c r="E111">
        <v>90.75</v>
      </c>
      <c r="F111" t="s">
        <v>9</v>
      </c>
    </row>
    <row r="112" spans="1:6" ht="15" hidden="1" thickBot="1" x14ac:dyDescent="0.4">
      <c r="A112" t="s">
        <v>81</v>
      </c>
      <c r="B112" t="s">
        <v>71</v>
      </c>
      <c r="C112" t="s">
        <v>8</v>
      </c>
      <c r="D112">
        <v>10</v>
      </c>
      <c r="E112">
        <v>235</v>
      </c>
      <c r="F112" t="s">
        <v>9</v>
      </c>
    </row>
    <row r="113" spans="1:6" ht="15" hidden="1" thickBot="1" x14ac:dyDescent="0.4">
      <c r="A113" t="s">
        <v>59</v>
      </c>
      <c r="B113" t="s">
        <v>58</v>
      </c>
      <c r="C113" t="s">
        <v>8</v>
      </c>
      <c r="D113">
        <v>20</v>
      </c>
      <c r="E113">
        <v>424</v>
      </c>
      <c r="F113" t="s">
        <v>9</v>
      </c>
    </row>
    <row r="114" spans="1:6" ht="15" hidden="1" thickBot="1" x14ac:dyDescent="0.4">
      <c r="A114" t="s">
        <v>43</v>
      </c>
      <c r="B114" t="s">
        <v>68</v>
      </c>
      <c r="C114" t="s">
        <v>8</v>
      </c>
      <c r="D114">
        <v>5</v>
      </c>
      <c r="E114">
        <v>4177</v>
      </c>
      <c r="F114" t="s">
        <v>9</v>
      </c>
    </row>
    <row r="115" spans="1:6" ht="15" hidden="1" thickBot="1" x14ac:dyDescent="0.4">
      <c r="A115" t="s">
        <v>43</v>
      </c>
      <c r="B115" t="s">
        <v>82</v>
      </c>
      <c r="C115" t="s">
        <v>8</v>
      </c>
      <c r="D115">
        <v>25</v>
      </c>
      <c r="E115">
        <v>784</v>
      </c>
      <c r="F115" t="s">
        <v>9</v>
      </c>
    </row>
    <row r="116" spans="1:6" ht="15" hidden="1" thickBot="1" x14ac:dyDescent="0.4">
      <c r="A116" t="s">
        <v>50</v>
      </c>
      <c r="B116" t="s">
        <v>83</v>
      </c>
      <c r="C116" t="s">
        <v>8</v>
      </c>
      <c r="D116">
        <v>15</v>
      </c>
      <c r="E116">
        <v>1040</v>
      </c>
      <c r="F116" t="s">
        <v>9</v>
      </c>
    </row>
    <row r="117" spans="1:6" ht="15" hidden="1" thickBot="1" x14ac:dyDescent="0.4">
      <c r="A117" t="s">
        <v>59</v>
      </c>
      <c r="B117" t="s">
        <v>71</v>
      </c>
      <c r="C117" t="s">
        <v>8</v>
      </c>
      <c r="D117">
        <v>200</v>
      </c>
      <c r="E117">
        <v>232</v>
      </c>
      <c r="F117" t="s">
        <v>9</v>
      </c>
    </row>
    <row r="118" spans="1:6" ht="15" hidden="1" thickBot="1" x14ac:dyDescent="0.4">
      <c r="A118" t="s">
        <v>43</v>
      </c>
      <c r="B118" t="s">
        <v>68</v>
      </c>
      <c r="C118" t="s">
        <v>8</v>
      </c>
      <c r="D118">
        <v>5</v>
      </c>
      <c r="E118">
        <v>4129</v>
      </c>
      <c r="F118" t="s">
        <v>9</v>
      </c>
    </row>
    <row r="119" spans="1:6" ht="58.5" hidden="1" thickBot="1" x14ac:dyDescent="0.4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t="s">
        <v>9</v>
      </c>
    </row>
    <row r="120" spans="1:6" ht="15" hidden="1" thickBot="1" x14ac:dyDescent="0.4">
      <c r="A120" s="2">
        <v>46247.645138888889</v>
      </c>
      <c r="B120" s="3" t="s">
        <v>51</v>
      </c>
      <c r="C120" s="3" t="s">
        <v>12</v>
      </c>
      <c r="D120" s="4">
        <v>10</v>
      </c>
      <c r="E120" s="4">
        <v>1400</v>
      </c>
      <c r="F120" t="s">
        <v>9</v>
      </c>
    </row>
    <row r="121" spans="1:6" ht="15" hidden="1" thickBot="1" x14ac:dyDescent="0.4">
      <c r="A121" s="5">
        <v>46248.644884259258</v>
      </c>
      <c r="B121" s="1" t="s">
        <v>49</v>
      </c>
      <c r="C121" s="1" t="s">
        <v>12</v>
      </c>
      <c r="D121" s="6">
        <v>100</v>
      </c>
      <c r="E121" s="6">
        <v>87.3</v>
      </c>
      <c r="F121" t="s">
        <v>9</v>
      </c>
    </row>
    <row r="122" spans="1:6" ht="15" hidden="1" thickBot="1" x14ac:dyDescent="0.4">
      <c r="A122" s="5">
        <v>46248.769108796296</v>
      </c>
      <c r="B122" s="1" t="s">
        <v>19</v>
      </c>
      <c r="C122" s="1" t="s">
        <v>12</v>
      </c>
      <c r="D122" s="6">
        <v>10</v>
      </c>
      <c r="E122" s="6">
        <v>2601</v>
      </c>
      <c r="F122" t="s">
        <v>9</v>
      </c>
    </row>
    <row r="123" spans="1:6" ht="15" hidden="1" thickBot="1" x14ac:dyDescent="0.4">
      <c r="A123" s="5">
        <v>46248.644895833335</v>
      </c>
      <c r="B123" s="1" t="s">
        <v>47</v>
      </c>
      <c r="C123" s="1" t="s">
        <v>12</v>
      </c>
      <c r="D123" s="6">
        <v>2</v>
      </c>
      <c r="E123" s="6">
        <v>3410</v>
      </c>
      <c r="F123" t="s">
        <v>9</v>
      </c>
    </row>
    <row r="124" spans="1:6" ht="15" hidden="1" thickBot="1" x14ac:dyDescent="0.4">
      <c r="A124" s="5">
        <v>46248.769108796296</v>
      </c>
      <c r="B124" s="1" t="s">
        <v>19</v>
      </c>
      <c r="C124" s="1" t="s">
        <v>12</v>
      </c>
      <c r="D124" s="6">
        <v>10</v>
      </c>
      <c r="E124" s="6">
        <v>2583</v>
      </c>
      <c r="F124" t="s">
        <v>9</v>
      </c>
    </row>
    <row r="125" spans="1:6" ht="15" hidden="1" thickBot="1" x14ac:dyDescent="0.4">
      <c r="A125" s="5">
        <v>46248.769120370373</v>
      </c>
      <c r="B125" s="1" t="s">
        <v>21</v>
      </c>
      <c r="C125" s="1" t="s">
        <v>12</v>
      </c>
      <c r="D125" s="6">
        <v>25</v>
      </c>
      <c r="E125" s="6">
        <v>336</v>
      </c>
      <c r="F125" t="s">
        <v>9</v>
      </c>
    </row>
    <row r="126" spans="1:6" ht="15" hidden="1" thickBot="1" x14ac:dyDescent="0.4">
      <c r="A126" s="5">
        <v>46248.769108796296</v>
      </c>
      <c r="B126" s="1" t="s">
        <v>16</v>
      </c>
      <c r="C126" s="1" t="s">
        <v>12</v>
      </c>
      <c r="D126" s="6">
        <v>40</v>
      </c>
      <c r="E126" s="6">
        <v>436</v>
      </c>
      <c r="F126" t="s">
        <v>9</v>
      </c>
    </row>
    <row r="127" spans="1:6" ht="15" hidden="1" thickBot="1" x14ac:dyDescent="0.4">
      <c r="A127" s="5">
        <v>46248.769120370373</v>
      </c>
      <c r="B127" s="1" t="s">
        <v>27</v>
      </c>
      <c r="C127" s="1" t="s">
        <v>12</v>
      </c>
      <c r="D127" s="6">
        <v>30</v>
      </c>
      <c r="E127" s="6">
        <v>286</v>
      </c>
      <c r="F127" t="s">
        <v>9</v>
      </c>
    </row>
    <row r="128" spans="1:6" ht="15" hidden="1" thickBot="1" x14ac:dyDescent="0.4">
      <c r="A128" s="5">
        <v>46247.645138888889</v>
      </c>
      <c r="B128" s="1" t="s">
        <v>74</v>
      </c>
      <c r="C128" s="1" t="s">
        <v>12</v>
      </c>
      <c r="D128" s="6">
        <v>5</v>
      </c>
      <c r="E128" s="6">
        <v>702</v>
      </c>
      <c r="F128" t="s">
        <v>9</v>
      </c>
    </row>
    <row r="129" spans="1:6" ht="15" hidden="1" thickBot="1" x14ac:dyDescent="0.4">
      <c r="A129" s="5">
        <v>46248.644895833335</v>
      </c>
      <c r="B129" s="1" t="s">
        <v>42</v>
      </c>
      <c r="C129" s="1" t="s">
        <v>12</v>
      </c>
      <c r="D129" s="6">
        <v>10</v>
      </c>
      <c r="E129" s="6">
        <v>1452</v>
      </c>
      <c r="F129" t="s">
        <v>9</v>
      </c>
    </row>
    <row r="130" spans="1:6" ht="15" hidden="1" thickBot="1" x14ac:dyDescent="0.4">
      <c r="A130" s="5">
        <v>46247.689583333333</v>
      </c>
      <c r="B130" s="1" t="s">
        <v>19</v>
      </c>
      <c r="C130" s="1" t="s">
        <v>12</v>
      </c>
      <c r="D130" s="6">
        <v>5</v>
      </c>
      <c r="E130" s="6">
        <v>2540</v>
      </c>
      <c r="F130" t="s">
        <v>9</v>
      </c>
    </row>
    <row r="131" spans="1:6" ht="15" hidden="1" thickBot="1" x14ac:dyDescent="0.4">
      <c r="A131" s="5">
        <v>46247.645138888889</v>
      </c>
      <c r="B131" s="1" t="s">
        <v>68</v>
      </c>
      <c r="C131" s="1" t="s">
        <v>12</v>
      </c>
      <c r="D131" s="6">
        <v>5</v>
      </c>
      <c r="E131" s="6">
        <v>3938</v>
      </c>
      <c r="F131" t="s">
        <v>9</v>
      </c>
    </row>
    <row r="132" spans="1:6" ht="15" hidden="1" thickBot="1" x14ac:dyDescent="0.4">
      <c r="A132" s="5">
        <v>46364.635416666664</v>
      </c>
      <c r="B132" s="1" t="s">
        <v>71</v>
      </c>
      <c r="C132" s="1" t="s">
        <v>12</v>
      </c>
      <c r="D132" s="6">
        <v>10</v>
      </c>
      <c r="E132" s="6">
        <v>220.1</v>
      </c>
      <c r="F132" t="s">
        <v>9</v>
      </c>
    </row>
    <row r="133" spans="1:6" ht="15" hidden="1" thickBot="1" x14ac:dyDescent="0.4">
      <c r="A133" s="7">
        <v>46248.769120370373</v>
      </c>
      <c r="B133" s="8" t="s">
        <v>23</v>
      </c>
      <c r="C133" s="8" t="s">
        <v>12</v>
      </c>
      <c r="D133" s="9">
        <v>150</v>
      </c>
      <c r="E133" s="9">
        <v>214</v>
      </c>
      <c r="F133" t="s">
        <v>9</v>
      </c>
    </row>
    <row r="134" spans="1:6" ht="15" hidden="1" thickBot="1" x14ac:dyDescent="0.4">
      <c r="A134" s="5">
        <v>46247.635416666664</v>
      </c>
      <c r="B134" s="1" t="s">
        <v>73</v>
      </c>
      <c r="C134" s="1" t="s">
        <v>12</v>
      </c>
      <c r="D134" s="6">
        <v>5</v>
      </c>
      <c r="E134" s="6">
        <v>2888</v>
      </c>
      <c r="F134" t="s">
        <v>9</v>
      </c>
    </row>
    <row r="135" spans="1:6" ht="15" hidden="1" thickBot="1" x14ac:dyDescent="0.4">
      <c r="A135" s="5">
        <v>46248.769120370373</v>
      </c>
      <c r="B135" s="1" t="s">
        <v>35</v>
      </c>
      <c r="C135" s="1" t="s">
        <v>12</v>
      </c>
      <c r="D135" s="6">
        <v>50</v>
      </c>
      <c r="E135" s="6">
        <v>201</v>
      </c>
      <c r="F135" t="s">
        <v>9</v>
      </c>
    </row>
    <row r="136" spans="1:6" ht="15" hidden="1" thickBot="1" x14ac:dyDescent="0.4">
      <c r="A136" s="5">
        <v>46248.635509259257</v>
      </c>
      <c r="B136" s="1" t="s">
        <v>44</v>
      </c>
      <c r="C136" s="1" t="s">
        <v>12</v>
      </c>
      <c r="D136" s="6">
        <v>10</v>
      </c>
      <c r="E136" s="6">
        <v>907</v>
      </c>
      <c r="F136" t="s">
        <v>9</v>
      </c>
    </row>
    <row r="137" spans="1:6" ht="15" hidden="1" thickBot="1" x14ac:dyDescent="0.4">
      <c r="A137" s="5">
        <v>46364.635416666664</v>
      </c>
      <c r="B137" s="1" t="s">
        <v>47</v>
      </c>
      <c r="C137" s="1" t="s">
        <v>12</v>
      </c>
      <c r="D137" s="6">
        <v>3</v>
      </c>
      <c r="E137" s="6">
        <v>3310</v>
      </c>
      <c r="F137" t="s">
        <v>9</v>
      </c>
    </row>
    <row r="138" spans="1:6" ht="15" hidden="1" thickBot="1" x14ac:dyDescent="0.4">
      <c r="A138" s="5">
        <v>46245.635416666664</v>
      </c>
      <c r="B138" s="1" t="s">
        <v>68</v>
      </c>
      <c r="C138" s="1" t="s">
        <v>12</v>
      </c>
      <c r="D138" s="6">
        <v>5</v>
      </c>
      <c r="E138" s="6">
        <v>3888</v>
      </c>
      <c r="F138" t="s">
        <v>9</v>
      </c>
    </row>
    <row r="139" spans="1:6" ht="15" hidden="1" thickBot="1" x14ac:dyDescent="0.4">
      <c r="A139" s="5">
        <v>46246.689583333333</v>
      </c>
      <c r="B139" s="1" t="s">
        <v>27</v>
      </c>
      <c r="C139" s="1" t="s">
        <v>12</v>
      </c>
      <c r="D139" s="6">
        <v>20</v>
      </c>
      <c r="E139" s="6">
        <v>281</v>
      </c>
      <c r="F139" t="s">
        <v>9</v>
      </c>
    </row>
    <row r="140" spans="1:6" ht="15" hidden="1" thickBot="1" x14ac:dyDescent="0.4">
      <c r="A140" s="5">
        <v>46248.769120370373</v>
      </c>
      <c r="B140" s="1" t="s">
        <v>23</v>
      </c>
      <c r="C140" s="1" t="s">
        <v>12</v>
      </c>
      <c r="D140" s="6">
        <v>50</v>
      </c>
      <c r="E140" s="6">
        <v>212</v>
      </c>
      <c r="F140" t="s">
        <v>9</v>
      </c>
    </row>
    <row r="141" spans="1:6" ht="15" hidden="1" thickBot="1" x14ac:dyDescent="0.4">
      <c r="A141" s="5">
        <v>46248.635555555556</v>
      </c>
      <c r="B141" s="1" t="s">
        <v>69</v>
      </c>
      <c r="C141" s="1" t="s">
        <v>12</v>
      </c>
      <c r="D141" s="6">
        <v>4</v>
      </c>
      <c r="E141" s="6">
        <v>4110</v>
      </c>
      <c r="F141" t="s">
        <v>9</v>
      </c>
    </row>
    <row r="142" spans="1:6" ht="15" hidden="1" thickBot="1" x14ac:dyDescent="0.4">
      <c r="A142" s="5">
        <v>46247.689583333333</v>
      </c>
      <c r="B142" s="1" t="s">
        <v>19</v>
      </c>
      <c r="C142" s="1" t="s">
        <v>12</v>
      </c>
      <c r="D142" s="6">
        <v>5</v>
      </c>
      <c r="E142" s="6">
        <v>2490</v>
      </c>
      <c r="F142" t="s">
        <v>9</v>
      </c>
    </row>
    <row r="143" spans="1:6" ht="15" hidden="1" thickBot="1" x14ac:dyDescent="0.4">
      <c r="A143" s="7">
        <v>46248.769120370373</v>
      </c>
      <c r="B143" s="8" t="s">
        <v>84</v>
      </c>
      <c r="C143" s="8" t="s">
        <v>12</v>
      </c>
      <c r="D143" s="9">
        <v>500</v>
      </c>
      <c r="E143" s="9">
        <v>33.159999999999997</v>
      </c>
      <c r="F143" t="s">
        <v>9</v>
      </c>
    </row>
    <row r="144" spans="1:6" ht="15" hidden="1" thickBot="1" x14ac:dyDescent="0.4">
      <c r="A144" s="5">
        <v>46246.689583333333</v>
      </c>
      <c r="B144" s="1" t="s">
        <v>33</v>
      </c>
      <c r="C144" s="1" t="s">
        <v>12</v>
      </c>
      <c r="D144" s="6">
        <v>50</v>
      </c>
      <c r="E144" s="6">
        <v>119</v>
      </c>
      <c r="F144" t="s">
        <v>9</v>
      </c>
    </row>
    <row r="145" spans="1:6" ht="15" hidden="1" thickBot="1" x14ac:dyDescent="0.4">
      <c r="A145" s="10" t="s">
        <v>85</v>
      </c>
      <c r="B145" s="1" t="s">
        <v>68</v>
      </c>
      <c r="C145" s="1" t="s">
        <v>12</v>
      </c>
      <c r="D145" s="6">
        <v>2</v>
      </c>
      <c r="E145" s="6">
        <v>3856</v>
      </c>
      <c r="F145" t="s">
        <v>9</v>
      </c>
    </row>
    <row r="146" spans="1:6" ht="15" hidden="1" thickBot="1" x14ac:dyDescent="0.4">
      <c r="A146" s="5">
        <v>46246.635416666664</v>
      </c>
      <c r="B146" s="1" t="s">
        <v>65</v>
      </c>
      <c r="C146" s="1" t="s">
        <v>12</v>
      </c>
      <c r="D146" s="6">
        <v>69</v>
      </c>
      <c r="E146" s="6">
        <v>1277</v>
      </c>
      <c r="F146" t="s">
        <v>9</v>
      </c>
    </row>
    <row r="147" spans="1:6" ht="15" hidden="1" thickBot="1" x14ac:dyDescent="0.4">
      <c r="A147" s="5">
        <v>46241.76458333333</v>
      </c>
      <c r="B147" s="1" t="s">
        <v>86</v>
      </c>
      <c r="C147" s="1" t="s">
        <v>12</v>
      </c>
      <c r="D147" s="6">
        <v>25</v>
      </c>
      <c r="E147" s="6">
        <v>196</v>
      </c>
      <c r="F147" t="s">
        <v>9</v>
      </c>
    </row>
    <row r="148" spans="1:6" ht="15" hidden="1" thickBot="1" x14ac:dyDescent="0.4">
      <c r="A148" s="5">
        <v>46364.689583333333</v>
      </c>
      <c r="B148" s="1" t="s">
        <v>19</v>
      </c>
      <c r="C148" s="1" t="s">
        <v>12</v>
      </c>
      <c r="D148" s="6">
        <v>5</v>
      </c>
      <c r="E148" s="6">
        <v>2470</v>
      </c>
      <c r="F148" t="s">
        <v>9</v>
      </c>
    </row>
    <row r="149" spans="1:6" ht="15" hidden="1" thickBot="1" x14ac:dyDescent="0.4">
      <c r="A149" s="10" t="s">
        <v>85</v>
      </c>
      <c r="B149" s="1" t="s">
        <v>68</v>
      </c>
      <c r="C149" s="1" t="s">
        <v>12</v>
      </c>
      <c r="D149" s="6">
        <v>2</v>
      </c>
      <c r="E149" s="6">
        <v>3830</v>
      </c>
      <c r="F149" t="s">
        <v>9</v>
      </c>
    </row>
    <row r="150" spans="1:6" ht="15" hidden="1" thickBot="1" x14ac:dyDescent="0.4">
      <c r="A150" s="5">
        <v>46211.6875</v>
      </c>
      <c r="B150" s="1" t="s">
        <v>32</v>
      </c>
      <c r="C150" s="1" t="s">
        <v>12</v>
      </c>
      <c r="D150" s="6">
        <v>10</v>
      </c>
      <c r="E150" s="6">
        <v>640</v>
      </c>
      <c r="F150" t="s">
        <v>9</v>
      </c>
    </row>
    <row r="151" spans="1:6" ht="15" hidden="1" thickBot="1" x14ac:dyDescent="0.4">
      <c r="A151" s="5">
        <v>46247.635416666664</v>
      </c>
      <c r="B151" s="1" t="s">
        <v>64</v>
      </c>
      <c r="C151" s="1" t="s">
        <v>12</v>
      </c>
      <c r="D151" s="6">
        <v>15</v>
      </c>
      <c r="E151" s="6">
        <v>1005</v>
      </c>
      <c r="F151" t="s">
        <v>9</v>
      </c>
    </row>
    <row r="152" spans="1:6" ht="15" hidden="1" thickBot="1" x14ac:dyDescent="0.4">
      <c r="A152" s="5">
        <v>46246.635416666664</v>
      </c>
      <c r="B152" s="1" t="s">
        <v>52</v>
      </c>
      <c r="C152" s="1" t="s">
        <v>12</v>
      </c>
      <c r="D152" s="6">
        <v>5</v>
      </c>
      <c r="E152" s="6">
        <v>838</v>
      </c>
      <c r="F152" t="s">
        <v>9</v>
      </c>
    </row>
    <row r="153" spans="1:6" ht="15" hidden="1" thickBot="1" x14ac:dyDescent="0.4">
      <c r="A153" s="5">
        <v>46247.689583333333</v>
      </c>
      <c r="B153" s="1" t="s">
        <v>19</v>
      </c>
      <c r="C153" s="1" t="s">
        <v>12</v>
      </c>
      <c r="D153" s="6">
        <v>30</v>
      </c>
      <c r="E153" s="6">
        <v>2460</v>
      </c>
      <c r="F153" t="s">
        <v>9</v>
      </c>
    </row>
    <row r="154" spans="1:6" ht="15" hidden="1" thickBot="1" x14ac:dyDescent="0.4">
      <c r="A154" s="5">
        <v>46248.769120370373</v>
      </c>
      <c r="B154" s="1" t="s">
        <v>11</v>
      </c>
      <c r="C154" s="1" t="s">
        <v>12</v>
      </c>
      <c r="D154" s="6">
        <v>3</v>
      </c>
      <c r="E154" s="6">
        <v>4710</v>
      </c>
      <c r="F154" t="s">
        <v>9</v>
      </c>
    </row>
    <row r="155" spans="1:6" ht="15" hidden="1" thickBot="1" x14ac:dyDescent="0.4">
      <c r="A155" s="5">
        <v>46248.63553240741</v>
      </c>
      <c r="B155" s="1" t="s">
        <v>87</v>
      </c>
      <c r="C155" s="1" t="s">
        <v>12</v>
      </c>
      <c r="D155" s="6">
        <v>1</v>
      </c>
      <c r="E155" s="6">
        <v>2752</v>
      </c>
      <c r="F155" t="s">
        <v>9</v>
      </c>
    </row>
    <row r="156" spans="1:6" ht="15" hidden="1" thickBot="1" x14ac:dyDescent="0.4">
      <c r="A156" s="5">
        <v>46247.689583333333</v>
      </c>
      <c r="B156" s="1" t="s">
        <v>35</v>
      </c>
      <c r="C156" s="1" t="s">
        <v>12</v>
      </c>
      <c r="D156" s="6">
        <v>50</v>
      </c>
      <c r="E156" s="6">
        <v>196</v>
      </c>
      <c r="F156" t="s">
        <v>9</v>
      </c>
    </row>
    <row r="157" spans="1:6" ht="15" hidden="1" thickBot="1" x14ac:dyDescent="0.4">
      <c r="A157" s="5">
        <v>46248.635567129626</v>
      </c>
      <c r="B157" s="1" t="s">
        <v>52</v>
      </c>
      <c r="C157" s="1" t="s">
        <v>12</v>
      </c>
      <c r="D157" s="6">
        <v>25</v>
      </c>
      <c r="E157" s="6">
        <v>836</v>
      </c>
      <c r="F157" t="s">
        <v>9</v>
      </c>
    </row>
    <row r="158" spans="1:6" ht="15" hidden="1" thickBot="1" x14ac:dyDescent="0.4">
      <c r="A158" s="10" t="s">
        <v>85</v>
      </c>
      <c r="B158" s="1" t="s">
        <v>68</v>
      </c>
      <c r="C158" s="1" t="s">
        <v>12</v>
      </c>
      <c r="D158" s="6">
        <v>3</v>
      </c>
      <c r="E158" s="6">
        <v>3810</v>
      </c>
      <c r="F158" t="s">
        <v>9</v>
      </c>
    </row>
    <row r="159" spans="1:6" ht="15" hidden="1" thickBot="1" x14ac:dyDescent="0.4">
      <c r="A159" s="5">
        <v>46239.635416666664</v>
      </c>
      <c r="B159" s="1" t="s">
        <v>44</v>
      </c>
      <c r="C159" s="1" t="s">
        <v>12</v>
      </c>
      <c r="D159" s="6">
        <v>40</v>
      </c>
      <c r="E159" s="6">
        <v>878</v>
      </c>
      <c r="F159" t="s">
        <v>9</v>
      </c>
    </row>
    <row r="160" spans="1:6" ht="15" hidden="1" thickBot="1" x14ac:dyDescent="0.4">
      <c r="A160" s="5">
        <v>46334.692361111112</v>
      </c>
      <c r="B160" s="1" t="s">
        <v>37</v>
      </c>
      <c r="C160" s="1" t="s">
        <v>12</v>
      </c>
      <c r="D160" s="6">
        <v>11</v>
      </c>
      <c r="E160" s="6">
        <v>882</v>
      </c>
      <c r="F160" t="s">
        <v>9</v>
      </c>
    </row>
    <row r="161" spans="1:6" ht="15" hidden="1" thickBot="1" x14ac:dyDescent="0.4">
      <c r="A161" s="5">
        <v>46247.689583333333</v>
      </c>
      <c r="B161" s="1" t="s">
        <v>19</v>
      </c>
      <c r="C161" s="1" t="s">
        <v>12</v>
      </c>
      <c r="D161" s="6">
        <v>30</v>
      </c>
      <c r="E161" s="6">
        <v>2435</v>
      </c>
      <c r="F161" t="s">
        <v>9</v>
      </c>
    </row>
    <row r="162" spans="1:6" ht="15" hidden="1" thickBot="1" x14ac:dyDescent="0.4">
      <c r="A162" s="5">
        <v>46241.6875</v>
      </c>
      <c r="B162" s="1" t="s">
        <v>23</v>
      </c>
      <c r="C162" s="1" t="s">
        <v>12</v>
      </c>
      <c r="D162" s="6">
        <v>50</v>
      </c>
      <c r="E162" s="6">
        <v>206</v>
      </c>
      <c r="F162" t="s">
        <v>9</v>
      </c>
    </row>
    <row r="163" spans="1:6" ht="15" hidden="1" thickBot="1" x14ac:dyDescent="0.4">
      <c r="A163" s="5">
        <v>46245.693055555559</v>
      </c>
      <c r="B163" s="1" t="s">
        <v>18</v>
      </c>
      <c r="C163" s="1" t="s">
        <v>12</v>
      </c>
      <c r="D163" s="6">
        <v>100</v>
      </c>
      <c r="E163" s="6">
        <v>322</v>
      </c>
      <c r="F163" t="s">
        <v>9</v>
      </c>
    </row>
    <row r="164" spans="1:6" ht="15" hidden="1" thickBot="1" x14ac:dyDescent="0.4">
      <c r="A164" s="10" t="s">
        <v>85</v>
      </c>
      <c r="B164" s="1" t="s">
        <v>69</v>
      </c>
      <c r="C164" s="1" t="s">
        <v>12</v>
      </c>
      <c r="D164" s="6">
        <v>2</v>
      </c>
      <c r="E164" s="6">
        <v>4010</v>
      </c>
      <c r="F164" t="s">
        <v>9</v>
      </c>
    </row>
    <row r="165" spans="1:6" ht="15" hidden="1" thickBot="1" x14ac:dyDescent="0.4">
      <c r="A165" s="5">
        <v>46247.635416666664</v>
      </c>
      <c r="B165" s="1" t="s">
        <v>60</v>
      </c>
      <c r="C165" s="1" t="s">
        <v>12</v>
      </c>
      <c r="D165" s="6">
        <v>1</v>
      </c>
      <c r="E165" s="6">
        <v>18552</v>
      </c>
      <c r="F165" t="s">
        <v>9</v>
      </c>
    </row>
    <row r="166" spans="1:6" ht="15" hidden="1" thickBot="1" x14ac:dyDescent="0.4">
      <c r="A166" s="10" t="s">
        <v>85</v>
      </c>
      <c r="B166" s="1" t="s">
        <v>68</v>
      </c>
      <c r="C166" s="1" t="s">
        <v>12</v>
      </c>
      <c r="D166" s="6">
        <v>2</v>
      </c>
      <c r="E166" s="6">
        <v>3760</v>
      </c>
      <c r="F166" t="s">
        <v>9</v>
      </c>
    </row>
    <row r="167" spans="1:6" ht="15" hidden="1" thickBot="1" x14ac:dyDescent="0.4">
      <c r="A167" s="5">
        <v>46245.693055555559</v>
      </c>
      <c r="B167" s="1" t="s">
        <v>33</v>
      </c>
      <c r="C167" s="1" t="s">
        <v>12</v>
      </c>
      <c r="D167" s="6">
        <v>50</v>
      </c>
      <c r="E167" s="6">
        <v>116</v>
      </c>
      <c r="F167" t="s">
        <v>9</v>
      </c>
    </row>
    <row r="168" spans="1:6" ht="15" hidden="1" thickBot="1" x14ac:dyDescent="0.4">
      <c r="A168" s="5">
        <v>46364.635416666664</v>
      </c>
      <c r="B168" s="1" t="s">
        <v>62</v>
      </c>
      <c r="C168" s="1" t="s">
        <v>12</v>
      </c>
      <c r="D168" s="6">
        <v>1</v>
      </c>
      <c r="E168" s="6">
        <v>13052</v>
      </c>
      <c r="F168" t="s">
        <v>9</v>
      </c>
    </row>
    <row r="169" spans="1:6" ht="15" hidden="1" thickBot="1" x14ac:dyDescent="0.4">
      <c r="A169" s="5">
        <v>46245.693055555559</v>
      </c>
      <c r="B169" s="1" t="s">
        <v>33</v>
      </c>
      <c r="C169" s="1" t="s">
        <v>12</v>
      </c>
      <c r="D169" s="6">
        <v>200</v>
      </c>
      <c r="E169" s="6">
        <v>115.25</v>
      </c>
      <c r="F169" t="s">
        <v>9</v>
      </c>
    </row>
    <row r="170" spans="1:6" ht="15" hidden="1" thickBot="1" x14ac:dyDescent="0.4">
      <c r="A170" s="5">
        <v>46246.635416666664</v>
      </c>
      <c r="B170" s="1" t="s">
        <v>54</v>
      </c>
      <c r="C170" s="1" t="s">
        <v>12</v>
      </c>
      <c r="D170" s="6">
        <v>8</v>
      </c>
      <c r="E170" s="6">
        <v>2370</v>
      </c>
      <c r="F170" t="s">
        <v>9</v>
      </c>
    </row>
    <row r="171" spans="1:6" ht="15" hidden="1" thickBot="1" x14ac:dyDescent="0.4">
      <c r="A171" s="5">
        <v>46241.765277777777</v>
      </c>
      <c r="B171" s="1" t="s">
        <v>88</v>
      </c>
      <c r="C171" s="1" t="s">
        <v>12</v>
      </c>
      <c r="D171" s="6">
        <v>4</v>
      </c>
      <c r="E171" s="6">
        <v>1751</v>
      </c>
      <c r="F171" t="s">
        <v>9</v>
      </c>
    </row>
    <row r="172" spans="1:6" ht="15" hidden="1" thickBot="1" x14ac:dyDescent="0.4">
      <c r="A172" s="5">
        <v>46246.635416666664</v>
      </c>
      <c r="B172" s="1" t="s">
        <v>56</v>
      </c>
      <c r="C172" s="1" t="s">
        <v>12</v>
      </c>
      <c r="D172" s="6">
        <v>10</v>
      </c>
      <c r="E172" s="6">
        <v>1132</v>
      </c>
      <c r="F172" t="s">
        <v>9</v>
      </c>
    </row>
    <row r="173" spans="1:6" ht="15" hidden="1" thickBot="1" x14ac:dyDescent="0.4">
      <c r="A173" s="5">
        <v>46246.635416666664</v>
      </c>
      <c r="B173" s="1" t="s">
        <v>51</v>
      </c>
      <c r="C173" s="1" t="s">
        <v>12</v>
      </c>
      <c r="D173" s="6">
        <v>10</v>
      </c>
      <c r="E173" s="6">
        <v>1280</v>
      </c>
      <c r="F173" t="s">
        <v>9</v>
      </c>
    </row>
    <row r="174" spans="1:6" ht="15" hidden="1" thickBot="1" x14ac:dyDescent="0.4">
      <c r="A174" s="5">
        <v>46246.644444444442</v>
      </c>
      <c r="B174" s="1" t="s">
        <v>44</v>
      </c>
      <c r="C174" s="1" t="s">
        <v>12</v>
      </c>
      <c r="D174" s="6">
        <v>40</v>
      </c>
      <c r="E174" s="6">
        <v>862</v>
      </c>
      <c r="F174" t="s">
        <v>9</v>
      </c>
    </row>
    <row r="175" spans="1:6" ht="15" hidden="1" thickBot="1" x14ac:dyDescent="0.4">
      <c r="A175" s="5">
        <v>46241.6875</v>
      </c>
      <c r="B175" s="1" t="s">
        <v>32</v>
      </c>
      <c r="C175" s="1" t="s">
        <v>12</v>
      </c>
      <c r="D175" s="6">
        <v>20</v>
      </c>
      <c r="E175" s="6">
        <v>620</v>
      </c>
      <c r="F175" t="s">
        <v>9</v>
      </c>
    </row>
    <row r="176" spans="1:6" ht="15" hidden="1" thickBot="1" x14ac:dyDescent="0.4">
      <c r="A176" s="5">
        <v>46240.6875</v>
      </c>
      <c r="B176" s="1" t="s">
        <v>32</v>
      </c>
      <c r="C176" s="1" t="s">
        <v>12</v>
      </c>
      <c r="D176" s="6">
        <v>30</v>
      </c>
      <c r="E176" s="6">
        <v>620</v>
      </c>
      <c r="F176" t="s">
        <v>9</v>
      </c>
    </row>
    <row r="177" spans="1:6" ht="15" hidden="1" thickBot="1" x14ac:dyDescent="0.4">
      <c r="A177" s="10" t="s">
        <v>85</v>
      </c>
      <c r="B177" s="1" t="s">
        <v>52</v>
      </c>
      <c r="C177" s="1" t="s">
        <v>12</v>
      </c>
      <c r="D177" s="6">
        <v>5</v>
      </c>
      <c r="E177" s="6">
        <v>812</v>
      </c>
      <c r="F177" t="s">
        <v>9</v>
      </c>
    </row>
    <row r="178" spans="1:6" ht="15" hidden="1" thickBot="1" x14ac:dyDescent="0.4">
      <c r="A178" s="5">
        <v>46334.635416666664</v>
      </c>
      <c r="B178" s="1" t="s">
        <v>87</v>
      </c>
      <c r="C178" s="1" t="s">
        <v>12</v>
      </c>
      <c r="D178" s="6">
        <v>2</v>
      </c>
      <c r="E178" s="6">
        <v>2660</v>
      </c>
      <c r="F178" t="s">
        <v>9</v>
      </c>
    </row>
    <row r="179" spans="1:6" ht="15" hidden="1" thickBot="1" x14ac:dyDescent="0.4">
      <c r="A179" s="5">
        <v>46211.635416666664</v>
      </c>
      <c r="B179" s="1" t="s">
        <v>53</v>
      </c>
      <c r="C179" s="1" t="s">
        <v>12</v>
      </c>
      <c r="D179" s="6">
        <v>1</v>
      </c>
      <c r="E179" s="6">
        <v>4560</v>
      </c>
      <c r="F179" t="s">
        <v>9</v>
      </c>
    </row>
    <row r="180" spans="1:6" ht="15" hidden="1" thickBot="1" x14ac:dyDescent="0.4">
      <c r="A180" s="5">
        <v>46334.692361111112</v>
      </c>
      <c r="B180" s="1" t="s">
        <v>37</v>
      </c>
      <c r="C180" s="1" t="s">
        <v>12</v>
      </c>
      <c r="D180" s="6">
        <v>30</v>
      </c>
      <c r="E180" s="6">
        <v>860</v>
      </c>
      <c r="F180" t="s">
        <v>9</v>
      </c>
    </row>
    <row r="181" spans="1:6" ht="15" hidden="1" thickBot="1" x14ac:dyDescent="0.4">
      <c r="A181" s="5">
        <v>46248.770914351851</v>
      </c>
      <c r="B181" s="1" t="s">
        <v>14</v>
      </c>
      <c r="C181" s="1" t="s">
        <v>12</v>
      </c>
      <c r="D181" s="6">
        <v>5</v>
      </c>
      <c r="E181" s="6">
        <v>604</v>
      </c>
      <c r="F181" t="s">
        <v>9</v>
      </c>
    </row>
    <row r="182" spans="1:6" ht="15" hidden="1" thickBot="1" x14ac:dyDescent="0.4">
      <c r="A182" s="10" t="s">
        <v>85</v>
      </c>
      <c r="B182" s="1" t="s">
        <v>89</v>
      </c>
      <c r="C182" s="1" t="s">
        <v>12</v>
      </c>
      <c r="D182" s="6">
        <v>1</v>
      </c>
      <c r="E182" s="6">
        <v>6920</v>
      </c>
      <c r="F182" t="s">
        <v>9</v>
      </c>
    </row>
    <row r="183" spans="1:6" ht="15" hidden="1" thickBot="1" x14ac:dyDescent="0.4">
      <c r="A183" s="5">
        <v>46247.635416666664</v>
      </c>
      <c r="B183" s="1" t="s">
        <v>60</v>
      </c>
      <c r="C183" s="1" t="s">
        <v>12</v>
      </c>
      <c r="D183" s="6">
        <v>1</v>
      </c>
      <c r="E183" s="6">
        <v>18052</v>
      </c>
      <c r="F183" t="s">
        <v>9</v>
      </c>
    </row>
    <row r="184" spans="1:6" ht="15" hidden="1" thickBot="1" x14ac:dyDescent="0.4">
      <c r="A184" s="5">
        <v>46246.635416666664</v>
      </c>
      <c r="B184" s="1" t="s">
        <v>51</v>
      </c>
      <c r="C184" s="1" t="s">
        <v>12</v>
      </c>
      <c r="D184" s="6">
        <v>10</v>
      </c>
      <c r="E184" s="6">
        <v>1260</v>
      </c>
      <c r="F184" t="s">
        <v>9</v>
      </c>
    </row>
    <row r="185" spans="1:6" ht="15" hidden="1" thickBot="1" x14ac:dyDescent="0.4">
      <c r="A185" s="5">
        <v>46334.692361111112</v>
      </c>
      <c r="B185" s="1" t="s">
        <v>37</v>
      </c>
      <c r="C185" s="1" t="s">
        <v>12</v>
      </c>
      <c r="D185" s="6">
        <v>5</v>
      </c>
      <c r="E185" s="6">
        <v>852</v>
      </c>
      <c r="F185" t="s">
        <v>9</v>
      </c>
    </row>
    <row r="186" spans="1:6" ht="15" hidden="1" thickBot="1" x14ac:dyDescent="0.4">
      <c r="A186" s="5">
        <v>46246.635416666664</v>
      </c>
      <c r="B186" s="1" t="s">
        <v>51</v>
      </c>
      <c r="C186" s="1" t="s">
        <v>12</v>
      </c>
      <c r="D186" s="6">
        <v>10</v>
      </c>
      <c r="E186" s="6">
        <v>1251</v>
      </c>
      <c r="F186" t="s">
        <v>9</v>
      </c>
    </row>
    <row r="187" spans="1:6" ht="15" hidden="1" thickBot="1" x14ac:dyDescent="0.4">
      <c r="A187" s="5">
        <v>46246.689583333333</v>
      </c>
      <c r="B187" s="1" t="s">
        <v>84</v>
      </c>
      <c r="C187" s="1" t="s">
        <v>12</v>
      </c>
      <c r="D187" s="6">
        <v>200</v>
      </c>
      <c r="E187" s="6">
        <v>31.01</v>
      </c>
      <c r="F187" t="s">
        <v>9</v>
      </c>
    </row>
    <row r="188" spans="1:6" ht="15" hidden="1" thickBot="1" x14ac:dyDescent="0.4">
      <c r="A188" s="5">
        <v>46240.635416666664</v>
      </c>
      <c r="B188" s="1" t="s">
        <v>53</v>
      </c>
      <c r="C188" s="1" t="s">
        <v>12</v>
      </c>
      <c r="D188" s="6">
        <v>2</v>
      </c>
      <c r="E188" s="6">
        <v>4456</v>
      </c>
      <c r="F188" t="s">
        <v>9</v>
      </c>
    </row>
    <row r="189" spans="1:6" ht="15" hidden="1" thickBot="1" x14ac:dyDescent="0.4">
      <c r="A189" s="5">
        <v>46181.6875</v>
      </c>
      <c r="B189" s="1" t="s">
        <v>33</v>
      </c>
      <c r="C189" s="1" t="s">
        <v>12</v>
      </c>
      <c r="D189" s="6">
        <v>100</v>
      </c>
      <c r="E189" s="6">
        <v>111</v>
      </c>
      <c r="F189" t="s">
        <v>9</v>
      </c>
    </row>
    <row r="190" spans="1:6" ht="15" hidden="1" thickBot="1" x14ac:dyDescent="0.4">
      <c r="A190" s="10" t="s">
        <v>85</v>
      </c>
      <c r="B190" s="1" t="s">
        <v>30</v>
      </c>
      <c r="C190" s="1" t="s">
        <v>12</v>
      </c>
      <c r="D190" s="6">
        <v>10</v>
      </c>
      <c r="E190" s="6">
        <v>251</v>
      </c>
      <c r="F190" t="s">
        <v>9</v>
      </c>
    </row>
    <row r="191" spans="1:6" ht="15" hidden="1" thickBot="1" x14ac:dyDescent="0.4">
      <c r="A191" s="10" t="s">
        <v>85</v>
      </c>
      <c r="B191" s="1" t="s">
        <v>90</v>
      </c>
      <c r="C191" s="1" t="s">
        <v>12</v>
      </c>
      <c r="D191" s="6">
        <v>4</v>
      </c>
      <c r="E191" s="6">
        <v>701</v>
      </c>
      <c r="F191" t="s">
        <v>9</v>
      </c>
    </row>
    <row r="192" spans="1:6" ht="15" hidden="1" thickBot="1" x14ac:dyDescent="0.4">
      <c r="A192" s="5">
        <v>46241.6875</v>
      </c>
      <c r="B192" s="1" t="s">
        <v>11</v>
      </c>
      <c r="C192" s="1" t="s">
        <v>12</v>
      </c>
      <c r="D192" s="6">
        <v>2</v>
      </c>
      <c r="E192" s="6">
        <v>4410</v>
      </c>
      <c r="F192" t="s">
        <v>9</v>
      </c>
    </row>
    <row r="193" spans="1:6" ht="15" hidden="1" thickBot="1" x14ac:dyDescent="0.4">
      <c r="A193" s="5">
        <v>46239.788888888892</v>
      </c>
      <c r="B193" s="1" t="s">
        <v>28</v>
      </c>
      <c r="C193" s="1" t="s">
        <v>12</v>
      </c>
      <c r="D193" s="6">
        <v>5</v>
      </c>
      <c r="E193" s="6">
        <v>419</v>
      </c>
      <c r="F193" t="s">
        <v>9</v>
      </c>
    </row>
    <row r="194" spans="1:6" ht="15" hidden="1" thickBot="1" x14ac:dyDescent="0.4">
      <c r="A194" s="5">
        <v>46150.635416666664</v>
      </c>
      <c r="B194" s="1" t="s">
        <v>53</v>
      </c>
      <c r="C194" s="1" t="s">
        <v>12</v>
      </c>
      <c r="D194" s="6">
        <v>15</v>
      </c>
      <c r="E194" s="6">
        <v>4415</v>
      </c>
      <c r="F194" t="s">
        <v>9</v>
      </c>
    </row>
    <row r="195" spans="1:6" ht="15" hidden="1" thickBot="1" x14ac:dyDescent="0.4">
      <c r="A195" s="5">
        <v>46244.635416666664</v>
      </c>
      <c r="B195" s="1" t="s">
        <v>87</v>
      </c>
      <c r="C195" s="1" t="s">
        <v>12</v>
      </c>
      <c r="D195" s="6">
        <v>2</v>
      </c>
      <c r="E195" s="6">
        <v>2560</v>
      </c>
      <c r="F195" t="s">
        <v>9</v>
      </c>
    </row>
    <row r="196" spans="1:6" ht="15" hidden="1" thickBot="1" x14ac:dyDescent="0.4">
      <c r="A196" s="10" t="s">
        <v>85</v>
      </c>
      <c r="B196" s="1" t="s">
        <v>11</v>
      </c>
      <c r="C196" s="1" t="s">
        <v>12</v>
      </c>
      <c r="D196" s="6">
        <v>1</v>
      </c>
      <c r="E196" s="6">
        <v>4364</v>
      </c>
      <c r="F196" t="s">
        <v>9</v>
      </c>
    </row>
    <row r="197" spans="1:6" ht="15" hidden="1" thickBot="1" x14ac:dyDescent="0.4">
      <c r="A197" s="5">
        <v>46240.6875</v>
      </c>
      <c r="B197" s="1" t="s">
        <v>22</v>
      </c>
      <c r="C197" s="1" t="s">
        <v>12</v>
      </c>
      <c r="D197" s="6">
        <v>5</v>
      </c>
      <c r="E197" s="6">
        <v>1614</v>
      </c>
      <c r="F197" t="s">
        <v>9</v>
      </c>
    </row>
    <row r="198" spans="1:6" ht="15" hidden="1" thickBot="1" x14ac:dyDescent="0.4">
      <c r="A198" s="5">
        <v>46150.789583333331</v>
      </c>
      <c r="B198" s="1" t="s">
        <v>91</v>
      </c>
      <c r="C198" s="1" t="s">
        <v>12</v>
      </c>
      <c r="D198" s="6">
        <v>7</v>
      </c>
      <c r="E198" s="6">
        <v>411</v>
      </c>
      <c r="F198" t="s">
        <v>9</v>
      </c>
    </row>
    <row r="199" spans="1:6" ht="15" hidden="1" thickBot="1" x14ac:dyDescent="0.4">
      <c r="A199" s="10" t="s">
        <v>85</v>
      </c>
      <c r="B199" s="1" t="s">
        <v>28</v>
      </c>
      <c r="C199" s="1" t="s">
        <v>12</v>
      </c>
      <c r="D199" s="6">
        <v>29</v>
      </c>
      <c r="E199" s="6">
        <v>401</v>
      </c>
      <c r="F199" t="s">
        <v>9</v>
      </c>
    </row>
    <row r="200" spans="1:6" ht="15" hidden="1" thickBot="1" x14ac:dyDescent="0.4">
      <c r="A200" s="10" t="s">
        <v>85</v>
      </c>
      <c r="B200" s="1" t="s">
        <v>11</v>
      </c>
      <c r="C200" s="1" t="s">
        <v>12</v>
      </c>
      <c r="D200" s="6">
        <v>1</v>
      </c>
      <c r="E200" s="6">
        <v>4164</v>
      </c>
      <c r="F200" t="s">
        <v>9</v>
      </c>
    </row>
    <row r="201" spans="1:6" ht="15" hidden="1" thickBot="1" x14ac:dyDescent="0.4">
      <c r="A201" s="10" t="s">
        <v>85</v>
      </c>
      <c r="B201" s="1" t="s">
        <v>11</v>
      </c>
      <c r="C201" s="1" t="s">
        <v>12</v>
      </c>
      <c r="D201" s="6">
        <v>1</v>
      </c>
      <c r="E201" s="6">
        <v>4014</v>
      </c>
      <c r="F201" t="s">
        <v>9</v>
      </c>
    </row>
    <row r="202" spans="1:6" ht="15" hidden="1" thickBot="1" x14ac:dyDescent="0.4">
      <c r="A202" s="10" t="s">
        <v>85</v>
      </c>
      <c r="B202" s="1" t="s">
        <v>11</v>
      </c>
      <c r="C202" s="1" t="s">
        <v>12</v>
      </c>
      <c r="D202" s="6">
        <v>1</v>
      </c>
      <c r="E202" s="6">
        <v>3914</v>
      </c>
      <c r="F202" t="s">
        <v>9</v>
      </c>
    </row>
    <row r="203" spans="1:6" ht="29.5" hidden="1" thickBot="1" x14ac:dyDescent="0.4">
      <c r="A203" s="5">
        <v>46244.767361111109</v>
      </c>
      <c r="B203" s="1" t="s">
        <v>92</v>
      </c>
      <c r="C203" s="1" t="s">
        <v>12</v>
      </c>
      <c r="D203" s="6">
        <v>2</v>
      </c>
      <c r="E203" s="6">
        <v>660</v>
      </c>
      <c r="F203" t="s">
        <v>9</v>
      </c>
    </row>
    <row r="204" spans="1:6" ht="15" hidden="1" thickBot="1" x14ac:dyDescent="0.4">
      <c r="A204" s="5">
        <v>46248.635509259257</v>
      </c>
      <c r="B204" s="1" t="s">
        <v>44</v>
      </c>
      <c r="C204" s="1" t="s">
        <v>8</v>
      </c>
      <c r="D204" s="6">
        <v>10</v>
      </c>
      <c r="E204" s="6">
        <v>947</v>
      </c>
      <c r="F204" t="s">
        <v>9</v>
      </c>
    </row>
    <row r="205" spans="1:6" ht="15" hidden="1" thickBot="1" x14ac:dyDescent="0.4">
      <c r="A205" s="5">
        <v>46248.644837962966</v>
      </c>
      <c r="B205" s="1" t="s">
        <v>52</v>
      </c>
      <c r="C205" s="1" t="s">
        <v>8</v>
      </c>
      <c r="D205" s="6">
        <v>20</v>
      </c>
      <c r="E205" s="6">
        <v>896</v>
      </c>
      <c r="F205" t="s">
        <v>9</v>
      </c>
    </row>
    <row r="206" spans="1:6" ht="15" hidden="1" thickBot="1" x14ac:dyDescent="0.4">
      <c r="A206" s="5">
        <v>46248.769108796296</v>
      </c>
      <c r="B206" s="1" t="s">
        <v>23</v>
      </c>
      <c r="C206" s="1" t="s">
        <v>8</v>
      </c>
      <c r="D206" s="6">
        <v>100</v>
      </c>
      <c r="E206" s="6">
        <v>223</v>
      </c>
      <c r="F206" t="s">
        <v>9</v>
      </c>
    </row>
    <row r="207" spans="1:6" ht="15" hidden="1" thickBot="1" x14ac:dyDescent="0.4">
      <c r="A207" s="5">
        <v>46248.644872685189</v>
      </c>
      <c r="B207" s="1" t="s">
        <v>44</v>
      </c>
      <c r="C207" s="1" t="s">
        <v>8</v>
      </c>
      <c r="D207" s="6">
        <v>10</v>
      </c>
      <c r="E207" s="6">
        <v>957</v>
      </c>
      <c r="F207" t="s">
        <v>9</v>
      </c>
    </row>
    <row r="208" spans="1:6" ht="15" hidden="1" thickBot="1" x14ac:dyDescent="0.4">
      <c r="A208" s="5">
        <v>46248.769108796296</v>
      </c>
      <c r="B208" s="1" t="s">
        <v>18</v>
      </c>
      <c r="C208" s="1" t="s">
        <v>8</v>
      </c>
      <c r="D208" s="6">
        <v>50</v>
      </c>
      <c r="E208" s="6">
        <v>353</v>
      </c>
      <c r="F208" t="s">
        <v>9</v>
      </c>
    </row>
    <row r="209" spans="1:6" ht="15" hidden="1" thickBot="1" x14ac:dyDescent="0.4">
      <c r="A209" s="5">
        <v>46248.771122685182</v>
      </c>
      <c r="B209" s="1" t="s">
        <v>18</v>
      </c>
      <c r="C209" s="1" t="s">
        <v>8</v>
      </c>
      <c r="D209" s="6">
        <v>50</v>
      </c>
      <c r="E209" s="6">
        <v>357</v>
      </c>
      <c r="F209" t="s">
        <v>9</v>
      </c>
    </row>
    <row r="210" spans="1:6" ht="15" hidden="1" thickBot="1" x14ac:dyDescent="0.4">
      <c r="A210" s="5">
        <v>46248.635520833333</v>
      </c>
      <c r="B210" s="1" t="s">
        <v>71</v>
      </c>
      <c r="C210" s="1" t="s">
        <v>8</v>
      </c>
      <c r="D210" s="6">
        <v>200</v>
      </c>
      <c r="E210" s="6">
        <v>235</v>
      </c>
      <c r="F210" t="s">
        <v>9</v>
      </c>
    </row>
    <row r="211" spans="1:6" ht="15" hidden="1" thickBot="1" x14ac:dyDescent="0.4">
      <c r="A211" s="5">
        <v>46246.635416666664</v>
      </c>
      <c r="B211" s="1" t="s">
        <v>44</v>
      </c>
      <c r="C211" s="1" t="s">
        <v>8</v>
      </c>
      <c r="D211" s="6">
        <v>10</v>
      </c>
      <c r="E211" s="4">
        <v>977</v>
      </c>
      <c r="F211" t="s">
        <v>9</v>
      </c>
    </row>
    <row r="212" spans="1:6" ht="15" hidden="1" thickBot="1" x14ac:dyDescent="0.4">
      <c r="A212" s="5">
        <v>46248.771122685182</v>
      </c>
      <c r="B212" s="1" t="s">
        <v>19</v>
      </c>
      <c r="C212" s="1" t="s">
        <v>8</v>
      </c>
      <c r="D212" s="6">
        <v>10</v>
      </c>
      <c r="E212" s="6">
        <v>2720</v>
      </c>
      <c r="F212" t="s">
        <v>9</v>
      </c>
    </row>
    <row r="213" spans="1:6" ht="15" hidden="1" thickBot="1" x14ac:dyDescent="0.4">
      <c r="A213" s="5">
        <v>46248.635567129626</v>
      </c>
      <c r="B213" s="1" t="s">
        <v>82</v>
      </c>
      <c r="C213" s="1" t="s">
        <v>8</v>
      </c>
      <c r="D213" s="6">
        <v>20</v>
      </c>
      <c r="E213" s="6">
        <v>796</v>
      </c>
      <c r="F213" t="s">
        <v>9</v>
      </c>
    </row>
    <row r="214" spans="1:6" ht="15" hidden="1" thickBot="1" x14ac:dyDescent="0.4">
      <c r="A214" s="5">
        <v>46248.635578703703</v>
      </c>
      <c r="B214" s="1" t="s">
        <v>49</v>
      </c>
      <c r="C214" s="1" t="s">
        <v>8</v>
      </c>
      <c r="D214" s="6">
        <v>200</v>
      </c>
      <c r="E214" s="6">
        <v>91.75</v>
      </c>
      <c r="F214" t="s">
        <v>9</v>
      </c>
    </row>
    <row r="215" spans="1:6" ht="15" hidden="1" thickBot="1" x14ac:dyDescent="0.4">
      <c r="A215" s="5">
        <v>46247.635416666664</v>
      </c>
      <c r="B215" s="1" t="s">
        <v>71</v>
      </c>
      <c r="C215" s="1" t="s">
        <v>8</v>
      </c>
      <c r="D215" s="6">
        <v>200</v>
      </c>
      <c r="E215" s="6">
        <v>239</v>
      </c>
      <c r="F215" t="s">
        <v>9</v>
      </c>
    </row>
    <row r="216" spans="1:6" ht="15" hidden="1" thickBot="1" x14ac:dyDescent="0.4">
      <c r="A216" s="5">
        <v>46241.635416666664</v>
      </c>
      <c r="B216" s="1" t="s">
        <v>49</v>
      </c>
      <c r="C216" s="1" t="s">
        <v>8</v>
      </c>
      <c r="D216" s="6">
        <v>200</v>
      </c>
      <c r="E216" s="4">
        <v>92.75</v>
      </c>
      <c r="F216" t="s">
        <v>9</v>
      </c>
    </row>
    <row r="217" spans="1:6" ht="15" hidden="1" thickBot="1" x14ac:dyDescent="0.4">
      <c r="A217" s="5">
        <v>46247.635416666664</v>
      </c>
      <c r="B217" s="1" t="s">
        <v>58</v>
      </c>
      <c r="C217" s="1" t="s">
        <v>8</v>
      </c>
      <c r="D217" s="6">
        <v>10</v>
      </c>
      <c r="E217" s="6">
        <v>435</v>
      </c>
      <c r="F217" t="s">
        <v>9</v>
      </c>
    </row>
    <row r="218" spans="1:6" ht="15" hidden="1" thickBot="1" x14ac:dyDescent="0.4">
      <c r="A218" s="5">
        <v>46240.6875</v>
      </c>
      <c r="B218" s="1" t="s">
        <v>19</v>
      </c>
      <c r="C218" s="1" t="s">
        <v>8</v>
      </c>
      <c r="D218" s="6">
        <v>10</v>
      </c>
      <c r="E218" s="4">
        <v>2770</v>
      </c>
      <c r="F218" t="s">
        <v>9</v>
      </c>
    </row>
    <row r="219" spans="1:6" ht="15" hidden="1" thickBot="1" x14ac:dyDescent="0.4">
      <c r="A219" s="5">
        <v>46364.635416666664</v>
      </c>
      <c r="B219" s="1" t="s">
        <v>65</v>
      </c>
      <c r="C219" s="1" t="s">
        <v>8</v>
      </c>
      <c r="D219" s="6">
        <v>7</v>
      </c>
      <c r="E219" s="4">
        <v>1424</v>
      </c>
      <c r="F219" t="s">
        <v>9</v>
      </c>
    </row>
    <row r="220" spans="1:6" ht="15" hidden="1" thickBot="1" x14ac:dyDescent="0.4">
      <c r="A220" s="5">
        <v>46248.771134259259</v>
      </c>
      <c r="B220" s="1" t="s">
        <v>27</v>
      </c>
      <c r="C220" s="1" t="s">
        <v>8</v>
      </c>
      <c r="D220" s="6">
        <v>20</v>
      </c>
      <c r="E220" s="6">
        <v>311</v>
      </c>
      <c r="F220" t="s">
        <v>9</v>
      </c>
    </row>
    <row r="221" spans="1:6" ht="15" hidden="1" thickBot="1" x14ac:dyDescent="0.4">
      <c r="A221" s="5">
        <v>46239.635416666664</v>
      </c>
      <c r="B221" s="1" t="s">
        <v>77</v>
      </c>
      <c r="C221" s="1" t="s">
        <v>8</v>
      </c>
      <c r="D221" s="6">
        <v>150</v>
      </c>
      <c r="E221" s="4">
        <v>124.9</v>
      </c>
      <c r="F221" t="s">
        <v>9</v>
      </c>
    </row>
    <row r="222" spans="1:6" ht="15" hidden="1" thickBot="1" x14ac:dyDescent="0.4">
      <c r="A222" s="5">
        <v>46303.635416666664</v>
      </c>
      <c r="B222" s="1" t="s">
        <v>74</v>
      </c>
      <c r="C222" s="1" t="s">
        <v>8</v>
      </c>
      <c r="D222" s="6">
        <v>10</v>
      </c>
      <c r="E222" s="4">
        <v>773</v>
      </c>
      <c r="F222" t="s">
        <v>9</v>
      </c>
    </row>
    <row r="223" spans="1:6" ht="15" hidden="1" thickBot="1" x14ac:dyDescent="0.4">
      <c r="A223" s="5">
        <v>46364.635416666664</v>
      </c>
      <c r="B223" s="1" t="s">
        <v>71</v>
      </c>
      <c r="C223" s="1" t="s">
        <v>8</v>
      </c>
      <c r="D223" s="6">
        <v>200</v>
      </c>
      <c r="E223" s="4">
        <v>244</v>
      </c>
      <c r="F223" t="s">
        <v>9</v>
      </c>
    </row>
    <row r="224" spans="1:6" ht="15" hidden="1" thickBot="1" x14ac:dyDescent="0.4">
      <c r="A224" s="5">
        <v>46247.635416666664</v>
      </c>
      <c r="B224" s="1" t="s">
        <v>47</v>
      </c>
      <c r="C224" s="1" t="s">
        <v>8</v>
      </c>
      <c r="D224" s="6">
        <v>1</v>
      </c>
      <c r="E224" s="6">
        <v>3710</v>
      </c>
      <c r="F224" t="s">
        <v>9</v>
      </c>
    </row>
    <row r="225" spans="1:6" ht="15" hidden="1" thickBot="1" x14ac:dyDescent="0.4">
      <c r="A225" s="5">
        <v>46247.689583333333</v>
      </c>
      <c r="B225" s="1" t="s">
        <v>32</v>
      </c>
      <c r="C225" s="1" t="s">
        <v>8</v>
      </c>
      <c r="D225" s="6">
        <v>5</v>
      </c>
      <c r="E225" s="6">
        <v>730</v>
      </c>
      <c r="F225" t="s">
        <v>9</v>
      </c>
    </row>
    <row r="226" spans="1:6" ht="15" hidden="1" thickBot="1" x14ac:dyDescent="0.4">
      <c r="A226" s="5">
        <v>46239.696527777778</v>
      </c>
      <c r="B226" s="1" t="s">
        <v>18</v>
      </c>
      <c r="C226" s="1" t="s">
        <v>8</v>
      </c>
      <c r="D226" s="6">
        <v>67</v>
      </c>
      <c r="E226" s="4">
        <v>373</v>
      </c>
      <c r="F226" t="s">
        <v>9</v>
      </c>
    </row>
    <row r="227" spans="1:6" ht="15" hidden="1" thickBot="1" x14ac:dyDescent="0.4">
      <c r="A227" s="5">
        <v>46247.635416666664</v>
      </c>
      <c r="B227" s="1" t="s">
        <v>83</v>
      </c>
      <c r="C227" s="1" t="s">
        <v>8</v>
      </c>
      <c r="D227" s="6">
        <v>15</v>
      </c>
      <c r="E227" s="6">
        <v>1090</v>
      </c>
      <c r="F227" t="s">
        <v>9</v>
      </c>
    </row>
    <row r="228" spans="1:6" ht="15" hidden="1" thickBot="1" x14ac:dyDescent="0.4">
      <c r="A228" s="5">
        <v>46211.635416666664</v>
      </c>
      <c r="B228" s="1" t="s">
        <v>77</v>
      </c>
      <c r="C228" s="1" t="s">
        <v>8</v>
      </c>
      <c r="D228" s="6">
        <v>150</v>
      </c>
      <c r="E228" s="4">
        <v>125.9</v>
      </c>
      <c r="F228" t="s">
        <v>9</v>
      </c>
    </row>
    <row r="229" spans="1:6" ht="15" hidden="1" thickBot="1" x14ac:dyDescent="0.4">
      <c r="A229" s="5">
        <v>46247.689583333333</v>
      </c>
      <c r="B229" s="1" t="s">
        <v>27</v>
      </c>
      <c r="C229" s="1" t="s">
        <v>8</v>
      </c>
      <c r="D229" s="6">
        <v>50</v>
      </c>
      <c r="E229" s="6">
        <v>317</v>
      </c>
      <c r="F229" t="s">
        <v>9</v>
      </c>
    </row>
    <row r="230" spans="1:6" ht="15" hidden="1" thickBot="1" x14ac:dyDescent="0.4">
      <c r="A230" s="5">
        <v>46364.635416666664</v>
      </c>
      <c r="B230" s="1" t="s">
        <v>76</v>
      </c>
      <c r="C230" s="1" t="s">
        <v>8</v>
      </c>
      <c r="D230" s="6">
        <v>2</v>
      </c>
      <c r="E230" s="4">
        <v>2690</v>
      </c>
      <c r="F230" t="s">
        <v>9</v>
      </c>
    </row>
    <row r="231" spans="1:6" ht="15" hidden="1" thickBot="1" x14ac:dyDescent="0.4">
      <c r="A231" s="10" t="s">
        <v>85</v>
      </c>
      <c r="B231" s="1" t="s">
        <v>44</v>
      </c>
      <c r="C231" s="1" t="s">
        <v>8</v>
      </c>
      <c r="D231" s="6">
        <v>10</v>
      </c>
      <c r="E231" s="11">
        <v>1024</v>
      </c>
      <c r="F231" t="s">
        <v>9</v>
      </c>
    </row>
    <row r="232" spans="1:6" ht="15" hidden="1" thickBot="1" x14ac:dyDescent="0.4">
      <c r="A232" s="5">
        <v>46247.635416666664</v>
      </c>
      <c r="B232" s="1" t="s">
        <v>93</v>
      </c>
      <c r="C232" s="1" t="s">
        <v>8</v>
      </c>
      <c r="D232" s="6">
        <v>5</v>
      </c>
      <c r="E232" s="6">
        <v>3980</v>
      </c>
      <c r="F232" t="s">
        <v>9</v>
      </c>
    </row>
    <row r="233" spans="1:6" ht="15" hidden="1" thickBot="1" x14ac:dyDescent="0.4">
      <c r="A233" s="5">
        <v>46246.689583333333</v>
      </c>
      <c r="B233" s="1" t="s">
        <v>40</v>
      </c>
      <c r="C233" s="1" t="s">
        <v>8</v>
      </c>
      <c r="D233" s="6">
        <v>150</v>
      </c>
      <c r="E233" s="4">
        <v>136</v>
      </c>
      <c r="F233" t="s">
        <v>9</v>
      </c>
    </row>
    <row r="234" spans="1:6" ht="15" hidden="1" thickBot="1" x14ac:dyDescent="0.4">
      <c r="A234" s="5">
        <v>46211.635416666664</v>
      </c>
      <c r="B234" s="1" t="s">
        <v>76</v>
      </c>
      <c r="C234" s="1" t="s">
        <v>8</v>
      </c>
      <c r="D234" s="6">
        <v>3</v>
      </c>
      <c r="E234" s="4">
        <v>2710</v>
      </c>
      <c r="F234" t="s">
        <v>9</v>
      </c>
    </row>
    <row r="235" spans="1:6" ht="15" hidden="1" thickBot="1" x14ac:dyDescent="0.4">
      <c r="A235" s="5">
        <v>46247.689583333333</v>
      </c>
      <c r="B235" s="1" t="s">
        <v>27</v>
      </c>
      <c r="C235" s="1" t="s">
        <v>8</v>
      </c>
      <c r="D235" s="6">
        <v>40</v>
      </c>
      <c r="E235" s="6">
        <v>320.5</v>
      </c>
      <c r="F235" t="s">
        <v>9</v>
      </c>
    </row>
    <row r="236" spans="1:6" ht="15" hidden="1" thickBot="1" x14ac:dyDescent="0.4">
      <c r="A236" s="10" t="s">
        <v>85</v>
      </c>
      <c r="B236" s="1" t="s">
        <v>38</v>
      </c>
      <c r="C236" s="1" t="s">
        <v>8</v>
      </c>
      <c r="D236" s="6">
        <v>30</v>
      </c>
      <c r="E236" s="11">
        <v>974</v>
      </c>
      <c r="F236" t="s">
        <v>9</v>
      </c>
    </row>
    <row r="237" spans="1:6" ht="15" hidden="1" thickBot="1" x14ac:dyDescent="0.4">
      <c r="A237" s="5">
        <v>46241.635416666664</v>
      </c>
      <c r="B237" s="1" t="s">
        <v>71</v>
      </c>
      <c r="C237" s="1" t="s">
        <v>8</v>
      </c>
      <c r="D237" s="6">
        <v>200</v>
      </c>
      <c r="E237" s="4">
        <v>249</v>
      </c>
      <c r="F237" t="s">
        <v>9</v>
      </c>
    </row>
    <row r="238" spans="1:6" ht="15" hidden="1" thickBot="1" x14ac:dyDescent="0.4">
      <c r="A238" s="5">
        <v>46211.635416666664</v>
      </c>
      <c r="B238" s="1" t="s">
        <v>74</v>
      </c>
      <c r="C238" s="1" t="s">
        <v>8</v>
      </c>
      <c r="D238" s="6">
        <v>5</v>
      </c>
      <c r="E238" s="4">
        <v>790</v>
      </c>
      <c r="F238" t="s">
        <v>9</v>
      </c>
    </row>
    <row r="239" spans="1:6" ht="15" hidden="1" thickBot="1" x14ac:dyDescent="0.4">
      <c r="A239" s="5">
        <v>46245.693055555559</v>
      </c>
      <c r="B239" s="12" t="s">
        <v>35</v>
      </c>
      <c r="C239" s="1" t="s">
        <v>8</v>
      </c>
      <c r="D239" s="6">
        <v>40</v>
      </c>
      <c r="E239" s="13">
        <v>229</v>
      </c>
      <c r="F239" t="s">
        <v>9</v>
      </c>
    </row>
    <row r="240" spans="1:6" ht="15" hidden="1" thickBot="1" x14ac:dyDescent="0.4">
      <c r="A240" s="5">
        <v>46244.635416666664</v>
      </c>
      <c r="B240" s="1" t="s">
        <v>64</v>
      </c>
      <c r="C240" s="1" t="s">
        <v>8</v>
      </c>
      <c r="D240" s="6">
        <v>11</v>
      </c>
      <c r="E240" s="4">
        <v>1170</v>
      </c>
      <c r="F240" t="s">
        <v>9</v>
      </c>
    </row>
    <row r="241" spans="1:6" ht="15" hidden="1" thickBot="1" x14ac:dyDescent="0.4">
      <c r="A241" s="5">
        <v>46247.689583333333</v>
      </c>
      <c r="B241" s="1" t="s">
        <v>36</v>
      </c>
      <c r="C241" s="1" t="s">
        <v>8</v>
      </c>
      <c r="D241" s="6">
        <v>100</v>
      </c>
      <c r="E241" s="6">
        <v>310.5</v>
      </c>
      <c r="F241" t="s">
        <v>9</v>
      </c>
    </row>
    <row r="242" spans="1:6" ht="15" hidden="1" thickBot="1" x14ac:dyDescent="0.4">
      <c r="A242" s="5">
        <v>46364.689583333333</v>
      </c>
      <c r="B242" s="1" t="s">
        <v>32</v>
      </c>
      <c r="C242" s="1" t="s">
        <v>8</v>
      </c>
      <c r="D242" s="6">
        <v>11</v>
      </c>
      <c r="E242" s="4">
        <v>749</v>
      </c>
      <c r="F242" t="s">
        <v>9</v>
      </c>
    </row>
    <row r="243" spans="1:6" ht="15" hidden="1" thickBot="1" x14ac:dyDescent="0.4">
      <c r="A243" s="5">
        <v>46247.689583333333</v>
      </c>
      <c r="B243" s="1" t="s">
        <v>39</v>
      </c>
      <c r="C243" s="1" t="s">
        <v>8</v>
      </c>
      <c r="D243" s="6">
        <v>25</v>
      </c>
      <c r="E243" s="6">
        <v>210</v>
      </c>
      <c r="F243" t="s">
        <v>9</v>
      </c>
    </row>
    <row r="244" spans="1:6" ht="15" hidden="1" thickBot="1" x14ac:dyDescent="0.4">
      <c r="A244" s="5">
        <v>46246.635416666664</v>
      </c>
      <c r="B244" s="1" t="s">
        <v>47</v>
      </c>
      <c r="C244" s="1" t="s">
        <v>8</v>
      </c>
      <c r="D244" s="6">
        <v>1</v>
      </c>
      <c r="E244" s="4">
        <v>3810</v>
      </c>
      <c r="F244" t="s">
        <v>9</v>
      </c>
    </row>
    <row r="245" spans="1:6" ht="15" hidden="1" thickBot="1" x14ac:dyDescent="0.4">
      <c r="A245" s="5">
        <v>46303.635416666664</v>
      </c>
      <c r="B245" s="1" t="s">
        <v>94</v>
      </c>
      <c r="C245" s="1" t="s">
        <v>8</v>
      </c>
      <c r="D245" s="6">
        <v>50</v>
      </c>
      <c r="E245" s="4">
        <v>480</v>
      </c>
      <c r="F245" t="s">
        <v>9</v>
      </c>
    </row>
    <row r="246" spans="1:6" ht="15" hidden="1" thickBot="1" x14ac:dyDescent="0.4">
      <c r="A246" s="10" t="s">
        <v>85</v>
      </c>
      <c r="B246" s="1" t="s">
        <v>38</v>
      </c>
      <c r="C246" s="1" t="s">
        <v>8</v>
      </c>
      <c r="D246" s="6">
        <v>5</v>
      </c>
      <c r="E246" s="4">
        <v>986</v>
      </c>
      <c r="F246" t="s">
        <v>9</v>
      </c>
    </row>
    <row r="247" spans="1:6" ht="15" hidden="1" thickBot="1" x14ac:dyDescent="0.4">
      <c r="A247" s="10" t="s">
        <v>85</v>
      </c>
      <c r="B247" s="1" t="s">
        <v>36</v>
      </c>
      <c r="C247" s="1" t="s">
        <v>8</v>
      </c>
      <c r="D247" s="6">
        <v>100</v>
      </c>
      <c r="E247" s="11">
        <v>314</v>
      </c>
      <c r="F247" t="s">
        <v>9</v>
      </c>
    </row>
    <row r="248" spans="1:6" ht="15" hidden="1" thickBot="1" x14ac:dyDescent="0.4">
      <c r="A248" s="5">
        <v>46211.635416666664</v>
      </c>
      <c r="B248" s="1" t="s">
        <v>73</v>
      </c>
      <c r="C248" s="1" t="s">
        <v>8</v>
      </c>
      <c r="D248" s="6">
        <v>3</v>
      </c>
      <c r="E248" s="4">
        <v>3341</v>
      </c>
      <c r="F248" t="s">
        <v>9</v>
      </c>
    </row>
    <row r="249" spans="1:6" ht="15" hidden="1" thickBot="1" x14ac:dyDescent="0.4">
      <c r="A249" s="10" t="s">
        <v>85</v>
      </c>
      <c r="B249" s="12" t="s">
        <v>38</v>
      </c>
      <c r="C249" s="1" t="s">
        <v>8</v>
      </c>
      <c r="D249" s="6">
        <v>40</v>
      </c>
      <c r="E249" s="13">
        <v>996</v>
      </c>
      <c r="F249" t="s">
        <v>9</v>
      </c>
    </row>
    <row r="250" spans="1:6" ht="15" hidden="1" thickBot="1" x14ac:dyDescent="0.4">
      <c r="A250" s="10" t="s">
        <v>85</v>
      </c>
      <c r="B250" s="1" t="s">
        <v>38</v>
      </c>
      <c r="C250" s="1" t="s">
        <v>8</v>
      </c>
      <c r="D250" s="6">
        <v>5</v>
      </c>
      <c r="E250" s="4">
        <v>1002</v>
      </c>
      <c r="F250" t="s">
        <v>9</v>
      </c>
    </row>
    <row r="251" spans="1:6" ht="15" hidden="1" thickBot="1" x14ac:dyDescent="0.4">
      <c r="A251" s="5">
        <v>46247.645138888889</v>
      </c>
      <c r="B251" s="1" t="s">
        <v>79</v>
      </c>
      <c r="C251" s="1" t="s">
        <v>8</v>
      </c>
      <c r="D251" s="6">
        <v>5</v>
      </c>
      <c r="E251" s="6">
        <v>596</v>
      </c>
      <c r="F251" t="s">
        <v>9</v>
      </c>
    </row>
    <row r="252" spans="1:6" ht="15" hidden="1" thickBot="1" x14ac:dyDescent="0.4">
      <c r="A252" s="5">
        <v>46239.788888888892</v>
      </c>
      <c r="B252" s="1" t="s">
        <v>36</v>
      </c>
      <c r="C252" s="1" t="s">
        <v>8</v>
      </c>
      <c r="D252" s="6">
        <v>100</v>
      </c>
      <c r="E252" s="4">
        <v>318</v>
      </c>
      <c r="F252" t="s">
        <v>9</v>
      </c>
    </row>
    <row r="253" spans="1:6" ht="15" hidden="1" thickBot="1" x14ac:dyDescent="0.4">
      <c r="A253" s="10" t="s">
        <v>85</v>
      </c>
      <c r="B253" s="1" t="s">
        <v>36</v>
      </c>
      <c r="C253" s="1" t="s">
        <v>8</v>
      </c>
      <c r="D253" s="6">
        <v>100</v>
      </c>
      <c r="E253" s="11">
        <v>319</v>
      </c>
      <c r="F253" t="s">
        <v>9</v>
      </c>
    </row>
    <row r="254" spans="1:6" ht="15" hidden="1" thickBot="1" x14ac:dyDescent="0.4">
      <c r="A254" s="10" t="s">
        <v>85</v>
      </c>
      <c r="B254" s="1" t="s">
        <v>94</v>
      </c>
      <c r="C254" s="1" t="s">
        <v>8</v>
      </c>
      <c r="D254" s="6">
        <v>35</v>
      </c>
      <c r="E254" s="11">
        <v>494</v>
      </c>
      <c r="F254" t="s">
        <v>9</v>
      </c>
    </row>
    <row r="255" spans="1:6" ht="15" hidden="1" thickBot="1" x14ac:dyDescent="0.4">
      <c r="A255" s="5">
        <v>46150.788888888892</v>
      </c>
      <c r="B255" s="1" t="s">
        <v>36</v>
      </c>
      <c r="C255" s="1" t="s">
        <v>8</v>
      </c>
      <c r="D255" s="6">
        <v>150</v>
      </c>
      <c r="E255" s="4">
        <v>323</v>
      </c>
      <c r="F255" t="s">
        <v>9</v>
      </c>
    </row>
    <row r="256" spans="1:6" ht="15" hidden="1" thickBot="1" x14ac:dyDescent="0.4">
      <c r="A256" s="14">
        <v>46334.645833333336</v>
      </c>
      <c r="B256" s="15" t="s">
        <v>83</v>
      </c>
      <c r="C256" s="15" t="s">
        <v>8</v>
      </c>
      <c r="D256" s="16">
        <v>7</v>
      </c>
      <c r="E256" s="4">
        <v>1170</v>
      </c>
      <c r="F256" t="s">
        <v>9</v>
      </c>
    </row>
    <row r="257" spans="1:9" ht="15" hidden="1" thickBot="1" x14ac:dyDescent="0.4">
      <c r="A257" s="5">
        <v>46364.689583333333</v>
      </c>
      <c r="B257" s="1" t="s">
        <v>21</v>
      </c>
      <c r="C257" s="1" t="s">
        <v>8</v>
      </c>
      <c r="D257" s="6">
        <v>5</v>
      </c>
      <c r="E257" s="4">
        <v>416</v>
      </c>
      <c r="F257" t="s">
        <v>9</v>
      </c>
    </row>
    <row r="258" spans="1:9" ht="15" thickBot="1" x14ac:dyDescent="0.4">
      <c r="A258" s="5">
        <v>46247.689583333333</v>
      </c>
      <c r="B258" s="1" t="s">
        <v>7</v>
      </c>
      <c r="C258" s="1" t="s">
        <v>8</v>
      </c>
      <c r="D258" s="6">
        <v>1</v>
      </c>
      <c r="E258" s="6">
        <v>2494</v>
      </c>
      <c r="F258" t="s">
        <v>9</v>
      </c>
      <c r="I258" s="20"/>
    </row>
    <row r="259" spans="1:9" ht="15" hidden="1" thickBot="1" x14ac:dyDescent="0.4">
      <c r="A259" s="5">
        <v>46246.689583333333</v>
      </c>
      <c r="B259" s="1" t="s">
        <v>21</v>
      </c>
      <c r="C259" s="1" t="s">
        <v>8</v>
      </c>
      <c r="D259" s="6">
        <v>5</v>
      </c>
      <c r="E259" s="4">
        <v>435</v>
      </c>
      <c r="F259" t="s">
        <v>9</v>
      </c>
    </row>
    <row r="260" spans="1:9" ht="15" hidden="1" thickBot="1" x14ac:dyDescent="0.4">
      <c r="A260" s="5">
        <v>46239.793055555558</v>
      </c>
      <c r="B260" s="1" t="s">
        <v>95</v>
      </c>
      <c r="C260" s="1" t="s">
        <v>8</v>
      </c>
      <c r="D260" s="6">
        <v>23</v>
      </c>
      <c r="E260" s="4">
        <v>890</v>
      </c>
      <c r="F260" t="s">
        <v>9</v>
      </c>
    </row>
    <row r="261" spans="1:9" hidden="1" x14ac:dyDescent="0.3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</row>
    <row r="262" spans="1:9" x14ac:dyDescent="0.35">
      <c r="A262" t="s">
        <v>99</v>
      </c>
      <c r="B262" t="s">
        <v>7</v>
      </c>
      <c r="C262" t="s">
        <v>8</v>
      </c>
      <c r="D262">
        <v>3</v>
      </c>
      <c r="E262">
        <v>2494</v>
      </c>
      <c r="F262" t="s">
        <v>9</v>
      </c>
    </row>
    <row r="263" spans="1:9" hidden="1" x14ac:dyDescent="0.35">
      <c r="A263" t="s">
        <v>101</v>
      </c>
      <c r="B263" t="s">
        <v>102</v>
      </c>
      <c r="C263" t="s">
        <v>8</v>
      </c>
      <c r="D263">
        <v>17</v>
      </c>
      <c r="E263">
        <v>1100</v>
      </c>
      <c r="F263" t="s">
        <v>97</v>
      </c>
    </row>
    <row r="264" spans="1:9" hidden="1" x14ac:dyDescent="0.35">
      <c r="A264" t="s">
        <v>103</v>
      </c>
      <c r="B264" t="s">
        <v>18</v>
      </c>
      <c r="C264" t="s">
        <v>8</v>
      </c>
      <c r="D264">
        <v>50</v>
      </c>
      <c r="E264">
        <v>357</v>
      </c>
      <c r="F264" t="s">
        <v>97</v>
      </c>
    </row>
    <row r="265" spans="1:9" hidden="1" x14ac:dyDescent="0.35">
      <c r="A265" t="s">
        <v>104</v>
      </c>
      <c r="B265" t="s">
        <v>18</v>
      </c>
      <c r="C265" t="s">
        <v>8</v>
      </c>
      <c r="D265">
        <v>50</v>
      </c>
      <c r="E265">
        <v>353</v>
      </c>
      <c r="F265" t="s">
        <v>97</v>
      </c>
    </row>
    <row r="266" spans="1:9" hidden="1" x14ac:dyDescent="0.35">
      <c r="A266" t="s">
        <v>105</v>
      </c>
      <c r="B266" t="s">
        <v>49</v>
      </c>
      <c r="C266" t="s">
        <v>12</v>
      </c>
      <c r="D266">
        <v>100</v>
      </c>
      <c r="E266">
        <v>86.3</v>
      </c>
      <c r="F266" t="s">
        <v>97</v>
      </c>
    </row>
    <row r="267" spans="1:9" hidden="1" x14ac:dyDescent="0.35">
      <c r="A267" t="s">
        <v>106</v>
      </c>
      <c r="B267" t="s">
        <v>18</v>
      </c>
      <c r="C267" t="s">
        <v>12</v>
      </c>
      <c r="D267">
        <v>150</v>
      </c>
      <c r="E267">
        <v>346</v>
      </c>
      <c r="F267" t="s">
        <v>97</v>
      </c>
    </row>
    <row r="268" spans="1:9" hidden="1" x14ac:dyDescent="0.35">
      <c r="A268" t="s">
        <v>107</v>
      </c>
      <c r="B268" t="s">
        <v>42</v>
      </c>
      <c r="C268" t="s">
        <v>12</v>
      </c>
      <c r="D268">
        <v>10</v>
      </c>
      <c r="E268">
        <v>1452</v>
      </c>
      <c r="F268" t="s">
        <v>97</v>
      </c>
    </row>
    <row r="269" spans="1:9" hidden="1" x14ac:dyDescent="0.35">
      <c r="A269" t="s">
        <v>108</v>
      </c>
      <c r="B269" t="s">
        <v>42</v>
      </c>
      <c r="C269" t="s">
        <v>8</v>
      </c>
      <c r="D269">
        <v>20</v>
      </c>
      <c r="E269">
        <v>1492.2</v>
      </c>
      <c r="F269" t="s">
        <v>97</v>
      </c>
    </row>
    <row r="270" spans="1:9" hidden="1" x14ac:dyDescent="0.35">
      <c r="A270" t="s">
        <v>109</v>
      </c>
      <c r="B270" t="s">
        <v>47</v>
      </c>
      <c r="C270" t="s">
        <v>12</v>
      </c>
      <c r="D270">
        <v>3</v>
      </c>
      <c r="E270">
        <v>3310</v>
      </c>
      <c r="F270" t="s">
        <v>97</v>
      </c>
    </row>
    <row r="271" spans="1:9" hidden="1" x14ac:dyDescent="0.35">
      <c r="A271" t="s">
        <v>113</v>
      </c>
      <c r="B271" t="s">
        <v>42</v>
      </c>
      <c r="C271" t="s">
        <v>12</v>
      </c>
      <c r="D271">
        <v>10</v>
      </c>
      <c r="E271">
        <v>1440</v>
      </c>
      <c r="F271" t="s">
        <v>97</v>
      </c>
    </row>
    <row r="272" spans="1:9" hidden="1" x14ac:dyDescent="0.35">
      <c r="A272" t="s">
        <v>113</v>
      </c>
      <c r="B272" t="s">
        <v>42</v>
      </c>
      <c r="C272" t="s">
        <v>12</v>
      </c>
      <c r="D272">
        <v>10</v>
      </c>
      <c r="E272">
        <v>1452</v>
      </c>
      <c r="F272" t="s">
        <v>97</v>
      </c>
    </row>
    <row r="273" spans="1:6" hidden="1" x14ac:dyDescent="0.35">
      <c r="A273" t="s">
        <v>113</v>
      </c>
      <c r="B273" t="s">
        <v>27</v>
      </c>
      <c r="C273" t="s">
        <v>12</v>
      </c>
      <c r="D273">
        <v>30</v>
      </c>
      <c r="E273">
        <v>286</v>
      </c>
      <c r="F273" t="s">
        <v>97</v>
      </c>
    </row>
    <row r="274" spans="1:6" hidden="1" x14ac:dyDescent="0.35">
      <c r="A274" t="s">
        <v>113</v>
      </c>
      <c r="B274" t="s">
        <v>16</v>
      </c>
      <c r="C274" t="s">
        <v>12</v>
      </c>
      <c r="D274">
        <v>40</v>
      </c>
      <c r="E274">
        <v>436</v>
      </c>
      <c r="F274" t="s">
        <v>97</v>
      </c>
    </row>
    <row r="275" spans="1:6" hidden="1" x14ac:dyDescent="0.35">
      <c r="A275" t="s">
        <v>113</v>
      </c>
      <c r="B275" t="s">
        <v>21</v>
      </c>
      <c r="C275" t="s">
        <v>12</v>
      </c>
      <c r="D275">
        <v>25</v>
      </c>
      <c r="E275">
        <v>336</v>
      </c>
      <c r="F275" t="s">
        <v>97</v>
      </c>
    </row>
    <row r="276" spans="1:6" hidden="1" x14ac:dyDescent="0.35">
      <c r="A276" t="s">
        <v>114</v>
      </c>
      <c r="B276" t="s">
        <v>19</v>
      </c>
      <c r="C276" t="s">
        <v>12</v>
      </c>
      <c r="D276">
        <v>10</v>
      </c>
      <c r="E276">
        <v>2602</v>
      </c>
      <c r="F276" t="s">
        <v>97</v>
      </c>
    </row>
    <row r="277" spans="1:6" hidden="1" x14ac:dyDescent="0.35">
      <c r="A277" t="s">
        <v>113</v>
      </c>
      <c r="B277" t="s">
        <v>47</v>
      </c>
      <c r="C277" t="s">
        <v>12</v>
      </c>
      <c r="D277">
        <v>2</v>
      </c>
      <c r="E277">
        <v>3410</v>
      </c>
      <c r="F277" t="s">
        <v>97</v>
      </c>
    </row>
    <row r="278" spans="1:6" hidden="1" x14ac:dyDescent="0.35">
      <c r="A278" t="s">
        <v>113</v>
      </c>
      <c r="B278" t="s">
        <v>19</v>
      </c>
      <c r="C278" t="s">
        <v>12</v>
      </c>
      <c r="D278">
        <v>10</v>
      </c>
      <c r="E278">
        <v>2601</v>
      </c>
      <c r="F278" t="s">
        <v>97</v>
      </c>
    </row>
    <row r="279" spans="1:6" hidden="1" x14ac:dyDescent="0.35">
      <c r="A279" t="s">
        <v>113</v>
      </c>
      <c r="B279" t="s">
        <v>49</v>
      </c>
      <c r="C279" t="s">
        <v>12</v>
      </c>
      <c r="D279">
        <v>100</v>
      </c>
      <c r="E279">
        <v>87.3</v>
      </c>
      <c r="F279" t="s">
        <v>97</v>
      </c>
    </row>
    <row r="280" spans="1:6" hidden="1" x14ac:dyDescent="0.35">
      <c r="A280" t="s">
        <v>113</v>
      </c>
      <c r="B280" t="s">
        <v>51</v>
      </c>
      <c r="C280" t="s">
        <v>12</v>
      </c>
      <c r="D280">
        <v>10</v>
      </c>
      <c r="E280">
        <v>1440</v>
      </c>
      <c r="F280" t="s">
        <v>97</v>
      </c>
    </row>
    <row r="281" spans="1:6" hidden="1" x14ac:dyDescent="0.35">
      <c r="A281" t="s">
        <v>113</v>
      </c>
      <c r="B281" t="s">
        <v>18</v>
      </c>
      <c r="C281" t="s">
        <v>8</v>
      </c>
      <c r="D281">
        <v>50</v>
      </c>
      <c r="E281">
        <v>361</v>
      </c>
      <c r="F281" t="s">
        <v>97</v>
      </c>
    </row>
    <row r="282" spans="1:6" hidden="1" x14ac:dyDescent="0.35">
      <c r="A282" t="s">
        <v>115</v>
      </c>
      <c r="B282" t="s">
        <v>44</v>
      </c>
      <c r="C282" t="s">
        <v>8</v>
      </c>
      <c r="D282">
        <v>10</v>
      </c>
      <c r="E282">
        <v>977</v>
      </c>
      <c r="F282" t="s">
        <v>97</v>
      </c>
    </row>
    <row r="283" spans="1:6" hidden="1" x14ac:dyDescent="0.35">
      <c r="A283" t="s">
        <v>115</v>
      </c>
      <c r="B283" t="s">
        <v>18</v>
      </c>
      <c r="C283" t="s">
        <v>8</v>
      </c>
      <c r="D283">
        <v>50</v>
      </c>
      <c r="E283">
        <v>357</v>
      </c>
      <c r="F283" t="s">
        <v>97</v>
      </c>
    </row>
    <row r="284" spans="1:6" hidden="1" x14ac:dyDescent="0.35">
      <c r="A284" t="s">
        <v>115</v>
      </c>
      <c r="B284" t="s">
        <v>18</v>
      </c>
      <c r="C284" t="s">
        <v>8</v>
      </c>
      <c r="D284">
        <v>50</v>
      </c>
      <c r="E284">
        <v>353</v>
      </c>
      <c r="F284" t="s">
        <v>97</v>
      </c>
    </row>
    <row r="285" spans="1:6" hidden="1" x14ac:dyDescent="0.35">
      <c r="A285" t="s">
        <v>115</v>
      </c>
      <c r="B285" t="s">
        <v>44</v>
      </c>
      <c r="C285" t="s">
        <v>8</v>
      </c>
      <c r="D285">
        <v>10</v>
      </c>
      <c r="E285">
        <v>957</v>
      </c>
      <c r="F285" t="s">
        <v>97</v>
      </c>
    </row>
    <row r="286" spans="1:6" hidden="1" x14ac:dyDescent="0.35">
      <c r="A286" t="s">
        <v>116</v>
      </c>
      <c r="B286" t="s">
        <v>23</v>
      </c>
      <c r="C286" t="s">
        <v>8</v>
      </c>
      <c r="D286">
        <v>100</v>
      </c>
      <c r="E286">
        <v>223</v>
      </c>
      <c r="F286" t="s">
        <v>97</v>
      </c>
    </row>
    <row r="287" spans="1:6" hidden="1" x14ac:dyDescent="0.35">
      <c r="A287" t="s">
        <v>115</v>
      </c>
      <c r="B287" t="s">
        <v>52</v>
      </c>
      <c r="C287" t="s">
        <v>8</v>
      </c>
      <c r="D287">
        <v>20</v>
      </c>
      <c r="E287">
        <v>896</v>
      </c>
      <c r="F287" t="s">
        <v>97</v>
      </c>
    </row>
    <row r="288" spans="1:6" hidden="1" x14ac:dyDescent="0.35">
      <c r="A288" t="s">
        <v>115</v>
      </c>
      <c r="B288" t="s">
        <v>44</v>
      </c>
      <c r="C288" t="s">
        <v>8</v>
      </c>
      <c r="D288">
        <v>10</v>
      </c>
      <c r="E288">
        <v>947</v>
      </c>
      <c r="F288" t="s">
        <v>97</v>
      </c>
    </row>
  </sheetData>
  <autoFilter ref="A1:F288" xr:uid="{00000000-0001-0000-0000-000000000000}">
    <filterColumn colId="1">
      <filters>
        <filter val="KERNEXEQ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9D15-A3E7-4DAC-8F14-AA0C5D5FD722}">
  <dimension ref="A1:H34"/>
  <sheetViews>
    <sheetView workbookViewId="0">
      <selection activeCell="H2" sqref="H2"/>
    </sheetView>
  </sheetViews>
  <sheetFormatPr defaultRowHeight="14.5" x14ac:dyDescent="0.35"/>
  <cols>
    <col min="8" max="8" width="8.7265625" style="19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9" t="str" cm="1">
        <f t="array" ref="H1:H16">_xlfn.UNIQUE(B:B)</f>
        <v>Stock</v>
      </c>
    </row>
    <row r="2" spans="1:8" x14ac:dyDescent="0.35">
      <c r="A2" t="s">
        <v>96</v>
      </c>
      <c r="B2" t="s">
        <v>7</v>
      </c>
      <c r="C2" t="s">
        <v>12</v>
      </c>
      <c r="D2">
        <v>3</v>
      </c>
      <c r="E2">
        <v>1714</v>
      </c>
      <c r="F2" t="s">
        <v>97</v>
      </c>
      <c r="H2" s="19" t="str">
        <v>KERNEXEQ</v>
      </c>
    </row>
    <row r="3" spans="1:8" x14ac:dyDescent="0.35">
      <c r="A3" t="s">
        <v>98</v>
      </c>
      <c r="B3" t="s">
        <v>7</v>
      </c>
      <c r="C3" t="s">
        <v>12</v>
      </c>
      <c r="D3">
        <v>2</v>
      </c>
      <c r="E3">
        <v>1776</v>
      </c>
      <c r="F3" t="s">
        <v>97</v>
      </c>
      <c r="H3" s="19" t="str">
        <v>DHOOTTRANSEQ</v>
      </c>
    </row>
    <row r="4" spans="1:8" x14ac:dyDescent="0.35">
      <c r="A4" t="s">
        <v>99</v>
      </c>
      <c r="B4" t="s">
        <v>7</v>
      </c>
      <c r="C4" t="s">
        <v>12</v>
      </c>
      <c r="D4">
        <v>3</v>
      </c>
      <c r="E4">
        <v>1793</v>
      </c>
      <c r="F4" t="s">
        <v>97</v>
      </c>
      <c r="H4" s="19" t="str">
        <v>IGILEQ</v>
      </c>
    </row>
    <row r="5" spans="1:8" x14ac:dyDescent="0.35">
      <c r="A5" t="s">
        <v>100</v>
      </c>
      <c r="B5" t="s">
        <v>7</v>
      </c>
      <c r="C5" t="s">
        <v>12</v>
      </c>
      <c r="D5">
        <v>2</v>
      </c>
      <c r="E5">
        <v>1864</v>
      </c>
      <c r="F5" t="s">
        <v>97</v>
      </c>
      <c r="H5" s="19" t="str">
        <v>IRFCEQ</v>
      </c>
    </row>
    <row r="6" spans="1:8" x14ac:dyDescent="0.35">
      <c r="A6" t="s">
        <v>101</v>
      </c>
      <c r="B6" t="s">
        <v>102</v>
      </c>
      <c r="C6" t="s">
        <v>8</v>
      </c>
      <c r="D6">
        <v>17</v>
      </c>
      <c r="E6">
        <v>1100</v>
      </c>
      <c r="F6" t="s">
        <v>97</v>
      </c>
      <c r="H6" s="19" t="str">
        <v>COCHINSHIPEQ</v>
      </c>
    </row>
    <row r="7" spans="1:8" x14ac:dyDescent="0.35">
      <c r="A7" t="s">
        <v>103</v>
      </c>
      <c r="B7" t="s">
        <v>18</v>
      </c>
      <c r="C7" t="s">
        <v>8</v>
      </c>
      <c r="D7">
        <v>50</v>
      </c>
      <c r="E7">
        <v>357</v>
      </c>
      <c r="F7" t="s">
        <v>97</v>
      </c>
      <c r="H7" s="19" t="str">
        <v>BSEEQ</v>
      </c>
    </row>
    <row r="8" spans="1:8" x14ac:dyDescent="0.35">
      <c r="A8" t="s">
        <v>104</v>
      </c>
      <c r="B8" t="s">
        <v>18</v>
      </c>
      <c r="C8" t="s">
        <v>8</v>
      </c>
      <c r="D8">
        <v>50</v>
      </c>
      <c r="E8">
        <v>353</v>
      </c>
      <c r="F8" t="s">
        <v>97</v>
      </c>
      <c r="H8" s="19" t="str">
        <v>SCIEQ</v>
      </c>
    </row>
    <row r="9" spans="1:8" x14ac:dyDescent="0.35">
      <c r="A9" t="s">
        <v>105</v>
      </c>
      <c r="B9" t="s">
        <v>49</v>
      </c>
      <c r="C9" t="s">
        <v>12</v>
      </c>
      <c r="D9">
        <v>100</v>
      </c>
      <c r="E9">
        <v>86.3</v>
      </c>
      <c r="F9" t="s">
        <v>97</v>
      </c>
      <c r="H9" s="19" t="str">
        <v>APOLLOTYREEQ</v>
      </c>
    </row>
    <row r="10" spans="1:8" x14ac:dyDescent="0.35">
      <c r="A10" t="s">
        <v>106</v>
      </c>
      <c r="B10" t="s">
        <v>18</v>
      </c>
      <c r="C10" t="s">
        <v>12</v>
      </c>
      <c r="D10">
        <v>150</v>
      </c>
      <c r="E10">
        <v>346</v>
      </c>
      <c r="F10" t="s">
        <v>97</v>
      </c>
      <c r="H10" s="19" t="str">
        <v>SENCOEQ</v>
      </c>
    </row>
    <row r="11" spans="1:8" x14ac:dyDescent="0.35">
      <c r="A11" t="s">
        <v>107</v>
      </c>
      <c r="B11" t="s">
        <v>42</v>
      </c>
      <c r="C11" t="s">
        <v>12</v>
      </c>
      <c r="D11">
        <v>10</v>
      </c>
      <c r="E11">
        <v>1452</v>
      </c>
      <c r="F11" t="s">
        <v>97</v>
      </c>
      <c r="H11" s="19" t="str">
        <v>GRSEEQ</v>
      </c>
    </row>
    <row r="12" spans="1:8" x14ac:dyDescent="0.35">
      <c r="A12" t="s">
        <v>108</v>
      </c>
      <c r="B12" t="s">
        <v>42</v>
      </c>
      <c r="C12" t="s">
        <v>8</v>
      </c>
      <c r="D12">
        <v>20</v>
      </c>
      <c r="E12">
        <v>1492.2</v>
      </c>
      <c r="F12" t="s">
        <v>97</v>
      </c>
      <c r="H12" s="19" t="str">
        <v>BDLEQ</v>
      </c>
    </row>
    <row r="13" spans="1:8" x14ac:dyDescent="0.35">
      <c r="A13" t="s">
        <v>109</v>
      </c>
      <c r="B13" t="s">
        <v>47</v>
      </c>
      <c r="C13" t="s">
        <v>12</v>
      </c>
      <c r="D13">
        <v>3</v>
      </c>
      <c r="E13">
        <v>3310</v>
      </c>
      <c r="F13" t="s">
        <v>97</v>
      </c>
      <c r="H13" s="19" t="str">
        <v>KFINTECHEQ</v>
      </c>
    </row>
    <row r="14" spans="1:8" x14ac:dyDescent="0.35">
      <c r="A14" t="s">
        <v>110</v>
      </c>
      <c r="B14" t="s">
        <v>7</v>
      </c>
      <c r="C14" t="s">
        <v>12</v>
      </c>
      <c r="D14">
        <v>3</v>
      </c>
      <c r="E14">
        <v>1814</v>
      </c>
      <c r="F14" t="s">
        <v>97</v>
      </c>
      <c r="H14" s="19" t="str">
        <v>SILVERBEESEQ</v>
      </c>
    </row>
    <row r="15" spans="1:8" x14ac:dyDescent="0.35">
      <c r="A15" t="s">
        <v>111</v>
      </c>
      <c r="B15" t="s">
        <v>7</v>
      </c>
      <c r="C15" t="s">
        <v>12</v>
      </c>
      <c r="D15">
        <v>3</v>
      </c>
      <c r="E15">
        <v>1914</v>
      </c>
      <c r="F15" t="s">
        <v>97</v>
      </c>
      <c r="H15" s="19" t="str">
        <v>CGPOWEREQ</v>
      </c>
    </row>
    <row r="16" spans="1:8" x14ac:dyDescent="0.35">
      <c r="A16" t="s">
        <v>112</v>
      </c>
      <c r="B16" t="s">
        <v>7</v>
      </c>
      <c r="C16" t="s">
        <v>12</v>
      </c>
      <c r="D16">
        <v>5</v>
      </c>
      <c r="E16">
        <v>1964</v>
      </c>
      <c r="F16" t="s">
        <v>97</v>
      </c>
      <c r="H16" s="19">
        <v>0</v>
      </c>
    </row>
    <row r="17" spans="1:6" x14ac:dyDescent="0.35">
      <c r="A17" t="s">
        <v>113</v>
      </c>
      <c r="B17" t="s">
        <v>42</v>
      </c>
      <c r="C17" t="s">
        <v>12</v>
      </c>
      <c r="D17">
        <v>10</v>
      </c>
      <c r="E17">
        <v>1440</v>
      </c>
      <c r="F17" t="s">
        <v>97</v>
      </c>
    </row>
    <row r="18" spans="1:6" x14ac:dyDescent="0.35">
      <c r="A18" t="s">
        <v>113</v>
      </c>
      <c r="B18" t="s">
        <v>42</v>
      </c>
      <c r="C18" t="s">
        <v>12</v>
      </c>
      <c r="D18">
        <v>10</v>
      </c>
      <c r="E18">
        <v>1452</v>
      </c>
      <c r="F18" t="s">
        <v>97</v>
      </c>
    </row>
    <row r="19" spans="1:6" x14ac:dyDescent="0.35">
      <c r="A19" t="s">
        <v>113</v>
      </c>
      <c r="B19" t="s">
        <v>27</v>
      </c>
      <c r="C19" t="s">
        <v>12</v>
      </c>
      <c r="D19">
        <v>30</v>
      </c>
      <c r="E19">
        <v>286</v>
      </c>
      <c r="F19" t="s">
        <v>97</v>
      </c>
    </row>
    <row r="20" spans="1:6" x14ac:dyDescent="0.35">
      <c r="A20" t="s">
        <v>113</v>
      </c>
      <c r="B20" t="s">
        <v>16</v>
      </c>
      <c r="C20" t="s">
        <v>12</v>
      </c>
      <c r="D20">
        <v>40</v>
      </c>
      <c r="E20">
        <v>436</v>
      </c>
      <c r="F20" t="s">
        <v>97</v>
      </c>
    </row>
    <row r="21" spans="1:6" x14ac:dyDescent="0.35">
      <c r="A21" t="s">
        <v>113</v>
      </c>
      <c r="B21" t="s">
        <v>21</v>
      </c>
      <c r="C21" t="s">
        <v>12</v>
      </c>
      <c r="D21">
        <v>25</v>
      </c>
      <c r="E21">
        <v>336</v>
      </c>
      <c r="F21" t="s">
        <v>97</v>
      </c>
    </row>
    <row r="22" spans="1:6" x14ac:dyDescent="0.35">
      <c r="A22" t="s">
        <v>114</v>
      </c>
      <c r="B22" t="s">
        <v>19</v>
      </c>
      <c r="C22" t="s">
        <v>12</v>
      </c>
      <c r="D22">
        <v>10</v>
      </c>
      <c r="E22">
        <v>2602</v>
      </c>
      <c r="F22" t="s">
        <v>97</v>
      </c>
    </row>
    <row r="23" spans="1:6" x14ac:dyDescent="0.35">
      <c r="A23" t="s">
        <v>113</v>
      </c>
      <c r="B23" t="s">
        <v>47</v>
      </c>
      <c r="C23" t="s">
        <v>12</v>
      </c>
      <c r="D23">
        <v>2</v>
      </c>
      <c r="E23">
        <v>3410</v>
      </c>
      <c r="F23" t="s">
        <v>97</v>
      </c>
    </row>
    <row r="24" spans="1:6" x14ac:dyDescent="0.35">
      <c r="A24" t="s">
        <v>113</v>
      </c>
      <c r="B24" t="s">
        <v>19</v>
      </c>
      <c r="C24" t="s">
        <v>12</v>
      </c>
      <c r="D24">
        <v>10</v>
      </c>
      <c r="E24">
        <v>2601</v>
      </c>
      <c r="F24" t="s">
        <v>97</v>
      </c>
    </row>
    <row r="25" spans="1:6" x14ac:dyDescent="0.35">
      <c r="A25" t="s">
        <v>113</v>
      </c>
      <c r="B25" t="s">
        <v>49</v>
      </c>
      <c r="C25" t="s">
        <v>12</v>
      </c>
      <c r="D25">
        <v>100</v>
      </c>
      <c r="E25">
        <v>87.3</v>
      </c>
      <c r="F25" t="s">
        <v>97</v>
      </c>
    </row>
    <row r="26" spans="1:6" x14ac:dyDescent="0.35">
      <c r="A26" t="s">
        <v>113</v>
      </c>
      <c r="B26" t="s">
        <v>51</v>
      </c>
      <c r="C26" t="s">
        <v>12</v>
      </c>
      <c r="D26">
        <v>10</v>
      </c>
      <c r="E26">
        <v>1440</v>
      </c>
      <c r="F26" t="s">
        <v>97</v>
      </c>
    </row>
    <row r="27" spans="1:6" x14ac:dyDescent="0.35">
      <c r="A27" t="s">
        <v>113</v>
      </c>
      <c r="B27" t="s">
        <v>18</v>
      </c>
      <c r="C27" t="s">
        <v>8</v>
      </c>
      <c r="D27">
        <v>50</v>
      </c>
      <c r="E27">
        <v>361</v>
      </c>
      <c r="F27" t="s">
        <v>97</v>
      </c>
    </row>
    <row r="28" spans="1:6" x14ac:dyDescent="0.35">
      <c r="A28" t="s">
        <v>115</v>
      </c>
      <c r="B28" t="s">
        <v>44</v>
      </c>
      <c r="C28" t="s">
        <v>8</v>
      </c>
      <c r="D28">
        <v>10</v>
      </c>
      <c r="E28">
        <v>977</v>
      </c>
      <c r="F28" t="s">
        <v>97</v>
      </c>
    </row>
    <row r="29" spans="1:6" x14ac:dyDescent="0.35">
      <c r="A29" t="s">
        <v>115</v>
      </c>
      <c r="B29" t="s">
        <v>18</v>
      </c>
      <c r="C29" t="s">
        <v>8</v>
      </c>
      <c r="D29">
        <v>50</v>
      </c>
      <c r="E29">
        <v>357</v>
      </c>
      <c r="F29" t="s">
        <v>97</v>
      </c>
    </row>
    <row r="30" spans="1:6" x14ac:dyDescent="0.35">
      <c r="A30" t="s">
        <v>115</v>
      </c>
      <c r="B30" t="s">
        <v>18</v>
      </c>
      <c r="C30" t="s">
        <v>8</v>
      </c>
      <c r="D30">
        <v>50</v>
      </c>
      <c r="E30">
        <v>353</v>
      </c>
      <c r="F30" t="s">
        <v>97</v>
      </c>
    </row>
    <row r="31" spans="1:6" x14ac:dyDescent="0.35">
      <c r="A31" t="s">
        <v>115</v>
      </c>
      <c r="B31" t="s">
        <v>44</v>
      </c>
      <c r="C31" t="s">
        <v>8</v>
      </c>
      <c r="D31">
        <v>10</v>
      </c>
      <c r="E31">
        <v>957</v>
      </c>
      <c r="F31" t="s">
        <v>97</v>
      </c>
    </row>
    <row r="32" spans="1:6" x14ac:dyDescent="0.35">
      <c r="A32" t="s">
        <v>116</v>
      </c>
      <c r="B32" t="s">
        <v>23</v>
      </c>
      <c r="C32" t="s">
        <v>8</v>
      </c>
      <c r="D32">
        <v>100</v>
      </c>
      <c r="E32">
        <v>223</v>
      </c>
      <c r="F32" t="s">
        <v>97</v>
      </c>
    </row>
    <row r="33" spans="1:6" x14ac:dyDescent="0.35">
      <c r="A33" t="s">
        <v>115</v>
      </c>
      <c r="B33" t="s">
        <v>52</v>
      </c>
      <c r="C33" t="s">
        <v>8</v>
      </c>
      <c r="D33">
        <v>20</v>
      </c>
      <c r="E33">
        <v>896</v>
      </c>
      <c r="F33" t="s">
        <v>97</v>
      </c>
    </row>
    <row r="34" spans="1:6" x14ac:dyDescent="0.35">
      <c r="A34" t="s">
        <v>115</v>
      </c>
      <c r="B34" t="s">
        <v>44</v>
      </c>
      <c r="C34" t="s">
        <v>8</v>
      </c>
      <c r="D34">
        <v>10</v>
      </c>
      <c r="E34">
        <v>947</v>
      </c>
      <c r="F3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05BF-A2A0-4D4A-B425-623EC32451A8}">
  <sheetPr filterMode="1"/>
  <dimension ref="A1:H234"/>
  <sheetViews>
    <sheetView workbookViewId="0">
      <selection sqref="A1:E233"/>
    </sheetView>
  </sheetViews>
  <sheetFormatPr defaultRowHeight="14.5" x14ac:dyDescent="0.35"/>
  <cols>
    <col min="1" max="1" width="23.36328125" customWidth="1"/>
    <col min="2" max="2" width="17.90625" customWidth="1"/>
  </cols>
  <sheetData>
    <row r="1" spans="1:8" ht="5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ht="15" thickBot="1" x14ac:dyDescent="0.4">
      <c r="A2" s="2">
        <v>46247.645138888889</v>
      </c>
      <c r="B2" s="3" t="s">
        <v>51</v>
      </c>
      <c r="C2" s="3" t="s">
        <v>12</v>
      </c>
      <c r="D2" s="4">
        <v>10</v>
      </c>
      <c r="E2" s="4">
        <v>1400</v>
      </c>
      <c r="H2" t="str">
        <f>IF(COUNTIFS(
    Sheet1!$B:$B, B2,
    Sheet1!$C:$C, C2,
    Sheet1!$D:$D, D2,
    Sheet1!$E:$E, E2
) = 0, "NO MATCH IN TARGET", "MATCHED")</f>
        <v>MATCHED</v>
      </c>
    </row>
    <row r="3" spans="1:8" ht="15" thickBot="1" x14ac:dyDescent="0.4">
      <c r="A3" s="5">
        <v>46248.644884259258</v>
      </c>
      <c r="B3" s="1" t="s">
        <v>49</v>
      </c>
      <c r="C3" s="1" t="s">
        <v>12</v>
      </c>
      <c r="D3" s="6">
        <v>100</v>
      </c>
      <c r="E3" s="6">
        <v>87.3</v>
      </c>
      <c r="H3" t="str">
        <f>IF(COUNTIFS(
    Sheet1!$B:$B, B3,
    Sheet1!$C:$C, C3,
    Sheet1!$D:$D, D3,
    Sheet1!$E:$E, E3
) = 0, "NO MATCH IN TARGET", "MATCHED")</f>
        <v>MATCHED</v>
      </c>
    </row>
    <row r="4" spans="1:8" ht="15" thickBot="1" x14ac:dyDescent="0.4">
      <c r="A4" s="5">
        <v>46248.769108796296</v>
      </c>
      <c r="B4" s="1" t="s">
        <v>19</v>
      </c>
      <c r="C4" s="1" t="s">
        <v>12</v>
      </c>
      <c r="D4" s="6">
        <v>10</v>
      </c>
      <c r="E4" s="6">
        <v>2601</v>
      </c>
      <c r="H4" t="str">
        <f>IF(COUNTIFS(
    Sheet1!$B:$B, B4,
    Sheet1!$C:$C, C4,
    Sheet1!$D:$D, D4,
    Sheet1!$E:$E, E4
) = 0, "NO MATCH IN TARGET", "MATCHED")</f>
        <v>MATCHED</v>
      </c>
    </row>
    <row r="5" spans="1:8" ht="15" hidden="1" thickBot="1" x14ac:dyDescent="0.4">
      <c r="A5" s="5">
        <v>46248.644884259258</v>
      </c>
      <c r="B5" s="1" t="s">
        <v>76</v>
      </c>
      <c r="C5" s="1" t="s">
        <v>12</v>
      </c>
      <c r="D5" s="6">
        <v>2</v>
      </c>
      <c r="E5" s="6">
        <v>2460</v>
      </c>
      <c r="H5" t="str">
        <f>IF(COUNTIFS(
    Sheet1!$B:$B, B5,
    Sheet1!$C:$C, C5,
    Sheet1!$D:$D, D5,
    Sheet1!$E:$E, E5
) = 0, "NO MATCH IN TARGET", "MATCHED")</f>
        <v>MATCHED</v>
      </c>
    </row>
    <row r="6" spans="1:8" ht="15" thickBot="1" x14ac:dyDescent="0.4">
      <c r="A6" s="5">
        <v>46248.644895833335</v>
      </c>
      <c r="B6" s="1" t="s">
        <v>47</v>
      </c>
      <c r="C6" s="1" t="s">
        <v>12</v>
      </c>
      <c r="D6" s="6">
        <v>2</v>
      </c>
      <c r="E6" s="6">
        <v>3410</v>
      </c>
      <c r="H6" t="str">
        <f>IF(COUNTIFS(
    Sheet1!$B:$B, B6,
    Sheet1!$C:$C, C6,
    Sheet1!$D:$D, D6,
    Sheet1!$E:$E, E6
) = 0, "NO MATCH IN TARGET", "MATCHED")</f>
        <v>MATCHED</v>
      </c>
    </row>
    <row r="7" spans="1:8" ht="15" hidden="1" thickBot="1" x14ac:dyDescent="0.4">
      <c r="A7" s="5">
        <v>46248.644837962966</v>
      </c>
      <c r="B7" s="1" t="s">
        <v>66</v>
      </c>
      <c r="C7" s="1" t="s">
        <v>12</v>
      </c>
      <c r="D7" s="6">
        <v>5</v>
      </c>
      <c r="E7" s="6">
        <v>1152</v>
      </c>
      <c r="H7" t="str">
        <f>IF(COUNTIFS(
    Sheet1!$B:$B, B7,
    Sheet1!$C:$C, C7,
    Sheet1!$D:$D, D7,
    Sheet1!$E:$E, E7
) = 0, "NO MATCH IN TARGET", "MATCHED")</f>
        <v>MATCHED</v>
      </c>
    </row>
    <row r="8" spans="1:8" ht="15" hidden="1" thickBot="1" x14ac:dyDescent="0.4">
      <c r="A8" s="5">
        <v>46248.644872685189</v>
      </c>
      <c r="B8" s="1" t="s">
        <v>74</v>
      </c>
      <c r="C8" s="1" t="s">
        <v>12</v>
      </c>
      <c r="D8" s="6">
        <v>5</v>
      </c>
      <c r="E8" s="6">
        <v>712</v>
      </c>
      <c r="H8" t="str">
        <f>IF(COUNTIFS(
    Sheet1!$B:$B, B8,
    Sheet1!$C:$C, C8,
    Sheet1!$D:$D, D8,
    Sheet1!$E:$E, E8
) = 0, "NO MATCH IN TARGET", "MATCHED")</f>
        <v>MATCHED</v>
      </c>
    </row>
    <row r="9" spans="1:8" ht="15" thickBot="1" x14ac:dyDescent="0.4">
      <c r="A9" s="5">
        <v>46248.769108796296</v>
      </c>
      <c r="B9" s="1" t="s">
        <v>19</v>
      </c>
      <c r="C9" s="1" t="s">
        <v>12</v>
      </c>
      <c r="D9" s="6">
        <v>10</v>
      </c>
      <c r="E9" s="6">
        <v>2583</v>
      </c>
      <c r="H9" t="str">
        <f>IF(COUNTIFS(
    Sheet1!$B:$B, B9,
    Sheet1!$C:$C, C9,
    Sheet1!$D:$D, D9,
    Sheet1!$E:$E, E9
) = 0, "NO MATCH IN TARGET", "MATCHED")</f>
        <v>MATCHED</v>
      </c>
    </row>
    <row r="10" spans="1:8" ht="15" hidden="1" thickBot="1" x14ac:dyDescent="0.4">
      <c r="A10" s="5">
        <v>46248.644872685189</v>
      </c>
      <c r="B10" s="1" t="s">
        <v>68</v>
      </c>
      <c r="C10" s="1" t="s">
        <v>12</v>
      </c>
      <c r="D10" s="6">
        <v>5</v>
      </c>
      <c r="E10" s="6">
        <v>4002</v>
      </c>
      <c r="H10" t="str">
        <f>IF(COUNTIFS(
    Sheet1!$B:$B, B10,
    Sheet1!$C:$C, C10,
    Sheet1!$D:$D, D10,
    Sheet1!$E:$E, E10
) = 0, "NO MATCH IN TARGET", "MATCHED")</f>
        <v>MATCHED</v>
      </c>
    </row>
    <row r="11" spans="1:8" ht="15" hidden="1" thickBot="1" x14ac:dyDescent="0.4">
      <c r="A11" s="5">
        <v>46248.769108796296</v>
      </c>
      <c r="B11" s="1" t="s">
        <v>19</v>
      </c>
      <c r="C11" s="1" t="s">
        <v>12</v>
      </c>
      <c r="D11" s="6">
        <v>10</v>
      </c>
      <c r="E11" s="6">
        <v>2578</v>
      </c>
      <c r="H11" t="str">
        <f>IF(COUNTIFS(
    Sheet1!$B:$B, B11,
    Sheet1!$C:$C, C11,
    Sheet1!$D:$D, D11,
    Sheet1!$E:$E, E11
) = 0, "NO MATCH IN TARGET", "MATCHED")</f>
        <v>MATCHED</v>
      </c>
    </row>
    <row r="12" spans="1:8" ht="15" hidden="1" thickBot="1" x14ac:dyDescent="0.4">
      <c r="A12" s="5">
        <v>46248.769108796296</v>
      </c>
      <c r="B12" s="1" t="s">
        <v>18</v>
      </c>
      <c r="C12" s="1" t="s">
        <v>12</v>
      </c>
      <c r="D12" s="6">
        <v>100</v>
      </c>
      <c r="E12" s="6">
        <v>341</v>
      </c>
      <c r="H12" t="str">
        <f>IF(COUNTIFS(
    Sheet1!$B:$B, B12,
    Sheet1!$C:$C, C12,
    Sheet1!$D:$D, D12,
    Sheet1!$E:$E, E12
) = 0, "NO MATCH IN TARGET", "MATCHED")</f>
        <v>MATCHED</v>
      </c>
    </row>
    <row r="13" spans="1:8" ht="15" thickBot="1" x14ac:dyDescent="0.4">
      <c r="A13" s="5">
        <v>46248.769120370373</v>
      </c>
      <c r="B13" s="1" t="s">
        <v>21</v>
      </c>
      <c r="C13" s="1" t="s">
        <v>12</v>
      </c>
      <c r="D13" s="6">
        <v>25</v>
      </c>
      <c r="E13" s="6">
        <v>336</v>
      </c>
      <c r="H13" t="str">
        <f>IF(COUNTIFS(
    Sheet1!$B:$B, B13,
    Sheet1!$C:$C, C13,
    Sheet1!$D:$D, D13,
    Sheet1!$E:$E, E13
) = 0, "NO MATCH IN TARGET", "MATCHED")</f>
        <v>MATCHED</v>
      </c>
    </row>
    <row r="14" spans="1:8" ht="15" thickBot="1" x14ac:dyDescent="0.4">
      <c r="A14" s="5">
        <v>46248.769108796296</v>
      </c>
      <c r="B14" s="1" t="s">
        <v>16</v>
      </c>
      <c r="C14" s="1" t="s">
        <v>12</v>
      </c>
      <c r="D14" s="6">
        <v>40</v>
      </c>
      <c r="E14" s="6">
        <v>436</v>
      </c>
      <c r="H14" t="str">
        <f>IF(COUNTIFS(
    Sheet1!$B:$B, B14,
    Sheet1!$C:$C, C14,
    Sheet1!$D:$D, D14,
    Sheet1!$E:$E, E14
) = 0, "NO MATCH IN TARGET", "MATCHED")</f>
        <v>MATCHED</v>
      </c>
    </row>
    <row r="15" spans="1:8" ht="15" hidden="1" thickBot="1" x14ac:dyDescent="0.4">
      <c r="A15" s="5">
        <v>46248.644826388889</v>
      </c>
      <c r="B15" s="1" t="s">
        <v>73</v>
      </c>
      <c r="C15" s="1" t="s">
        <v>12</v>
      </c>
      <c r="D15" s="6">
        <v>5</v>
      </c>
      <c r="E15" s="6">
        <v>2938</v>
      </c>
      <c r="H15" t="str">
        <f>IF(COUNTIFS(
    Sheet1!$B:$B, B15,
    Sheet1!$C:$C, C15,
    Sheet1!$D:$D, D15,
    Sheet1!$E:$E, E15
) = 0, "NO MATCH IN TARGET", "MATCHED")</f>
        <v>MATCHED</v>
      </c>
    </row>
    <row r="16" spans="1:8" ht="15" hidden="1" thickBot="1" x14ac:dyDescent="0.4">
      <c r="A16" s="5">
        <v>46248.644884259258</v>
      </c>
      <c r="B16" s="1" t="s">
        <v>71</v>
      </c>
      <c r="C16" s="1" t="s">
        <v>12</v>
      </c>
      <c r="D16" s="6">
        <v>10</v>
      </c>
      <c r="E16" s="6">
        <v>223</v>
      </c>
      <c r="H16" t="str">
        <f>IF(COUNTIFS(
    Sheet1!$B:$B, B16,
    Sheet1!$C:$C, C16,
    Sheet1!$D:$D, D16,
    Sheet1!$E:$E, E16
) = 0, "NO MATCH IN TARGET", "MATCHED")</f>
        <v>MATCHED</v>
      </c>
    </row>
    <row r="17" spans="1:8" ht="15" hidden="1" thickBot="1" x14ac:dyDescent="0.4">
      <c r="A17" s="5">
        <v>46248.644826388889</v>
      </c>
      <c r="B17" s="1" t="s">
        <v>70</v>
      </c>
      <c r="C17" s="1" t="s">
        <v>12</v>
      </c>
      <c r="D17" s="6">
        <v>4</v>
      </c>
      <c r="E17" s="6">
        <v>1066</v>
      </c>
      <c r="H17" t="str">
        <f>IF(COUNTIFS(
    Sheet1!$B:$B, B17,
    Sheet1!$C:$C, C17,
    Sheet1!$D:$D, D17,
    Sheet1!$E:$E, E17
) = 0, "NO MATCH IN TARGET", "MATCHED")</f>
        <v>MATCHED</v>
      </c>
    </row>
    <row r="18" spans="1:8" ht="15" hidden="1" thickBot="1" x14ac:dyDescent="0.4">
      <c r="A18" s="5">
        <v>46248.644837962966</v>
      </c>
      <c r="B18" s="1" t="s">
        <v>66</v>
      </c>
      <c r="C18" s="1" t="s">
        <v>12</v>
      </c>
      <c r="D18" s="6">
        <v>5</v>
      </c>
      <c r="E18" s="6">
        <v>1142</v>
      </c>
      <c r="H18" t="str">
        <f>IF(COUNTIFS(
    Sheet1!$B:$B, B18,
    Sheet1!$C:$C, C18,
    Sheet1!$D:$D, D18,
    Sheet1!$E:$E, E18
) = 0, "NO MATCH IN TARGET", "MATCHED")</f>
        <v>MATCHED</v>
      </c>
    </row>
    <row r="19" spans="1:8" ht="15" hidden="1" thickBot="1" x14ac:dyDescent="0.4">
      <c r="A19" s="7">
        <v>46248.769108796296</v>
      </c>
      <c r="B19" s="8" t="s">
        <v>23</v>
      </c>
      <c r="C19" s="8" t="s">
        <v>12</v>
      </c>
      <c r="D19" s="9">
        <v>100</v>
      </c>
      <c r="E19" s="9">
        <v>217</v>
      </c>
      <c r="H19" t="str">
        <f>IF(COUNTIFS(
    Sheet1!$B:$B, B19,
    Sheet1!$C:$C, C19,
    Sheet1!$D:$D, D19,
    Sheet1!$E:$E, E19
) = 0, "NO MATCH IN TARGET", "MATCHED")</f>
        <v>MATCHED</v>
      </c>
    </row>
    <row r="20" spans="1:8" ht="15" hidden="1" thickBot="1" x14ac:dyDescent="0.4">
      <c r="A20" s="5">
        <v>46248.644872685189</v>
      </c>
      <c r="B20" s="1" t="s">
        <v>60</v>
      </c>
      <c r="C20" s="1" t="s">
        <v>12</v>
      </c>
      <c r="D20" s="6">
        <v>1</v>
      </c>
      <c r="E20" s="6">
        <v>19552</v>
      </c>
      <c r="H20" t="str">
        <f>IF(COUNTIFS(
    Sheet1!$B:$B, B20,
    Sheet1!$C:$C, C20,
    Sheet1!$D:$D, D20,
    Sheet1!$E:$E, E20
) = 0, "NO MATCH IN TARGET", "MATCHED")</f>
        <v>MATCHED</v>
      </c>
    </row>
    <row r="21" spans="1:8" ht="15" hidden="1" thickBot="1" x14ac:dyDescent="0.4">
      <c r="A21" s="5">
        <v>46364.689583333333</v>
      </c>
      <c r="B21" s="1" t="s">
        <v>37</v>
      </c>
      <c r="C21" s="1" t="s">
        <v>12</v>
      </c>
      <c r="D21" s="6">
        <v>5</v>
      </c>
      <c r="E21" s="6">
        <v>916</v>
      </c>
      <c r="H21" t="str">
        <f>IF(COUNTIFS(
    Sheet1!$B:$B, B21,
    Sheet1!$C:$C, C21,
    Sheet1!$D:$D, D21,
    Sheet1!$E:$E, E21
) = 0, "NO MATCH IN TARGET", "MATCHED")</f>
        <v>MATCHED</v>
      </c>
    </row>
    <row r="22" spans="1:8" ht="15" hidden="1" thickBot="1" x14ac:dyDescent="0.4">
      <c r="A22" s="5">
        <v>46248.770914351851</v>
      </c>
      <c r="B22" s="1" t="s">
        <v>36</v>
      </c>
      <c r="C22" s="1" t="s">
        <v>12</v>
      </c>
      <c r="D22" s="6">
        <v>20</v>
      </c>
      <c r="E22" s="6">
        <v>276</v>
      </c>
      <c r="H22" t="str">
        <f>IF(COUNTIFS(
    Sheet1!$B:$B, B22,
    Sheet1!$C:$C, C22,
    Sheet1!$D:$D, D22,
    Sheet1!$E:$E, E22
) = 0, "NO MATCH IN TARGET", "MATCHED")</f>
        <v>MATCHED</v>
      </c>
    </row>
    <row r="23" spans="1:8" ht="15" hidden="1" thickBot="1" x14ac:dyDescent="0.4">
      <c r="A23" s="5">
        <v>46248.769120370373</v>
      </c>
      <c r="B23" s="1" t="s">
        <v>19</v>
      </c>
      <c r="C23" s="1" t="s">
        <v>12</v>
      </c>
      <c r="D23" s="6">
        <v>10</v>
      </c>
      <c r="E23" s="6">
        <v>2553</v>
      </c>
      <c r="H23" t="str">
        <f>IF(COUNTIFS(
    Sheet1!$B:$B, B23,
    Sheet1!$C:$C, C23,
    Sheet1!$D:$D, D23,
    Sheet1!$E:$E, E23
) = 0, "NO MATCH IN TARGET", "MATCHED")</f>
        <v>MATCHED</v>
      </c>
    </row>
    <row r="24" spans="1:8" ht="15" hidden="1" thickBot="1" x14ac:dyDescent="0.4">
      <c r="A24" s="5">
        <v>46248.769120370373</v>
      </c>
      <c r="B24" s="1" t="s">
        <v>35</v>
      </c>
      <c r="C24" s="1" t="s">
        <v>12</v>
      </c>
      <c r="D24" s="6">
        <v>50</v>
      </c>
      <c r="E24" s="6">
        <v>203.5</v>
      </c>
      <c r="H24" t="str">
        <f>IF(COUNTIFS(
    Sheet1!$B:$B, B24,
    Sheet1!$C:$C, C24,
    Sheet1!$D:$D, D24,
    Sheet1!$E:$E, E24
) = 0, "NO MATCH IN TARGET", "MATCHED")</f>
        <v>MATCHED</v>
      </c>
    </row>
    <row r="25" spans="1:8" ht="15" thickBot="1" x14ac:dyDescent="0.4">
      <c r="A25" s="5">
        <v>46248.769120370373</v>
      </c>
      <c r="B25" s="1" t="s">
        <v>27</v>
      </c>
      <c r="C25" s="1" t="s">
        <v>12</v>
      </c>
      <c r="D25" s="6">
        <v>30</v>
      </c>
      <c r="E25" s="6">
        <v>286</v>
      </c>
      <c r="H25" t="str">
        <f>IF(COUNTIFS(
    Sheet1!$B:$B, B25,
    Sheet1!$C:$C, C25,
    Sheet1!$D:$D, D25,
    Sheet1!$E:$E, E25
) = 0, "NO MATCH IN TARGET", "MATCHED")</f>
        <v>MATCHED</v>
      </c>
    </row>
    <row r="26" spans="1:8" ht="15" thickBot="1" x14ac:dyDescent="0.4">
      <c r="A26" s="5">
        <v>46247.645138888889</v>
      </c>
      <c r="B26" s="1" t="s">
        <v>74</v>
      </c>
      <c r="C26" s="1" t="s">
        <v>12</v>
      </c>
      <c r="D26" s="6">
        <v>5</v>
      </c>
      <c r="E26" s="6">
        <v>702</v>
      </c>
      <c r="H26" t="str">
        <f>IF(COUNTIFS(
    Sheet1!$B:$B, B26,
    Sheet1!$C:$C, C26,
    Sheet1!$D:$D, D26,
    Sheet1!$E:$E, E26
) = 0, "NO MATCH IN TARGET", "MATCHED")</f>
        <v>MATCHED</v>
      </c>
    </row>
    <row r="27" spans="1:8" ht="15" hidden="1" thickBot="1" x14ac:dyDescent="0.4">
      <c r="A27" s="5">
        <v>46248.644872685189</v>
      </c>
      <c r="B27" s="1" t="s">
        <v>69</v>
      </c>
      <c r="C27" s="1" t="s">
        <v>12</v>
      </c>
      <c r="D27" s="6">
        <v>2</v>
      </c>
      <c r="E27" s="6">
        <v>4206</v>
      </c>
      <c r="H27" t="str">
        <f>IF(COUNTIFS(
    Sheet1!$B:$B, B27,
    Sheet1!$C:$C, C27,
    Sheet1!$D:$D, D27,
    Sheet1!$E:$E, E27
) = 0, "NO MATCH IN TARGET", "MATCHED")</f>
        <v>MATCHED</v>
      </c>
    </row>
    <row r="28" spans="1:8" ht="15" hidden="1" thickBot="1" x14ac:dyDescent="0.4">
      <c r="A28" s="5">
        <v>46248.769120370373</v>
      </c>
      <c r="B28" s="1" t="s">
        <v>33</v>
      </c>
      <c r="C28" s="1" t="s">
        <v>12</v>
      </c>
      <c r="D28" s="6">
        <v>50</v>
      </c>
      <c r="E28" s="6">
        <v>122</v>
      </c>
      <c r="H28" t="str">
        <f>IF(COUNTIFS(
    Sheet1!$B:$B, B28,
    Sheet1!$C:$C, C28,
    Sheet1!$D:$D, D28,
    Sheet1!$E:$E, E28
) = 0, "NO MATCH IN TARGET", "MATCHED")</f>
        <v>MATCHED</v>
      </c>
    </row>
    <row r="29" spans="1:8" ht="15" hidden="1" thickBot="1" x14ac:dyDescent="0.4">
      <c r="A29" s="5">
        <v>46248.644872685189</v>
      </c>
      <c r="B29" s="1" t="s">
        <v>68</v>
      </c>
      <c r="C29" s="1" t="s">
        <v>12</v>
      </c>
      <c r="D29" s="6">
        <v>5</v>
      </c>
      <c r="E29" s="6">
        <v>3952</v>
      </c>
      <c r="H29" t="str">
        <f>IF(COUNTIFS(
    Sheet1!$B:$B, B29,
    Sheet1!$C:$C, C29,
    Sheet1!$D:$D, D29,
    Sheet1!$E:$E, E29
) = 0, "NO MATCH IN TARGET", "MATCHED")</f>
        <v>MATCHED</v>
      </c>
    </row>
    <row r="30" spans="1:8" ht="15" hidden="1" thickBot="1" x14ac:dyDescent="0.4">
      <c r="A30" s="5">
        <v>46248.644826388889</v>
      </c>
      <c r="B30" s="1" t="s">
        <v>58</v>
      </c>
      <c r="C30" s="1" t="s">
        <v>12</v>
      </c>
      <c r="D30" s="6">
        <v>10</v>
      </c>
      <c r="E30" s="6">
        <v>400</v>
      </c>
      <c r="H30" t="str">
        <f>IF(COUNTIFS(
    Sheet1!$B:$B, B30,
    Sheet1!$C:$C, C30,
    Sheet1!$D:$D, D30,
    Sheet1!$E:$E, E30
) = 0, "NO MATCH IN TARGET", "MATCHED")</f>
        <v>MATCHED</v>
      </c>
    </row>
    <row r="31" spans="1:8" ht="15" hidden="1" thickBot="1" x14ac:dyDescent="0.4">
      <c r="A31" s="5">
        <v>46248.769120370373</v>
      </c>
      <c r="B31" s="1" t="s">
        <v>32</v>
      </c>
      <c r="C31" s="1" t="s">
        <v>12</v>
      </c>
      <c r="D31" s="6">
        <v>5</v>
      </c>
      <c r="E31" s="6">
        <v>660</v>
      </c>
      <c r="H31" t="str">
        <f>IF(COUNTIFS(
    Sheet1!$B:$B, B31,
    Sheet1!$C:$C, C31,
    Sheet1!$D:$D, D31,
    Sheet1!$E:$E, E31
) = 0, "NO MATCH IN TARGET", "MATCHED")</f>
        <v>MATCHED</v>
      </c>
    </row>
    <row r="32" spans="1:8" ht="15" thickBot="1" x14ac:dyDescent="0.4">
      <c r="A32" s="5">
        <v>46248.644895833335</v>
      </c>
      <c r="B32" s="1" t="s">
        <v>42</v>
      </c>
      <c r="C32" s="1" t="s">
        <v>12</v>
      </c>
      <c r="D32" s="6">
        <v>10</v>
      </c>
      <c r="E32" s="6">
        <v>1452</v>
      </c>
      <c r="H32" t="str">
        <f>IF(COUNTIFS(
    Sheet1!$B:$B, B32,
    Sheet1!$C:$C, C32,
    Sheet1!$D:$D, D32,
    Sheet1!$E:$E, E32
) = 0, "NO MATCH IN TARGET", "MATCHED")</f>
        <v>MATCHED</v>
      </c>
    </row>
    <row r="33" spans="1:8" ht="15" hidden="1" thickBot="1" x14ac:dyDescent="0.4">
      <c r="A33" s="5">
        <v>46248.769120370373</v>
      </c>
      <c r="B33" s="1" t="s">
        <v>18</v>
      </c>
      <c r="C33" s="1" t="s">
        <v>12</v>
      </c>
      <c r="D33" s="6">
        <v>100</v>
      </c>
      <c r="E33" s="6">
        <v>337</v>
      </c>
      <c r="H33" t="str">
        <f>IF(COUNTIFS(
    Sheet1!$B:$B, B33,
    Sheet1!$C:$C, C33,
    Sheet1!$D:$D, D33,
    Sheet1!$E:$E, E33
) = 0, "NO MATCH IN TARGET", "MATCHED")</f>
        <v>MATCHED</v>
      </c>
    </row>
    <row r="34" spans="1:8" ht="15" hidden="1" thickBot="1" x14ac:dyDescent="0.4">
      <c r="A34" s="5">
        <v>46248.644837962966</v>
      </c>
      <c r="B34" s="1" t="s">
        <v>66</v>
      </c>
      <c r="C34" s="1" t="s">
        <v>12</v>
      </c>
      <c r="D34" s="6">
        <v>5</v>
      </c>
      <c r="E34" s="6">
        <v>1132</v>
      </c>
      <c r="H34" t="str">
        <f>IF(COUNTIFS(
    Sheet1!$B:$B, B34,
    Sheet1!$C:$C, C34,
    Sheet1!$D:$D, D34,
    Sheet1!$E:$E, E34
) = 0, "NO MATCH IN TARGET", "MATCHED")</f>
        <v>MATCHED</v>
      </c>
    </row>
    <row r="35" spans="1:8" ht="15" thickBot="1" x14ac:dyDescent="0.4">
      <c r="A35" s="5">
        <v>46247.689583333333</v>
      </c>
      <c r="B35" s="1" t="s">
        <v>19</v>
      </c>
      <c r="C35" s="1" t="s">
        <v>12</v>
      </c>
      <c r="D35" s="6">
        <v>5</v>
      </c>
      <c r="E35" s="6">
        <v>2540</v>
      </c>
      <c r="H35" t="str">
        <f>IF(COUNTIFS(
    Sheet1!$B:$B, B35,
    Sheet1!$C:$C, C35,
    Sheet1!$D:$D, D35,
    Sheet1!$E:$E, E35
) = 0, "NO MATCH IN TARGET", "MATCHED")</f>
        <v>MATCHED</v>
      </c>
    </row>
    <row r="36" spans="1:8" ht="15" thickBot="1" x14ac:dyDescent="0.4">
      <c r="A36" s="5">
        <v>46247.645138888889</v>
      </c>
      <c r="B36" s="1" t="s">
        <v>68</v>
      </c>
      <c r="C36" s="1" t="s">
        <v>12</v>
      </c>
      <c r="D36" s="6">
        <v>5</v>
      </c>
      <c r="E36" s="6">
        <v>3938</v>
      </c>
      <c r="H36" t="str">
        <f>IF(COUNTIFS(
    Sheet1!$B:$B, B36,
    Sheet1!$C:$C, C36,
    Sheet1!$D:$D, D36,
    Sheet1!$E:$E, E36
) = 0, "NO MATCH IN TARGET", "MATCHED")</f>
        <v>MATCHED</v>
      </c>
    </row>
    <row r="37" spans="1:8" ht="15" thickBot="1" x14ac:dyDescent="0.4">
      <c r="A37" s="5">
        <v>46364.635416666664</v>
      </c>
      <c r="B37" s="1" t="s">
        <v>71</v>
      </c>
      <c r="C37" s="1" t="s">
        <v>12</v>
      </c>
      <c r="D37" s="6">
        <v>10</v>
      </c>
      <c r="E37" s="6">
        <v>220.1</v>
      </c>
      <c r="H37" t="str">
        <f>IF(COUNTIFS(
    Sheet1!$B:$B, B37,
    Sheet1!$C:$C, C37,
    Sheet1!$D:$D, D37,
    Sheet1!$E:$E, E37
) = 0, "NO MATCH IN TARGET", "MATCHED")</f>
        <v>MATCHED</v>
      </c>
    </row>
    <row r="38" spans="1:8" ht="15" hidden="1" thickBot="1" x14ac:dyDescent="0.4">
      <c r="A38" s="5">
        <v>46248.635567129626</v>
      </c>
      <c r="B38" s="1" t="s">
        <v>65</v>
      </c>
      <c r="C38" s="1" t="s">
        <v>12</v>
      </c>
      <c r="D38" s="6">
        <v>3</v>
      </c>
      <c r="E38" s="6">
        <v>1302</v>
      </c>
      <c r="H38" t="str">
        <f>IF(COUNTIFS(
    Sheet1!$B:$B, B38,
    Sheet1!$C:$C, C38,
    Sheet1!$D:$D, D38,
    Sheet1!$E:$E, E38
) = 0, "NO MATCH IN TARGET", "MATCHED")</f>
        <v>MATCHED</v>
      </c>
    </row>
    <row r="39" spans="1:8" ht="15" hidden="1" thickBot="1" x14ac:dyDescent="0.4">
      <c r="A39" s="5">
        <v>46248.769120370373</v>
      </c>
      <c r="B39" s="1" t="s">
        <v>18</v>
      </c>
      <c r="C39" s="1" t="s">
        <v>12</v>
      </c>
      <c r="D39" s="6">
        <v>100</v>
      </c>
      <c r="E39" s="6">
        <v>335</v>
      </c>
      <c r="H39" t="str">
        <f>IF(COUNTIFS(
    Sheet1!$B:$B, B39,
    Sheet1!$C:$C, C39,
    Sheet1!$D:$D, D39,
    Sheet1!$E:$E, E39
) = 0, "NO MATCH IN TARGET", "MATCHED")</f>
        <v>MATCHED</v>
      </c>
    </row>
    <row r="40" spans="1:8" ht="15" hidden="1" thickBot="1" x14ac:dyDescent="0.4">
      <c r="A40" s="5">
        <v>46248.635520833333</v>
      </c>
      <c r="B40" s="1" t="s">
        <v>64</v>
      </c>
      <c r="C40" s="1" t="s">
        <v>12</v>
      </c>
      <c r="D40" s="6">
        <v>10</v>
      </c>
      <c r="E40" s="6">
        <v>1030</v>
      </c>
      <c r="H40" t="str">
        <f>IF(COUNTIFS(
    Sheet1!$B:$B, B40,
    Sheet1!$C:$C, C40,
    Sheet1!$D:$D, D40,
    Sheet1!$E:$E, E40
) = 0, "NO MATCH IN TARGET", "MATCHED")</f>
        <v>MATCHED</v>
      </c>
    </row>
    <row r="41" spans="1:8" ht="15" thickBot="1" x14ac:dyDescent="0.4">
      <c r="A41" s="7">
        <v>46248.769120370373</v>
      </c>
      <c r="B41" s="8" t="s">
        <v>23</v>
      </c>
      <c r="C41" s="8" t="s">
        <v>12</v>
      </c>
      <c r="D41" s="9">
        <v>150</v>
      </c>
      <c r="E41" s="9">
        <v>214</v>
      </c>
      <c r="H41" t="str">
        <f>IF(COUNTIFS(
    Sheet1!$B:$B, B41,
    Sheet1!$C:$C, C41,
    Sheet1!$D:$D, D41,
    Sheet1!$E:$E, E41
) = 0, "NO MATCH IN TARGET", "MATCHED")</f>
        <v>MATCHED</v>
      </c>
    </row>
    <row r="42" spans="1:8" ht="15" thickBot="1" x14ac:dyDescent="0.4">
      <c r="A42" s="5">
        <v>46247.635416666664</v>
      </c>
      <c r="B42" s="1" t="s">
        <v>73</v>
      </c>
      <c r="C42" s="1" t="s">
        <v>12</v>
      </c>
      <c r="D42" s="6">
        <v>5</v>
      </c>
      <c r="E42" s="6">
        <v>2888</v>
      </c>
      <c r="H42" t="str">
        <f>IF(COUNTIFS(
    Sheet1!$B:$B, B42,
    Sheet1!$C:$C, C42,
    Sheet1!$D:$D, D42,
    Sheet1!$E:$E, E42
) = 0, "NO MATCH IN TARGET", "MATCHED")</f>
        <v>MATCHED</v>
      </c>
    </row>
    <row r="43" spans="1:8" ht="15" hidden="1" thickBot="1" x14ac:dyDescent="0.4">
      <c r="A43" s="5">
        <v>46248.635567129626</v>
      </c>
      <c r="B43" s="1" t="s">
        <v>42</v>
      </c>
      <c r="C43" s="1" t="s">
        <v>12</v>
      </c>
      <c r="D43" s="6">
        <v>10</v>
      </c>
      <c r="E43" s="6">
        <v>1440</v>
      </c>
      <c r="H43" t="str">
        <f>IF(COUNTIFS(
    Sheet1!$B:$B, B43,
    Sheet1!$C:$C, C43,
    Sheet1!$D:$D, D43,
    Sheet1!$E:$E, E43
) = 0, "NO MATCH IN TARGET", "MATCHED")</f>
        <v>MATCHED</v>
      </c>
    </row>
    <row r="44" spans="1:8" ht="15" thickBot="1" x14ac:dyDescent="0.4">
      <c r="A44" s="5">
        <v>46248.769120370373</v>
      </c>
      <c r="B44" s="1" t="s">
        <v>35</v>
      </c>
      <c r="C44" s="1" t="s">
        <v>12</v>
      </c>
      <c r="D44" s="6">
        <v>50</v>
      </c>
      <c r="E44" s="6">
        <v>201</v>
      </c>
      <c r="H44" t="str">
        <f>IF(COUNTIFS(
    Sheet1!$B:$B, B44,
    Sheet1!$C:$C, C44,
    Sheet1!$D:$D, D44,
    Sheet1!$E:$E, E44
) = 0, "NO MATCH IN TARGET", "MATCHED")</f>
        <v>MATCHED</v>
      </c>
    </row>
    <row r="45" spans="1:8" ht="15" thickBot="1" x14ac:dyDescent="0.4">
      <c r="A45" s="5">
        <v>46248.635509259257</v>
      </c>
      <c r="B45" s="1" t="s">
        <v>44</v>
      </c>
      <c r="C45" s="1" t="s">
        <v>12</v>
      </c>
      <c r="D45" s="6">
        <v>10</v>
      </c>
      <c r="E45" s="6">
        <v>907</v>
      </c>
      <c r="H45" t="str">
        <f>IF(COUNTIFS(
    Sheet1!$B:$B, B45,
    Sheet1!$C:$C, C45,
    Sheet1!$D:$D, D45,
    Sheet1!$E:$E, E45
) = 0, "NO MATCH IN TARGET", "MATCHED")</f>
        <v>MATCHED</v>
      </c>
    </row>
    <row r="46" spans="1:8" ht="15" hidden="1" thickBot="1" x14ac:dyDescent="0.4">
      <c r="A46" s="5">
        <v>46248.635520833333</v>
      </c>
      <c r="B46" s="1" t="s">
        <v>56</v>
      </c>
      <c r="C46" s="1" t="s">
        <v>12</v>
      </c>
      <c r="D46" s="6">
        <v>5</v>
      </c>
      <c r="E46" s="6">
        <v>1188</v>
      </c>
      <c r="H46" t="str">
        <f>IF(COUNTIFS(
    Sheet1!$B:$B, B46,
    Sheet1!$C:$C, C46,
    Sheet1!$D:$D, D46,
    Sheet1!$E:$E, E46
) = 0, "NO MATCH IN TARGET", "MATCHED")</f>
        <v>MATCHED</v>
      </c>
    </row>
    <row r="47" spans="1:8" ht="15" hidden="1" thickBot="1" x14ac:dyDescent="0.4">
      <c r="A47" s="5">
        <v>46248.635520833333</v>
      </c>
      <c r="B47" s="1" t="s">
        <v>63</v>
      </c>
      <c r="C47" s="1" t="s">
        <v>12</v>
      </c>
      <c r="D47" s="6">
        <v>7</v>
      </c>
      <c r="E47" s="6">
        <v>2230</v>
      </c>
      <c r="H47" t="str">
        <f>IF(COUNTIFS(
    Sheet1!$B:$B, B47,
    Sheet1!$C:$C, C47,
    Sheet1!$D:$D, D47,
    Sheet1!$E:$E, E47
) = 0, "NO MATCH IN TARGET", "MATCHED")</f>
        <v>MATCHED</v>
      </c>
    </row>
    <row r="48" spans="1:8" ht="15" thickBot="1" x14ac:dyDescent="0.4">
      <c r="A48" s="5">
        <v>46364.635416666664</v>
      </c>
      <c r="B48" s="1" t="s">
        <v>47</v>
      </c>
      <c r="C48" s="1" t="s">
        <v>12</v>
      </c>
      <c r="D48" s="6">
        <v>3</v>
      </c>
      <c r="E48" s="6">
        <v>3310</v>
      </c>
      <c r="H48" t="str">
        <f>IF(COUNTIFS(
    Sheet1!$B:$B, B48,
    Sheet1!$C:$C, C48,
    Sheet1!$D:$D, D48,
    Sheet1!$E:$E, E48
) = 0, "NO MATCH IN TARGET", "MATCHED")</f>
        <v>MATCHED</v>
      </c>
    </row>
    <row r="49" spans="1:8" ht="15" hidden="1" thickBot="1" x14ac:dyDescent="0.4">
      <c r="A49" s="5">
        <v>46247.689583333333</v>
      </c>
      <c r="B49" s="1" t="s">
        <v>19</v>
      </c>
      <c r="C49" s="1" t="s">
        <v>12</v>
      </c>
      <c r="D49" s="6">
        <v>5</v>
      </c>
      <c r="E49" s="6">
        <v>2510</v>
      </c>
      <c r="H49" t="str">
        <f>IF(COUNTIFS(
    Sheet1!$B:$B, B49,
    Sheet1!$C:$C, C49,
    Sheet1!$D:$D, D49,
    Sheet1!$E:$E, E49
) = 0, "NO MATCH IN TARGET", "MATCHED")</f>
        <v>MATCHED</v>
      </c>
    </row>
    <row r="50" spans="1:8" ht="15" thickBot="1" x14ac:dyDescent="0.4">
      <c r="A50" s="5">
        <v>46248.771099537036</v>
      </c>
      <c r="B50" s="1" t="s">
        <v>7</v>
      </c>
      <c r="C50" s="1" t="s">
        <v>12</v>
      </c>
      <c r="D50" s="6">
        <v>5</v>
      </c>
      <c r="E50" s="6">
        <v>1964</v>
      </c>
      <c r="H50" t="str">
        <f>IF(COUNTIFS(
    Sheet1!$B:$B, B50,
    Sheet1!$C:$C, C50,
    Sheet1!$D:$D, D50,
    Sheet1!$E:$E, E50
) = 0, "NO MATCH IN TARGET", "MATCHED")</f>
        <v>NO MATCH IN TARGET</v>
      </c>
    </row>
    <row r="51" spans="1:8" ht="15" hidden="1" thickBot="1" x14ac:dyDescent="0.4">
      <c r="A51" s="5">
        <v>46248.769120370373</v>
      </c>
      <c r="B51" s="1" t="s">
        <v>16</v>
      </c>
      <c r="C51" s="1" t="s">
        <v>12</v>
      </c>
      <c r="D51" s="6">
        <v>40</v>
      </c>
      <c r="E51" s="6">
        <v>426</v>
      </c>
      <c r="H51" t="str">
        <f>IF(COUNTIFS(
    Sheet1!$B:$B, B51,
    Sheet1!$C:$C, C51,
    Sheet1!$D:$D, D51,
    Sheet1!$E:$E, E51
) = 0, "NO MATCH IN TARGET", "MATCHED")</f>
        <v>MATCHED</v>
      </c>
    </row>
    <row r="52" spans="1:8" ht="15" hidden="1" thickBot="1" x14ac:dyDescent="0.4">
      <c r="A52" s="5">
        <v>46248.63554398148</v>
      </c>
      <c r="B52" s="1" t="s">
        <v>51</v>
      </c>
      <c r="C52" s="1" t="s">
        <v>12</v>
      </c>
      <c r="D52" s="6">
        <v>10</v>
      </c>
      <c r="E52" s="6">
        <v>1340</v>
      </c>
      <c r="H52" t="str">
        <f>IF(COUNTIFS(
    Sheet1!$B:$B, B52,
    Sheet1!$C:$C, C52,
    Sheet1!$D:$D, D52,
    Sheet1!$E:$E, E52
) = 0, "NO MATCH IN TARGET", "MATCHED")</f>
        <v>MATCHED</v>
      </c>
    </row>
    <row r="53" spans="1:8" ht="15" thickBot="1" x14ac:dyDescent="0.4">
      <c r="A53" s="5">
        <v>46245.635416666664</v>
      </c>
      <c r="B53" s="1" t="s">
        <v>68</v>
      </c>
      <c r="C53" s="1" t="s">
        <v>12</v>
      </c>
      <c r="D53" s="6">
        <v>5</v>
      </c>
      <c r="E53" s="6">
        <v>3888</v>
      </c>
      <c r="H53" t="str">
        <f>IF(COUNTIFS(
    Sheet1!$B:$B, B53,
    Sheet1!$C:$C, C53,
    Sheet1!$D:$D, D53,
    Sheet1!$E:$E, E53
) = 0, "NO MATCH IN TARGET", "MATCHED")</f>
        <v>MATCHED</v>
      </c>
    </row>
    <row r="54" spans="1:8" ht="15" thickBot="1" x14ac:dyDescent="0.4">
      <c r="A54" s="5">
        <v>46246.689583333333</v>
      </c>
      <c r="B54" s="1" t="s">
        <v>27</v>
      </c>
      <c r="C54" s="1" t="s">
        <v>12</v>
      </c>
      <c r="D54" s="6">
        <v>20</v>
      </c>
      <c r="E54" s="6">
        <v>281</v>
      </c>
      <c r="H54" t="str">
        <f>IF(COUNTIFS(
    Sheet1!$B:$B, B54,
    Sheet1!$C:$C, C54,
    Sheet1!$D:$D, D54,
    Sheet1!$E:$E, E54
) = 0, "NO MATCH IN TARGET", "MATCHED")</f>
        <v>MATCHED</v>
      </c>
    </row>
    <row r="55" spans="1:8" ht="15" hidden="1" thickBot="1" x14ac:dyDescent="0.4">
      <c r="A55" s="5">
        <v>46248.635509259257</v>
      </c>
      <c r="B55" s="1" t="s">
        <v>62</v>
      </c>
      <c r="C55" s="1" t="s">
        <v>12</v>
      </c>
      <c r="D55" s="6">
        <v>1</v>
      </c>
      <c r="E55" s="6">
        <v>13552</v>
      </c>
      <c r="H55" t="str">
        <f>IF(COUNTIFS(
    Sheet1!$B:$B, B55,
    Sheet1!$C:$C, C55,
    Sheet1!$D:$D, D55,
    Sheet1!$E:$E, E55
) = 0, "NO MATCH IN TARGET", "MATCHED")</f>
        <v>MATCHED</v>
      </c>
    </row>
    <row r="56" spans="1:8" ht="15" thickBot="1" x14ac:dyDescent="0.4">
      <c r="A56" s="5">
        <v>46248.769120370373</v>
      </c>
      <c r="B56" s="1" t="s">
        <v>23</v>
      </c>
      <c r="C56" s="1" t="s">
        <v>12</v>
      </c>
      <c r="D56" s="6">
        <v>50</v>
      </c>
      <c r="E56" s="6">
        <v>212</v>
      </c>
      <c r="H56" t="str">
        <f>IF(COUNTIFS(
    Sheet1!$B:$B, B56,
    Sheet1!$C:$C, C56,
    Sheet1!$D:$D, D56,
    Sheet1!$E:$E, E56
) = 0, "NO MATCH IN TARGET", "MATCHED")</f>
        <v>MATCHED</v>
      </c>
    </row>
    <row r="57" spans="1:8" ht="15" hidden="1" thickBot="1" x14ac:dyDescent="0.4">
      <c r="A57" s="5">
        <v>46248.769120370373</v>
      </c>
      <c r="B57" s="1" t="s">
        <v>18</v>
      </c>
      <c r="C57" s="1" t="s">
        <v>12</v>
      </c>
      <c r="D57" s="6">
        <v>100</v>
      </c>
      <c r="E57" s="6">
        <v>331</v>
      </c>
      <c r="H57" t="str">
        <f>IF(COUNTIFS(
    Sheet1!$B:$B, B57,
    Sheet1!$C:$C, C57,
    Sheet1!$D:$D, D57,
    Sheet1!$E:$E, E57
) = 0, "NO MATCH IN TARGET", "MATCHED")</f>
        <v>MATCHED</v>
      </c>
    </row>
    <row r="58" spans="1:8" ht="15" hidden="1" thickBot="1" x14ac:dyDescent="0.4">
      <c r="A58" s="5">
        <v>46248.63554398148</v>
      </c>
      <c r="B58" s="1" t="s">
        <v>61</v>
      </c>
      <c r="C58" s="1" t="s">
        <v>12</v>
      </c>
      <c r="D58" s="6">
        <v>9</v>
      </c>
      <c r="E58" s="6">
        <v>2251</v>
      </c>
      <c r="H58" t="str">
        <f>IF(COUNTIFS(
    Sheet1!$B:$B, B58,
    Sheet1!$C:$C, C58,
    Sheet1!$D:$D, D58,
    Sheet1!$E:$E, E58
) = 0, "NO MATCH IN TARGET", "MATCHED")</f>
        <v>MATCHED</v>
      </c>
    </row>
    <row r="59" spans="1:8" ht="15" hidden="1" thickBot="1" x14ac:dyDescent="0.4">
      <c r="A59" s="5">
        <v>46248.770925925928</v>
      </c>
      <c r="B59" s="1" t="s">
        <v>30</v>
      </c>
      <c r="C59" s="1" t="s">
        <v>12</v>
      </c>
      <c r="D59" s="6">
        <v>60</v>
      </c>
      <c r="E59" s="6">
        <v>271</v>
      </c>
      <c r="H59" t="str">
        <f>IF(COUNTIFS(
    Sheet1!$B:$B, B59,
    Sheet1!$C:$C, C59,
    Sheet1!$D:$D, D59,
    Sheet1!$E:$E, E59
) = 0, "NO MATCH IN TARGET", "MATCHED")</f>
        <v>MATCHED</v>
      </c>
    </row>
    <row r="60" spans="1:8" ht="15" hidden="1" thickBot="1" x14ac:dyDescent="0.4">
      <c r="A60" s="5">
        <v>46248.635567129626</v>
      </c>
      <c r="B60" s="1" t="s">
        <v>52</v>
      </c>
      <c r="C60" s="1" t="s">
        <v>12</v>
      </c>
      <c r="D60" s="6">
        <v>50</v>
      </c>
      <c r="E60" s="6">
        <v>850</v>
      </c>
      <c r="H60" t="str">
        <f>IF(COUNTIFS(
    Sheet1!$B:$B, B60,
    Sheet1!$C:$C, C60,
    Sheet1!$D:$D, D60,
    Sheet1!$E:$E, E60
) = 0, "NO MATCH IN TARGET", "MATCHED")</f>
        <v>MATCHED</v>
      </c>
    </row>
    <row r="61" spans="1:8" ht="15" hidden="1" thickBot="1" x14ac:dyDescent="0.4">
      <c r="A61" s="5">
        <v>46248.63553240741</v>
      </c>
      <c r="B61" s="1" t="s">
        <v>60</v>
      </c>
      <c r="C61" s="1" t="s">
        <v>12</v>
      </c>
      <c r="D61" s="6">
        <v>1</v>
      </c>
      <c r="E61" s="6">
        <v>19052</v>
      </c>
      <c r="H61" t="str">
        <f>IF(COUNTIFS(
    Sheet1!$B:$B, B61,
    Sheet1!$C:$C, C61,
    Sheet1!$D:$D, D61,
    Sheet1!$E:$E, E61
) = 0, "NO MATCH IN TARGET", "MATCHED")</f>
        <v>MATCHED</v>
      </c>
    </row>
    <row r="62" spans="1:8" ht="15" thickBot="1" x14ac:dyDescent="0.4">
      <c r="A62" s="5">
        <v>46248.635555555556</v>
      </c>
      <c r="B62" s="1" t="s">
        <v>69</v>
      </c>
      <c r="C62" s="1" t="s">
        <v>12</v>
      </c>
      <c r="D62" s="6">
        <v>4</v>
      </c>
      <c r="E62" s="6">
        <v>4110</v>
      </c>
      <c r="H62" t="str">
        <f>IF(COUNTIFS(
    Sheet1!$B:$B, B62,
    Sheet1!$C:$C, C62,
    Sheet1!$D:$D, D62,
    Sheet1!$E:$E, E62
) = 0, "NO MATCH IN TARGET", "MATCHED")</f>
        <v>MATCHED</v>
      </c>
    </row>
    <row r="63" spans="1:8" ht="15" thickBot="1" x14ac:dyDescent="0.4">
      <c r="A63" s="5">
        <v>46247.689583333333</v>
      </c>
      <c r="B63" s="1" t="s">
        <v>19</v>
      </c>
      <c r="C63" s="1" t="s">
        <v>12</v>
      </c>
      <c r="D63" s="6">
        <v>5</v>
      </c>
      <c r="E63" s="6">
        <v>2490</v>
      </c>
      <c r="H63" t="str">
        <f>IF(COUNTIFS(
    Sheet1!$B:$B, B63,
    Sheet1!$C:$C, C63,
    Sheet1!$D:$D, D63,
    Sheet1!$E:$E, E63
) = 0, "NO MATCH IN TARGET", "MATCHED")</f>
        <v>MATCHED</v>
      </c>
    </row>
    <row r="64" spans="1:8" ht="15" hidden="1" thickBot="1" x14ac:dyDescent="0.4">
      <c r="A64" s="5">
        <v>46248.635509259257</v>
      </c>
      <c r="B64" s="1" t="s">
        <v>44</v>
      </c>
      <c r="C64" s="1" t="s">
        <v>12</v>
      </c>
      <c r="D64" s="6">
        <v>40</v>
      </c>
      <c r="E64" s="6">
        <v>897</v>
      </c>
      <c r="H64" t="str">
        <f>IF(COUNTIFS(
    Sheet1!$B:$B, B64,
    Sheet1!$C:$C, C64,
    Sheet1!$D:$D, D64,
    Sheet1!$E:$E, E64
) = 0, "NO MATCH IN TARGET", "MATCHED")</f>
        <v>MATCHED</v>
      </c>
    </row>
    <row r="65" spans="1:8" ht="15" thickBot="1" x14ac:dyDescent="0.4">
      <c r="A65" s="7">
        <v>46248.769120370373</v>
      </c>
      <c r="B65" s="8" t="s">
        <v>84</v>
      </c>
      <c r="C65" s="8" t="s">
        <v>12</v>
      </c>
      <c r="D65" s="9">
        <v>500</v>
      </c>
      <c r="E65" s="9">
        <v>33.159999999999997</v>
      </c>
      <c r="H65" t="str">
        <f>IF(COUNTIFS(
    Sheet1!$B:$B, B65,
    Sheet1!$C:$C, C65,
    Sheet1!$D:$D, D65,
    Sheet1!$E:$E, E65
) = 0, "NO MATCH IN TARGET", "MATCHED")</f>
        <v>MATCHED</v>
      </c>
    </row>
    <row r="66" spans="1:8" ht="15" hidden="1" thickBot="1" x14ac:dyDescent="0.4">
      <c r="A66" s="5">
        <v>46246.635416666664</v>
      </c>
      <c r="B66" s="1" t="s">
        <v>42</v>
      </c>
      <c r="C66" s="1" t="s">
        <v>12</v>
      </c>
      <c r="D66" s="6">
        <v>10</v>
      </c>
      <c r="E66" s="6">
        <v>1420</v>
      </c>
      <c r="H66" t="str">
        <f>IF(COUNTIFS(
    Sheet1!$B:$B, B66,
    Sheet1!$C:$C, C66,
    Sheet1!$D:$D, D66,
    Sheet1!$E:$E, E66
) = 0, "NO MATCH IN TARGET", "MATCHED")</f>
        <v>MATCHED</v>
      </c>
    </row>
    <row r="67" spans="1:8" ht="15" thickBot="1" x14ac:dyDescent="0.4">
      <c r="A67" s="5">
        <v>46246.689583333333</v>
      </c>
      <c r="B67" s="1" t="s">
        <v>33</v>
      </c>
      <c r="C67" s="1" t="s">
        <v>12</v>
      </c>
      <c r="D67" s="6">
        <v>50</v>
      </c>
      <c r="E67" s="6">
        <v>119</v>
      </c>
      <c r="H67" t="str">
        <f>IF(COUNTIFS(
    Sheet1!$B:$B, B67,
    Sheet1!$C:$C, C67,
    Sheet1!$D:$D, D67,
    Sheet1!$E:$E, E67
) = 0, "NO MATCH IN TARGET", "MATCHED")</f>
        <v>MATCHED</v>
      </c>
    </row>
    <row r="68" spans="1:8" ht="15" thickBot="1" x14ac:dyDescent="0.4">
      <c r="A68" s="10" t="s">
        <v>85</v>
      </c>
      <c r="B68" s="1" t="s">
        <v>68</v>
      </c>
      <c r="C68" s="1" t="s">
        <v>12</v>
      </c>
      <c r="D68" s="6">
        <v>2</v>
      </c>
      <c r="E68" s="6">
        <v>3856</v>
      </c>
      <c r="H68" t="str">
        <f>IF(COUNTIFS(
    Sheet1!$B:$B, B68,
    Sheet1!$C:$C, C68,
    Sheet1!$D:$D, D68,
    Sheet1!$E:$E, E68
) = 0, "NO MATCH IN TARGET", "MATCHED")</f>
        <v>MATCHED</v>
      </c>
    </row>
    <row r="69" spans="1:8" ht="15" thickBot="1" x14ac:dyDescent="0.4">
      <c r="A69" s="5">
        <v>46246.635416666664</v>
      </c>
      <c r="B69" s="1" t="s">
        <v>65</v>
      </c>
      <c r="C69" s="1" t="s">
        <v>12</v>
      </c>
      <c r="D69" s="6">
        <v>69</v>
      </c>
      <c r="E69" s="6">
        <v>1277</v>
      </c>
      <c r="H69" t="str">
        <f>IF(COUNTIFS(
    Sheet1!$B:$B, B69,
    Sheet1!$C:$C, C69,
    Sheet1!$D:$D, D69,
    Sheet1!$E:$E, E69
) = 0, "NO MATCH IN TARGET", "MATCHED")</f>
        <v>MATCHED</v>
      </c>
    </row>
    <row r="70" spans="1:8" ht="15" hidden="1" thickBot="1" x14ac:dyDescent="0.4">
      <c r="A70" s="5">
        <v>46247.689583333333</v>
      </c>
      <c r="B70" s="1" t="s">
        <v>28</v>
      </c>
      <c r="C70" s="1" t="s">
        <v>12</v>
      </c>
      <c r="D70" s="6">
        <v>5</v>
      </c>
      <c r="E70" s="6">
        <v>452</v>
      </c>
      <c r="H70" t="str">
        <f>IF(COUNTIFS(
    Sheet1!$B:$B, B70,
    Sheet1!$C:$C, C70,
    Sheet1!$D:$D, D70,
    Sheet1!$E:$E, E70
) = 0, "NO MATCH IN TARGET", "MATCHED")</f>
        <v>MATCHED</v>
      </c>
    </row>
    <row r="71" spans="1:8" ht="15" hidden="1" thickBot="1" x14ac:dyDescent="0.4">
      <c r="A71" s="5">
        <v>46248.63554398148</v>
      </c>
      <c r="B71" s="1" t="s">
        <v>58</v>
      </c>
      <c r="C71" s="1" t="s">
        <v>12</v>
      </c>
      <c r="D71" s="6">
        <v>100</v>
      </c>
      <c r="E71" s="6">
        <v>390</v>
      </c>
      <c r="H71" t="str">
        <f>IF(COUNTIFS(
    Sheet1!$B:$B, B71,
    Sheet1!$C:$C, C71,
    Sheet1!$D:$D, D71,
    Sheet1!$E:$E, E71
) = 0, "NO MATCH IN TARGET", "MATCHED")</f>
        <v>MATCHED</v>
      </c>
    </row>
    <row r="72" spans="1:8" ht="15" thickBot="1" x14ac:dyDescent="0.4">
      <c r="A72" s="5">
        <v>46241.76458333333</v>
      </c>
      <c r="B72" s="1" t="s">
        <v>86</v>
      </c>
      <c r="C72" s="1" t="s">
        <v>12</v>
      </c>
      <c r="D72" s="6">
        <v>25</v>
      </c>
      <c r="E72" s="6">
        <v>196</v>
      </c>
      <c r="H72" t="str">
        <f>IF(COUNTIFS(
    Sheet1!$B:$B, B72,
    Sheet1!$C:$C, C72,
    Sheet1!$D:$D, D72,
    Sheet1!$E:$E, E72
) = 0, "NO MATCH IN TARGET", "MATCHED")</f>
        <v>MATCHED</v>
      </c>
    </row>
    <row r="73" spans="1:8" ht="15" hidden="1" thickBot="1" x14ac:dyDescent="0.4">
      <c r="A73" s="5">
        <v>46246.635416666664</v>
      </c>
      <c r="B73" s="1" t="s">
        <v>42</v>
      </c>
      <c r="C73" s="1" t="s">
        <v>12</v>
      </c>
      <c r="D73" s="6">
        <v>10</v>
      </c>
      <c r="E73" s="6">
        <v>1410</v>
      </c>
      <c r="H73" t="str">
        <f>IF(COUNTIFS(
    Sheet1!$B:$B, B73,
    Sheet1!$C:$C, C73,
    Sheet1!$D:$D, D73,
    Sheet1!$E:$E, E73
) = 0, "NO MATCH IN TARGET", "MATCHED")</f>
        <v>MATCHED</v>
      </c>
    </row>
    <row r="74" spans="1:8" ht="15" thickBot="1" x14ac:dyDescent="0.4">
      <c r="A74" s="5">
        <v>46364.689583333333</v>
      </c>
      <c r="B74" s="1" t="s">
        <v>19</v>
      </c>
      <c r="C74" s="1" t="s">
        <v>12</v>
      </c>
      <c r="D74" s="6">
        <v>5</v>
      </c>
      <c r="E74" s="6">
        <v>2470</v>
      </c>
      <c r="H74" t="str">
        <f>IF(COUNTIFS(
    Sheet1!$B:$B, B74,
    Sheet1!$C:$C, C74,
    Sheet1!$D:$D, D74,
    Sheet1!$E:$E, E74
) = 0, "NO MATCH IN TARGET", "MATCHED")</f>
        <v>MATCHED</v>
      </c>
    </row>
    <row r="75" spans="1:8" ht="15" hidden="1" thickBot="1" x14ac:dyDescent="0.4">
      <c r="A75" s="5">
        <v>46247.689583333333</v>
      </c>
      <c r="B75" s="1" t="s">
        <v>27</v>
      </c>
      <c r="C75" s="1" t="s">
        <v>12</v>
      </c>
      <c r="D75" s="6">
        <v>37</v>
      </c>
      <c r="E75" s="6">
        <v>277</v>
      </c>
      <c r="H75" t="str">
        <f>IF(COUNTIFS(
    Sheet1!$B:$B, B75,
    Sheet1!$C:$C, C75,
    Sheet1!$D:$D, D75,
    Sheet1!$E:$E, E75
) = 0, "NO MATCH IN TARGET", "MATCHED")</f>
        <v>MATCHED</v>
      </c>
    </row>
    <row r="76" spans="1:8" ht="15" hidden="1" thickBot="1" x14ac:dyDescent="0.4">
      <c r="A76" s="5">
        <v>46248.769120370373</v>
      </c>
      <c r="B76" s="1" t="s">
        <v>26</v>
      </c>
      <c r="C76" s="1" t="s">
        <v>12</v>
      </c>
      <c r="D76" s="6">
        <v>45</v>
      </c>
      <c r="E76" s="6">
        <v>136.15</v>
      </c>
      <c r="H76" t="str">
        <f>IF(COUNTIFS(
    Sheet1!$B:$B, B76,
    Sheet1!$C:$C, C76,
    Sheet1!$D:$D, D76,
    Sheet1!$E:$E, E76
) = 0, "NO MATCH IN TARGET", "MATCHED")</f>
        <v>MATCHED</v>
      </c>
    </row>
    <row r="77" spans="1:8" ht="15" hidden="1" thickBot="1" x14ac:dyDescent="0.4">
      <c r="A77" s="5">
        <v>46248.769120370373</v>
      </c>
      <c r="B77" s="1" t="s">
        <v>18</v>
      </c>
      <c r="C77" s="1" t="s">
        <v>12</v>
      </c>
      <c r="D77" s="6">
        <v>100</v>
      </c>
      <c r="E77" s="6">
        <v>327</v>
      </c>
      <c r="H77" t="str">
        <f>IF(COUNTIFS(
    Sheet1!$B:$B, B77,
    Sheet1!$C:$C, C77,
    Sheet1!$D:$D, D77,
    Sheet1!$E:$E, E77
) = 0, "NO MATCH IN TARGET", "MATCHED")</f>
        <v>MATCHED</v>
      </c>
    </row>
    <row r="78" spans="1:8" ht="15" hidden="1" thickBot="1" x14ac:dyDescent="0.4">
      <c r="A78" s="5">
        <v>46248.635520833333</v>
      </c>
      <c r="B78" s="1" t="s">
        <v>56</v>
      </c>
      <c r="C78" s="1" t="s">
        <v>12</v>
      </c>
      <c r="D78" s="6">
        <v>10</v>
      </c>
      <c r="E78" s="6">
        <v>1166</v>
      </c>
      <c r="H78" t="str">
        <f>IF(COUNTIFS(
    Sheet1!$B:$B, B78,
    Sheet1!$C:$C, C78,
    Sheet1!$D:$D, D78,
    Sheet1!$E:$E, E78
) = 0, "NO MATCH IN TARGET", "MATCHED")</f>
        <v>MATCHED</v>
      </c>
    </row>
    <row r="79" spans="1:8" ht="15" thickBot="1" x14ac:dyDescent="0.4">
      <c r="A79" s="10" t="s">
        <v>85</v>
      </c>
      <c r="B79" s="1" t="s">
        <v>68</v>
      </c>
      <c r="C79" s="1" t="s">
        <v>12</v>
      </c>
      <c r="D79" s="6">
        <v>2</v>
      </c>
      <c r="E79" s="6">
        <v>3830</v>
      </c>
      <c r="H79" t="str">
        <f>IF(COUNTIFS(
    Sheet1!$B:$B, B79,
    Sheet1!$C:$C, C79,
    Sheet1!$D:$D, D79,
    Sheet1!$E:$E, E79
) = 0, "NO MATCH IN TARGET", "MATCHED")</f>
        <v>MATCHED</v>
      </c>
    </row>
    <row r="80" spans="1:8" ht="15" thickBot="1" x14ac:dyDescent="0.4">
      <c r="A80" s="5">
        <v>46211.6875</v>
      </c>
      <c r="B80" s="1" t="s">
        <v>32</v>
      </c>
      <c r="C80" s="1" t="s">
        <v>12</v>
      </c>
      <c r="D80" s="6">
        <v>10</v>
      </c>
      <c r="E80" s="6">
        <v>640</v>
      </c>
      <c r="H80" t="str">
        <f>IF(COUNTIFS(
    Sheet1!$B:$B, B80,
    Sheet1!$C:$C, C80,
    Sheet1!$D:$D, D80,
    Sheet1!$E:$E, E80
) = 0, "NO MATCH IN TARGET", "MATCHED")</f>
        <v>MATCHED</v>
      </c>
    </row>
    <row r="81" spans="1:8" ht="15" thickBot="1" x14ac:dyDescent="0.4">
      <c r="A81" s="5">
        <v>46247.635416666664</v>
      </c>
      <c r="B81" s="1" t="s">
        <v>64</v>
      </c>
      <c r="C81" s="1" t="s">
        <v>12</v>
      </c>
      <c r="D81" s="6">
        <v>15</v>
      </c>
      <c r="E81" s="6">
        <v>1005</v>
      </c>
      <c r="H81" t="str">
        <f>IF(COUNTIFS(
    Sheet1!$B:$B, B81,
    Sheet1!$C:$C, C81,
    Sheet1!$D:$D, D81,
    Sheet1!$E:$E, E81
) = 0, "NO MATCH IN TARGET", "MATCHED")</f>
        <v>MATCHED</v>
      </c>
    </row>
    <row r="82" spans="1:8" ht="15" thickBot="1" x14ac:dyDescent="0.4">
      <c r="A82" s="5">
        <v>46246.635416666664</v>
      </c>
      <c r="B82" s="1" t="s">
        <v>52</v>
      </c>
      <c r="C82" s="1" t="s">
        <v>12</v>
      </c>
      <c r="D82" s="6">
        <v>5</v>
      </c>
      <c r="E82" s="6">
        <v>838</v>
      </c>
      <c r="H82" t="str">
        <f>IF(COUNTIFS(
    Sheet1!$B:$B, B82,
    Sheet1!$C:$C, C82,
    Sheet1!$D:$D, D82,
    Sheet1!$E:$E, E82
) = 0, "NO MATCH IN TARGET", "MATCHED")</f>
        <v>MATCHED</v>
      </c>
    </row>
    <row r="83" spans="1:8" ht="15" thickBot="1" x14ac:dyDescent="0.4">
      <c r="A83" s="5">
        <v>46247.689583333333</v>
      </c>
      <c r="B83" s="1" t="s">
        <v>19</v>
      </c>
      <c r="C83" s="1" t="s">
        <v>12</v>
      </c>
      <c r="D83" s="6">
        <v>30</v>
      </c>
      <c r="E83" s="6">
        <v>2460</v>
      </c>
      <c r="H83" t="str">
        <f>IF(COUNTIFS(
    Sheet1!$B:$B, B83,
    Sheet1!$C:$C, C83,
    Sheet1!$D:$D, D83,
    Sheet1!$E:$E, E83
) = 0, "NO MATCH IN TARGET", "MATCHED")</f>
        <v>MATCHED</v>
      </c>
    </row>
    <row r="84" spans="1:8" ht="15" thickBot="1" x14ac:dyDescent="0.4">
      <c r="A84" s="5">
        <v>46248.769120370373</v>
      </c>
      <c r="B84" s="1" t="s">
        <v>11</v>
      </c>
      <c r="C84" s="1" t="s">
        <v>12</v>
      </c>
      <c r="D84" s="6">
        <v>3</v>
      </c>
      <c r="E84" s="6">
        <v>4710</v>
      </c>
      <c r="H84" t="str">
        <f>IF(COUNTIFS(
    Sheet1!$B:$B, B84,
    Sheet1!$C:$C, C84,
    Sheet1!$D:$D, D84,
    Sheet1!$E:$E, E84
) = 0, "NO MATCH IN TARGET", "MATCHED")</f>
        <v>MATCHED</v>
      </c>
    </row>
    <row r="85" spans="1:8" ht="15" thickBot="1" x14ac:dyDescent="0.4">
      <c r="A85" s="5">
        <v>46248.63553240741</v>
      </c>
      <c r="B85" s="1" t="s">
        <v>87</v>
      </c>
      <c r="C85" s="1" t="s">
        <v>12</v>
      </c>
      <c r="D85" s="6">
        <v>1</v>
      </c>
      <c r="E85" s="6">
        <v>2752</v>
      </c>
      <c r="H85" t="str">
        <f>IF(COUNTIFS(
    Sheet1!$B:$B, B85,
    Sheet1!$C:$C, C85,
    Sheet1!$D:$D, D85,
    Sheet1!$E:$E, E85
) = 0, "NO MATCH IN TARGET", "MATCHED")</f>
        <v>MATCHED</v>
      </c>
    </row>
    <row r="86" spans="1:8" ht="15" thickBot="1" x14ac:dyDescent="0.4">
      <c r="A86" s="5">
        <v>46247.689583333333</v>
      </c>
      <c r="B86" s="1" t="s">
        <v>35</v>
      </c>
      <c r="C86" s="1" t="s">
        <v>12</v>
      </c>
      <c r="D86" s="6">
        <v>50</v>
      </c>
      <c r="E86" s="6">
        <v>196</v>
      </c>
      <c r="H86" t="str">
        <f>IF(COUNTIFS(
    Sheet1!$B:$B, B86,
    Sheet1!$C:$C, C86,
    Sheet1!$D:$D, D86,
    Sheet1!$E:$E, E86
) = 0, "NO MATCH IN TARGET", "MATCHED")</f>
        <v>MATCHED</v>
      </c>
    </row>
    <row r="87" spans="1:8" ht="15" thickBot="1" x14ac:dyDescent="0.4">
      <c r="A87" s="5">
        <v>46248.635567129626</v>
      </c>
      <c r="B87" s="1" t="s">
        <v>52</v>
      </c>
      <c r="C87" s="1" t="s">
        <v>12</v>
      </c>
      <c r="D87" s="6">
        <v>25</v>
      </c>
      <c r="E87" s="6">
        <v>836</v>
      </c>
      <c r="H87" t="str">
        <f>IF(COUNTIFS(
    Sheet1!$B:$B, B87,
    Sheet1!$C:$C, C87,
    Sheet1!$D:$D, D87,
    Sheet1!$E:$E, E87
) = 0, "NO MATCH IN TARGET", "MATCHED")</f>
        <v>MATCHED</v>
      </c>
    </row>
    <row r="88" spans="1:8" ht="15" thickBot="1" x14ac:dyDescent="0.4">
      <c r="A88" s="10" t="s">
        <v>85</v>
      </c>
      <c r="B88" s="1" t="s">
        <v>68</v>
      </c>
      <c r="C88" s="1" t="s">
        <v>12</v>
      </c>
      <c r="D88" s="6">
        <v>3</v>
      </c>
      <c r="E88" s="6">
        <v>3810</v>
      </c>
      <c r="H88" t="str">
        <f>IF(COUNTIFS(
    Sheet1!$B:$B, B88,
    Sheet1!$C:$C, C88,
    Sheet1!$D:$D, D88,
    Sheet1!$E:$E, E88
) = 0, "NO MATCH IN TARGET", "MATCHED")</f>
        <v>MATCHED</v>
      </c>
    </row>
    <row r="89" spans="1:8" ht="15" thickBot="1" x14ac:dyDescent="0.4">
      <c r="A89" s="5">
        <v>46248.771099537036</v>
      </c>
      <c r="B89" s="1" t="s">
        <v>7</v>
      </c>
      <c r="C89" s="1" t="s">
        <v>12</v>
      </c>
      <c r="D89" s="6">
        <v>5</v>
      </c>
      <c r="E89" s="6">
        <v>1914</v>
      </c>
      <c r="H89" t="str">
        <f>IF(COUNTIFS(
    Sheet1!$B:$B, B89,
    Sheet1!$C:$C, C89,
    Sheet1!$D:$D, D89,
    Sheet1!$E:$E, E89
) = 0, "NO MATCH IN TARGET", "MATCHED")</f>
        <v>NO MATCH IN TARGET</v>
      </c>
    </row>
    <row r="90" spans="1:8" ht="15" thickBot="1" x14ac:dyDescent="0.4">
      <c r="A90" s="5">
        <v>46239.635416666664</v>
      </c>
      <c r="B90" s="1" t="s">
        <v>44</v>
      </c>
      <c r="C90" s="1" t="s">
        <v>12</v>
      </c>
      <c r="D90" s="6">
        <v>40</v>
      </c>
      <c r="E90" s="6">
        <v>878</v>
      </c>
      <c r="H90" t="str">
        <f>IF(COUNTIFS(
    Sheet1!$B:$B, B90,
    Sheet1!$C:$C, C90,
    Sheet1!$D:$D, D90,
    Sheet1!$E:$E, E90
) = 0, "NO MATCH IN TARGET", "MATCHED")</f>
        <v>MATCHED</v>
      </c>
    </row>
    <row r="91" spans="1:8" ht="15" hidden="1" thickBot="1" x14ac:dyDescent="0.4">
      <c r="A91" s="5">
        <v>46248.63554398148</v>
      </c>
      <c r="B91" s="1" t="s">
        <v>51</v>
      </c>
      <c r="C91" s="1" t="s">
        <v>12</v>
      </c>
      <c r="D91" s="6">
        <v>10</v>
      </c>
      <c r="E91" s="6">
        <v>1303</v>
      </c>
      <c r="H91" t="str">
        <f>IF(COUNTIFS(
    Sheet1!$B:$B, B91,
    Sheet1!$C:$C, C91,
    Sheet1!$D:$D, D91,
    Sheet1!$E:$E, E91
) = 0, "NO MATCH IN TARGET", "MATCHED")</f>
        <v>MATCHED</v>
      </c>
    </row>
    <row r="92" spans="1:8" ht="15" thickBot="1" x14ac:dyDescent="0.4">
      <c r="A92" s="5">
        <v>46334.692361111112</v>
      </c>
      <c r="B92" s="1" t="s">
        <v>37</v>
      </c>
      <c r="C92" s="1" t="s">
        <v>12</v>
      </c>
      <c r="D92" s="6">
        <v>11</v>
      </c>
      <c r="E92" s="6">
        <v>882</v>
      </c>
      <c r="H92" t="str">
        <f>IF(COUNTIFS(
    Sheet1!$B:$B, B92,
    Sheet1!$C:$C, C92,
    Sheet1!$D:$D, D92,
    Sheet1!$E:$E, E92
) = 0, "NO MATCH IN TARGET", "MATCHED")</f>
        <v>MATCHED</v>
      </c>
    </row>
    <row r="93" spans="1:8" ht="15" thickBot="1" x14ac:dyDescent="0.4">
      <c r="A93" s="5">
        <v>46247.689583333333</v>
      </c>
      <c r="B93" s="1" t="s">
        <v>19</v>
      </c>
      <c r="C93" s="1" t="s">
        <v>12</v>
      </c>
      <c r="D93" s="6">
        <v>30</v>
      </c>
      <c r="E93" s="6">
        <v>2435</v>
      </c>
      <c r="H93" t="str">
        <f>IF(COUNTIFS(
    Sheet1!$B:$B, B93,
    Sheet1!$C:$C, C93,
    Sheet1!$D:$D, D93,
    Sheet1!$E:$E, E93
) = 0, "NO MATCH IN TARGET", "MATCHED")</f>
        <v>MATCHED</v>
      </c>
    </row>
    <row r="94" spans="1:8" ht="15" thickBot="1" x14ac:dyDescent="0.4">
      <c r="A94" s="5">
        <v>46241.6875</v>
      </c>
      <c r="B94" s="1" t="s">
        <v>23</v>
      </c>
      <c r="C94" s="1" t="s">
        <v>12</v>
      </c>
      <c r="D94" s="6">
        <v>50</v>
      </c>
      <c r="E94" s="6">
        <v>206</v>
      </c>
      <c r="H94" t="str">
        <f>IF(COUNTIFS(
    Sheet1!$B:$B, B94,
    Sheet1!$C:$C, C94,
    Sheet1!$D:$D, D94,
    Sheet1!$E:$E, E94
) = 0, "NO MATCH IN TARGET", "MATCHED")</f>
        <v>MATCHED</v>
      </c>
    </row>
    <row r="95" spans="1:8" ht="15" thickBot="1" x14ac:dyDescent="0.4">
      <c r="A95" s="5">
        <v>46245.693055555559</v>
      </c>
      <c r="B95" s="1" t="s">
        <v>18</v>
      </c>
      <c r="C95" s="1" t="s">
        <v>12</v>
      </c>
      <c r="D95" s="6">
        <v>100</v>
      </c>
      <c r="E95" s="6">
        <v>322</v>
      </c>
      <c r="H95" t="str">
        <f>IF(COUNTIFS(
    Sheet1!$B:$B, B95,
    Sheet1!$C:$C, C95,
    Sheet1!$D:$D, D95,
    Sheet1!$E:$E, E95
) = 0, "NO MATCH IN TARGET", "MATCHED")</f>
        <v>MATCHED</v>
      </c>
    </row>
    <row r="96" spans="1:8" ht="15" hidden="1" thickBot="1" x14ac:dyDescent="0.4">
      <c r="A96" s="5">
        <v>46248.63553240741</v>
      </c>
      <c r="B96" s="1" t="s">
        <v>54</v>
      </c>
      <c r="C96" s="1" t="s">
        <v>12</v>
      </c>
      <c r="D96" s="6">
        <v>7</v>
      </c>
      <c r="E96" s="6">
        <v>2401</v>
      </c>
      <c r="H96" t="str">
        <f>IF(COUNTIFS(
    Sheet1!$B:$B, B96,
    Sheet1!$C:$C, C96,
    Sheet1!$D:$D, D96,
    Sheet1!$E:$E, E96
) = 0, "NO MATCH IN TARGET", "MATCHED")</f>
        <v>MATCHED</v>
      </c>
    </row>
    <row r="97" spans="1:8" ht="15" thickBot="1" x14ac:dyDescent="0.4">
      <c r="A97" s="10" t="s">
        <v>85</v>
      </c>
      <c r="B97" s="1" t="s">
        <v>69</v>
      </c>
      <c r="C97" s="1" t="s">
        <v>12</v>
      </c>
      <c r="D97" s="6">
        <v>2</v>
      </c>
      <c r="E97" s="6">
        <v>4010</v>
      </c>
      <c r="H97" t="str">
        <f>IF(COUNTIFS(
    Sheet1!$B:$B, B97,
    Sheet1!$C:$C, C97,
    Sheet1!$D:$D, D97,
    Sheet1!$E:$E, E97
) = 0, "NO MATCH IN TARGET", "MATCHED")</f>
        <v>MATCHED</v>
      </c>
    </row>
    <row r="98" spans="1:8" ht="15" thickBot="1" x14ac:dyDescent="0.4">
      <c r="A98" s="5">
        <v>46247.635416666664</v>
      </c>
      <c r="B98" s="1" t="s">
        <v>60</v>
      </c>
      <c r="C98" s="1" t="s">
        <v>12</v>
      </c>
      <c r="D98" s="6">
        <v>1</v>
      </c>
      <c r="E98" s="6">
        <v>18552</v>
      </c>
      <c r="H98" t="str">
        <f>IF(COUNTIFS(
    Sheet1!$B:$B, B98,
    Sheet1!$C:$C, C98,
    Sheet1!$D:$D, D98,
    Sheet1!$E:$E, E98
) = 0, "NO MATCH IN TARGET", "MATCHED")</f>
        <v>MATCHED</v>
      </c>
    </row>
    <row r="99" spans="1:8" ht="15" thickBot="1" x14ac:dyDescent="0.4">
      <c r="A99" s="10" t="s">
        <v>85</v>
      </c>
      <c r="B99" s="1" t="s">
        <v>68</v>
      </c>
      <c r="C99" s="1" t="s">
        <v>12</v>
      </c>
      <c r="D99" s="6">
        <v>2</v>
      </c>
      <c r="E99" s="6">
        <v>3760</v>
      </c>
      <c r="H99" t="str">
        <f>IF(COUNTIFS(
    Sheet1!$B:$B, B99,
    Sheet1!$C:$C, C99,
    Sheet1!$D:$D, D99,
    Sheet1!$E:$E, E99
) = 0, "NO MATCH IN TARGET", "MATCHED")</f>
        <v>MATCHED</v>
      </c>
    </row>
    <row r="100" spans="1:8" ht="15" thickBot="1" x14ac:dyDescent="0.4">
      <c r="A100" s="5">
        <v>46245.693055555559</v>
      </c>
      <c r="B100" s="1" t="s">
        <v>33</v>
      </c>
      <c r="C100" s="1" t="s">
        <v>12</v>
      </c>
      <c r="D100" s="6">
        <v>50</v>
      </c>
      <c r="E100" s="6">
        <v>116</v>
      </c>
      <c r="H100" t="str">
        <f>IF(COUNTIFS(
    Sheet1!$B:$B, B100,
    Sheet1!$C:$C, C100,
    Sheet1!$D:$D, D100,
    Sheet1!$E:$E, E100
) = 0, "NO MATCH IN TARGET", "MATCHED")</f>
        <v>MATCHED</v>
      </c>
    </row>
    <row r="101" spans="1:8" ht="15" hidden="1" thickBot="1" x14ac:dyDescent="0.4">
      <c r="A101" s="5">
        <v>46248.63553240741</v>
      </c>
      <c r="B101" s="1" t="s">
        <v>53</v>
      </c>
      <c r="C101" s="1" t="s">
        <v>12</v>
      </c>
      <c r="D101" s="6">
        <v>1</v>
      </c>
      <c r="E101" s="6">
        <v>4640</v>
      </c>
      <c r="H101" t="str">
        <f>IF(COUNTIFS(
    Sheet1!$B:$B, B101,
    Sheet1!$C:$C, C101,
    Sheet1!$D:$D, D101,
    Sheet1!$E:$E, E101
) = 0, "NO MATCH IN TARGET", "MATCHED")</f>
        <v>MATCHED</v>
      </c>
    </row>
    <row r="102" spans="1:8" ht="15" thickBot="1" x14ac:dyDescent="0.4">
      <c r="A102" s="5">
        <v>46364.635416666664</v>
      </c>
      <c r="B102" s="1" t="s">
        <v>62</v>
      </c>
      <c r="C102" s="1" t="s">
        <v>12</v>
      </c>
      <c r="D102" s="6">
        <v>1</v>
      </c>
      <c r="E102" s="6">
        <v>13052</v>
      </c>
      <c r="H102" t="str">
        <f>IF(COUNTIFS(
    Sheet1!$B:$B, B102,
    Sheet1!$C:$C, C102,
    Sheet1!$D:$D, D102,
    Sheet1!$E:$E, E102
) = 0, "NO MATCH IN TARGET", "MATCHED")</f>
        <v>MATCHED</v>
      </c>
    </row>
    <row r="103" spans="1:8" ht="15" thickBot="1" x14ac:dyDescent="0.4">
      <c r="A103" s="5">
        <v>46245.693055555559</v>
      </c>
      <c r="B103" s="1" t="s">
        <v>33</v>
      </c>
      <c r="C103" s="1" t="s">
        <v>12</v>
      </c>
      <c r="D103" s="6">
        <v>200</v>
      </c>
      <c r="E103" s="6">
        <v>115.25</v>
      </c>
      <c r="H103" t="str">
        <f>IF(COUNTIFS(
    Sheet1!$B:$B, B103,
    Sheet1!$C:$C, C103,
    Sheet1!$D:$D, D103,
    Sheet1!$E:$E, E103
) = 0, "NO MATCH IN TARGET", "MATCHED")</f>
        <v>MATCHED</v>
      </c>
    </row>
    <row r="104" spans="1:8" ht="15" thickBot="1" x14ac:dyDescent="0.4">
      <c r="A104" s="5">
        <v>46246.635416666664</v>
      </c>
      <c r="B104" s="1" t="s">
        <v>54</v>
      </c>
      <c r="C104" s="1" t="s">
        <v>12</v>
      </c>
      <c r="D104" s="6">
        <v>8</v>
      </c>
      <c r="E104" s="6">
        <v>2370</v>
      </c>
      <c r="H104" t="str">
        <f>IF(COUNTIFS(
    Sheet1!$B:$B, B104,
    Sheet1!$C:$C, C104,
    Sheet1!$D:$D, D104,
    Sheet1!$E:$E, E104
) = 0, "NO MATCH IN TARGET", "MATCHED")</f>
        <v>MATCHED</v>
      </c>
    </row>
    <row r="105" spans="1:8" ht="15" thickBot="1" x14ac:dyDescent="0.4">
      <c r="A105" s="5">
        <v>46241.765277777777</v>
      </c>
      <c r="B105" s="1" t="s">
        <v>88</v>
      </c>
      <c r="C105" s="1" t="s">
        <v>12</v>
      </c>
      <c r="D105" s="6">
        <v>4</v>
      </c>
      <c r="E105" s="6">
        <v>1751</v>
      </c>
      <c r="H105" t="str">
        <f>IF(COUNTIFS(
    Sheet1!$B:$B, B105,
    Sheet1!$C:$C, C105,
    Sheet1!$D:$D, D105,
    Sheet1!$E:$E, E105
) = 0, "NO MATCH IN TARGET", "MATCHED")</f>
        <v>MATCHED</v>
      </c>
    </row>
    <row r="106" spans="1:8" ht="15" thickBot="1" x14ac:dyDescent="0.4">
      <c r="A106" s="5">
        <v>46246.635416666664</v>
      </c>
      <c r="B106" s="1" t="s">
        <v>56</v>
      </c>
      <c r="C106" s="1" t="s">
        <v>12</v>
      </c>
      <c r="D106" s="6">
        <v>10</v>
      </c>
      <c r="E106" s="6">
        <v>1132</v>
      </c>
      <c r="H106" t="str">
        <f>IF(COUNTIFS(
    Sheet1!$B:$B, B106,
    Sheet1!$C:$C, C106,
    Sheet1!$D:$D, D106,
    Sheet1!$E:$E, E106
) = 0, "NO MATCH IN TARGET", "MATCHED")</f>
        <v>MATCHED</v>
      </c>
    </row>
    <row r="107" spans="1:8" ht="15" thickBot="1" x14ac:dyDescent="0.4">
      <c r="A107" s="5">
        <v>46246.635416666664</v>
      </c>
      <c r="B107" s="1" t="s">
        <v>51</v>
      </c>
      <c r="C107" s="1" t="s">
        <v>12</v>
      </c>
      <c r="D107" s="6">
        <v>10</v>
      </c>
      <c r="E107" s="6">
        <v>1280</v>
      </c>
      <c r="H107" t="str">
        <f>IF(COUNTIFS(
    Sheet1!$B:$B, B107,
    Sheet1!$C:$C, C107,
    Sheet1!$D:$D, D107,
    Sheet1!$E:$E, E107
) = 0, "NO MATCH IN TARGET", "MATCHED")</f>
        <v>MATCHED</v>
      </c>
    </row>
    <row r="108" spans="1:8" ht="15" thickBot="1" x14ac:dyDescent="0.4">
      <c r="A108" s="5">
        <v>46246.644444444442</v>
      </c>
      <c r="B108" s="1" t="s">
        <v>44</v>
      </c>
      <c r="C108" s="1" t="s">
        <v>12</v>
      </c>
      <c r="D108" s="6">
        <v>40</v>
      </c>
      <c r="E108" s="6">
        <v>862</v>
      </c>
      <c r="H108" t="str">
        <f>IF(COUNTIFS(
    Sheet1!$B:$B, B108,
    Sheet1!$C:$C, C108,
    Sheet1!$D:$D, D108,
    Sheet1!$E:$E, E108
) = 0, "NO MATCH IN TARGET", "MATCHED")</f>
        <v>MATCHED</v>
      </c>
    </row>
    <row r="109" spans="1:8" ht="15" thickBot="1" x14ac:dyDescent="0.4">
      <c r="A109" s="5">
        <v>46241.6875</v>
      </c>
      <c r="B109" s="1" t="s">
        <v>32</v>
      </c>
      <c r="C109" s="1" t="s">
        <v>12</v>
      </c>
      <c r="D109" s="6">
        <v>20</v>
      </c>
      <c r="E109" s="6">
        <v>620</v>
      </c>
      <c r="H109" t="str">
        <f>IF(COUNTIFS(
    Sheet1!$B:$B, B109,
    Sheet1!$C:$C, C109,
    Sheet1!$D:$D, D109,
    Sheet1!$E:$E, E109
) = 0, "NO MATCH IN TARGET", "MATCHED")</f>
        <v>MATCHED</v>
      </c>
    </row>
    <row r="110" spans="1:8" ht="15" thickBot="1" x14ac:dyDescent="0.4">
      <c r="A110" s="5">
        <v>46240.6875</v>
      </c>
      <c r="B110" s="1" t="s">
        <v>32</v>
      </c>
      <c r="C110" s="1" t="s">
        <v>12</v>
      </c>
      <c r="D110" s="6">
        <v>30</v>
      </c>
      <c r="E110" s="6">
        <v>620</v>
      </c>
      <c r="H110" t="str">
        <f>IF(COUNTIFS(
    Sheet1!$B:$B, B110,
    Sheet1!$C:$C, C110,
    Sheet1!$D:$D, D110,
    Sheet1!$E:$E, E110
) = 0, "NO MATCH IN TARGET", "MATCHED")</f>
        <v>MATCHED</v>
      </c>
    </row>
    <row r="111" spans="1:8" ht="15" thickBot="1" x14ac:dyDescent="0.4">
      <c r="A111" s="10" t="s">
        <v>85</v>
      </c>
      <c r="B111" s="1" t="s">
        <v>52</v>
      </c>
      <c r="C111" s="1" t="s">
        <v>12</v>
      </c>
      <c r="D111" s="6">
        <v>5</v>
      </c>
      <c r="E111" s="6">
        <v>812</v>
      </c>
      <c r="H111" t="str">
        <f>IF(COUNTIFS(
    Sheet1!$B:$B, B111,
    Sheet1!$C:$C, C111,
    Sheet1!$D:$D, D111,
    Sheet1!$E:$E, E111
) = 0, "NO MATCH IN TARGET", "MATCHED")</f>
        <v>MATCHED</v>
      </c>
    </row>
    <row r="112" spans="1:8" ht="15" thickBot="1" x14ac:dyDescent="0.4">
      <c r="A112" s="5">
        <v>46247.689583333333</v>
      </c>
      <c r="B112" s="1" t="s">
        <v>7</v>
      </c>
      <c r="C112" s="1" t="s">
        <v>12</v>
      </c>
      <c r="D112" s="6">
        <v>5</v>
      </c>
      <c r="E112" s="6">
        <v>1864</v>
      </c>
      <c r="H112" t="str">
        <f>IF(COUNTIFS(
    Sheet1!$B:$B, B112,
    Sheet1!$C:$C, C112,
    Sheet1!$D:$D, D112,
    Sheet1!$E:$E, E112
) = 0, "NO MATCH IN TARGET", "MATCHED")</f>
        <v>NO MATCH IN TARGET</v>
      </c>
    </row>
    <row r="113" spans="1:8" ht="15" thickBot="1" x14ac:dyDescent="0.4">
      <c r="A113" s="5">
        <v>46334.635416666664</v>
      </c>
      <c r="B113" s="1" t="s">
        <v>87</v>
      </c>
      <c r="C113" s="1" t="s">
        <v>12</v>
      </c>
      <c r="D113" s="6">
        <v>2</v>
      </c>
      <c r="E113" s="6">
        <v>2660</v>
      </c>
      <c r="H113" t="str">
        <f>IF(COUNTIFS(
    Sheet1!$B:$B, B113,
    Sheet1!$C:$C, C113,
    Sheet1!$D:$D, D113,
    Sheet1!$E:$E, E113
) = 0, "NO MATCH IN TARGET", "MATCHED")</f>
        <v>MATCHED</v>
      </c>
    </row>
    <row r="114" spans="1:8" ht="15" thickBot="1" x14ac:dyDescent="0.4">
      <c r="A114" s="5">
        <v>46211.635416666664</v>
      </c>
      <c r="B114" s="1" t="s">
        <v>53</v>
      </c>
      <c r="C114" s="1" t="s">
        <v>12</v>
      </c>
      <c r="D114" s="6">
        <v>1</v>
      </c>
      <c r="E114" s="6">
        <v>4560</v>
      </c>
      <c r="H114" t="str">
        <f>IF(COUNTIFS(
    Sheet1!$B:$B, B114,
    Sheet1!$C:$C, C114,
    Sheet1!$D:$D, D114,
    Sheet1!$E:$E, E114
) = 0, "NO MATCH IN TARGET", "MATCHED")</f>
        <v>MATCHED</v>
      </c>
    </row>
    <row r="115" spans="1:8" ht="15" thickBot="1" x14ac:dyDescent="0.4">
      <c r="A115" s="5">
        <v>46334.692361111112</v>
      </c>
      <c r="B115" s="1" t="s">
        <v>37</v>
      </c>
      <c r="C115" s="1" t="s">
        <v>12</v>
      </c>
      <c r="D115" s="6">
        <v>30</v>
      </c>
      <c r="E115" s="6">
        <v>860</v>
      </c>
      <c r="H115" t="str">
        <f>IF(COUNTIFS(
    Sheet1!$B:$B, B115,
    Sheet1!$C:$C, C115,
    Sheet1!$D:$D, D115,
    Sheet1!$E:$E, E115
) = 0, "NO MATCH IN TARGET", "MATCHED")</f>
        <v>MATCHED</v>
      </c>
    </row>
    <row r="116" spans="1:8" ht="15" thickBot="1" x14ac:dyDescent="0.4">
      <c r="A116" s="5">
        <v>46248.770914351851</v>
      </c>
      <c r="B116" s="1" t="s">
        <v>14</v>
      </c>
      <c r="C116" s="1" t="s">
        <v>12</v>
      </c>
      <c r="D116" s="6">
        <v>5</v>
      </c>
      <c r="E116" s="6">
        <v>604</v>
      </c>
      <c r="H116" t="str">
        <f>IF(COUNTIFS(
    Sheet1!$B:$B, B116,
    Sheet1!$C:$C, C116,
    Sheet1!$D:$D, D116,
    Sheet1!$E:$E, E116
) = 0, "NO MATCH IN TARGET", "MATCHED")</f>
        <v>MATCHED</v>
      </c>
    </row>
    <row r="117" spans="1:8" ht="15" thickBot="1" x14ac:dyDescent="0.4">
      <c r="A117" s="10" t="s">
        <v>85</v>
      </c>
      <c r="B117" s="1" t="s">
        <v>89</v>
      </c>
      <c r="C117" s="1" t="s">
        <v>12</v>
      </c>
      <c r="D117" s="6">
        <v>1</v>
      </c>
      <c r="E117" s="6">
        <v>6920</v>
      </c>
      <c r="H117" t="str">
        <f>IF(COUNTIFS(
    Sheet1!$B:$B, B117,
    Sheet1!$C:$C, C117,
    Sheet1!$D:$D, D117,
    Sheet1!$E:$E, E117
) = 0, "NO MATCH IN TARGET", "MATCHED")</f>
        <v>MATCHED</v>
      </c>
    </row>
    <row r="118" spans="1:8" ht="15" thickBot="1" x14ac:dyDescent="0.4">
      <c r="A118" s="5">
        <v>46247.635416666664</v>
      </c>
      <c r="B118" s="1" t="s">
        <v>60</v>
      </c>
      <c r="C118" s="1" t="s">
        <v>12</v>
      </c>
      <c r="D118" s="6">
        <v>1</v>
      </c>
      <c r="E118" s="6">
        <v>18052</v>
      </c>
      <c r="H118" t="str">
        <f>IF(COUNTIFS(
    Sheet1!$B:$B, B118,
    Sheet1!$C:$C, C118,
    Sheet1!$D:$D, D118,
    Sheet1!$E:$E, E118
) = 0, "NO MATCH IN TARGET", "MATCHED")</f>
        <v>MATCHED</v>
      </c>
    </row>
    <row r="119" spans="1:8" ht="15" thickBot="1" x14ac:dyDescent="0.4">
      <c r="A119" s="5">
        <v>46246.635416666664</v>
      </c>
      <c r="B119" s="1" t="s">
        <v>51</v>
      </c>
      <c r="C119" s="1" t="s">
        <v>12</v>
      </c>
      <c r="D119" s="6">
        <v>10</v>
      </c>
      <c r="E119" s="6">
        <v>1260</v>
      </c>
      <c r="H119" t="str">
        <f>IF(COUNTIFS(
    Sheet1!$B:$B, B119,
    Sheet1!$C:$C, C119,
    Sheet1!$D:$D, D119,
    Sheet1!$E:$E, E119
) = 0, "NO MATCH IN TARGET", "MATCHED")</f>
        <v>MATCHED</v>
      </c>
    </row>
    <row r="120" spans="1:8" ht="15" thickBot="1" x14ac:dyDescent="0.4">
      <c r="A120" s="5">
        <v>46334.692361111112</v>
      </c>
      <c r="B120" s="1" t="s">
        <v>37</v>
      </c>
      <c r="C120" s="1" t="s">
        <v>12</v>
      </c>
      <c r="D120" s="6">
        <v>5</v>
      </c>
      <c r="E120" s="6">
        <v>852</v>
      </c>
      <c r="H120" t="str">
        <f>IF(COUNTIFS(
    Sheet1!$B:$B, B120,
    Sheet1!$C:$C, C120,
    Sheet1!$D:$D, D120,
    Sheet1!$E:$E, E120
) = 0, "NO MATCH IN TARGET", "MATCHED")</f>
        <v>MATCHED</v>
      </c>
    </row>
    <row r="121" spans="1:8" ht="15" hidden="1" thickBot="1" x14ac:dyDescent="0.4">
      <c r="A121" s="5">
        <v>46248.769120370373</v>
      </c>
      <c r="B121" s="1" t="s">
        <v>22</v>
      </c>
      <c r="C121" s="1" t="s">
        <v>12</v>
      </c>
      <c r="D121" s="6">
        <v>10</v>
      </c>
      <c r="E121" s="6">
        <v>1666</v>
      </c>
      <c r="H121" t="str">
        <f>IF(COUNTIFS(
    Sheet1!$B:$B, B121,
    Sheet1!$C:$C, C121,
    Sheet1!$D:$D, D121,
    Sheet1!$E:$E, E121
) = 0, "NO MATCH IN TARGET", "MATCHED")</f>
        <v>MATCHED</v>
      </c>
    </row>
    <row r="122" spans="1:8" ht="15" thickBot="1" x14ac:dyDescent="0.4">
      <c r="A122" s="5">
        <v>46246.635416666664</v>
      </c>
      <c r="B122" s="1" t="s">
        <v>51</v>
      </c>
      <c r="C122" s="1" t="s">
        <v>12</v>
      </c>
      <c r="D122" s="6">
        <v>10</v>
      </c>
      <c r="E122" s="6">
        <v>1251</v>
      </c>
      <c r="H122" t="str">
        <f>IF(COUNTIFS(
    Sheet1!$B:$B, B122,
    Sheet1!$C:$C, C122,
    Sheet1!$D:$D, D122,
    Sheet1!$E:$E, E122
) = 0, "NO MATCH IN TARGET", "MATCHED")</f>
        <v>MATCHED</v>
      </c>
    </row>
    <row r="123" spans="1:8" ht="15" thickBot="1" x14ac:dyDescent="0.4">
      <c r="A123" s="5">
        <v>46246.689583333333</v>
      </c>
      <c r="B123" s="1" t="s">
        <v>84</v>
      </c>
      <c r="C123" s="1" t="s">
        <v>12</v>
      </c>
      <c r="D123" s="6">
        <v>200</v>
      </c>
      <c r="E123" s="6">
        <v>31.01</v>
      </c>
      <c r="H123" t="str">
        <f>IF(COUNTIFS(
    Sheet1!$B:$B, B123,
    Sheet1!$C:$C, C123,
    Sheet1!$D:$D, D123,
    Sheet1!$E:$E, E123
) = 0, "NO MATCH IN TARGET", "MATCHED")</f>
        <v>MATCHED</v>
      </c>
    </row>
    <row r="124" spans="1:8" ht="15" thickBot="1" x14ac:dyDescent="0.4">
      <c r="A124" s="5">
        <v>46240.635416666664</v>
      </c>
      <c r="B124" s="1" t="s">
        <v>53</v>
      </c>
      <c r="C124" s="1" t="s">
        <v>12</v>
      </c>
      <c r="D124" s="6">
        <v>2</v>
      </c>
      <c r="E124" s="6">
        <v>4456</v>
      </c>
      <c r="H124" t="str">
        <f>IF(COUNTIFS(
    Sheet1!$B:$B, B124,
    Sheet1!$C:$C, C124,
    Sheet1!$D:$D, D124,
    Sheet1!$E:$E, E124
) = 0, "NO MATCH IN TARGET", "MATCHED")</f>
        <v>MATCHED</v>
      </c>
    </row>
    <row r="125" spans="1:8" ht="15" thickBot="1" x14ac:dyDescent="0.4">
      <c r="A125" s="5">
        <v>46181.6875</v>
      </c>
      <c r="B125" s="1" t="s">
        <v>33</v>
      </c>
      <c r="C125" s="1" t="s">
        <v>12</v>
      </c>
      <c r="D125" s="6">
        <v>100</v>
      </c>
      <c r="E125" s="6">
        <v>111</v>
      </c>
      <c r="H125" t="str">
        <f>IF(COUNTIFS(
    Sheet1!$B:$B, B125,
    Sheet1!$C:$C, C125,
    Sheet1!$D:$D, D125,
    Sheet1!$E:$E, E125
) = 0, "NO MATCH IN TARGET", "MATCHED")</f>
        <v>MATCHED</v>
      </c>
    </row>
    <row r="126" spans="1:8" ht="15" thickBot="1" x14ac:dyDescent="0.4">
      <c r="A126" s="10" t="s">
        <v>85</v>
      </c>
      <c r="B126" s="1" t="s">
        <v>30</v>
      </c>
      <c r="C126" s="1" t="s">
        <v>12</v>
      </c>
      <c r="D126" s="6">
        <v>10</v>
      </c>
      <c r="E126" s="6">
        <v>251</v>
      </c>
      <c r="H126" t="str">
        <f>IF(COUNTIFS(
    Sheet1!$B:$B, B126,
    Sheet1!$C:$C, C126,
    Sheet1!$D:$D, D126,
    Sheet1!$E:$E, E126
) = 0, "NO MATCH IN TARGET", "MATCHED")</f>
        <v>MATCHED</v>
      </c>
    </row>
    <row r="127" spans="1:8" ht="15" thickBot="1" x14ac:dyDescent="0.4">
      <c r="A127" s="10" t="s">
        <v>85</v>
      </c>
      <c r="B127" s="1" t="s">
        <v>90</v>
      </c>
      <c r="C127" s="1" t="s">
        <v>12</v>
      </c>
      <c r="D127" s="6">
        <v>4</v>
      </c>
      <c r="E127" s="6">
        <v>701</v>
      </c>
      <c r="H127" t="str">
        <f>IF(COUNTIFS(
    Sheet1!$B:$B, B127,
    Sheet1!$C:$C, C127,
    Sheet1!$D:$D, D127,
    Sheet1!$E:$E, E127
) = 0, "NO MATCH IN TARGET", "MATCHED")</f>
        <v>MATCHED</v>
      </c>
    </row>
    <row r="128" spans="1:8" ht="15" thickBot="1" x14ac:dyDescent="0.4">
      <c r="A128" s="5">
        <v>46241.6875</v>
      </c>
      <c r="B128" s="1" t="s">
        <v>11</v>
      </c>
      <c r="C128" s="1" t="s">
        <v>12</v>
      </c>
      <c r="D128" s="6">
        <v>2</v>
      </c>
      <c r="E128" s="6">
        <v>4410</v>
      </c>
      <c r="H128" t="str">
        <f>IF(COUNTIFS(
    Sheet1!$B:$B, B128,
    Sheet1!$C:$C, C128,
    Sheet1!$D:$D, D128,
    Sheet1!$E:$E, E128
) = 0, "NO MATCH IN TARGET", "MATCHED")</f>
        <v>MATCHED</v>
      </c>
    </row>
    <row r="129" spans="1:8" ht="15" thickBot="1" x14ac:dyDescent="0.4">
      <c r="A129" s="5">
        <v>46239.788888888892</v>
      </c>
      <c r="B129" s="1" t="s">
        <v>28</v>
      </c>
      <c r="C129" s="1" t="s">
        <v>12</v>
      </c>
      <c r="D129" s="6">
        <v>5</v>
      </c>
      <c r="E129" s="6">
        <v>419</v>
      </c>
      <c r="H129" t="str">
        <f>IF(COUNTIFS(
    Sheet1!$B:$B, B129,
    Sheet1!$C:$C, C129,
    Sheet1!$D:$D, D129,
    Sheet1!$E:$E, E129
) = 0, "NO MATCH IN TARGET", "MATCHED")</f>
        <v>MATCHED</v>
      </c>
    </row>
    <row r="130" spans="1:8" ht="15" thickBot="1" x14ac:dyDescent="0.4">
      <c r="A130" s="5">
        <v>46150.635416666664</v>
      </c>
      <c r="B130" s="1" t="s">
        <v>53</v>
      </c>
      <c r="C130" s="1" t="s">
        <v>12</v>
      </c>
      <c r="D130" s="6">
        <v>15</v>
      </c>
      <c r="E130" s="6">
        <v>4415</v>
      </c>
      <c r="H130" t="str">
        <f>IF(COUNTIFS(
    Sheet1!$B:$B, B130,
    Sheet1!$C:$C, C130,
    Sheet1!$D:$D, D130,
    Sheet1!$E:$E, E130
) = 0, "NO MATCH IN TARGET", "MATCHED")</f>
        <v>MATCHED</v>
      </c>
    </row>
    <row r="131" spans="1:8" ht="15" thickBot="1" x14ac:dyDescent="0.4">
      <c r="A131" s="5">
        <v>46244.635416666664</v>
      </c>
      <c r="B131" s="1" t="s">
        <v>87</v>
      </c>
      <c r="C131" s="1" t="s">
        <v>12</v>
      </c>
      <c r="D131" s="6">
        <v>2</v>
      </c>
      <c r="E131" s="6">
        <v>2560</v>
      </c>
      <c r="H131" t="str">
        <f>IF(COUNTIFS(
    Sheet1!$B:$B, B131,
    Sheet1!$C:$C, C131,
    Sheet1!$D:$D, D131,
    Sheet1!$E:$E, E131
) = 0, "NO MATCH IN TARGET", "MATCHED")</f>
        <v>MATCHED</v>
      </c>
    </row>
    <row r="132" spans="1:8" ht="15" thickBot="1" x14ac:dyDescent="0.4">
      <c r="A132" s="10" t="s">
        <v>85</v>
      </c>
      <c r="B132" s="1" t="s">
        <v>11</v>
      </c>
      <c r="C132" s="1" t="s">
        <v>12</v>
      </c>
      <c r="D132" s="6">
        <v>1</v>
      </c>
      <c r="E132" s="6">
        <v>4364</v>
      </c>
      <c r="H132" t="str">
        <f>IF(COUNTIFS(
    Sheet1!$B:$B, B132,
    Sheet1!$C:$C, C132,
    Sheet1!$D:$D, D132,
    Sheet1!$E:$E, E132
) = 0, "NO MATCH IN TARGET", "MATCHED")</f>
        <v>MATCHED</v>
      </c>
    </row>
    <row r="133" spans="1:8" ht="15" thickBot="1" x14ac:dyDescent="0.4">
      <c r="A133" s="5">
        <v>46240.6875</v>
      </c>
      <c r="B133" s="1" t="s">
        <v>22</v>
      </c>
      <c r="C133" s="1" t="s">
        <v>12</v>
      </c>
      <c r="D133" s="6">
        <v>5</v>
      </c>
      <c r="E133" s="6">
        <v>1614</v>
      </c>
      <c r="H133" t="str">
        <f>IF(COUNTIFS(
    Sheet1!$B:$B, B133,
    Sheet1!$C:$C, C133,
    Sheet1!$D:$D, D133,
    Sheet1!$E:$E, E133
) = 0, "NO MATCH IN TARGET", "MATCHED")</f>
        <v>MATCHED</v>
      </c>
    </row>
    <row r="134" spans="1:8" ht="15" thickBot="1" x14ac:dyDescent="0.4">
      <c r="A134" s="5">
        <v>46150.789583333331</v>
      </c>
      <c r="B134" s="1" t="s">
        <v>91</v>
      </c>
      <c r="C134" s="1" t="s">
        <v>12</v>
      </c>
      <c r="D134" s="6">
        <v>7</v>
      </c>
      <c r="E134" s="6">
        <v>411</v>
      </c>
      <c r="H134" t="str">
        <f>IF(COUNTIFS(
    Sheet1!$B:$B, B134,
    Sheet1!$C:$C, C134,
    Sheet1!$D:$D, D134,
    Sheet1!$E:$E, E134
) = 0, "NO MATCH IN TARGET", "MATCHED")</f>
        <v>MATCHED</v>
      </c>
    </row>
    <row r="135" spans="1:8" ht="15" thickBot="1" x14ac:dyDescent="0.4">
      <c r="A135" s="10" t="s">
        <v>85</v>
      </c>
      <c r="B135" s="1" t="s">
        <v>28</v>
      </c>
      <c r="C135" s="1" t="s">
        <v>12</v>
      </c>
      <c r="D135" s="6">
        <v>29</v>
      </c>
      <c r="E135" s="6">
        <v>401</v>
      </c>
      <c r="H135" t="str">
        <f>IF(COUNTIFS(
    Sheet1!$B:$B, B135,
    Sheet1!$C:$C, C135,
    Sheet1!$D:$D, D135,
    Sheet1!$E:$E, E135
) = 0, "NO MATCH IN TARGET", "MATCHED")</f>
        <v>MATCHED</v>
      </c>
    </row>
    <row r="136" spans="1:8" ht="15" thickBot="1" x14ac:dyDescent="0.4">
      <c r="A136" s="10" t="s">
        <v>85</v>
      </c>
      <c r="B136" s="1" t="s">
        <v>11</v>
      </c>
      <c r="C136" s="1" t="s">
        <v>12</v>
      </c>
      <c r="D136" s="6">
        <v>1</v>
      </c>
      <c r="E136" s="6">
        <v>4164</v>
      </c>
      <c r="H136" t="str">
        <f>IF(COUNTIFS(
    Sheet1!$B:$B, B136,
    Sheet1!$C:$C, C136,
    Sheet1!$D:$D, D136,
    Sheet1!$E:$E, E136
) = 0, "NO MATCH IN TARGET", "MATCHED")</f>
        <v>MATCHED</v>
      </c>
    </row>
    <row r="137" spans="1:8" ht="15" thickBot="1" x14ac:dyDescent="0.4">
      <c r="A137" s="10" t="s">
        <v>85</v>
      </c>
      <c r="B137" s="1" t="s">
        <v>11</v>
      </c>
      <c r="C137" s="1" t="s">
        <v>12</v>
      </c>
      <c r="D137" s="6">
        <v>1</v>
      </c>
      <c r="E137" s="6">
        <v>4014</v>
      </c>
      <c r="H137" t="str">
        <f>IF(COUNTIFS(
    Sheet1!$B:$B, B137,
    Sheet1!$C:$C, C137,
    Sheet1!$D:$D, D137,
    Sheet1!$E:$E, E137
) = 0, "NO MATCH IN TARGET", "MATCHED")</f>
        <v>MATCHED</v>
      </c>
    </row>
    <row r="138" spans="1:8" ht="15" thickBot="1" x14ac:dyDescent="0.4">
      <c r="A138" s="10" t="s">
        <v>85</v>
      </c>
      <c r="B138" s="1" t="s">
        <v>11</v>
      </c>
      <c r="C138" s="1" t="s">
        <v>12</v>
      </c>
      <c r="D138" s="6">
        <v>1</v>
      </c>
      <c r="E138" s="6">
        <v>3914</v>
      </c>
      <c r="H138" t="str">
        <f>IF(COUNTIFS(
    Sheet1!$B:$B, B138,
    Sheet1!$C:$C, C138,
    Sheet1!$D:$D, D138,
    Sheet1!$E:$E, E138
) = 0, "NO MATCH IN TARGET", "MATCHED")</f>
        <v>MATCHED</v>
      </c>
    </row>
    <row r="139" spans="1:8" ht="15" thickBot="1" x14ac:dyDescent="0.4">
      <c r="A139" s="5">
        <v>46244.767361111109</v>
      </c>
      <c r="B139" s="1" t="s">
        <v>92</v>
      </c>
      <c r="C139" s="1" t="s">
        <v>12</v>
      </c>
      <c r="D139" s="6">
        <v>2</v>
      </c>
      <c r="E139" s="6">
        <v>660</v>
      </c>
      <c r="H139" t="str">
        <f>IF(COUNTIFS(
    Sheet1!$B:$B, B139,
    Sheet1!$C:$C, C139,
    Sheet1!$D:$D, D139,
    Sheet1!$E:$E, E139
) = 0, "NO MATCH IN TARGET", "MATCHED")</f>
        <v>MATCHED</v>
      </c>
    </row>
    <row r="140" spans="1:8" ht="15" thickBot="1" x14ac:dyDescent="0.4">
      <c r="A140" s="5">
        <v>46248.635509259257</v>
      </c>
      <c r="B140" s="1" t="s">
        <v>44</v>
      </c>
      <c r="C140" s="1" t="s">
        <v>8</v>
      </c>
      <c r="D140" s="6">
        <v>10</v>
      </c>
      <c r="E140" s="6">
        <v>947</v>
      </c>
      <c r="H140" t="str">
        <f>IF(COUNTIFS(
    Sheet1!$B:$B, B140,
    Sheet1!$C:$C, C140,
    Sheet1!$D:$D, D140,
    Sheet1!$E:$E, E140
) = 0, "NO MATCH IN TARGET", "MATCHED")</f>
        <v>MATCHED</v>
      </c>
    </row>
    <row r="141" spans="1:8" ht="15" thickBot="1" x14ac:dyDescent="0.4">
      <c r="A141" s="5">
        <v>46248.644837962966</v>
      </c>
      <c r="B141" s="1" t="s">
        <v>52</v>
      </c>
      <c r="C141" s="1" t="s">
        <v>8</v>
      </c>
      <c r="D141" s="6">
        <v>20</v>
      </c>
      <c r="E141" s="6">
        <v>896</v>
      </c>
      <c r="H141" t="str">
        <f>IF(COUNTIFS(
    Sheet1!$B:$B, B141,
    Sheet1!$C:$C, C141,
    Sheet1!$D:$D, D141,
    Sheet1!$E:$E, E141
) = 0, "NO MATCH IN TARGET", "MATCHED")</f>
        <v>MATCHED</v>
      </c>
    </row>
    <row r="142" spans="1:8" ht="15" thickBot="1" x14ac:dyDescent="0.4">
      <c r="A142" s="5">
        <v>46248.769108796296</v>
      </c>
      <c r="B142" s="1" t="s">
        <v>23</v>
      </c>
      <c r="C142" s="1" t="s">
        <v>8</v>
      </c>
      <c r="D142" s="6">
        <v>100</v>
      </c>
      <c r="E142" s="6">
        <v>223</v>
      </c>
      <c r="H142" t="str">
        <f>IF(COUNTIFS(
    Sheet1!$B:$B, B142,
    Sheet1!$C:$C, C142,
    Sheet1!$D:$D, D142,
    Sheet1!$E:$E, E142
) = 0, "NO MATCH IN TARGET", "MATCHED")</f>
        <v>MATCHED</v>
      </c>
    </row>
    <row r="143" spans="1:8" ht="15" thickBot="1" x14ac:dyDescent="0.4">
      <c r="A143" s="5">
        <v>46248.644872685189</v>
      </c>
      <c r="B143" s="1" t="s">
        <v>44</v>
      </c>
      <c r="C143" s="1" t="s">
        <v>8</v>
      </c>
      <c r="D143" s="6">
        <v>10</v>
      </c>
      <c r="E143" s="6">
        <v>957</v>
      </c>
      <c r="H143" t="str">
        <f>IF(COUNTIFS(
    Sheet1!$B:$B, B143,
    Sheet1!$C:$C, C143,
    Sheet1!$D:$D, D143,
    Sheet1!$E:$E, E143
) = 0, "NO MATCH IN TARGET", "MATCHED")</f>
        <v>MATCHED</v>
      </c>
    </row>
    <row r="144" spans="1:8" ht="15" hidden="1" thickBot="1" x14ac:dyDescent="0.4">
      <c r="A144" s="5">
        <v>46248.644861111112</v>
      </c>
      <c r="B144" s="1" t="s">
        <v>68</v>
      </c>
      <c r="C144" s="1" t="s">
        <v>8</v>
      </c>
      <c r="D144" s="6">
        <v>5</v>
      </c>
      <c r="E144" s="6">
        <v>4129</v>
      </c>
      <c r="H144" t="str">
        <f>IF(COUNTIFS(
    Sheet1!$B:$B, B144,
    Sheet1!$C:$C, C144,
    Sheet1!$D:$D, D144,
    Sheet1!$E:$E, E144
) = 0, "NO MATCH IN TARGET", "MATCHED")</f>
        <v>MATCHED</v>
      </c>
    </row>
    <row r="145" spans="1:8" ht="15" thickBot="1" x14ac:dyDescent="0.4">
      <c r="A145" s="5">
        <v>46248.769108796296</v>
      </c>
      <c r="B145" s="1" t="s">
        <v>18</v>
      </c>
      <c r="C145" s="1" t="s">
        <v>8</v>
      </c>
      <c r="D145" s="6">
        <v>50</v>
      </c>
      <c r="E145" s="6">
        <v>353</v>
      </c>
      <c r="H145" t="str">
        <f>IF(COUNTIFS(
    Sheet1!$B:$B, B145,
    Sheet1!$C:$C, C145,
    Sheet1!$D:$D, D145,
    Sheet1!$E:$E, E145
) = 0, "NO MATCH IN TARGET", "MATCHED")</f>
        <v>MATCHED</v>
      </c>
    </row>
    <row r="146" spans="1:8" ht="15" hidden="1" thickBot="1" x14ac:dyDescent="0.4">
      <c r="A146" s="5">
        <v>46248.644884259258</v>
      </c>
      <c r="B146" s="1" t="s">
        <v>71</v>
      </c>
      <c r="C146" s="1" t="s">
        <v>8</v>
      </c>
      <c r="D146" s="6">
        <v>200</v>
      </c>
      <c r="E146" s="6">
        <v>232</v>
      </c>
      <c r="H146" t="str">
        <f>IF(COUNTIFS(
    Sheet1!$B:$B, B146,
    Sheet1!$C:$C, C146,
    Sheet1!$D:$D, D146,
    Sheet1!$E:$E, E146
) = 0, "NO MATCH IN TARGET", "MATCHED")</f>
        <v>MATCHED</v>
      </c>
    </row>
    <row r="147" spans="1:8" ht="15" hidden="1" thickBot="1" x14ac:dyDescent="0.4">
      <c r="A147" s="5">
        <v>46248.769108796296</v>
      </c>
      <c r="B147" s="1" t="s">
        <v>19</v>
      </c>
      <c r="C147" s="1" t="s">
        <v>8</v>
      </c>
      <c r="D147" s="6">
        <v>10</v>
      </c>
      <c r="E147" s="6">
        <v>2672</v>
      </c>
      <c r="H147" t="str">
        <f>IF(COUNTIFS(
    Sheet1!$B:$B, B147,
    Sheet1!$C:$C, C147,
    Sheet1!$D:$D, D147,
    Sheet1!$E:$E, E147
) = 0, "NO MATCH IN TARGET", "MATCHED")</f>
        <v>MATCHED</v>
      </c>
    </row>
    <row r="148" spans="1:8" ht="15" hidden="1" thickBot="1" x14ac:dyDescent="0.4">
      <c r="A148" s="5">
        <v>46248.769108796296</v>
      </c>
      <c r="B148" s="1" t="s">
        <v>35</v>
      </c>
      <c r="C148" s="1" t="s">
        <v>8</v>
      </c>
      <c r="D148" s="6">
        <v>50</v>
      </c>
      <c r="E148" s="6">
        <v>214</v>
      </c>
      <c r="H148" t="str">
        <f>IF(COUNTIFS(
    Sheet1!$B:$B, B148,
    Sheet1!$C:$C, C148,
    Sheet1!$D:$D, D148,
    Sheet1!$E:$E, E148
) = 0, "NO MATCH IN TARGET", "MATCHED")</f>
        <v>MATCHED</v>
      </c>
    </row>
    <row r="149" spans="1:8" ht="15" hidden="1" thickBot="1" x14ac:dyDescent="0.4">
      <c r="A149" s="5">
        <v>46248.644895833335</v>
      </c>
      <c r="B149" s="1" t="s">
        <v>83</v>
      </c>
      <c r="C149" s="1" t="s">
        <v>8</v>
      </c>
      <c r="D149" s="6">
        <v>15</v>
      </c>
      <c r="E149" s="6">
        <v>1040</v>
      </c>
      <c r="H149" t="str">
        <f>IF(COUNTIFS(
    Sheet1!$B:$B, B149,
    Sheet1!$C:$C, C149,
    Sheet1!$D:$D, D149,
    Sheet1!$E:$E, E149
) = 0, "NO MATCH IN TARGET", "MATCHED")</f>
        <v>MATCHED</v>
      </c>
    </row>
    <row r="150" spans="1:8" ht="15" hidden="1" thickBot="1" x14ac:dyDescent="0.4">
      <c r="A150" s="5">
        <v>46248.644837962966</v>
      </c>
      <c r="B150" s="1" t="s">
        <v>82</v>
      </c>
      <c r="C150" s="1" t="s">
        <v>8</v>
      </c>
      <c r="D150" s="6">
        <v>25</v>
      </c>
      <c r="E150" s="6">
        <v>784</v>
      </c>
      <c r="H150" t="str">
        <f>IF(COUNTIFS(
    Sheet1!$B:$B, B150,
    Sheet1!$C:$C, C150,
    Sheet1!$D:$D, D150,
    Sheet1!$E:$E, E150
) = 0, "NO MATCH IN TARGET", "MATCHED")</f>
        <v>MATCHED</v>
      </c>
    </row>
    <row r="151" spans="1:8" ht="15" hidden="1" thickBot="1" x14ac:dyDescent="0.4">
      <c r="A151" s="7">
        <v>46247.689583333333</v>
      </c>
      <c r="B151" s="8" t="s">
        <v>23</v>
      </c>
      <c r="C151" s="8" t="s">
        <v>8</v>
      </c>
      <c r="D151" s="9">
        <v>50</v>
      </c>
      <c r="E151" s="9">
        <v>228</v>
      </c>
      <c r="H151" t="str">
        <f>IF(COUNTIFS(
    Sheet1!$B:$B, B151,
    Sheet1!$C:$C, C151,
    Sheet1!$D:$D, D151,
    Sheet1!$E:$E, E151
) = 0, "NO MATCH IN TARGET", "MATCHED")</f>
        <v>MATCHED</v>
      </c>
    </row>
    <row r="152" spans="1:8" ht="15" hidden="1" thickBot="1" x14ac:dyDescent="0.4">
      <c r="A152" s="7">
        <v>46334.635416666664</v>
      </c>
      <c r="B152" s="8" t="s">
        <v>68</v>
      </c>
      <c r="C152" s="8" t="s">
        <v>8</v>
      </c>
      <c r="D152" s="9">
        <v>5</v>
      </c>
      <c r="E152" s="9">
        <v>4177</v>
      </c>
      <c r="H152" t="str">
        <f>IF(COUNTIFS(
    Sheet1!$B:$B, B152,
    Sheet1!$C:$C, C152,
    Sheet1!$D:$D, D152,
    Sheet1!$E:$E, E152
) = 0, "NO MATCH IN TARGET", "MATCHED")</f>
        <v>MATCHED</v>
      </c>
    </row>
    <row r="153" spans="1:8" ht="15" thickBot="1" x14ac:dyDescent="0.4">
      <c r="A153" s="5">
        <v>46248.771122685182</v>
      </c>
      <c r="B153" s="1" t="s">
        <v>18</v>
      </c>
      <c r="C153" s="1" t="s">
        <v>8</v>
      </c>
      <c r="D153" s="6">
        <v>50</v>
      </c>
      <c r="E153" s="6">
        <v>357</v>
      </c>
      <c r="H153" t="str">
        <f>IF(COUNTIFS(
    Sheet1!$B:$B, B153,
    Sheet1!$C:$C, C153,
    Sheet1!$D:$D, D153,
    Sheet1!$E:$E, E153
) = 0, "NO MATCH IN TARGET", "MATCHED")</f>
        <v>MATCHED</v>
      </c>
    </row>
    <row r="154" spans="1:8" ht="15" hidden="1" thickBot="1" x14ac:dyDescent="0.4">
      <c r="A154" s="5">
        <v>46248.769108796296</v>
      </c>
      <c r="B154" s="1" t="s">
        <v>19</v>
      </c>
      <c r="C154" s="1" t="s">
        <v>8</v>
      </c>
      <c r="D154" s="6">
        <v>10</v>
      </c>
      <c r="E154" s="6">
        <v>2696</v>
      </c>
      <c r="H154" t="str">
        <f>IF(COUNTIFS(
    Sheet1!$B:$B, B154,
    Sheet1!$C:$C, C154,
    Sheet1!$D:$D, D154,
    Sheet1!$E:$E, E154
) = 0, "NO MATCH IN TARGET", "MATCHED")</f>
        <v>MATCHED</v>
      </c>
    </row>
    <row r="155" spans="1:8" ht="15" hidden="1" thickBot="1" x14ac:dyDescent="0.4">
      <c r="A155" s="5">
        <v>46248.63554398148</v>
      </c>
      <c r="B155" s="1" t="s">
        <v>58</v>
      </c>
      <c r="C155" s="1" t="s">
        <v>8</v>
      </c>
      <c r="D155" s="6">
        <v>20</v>
      </c>
      <c r="E155" s="6">
        <v>424</v>
      </c>
      <c r="H155" t="str">
        <f>IF(COUNTIFS(
    Sheet1!$B:$B, B155,
    Sheet1!$C:$C, C155,
    Sheet1!$D:$D, D155,
    Sheet1!$E:$E, E155
) = 0, "NO MATCH IN TARGET", "MATCHED")</f>
        <v>MATCHED</v>
      </c>
    </row>
    <row r="156" spans="1:8" ht="15" hidden="1" thickBot="1" x14ac:dyDescent="0.4">
      <c r="A156" s="5">
        <v>46248.771099537036</v>
      </c>
      <c r="B156" s="1" t="s">
        <v>7</v>
      </c>
      <c r="C156" s="1" t="s">
        <v>8</v>
      </c>
      <c r="D156" s="6">
        <v>10</v>
      </c>
      <c r="E156" s="6">
        <v>2114</v>
      </c>
      <c r="H156" t="str">
        <f>IF(COUNTIFS(
    Sheet1!$B:$B, B156,
    Sheet1!$C:$C, C156,
    Sheet1!$D:$D, D156,
    Sheet1!$E:$E, E156
) = 0, "NO MATCH IN TARGET", "MATCHED")</f>
        <v>MATCHED</v>
      </c>
    </row>
    <row r="157" spans="1:8" ht="15" thickBot="1" x14ac:dyDescent="0.4">
      <c r="A157" s="5">
        <v>46248.635520833333</v>
      </c>
      <c r="B157" s="1" t="s">
        <v>71</v>
      </c>
      <c r="C157" s="1" t="s">
        <v>8</v>
      </c>
      <c r="D157" s="6">
        <v>200</v>
      </c>
      <c r="E157" s="6">
        <v>235</v>
      </c>
      <c r="H157" t="str">
        <f>IF(COUNTIFS(
    Sheet1!$B:$B, B157,
    Sheet1!$C:$C, C157,
    Sheet1!$D:$D, D157,
    Sheet1!$E:$E, E157
) = 0, "NO MATCH IN TARGET", "MATCHED")</f>
        <v>MATCHED</v>
      </c>
    </row>
    <row r="158" spans="1:8" ht="15" hidden="1" thickBot="1" x14ac:dyDescent="0.4">
      <c r="A158" s="5">
        <v>46248.635578703703</v>
      </c>
      <c r="B158" s="1" t="s">
        <v>49</v>
      </c>
      <c r="C158" s="1" t="s">
        <v>8</v>
      </c>
      <c r="D158" s="6">
        <v>200</v>
      </c>
      <c r="E158" s="6">
        <v>90.75</v>
      </c>
      <c r="H158" t="str">
        <f>IF(COUNTIFS(
    Sheet1!$B:$B, B158,
    Sheet1!$C:$C, C158,
    Sheet1!$D:$D, D158,
    Sheet1!$E:$E, E158
) = 0, "NO MATCH IN TARGET", "MATCHED")</f>
        <v>MATCHED</v>
      </c>
    </row>
    <row r="159" spans="1:8" ht="15" hidden="1" thickBot="1" x14ac:dyDescent="0.4">
      <c r="A159" s="5">
        <v>46248.635578703703</v>
      </c>
      <c r="B159" s="1" t="s">
        <v>79</v>
      </c>
      <c r="C159" s="1" t="s">
        <v>8</v>
      </c>
      <c r="D159" s="6">
        <v>6</v>
      </c>
      <c r="E159" s="6">
        <v>548</v>
      </c>
      <c r="H159" t="str">
        <f>IF(COUNTIFS(
    Sheet1!$B:$B, B159,
    Sheet1!$C:$C, C159,
    Sheet1!$D:$D, D159,
    Sheet1!$E:$E, E159
) = 0, "NO MATCH IN TARGET", "MATCHED")</f>
        <v>MATCHED</v>
      </c>
    </row>
    <row r="160" spans="1:8" ht="15" thickBot="1" x14ac:dyDescent="0.4">
      <c r="A160" s="5">
        <v>46246.635416666664</v>
      </c>
      <c r="B160" s="1" t="s">
        <v>44</v>
      </c>
      <c r="C160" s="1" t="s">
        <v>8</v>
      </c>
      <c r="D160" s="6">
        <v>10</v>
      </c>
      <c r="E160" s="4">
        <v>977</v>
      </c>
      <c r="H160" t="str">
        <f>IF(COUNTIFS(
    Sheet1!$B:$B, B160,
    Sheet1!$C:$C, C160,
    Sheet1!$D:$D, D160,
    Sheet1!$E:$E, E160
) = 0, "NO MATCH IN TARGET", "MATCHED")</f>
        <v>MATCHED</v>
      </c>
    </row>
    <row r="161" spans="1:8" ht="15" hidden="1" thickBot="1" x14ac:dyDescent="0.4">
      <c r="A161" s="5">
        <v>46248.635578703703</v>
      </c>
      <c r="B161" s="1" t="s">
        <v>42</v>
      </c>
      <c r="C161" s="1" t="s">
        <v>8</v>
      </c>
      <c r="D161" s="6">
        <v>10</v>
      </c>
      <c r="E161" s="6">
        <v>1548</v>
      </c>
      <c r="H161" t="str">
        <f>IF(COUNTIFS(
    Sheet1!$B:$B, B161,
    Sheet1!$C:$C, C161,
    Sheet1!$D:$D, D161,
    Sheet1!$E:$E, E161
) = 0, "NO MATCH IN TARGET", "MATCHED")</f>
        <v>MATCHED</v>
      </c>
    </row>
    <row r="162" spans="1:8" ht="15" hidden="1" thickBot="1" x14ac:dyDescent="0.4">
      <c r="A162" s="5">
        <v>46248.769108796296</v>
      </c>
      <c r="B162" s="1" t="s">
        <v>36</v>
      </c>
      <c r="C162" s="1" t="s">
        <v>8</v>
      </c>
      <c r="D162" s="6">
        <v>50</v>
      </c>
      <c r="E162" s="6">
        <v>293</v>
      </c>
      <c r="H162" t="str">
        <f>IF(COUNTIFS(
    Sheet1!$B:$B, B162,
    Sheet1!$C:$C, C162,
    Sheet1!$D:$D, D162,
    Sheet1!$E:$E, E162
) = 0, "NO MATCH IN TARGET", "MATCHED")</f>
        <v>MATCHED</v>
      </c>
    </row>
    <row r="163" spans="1:8" ht="15" hidden="1" thickBot="1" x14ac:dyDescent="0.4">
      <c r="A163" s="5">
        <v>46248.63554398148</v>
      </c>
      <c r="B163" s="1" t="s">
        <v>61</v>
      </c>
      <c r="C163" s="1" t="s">
        <v>8</v>
      </c>
      <c r="D163" s="6">
        <v>8</v>
      </c>
      <c r="E163" s="6">
        <v>2448</v>
      </c>
      <c r="H163" t="str">
        <f>IF(COUNTIFS(
    Sheet1!$B:$B, B163,
    Sheet1!$C:$C, C163,
    Sheet1!$D:$D, D163,
    Sheet1!$E:$E, E163
) = 0, "NO MATCH IN TARGET", "MATCHED")</f>
        <v>MATCHED</v>
      </c>
    </row>
    <row r="164" spans="1:8" ht="15" hidden="1" thickBot="1" x14ac:dyDescent="0.4">
      <c r="A164" s="5">
        <v>46248.769108796296</v>
      </c>
      <c r="B164" s="1" t="s">
        <v>40</v>
      </c>
      <c r="C164" s="1" t="s">
        <v>8</v>
      </c>
      <c r="D164" s="6">
        <v>150</v>
      </c>
      <c r="E164" s="6">
        <v>130</v>
      </c>
      <c r="H164" t="str">
        <f>IF(COUNTIFS(
    Sheet1!$B:$B, B164,
    Sheet1!$C:$C, C164,
    Sheet1!$D:$D, D164,
    Sheet1!$E:$E, E164
) = 0, "NO MATCH IN TARGET", "MATCHED")</f>
        <v>MATCHED</v>
      </c>
    </row>
    <row r="165" spans="1:8" ht="15" thickBot="1" x14ac:dyDescent="0.4">
      <c r="A165" s="5">
        <v>46248.771122685182</v>
      </c>
      <c r="B165" s="1" t="s">
        <v>19</v>
      </c>
      <c r="C165" s="1" t="s">
        <v>8</v>
      </c>
      <c r="D165" s="6">
        <v>10</v>
      </c>
      <c r="E165" s="6">
        <v>2720</v>
      </c>
      <c r="H165" t="str">
        <f>IF(COUNTIFS(
    Sheet1!$B:$B, B165,
    Sheet1!$C:$C, C165,
    Sheet1!$D:$D, D165,
    Sheet1!$E:$E, E165
) = 0, "NO MATCH IN TARGET", "MATCHED")</f>
        <v>MATCHED</v>
      </c>
    </row>
    <row r="166" spans="1:8" ht="15" hidden="1" thickBot="1" x14ac:dyDescent="0.4">
      <c r="A166" s="5">
        <v>46248.63553240741</v>
      </c>
      <c r="B166" s="1" t="s">
        <v>66</v>
      </c>
      <c r="C166" s="1" t="s">
        <v>8</v>
      </c>
      <c r="D166" s="6">
        <v>5</v>
      </c>
      <c r="E166" s="6">
        <v>1212</v>
      </c>
      <c r="H166" t="str">
        <f>IF(COUNTIFS(
    Sheet1!$B:$B, B166,
    Sheet1!$C:$C, C166,
    Sheet1!$D:$D, D166,
    Sheet1!$E:$E, E166
) = 0, "NO MATCH IN TARGET", "MATCHED")</f>
        <v>MATCHED</v>
      </c>
    </row>
    <row r="167" spans="1:8" ht="15" hidden="1" thickBot="1" x14ac:dyDescent="0.4">
      <c r="A167" s="5">
        <v>46248.770925925928</v>
      </c>
      <c r="B167" s="1" t="s">
        <v>36</v>
      </c>
      <c r="C167" s="1" t="s">
        <v>8</v>
      </c>
      <c r="D167" s="6">
        <v>30</v>
      </c>
      <c r="E167" s="6">
        <v>294</v>
      </c>
      <c r="H167" t="str">
        <f>IF(COUNTIFS(
    Sheet1!$B:$B, B167,
    Sheet1!$C:$C, C167,
    Sheet1!$D:$D, D167,
    Sheet1!$E:$E, E167
) = 0, "NO MATCH IN TARGET", "MATCHED")</f>
        <v>MATCHED</v>
      </c>
    </row>
    <row r="168" spans="1:8" ht="15" hidden="1" thickBot="1" x14ac:dyDescent="0.4">
      <c r="A168" s="5">
        <v>46248.771134259259</v>
      </c>
      <c r="B168" s="1" t="s">
        <v>18</v>
      </c>
      <c r="C168" s="1" t="s">
        <v>8</v>
      </c>
      <c r="D168" s="6">
        <v>50</v>
      </c>
      <c r="E168" s="6">
        <v>361</v>
      </c>
      <c r="H168" t="str">
        <f>IF(COUNTIFS(
    Sheet1!$B:$B, B168,
    Sheet1!$C:$C, C168,
    Sheet1!$D:$D, D168,
    Sheet1!$E:$E, E168
) = 0, "NO MATCH IN TARGET", "MATCHED")</f>
        <v>MATCHED</v>
      </c>
    </row>
    <row r="169" spans="1:8" ht="15" hidden="1" thickBot="1" x14ac:dyDescent="0.4">
      <c r="A169" s="5">
        <v>46248.635520833333</v>
      </c>
      <c r="B169" s="1" t="s">
        <v>63</v>
      </c>
      <c r="C169" s="1" t="s">
        <v>8</v>
      </c>
      <c r="D169" s="6">
        <v>6</v>
      </c>
      <c r="E169" s="6">
        <v>2420</v>
      </c>
      <c r="H169" t="str">
        <f>IF(COUNTIFS(
    Sheet1!$B:$B, B169,
    Sheet1!$C:$C, C169,
    Sheet1!$D:$D, D169,
    Sheet1!$E:$E, E169
) = 0, "NO MATCH IN TARGET", "MATCHED")</f>
        <v>MATCHED</v>
      </c>
    </row>
    <row r="170" spans="1:8" ht="15" thickBot="1" x14ac:dyDescent="0.4">
      <c r="A170" s="5">
        <v>46248.635567129626</v>
      </c>
      <c r="B170" s="1" t="s">
        <v>82</v>
      </c>
      <c r="C170" s="1" t="s">
        <v>8</v>
      </c>
      <c r="D170" s="6">
        <v>20</v>
      </c>
      <c r="E170" s="6">
        <v>796</v>
      </c>
      <c r="H170" t="str">
        <f>IF(COUNTIFS(
    Sheet1!$B:$B, B170,
    Sheet1!$C:$C, C170,
    Sheet1!$D:$D, D170,
    Sheet1!$E:$E, E170
) = 0, "NO MATCH IN TARGET", "MATCHED")</f>
        <v>MATCHED</v>
      </c>
    </row>
    <row r="171" spans="1:8" ht="15" thickBot="1" x14ac:dyDescent="0.4">
      <c r="A171" s="5">
        <v>46248.635578703703</v>
      </c>
      <c r="B171" s="1" t="s">
        <v>49</v>
      </c>
      <c r="C171" s="1" t="s">
        <v>8</v>
      </c>
      <c r="D171" s="6">
        <v>200</v>
      </c>
      <c r="E171" s="6">
        <v>91.75</v>
      </c>
      <c r="H171" t="str">
        <f>IF(COUNTIFS(
    Sheet1!$B:$B, B171,
    Sheet1!$C:$C, C171,
    Sheet1!$D:$D, D171,
    Sheet1!$E:$E, E171
) = 0, "NO MATCH IN TARGET", "MATCHED")</f>
        <v>MATCHED</v>
      </c>
    </row>
    <row r="172" spans="1:8" ht="15" hidden="1" thickBot="1" x14ac:dyDescent="0.4">
      <c r="A172" s="5">
        <v>46248.63554398148</v>
      </c>
      <c r="B172" s="1" t="s">
        <v>66</v>
      </c>
      <c r="C172" s="1" t="s">
        <v>8</v>
      </c>
      <c r="D172" s="6">
        <v>10</v>
      </c>
      <c r="E172" s="6">
        <v>1221</v>
      </c>
      <c r="H172" t="str">
        <f>IF(COUNTIFS(
    Sheet1!$B:$B, B172,
    Sheet1!$C:$C, C172,
    Sheet1!$D:$D, D172,
    Sheet1!$E:$E, E172
) = 0, "NO MATCH IN TARGET", "MATCHED")</f>
        <v>MATCHED</v>
      </c>
    </row>
    <row r="173" spans="1:8" ht="15" hidden="1" thickBot="1" x14ac:dyDescent="0.4">
      <c r="A173" s="5">
        <v>46248.635520833333</v>
      </c>
      <c r="B173" s="1" t="s">
        <v>71</v>
      </c>
      <c r="C173" s="1" t="s">
        <v>8</v>
      </c>
      <c r="D173" s="6">
        <v>110</v>
      </c>
      <c r="E173" s="6">
        <v>238.2</v>
      </c>
      <c r="H173" t="str">
        <f>IF(COUNTIFS(
    Sheet1!$B:$B, B173,
    Sheet1!$C:$C, C173,
    Sheet1!$D:$D, D173,
    Sheet1!$E:$E, E173
) = 0, "NO MATCH IN TARGET", "MATCHED")</f>
        <v>MATCHED</v>
      </c>
    </row>
    <row r="174" spans="1:8" ht="15" hidden="1" thickBot="1" x14ac:dyDescent="0.4">
      <c r="A174" s="5">
        <v>46248.771134259259</v>
      </c>
      <c r="B174" s="1" t="s">
        <v>35</v>
      </c>
      <c r="C174" s="1" t="s">
        <v>8</v>
      </c>
      <c r="D174" s="6">
        <v>65</v>
      </c>
      <c r="E174" s="6">
        <v>219</v>
      </c>
      <c r="H174" t="str">
        <f>IF(COUNTIFS(
    Sheet1!$B:$B, B174,
    Sheet1!$C:$C, C174,
    Sheet1!$D:$D, D174,
    Sheet1!$E:$E, E174
) = 0, "NO MATCH IN TARGET", "MATCHED")</f>
        <v>MATCHED</v>
      </c>
    </row>
    <row r="175" spans="1:8" ht="15" thickBot="1" x14ac:dyDescent="0.4">
      <c r="A175" s="5">
        <v>46247.635416666664</v>
      </c>
      <c r="B175" s="1" t="s">
        <v>71</v>
      </c>
      <c r="C175" s="1" t="s">
        <v>8</v>
      </c>
      <c r="D175" s="6">
        <v>200</v>
      </c>
      <c r="E175" s="6">
        <v>239</v>
      </c>
      <c r="H175" t="str">
        <f>IF(COUNTIFS(
    Sheet1!$B:$B, B175,
    Sheet1!$C:$C, C175,
    Sheet1!$D:$D, D175,
    Sheet1!$E:$E, E175
) = 0, "NO MATCH IN TARGET", "MATCHED")</f>
        <v>MATCHED</v>
      </c>
    </row>
    <row r="176" spans="1:8" ht="15" hidden="1" thickBot="1" x14ac:dyDescent="0.4">
      <c r="A176" s="5">
        <v>46247.689583333333</v>
      </c>
      <c r="B176" s="1" t="s">
        <v>16</v>
      </c>
      <c r="C176" s="1" t="s">
        <v>8</v>
      </c>
      <c r="D176" s="6">
        <v>5</v>
      </c>
      <c r="E176" s="6">
        <v>467.25</v>
      </c>
      <c r="H176" t="str">
        <f>IF(COUNTIFS(
    Sheet1!$B:$B, B176,
    Sheet1!$C:$C, C176,
    Sheet1!$D:$D, D176,
    Sheet1!$E:$E, E176
) = 0, "NO MATCH IN TARGET", "MATCHED")</f>
        <v>MATCHED</v>
      </c>
    </row>
    <row r="177" spans="1:8" ht="15" hidden="1" thickBot="1" x14ac:dyDescent="0.4">
      <c r="A177" s="5">
        <v>46247.689583333333</v>
      </c>
      <c r="B177" s="1" t="s">
        <v>39</v>
      </c>
      <c r="C177" s="1" t="s">
        <v>8</v>
      </c>
      <c r="D177" s="6">
        <v>25</v>
      </c>
      <c r="E177" s="6">
        <v>199.9</v>
      </c>
      <c r="H177" t="str">
        <f>IF(COUNTIFS(
    Sheet1!$B:$B, B177,
    Sheet1!$C:$C, C177,
    Sheet1!$D:$D, D177,
    Sheet1!$E:$E, E177
) = 0, "NO MATCH IN TARGET", "MATCHED")</f>
        <v>MATCHED</v>
      </c>
    </row>
    <row r="178" spans="1:8" ht="15" hidden="1" thickBot="1" x14ac:dyDescent="0.4">
      <c r="A178" s="5">
        <v>46248.769108796296</v>
      </c>
      <c r="B178" s="1" t="s">
        <v>21</v>
      </c>
      <c r="C178" s="1" t="s">
        <v>8</v>
      </c>
      <c r="D178" s="6">
        <v>25</v>
      </c>
      <c r="E178" s="6">
        <v>360</v>
      </c>
      <c r="H178" t="str">
        <f>IF(COUNTIFS(
    Sheet1!$B:$B, B178,
    Sheet1!$C:$C, C178,
    Sheet1!$D:$D, D178,
    Sheet1!$E:$E, E178
) = 0, "NO MATCH IN TARGET", "MATCHED")</f>
        <v>MATCHED</v>
      </c>
    </row>
    <row r="179" spans="1:8" ht="15" hidden="1" thickBot="1" x14ac:dyDescent="0.4">
      <c r="A179" s="5">
        <v>46246.689583333333</v>
      </c>
      <c r="B179" s="1" t="s">
        <v>18</v>
      </c>
      <c r="C179" s="1" t="s">
        <v>8</v>
      </c>
      <c r="D179" s="6">
        <v>50</v>
      </c>
      <c r="E179" s="4">
        <v>365</v>
      </c>
      <c r="H179" t="str">
        <f>IF(COUNTIFS(
    Sheet1!$B:$B, B179,
    Sheet1!$C:$C, C179,
    Sheet1!$D:$D, D179,
    Sheet1!$E:$E, E179
) = 0, "NO MATCH IN TARGET", "MATCHED")</f>
        <v>MATCHED</v>
      </c>
    </row>
    <row r="180" spans="1:8" ht="15" hidden="1" thickBot="1" x14ac:dyDescent="0.4">
      <c r="A180" s="5">
        <v>46248.635567129626</v>
      </c>
      <c r="B180" s="1" t="s">
        <v>47</v>
      </c>
      <c r="C180" s="1" t="s">
        <v>8</v>
      </c>
      <c r="D180" s="6">
        <v>5</v>
      </c>
      <c r="E180" s="6">
        <v>3633</v>
      </c>
      <c r="H180" t="str">
        <f>IF(COUNTIFS(
    Sheet1!$B:$B, B180,
    Sheet1!$C:$C, C180,
    Sheet1!$D:$D, D180,
    Sheet1!$E:$E, E180
) = 0, "NO MATCH IN TARGET", "MATCHED")</f>
        <v>MATCHED</v>
      </c>
    </row>
    <row r="181" spans="1:8" ht="15" hidden="1" thickBot="1" x14ac:dyDescent="0.4">
      <c r="A181" s="5">
        <v>46248.635555555556</v>
      </c>
      <c r="B181" s="1" t="s">
        <v>69</v>
      </c>
      <c r="C181" s="1" t="s">
        <v>8</v>
      </c>
      <c r="D181" s="6">
        <v>1</v>
      </c>
      <c r="E181" s="6">
        <v>4556</v>
      </c>
      <c r="H181" t="str">
        <f>IF(COUNTIFS(
    Sheet1!$B:$B, B181,
    Sheet1!$C:$C, C181,
    Sheet1!$D:$D, D181,
    Sheet1!$E:$E, E181
) = 0, "NO MATCH IN TARGET", "MATCHED")</f>
        <v>MATCHED</v>
      </c>
    </row>
    <row r="182" spans="1:8" ht="15" hidden="1" thickBot="1" x14ac:dyDescent="0.4">
      <c r="A182" s="5">
        <v>46247.689583333333</v>
      </c>
      <c r="B182" s="1" t="s">
        <v>38</v>
      </c>
      <c r="C182" s="1" t="s">
        <v>8</v>
      </c>
      <c r="D182" s="6">
        <v>30</v>
      </c>
      <c r="E182" s="6">
        <v>930</v>
      </c>
      <c r="H182" t="str">
        <f>IF(COUNTIFS(
    Sheet1!$B:$B, B182,
    Sheet1!$C:$C, C182,
    Sheet1!$D:$D, D182,
    Sheet1!$E:$E, E182
) = 0, "NO MATCH IN TARGET", "MATCHED")</f>
        <v>MATCHED</v>
      </c>
    </row>
    <row r="183" spans="1:8" ht="15" hidden="1" thickBot="1" x14ac:dyDescent="0.4">
      <c r="A183" s="5">
        <v>46248.635555555556</v>
      </c>
      <c r="B183" s="1" t="s">
        <v>78</v>
      </c>
      <c r="C183" s="1" t="s">
        <v>8</v>
      </c>
      <c r="D183" s="6">
        <v>5</v>
      </c>
      <c r="E183" s="6">
        <v>2190</v>
      </c>
      <c r="H183" t="str">
        <f>IF(COUNTIFS(
    Sheet1!$B:$B, B183,
    Sheet1!$C:$C, C183,
    Sheet1!$D:$D, D183,
    Sheet1!$E:$E, E183
) = 0, "NO MATCH IN TARGET", "MATCHED")</f>
        <v>MATCHED</v>
      </c>
    </row>
    <row r="184" spans="1:8" ht="15" thickBot="1" x14ac:dyDescent="0.4">
      <c r="A184" s="5">
        <v>46241.635416666664</v>
      </c>
      <c r="B184" s="1" t="s">
        <v>49</v>
      </c>
      <c r="C184" s="1" t="s">
        <v>8</v>
      </c>
      <c r="D184" s="6">
        <v>200</v>
      </c>
      <c r="E184" s="4">
        <v>92.75</v>
      </c>
      <c r="H184" t="str">
        <f>IF(COUNTIFS(
    Sheet1!$B:$B, B184,
    Sheet1!$C:$C, C184,
    Sheet1!$D:$D, D184,
    Sheet1!$E:$E, E184
) = 0, "NO MATCH IN TARGET", "MATCHED")</f>
        <v>MATCHED</v>
      </c>
    </row>
    <row r="185" spans="1:8" ht="15" hidden="1" thickBot="1" x14ac:dyDescent="0.4">
      <c r="A185" s="5">
        <v>46241.635416666664</v>
      </c>
      <c r="B185" s="1" t="s">
        <v>44</v>
      </c>
      <c r="C185" s="1" t="s">
        <v>8</v>
      </c>
      <c r="D185" s="6">
        <v>10</v>
      </c>
      <c r="E185" s="4">
        <v>997</v>
      </c>
      <c r="H185" t="str">
        <f>IF(COUNTIFS(
    Sheet1!$B:$B, B185,
    Sheet1!$C:$C, C185,
    Sheet1!$D:$D, D185,
    Sheet1!$E:$E, E185
) = 0, "NO MATCH IN TARGET", "MATCHED")</f>
        <v>MATCHED</v>
      </c>
    </row>
    <row r="186" spans="1:8" ht="15" thickBot="1" x14ac:dyDescent="0.4">
      <c r="A186" s="5">
        <v>46247.635416666664</v>
      </c>
      <c r="B186" s="1" t="s">
        <v>58</v>
      </c>
      <c r="C186" s="1" t="s">
        <v>8</v>
      </c>
      <c r="D186" s="6">
        <v>10</v>
      </c>
      <c r="E186" s="6">
        <v>435</v>
      </c>
      <c r="H186" t="str">
        <f>IF(COUNTIFS(
    Sheet1!$B:$B, B186,
    Sheet1!$C:$C, C186,
    Sheet1!$D:$D, D186,
    Sheet1!$E:$E, E186
) = 0, "NO MATCH IN TARGET", "MATCHED")</f>
        <v>MATCHED</v>
      </c>
    </row>
    <row r="187" spans="1:8" ht="15" hidden="1" thickBot="1" x14ac:dyDescent="0.4">
      <c r="A187" s="5">
        <v>46248.635578703703</v>
      </c>
      <c r="B187" s="1" t="s">
        <v>77</v>
      </c>
      <c r="C187" s="1" t="s">
        <v>8</v>
      </c>
      <c r="D187" s="6">
        <v>150</v>
      </c>
      <c r="E187" s="6">
        <v>123.4</v>
      </c>
      <c r="H187" t="str">
        <f>IF(COUNTIFS(
    Sheet1!$B:$B, B187,
    Sheet1!$C:$C, C187,
    Sheet1!$D:$D, D187,
    Sheet1!$E:$E, E187
) = 0, "NO MATCH IN TARGET", "MATCHED")</f>
        <v>MATCHED</v>
      </c>
    </row>
    <row r="188" spans="1:8" ht="15" thickBot="1" x14ac:dyDescent="0.4">
      <c r="A188" s="5">
        <v>46240.6875</v>
      </c>
      <c r="B188" s="1" t="s">
        <v>19</v>
      </c>
      <c r="C188" s="1" t="s">
        <v>8</v>
      </c>
      <c r="D188" s="6">
        <v>10</v>
      </c>
      <c r="E188" s="4">
        <v>2770</v>
      </c>
      <c r="H188" t="str">
        <f>IF(COUNTIFS(
    Sheet1!$B:$B, B188,
    Sheet1!$C:$C, C188,
    Sheet1!$D:$D, D188,
    Sheet1!$E:$E, E188
) = 0, "NO MATCH IN TARGET", "MATCHED")</f>
        <v>MATCHED</v>
      </c>
    </row>
    <row r="189" spans="1:8" ht="15" thickBot="1" x14ac:dyDescent="0.4">
      <c r="A189" s="5">
        <v>46364.635416666664</v>
      </c>
      <c r="B189" s="1" t="s">
        <v>65</v>
      </c>
      <c r="C189" s="1" t="s">
        <v>8</v>
      </c>
      <c r="D189" s="6">
        <v>7</v>
      </c>
      <c r="E189" s="4">
        <v>1424</v>
      </c>
      <c r="H189" t="str">
        <f>IF(COUNTIFS(
    Sheet1!$B:$B, B189,
    Sheet1!$C:$C, C189,
    Sheet1!$D:$D, D189,
    Sheet1!$E:$E, E189
) = 0, "NO MATCH IN TARGET", "MATCHED")</f>
        <v>MATCHED</v>
      </c>
    </row>
    <row r="190" spans="1:8" ht="15" thickBot="1" x14ac:dyDescent="0.4">
      <c r="A190" s="5">
        <v>46248.771134259259</v>
      </c>
      <c r="B190" s="1" t="s">
        <v>27</v>
      </c>
      <c r="C190" s="1" t="s">
        <v>8</v>
      </c>
      <c r="D190" s="6">
        <v>20</v>
      </c>
      <c r="E190" s="6">
        <v>311</v>
      </c>
      <c r="H190" t="str">
        <f>IF(COUNTIFS(
    Sheet1!$B:$B, B190,
    Sheet1!$C:$C, C190,
    Sheet1!$D:$D, D190,
    Sheet1!$E:$E, E190
) = 0, "NO MATCH IN TARGET", "MATCHED")</f>
        <v>MATCHED</v>
      </c>
    </row>
    <row r="191" spans="1:8" ht="15" hidden="1" thickBot="1" x14ac:dyDescent="0.4">
      <c r="A191" s="5">
        <v>46248.771134259259</v>
      </c>
      <c r="B191" s="1" t="s">
        <v>36</v>
      </c>
      <c r="C191" s="1" t="s">
        <v>8</v>
      </c>
      <c r="D191" s="6">
        <v>120</v>
      </c>
      <c r="E191" s="6">
        <v>300.5</v>
      </c>
      <c r="H191" t="str">
        <f>IF(COUNTIFS(
    Sheet1!$B:$B, B191,
    Sheet1!$C:$C, C191,
    Sheet1!$D:$D, D191,
    Sheet1!$E:$E, E191
) = 0, "NO MATCH IN TARGET", "MATCHED")</f>
        <v>MATCHED</v>
      </c>
    </row>
    <row r="192" spans="1:8" ht="15" hidden="1" thickBot="1" x14ac:dyDescent="0.4">
      <c r="A192" s="5">
        <v>46248.771111111113</v>
      </c>
      <c r="B192" s="1" t="s">
        <v>7</v>
      </c>
      <c r="C192" s="1" t="s">
        <v>8</v>
      </c>
      <c r="D192" s="6">
        <v>10</v>
      </c>
      <c r="E192" s="6">
        <v>2189</v>
      </c>
      <c r="H192" t="str">
        <f>IF(COUNTIFS(
    Sheet1!$B:$B, B192,
    Sheet1!$C:$C, C192,
    Sheet1!$D:$D, D192,
    Sheet1!$E:$E, E192
) = 0, "NO MATCH IN TARGET", "MATCHED")</f>
        <v>MATCHED</v>
      </c>
    </row>
    <row r="193" spans="1:8" ht="15" thickBot="1" x14ac:dyDescent="0.4">
      <c r="A193" s="5">
        <v>46239.635416666664</v>
      </c>
      <c r="B193" s="1" t="s">
        <v>77</v>
      </c>
      <c r="C193" s="1" t="s">
        <v>8</v>
      </c>
      <c r="D193" s="6">
        <v>150</v>
      </c>
      <c r="E193" s="4">
        <v>124.9</v>
      </c>
      <c r="H193" t="str">
        <f>IF(COUNTIFS(
    Sheet1!$B:$B, B193,
    Sheet1!$C:$C, C193,
    Sheet1!$D:$D, D193,
    Sheet1!$E:$E, E193
) = 0, "NO MATCH IN TARGET", "MATCHED")</f>
        <v>MATCHED</v>
      </c>
    </row>
    <row r="194" spans="1:8" ht="15" thickBot="1" x14ac:dyDescent="0.4">
      <c r="A194" s="5">
        <v>46303.635416666664</v>
      </c>
      <c r="B194" s="1" t="s">
        <v>74</v>
      </c>
      <c r="C194" s="1" t="s">
        <v>8</v>
      </c>
      <c r="D194" s="6">
        <v>10</v>
      </c>
      <c r="E194" s="4">
        <v>773</v>
      </c>
      <c r="H194" t="str">
        <f>IF(COUNTIFS(
    Sheet1!$B:$B, B194,
    Sheet1!$C:$C, C194,
    Sheet1!$D:$D, D194,
    Sheet1!$E:$E, E194
) = 0, "NO MATCH IN TARGET", "MATCHED")</f>
        <v>MATCHED</v>
      </c>
    </row>
    <row r="195" spans="1:8" ht="15" thickBot="1" x14ac:dyDescent="0.4">
      <c r="A195" s="5">
        <v>46364.635416666664</v>
      </c>
      <c r="B195" s="1" t="s">
        <v>71</v>
      </c>
      <c r="C195" s="1" t="s">
        <v>8</v>
      </c>
      <c r="D195" s="6">
        <v>200</v>
      </c>
      <c r="E195" s="4">
        <v>244</v>
      </c>
      <c r="H195" t="str">
        <f>IF(COUNTIFS(
    Sheet1!$B:$B, B195,
    Sheet1!$C:$C, C195,
    Sheet1!$D:$D, D195,
    Sheet1!$E:$E, E195
) = 0, "NO MATCH IN TARGET", "MATCHED")</f>
        <v>MATCHED</v>
      </c>
    </row>
    <row r="196" spans="1:8" ht="15" thickBot="1" x14ac:dyDescent="0.4">
      <c r="A196" s="5">
        <v>46247.635416666664</v>
      </c>
      <c r="B196" s="1" t="s">
        <v>47</v>
      </c>
      <c r="C196" s="1" t="s">
        <v>8</v>
      </c>
      <c r="D196" s="6">
        <v>1</v>
      </c>
      <c r="E196" s="6">
        <v>3710</v>
      </c>
      <c r="H196" t="str">
        <f>IF(COUNTIFS(
    Sheet1!$B:$B, B196,
    Sheet1!$C:$C, C196,
    Sheet1!$D:$D, D196,
    Sheet1!$E:$E, E196
) = 0, "NO MATCH IN TARGET", "MATCHED")</f>
        <v>MATCHED</v>
      </c>
    </row>
    <row r="197" spans="1:8" ht="15" thickBot="1" x14ac:dyDescent="0.4">
      <c r="A197" s="5">
        <v>46247.689583333333</v>
      </c>
      <c r="B197" s="1" t="s">
        <v>32</v>
      </c>
      <c r="C197" s="1" t="s">
        <v>8</v>
      </c>
      <c r="D197" s="6">
        <v>5</v>
      </c>
      <c r="E197" s="6">
        <v>730</v>
      </c>
      <c r="H197" t="str">
        <f>IF(COUNTIFS(
    Sheet1!$B:$B, B197,
    Sheet1!$C:$C, C197,
    Sheet1!$D:$D, D197,
    Sheet1!$E:$E, E197
) = 0, "NO MATCH IN TARGET", "MATCHED")</f>
        <v>MATCHED</v>
      </c>
    </row>
    <row r="198" spans="1:8" ht="15" thickBot="1" x14ac:dyDescent="0.4">
      <c r="A198" s="5">
        <v>46239.696527777778</v>
      </c>
      <c r="B198" s="1" t="s">
        <v>18</v>
      </c>
      <c r="C198" s="1" t="s">
        <v>8</v>
      </c>
      <c r="D198" s="6">
        <v>67</v>
      </c>
      <c r="E198" s="4">
        <v>373</v>
      </c>
      <c r="H198" t="str">
        <f>IF(COUNTIFS(
    Sheet1!$B:$B, B198,
    Sheet1!$C:$C, C198,
    Sheet1!$D:$D, D198,
    Sheet1!$E:$E, E198
) = 0, "NO MATCH IN TARGET", "MATCHED")</f>
        <v>MATCHED</v>
      </c>
    </row>
    <row r="199" spans="1:8" ht="15" thickBot="1" x14ac:dyDescent="0.4">
      <c r="A199" s="5">
        <v>46247.635416666664</v>
      </c>
      <c r="B199" s="1" t="s">
        <v>83</v>
      </c>
      <c r="C199" s="1" t="s">
        <v>8</v>
      </c>
      <c r="D199" s="6">
        <v>15</v>
      </c>
      <c r="E199" s="6">
        <v>1090</v>
      </c>
      <c r="H199" t="str">
        <f>IF(COUNTIFS(
    Sheet1!$B:$B, B199,
    Sheet1!$C:$C, C199,
    Sheet1!$D:$D, D199,
    Sheet1!$E:$E, E199
) = 0, "NO MATCH IN TARGET", "MATCHED")</f>
        <v>MATCHED</v>
      </c>
    </row>
    <row r="200" spans="1:8" ht="15" thickBot="1" x14ac:dyDescent="0.4">
      <c r="A200" s="5">
        <v>46211.635416666664</v>
      </c>
      <c r="B200" s="1" t="s">
        <v>77</v>
      </c>
      <c r="C200" s="1" t="s">
        <v>8</v>
      </c>
      <c r="D200" s="6">
        <v>150</v>
      </c>
      <c r="E200" s="4">
        <v>125.9</v>
      </c>
      <c r="H200" t="str">
        <f>IF(COUNTIFS(
    Sheet1!$B:$B, B200,
    Sheet1!$C:$C, C200,
    Sheet1!$D:$D, D200,
    Sheet1!$E:$E, E200
) = 0, "NO MATCH IN TARGET", "MATCHED")</f>
        <v>MATCHED</v>
      </c>
    </row>
    <row r="201" spans="1:8" ht="15" thickBot="1" x14ac:dyDescent="0.4">
      <c r="A201" s="5">
        <v>46247.689583333333</v>
      </c>
      <c r="B201" s="1" t="s">
        <v>27</v>
      </c>
      <c r="C201" s="1" t="s">
        <v>8</v>
      </c>
      <c r="D201" s="6">
        <v>50</v>
      </c>
      <c r="E201" s="6">
        <v>317</v>
      </c>
      <c r="H201" t="str">
        <f>IF(COUNTIFS(
    Sheet1!$B:$B, B201,
    Sheet1!$C:$C, C201,
    Sheet1!$D:$D, D201,
    Sheet1!$E:$E, E201
) = 0, "NO MATCH IN TARGET", "MATCHED")</f>
        <v>MATCHED</v>
      </c>
    </row>
    <row r="202" spans="1:8" ht="15" thickBot="1" x14ac:dyDescent="0.4">
      <c r="A202" s="5">
        <v>46364.635416666664</v>
      </c>
      <c r="B202" s="1" t="s">
        <v>76</v>
      </c>
      <c r="C202" s="1" t="s">
        <v>8</v>
      </c>
      <c r="D202" s="6">
        <v>2</v>
      </c>
      <c r="E202" s="4">
        <v>2690</v>
      </c>
      <c r="H202" t="str">
        <f>IF(COUNTIFS(
    Sheet1!$B:$B, B202,
    Sheet1!$C:$C, C202,
    Sheet1!$D:$D, D202,
    Sheet1!$E:$E, E202
) = 0, "NO MATCH IN TARGET", "MATCHED")</f>
        <v>MATCHED</v>
      </c>
    </row>
    <row r="203" spans="1:8" ht="15" thickBot="1" x14ac:dyDescent="0.4">
      <c r="A203" s="10" t="s">
        <v>85</v>
      </c>
      <c r="B203" s="1" t="s">
        <v>44</v>
      </c>
      <c r="C203" s="1" t="s">
        <v>8</v>
      </c>
      <c r="D203" s="6">
        <v>10</v>
      </c>
      <c r="E203" s="11">
        <v>1024</v>
      </c>
      <c r="H203" t="str">
        <f>IF(COUNTIFS(
    Sheet1!$B:$B, B203,
    Sheet1!$C:$C, C203,
    Sheet1!$D:$D, D203,
    Sheet1!$E:$E, E203
) = 0, "NO MATCH IN TARGET", "MATCHED")</f>
        <v>MATCHED</v>
      </c>
    </row>
    <row r="204" spans="1:8" ht="15" thickBot="1" x14ac:dyDescent="0.4">
      <c r="A204" s="5">
        <v>46247.635416666664</v>
      </c>
      <c r="B204" s="1" t="s">
        <v>93</v>
      </c>
      <c r="C204" s="1" t="s">
        <v>8</v>
      </c>
      <c r="D204" s="6">
        <v>5</v>
      </c>
      <c r="E204" s="6">
        <v>3980</v>
      </c>
      <c r="H204" t="str">
        <f>IF(COUNTIFS(
    Sheet1!$B:$B, B204,
    Sheet1!$C:$C, C204,
    Sheet1!$D:$D, D204,
    Sheet1!$E:$E, E204
) = 0, "NO MATCH IN TARGET", "MATCHED")</f>
        <v>MATCHED</v>
      </c>
    </row>
    <row r="205" spans="1:8" ht="15" thickBot="1" x14ac:dyDescent="0.4">
      <c r="A205" s="5">
        <v>46246.689583333333</v>
      </c>
      <c r="B205" s="1" t="s">
        <v>40</v>
      </c>
      <c r="C205" s="1" t="s">
        <v>8</v>
      </c>
      <c r="D205" s="6">
        <v>150</v>
      </c>
      <c r="E205" s="4">
        <v>136</v>
      </c>
      <c r="H205" t="str">
        <f>IF(COUNTIFS(
    Sheet1!$B:$B, B205,
    Sheet1!$C:$C, C205,
    Sheet1!$D:$D, D205,
    Sheet1!$E:$E, E205
) = 0, "NO MATCH IN TARGET", "MATCHED")</f>
        <v>MATCHED</v>
      </c>
    </row>
    <row r="206" spans="1:8" ht="15" thickBot="1" x14ac:dyDescent="0.4">
      <c r="A206" s="5">
        <v>46211.635416666664</v>
      </c>
      <c r="B206" s="1" t="s">
        <v>76</v>
      </c>
      <c r="C206" s="1" t="s">
        <v>8</v>
      </c>
      <c r="D206" s="6">
        <v>3</v>
      </c>
      <c r="E206" s="4">
        <v>2710</v>
      </c>
      <c r="H206" t="str">
        <f>IF(COUNTIFS(
    Sheet1!$B:$B, B206,
    Sheet1!$C:$C, C206,
    Sheet1!$D:$D, D206,
    Sheet1!$E:$E, E206
) = 0, "NO MATCH IN TARGET", "MATCHED")</f>
        <v>MATCHED</v>
      </c>
    </row>
    <row r="207" spans="1:8" ht="15" thickBot="1" x14ac:dyDescent="0.4">
      <c r="A207" s="5">
        <v>46247.689583333333</v>
      </c>
      <c r="B207" s="1" t="s">
        <v>27</v>
      </c>
      <c r="C207" s="1" t="s">
        <v>8</v>
      </c>
      <c r="D207" s="6">
        <v>40</v>
      </c>
      <c r="E207" s="6">
        <v>320.5</v>
      </c>
      <c r="H207" t="str">
        <f>IF(COUNTIFS(
    Sheet1!$B:$B, B207,
    Sheet1!$C:$C, C207,
    Sheet1!$D:$D, D207,
    Sheet1!$E:$E, E207
) = 0, "NO MATCH IN TARGET", "MATCHED")</f>
        <v>MATCHED</v>
      </c>
    </row>
    <row r="208" spans="1:8" ht="15" thickBot="1" x14ac:dyDescent="0.4">
      <c r="A208" s="10" t="s">
        <v>85</v>
      </c>
      <c r="B208" s="1" t="s">
        <v>38</v>
      </c>
      <c r="C208" s="1" t="s">
        <v>8</v>
      </c>
      <c r="D208" s="6">
        <v>30</v>
      </c>
      <c r="E208" s="11">
        <v>974</v>
      </c>
      <c r="H208" t="str">
        <f>IF(COUNTIFS(
    Sheet1!$B:$B, B208,
    Sheet1!$C:$C, C208,
    Sheet1!$D:$D, D208,
    Sheet1!$E:$E, E208
) = 0, "NO MATCH IN TARGET", "MATCHED")</f>
        <v>MATCHED</v>
      </c>
    </row>
    <row r="209" spans="1:8" ht="15" thickBot="1" x14ac:dyDescent="0.4">
      <c r="A209" s="5">
        <v>46241.635416666664</v>
      </c>
      <c r="B209" s="1" t="s">
        <v>71</v>
      </c>
      <c r="C209" s="1" t="s">
        <v>8</v>
      </c>
      <c r="D209" s="6">
        <v>200</v>
      </c>
      <c r="E209" s="4">
        <v>249</v>
      </c>
      <c r="H209" t="str">
        <f>IF(COUNTIFS(
    Sheet1!$B:$B, B209,
    Sheet1!$C:$C, C209,
    Sheet1!$D:$D, D209,
    Sheet1!$E:$E, E209
) = 0, "NO MATCH IN TARGET", "MATCHED")</f>
        <v>MATCHED</v>
      </c>
    </row>
    <row r="210" spans="1:8" ht="15" thickBot="1" x14ac:dyDescent="0.4">
      <c r="A210" s="5">
        <v>46211.635416666664</v>
      </c>
      <c r="B210" s="1" t="s">
        <v>74</v>
      </c>
      <c r="C210" s="1" t="s">
        <v>8</v>
      </c>
      <c r="D210" s="6">
        <v>5</v>
      </c>
      <c r="E210" s="4">
        <v>790</v>
      </c>
      <c r="H210" t="str">
        <f>IF(COUNTIFS(
    Sheet1!$B:$B, B210,
    Sheet1!$C:$C, C210,
    Sheet1!$D:$D, D210,
    Sheet1!$E:$E, E210
) = 0, "NO MATCH IN TARGET", "MATCHED")</f>
        <v>MATCHED</v>
      </c>
    </row>
    <row r="211" spans="1:8" ht="15" thickBot="1" x14ac:dyDescent="0.4">
      <c r="A211" s="5">
        <v>46245.693055555559</v>
      </c>
      <c r="B211" s="12" t="s">
        <v>35</v>
      </c>
      <c r="C211" s="1" t="s">
        <v>8</v>
      </c>
      <c r="D211" s="6">
        <v>40</v>
      </c>
      <c r="E211" s="13">
        <v>229</v>
      </c>
      <c r="H211" t="str">
        <f>IF(COUNTIFS(
    Sheet1!$B:$B, B211,
    Sheet1!$C:$C, C211,
    Sheet1!$D:$D, D211,
    Sheet1!$E:$E, E211
) = 0, "NO MATCH IN TARGET", "MATCHED")</f>
        <v>MATCHED</v>
      </c>
    </row>
    <row r="212" spans="1:8" ht="15" thickBot="1" x14ac:dyDescent="0.4">
      <c r="A212" s="5">
        <v>46244.635416666664</v>
      </c>
      <c r="B212" s="1" t="s">
        <v>64</v>
      </c>
      <c r="C212" s="1" t="s">
        <v>8</v>
      </c>
      <c r="D212" s="6">
        <v>11</v>
      </c>
      <c r="E212" s="4">
        <v>1170</v>
      </c>
      <c r="H212" t="str">
        <f>IF(COUNTIFS(
    Sheet1!$B:$B, B212,
    Sheet1!$C:$C, C212,
    Sheet1!$D:$D, D212,
    Sheet1!$E:$E, E212
) = 0, "NO MATCH IN TARGET", "MATCHED")</f>
        <v>MATCHED</v>
      </c>
    </row>
    <row r="213" spans="1:8" ht="15" thickBot="1" x14ac:dyDescent="0.4">
      <c r="A213" s="5">
        <v>46247.689583333333</v>
      </c>
      <c r="B213" s="1" t="s">
        <v>36</v>
      </c>
      <c r="C213" s="1" t="s">
        <v>8</v>
      </c>
      <c r="D213" s="6">
        <v>100</v>
      </c>
      <c r="E213" s="6">
        <v>310.5</v>
      </c>
      <c r="H213" t="str">
        <f>IF(COUNTIFS(
    Sheet1!$B:$B, B213,
    Sheet1!$C:$C, C213,
    Sheet1!$D:$D, D213,
    Sheet1!$E:$E, E213
) = 0, "NO MATCH IN TARGET", "MATCHED")</f>
        <v>MATCHED</v>
      </c>
    </row>
    <row r="214" spans="1:8" ht="15" thickBot="1" x14ac:dyDescent="0.4">
      <c r="A214" s="5">
        <v>46364.689583333333</v>
      </c>
      <c r="B214" s="1" t="s">
        <v>32</v>
      </c>
      <c r="C214" s="1" t="s">
        <v>8</v>
      </c>
      <c r="D214" s="6">
        <v>11</v>
      </c>
      <c r="E214" s="4">
        <v>749</v>
      </c>
      <c r="H214" t="str">
        <f>IF(COUNTIFS(
    Sheet1!$B:$B, B214,
    Sheet1!$C:$C, C214,
    Sheet1!$D:$D, D214,
    Sheet1!$E:$E, E214
) = 0, "NO MATCH IN TARGET", "MATCHED")</f>
        <v>MATCHED</v>
      </c>
    </row>
    <row r="215" spans="1:8" ht="15" thickBot="1" x14ac:dyDescent="0.4">
      <c r="A215" s="5">
        <v>46247.689583333333</v>
      </c>
      <c r="B215" s="1" t="s">
        <v>39</v>
      </c>
      <c r="C215" s="1" t="s">
        <v>8</v>
      </c>
      <c r="D215" s="6">
        <v>25</v>
      </c>
      <c r="E215" s="6">
        <v>210</v>
      </c>
      <c r="H215" t="str">
        <f>IF(COUNTIFS(
    Sheet1!$B:$B, B215,
    Sheet1!$C:$C, C215,
    Sheet1!$D:$D, D215,
    Sheet1!$E:$E, E215
) = 0, "NO MATCH IN TARGET", "MATCHED")</f>
        <v>MATCHED</v>
      </c>
    </row>
    <row r="216" spans="1:8" ht="15" thickBot="1" x14ac:dyDescent="0.4">
      <c r="A216" s="5">
        <v>46246.635416666664</v>
      </c>
      <c r="B216" s="1" t="s">
        <v>47</v>
      </c>
      <c r="C216" s="1" t="s">
        <v>8</v>
      </c>
      <c r="D216" s="6">
        <v>1</v>
      </c>
      <c r="E216" s="4">
        <v>3810</v>
      </c>
      <c r="H216" t="str">
        <f>IF(COUNTIFS(
    Sheet1!$B:$B, B216,
    Sheet1!$C:$C, C216,
    Sheet1!$D:$D, D216,
    Sheet1!$E:$E, E216
) = 0, "NO MATCH IN TARGET", "MATCHED")</f>
        <v>MATCHED</v>
      </c>
    </row>
    <row r="217" spans="1:8" ht="15" thickBot="1" x14ac:dyDescent="0.4">
      <c r="A217" s="5">
        <v>46303.635416666664</v>
      </c>
      <c r="B217" s="1" t="s">
        <v>94</v>
      </c>
      <c r="C217" s="1" t="s">
        <v>8</v>
      </c>
      <c r="D217" s="6">
        <v>50</v>
      </c>
      <c r="E217" s="4">
        <v>480</v>
      </c>
      <c r="H217" t="str">
        <f>IF(COUNTIFS(
    Sheet1!$B:$B, B217,
    Sheet1!$C:$C, C217,
    Sheet1!$D:$D, D217,
    Sheet1!$E:$E, E217
) = 0, "NO MATCH IN TARGET", "MATCHED")</f>
        <v>MATCHED</v>
      </c>
    </row>
    <row r="218" spans="1:8" ht="15" thickBot="1" x14ac:dyDescent="0.4">
      <c r="A218" s="10" t="s">
        <v>85</v>
      </c>
      <c r="B218" s="1" t="s">
        <v>38</v>
      </c>
      <c r="C218" s="1" t="s">
        <v>8</v>
      </c>
      <c r="D218" s="6">
        <v>5</v>
      </c>
      <c r="E218" s="4">
        <v>986</v>
      </c>
      <c r="H218" t="str">
        <f>IF(COUNTIFS(
    Sheet1!$B:$B, B218,
    Sheet1!$C:$C, C218,
    Sheet1!$D:$D, D218,
    Sheet1!$E:$E, E218
) = 0, "NO MATCH IN TARGET", "MATCHED")</f>
        <v>MATCHED</v>
      </c>
    </row>
    <row r="219" spans="1:8" ht="15" thickBot="1" x14ac:dyDescent="0.4">
      <c r="A219" s="10" t="s">
        <v>85</v>
      </c>
      <c r="B219" s="1" t="s">
        <v>36</v>
      </c>
      <c r="C219" s="1" t="s">
        <v>8</v>
      </c>
      <c r="D219" s="6">
        <v>100</v>
      </c>
      <c r="E219" s="11">
        <v>314</v>
      </c>
      <c r="H219" t="str">
        <f>IF(COUNTIFS(
    Sheet1!$B:$B, B219,
    Sheet1!$C:$C, C219,
    Sheet1!$D:$D, D219,
    Sheet1!$E:$E, E219
) = 0, "NO MATCH IN TARGET", "MATCHED")</f>
        <v>MATCHED</v>
      </c>
    </row>
    <row r="220" spans="1:8" ht="15" thickBot="1" x14ac:dyDescent="0.4">
      <c r="A220" s="5">
        <v>46211.635416666664</v>
      </c>
      <c r="B220" s="1" t="s">
        <v>73</v>
      </c>
      <c r="C220" s="1" t="s">
        <v>8</v>
      </c>
      <c r="D220" s="6">
        <v>3</v>
      </c>
      <c r="E220" s="4">
        <v>3341</v>
      </c>
      <c r="H220" t="str">
        <f>IF(COUNTIFS(
    Sheet1!$B:$B, B220,
    Sheet1!$C:$C, C220,
    Sheet1!$D:$D, D220,
    Sheet1!$E:$E, E220
) = 0, "NO MATCH IN TARGET", "MATCHED")</f>
        <v>MATCHED</v>
      </c>
    </row>
    <row r="221" spans="1:8" ht="15" thickBot="1" x14ac:dyDescent="0.4">
      <c r="A221" s="10" t="s">
        <v>85</v>
      </c>
      <c r="B221" s="12" t="s">
        <v>38</v>
      </c>
      <c r="C221" s="1" t="s">
        <v>8</v>
      </c>
      <c r="D221" s="6">
        <v>40</v>
      </c>
      <c r="E221" s="13">
        <v>996</v>
      </c>
      <c r="H221" t="str">
        <f>IF(COUNTIFS(
    Sheet1!$B:$B, B221,
    Sheet1!$C:$C, C221,
    Sheet1!$D:$D, D221,
    Sheet1!$E:$E, E221
) = 0, "NO MATCH IN TARGET", "MATCHED")</f>
        <v>MATCHED</v>
      </c>
    </row>
    <row r="222" spans="1:8" ht="15" thickBot="1" x14ac:dyDescent="0.4">
      <c r="A222" s="10" t="s">
        <v>85</v>
      </c>
      <c r="B222" s="1" t="s">
        <v>38</v>
      </c>
      <c r="C222" s="1" t="s">
        <v>8</v>
      </c>
      <c r="D222" s="6">
        <v>5</v>
      </c>
      <c r="E222" s="4">
        <v>1002</v>
      </c>
      <c r="H222" t="str">
        <f>IF(COUNTIFS(
    Sheet1!$B:$B, B222,
    Sheet1!$C:$C, C222,
    Sheet1!$D:$D, D222,
    Sheet1!$E:$E, E222
) = 0, "NO MATCH IN TARGET", "MATCHED")</f>
        <v>MATCHED</v>
      </c>
    </row>
    <row r="223" spans="1:8" ht="15" thickBot="1" x14ac:dyDescent="0.4">
      <c r="A223" s="5">
        <v>46247.645138888889</v>
      </c>
      <c r="B223" s="1" t="s">
        <v>79</v>
      </c>
      <c r="C223" s="1" t="s">
        <v>8</v>
      </c>
      <c r="D223" s="6">
        <v>5</v>
      </c>
      <c r="E223" s="6">
        <v>596</v>
      </c>
      <c r="H223" t="str">
        <f>IF(COUNTIFS(
    Sheet1!$B:$B, B223,
    Sheet1!$C:$C, C223,
    Sheet1!$D:$D, D223,
    Sheet1!$E:$E, E223
) = 0, "NO MATCH IN TARGET", "MATCHED")</f>
        <v>MATCHED</v>
      </c>
    </row>
    <row r="224" spans="1:8" ht="15" thickBot="1" x14ac:dyDescent="0.4">
      <c r="A224" s="5">
        <v>46239.788888888892</v>
      </c>
      <c r="B224" s="1" t="s">
        <v>36</v>
      </c>
      <c r="C224" s="1" t="s">
        <v>8</v>
      </c>
      <c r="D224" s="6">
        <v>100</v>
      </c>
      <c r="E224" s="4">
        <v>318</v>
      </c>
      <c r="H224" t="str">
        <f>IF(COUNTIFS(
    Sheet1!$B:$B, B224,
    Sheet1!$C:$C, C224,
    Sheet1!$D:$D, D224,
    Sheet1!$E:$E, E224
) = 0, "NO MATCH IN TARGET", "MATCHED")</f>
        <v>MATCHED</v>
      </c>
    </row>
    <row r="225" spans="1:8" ht="15" hidden="1" thickBot="1" x14ac:dyDescent="0.4">
      <c r="A225" s="5">
        <v>46248.770937499998</v>
      </c>
      <c r="B225" s="1" t="s">
        <v>7</v>
      </c>
      <c r="C225" s="1" t="s">
        <v>8</v>
      </c>
      <c r="D225" s="6">
        <v>20</v>
      </c>
      <c r="E225" s="6">
        <v>2310</v>
      </c>
      <c r="H225" t="str">
        <f>IF(COUNTIFS(
    Sheet1!$B:$B, B225,
    Sheet1!$C:$C, C225,
    Sheet1!$D:$D, D225,
    Sheet1!$E:$E, E225
) = 0, "NO MATCH IN TARGET", "MATCHED")</f>
        <v>MATCHED</v>
      </c>
    </row>
    <row r="226" spans="1:8" ht="15" thickBot="1" x14ac:dyDescent="0.4">
      <c r="A226" s="10" t="s">
        <v>85</v>
      </c>
      <c r="B226" s="1" t="s">
        <v>36</v>
      </c>
      <c r="C226" s="1" t="s">
        <v>8</v>
      </c>
      <c r="D226" s="6">
        <v>100</v>
      </c>
      <c r="E226" s="11">
        <v>319</v>
      </c>
      <c r="H226" t="str">
        <f>IF(COUNTIFS(
    Sheet1!$B:$B, B226,
    Sheet1!$C:$C, C226,
    Sheet1!$D:$D, D226,
    Sheet1!$E:$E, E226
) = 0, "NO MATCH IN TARGET", "MATCHED")</f>
        <v>MATCHED</v>
      </c>
    </row>
    <row r="227" spans="1:8" ht="15" thickBot="1" x14ac:dyDescent="0.4">
      <c r="A227" s="10" t="s">
        <v>85</v>
      </c>
      <c r="B227" s="1" t="s">
        <v>94</v>
      </c>
      <c r="C227" s="1" t="s">
        <v>8</v>
      </c>
      <c r="D227" s="6">
        <v>35</v>
      </c>
      <c r="E227" s="11">
        <v>494</v>
      </c>
      <c r="H227" t="str">
        <f>IF(COUNTIFS(
    Sheet1!$B:$B, B227,
    Sheet1!$C:$C, C227,
    Sheet1!$D:$D, D227,
    Sheet1!$E:$E, E227
) = 0, "NO MATCH IN TARGET", "MATCHED")</f>
        <v>MATCHED</v>
      </c>
    </row>
    <row r="228" spans="1:8" ht="15" thickBot="1" x14ac:dyDescent="0.4">
      <c r="A228" s="5">
        <v>46150.788888888892</v>
      </c>
      <c r="B228" s="1" t="s">
        <v>36</v>
      </c>
      <c r="C228" s="1" t="s">
        <v>8</v>
      </c>
      <c r="D228" s="6">
        <v>150</v>
      </c>
      <c r="E228" s="4">
        <v>323</v>
      </c>
      <c r="H228" t="str">
        <f>IF(COUNTIFS(
    Sheet1!$B:$B, B228,
    Sheet1!$C:$C, C228,
    Sheet1!$D:$D, D228,
    Sheet1!$E:$E, E228
) = 0, "NO MATCH IN TARGET", "MATCHED")</f>
        <v>MATCHED</v>
      </c>
    </row>
    <row r="229" spans="1:8" ht="15" thickBot="1" x14ac:dyDescent="0.4">
      <c r="A229" s="14">
        <v>46334.645833333336</v>
      </c>
      <c r="B229" s="15" t="s">
        <v>83</v>
      </c>
      <c r="C229" s="15" t="s">
        <v>8</v>
      </c>
      <c r="D229" s="16">
        <v>7</v>
      </c>
      <c r="E229" s="4">
        <v>1170</v>
      </c>
      <c r="H229" t="str">
        <f>IF(COUNTIFS(
    Sheet1!$B:$B, B229,
    Sheet1!$C:$C, C229,
    Sheet1!$D:$D, D229,
    Sheet1!$E:$E, E229
) = 0, "NO MATCH IN TARGET", "MATCHED")</f>
        <v>MATCHED</v>
      </c>
    </row>
    <row r="230" spans="1:8" ht="15" thickBot="1" x14ac:dyDescent="0.4">
      <c r="A230" s="5">
        <v>46364.689583333333</v>
      </c>
      <c r="B230" s="1" t="s">
        <v>21</v>
      </c>
      <c r="C230" s="1" t="s">
        <v>8</v>
      </c>
      <c r="D230" s="6">
        <v>5</v>
      </c>
      <c r="E230" s="4">
        <v>416</v>
      </c>
      <c r="H230" t="str">
        <f>IF(COUNTIFS(
    Sheet1!$B:$B, B230,
    Sheet1!$C:$C, C230,
    Sheet1!$D:$D, D230,
    Sheet1!$E:$E, E230
) = 0, "NO MATCH IN TARGET", "MATCHED")</f>
        <v>MATCHED</v>
      </c>
    </row>
    <row r="231" spans="1:8" ht="15" thickBot="1" x14ac:dyDescent="0.4">
      <c r="A231" s="5">
        <v>46247.689583333333</v>
      </c>
      <c r="B231" s="1" t="s">
        <v>7</v>
      </c>
      <c r="C231" s="1" t="s">
        <v>8</v>
      </c>
      <c r="D231" s="6">
        <v>1</v>
      </c>
      <c r="E231" s="6">
        <v>2494</v>
      </c>
      <c r="H231" t="str">
        <f>IF(COUNTIFS(
    Sheet1!$B:$B, B231,
    Sheet1!$C:$C, C231,
    Sheet1!$D:$D, D231,
    Sheet1!$E:$E, E231
) = 0, "NO MATCH IN TARGET", "MATCHED")</f>
        <v>MATCHED</v>
      </c>
    </row>
    <row r="232" spans="1:8" ht="15" thickBot="1" x14ac:dyDescent="0.4">
      <c r="A232" s="5">
        <v>46246.689583333333</v>
      </c>
      <c r="B232" s="1" t="s">
        <v>21</v>
      </c>
      <c r="C232" s="1" t="s">
        <v>8</v>
      </c>
      <c r="D232" s="6">
        <v>5</v>
      </c>
      <c r="E232" s="4">
        <v>435</v>
      </c>
      <c r="H232" t="str">
        <f>IF(COUNTIFS(
    Sheet1!$B:$B, B232,
    Sheet1!$C:$C, C232,
    Sheet1!$D:$D, D232,
    Sheet1!$E:$E, E232
) = 0, "NO MATCH IN TARGET", "MATCHED")</f>
        <v>MATCHED</v>
      </c>
    </row>
    <row r="233" spans="1:8" ht="15" thickBot="1" x14ac:dyDescent="0.4">
      <c r="A233" s="5">
        <v>46239.793055555558</v>
      </c>
      <c r="B233" s="1" t="s">
        <v>95</v>
      </c>
      <c r="C233" s="1" t="s">
        <v>8</v>
      </c>
      <c r="D233" s="6">
        <v>23</v>
      </c>
      <c r="E233" s="4">
        <v>890</v>
      </c>
      <c r="H233" t="str">
        <f>IF(COUNTIFS(
    Sheet1!$B:$B, B233,
    Sheet1!$C:$C, C233,
    Sheet1!$D:$D, D233,
    Sheet1!$E:$E, E233
) = 0, "NO MATCH IN TARGET", "MATCHED")</f>
        <v>MATCHED</v>
      </c>
    </row>
    <row r="234" spans="1:8" ht="15" thickBot="1" x14ac:dyDescent="0.4">
      <c r="A234" s="17"/>
      <c r="B234" s="17"/>
      <c r="C234" s="17"/>
      <c r="D234" s="17"/>
      <c r="E234" s="18"/>
    </row>
  </sheetData>
  <autoFilter ref="A1:H233" xr:uid="{668305BF-A2A0-4D4A-B425-623EC32451A8}">
    <filterColumn colId="7">
      <filters>
        <filter val="NO MATCH IN TARGE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C4F3-54BF-4DD5-A3E9-8D9BB60A1964}">
  <dimension ref="A1:F17"/>
  <sheetViews>
    <sheetView workbookViewId="0">
      <selection activeCell="J10" sqref="J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22" t="s">
        <v>6</v>
      </c>
      <c r="B2" s="22" t="s">
        <v>7</v>
      </c>
      <c r="C2" s="22" t="s">
        <v>8</v>
      </c>
      <c r="D2" s="22">
        <v>3</v>
      </c>
      <c r="E2" s="22">
        <v>1896</v>
      </c>
      <c r="F2" s="22" t="s">
        <v>9</v>
      </c>
    </row>
    <row r="3" spans="1:6" x14ac:dyDescent="0.35">
      <c r="A3" t="s">
        <v>6</v>
      </c>
      <c r="B3" t="s">
        <v>7</v>
      </c>
      <c r="C3" t="s">
        <v>12</v>
      </c>
      <c r="D3">
        <v>2</v>
      </c>
      <c r="E3">
        <v>1664</v>
      </c>
      <c r="F3" t="s">
        <v>9</v>
      </c>
    </row>
    <row r="4" spans="1:6" x14ac:dyDescent="0.35">
      <c r="A4" s="21" t="s">
        <v>6</v>
      </c>
      <c r="B4" s="21" t="s">
        <v>7</v>
      </c>
      <c r="C4" s="21" t="s">
        <v>8</v>
      </c>
      <c r="D4" s="21">
        <v>5</v>
      </c>
      <c r="E4" s="21">
        <v>1914</v>
      </c>
      <c r="F4" s="21" t="s">
        <v>9</v>
      </c>
    </row>
    <row r="5" spans="1:6" x14ac:dyDescent="0.35">
      <c r="A5" s="20" t="s">
        <v>6</v>
      </c>
      <c r="B5" s="20" t="s">
        <v>7</v>
      </c>
      <c r="C5" s="20" t="s">
        <v>8</v>
      </c>
      <c r="D5" s="20">
        <v>5</v>
      </c>
      <c r="E5" s="20">
        <v>2014</v>
      </c>
      <c r="F5" s="20" t="s">
        <v>9</v>
      </c>
    </row>
    <row r="6" spans="1:6" x14ac:dyDescent="0.35">
      <c r="A6" s="19" t="s">
        <v>6</v>
      </c>
      <c r="B6" s="19" t="s">
        <v>7</v>
      </c>
      <c r="C6" s="19" t="s">
        <v>8</v>
      </c>
      <c r="D6" s="19">
        <v>5</v>
      </c>
      <c r="E6" s="19">
        <v>2094</v>
      </c>
      <c r="F6" s="19" t="s">
        <v>9</v>
      </c>
    </row>
    <row r="7" spans="1:6" x14ac:dyDescent="0.35">
      <c r="A7" t="s">
        <v>6</v>
      </c>
      <c r="B7" t="s">
        <v>7</v>
      </c>
      <c r="C7" t="s">
        <v>8</v>
      </c>
      <c r="D7">
        <v>20</v>
      </c>
      <c r="E7">
        <v>2310</v>
      </c>
      <c r="F7" t="s">
        <v>9</v>
      </c>
    </row>
    <row r="8" spans="1:6" x14ac:dyDescent="0.35">
      <c r="A8" t="s">
        <v>6</v>
      </c>
      <c r="B8" t="s">
        <v>7</v>
      </c>
      <c r="C8" t="s">
        <v>8</v>
      </c>
      <c r="D8">
        <v>10</v>
      </c>
      <c r="E8">
        <v>2189</v>
      </c>
      <c r="F8" t="s">
        <v>9</v>
      </c>
    </row>
    <row r="9" spans="1:6" ht="15" thickBot="1" x14ac:dyDescent="0.4">
      <c r="A9" t="s">
        <v>6</v>
      </c>
      <c r="B9" t="s">
        <v>7</v>
      </c>
      <c r="C9" t="s">
        <v>8</v>
      </c>
      <c r="D9">
        <v>10</v>
      </c>
      <c r="E9">
        <v>2114</v>
      </c>
      <c r="F9" t="s">
        <v>9</v>
      </c>
    </row>
    <row r="10" spans="1:6" ht="29.5" thickBot="1" x14ac:dyDescent="0.4">
      <c r="A10" s="5">
        <v>46247.689583333333</v>
      </c>
      <c r="B10" s="1" t="s">
        <v>7</v>
      </c>
      <c r="C10" s="1" t="s">
        <v>8</v>
      </c>
      <c r="D10" s="6">
        <v>1</v>
      </c>
      <c r="E10" s="6">
        <v>2494</v>
      </c>
      <c r="F10" t="s">
        <v>9</v>
      </c>
    </row>
    <row r="11" spans="1:6" x14ac:dyDescent="0.35">
      <c r="A11" s="22" t="s">
        <v>96</v>
      </c>
      <c r="B11" s="22" t="s">
        <v>7</v>
      </c>
      <c r="C11" s="22" t="s">
        <v>12</v>
      </c>
      <c r="D11" s="22">
        <v>3</v>
      </c>
      <c r="E11" s="22">
        <v>1714</v>
      </c>
      <c r="F11" s="22" t="s">
        <v>97</v>
      </c>
    </row>
    <row r="12" spans="1:6" x14ac:dyDescent="0.35">
      <c r="A12" s="21" t="s">
        <v>98</v>
      </c>
      <c r="B12" s="21" t="s">
        <v>7</v>
      </c>
      <c r="C12" s="21" t="s">
        <v>12</v>
      </c>
      <c r="D12" s="21">
        <v>2</v>
      </c>
      <c r="E12" s="21">
        <v>1776</v>
      </c>
      <c r="F12" s="21" t="s">
        <v>97</v>
      </c>
    </row>
    <row r="13" spans="1:6" x14ac:dyDescent="0.35">
      <c r="A13" t="s">
        <v>99</v>
      </c>
      <c r="B13" t="s">
        <v>7</v>
      </c>
      <c r="C13" t="s">
        <v>8</v>
      </c>
      <c r="D13">
        <v>3</v>
      </c>
      <c r="E13">
        <v>2496</v>
      </c>
      <c r="F13" t="s">
        <v>9</v>
      </c>
    </row>
    <row r="14" spans="1:6" x14ac:dyDescent="0.35">
      <c r="A14" s="20" t="s">
        <v>100</v>
      </c>
      <c r="B14" s="20" t="s">
        <v>7</v>
      </c>
      <c r="C14" s="20" t="s">
        <v>12</v>
      </c>
      <c r="D14" s="20">
        <v>2</v>
      </c>
      <c r="E14" s="20">
        <v>1864</v>
      </c>
      <c r="F14" s="20" t="s">
        <v>97</v>
      </c>
    </row>
    <row r="15" spans="1:6" x14ac:dyDescent="0.35">
      <c r="A15" s="21" t="s">
        <v>110</v>
      </c>
      <c r="B15" s="21" t="s">
        <v>7</v>
      </c>
      <c r="C15" s="21" t="s">
        <v>12</v>
      </c>
      <c r="D15" s="21">
        <v>3</v>
      </c>
      <c r="E15" s="21">
        <v>1814</v>
      </c>
      <c r="F15" s="21" t="s">
        <v>97</v>
      </c>
    </row>
    <row r="16" spans="1:6" x14ac:dyDescent="0.35">
      <c r="A16" s="20" t="s">
        <v>111</v>
      </c>
      <c r="B16" s="20" t="s">
        <v>7</v>
      </c>
      <c r="C16" s="20" t="s">
        <v>12</v>
      </c>
      <c r="D16" s="20">
        <v>3</v>
      </c>
      <c r="E16" s="20">
        <v>1914</v>
      </c>
      <c r="F16" s="20" t="s">
        <v>97</v>
      </c>
    </row>
    <row r="17" spans="1:6" x14ac:dyDescent="0.35">
      <c r="A17" s="19" t="s">
        <v>112</v>
      </c>
      <c r="B17" s="19" t="s">
        <v>7</v>
      </c>
      <c r="C17" s="19" t="s">
        <v>12</v>
      </c>
      <c r="D17" s="19">
        <v>5</v>
      </c>
      <c r="E17" s="19">
        <v>1964</v>
      </c>
      <c r="F17" s="1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Rough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2026-08-17T13:43:39Z</dcterms:created>
  <dcterms:modified xsi:type="dcterms:W3CDTF">2026-08-17T15:54:41Z</dcterms:modified>
</cp:coreProperties>
</file>