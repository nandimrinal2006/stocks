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ADF47EC7-948D-4337-937D-6251E2AD8A7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2" r:id="rId2"/>
    <sheet name="Sheet3" sheetId="3" r:id="rId3"/>
    <sheet name="Rough" sheetId="5" r:id="rId4"/>
    <sheet name="Sheet1 (2)" sheetId="6" r:id="rId5"/>
  </sheets>
  <definedNames>
    <definedName name="_xlnm._FilterDatabase" localSheetId="0" hidden="1">Sheet1!$A$1:$K$238</definedName>
    <definedName name="_xlnm._FilterDatabase" localSheetId="4" hidden="1">'Sheet1 (2)'!$A$1:$P$238</definedName>
    <definedName name="_xlnm._FilterDatabase" localSheetId="1" hidden="1">Sheet2!$A$1:$H$233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38" i="6" l="1"/>
  <c r="P237" i="6"/>
  <c r="P236" i="6"/>
  <c r="P235" i="6"/>
  <c r="P234" i="6"/>
  <c r="P233" i="6"/>
  <c r="P232" i="6"/>
  <c r="P231" i="6"/>
  <c r="P230" i="6"/>
  <c r="P229" i="6"/>
  <c r="P228" i="6"/>
  <c r="P227" i="6"/>
  <c r="P226" i="6"/>
  <c r="P225" i="6"/>
  <c r="P224" i="6"/>
  <c r="P223" i="6"/>
  <c r="P222" i="6"/>
  <c r="P221" i="6"/>
  <c r="P220" i="6"/>
  <c r="P219" i="6"/>
  <c r="P218" i="6"/>
  <c r="P217" i="6"/>
  <c r="P216" i="6"/>
  <c r="P215" i="6"/>
  <c r="P214" i="6"/>
  <c r="P213" i="6"/>
  <c r="P212" i="6"/>
  <c r="P211" i="6"/>
  <c r="P210" i="6"/>
  <c r="P209" i="6"/>
  <c r="P208" i="6"/>
  <c r="P207" i="6"/>
  <c r="P206" i="6"/>
  <c r="P205" i="6"/>
  <c r="P204" i="6"/>
  <c r="P203" i="6"/>
  <c r="P202" i="6"/>
  <c r="P201" i="6"/>
  <c r="P200" i="6"/>
  <c r="P199" i="6"/>
  <c r="P198" i="6"/>
  <c r="P197" i="6"/>
  <c r="P196" i="6"/>
  <c r="P195" i="6"/>
  <c r="P194" i="6"/>
  <c r="P193" i="6"/>
  <c r="P192" i="6"/>
  <c r="P191" i="6"/>
  <c r="P190" i="6"/>
  <c r="P189" i="6"/>
  <c r="P188" i="6"/>
  <c r="P187" i="6"/>
  <c r="P186" i="6"/>
  <c r="P185" i="6"/>
  <c r="P184" i="6"/>
  <c r="P183" i="6"/>
  <c r="P182" i="6"/>
  <c r="P181" i="6"/>
  <c r="P180" i="6"/>
  <c r="P179" i="6"/>
  <c r="P178" i="6"/>
  <c r="P177" i="6"/>
  <c r="P176" i="6"/>
  <c r="P175" i="6"/>
  <c r="P174" i="6"/>
  <c r="P173" i="6"/>
  <c r="P172" i="6"/>
  <c r="P171" i="6"/>
  <c r="P170" i="6"/>
  <c r="P169" i="6"/>
  <c r="P168" i="6"/>
  <c r="P167" i="6"/>
  <c r="P166" i="6"/>
  <c r="P165" i="6"/>
  <c r="P164" i="6"/>
  <c r="P163" i="6"/>
  <c r="P162" i="6"/>
  <c r="P161" i="6"/>
  <c r="P160" i="6"/>
  <c r="P159" i="6"/>
  <c r="P158" i="6"/>
  <c r="P157" i="6"/>
  <c r="P156" i="6"/>
  <c r="P155" i="6"/>
  <c r="P154" i="6"/>
  <c r="P153" i="6"/>
  <c r="P152" i="6"/>
  <c r="P151" i="6"/>
  <c r="P150" i="6"/>
  <c r="P149" i="6"/>
  <c r="P148" i="6"/>
  <c r="P147" i="6"/>
  <c r="P146" i="6"/>
  <c r="P145" i="6"/>
  <c r="P144" i="6"/>
  <c r="P143" i="6"/>
  <c r="P142" i="6"/>
  <c r="P141" i="6"/>
  <c r="P140" i="6"/>
  <c r="P139" i="6"/>
  <c r="P138" i="6"/>
  <c r="P137" i="6"/>
  <c r="P136" i="6"/>
  <c r="P135" i="6"/>
  <c r="P134" i="6"/>
  <c r="P133" i="6"/>
  <c r="P132" i="6"/>
  <c r="P131" i="6"/>
  <c r="P130" i="6"/>
  <c r="P129" i="6"/>
  <c r="P128" i="6"/>
  <c r="P127" i="6"/>
  <c r="P126" i="6"/>
  <c r="P125" i="6"/>
  <c r="P124" i="6"/>
  <c r="P123" i="6"/>
  <c r="P122" i="6"/>
  <c r="P121" i="6"/>
  <c r="P120" i="6"/>
  <c r="P119" i="6"/>
  <c r="P118" i="6"/>
  <c r="P117" i="6"/>
  <c r="P116" i="6"/>
  <c r="P115" i="6"/>
  <c r="P114" i="6"/>
  <c r="P113" i="6"/>
  <c r="P112" i="6"/>
  <c r="P111" i="6"/>
  <c r="P110" i="6"/>
  <c r="P109" i="6"/>
  <c r="P108" i="6"/>
  <c r="P107" i="6"/>
  <c r="P106" i="6"/>
  <c r="P105" i="6"/>
  <c r="P104" i="6"/>
  <c r="P103" i="6"/>
  <c r="P102" i="6"/>
  <c r="P101" i="6"/>
  <c r="P100" i="6"/>
  <c r="P99" i="6"/>
  <c r="P98" i="6"/>
  <c r="P97" i="6"/>
  <c r="P96" i="6"/>
  <c r="P95" i="6"/>
  <c r="P94" i="6"/>
  <c r="P93" i="6"/>
  <c r="P92" i="6"/>
  <c r="P91" i="6"/>
  <c r="P90" i="6"/>
  <c r="P89" i="6"/>
  <c r="P88" i="6"/>
  <c r="P87" i="6"/>
  <c r="P86" i="6"/>
  <c r="P85" i="6"/>
  <c r="P84" i="6"/>
  <c r="P83" i="6"/>
  <c r="P82" i="6"/>
  <c r="P81" i="6"/>
  <c r="P80" i="6"/>
  <c r="P79" i="6"/>
  <c r="P78" i="6"/>
  <c r="P77" i="6"/>
  <c r="P76" i="6"/>
  <c r="P75" i="6"/>
  <c r="P74" i="6"/>
  <c r="P73" i="6"/>
  <c r="P72" i="6"/>
  <c r="P71" i="6"/>
  <c r="P70" i="6"/>
  <c r="P69" i="6"/>
  <c r="P68" i="6"/>
  <c r="P67" i="6"/>
  <c r="P66" i="6"/>
  <c r="P65" i="6"/>
  <c r="P64" i="6"/>
  <c r="P63" i="6"/>
  <c r="P62" i="6"/>
  <c r="P61" i="6"/>
  <c r="P60" i="6"/>
  <c r="P59" i="6"/>
  <c r="P58" i="6"/>
  <c r="P57" i="6"/>
  <c r="P56" i="6"/>
  <c r="P55" i="6"/>
  <c r="P54" i="6"/>
  <c r="P53" i="6"/>
  <c r="P52" i="6"/>
  <c r="P51" i="6"/>
  <c r="P50" i="6"/>
  <c r="P49" i="6"/>
  <c r="P48" i="6"/>
  <c r="P47" i="6"/>
  <c r="P46" i="6"/>
  <c r="P45" i="6"/>
  <c r="P44" i="6"/>
  <c r="P43" i="6"/>
  <c r="P42" i="6"/>
  <c r="P41" i="6"/>
  <c r="P40" i="6"/>
  <c r="P39" i="6"/>
  <c r="P38" i="6"/>
  <c r="P37" i="6"/>
  <c r="P36" i="6"/>
  <c r="P35" i="6"/>
  <c r="P34" i="6"/>
  <c r="P33" i="6"/>
  <c r="P32" i="6"/>
  <c r="P31" i="6"/>
  <c r="P30" i="6"/>
  <c r="P29" i="6"/>
  <c r="P28" i="6"/>
  <c r="P27" i="6"/>
  <c r="P26" i="6"/>
  <c r="P25" i="6"/>
  <c r="P24" i="6"/>
  <c r="P23" i="6"/>
  <c r="P22" i="6"/>
  <c r="P21" i="6"/>
  <c r="P20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P6" i="6"/>
  <c r="P5" i="6"/>
  <c r="P4" i="6"/>
  <c r="P3" i="6"/>
  <c r="P2" i="6"/>
  <c r="H1" i="3" a="1"/>
  <c r="H1" i="3" s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<sst xmlns="http://schemas.openxmlformats.org/spreadsheetml/2006/main" count="2679" uniqueCount="191">
  <si>
    <t>Date</t>
  </si>
  <si>
    <t>Stock</t>
  </si>
  <si>
    <t>Order Type (Buy/Sell)</t>
  </si>
  <si>
    <t>Quantity</t>
  </si>
  <si>
    <t>Price</t>
  </si>
  <si>
    <t>Status</t>
  </si>
  <si>
    <t>17 AUG 2026 04:31:38 PM</t>
  </si>
  <si>
    <t>KERNEXEQ</t>
  </si>
  <si>
    <t>S</t>
  </si>
  <si>
    <t>Expired</t>
  </si>
  <si>
    <t>17 AUG 2026 04:31:40 PM</t>
  </si>
  <si>
    <t>NETWEBEQ</t>
  </si>
  <si>
    <t>B</t>
  </si>
  <si>
    <t>17 AUG 2026 04:31:37 PM</t>
  </si>
  <si>
    <t>E2EEQ</t>
  </si>
  <si>
    <t>17 AUG 2026 04:31:33 PM</t>
  </si>
  <si>
    <t>APOLLOTYREEQ</t>
  </si>
  <si>
    <t>17 AUG 2026 04:31:44 PM</t>
  </si>
  <si>
    <t>IGILEQ</t>
  </si>
  <si>
    <t>GRSEEQ</t>
  </si>
  <si>
    <t>17 AUG 2026 04:31:36 PM</t>
  </si>
  <si>
    <t>SENCOEQ</t>
  </si>
  <si>
    <t>ZENTECEQ</t>
  </si>
  <si>
    <t>SILVERBEESEQ</t>
  </si>
  <si>
    <t>17 AUG 2026 04:31:41 PM</t>
  </si>
  <si>
    <t>17 AUG 2026 04:31:46 PM</t>
  </si>
  <si>
    <t>URBANCOEQ</t>
  </si>
  <si>
    <t>SCIEQ</t>
  </si>
  <si>
    <t>EXIDEINDEQ</t>
  </si>
  <si>
    <t>17 AUG 2026 04:31:39 PM</t>
  </si>
  <si>
    <t>PRINCEPIPEEQ</t>
  </si>
  <si>
    <t>17 AUG 2026 04:31:45 PM</t>
  </si>
  <si>
    <t>JUSTDIALEQ</t>
  </si>
  <si>
    <t>GOLDBEESEQ</t>
  </si>
  <si>
    <t>17 AUG 2026 04:31:43 PM</t>
  </si>
  <si>
    <t>MOSCHIPEQ</t>
  </si>
  <si>
    <t>RAILTELEQ</t>
  </si>
  <si>
    <t>ARE&amp;MEQ</t>
  </si>
  <si>
    <t>WAAREERTLEQ</t>
  </si>
  <si>
    <t>HUDCOEQ</t>
  </si>
  <si>
    <t>IRCONEQ</t>
  </si>
  <si>
    <t>17 AUG 2026 03:15:13 PM</t>
  </si>
  <si>
    <t>COCHINSHIPEQ</t>
  </si>
  <si>
    <t>17 AUG 2026 03:28:19 PM</t>
  </si>
  <si>
    <t>KFINTECHEQ</t>
  </si>
  <si>
    <t>17 AUG 2026 03:15:08 PM</t>
  </si>
  <si>
    <t>17 AUG 2026 03:15:12 PM</t>
  </si>
  <si>
    <t>BSEEQ</t>
  </si>
  <si>
    <t>17 AUG 2026 03:28:18 PM</t>
  </si>
  <si>
    <t>IRFCEQ</t>
  </si>
  <si>
    <t>17 AUG 2026 03:15:10 PM</t>
  </si>
  <si>
    <t>BDLEQ</t>
  </si>
  <si>
    <t>CGPOWEREQ</t>
  </si>
  <si>
    <t>HALEQ</t>
  </si>
  <si>
    <t>MAZDOCKEQ</t>
  </si>
  <si>
    <t>17 AUG 2026 03:15:09 PM</t>
  </si>
  <si>
    <t>LODHAEQ</t>
  </si>
  <si>
    <t>17 AUG 2026 03:15:11 PM</t>
  </si>
  <si>
    <t>BELEQ</t>
  </si>
  <si>
    <t>17 AUG 2026 03:28:20 PM</t>
  </si>
  <si>
    <t>SOLARINDSEQ</t>
  </si>
  <si>
    <t>TCSEQ</t>
  </si>
  <si>
    <t>DIXONEQ</t>
  </si>
  <si>
    <t>GLENMARKEQ</t>
  </si>
  <si>
    <t>SBINEQ</t>
  </si>
  <si>
    <t>CDSLEQ</t>
  </si>
  <si>
    <t>NAM-INDIAEQ</t>
  </si>
  <si>
    <t>17 AUG 2026 03:28:17 PM</t>
  </si>
  <si>
    <t>LTEQ</t>
  </si>
  <si>
    <t>TVSMOTOREQ</t>
  </si>
  <si>
    <t>BAJFINANCEEQ</t>
  </si>
  <si>
    <t>RVNLEQ</t>
  </si>
  <si>
    <t>17 AUG 2026 03:28:16 PM</t>
  </si>
  <si>
    <t>TRENTEQ</t>
  </si>
  <si>
    <t>INDHOTELEQ</t>
  </si>
  <si>
    <t>17 AUG 2026 03:28:22 PM</t>
  </si>
  <si>
    <t>HDFCAMCEQ</t>
  </si>
  <si>
    <t>IREDAEQ</t>
  </si>
  <si>
    <t>HINDUNILVREQ</t>
  </si>
  <si>
    <t>CONCOREQ</t>
  </si>
  <si>
    <t>17 AUG 2026 03:15:14 PM</t>
  </si>
  <si>
    <t>17 AUG 2026 03:28:21 PM</t>
  </si>
  <si>
    <t>CAMSEQ</t>
  </si>
  <si>
    <t>MAXHEALTHEQ</t>
  </si>
  <si>
    <t>ITBEESEQ</t>
  </si>
  <si>
    <t>########</t>
  </si>
  <si>
    <t>MAFANGEQ</t>
  </si>
  <si>
    <t>MCXEQ</t>
  </si>
  <si>
    <t>LALPATHLABEQ</t>
  </si>
  <si>
    <t>ABBEQ</t>
  </si>
  <si>
    <t>SONACOMSEQ</t>
  </si>
  <si>
    <t>TMCVEQ</t>
  </si>
  <si>
    <t>AARTIPHARMEQ</t>
  </si>
  <si>
    <t>KAYNESEQ</t>
  </si>
  <si>
    <t>VBLEQ</t>
  </si>
  <si>
    <t>NSDLEQ</t>
  </si>
  <si>
    <t>17 AUG 2026 02:14:08 PM</t>
  </si>
  <si>
    <t>Executed</t>
  </si>
  <si>
    <t>17 AUG 2026 02:02:34 PM</t>
  </si>
  <si>
    <t>17 AUG 2026 12:09:03 PM</t>
  </si>
  <si>
    <t>17 AUG 2026 10:28:54 AM</t>
  </si>
  <si>
    <t>17 AUG 2026 10:00:02 AM</t>
  </si>
  <si>
    <t>DHOOTTRANSEQ</t>
  </si>
  <si>
    <t>17 AUG 2026 11:13:04 AM</t>
  </si>
  <si>
    <t>17 AUG 2026 09:57:17 AM</t>
  </si>
  <si>
    <t>17 AUG 2026 09:33:09 AM</t>
  </si>
  <si>
    <t>17 AUG 2026 09:21:29 AM</t>
  </si>
  <si>
    <t>17 AUG 2026 09:19:45 AM</t>
  </si>
  <si>
    <t>17 AUG 2026 09:16:33 AM</t>
  </si>
  <si>
    <t>17 AUG 2026 09:15:41 AM</t>
  </si>
  <si>
    <t>17 AUG 2026 12:30:22 PM</t>
  </si>
  <si>
    <t>17 AUG 2026 10:28:23 AM</t>
  </si>
  <si>
    <t>17 AUG 2026 09:01:04 AM</t>
  </si>
  <si>
    <t>17 AUG 2026 09:01:03 AM</t>
  </si>
  <si>
    <t>17 AUG 2026 11:20:06 AM</t>
  </si>
  <si>
    <t>17 AUG 2026 09:01:02 AM</t>
  </si>
  <si>
    <t>17 AUG 2026 09:15:10 AM</t>
  </si>
  <si>
    <t xml:space="preserve">SSO </t>
  </si>
  <si>
    <t>MrOrdType</t>
  </si>
  <si>
    <t xml:space="preserve">FBO </t>
  </si>
  <si>
    <t xml:space="preserve">FBSO </t>
  </si>
  <si>
    <t xml:space="preserve">SSBO </t>
  </si>
  <si>
    <t>SSO</t>
  </si>
  <si>
    <t>FBO</t>
  </si>
  <si>
    <t>FBSO</t>
  </si>
  <si>
    <t>SSBO</t>
  </si>
  <si>
    <t>%Difference</t>
  </si>
  <si>
    <t>NSE Code</t>
  </si>
  <si>
    <t>Latest Recorded Price</t>
  </si>
  <si>
    <t>NSE:KERNEX</t>
  </si>
  <si>
    <t>NSE:NETWEB</t>
  </si>
  <si>
    <t>NSE:E2E</t>
  </si>
  <si>
    <t>NSE:APOLLOTYRE</t>
  </si>
  <si>
    <t>NSE:IGIL</t>
  </si>
  <si>
    <t>NSE:GRSE</t>
  </si>
  <si>
    <t>NSE:SENCO</t>
  </si>
  <si>
    <t>NSE:ZENTEC</t>
  </si>
  <si>
    <t>NSE:SILVERBEES</t>
  </si>
  <si>
    <t>NSE:URBANCO</t>
  </si>
  <si>
    <t>NSE:SCI</t>
  </si>
  <si>
    <t>NSE:EXIDEIND</t>
  </si>
  <si>
    <t>NSE:PRINCEPIPE</t>
  </si>
  <si>
    <t>NSE:JUSTDIAL</t>
  </si>
  <si>
    <t>NSE:GOLDBEES</t>
  </si>
  <si>
    <t>NSE:MOSCHIP</t>
  </si>
  <si>
    <t>NSE:RAILTEL</t>
  </si>
  <si>
    <t>NSE:ARE&amp;M</t>
  </si>
  <si>
    <t>NSE:WAAREERTL</t>
  </si>
  <si>
    <t>NSE:HUDCO</t>
  </si>
  <si>
    <t>NSE:IRCON</t>
  </si>
  <si>
    <t>NSE:COCHINSHIP</t>
  </si>
  <si>
    <t>NSE:KFINTECH</t>
  </si>
  <si>
    <t>NSE:BSE</t>
  </si>
  <si>
    <t>NSE:IRFC</t>
  </si>
  <si>
    <t>NSE:BDL</t>
  </si>
  <si>
    <t>NSE:CGPOWER</t>
  </si>
  <si>
    <t>NSE:HAL</t>
  </si>
  <si>
    <t>NSE:MAZDOCK</t>
  </si>
  <si>
    <t>NSE:LODHA</t>
  </si>
  <si>
    <t>NSE:BEL</t>
  </si>
  <si>
    <t>NSE:SOLARINDS</t>
  </si>
  <si>
    <t>NSE:TCS</t>
  </si>
  <si>
    <t>NSE:DIXON</t>
  </si>
  <si>
    <t>NSE:GLENMARK</t>
  </si>
  <si>
    <t>NSE:SBIN</t>
  </si>
  <si>
    <t>NSE:CDSL</t>
  </si>
  <si>
    <t>NSE:NAM-INDIA</t>
  </si>
  <si>
    <t>NSE:LT</t>
  </si>
  <si>
    <t>NSE:TVSMOTOR</t>
  </si>
  <si>
    <t>NSE:BAJFINANCE</t>
  </si>
  <si>
    <t>NSE:RVNL</t>
  </si>
  <si>
    <t>NSE:TRENT</t>
  </si>
  <si>
    <t>NSE:INDHOTEL</t>
  </si>
  <si>
    <t>NSE:HDFCAMC</t>
  </si>
  <si>
    <t>NSE:IREDA</t>
  </si>
  <si>
    <t>NSE:HINDUNILVR</t>
  </si>
  <si>
    <t>NSE:CONCOR</t>
  </si>
  <si>
    <t>NSE:CAMS</t>
  </si>
  <si>
    <t>NSE:MAXHEALTH</t>
  </si>
  <si>
    <t>NSE:ITBEES</t>
  </si>
  <si>
    <t>NSE:MAFANG</t>
  </si>
  <si>
    <t>NSE:MCX</t>
  </si>
  <si>
    <t>NSE:LALPATHLAB</t>
  </si>
  <si>
    <t>NSE:ABB</t>
  </si>
  <si>
    <t>NSE:SONACOMS</t>
  </si>
  <si>
    <t>NSE:TMCV</t>
  </si>
  <si>
    <t>NSE:AARTIPHARM</t>
  </si>
  <si>
    <t>NSE:KAYNES</t>
  </si>
  <si>
    <t>NSE:VBL</t>
  </si>
  <si>
    <t>NSE:NSDL</t>
  </si>
  <si>
    <t>17/8/2026 12:09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</si>
</sst>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rgb="FFC0504D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 applyAlignment="1">
      <alignment wrapText="1"/>
    </xf>
    <xf numFmtId="22" fontId="1" fillId="2" borderId="1" xfId="0" applyNumberFormat="1" applyFont="1" applyFill="1" applyBorder="1" applyAlignment="1">
      <alignment horizontal="right" wrapText="1"/>
    </xf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horizontal="right"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22" fontId="1" fillId="3" borderId="1" xfId="0" applyNumberFormat="1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2" borderId="1" xfId="0" applyFont="1" applyFill="1" applyBorder="1" applyAlignment="1">
      <alignment horizontal="right" wrapText="1"/>
    </xf>
    <xf numFmtId="0" fontId="3" fillId="0" borderId="1" xfId="0" applyFont="1" applyBorder="1" applyAlignment="1">
      <alignment wrapText="1"/>
    </xf>
    <xf numFmtId="0" fontId="4" fillId="2" borderId="1" xfId="0" applyFont="1" applyFill="1" applyBorder="1" applyAlignment="1">
      <alignment horizontal="right" wrapText="1"/>
    </xf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5" fillId="0" borderId="1" xfId="0" applyFont="1" applyBorder="1" applyAlignment="1">
      <alignment wrapText="1"/>
    </xf>
    <xf numFmtId="0" fontId="5" fillId="2" borderId="1" xfId="0" applyFont="1" applyFill="1" applyBorder="1" applyAlignment="1">
      <alignment wrapText="1"/>
    </xf>
    <xf numFmtId="0" fontId="0" fillId="5" borderId="0" xfId="0" applyFill="1"/>
    <xf numFmtId="0" fontId="0" fillId="2" borderId="0" xfId="0" applyFill="1"/>
    <xf numFmtId="0" fontId="0" fillId="6" borderId="0" xfId="0" applyFill="1"/>
    <xf numFmtId="0" fontId="0" fillId="7" borderId="0" xfId="0" applyFill="1"/>
    <xf numFmtId="0" fontId="6" fillId="0" borderId="0" xfId="0" applyFont="1"/>
    <xf numFmtId="0" fontId="0" fillId="8" borderId="0" xfId="0" applyFill="1"/>
    <xf numFmtId="0" fontId="1" fillId="9" borderId="1" xfId="0" applyFont="1" applyFill="1" applyBorder="1" applyAlignment="1">
      <alignment wrapText="1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0" fontId="5" fillId="0" borderId="1" xfId="0" applyFont="1" applyBorder="1" applyAlignment="1">
      <alignment horizontal="right" wrapText="1"/>
    </xf>
    <xf numFmtId="0" fontId="7" fillId="0" borderId="1" xfId="0" applyFont="1" applyBorder="1" applyAlignment="1">
      <alignment wrapText="1"/>
    </xf>
    <xf numFmtId="22" fontId="1" fillId="11" borderId="1" xfId="0" applyNumberFormat="1" applyFont="1" applyFill="1" applyBorder="1" applyAlignment="1">
      <alignment horizontal="right" wrapText="1"/>
    </xf>
    <xf numFmtId="0" fontId="1" fillId="11" borderId="1" xfId="0" applyFont="1" applyFill="1" applyBorder="1" applyAlignment="1">
      <alignment wrapText="1"/>
    </xf>
    <xf numFmtId="0" fontId="1" fillId="11" borderId="1" xfId="0" applyFont="1" applyFill="1" applyBorder="1" applyAlignment="1">
      <alignment horizontal="right" wrapText="1"/>
    </xf>
    <xf numFmtId="22" fontId="1" fillId="5" borderId="1" xfId="0" applyNumberFormat="1" applyFont="1" applyFill="1" applyBorder="1" applyAlignment="1">
      <alignment horizontal="right" wrapText="1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5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238"/>
  <sheetViews>
    <sheetView tabSelected="1" topLeftCell="A140" workbookViewId="0">
      <selection activeCell="N145" sqref="N145"/>
    </sheetView>
  </sheetViews>
  <sheetFormatPr defaultRowHeight="14.5" x14ac:dyDescent="0.35"/>
  <cols>
    <col min="1" max="1" width="18.08984375" customWidth="1"/>
    <col min="2" max="2" width="15.54296875" customWidth="1"/>
    <col min="7" max="7" width="18.81640625" customWidth="1"/>
    <col min="10" max="10" width="11.08984375" customWidth="1"/>
  </cols>
  <sheetData>
    <row r="1" spans="1:11" ht="58.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126</v>
      </c>
      <c r="G1" s="17" t="s">
        <v>127</v>
      </c>
      <c r="H1" s="17" t="s">
        <v>128</v>
      </c>
      <c r="I1" s="1" t="s">
        <v>5</v>
      </c>
      <c r="J1" s="25" t="s">
        <v>118</v>
      </c>
      <c r="K1" s="17"/>
    </row>
    <row r="2" spans="1:11" ht="26.5" hidden="1" thickBot="1" x14ac:dyDescent="0.4">
      <c r="A2" s="10" t="s">
        <v>85</v>
      </c>
      <c r="B2" s="1" t="s">
        <v>11</v>
      </c>
      <c r="C2" s="1" t="s">
        <v>12</v>
      </c>
      <c r="D2" s="6">
        <v>1</v>
      </c>
      <c r="E2" s="6">
        <v>3914</v>
      </c>
      <c r="F2" s="6">
        <v>-25.004790190000001</v>
      </c>
      <c r="G2" s="17" t="s">
        <v>130</v>
      </c>
      <c r="H2" s="29">
        <v>5219</v>
      </c>
      <c r="I2" s="1" t="s">
        <v>9</v>
      </c>
      <c r="J2" s="17"/>
      <c r="K2" s="17"/>
    </row>
    <row r="3" spans="1:11" ht="39" hidden="1" thickBot="1" x14ac:dyDescent="0.4">
      <c r="A3" s="5">
        <v>46244.767361111109</v>
      </c>
      <c r="B3" s="1" t="s">
        <v>92</v>
      </c>
      <c r="C3" s="1" t="s">
        <v>12</v>
      </c>
      <c r="D3" s="6">
        <v>2</v>
      </c>
      <c r="E3" s="6">
        <v>660</v>
      </c>
      <c r="F3" s="6">
        <v>-23.61111111</v>
      </c>
      <c r="G3" s="17" t="s">
        <v>186</v>
      </c>
      <c r="H3" s="29">
        <v>864</v>
      </c>
      <c r="I3" s="1" t="s">
        <v>9</v>
      </c>
      <c r="J3" s="17"/>
      <c r="K3" s="17"/>
    </row>
    <row r="4" spans="1:11" ht="26.5" hidden="1" thickBot="1" x14ac:dyDescent="0.4">
      <c r="A4" s="10" t="s">
        <v>85</v>
      </c>
      <c r="B4" s="1" t="s">
        <v>11</v>
      </c>
      <c r="C4" s="1" t="s">
        <v>12</v>
      </c>
      <c r="D4" s="6">
        <v>1</v>
      </c>
      <c r="E4" s="6">
        <v>4014</v>
      </c>
      <c r="F4" s="6">
        <v>-23.08871431</v>
      </c>
      <c r="G4" s="17" t="s">
        <v>130</v>
      </c>
      <c r="H4" s="29">
        <v>5219</v>
      </c>
      <c r="I4" s="1" t="s">
        <v>9</v>
      </c>
      <c r="J4" s="17"/>
      <c r="K4" s="17"/>
    </row>
    <row r="5" spans="1:11" ht="26.5" hidden="1" thickBot="1" x14ac:dyDescent="0.4">
      <c r="A5" s="10" t="s">
        <v>85</v>
      </c>
      <c r="B5" s="1" t="s">
        <v>11</v>
      </c>
      <c r="C5" s="1" t="s">
        <v>12</v>
      </c>
      <c r="D5" s="6">
        <v>1</v>
      </c>
      <c r="E5" s="6">
        <v>4164</v>
      </c>
      <c r="F5" s="6">
        <v>-20.2146005</v>
      </c>
      <c r="G5" s="17" t="s">
        <v>130</v>
      </c>
      <c r="H5" s="29">
        <v>5219</v>
      </c>
      <c r="I5" s="1" t="s">
        <v>9</v>
      </c>
      <c r="J5" s="17"/>
      <c r="K5" s="17"/>
    </row>
    <row r="6" spans="1:11" ht="26.5" hidden="1" thickBot="1" x14ac:dyDescent="0.4">
      <c r="A6" s="10" t="s">
        <v>85</v>
      </c>
      <c r="B6" s="1" t="s">
        <v>11</v>
      </c>
      <c r="C6" s="1" t="s">
        <v>12</v>
      </c>
      <c r="D6" s="6">
        <v>1</v>
      </c>
      <c r="E6" s="6">
        <v>4364</v>
      </c>
      <c r="F6" s="6">
        <v>-16.382448740000001</v>
      </c>
      <c r="G6" s="17" t="s">
        <v>130</v>
      </c>
      <c r="H6" s="29">
        <v>5219</v>
      </c>
      <c r="I6" s="1" t="s">
        <v>9</v>
      </c>
      <c r="J6" s="17"/>
      <c r="K6" s="17"/>
    </row>
    <row r="7" spans="1:11" ht="26.5" hidden="1" thickBot="1" x14ac:dyDescent="0.4">
      <c r="A7" s="10" t="s">
        <v>85</v>
      </c>
      <c r="B7" s="1" t="s">
        <v>28</v>
      </c>
      <c r="C7" s="1" t="s">
        <v>12</v>
      </c>
      <c r="D7" s="6">
        <v>29</v>
      </c>
      <c r="E7" s="6">
        <v>401</v>
      </c>
      <c r="F7" s="6">
        <v>-15.57894737</v>
      </c>
      <c r="G7" s="17" t="s">
        <v>140</v>
      </c>
      <c r="H7" s="29">
        <v>475</v>
      </c>
      <c r="I7" s="1" t="s">
        <v>9</v>
      </c>
      <c r="J7" s="17"/>
      <c r="K7" s="17"/>
    </row>
    <row r="8" spans="1:11" ht="26.5" hidden="1" thickBot="1" x14ac:dyDescent="0.4">
      <c r="A8" s="5">
        <v>46241.6875</v>
      </c>
      <c r="B8" s="1" t="s">
        <v>11</v>
      </c>
      <c r="C8" s="1" t="s">
        <v>12</v>
      </c>
      <c r="D8" s="6">
        <v>2</v>
      </c>
      <c r="E8" s="6">
        <v>4410</v>
      </c>
      <c r="F8" s="6">
        <v>-15.501053840000001</v>
      </c>
      <c r="G8" s="17" t="s">
        <v>130</v>
      </c>
      <c r="H8" s="29">
        <v>5219</v>
      </c>
      <c r="I8" s="1" t="s">
        <v>9</v>
      </c>
      <c r="J8" s="17"/>
      <c r="K8" s="17"/>
    </row>
    <row r="9" spans="1:11" ht="26.5" hidden="1" thickBot="1" x14ac:dyDescent="0.4">
      <c r="A9" s="5">
        <v>46240.6875</v>
      </c>
      <c r="B9" s="1" t="s">
        <v>22</v>
      </c>
      <c r="C9" s="1" t="s">
        <v>12</v>
      </c>
      <c r="D9" s="6">
        <v>5</v>
      </c>
      <c r="E9" s="6">
        <v>1614</v>
      </c>
      <c r="F9" s="6">
        <v>-13.50482315</v>
      </c>
      <c r="G9" s="17" t="s">
        <v>136</v>
      </c>
      <c r="H9" s="29">
        <v>1866</v>
      </c>
      <c r="I9" s="1" t="s">
        <v>9</v>
      </c>
      <c r="J9" s="17"/>
      <c r="K9" s="17"/>
    </row>
    <row r="10" spans="1:11" ht="26.5" hidden="1" thickBot="1" x14ac:dyDescent="0.4">
      <c r="A10" s="5">
        <v>46244.635416666664</v>
      </c>
      <c r="B10" s="1" t="s">
        <v>87</v>
      </c>
      <c r="C10" s="1" t="s">
        <v>12</v>
      </c>
      <c r="D10" s="6">
        <v>2</v>
      </c>
      <c r="E10" s="6">
        <v>2560</v>
      </c>
      <c r="F10" s="6">
        <v>-13.10841083</v>
      </c>
      <c r="G10" s="17" t="s">
        <v>181</v>
      </c>
      <c r="H10" s="29">
        <v>2946.2</v>
      </c>
      <c r="I10" s="1" t="s">
        <v>9</v>
      </c>
      <c r="J10" s="17"/>
      <c r="K10" s="17"/>
    </row>
    <row r="11" spans="1:11" ht="26.5" hidden="1" thickBot="1" x14ac:dyDescent="0.4">
      <c r="A11" s="10" t="s">
        <v>85</v>
      </c>
      <c r="B11" s="1" t="s">
        <v>90</v>
      </c>
      <c r="C11" s="1" t="s">
        <v>12</v>
      </c>
      <c r="D11" s="6">
        <v>4</v>
      </c>
      <c r="E11" s="6">
        <v>701</v>
      </c>
      <c r="F11" s="6">
        <v>-13.091991070000001</v>
      </c>
      <c r="G11" s="17" t="s">
        <v>184</v>
      </c>
      <c r="H11" s="29">
        <v>806.6</v>
      </c>
      <c r="I11" s="1" t="s">
        <v>9</v>
      </c>
      <c r="J11" s="17"/>
      <c r="K11" s="17"/>
    </row>
    <row r="12" spans="1:11" ht="15" hidden="1" thickBot="1" x14ac:dyDescent="0.4">
      <c r="A12" s="5">
        <v>46150.635416666664</v>
      </c>
      <c r="B12" s="1" t="s">
        <v>53</v>
      </c>
      <c r="C12" s="1" t="s">
        <v>12</v>
      </c>
      <c r="D12" s="6">
        <v>15</v>
      </c>
      <c r="E12" s="6">
        <v>4415</v>
      </c>
      <c r="F12" s="6">
        <v>-12.745311170000001</v>
      </c>
      <c r="G12" s="17" t="s">
        <v>156</v>
      </c>
      <c r="H12" s="29">
        <v>5059.8999999999996</v>
      </c>
      <c r="I12" s="1" t="s">
        <v>9</v>
      </c>
      <c r="J12" s="17"/>
      <c r="K12" s="17"/>
    </row>
    <row r="13" spans="1:11" ht="26.5" hidden="1" thickBot="1" x14ac:dyDescent="0.4">
      <c r="A13" s="5">
        <v>46150.789583333331</v>
      </c>
      <c r="B13" s="1" t="s">
        <v>91</v>
      </c>
      <c r="C13" s="1" t="s">
        <v>12</v>
      </c>
      <c r="D13" s="6">
        <v>7</v>
      </c>
      <c r="E13" s="6">
        <v>411</v>
      </c>
      <c r="F13" s="6">
        <v>-12.701784200000001</v>
      </c>
      <c r="G13" s="17" t="s">
        <v>185</v>
      </c>
      <c r="H13" s="29">
        <v>470.8</v>
      </c>
      <c r="I13" s="1" t="s">
        <v>9</v>
      </c>
      <c r="J13" s="17"/>
      <c r="K13" s="17"/>
    </row>
    <row r="14" spans="1:11" ht="15" hidden="1" thickBot="1" x14ac:dyDescent="0.4">
      <c r="A14" s="5">
        <v>46248.770833333336</v>
      </c>
      <c r="B14" s="1" t="s">
        <v>14</v>
      </c>
      <c r="C14" s="1" t="s">
        <v>12</v>
      </c>
      <c r="D14" s="6">
        <v>5</v>
      </c>
      <c r="E14" s="6">
        <v>604</v>
      </c>
      <c r="F14" s="6">
        <v>-12.33671988</v>
      </c>
      <c r="G14" s="17" t="s">
        <v>131</v>
      </c>
      <c r="H14" s="29">
        <v>689</v>
      </c>
      <c r="I14" s="1" t="s">
        <v>9</v>
      </c>
      <c r="J14" s="17"/>
      <c r="K14" s="17"/>
    </row>
    <row r="15" spans="1:11" ht="26.5" hidden="1" thickBot="1" x14ac:dyDescent="0.4">
      <c r="A15" s="5">
        <v>46181.6875</v>
      </c>
      <c r="B15" s="1" t="s">
        <v>33</v>
      </c>
      <c r="C15" s="1" t="s">
        <v>12</v>
      </c>
      <c r="D15" s="6">
        <v>100</v>
      </c>
      <c r="E15" s="6">
        <v>111</v>
      </c>
      <c r="F15" s="6">
        <v>-12.239089180000001</v>
      </c>
      <c r="G15" s="17" t="s">
        <v>143</v>
      </c>
      <c r="H15" s="29">
        <v>126.48</v>
      </c>
      <c r="I15" s="1" t="s">
        <v>9</v>
      </c>
      <c r="J15" s="17"/>
      <c r="K15" s="17"/>
    </row>
    <row r="16" spans="1:11" ht="15" hidden="1" thickBot="1" x14ac:dyDescent="0.4">
      <c r="A16" s="5">
        <v>46181.635416666664</v>
      </c>
      <c r="B16" s="1" t="s">
        <v>53</v>
      </c>
      <c r="C16" s="1" t="s">
        <v>12</v>
      </c>
      <c r="D16" s="6">
        <v>2</v>
      </c>
      <c r="E16" s="6">
        <v>4456</v>
      </c>
      <c r="F16" s="6">
        <v>-11.93501848</v>
      </c>
      <c r="G16" s="17" t="s">
        <v>156</v>
      </c>
      <c r="H16" s="29">
        <v>5059.8999999999996</v>
      </c>
      <c r="I16" s="1" t="s">
        <v>9</v>
      </c>
      <c r="J16" s="17"/>
      <c r="K16" s="17"/>
    </row>
    <row r="17" spans="1:11" ht="26.5" hidden="1" thickBot="1" x14ac:dyDescent="0.4">
      <c r="A17" s="10" t="s">
        <v>85</v>
      </c>
      <c r="B17" s="1" t="s">
        <v>30</v>
      </c>
      <c r="C17" s="1" t="s">
        <v>12</v>
      </c>
      <c r="D17" s="6">
        <v>10</v>
      </c>
      <c r="E17" s="6">
        <v>251</v>
      </c>
      <c r="F17" s="6">
        <v>-11.92982456</v>
      </c>
      <c r="G17" s="17" t="s">
        <v>141</v>
      </c>
      <c r="H17" s="29">
        <v>285</v>
      </c>
      <c r="I17" s="1" t="s">
        <v>9</v>
      </c>
      <c r="J17" s="17"/>
      <c r="K17" s="17"/>
    </row>
    <row r="18" spans="1:11" ht="26.5" hidden="1" thickBot="1" x14ac:dyDescent="0.4">
      <c r="A18" s="5">
        <v>46239.788888888892</v>
      </c>
      <c r="B18" s="1" t="s">
        <v>28</v>
      </c>
      <c r="C18" s="1" t="s">
        <v>12</v>
      </c>
      <c r="D18" s="6">
        <v>5</v>
      </c>
      <c r="E18" s="6">
        <v>419</v>
      </c>
      <c r="F18" s="6">
        <v>-11.78947368</v>
      </c>
      <c r="G18" s="17" t="s">
        <v>140</v>
      </c>
      <c r="H18" s="29">
        <v>475</v>
      </c>
      <c r="I18" s="1" t="s">
        <v>9</v>
      </c>
      <c r="J18" s="17"/>
      <c r="K18" s="17"/>
    </row>
    <row r="19" spans="1:11" ht="26.5" hidden="1" thickBot="1" x14ac:dyDescent="0.4">
      <c r="A19" s="5">
        <v>46246.644444444442</v>
      </c>
      <c r="B19" s="1" t="s">
        <v>44</v>
      </c>
      <c r="C19" s="1" t="s">
        <v>12</v>
      </c>
      <c r="D19" s="6">
        <v>40</v>
      </c>
      <c r="E19" s="6">
        <v>862</v>
      </c>
      <c r="F19" s="6">
        <v>-11.562532060000001</v>
      </c>
      <c r="G19" s="17" t="s">
        <v>151</v>
      </c>
      <c r="H19" s="29">
        <v>974.7</v>
      </c>
      <c r="I19" s="1" t="s">
        <v>9</v>
      </c>
      <c r="J19" s="17"/>
      <c r="K19" s="17"/>
    </row>
    <row r="20" spans="1:11" ht="26.5" hidden="1" thickBot="1" x14ac:dyDescent="0.4">
      <c r="A20" s="5">
        <v>46251.688622685186</v>
      </c>
      <c r="B20" s="1" t="s">
        <v>22</v>
      </c>
      <c r="C20" s="1" t="s">
        <v>12</v>
      </c>
      <c r="D20" s="6">
        <v>10</v>
      </c>
      <c r="E20" s="6">
        <v>1666</v>
      </c>
      <c r="F20" s="6">
        <v>-10.71811361</v>
      </c>
      <c r="G20" s="17" t="s">
        <v>136</v>
      </c>
      <c r="H20" s="29">
        <v>1866</v>
      </c>
      <c r="I20" s="1" t="s">
        <v>9</v>
      </c>
      <c r="J20" s="17"/>
      <c r="K20" s="17"/>
    </row>
    <row r="21" spans="1:11" ht="26.5" hidden="1" thickBot="1" x14ac:dyDescent="0.4">
      <c r="A21" s="5">
        <v>46334.692361111112</v>
      </c>
      <c r="B21" s="1" t="s">
        <v>37</v>
      </c>
      <c r="C21" s="1" t="s">
        <v>12</v>
      </c>
      <c r="D21" s="6">
        <v>5</v>
      </c>
      <c r="E21" s="6">
        <v>852</v>
      </c>
      <c r="F21" s="6">
        <v>-10.01267427</v>
      </c>
      <c r="G21" s="17" t="s">
        <v>146</v>
      </c>
      <c r="H21" s="29">
        <v>946.8</v>
      </c>
      <c r="I21" s="1" t="s">
        <v>9</v>
      </c>
      <c r="J21" s="17"/>
      <c r="K21" s="17"/>
    </row>
    <row r="22" spans="1:11" ht="15" hidden="1" thickBot="1" x14ac:dyDescent="0.4">
      <c r="A22" s="10" t="s">
        <v>85</v>
      </c>
      <c r="B22" s="1" t="s">
        <v>89</v>
      </c>
      <c r="C22" s="1" t="s">
        <v>12</v>
      </c>
      <c r="D22" s="6">
        <v>1</v>
      </c>
      <c r="E22" s="6">
        <v>6920</v>
      </c>
      <c r="F22" s="6">
        <v>-9.9603148790000002</v>
      </c>
      <c r="G22" s="17" t="s">
        <v>183</v>
      </c>
      <c r="H22" s="29">
        <v>7685.5</v>
      </c>
      <c r="I22" s="1" t="s">
        <v>9</v>
      </c>
      <c r="J22" s="17"/>
      <c r="K22" s="17"/>
    </row>
    <row r="23" spans="1:11" ht="26.5" hidden="1" thickBot="1" x14ac:dyDescent="0.4">
      <c r="A23" s="5">
        <v>46239.635416666664</v>
      </c>
      <c r="B23" s="1" t="s">
        <v>44</v>
      </c>
      <c r="C23" s="1" t="s">
        <v>12</v>
      </c>
      <c r="D23" s="6">
        <v>40</v>
      </c>
      <c r="E23" s="6">
        <v>878</v>
      </c>
      <c r="F23" s="6">
        <v>-9.9210013339999996</v>
      </c>
      <c r="G23" s="17" t="s">
        <v>151</v>
      </c>
      <c r="H23" s="29">
        <v>974.7</v>
      </c>
      <c r="I23" s="1" t="s">
        <v>9</v>
      </c>
      <c r="J23" s="17"/>
      <c r="K23" s="17"/>
    </row>
    <row r="24" spans="1:11" ht="15" hidden="1" thickBot="1" x14ac:dyDescent="0.4">
      <c r="A24" s="5">
        <v>46211.635416666664</v>
      </c>
      <c r="B24" s="1" t="s">
        <v>53</v>
      </c>
      <c r="C24" s="1" t="s">
        <v>12</v>
      </c>
      <c r="D24" s="6">
        <v>1</v>
      </c>
      <c r="E24" s="6">
        <v>4560</v>
      </c>
      <c r="F24" s="6">
        <v>-9.8796418900000003</v>
      </c>
      <c r="G24" s="17" t="s">
        <v>156</v>
      </c>
      <c r="H24" s="29">
        <v>5059.8999999999996</v>
      </c>
      <c r="I24" s="1" t="s">
        <v>9</v>
      </c>
      <c r="J24" s="17"/>
      <c r="K24" s="17"/>
    </row>
    <row r="25" spans="1:11" ht="26.5" hidden="1" thickBot="1" x14ac:dyDescent="0.4">
      <c r="A25" s="5">
        <v>46248.768750000003</v>
      </c>
      <c r="B25" s="1" t="s">
        <v>11</v>
      </c>
      <c r="C25" s="1" t="s">
        <v>12</v>
      </c>
      <c r="D25" s="6">
        <v>3</v>
      </c>
      <c r="E25" s="6">
        <v>4710</v>
      </c>
      <c r="F25" s="6">
        <v>-9.7528262120000004</v>
      </c>
      <c r="G25" s="17" t="s">
        <v>130</v>
      </c>
      <c r="H25" s="29">
        <v>5219</v>
      </c>
      <c r="I25" s="1" t="s">
        <v>9</v>
      </c>
      <c r="J25" s="17"/>
      <c r="K25" s="17"/>
    </row>
    <row r="26" spans="1:11" ht="26.5" hidden="1" thickBot="1" x14ac:dyDescent="0.4">
      <c r="A26" s="5">
        <v>46334.635416666664</v>
      </c>
      <c r="B26" s="1" t="s">
        <v>87</v>
      </c>
      <c r="C26" s="1" t="s">
        <v>12</v>
      </c>
      <c r="D26" s="6">
        <v>2</v>
      </c>
      <c r="E26" s="6">
        <v>2660</v>
      </c>
      <c r="F26" s="6">
        <v>-9.7142081329999996</v>
      </c>
      <c r="G26" s="17" t="s">
        <v>181</v>
      </c>
      <c r="H26" s="29">
        <v>2946.2</v>
      </c>
      <c r="I26" s="1" t="s">
        <v>9</v>
      </c>
      <c r="J26" s="17"/>
      <c r="K26" s="17"/>
    </row>
    <row r="27" spans="1:11" ht="26.5" hidden="1" thickBot="1" x14ac:dyDescent="0.4">
      <c r="A27" s="5">
        <v>46247.635416666664</v>
      </c>
      <c r="B27" s="1" t="s">
        <v>60</v>
      </c>
      <c r="C27" s="1" t="s">
        <v>12</v>
      </c>
      <c r="D27" s="6">
        <v>1</v>
      </c>
      <c r="E27" s="6">
        <v>18052</v>
      </c>
      <c r="F27" s="6">
        <v>-9.6948474240000007</v>
      </c>
      <c r="G27" s="17" t="s">
        <v>160</v>
      </c>
      <c r="H27" s="29">
        <v>19990</v>
      </c>
      <c r="I27" s="1" t="s">
        <v>9</v>
      </c>
      <c r="J27" s="17"/>
      <c r="K27" s="17"/>
    </row>
    <row r="28" spans="1:11" ht="26.5" hidden="1" thickBot="1" x14ac:dyDescent="0.4">
      <c r="A28" s="5">
        <v>46246.689583333333</v>
      </c>
      <c r="B28" s="1" t="s">
        <v>84</v>
      </c>
      <c r="C28" s="1" t="s">
        <v>12</v>
      </c>
      <c r="D28" s="6">
        <v>200</v>
      </c>
      <c r="E28" s="6">
        <v>31.01</v>
      </c>
      <c r="F28" s="6">
        <v>-9.6445221449999998</v>
      </c>
      <c r="G28" s="17" t="s">
        <v>179</v>
      </c>
      <c r="H28" s="29">
        <v>34.32</v>
      </c>
      <c r="I28" s="1" t="s">
        <v>9</v>
      </c>
      <c r="J28" s="17"/>
      <c r="K28" s="17"/>
    </row>
    <row r="29" spans="1:11" ht="26.5" hidden="1" thickBot="1" x14ac:dyDescent="0.4">
      <c r="A29" s="5">
        <v>46246.635416666664</v>
      </c>
      <c r="B29" s="1" t="s">
        <v>56</v>
      </c>
      <c r="C29" s="1" t="s">
        <v>12</v>
      </c>
      <c r="D29" s="6">
        <v>10</v>
      </c>
      <c r="E29" s="6">
        <v>1132</v>
      </c>
      <c r="F29" s="6">
        <v>-9.5051562870000001</v>
      </c>
      <c r="G29" s="17" t="s">
        <v>158</v>
      </c>
      <c r="H29" s="29">
        <v>1250.9000000000001</v>
      </c>
      <c r="I29" s="1" t="s">
        <v>9</v>
      </c>
      <c r="J29" s="17"/>
      <c r="K29" s="17"/>
    </row>
    <row r="30" spans="1:11" ht="15" hidden="1" thickBot="1" x14ac:dyDescent="0.4">
      <c r="A30" s="5">
        <v>46246.635416666664</v>
      </c>
      <c r="B30" s="1" t="s">
        <v>51</v>
      </c>
      <c r="C30" s="1" t="s">
        <v>12</v>
      </c>
      <c r="D30" s="6">
        <v>10</v>
      </c>
      <c r="E30" s="6">
        <v>1251</v>
      </c>
      <c r="F30" s="6">
        <v>-9.3478260869999996</v>
      </c>
      <c r="G30" s="17" t="s">
        <v>154</v>
      </c>
      <c r="H30" s="29">
        <v>1380</v>
      </c>
      <c r="I30" s="1" t="s">
        <v>9</v>
      </c>
      <c r="J30" s="1" t="s">
        <v>125</v>
      </c>
      <c r="K30" s="17"/>
    </row>
    <row r="31" spans="1:11" ht="15" hidden="1" thickBot="1" x14ac:dyDescent="0.4">
      <c r="A31" s="5">
        <v>46245.693055555559</v>
      </c>
      <c r="B31" s="1" t="s">
        <v>18</v>
      </c>
      <c r="C31" s="1" t="s">
        <v>12</v>
      </c>
      <c r="D31" s="6">
        <v>100</v>
      </c>
      <c r="E31" s="6">
        <v>322</v>
      </c>
      <c r="F31" s="6">
        <v>-9.2829976050000003</v>
      </c>
      <c r="G31" s="17" t="s">
        <v>133</v>
      </c>
      <c r="H31" s="29">
        <v>354.95</v>
      </c>
      <c r="I31" s="1" t="s">
        <v>9</v>
      </c>
      <c r="J31" s="25" t="s">
        <v>125</v>
      </c>
      <c r="K31" s="17"/>
    </row>
    <row r="32" spans="1:11" ht="26.5" hidden="1" thickBot="1" x14ac:dyDescent="0.4">
      <c r="A32" s="5">
        <v>46334.692361111112</v>
      </c>
      <c r="B32" s="1" t="s">
        <v>37</v>
      </c>
      <c r="C32" s="1" t="s">
        <v>12</v>
      </c>
      <c r="D32" s="6">
        <v>30</v>
      </c>
      <c r="E32" s="6">
        <v>860</v>
      </c>
      <c r="F32" s="6">
        <v>-9.1677228559999993</v>
      </c>
      <c r="G32" s="17" t="s">
        <v>146</v>
      </c>
      <c r="H32" s="29">
        <v>946.8</v>
      </c>
      <c r="I32" s="1" t="s">
        <v>9</v>
      </c>
      <c r="J32" s="17"/>
      <c r="K32" s="17"/>
    </row>
    <row r="33" spans="1:11" ht="26.5" hidden="1" thickBot="1" x14ac:dyDescent="0.4">
      <c r="A33" s="5">
        <v>46241.6875</v>
      </c>
      <c r="B33" s="1" t="s">
        <v>32</v>
      </c>
      <c r="C33" s="1" t="s">
        <v>12</v>
      </c>
      <c r="D33" s="6">
        <v>20</v>
      </c>
      <c r="E33" s="6">
        <v>620</v>
      </c>
      <c r="F33" s="6">
        <v>-8.9574155649999998</v>
      </c>
      <c r="G33" s="17" t="s">
        <v>142</v>
      </c>
      <c r="H33" s="29">
        <v>681</v>
      </c>
      <c r="I33" s="1" t="s">
        <v>9</v>
      </c>
      <c r="J33" s="17"/>
      <c r="K33" s="17"/>
    </row>
    <row r="34" spans="1:11" ht="26.5" hidden="1" thickBot="1" x14ac:dyDescent="0.4">
      <c r="A34" s="5">
        <v>46240.6875</v>
      </c>
      <c r="B34" s="1" t="s">
        <v>32</v>
      </c>
      <c r="C34" s="1" t="s">
        <v>12</v>
      </c>
      <c r="D34" s="6">
        <v>30</v>
      </c>
      <c r="E34" s="6">
        <v>620</v>
      </c>
      <c r="F34" s="6">
        <v>-8.9574155649999998</v>
      </c>
      <c r="G34" s="17" t="s">
        <v>142</v>
      </c>
      <c r="H34" s="29">
        <v>681</v>
      </c>
      <c r="I34" s="1" t="s">
        <v>9</v>
      </c>
      <c r="J34" s="17"/>
      <c r="K34" s="17"/>
    </row>
    <row r="35" spans="1:11" ht="26.5" hidden="1" thickBot="1" x14ac:dyDescent="0.4">
      <c r="A35" s="5">
        <v>46245.693055555559</v>
      </c>
      <c r="B35" s="1" t="s">
        <v>33</v>
      </c>
      <c r="C35" s="1" t="s">
        <v>12</v>
      </c>
      <c r="D35" s="6">
        <v>200</v>
      </c>
      <c r="E35" s="6">
        <v>115.25</v>
      </c>
      <c r="F35" s="6">
        <v>-8.8788741299999998</v>
      </c>
      <c r="G35" s="17" t="s">
        <v>143</v>
      </c>
      <c r="H35" s="29">
        <v>126.48</v>
      </c>
      <c r="I35" s="1" t="s">
        <v>9</v>
      </c>
      <c r="J35" s="17"/>
      <c r="K35" s="17"/>
    </row>
    <row r="36" spans="1:11" ht="15" hidden="1" thickBot="1" x14ac:dyDescent="0.4">
      <c r="A36" s="5">
        <v>46246.635416666664</v>
      </c>
      <c r="B36" s="1" t="s">
        <v>51</v>
      </c>
      <c r="C36" s="1" t="s">
        <v>12</v>
      </c>
      <c r="D36" s="6">
        <v>10</v>
      </c>
      <c r="E36" s="6">
        <v>1260</v>
      </c>
      <c r="F36" s="6">
        <v>-8.6956521739999992</v>
      </c>
      <c r="G36" s="17" t="s">
        <v>154</v>
      </c>
      <c r="H36" s="29">
        <v>1380</v>
      </c>
      <c r="I36" s="1" t="s">
        <v>9</v>
      </c>
      <c r="J36" s="1" t="s">
        <v>125</v>
      </c>
      <c r="K36" s="17"/>
    </row>
    <row r="37" spans="1:11" ht="15" hidden="1" thickBot="1" x14ac:dyDescent="0.4">
      <c r="A37" s="5">
        <v>46251.63553240741</v>
      </c>
      <c r="B37" s="1" t="s">
        <v>53</v>
      </c>
      <c r="C37" s="1" t="s">
        <v>12</v>
      </c>
      <c r="D37" s="6">
        <v>1</v>
      </c>
      <c r="E37" s="6">
        <v>4640</v>
      </c>
      <c r="F37" s="6">
        <v>-8.2985829760000005</v>
      </c>
      <c r="G37" s="17" t="s">
        <v>156</v>
      </c>
      <c r="H37" s="29">
        <v>5059.8999999999996</v>
      </c>
      <c r="I37" s="1" t="s">
        <v>9</v>
      </c>
      <c r="J37" s="17"/>
      <c r="K37" s="17"/>
    </row>
    <row r="38" spans="1:11" ht="26.5" hidden="1" thickBot="1" x14ac:dyDescent="0.4">
      <c r="A38" s="5">
        <v>46245.693055555559</v>
      </c>
      <c r="B38" s="1" t="s">
        <v>33</v>
      </c>
      <c r="C38" s="1" t="s">
        <v>12</v>
      </c>
      <c r="D38" s="6">
        <v>50</v>
      </c>
      <c r="E38" s="6">
        <v>116</v>
      </c>
      <c r="F38" s="6">
        <v>-8.2858950030000003</v>
      </c>
      <c r="G38" s="17" t="s">
        <v>143</v>
      </c>
      <c r="H38" s="29">
        <v>126.48</v>
      </c>
      <c r="I38" s="1" t="s">
        <v>9</v>
      </c>
      <c r="J38" s="17"/>
      <c r="K38" s="17"/>
    </row>
    <row r="39" spans="1:11" ht="26.5" hidden="1" thickBot="1" x14ac:dyDescent="0.4">
      <c r="A39" s="10" t="s">
        <v>85</v>
      </c>
      <c r="B39" s="1" t="s">
        <v>69</v>
      </c>
      <c r="C39" s="1" t="s">
        <v>12</v>
      </c>
      <c r="D39" s="6">
        <v>2</v>
      </c>
      <c r="E39" s="6">
        <v>4010</v>
      </c>
      <c r="F39" s="6">
        <v>-8.1539166279999993</v>
      </c>
      <c r="G39" s="17" t="s">
        <v>168</v>
      </c>
      <c r="H39" s="29">
        <v>4366</v>
      </c>
      <c r="I39" s="1" t="s">
        <v>9</v>
      </c>
      <c r="J39" s="17"/>
      <c r="K39" s="17"/>
    </row>
    <row r="40" spans="1:11" ht="15" hidden="1" thickBot="1" x14ac:dyDescent="0.4">
      <c r="A40" s="5">
        <v>46251.688622685186</v>
      </c>
      <c r="B40" s="1" t="s">
        <v>14</v>
      </c>
      <c r="C40" s="1" t="s">
        <v>12</v>
      </c>
      <c r="D40" s="6">
        <v>5</v>
      </c>
      <c r="E40" s="6">
        <v>634</v>
      </c>
      <c r="F40" s="6">
        <v>-7.9825834540000002</v>
      </c>
      <c r="G40" s="17" t="s">
        <v>131</v>
      </c>
      <c r="H40" s="29">
        <v>689</v>
      </c>
      <c r="I40" s="1" t="s">
        <v>9</v>
      </c>
      <c r="J40" s="17"/>
      <c r="K40" s="17"/>
    </row>
    <row r="41" spans="1:11" ht="26.5" hidden="1" thickBot="1" x14ac:dyDescent="0.4">
      <c r="A41" s="5">
        <v>46251.635509259257</v>
      </c>
      <c r="B41" s="1" t="s">
        <v>44</v>
      </c>
      <c r="C41" s="1" t="s">
        <v>12</v>
      </c>
      <c r="D41" s="6">
        <v>40</v>
      </c>
      <c r="E41" s="6">
        <v>897</v>
      </c>
      <c r="F41" s="6">
        <v>-7.971683595</v>
      </c>
      <c r="G41" s="17" t="s">
        <v>151</v>
      </c>
      <c r="H41" s="29">
        <v>974.7</v>
      </c>
      <c r="I41" s="1" t="s">
        <v>9</v>
      </c>
      <c r="J41" s="17"/>
      <c r="K41" s="17"/>
    </row>
    <row r="42" spans="1:11" ht="39" hidden="1" thickBot="1" x14ac:dyDescent="0.4">
      <c r="A42" s="5">
        <v>46241.6875</v>
      </c>
      <c r="B42" s="1" t="s">
        <v>23</v>
      </c>
      <c r="C42" s="1" t="s">
        <v>12</v>
      </c>
      <c r="D42" s="6">
        <v>50</v>
      </c>
      <c r="E42" s="6">
        <v>206</v>
      </c>
      <c r="F42" s="6">
        <v>-7.9329608939999998</v>
      </c>
      <c r="G42" s="17" t="s">
        <v>137</v>
      </c>
      <c r="H42" s="29">
        <v>223.75</v>
      </c>
      <c r="I42" s="1" t="s">
        <v>9</v>
      </c>
      <c r="J42" s="1" t="s">
        <v>123</v>
      </c>
      <c r="K42" s="17"/>
    </row>
    <row r="43" spans="1:11" ht="15" hidden="1" thickBot="1" x14ac:dyDescent="0.4">
      <c r="A43" s="5">
        <v>46251.688703703701</v>
      </c>
      <c r="B43" s="1" t="s">
        <v>18</v>
      </c>
      <c r="C43" s="1" t="s">
        <v>12</v>
      </c>
      <c r="D43" s="6">
        <v>100</v>
      </c>
      <c r="E43" s="6">
        <v>327</v>
      </c>
      <c r="F43" s="6">
        <v>-7.8743485</v>
      </c>
      <c r="G43" s="17" t="s">
        <v>133</v>
      </c>
      <c r="H43" s="29">
        <v>354.95</v>
      </c>
      <c r="I43" s="1" t="s">
        <v>9</v>
      </c>
      <c r="J43" s="25" t="s">
        <v>125</v>
      </c>
      <c r="K43" s="17"/>
    </row>
    <row r="44" spans="1:11" ht="15" hidden="1" thickBot="1" x14ac:dyDescent="0.4">
      <c r="A44" s="10" t="s">
        <v>85</v>
      </c>
      <c r="B44" s="1" t="s">
        <v>68</v>
      </c>
      <c r="C44" s="1" t="s">
        <v>12</v>
      </c>
      <c r="D44" s="6">
        <v>2</v>
      </c>
      <c r="E44" s="6">
        <v>3760</v>
      </c>
      <c r="F44" s="6">
        <v>-7.752698724</v>
      </c>
      <c r="G44" s="17" t="s">
        <v>167</v>
      </c>
      <c r="H44" s="29">
        <v>4076</v>
      </c>
      <c r="I44" s="1" t="s">
        <v>9</v>
      </c>
      <c r="J44" s="17"/>
      <c r="K44" s="17"/>
    </row>
    <row r="45" spans="1:11" ht="26.5" hidden="1" thickBot="1" x14ac:dyDescent="0.4">
      <c r="A45" s="5">
        <v>46246.635416666664</v>
      </c>
      <c r="B45" s="1" t="s">
        <v>54</v>
      </c>
      <c r="C45" s="1" t="s">
        <v>12</v>
      </c>
      <c r="D45" s="6">
        <v>8</v>
      </c>
      <c r="E45" s="6">
        <v>2370</v>
      </c>
      <c r="F45" s="6">
        <v>-7.4182585259999998</v>
      </c>
      <c r="G45" s="17" t="s">
        <v>157</v>
      </c>
      <c r="H45" s="29">
        <v>2559.9</v>
      </c>
      <c r="I45" s="1" t="s">
        <v>9</v>
      </c>
      <c r="J45" s="17"/>
      <c r="K45" s="17"/>
    </row>
    <row r="46" spans="1:11" ht="26.5" hidden="1" thickBot="1" x14ac:dyDescent="0.4">
      <c r="A46" s="5">
        <v>46241.76458333333</v>
      </c>
      <c r="B46" s="1" t="s">
        <v>86</v>
      </c>
      <c r="C46" s="1" t="s">
        <v>12</v>
      </c>
      <c r="D46" s="6">
        <v>25</v>
      </c>
      <c r="E46" s="6">
        <v>196</v>
      </c>
      <c r="F46" s="6">
        <v>-7.2935389270000002</v>
      </c>
      <c r="G46" s="17" t="s">
        <v>180</v>
      </c>
      <c r="H46" s="29">
        <v>211.42</v>
      </c>
      <c r="I46" s="1" t="s">
        <v>9</v>
      </c>
      <c r="J46" s="17"/>
      <c r="K46" s="17"/>
    </row>
    <row r="47" spans="1:11" ht="15" hidden="1" thickBot="1" x14ac:dyDescent="0.4">
      <c r="A47" s="5">
        <v>46246.635416666664</v>
      </c>
      <c r="B47" s="1" t="s">
        <v>51</v>
      </c>
      <c r="C47" s="1" t="s">
        <v>12</v>
      </c>
      <c r="D47" s="6">
        <v>10</v>
      </c>
      <c r="E47" s="6">
        <v>1280</v>
      </c>
      <c r="F47" s="6">
        <v>-7.2463768120000003</v>
      </c>
      <c r="G47" s="17" t="s">
        <v>154</v>
      </c>
      <c r="H47" s="29">
        <v>1380</v>
      </c>
      <c r="I47" s="1" t="s">
        <v>9</v>
      </c>
      <c r="J47" s="1" t="s">
        <v>125</v>
      </c>
      <c r="K47" s="17"/>
    </row>
    <row r="48" spans="1:11" ht="26.5" hidden="1" thickBot="1" x14ac:dyDescent="0.4">
      <c r="A48" s="5">
        <v>46247.689583333333</v>
      </c>
      <c r="B48" s="1" t="s">
        <v>35</v>
      </c>
      <c r="C48" s="1" t="s">
        <v>12</v>
      </c>
      <c r="D48" s="6">
        <v>50</v>
      </c>
      <c r="E48" s="6">
        <v>196</v>
      </c>
      <c r="F48" s="6">
        <v>-7.2452794469999997</v>
      </c>
      <c r="G48" s="17" t="s">
        <v>144</v>
      </c>
      <c r="H48" s="29">
        <v>211.31</v>
      </c>
      <c r="I48" s="1" t="s">
        <v>9</v>
      </c>
      <c r="J48" s="17"/>
      <c r="K48" s="17"/>
    </row>
    <row r="49" spans="1:11" ht="26.5" hidden="1" thickBot="1" x14ac:dyDescent="0.4">
      <c r="A49" s="5">
        <v>46247.635416666664</v>
      </c>
      <c r="B49" s="1" t="s">
        <v>60</v>
      </c>
      <c r="C49" s="1" t="s">
        <v>12</v>
      </c>
      <c r="D49" s="6">
        <v>1</v>
      </c>
      <c r="E49" s="6">
        <v>18552</v>
      </c>
      <c r="F49" s="6">
        <v>-7.1935967979999997</v>
      </c>
      <c r="G49" s="17" t="s">
        <v>160</v>
      </c>
      <c r="H49" s="29">
        <v>19990</v>
      </c>
      <c r="I49" s="1" t="s">
        <v>9</v>
      </c>
      <c r="J49" s="17"/>
      <c r="K49" s="17"/>
    </row>
    <row r="50" spans="1:11" ht="26.5" hidden="1" thickBot="1" x14ac:dyDescent="0.4">
      <c r="A50" s="5">
        <v>46364.635416666664</v>
      </c>
      <c r="B50" s="1" t="s">
        <v>62</v>
      </c>
      <c r="C50" s="1" t="s">
        <v>12</v>
      </c>
      <c r="D50" s="6">
        <v>1</v>
      </c>
      <c r="E50" s="6">
        <v>13052</v>
      </c>
      <c r="F50" s="6">
        <v>-7.1428571429999996</v>
      </c>
      <c r="G50" s="17" t="s">
        <v>162</v>
      </c>
      <c r="H50" s="29">
        <v>14056</v>
      </c>
      <c r="I50" s="1" t="s">
        <v>9</v>
      </c>
      <c r="J50" s="17"/>
      <c r="K50" s="17"/>
    </row>
    <row r="51" spans="1:11" ht="26.5" hidden="1" thickBot="1" x14ac:dyDescent="0.4">
      <c r="A51" s="5">
        <v>46248.635416666664</v>
      </c>
      <c r="B51" s="1" t="s">
        <v>52</v>
      </c>
      <c r="C51" s="1" t="s">
        <v>12</v>
      </c>
      <c r="D51" s="6">
        <v>25</v>
      </c>
      <c r="E51" s="6">
        <v>836</v>
      </c>
      <c r="F51" s="6">
        <v>-6.9870939029999999</v>
      </c>
      <c r="G51" s="17" t="s">
        <v>155</v>
      </c>
      <c r="H51" s="29">
        <v>898.8</v>
      </c>
      <c r="I51" s="1" t="s">
        <v>9</v>
      </c>
      <c r="J51" s="1" t="s">
        <v>125</v>
      </c>
      <c r="K51" s="17"/>
    </row>
    <row r="52" spans="1:11" ht="26.5" hidden="1" thickBot="1" x14ac:dyDescent="0.4">
      <c r="A52" s="5">
        <v>46251.688634259262</v>
      </c>
      <c r="B52" s="1" t="s">
        <v>7</v>
      </c>
      <c r="C52" s="1" t="s">
        <v>12</v>
      </c>
      <c r="D52" s="6">
        <v>2</v>
      </c>
      <c r="E52" s="6">
        <v>1664</v>
      </c>
      <c r="F52" s="6">
        <v>-6.9507353350000001</v>
      </c>
      <c r="G52" s="17" t="s">
        <v>129</v>
      </c>
      <c r="H52" s="29">
        <v>1788.3</v>
      </c>
      <c r="I52" s="1" t="s">
        <v>9</v>
      </c>
      <c r="J52" s="30" t="s">
        <v>123</v>
      </c>
      <c r="K52" s="17"/>
    </row>
    <row r="53" spans="1:11" ht="26.5" hidden="1" thickBot="1" x14ac:dyDescent="0.4">
      <c r="A53" s="5">
        <v>46248.635416666664</v>
      </c>
      <c r="B53" s="1" t="s">
        <v>44</v>
      </c>
      <c r="C53" s="1" t="s">
        <v>12</v>
      </c>
      <c r="D53" s="6">
        <v>10</v>
      </c>
      <c r="E53" s="6">
        <v>907</v>
      </c>
      <c r="F53" s="6">
        <v>-6.9457268900000004</v>
      </c>
      <c r="G53" s="17" t="s">
        <v>151</v>
      </c>
      <c r="H53" s="29">
        <v>974.7</v>
      </c>
      <c r="I53" s="1" t="s">
        <v>9</v>
      </c>
      <c r="J53" s="17"/>
      <c r="K53" s="17"/>
    </row>
    <row r="54" spans="1:11" ht="26.5" hidden="1" thickBot="1" x14ac:dyDescent="0.4">
      <c r="A54" s="5">
        <v>46334.692361111112</v>
      </c>
      <c r="B54" s="1" t="s">
        <v>37</v>
      </c>
      <c r="C54" s="1" t="s">
        <v>12</v>
      </c>
      <c r="D54" s="6">
        <v>11</v>
      </c>
      <c r="E54" s="6">
        <v>882</v>
      </c>
      <c r="F54" s="6">
        <v>-6.8441064640000002</v>
      </c>
      <c r="G54" s="17" t="s">
        <v>146</v>
      </c>
      <c r="H54" s="29">
        <v>946.8</v>
      </c>
      <c r="I54" s="1" t="s">
        <v>9</v>
      </c>
      <c r="J54" s="17"/>
      <c r="K54" s="17"/>
    </row>
    <row r="55" spans="1:11" ht="26.5" hidden="1" thickBot="1" x14ac:dyDescent="0.4">
      <c r="A55" s="5">
        <v>46251.635520833333</v>
      </c>
      <c r="B55" s="1" t="s">
        <v>56</v>
      </c>
      <c r="C55" s="1" t="s">
        <v>12</v>
      </c>
      <c r="D55" s="6">
        <v>10</v>
      </c>
      <c r="E55" s="6">
        <v>1166</v>
      </c>
      <c r="F55" s="6">
        <v>-6.7871132779999996</v>
      </c>
      <c r="G55" s="17" t="s">
        <v>158</v>
      </c>
      <c r="H55" s="29">
        <v>1250.9000000000001</v>
      </c>
      <c r="I55" s="1" t="s">
        <v>9</v>
      </c>
      <c r="J55" s="17"/>
      <c r="K55" s="17"/>
    </row>
    <row r="56" spans="1:11" ht="26.5" hidden="1" thickBot="1" x14ac:dyDescent="0.4">
      <c r="A56" s="5">
        <v>46246.635416666664</v>
      </c>
      <c r="B56" s="1" t="s">
        <v>52</v>
      </c>
      <c r="C56" s="1" t="s">
        <v>12</v>
      </c>
      <c r="D56" s="6">
        <v>5</v>
      </c>
      <c r="E56" s="6">
        <v>838</v>
      </c>
      <c r="F56" s="6">
        <v>-6.7645749889999998</v>
      </c>
      <c r="G56" s="17" t="s">
        <v>155</v>
      </c>
      <c r="H56" s="29">
        <v>898.8</v>
      </c>
      <c r="I56" s="1" t="s">
        <v>9</v>
      </c>
      <c r="J56" s="1" t="s">
        <v>123</v>
      </c>
      <c r="K56" s="17"/>
    </row>
    <row r="57" spans="1:11" ht="15" hidden="1" thickBot="1" x14ac:dyDescent="0.4">
      <c r="A57" s="5">
        <v>46251.688715277778</v>
      </c>
      <c r="B57" s="1" t="s">
        <v>18</v>
      </c>
      <c r="C57" s="1" t="s">
        <v>12</v>
      </c>
      <c r="D57" s="6">
        <v>100</v>
      </c>
      <c r="E57" s="6">
        <v>331</v>
      </c>
      <c r="F57" s="6">
        <v>-6.7474292150000004</v>
      </c>
      <c r="G57" s="17" t="s">
        <v>133</v>
      </c>
      <c r="H57" s="29">
        <v>354.95</v>
      </c>
      <c r="I57" s="1" t="s">
        <v>9</v>
      </c>
      <c r="J57" s="25" t="s">
        <v>125</v>
      </c>
      <c r="K57" s="17"/>
    </row>
    <row r="58" spans="1:11" ht="26.5" hidden="1" thickBot="1" x14ac:dyDescent="0.4">
      <c r="A58" s="5">
        <v>46248.635416666664</v>
      </c>
      <c r="B58" s="1" t="s">
        <v>87</v>
      </c>
      <c r="C58" s="1" t="s">
        <v>12</v>
      </c>
      <c r="D58" s="6">
        <v>1</v>
      </c>
      <c r="E58" s="6">
        <v>2752</v>
      </c>
      <c r="F58" s="6">
        <v>-6.5915416469999997</v>
      </c>
      <c r="G58" s="17" t="s">
        <v>181</v>
      </c>
      <c r="H58" s="29">
        <v>2946.2</v>
      </c>
      <c r="I58" s="1" t="s">
        <v>9</v>
      </c>
      <c r="J58" s="17"/>
      <c r="K58" s="17"/>
    </row>
    <row r="59" spans="1:11" ht="15" hidden="1" thickBot="1" x14ac:dyDescent="0.4">
      <c r="A59" s="10" t="s">
        <v>85</v>
      </c>
      <c r="B59" s="1" t="s">
        <v>68</v>
      </c>
      <c r="C59" s="1" t="s">
        <v>12</v>
      </c>
      <c r="D59" s="6">
        <v>3</v>
      </c>
      <c r="E59" s="6">
        <v>3810</v>
      </c>
      <c r="F59" s="6">
        <v>-6.5260058880000003</v>
      </c>
      <c r="G59" s="17" t="s">
        <v>167</v>
      </c>
      <c r="H59" s="29">
        <v>4076</v>
      </c>
      <c r="I59" s="1" t="s">
        <v>9</v>
      </c>
      <c r="J59" s="17"/>
      <c r="K59" s="17"/>
    </row>
    <row r="60" spans="1:11" ht="39" hidden="1" thickBot="1" x14ac:dyDescent="0.4">
      <c r="A60" s="5">
        <v>46241.765277777777</v>
      </c>
      <c r="B60" s="1" t="s">
        <v>88</v>
      </c>
      <c r="C60" s="1" t="s">
        <v>12</v>
      </c>
      <c r="D60" s="6">
        <v>4</v>
      </c>
      <c r="E60" s="6">
        <v>1751</v>
      </c>
      <c r="F60" s="6">
        <v>-6.4636752140000002</v>
      </c>
      <c r="G60" s="17" t="s">
        <v>182</v>
      </c>
      <c r="H60" s="29">
        <v>1872</v>
      </c>
      <c r="I60" s="1" t="s">
        <v>9</v>
      </c>
      <c r="J60" s="17"/>
      <c r="K60" s="17"/>
    </row>
    <row r="61" spans="1:11" ht="26.5" hidden="1" thickBot="1" x14ac:dyDescent="0.4">
      <c r="A61" s="5">
        <v>46247.689583333333</v>
      </c>
      <c r="B61" s="1" t="s">
        <v>19</v>
      </c>
      <c r="C61" s="1" t="s">
        <v>12</v>
      </c>
      <c r="D61" s="6">
        <v>30</v>
      </c>
      <c r="E61" s="6">
        <v>2435</v>
      </c>
      <c r="F61" s="6">
        <v>-6.400153757</v>
      </c>
      <c r="G61" s="17" t="s">
        <v>134</v>
      </c>
      <c r="H61" s="29">
        <v>2601.5</v>
      </c>
      <c r="I61" s="1" t="s">
        <v>9</v>
      </c>
      <c r="J61" s="1" t="s">
        <v>125</v>
      </c>
      <c r="K61" s="17"/>
    </row>
    <row r="62" spans="1:11" ht="26.5" hidden="1" thickBot="1" x14ac:dyDescent="0.4">
      <c r="A62" s="5">
        <v>46251.63553240741</v>
      </c>
      <c r="B62" s="1" t="s">
        <v>54</v>
      </c>
      <c r="C62" s="1" t="s">
        <v>12</v>
      </c>
      <c r="D62" s="6">
        <v>7</v>
      </c>
      <c r="E62" s="6">
        <v>2401</v>
      </c>
      <c r="F62" s="6">
        <v>-6.207273722</v>
      </c>
      <c r="G62" s="17" t="s">
        <v>157</v>
      </c>
      <c r="H62" s="29">
        <v>2559.9</v>
      </c>
      <c r="I62" s="1" t="s">
        <v>9</v>
      </c>
      <c r="J62" s="17"/>
      <c r="K62" s="17"/>
    </row>
    <row r="63" spans="1:11" ht="15" hidden="1" thickBot="1" x14ac:dyDescent="0.4">
      <c r="A63" s="10" t="s">
        <v>85</v>
      </c>
      <c r="B63" s="1" t="s">
        <v>68</v>
      </c>
      <c r="C63" s="1" t="s">
        <v>12</v>
      </c>
      <c r="D63" s="6">
        <v>2</v>
      </c>
      <c r="E63" s="6">
        <v>3830</v>
      </c>
      <c r="F63" s="6">
        <v>-6.035328754</v>
      </c>
      <c r="G63" s="17" t="s">
        <v>167</v>
      </c>
      <c r="H63" s="29">
        <v>4076</v>
      </c>
      <c r="I63" s="1" t="s">
        <v>9</v>
      </c>
      <c r="J63" s="17"/>
      <c r="K63" s="17"/>
    </row>
    <row r="64" spans="1:11" ht="26.5" hidden="1" thickBot="1" x14ac:dyDescent="0.4">
      <c r="A64" s="5">
        <v>46211.6875</v>
      </c>
      <c r="B64" s="1" t="s">
        <v>32</v>
      </c>
      <c r="C64" s="1" t="s">
        <v>12</v>
      </c>
      <c r="D64" s="6">
        <v>10</v>
      </c>
      <c r="E64" s="6">
        <v>640</v>
      </c>
      <c r="F64" s="6">
        <v>-6.0205580029999997</v>
      </c>
      <c r="G64" s="17" t="s">
        <v>142</v>
      </c>
      <c r="H64" s="29">
        <v>681</v>
      </c>
      <c r="I64" s="1" t="s">
        <v>9</v>
      </c>
      <c r="J64" s="17"/>
      <c r="K64" s="17"/>
    </row>
    <row r="65" spans="1:11" ht="26.5" hidden="1" thickBot="1" x14ac:dyDescent="0.4">
      <c r="A65" s="5">
        <v>46246.635416666664</v>
      </c>
      <c r="B65" s="1" t="s">
        <v>65</v>
      </c>
      <c r="C65" s="1" t="s">
        <v>12</v>
      </c>
      <c r="D65" s="6">
        <v>69</v>
      </c>
      <c r="E65" s="6">
        <v>1277</v>
      </c>
      <c r="F65" s="6">
        <v>-5.9646539030000003</v>
      </c>
      <c r="G65" s="17" t="s">
        <v>165</v>
      </c>
      <c r="H65" s="29">
        <v>1358</v>
      </c>
      <c r="I65" s="1" t="s">
        <v>9</v>
      </c>
      <c r="J65" s="17"/>
      <c r="K65" s="17"/>
    </row>
    <row r="66" spans="1:11" ht="26.5" hidden="1" thickBot="1" x14ac:dyDescent="0.4">
      <c r="A66" s="5">
        <v>46251.635520833333</v>
      </c>
      <c r="B66" s="1" t="s">
        <v>44</v>
      </c>
      <c r="C66" s="1" t="s">
        <v>12</v>
      </c>
      <c r="D66" s="6">
        <v>20</v>
      </c>
      <c r="E66" s="6">
        <v>917</v>
      </c>
      <c r="F66" s="6">
        <v>-5.919770186</v>
      </c>
      <c r="G66" s="17" t="s">
        <v>151</v>
      </c>
      <c r="H66" s="29">
        <v>974.7</v>
      </c>
      <c r="I66" s="1" t="s">
        <v>9</v>
      </c>
      <c r="J66" s="17"/>
      <c r="K66" s="17"/>
    </row>
    <row r="67" spans="1:11" ht="26.5" hidden="1" thickBot="1" x14ac:dyDescent="0.4">
      <c r="A67" s="5">
        <v>46364.689583333333</v>
      </c>
      <c r="B67" s="1" t="s">
        <v>33</v>
      </c>
      <c r="C67" s="1" t="s">
        <v>12</v>
      </c>
      <c r="D67" s="6">
        <v>50</v>
      </c>
      <c r="E67" s="6">
        <v>119</v>
      </c>
      <c r="F67" s="6">
        <v>-5.9139784950000003</v>
      </c>
      <c r="G67" s="17" t="s">
        <v>143</v>
      </c>
      <c r="H67" s="29">
        <v>126.48</v>
      </c>
      <c r="I67" s="1" t="s">
        <v>9</v>
      </c>
      <c r="J67" s="17"/>
      <c r="K67" s="17"/>
    </row>
    <row r="68" spans="1:11" ht="26.5" hidden="1" thickBot="1" x14ac:dyDescent="0.4">
      <c r="A68" s="5">
        <v>46251.63553240741</v>
      </c>
      <c r="B68" s="1" t="s">
        <v>66</v>
      </c>
      <c r="C68" s="1" t="s">
        <v>12</v>
      </c>
      <c r="D68" s="6">
        <v>5</v>
      </c>
      <c r="E68" s="6">
        <v>1132</v>
      </c>
      <c r="F68" s="6">
        <v>-5.8784401759999998</v>
      </c>
      <c r="G68" s="17" t="s">
        <v>166</v>
      </c>
      <c r="H68" s="29">
        <v>1202.7</v>
      </c>
      <c r="I68" s="1" t="s">
        <v>9</v>
      </c>
      <c r="J68" s="17"/>
      <c r="K68" s="17"/>
    </row>
    <row r="69" spans="1:11" ht="26.5" hidden="1" thickBot="1" x14ac:dyDescent="0.4">
      <c r="A69" s="5">
        <v>46251.688726851855</v>
      </c>
      <c r="B69" s="1" t="s">
        <v>26</v>
      </c>
      <c r="C69" s="1" t="s">
        <v>12</v>
      </c>
      <c r="D69" s="6">
        <v>45</v>
      </c>
      <c r="E69" s="6">
        <v>136.15</v>
      </c>
      <c r="F69" s="6">
        <v>-5.8762530249999996</v>
      </c>
      <c r="G69" s="17" t="s">
        <v>138</v>
      </c>
      <c r="H69" s="29">
        <v>144.65</v>
      </c>
      <c r="I69" s="1" t="s">
        <v>9</v>
      </c>
      <c r="J69" s="17"/>
      <c r="K69" s="17"/>
    </row>
    <row r="70" spans="1:11" ht="26.5" hidden="1" thickBot="1" x14ac:dyDescent="0.4">
      <c r="A70" s="5">
        <v>46248.635416666664</v>
      </c>
      <c r="B70" s="1" t="s">
        <v>69</v>
      </c>
      <c r="C70" s="1" t="s">
        <v>12</v>
      </c>
      <c r="D70" s="6">
        <v>4</v>
      </c>
      <c r="E70" s="6">
        <v>4110</v>
      </c>
      <c r="F70" s="6">
        <v>-5.8634906090000003</v>
      </c>
      <c r="G70" s="17" t="s">
        <v>168</v>
      </c>
      <c r="H70" s="29">
        <v>4366</v>
      </c>
      <c r="I70" s="1" t="s">
        <v>9</v>
      </c>
      <c r="J70" s="17"/>
      <c r="K70" s="17"/>
    </row>
    <row r="71" spans="1:11" ht="26.5" hidden="1" thickBot="1" x14ac:dyDescent="0.4">
      <c r="A71" s="5">
        <v>46247.635416666664</v>
      </c>
      <c r="B71" s="1" t="s">
        <v>64</v>
      </c>
      <c r="C71" s="1" t="s">
        <v>12</v>
      </c>
      <c r="D71" s="6">
        <v>15</v>
      </c>
      <c r="E71" s="6">
        <v>1005</v>
      </c>
      <c r="F71" s="6">
        <v>-5.6338028170000003</v>
      </c>
      <c r="G71" s="17" t="s">
        <v>164</v>
      </c>
      <c r="H71" s="29">
        <v>1065</v>
      </c>
      <c r="I71" s="1" t="s">
        <v>9</v>
      </c>
      <c r="J71" s="17"/>
      <c r="K71" s="17"/>
    </row>
    <row r="72" spans="1:11" ht="15" hidden="1" thickBot="1" x14ac:dyDescent="0.4">
      <c r="A72" s="5">
        <v>46251.688715277778</v>
      </c>
      <c r="B72" s="1" t="s">
        <v>18</v>
      </c>
      <c r="C72" s="1" t="s">
        <v>12</v>
      </c>
      <c r="D72" s="6">
        <v>100</v>
      </c>
      <c r="E72" s="6">
        <v>335</v>
      </c>
      <c r="F72" s="6">
        <v>-5.620509931</v>
      </c>
      <c r="G72" s="17" t="s">
        <v>133</v>
      </c>
      <c r="H72" s="29">
        <v>354.95</v>
      </c>
      <c r="I72" s="1" t="s">
        <v>9</v>
      </c>
      <c r="J72" s="25" t="s">
        <v>125</v>
      </c>
      <c r="K72" s="17"/>
    </row>
    <row r="73" spans="1:11" ht="15" hidden="1" thickBot="1" x14ac:dyDescent="0.4">
      <c r="A73" s="5">
        <v>46251.63553240741</v>
      </c>
      <c r="B73" s="1" t="s">
        <v>51</v>
      </c>
      <c r="C73" s="1" t="s">
        <v>12</v>
      </c>
      <c r="D73" s="6">
        <v>10</v>
      </c>
      <c r="E73" s="6">
        <v>1303</v>
      </c>
      <c r="F73" s="6">
        <v>-5.579710145</v>
      </c>
      <c r="G73" s="17" t="s">
        <v>154</v>
      </c>
      <c r="H73" s="29">
        <v>1380</v>
      </c>
      <c r="I73" s="1" t="s">
        <v>9</v>
      </c>
      <c r="J73" s="1" t="s">
        <v>125</v>
      </c>
      <c r="K73" s="17"/>
    </row>
    <row r="74" spans="1:11" ht="26.5" hidden="1" thickBot="1" x14ac:dyDescent="0.4">
      <c r="A74" s="5">
        <v>46247.689583333333</v>
      </c>
      <c r="B74" s="1" t="s">
        <v>19</v>
      </c>
      <c r="C74" s="1" t="s">
        <v>12</v>
      </c>
      <c r="D74" s="6">
        <v>30</v>
      </c>
      <c r="E74" s="6">
        <v>2460</v>
      </c>
      <c r="F74" s="6">
        <v>-5.4391697099999998</v>
      </c>
      <c r="G74" s="17" t="s">
        <v>134</v>
      </c>
      <c r="H74" s="29">
        <v>2601.5</v>
      </c>
      <c r="I74" s="1" t="s">
        <v>9</v>
      </c>
      <c r="J74" s="1" t="s">
        <v>125</v>
      </c>
      <c r="K74" s="17"/>
    </row>
    <row r="75" spans="1:11" ht="26.5" hidden="1" thickBot="1" x14ac:dyDescent="0.4">
      <c r="A75" s="5">
        <v>46251.635567129626</v>
      </c>
      <c r="B75" s="1" t="s">
        <v>52</v>
      </c>
      <c r="C75" s="1" t="s">
        <v>12</v>
      </c>
      <c r="D75" s="6">
        <v>50</v>
      </c>
      <c r="E75" s="6">
        <v>850</v>
      </c>
      <c r="F75" s="6">
        <v>-5.4294615039999998</v>
      </c>
      <c r="G75" s="17" t="s">
        <v>155</v>
      </c>
      <c r="H75" s="29">
        <v>898.8</v>
      </c>
      <c r="I75" s="1" t="s">
        <v>9</v>
      </c>
      <c r="J75" s="1" t="s">
        <v>125</v>
      </c>
      <c r="K75" s="17"/>
    </row>
    <row r="76" spans="1:11" ht="15" hidden="1" thickBot="1" x14ac:dyDescent="0.4">
      <c r="A76" s="5">
        <v>46251.63554398148</v>
      </c>
      <c r="B76" s="1" t="s">
        <v>58</v>
      </c>
      <c r="C76" s="1" t="s">
        <v>12</v>
      </c>
      <c r="D76" s="6">
        <v>100</v>
      </c>
      <c r="E76" s="6">
        <v>390</v>
      </c>
      <c r="F76" s="6">
        <v>-5.4086829979999997</v>
      </c>
      <c r="G76" s="17" t="s">
        <v>159</v>
      </c>
      <c r="H76" s="29">
        <v>412.3</v>
      </c>
      <c r="I76" s="1" t="s">
        <v>9</v>
      </c>
      <c r="J76" s="17"/>
      <c r="K76" s="17"/>
    </row>
    <row r="77" spans="1:11" ht="15" hidden="1" thickBot="1" x14ac:dyDescent="0.4">
      <c r="A77" s="10" t="s">
        <v>85</v>
      </c>
      <c r="B77" s="1" t="s">
        <v>68</v>
      </c>
      <c r="C77" s="1" t="s">
        <v>12</v>
      </c>
      <c r="D77" s="6">
        <v>2</v>
      </c>
      <c r="E77" s="6">
        <v>3856</v>
      </c>
      <c r="F77" s="6">
        <v>-5.3974484790000004</v>
      </c>
      <c r="G77" s="17" t="s">
        <v>167</v>
      </c>
      <c r="H77" s="29">
        <v>4076</v>
      </c>
      <c r="I77" s="1" t="s">
        <v>9</v>
      </c>
      <c r="J77" s="17"/>
      <c r="K77" s="17"/>
    </row>
    <row r="78" spans="1:11" ht="39" hidden="1" thickBot="1" x14ac:dyDescent="0.4">
      <c r="A78" s="5">
        <v>46248.768750000003</v>
      </c>
      <c r="B78" s="1" t="s">
        <v>23</v>
      </c>
      <c r="C78" s="1" t="s">
        <v>12</v>
      </c>
      <c r="D78" s="6">
        <v>50</v>
      </c>
      <c r="E78" s="6">
        <v>212</v>
      </c>
      <c r="F78" s="6">
        <v>-5.2513966480000001</v>
      </c>
      <c r="G78" s="17" t="s">
        <v>137</v>
      </c>
      <c r="H78" s="29">
        <v>223.75</v>
      </c>
      <c r="I78" s="1" t="s">
        <v>9</v>
      </c>
      <c r="J78" s="1" t="s">
        <v>123</v>
      </c>
      <c r="K78" s="17"/>
    </row>
    <row r="79" spans="1:11" ht="15" hidden="1" thickBot="1" x14ac:dyDescent="0.4">
      <c r="A79" s="5">
        <v>46251.688715277778</v>
      </c>
      <c r="B79" s="1" t="s">
        <v>18</v>
      </c>
      <c r="C79" s="1" t="s">
        <v>12</v>
      </c>
      <c r="D79" s="6">
        <v>100</v>
      </c>
      <c r="E79" s="6">
        <v>337</v>
      </c>
      <c r="F79" s="6">
        <v>-5.0570502890000002</v>
      </c>
      <c r="G79" s="17" t="s">
        <v>133</v>
      </c>
      <c r="H79" s="29">
        <v>354.95</v>
      </c>
      <c r="I79" s="1" t="s">
        <v>9</v>
      </c>
      <c r="J79" s="25" t="s">
        <v>125</v>
      </c>
      <c r="K79" s="17"/>
    </row>
    <row r="80" spans="1:11" ht="26.5" hidden="1" thickBot="1" x14ac:dyDescent="0.4">
      <c r="A80" s="5">
        <v>46364.689583333333</v>
      </c>
      <c r="B80" s="1" t="s">
        <v>19</v>
      </c>
      <c r="C80" s="1" t="s">
        <v>12</v>
      </c>
      <c r="D80" s="6">
        <v>5</v>
      </c>
      <c r="E80" s="6">
        <v>2470</v>
      </c>
      <c r="F80" s="6">
        <v>-5.0547760909999999</v>
      </c>
      <c r="G80" s="17" t="s">
        <v>134</v>
      </c>
      <c r="H80" s="29">
        <v>2601.5</v>
      </c>
      <c r="I80" s="1" t="s">
        <v>9</v>
      </c>
      <c r="J80" s="1" t="s">
        <v>123</v>
      </c>
      <c r="K80" s="17"/>
    </row>
    <row r="81" spans="1:11" ht="26.5" hidden="1" thickBot="1" x14ac:dyDescent="0.4">
      <c r="A81" s="5">
        <v>46251.63554398148</v>
      </c>
      <c r="B81" s="1" t="s">
        <v>66</v>
      </c>
      <c r="C81" s="1" t="s">
        <v>12</v>
      </c>
      <c r="D81" s="6">
        <v>5</v>
      </c>
      <c r="E81" s="6">
        <v>1142</v>
      </c>
      <c r="F81" s="6">
        <v>-5.0469776340000001</v>
      </c>
      <c r="G81" s="17" t="s">
        <v>166</v>
      </c>
      <c r="H81" s="29">
        <v>1202.7</v>
      </c>
      <c r="I81" s="1" t="s">
        <v>9</v>
      </c>
      <c r="J81" s="17"/>
      <c r="K81" s="17"/>
    </row>
    <row r="82" spans="1:11" ht="26.5" hidden="1" thickBot="1" x14ac:dyDescent="0.4">
      <c r="A82" s="5">
        <v>46251.635520833333</v>
      </c>
      <c r="B82" s="1" t="s">
        <v>56</v>
      </c>
      <c r="C82" s="1" t="s">
        <v>12</v>
      </c>
      <c r="D82" s="6">
        <v>5</v>
      </c>
      <c r="E82" s="6">
        <v>1188</v>
      </c>
      <c r="F82" s="6">
        <v>-5.028379567</v>
      </c>
      <c r="G82" s="17" t="s">
        <v>158</v>
      </c>
      <c r="H82" s="29">
        <v>1250.9000000000001</v>
      </c>
      <c r="I82" s="1" t="s">
        <v>9</v>
      </c>
      <c r="J82" s="17"/>
      <c r="K82" s="17"/>
    </row>
    <row r="83" spans="1:11" ht="26.5" hidden="1" thickBot="1" x14ac:dyDescent="0.4">
      <c r="A83" s="5">
        <v>46251.688645833332</v>
      </c>
      <c r="B83" s="1" t="s">
        <v>30</v>
      </c>
      <c r="C83" s="1" t="s">
        <v>12</v>
      </c>
      <c r="D83" s="6">
        <v>60</v>
      </c>
      <c r="E83" s="6">
        <v>271</v>
      </c>
      <c r="F83" s="6">
        <v>-4.9122807020000003</v>
      </c>
      <c r="G83" s="17" t="s">
        <v>141</v>
      </c>
      <c r="H83" s="29">
        <v>285</v>
      </c>
      <c r="I83" s="1" t="s">
        <v>9</v>
      </c>
      <c r="J83" s="17"/>
      <c r="K83" s="17"/>
    </row>
    <row r="84" spans="1:11" ht="26.5" hidden="1" thickBot="1" x14ac:dyDescent="0.4">
      <c r="A84" s="5">
        <v>46251.635509259257</v>
      </c>
      <c r="B84" s="1" t="s">
        <v>44</v>
      </c>
      <c r="C84" s="1" t="s">
        <v>12</v>
      </c>
      <c r="D84" s="6">
        <v>10</v>
      </c>
      <c r="E84" s="6">
        <v>927</v>
      </c>
      <c r="F84" s="6">
        <v>-4.8938134809999996</v>
      </c>
      <c r="G84" s="17" t="s">
        <v>151</v>
      </c>
      <c r="H84" s="29">
        <v>974.7</v>
      </c>
      <c r="I84" s="1" t="s">
        <v>9</v>
      </c>
      <c r="J84" s="17"/>
      <c r="K84" s="17"/>
    </row>
    <row r="85" spans="1:11" ht="26.5" hidden="1" thickBot="1" x14ac:dyDescent="0.4">
      <c r="A85" s="5">
        <v>46248.768750000003</v>
      </c>
      <c r="B85" s="1" t="s">
        <v>35</v>
      </c>
      <c r="C85" s="1" t="s">
        <v>12</v>
      </c>
      <c r="D85" s="6">
        <v>50</v>
      </c>
      <c r="E85" s="6">
        <v>201</v>
      </c>
      <c r="F85" s="6">
        <v>-4.8790875959999997</v>
      </c>
      <c r="G85" s="17" t="s">
        <v>144</v>
      </c>
      <c r="H85" s="29">
        <v>211.31</v>
      </c>
      <c r="I85" s="1" t="s">
        <v>9</v>
      </c>
      <c r="J85" s="17"/>
      <c r="K85" s="17"/>
    </row>
    <row r="86" spans="1:11" ht="26.5" hidden="1" thickBot="1" x14ac:dyDescent="0.4">
      <c r="A86" s="5">
        <v>46251.688576388886</v>
      </c>
      <c r="B86" s="1" t="s">
        <v>28</v>
      </c>
      <c r="C86" s="1" t="s">
        <v>12</v>
      </c>
      <c r="D86" s="6">
        <v>5</v>
      </c>
      <c r="E86" s="6">
        <v>452</v>
      </c>
      <c r="F86" s="6">
        <v>-4.8421052629999997</v>
      </c>
      <c r="G86" s="17" t="s">
        <v>140</v>
      </c>
      <c r="H86" s="29">
        <v>475</v>
      </c>
      <c r="I86" s="1" t="s">
        <v>9</v>
      </c>
      <c r="J86" s="17"/>
      <c r="K86" s="17"/>
    </row>
    <row r="87" spans="1:11" ht="26.5" hidden="1" thickBot="1" x14ac:dyDescent="0.4">
      <c r="A87" s="5">
        <v>46251.63553240741</v>
      </c>
      <c r="B87" s="1" t="s">
        <v>60</v>
      </c>
      <c r="C87" s="1" t="s">
        <v>12</v>
      </c>
      <c r="D87" s="6">
        <v>1</v>
      </c>
      <c r="E87" s="6">
        <v>19052</v>
      </c>
      <c r="F87" s="6">
        <v>-4.6923461729999998</v>
      </c>
      <c r="G87" s="17" t="s">
        <v>160</v>
      </c>
      <c r="H87" s="29">
        <v>19990</v>
      </c>
      <c r="I87" s="1" t="s">
        <v>9</v>
      </c>
      <c r="J87" s="17"/>
      <c r="K87" s="17"/>
    </row>
    <row r="88" spans="1:11" ht="26.5" hidden="1" thickBot="1" x14ac:dyDescent="0.4">
      <c r="A88" s="5">
        <v>46251.688657407409</v>
      </c>
      <c r="B88" s="1" t="s">
        <v>21</v>
      </c>
      <c r="C88" s="1" t="s">
        <v>12</v>
      </c>
      <c r="D88" s="6">
        <v>25</v>
      </c>
      <c r="E88" s="6">
        <v>326</v>
      </c>
      <c r="F88" s="6">
        <v>-4.6783625730000002</v>
      </c>
      <c r="G88" s="17" t="s">
        <v>135</v>
      </c>
      <c r="H88" s="29">
        <v>342</v>
      </c>
      <c r="I88" s="1" t="s">
        <v>9</v>
      </c>
      <c r="J88" s="1" t="s">
        <v>123</v>
      </c>
      <c r="K88" s="17"/>
    </row>
    <row r="89" spans="1:11" ht="15" hidden="1" thickBot="1" x14ac:dyDescent="0.4">
      <c r="A89" s="5">
        <v>46245.635416666664</v>
      </c>
      <c r="B89" s="1" t="s">
        <v>68</v>
      </c>
      <c r="C89" s="1" t="s">
        <v>12</v>
      </c>
      <c r="D89" s="6">
        <v>5</v>
      </c>
      <c r="E89" s="6">
        <v>3888</v>
      </c>
      <c r="F89" s="6">
        <v>-4.6123650639999996</v>
      </c>
      <c r="G89" s="17" t="s">
        <v>167</v>
      </c>
      <c r="H89" s="29">
        <v>4076</v>
      </c>
      <c r="I89" s="1" t="s">
        <v>9</v>
      </c>
      <c r="J89" s="17"/>
      <c r="K89" s="17"/>
    </row>
    <row r="90" spans="1:11" ht="39" hidden="1" thickBot="1" x14ac:dyDescent="0.4">
      <c r="A90" s="7">
        <v>46248.768750000003</v>
      </c>
      <c r="B90" s="8" t="s">
        <v>23</v>
      </c>
      <c r="C90" s="8" t="s">
        <v>12</v>
      </c>
      <c r="D90" s="9">
        <v>150</v>
      </c>
      <c r="E90" s="9">
        <v>214</v>
      </c>
      <c r="F90" s="6">
        <v>-4.3575418990000001</v>
      </c>
      <c r="G90" s="17" t="s">
        <v>137</v>
      </c>
      <c r="H90" s="29">
        <v>223.75</v>
      </c>
      <c r="I90" s="1" t="s">
        <v>9</v>
      </c>
      <c r="J90" s="1" t="s">
        <v>125</v>
      </c>
      <c r="K90" s="17"/>
    </row>
    <row r="91" spans="1:11" ht="26.5" hidden="1" thickBot="1" x14ac:dyDescent="0.4">
      <c r="A91" s="5">
        <v>46247.689583333333</v>
      </c>
      <c r="B91" s="1" t="s">
        <v>19</v>
      </c>
      <c r="C91" s="1" t="s">
        <v>12</v>
      </c>
      <c r="D91" s="6">
        <v>5</v>
      </c>
      <c r="E91" s="6">
        <v>2490</v>
      </c>
      <c r="F91" s="6">
        <v>-4.2859888530000001</v>
      </c>
      <c r="G91" s="17" t="s">
        <v>134</v>
      </c>
      <c r="H91" s="29">
        <v>2601.5</v>
      </c>
      <c r="I91" s="1" t="s">
        <v>9</v>
      </c>
      <c r="J91" s="1" t="s">
        <v>123</v>
      </c>
      <c r="K91" s="17"/>
    </row>
    <row r="92" spans="1:11" ht="26.5" hidden="1" thickBot="1" x14ac:dyDescent="0.4">
      <c r="A92" s="5">
        <v>46251.63554398148</v>
      </c>
      <c r="B92" s="1" t="s">
        <v>66</v>
      </c>
      <c r="C92" s="1" t="s">
        <v>12</v>
      </c>
      <c r="D92" s="6">
        <v>5</v>
      </c>
      <c r="E92" s="6">
        <v>1152</v>
      </c>
      <c r="F92" s="6">
        <v>-4.2155150910000003</v>
      </c>
      <c r="G92" s="17" t="s">
        <v>166</v>
      </c>
      <c r="H92" s="29">
        <v>1202.7</v>
      </c>
      <c r="I92" s="1" t="s">
        <v>9</v>
      </c>
      <c r="J92" s="17"/>
      <c r="K92" s="17"/>
    </row>
    <row r="93" spans="1:11" ht="26.5" hidden="1" thickBot="1" x14ac:dyDescent="0.4">
      <c r="A93" s="5">
        <v>46251.635567129626</v>
      </c>
      <c r="B93" s="1" t="s">
        <v>52</v>
      </c>
      <c r="C93" s="1" t="s">
        <v>12</v>
      </c>
      <c r="D93" s="6">
        <v>20</v>
      </c>
      <c r="E93" s="6">
        <v>861</v>
      </c>
      <c r="F93" s="6">
        <v>-4.205607477</v>
      </c>
      <c r="G93" s="17" t="s">
        <v>155</v>
      </c>
      <c r="H93" s="29">
        <v>898.8</v>
      </c>
      <c r="I93" s="1" t="s">
        <v>9</v>
      </c>
      <c r="J93" s="1" t="s">
        <v>125</v>
      </c>
      <c r="K93" s="17"/>
    </row>
    <row r="94" spans="1:11" ht="26.5" hidden="1" thickBot="1" x14ac:dyDescent="0.4">
      <c r="A94" s="5">
        <v>46251.635555555556</v>
      </c>
      <c r="B94" s="1" t="s">
        <v>65</v>
      </c>
      <c r="C94" s="1" t="s">
        <v>12</v>
      </c>
      <c r="D94" s="6">
        <v>3</v>
      </c>
      <c r="E94" s="6">
        <v>1302</v>
      </c>
      <c r="F94" s="6">
        <v>-4.1237113399999998</v>
      </c>
      <c r="G94" s="17" t="s">
        <v>165</v>
      </c>
      <c r="H94" s="29">
        <v>1358</v>
      </c>
      <c r="I94" s="1" t="s">
        <v>9</v>
      </c>
      <c r="J94" s="17"/>
      <c r="K94" s="17"/>
    </row>
    <row r="95" spans="1:11" ht="15" hidden="1" thickBot="1" x14ac:dyDescent="0.4">
      <c r="A95" s="5">
        <v>46251.635555555556</v>
      </c>
      <c r="B95" s="1" t="s">
        <v>47</v>
      </c>
      <c r="C95" s="1" t="s">
        <v>12</v>
      </c>
      <c r="D95" s="6">
        <v>2</v>
      </c>
      <c r="E95" s="6">
        <v>3210</v>
      </c>
      <c r="F95" s="6">
        <v>-4.1046782579999999</v>
      </c>
      <c r="G95" s="17" t="s">
        <v>152</v>
      </c>
      <c r="H95" s="29">
        <v>3347.4</v>
      </c>
      <c r="I95" s="1" t="s">
        <v>9</v>
      </c>
      <c r="J95" s="1" t="s">
        <v>123</v>
      </c>
      <c r="K95" s="17"/>
    </row>
    <row r="96" spans="1:11" ht="26.5" hidden="1" thickBot="1" x14ac:dyDescent="0.4">
      <c r="A96" s="5">
        <v>46251.688657407409</v>
      </c>
      <c r="B96" s="1" t="s">
        <v>11</v>
      </c>
      <c r="C96" s="1" t="s">
        <v>12</v>
      </c>
      <c r="D96" s="6">
        <v>1</v>
      </c>
      <c r="E96" s="6">
        <v>5010</v>
      </c>
      <c r="F96" s="6">
        <v>-4.0045985819999999</v>
      </c>
      <c r="G96" s="17" t="s">
        <v>130</v>
      </c>
      <c r="H96" s="29">
        <v>5219</v>
      </c>
      <c r="I96" s="1" t="s">
        <v>9</v>
      </c>
      <c r="J96" s="17"/>
      <c r="K96" s="17"/>
    </row>
    <row r="97" spans="1:11" ht="15" hidden="1" thickBot="1" x14ac:dyDescent="0.4">
      <c r="A97" s="5">
        <v>46251.688703703701</v>
      </c>
      <c r="B97" s="1" t="s">
        <v>18</v>
      </c>
      <c r="C97" s="1" t="s">
        <v>12</v>
      </c>
      <c r="D97" s="6">
        <v>100</v>
      </c>
      <c r="E97" s="6">
        <v>341</v>
      </c>
      <c r="F97" s="6">
        <v>-3.9301310040000002</v>
      </c>
      <c r="G97" s="17" t="s">
        <v>133</v>
      </c>
      <c r="H97" s="29">
        <v>354.95</v>
      </c>
      <c r="I97" s="1" t="s">
        <v>9</v>
      </c>
      <c r="J97" s="25" t="s">
        <v>125</v>
      </c>
      <c r="K97" s="17"/>
    </row>
    <row r="98" spans="1:11" ht="26.5" hidden="1" thickBot="1" x14ac:dyDescent="0.4">
      <c r="A98" s="5">
        <v>46251.63553240741</v>
      </c>
      <c r="B98" s="1" t="s">
        <v>63</v>
      </c>
      <c r="C98" s="1" t="s">
        <v>12</v>
      </c>
      <c r="D98" s="6">
        <v>7</v>
      </c>
      <c r="E98" s="6">
        <v>2230</v>
      </c>
      <c r="F98" s="6">
        <v>-3.8793103449999999</v>
      </c>
      <c r="G98" s="17" t="s">
        <v>163</v>
      </c>
      <c r="H98" s="29">
        <v>2320</v>
      </c>
      <c r="I98" s="1" t="s">
        <v>9</v>
      </c>
      <c r="J98" s="17"/>
      <c r="K98" s="17"/>
    </row>
    <row r="99" spans="1:11" ht="26.5" hidden="1" thickBot="1" x14ac:dyDescent="0.4">
      <c r="A99" s="5">
        <v>46251.635509259257</v>
      </c>
      <c r="B99" s="1" t="s">
        <v>44</v>
      </c>
      <c r="C99" s="1" t="s">
        <v>12</v>
      </c>
      <c r="D99" s="6">
        <v>10</v>
      </c>
      <c r="E99" s="6">
        <v>937</v>
      </c>
      <c r="F99" s="6">
        <v>-3.867856776</v>
      </c>
      <c r="G99" s="17" t="s">
        <v>151</v>
      </c>
      <c r="H99" s="29">
        <v>974.7</v>
      </c>
      <c r="I99" s="1" t="s">
        <v>9</v>
      </c>
      <c r="J99" s="17"/>
      <c r="K99" s="17"/>
    </row>
    <row r="100" spans="1:11" ht="26.5" hidden="1" thickBot="1" x14ac:dyDescent="0.4">
      <c r="A100" s="5">
        <v>46251.688692129632</v>
      </c>
      <c r="B100" s="1" t="s">
        <v>35</v>
      </c>
      <c r="C100" s="1" t="s">
        <v>12</v>
      </c>
      <c r="D100" s="6">
        <v>50</v>
      </c>
      <c r="E100" s="6">
        <v>203.5</v>
      </c>
      <c r="F100" s="6">
        <v>-3.6959916709999998</v>
      </c>
      <c r="G100" s="17" t="s">
        <v>144</v>
      </c>
      <c r="H100" s="29">
        <v>211.31</v>
      </c>
      <c r="I100" s="1" t="s">
        <v>9</v>
      </c>
      <c r="J100" s="17"/>
      <c r="K100" s="17"/>
    </row>
    <row r="101" spans="1:11" ht="26.5" hidden="1" thickBot="1" x14ac:dyDescent="0.4">
      <c r="A101" s="5">
        <v>46364.635416666664</v>
      </c>
      <c r="B101" s="1" t="s">
        <v>71</v>
      </c>
      <c r="C101" s="1" t="s">
        <v>12</v>
      </c>
      <c r="D101" s="6">
        <v>10</v>
      </c>
      <c r="E101" s="6">
        <v>220.1</v>
      </c>
      <c r="F101" s="6">
        <v>-3.6761487960000001</v>
      </c>
      <c r="G101" s="17" t="s">
        <v>170</v>
      </c>
      <c r="H101" s="29">
        <v>228.5</v>
      </c>
      <c r="I101" s="1" t="s">
        <v>9</v>
      </c>
      <c r="J101" s="17"/>
      <c r="K101" s="17"/>
    </row>
    <row r="102" spans="1:11" ht="26.5" hidden="1" thickBot="1" x14ac:dyDescent="0.4">
      <c r="A102" s="5">
        <v>46251.63554398148</v>
      </c>
      <c r="B102" s="1" t="s">
        <v>69</v>
      </c>
      <c r="C102" s="1" t="s">
        <v>12</v>
      </c>
      <c r="D102" s="6">
        <v>2</v>
      </c>
      <c r="E102" s="6">
        <v>4206</v>
      </c>
      <c r="F102" s="6">
        <v>-3.6646816310000001</v>
      </c>
      <c r="G102" s="17" t="s">
        <v>168</v>
      </c>
      <c r="H102" s="29">
        <v>4366</v>
      </c>
      <c r="I102" s="1" t="s">
        <v>9</v>
      </c>
      <c r="J102" s="17"/>
      <c r="K102" s="17"/>
    </row>
    <row r="103" spans="1:11" ht="26.5" hidden="1" thickBot="1" x14ac:dyDescent="0.4">
      <c r="A103" s="5">
        <v>46251.635520833333</v>
      </c>
      <c r="B103" s="1" t="s">
        <v>62</v>
      </c>
      <c r="C103" s="1" t="s">
        <v>12</v>
      </c>
      <c r="D103" s="6">
        <v>1</v>
      </c>
      <c r="E103" s="6">
        <v>13552</v>
      </c>
      <c r="F103" s="6">
        <v>-3.5856573709999999</v>
      </c>
      <c r="G103" s="17" t="s">
        <v>162</v>
      </c>
      <c r="H103" s="29">
        <v>14056</v>
      </c>
      <c r="I103" s="1" t="s">
        <v>9</v>
      </c>
      <c r="J103" s="17"/>
      <c r="K103" s="17"/>
    </row>
    <row r="104" spans="1:11" ht="26.5" hidden="1" thickBot="1" x14ac:dyDescent="0.4">
      <c r="A104" s="5">
        <v>46251.688657407409</v>
      </c>
      <c r="B104" s="1" t="s">
        <v>33</v>
      </c>
      <c r="C104" s="1" t="s">
        <v>12</v>
      </c>
      <c r="D104" s="6">
        <v>50</v>
      </c>
      <c r="E104" s="6">
        <v>122</v>
      </c>
      <c r="F104" s="6">
        <v>-3.5420619860000002</v>
      </c>
      <c r="G104" s="17" t="s">
        <v>143</v>
      </c>
      <c r="H104" s="29">
        <v>126.48</v>
      </c>
      <c r="I104" s="1" t="s">
        <v>9</v>
      </c>
      <c r="J104" s="17"/>
      <c r="K104" s="17"/>
    </row>
    <row r="105" spans="1:11" ht="26.5" hidden="1" thickBot="1" x14ac:dyDescent="0.4">
      <c r="A105" s="5">
        <v>46251.688611111109</v>
      </c>
      <c r="B105" s="1" t="s">
        <v>19</v>
      </c>
      <c r="C105" s="1" t="s">
        <v>12</v>
      </c>
      <c r="D105" s="6">
        <v>5</v>
      </c>
      <c r="E105" s="6">
        <v>2510</v>
      </c>
      <c r="F105" s="6">
        <v>-3.5172016140000002</v>
      </c>
      <c r="G105" s="17" t="s">
        <v>134</v>
      </c>
      <c r="H105" s="29">
        <v>2601.5</v>
      </c>
      <c r="I105" s="1" t="s">
        <v>9</v>
      </c>
      <c r="J105" s="1" t="s">
        <v>123</v>
      </c>
      <c r="K105" s="17"/>
    </row>
    <row r="106" spans="1:11" ht="15" hidden="1" thickBot="1" x14ac:dyDescent="0.4">
      <c r="A106" s="5">
        <v>46251.688576388886</v>
      </c>
      <c r="B106" s="1" t="s">
        <v>27</v>
      </c>
      <c r="C106" s="1" t="s">
        <v>12</v>
      </c>
      <c r="D106" s="6">
        <v>37</v>
      </c>
      <c r="E106" s="6">
        <v>277</v>
      </c>
      <c r="F106" s="6">
        <v>-3.4843205570000002</v>
      </c>
      <c r="G106" s="17" t="s">
        <v>139</v>
      </c>
      <c r="H106" s="29">
        <v>287</v>
      </c>
      <c r="I106" s="1" t="s">
        <v>9</v>
      </c>
      <c r="J106" s="1" t="s">
        <v>125</v>
      </c>
      <c r="K106" s="17"/>
    </row>
    <row r="107" spans="1:11" ht="15" hidden="1" thickBot="1" x14ac:dyDescent="0.4">
      <c r="A107" s="5">
        <v>46247.645138888889</v>
      </c>
      <c r="B107" s="1" t="s">
        <v>68</v>
      </c>
      <c r="C107" s="1" t="s">
        <v>12</v>
      </c>
      <c r="D107" s="6">
        <v>5</v>
      </c>
      <c r="E107" s="6">
        <v>3938</v>
      </c>
      <c r="F107" s="6">
        <v>-3.3856722279999998</v>
      </c>
      <c r="G107" s="17" t="s">
        <v>167</v>
      </c>
      <c r="H107" s="29">
        <v>4076</v>
      </c>
      <c r="I107" s="1" t="s">
        <v>9</v>
      </c>
      <c r="J107" s="17"/>
      <c r="K107" s="17"/>
    </row>
    <row r="108" spans="1:11" ht="26.5" hidden="1" thickBot="1" x14ac:dyDescent="0.4">
      <c r="A108" s="7">
        <v>46248.768750000003</v>
      </c>
      <c r="B108" s="8" t="s">
        <v>84</v>
      </c>
      <c r="C108" s="8" t="s">
        <v>12</v>
      </c>
      <c r="D108" s="9">
        <v>500</v>
      </c>
      <c r="E108" s="9">
        <v>33.159999999999997</v>
      </c>
      <c r="F108" s="6">
        <v>-3.3799533799999999</v>
      </c>
      <c r="G108" s="17" t="s">
        <v>179</v>
      </c>
      <c r="H108" s="29">
        <v>34.32</v>
      </c>
      <c r="I108" s="1" t="s">
        <v>9</v>
      </c>
      <c r="J108" s="17"/>
      <c r="K108" s="17"/>
    </row>
    <row r="109" spans="1:11" ht="26.5" hidden="1" thickBot="1" x14ac:dyDescent="0.4">
      <c r="A109" s="5">
        <v>46251.635520833333</v>
      </c>
      <c r="B109" s="1" t="s">
        <v>64</v>
      </c>
      <c r="C109" s="1" t="s">
        <v>12</v>
      </c>
      <c r="D109" s="6">
        <v>10</v>
      </c>
      <c r="E109" s="6">
        <v>1030</v>
      </c>
      <c r="F109" s="6">
        <v>-3.286384977</v>
      </c>
      <c r="G109" s="17" t="s">
        <v>164</v>
      </c>
      <c r="H109" s="29">
        <v>1065</v>
      </c>
      <c r="I109" s="1" t="s">
        <v>9</v>
      </c>
      <c r="J109" s="17"/>
      <c r="K109" s="17"/>
    </row>
    <row r="110" spans="1:11" ht="26.5" hidden="1" thickBot="1" x14ac:dyDescent="0.4">
      <c r="A110" s="5">
        <v>46251.688576388886</v>
      </c>
      <c r="B110" s="1" t="s">
        <v>37</v>
      </c>
      <c r="C110" s="1" t="s">
        <v>12</v>
      </c>
      <c r="D110" s="6">
        <v>5</v>
      </c>
      <c r="E110" s="6">
        <v>916</v>
      </c>
      <c r="F110" s="6">
        <v>-3.2530629489999998</v>
      </c>
      <c r="G110" s="17" t="s">
        <v>146</v>
      </c>
      <c r="H110" s="29">
        <v>946.8</v>
      </c>
      <c r="I110" s="1" t="s">
        <v>9</v>
      </c>
      <c r="J110" s="17"/>
      <c r="K110" s="17"/>
    </row>
    <row r="111" spans="1:11" ht="39" hidden="1" thickBot="1" x14ac:dyDescent="0.4">
      <c r="A111" s="5">
        <v>46251.635567129626</v>
      </c>
      <c r="B111" s="1" t="s">
        <v>42</v>
      </c>
      <c r="C111" s="1" t="s">
        <v>12</v>
      </c>
      <c r="D111" s="6">
        <v>10</v>
      </c>
      <c r="E111" s="6">
        <v>1410</v>
      </c>
      <c r="F111" s="6">
        <v>-3.225806452</v>
      </c>
      <c r="G111" s="17" t="s">
        <v>150</v>
      </c>
      <c r="H111" s="29">
        <v>1457</v>
      </c>
      <c r="I111" s="1" t="s">
        <v>9</v>
      </c>
      <c r="J111" s="17"/>
      <c r="K111" s="17"/>
    </row>
    <row r="112" spans="1:11" ht="15" hidden="1" thickBot="1" x14ac:dyDescent="0.4">
      <c r="A112" s="5">
        <v>46251.688703703701</v>
      </c>
      <c r="B112" s="1" t="s">
        <v>18</v>
      </c>
      <c r="C112" s="1" t="s">
        <v>12</v>
      </c>
      <c r="D112" s="6">
        <v>50</v>
      </c>
      <c r="E112" s="6">
        <v>344</v>
      </c>
      <c r="F112" s="6">
        <v>-3.0849415410000001</v>
      </c>
      <c r="G112" s="17" t="s">
        <v>133</v>
      </c>
      <c r="H112" s="29">
        <v>354.95</v>
      </c>
      <c r="I112" s="1" t="s">
        <v>9</v>
      </c>
      <c r="J112" s="25" t="s">
        <v>123</v>
      </c>
      <c r="K112" s="17"/>
    </row>
    <row r="113" spans="1:11" ht="26.5" hidden="1" thickBot="1" x14ac:dyDescent="0.4">
      <c r="A113" s="5">
        <v>46251.688715277778</v>
      </c>
      <c r="B113" s="1" t="s">
        <v>32</v>
      </c>
      <c r="C113" s="1" t="s">
        <v>12</v>
      </c>
      <c r="D113" s="6">
        <v>5</v>
      </c>
      <c r="E113" s="6">
        <v>660</v>
      </c>
      <c r="F113" s="6">
        <v>-3.083700441</v>
      </c>
      <c r="G113" s="17" t="s">
        <v>142</v>
      </c>
      <c r="H113" s="29">
        <v>681</v>
      </c>
      <c r="I113" s="1" t="s">
        <v>9</v>
      </c>
      <c r="J113" s="17"/>
      <c r="K113" s="17"/>
    </row>
    <row r="114" spans="1:11" ht="15" hidden="1" thickBot="1" x14ac:dyDescent="0.4">
      <c r="A114" s="5">
        <v>46251.635520833333</v>
      </c>
      <c r="B114" s="1" t="s">
        <v>68</v>
      </c>
      <c r="C114" s="1" t="s">
        <v>12</v>
      </c>
      <c r="D114" s="6">
        <v>5</v>
      </c>
      <c r="E114" s="6">
        <v>3952</v>
      </c>
      <c r="F114" s="6">
        <v>-3.0421982339999998</v>
      </c>
      <c r="G114" s="17" t="s">
        <v>167</v>
      </c>
      <c r="H114" s="29">
        <v>4076</v>
      </c>
      <c r="I114" s="1" t="s">
        <v>9</v>
      </c>
      <c r="J114" s="17"/>
      <c r="K114" s="17"/>
    </row>
    <row r="115" spans="1:11" ht="39" hidden="1" thickBot="1" x14ac:dyDescent="0.4">
      <c r="A115" s="5">
        <v>46251.688611111109</v>
      </c>
      <c r="B115" s="1" t="s">
        <v>23</v>
      </c>
      <c r="C115" s="1" t="s">
        <v>12</v>
      </c>
      <c r="D115" s="6">
        <v>100</v>
      </c>
      <c r="E115" s="6">
        <v>217</v>
      </c>
      <c r="F115" s="6">
        <v>-3.0167597769999999</v>
      </c>
      <c r="G115" s="17" t="s">
        <v>137</v>
      </c>
      <c r="H115" s="29">
        <v>223.75</v>
      </c>
      <c r="I115" s="1" t="s">
        <v>9</v>
      </c>
      <c r="J115" s="1" t="s">
        <v>123</v>
      </c>
      <c r="K115" s="17"/>
    </row>
    <row r="116" spans="1:11" ht="15" hidden="1" thickBot="1" x14ac:dyDescent="0.4">
      <c r="A116" s="5">
        <v>46251.644641203704</v>
      </c>
      <c r="B116" s="1" t="s">
        <v>58</v>
      </c>
      <c r="C116" s="1" t="s">
        <v>12</v>
      </c>
      <c r="D116" s="6">
        <v>10</v>
      </c>
      <c r="E116" s="6">
        <v>400</v>
      </c>
      <c r="F116" s="6">
        <v>-2.9832646129999998</v>
      </c>
      <c r="G116" s="17" t="s">
        <v>159</v>
      </c>
      <c r="H116" s="29">
        <v>412.3</v>
      </c>
      <c r="I116" s="1" t="s">
        <v>9</v>
      </c>
      <c r="J116" s="17"/>
      <c r="K116" s="17"/>
    </row>
    <row r="117" spans="1:11" ht="15" hidden="1" thickBot="1" x14ac:dyDescent="0.4">
      <c r="A117" s="5">
        <v>46251.644652777781</v>
      </c>
      <c r="B117" s="1" t="s">
        <v>51</v>
      </c>
      <c r="C117" s="1" t="s">
        <v>12</v>
      </c>
      <c r="D117" s="6">
        <v>10</v>
      </c>
      <c r="E117" s="6">
        <v>1340</v>
      </c>
      <c r="F117" s="6">
        <v>-2.8985507250000002</v>
      </c>
      <c r="G117" s="17" t="s">
        <v>154</v>
      </c>
      <c r="H117" s="29">
        <v>1380</v>
      </c>
      <c r="I117" s="1" t="s">
        <v>9</v>
      </c>
      <c r="J117" s="1" t="s">
        <v>125</v>
      </c>
      <c r="K117" s="17"/>
    </row>
    <row r="118" spans="1:11" ht="39" hidden="1" thickBot="1" x14ac:dyDescent="0.4">
      <c r="A118" s="5">
        <v>46251.688576388886</v>
      </c>
      <c r="B118" s="1" t="s">
        <v>16</v>
      </c>
      <c r="C118" s="1" t="s">
        <v>12</v>
      </c>
      <c r="D118" s="6">
        <v>40</v>
      </c>
      <c r="E118" s="6">
        <v>426</v>
      </c>
      <c r="F118" s="6">
        <v>-2.8727770179999998</v>
      </c>
      <c r="G118" s="17" t="s">
        <v>132</v>
      </c>
      <c r="H118" s="29">
        <v>438.6</v>
      </c>
      <c r="I118" s="1" t="s">
        <v>9</v>
      </c>
      <c r="J118" s="1" t="s">
        <v>125</v>
      </c>
      <c r="K118" s="17"/>
    </row>
    <row r="119" spans="1:11" ht="26.5" hidden="1" thickBot="1" x14ac:dyDescent="0.4">
      <c r="A119" s="5">
        <v>46251.644699074073</v>
      </c>
      <c r="B119" s="1" t="s">
        <v>76</v>
      </c>
      <c r="C119" s="1" t="s">
        <v>12</v>
      </c>
      <c r="D119" s="6">
        <v>2</v>
      </c>
      <c r="E119" s="6">
        <v>2460</v>
      </c>
      <c r="F119" s="6">
        <v>-2.843601896</v>
      </c>
      <c r="G119" s="17" t="s">
        <v>173</v>
      </c>
      <c r="H119" s="29">
        <v>2532</v>
      </c>
      <c r="I119" s="1" t="s">
        <v>9</v>
      </c>
      <c r="J119" s="17"/>
      <c r="K119" s="17"/>
    </row>
    <row r="120" spans="1:11" ht="15" hidden="1" thickBot="1" x14ac:dyDescent="0.4">
      <c r="A120" s="5">
        <v>46251.644652777781</v>
      </c>
      <c r="B120" s="1" t="s">
        <v>61</v>
      </c>
      <c r="C120" s="1" t="s">
        <v>12</v>
      </c>
      <c r="D120" s="6">
        <v>9</v>
      </c>
      <c r="E120" s="6">
        <v>2251</v>
      </c>
      <c r="F120" s="6">
        <v>-2.7603784180000002</v>
      </c>
      <c r="G120" s="17" t="s">
        <v>161</v>
      </c>
      <c r="H120" s="29">
        <v>2314.9</v>
      </c>
      <c r="I120" s="1" t="s">
        <v>9</v>
      </c>
      <c r="J120" s="17"/>
      <c r="K120" s="17"/>
    </row>
    <row r="121" spans="1:11" ht="26.5" hidden="1" thickBot="1" x14ac:dyDescent="0.4">
      <c r="A121" s="5">
        <v>46247.645138888889</v>
      </c>
      <c r="B121" s="1" t="s">
        <v>74</v>
      </c>
      <c r="C121" s="1" t="s">
        <v>12</v>
      </c>
      <c r="D121" s="6">
        <v>5</v>
      </c>
      <c r="E121" s="6">
        <v>702</v>
      </c>
      <c r="F121" s="6">
        <v>-2.6082130970000001</v>
      </c>
      <c r="G121" s="17" t="s">
        <v>172</v>
      </c>
      <c r="H121" s="29">
        <v>720.8</v>
      </c>
      <c r="I121" s="1" t="s">
        <v>9</v>
      </c>
      <c r="J121" s="17"/>
      <c r="K121" s="17"/>
    </row>
    <row r="122" spans="1:11" ht="39" hidden="1" thickBot="1" x14ac:dyDescent="0.4">
      <c r="A122" s="5">
        <v>46251.644675925927</v>
      </c>
      <c r="B122" s="1" t="s">
        <v>42</v>
      </c>
      <c r="C122" s="1" t="s">
        <v>12</v>
      </c>
      <c r="D122" s="6">
        <v>10</v>
      </c>
      <c r="E122" s="6">
        <v>1420</v>
      </c>
      <c r="F122" s="6">
        <v>-2.539464653</v>
      </c>
      <c r="G122" s="17" t="s">
        <v>150</v>
      </c>
      <c r="H122" s="29">
        <v>1457</v>
      </c>
      <c r="I122" s="1" t="s">
        <v>9</v>
      </c>
      <c r="J122" s="17"/>
      <c r="K122" s="17"/>
    </row>
    <row r="123" spans="1:11" ht="26.5" hidden="1" thickBot="1" x14ac:dyDescent="0.4">
      <c r="A123" s="5">
        <v>46251.644675925927</v>
      </c>
      <c r="B123" s="1" t="s">
        <v>70</v>
      </c>
      <c r="C123" s="1" t="s">
        <v>12</v>
      </c>
      <c r="D123" s="6">
        <v>4</v>
      </c>
      <c r="E123" s="6">
        <v>1066</v>
      </c>
      <c r="F123" s="6">
        <v>-2.4702653250000002</v>
      </c>
      <c r="G123" s="17" t="s">
        <v>169</v>
      </c>
      <c r="H123" s="29">
        <v>1093</v>
      </c>
      <c r="I123" s="1" t="s">
        <v>9</v>
      </c>
      <c r="J123" s="17"/>
      <c r="K123" s="17"/>
    </row>
    <row r="124" spans="1:11" ht="26.5" hidden="1" thickBot="1" x14ac:dyDescent="0.4">
      <c r="A124" s="5">
        <v>46251.644675925927</v>
      </c>
      <c r="B124" s="1" t="s">
        <v>71</v>
      </c>
      <c r="C124" s="1" t="s">
        <v>12</v>
      </c>
      <c r="D124" s="6">
        <v>10</v>
      </c>
      <c r="E124" s="6">
        <v>223</v>
      </c>
      <c r="F124" s="6">
        <v>-2.4070021879999999</v>
      </c>
      <c r="G124" s="17" t="s">
        <v>170</v>
      </c>
      <c r="H124" s="29">
        <v>228.5</v>
      </c>
      <c r="I124" s="1" t="s">
        <v>9</v>
      </c>
      <c r="J124" s="17"/>
      <c r="K124" s="17"/>
    </row>
    <row r="125" spans="1:11" ht="26.5" hidden="1" thickBot="1" x14ac:dyDescent="0.4">
      <c r="A125" s="5">
        <v>46247.689583333333</v>
      </c>
      <c r="B125" s="1" t="s">
        <v>19</v>
      </c>
      <c r="C125" s="1" t="s">
        <v>12</v>
      </c>
      <c r="D125" s="6">
        <v>5</v>
      </c>
      <c r="E125" s="6">
        <v>2540</v>
      </c>
      <c r="F125" s="6">
        <v>-2.364020757</v>
      </c>
      <c r="G125" s="17" t="s">
        <v>134</v>
      </c>
      <c r="H125" s="29">
        <v>2601.5</v>
      </c>
      <c r="I125" s="1" t="s">
        <v>9</v>
      </c>
      <c r="J125" s="1" t="s">
        <v>123</v>
      </c>
      <c r="K125" s="17"/>
    </row>
    <row r="126" spans="1:11" ht="26.5" hidden="1" thickBot="1" x14ac:dyDescent="0.4">
      <c r="A126" s="5">
        <v>46247.635416666664</v>
      </c>
      <c r="B126" s="1" t="s">
        <v>73</v>
      </c>
      <c r="C126" s="1" t="s">
        <v>12</v>
      </c>
      <c r="D126" s="6">
        <v>5</v>
      </c>
      <c r="E126" s="6">
        <v>2888</v>
      </c>
      <c r="F126" s="6">
        <v>-2.2640360080000002</v>
      </c>
      <c r="G126" s="17" t="s">
        <v>171</v>
      </c>
      <c r="H126" s="29">
        <v>2954.9</v>
      </c>
      <c r="I126" s="1" t="s">
        <v>9</v>
      </c>
      <c r="J126" s="17"/>
      <c r="K126" s="17"/>
    </row>
    <row r="127" spans="1:11" ht="26.5" hidden="1" thickBot="1" x14ac:dyDescent="0.4">
      <c r="A127" s="5">
        <v>46251.644652777781</v>
      </c>
      <c r="B127" s="1" t="s">
        <v>60</v>
      </c>
      <c r="C127" s="1" t="s">
        <v>12</v>
      </c>
      <c r="D127" s="6">
        <v>1</v>
      </c>
      <c r="E127" s="6">
        <v>19552</v>
      </c>
      <c r="F127" s="6">
        <v>-2.1910955479999998</v>
      </c>
      <c r="G127" s="17" t="s">
        <v>160</v>
      </c>
      <c r="H127" s="29">
        <v>19990</v>
      </c>
      <c r="I127" s="1" t="s">
        <v>9</v>
      </c>
      <c r="J127" s="17"/>
      <c r="K127" s="17"/>
    </row>
    <row r="128" spans="1:11" ht="15" hidden="1" thickBot="1" x14ac:dyDescent="0.4">
      <c r="A128" s="5">
        <v>46246.689583333333</v>
      </c>
      <c r="B128" s="1" t="s">
        <v>27</v>
      </c>
      <c r="C128" s="1" t="s">
        <v>12</v>
      </c>
      <c r="D128" s="6">
        <v>20</v>
      </c>
      <c r="E128" s="6">
        <v>281</v>
      </c>
      <c r="F128" s="6">
        <v>-2.0905923340000001</v>
      </c>
      <c r="G128" s="17" t="s">
        <v>139</v>
      </c>
      <c r="H128" s="29">
        <v>287</v>
      </c>
      <c r="I128" s="1" t="s">
        <v>9</v>
      </c>
      <c r="J128" s="1" t="s">
        <v>123</v>
      </c>
      <c r="K128" s="17"/>
    </row>
    <row r="129" spans="1:11" ht="15" hidden="1" thickBot="1" x14ac:dyDescent="0.4">
      <c r="A129" s="5">
        <v>46251.688703703701</v>
      </c>
      <c r="B129" s="1" t="s">
        <v>18</v>
      </c>
      <c r="C129" s="1" t="s">
        <v>12</v>
      </c>
      <c r="D129" s="6">
        <v>50</v>
      </c>
      <c r="E129" s="6">
        <v>348</v>
      </c>
      <c r="F129" s="6">
        <v>-1.9580222570000001</v>
      </c>
      <c r="G129" s="17" t="s">
        <v>133</v>
      </c>
      <c r="H129" s="29">
        <v>354.95</v>
      </c>
      <c r="I129" s="1" t="s">
        <v>9</v>
      </c>
      <c r="J129" s="25" t="s">
        <v>123</v>
      </c>
      <c r="K129" s="17"/>
    </row>
    <row r="130" spans="1:11" ht="26.5" hidden="1" thickBot="1" x14ac:dyDescent="0.4">
      <c r="A130" s="5">
        <v>46251.688611111109</v>
      </c>
      <c r="B130" s="1" t="s">
        <v>19</v>
      </c>
      <c r="C130" s="1" t="s">
        <v>12</v>
      </c>
      <c r="D130" s="6">
        <v>10</v>
      </c>
      <c r="E130" s="6">
        <v>2553</v>
      </c>
      <c r="F130" s="6">
        <v>-1.8643090520000001</v>
      </c>
      <c r="G130" s="17" t="s">
        <v>134</v>
      </c>
      <c r="H130" s="29">
        <v>2601.5</v>
      </c>
      <c r="I130" s="1" t="s">
        <v>9</v>
      </c>
      <c r="J130" s="1" t="s">
        <v>125</v>
      </c>
      <c r="K130" s="17"/>
    </row>
    <row r="131" spans="1:11" ht="15" hidden="1" thickBot="1" x14ac:dyDescent="0.4">
      <c r="A131" s="5">
        <v>46251.644675925927</v>
      </c>
      <c r="B131" s="1" t="s">
        <v>68</v>
      </c>
      <c r="C131" s="1" t="s">
        <v>12</v>
      </c>
      <c r="D131" s="6">
        <v>5</v>
      </c>
      <c r="E131" s="6">
        <v>4002</v>
      </c>
      <c r="F131" s="6">
        <v>-1.8155053969999999</v>
      </c>
      <c r="G131" s="17" t="s">
        <v>167</v>
      </c>
      <c r="H131" s="29">
        <v>4076</v>
      </c>
      <c r="I131" s="1" t="s">
        <v>9</v>
      </c>
      <c r="J131" s="17"/>
      <c r="K131" s="17"/>
    </row>
    <row r="132" spans="1:11" ht="39" hidden="1" thickBot="1" x14ac:dyDescent="0.4">
      <c r="A132" s="5">
        <v>46251.688611111109</v>
      </c>
      <c r="B132" s="1" t="s">
        <v>23</v>
      </c>
      <c r="C132" s="1" t="s">
        <v>12</v>
      </c>
      <c r="D132" s="6">
        <v>100</v>
      </c>
      <c r="E132" s="6">
        <v>220</v>
      </c>
      <c r="F132" s="6">
        <v>-1.675977654</v>
      </c>
      <c r="G132" s="17" t="s">
        <v>137</v>
      </c>
      <c r="H132" s="29">
        <v>223.75</v>
      </c>
      <c r="I132" s="1" t="s">
        <v>9</v>
      </c>
      <c r="J132" s="1" t="s">
        <v>123</v>
      </c>
      <c r="K132" s="17"/>
    </row>
    <row r="133" spans="1:11" ht="26.5" hidden="1" thickBot="1" x14ac:dyDescent="0.4">
      <c r="A133" s="5">
        <v>46251.688576388886</v>
      </c>
      <c r="B133" s="1" t="s">
        <v>36</v>
      </c>
      <c r="C133" s="1" t="s">
        <v>12</v>
      </c>
      <c r="D133" s="6">
        <v>20</v>
      </c>
      <c r="E133" s="6">
        <v>276</v>
      </c>
      <c r="F133" s="6">
        <v>-1.39335477</v>
      </c>
      <c r="G133" s="17" t="s">
        <v>145</v>
      </c>
      <c r="H133" s="29">
        <v>279.89999999999998</v>
      </c>
      <c r="I133" s="1" t="s">
        <v>9</v>
      </c>
      <c r="J133" s="17"/>
      <c r="K133" s="17"/>
    </row>
    <row r="134" spans="1:11" ht="26.5" hidden="1" thickBot="1" x14ac:dyDescent="0.4">
      <c r="A134" s="5">
        <v>46251.64466435185</v>
      </c>
      <c r="B134" s="1" t="s">
        <v>74</v>
      </c>
      <c r="C134" s="1" t="s">
        <v>12</v>
      </c>
      <c r="D134" s="6">
        <v>5</v>
      </c>
      <c r="E134" s="6">
        <v>712</v>
      </c>
      <c r="F134" s="6">
        <v>-1.220865705</v>
      </c>
      <c r="G134" s="17" t="s">
        <v>172</v>
      </c>
      <c r="H134" s="29">
        <v>720.8</v>
      </c>
      <c r="I134" s="1" t="s">
        <v>9</v>
      </c>
      <c r="J134" s="17"/>
      <c r="K134" s="17"/>
    </row>
    <row r="135" spans="1:11" ht="39" hidden="1" thickBot="1" x14ac:dyDescent="0.4">
      <c r="A135" s="5">
        <v>46251.64466435185</v>
      </c>
      <c r="B135" s="1" t="s">
        <v>42</v>
      </c>
      <c r="C135" s="1" t="s">
        <v>12</v>
      </c>
      <c r="D135" s="6">
        <v>10</v>
      </c>
      <c r="E135" s="6">
        <v>1440</v>
      </c>
      <c r="F135" s="6">
        <v>-1.1667810569999999</v>
      </c>
      <c r="G135" s="17" t="s">
        <v>150</v>
      </c>
      <c r="H135" s="29">
        <v>1457</v>
      </c>
      <c r="I135" s="1" t="s">
        <v>9</v>
      </c>
      <c r="J135" s="17"/>
      <c r="K135" s="17"/>
    </row>
    <row r="136" spans="1:11" ht="26.5" hidden="1" thickBot="1" x14ac:dyDescent="0.4">
      <c r="A136" s="5">
        <v>46251.688611111109</v>
      </c>
      <c r="B136" s="1" t="s">
        <v>19</v>
      </c>
      <c r="C136" s="1" t="s">
        <v>12</v>
      </c>
      <c r="D136" s="6">
        <v>10</v>
      </c>
      <c r="E136" s="6">
        <v>2578</v>
      </c>
      <c r="F136" s="6">
        <v>-0.9033250048</v>
      </c>
      <c r="G136" s="17" t="s">
        <v>134</v>
      </c>
      <c r="H136" s="29">
        <v>2601.5</v>
      </c>
      <c r="I136" s="1" t="s">
        <v>9</v>
      </c>
      <c r="J136" s="1" t="s">
        <v>123</v>
      </c>
      <c r="K136" s="17"/>
    </row>
    <row r="137" spans="1:11" ht="26.5" hidden="1" thickBot="1" x14ac:dyDescent="0.4">
      <c r="A137" s="5">
        <v>46251.644629629627</v>
      </c>
      <c r="B137" s="1" t="s">
        <v>73</v>
      </c>
      <c r="C137" s="1" t="s">
        <v>12</v>
      </c>
      <c r="D137" s="6">
        <v>5</v>
      </c>
      <c r="E137" s="6">
        <v>2938</v>
      </c>
      <c r="F137" s="6">
        <v>-0.57193136820000001</v>
      </c>
      <c r="G137" s="17" t="s">
        <v>171</v>
      </c>
      <c r="H137" s="29">
        <v>2954.9</v>
      </c>
      <c r="I137" s="1" t="s">
        <v>9</v>
      </c>
      <c r="J137" s="17"/>
      <c r="K137" s="17"/>
    </row>
    <row r="138" spans="1:11" ht="26.5" thickBot="1" x14ac:dyDescent="0.4">
      <c r="A138" s="5">
        <v>46251.644641203704</v>
      </c>
      <c r="B138" s="1" t="s">
        <v>66</v>
      </c>
      <c r="C138" s="1" t="s">
        <v>8</v>
      </c>
      <c r="D138" s="6">
        <v>5</v>
      </c>
      <c r="E138" s="6">
        <v>1212</v>
      </c>
      <c r="F138" s="6">
        <v>0.77326016460000002</v>
      </c>
      <c r="G138" s="17" t="s">
        <v>166</v>
      </c>
      <c r="H138" s="29">
        <v>1202.7</v>
      </c>
      <c r="I138" s="1" t="s">
        <v>9</v>
      </c>
      <c r="J138" s="17"/>
      <c r="K138" s="17"/>
    </row>
    <row r="139" spans="1:11" ht="26.5" thickBot="1" x14ac:dyDescent="0.4">
      <c r="A139" s="5">
        <v>46251.64466435185</v>
      </c>
      <c r="B139" s="1" t="s">
        <v>82</v>
      </c>
      <c r="C139" s="1" t="s">
        <v>8</v>
      </c>
      <c r="D139" s="6">
        <v>25</v>
      </c>
      <c r="E139" s="6">
        <v>784</v>
      </c>
      <c r="F139" s="6">
        <v>1.1156252019999999</v>
      </c>
      <c r="G139" s="17" t="s">
        <v>177</v>
      </c>
      <c r="H139" s="29">
        <v>775.35</v>
      </c>
      <c r="I139" s="1" t="s">
        <v>9</v>
      </c>
      <c r="J139" s="17"/>
      <c r="K139" s="17"/>
    </row>
    <row r="140" spans="1:11" ht="26.5" thickBot="1" x14ac:dyDescent="0.4">
      <c r="A140" s="5">
        <v>46251.688692129632</v>
      </c>
      <c r="B140" s="1" t="s">
        <v>35</v>
      </c>
      <c r="C140" s="1" t="s">
        <v>8</v>
      </c>
      <c r="D140" s="6">
        <v>50</v>
      </c>
      <c r="E140" s="6">
        <v>214</v>
      </c>
      <c r="F140" s="6">
        <v>1.273011216</v>
      </c>
      <c r="G140" s="17" t="s">
        <v>144</v>
      </c>
      <c r="H140" s="29">
        <v>211.31</v>
      </c>
      <c r="I140" s="1" t="s">
        <v>9</v>
      </c>
      <c r="J140" s="17"/>
      <c r="K140" s="17"/>
    </row>
    <row r="141" spans="1:11" ht="15" thickBot="1" x14ac:dyDescent="0.4">
      <c r="A141" s="5">
        <v>46251.64466435185</v>
      </c>
      <c r="B141" s="1" t="s">
        <v>68</v>
      </c>
      <c r="C141" s="1" t="s">
        <v>8</v>
      </c>
      <c r="D141" s="6">
        <v>5</v>
      </c>
      <c r="E141" s="6">
        <v>4129</v>
      </c>
      <c r="F141" s="6">
        <v>1.3002944059999999</v>
      </c>
      <c r="G141" s="17" t="s">
        <v>167</v>
      </c>
      <c r="H141" s="29">
        <v>4076</v>
      </c>
      <c r="I141" s="1" t="s">
        <v>9</v>
      </c>
      <c r="J141" s="17"/>
      <c r="K141" s="17"/>
    </row>
    <row r="142" spans="1:11" ht="26.5" thickBot="1" x14ac:dyDescent="0.4">
      <c r="A142" s="5">
        <v>46251.688611111109</v>
      </c>
      <c r="B142" s="1" t="s">
        <v>19</v>
      </c>
      <c r="C142" s="1" t="s">
        <v>8</v>
      </c>
      <c r="D142" s="6">
        <v>10</v>
      </c>
      <c r="E142" s="6">
        <v>2636</v>
      </c>
      <c r="F142" s="6">
        <v>1.3261579859999999</v>
      </c>
      <c r="G142" s="17" t="s">
        <v>134</v>
      </c>
      <c r="H142" s="29">
        <v>2601.5</v>
      </c>
      <c r="I142" s="1" t="s">
        <v>9</v>
      </c>
      <c r="J142" s="25" t="s">
        <v>122</v>
      </c>
      <c r="K142" s="17"/>
    </row>
    <row r="143" spans="1:11" ht="26.5" thickBot="1" x14ac:dyDescent="0.4">
      <c r="A143" s="5">
        <v>46251.644641203704</v>
      </c>
      <c r="B143" s="1" t="s">
        <v>66</v>
      </c>
      <c r="C143" s="1" t="s">
        <v>8</v>
      </c>
      <c r="D143" s="6">
        <v>10</v>
      </c>
      <c r="E143" s="6">
        <v>1221</v>
      </c>
      <c r="F143" s="6">
        <v>1.521576453</v>
      </c>
      <c r="G143" s="17" t="s">
        <v>166</v>
      </c>
      <c r="H143" s="29">
        <v>1202.7</v>
      </c>
      <c r="I143" s="1" t="s">
        <v>9</v>
      </c>
      <c r="J143" s="17"/>
      <c r="K143" s="17"/>
    </row>
    <row r="144" spans="1:11" ht="26.5" thickBot="1" x14ac:dyDescent="0.4">
      <c r="A144" s="5">
        <v>46251.644675925927</v>
      </c>
      <c r="B144" s="1" t="s">
        <v>71</v>
      </c>
      <c r="C144" s="1" t="s">
        <v>8</v>
      </c>
      <c r="D144" s="6">
        <v>200</v>
      </c>
      <c r="E144" s="6">
        <v>232</v>
      </c>
      <c r="F144" s="6">
        <v>1.5317286649999999</v>
      </c>
      <c r="G144" s="17" t="s">
        <v>170</v>
      </c>
      <c r="H144" s="29">
        <v>228.5</v>
      </c>
      <c r="I144" s="1" t="s">
        <v>9</v>
      </c>
      <c r="J144" s="17"/>
      <c r="K144" s="17"/>
    </row>
    <row r="145" spans="1:11" ht="39" thickBot="1" x14ac:dyDescent="0.4">
      <c r="A145" s="5">
        <v>46251.688576388886</v>
      </c>
      <c r="B145" s="1" t="s">
        <v>16</v>
      </c>
      <c r="C145" s="1" t="s">
        <v>8</v>
      </c>
      <c r="D145" s="6">
        <v>40</v>
      </c>
      <c r="E145" s="6">
        <v>446</v>
      </c>
      <c r="F145" s="6">
        <v>1.6871865029999999</v>
      </c>
      <c r="G145" s="17" t="s">
        <v>132</v>
      </c>
      <c r="H145" s="29">
        <v>438.6</v>
      </c>
      <c r="I145" s="1" t="s">
        <v>9</v>
      </c>
      <c r="J145" s="1" t="s">
        <v>122</v>
      </c>
      <c r="K145" s="17"/>
    </row>
    <row r="146" spans="1:11" ht="16" thickBot="1" x14ac:dyDescent="0.4">
      <c r="A146" s="5">
        <v>46251.688703703701</v>
      </c>
      <c r="B146" s="1" t="s">
        <v>18</v>
      </c>
      <c r="C146" s="1" t="s">
        <v>8</v>
      </c>
      <c r="D146" s="6">
        <v>50</v>
      </c>
      <c r="E146" s="6">
        <v>361</v>
      </c>
      <c r="F146" s="6">
        <v>1.7044654180000001</v>
      </c>
      <c r="G146" s="17" t="s">
        <v>133</v>
      </c>
      <c r="H146" s="29">
        <v>354.95</v>
      </c>
      <c r="I146" s="1" t="s">
        <v>9</v>
      </c>
      <c r="J146" s="30" t="s">
        <v>124</v>
      </c>
      <c r="K146" s="17"/>
    </row>
    <row r="147" spans="1:11" ht="26.5" thickBot="1" x14ac:dyDescent="0.4">
      <c r="A147" s="5">
        <v>46251.688668981478</v>
      </c>
      <c r="B147" s="1" t="s">
        <v>21</v>
      </c>
      <c r="C147" s="1" t="s">
        <v>8</v>
      </c>
      <c r="D147" s="6">
        <v>25</v>
      </c>
      <c r="E147" s="6">
        <v>348</v>
      </c>
      <c r="F147" s="6">
        <v>1.754385965</v>
      </c>
      <c r="G147" s="17" t="s">
        <v>135</v>
      </c>
      <c r="H147" s="29">
        <v>342</v>
      </c>
      <c r="I147" s="1" t="s">
        <v>9</v>
      </c>
      <c r="J147" s="1" t="s">
        <v>122</v>
      </c>
      <c r="K147" s="17"/>
    </row>
    <row r="148" spans="1:11" ht="26.5" thickBot="1" x14ac:dyDescent="0.4">
      <c r="A148" s="5">
        <v>46251.688622685186</v>
      </c>
      <c r="B148" s="1" t="s">
        <v>19</v>
      </c>
      <c r="C148" s="1" t="s">
        <v>8</v>
      </c>
      <c r="D148" s="6">
        <v>10</v>
      </c>
      <c r="E148" s="6">
        <v>2648</v>
      </c>
      <c r="F148" s="6">
        <v>1.787430329</v>
      </c>
      <c r="G148" s="17" t="s">
        <v>134</v>
      </c>
      <c r="H148" s="29">
        <v>2601.5</v>
      </c>
      <c r="I148" s="1" t="s">
        <v>9</v>
      </c>
      <c r="J148" s="25" t="s">
        <v>122</v>
      </c>
      <c r="K148" s="17"/>
    </row>
    <row r="149" spans="1:11" ht="39" thickBot="1" x14ac:dyDescent="0.4">
      <c r="A149" s="5">
        <v>46251.688622685186</v>
      </c>
      <c r="B149" s="1" t="s">
        <v>23</v>
      </c>
      <c r="C149" s="1" t="s">
        <v>8</v>
      </c>
      <c r="D149" s="6">
        <v>50</v>
      </c>
      <c r="E149" s="6">
        <v>228</v>
      </c>
      <c r="F149" s="6">
        <v>1.8994413409999999</v>
      </c>
      <c r="G149" s="17" t="s">
        <v>137</v>
      </c>
      <c r="H149" s="29">
        <v>223.75</v>
      </c>
      <c r="I149" s="1" t="s">
        <v>9</v>
      </c>
      <c r="J149" s="1" t="s">
        <v>124</v>
      </c>
      <c r="K149" s="17"/>
    </row>
    <row r="150" spans="1:11" ht="26.5" thickBot="1" x14ac:dyDescent="0.4">
      <c r="A150" s="5">
        <v>46251.644652777781</v>
      </c>
      <c r="B150" s="1" t="s">
        <v>49</v>
      </c>
      <c r="C150" s="1" t="s">
        <v>8</v>
      </c>
      <c r="D150" s="6">
        <v>200</v>
      </c>
      <c r="E150" s="6">
        <v>89.3</v>
      </c>
      <c r="F150" s="6">
        <v>2.1739130430000002</v>
      </c>
      <c r="G150" s="17" t="s">
        <v>153</v>
      </c>
      <c r="H150" s="29">
        <v>87.4</v>
      </c>
      <c r="I150" s="1" t="s">
        <v>9</v>
      </c>
      <c r="J150" s="30" t="s">
        <v>124</v>
      </c>
      <c r="K150" s="17"/>
    </row>
    <row r="151" spans="1:11" ht="26.5" thickBot="1" x14ac:dyDescent="0.4">
      <c r="A151" s="5">
        <v>46251.64466435185</v>
      </c>
      <c r="B151" s="1" t="s">
        <v>44</v>
      </c>
      <c r="C151" s="1" t="s">
        <v>8</v>
      </c>
      <c r="D151" s="6">
        <v>10</v>
      </c>
      <c r="E151" s="6">
        <v>997</v>
      </c>
      <c r="F151" s="6">
        <v>2.2878834509999999</v>
      </c>
      <c r="G151" s="17" t="s">
        <v>151</v>
      </c>
      <c r="H151" s="29">
        <v>974.7</v>
      </c>
      <c r="I151" s="1" t="s">
        <v>9</v>
      </c>
      <c r="J151" s="17"/>
      <c r="K151" s="17"/>
    </row>
    <row r="152" spans="1:11" ht="15" thickBot="1" x14ac:dyDescent="0.4">
      <c r="A152" s="5">
        <v>46251.64466435185</v>
      </c>
      <c r="B152" s="1" t="s">
        <v>68</v>
      </c>
      <c r="C152" s="1" t="s">
        <v>8</v>
      </c>
      <c r="D152" s="6">
        <v>5</v>
      </c>
      <c r="E152" s="6">
        <v>4177</v>
      </c>
      <c r="F152" s="6">
        <v>2.4779195289999998</v>
      </c>
      <c r="G152" s="17" t="s">
        <v>167</v>
      </c>
      <c r="H152" s="29">
        <v>4076</v>
      </c>
      <c r="I152" s="1" t="s">
        <v>9</v>
      </c>
      <c r="J152" s="17"/>
      <c r="K152" s="17"/>
    </row>
    <row r="153" spans="1:11" ht="26.5" thickBot="1" x14ac:dyDescent="0.4">
      <c r="A153" s="5">
        <v>46248.635416666664</v>
      </c>
      <c r="B153" s="1" t="s">
        <v>82</v>
      </c>
      <c r="C153" s="1" t="s">
        <v>8</v>
      </c>
      <c r="D153" s="6">
        <v>20</v>
      </c>
      <c r="E153" s="6">
        <v>796</v>
      </c>
      <c r="F153" s="6">
        <v>2.6633133419999999</v>
      </c>
      <c r="G153" s="17" t="s">
        <v>177</v>
      </c>
      <c r="H153" s="29">
        <v>775.35</v>
      </c>
      <c r="I153" s="1" t="s">
        <v>9</v>
      </c>
      <c r="J153" s="17"/>
      <c r="K153" s="17"/>
    </row>
    <row r="154" spans="1:11" ht="26.5" thickBot="1" x14ac:dyDescent="0.4">
      <c r="A154" s="5">
        <v>46251.688611111109</v>
      </c>
      <c r="B154" s="1" t="s">
        <v>19</v>
      </c>
      <c r="C154" s="1" t="s">
        <v>8</v>
      </c>
      <c r="D154" s="6">
        <v>10</v>
      </c>
      <c r="E154" s="6">
        <v>2672</v>
      </c>
      <c r="F154" s="6">
        <v>2.7099750139999998</v>
      </c>
      <c r="G154" s="17" t="s">
        <v>134</v>
      </c>
      <c r="H154" s="29">
        <v>2601.5</v>
      </c>
      <c r="I154" s="1" t="s">
        <v>9</v>
      </c>
      <c r="J154" s="1" t="s">
        <v>122</v>
      </c>
      <c r="K154" s="17"/>
    </row>
    <row r="155" spans="1:11" ht="16" thickBot="1" x14ac:dyDescent="0.4">
      <c r="A155" s="5">
        <v>46251.688703703701</v>
      </c>
      <c r="B155" s="1" t="s">
        <v>18</v>
      </c>
      <c r="C155" s="1" t="s">
        <v>8</v>
      </c>
      <c r="D155" s="6">
        <v>50</v>
      </c>
      <c r="E155" s="6">
        <v>365</v>
      </c>
      <c r="F155" s="6">
        <v>2.8313847019999998</v>
      </c>
      <c r="G155" s="17" t="s">
        <v>133</v>
      </c>
      <c r="H155" s="29">
        <v>354.95</v>
      </c>
      <c r="I155" s="1" t="s">
        <v>9</v>
      </c>
      <c r="J155" s="30" t="s">
        <v>124</v>
      </c>
      <c r="K155" s="17"/>
    </row>
    <row r="156" spans="1:11" ht="15" thickBot="1" x14ac:dyDescent="0.4">
      <c r="A156" s="5">
        <v>46251.644675925927</v>
      </c>
      <c r="B156" s="1" t="s">
        <v>58</v>
      </c>
      <c r="C156" s="1" t="s">
        <v>8</v>
      </c>
      <c r="D156" s="6">
        <v>20</v>
      </c>
      <c r="E156" s="6">
        <v>424</v>
      </c>
      <c r="F156" s="6">
        <v>2.83773951</v>
      </c>
      <c r="G156" s="17" t="s">
        <v>159</v>
      </c>
      <c r="H156" s="29">
        <v>412.3</v>
      </c>
      <c r="I156" s="1" t="s">
        <v>9</v>
      </c>
      <c r="J156" s="17"/>
      <c r="K156" s="17"/>
    </row>
    <row r="157" spans="1:11" ht="26.5" thickBot="1" x14ac:dyDescent="0.4">
      <c r="A157" s="5">
        <v>46251.644687499997</v>
      </c>
      <c r="B157" s="1" t="s">
        <v>71</v>
      </c>
      <c r="C157" s="1" t="s">
        <v>8</v>
      </c>
      <c r="D157" s="6">
        <v>10</v>
      </c>
      <c r="E157" s="6">
        <v>235</v>
      </c>
      <c r="F157" s="6">
        <v>2.8446389500000002</v>
      </c>
      <c r="G157" s="17" t="s">
        <v>170</v>
      </c>
      <c r="H157" s="29">
        <v>228.5</v>
      </c>
      <c r="I157" s="1" t="s">
        <v>9</v>
      </c>
      <c r="J157" s="17"/>
      <c r="K157" s="17"/>
    </row>
    <row r="158" spans="1:11" ht="26.5" thickBot="1" x14ac:dyDescent="0.4">
      <c r="A158" s="5">
        <v>46248.635416666664</v>
      </c>
      <c r="B158" s="1" t="s">
        <v>71</v>
      </c>
      <c r="C158" s="1" t="s">
        <v>8</v>
      </c>
      <c r="D158" s="6">
        <v>200</v>
      </c>
      <c r="E158" s="6">
        <v>235</v>
      </c>
      <c r="F158" s="6">
        <v>2.8446389500000002</v>
      </c>
      <c r="G158" s="17" t="s">
        <v>170</v>
      </c>
      <c r="H158" s="29">
        <v>228.5</v>
      </c>
      <c r="I158" s="1" t="s">
        <v>9</v>
      </c>
      <c r="J158" s="17"/>
      <c r="K158" s="17"/>
    </row>
    <row r="159" spans="1:11" ht="39" thickBot="1" x14ac:dyDescent="0.4">
      <c r="A159" s="5">
        <v>46251.688715277778</v>
      </c>
      <c r="B159" s="1" t="s">
        <v>38</v>
      </c>
      <c r="C159" s="1" t="s">
        <v>8</v>
      </c>
      <c r="D159" s="6">
        <v>30</v>
      </c>
      <c r="E159" s="6">
        <v>930</v>
      </c>
      <c r="F159" s="6">
        <v>3.3390743930000002</v>
      </c>
      <c r="G159" s="17" t="s">
        <v>147</v>
      </c>
      <c r="H159" s="29">
        <v>899.95</v>
      </c>
      <c r="I159" s="1" t="s">
        <v>9</v>
      </c>
      <c r="J159" s="17"/>
      <c r="K159" s="17"/>
    </row>
    <row r="160" spans="1:11" ht="26.5" thickBot="1" x14ac:dyDescent="0.4">
      <c r="A160" s="5">
        <v>46251.688622685186</v>
      </c>
      <c r="B160" s="1" t="s">
        <v>19</v>
      </c>
      <c r="C160" s="1" t="s">
        <v>8</v>
      </c>
      <c r="D160" s="6">
        <v>10</v>
      </c>
      <c r="E160" s="6">
        <v>2696</v>
      </c>
      <c r="F160" s="6">
        <v>3.6325197</v>
      </c>
      <c r="G160" s="17" t="s">
        <v>134</v>
      </c>
      <c r="H160" s="29">
        <v>2601.5</v>
      </c>
      <c r="I160" s="1" t="s">
        <v>9</v>
      </c>
      <c r="J160" s="1" t="s">
        <v>122</v>
      </c>
      <c r="K160" s="17"/>
    </row>
    <row r="161" spans="1:11" ht="39" thickBot="1" x14ac:dyDescent="0.4">
      <c r="A161" s="5">
        <v>46251.635567129626</v>
      </c>
      <c r="B161" s="1" t="s">
        <v>42</v>
      </c>
      <c r="C161" s="1" t="s">
        <v>8</v>
      </c>
      <c r="D161" s="6">
        <v>10</v>
      </c>
      <c r="E161" s="6">
        <v>1510</v>
      </c>
      <c r="F161" s="6">
        <v>3.6376115310000001</v>
      </c>
      <c r="G161" s="17" t="s">
        <v>150</v>
      </c>
      <c r="H161" s="29">
        <v>1457</v>
      </c>
      <c r="I161" s="1" t="s">
        <v>9</v>
      </c>
      <c r="J161" s="17"/>
      <c r="K161" s="17"/>
    </row>
    <row r="162" spans="1:11" ht="26.5" thickBot="1" x14ac:dyDescent="0.4">
      <c r="A162" s="5">
        <v>46251.688692129632</v>
      </c>
      <c r="B162" s="1" t="s">
        <v>35</v>
      </c>
      <c r="C162" s="1" t="s">
        <v>8</v>
      </c>
      <c r="D162" s="6">
        <v>65</v>
      </c>
      <c r="E162" s="6">
        <v>219</v>
      </c>
      <c r="F162" s="6">
        <v>3.639203067</v>
      </c>
      <c r="G162" s="17" t="s">
        <v>144</v>
      </c>
      <c r="H162" s="29">
        <v>211.31</v>
      </c>
      <c r="I162" s="1" t="s">
        <v>9</v>
      </c>
      <c r="J162" s="17"/>
      <c r="K162" s="17"/>
    </row>
    <row r="163" spans="1:11" ht="26.5" thickBot="1" x14ac:dyDescent="0.4">
      <c r="A163" s="5">
        <v>46251.635578703703</v>
      </c>
      <c r="B163" s="1" t="s">
        <v>49</v>
      </c>
      <c r="C163" s="1" t="s">
        <v>8</v>
      </c>
      <c r="D163" s="6">
        <v>200</v>
      </c>
      <c r="E163" s="6">
        <v>90.75</v>
      </c>
      <c r="F163" s="6">
        <v>3.832951945</v>
      </c>
      <c r="G163" s="17" t="s">
        <v>153</v>
      </c>
      <c r="H163" s="29">
        <v>87.4</v>
      </c>
      <c r="I163" s="1" t="s">
        <v>9</v>
      </c>
      <c r="J163" s="30" t="s">
        <v>124</v>
      </c>
      <c r="K163" s="17"/>
    </row>
    <row r="164" spans="1:11" ht="16" thickBot="1" x14ac:dyDescent="0.4">
      <c r="A164" s="5">
        <v>46251.635555555556</v>
      </c>
      <c r="B164" s="1" t="s">
        <v>47</v>
      </c>
      <c r="C164" s="1" t="s">
        <v>8</v>
      </c>
      <c r="D164" s="6">
        <v>5</v>
      </c>
      <c r="E164" s="6">
        <v>3482</v>
      </c>
      <c r="F164" s="6">
        <v>4.0210312479999999</v>
      </c>
      <c r="G164" s="17" t="s">
        <v>152</v>
      </c>
      <c r="H164" s="29">
        <v>3347.4</v>
      </c>
      <c r="I164" s="1" t="s">
        <v>9</v>
      </c>
      <c r="J164" s="30" t="s">
        <v>124</v>
      </c>
      <c r="K164" s="17"/>
    </row>
    <row r="165" spans="1:11" ht="26.5" thickBot="1" x14ac:dyDescent="0.4">
      <c r="A165" s="5">
        <v>46251.688611111109</v>
      </c>
      <c r="B165" s="1" t="s">
        <v>40</v>
      </c>
      <c r="C165" s="1" t="s">
        <v>8</v>
      </c>
      <c r="D165" s="6">
        <v>150</v>
      </c>
      <c r="E165" s="6">
        <v>130</v>
      </c>
      <c r="F165" s="6">
        <v>4.1666666670000003</v>
      </c>
      <c r="G165" s="17" t="s">
        <v>149</v>
      </c>
      <c r="H165" s="29">
        <v>124.8</v>
      </c>
      <c r="I165" s="1" t="s">
        <v>9</v>
      </c>
      <c r="J165" s="17"/>
      <c r="K165" s="17"/>
    </row>
    <row r="166" spans="1:11" ht="26.5" thickBot="1" x14ac:dyDescent="0.4">
      <c r="A166" s="5">
        <v>46251.635520833333</v>
      </c>
      <c r="B166" s="1" t="s">
        <v>71</v>
      </c>
      <c r="C166" s="1" t="s">
        <v>8</v>
      </c>
      <c r="D166" s="6">
        <v>110</v>
      </c>
      <c r="E166" s="6">
        <v>238.2</v>
      </c>
      <c r="F166" s="6">
        <v>4.2450765859999997</v>
      </c>
      <c r="G166" s="17" t="s">
        <v>170</v>
      </c>
      <c r="H166" s="29">
        <v>228.5</v>
      </c>
      <c r="I166" s="1" t="s">
        <v>9</v>
      </c>
      <c r="J166" s="17"/>
      <c r="K166" s="17"/>
    </row>
    <row r="167" spans="1:11" ht="26.5" thickBot="1" x14ac:dyDescent="0.4">
      <c r="A167" s="5">
        <v>46251.635520833333</v>
      </c>
      <c r="B167" s="1" t="s">
        <v>63</v>
      </c>
      <c r="C167" s="1" t="s">
        <v>8</v>
      </c>
      <c r="D167" s="6">
        <v>6</v>
      </c>
      <c r="E167" s="6">
        <v>2420</v>
      </c>
      <c r="F167" s="6">
        <v>4.3103448279999999</v>
      </c>
      <c r="G167" s="17" t="s">
        <v>163</v>
      </c>
      <c r="H167" s="29">
        <v>2320</v>
      </c>
      <c r="I167" s="1" t="s">
        <v>9</v>
      </c>
      <c r="J167" s="17"/>
      <c r="K167" s="17"/>
    </row>
    <row r="168" spans="1:11" ht="26.5" thickBot="1" x14ac:dyDescent="0.4">
      <c r="A168" s="5">
        <v>46251.635555555556</v>
      </c>
      <c r="B168" s="1" t="s">
        <v>69</v>
      </c>
      <c r="C168" s="1" t="s">
        <v>8</v>
      </c>
      <c r="D168" s="6">
        <v>1</v>
      </c>
      <c r="E168" s="6">
        <v>4556</v>
      </c>
      <c r="F168" s="6">
        <v>4.351809437</v>
      </c>
      <c r="G168" s="17" t="s">
        <v>168</v>
      </c>
      <c r="H168" s="29">
        <v>4366</v>
      </c>
      <c r="I168" s="1" t="s">
        <v>9</v>
      </c>
      <c r="J168" s="17"/>
      <c r="K168" s="17"/>
    </row>
    <row r="169" spans="1:11" ht="26.5" thickBot="1" x14ac:dyDescent="0.4">
      <c r="A169" s="5">
        <v>46251.635567129626</v>
      </c>
      <c r="B169" s="1" t="s">
        <v>79</v>
      </c>
      <c r="C169" s="1" t="s">
        <v>8</v>
      </c>
      <c r="D169" s="6">
        <v>6</v>
      </c>
      <c r="E169" s="6">
        <v>548</v>
      </c>
      <c r="F169" s="6">
        <v>4.4804575790000003</v>
      </c>
      <c r="G169" s="17" t="s">
        <v>176</v>
      </c>
      <c r="H169" s="29">
        <v>524.5</v>
      </c>
      <c r="I169" s="1" t="s">
        <v>9</v>
      </c>
      <c r="J169" s="17"/>
      <c r="K169" s="17"/>
    </row>
    <row r="170" spans="1:11" ht="39" thickBot="1" x14ac:dyDescent="0.4">
      <c r="A170" s="5">
        <v>46251.63553240741</v>
      </c>
      <c r="B170" s="1" t="s">
        <v>83</v>
      </c>
      <c r="C170" s="1" t="s">
        <v>8</v>
      </c>
      <c r="D170" s="6">
        <v>15</v>
      </c>
      <c r="E170" s="6">
        <v>1040</v>
      </c>
      <c r="F170" s="6">
        <v>4.5016077169999997</v>
      </c>
      <c r="G170" s="17" t="s">
        <v>178</v>
      </c>
      <c r="H170" s="29">
        <v>995.2</v>
      </c>
      <c r="I170" s="1" t="s">
        <v>9</v>
      </c>
      <c r="J170" s="17"/>
      <c r="K170" s="17"/>
    </row>
    <row r="171" spans="1:11" ht="26.5" thickBot="1" x14ac:dyDescent="0.4">
      <c r="A171" s="5">
        <v>46248.770833333336</v>
      </c>
      <c r="B171" s="1" t="s">
        <v>19</v>
      </c>
      <c r="C171" s="1" t="s">
        <v>8</v>
      </c>
      <c r="D171" s="6">
        <v>10</v>
      </c>
      <c r="E171" s="6">
        <v>2720</v>
      </c>
      <c r="F171" s="6">
        <v>4.5550643859999997</v>
      </c>
      <c r="G171" s="17" t="s">
        <v>134</v>
      </c>
      <c r="H171" s="29">
        <v>2601.5</v>
      </c>
      <c r="I171" s="1" t="s">
        <v>9</v>
      </c>
      <c r="J171" s="1" t="s">
        <v>122</v>
      </c>
      <c r="K171" s="17"/>
    </row>
    <row r="172" spans="1:11" ht="26.5" thickBot="1" x14ac:dyDescent="0.4">
      <c r="A172" s="5">
        <v>46247.635416666664</v>
      </c>
      <c r="B172" s="1" t="s">
        <v>71</v>
      </c>
      <c r="C172" s="1" t="s">
        <v>8</v>
      </c>
      <c r="D172" s="6">
        <v>200</v>
      </c>
      <c r="E172" s="6">
        <v>239</v>
      </c>
      <c r="F172" s="6">
        <v>4.5951859959999997</v>
      </c>
      <c r="G172" s="17" t="s">
        <v>170</v>
      </c>
      <c r="H172" s="29">
        <v>228.5</v>
      </c>
      <c r="I172" s="1" t="s">
        <v>9</v>
      </c>
      <c r="J172" s="17"/>
      <c r="K172" s="17"/>
    </row>
    <row r="173" spans="1:11" ht="26.5" thickBot="1" x14ac:dyDescent="0.4">
      <c r="A173" s="5">
        <v>46251.688576388886</v>
      </c>
      <c r="B173" s="1" t="s">
        <v>36</v>
      </c>
      <c r="C173" s="1" t="s">
        <v>8</v>
      </c>
      <c r="D173" s="6">
        <v>50</v>
      </c>
      <c r="E173" s="6">
        <v>293</v>
      </c>
      <c r="F173" s="6">
        <v>4.6802429439999997</v>
      </c>
      <c r="G173" s="17" t="s">
        <v>145</v>
      </c>
      <c r="H173" s="29">
        <v>279.89999999999998</v>
      </c>
      <c r="I173" s="1" t="s">
        <v>9</v>
      </c>
      <c r="J173" s="17"/>
      <c r="K173" s="17"/>
    </row>
    <row r="174" spans="1:11" ht="26.5" thickBot="1" x14ac:dyDescent="0.4">
      <c r="A174" s="5">
        <v>46364.635416666664</v>
      </c>
      <c r="B174" s="1" t="s">
        <v>65</v>
      </c>
      <c r="C174" s="1" t="s">
        <v>8</v>
      </c>
      <c r="D174" s="6">
        <v>7</v>
      </c>
      <c r="E174" s="4">
        <v>1424</v>
      </c>
      <c r="F174" s="6">
        <v>4.8600883650000002</v>
      </c>
      <c r="G174" s="17" t="s">
        <v>165</v>
      </c>
      <c r="H174" s="29">
        <v>1358</v>
      </c>
      <c r="I174" s="1" t="s">
        <v>9</v>
      </c>
      <c r="J174" s="17"/>
      <c r="K174" s="17"/>
    </row>
    <row r="175" spans="1:11" ht="26.5" thickBot="1" x14ac:dyDescent="0.4">
      <c r="A175" s="5">
        <v>46248.635416666664</v>
      </c>
      <c r="B175" s="1" t="s">
        <v>49</v>
      </c>
      <c r="C175" s="1" t="s">
        <v>8</v>
      </c>
      <c r="D175" s="6">
        <v>200</v>
      </c>
      <c r="E175" s="6">
        <v>91.75</v>
      </c>
      <c r="F175" s="6">
        <v>4.9771167050000003</v>
      </c>
      <c r="G175" s="17" t="s">
        <v>153</v>
      </c>
      <c r="H175" s="29">
        <v>87.4</v>
      </c>
      <c r="I175" s="1" t="s">
        <v>9</v>
      </c>
      <c r="J175" s="30" t="s">
        <v>124</v>
      </c>
      <c r="K175" s="17"/>
    </row>
    <row r="176" spans="1:11" ht="26.5" thickBot="1" x14ac:dyDescent="0.4">
      <c r="A176" s="5">
        <v>46251.688576388886</v>
      </c>
      <c r="B176" s="1" t="s">
        <v>36</v>
      </c>
      <c r="C176" s="1" t="s">
        <v>8</v>
      </c>
      <c r="D176" s="6">
        <v>30</v>
      </c>
      <c r="E176" s="6">
        <v>294</v>
      </c>
      <c r="F176" s="6">
        <v>5.0375133979999998</v>
      </c>
      <c r="G176" s="17" t="s">
        <v>145</v>
      </c>
      <c r="H176" s="29">
        <v>279.89999999999998</v>
      </c>
      <c r="I176" s="1" t="s">
        <v>9</v>
      </c>
      <c r="J176" s="17"/>
      <c r="K176" s="17"/>
    </row>
    <row r="177" spans="1:11" ht="26.5" thickBot="1" x14ac:dyDescent="0.4">
      <c r="A177" s="10" t="s">
        <v>85</v>
      </c>
      <c r="B177" s="1" t="s">
        <v>44</v>
      </c>
      <c r="C177" s="1" t="s">
        <v>8</v>
      </c>
      <c r="D177" s="6">
        <v>10</v>
      </c>
      <c r="E177" s="11">
        <v>1024</v>
      </c>
      <c r="F177" s="6">
        <v>5.0579665540000001</v>
      </c>
      <c r="G177" s="17" t="s">
        <v>151</v>
      </c>
      <c r="H177" s="29">
        <v>974.7</v>
      </c>
      <c r="I177" s="1" t="s">
        <v>9</v>
      </c>
      <c r="J177" s="17"/>
      <c r="K177" s="17"/>
    </row>
    <row r="178" spans="1:11" ht="15" thickBot="1" x14ac:dyDescent="0.4">
      <c r="A178" s="5">
        <v>46251.688703703701</v>
      </c>
      <c r="B178" s="1" t="s">
        <v>18</v>
      </c>
      <c r="C178" s="1" t="s">
        <v>8</v>
      </c>
      <c r="D178" s="6">
        <v>17</v>
      </c>
      <c r="E178" s="6">
        <v>373</v>
      </c>
      <c r="F178" s="6">
        <v>5.0852232710000003</v>
      </c>
      <c r="G178" s="17" t="s">
        <v>133</v>
      </c>
      <c r="H178" s="29">
        <v>354.95</v>
      </c>
      <c r="I178" s="1" t="s">
        <v>9</v>
      </c>
      <c r="J178" s="25" t="s">
        <v>122</v>
      </c>
      <c r="K178" s="17"/>
    </row>
    <row r="179" spans="1:11" ht="16" thickBot="1" x14ac:dyDescent="0.4">
      <c r="A179" s="5">
        <v>46239.696527777778</v>
      </c>
      <c r="B179" s="1" t="s">
        <v>18</v>
      </c>
      <c r="C179" s="1" t="s">
        <v>8</v>
      </c>
      <c r="D179" s="6">
        <v>50</v>
      </c>
      <c r="E179" s="4">
        <v>373</v>
      </c>
      <c r="F179" s="6">
        <v>5.0852232710000003</v>
      </c>
      <c r="G179" s="17" t="s">
        <v>133</v>
      </c>
      <c r="H179" s="29">
        <v>354.95</v>
      </c>
      <c r="I179" s="1" t="s">
        <v>9</v>
      </c>
      <c r="J179" s="30" t="s">
        <v>124</v>
      </c>
      <c r="K179" s="17"/>
    </row>
    <row r="180" spans="1:11" ht="26.5" thickBot="1" x14ac:dyDescent="0.4">
      <c r="A180" s="5">
        <v>46251.688668981478</v>
      </c>
      <c r="B180" s="1" t="s">
        <v>21</v>
      </c>
      <c r="C180" s="1" t="s">
        <v>8</v>
      </c>
      <c r="D180" s="6">
        <v>25</v>
      </c>
      <c r="E180" s="6">
        <v>360</v>
      </c>
      <c r="F180" s="6">
        <v>5.263157895</v>
      </c>
      <c r="G180" s="17" t="s">
        <v>135</v>
      </c>
      <c r="H180" s="29">
        <v>342</v>
      </c>
      <c r="I180" s="1" t="s">
        <v>9</v>
      </c>
      <c r="J180" s="1" t="s">
        <v>122</v>
      </c>
      <c r="K180" s="17"/>
    </row>
    <row r="181" spans="1:11" ht="15" thickBot="1" x14ac:dyDescent="0.4">
      <c r="A181" s="5">
        <v>46247.635416666664</v>
      </c>
      <c r="B181" s="1" t="s">
        <v>58</v>
      </c>
      <c r="C181" s="1" t="s">
        <v>8</v>
      </c>
      <c r="D181" s="6">
        <v>10</v>
      </c>
      <c r="E181" s="6">
        <v>435</v>
      </c>
      <c r="F181" s="6">
        <v>5.5056997330000002</v>
      </c>
      <c r="G181" s="17" t="s">
        <v>159</v>
      </c>
      <c r="H181" s="29">
        <v>412.3</v>
      </c>
      <c r="I181" s="1" t="s">
        <v>9</v>
      </c>
      <c r="J181" s="17"/>
      <c r="K181" s="17"/>
    </row>
    <row r="182" spans="1:11" ht="26.5" thickBot="1" x14ac:dyDescent="0.4">
      <c r="A182" s="5">
        <v>46251.635567129626</v>
      </c>
      <c r="B182" s="1" t="s">
        <v>77</v>
      </c>
      <c r="C182" s="1" t="s">
        <v>8</v>
      </c>
      <c r="D182" s="6">
        <v>150</v>
      </c>
      <c r="E182" s="6">
        <v>123.4</v>
      </c>
      <c r="F182" s="6">
        <v>5.6959314780000003</v>
      </c>
      <c r="G182" s="17" t="s">
        <v>174</v>
      </c>
      <c r="H182" s="29">
        <v>116.75</v>
      </c>
      <c r="I182" s="1" t="s">
        <v>9</v>
      </c>
      <c r="J182" s="17"/>
      <c r="K182" s="17"/>
    </row>
    <row r="183" spans="1:11" ht="15" thickBot="1" x14ac:dyDescent="0.4">
      <c r="A183" s="5">
        <v>46251.63554398148</v>
      </c>
      <c r="B183" s="1" t="s">
        <v>61</v>
      </c>
      <c r="C183" s="1" t="s">
        <v>8</v>
      </c>
      <c r="D183" s="6">
        <v>8</v>
      </c>
      <c r="E183" s="6">
        <v>2448</v>
      </c>
      <c r="F183" s="6">
        <v>5.7497084110000003</v>
      </c>
      <c r="G183" s="17" t="s">
        <v>161</v>
      </c>
      <c r="H183" s="29">
        <v>2314.9</v>
      </c>
      <c r="I183" s="1" t="s">
        <v>9</v>
      </c>
      <c r="J183" s="17"/>
      <c r="K183" s="17"/>
    </row>
    <row r="184" spans="1:11" ht="26.5" thickBot="1" x14ac:dyDescent="0.4">
      <c r="A184" s="5">
        <v>46251.635555555556</v>
      </c>
      <c r="B184" s="1" t="s">
        <v>78</v>
      </c>
      <c r="C184" s="1" t="s">
        <v>8</v>
      </c>
      <c r="D184" s="6">
        <v>5</v>
      </c>
      <c r="E184" s="6">
        <v>2190</v>
      </c>
      <c r="F184" s="6">
        <v>5.8994197289999999</v>
      </c>
      <c r="G184" s="17" t="s">
        <v>175</v>
      </c>
      <c r="H184" s="29">
        <v>2068</v>
      </c>
      <c r="I184" s="1" t="s">
        <v>9</v>
      </c>
      <c r="J184" s="17"/>
      <c r="K184" s="17"/>
    </row>
    <row r="185" spans="1:11" ht="26.5" thickBot="1" x14ac:dyDescent="0.4">
      <c r="A185" s="26">
        <v>46251.688634259262</v>
      </c>
      <c r="B185" s="27" t="s">
        <v>7</v>
      </c>
      <c r="C185" s="27" t="s">
        <v>8</v>
      </c>
      <c r="D185" s="28">
        <v>3</v>
      </c>
      <c r="E185" s="28">
        <v>1896</v>
      </c>
      <c r="F185" s="6">
        <v>6.0224794499999996</v>
      </c>
      <c r="G185" s="17" t="s">
        <v>129</v>
      </c>
      <c r="H185" s="29">
        <v>1788.3</v>
      </c>
      <c r="I185" s="1" t="s">
        <v>9</v>
      </c>
      <c r="J185" s="30" t="s">
        <v>124</v>
      </c>
      <c r="K185" s="17"/>
    </row>
    <row r="186" spans="1:11" ht="26.5" thickBot="1" x14ac:dyDescent="0.4">
      <c r="A186" s="5">
        <v>46364.635416666664</v>
      </c>
      <c r="B186" s="1" t="s">
        <v>76</v>
      </c>
      <c r="C186" s="1" t="s">
        <v>8</v>
      </c>
      <c r="D186" s="6">
        <v>2</v>
      </c>
      <c r="E186" s="4">
        <v>2690</v>
      </c>
      <c r="F186" s="6">
        <v>6.2401263819999997</v>
      </c>
      <c r="G186" s="17" t="s">
        <v>173</v>
      </c>
      <c r="H186" s="29">
        <v>2532</v>
      </c>
      <c r="I186" s="1" t="s">
        <v>9</v>
      </c>
      <c r="J186" s="17"/>
      <c r="K186" s="17"/>
    </row>
    <row r="187" spans="1:11" ht="39" thickBot="1" x14ac:dyDescent="0.4">
      <c r="A187" s="5">
        <v>46251.635567129626</v>
      </c>
      <c r="B187" s="1" t="s">
        <v>42</v>
      </c>
      <c r="C187" s="1" t="s">
        <v>8</v>
      </c>
      <c r="D187" s="6">
        <v>10</v>
      </c>
      <c r="E187" s="6">
        <v>1548</v>
      </c>
      <c r="F187" s="6">
        <v>6.2457103639999998</v>
      </c>
      <c r="G187" s="17" t="s">
        <v>150</v>
      </c>
      <c r="H187" s="29">
        <v>1457</v>
      </c>
      <c r="I187" s="1" t="s">
        <v>9</v>
      </c>
      <c r="J187" s="17"/>
      <c r="K187" s="17"/>
    </row>
    <row r="188" spans="1:11" ht="15" thickBot="1" x14ac:dyDescent="0.4">
      <c r="A188" s="5">
        <v>46251.688576388886</v>
      </c>
      <c r="B188" s="1" t="s">
        <v>27</v>
      </c>
      <c r="C188" s="1" t="s">
        <v>8</v>
      </c>
      <c r="D188" s="6">
        <v>50</v>
      </c>
      <c r="E188" s="6">
        <v>305</v>
      </c>
      <c r="F188" s="6">
        <v>6.2717770030000004</v>
      </c>
      <c r="G188" s="17" t="s">
        <v>139</v>
      </c>
      <c r="H188" s="29">
        <v>287</v>
      </c>
      <c r="I188" s="1" t="s">
        <v>9</v>
      </c>
      <c r="J188" s="1" t="s">
        <v>124</v>
      </c>
      <c r="K188" s="17"/>
    </row>
    <row r="189" spans="1:11" ht="26.5" thickBot="1" x14ac:dyDescent="0.4">
      <c r="A189" s="5">
        <v>46251.688692129632</v>
      </c>
      <c r="B189" s="1" t="s">
        <v>39</v>
      </c>
      <c r="C189" s="1" t="s">
        <v>8</v>
      </c>
      <c r="D189" s="6">
        <v>25</v>
      </c>
      <c r="E189" s="6">
        <v>199.9</v>
      </c>
      <c r="F189" s="6">
        <v>6.3467574610000002</v>
      </c>
      <c r="G189" s="17" t="s">
        <v>148</v>
      </c>
      <c r="H189" s="29">
        <v>187.97</v>
      </c>
      <c r="I189" s="1" t="s">
        <v>9</v>
      </c>
      <c r="J189" s="17"/>
      <c r="K189" s="17"/>
    </row>
    <row r="190" spans="1:11" ht="39" thickBot="1" x14ac:dyDescent="0.4">
      <c r="A190" s="5">
        <v>46251.688576388886</v>
      </c>
      <c r="B190" s="1" t="s">
        <v>16</v>
      </c>
      <c r="C190" s="1" t="s">
        <v>8</v>
      </c>
      <c r="D190" s="6">
        <v>5</v>
      </c>
      <c r="E190" s="6">
        <v>467.25</v>
      </c>
      <c r="F190" s="6">
        <v>6.5321477430000003</v>
      </c>
      <c r="G190" s="17" t="s">
        <v>132</v>
      </c>
      <c r="H190" s="29">
        <v>438.6</v>
      </c>
      <c r="I190" s="1" t="s">
        <v>9</v>
      </c>
      <c r="J190" s="1" t="s">
        <v>124</v>
      </c>
      <c r="K190" s="17"/>
    </row>
    <row r="191" spans="1:11" ht="26.5" thickBot="1" x14ac:dyDescent="0.4">
      <c r="A191" s="5">
        <v>46246.635416666664</v>
      </c>
      <c r="B191" s="1" t="s">
        <v>71</v>
      </c>
      <c r="C191" s="1" t="s">
        <v>8</v>
      </c>
      <c r="D191" s="6">
        <v>200</v>
      </c>
      <c r="E191" s="4">
        <v>244</v>
      </c>
      <c r="F191" s="6">
        <v>6.7833698030000003</v>
      </c>
      <c r="G191" s="17" t="s">
        <v>170</v>
      </c>
      <c r="H191" s="29">
        <v>228.5</v>
      </c>
      <c r="I191" s="1" t="s">
        <v>9</v>
      </c>
      <c r="J191" s="17"/>
      <c r="K191" s="17"/>
    </row>
    <row r="192" spans="1:11" ht="26.5" thickBot="1" x14ac:dyDescent="0.4">
      <c r="A192" s="5">
        <v>46239.635416666664</v>
      </c>
      <c r="B192" s="1" t="s">
        <v>77</v>
      </c>
      <c r="C192" s="1" t="s">
        <v>8</v>
      </c>
      <c r="D192" s="6">
        <v>150</v>
      </c>
      <c r="E192" s="4">
        <v>124.9</v>
      </c>
      <c r="F192" s="6">
        <v>6.9807280509999998</v>
      </c>
      <c r="G192" s="17" t="s">
        <v>174</v>
      </c>
      <c r="H192" s="29">
        <v>116.75</v>
      </c>
      <c r="I192" s="1" t="s">
        <v>9</v>
      </c>
      <c r="J192" s="17"/>
      <c r="K192" s="17"/>
    </row>
    <row r="193" spans="1:11" ht="26.5" thickBot="1" x14ac:dyDescent="0.4">
      <c r="A193" s="31">
        <v>46251.688634259262</v>
      </c>
      <c r="B193" s="32" t="s">
        <v>7</v>
      </c>
      <c r="C193" s="32" t="s">
        <v>8</v>
      </c>
      <c r="D193" s="33">
        <v>5</v>
      </c>
      <c r="E193" s="33">
        <v>1914</v>
      </c>
      <c r="F193" s="6">
        <v>7.0290219760000001</v>
      </c>
      <c r="G193" s="17" t="s">
        <v>129</v>
      </c>
      <c r="H193" s="29">
        <v>1788.3</v>
      </c>
      <c r="I193" s="1" t="s">
        <v>9</v>
      </c>
      <c r="J193" s="30" t="s">
        <v>124</v>
      </c>
      <c r="K193" s="17"/>
    </row>
    <row r="194" spans="1:11" ht="26.5" thickBot="1" x14ac:dyDescent="0.4">
      <c r="A194" s="5">
        <v>46211.635416666664</v>
      </c>
      <c r="B194" s="1" t="s">
        <v>76</v>
      </c>
      <c r="C194" s="1" t="s">
        <v>8</v>
      </c>
      <c r="D194" s="6">
        <v>3</v>
      </c>
      <c r="E194" s="4">
        <v>2710</v>
      </c>
      <c r="F194" s="6">
        <v>7.030015798</v>
      </c>
      <c r="G194" s="17" t="s">
        <v>173</v>
      </c>
      <c r="H194" s="29">
        <v>2532</v>
      </c>
      <c r="I194" s="1" t="s">
        <v>9</v>
      </c>
      <c r="J194" s="17"/>
      <c r="K194" s="17"/>
    </row>
    <row r="195" spans="1:11" ht="15" thickBot="1" x14ac:dyDescent="0.4">
      <c r="A195" s="5">
        <v>46251.63553240741</v>
      </c>
      <c r="B195" s="1" t="s">
        <v>51</v>
      </c>
      <c r="C195" s="1" t="s">
        <v>8</v>
      </c>
      <c r="D195" s="6">
        <v>10</v>
      </c>
      <c r="E195" s="6">
        <v>1479</v>
      </c>
      <c r="F195" s="6">
        <v>7.1739130429999998</v>
      </c>
      <c r="G195" s="17" t="s">
        <v>154</v>
      </c>
      <c r="H195" s="29">
        <v>1380</v>
      </c>
      <c r="I195" s="1" t="s">
        <v>9</v>
      </c>
      <c r="J195" s="1" t="s">
        <v>124</v>
      </c>
      <c r="K195" s="17"/>
    </row>
    <row r="196" spans="1:11" ht="26.5" thickBot="1" x14ac:dyDescent="0.4">
      <c r="A196" s="5">
        <v>46247.689583333333</v>
      </c>
      <c r="B196" s="1" t="s">
        <v>32</v>
      </c>
      <c r="C196" s="1" t="s">
        <v>8</v>
      </c>
      <c r="D196" s="6">
        <v>5</v>
      </c>
      <c r="E196" s="6">
        <v>730</v>
      </c>
      <c r="F196" s="6">
        <v>7.1953010280000003</v>
      </c>
      <c r="G196" s="17" t="s">
        <v>142</v>
      </c>
      <c r="H196" s="29">
        <v>681</v>
      </c>
      <c r="I196" s="1" t="s">
        <v>9</v>
      </c>
      <c r="J196" s="17"/>
      <c r="K196" s="17"/>
    </row>
    <row r="197" spans="1:11" ht="26.5" thickBot="1" x14ac:dyDescent="0.4">
      <c r="A197" s="5">
        <v>46303.635416666664</v>
      </c>
      <c r="B197" s="1" t="s">
        <v>74</v>
      </c>
      <c r="C197" s="1" t="s">
        <v>8</v>
      </c>
      <c r="D197" s="6">
        <v>10</v>
      </c>
      <c r="E197" s="4">
        <v>773</v>
      </c>
      <c r="F197" s="6">
        <v>7.2419533850000004</v>
      </c>
      <c r="G197" s="17" t="s">
        <v>172</v>
      </c>
      <c r="H197" s="29">
        <v>720.8</v>
      </c>
      <c r="I197" s="1" t="s">
        <v>9</v>
      </c>
      <c r="J197" s="17"/>
      <c r="K197" s="17"/>
    </row>
    <row r="198" spans="1:11" ht="26.5" thickBot="1" x14ac:dyDescent="0.4">
      <c r="A198" s="5">
        <v>46251.688576388886</v>
      </c>
      <c r="B198" s="1" t="s">
        <v>36</v>
      </c>
      <c r="C198" s="1" t="s">
        <v>8</v>
      </c>
      <c r="D198" s="6">
        <v>120</v>
      </c>
      <c r="E198" s="6">
        <v>300.5</v>
      </c>
      <c r="F198" s="6">
        <v>7.3597713469999997</v>
      </c>
      <c r="G198" s="17" t="s">
        <v>145</v>
      </c>
      <c r="H198" s="29">
        <v>279.89999999999998</v>
      </c>
      <c r="I198" s="1" t="s">
        <v>9</v>
      </c>
      <c r="J198" s="17"/>
      <c r="K198" s="17"/>
    </row>
    <row r="199" spans="1:11" ht="26.5" thickBot="1" x14ac:dyDescent="0.4">
      <c r="A199" s="5">
        <v>46211.635416666664</v>
      </c>
      <c r="B199" s="1" t="s">
        <v>77</v>
      </c>
      <c r="C199" s="1" t="s">
        <v>8</v>
      </c>
      <c r="D199" s="6">
        <v>150</v>
      </c>
      <c r="E199" s="4">
        <v>125.9</v>
      </c>
      <c r="F199" s="6">
        <v>7.8372591009999999</v>
      </c>
      <c r="G199" s="17" t="s">
        <v>174</v>
      </c>
      <c r="H199" s="29">
        <v>116.75</v>
      </c>
      <c r="I199" s="1" t="s">
        <v>9</v>
      </c>
      <c r="J199" s="17"/>
      <c r="K199" s="17"/>
    </row>
    <row r="200" spans="1:11" ht="16" thickBot="1" x14ac:dyDescent="0.4">
      <c r="A200" s="5">
        <v>46239.696527777778</v>
      </c>
      <c r="B200" s="1" t="s">
        <v>18</v>
      </c>
      <c r="C200" s="1" t="s">
        <v>8</v>
      </c>
      <c r="D200" s="6">
        <v>50</v>
      </c>
      <c r="E200" s="4">
        <v>383</v>
      </c>
      <c r="F200" s="6">
        <v>7.902521482</v>
      </c>
      <c r="G200" s="17" t="s">
        <v>133</v>
      </c>
      <c r="H200" s="29">
        <v>354.95</v>
      </c>
      <c r="I200" s="1" t="s">
        <v>9</v>
      </c>
      <c r="J200" s="30" t="s">
        <v>124</v>
      </c>
      <c r="K200" s="17"/>
    </row>
    <row r="201" spans="1:11" ht="39" thickBot="1" x14ac:dyDescent="0.4">
      <c r="A201" s="10" t="s">
        <v>85</v>
      </c>
      <c r="B201" s="1" t="s">
        <v>38</v>
      </c>
      <c r="C201" s="1" t="s">
        <v>8</v>
      </c>
      <c r="D201" s="6">
        <v>30</v>
      </c>
      <c r="E201" s="11">
        <v>974</v>
      </c>
      <c r="F201" s="6">
        <v>8.2282349020000005</v>
      </c>
      <c r="G201" s="17" t="s">
        <v>147</v>
      </c>
      <c r="H201" s="29">
        <v>899.95</v>
      </c>
      <c r="I201" s="1" t="s">
        <v>9</v>
      </c>
      <c r="J201" s="17"/>
      <c r="K201" s="17"/>
    </row>
    <row r="202" spans="1:11" ht="26.5" thickBot="1" x14ac:dyDescent="0.4">
      <c r="A202" s="5">
        <v>46245.693055555559</v>
      </c>
      <c r="B202" s="12" t="s">
        <v>35</v>
      </c>
      <c r="C202" s="1" t="s">
        <v>8</v>
      </c>
      <c r="D202" s="6">
        <v>40</v>
      </c>
      <c r="E202" s="13">
        <v>229</v>
      </c>
      <c r="F202" s="6">
        <v>8.3715867680000002</v>
      </c>
      <c r="G202" s="17" t="s">
        <v>144</v>
      </c>
      <c r="H202" s="29">
        <v>211.31</v>
      </c>
      <c r="I202" s="1" t="s">
        <v>9</v>
      </c>
      <c r="J202" s="17"/>
      <c r="K202" s="17"/>
    </row>
    <row r="203" spans="1:11" ht="16" thickBot="1" x14ac:dyDescent="0.4">
      <c r="A203" s="5">
        <v>46251.635555555556</v>
      </c>
      <c r="B203" s="1" t="s">
        <v>47</v>
      </c>
      <c r="C203" s="1" t="s">
        <v>8</v>
      </c>
      <c r="D203" s="6">
        <v>5</v>
      </c>
      <c r="E203" s="6">
        <v>3633</v>
      </c>
      <c r="F203" s="6">
        <v>8.5319949810000004</v>
      </c>
      <c r="G203" s="17" t="s">
        <v>152</v>
      </c>
      <c r="H203" s="29">
        <v>3347.4</v>
      </c>
      <c r="I203" s="1" t="s">
        <v>9</v>
      </c>
      <c r="J203" s="30" t="s">
        <v>124</v>
      </c>
      <c r="K203" s="17"/>
    </row>
    <row r="204" spans="1:11" ht="26.5" thickBot="1" x14ac:dyDescent="0.4">
      <c r="A204" s="5">
        <v>46247.635416666664</v>
      </c>
      <c r="B204" s="1" t="s">
        <v>93</v>
      </c>
      <c r="C204" s="1" t="s">
        <v>8</v>
      </c>
      <c r="D204" s="6">
        <v>5</v>
      </c>
      <c r="E204" s="6">
        <v>3980</v>
      </c>
      <c r="F204" s="6">
        <v>8.9217296109999999</v>
      </c>
      <c r="G204" s="17" t="s">
        <v>187</v>
      </c>
      <c r="H204" s="29">
        <v>3654</v>
      </c>
      <c r="I204" s="1" t="s">
        <v>9</v>
      </c>
      <c r="J204" s="17"/>
      <c r="K204" s="17"/>
    </row>
    <row r="205" spans="1:11" ht="26.5" thickBot="1" x14ac:dyDescent="0.4">
      <c r="A205" s="5">
        <v>46241.635416666664</v>
      </c>
      <c r="B205" s="1" t="s">
        <v>71</v>
      </c>
      <c r="C205" s="1" t="s">
        <v>8</v>
      </c>
      <c r="D205" s="6">
        <v>200</v>
      </c>
      <c r="E205" s="4">
        <v>249</v>
      </c>
      <c r="F205" s="6">
        <v>8.9715536109999992</v>
      </c>
      <c r="G205" s="17" t="s">
        <v>170</v>
      </c>
      <c r="H205" s="29">
        <v>228.5</v>
      </c>
      <c r="I205" s="1" t="s">
        <v>9</v>
      </c>
      <c r="J205" s="17"/>
      <c r="K205" s="17"/>
    </row>
    <row r="206" spans="1:11" ht="26.5" thickBot="1" x14ac:dyDescent="0.4">
      <c r="A206" s="5">
        <v>46246.689583333333</v>
      </c>
      <c r="B206" s="1" t="s">
        <v>40</v>
      </c>
      <c r="C206" s="1" t="s">
        <v>8</v>
      </c>
      <c r="D206" s="6">
        <v>150</v>
      </c>
      <c r="E206" s="4">
        <v>136</v>
      </c>
      <c r="F206" s="6">
        <v>8.9743589739999994</v>
      </c>
      <c r="G206" s="17" t="s">
        <v>149</v>
      </c>
      <c r="H206" s="29">
        <v>124.8</v>
      </c>
      <c r="I206" s="1" t="s">
        <v>9</v>
      </c>
      <c r="J206" s="17"/>
      <c r="K206" s="17"/>
    </row>
    <row r="207" spans="1:11" ht="39" thickBot="1" x14ac:dyDescent="0.4">
      <c r="A207" s="5">
        <v>46247.635416666664</v>
      </c>
      <c r="B207" s="1" t="s">
        <v>83</v>
      </c>
      <c r="C207" s="1" t="s">
        <v>8</v>
      </c>
      <c r="D207" s="6">
        <v>15</v>
      </c>
      <c r="E207" s="6">
        <v>1090</v>
      </c>
      <c r="F207" s="6">
        <v>9.5257234729999993</v>
      </c>
      <c r="G207" s="17" t="s">
        <v>178</v>
      </c>
      <c r="H207" s="29">
        <v>995.2</v>
      </c>
      <c r="I207" s="1" t="s">
        <v>9</v>
      </c>
      <c r="J207" s="17"/>
      <c r="K207" s="17"/>
    </row>
    <row r="208" spans="1:11" ht="39" thickBot="1" x14ac:dyDescent="0.4">
      <c r="A208" s="10" t="s">
        <v>85</v>
      </c>
      <c r="B208" s="1" t="s">
        <v>38</v>
      </c>
      <c r="C208" s="1" t="s">
        <v>8</v>
      </c>
      <c r="D208" s="6">
        <v>5</v>
      </c>
      <c r="E208" s="4">
        <v>986</v>
      </c>
      <c r="F208" s="6">
        <v>9.5616423130000001</v>
      </c>
      <c r="G208" s="17" t="s">
        <v>147</v>
      </c>
      <c r="H208" s="29">
        <v>899.95</v>
      </c>
      <c r="I208" s="1" t="s">
        <v>9</v>
      </c>
      <c r="J208" s="17"/>
      <c r="K208" s="17"/>
    </row>
    <row r="209" spans="1:11" ht="26.5" thickBot="1" x14ac:dyDescent="0.4">
      <c r="A209" s="5">
        <v>46211.635416666664</v>
      </c>
      <c r="B209" s="1" t="s">
        <v>74</v>
      </c>
      <c r="C209" s="1" t="s">
        <v>8</v>
      </c>
      <c r="D209" s="6">
        <v>5</v>
      </c>
      <c r="E209" s="4">
        <v>790</v>
      </c>
      <c r="F209" s="6">
        <v>9.6004439510000008</v>
      </c>
      <c r="G209" s="17" t="s">
        <v>172</v>
      </c>
      <c r="H209" s="29">
        <v>720.8</v>
      </c>
      <c r="I209" s="1" t="s">
        <v>9</v>
      </c>
      <c r="J209" s="17"/>
      <c r="K209" s="17"/>
    </row>
    <row r="210" spans="1:11" ht="15" thickBot="1" x14ac:dyDescent="0.4">
      <c r="A210" s="5">
        <v>46303.635416666664</v>
      </c>
      <c r="B210" s="1" t="s">
        <v>94</v>
      </c>
      <c r="C210" s="1" t="s">
        <v>8</v>
      </c>
      <c r="D210" s="6">
        <v>50</v>
      </c>
      <c r="E210" s="4">
        <v>480</v>
      </c>
      <c r="F210" s="6">
        <v>9.7142857140000007</v>
      </c>
      <c r="G210" s="17" t="s">
        <v>188</v>
      </c>
      <c r="H210" s="29">
        <v>437.5</v>
      </c>
      <c r="I210" s="1" t="s">
        <v>9</v>
      </c>
      <c r="J210" s="17"/>
      <c r="K210" s="17"/>
    </row>
    <row r="211" spans="1:11" ht="26.5" thickBot="1" x14ac:dyDescent="0.4">
      <c r="A211" s="5">
        <v>46244.635416666664</v>
      </c>
      <c r="B211" s="1" t="s">
        <v>64</v>
      </c>
      <c r="C211" s="1" t="s">
        <v>8</v>
      </c>
      <c r="D211" s="6">
        <v>11</v>
      </c>
      <c r="E211" s="4">
        <v>1170</v>
      </c>
      <c r="F211" s="6">
        <v>9.8591549300000008</v>
      </c>
      <c r="G211" s="17" t="s">
        <v>164</v>
      </c>
      <c r="H211" s="29">
        <v>1065</v>
      </c>
      <c r="I211" s="1" t="s">
        <v>9</v>
      </c>
      <c r="J211" s="17"/>
      <c r="K211" s="17"/>
    </row>
    <row r="212" spans="1:11" ht="26.5" thickBot="1" x14ac:dyDescent="0.4">
      <c r="A212" s="5">
        <v>46364.689583333333</v>
      </c>
      <c r="B212" s="1" t="s">
        <v>32</v>
      </c>
      <c r="C212" s="1" t="s">
        <v>8</v>
      </c>
      <c r="D212" s="6">
        <v>11</v>
      </c>
      <c r="E212" s="4">
        <v>749</v>
      </c>
      <c r="F212" s="6">
        <v>9.9853157120000002</v>
      </c>
      <c r="G212" s="17" t="s">
        <v>142</v>
      </c>
      <c r="H212" s="29">
        <v>681</v>
      </c>
      <c r="I212" s="1" t="s">
        <v>9</v>
      </c>
      <c r="J212" s="17"/>
      <c r="K212" s="17"/>
    </row>
    <row r="213" spans="1:11" ht="15" thickBot="1" x14ac:dyDescent="0.4">
      <c r="A213" s="5">
        <v>46247.689583333333</v>
      </c>
      <c r="B213" s="1" t="s">
        <v>27</v>
      </c>
      <c r="C213" s="1" t="s">
        <v>8</v>
      </c>
      <c r="D213" s="6">
        <v>50</v>
      </c>
      <c r="E213" s="6">
        <v>317</v>
      </c>
      <c r="F213" s="6">
        <v>10.452961670000001</v>
      </c>
      <c r="G213" s="17" t="s">
        <v>139</v>
      </c>
      <c r="H213" s="29">
        <v>287</v>
      </c>
      <c r="I213" s="1" t="s">
        <v>9</v>
      </c>
      <c r="J213" s="1" t="s">
        <v>124</v>
      </c>
      <c r="K213" s="17"/>
    </row>
    <row r="214" spans="1:11" ht="39" thickBot="1" x14ac:dyDescent="0.4">
      <c r="A214" s="10" t="s">
        <v>85</v>
      </c>
      <c r="B214" s="12" t="s">
        <v>38</v>
      </c>
      <c r="C214" s="1" t="s">
        <v>8</v>
      </c>
      <c r="D214" s="6">
        <v>40</v>
      </c>
      <c r="E214" s="13">
        <v>996</v>
      </c>
      <c r="F214" s="6">
        <v>10.672815160000001</v>
      </c>
      <c r="G214" s="17" t="s">
        <v>147</v>
      </c>
      <c r="H214" s="29">
        <v>899.95</v>
      </c>
      <c r="I214" s="1" t="s">
        <v>9</v>
      </c>
      <c r="J214" s="17"/>
      <c r="K214" s="17"/>
    </row>
    <row r="215" spans="1:11" ht="16" thickBot="1" x14ac:dyDescent="0.4">
      <c r="A215" s="5">
        <v>46247.635416666664</v>
      </c>
      <c r="B215" s="1" t="s">
        <v>47</v>
      </c>
      <c r="C215" s="1" t="s">
        <v>8</v>
      </c>
      <c r="D215" s="6">
        <v>1</v>
      </c>
      <c r="E215" s="6">
        <v>3710</v>
      </c>
      <c r="F215" s="6">
        <v>10.832287750000001</v>
      </c>
      <c r="G215" s="17" t="s">
        <v>152</v>
      </c>
      <c r="H215" s="29">
        <v>3347.4</v>
      </c>
      <c r="I215" s="1" t="s">
        <v>9</v>
      </c>
      <c r="J215" s="30" t="s">
        <v>124</v>
      </c>
      <c r="K215" s="17"/>
    </row>
    <row r="216" spans="1:11" ht="26.5" thickBot="1" x14ac:dyDescent="0.4">
      <c r="A216" s="5">
        <v>46247.689583333333</v>
      </c>
      <c r="B216" s="1" t="s">
        <v>36</v>
      </c>
      <c r="C216" s="1" t="s">
        <v>8</v>
      </c>
      <c r="D216" s="6">
        <v>100</v>
      </c>
      <c r="E216" s="6">
        <v>310.5</v>
      </c>
      <c r="F216" s="6">
        <v>10.93247588</v>
      </c>
      <c r="G216" s="17" t="s">
        <v>145</v>
      </c>
      <c r="H216" s="29">
        <v>279.89999999999998</v>
      </c>
      <c r="I216" s="1" t="s">
        <v>9</v>
      </c>
      <c r="J216" s="17"/>
      <c r="K216" s="17"/>
    </row>
    <row r="217" spans="1:11" ht="39" thickBot="1" x14ac:dyDescent="0.4">
      <c r="A217" s="10" t="s">
        <v>85</v>
      </c>
      <c r="B217" s="1" t="s">
        <v>38</v>
      </c>
      <c r="C217" s="1" t="s">
        <v>8</v>
      </c>
      <c r="D217" s="6">
        <v>5</v>
      </c>
      <c r="E217" s="4">
        <v>1002</v>
      </c>
      <c r="F217" s="6">
        <v>11.33951886</v>
      </c>
      <c r="G217" s="17" t="s">
        <v>147</v>
      </c>
      <c r="H217" s="29">
        <v>899.95</v>
      </c>
      <c r="I217" s="1" t="s">
        <v>9</v>
      </c>
      <c r="J217" s="17"/>
      <c r="K217" s="17"/>
    </row>
    <row r="218" spans="1:11" ht="15" thickBot="1" x14ac:dyDescent="0.4">
      <c r="A218" s="5">
        <v>46247.689583333333</v>
      </c>
      <c r="B218" s="1" t="s">
        <v>27</v>
      </c>
      <c r="C218" s="1" t="s">
        <v>8</v>
      </c>
      <c r="D218" s="6">
        <v>40</v>
      </c>
      <c r="E218" s="6">
        <v>320.5</v>
      </c>
      <c r="F218" s="6">
        <v>11.672473869999999</v>
      </c>
      <c r="G218" s="17" t="s">
        <v>139</v>
      </c>
      <c r="H218" s="29">
        <v>287</v>
      </c>
      <c r="I218" s="1" t="s">
        <v>9</v>
      </c>
      <c r="J218" s="1" t="s">
        <v>124</v>
      </c>
      <c r="K218" s="17"/>
    </row>
    <row r="219" spans="1:11" ht="26.5" thickBot="1" x14ac:dyDescent="0.4">
      <c r="A219" s="5">
        <v>46247.689583333333</v>
      </c>
      <c r="B219" s="1" t="s">
        <v>39</v>
      </c>
      <c r="C219" s="1" t="s">
        <v>8</v>
      </c>
      <c r="D219" s="6">
        <v>25</v>
      </c>
      <c r="E219" s="6">
        <v>210</v>
      </c>
      <c r="F219" s="6">
        <v>11.71995531</v>
      </c>
      <c r="G219" s="17" t="s">
        <v>148</v>
      </c>
      <c r="H219" s="29">
        <v>187.97</v>
      </c>
      <c r="I219" s="1" t="s">
        <v>9</v>
      </c>
      <c r="J219" s="17"/>
      <c r="K219" s="17"/>
    </row>
    <row r="220" spans="1:11" ht="26.5" thickBot="1" x14ac:dyDescent="0.4">
      <c r="A220" s="10" t="s">
        <v>85</v>
      </c>
      <c r="B220" s="1" t="s">
        <v>36</v>
      </c>
      <c r="C220" s="1" t="s">
        <v>8</v>
      </c>
      <c r="D220" s="6">
        <v>100</v>
      </c>
      <c r="E220" s="11">
        <v>314</v>
      </c>
      <c r="F220" s="6">
        <v>12.182922469999999</v>
      </c>
      <c r="G220" s="17" t="s">
        <v>145</v>
      </c>
      <c r="H220" s="29">
        <v>279.89999999999998</v>
      </c>
      <c r="I220" s="1" t="s">
        <v>9</v>
      </c>
      <c r="J220" s="17"/>
      <c r="K220" s="17"/>
    </row>
    <row r="221" spans="1:11" ht="26.5" thickBot="1" x14ac:dyDescent="0.4">
      <c r="A221" s="2">
        <v>46251.688634259262</v>
      </c>
      <c r="B221" s="3" t="s">
        <v>7</v>
      </c>
      <c r="C221" s="3" t="s">
        <v>8</v>
      </c>
      <c r="D221" s="4">
        <v>5</v>
      </c>
      <c r="E221" s="4">
        <v>2014</v>
      </c>
      <c r="F221" s="6">
        <v>12.6209249</v>
      </c>
      <c r="G221" s="17" t="s">
        <v>129</v>
      </c>
      <c r="H221" s="29">
        <v>1788.3</v>
      </c>
      <c r="I221" s="1" t="s">
        <v>9</v>
      </c>
      <c r="J221" s="30" t="s">
        <v>124</v>
      </c>
      <c r="K221" s="17"/>
    </row>
    <row r="222" spans="1:11" ht="15" thickBot="1" x14ac:dyDescent="0.4">
      <c r="A222" s="10" t="s">
        <v>85</v>
      </c>
      <c r="B222" s="1" t="s">
        <v>94</v>
      </c>
      <c r="C222" s="1" t="s">
        <v>8</v>
      </c>
      <c r="D222" s="6">
        <v>35</v>
      </c>
      <c r="E222" s="11">
        <v>494</v>
      </c>
      <c r="F222" s="6">
        <v>12.91428571</v>
      </c>
      <c r="G222" s="17" t="s">
        <v>188</v>
      </c>
      <c r="H222" s="29">
        <v>437.5</v>
      </c>
      <c r="I222" s="1" t="s">
        <v>9</v>
      </c>
      <c r="J222" s="17"/>
      <c r="K222" s="17"/>
    </row>
    <row r="223" spans="1:11" ht="26.5" thickBot="1" x14ac:dyDescent="0.4">
      <c r="A223" s="5">
        <v>46211.635416666664</v>
      </c>
      <c r="B223" s="1" t="s">
        <v>73</v>
      </c>
      <c r="C223" s="1" t="s">
        <v>8</v>
      </c>
      <c r="D223" s="6">
        <v>3</v>
      </c>
      <c r="E223" s="4">
        <v>3341</v>
      </c>
      <c r="F223" s="6">
        <v>13.06643203</v>
      </c>
      <c r="G223" s="17" t="s">
        <v>171</v>
      </c>
      <c r="H223" s="29">
        <v>2954.9</v>
      </c>
      <c r="I223" s="1" t="s">
        <v>9</v>
      </c>
      <c r="J223" s="17"/>
      <c r="K223" s="17"/>
    </row>
    <row r="224" spans="1:11" ht="26.5" thickBot="1" x14ac:dyDescent="0.4">
      <c r="A224" s="5">
        <v>46239.788888888892</v>
      </c>
      <c r="B224" s="1" t="s">
        <v>36</v>
      </c>
      <c r="C224" s="1" t="s">
        <v>8</v>
      </c>
      <c r="D224" s="6">
        <v>100</v>
      </c>
      <c r="E224" s="4">
        <v>318</v>
      </c>
      <c r="F224" s="6">
        <v>13.61200429</v>
      </c>
      <c r="G224" s="17" t="s">
        <v>145</v>
      </c>
      <c r="H224" s="29">
        <v>279.89999999999998</v>
      </c>
      <c r="I224" s="1" t="s">
        <v>9</v>
      </c>
      <c r="J224" s="17"/>
      <c r="K224" s="17"/>
    </row>
    <row r="225" spans="1:11" ht="26.5" thickBot="1" x14ac:dyDescent="0.4">
      <c r="A225" s="5">
        <v>46247.645138888889</v>
      </c>
      <c r="B225" s="1" t="s">
        <v>79</v>
      </c>
      <c r="C225" s="1" t="s">
        <v>8</v>
      </c>
      <c r="D225" s="6">
        <v>5</v>
      </c>
      <c r="E225" s="6">
        <v>596</v>
      </c>
      <c r="F225" s="6">
        <v>13.63203051</v>
      </c>
      <c r="G225" s="17" t="s">
        <v>176</v>
      </c>
      <c r="H225" s="29">
        <v>524.5</v>
      </c>
      <c r="I225" s="1" t="s">
        <v>9</v>
      </c>
      <c r="J225" s="17"/>
      <c r="K225" s="17"/>
    </row>
    <row r="226" spans="1:11" ht="16" thickBot="1" x14ac:dyDescent="0.4">
      <c r="A226" s="5">
        <v>46364.635416666664</v>
      </c>
      <c r="B226" s="1" t="s">
        <v>47</v>
      </c>
      <c r="C226" s="1" t="s">
        <v>8</v>
      </c>
      <c r="D226" s="6">
        <v>1</v>
      </c>
      <c r="E226" s="4">
        <v>3810</v>
      </c>
      <c r="F226" s="6">
        <v>13.81968095</v>
      </c>
      <c r="G226" s="17" t="s">
        <v>152</v>
      </c>
      <c r="H226" s="29">
        <v>3347.4</v>
      </c>
      <c r="I226" s="1" t="s">
        <v>9</v>
      </c>
      <c r="J226" s="30" t="s">
        <v>124</v>
      </c>
      <c r="K226" s="17"/>
    </row>
    <row r="227" spans="1:11" ht="26.5" thickBot="1" x14ac:dyDescent="0.4">
      <c r="A227" s="10" t="s">
        <v>85</v>
      </c>
      <c r="B227" s="1" t="s">
        <v>36</v>
      </c>
      <c r="C227" s="1" t="s">
        <v>8</v>
      </c>
      <c r="D227" s="6">
        <v>100</v>
      </c>
      <c r="E227" s="11">
        <v>319</v>
      </c>
      <c r="F227" s="6">
        <v>13.969274739999999</v>
      </c>
      <c r="G227" s="17" t="s">
        <v>145</v>
      </c>
      <c r="H227" s="29">
        <v>279.89999999999998</v>
      </c>
      <c r="I227" s="1" t="s">
        <v>9</v>
      </c>
      <c r="J227" s="17"/>
      <c r="K227" s="17"/>
    </row>
    <row r="228" spans="1:11" ht="26.5" thickBot="1" x14ac:dyDescent="0.4">
      <c r="A228" s="5">
        <v>46150.788888888892</v>
      </c>
      <c r="B228" s="1" t="s">
        <v>36</v>
      </c>
      <c r="C228" s="1" t="s">
        <v>8</v>
      </c>
      <c r="D228" s="6">
        <v>150</v>
      </c>
      <c r="E228" s="4">
        <v>323</v>
      </c>
      <c r="F228" s="6">
        <v>15.39835656</v>
      </c>
      <c r="G228" s="17" t="s">
        <v>145</v>
      </c>
      <c r="H228" s="29">
        <v>279.89999999999998</v>
      </c>
      <c r="I228" s="1" t="s">
        <v>9</v>
      </c>
      <c r="J228" s="17"/>
      <c r="K228" s="17"/>
    </row>
    <row r="229" spans="1:11" ht="26.5" thickBot="1" x14ac:dyDescent="0.4">
      <c r="A229" s="34">
        <v>46251.688634259262</v>
      </c>
      <c r="B229" s="35" t="s">
        <v>7</v>
      </c>
      <c r="C229" s="35" t="s">
        <v>8</v>
      </c>
      <c r="D229" s="36">
        <v>5</v>
      </c>
      <c r="E229" s="36">
        <v>2094</v>
      </c>
      <c r="F229" s="6">
        <v>17.094447240000001</v>
      </c>
      <c r="G229" s="17" t="s">
        <v>129</v>
      </c>
      <c r="H229" s="29">
        <v>1788.3</v>
      </c>
      <c r="I229" s="1" t="s">
        <v>9</v>
      </c>
      <c r="J229" s="30" t="s">
        <v>124</v>
      </c>
      <c r="K229" s="17"/>
    </row>
    <row r="230" spans="1:11" ht="39" thickBot="1" x14ac:dyDescent="0.4">
      <c r="A230" s="14">
        <v>46334.645833333336</v>
      </c>
      <c r="B230" s="15" t="s">
        <v>83</v>
      </c>
      <c r="C230" s="15" t="s">
        <v>8</v>
      </c>
      <c r="D230" s="16">
        <v>7</v>
      </c>
      <c r="E230" s="4">
        <v>1170</v>
      </c>
      <c r="F230" s="6">
        <v>17.56430868</v>
      </c>
      <c r="G230" s="17" t="s">
        <v>178</v>
      </c>
      <c r="H230" s="29">
        <v>995.2</v>
      </c>
      <c r="I230" s="1" t="s">
        <v>9</v>
      </c>
      <c r="J230" s="17"/>
      <c r="K230" s="17"/>
    </row>
    <row r="231" spans="1:11" ht="26.5" thickBot="1" x14ac:dyDescent="0.4">
      <c r="A231" s="5">
        <v>46251.688634259262</v>
      </c>
      <c r="B231" s="1" t="s">
        <v>7</v>
      </c>
      <c r="C231" s="1" t="s">
        <v>8</v>
      </c>
      <c r="D231" s="6">
        <v>10</v>
      </c>
      <c r="E231" s="6">
        <v>2114</v>
      </c>
      <c r="F231" s="6">
        <v>18.212827829999998</v>
      </c>
      <c r="G231" s="17" t="s">
        <v>129</v>
      </c>
      <c r="H231" s="29">
        <v>1788.3</v>
      </c>
      <c r="I231" s="1" t="s">
        <v>9</v>
      </c>
      <c r="J231" s="30" t="s">
        <v>124</v>
      </c>
      <c r="K231" s="17"/>
    </row>
    <row r="232" spans="1:11" ht="26.5" thickBot="1" x14ac:dyDescent="0.4">
      <c r="A232" s="5">
        <v>46364.689583333333</v>
      </c>
      <c r="B232" s="1" t="s">
        <v>21</v>
      </c>
      <c r="C232" s="1" t="s">
        <v>8</v>
      </c>
      <c r="D232" s="6">
        <v>5</v>
      </c>
      <c r="E232" s="4">
        <v>416</v>
      </c>
      <c r="F232" s="6">
        <v>21.637426900000001</v>
      </c>
      <c r="G232" s="17" t="s">
        <v>135</v>
      </c>
      <c r="H232" s="29">
        <v>342</v>
      </c>
      <c r="I232" s="1" t="s">
        <v>9</v>
      </c>
      <c r="J232" s="1" t="s">
        <v>124</v>
      </c>
      <c r="K232" s="17"/>
    </row>
    <row r="233" spans="1:11" ht="26.5" thickBot="1" x14ac:dyDescent="0.4">
      <c r="A233" s="5">
        <v>46251.688634259262</v>
      </c>
      <c r="B233" s="1" t="s">
        <v>7</v>
      </c>
      <c r="C233" s="1" t="s">
        <v>8</v>
      </c>
      <c r="D233" s="6">
        <v>10</v>
      </c>
      <c r="E233" s="6">
        <v>2189</v>
      </c>
      <c r="F233" s="6">
        <v>22.406755019999999</v>
      </c>
      <c r="G233" s="17" t="s">
        <v>129</v>
      </c>
      <c r="H233" s="29">
        <v>1788.3</v>
      </c>
      <c r="I233" s="1" t="s">
        <v>9</v>
      </c>
      <c r="J233" s="30" t="s">
        <v>124</v>
      </c>
      <c r="K233" s="17"/>
    </row>
    <row r="234" spans="1:11" ht="26.5" thickBot="1" x14ac:dyDescent="0.4">
      <c r="A234" s="5">
        <v>46246.689583333333</v>
      </c>
      <c r="B234" s="1" t="s">
        <v>21</v>
      </c>
      <c r="C234" s="1" t="s">
        <v>8</v>
      </c>
      <c r="D234" s="6">
        <v>5</v>
      </c>
      <c r="E234" s="4">
        <v>435</v>
      </c>
      <c r="F234" s="6">
        <v>27.19298246</v>
      </c>
      <c r="G234" s="17" t="s">
        <v>135</v>
      </c>
      <c r="H234" s="29">
        <v>342</v>
      </c>
      <c r="I234" s="1" t="s">
        <v>9</v>
      </c>
      <c r="J234" s="1" t="s">
        <v>124</v>
      </c>
      <c r="K234" s="17"/>
    </row>
    <row r="235" spans="1:11" ht="26.5" thickBot="1" x14ac:dyDescent="0.4">
      <c r="A235" s="5">
        <v>46251.688634259262</v>
      </c>
      <c r="B235" s="1" t="s">
        <v>7</v>
      </c>
      <c r="C235" s="1" t="s">
        <v>8</v>
      </c>
      <c r="D235" s="6">
        <v>20</v>
      </c>
      <c r="E235" s="6">
        <v>2310</v>
      </c>
      <c r="F235" s="6">
        <v>29.17295756</v>
      </c>
      <c r="G235" s="17" t="s">
        <v>129</v>
      </c>
      <c r="H235" s="29">
        <v>1788.3</v>
      </c>
      <c r="I235" s="1" t="s">
        <v>9</v>
      </c>
      <c r="J235" s="30" t="s">
        <v>124</v>
      </c>
      <c r="K235" s="17"/>
    </row>
    <row r="236" spans="1:11" ht="26.5" thickBot="1" x14ac:dyDescent="0.4">
      <c r="A236" s="5">
        <v>46247.689583333333</v>
      </c>
      <c r="B236" s="1" t="s">
        <v>7</v>
      </c>
      <c r="C236" s="1" t="s">
        <v>8</v>
      </c>
      <c r="D236" s="6">
        <v>1</v>
      </c>
      <c r="E236" s="6">
        <v>2494</v>
      </c>
      <c r="F236" s="6">
        <v>39.462058939999999</v>
      </c>
      <c r="G236" s="17" t="s">
        <v>129</v>
      </c>
      <c r="H236" s="29">
        <v>1788.3</v>
      </c>
      <c r="I236" s="1" t="s">
        <v>9</v>
      </c>
      <c r="J236" s="30" t="s">
        <v>124</v>
      </c>
      <c r="K236" s="17"/>
    </row>
    <row r="237" spans="1:11" ht="26.5" thickBot="1" x14ac:dyDescent="0.4">
      <c r="A237" s="6" t="s">
        <v>190</v>
      </c>
      <c r="B237" s="1" t="s">
        <v>7</v>
      </c>
      <c r="C237" s="1" t="s">
        <v>8</v>
      </c>
      <c r="D237" s="6">
        <v>3</v>
      </c>
      <c r="E237" s="6">
        <v>2494</v>
      </c>
      <c r="F237" s="6">
        <v>39.462058939999999</v>
      </c>
      <c r="G237" s="17" t="s">
        <v>129</v>
      </c>
      <c r="H237" s="29">
        <v>1788.3</v>
      </c>
      <c r="I237" s="1" t="s">
        <v>9</v>
      </c>
      <c r="J237" s="1" t="s">
        <v>122</v>
      </c>
      <c r="K237" s="17"/>
    </row>
    <row r="238" spans="1:11" ht="26.5" thickBot="1" x14ac:dyDescent="0.4">
      <c r="A238" s="5">
        <v>46239.793055555558</v>
      </c>
      <c r="B238" s="1" t="s">
        <v>95</v>
      </c>
      <c r="C238" s="1" t="s">
        <v>8</v>
      </c>
      <c r="D238" s="6">
        <v>23</v>
      </c>
      <c r="E238" s="4">
        <v>890</v>
      </c>
      <c r="F238" s="10" t="e">
        <v>#N/A</v>
      </c>
      <c r="G238" s="17" t="s">
        <v>189</v>
      </c>
      <c r="H238" s="37" t="e">
        <v>#N/A</v>
      </c>
      <c r="I238" s="1" t="s">
        <v>9</v>
      </c>
      <c r="J238" s="17"/>
      <c r="K238" s="17"/>
    </row>
  </sheetData>
  <autoFilter ref="A1:K238" xr:uid="{00000000-0001-0000-0000-000000000000}">
    <filterColumn colId="2">
      <filters>
        <filter val="S"/>
      </filters>
    </filterColumn>
    <sortState xmlns:xlrd2="http://schemas.microsoft.com/office/spreadsheetml/2017/richdata2" ref="A2:K238">
      <sortCondition ref="F1"/>
    </sortState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305BF-A2A0-4D4A-B425-623EC32451A8}">
  <sheetPr filterMode="1"/>
  <dimension ref="A1:H234"/>
  <sheetViews>
    <sheetView workbookViewId="0">
      <selection sqref="A1:E233"/>
    </sheetView>
  </sheetViews>
  <sheetFormatPr defaultRowHeight="14.5" x14ac:dyDescent="0.35"/>
  <cols>
    <col min="1" max="1" width="23.36328125" customWidth="1"/>
    <col min="2" max="2" width="17.90625" customWidth="1"/>
  </cols>
  <sheetData>
    <row r="1" spans="1:8" ht="58.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8" ht="15" thickBot="1" x14ac:dyDescent="0.4">
      <c r="A2" s="2">
        <v>46247.645138888889</v>
      </c>
      <c r="B2" s="3" t="s">
        <v>51</v>
      </c>
      <c r="C2" s="3" t="s">
        <v>12</v>
      </c>
      <c r="D2" s="4">
        <v>10</v>
      </c>
      <c r="E2" s="4">
        <v>1400</v>
      </c>
      <c r="H2" t="e">
        <f>IF(COUNTIFS(
    Sheet1!#REF!, B2,
    Sheet1!#REF!, C2,
    Sheet1!#REF!, D2,
    Sheet1!#REF!, E2
) = 0, "NO MATCH IN TARGET", "MATCHED")</f>
        <v>#REF!</v>
      </c>
    </row>
    <row r="3" spans="1:8" ht="15" thickBot="1" x14ac:dyDescent="0.4">
      <c r="A3" s="5">
        <v>46248.644884259258</v>
      </c>
      <c r="B3" s="1" t="s">
        <v>49</v>
      </c>
      <c r="C3" s="1" t="s">
        <v>12</v>
      </c>
      <c r="D3" s="6">
        <v>100</v>
      </c>
      <c r="E3" s="6">
        <v>87.3</v>
      </c>
      <c r="H3" t="e">
        <f>IF(COUNTIFS(
    Sheet1!#REF!, B3,
    Sheet1!#REF!, C3,
    Sheet1!#REF!, D3,
    Sheet1!#REF!, E3
) = 0, "NO MATCH IN TARGET", "MATCHED")</f>
        <v>#REF!</v>
      </c>
    </row>
    <row r="4" spans="1:8" ht="15" thickBot="1" x14ac:dyDescent="0.4">
      <c r="A4" s="5">
        <v>46248.769108796296</v>
      </c>
      <c r="B4" s="1" t="s">
        <v>19</v>
      </c>
      <c r="C4" s="1" t="s">
        <v>12</v>
      </c>
      <c r="D4" s="6">
        <v>10</v>
      </c>
      <c r="E4" s="6">
        <v>2601</v>
      </c>
      <c r="H4" t="e">
        <f>IF(COUNTIFS(
    Sheet1!#REF!, B4,
    Sheet1!#REF!, C4,
    Sheet1!#REF!, D4,
    Sheet1!#REF!, E4
) = 0, "NO MATCH IN TARGET", "MATCHED")</f>
        <v>#REF!</v>
      </c>
    </row>
    <row r="5" spans="1:8" ht="15" hidden="1" thickBot="1" x14ac:dyDescent="0.4">
      <c r="A5" s="5">
        <v>46248.644884259258</v>
      </c>
      <c r="B5" s="1" t="s">
        <v>76</v>
      </c>
      <c r="C5" s="1" t="s">
        <v>12</v>
      </c>
      <c r="D5" s="6">
        <v>2</v>
      </c>
      <c r="E5" s="6">
        <v>2460</v>
      </c>
      <c r="H5" t="e">
        <f>IF(COUNTIFS(
    Sheet1!#REF!, B5,
    Sheet1!#REF!, C5,
    Sheet1!#REF!, D5,
    Sheet1!#REF!, E5
) = 0, "NO MATCH IN TARGET", "MATCHED")</f>
        <v>#REF!</v>
      </c>
    </row>
    <row r="6" spans="1:8" ht="15" thickBot="1" x14ac:dyDescent="0.4">
      <c r="A6" s="5">
        <v>46248.644895833335</v>
      </c>
      <c r="B6" s="1" t="s">
        <v>47</v>
      </c>
      <c r="C6" s="1" t="s">
        <v>12</v>
      </c>
      <c r="D6" s="6">
        <v>2</v>
      </c>
      <c r="E6" s="6">
        <v>3410</v>
      </c>
      <c r="H6" t="e">
        <f>IF(COUNTIFS(
    Sheet1!#REF!, B6,
    Sheet1!#REF!, C6,
    Sheet1!#REF!, D6,
    Sheet1!#REF!, E6
) = 0, "NO MATCH IN TARGET", "MATCHED")</f>
        <v>#REF!</v>
      </c>
    </row>
    <row r="7" spans="1:8" ht="15" hidden="1" thickBot="1" x14ac:dyDescent="0.4">
      <c r="A7" s="5">
        <v>46248.644837962966</v>
      </c>
      <c r="B7" s="1" t="s">
        <v>66</v>
      </c>
      <c r="C7" s="1" t="s">
        <v>12</v>
      </c>
      <c r="D7" s="6">
        <v>5</v>
      </c>
      <c r="E7" s="6">
        <v>1152</v>
      </c>
      <c r="H7" t="e">
        <f>IF(COUNTIFS(
    Sheet1!#REF!, B7,
    Sheet1!#REF!, C7,
    Sheet1!#REF!, D7,
    Sheet1!#REF!, E7
) = 0, "NO MATCH IN TARGET", "MATCHED")</f>
        <v>#REF!</v>
      </c>
    </row>
    <row r="8" spans="1:8" ht="15" hidden="1" thickBot="1" x14ac:dyDescent="0.4">
      <c r="A8" s="5">
        <v>46248.644872685189</v>
      </c>
      <c r="B8" s="1" t="s">
        <v>74</v>
      </c>
      <c r="C8" s="1" t="s">
        <v>12</v>
      </c>
      <c r="D8" s="6">
        <v>5</v>
      </c>
      <c r="E8" s="6">
        <v>712</v>
      </c>
      <c r="H8" t="e">
        <f>IF(COUNTIFS(
    Sheet1!#REF!, B8,
    Sheet1!#REF!, C8,
    Sheet1!#REF!, D8,
    Sheet1!#REF!, E8
) = 0, "NO MATCH IN TARGET", "MATCHED")</f>
        <v>#REF!</v>
      </c>
    </row>
    <row r="9" spans="1:8" ht="15" thickBot="1" x14ac:dyDescent="0.4">
      <c r="A9" s="5">
        <v>46248.769108796296</v>
      </c>
      <c r="B9" s="1" t="s">
        <v>19</v>
      </c>
      <c r="C9" s="1" t="s">
        <v>12</v>
      </c>
      <c r="D9" s="6">
        <v>10</v>
      </c>
      <c r="E9" s="6">
        <v>2583</v>
      </c>
      <c r="H9" t="e">
        <f>IF(COUNTIFS(
    Sheet1!#REF!, B9,
    Sheet1!#REF!, C9,
    Sheet1!#REF!, D9,
    Sheet1!#REF!, E9
) = 0, "NO MATCH IN TARGET", "MATCHED")</f>
        <v>#REF!</v>
      </c>
    </row>
    <row r="10" spans="1:8" ht="15" hidden="1" thickBot="1" x14ac:dyDescent="0.4">
      <c r="A10" s="5">
        <v>46248.644872685189</v>
      </c>
      <c r="B10" s="1" t="s">
        <v>68</v>
      </c>
      <c r="C10" s="1" t="s">
        <v>12</v>
      </c>
      <c r="D10" s="6">
        <v>5</v>
      </c>
      <c r="E10" s="6">
        <v>4002</v>
      </c>
      <c r="H10" t="e">
        <f>IF(COUNTIFS(
    Sheet1!#REF!, B10,
    Sheet1!#REF!, C10,
    Sheet1!#REF!, D10,
    Sheet1!#REF!, E10
) = 0, "NO MATCH IN TARGET", "MATCHED")</f>
        <v>#REF!</v>
      </c>
    </row>
    <row r="11" spans="1:8" ht="15" hidden="1" thickBot="1" x14ac:dyDescent="0.4">
      <c r="A11" s="5">
        <v>46248.769108796296</v>
      </c>
      <c r="B11" s="1" t="s">
        <v>19</v>
      </c>
      <c r="C11" s="1" t="s">
        <v>12</v>
      </c>
      <c r="D11" s="6">
        <v>10</v>
      </c>
      <c r="E11" s="6">
        <v>2578</v>
      </c>
      <c r="H11" t="e">
        <f>IF(COUNTIFS(
    Sheet1!#REF!, B11,
    Sheet1!#REF!, C11,
    Sheet1!#REF!, D11,
    Sheet1!#REF!, E11
) = 0, "NO MATCH IN TARGET", "MATCHED")</f>
        <v>#REF!</v>
      </c>
    </row>
    <row r="12" spans="1:8" ht="15" hidden="1" thickBot="1" x14ac:dyDescent="0.4">
      <c r="A12" s="5">
        <v>46248.769108796296</v>
      </c>
      <c r="B12" s="1" t="s">
        <v>18</v>
      </c>
      <c r="C12" s="1" t="s">
        <v>12</v>
      </c>
      <c r="D12" s="6">
        <v>100</v>
      </c>
      <c r="E12" s="6">
        <v>341</v>
      </c>
      <c r="H12" t="e">
        <f>IF(COUNTIFS(
    Sheet1!#REF!, B12,
    Sheet1!#REF!, C12,
    Sheet1!#REF!, D12,
    Sheet1!#REF!, E12
) = 0, "NO MATCH IN TARGET", "MATCHED")</f>
        <v>#REF!</v>
      </c>
    </row>
    <row r="13" spans="1:8" ht="15" thickBot="1" x14ac:dyDescent="0.4">
      <c r="A13" s="5">
        <v>46248.769120370373</v>
      </c>
      <c r="B13" s="1" t="s">
        <v>21</v>
      </c>
      <c r="C13" s="1" t="s">
        <v>12</v>
      </c>
      <c r="D13" s="6">
        <v>25</v>
      </c>
      <c r="E13" s="6">
        <v>336</v>
      </c>
      <c r="H13" t="e">
        <f>IF(COUNTIFS(
    Sheet1!#REF!, B13,
    Sheet1!#REF!, C13,
    Sheet1!#REF!, D13,
    Sheet1!#REF!, E13
) = 0, "NO MATCH IN TARGET", "MATCHED")</f>
        <v>#REF!</v>
      </c>
    </row>
    <row r="14" spans="1:8" ht="15" thickBot="1" x14ac:dyDescent="0.4">
      <c r="A14" s="5">
        <v>46248.769108796296</v>
      </c>
      <c r="B14" s="1" t="s">
        <v>16</v>
      </c>
      <c r="C14" s="1" t="s">
        <v>12</v>
      </c>
      <c r="D14" s="6">
        <v>40</v>
      </c>
      <c r="E14" s="6">
        <v>436</v>
      </c>
      <c r="H14" t="e">
        <f>IF(COUNTIFS(
    Sheet1!#REF!, B14,
    Sheet1!#REF!, C14,
    Sheet1!#REF!, D14,
    Sheet1!#REF!, E14
) = 0, "NO MATCH IN TARGET", "MATCHED")</f>
        <v>#REF!</v>
      </c>
    </row>
    <row r="15" spans="1:8" ht="15" hidden="1" thickBot="1" x14ac:dyDescent="0.4">
      <c r="A15" s="5">
        <v>46248.644826388889</v>
      </c>
      <c r="B15" s="1" t="s">
        <v>73</v>
      </c>
      <c r="C15" s="1" t="s">
        <v>12</v>
      </c>
      <c r="D15" s="6">
        <v>5</v>
      </c>
      <c r="E15" s="6">
        <v>2938</v>
      </c>
      <c r="H15" t="e">
        <f>IF(COUNTIFS(
    Sheet1!#REF!, B15,
    Sheet1!#REF!, C15,
    Sheet1!#REF!, D15,
    Sheet1!#REF!, E15
) = 0, "NO MATCH IN TARGET", "MATCHED")</f>
        <v>#REF!</v>
      </c>
    </row>
    <row r="16" spans="1:8" ht="15" hidden="1" thickBot="1" x14ac:dyDescent="0.4">
      <c r="A16" s="5">
        <v>46248.644884259258</v>
      </c>
      <c r="B16" s="1" t="s">
        <v>71</v>
      </c>
      <c r="C16" s="1" t="s">
        <v>12</v>
      </c>
      <c r="D16" s="6">
        <v>10</v>
      </c>
      <c r="E16" s="6">
        <v>223</v>
      </c>
      <c r="H16" t="e">
        <f>IF(COUNTIFS(
    Sheet1!#REF!, B16,
    Sheet1!#REF!, C16,
    Sheet1!#REF!, D16,
    Sheet1!#REF!, E16
) = 0, "NO MATCH IN TARGET", "MATCHED")</f>
        <v>#REF!</v>
      </c>
    </row>
    <row r="17" spans="1:8" ht="15" hidden="1" thickBot="1" x14ac:dyDescent="0.4">
      <c r="A17" s="5">
        <v>46248.644826388889</v>
      </c>
      <c r="B17" s="1" t="s">
        <v>70</v>
      </c>
      <c r="C17" s="1" t="s">
        <v>12</v>
      </c>
      <c r="D17" s="6">
        <v>4</v>
      </c>
      <c r="E17" s="6">
        <v>1066</v>
      </c>
      <c r="H17" t="e">
        <f>IF(COUNTIFS(
    Sheet1!#REF!, B17,
    Sheet1!#REF!, C17,
    Sheet1!#REF!, D17,
    Sheet1!#REF!, E17
) = 0, "NO MATCH IN TARGET", "MATCHED")</f>
        <v>#REF!</v>
      </c>
    </row>
    <row r="18" spans="1:8" ht="15" hidden="1" thickBot="1" x14ac:dyDescent="0.4">
      <c r="A18" s="5">
        <v>46248.644837962966</v>
      </c>
      <c r="B18" s="1" t="s">
        <v>66</v>
      </c>
      <c r="C18" s="1" t="s">
        <v>12</v>
      </c>
      <c r="D18" s="6">
        <v>5</v>
      </c>
      <c r="E18" s="6">
        <v>1142</v>
      </c>
      <c r="H18" t="e">
        <f>IF(COUNTIFS(
    Sheet1!#REF!, B18,
    Sheet1!#REF!, C18,
    Sheet1!#REF!, D18,
    Sheet1!#REF!, E18
) = 0, "NO MATCH IN TARGET", "MATCHED")</f>
        <v>#REF!</v>
      </c>
    </row>
    <row r="19" spans="1:8" ht="15" hidden="1" thickBot="1" x14ac:dyDescent="0.4">
      <c r="A19" s="7">
        <v>46248.769108796296</v>
      </c>
      <c r="B19" s="8" t="s">
        <v>23</v>
      </c>
      <c r="C19" s="8" t="s">
        <v>12</v>
      </c>
      <c r="D19" s="9">
        <v>100</v>
      </c>
      <c r="E19" s="9">
        <v>217</v>
      </c>
      <c r="H19" t="e">
        <f>IF(COUNTIFS(
    Sheet1!#REF!, B19,
    Sheet1!#REF!, C19,
    Sheet1!#REF!, D19,
    Sheet1!#REF!, E19
) = 0, "NO MATCH IN TARGET", "MATCHED")</f>
        <v>#REF!</v>
      </c>
    </row>
    <row r="20" spans="1:8" ht="15" hidden="1" thickBot="1" x14ac:dyDescent="0.4">
      <c r="A20" s="5">
        <v>46248.644872685189</v>
      </c>
      <c r="B20" s="1" t="s">
        <v>60</v>
      </c>
      <c r="C20" s="1" t="s">
        <v>12</v>
      </c>
      <c r="D20" s="6">
        <v>1</v>
      </c>
      <c r="E20" s="6">
        <v>19552</v>
      </c>
      <c r="H20" t="e">
        <f>IF(COUNTIFS(
    Sheet1!#REF!, B20,
    Sheet1!#REF!, C20,
    Sheet1!#REF!, D20,
    Sheet1!#REF!, E20
) = 0, "NO MATCH IN TARGET", "MATCHED")</f>
        <v>#REF!</v>
      </c>
    </row>
    <row r="21" spans="1:8" ht="15" hidden="1" thickBot="1" x14ac:dyDescent="0.4">
      <c r="A21" s="5">
        <v>46364.689583333333</v>
      </c>
      <c r="B21" s="1" t="s">
        <v>37</v>
      </c>
      <c r="C21" s="1" t="s">
        <v>12</v>
      </c>
      <c r="D21" s="6">
        <v>5</v>
      </c>
      <c r="E21" s="6">
        <v>916</v>
      </c>
      <c r="H21" t="e">
        <f>IF(COUNTIFS(
    Sheet1!#REF!, B21,
    Sheet1!#REF!, C21,
    Sheet1!#REF!, D21,
    Sheet1!#REF!, E21
) = 0, "NO MATCH IN TARGET", "MATCHED")</f>
        <v>#REF!</v>
      </c>
    </row>
    <row r="22" spans="1:8" ht="15" hidden="1" thickBot="1" x14ac:dyDescent="0.4">
      <c r="A22" s="5">
        <v>46248.770914351851</v>
      </c>
      <c r="B22" s="1" t="s">
        <v>36</v>
      </c>
      <c r="C22" s="1" t="s">
        <v>12</v>
      </c>
      <c r="D22" s="6">
        <v>20</v>
      </c>
      <c r="E22" s="6">
        <v>276</v>
      </c>
      <c r="H22" t="e">
        <f>IF(COUNTIFS(
    Sheet1!#REF!, B22,
    Sheet1!#REF!, C22,
    Sheet1!#REF!, D22,
    Sheet1!#REF!, E22
) = 0, "NO MATCH IN TARGET", "MATCHED")</f>
        <v>#REF!</v>
      </c>
    </row>
    <row r="23" spans="1:8" ht="15" hidden="1" thickBot="1" x14ac:dyDescent="0.4">
      <c r="A23" s="5">
        <v>46248.769120370373</v>
      </c>
      <c r="B23" s="1" t="s">
        <v>19</v>
      </c>
      <c r="C23" s="1" t="s">
        <v>12</v>
      </c>
      <c r="D23" s="6">
        <v>10</v>
      </c>
      <c r="E23" s="6">
        <v>2553</v>
      </c>
      <c r="H23" t="e">
        <f>IF(COUNTIFS(
    Sheet1!#REF!, B23,
    Sheet1!#REF!, C23,
    Sheet1!#REF!, D23,
    Sheet1!#REF!, E23
) = 0, "NO MATCH IN TARGET", "MATCHED")</f>
        <v>#REF!</v>
      </c>
    </row>
    <row r="24" spans="1:8" ht="15" hidden="1" thickBot="1" x14ac:dyDescent="0.4">
      <c r="A24" s="5">
        <v>46248.769120370373</v>
      </c>
      <c r="B24" s="1" t="s">
        <v>35</v>
      </c>
      <c r="C24" s="1" t="s">
        <v>12</v>
      </c>
      <c r="D24" s="6">
        <v>50</v>
      </c>
      <c r="E24" s="6">
        <v>203.5</v>
      </c>
      <c r="H24" t="e">
        <f>IF(COUNTIFS(
    Sheet1!#REF!, B24,
    Sheet1!#REF!, C24,
    Sheet1!#REF!, D24,
    Sheet1!#REF!, E24
) = 0, "NO MATCH IN TARGET", "MATCHED")</f>
        <v>#REF!</v>
      </c>
    </row>
    <row r="25" spans="1:8" ht="15" thickBot="1" x14ac:dyDescent="0.4">
      <c r="A25" s="5">
        <v>46248.769120370373</v>
      </c>
      <c r="B25" s="1" t="s">
        <v>27</v>
      </c>
      <c r="C25" s="1" t="s">
        <v>12</v>
      </c>
      <c r="D25" s="6">
        <v>30</v>
      </c>
      <c r="E25" s="6">
        <v>286</v>
      </c>
      <c r="H25" t="e">
        <f>IF(COUNTIFS(
    Sheet1!#REF!, B25,
    Sheet1!#REF!, C25,
    Sheet1!#REF!, D25,
    Sheet1!#REF!, E25
) = 0, "NO MATCH IN TARGET", "MATCHED")</f>
        <v>#REF!</v>
      </c>
    </row>
    <row r="26" spans="1:8" ht="15" thickBot="1" x14ac:dyDescent="0.4">
      <c r="A26" s="5">
        <v>46247.645138888889</v>
      </c>
      <c r="B26" s="1" t="s">
        <v>74</v>
      </c>
      <c r="C26" s="1" t="s">
        <v>12</v>
      </c>
      <c r="D26" s="6">
        <v>5</v>
      </c>
      <c r="E26" s="6">
        <v>702</v>
      </c>
      <c r="H26" t="e">
        <f>IF(COUNTIFS(
    Sheet1!#REF!, B26,
    Sheet1!#REF!, C26,
    Sheet1!#REF!, D26,
    Sheet1!#REF!, E26
) = 0, "NO MATCH IN TARGET", "MATCHED")</f>
        <v>#REF!</v>
      </c>
    </row>
    <row r="27" spans="1:8" ht="15" hidden="1" thickBot="1" x14ac:dyDescent="0.4">
      <c r="A27" s="5">
        <v>46248.644872685189</v>
      </c>
      <c r="B27" s="1" t="s">
        <v>69</v>
      </c>
      <c r="C27" s="1" t="s">
        <v>12</v>
      </c>
      <c r="D27" s="6">
        <v>2</v>
      </c>
      <c r="E27" s="6">
        <v>4206</v>
      </c>
      <c r="H27" t="e">
        <f>IF(COUNTIFS(
    Sheet1!#REF!, B27,
    Sheet1!#REF!, C27,
    Sheet1!#REF!, D27,
    Sheet1!#REF!, E27
) = 0, "NO MATCH IN TARGET", "MATCHED")</f>
        <v>#REF!</v>
      </c>
    </row>
    <row r="28" spans="1:8" ht="15" hidden="1" thickBot="1" x14ac:dyDescent="0.4">
      <c r="A28" s="5">
        <v>46248.769120370373</v>
      </c>
      <c r="B28" s="1" t="s">
        <v>33</v>
      </c>
      <c r="C28" s="1" t="s">
        <v>12</v>
      </c>
      <c r="D28" s="6">
        <v>50</v>
      </c>
      <c r="E28" s="6">
        <v>122</v>
      </c>
      <c r="H28" t="e">
        <f>IF(COUNTIFS(
    Sheet1!#REF!, B28,
    Sheet1!#REF!, C28,
    Sheet1!#REF!, D28,
    Sheet1!#REF!, E28
) = 0, "NO MATCH IN TARGET", "MATCHED")</f>
        <v>#REF!</v>
      </c>
    </row>
    <row r="29" spans="1:8" ht="15" hidden="1" thickBot="1" x14ac:dyDescent="0.4">
      <c r="A29" s="5">
        <v>46248.644872685189</v>
      </c>
      <c r="B29" s="1" t="s">
        <v>68</v>
      </c>
      <c r="C29" s="1" t="s">
        <v>12</v>
      </c>
      <c r="D29" s="6">
        <v>5</v>
      </c>
      <c r="E29" s="6">
        <v>3952</v>
      </c>
      <c r="H29" t="e">
        <f>IF(COUNTIFS(
    Sheet1!#REF!, B29,
    Sheet1!#REF!, C29,
    Sheet1!#REF!, D29,
    Sheet1!#REF!, E29
) = 0, "NO MATCH IN TARGET", "MATCHED")</f>
        <v>#REF!</v>
      </c>
    </row>
    <row r="30" spans="1:8" ht="15" hidden="1" thickBot="1" x14ac:dyDescent="0.4">
      <c r="A30" s="5">
        <v>46248.644826388889</v>
      </c>
      <c r="B30" s="1" t="s">
        <v>58</v>
      </c>
      <c r="C30" s="1" t="s">
        <v>12</v>
      </c>
      <c r="D30" s="6">
        <v>10</v>
      </c>
      <c r="E30" s="6">
        <v>400</v>
      </c>
      <c r="H30" t="e">
        <f>IF(COUNTIFS(
    Sheet1!#REF!, B30,
    Sheet1!#REF!, C30,
    Sheet1!#REF!, D30,
    Sheet1!#REF!, E30
) = 0, "NO MATCH IN TARGET", "MATCHED")</f>
        <v>#REF!</v>
      </c>
    </row>
    <row r="31" spans="1:8" ht="15" hidden="1" thickBot="1" x14ac:dyDescent="0.4">
      <c r="A31" s="5">
        <v>46248.769120370373</v>
      </c>
      <c r="B31" s="1" t="s">
        <v>32</v>
      </c>
      <c r="C31" s="1" t="s">
        <v>12</v>
      </c>
      <c r="D31" s="6">
        <v>5</v>
      </c>
      <c r="E31" s="6">
        <v>660</v>
      </c>
      <c r="H31" t="e">
        <f>IF(COUNTIFS(
    Sheet1!#REF!, B31,
    Sheet1!#REF!, C31,
    Sheet1!#REF!, D31,
    Sheet1!#REF!, E31
) = 0, "NO MATCH IN TARGET", "MATCHED")</f>
        <v>#REF!</v>
      </c>
    </row>
    <row r="32" spans="1:8" ht="15" thickBot="1" x14ac:dyDescent="0.4">
      <c r="A32" s="5">
        <v>46248.644895833335</v>
      </c>
      <c r="B32" s="1" t="s">
        <v>42</v>
      </c>
      <c r="C32" s="1" t="s">
        <v>12</v>
      </c>
      <c r="D32" s="6">
        <v>10</v>
      </c>
      <c r="E32" s="6">
        <v>1452</v>
      </c>
      <c r="H32" t="e">
        <f>IF(COUNTIFS(
    Sheet1!#REF!, B32,
    Sheet1!#REF!, C32,
    Sheet1!#REF!, D32,
    Sheet1!#REF!, E32
) = 0, "NO MATCH IN TARGET", "MATCHED")</f>
        <v>#REF!</v>
      </c>
    </row>
    <row r="33" spans="1:8" ht="15" hidden="1" thickBot="1" x14ac:dyDescent="0.4">
      <c r="A33" s="5">
        <v>46248.769120370373</v>
      </c>
      <c r="B33" s="1" t="s">
        <v>18</v>
      </c>
      <c r="C33" s="1" t="s">
        <v>12</v>
      </c>
      <c r="D33" s="6">
        <v>100</v>
      </c>
      <c r="E33" s="6">
        <v>337</v>
      </c>
      <c r="H33" t="e">
        <f>IF(COUNTIFS(
    Sheet1!#REF!, B33,
    Sheet1!#REF!, C33,
    Sheet1!#REF!, D33,
    Sheet1!#REF!, E33
) = 0, "NO MATCH IN TARGET", "MATCHED")</f>
        <v>#REF!</v>
      </c>
    </row>
    <row r="34" spans="1:8" ht="15" hidden="1" thickBot="1" x14ac:dyDescent="0.4">
      <c r="A34" s="5">
        <v>46248.644837962966</v>
      </c>
      <c r="B34" s="1" t="s">
        <v>66</v>
      </c>
      <c r="C34" s="1" t="s">
        <v>12</v>
      </c>
      <c r="D34" s="6">
        <v>5</v>
      </c>
      <c r="E34" s="6">
        <v>1132</v>
      </c>
      <c r="H34" t="e">
        <f>IF(COUNTIFS(
    Sheet1!#REF!, B34,
    Sheet1!#REF!, C34,
    Sheet1!#REF!, D34,
    Sheet1!#REF!, E34
) = 0, "NO MATCH IN TARGET", "MATCHED")</f>
        <v>#REF!</v>
      </c>
    </row>
    <row r="35" spans="1:8" ht="15" thickBot="1" x14ac:dyDescent="0.4">
      <c r="A35" s="5">
        <v>46247.689583333333</v>
      </c>
      <c r="B35" s="1" t="s">
        <v>19</v>
      </c>
      <c r="C35" s="1" t="s">
        <v>12</v>
      </c>
      <c r="D35" s="6">
        <v>5</v>
      </c>
      <c r="E35" s="6">
        <v>2540</v>
      </c>
      <c r="H35" t="e">
        <f>IF(COUNTIFS(
    Sheet1!#REF!, B35,
    Sheet1!#REF!, C35,
    Sheet1!#REF!, D35,
    Sheet1!#REF!, E35
) = 0, "NO MATCH IN TARGET", "MATCHED")</f>
        <v>#REF!</v>
      </c>
    </row>
    <row r="36" spans="1:8" ht="15" thickBot="1" x14ac:dyDescent="0.4">
      <c r="A36" s="5">
        <v>46247.645138888889</v>
      </c>
      <c r="B36" s="1" t="s">
        <v>68</v>
      </c>
      <c r="C36" s="1" t="s">
        <v>12</v>
      </c>
      <c r="D36" s="6">
        <v>5</v>
      </c>
      <c r="E36" s="6">
        <v>3938</v>
      </c>
      <c r="H36" t="e">
        <f>IF(COUNTIFS(
    Sheet1!#REF!, B36,
    Sheet1!#REF!, C36,
    Sheet1!#REF!, D36,
    Sheet1!#REF!, E36
) = 0, "NO MATCH IN TARGET", "MATCHED")</f>
        <v>#REF!</v>
      </c>
    </row>
    <row r="37" spans="1:8" ht="15" thickBot="1" x14ac:dyDescent="0.4">
      <c r="A37" s="5">
        <v>46364.635416666664</v>
      </c>
      <c r="B37" s="1" t="s">
        <v>71</v>
      </c>
      <c r="C37" s="1" t="s">
        <v>12</v>
      </c>
      <c r="D37" s="6">
        <v>10</v>
      </c>
      <c r="E37" s="6">
        <v>220.1</v>
      </c>
      <c r="H37" t="e">
        <f>IF(COUNTIFS(
    Sheet1!#REF!, B37,
    Sheet1!#REF!, C37,
    Sheet1!#REF!, D37,
    Sheet1!#REF!, E37
) = 0, "NO MATCH IN TARGET", "MATCHED")</f>
        <v>#REF!</v>
      </c>
    </row>
    <row r="38" spans="1:8" ht="15" hidden="1" thickBot="1" x14ac:dyDescent="0.4">
      <c r="A38" s="5">
        <v>46248.635567129626</v>
      </c>
      <c r="B38" s="1" t="s">
        <v>65</v>
      </c>
      <c r="C38" s="1" t="s">
        <v>12</v>
      </c>
      <c r="D38" s="6">
        <v>3</v>
      </c>
      <c r="E38" s="6">
        <v>1302</v>
      </c>
      <c r="H38" t="e">
        <f>IF(COUNTIFS(
    Sheet1!#REF!, B38,
    Sheet1!#REF!, C38,
    Sheet1!#REF!, D38,
    Sheet1!#REF!, E38
) = 0, "NO MATCH IN TARGET", "MATCHED")</f>
        <v>#REF!</v>
      </c>
    </row>
    <row r="39" spans="1:8" ht="15" hidden="1" thickBot="1" x14ac:dyDescent="0.4">
      <c r="A39" s="5">
        <v>46248.769120370373</v>
      </c>
      <c r="B39" s="1" t="s">
        <v>18</v>
      </c>
      <c r="C39" s="1" t="s">
        <v>12</v>
      </c>
      <c r="D39" s="6">
        <v>100</v>
      </c>
      <c r="E39" s="6">
        <v>335</v>
      </c>
      <c r="H39" t="e">
        <f>IF(COUNTIFS(
    Sheet1!#REF!, B39,
    Sheet1!#REF!, C39,
    Sheet1!#REF!, D39,
    Sheet1!#REF!, E39
) = 0, "NO MATCH IN TARGET", "MATCHED")</f>
        <v>#REF!</v>
      </c>
    </row>
    <row r="40" spans="1:8" ht="15" hidden="1" thickBot="1" x14ac:dyDescent="0.4">
      <c r="A40" s="5">
        <v>46248.635520833333</v>
      </c>
      <c r="B40" s="1" t="s">
        <v>64</v>
      </c>
      <c r="C40" s="1" t="s">
        <v>12</v>
      </c>
      <c r="D40" s="6">
        <v>10</v>
      </c>
      <c r="E40" s="6">
        <v>1030</v>
      </c>
      <c r="H40" t="e">
        <f>IF(COUNTIFS(
    Sheet1!#REF!, B40,
    Sheet1!#REF!, C40,
    Sheet1!#REF!, D40,
    Sheet1!#REF!, E40
) = 0, "NO MATCH IN TARGET", "MATCHED")</f>
        <v>#REF!</v>
      </c>
    </row>
    <row r="41" spans="1:8" ht="15" thickBot="1" x14ac:dyDescent="0.4">
      <c r="A41" s="7">
        <v>46248.769120370373</v>
      </c>
      <c r="B41" s="8" t="s">
        <v>23</v>
      </c>
      <c r="C41" s="8" t="s">
        <v>12</v>
      </c>
      <c r="D41" s="9">
        <v>150</v>
      </c>
      <c r="E41" s="9">
        <v>214</v>
      </c>
      <c r="H41" t="e">
        <f>IF(COUNTIFS(
    Sheet1!#REF!, B41,
    Sheet1!#REF!, C41,
    Sheet1!#REF!, D41,
    Sheet1!#REF!, E41
) = 0, "NO MATCH IN TARGET", "MATCHED")</f>
        <v>#REF!</v>
      </c>
    </row>
    <row r="42" spans="1:8" ht="15" thickBot="1" x14ac:dyDescent="0.4">
      <c r="A42" s="5">
        <v>46247.635416666664</v>
      </c>
      <c r="B42" s="1" t="s">
        <v>73</v>
      </c>
      <c r="C42" s="1" t="s">
        <v>12</v>
      </c>
      <c r="D42" s="6">
        <v>5</v>
      </c>
      <c r="E42" s="6">
        <v>2888</v>
      </c>
      <c r="H42" t="e">
        <f>IF(COUNTIFS(
    Sheet1!#REF!, B42,
    Sheet1!#REF!, C42,
    Sheet1!#REF!, D42,
    Sheet1!#REF!, E42
) = 0, "NO MATCH IN TARGET", "MATCHED")</f>
        <v>#REF!</v>
      </c>
    </row>
    <row r="43" spans="1:8" ht="15" hidden="1" thickBot="1" x14ac:dyDescent="0.4">
      <c r="A43" s="5">
        <v>46248.635567129626</v>
      </c>
      <c r="B43" s="1" t="s">
        <v>42</v>
      </c>
      <c r="C43" s="1" t="s">
        <v>12</v>
      </c>
      <c r="D43" s="6">
        <v>10</v>
      </c>
      <c r="E43" s="6">
        <v>1440</v>
      </c>
      <c r="H43" t="e">
        <f>IF(COUNTIFS(
    Sheet1!#REF!, B43,
    Sheet1!#REF!, C43,
    Sheet1!#REF!, D43,
    Sheet1!#REF!, E43
) = 0, "NO MATCH IN TARGET", "MATCHED")</f>
        <v>#REF!</v>
      </c>
    </row>
    <row r="44" spans="1:8" ht="15" thickBot="1" x14ac:dyDescent="0.4">
      <c r="A44" s="5">
        <v>46248.769120370373</v>
      </c>
      <c r="B44" s="1" t="s">
        <v>35</v>
      </c>
      <c r="C44" s="1" t="s">
        <v>12</v>
      </c>
      <c r="D44" s="6">
        <v>50</v>
      </c>
      <c r="E44" s="6">
        <v>201</v>
      </c>
      <c r="H44" t="e">
        <f>IF(COUNTIFS(
    Sheet1!#REF!, B44,
    Sheet1!#REF!, C44,
    Sheet1!#REF!, D44,
    Sheet1!#REF!, E44
) = 0, "NO MATCH IN TARGET", "MATCHED")</f>
        <v>#REF!</v>
      </c>
    </row>
    <row r="45" spans="1:8" ht="15" thickBot="1" x14ac:dyDescent="0.4">
      <c r="A45" s="5">
        <v>46248.635509259257</v>
      </c>
      <c r="B45" s="1" t="s">
        <v>44</v>
      </c>
      <c r="C45" s="1" t="s">
        <v>12</v>
      </c>
      <c r="D45" s="6">
        <v>10</v>
      </c>
      <c r="E45" s="6">
        <v>907</v>
      </c>
      <c r="H45" t="e">
        <f>IF(COUNTIFS(
    Sheet1!#REF!, B45,
    Sheet1!#REF!, C45,
    Sheet1!#REF!, D45,
    Sheet1!#REF!, E45
) = 0, "NO MATCH IN TARGET", "MATCHED")</f>
        <v>#REF!</v>
      </c>
    </row>
    <row r="46" spans="1:8" ht="15" hidden="1" thickBot="1" x14ac:dyDescent="0.4">
      <c r="A46" s="5">
        <v>46248.635520833333</v>
      </c>
      <c r="B46" s="1" t="s">
        <v>56</v>
      </c>
      <c r="C46" s="1" t="s">
        <v>12</v>
      </c>
      <c r="D46" s="6">
        <v>5</v>
      </c>
      <c r="E46" s="6">
        <v>1188</v>
      </c>
      <c r="H46" t="e">
        <f>IF(COUNTIFS(
    Sheet1!#REF!, B46,
    Sheet1!#REF!, C46,
    Sheet1!#REF!, D46,
    Sheet1!#REF!, E46
) = 0, "NO MATCH IN TARGET", "MATCHED")</f>
        <v>#REF!</v>
      </c>
    </row>
    <row r="47" spans="1:8" ht="15" hidden="1" thickBot="1" x14ac:dyDescent="0.4">
      <c r="A47" s="5">
        <v>46248.635520833333</v>
      </c>
      <c r="B47" s="1" t="s">
        <v>63</v>
      </c>
      <c r="C47" s="1" t="s">
        <v>12</v>
      </c>
      <c r="D47" s="6">
        <v>7</v>
      </c>
      <c r="E47" s="6">
        <v>2230</v>
      </c>
      <c r="H47" t="e">
        <f>IF(COUNTIFS(
    Sheet1!#REF!, B47,
    Sheet1!#REF!, C47,
    Sheet1!#REF!, D47,
    Sheet1!#REF!, E47
) = 0, "NO MATCH IN TARGET", "MATCHED")</f>
        <v>#REF!</v>
      </c>
    </row>
    <row r="48" spans="1:8" ht="15" thickBot="1" x14ac:dyDescent="0.4">
      <c r="A48" s="5">
        <v>46364.635416666664</v>
      </c>
      <c r="B48" s="1" t="s">
        <v>47</v>
      </c>
      <c r="C48" s="1" t="s">
        <v>12</v>
      </c>
      <c r="D48" s="6">
        <v>3</v>
      </c>
      <c r="E48" s="6">
        <v>3310</v>
      </c>
      <c r="H48" t="e">
        <f>IF(COUNTIFS(
    Sheet1!#REF!, B48,
    Sheet1!#REF!, C48,
    Sheet1!#REF!, D48,
    Sheet1!#REF!, E48
) = 0, "NO MATCH IN TARGET", "MATCHED")</f>
        <v>#REF!</v>
      </c>
    </row>
    <row r="49" spans="1:8" ht="15" hidden="1" thickBot="1" x14ac:dyDescent="0.4">
      <c r="A49" s="5">
        <v>46247.689583333333</v>
      </c>
      <c r="B49" s="1" t="s">
        <v>19</v>
      </c>
      <c r="C49" s="1" t="s">
        <v>12</v>
      </c>
      <c r="D49" s="6">
        <v>5</v>
      </c>
      <c r="E49" s="6">
        <v>2510</v>
      </c>
      <c r="H49" t="e">
        <f>IF(COUNTIFS(
    Sheet1!#REF!, B49,
    Sheet1!#REF!, C49,
    Sheet1!#REF!, D49,
    Sheet1!#REF!, E49
) = 0, "NO MATCH IN TARGET", "MATCHED")</f>
        <v>#REF!</v>
      </c>
    </row>
    <row r="50" spans="1:8" ht="15" thickBot="1" x14ac:dyDescent="0.4">
      <c r="A50" s="5">
        <v>46248.771099537036</v>
      </c>
      <c r="B50" s="1" t="s">
        <v>7</v>
      </c>
      <c r="C50" s="1" t="s">
        <v>12</v>
      </c>
      <c r="D50" s="6">
        <v>5</v>
      </c>
      <c r="E50" s="6">
        <v>1964</v>
      </c>
      <c r="H50" t="e">
        <f>IF(COUNTIFS(
    Sheet1!#REF!, B50,
    Sheet1!#REF!, C50,
    Sheet1!#REF!, D50,
    Sheet1!#REF!, E50
) = 0, "NO MATCH IN TARGET", "MATCHED")</f>
        <v>#REF!</v>
      </c>
    </row>
    <row r="51" spans="1:8" ht="15" hidden="1" thickBot="1" x14ac:dyDescent="0.4">
      <c r="A51" s="5">
        <v>46248.769120370373</v>
      </c>
      <c r="B51" s="1" t="s">
        <v>16</v>
      </c>
      <c r="C51" s="1" t="s">
        <v>12</v>
      </c>
      <c r="D51" s="6">
        <v>40</v>
      </c>
      <c r="E51" s="6">
        <v>426</v>
      </c>
      <c r="H51" t="e">
        <f>IF(COUNTIFS(
    Sheet1!#REF!, B51,
    Sheet1!#REF!, C51,
    Sheet1!#REF!, D51,
    Sheet1!#REF!, E51
) = 0, "NO MATCH IN TARGET", "MATCHED")</f>
        <v>#REF!</v>
      </c>
    </row>
    <row r="52" spans="1:8" ht="15" hidden="1" thickBot="1" x14ac:dyDescent="0.4">
      <c r="A52" s="5">
        <v>46248.63554398148</v>
      </c>
      <c r="B52" s="1" t="s">
        <v>51</v>
      </c>
      <c r="C52" s="1" t="s">
        <v>12</v>
      </c>
      <c r="D52" s="6">
        <v>10</v>
      </c>
      <c r="E52" s="6">
        <v>1340</v>
      </c>
      <c r="H52" t="e">
        <f>IF(COUNTIFS(
    Sheet1!#REF!, B52,
    Sheet1!#REF!, C52,
    Sheet1!#REF!, D52,
    Sheet1!#REF!, E52
) = 0, "NO MATCH IN TARGET", "MATCHED")</f>
        <v>#REF!</v>
      </c>
    </row>
    <row r="53" spans="1:8" ht="15" thickBot="1" x14ac:dyDescent="0.4">
      <c r="A53" s="5">
        <v>46245.635416666664</v>
      </c>
      <c r="B53" s="1" t="s">
        <v>68</v>
      </c>
      <c r="C53" s="1" t="s">
        <v>12</v>
      </c>
      <c r="D53" s="6">
        <v>5</v>
      </c>
      <c r="E53" s="6">
        <v>3888</v>
      </c>
      <c r="H53" t="e">
        <f>IF(COUNTIFS(
    Sheet1!#REF!, B53,
    Sheet1!#REF!, C53,
    Sheet1!#REF!, D53,
    Sheet1!#REF!, E53
) = 0, "NO MATCH IN TARGET", "MATCHED")</f>
        <v>#REF!</v>
      </c>
    </row>
    <row r="54" spans="1:8" ht="15" thickBot="1" x14ac:dyDescent="0.4">
      <c r="A54" s="5">
        <v>46246.689583333333</v>
      </c>
      <c r="B54" s="1" t="s">
        <v>27</v>
      </c>
      <c r="C54" s="1" t="s">
        <v>12</v>
      </c>
      <c r="D54" s="6">
        <v>20</v>
      </c>
      <c r="E54" s="6">
        <v>281</v>
      </c>
      <c r="H54" t="e">
        <f>IF(COUNTIFS(
    Sheet1!#REF!, B54,
    Sheet1!#REF!, C54,
    Sheet1!#REF!, D54,
    Sheet1!#REF!, E54
) = 0, "NO MATCH IN TARGET", "MATCHED")</f>
        <v>#REF!</v>
      </c>
    </row>
    <row r="55" spans="1:8" ht="15" hidden="1" thickBot="1" x14ac:dyDescent="0.4">
      <c r="A55" s="5">
        <v>46248.635509259257</v>
      </c>
      <c r="B55" s="1" t="s">
        <v>62</v>
      </c>
      <c r="C55" s="1" t="s">
        <v>12</v>
      </c>
      <c r="D55" s="6">
        <v>1</v>
      </c>
      <c r="E55" s="6">
        <v>13552</v>
      </c>
      <c r="H55" t="e">
        <f>IF(COUNTIFS(
    Sheet1!#REF!, B55,
    Sheet1!#REF!, C55,
    Sheet1!#REF!, D55,
    Sheet1!#REF!, E55
) = 0, "NO MATCH IN TARGET", "MATCHED")</f>
        <v>#REF!</v>
      </c>
    </row>
    <row r="56" spans="1:8" ht="15" thickBot="1" x14ac:dyDescent="0.4">
      <c r="A56" s="5">
        <v>46248.769120370373</v>
      </c>
      <c r="B56" s="1" t="s">
        <v>23</v>
      </c>
      <c r="C56" s="1" t="s">
        <v>12</v>
      </c>
      <c r="D56" s="6">
        <v>50</v>
      </c>
      <c r="E56" s="6">
        <v>212</v>
      </c>
      <c r="H56" t="e">
        <f>IF(COUNTIFS(
    Sheet1!#REF!, B56,
    Sheet1!#REF!, C56,
    Sheet1!#REF!, D56,
    Sheet1!#REF!, E56
) = 0, "NO MATCH IN TARGET", "MATCHED")</f>
        <v>#REF!</v>
      </c>
    </row>
    <row r="57" spans="1:8" ht="15" hidden="1" thickBot="1" x14ac:dyDescent="0.4">
      <c r="A57" s="5">
        <v>46248.769120370373</v>
      </c>
      <c r="B57" s="1" t="s">
        <v>18</v>
      </c>
      <c r="C57" s="1" t="s">
        <v>12</v>
      </c>
      <c r="D57" s="6">
        <v>100</v>
      </c>
      <c r="E57" s="6">
        <v>331</v>
      </c>
      <c r="H57" t="e">
        <f>IF(COUNTIFS(
    Sheet1!#REF!, B57,
    Sheet1!#REF!, C57,
    Sheet1!#REF!, D57,
    Sheet1!#REF!, E57
) = 0, "NO MATCH IN TARGET", "MATCHED")</f>
        <v>#REF!</v>
      </c>
    </row>
    <row r="58" spans="1:8" ht="15" hidden="1" thickBot="1" x14ac:dyDescent="0.4">
      <c r="A58" s="5">
        <v>46248.63554398148</v>
      </c>
      <c r="B58" s="1" t="s">
        <v>61</v>
      </c>
      <c r="C58" s="1" t="s">
        <v>12</v>
      </c>
      <c r="D58" s="6">
        <v>9</v>
      </c>
      <c r="E58" s="6">
        <v>2251</v>
      </c>
      <c r="H58" t="e">
        <f>IF(COUNTIFS(
    Sheet1!#REF!, B58,
    Sheet1!#REF!, C58,
    Sheet1!#REF!, D58,
    Sheet1!#REF!, E58
) = 0, "NO MATCH IN TARGET", "MATCHED")</f>
        <v>#REF!</v>
      </c>
    </row>
    <row r="59" spans="1:8" ht="15" hidden="1" thickBot="1" x14ac:dyDescent="0.4">
      <c r="A59" s="5">
        <v>46248.770925925928</v>
      </c>
      <c r="B59" s="1" t="s">
        <v>30</v>
      </c>
      <c r="C59" s="1" t="s">
        <v>12</v>
      </c>
      <c r="D59" s="6">
        <v>60</v>
      </c>
      <c r="E59" s="6">
        <v>271</v>
      </c>
      <c r="H59" t="e">
        <f>IF(COUNTIFS(
    Sheet1!#REF!, B59,
    Sheet1!#REF!, C59,
    Sheet1!#REF!, D59,
    Sheet1!#REF!, E59
) = 0, "NO MATCH IN TARGET", "MATCHED")</f>
        <v>#REF!</v>
      </c>
    </row>
    <row r="60" spans="1:8" ht="15" hidden="1" thickBot="1" x14ac:dyDescent="0.4">
      <c r="A60" s="5">
        <v>46248.635567129626</v>
      </c>
      <c r="B60" s="1" t="s">
        <v>52</v>
      </c>
      <c r="C60" s="1" t="s">
        <v>12</v>
      </c>
      <c r="D60" s="6">
        <v>50</v>
      </c>
      <c r="E60" s="6">
        <v>850</v>
      </c>
      <c r="H60" t="e">
        <f>IF(COUNTIFS(
    Sheet1!#REF!, B60,
    Sheet1!#REF!, C60,
    Sheet1!#REF!, D60,
    Sheet1!#REF!, E60
) = 0, "NO MATCH IN TARGET", "MATCHED")</f>
        <v>#REF!</v>
      </c>
    </row>
    <row r="61" spans="1:8" ht="15" hidden="1" thickBot="1" x14ac:dyDescent="0.4">
      <c r="A61" s="5">
        <v>46248.63553240741</v>
      </c>
      <c r="B61" s="1" t="s">
        <v>60</v>
      </c>
      <c r="C61" s="1" t="s">
        <v>12</v>
      </c>
      <c r="D61" s="6">
        <v>1</v>
      </c>
      <c r="E61" s="6">
        <v>19052</v>
      </c>
      <c r="H61" t="e">
        <f>IF(COUNTIFS(
    Sheet1!#REF!, B61,
    Sheet1!#REF!, C61,
    Sheet1!#REF!, D61,
    Sheet1!#REF!, E61
) = 0, "NO MATCH IN TARGET", "MATCHED")</f>
        <v>#REF!</v>
      </c>
    </row>
    <row r="62" spans="1:8" ht="15" thickBot="1" x14ac:dyDescent="0.4">
      <c r="A62" s="5">
        <v>46248.635555555556</v>
      </c>
      <c r="B62" s="1" t="s">
        <v>69</v>
      </c>
      <c r="C62" s="1" t="s">
        <v>12</v>
      </c>
      <c r="D62" s="6">
        <v>4</v>
      </c>
      <c r="E62" s="6">
        <v>4110</v>
      </c>
      <c r="H62" t="e">
        <f>IF(COUNTIFS(
    Sheet1!#REF!, B62,
    Sheet1!#REF!, C62,
    Sheet1!#REF!, D62,
    Sheet1!#REF!, E62
) = 0, "NO MATCH IN TARGET", "MATCHED")</f>
        <v>#REF!</v>
      </c>
    </row>
    <row r="63" spans="1:8" ht="15" thickBot="1" x14ac:dyDescent="0.4">
      <c r="A63" s="5">
        <v>46247.689583333333</v>
      </c>
      <c r="B63" s="1" t="s">
        <v>19</v>
      </c>
      <c r="C63" s="1" t="s">
        <v>12</v>
      </c>
      <c r="D63" s="6">
        <v>5</v>
      </c>
      <c r="E63" s="6">
        <v>2490</v>
      </c>
      <c r="H63" t="e">
        <f>IF(COUNTIFS(
    Sheet1!#REF!, B63,
    Sheet1!#REF!, C63,
    Sheet1!#REF!, D63,
    Sheet1!#REF!, E63
) = 0, "NO MATCH IN TARGET", "MATCHED")</f>
        <v>#REF!</v>
      </c>
    </row>
    <row r="64" spans="1:8" ht="15" hidden="1" thickBot="1" x14ac:dyDescent="0.4">
      <c r="A64" s="5">
        <v>46248.635509259257</v>
      </c>
      <c r="B64" s="1" t="s">
        <v>44</v>
      </c>
      <c r="C64" s="1" t="s">
        <v>12</v>
      </c>
      <c r="D64" s="6">
        <v>40</v>
      </c>
      <c r="E64" s="6">
        <v>897</v>
      </c>
      <c r="H64" t="e">
        <f>IF(COUNTIFS(
    Sheet1!#REF!, B64,
    Sheet1!#REF!, C64,
    Sheet1!#REF!, D64,
    Sheet1!#REF!, E64
) = 0, "NO MATCH IN TARGET", "MATCHED")</f>
        <v>#REF!</v>
      </c>
    </row>
    <row r="65" spans="1:8" ht="15" thickBot="1" x14ac:dyDescent="0.4">
      <c r="A65" s="7">
        <v>46248.769120370373</v>
      </c>
      <c r="B65" s="8" t="s">
        <v>84</v>
      </c>
      <c r="C65" s="8" t="s">
        <v>12</v>
      </c>
      <c r="D65" s="9">
        <v>500</v>
      </c>
      <c r="E65" s="9">
        <v>33.159999999999997</v>
      </c>
      <c r="H65" t="e">
        <f>IF(COUNTIFS(
    Sheet1!#REF!, B65,
    Sheet1!#REF!, C65,
    Sheet1!#REF!, D65,
    Sheet1!#REF!, E65
) = 0, "NO MATCH IN TARGET", "MATCHED")</f>
        <v>#REF!</v>
      </c>
    </row>
    <row r="66" spans="1:8" ht="15" hidden="1" thickBot="1" x14ac:dyDescent="0.4">
      <c r="A66" s="5">
        <v>46246.635416666664</v>
      </c>
      <c r="B66" s="1" t="s">
        <v>42</v>
      </c>
      <c r="C66" s="1" t="s">
        <v>12</v>
      </c>
      <c r="D66" s="6">
        <v>10</v>
      </c>
      <c r="E66" s="6">
        <v>1420</v>
      </c>
      <c r="H66" t="e">
        <f>IF(COUNTIFS(
    Sheet1!#REF!, B66,
    Sheet1!#REF!, C66,
    Sheet1!#REF!, D66,
    Sheet1!#REF!, E66
) = 0, "NO MATCH IN TARGET", "MATCHED")</f>
        <v>#REF!</v>
      </c>
    </row>
    <row r="67" spans="1:8" ht="15" thickBot="1" x14ac:dyDescent="0.4">
      <c r="A67" s="5">
        <v>46246.689583333333</v>
      </c>
      <c r="B67" s="1" t="s">
        <v>33</v>
      </c>
      <c r="C67" s="1" t="s">
        <v>12</v>
      </c>
      <c r="D67" s="6">
        <v>50</v>
      </c>
      <c r="E67" s="6">
        <v>119</v>
      </c>
      <c r="H67" t="e">
        <f>IF(COUNTIFS(
    Sheet1!#REF!, B67,
    Sheet1!#REF!, C67,
    Sheet1!#REF!, D67,
    Sheet1!#REF!, E67
) = 0, "NO MATCH IN TARGET", "MATCHED")</f>
        <v>#REF!</v>
      </c>
    </row>
    <row r="68" spans="1:8" ht="15" thickBot="1" x14ac:dyDescent="0.4">
      <c r="A68" s="10" t="s">
        <v>85</v>
      </c>
      <c r="B68" s="1" t="s">
        <v>68</v>
      </c>
      <c r="C68" s="1" t="s">
        <v>12</v>
      </c>
      <c r="D68" s="6">
        <v>2</v>
      </c>
      <c r="E68" s="6">
        <v>3856</v>
      </c>
      <c r="H68" t="e">
        <f>IF(COUNTIFS(
    Sheet1!#REF!, B68,
    Sheet1!#REF!, C68,
    Sheet1!#REF!, D68,
    Sheet1!#REF!, E68
) = 0, "NO MATCH IN TARGET", "MATCHED")</f>
        <v>#REF!</v>
      </c>
    </row>
    <row r="69" spans="1:8" ht="15" thickBot="1" x14ac:dyDescent="0.4">
      <c r="A69" s="5">
        <v>46246.635416666664</v>
      </c>
      <c r="B69" s="1" t="s">
        <v>65</v>
      </c>
      <c r="C69" s="1" t="s">
        <v>12</v>
      </c>
      <c r="D69" s="6">
        <v>69</v>
      </c>
      <c r="E69" s="6">
        <v>1277</v>
      </c>
      <c r="H69" t="e">
        <f>IF(COUNTIFS(
    Sheet1!#REF!, B69,
    Sheet1!#REF!, C69,
    Sheet1!#REF!, D69,
    Sheet1!#REF!, E69
) = 0, "NO MATCH IN TARGET", "MATCHED")</f>
        <v>#REF!</v>
      </c>
    </row>
    <row r="70" spans="1:8" ht="15" hidden="1" thickBot="1" x14ac:dyDescent="0.4">
      <c r="A70" s="5">
        <v>46247.689583333333</v>
      </c>
      <c r="B70" s="1" t="s">
        <v>28</v>
      </c>
      <c r="C70" s="1" t="s">
        <v>12</v>
      </c>
      <c r="D70" s="6">
        <v>5</v>
      </c>
      <c r="E70" s="6">
        <v>452</v>
      </c>
      <c r="H70" t="e">
        <f>IF(COUNTIFS(
    Sheet1!#REF!, B70,
    Sheet1!#REF!, C70,
    Sheet1!#REF!, D70,
    Sheet1!#REF!, E70
) = 0, "NO MATCH IN TARGET", "MATCHED")</f>
        <v>#REF!</v>
      </c>
    </row>
    <row r="71" spans="1:8" ht="15" hidden="1" thickBot="1" x14ac:dyDescent="0.4">
      <c r="A71" s="5">
        <v>46248.63554398148</v>
      </c>
      <c r="B71" s="1" t="s">
        <v>58</v>
      </c>
      <c r="C71" s="1" t="s">
        <v>12</v>
      </c>
      <c r="D71" s="6">
        <v>100</v>
      </c>
      <c r="E71" s="6">
        <v>390</v>
      </c>
      <c r="H71" t="e">
        <f>IF(COUNTIFS(
    Sheet1!#REF!, B71,
    Sheet1!#REF!, C71,
    Sheet1!#REF!, D71,
    Sheet1!#REF!, E71
) = 0, "NO MATCH IN TARGET", "MATCHED")</f>
        <v>#REF!</v>
      </c>
    </row>
    <row r="72" spans="1:8" ht="15" thickBot="1" x14ac:dyDescent="0.4">
      <c r="A72" s="5">
        <v>46241.76458333333</v>
      </c>
      <c r="B72" s="1" t="s">
        <v>86</v>
      </c>
      <c r="C72" s="1" t="s">
        <v>12</v>
      </c>
      <c r="D72" s="6">
        <v>25</v>
      </c>
      <c r="E72" s="6">
        <v>196</v>
      </c>
      <c r="H72" t="e">
        <f>IF(COUNTIFS(
    Sheet1!#REF!, B72,
    Sheet1!#REF!, C72,
    Sheet1!#REF!, D72,
    Sheet1!#REF!, E72
) = 0, "NO MATCH IN TARGET", "MATCHED")</f>
        <v>#REF!</v>
      </c>
    </row>
    <row r="73" spans="1:8" ht="15" hidden="1" thickBot="1" x14ac:dyDescent="0.4">
      <c r="A73" s="5">
        <v>46246.635416666664</v>
      </c>
      <c r="B73" s="1" t="s">
        <v>42</v>
      </c>
      <c r="C73" s="1" t="s">
        <v>12</v>
      </c>
      <c r="D73" s="6">
        <v>10</v>
      </c>
      <c r="E73" s="6">
        <v>1410</v>
      </c>
      <c r="H73" t="e">
        <f>IF(COUNTIFS(
    Sheet1!#REF!, B73,
    Sheet1!#REF!, C73,
    Sheet1!#REF!, D73,
    Sheet1!#REF!, E73
) = 0, "NO MATCH IN TARGET", "MATCHED")</f>
        <v>#REF!</v>
      </c>
    </row>
    <row r="74" spans="1:8" ht="15" thickBot="1" x14ac:dyDescent="0.4">
      <c r="A74" s="5">
        <v>46364.689583333333</v>
      </c>
      <c r="B74" s="1" t="s">
        <v>19</v>
      </c>
      <c r="C74" s="1" t="s">
        <v>12</v>
      </c>
      <c r="D74" s="6">
        <v>5</v>
      </c>
      <c r="E74" s="6">
        <v>2470</v>
      </c>
      <c r="H74" t="e">
        <f>IF(COUNTIFS(
    Sheet1!#REF!, B74,
    Sheet1!#REF!, C74,
    Sheet1!#REF!, D74,
    Sheet1!#REF!, E74
) = 0, "NO MATCH IN TARGET", "MATCHED")</f>
        <v>#REF!</v>
      </c>
    </row>
    <row r="75" spans="1:8" ht="15" hidden="1" thickBot="1" x14ac:dyDescent="0.4">
      <c r="A75" s="5">
        <v>46247.689583333333</v>
      </c>
      <c r="B75" s="1" t="s">
        <v>27</v>
      </c>
      <c r="C75" s="1" t="s">
        <v>12</v>
      </c>
      <c r="D75" s="6">
        <v>37</v>
      </c>
      <c r="E75" s="6">
        <v>277</v>
      </c>
      <c r="H75" t="e">
        <f>IF(COUNTIFS(
    Sheet1!#REF!, B75,
    Sheet1!#REF!, C75,
    Sheet1!#REF!, D75,
    Sheet1!#REF!, E75
) = 0, "NO MATCH IN TARGET", "MATCHED")</f>
        <v>#REF!</v>
      </c>
    </row>
    <row r="76" spans="1:8" ht="15" hidden="1" thickBot="1" x14ac:dyDescent="0.4">
      <c r="A76" s="5">
        <v>46248.769120370373</v>
      </c>
      <c r="B76" s="1" t="s">
        <v>26</v>
      </c>
      <c r="C76" s="1" t="s">
        <v>12</v>
      </c>
      <c r="D76" s="6">
        <v>45</v>
      </c>
      <c r="E76" s="6">
        <v>136.15</v>
      </c>
      <c r="H76" t="e">
        <f>IF(COUNTIFS(
    Sheet1!#REF!, B76,
    Sheet1!#REF!, C76,
    Sheet1!#REF!, D76,
    Sheet1!#REF!, E76
) = 0, "NO MATCH IN TARGET", "MATCHED")</f>
        <v>#REF!</v>
      </c>
    </row>
    <row r="77" spans="1:8" ht="15" hidden="1" thickBot="1" x14ac:dyDescent="0.4">
      <c r="A77" s="5">
        <v>46248.769120370373</v>
      </c>
      <c r="B77" s="1" t="s">
        <v>18</v>
      </c>
      <c r="C77" s="1" t="s">
        <v>12</v>
      </c>
      <c r="D77" s="6">
        <v>100</v>
      </c>
      <c r="E77" s="6">
        <v>327</v>
      </c>
      <c r="H77" t="e">
        <f>IF(COUNTIFS(
    Sheet1!#REF!, B77,
    Sheet1!#REF!, C77,
    Sheet1!#REF!, D77,
    Sheet1!#REF!, E77
) = 0, "NO MATCH IN TARGET", "MATCHED")</f>
        <v>#REF!</v>
      </c>
    </row>
    <row r="78" spans="1:8" ht="15" hidden="1" thickBot="1" x14ac:dyDescent="0.4">
      <c r="A78" s="5">
        <v>46248.635520833333</v>
      </c>
      <c r="B78" s="1" t="s">
        <v>56</v>
      </c>
      <c r="C78" s="1" t="s">
        <v>12</v>
      </c>
      <c r="D78" s="6">
        <v>10</v>
      </c>
      <c r="E78" s="6">
        <v>1166</v>
      </c>
      <c r="H78" t="e">
        <f>IF(COUNTIFS(
    Sheet1!#REF!, B78,
    Sheet1!#REF!, C78,
    Sheet1!#REF!, D78,
    Sheet1!#REF!, E78
) = 0, "NO MATCH IN TARGET", "MATCHED")</f>
        <v>#REF!</v>
      </c>
    </row>
    <row r="79" spans="1:8" ht="15" thickBot="1" x14ac:dyDescent="0.4">
      <c r="A79" s="10" t="s">
        <v>85</v>
      </c>
      <c r="B79" s="1" t="s">
        <v>68</v>
      </c>
      <c r="C79" s="1" t="s">
        <v>12</v>
      </c>
      <c r="D79" s="6">
        <v>2</v>
      </c>
      <c r="E79" s="6">
        <v>3830</v>
      </c>
      <c r="H79" t="e">
        <f>IF(COUNTIFS(
    Sheet1!#REF!, B79,
    Sheet1!#REF!, C79,
    Sheet1!#REF!, D79,
    Sheet1!#REF!, E79
) = 0, "NO MATCH IN TARGET", "MATCHED")</f>
        <v>#REF!</v>
      </c>
    </row>
    <row r="80" spans="1:8" ht="15" thickBot="1" x14ac:dyDescent="0.4">
      <c r="A80" s="5">
        <v>46211.6875</v>
      </c>
      <c r="B80" s="1" t="s">
        <v>32</v>
      </c>
      <c r="C80" s="1" t="s">
        <v>12</v>
      </c>
      <c r="D80" s="6">
        <v>10</v>
      </c>
      <c r="E80" s="6">
        <v>640</v>
      </c>
      <c r="H80" t="e">
        <f>IF(COUNTIFS(
    Sheet1!#REF!, B80,
    Sheet1!#REF!, C80,
    Sheet1!#REF!, D80,
    Sheet1!#REF!, E80
) = 0, "NO MATCH IN TARGET", "MATCHED")</f>
        <v>#REF!</v>
      </c>
    </row>
    <row r="81" spans="1:8" ht="15" thickBot="1" x14ac:dyDescent="0.4">
      <c r="A81" s="5">
        <v>46247.635416666664</v>
      </c>
      <c r="B81" s="1" t="s">
        <v>64</v>
      </c>
      <c r="C81" s="1" t="s">
        <v>12</v>
      </c>
      <c r="D81" s="6">
        <v>15</v>
      </c>
      <c r="E81" s="6">
        <v>1005</v>
      </c>
      <c r="H81" t="e">
        <f>IF(COUNTIFS(
    Sheet1!#REF!, B81,
    Sheet1!#REF!, C81,
    Sheet1!#REF!, D81,
    Sheet1!#REF!, E81
) = 0, "NO MATCH IN TARGET", "MATCHED")</f>
        <v>#REF!</v>
      </c>
    </row>
    <row r="82" spans="1:8" ht="15" thickBot="1" x14ac:dyDescent="0.4">
      <c r="A82" s="5">
        <v>46246.635416666664</v>
      </c>
      <c r="B82" s="1" t="s">
        <v>52</v>
      </c>
      <c r="C82" s="1" t="s">
        <v>12</v>
      </c>
      <c r="D82" s="6">
        <v>5</v>
      </c>
      <c r="E82" s="6">
        <v>838</v>
      </c>
      <c r="H82" t="e">
        <f>IF(COUNTIFS(
    Sheet1!#REF!, B82,
    Sheet1!#REF!, C82,
    Sheet1!#REF!, D82,
    Sheet1!#REF!, E82
) = 0, "NO MATCH IN TARGET", "MATCHED")</f>
        <v>#REF!</v>
      </c>
    </row>
    <row r="83" spans="1:8" ht="15" thickBot="1" x14ac:dyDescent="0.4">
      <c r="A83" s="5">
        <v>46247.689583333333</v>
      </c>
      <c r="B83" s="1" t="s">
        <v>19</v>
      </c>
      <c r="C83" s="1" t="s">
        <v>12</v>
      </c>
      <c r="D83" s="6">
        <v>30</v>
      </c>
      <c r="E83" s="6">
        <v>2460</v>
      </c>
      <c r="H83" t="e">
        <f>IF(COUNTIFS(
    Sheet1!#REF!, B83,
    Sheet1!#REF!, C83,
    Sheet1!#REF!, D83,
    Sheet1!#REF!, E83
) = 0, "NO MATCH IN TARGET", "MATCHED")</f>
        <v>#REF!</v>
      </c>
    </row>
    <row r="84" spans="1:8" ht="15" thickBot="1" x14ac:dyDescent="0.4">
      <c r="A84" s="5">
        <v>46248.769120370373</v>
      </c>
      <c r="B84" s="1" t="s">
        <v>11</v>
      </c>
      <c r="C84" s="1" t="s">
        <v>12</v>
      </c>
      <c r="D84" s="6">
        <v>3</v>
      </c>
      <c r="E84" s="6">
        <v>4710</v>
      </c>
      <c r="H84" t="e">
        <f>IF(COUNTIFS(
    Sheet1!#REF!, B84,
    Sheet1!#REF!, C84,
    Sheet1!#REF!, D84,
    Sheet1!#REF!, E84
) = 0, "NO MATCH IN TARGET", "MATCHED")</f>
        <v>#REF!</v>
      </c>
    </row>
    <row r="85" spans="1:8" ht="15" thickBot="1" x14ac:dyDescent="0.4">
      <c r="A85" s="5">
        <v>46248.63553240741</v>
      </c>
      <c r="B85" s="1" t="s">
        <v>87</v>
      </c>
      <c r="C85" s="1" t="s">
        <v>12</v>
      </c>
      <c r="D85" s="6">
        <v>1</v>
      </c>
      <c r="E85" s="6">
        <v>2752</v>
      </c>
      <c r="H85" t="e">
        <f>IF(COUNTIFS(
    Sheet1!#REF!, B85,
    Sheet1!#REF!, C85,
    Sheet1!#REF!, D85,
    Sheet1!#REF!, E85
) = 0, "NO MATCH IN TARGET", "MATCHED")</f>
        <v>#REF!</v>
      </c>
    </row>
    <row r="86" spans="1:8" ht="15" thickBot="1" x14ac:dyDescent="0.4">
      <c r="A86" s="5">
        <v>46247.689583333333</v>
      </c>
      <c r="B86" s="1" t="s">
        <v>35</v>
      </c>
      <c r="C86" s="1" t="s">
        <v>12</v>
      </c>
      <c r="D86" s="6">
        <v>50</v>
      </c>
      <c r="E86" s="6">
        <v>196</v>
      </c>
      <c r="H86" t="e">
        <f>IF(COUNTIFS(
    Sheet1!#REF!, B86,
    Sheet1!#REF!, C86,
    Sheet1!#REF!, D86,
    Sheet1!#REF!, E86
) = 0, "NO MATCH IN TARGET", "MATCHED")</f>
        <v>#REF!</v>
      </c>
    </row>
    <row r="87" spans="1:8" ht="15" thickBot="1" x14ac:dyDescent="0.4">
      <c r="A87" s="5">
        <v>46248.635567129626</v>
      </c>
      <c r="B87" s="1" t="s">
        <v>52</v>
      </c>
      <c r="C87" s="1" t="s">
        <v>12</v>
      </c>
      <c r="D87" s="6">
        <v>25</v>
      </c>
      <c r="E87" s="6">
        <v>836</v>
      </c>
      <c r="H87" t="e">
        <f>IF(COUNTIFS(
    Sheet1!#REF!, B87,
    Sheet1!#REF!, C87,
    Sheet1!#REF!, D87,
    Sheet1!#REF!, E87
) = 0, "NO MATCH IN TARGET", "MATCHED")</f>
        <v>#REF!</v>
      </c>
    </row>
    <row r="88" spans="1:8" ht="15" thickBot="1" x14ac:dyDescent="0.4">
      <c r="A88" s="10" t="s">
        <v>85</v>
      </c>
      <c r="B88" s="1" t="s">
        <v>68</v>
      </c>
      <c r="C88" s="1" t="s">
        <v>12</v>
      </c>
      <c r="D88" s="6">
        <v>3</v>
      </c>
      <c r="E88" s="6">
        <v>3810</v>
      </c>
      <c r="H88" t="e">
        <f>IF(COUNTIFS(
    Sheet1!#REF!, B88,
    Sheet1!#REF!, C88,
    Sheet1!#REF!, D88,
    Sheet1!#REF!, E88
) = 0, "NO MATCH IN TARGET", "MATCHED")</f>
        <v>#REF!</v>
      </c>
    </row>
    <row r="89" spans="1:8" ht="15" thickBot="1" x14ac:dyDescent="0.4">
      <c r="A89" s="5">
        <v>46248.771099537036</v>
      </c>
      <c r="B89" s="1" t="s">
        <v>7</v>
      </c>
      <c r="C89" s="1" t="s">
        <v>12</v>
      </c>
      <c r="D89" s="6">
        <v>5</v>
      </c>
      <c r="E89" s="6">
        <v>1914</v>
      </c>
      <c r="H89" t="e">
        <f>IF(COUNTIFS(
    Sheet1!#REF!, B89,
    Sheet1!#REF!, C89,
    Sheet1!#REF!, D89,
    Sheet1!#REF!, E89
) = 0, "NO MATCH IN TARGET", "MATCHED")</f>
        <v>#REF!</v>
      </c>
    </row>
    <row r="90" spans="1:8" ht="15" thickBot="1" x14ac:dyDescent="0.4">
      <c r="A90" s="5">
        <v>46239.635416666664</v>
      </c>
      <c r="B90" s="1" t="s">
        <v>44</v>
      </c>
      <c r="C90" s="1" t="s">
        <v>12</v>
      </c>
      <c r="D90" s="6">
        <v>40</v>
      </c>
      <c r="E90" s="6">
        <v>878</v>
      </c>
      <c r="H90" t="e">
        <f>IF(COUNTIFS(
    Sheet1!#REF!, B90,
    Sheet1!#REF!, C90,
    Sheet1!#REF!, D90,
    Sheet1!#REF!, E90
) = 0, "NO MATCH IN TARGET", "MATCHED")</f>
        <v>#REF!</v>
      </c>
    </row>
    <row r="91" spans="1:8" ht="15" hidden="1" thickBot="1" x14ac:dyDescent="0.4">
      <c r="A91" s="5">
        <v>46248.63554398148</v>
      </c>
      <c r="B91" s="1" t="s">
        <v>51</v>
      </c>
      <c r="C91" s="1" t="s">
        <v>12</v>
      </c>
      <c r="D91" s="6">
        <v>10</v>
      </c>
      <c r="E91" s="6">
        <v>1303</v>
      </c>
      <c r="H91" t="e">
        <f>IF(COUNTIFS(
    Sheet1!#REF!, B91,
    Sheet1!#REF!, C91,
    Sheet1!#REF!, D91,
    Sheet1!#REF!, E91
) = 0, "NO MATCH IN TARGET", "MATCHED")</f>
        <v>#REF!</v>
      </c>
    </row>
    <row r="92" spans="1:8" ht="15" thickBot="1" x14ac:dyDescent="0.4">
      <c r="A92" s="5">
        <v>46334.692361111112</v>
      </c>
      <c r="B92" s="1" t="s">
        <v>37</v>
      </c>
      <c r="C92" s="1" t="s">
        <v>12</v>
      </c>
      <c r="D92" s="6">
        <v>11</v>
      </c>
      <c r="E92" s="6">
        <v>882</v>
      </c>
      <c r="H92" t="e">
        <f>IF(COUNTIFS(
    Sheet1!#REF!, B92,
    Sheet1!#REF!, C92,
    Sheet1!#REF!, D92,
    Sheet1!#REF!, E92
) = 0, "NO MATCH IN TARGET", "MATCHED")</f>
        <v>#REF!</v>
      </c>
    </row>
    <row r="93" spans="1:8" ht="15" thickBot="1" x14ac:dyDescent="0.4">
      <c r="A93" s="5">
        <v>46247.689583333333</v>
      </c>
      <c r="B93" s="1" t="s">
        <v>19</v>
      </c>
      <c r="C93" s="1" t="s">
        <v>12</v>
      </c>
      <c r="D93" s="6">
        <v>30</v>
      </c>
      <c r="E93" s="6">
        <v>2435</v>
      </c>
      <c r="H93" t="e">
        <f>IF(COUNTIFS(
    Sheet1!#REF!, B93,
    Sheet1!#REF!, C93,
    Sheet1!#REF!, D93,
    Sheet1!#REF!, E93
) = 0, "NO MATCH IN TARGET", "MATCHED")</f>
        <v>#REF!</v>
      </c>
    </row>
    <row r="94" spans="1:8" ht="15" thickBot="1" x14ac:dyDescent="0.4">
      <c r="A94" s="5">
        <v>46241.6875</v>
      </c>
      <c r="B94" s="1" t="s">
        <v>23</v>
      </c>
      <c r="C94" s="1" t="s">
        <v>12</v>
      </c>
      <c r="D94" s="6">
        <v>50</v>
      </c>
      <c r="E94" s="6">
        <v>206</v>
      </c>
      <c r="H94" t="e">
        <f>IF(COUNTIFS(
    Sheet1!#REF!, B94,
    Sheet1!#REF!, C94,
    Sheet1!#REF!, D94,
    Sheet1!#REF!, E94
) = 0, "NO MATCH IN TARGET", "MATCHED")</f>
        <v>#REF!</v>
      </c>
    </row>
    <row r="95" spans="1:8" ht="15" thickBot="1" x14ac:dyDescent="0.4">
      <c r="A95" s="5">
        <v>46245.693055555559</v>
      </c>
      <c r="B95" s="1" t="s">
        <v>18</v>
      </c>
      <c r="C95" s="1" t="s">
        <v>12</v>
      </c>
      <c r="D95" s="6">
        <v>100</v>
      </c>
      <c r="E95" s="6">
        <v>322</v>
      </c>
      <c r="H95" t="e">
        <f>IF(COUNTIFS(
    Sheet1!#REF!, B95,
    Sheet1!#REF!, C95,
    Sheet1!#REF!, D95,
    Sheet1!#REF!, E95
) = 0, "NO MATCH IN TARGET", "MATCHED")</f>
        <v>#REF!</v>
      </c>
    </row>
    <row r="96" spans="1:8" ht="15" hidden="1" thickBot="1" x14ac:dyDescent="0.4">
      <c r="A96" s="5">
        <v>46248.63553240741</v>
      </c>
      <c r="B96" s="1" t="s">
        <v>54</v>
      </c>
      <c r="C96" s="1" t="s">
        <v>12</v>
      </c>
      <c r="D96" s="6">
        <v>7</v>
      </c>
      <c r="E96" s="6">
        <v>2401</v>
      </c>
      <c r="H96" t="e">
        <f>IF(COUNTIFS(
    Sheet1!#REF!, B96,
    Sheet1!#REF!, C96,
    Sheet1!#REF!, D96,
    Sheet1!#REF!, E96
) = 0, "NO MATCH IN TARGET", "MATCHED")</f>
        <v>#REF!</v>
      </c>
    </row>
    <row r="97" spans="1:8" ht="15" thickBot="1" x14ac:dyDescent="0.4">
      <c r="A97" s="10" t="s">
        <v>85</v>
      </c>
      <c r="B97" s="1" t="s">
        <v>69</v>
      </c>
      <c r="C97" s="1" t="s">
        <v>12</v>
      </c>
      <c r="D97" s="6">
        <v>2</v>
      </c>
      <c r="E97" s="6">
        <v>4010</v>
      </c>
      <c r="H97" t="e">
        <f>IF(COUNTIFS(
    Sheet1!#REF!, B97,
    Sheet1!#REF!, C97,
    Sheet1!#REF!, D97,
    Sheet1!#REF!, E97
) = 0, "NO MATCH IN TARGET", "MATCHED")</f>
        <v>#REF!</v>
      </c>
    </row>
    <row r="98" spans="1:8" ht="15" thickBot="1" x14ac:dyDescent="0.4">
      <c r="A98" s="5">
        <v>46247.635416666664</v>
      </c>
      <c r="B98" s="1" t="s">
        <v>60</v>
      </c>
      <c r="C98" s="1" t="s">
        <v>12</v>
      </c>
      <c r="D98" s="6">
        <v>1</v>
      </c>
      <c r="E98" s="6">
        <v>18552</v>
      </c>
      <c r="H98" t="e">
        <f>IF(COUNTIFS(
    Sheet1!#REF!, B98,
    Sheet1!#REF!, C98,
    Sheet1!#REF!, D98,
    Sheet1!#REF!, E98
) = 0, "NO MATCH IN TARGET", "MATCHED")</f>
        <v>#REF!</v>
      </c>
    </row>
    <row r="99" spans="1:8" ht="15" thickBot="1" x14ac:dyDescent="0.4">
      <c r="A99" s="10" t="s">
        <v>85</v>
      </c>
      <c r="B99" s="1" t="s">
        <v>68</v>
      </c>
      <c r="C99" s="1" t="s">
        <v>12</v>
      </c>
      <c r="D99" s="6">
        <v>2</v>
      </c>
      <c r="E99" s="6">
        <v>3760</v>
      </c>
      <c r="H99" t="e">
        <f>IF(COUNTIFS(
    Sheet1!#REF!, B99,
    Sheet1!#REF!, C99,
    Sheet1!#REF!, D99,
    Sheet1!#REF!, E99
) = 0, "NO MATCH IN TARGET", "MATCHED")</f>
        <v>#REF!</v>
      </c>
    </row>
    <row r="100" spans="1:8" ht="15" thickBot="1" x14ac:dyDescent="0.4">
      <c r="A100" s="5">
        <v>46245.693055555559</v>
      </c>
      <c r="B100" s="1" t="s">
        <v>33</v>
      </c>
      <c r="C100" s="1" t="s">
        <v>12</v>
      </c>
      <c r="D100" s="6">
        <v>50</v>
      </c>
      <c r="E100" s="6">
        <v>116</v>
      </c>
      <c r="H100" t="e">
        <f>IF(COUNTIFS(
    Sheet1!#REF!, B100,
    Sheet1!#REF!, C100,
    Sheet1!#REF!, D100,
    Sheet1!#REF!, E100
) = 0, "NO MATCH IN TARGET", "MATCHED")</f>
        <v>#REF!</v>
      </c>
    </row>
    <row r="101" spans="1:8" ht="15" hidden="1" thickBot="1" x14ac:dyDescent="0.4">
      <c r="A101" s="5">
        <v>46248.63553240741</v>
      </c>
      <c r="B101" s="1" t="s">
        <v>53</v>
      </c>
      <c r="C101" s="1" t="s">
        <v>12</v>
      </c>
      <c r="D101" s="6">
        <v>1</v>
      </c>
      <c r="E101" s="6">
        <v>4640</v>
      </c>
      <c r="H101" t="e">
        <f>IF(COUNTIFS(
    Sheet1!#REF!, B101,
    Sheet1!#REF!, C101,
    Sheet1!#REF!, D101,
    Sheet1!#REF!, E101
) = 0, "NO MATCH IN TARGET", "MATCHED")</f>
        <v>#REF!</v>
      </c>
    </row>
    <row r="102" spans="1:8" ht="15" thickBot="1" x14ac:dyDescent="0.4">
      <c r="A102" s="5">
        <v>46364.635416666664</v>
      </c>
      <c r="B102" s="1" t="s">
        <v>62</v>
      </c>
      <c r="C102" s="1" t="s">
        <v>12</v>
      </c>
      <c r="D102" s="6">
        <v>1</v>
      </c>
      <c r="E102" s="6">
        <v>13052</v>
      </c>
      <c r="H102" t="e">
        <f>IF(COUNTIFS(
    Sheet1!#REF!, B102,
    Sheet1!#REF!, C102,
    Sheet1!#REF!, D102,
    Sheet1!#REF!, E102
) = 0, "NO MATCH IN TARGET", "MATCHED")</f>
        <v>#REF!</v>
      </c>
    </row>
    <row r="103" spans="1:8" ht="15" thickBot="1" x14ac:dyDescent="0.4">
      <c r="A103" s="5">
        <v>46245.693055555559</v>
      </c>
      <c r="B103" s="1" t="s">
        <v>33</v>
      </c>
      <c r="C103" s="1" t="s">
        <v>12</v>
      </c>
      <c r="D103" s="6">
        <v>200</v>
      </c>
      <c r="E103" s="6">
        <v>115.25</v>
      </c>
      <c r="H103" t="e">
        <f>IF(COUNTIFS(
    Sheet1!#REF!, B103,
    Sheet1!#REF!, C103,
    Sheet1!#REF!, D103,
    Sheet1!#REF!, E103
) = 0, "NO MATCH IN TARGET", "MATCHED")</f>
        <v>#REF!</v>
      </c>
    </row>
    <row r="104" spans="1:8" ht="15" thickBot="1" x14ac:dyDescent="0.4">
      <c r="A104" s="5">
        <v>46246.635416666664</v>
      </c>
      <c r="B104" s="1" t="s">
        <v>54</v>
      </c>
      <c r="C104" s="1" t="s">
        <v>12</v>
      </c>
      <c r="D104" s="6">
        <v>8</v>
      </c>
      <c r="E104" s="6">
        <v>2370</v>
      </c>
      <c r="H104" t="e">
        <f>IF(COUNTIFS(
    Sheet1!#REF!, B104,
    Sheet1!#REF!, C104,
    Sheet1!#REF!, D104,
    Sheet1!#REF!, E104
) = 0, "NO MATCH IN TARGET", "MATCHED")</f>
        <v>#REF!</v>
      </c>
    </row>
    <row r="105" spans="1:8" ht="15" thickBot="1" x14ac:dyDescent="0.4">
      <c r="A105" s="5">
        <v>46241.765277777777</v>
      </c>
      <c r="B105" s="1" t="s">
        <v>88</v>
      </c>
      <c r="C105" s="1" t="s">
        <v>12</v>
      </c>
      <c r="D105" s="6">
        <v>4</v>
      </c>
      <c r="E105" s="6">
        <v>1751</v>
      </c>
      <c r="H105" t="e">
        <f>IF(COUNTIFS(
    Sheet1!#REF!, B105,
    Sheet1!#REF!, C105,
    Sheet1!#REF!, D105,
    Sheet1!#REF!, E105
) = 0, "NO MATCH IN TARGET", "MATCHED")</f>
        <v>#REF!</v>
      </c>
    </row>
    <row r="106" spans="1:8" ht="15" thickBot="1" x14ac:dyDescent="0.4">
      <c r="A106" s="5">
        <v>46246.635416666664</v>
      </c>
      <c r="B106" s="1" t="s">
        <v>56</v>
      </c>
      <c r="C106" s="1" t="s">
        <v>12</v>
      </c>
      <c r="D106" s="6">
        <v>10</v>
      </c>
      <c r="E106" s="6">
        <v>1132</v>
      </c>
      <c r="H106" t="e">
        <f>IF(COUNTIFS(
    Sheet1!#REF!, B106,
    Sheet1!#REF!, C106,
    Sheet1!#REF!, D106,
    Sheet1!#REF!, E106
) = 0, "NO MATCH IN TARGET", "MATCHED")</f>
        <v>#REF!</v>
      </c>
    </row>
    <row r="107" spans="1:8" ht="15" thickBot="1" x14ac:dyDescent="0.4">
      <c r="A107" s="5">
        <v>46246.635416666664</v>
      </c>
      <c r="B107" s="1" t="s">
        <v>51</v>
      </c>
      <c r="C107" s="1" t="s">
        <v>12</v>
      </c>
      <c r="D107" s="6">
        <v>10</v>
      </c>
      <c r="E107" s="6">
        <v>1280</v>
      </c>
      <c r="H107" t="e">
        <f>IF(COUNTIFS(
    Sheet1!#REF!, B107,
    Sheet1!#REF!, C107,
    Sheet1!#REF!, D107,
    Sheet1!#REF!, E107
) = 0, "NO MATCH IN TARGET", "MATCHED")</f>
        <v>#REF!</v>
      </c>
    </row>
    <row r="108" spans="1:8" ht="15" thickBot="1" x14ac:dyDescent="0.4">
      <c r="A108" s="5">
        <v>46246.644444444442</v>
      </c>
      <c r="B108" s="1" t="s">
        <v>44</v>
      </c>
      <c r="C108" s="1" t="s">
        <v>12</v>
      </c>
      <c r="D108" s="6">
        <v>40</v>
      </c>
      <c r="E108" s="6">
        <v>862</v>
      </c>
      <c r="H108" t="e">
        <f>IF(COUNTIFS(
    Sheet1!#REF!, B108,
    Sheet1!#REF!, C108,
    Sheet1!#REF!, D108,
    Sheet1!#REF!, E108
) = 0, "NO MATCH IN TARGET", "MATCHED")</f>
        <v>#REF!</v>
      </c>
    </row>
    <row r="109" spans="1:8" ht="15" thickBot="1" x14ac:dyDescent="0.4">
      <c r="A109" s="5">
        <v>46241.6875</v>
      </c>
      <c r="B109" s="1" t="s">
        <v>32</v>
      </c>
      <c r="C109" s="1" t="s">
        <v>12</v>
      </c>
      <c r="D109" s="6">
        <v>20</v>
      </c>
      <c r="E109" s="6">
        <v>620</v>
      </c>
      <c r="H109" t="e">
        <f>IF(COUNTIFS(
    Sheet1!#REF!, B109,
    Sheet1!#REF!, C109,
    Sheet1!#REF!, D109,
    Sheet1!#REF!, E109
) = 0, "NO MATCH IN TARGET", "MATCHED")</f>
        <v>#REF!</v>
      </c>
    </row>
    <row r="110" spans="1:8" ht="15" thickBot="1" x14ac:dyDescent="0.4">
      <c r="A110" s="5">
        <v>46240.6875</v>
      </c>
      <c r="B110" s="1" t="s">
        <v>32</v>
      </c>
      <c r="C110" s="1" t="s">
        <v>12</v>
      </c>
      <c r="D110" s="6">
        <v>30</v>
      </c>
      <c r="E110" s="6">
        <v>620</v>
      </c>
      <c r="H110" t="e">
        <f>IF(COUNTIFS(
    Sheet1!#REF!, B110,
    Sheet1!#REF!, C110,
    Sheet1!#REF!, D110,
    Sheet1!#REF!, E110
) = 0, "NO MATCH IN TARGET", "MATCHED")</f>
        <v>#REF!</v>
      </c>
    </row>
    <row r="111" spans="1:8" ht="15" thickBot="1" x14ac:dyDescent="0.4">
      <c r="A111" s="10" t="s">
        <v>85</v>
      </c>
      <c r="B111" s="1" t="s">
        <v>52</v>
      </c>
      <c r="C111" s="1" t="s">
        <v>12</v>
      </c>
      <c r="D111" s="6">
        <v>5</v>
      </c>
      <c r="E111" s="6">
        <v>812</v>
      </c>
      <c r="H111" t="e">
        <f>IF(COUNTIFS(
    Sheet1!#REF!, B111,
    Sheet1!#REF!, C111,
    Sheet1!#REF!, D111,
    Sheet1!#REF!, E111
) = 0, "NO MATCH IN TARGET", "MATCHED")</f>
        <v>#REF!</v>
      </c>
    </row>
    <row r="112" spans="1:8" ht="15" thickBot="1" x14ac:dyDescent="0.4">
      <c r="A112" s="5">
        <v>46247.689583333333</v>
      </c>
      <c r="B112" s="1" t="s">
        <v>7</v>
      </c>
      <c r="C112" s="1" t="s">
        <v>12</v>
      </c>
      <c r="D112" s="6">
        <v>5</v>
      </c>
      <c r="E112" s="6">
        <v>1864</v>
      </c>
      <c r="H112" t="e">
        <f>IF(COUNTIFS(
    Sheet1!#REF!, B112,
    Sheet1!#REF!, C112,
    Sheet1!#REF!, D112,
    Sheet1!#REF!, E112
) = 0, "NO MATCH IN TARGET", "MATCHED")</f>
        <v>#REF!</v>
      </c>
    </row>
    <row r="113" spans="1:8" ht="15" thickBot="1" x14ac:dyDescent="0.4">
      <c r="A113" s="5">
        <v>46334.635416666664</v>
      </c>
      <c r="B113" s="1" t="s">
        <v>87</v>
      </c>
      <c r="C113" s="1" t="s">
        <v>12</v>
      </c>
      <c r="D113" s="6">
        <v>2</v>
      </c>
      <c r="E113" s="6">
        <v>2660</v>
      </c>
      <c r="H113" t="e">
        <f>IF(COUNTIFS(
    Sheet1!#REF!, B113,
    Sheet1!#REF!, C113,
    Sheet1!#REF!, D113,
    Sheet1!#REF!, E113
) = 0, "NO MATCH IN TARGET", "MATCHED")</f>
        <v>#REF!</v>
      </c>
    </row>
    <row r="114" spans="1:8" ht="15" thickBot="1" x14ac:dyDescent="0.4">
      <c r="A114" s="5">
        <v>46211.635416666664</v>
      </c>
      <c r="B114" s="1" t="s">
        <v>53</v>
      </c>
      <c r="C114" s="1" t="s">
        <v>12</v>
      </c>
      <c r="D114" s="6">
        <v>1</v>
      </c>
      <c r="E114" s="6">
        <v>4560</v>
      </c>
      <c r="H114" t="e">
        <f>IF(COUNTIFS(
    Sheet1!#REF!, B114,
    Sheet1!#REF!, C114,
    Sheet1!#REF!, D114,
    Sheet1!#REF!, E114
) = 0, "NO MATCH IN TARGET", "MATCHED")</f>
        <v>#REF!</v>
      </c>
    </row>
    <row r="115" spans="1:8" ht="15" thickBot="1" x14ac:dyDescent="0.4">
      <c r="A115" s="5">
        <v>46334.692361111112</v>
      </c>
      <c r="B115" s="1" t="s">
        <v>37</v>
      </c>
      <c r="C115" s="1" t="s">
        <v>12</v>
      </c>
      <c r="D115" s="6">
        <v>30</v>
      </c>
      <c r="E115" s="6">
        <v>860</v>
      </c>
      <c r="H115" t="e">
        <f>IF(COUNTIFS(
    Sheet1!#REF!, B115,
    Sheet1!#REF!, C115,
    Sheet1!#REF!, D115,
    Sheet1!#REF!, E115
) = 0, "NO MATCH IN TARGET", "MATCHED")</f>
        <v>#REF!</v>
      </c>
    </row>
    <row r="116" spans="1:8" ht="15" thickBot="1" x14ac:dyDescent="0.4">
      <c r="A116" s="5">
        <v>46248.770914351851</v>
      </c>
      <c r="B116" s="1" t="s">
        <v>14</v>
      </c>
      <c r="C116" s="1" t="s">
        <v>12</v>
      </c>
      <c r="D116" s="6">
        <v>5</v>
      </c>
      <c r="E116" s="6">
        <v>604</v>
      </c>
      <c r="H116" t="e">
        <f>IF(COUNTIFS(
    Sheet1!#REF!, B116,
    Sheet1!#REF!, C116,
    Sheet1!#REF!, D116,
    Sheet1!#REF!, E116
) = 0, "NO MATCH IN TARGET", "MATCHED")</f>
        <v>#REF!</v>
      </c>
    </row>
    <row r="117" spans="1:8" ht="15" thickBot="1" x14ac:dyDescent="0.4">
      <c r="A117" s="10" t="s">
        <v>85</v>
      </c>
      <c r="B117" s="1" t="s">
        <v>89</v>
      </c>
      <c r="C117" s="1" t="s">
        <v>12</v>
      </c>
      <c r="D117" s="6">
        <v>1</v>
      </c>
      <c r="E117" s="6">
        <v>6920</v>
      </c>
      <c r="H117" t="e">
        <f>IF(COUNTIFS(
    Sheet1!#REF!, B117,
    Sheet1!#REF!, C117,
    Sheet1!#REF!, D117,
    Sheet1!#REF!, E117
) = 0, "NO MATCH IN TARGET", "MATCHED")</f>
        <v>#REF!</v>
      </c>
    </row>
    <row r="118" spans="1:8" ht="15" thickBot="1" x14ac:dyDescent="0.4">
      <c r="A118" s="5">
        <v>46247.635416666664</v>
      </c>
      <c r="B118" s="1" t="s">
        <v>60</v>
      </c>
      <c r="C118" s="1" t="s">
        <v>12</v>
      </c>
      <c r="D118" s="6">
        <v>1</v>
      </c>
      <c r="E118" s="6">
        <v>18052</v>
      </c>
      <c r="H118" t="e">
        <f>IF(COUNTIFS(
    Sheet1!#REF!, B118,
    Sheet1!#REF!, C118,
    Sheet1!#REF!, D118,
    Sheet1!#REF!, E118
) = 0, "NO MATCH IN TARGET", "MATCHED")</f>
        <v>#REF!</v>
      </c>
    </row>
    <row r="119" spans="1:8" ht="15" thickBot="1" x14ac:dyDescent="0.4">
      <c r="A119" s="5">
        <v>46246.635416666664</v>
      </c>
      <c r="B119" s="1" t="s">
        <v>51</v>
      </c>
      <c r="C119" s="1" t="s">
        <v>12</v>
      </c>
      <c r="D119" s="6">
        <v>10</v>
      </c>
      <c r="E119" s="6">
        <v>1260</v>
      </c>
      <c r="H119" t="e">
        <f>IF(COUNTIFS(
    Sheet1!#REF!, B119,
    Sheet1!#REF!, C119,
    Sheet1!#REF!, D119,
    Sheet1!#REF!, E119
) = 0, "NO MATCH IN TARGET", "MATCHED")</f>
        <v>#REF!</v>
      </c>
    </row>
    <row r="120" spans="1:8" ht="15" thickBot="1" x14ac:dyDescent="0.4">
      <c r="A120" s="5">
        <v>46334.692361111112</v>
      </c>
      <c r="B120" s="1" t="s">
        <v>37</v>
      </c>
      <c r="C120" s="1" t="s">
        <v>12</v>
      </c>
      <c r="D120" s="6">
        <v>5</v>
      </c>
      <c r="E120" s="6">
        <v>852</v>
      </c>
      <c r="H120" t="e">
        <f>IF(COUNTIFS(
    Sheet1!#REF!, B120,
    Sheet1!#REF!, C120,
    Sheet1!#REF!, D120,
    Sheet1!#REF!, E120
) = 0, "NO MATCH IN TARGET", "MATCHED")</f>
        <v>#REF!</v>
      </c>
    </row>
    <row r="121" spans="1:8" ht="15" hidden="1" thickBot="1" x14ac:dyDescent="0.4">
      <c r="A121" s="5">
        <v>46248.769120370373</v>
      </c>
      <c r="B121" s="1" t="s">
        <v>22</v>
      </c>
      <c r="C121" s="1" t="s">
        <v>12</v>
      </c>
      <c r="D121" s="6">
        <v>10</v>
      </c>
      <c r="E121" s="6">
        <v>1666</v>
      </c>
      <c r="H121" t="e">
        <f>IF(COUNTIFS(
    Sheet1!#REF!, B121,
    Sheet1!#REF!, C121,
    Sheet1!#REF!, D121,
    Sheet1!#REF!, E121
) = 0, "NO MATCH IN TARGET", "MATCHED")</f>
        <v>#REF!</v>
      </c>
    </row>
    <row r="122" spans="1:8" ht="15" thickBot="1" x14ac:dyDescent="0.4">
      <c r="A122" s="5">
        <v>46246.635416666664</v>
      </c>
      <c r="B122" s="1" t="s">
        <v>51</v>
      </c>
      <c r="C122" s="1" t="s">
        <v>12</v>
      </c>
      <c r="D122" s="6">
        <v>10</v>
      </c>
      <c r="E122" s="6">
        <v>1251</v>
      </c>
      <c r="H122" t="e">
        <f>IF(COUNTIFS(
    Sheet1!#REF!, B122,
    Sheet1!#REF!, C122,
    Sheet1!#REF!, D122,
    Sheet1!#REF!, E122
) = 0, "NO MATCH IN TARGET", "MATCHED")</f>
        <v>#REF!</v>
      </c>
    </row>
    <row r="123" spans="1:8" ht="15" thickBot="1" x14ac:dyDescent="0.4">
      <c r="A123" s="5">
        <v>46246.689583333333</v>
      </c>
      <c r="B123" s="1" t="s">
        <v>84</v>
      </c>
      <c r="C123" s="1" t="s">
        <v>12</v>
      </c>
      <c r="D123" s="6">
        <v>200</v>
      </c>
      <c r="E123" s="6">
        <v>31.01</v>
      </c>
      <c r="H123" t="e">
        <f>IF(COUNTIFS(
    Sheet1!#REF!, B123,
    Sheet1!#REF!, C123,
    Sheet1!#REF!, D123,
    Sheet1!#REF!, E123
) = 0, "NO MATCH IN TARGET", "MATCHED")</f>
        <v>#REF!</v>
      </c>
    </row>
    <row r="124" spans="1:8" ht="15" thickBot="1" x14ac:dyDescent="0.4">
      <c r="A124" s="5">
        <v>46240.635416666664</v>
      </c>
      <c r="B124" s="1" t="s">
        <v>53</v>
      </c>
      <c r="C124" s="1" t="s">
        <v>12</v>
      </c>
      <c r="D124" s="6">
        <v>2</v>
      </c>
      <c r="E124" s="6">
        <v>4456</v>
      </c>
      <c r="H124" t="e">
        <f>IF(COUNTIFS(
    Sheet1!#REF!, B124,
    Sheet1!#REF!, C124,
    Sheet1!#REF!, D124,
    Sheet1!#REF!, E124
) = 0, "NO MATCH IN TARGET", "MATCHED")</f>
        <v>#REF!</v>
      </c>
    </row>
    <row r="125" spans="1:8" ht="15" thickBot="1" x14ac:dyDescent="0.4">
      <c r="A125" s="5">
        <v>46181.6875</v>
      </c>
      <c r="B125" s="1" t="s">
        <v>33</v>
      </c>
      <c r="C125" s="1" t="s">
        <v>12</v>
      </c>
      <c r="D125" s="6">
        <v>100</v>
      </c>
      <c r="E125" s="6">
        <v>111</v>
      </c>
      <c r="H125" t="e">
        <f>IF(COUNTIFS(
    Sheet1!#REF!, B125,
    Sheet1!#REF!, C125,
    Sheet1!#REF!, D125,
    Sheet1!#REF!, E125
) = 0, "NO MATCH IN TARGET", "MATCHED")</f>
        <v>#REF!</v>
      </c>
    </row>
    <row r="126" spans="1:8" ht="15" thickBot="1" x14ac:dyDescent="0.4">
      <c r="A126" s="10" t="s">
        <v>85</v>
      </c>
      <c r="B126" s="1" t="s">
        <v>30</v>
      </c>
      <c r="C126" s="1" t="s">
        <v>12</v>
      </c>
      <c r="D126" s="6">
        <v>10</v>
      </c>
      <c r="E126" s="6">
        <v>251</v>
      </c>
      <c r="H126" t="e">
        <f>IF(COUNTIFS(
    Sheet1!#REF!, B126,
    Sheet1!#REF!, C126,
    Sheet1!#REF!, D126,
    Sheet1!#REF!, E126
) = 0, "NO MATCH IN TARGET", "MATCHED")</f>
        <v>#REF!</v>
      </c>
    </row>
    <row r="127" spans="1:8" ht="15" thickBot="1" x14ac:dyDescent="0.4">
      <c r="A127" s="10" t="s">
        <v>85</v>
      </c>
      <c r="B127" s="1" t="s">
        <v>90</v>
      </c>
      <c r="C127" s="1" t="s">
        <v>12</v>
      </c>
      <c r="D127" s="6">
        <v>4</v>
      </c>
      <c r="E127" s="6">
        <v>701</v>
      </c>
      <c r="H127" t="e">
        <f>IF(COUNTIFS(
    Sheet1!#REF!, B127,
    Sheet1!#REF!, C127,
    Sheet1!#REF!, D127,
    Sheet1!#REF!, E127
) = 0, "NO MATCH IN TARGET", "MATCHED")</f>
        <v>#REF!</v>
      </c>
    </row>
    <row r="128" spans="1:8" ht="15" thickBot="1" x14ac:dyDescent="0.4">
      <c r="A128" s="5">
        <v>46241.6875</v>
      </c>
      <c r="B128" s="1" t="s">
        <v>11</v>
      </c>
      <c r="C128" s="1" t="s">
        <v>12</v>
      </c>
      <c r="D128" s="6">
        <v>2</v>
      </c>
      <c r="E128" s="6">
        <v>4410</v>
      </c>
      <c r="H128" t="e">
        <f>IF(COUNTIFS(
    Sheet1!#REF!, B128,
    Sheet1!#REF!, C128,
    Sheet1!#REF!, D128,
    Sheet1!#REF!, E128
) = 0, "NO MATCH IN TARGET", "MATCHED")</f>
        <v>#REF!</v>
      </c>
    </row>
    <row r="129" spans="1:8" ht="15" thickBot="1" x14ac:dyDescent="0.4">
      <c r="A129" s="5">
        <v>46239.788888888892</v>
      </c>
      <c r="B129" s="1" t="s">
        <v>28</v>
      </c>
      <c r="C129" s="1" t="s">
        <v>12</v>
      </c>
      <c r="D129" s="6">
        <v>5</v>
      </c>
      <c r="E129" s="6">
        <v>419</v>
      </c>
      <c r="H129" t="e">
        <f>IF(COUNTIFS(
    Sheet1!#REF!, B129,
    Sheet1!#REF!, C129,
    Sheet1!#REF!, D129,
    Sheet1!#REF!, E129
) = 0, "NO MATCH IN TARGET", "MATCHED")</f>
        <v>#REF!</v>
      </c>
    </row>
    <row r="130" spans="1:8" ht="15" thickBot="1" x14ac:dyDescent="0.4">
      <c r="A130" s="5">
        <v>46150.635416666664</v>
      </c>
      <c r="B130" s="1" t="s">
        <v>53</v>
      </c>
      <c r="C130" s="1" t="s">
        <v>12</v>
      </c>
      <c r="D130" s="6">
        <v>15</v>
      </c>
      <c r="E130" s="6">
        <v>4415</v>
      </c>
      <c r="H130" t="e">
        <f>IF(COUNTIFS(
    Sheet1!#REF!, B130,
    Sheet1!#REF!, C130,
    Sheet1!#REF!, D130,
    Sheet1!#REF!, E130
) = 0, "NO MATCH IN TARGET", "MATCHED")</f>
        <v>#REF!</v>
      </c>
    </row>
    <row r="131" spans="1:8" ht="15" thickBot="1" x14ac:dyDescent="0.4">
      <c r="A131" s="5">
        <v>46244.635416666664</v>
      </c>
      <c r="B131" s="1" t="s">
        <v>87</v>
      </c>
      <c r="C131" s="1" t="s">
        <v>12</v>
      </c>
      <c r="D131" s="6">
        <v>2</v>
      </c>
      <c r="E131" s="6">
        <v>2560</v>
      </c>
      <c r="H131" t="e">
        <f>IF(COUNTIFS(
    Sheet1!#REF!, B131,
    Sheet1!#REF!, C131,
    Sheet1!#REF!, D131,
    Sheet1!#REF!, E131
) = 0, "NO MATCH IN TARGET", "MATCHED")</f>
        <v>#REF!</v>
      </c>
    </row>
    <row r="132" spans="1:8" ht="15" thickBot="1" x14ac:dyDescent="0.4">
      <c r="A132" s="10" t="s">
        <v>85</v>
      </c>
      <c r="B132" s="1" t="s">
        <v>11</v>
      </c>
      <c r="C132" s="1" t="s">
        <v>12</v>
      </c>
      <c r="D132" s="6">
        <v>1</v>
      </c>
      <c r="E132" s="6">
        <v>4364</v>
      </c>
      <c r="H132" t="e">
        <f>IF(COUNTIFS(
    Sheet1!#REF!, B132,
    Sheet1!#REF!, C132,
    Sheet1!#REF!, D132,
    Sheet1!#REF!, E132
) = 0, "NO MATCH IN TARGET", "MATCHED")</f>
        <v>#REF!</v>
      </c>
    </row>
    <row r="133" spans="1:8" ht="15" thickBot="1" x14ac:dyDescent="0.4">
      <c r="A133" s="5">
        <v>46240.6875</v>
      </c>
      <c r="B133" s="1" t="s">
        <v>22</v>
      </c>
      <c r="C133" s="1" t="s">
        <v>12</v>
      </c>
      <c r="D133" s="6">
        <v>5</v>
      </c>
      <c r="E133" s="6">
        <v>1614</v>
      </c>
      <c r="H133" t="e">
        <f>IF(COUNTIFS(
    Sheet1!#REF!, B133,
    Sheet1!#REF!, C133,
    Sheet1!#REF!, D133,
    Sheet1!#REF!, E133
) = 0, "NO MATCH IN TARGET", "MATCHED")</f>
        <v>#REF!</v>
      </c>
    </row>
    <row r="134" spans="1:8" ht="15" thickBot="1" x14ac:dyDescent="0.4">
      <c r="A134" s="5">
        <v>46150.789583333331</v>
      </c>
      <c r="B134" s="1" t="s">
        <v>91</v>
      </c>
      <c r="C134" s="1" t="s">
        <v>12</v>
      </c>
      <c r="D134" s="6">
        <v>7</v>
      </c>
      <c r="E134" s="6">
        <v>411</v>
      </c>
      <c r="H134" t="e">
        <f>IF(COUNTIFS(
    Sheet1!#REF!, B134,
    Sheet1!#REF!, C134,
    Sheet1!#REF!, D134,
    Sheet1!#REF!, E134
) = 0, "NO MATCH IN TARGET", "MATCHED")</f>
        <v>#REF!</v>
      </c>
    </row>
    <row r="135" spans="1:8" ht="15" thickBot="1" x14ac:dyDescent="0.4">
      <c r="A135" s="10" t="s">
        <v>85</v>
      </c>
      <c r="B135" s="1" t="s">
        <v>28</v>
      </c>
      <c r="C135" s="1" t="s">
        <v>12</v>
      </c>
      <c r="D135" s="6">
        <v>29</v>
      </c>
      <c r="E135" s="6">
        <v>401</v>
      </c>
      <c r="H135" t="e">
        <f>IF(COUNTIFS(
    Sheet1!#REF!, B135,
    Sheet1!#REF!, C135,
    Sheet1!#REF!, D135,
    Sheet1!#REF!, E135
) = 0, "NO MATCH IN TARGET", "MATCHED")</f>
        <v>#REF!</v>
      </c>
    </row>
    <row r="136" spans="1:8" ht="15" thickBot="1" x14ac:dyDescent="0.4">
      <c r="A136" s="10" t="s">
        <v>85</v>
      </c>
      <c r="B136" s="1" t="s">
        <v>11</v>
      </c>
      <c r="C136" s="1" t="s">
        <v>12</v>
      </c>
      <c r="D136" s="6">
        <v>1</v>
      </c>
      <c r="E136" s="6">
        <v>4164</v>
      </c>
      <c r="H136" t="e">
        <f>IF(COUNTIFS(
    Sheet1!#REF!, B136,
    Sheet1!#REF!, C136,
    Sheet1!#REF!, D136,
    Sheet1!#REF!, E136
) = 0, "NO MATCH IN TARGET", "MATCHED")</f>
        <v>#REF!</v>
      </c>
    </row>
    <row r="137" spans="1:8" ht="15" thickBot="1" x14ac:dyDescent="0.4">
      <c r="A137" s="10" t="s">
        <v>85</v>
      </c>
      <c r="B137" s="1" t="s">
        <v>11</v>
      </c>
      <c r="C137" s="1" t="s">
        <v>12</v>
      </c>
      <c r="D137" s="6">
        <v>1</v>
      </c>
      <c r="E137" s="6">
        <v>4014</v>
      </c>
      <c r="H137" t="e">
        <f>IF(COUNTIFS(
    Sheet1!#REF!, B137,
    Sheet1!#REF!, C137,
    Sheet1!#REF!, D137,
    Sheet1!#REF!, E137
) = 0, "NO MATCH IN TARGET", "MATCHED")</f>
        <v>#REF!</v>
      </c>
    </row>
    <row r="138" spans="1:8" ht="15" thickBot="1" x14ac:dyDescent="0.4">
      <c r="A138" s="10" t="s">
        <v>85</v>
      </c>
      <c r="B138" s="1" t="s">
        <v>11</v>
      </c>
      <c r="C138" s="1" t="s">
        <v>12</v>
      </c>
      <c r="D138" s="6">
        <v>1</v>
      </c>
      <c r="E138" s="6">
        <v>3914</v>
      </c>
      <c r="H138" t="e">
        <f>IF(COUNTIFS(
    Sheet1!#REF!, B138,
    Sheet1!#REF!, C138,
    Sheet1!#REF!, D138,
    Sheet1!#REF!, E138
) = 0, "NO MATCH IN TARGET", "MATCHED")</f>
        <v>#REF!</v>
      </c>
    </row>
    <row r="139" spans="1:8" ht="15" thickBot="1" x14ac:dyDescent="0.4">
      <c r="A139" s="5">
        <v>46244.767361111109</v>
      </c>
      <c r="B139" s="1" t="s">
        <v>92</v>
      </c>
      <c r="C139" s="1" t="s">
        <v>12</v>
      </c>
      <c r="D139" s="6">
        <v>2</v>
      </c>
      <c r="E139" s="6">
        <v>660</v>
      </c>
      <c r="H139" t="e">
        <f>IF(COUNTIFS(
    Sheet1!#REF!, B139,
    Sheet1!#REF!, C139,
    Sheet1!#REF!, D139,
    Sheet1!#REF!, E139
) = 0, "NO MATCH IN TARGET", "MATCHED")</f>
        <v>#REF!</v>
      </c>
    </row>
    <row r="140" spans="1:8" ht="15" thickBot="1" x14ac:dyDescent="0.4">
      <c r="A140" s="5">
        <v>46248.635509259257</v>
      </c>
      <c r="B140" s="1" t="s">
        <v>44</v>
      </c>
      <c r="C140" s="1" t="s">
        <v>8</v>
      </c>
      <c r="D140" s="6">
        <v>10</v>
      </c>
      <c r="E140" s="6">
        <v>947</v>
      </c>
      <c r="H140" t="e">
        <f>IF(COUNTIFS(
    Sheet1!#REF!, B140,
    Sheet1!#REF!, C140,
    Sheet1!#REF!, D140,
    Sheet1!#REF!, E140
) = 0, "NO MATCH IN TARGET", "MATCHED")</f>
        <v>#REF!</v>
      </c>
    </row>
    <row r="141" spans="1:8" ht="15" thickBot="1" x14ac:dyDescent="0.4">
      <c r="A141" s="5">
        <v>46248.644837962966</v>
      </c>
      <c r="B141" s="1" t="s">
        <v>52</v>
      </c>
      <c r="C141" s="1" t="s">
        <v>8</v>
      </c>
      <c r="D141" s="6">
        <v>20</v>
      </c>
      <c r="E141" s="6">
        <v>896</v>
      </c>
      <c r="H141" t="e">
        <f>IF(COUNTIFS(
    Sheet1!#REF!, B141,
    Sheet1!#REF!, C141,
    Sheet1!#REF!, D141,
    Sheet1!#REF!, E141
) = 0, "NO MATCH IN TARGET", "MATCHED")</f>
        <v>#REF!</v>
      </c>
    </row>
    <row r="142" spans="1:8" ht="15" thickBot="1" x14ac:dyDescent="0.4">
      <c r="A142" s="5">
        <v>46248.769108796296</v>
      </c>
      <c r="B142" s="1" t="s">
        <v>23</v>
      </c>
      <c r="C142" s="1" t="s">
        <v>8</v>
      </c>
      <c r="D142" s="6">
        <v>100</v>
      </c>
      <c r="E142" s="6">
        <v>223</v>
      </c>
      <c r="H142" t="e">
        <f>IF(COUNTIFS(
    Sheet1!#REF!, B142,
    Sheet1!#REF!, C142,
    Sheet1!#REF!, D142,
    Sheet1!#REF!, E142
) = 0, "NO MATCH IN TARGET", "MATCHED")</f>
        <v>#REF!</v>
      </c>
    </row>
    <row r="143" spans="1:8" ht="15" thickBot="1" x14ac:dyDescent="0.4">
      <c r="A143" s="5">
        <v>46248.644872685189</v>
      </c>
      <c r="B143" s="1" t="s">
        <v>44</v>
      </c>
      <c r="C143" s="1" t="s">
        <v>8</v>
      </c>
      <c r="D143" s="6">
        <v>10</v>
      </c>
      <c r="E143" s="6">
        <v>957</v>
      </c>
      <c r="H143" t="e">
        <f>IF(COUNTIFS(
    Sheet1!#REF!, B143,
    Sheet1!#REF!, C143,
    Sheet1!#REF!, D143,
    Sheet1!#REF!, E143
) = 0, "NO MATCH IN TARGET", "MATCHED")</f>
        <v>#REF!</v>
      </c>
    </row>
    <row r="144" spans="1:8" ht="15" hidden="1" thickBot="1" x14ac:dyDescent="0.4">
      <c r="A144" s="5">
        <v>46248.644861111112</v>
      </c>
      <c r="B144" s="1" t="s">
        <v>68</v>
      </c>
      <c r="C144" s="1" t="s">
        <v>8</v>
      </c>
      <c r="D144" s="6">
        <v>5</v>
      </c>
      <c r="E144" s="6">
        <v>4129</v>
      </c>
      <c r="H144" t="e">
        <f>IF(COUNTIFS(
    Sheet1!#REF!, B144,
    Sheet1!#REF!, C144,
    Sheet1!#REF!, D144,
    Sheet1!#REF!, E144
) = 0, "NO MATCH IN TARGET", "MATCHED")</f>
        <v>#REF!</v>
      </c>
    </row>
    <row r="145" spans="1:8" ht="15" thickBot="1" x14ac:dyDescent="0.4">
      <c r="A145" s="5">
        <v>46248.769108796296</v>
      </c>
      <c r="B145" s="1" t="s">
        <v>18</v>
      </c>
      <c r="C145" s="1" t="s">
        <v>8</v>
      </c>
      <c r="D145" s="6">
        <v>50</v>
      </c>
      <c r="E145" s="6">
        <v>353</v>
      </c>
      <c r="H145" t="e">
        <f>IF(COUNTIFS(
    Sheet1!#REF!, B145,
    Sheet1!#REF!, C145,
    Sheet1!#REF!, D145,
    Sheet1!#REF!, E145
) = 0, "NO MATCH IN TARGET", "MATCHED")</f>
        <v>#REF!</v>
      </c>
    </row>
    <row r="146" spans="1:8" ht="15" hidden="1" thickBot="1" x14ac:dyDescent="0.4">
      <c r="A146" s="5">
        <v>46248.644884259258</v>
      </c>
      <c r="B146" s="1" t="s">
        <v>71</v>
      </c>
      <c r="C146" s="1" t="s">
        <v>8</v>
      </c>
      <c r="D146" s="6">
        <v>200</v>
      </c>
      <c r="E146" s="6">
        <v>232</v>
      </c>
      <c r="H146" t="e">
        <f>IF(COUNTIFS(
    Sheet1!#REF!, B146,
    Sheet1!#REF!, C146,
    Sheet1!#REF!, D146,
    Sheet1!#REF!, E146
) = 0, "NO MATCH IN TARGET", "MATCHED")</f>
        <v>#REF!</v>
      </c>
    </row>
    <row r="147" spans="1:8" ht="15" hidden="1" thickBot="1" x14ac:dyDescent="0.4">
      <c r="A147" s="5">
        <v>46248.769108796296</v>
      </c>
      <c r="B147" s="1" t="s">
        <v>19</v>
      </c>
      <c r="C147" s="1" t="s">
        <v>8</v>
      </c>
      <c r="D147" s="6">
        <v>10</v>
      </c>
      <c r="E147" s="6">
        <v>2672</v>
      </c>
      <c r="H147" t="e">
        <f>IF(COUNTIFS(
    Sheet1!#REF!, B147,
    Sheet1!#REF!, C147,
    Sheet1!#REF!, D147,
    Sheet1!#REF!, E147
) = 0, "NO MATCH IN TARGET", "MATCHED")</f>
        <v>#REF!</v>
      </c>
    </row>
    <row r="148" spans="1:8" ht="15" hidden="1" thickBot="1" x14ac:dyDescent="0.4">
      <c r="A148" s="5">
        <v>46248.769108796296</v>
      </c>
      <c r="B148" s="1" t="s">
        <v>35</v>
      </c>
      <c r="C148" s="1" t="s">
        <v>8</v>
      </c>
      <c r="D148" s="6">
        <v>50</v>
      </c>
      <c r="E148" s="6">
        <v>214</v>
      </c>
      <c r="H148" t="e">
        <f>IF(COUNTIFS(
    Sheet1!#REF!, B148,
    Sheet1!#REF!, C148,
    Sheet1!#REF!, D148,
    Sheet1!#REF!, E148
) = 0, "NO MATCH IN TARGET", "MATCHED")</f>
        <v>#REF!</v>
      </c>
    </row>
    <row r="149" spans="1:8" ht="15" hidden="1" thickBot="1" x14ac:dyDescent="0.4">
      <c r="A149" s="5">
        <v>46248.644895833335</v>
      </c>
      <c r="B149" s="1" t="s">
        <v>83</v>
      </c>
      <c r="C149" s="1" t="s">
        <v>8</v>
      </c>
      <c r="D149" s="6">
        <v>15</v>
      </c>
      <c r="E149" s="6">
        <v>1040</v>
      </c>
      <c r="H149" t="e">
        <f>IF(COUNTIFS(
    Sheet1!#REF!, B149,
    Sheet1!#REF!, C149,
    Sheet1!#REF!, D149,
    Sheet1!#REF!, E149
) = 0, "NO MATCH IN TARGET", "MATCHED")</f>
        <v>#REF!</v>
      </c>
    </row>
    <row r="150" spans="1:8" ht="15" hidden="1" thickBot="1" x14ac:dyDescent="0.4">
      <c r="A150" s="5">
        <v>46248.644837962966</v>
      </c>
      <c r="B150" s="1" t="s">
        <v>82</v>
      </c>
      <c r="C150" s="1" t="s">
        <v>8</v>
      </c>
      <c r="D150" s="6">
        <v>25</v>
      </c>
      <c r="E150" s="6">
        <v>784</v>
      </c>
      <c r="H150" t="e">
        <f>IF(COUNTIFS(
    Sheet1!#REF!, B150,
    Sheet1!#REF!, C150,
    Sheet1!#REF!, D150,
    Sheet1!#REF!, E150
) = 0, "NO MATCH IN TARGET", "MATCHED")</f>
        <v>#REF!</v>
      </c>
    </row>
    <row r="151" spans="1:8" ht="15" hidden="1" thickBot="1" x14ac:dyDescent="0.4">
      <c r="A151" s="7">
        <v>46247.689583333333</v>
      </c>
      <c r="B151" s="8" t="s">
        <v>23</v>
      </c>
      <c r="C151" s="8" t="s">
        <v>8</v>
      </c>
      <c r="D151" s="9">
        <v>50</v>
      </c>
      <c r="E151" s="9">
        <v>228</v>
      </c>
      <c r="H151" t="e">
        <f>IF(COUNTIFS(
    Sheet1!#REF!, B151,
    Sheet1!#REF!, C151,
    Sheet1!#REF!, D151,
    Sheet1!#REF!, E151
) = 0, "NO MATCH IN TARGET", "MATCHED")</f>
        <v>#REF!</v>
      </c>
    </row>
    <row r="152" spans="1:8" ht="15" hidden="1" thickBot="1" x14ac:dyDescent="0.4">
      <c r="A152" s="7">
        <v>46334.635416666664</v>
      </c>
      <c r="B152" s="8" t="s">
        <v>68</v>
      </c>
      <c r="C152" s="8" t="s">
        <v>8</v>
      </c>
      <c r="D152" s="9">
        <v>5</v>
      </c>
      <c r="E152" s="9">
        <v>4177</v>
      </c>
      <c r="H152" t="e">
        <f>IF(COUNTIFS(
    Sheet1!#REF!, B152,
    Sheet1!#REF!, C152,
    Sheet1!#REF!, D152,
    Sheet1!#REF!, E152
) = 0, "NO MATCH IN TARGET", "MATCHED")</f>
        <v>#REF!</v>
      </c>
    </row>
    <row r="153" spans="1:8" ht="15" thickBot="1" x14ac:dyDescent="0.4">
      <c r="A153" s="5">
        <v>46248.771122685182</v>
      </c>
      <c r="B153" s="1" t="s">
        <v>18</v>
      </c>
      <c r="C153" s="1" t="s">
        <v>8</v>
      </c>
      <c r="D153" s="6">
        <v>50</v>
      </c>
      <c r="E153" s="6">
        <v>357</v>
      </c>
      <c r="H153" t="e">
        <f>IF(COUNTIFS(
    Sheet1!#REF!, B153,
    Sheet1!#REF!, C153,
    Sheet1!#REF!, D153,
    Sheet1!#REF!, E153
) = 0, "NO MATCH IN TARGET", "MATCHED")</f>
        <v>#REF!</v>
      </c>
    </row>
    <row r="154" spans="1:8" ht="15" hidden="1" thickBot="1" x14ac:dyDescent="0.4">
      <c r="A154" s="5">
        <v>46248.769108796296</v>
      </c>
      <c r="B154" s="1" t="s">
        <v>19</v>
      </c>
      <c r="C154" s="1" t="s">
        <v>8</v>
      </c>
      <c r="D154" s="6">
        <v>10</v>
      </c>
      <c r="E154" s="6">
        <v>2696</v>
      </c>
      <c r="H154" t="e">
        <f>IF(COUNTIFS(
    Sheet1!#REF!, B154,
    Sheet1!#REF!, C154,
    Sheet1!#REF!, D154,
    Sheet1!#REF!, E154
) = 0, "NO MATCH IN TARGET", "MATCHED")</f>
        <v>#REF!</v>
      </c>
    </row>
    <row r="155" spans="1:8" ht="15" hidden="1" thickBot="1" x14ac:dyDescent="0.4">
      <c r="A155" s="5">
        <v>46248.63554398148</v>
      </c>
      <c r="B155" s="1" t="s">
        <v>58</v>
      </c>
      <c r="C155" s="1" t="s">
        <v>8</v>
      </c>
      <c r="D155" s="6">
        <v>20</v>
      </c>
      <c r="E155" s="6">
        <v>424</v>
      </c>
      <c r="H155" t="e">
        <f>IF(COUNTIFS(
    Sheet1!#REF!, B155,
    Sheet1!#REF!, C155,
    Sheet1!#REF!, D155,
    Sheet1!#REF!, E155
) = 0, "NO MATCH IN TARGET", "MATCHED")</f>
        <v>#REF!</v>
      </c>
    </row>
    <row r="156" spans="1:8" ht="15" hidden="1" thickBot="1" x14ac:dyDescent="0.4">
      <c r="A156" s="5">
        <v>46248.771099537036</v>
      </c>
      <c r="B156" s="1" t="s">
        <v>7</v>
      </c>
      <c r="C156" s="1" t="s">
        <v>8</v>
      </c>
      <c r="D156" s="6">
        <v>10</v>
      </c>
      <c r="E156" s="6">
        <v>2114</v>
      </c>
      <c r="H156" t="e">
        <f>IF(COUNTIFS(
    Sheet1!#REF!, B156,
    Sheet1!#REF!, C156,
    Sheet1!#REF!, D156,
    Sheet1!#REF!, E156
) = 0, "NO MATCH IN TARGET", "MATCHED")</f>
        <v>#REF!</v>
      </c>
    </row>
    <row r="157" spans="1:8" ht="15" thickBot="1" x14ac:dyDescent="0.4">
      <c r="A157" s="5">
        <v>46248.635520833333</v>
      </c>
      <c r="B157" s="1" t="s">
        <v>71</v>
      </c>
      <c r="C157" s="1" t="s">
        <v>8</v>
      </c>
      <c r="D157" s="6">
        <v>200</v>
      </c>
      <c r="E157" s="6">
        <v>235</v>
      </c>
      <c r="H157" t="e">
        <f>IF(COUNTIFS(
    Sheet1!#REF!, B157,
    Sheet1!#REF!, C157,
    Sheet1!#REF!, D157,
    Sheet1!#REF!, E157
) = 0, "NO MATCH IN TARGET", "MATCHED")</f>
        <v>#REF!</v>
      </c>
    </row>
    <row r="158" spans="1:8" ht="15" hidden="1" thickBot="1" x14ac:dyDescent="0.4">
      <c r="A158" s="5">
        <v>46248.635578703703</v>
      </c>
      <c r="B158" s="1" t="s">
        <v>49</v>
      </c>
      <c r="C158" s="1" t="s">
        <v>8</v>
      </c>
      <c r="D158" s="6">
        <v>200</v>
      </c>
      <c r="E158" s="6">
        <v>90.75</v>
      </c>
      <c r="H158" t="e">
        <f>IF(COUNTIFS(
    Sheet1!#REF!, B158,
    Sheet1!#REF!, C158,
    Sheet1!#REF!, D158,
    Sheet1!#REF!, E158
) = 0, "NO MATCH IN TARGET", "MATCHED")</f>
        <v>#REF!</v>
      </c>
    </row>
    <row r="159" spans="1:8" ht="15" hidden="1" thickBot="1" x14ac:dyDescent="0.4">
      <c r="A159" s="5">
        <v>46248.635578703703</v>
      </c>
      <c r="B159" s="1" t="s">
        <v>79</v>
      </c>
      <c r="C159" s="1" t="s">
        <v>8</v>
      </c>
      <c r="D159" s="6">
        <v>6</v>
      </c>
      <c r="E159" s="6">
        <v>548</v>
      </c>
      <c r="H159" t="e">
        <f>IF(COUNTIFS(
    Sheet1!#REF!, B159,
    Sheet1!#REF!, C159,
    Sheet1!#REF!, D159,
    Sheet1!#REF!, E159
) = 0, "NO MATCH IN TARGET", "MATCHED")</f>
        <v>#REF!</v>
      </c>
    </row>
    <row r="160" spans="1:8" ht="15" thickBot="1" x14ac:dyDescent="0.4">
      <c r="A160" s="5">
        <v>46246.635416666664</v>
      </c>
      <c r="B160" s="1" t="s">
        <v>44</v>
      </c>
      <c r="C160" s="1" t="s">
        <v>8</v>
      </c>
      <c r="D160" s="6">
        <v>10</v>
      </c>
      <c r="E160" s="4">
        <v>977</v>
      </c>
      <c r="H160" t="e">
        <f>IF(COUNTIFS(
    Sheet1!#REF!, B160,
    Sheet1!#REF!, C160,
    Sheet1!#REF!, D160,
    Sheet1!#REF!, E160
) = 0, "NO MATCH IN TARGET", "MATCHED")</f>
        <v>#REF!</v>
      </c>
    </row>
    <row r="161" spans="1:8" ht="15" hidden="1" thickBot="1" x14ac:dyDescent="0.4">
      <c r="A161" s="5">
        <v>46248.635578703703</v>
      </c>
      <c r="B161" s="1" t="s">
        <v>42</v>
      </c>
      <c r="C161" s="1" t="s">
        <v>8</v>
      </c>
      <c r="D161" s="6">
        <v>10</v>
      </c>
      <c r="E161" s="6">
        <v>1548</v>
      </c>
      <c r="H161" t="e">
        <f>IF(COUNTIFS(
    Sheet1!#REF!, B161,
    Sheet1!#REF!, C161,
    Sheet1!#REF!, D161,
    Sheet1!#REF!, E161
) = 0, "NO MATCH IN TARGET", "MATCHED")</f>
        <v>#REF!</v>
      </c>
    </row>
    <row r="162" spans="1:8" ht="15" hidden="1" thickBot="1" x14ac:dyDescent="0.4">
      <c r="A162" s="5">
        <v>46248.769108796296</v>
      </c>
      <c r="B162" s="1" t="s">
        <v>36</v>
      </c>
      <c r="C162" s="1" t="s">
        <v>8</v>
      </c>
      <c r="D162" s="6">
        <v>50</v>
      </c>
      <c r="E162" s="6">
        <v>293</v>
      </c>
      <c r="H162" t="e">
        <f>IF(COUNTIFS(
    Sheet1!#REF!, B162,
    Sheet1!#REF!, C162,
    Sheet1!#REF!, D162,
    Sheet1!#REF!, E162
) = 0, "NO MATCH IN TARGET", "MATCHED")</f>
        <v>#REF!</v>
      </c>
    </row>
    <row r="163" spans="1:8" ht="15" hidden="1" thickBot="1" x14ac:dyDescent="0.4">
      <c r="A163" s="5">
        <v>46248.63554398148</v>
      </c>
      <c r="B163" s="1" t="s">
        <v>61</v>
      </c>
      <c r="C163" s="1" t="s">
        <v>8</v>
      </c>
      <c r="D163" s="6">
        <v>8</v>
      </c>
      <c r="E163" s="6">
        <v>2448</v>
      </c>
      <c r="H163" t="e">
        <f>IF(COUNTIFS(
    Sheet1!#REF!, B163,
    Sheet1!#REF!, C163,
    Sheet1!#REF!, D163,
    Sheet1!#REF!, E163
) = 0, "NO MATCH IN TARGET", "MATCHED")</f>
        <v>#REF!</v>
      </c>
    </row>
    <row r="164" spans="1:8" ht="15" hidden="1" thickBot="1" x14ac:dyDescent="0.4">
      <c r="A164" s="5">
        <v>46248.769108796296</v>
      </c>
      <c r="B164" s="1" t="s">
        <v>40</v>
      </c>
      <c r="C164" s="1" t="s">
        <v>8</v>
      </c>
      <c r="D164" s="6">
        <v>150</v>
      </c>
      <c r="E164" s="6">
        <v>130</v>
      </c>
      <c r="H164" t="e">
        <f>IF(COUNTIFS(
    Sheet1!#REF!, B164,
    Sheet1!#REF!, C164,
    Sheet1!#REF!, D164,
    Sheet1!#REF!, E164
) = 0, "NO MATCH IN TARGET", "MATCHED")</f>
        <v>#REF!</v>
      </c>
    </row>
    <row r="165" spans="1:8" ht="15" thickBot="1" x14ac:dyDescent="0.4">
      <c r="A165" s="5">
        <v>46248.771122685182</v>
      </c>
      <c r="B165" s="1" t="s">
        <v>19</v>
      </c>
      <c r="C165" s="1" t="s">
        <v>8</v>
      </c>
      <c r="D165" s="6">
        <v>10</v>
      </c>
      <c r="E165" s="6">
        <v>2720</v>
      </c>
      <c r="H165" t="e">
        <f>IF(COUNTIFS(
    Sheet1!#REF!, B165,
    Sheet1!#REF!, C165,
    Sheet1!#REF!, D165,
    Sheet1!#REF!, E165
) = 0, "NO MATCH IN TARGET", "MATCHED")</f>
        <v>#REF!</v>
      </c>
    </row>
    <row r="166" spans="1:8" ht="15" hidden="1" thickBot="1" x14ac:dyDescent="0.4">
      <c r="A166" s="5">
        <v>46248.63553240741</v>
      </c>
      <c r="B166" s="1" t="s">
        <v>66</v>
      </c>
      <c r="C166" s="1" t="s">
        <v>8</v>
      </c>
      <c r="D166" s="6">
        <v>5</v>
      </c>
      <c r="E166" s="6">
        <v>1212</v>
      </c>
      <c r="H166" t="e">
        <f>IF(COUNTIFS(
    Sheet1!#REF!, B166,
    Sheet1!#REF!, C166,
    Sheet1!#REF!, D166,
    Sheet1!#REF!, E166
) = 0, "NO MATCH IN TARGET", "MATCHED")</f>
        <v>#REF!</v>
      </c>
    </row>
    <row r="167" spans="1:8" ht="15" hidden="1" thickBot="1" x14ac:dyDescent="0.4">
      <c r="A167" s="5">
        <v>46248.770925925928</v>
      </c>
      <c r="B167" s="1" t="s">
        <v>36</v>
      </c>
      <c r="C167" s="1" t="s">
        <v>8</v>
      </c>
      <c r="D167" s="6">
        <v>30</v>
      </c>
      <c r="E167" s="6">
        <v>294</v>
      </c>
      <c r="H167" t="e">
        <f>IF(COUNTIFS(
    Sheet1!#REF!, B167,
    Sheet1!#REF!, C167,
    Sheet1!#REF!, D167,
    Sheet1!#REF!, E167
) = 0, "NO MATCH IN TARGET", "MATCHED")</f>
        <v>#REF!</v>
      </c>
    </row>
    <row r="168" spans="1:8" ht="15" hidden="1" thickBot="1" x14ac:dyDescent="0.4">
      <c r="A168" s="5">
        <v>46248.771134259259</v>
      </c>
      <c r="B168" s="1" t="s">
        <v>18</v>
      </c>
      <c r="C168" s="1" t="s">
        <v>8</v>
      </c>
      <c r="D168" s="6">
        <v>50</v>
      </c>
      <c r="E168" s="6">
        <v>361</v>
      </c>
      <c r="H168" t="e">
        <f>IF(COUNTIFS(
    Sheet1!#REF!, B168,
    Sheet1!#REF!, C168,
    Sheet1!#REF!, D168,
    Sheet1!#REF!, E168
) = 0, "NO MATCH IN TARGET", "MATCHED")</f>
        <v>#REF!</v>
      </c>
    </row>
    <row r="169" spans="1:8" ht="15" hidden="1" thickBot="1" x14ac:dyDescent="0.4">
      <c r="A169" s="5">
        <v>46248.635520833333</v>
      </c>
      <c r="B169" s="1" t="s">
        <v>63</v>
      </c>
      <c r="C169" s="1" t="s">
        <v>8</v>
      </c>
      <c r="D169" s="6">
        <v>6</v>
      </c>
      <c r="E169" s="6">
        <v>2420</v>
      </c>
      <c r="H169" t="e">
        <f>IF(COUNTIFS(
    Sheet1!#REF!, B169,
    Sheet1!#REF!, C169,
    Sheet1!#REF!, D169,
    Sheet1!#REF!, E169
) = 0, "NO MATCH IN TARGET", "MATCHED")</f>
        <v>#REF!</v>
      </c>
    </row>
    <row r="170" spans="1:8" ht="15" thickBot="1" x14ac:dyDescent="0.4">
      <c r="A170" s="5">
        <v>46248.635567129626</v>
      </c>
      <c r="B170" s="1" t="s">
        <v>82</v>
      </c>
      <c r="C170" s="1" t="s">
        <v>8</v>
      </c>
      <c r="D170" s="6">
        <v>20</v>
      </c>
      <c r="E170" s="6">
        <v>796</v>
      </c>
      <c r="H170" t="e">
        <f>IF(COUNTIFS(
    Sheet1!#REF!, B170,
    Sheet1!#REF!, C170,
    Sheet1!#REF!, D170,
    Sheet1!#REF!, E170
) = 0, "NO MATCH IN TARGET", "MATCHED")</f>
        <v>#REF!</v>
      </c>
    </row>
    <row r="171" spans="1:8" ht="15" thickBot="1" x14ac:dyDescent="0.4">
      <c r="A171" s="5">
        <v>46248.635578703703</v>
      </c>
      <c r="B171" s="1" t="s">
        <v>49</v>
      </c>
      <c r="C171" s="1" t="s">
        <v>8</v>
      </c>
      <c r="D171" s="6">
        <v>200</v>
      </c>
      <c r="E171" s="6">
        <v>91.75</v>
      </c>
      <c r="H171" t="e">
        <f>IF(COUNTIFS(
    Sheet1!#REF!, B171,
    Sheet1!#REF!, C171,
    Sheet1!#REF!, D171,
    Sheet1!#REF!, E171
) = 0, "NO MATCH IN TARGET", "MATCHED")</f>
        <v>#REF!</v>
      </c>
    </row>
    <row r="172" spans="1:8" ht="15" hidden="1" thickBot="1" x14ac:dyDescent="0.4">
      <c r="A172" s="5">
        <v>46248.63554398148</v>
      </c>
      <c r="B172" s="1" t="s">
        <v>66</v>
      </c>
      <c r="C172" s="1" t="s">
        <v>8</v>
      </c>
      <c r="D172" s="6">
        <v>10</v>
      </c>
      <c r="E172" s="6">
        <v>1221</v>
      </c>
      <c r="H172" t="e">
        <f>IF(COUNTIFS(
    Sheet1!#REF!, B172,
    Sheet1!#REF!, C172,
    Sheet1!#REF!, D172,
    Sheet1!#REF!, E172
) = 0, "NO MATCH IN TARGET", "MATCHED")</f>
        <v>#REF!</v>
      </c>
    </row>
    <row r="173" spans="1:8" ht="15" hidden="1" thickBot="1" x14ac:dyDescent="0.4">
      <c r="A173" s="5">
        <v>46248.635520833333</v>
      </c>
      <c r="B173" s="1" t="s">
        <v>71</v>
      </c>
      <c r="C173" s="1" t="s">
        <v>8</v>
      </c>
      <c r="D173" s="6">
        <v>110</v>
      </c>
      <c r="E173" s="6">
        <v>238.2</v>
      </c>
      <c r="H173" t="e">
        <f>IF(COUNTIFS(
    Sheet1!#REF!, B173,
    Sheet1!#REF!, C173,
    Sheet1!#REF!, D173,
    Sheet1!#REF!, E173
) = 0, "NO MATCH IN TARGET", "MATCHED")</f>
        <v>#REF!</v>
      </c>
    </row>
    <row r="174" spans="1:8" ht="15" hidden="1" thickBot="1" x14ac:dyDescent="0.4">
      <c r="A174" s="5">
        <v>46248.771134259259</v>
      </c>
      <c r="B174" s="1" t="s">
        <v>35</v>
      </c>
      <c r="C174" s="1" t="s">
        <v>8</v>
      </c>
      <c r="D174" s="6">
        <v>65</v>
      </c>
      <c r="E174" s="6">
        <v>219</v>
      </c>
      <c r="H174" t="e">
        <f>IF(COUNTIFS(
    Sheet1!#REF!, B174,
    Sheet1!#REF!, C174,
    Sheet1!#REF!, D174,
    Sheet1!#REF!, E174
) = 0, "NO MATCH IN TARGET", "MATCHED")</f>
        <v>#REF!</v>
      </c>
    </row>
    <row r="175" spans="1:8" ht="15" thickBot="1" x14ac:dyDescent="0.4">
      <c r="A175" s="5">
        <v>46247.635416666664</v>
      </c>
      <c r="B175" s="1" t="s">
        <v>71</v>
      </c>
      <c r="C175" s="1" t="s">
        <v>8</v>
      </c>
      <c r="D175" s="6">
        <v>200</v>
      </c>
      <c r="E175" s="6">
        <v>239</v>
      </c>
      <c r="H175" t="e">
        <f>IF(COUNTIFS(
    Sheet1!#REF!, B175,
    Sheet1!#REF!, C175,
    Sheet1!#REF!, D175,
    Sheet1!#REF!, E175
) = 0, "NO MATCH IN TARGET", "MATCHED")</f>
        <v>#REF!</v>
      </c>
    </row>
    <row r="176" spans="1:8" ht="15" hidden="1" thickBot="1" x14ac:dyDescent="0.4">
      <c r="A176" s="5">
        <v>46247.689583333333</v>
      </c>
      <c r="B176" s="1" t="s">
        <v>16</v>
      </c>
      <c r="C176" s="1" t="s">
        <v>8</v>
      </c>
      <c r="D176" s="6">
        <v>5</v>
      </c>
      <c r="E176" s="6">
        <v>467.25</v>
      </c>
      <c r="H176" t="e">
        <f>IF(COUNTIFS(
    Sheet1!#REF!, B176,
    Sheet1!#REF!, C176,
    Sheet1!#REF!, D176,
    Sheet1!#REF!, E176
) = 0, "NO MATCH IN TARGET", "MATCHED")</f>
        <v>#REF!</v>
      </c>
    </row>
    <row r="177" spans="1:8" ht="15" hidden="1" thickBot="1" x14ac:dyDescent="0.4">
      <c r="A177" s="5">
        <v>46247.689583333333</v>
      </c>
      <c r="B177" s="1" t="s">
        <v>39</v>
      </c>
      <c r="C177" s="1" t="s">
        <v>8</v>
      </c>
      <c r="D177" s="6">
        <v>25</v>
      </c>
      <c r="E177" s="6">
        <v>199.9</v>
      </c>
      <c r="H177" t="e">
        <f>IF(COUNTIFS(
    Sheet1!#REF!, B177,
    Sheet1!#REF!, C177,
    Sheet1!#REF!, D177,
    Sheet1!#REF!, E177
) = 0, "NO MATCH IN TARGET", "MATCHED")</f>
        <v>#REF!</v>
      </c>
    </row>
    <row r="178" spans="1:8" ht="15" hidden="1" thickBot="1" x14ac:dyDescent="0.4">
      <c r="A178" s="5">
        <v>46248.769108796296</v>
      </c>
      <c r="B178" s="1" t="s">
        <v>21</v>
      </c>
      <c r="C178" s="1" t="s">
        <v>8</v>
      </c>
      <c r="D178" s="6">
        <v>25</v>
      </c>
      <c r="E178" s="6">
        <v>360</v>
      </c>
      <c r="H178" t="e">
        <f>IF(COUNTIFS(
    Sheet1!#REF!, B178,
    Sheet1!#REF!, C178,
    Sheet1!#REF!, D178,
    Sheet1!#REF!, E178
) = 0, "NO MATCH IN TARGET", "MATCHED")</f>
        <v>#REF!</v>
      </c>
    </row>
    <row r="179" spans="1:8" ht="15" hidden="1" thickBot="1" x14ac:dyDescent="0.4">
      <c r="A179" s="5">
        <v>46246.689583333333</v>
      </c>
      <c r="B179" s="1" t="s">
        <v>18</v>
      </c>
      <c r="C179" s="1" t="s">
        <v>8</v>
      </c>
      <c r="D179" s="6">
        <v>50</v>
      </c>
      <c r="E179" s="4">
        <v>365</v>
      </c>
      <c r="H179" t="e">
        <f>IF(COUNTIFS(
    Sheet1!#REF!, B179,
    Sheet1!#REF!, C179,
    Sheet1!#REF!, D179,
    Sheet1!#REF!, E179
) = 0, "NO MATCH IN TARGET", "MATCHED")</f>
        <v>#REF!</v>
      </c>
    </row>
    <row r="180" spans="1:8" ht="15" hidden="1" thickBot="1" x14ac:dyDescent="0.4">
      <c r="A180" s="5">
        <v>46248.635567129626</v>
      </c>
      <c r="B180" s="1" t="s">
        <v>47</v>
      </c>
      <c r="C180" s="1" t="s">
        <v>8</v>
      </c>
      <c r="D180" s="6">
        <v>5</v>
      </c>
      <c r="E180" s="6">
        <v>3633</v>
      </c>
      <c r="H180" t="e">
        <f>IF(COUNTIFS(
    Sheet1!#REF!, B180,
    Sheet1!#REF!, C180,
    Sheet1!#REF!, D180,
    Sheet1!#REF!, E180
) = 0, "NO MATCH IN TARGET", "MATCHED")</f>
        <v>#REF!</v>
      </c>
    </row>
    <row r="181" spans="1:8" ht="15" hidden="1" thickBot="1" x14ac:dyDescent="0.4">
      <c r="A181" s="5">
        <v>46248.635555555556</v>
      </c>
      <c r="B181" s="1" t="s">
        <v>69</v>
      </c>
      <c r="C181" s="1" t="s">
        <v>8</v>
      </c>
      <c r="D181" s="6">
        <v>1</v>
      </c>
      <c r="E181" s="6">
        <v>4556</v>
      </c>
      <c r="H181" t="e">
        <f>IF(COUNTIFS(
    Sheet1!#REF!, B181,
    Sheet1!#REF!, C181,
    Sheet1!#REF!, D181,
    Sheet1!#REF!, E181
) = 0, "NO MATCH IN TARGET", "MATCHED")</f>
        <v>#REF!</v>
      </c>
    </row>
    <row r="182" spans="1:8" ht="15" hidden="1" thickBot="1" x14ac:dyDescent="0.4">
      <c r="A182" s="5">
        <v>46247.689583333333</v>
      </c>
      <c r="B182" s="1" t="s">
        <v>38</v>
      </c>
      <c r="C182" s="1" t="s">
        <v>8</v>
      </c>
      <c r="D182" s="6">
        <v>30</v>
      </c>
      <c r="E182" s="6">
        <v>930</v>
      </c>
      <c r="H182" t="e">
        <f>IF(COUNTIFS(
    Sheet1!#REF!, B182,
    Sheet1!#REF!, C182,
    Sheet1!#REF!, D182,
    Sheet1!#REF!, E182
) = 0, "NO MATCH IN TARGET", "MATCHED")</f>
        <v>#REF!</v>
      </c>
    </row>
    <row r="183" spans="1:8" ht="15" hidden="1" thickBot="1" x14ac:dyDescent="0.4">
      <c r="A183" s="5">
        <v>46248.635555555556</v>
      </c>
      <c r="B183" s="1" t="s">
        <v>78</v>
      </c>
      <c r="C183" s="1" t="s">
        <v>8</v>
      </c>
      <c r="D183" s="6">
        <v>5</v>
      </c>
      <c r="E183" s="6">
        <v>2190</v>
      </c>
      <c r="H183" t="e">
        <f>IF(COUNTIFS(
    Sheet1!#REF!, B183,
    Sheet1!#REF!, C183,
    Sheet1!#REF!, D183,
    Sheet1!#REF!, E183
) = 0, "NO MATCH IN TARGET", "MATCHED")</f>
        <v>#REF!</v>
      </c>
    </row>
    <row r="184" spans="1:8" ht="15" thickBot="1" x14ac:dyDescent="0.4">
      <c r="A184" s="5">
        <v>46241.635416666664</v>
      </c>
      <c r="B184" s="1" t="s">
        <v>49</v>
      </c>
      <c r="C184" s="1" t="s">
        <v>8</v>
      </c>
      <c r="D184" s="6">
        <v>200</v>
      </c>
      <c r="E184" s="4">
        <v>92.75</v>
      </c>
      <c r="H184" t="e">
        <f>IF(COUNTIFS(
    Sheet1!#REF!, B184,
    Sheet1!#REF!, C184,
    Sheet1!#REF!, D184,
    Sheet1!#REF!, E184
) = 0, "NO MATCH IN TARGET", "MATCHED")</f>
        <v>#REF!</v>
      </c>
    </row>
    <row r="185" spans="1:8" ht="15" hidden="1" thickBot="1" x14ac:dyDescent="0.4">
      <c r="A185" s="5">
        <v>46241.635416666664</v>
      </c>
      <c r="B185" s="1" t="s">
        <v>44</v>
      </c>
      <c r="C185" s="1" t="s">
        <v>8</v>
      </c>
      <c r="D185" s="6">
        <v>10</v>
      </c>
      <c r="E185" s="4">
        <v>997</v>
      </c>
      <c r="H185" t="e">
        <f>IF(COUNTIFS(
    Sheet1!#REF!, B185,
    Sheet1!#REF!, C185,
    Sheet1!#REF!, D185,
    Sheet1!#REF!, E185
) = 0, "NO MATCH IN TARGET", "MATCHED")</f>
        <v>#REF!</v>
      </c>
    </row>
    <row r="186" spans="1:8" ht="15" thickBot="1" x14ac:dyDescent="0.4">
      <c r="A186" s="5">
        <v>46247.635416666664</v>
      </c>
      <c r="B186" s="1" t="s">
        <v>58</v>
      </c>
      <c r="C186" s="1" t="s">
        <v>8</v>
      </c>
      <c r="D186" s="6">
        <v>10</v>
      </c>
      <c r="E186" s="6">
        <v>435</v>
      </c>
      <c r="H186" t="e">
        <f>IF(COUNTIFS(
    Sheet1!#REF!, B186,
    Sheet1!#REF!, C186,
    Sheet1!#REF!, D186,
    Sheet1!#REF!, E186
) = 0, "NO MATCH IN TARGET", "MATCHED")</f>
        <v>#REF!</v>
      </c>
    </row>
    <row r="187" spans="1:8" ht="15" hidden="1" thickBot="1" x14ac:dyDescent="0.4">
      <c r="A187" s="5">
        <v>46248.635578703703</v>
      </c>
      <c r="B187" s="1" t="s">
        <v>77</v>
      </c>
      <c r="C187" s="1" t="s">
        <v>8</v>
      </c>
      <c r="D187" s="6">
        <v>150</v>
      </c>
      <c r="E187" s="6">
        <v>123.4</v>
      </c>
      <c r="H187" t="e">
        <f>IF(COUNTIFS(
    Sheet1!#REF!, B187,
    Sheet1!#REF!, C187,
    Sheet1!#REF!, D187,
    Sheet1!#REF!, E187
) = 0, "NO MATCH IN TARGET", "MATCHED")</f>
        <v>#REF!</v>
      </c>
    </row>
    <row r="188" spans="1:8" ht="15" thickBot="1" x14ac:dyDescent="0.4">
      <c r="A188" s="5">
        <v>46240.6875</v>
      </c>
      <c r="B188" s="1" t="s">
        <v>19</v>
      </c>
      <c r="C188" s="1" t="s">
        <v>8</v>
      </c>
      <c r="D188" s="6">
        <v>10</v>
      </c>
      <c r="E188" s="4">
        <v>2770</v>
      </c>
      <c r="H188" t="e">
        <f>IF(COUNTIFS(
    Sheet1!#REF!, B188,
    Sheet1!#REF!, C188,
    Sheet1!#REF!, D188,
    Sheet1!#REF!, E188
) = 0, "NO MATCH IN TARGET", "MATCHED")</f>
        <v>#REF!</v>
      </c>
    </row>
    <row r="189" spans="1:8" ht="15" thickBot="1" x14ac:dyDescent="0.4">
      <c r="A189" s="5">
        <v>46364.635416666664</v>
      </c>
      <c r="B189" s="1" t="s">
        <v>65</v>
      </c>
      <c r="C189" s="1" t="s">
        <v>8</v>
      </c>
      <c r="D189" s="6">
        <v>7</v>
      </c>
      <c r="E189" s="4">
        <v>1424</v>
      </c>
      <c r="H189" t="e">
        <f>IF(COUNTIFS(
    Sheet1!#REF!, B189,
    Sheet1!#REF!, C189,
    Sheet1!#REF!, D189,
    Sheet1!#REF!, E189
) = 0, "NO MATCH IN TARGET", "MATCHED")</f>
        <v>#REF!</v>
      </c>
    </row>
    <row r="190" spans="1:8" ht="15" thickBot="1" x14ac:dyDescent="0.4">
      <c r="A190" s="5">
        <v>46248.771134259259</v>
      </c>
      <c r="B190" s="1" t="s">
        <v>27</v>
      </c>
      <c r="C190" s="1" t="s">
        <v>8</v>
      </c>
      <c r="D190" s="6">
        <v>20</v>
      </c>
      <c r="E190" s="6">
        <v>311</v>
      </c>
      <c r="H190" t="e">
        <f>IF(COUNTIFS(
    Sheet1!#REF!, B190,
    Sheet1!#REF!, C190,
    Sheet1!#REF!, D190,
    Sheet1!#REF!, E190
) = 0, "NO MATCH IN TARGET", "MATCHED")</f>
        <v>#REF!</v>
      </c>
    </row>
    <row r="191" spans="1:8" ht="15" hidden="1" thickBot="1" x14ac:dyDescent="0.4">
      <c r="A191" s="5">
        <v>46248.771134259259</v>
      </c>
      <c r="B191" s="1" t="s">
        <v>36</v>
      </c>
      <c r="C191" s="1" t="s">
        <v>8</v>
      </c>
      <c r="D191" s="6">
        <v>120</v>
      </c>
      <c r="E191" s="6">
        <v>300.5</v>
      </c>
      <c r="H191" t="e">
        <f>IF(COUNTIFS(
    Sheet1!#REF!, B191,
    Sheet1!#REF!, C191,
    Sheet1!#REF!, D191,
    Sheet1!#REF!, E191
) = 0, "NO MATCH IN TARGET", "MATCHED")</f>
        <v>#REF!</v>
      </c>
    </row>
    <row r="192" spans="1:8" ht="15" hidden="1" thickBot="1" x14ac:dyDescent="0.4">
      <c r="A192" s="5">
        <v>46248.771111111113</v>
      </c>
      <c r="B192" s="1" t="s">
        <v>7</v>
      </c>
      <c r="C192" s="1" t="s">
        <v>8</v>
      </c>
      <c r="D192" s="6">
        <v>10</v>
      </c>
      <c r="E192" s="6">
        <v>2189</v>
      </c>
      <c r="H192" t="e">
        <f>IF(COUNTIFS(
    Sheet1!#REF!, B192,
    Sheet1!#REF!, C192,
    Sheet1!#REF!, D192,
    Sheet1!#REF!, E192
) = 0, "NO MATCH IN TARGET", "MATCHED")</f>
        <v>#REF!</v>
      </c>
    </row>
    <row r="193" spans="1:8" ht="15" thickBot="1" x14ac:dyDescent="0.4">
      <c r="A193" s="5">
        <v>46239.635416666664</v>
      </c>
      <c r="B193" s="1" t="s">
        <v>77</v>
      </c>
      <c r="C193" s="1" t="s">
        <v>8</v>
      </c>
      <c r="D193" s="6">
        <v>150</v>
      </c>
      <c r="E193" s="4">
        <v>124.9</v>
      </c>
      <c r="H193" t="e">
        <f>IF(COUNTIFS(
    Sheet1!#REF!, B193,
    Sheet1!#REF!, C193,
    Sheet1!#REF!, D193,
    Sheet1!#REF!, E193
) = 0, "NO MATCH IN TARGET", "MATCHED")</f>
        <v>#REF!</v>
      </c>
    </row>
    <row r="194" spans="1:8" ht="15" thickBot="1" x14ac:dyDescent="0.4">
      <c r="A194" s="5">
        <v>46303.635416666664</v>
      </c>
      <c r="B194" s="1" t="s">
        <v>74</v>
      </c>
      <c r="C194" s="1" t="s">
        <v>8</v>
      </c>
      <c r="D194" s="6">
        <v>10</v>
      </c>
      <c r="E194" s="4">
        <v>773</v>
      </c>
      <c r="H194" t="e">
        <f>IF(COUNTIFS(
    Sheet1!#REF!, B194,
    Sheet1!#REF!, C194,
    Sheet1!#REF!, D194,
    Sheet1!#REF!, E194
) = 0, "NO MATCH IN TARGET", "MATCHED")</f>
        <v>#REF!</v>
      </c>
    </row>
    <row r="195" spans="1:8" ht="15" thickBot="1" x14ac:dyDescent="0.4">
      <c r="A195" s="5">
        <v>46364.635416666664</v>
      </c>
      <c r="B195" s="1" t="s">
        <v>71</v>
      </c>
      <c r="C195" s="1" t="s">
        <v>8</v>
      </c>
      <c r="D195" s="6">
        <v>200</v>
      </c>
      <c r="E195" s="4">
        <v>244</v>
      </c>
      <c r="H195" t="e">
        <f>IF(COUNTIFS(
    Sheet1!#REF!, B195,
    Sheet1!#REF!, C195,
    Sheet1!#REF!, D195,
    Sheet1!#REF!, E195
) = 0, "NO MATCH IN TARGET", "MATCHED")</f>
        <v>#REF!</v>
      </c>
    </row>
    <row r="196" spans="1:8" ht="15" thickBot="1" x14ac:dyDescent="0.4">
      <c r="A196" s="5">
        <v>46247.635416666664</v>
      </c>
      <c r="B196" s="1" t="s">
        <v>47</v>
      </c>
      <c r="C196" s="1" t="s">
        <v>8</v>
      </c>
      <c r="D196" s="6">
        <v>1</v>
      </c>
      <c r="E196" s="6">
        <v>3710</v>
      </c>
      <c r="H196" t="e">
        <f>IF(COUNTIFS(
    Sheet1!#REF!, B196,
    Sheet1!#REF!, C196,
    Sheet1!#REF!, D196,
    Sheet1!#REF!, E196
) = 0, "NO MATCH IN TARGET", "MATCHED")</f>
        <v>#REF!</v>
      </c>
    </row>
    <row r="197" spans="1:8" ht="15" thickBot="1" x14ac:dyDescent="0.4">
      <c r="A197" s="5">
        <v>46247.689583333333</v>
      </c>
      <c r="B197" s="1" t="s">
        <v>32</v>
      </c>
      <c r="C197" s="1" t="s">
        <v>8</v>
      </c>
      <c r="D197" s="6">
        <v>5</v>
      </c>
      <c r="E197" s="6">
        <v>730</v>
      </c>
      <c r="H197" t="e">
        <f>IF(COUNTIFS(
    Sheet1!#REF!, B197,
    Sheet1!#REF!, C197,
    Sheet1!#REF!, D197,
    Sheet1!#REF!, E197
) = 0, "NO MATCH IN TARGET", "MATCHED")</f>
        <v>#REF!</v>
      </c>
    </row>
    <row r="198" spans="1:8" ht="15" thickBot="1" x14ac:dyDescent="0.4">
      <c r="A198" s="5">
        <v>46239.696527777778</v>
      </c>
      <c r="B198" s="1" t="s">
        <v>18</v>
      </c>
      <c r="C198" s="1" t="s">
        <v>8</v>
      </c>
      <c r="D198" s="6">
        <v>67</v>
      </c>
      <c r="E198" s="4">
        <v>373</v>
      </c>
      <c r="H198" t="e">
        <f>IF(COUNTIFS(
    Sheet1!#REF!, B198,
    Sheet1!#REF!, C198,
    Sheet1!#REF!, D198,
    Sheet1!#REF!, E198
) = 0, "NO MATCH IN TARGET", "MATCHED")</f>
        <v>#REF!</v>
      </c>
    </row>
    <row r="199" spans="1:8" ht="15" thickBot="1" x14ac:dyDescent="0.4">
      <c r="A199" s="5">
        <v>46247.635416666664</v>
      </c>
      <c r="B199" s="1" t="s">
        <v>83</v>
      </c>
      <c r="C199" s="1" t="s">
        <v>8</v>
      </c>
      <c r="D199" s="6">
        <v>15</v>
      </c>
      <c r="E199" s="6">
        <v>1090</v>
      </c>
      <c r="H199" t="e">
        <f>IF(COUNTIFS(
    Sheet1!#REF!, B199,
    Sheet1!#REF!, C199,
    Sheet1!#REF!, D199,
    Sheet1!#REF!, E199
) = 0, "NO MATCH IN TARGET", "MATCHED")</f>
        <v>#REF!</v>
      </c>
    </row>
    <row r="200" spans="1:8" ht="15" thickBot="1" x14ac:dyDescent="0.4">
      <c r="A200" s="5">
        <v>46211.635416666664</v>
      </c>
      <c r="B200" s="1" t="s">
        <v>77</v>
      </c>
      <c r="C200" s="1" t="s">
        <v>8</v>
      </c>
      <c r="D200" s="6">
        <v>150</v>
      </c>
      <c r="E200" s="4">
        <v>125.9</v>
      </c>
      <c r="H200" t="e">
        <f>IF(COUNTIFS(
    Sheet1!#REF!, B200,
    Sheet1!#REF!, C200,
    Sheet1!#REF!, D200,
    Sheet1!#REF!, E200
) = 0, "NO MATCH IN TARGET", "MATCHED")</f>
        <v>#REF!</v>
      </c>
    </row>
    <row r="201" spans="1:8" ht="15" thickBot="1" x14ac:dyDescent="0.4">
      <c r="A201" s="5">
        <v>46247.689583333333</v>
      </c>
      <c r="B201" s="1" t="s">
        <v>27</v>
      </c>
      <c r="C201" s="1" t="s">
        <v>8</v>
      </c>
      <c r="D201" s="6">
        <v>50</v>
      </c>
      <c r="E201" s="6">
        <v>317</v>
      </c>
      <c r="H201" t="e">
        <f>IF(COUNTIFS(
    Sheet1!#REF!, B201,
    Sheet1!#REF!, C201,
    Sheet1!#REF!, D201,
    Sheet1!#REF!, E201
) = 0, "NO MATCH IN TARGET", "MATCHED")</f>
        <v>#REF!</v>
      </c>
    </row>
    <row r="202" spans="1:8" ht="15" thickBot="1" x14ac:dyDescent="0.4">
      <c r="A202" s="5">
        <v>46364.635416666664</v>
      </c>
      <c r="B202" s="1" t="s">
        <v>76</v>
      </c>
      <c r="C202" s="1" t="s">
        <v>8</v>
      </c>
      <c r="D202" s="6">
        <v>2</v>
      </c>
      <c r="E202" s="4">
        <v>2690</v>
      </c>
      <c r="H202" t="e">
        <f>IF(COUNTIFS(
    Sheet1!#REF!, B202,
    Sheet1!#REF!, C202,
    Sheet1!#REF!, D202,
    Sheet1!#REF!, E202
) = 0, "NO MATCH IN TARGET", "MATCHED")</f>
        <v>#REF!</v>
      </c>
    </row>
    <row r="203" spans="1:8" ht="15" thickBot="1" x14ac:dyDescent="0.4">
      <c r="A203" s="10" t="s">
        <v>85</v>
      </c>
      <c r="B203" s="1" t="s">
        <v>44</v>
      </c>
      <c r="C203" s="1" t="s">
        <v>8</v>
      </c>
      <c r="D203" s="6">
        <v>10</v>
      </c>
      <c r="E203" s="11">
        <v>1024</v>
      </c>
      <c r="H203" t="e">
        <f>IF(COUNTIFS(
    Sheet1!#REF!, B203,
    Sheet1!#REF!, C203,
    Sheet1!#REF!, D203,
    Sheet1!#REF!, E203
) = 0, "NO MATCH IN TARGET", "MATCHED")</f>
        <v>#REF!</v>
      </c>
    </row>
    <row r="204" spans="1:8" ht="15" thickBot="1" x14ac:dyDescent="0.4">
      <c r="A204" s="5">
        <v>46247.635416666664</v>
      </c>
      <c r="B204" s="1" t="s">
        <v>93</v>
      </c>
      <c r="C204" s="1" t="s">
        <v>8</v>
      </c>
      <c r="D204" s="6">
        <v>5</v>
      </c>
      <c r="E204" s="6">
        <v>3980</v>
      </c>
      <c r="H204" t="e">
        <f>IF(COUNTIFS(
    Sheet1!#REF!, B204,
    Sheet1!#REF!, C204,
    Sheet1!#REF!, D204,
    Sheet1!#REF!, E204
) = 0, "NO MATCH IN TARGET", "MATCHED")</f>
        <v>#REF!</v>
      </c>
    </row>
    <row r="205" spans="1:8" ht="15" thickBot="1" x14ac:dyDescent="0.4">
      <c r="A205" s="5">
        <v>46246.689583333333</v>
      </c>
      <c r="B205" s="1" t="s">
        <v>40</v>
      </c>
      <c r="C205" s="1" t="s">
        <v>8</v>
      </c>
      <c r="D205" s="6">
        <v>150</v>
      </c>
      <c r="E205" s="4">
        <v>136</v>
      </c>
      <c r="H205" t="e">
        <f>IF(COUNTIFS(
    Sheet1!#REF!, B205,
    Sheet1!#REF!, C205,
    Sheet1!#REF!, D205,
    Sheet1!#REF!, E205
) = 0, "NO MATCH IN TARGET", "MATCHED")</f>
        <v>#REF!</v>
      </c>
    </row>
    <row r="206" spans="1:8" ht="15" thickBot="1" x14ac:dyDescent="0.4">
      <c r="A206" s="5">
        <v>46211.635416666664</v>
      </c>
      <c r="B206" s="1" t="s">
        <v>76</v>
      </c>
      <c r="C206" s="1" t="s">
        <v>8</v>
      </c>
      <c r="D206" s="6">
        <v>3</v>
      </c>
      <c r="E206" s="4">
        <v>2710</v>
      </c>
      <c r="H206" t="e">
        <f>IF(COUNTIFS(
    Sheet1!#REF!, B206,
    Sheet1!#REF!, C206,
    Sheet1!#REF!, D206,
    Sheet1!#REF!, E206
) = 0, "NO MATCH IN TARGET", "MATCHED")</f>
        <v>#REF!</v>
      </c>
    </row>
    <row r="207" spans="1:8" ht="15" thickBot="1" x14ac:dyDescent="0.4">
      <c r="A207" s="5">
        <v>46247.689583333333</v>
      </c>
      <c r="B207" s="1" t="s">
        <v>27</v>
      </c>
      <c r="C207" s="1" t="s">
        <v>8</v>
      </c>
      <c r="D207" s="6">
        <v>40</v>
      </c>
      <c r="E207" s="6">
        <v>320.5</v>
      </c>
      <c r="H207" t="e">
        <f>IF(COUNTIFS(
    Sheet1!#REF!, B207,
    Sheet1!#REF!, C207,
    Sheet1!#REF!, D207,
    Sheet1!#REF!, E207
) = 0, "NO MATCH IN TARGET", "MATCHED")</f>
        <v>#REF!</v>
      </c>
    </row>
    <row r="208" spans="1:8" ht="15" thickBot="1" x14ac:dyDescent="0.4">
      <c r="A208" s="10" t="s">
        <v>85</v>
      </c>
      <c r="B208" s="1" t="s">
        <v>38</v>
      </c>
      <c r="C208" s="1" t="s">
        <v>8</v>
      </c>
      <c r="D208" s="6">
        <v>30</v>
      </c>
      <c r="E208" s="11">
        <v>974</v>
      </c>
      <c r="H208" t="e">
        <f>IF(COUNTIFS(
    Sheet1!#REF!, B208,
    Sheet1!#REF!, C208,
    Sheet1!#REF!, D208,
    Sheet1!#REF!, E208
) = 0, "NO MATCH IN TARGET", "MATCHED")</f>
        <v>#REF!</v>
      </c>
    </row>
    <row r="209" spans="1:8" ht="15" thickBot="1" x14ac:dyDescent="0.4">
      <c r="A209" s="5">
        <v>46241.635416666664</v>
      </c>
      <c r="B209" s="1" t="s">
        <v>71</v>
      </c>
      <c r="C209" s="1" t="s">
        <v>8</v>
      </c>
      <c r="D209" s="6">
        <v>200</v>
      </c>
      <c r="E209" s="4">
        <v>249</v>
      </c>
      <c r="H209" t="e">
        <f>IF(COUNTIFS(
    Sheet1!#REF!, B209,
    Sheet1!#REF!, C209,
    Sheet1!#REF!, D209,
    Sheet1!#REF!, E209
) = 0, "NO MATCH IN TARGET", "MATCHED")</f>
        <v>#REF!</v>
      </c>
    </row>
    <row r="210" spans="1:8" ht="15" thickBot="1" x14ac:dyDescent="0.4">
      <c r="A210" s="5">
        <v>46211.635416666664</v>
      </c>
      <c r="B210" s="1" t="s">
        <v>74</v>
      </c>
      <c r="C210" s="1" t="s">
        <v>8</v>
      </c>
      <c r="D210" s="6">
        <v>5</v>
      </c>
      <c r="E210" s="4">
        <v>790</v>
      </c>
      <c r="H210" t="e">
        <f>IF(COUNTIFS(
    Sheet1!#REF!, B210,
    Sheet1!#REF!, C210,
    Sheet1!#REF!, D210,
    Sheet1!#REF!, E210
) = 0, "NO MATCH IN TARGET", "MATCHED")</f>
        <v>#REF!</v>
      </c>
    </row>
    <row r="211" spans="1:8" ht="15" thickBot="1" x14ac:dyDescent="0.4">
      <c r="A211" s="5">
        <v>46245.693055555559</v>
      </c>
      <c r="B211" s="12" t="s">
        <v>35</v>
      </c>
      <c r="C211" s="1" t="s">
        <v>8</v>
      </c>
      <c r="D211" s="6">
        <v>40</v>
      </c>
      <c r="E211" s="13">
        <v>229</v>
      </c>
      <c r="H211" t="e">
        <f>IF(COUNTIFS(
    Sheet1!#REF!, B211,
    Sheet1!#REF!, C211,
    Sheet1!#REF!, D211,
    Sheet1!#REF!, E211
) = 0, "NO MATCH IN TARGET", "MATCHED")</f>
        <v>#REF!</v>
      </c>
    </row>
    <row r="212" spans="1:8" ht="15" thickBot="1" x14ac:dyDescent="0.4">
      <c r="A212" s="5">
        <v>46244.635416666664</v>
      </c>
      <c r="B212" s="1" t="s">
        <v>64</v>
      </c>
      <c r="C212" s="1" t="s">
        <v>8</v>
      </c>
      <c r="D212" s="6">
        <v>11</v>
      </c>
      <c r="E212" s="4">
        <v>1170</v>
      </c>
      <c r="H212" t="e">
        <f>IF(COUNTIFS(
    Sheet1!#REF!, B212,
    Sheet1!#REF!, C212,
    Sheet1!#REF!, D212,
    Sheet1!#REF!, E212
) = 0, "NO MATCH IN TARGET", "MATCHED")</f>
        <v>#REF!</v>
      </c>
    </row>
    <row r="213" spans="1:8" ht="15" thickBot="1" x14ac:dyDescent="0.4">
      <c r="A213" s="5">
        <v>46247.689583333333</v>
      </c>
      <c r="B213" s="1" t="s">
        <v>36</v>
      </c>
      <c r="C213" s="1" t="s">
        <v>8</v>
      </c>
      <c r="D213" s="6">
        <v>100</v>
      </c>
      <c r="E213" s="6">
        <v>310.5</v>
      </c>
      <c r="H213" t="e">
        <f>IF(COUNTIFS(
    Sheet1!#REF!, B213,
    Sheet1!#REF!, C213,
    Sheet1!#REF!, D213,
    Sheet1!#REF!, E213
) = 0, "NO MATCH IN TARGET", "MATCHED")</f>
        <v>#REF!</v>
      </c>
    </row>
    <row r="214" spans="1:8" ht="15" thickBot="1" x14ac:dyDescent="0.4">
      <c r="A214" s="5">
        <v>46364.689583333333</v>
      </c>
      <c r="B214" s="1" t="s">
        <v>32</v>
      </c>
      <c r="C214" s="1" t="s">
        <v>8</v>
      </c>
      <c r="D214" s="6">
        <v>11</v>
      </c>
      <c r="E214" s="4">
        <v>749</v>
      </c>
      <c r="H214" t="e">
        <f>IF(COUNTIFS(
    Sheet1!#REF!, B214,
    Sheet1!#REF!, C214,
    Sheet1!#REF!, D214,
    Sheet1!#REF!, E214
) = 0, "NO MATCH IN TARGET", "MATCHED")</f>
        <v>#REF!</v>
      </c>
    </row>
    <row r="215" spans="1:8" ht="15" thickBot="1" x14ac:dyDescent="0.4">
      <c r="A215" s="5">
        <v>46247.689583333333</v>
      </c>
      <c r="B215" s="1" t="s">
        <v>39</v>
      </c>
      <c r="C215" s="1" t="s">
        <v>8</v>
      </c>
      <c r="D215" s="6">
        <v>25</v>
      </c>
      <c r="E215" s="6">
        <v>210</v>
      </c>
      <c r="H215" t="e">
        <f>IF(COUNTIFS(
    Sheet1!#REF!, B215,
    Sheet1!#REF!, C215,
    Sheet1!#REF!, D215,
    Sheet1!#REF!, E215
) = 0, "NO MATCH IN TARGET", "MATCHED")</f>
        <v>#REF!</v>
      </c>
    </row>
    <row r="216" spans="1:8" ht="15" thickBot="1" x14ac:dyDescent="0.4">
      <c r="A216" s="5">
        <v>46246.635416666664</v>
      </c>
      <c r="B216" s="1" t="s">
        <v>47</v>
      </c>
      <c r="C216" s="1" t="s">
        <v>8</v>
      </c>
      <c r="D216" s="6">
        <v>1</v>
      </c>
      <c r="E216" s="4">
        <v>3810</v>
      </c>
      <c r="H216" t="e">
        <f>IF(COUNTIFS(
    Sheet1!#REF!, B216,
    Sheet1!#REF!, C216,
    Sheet1!#REF!, D216,
    Sheet1!#REF!, E216
) = 0, "NO MATCH IN TARGET", "MATCHED")</f>
        <v>#REF!</v>
      </c>
    </row>
    <row r="217" spans="1:8" ht="15" thickBot="1" x14ac:dyDescent="0.4">
      <c r="A217" s="5">
        <v>46303.635416666664</v>
      </c>
      <c r="B217" s="1" t="s">
        <v>94</v>
      </c>
      <c r="C217" s="1" t="s">
        <v>8</v>
      </c>
      <c r="D217" s="6">
        <v>50</v>
      </c>
      <c r="E217" s="4">
        <v>480</v>
      </c>
      <c r="H217" t="e">
        <f>IF(COUNTIFS(
    Sheet1!#REF!, B217,
    Sheet1!#REF!, C217,
    Sheet1!#REF!, D217,
    Sheet1!#REF!, E217
) = 0, "NO MATCH IN TARGET", "MATCHED")</f>
        <v>#REF!</v>
      </c>
    </row>
    <row r="218" spans="1:8" ht="15" thickBot="1" x14ac:dyDescent="0.4">
      <c r="A218" s="10" t="s">
        <v>85</v>
      </c>
      <c r="B218" s="1" t="s">
        <v>38</v>
      </c>
      <c r="C218" s="1" t="s">
        <v>8</v>
      </c>
      <c r="D218" s="6">
        <v>5</v>
      </c>
      <c r="E218" s="4">
        <v>986</v>
      </c>
      <c r="H218" t="e">
        <f>IF(COUNTIFS(
    Sheet1!#REF!, B218,
    Sheet1!#REF!, C218,
    Sheet1!#REF!, D218,
    Sheet1!#REF!, E218
) = 0, "NO MATCH IN TARGET", "MATCHED")</f>
        <v>#REF!</v>
      </c>
    </row>
    <row r="219" spans="1:8" ht="15" thickBot="1" x14ac:dyDescent="0.4">
      <c r="A219" s="10" t="s">
        <v>85</v>
      </c>
      <c r="B219" s="1" t="s">
        <v>36</v>
      </c>
      <c r="C219" s="1" t="s">
        <v>8</v>
      </c>
      <c r="D219" s="6">
        <v>100</v>
      </c>
      <c r="E219" s="11">
        <v>314</v>
      </c>
      <c r="H219" t="e">
        <f>IF(COUNTIFS(
    Sheet1!#REF!, B219,
    Sheet1!#REF!, C219,
    Sheet1!#REF!, D219,
    Sheet1!#REF!, E219
) = 0, "NO MATCH IN TARGET", "MATCHED")</f>
        <v>#REF!</v>
      </c>
    </row>
    <row r="220" spans="1:8" ht="15" thickBot="1" x14ac:dyDescent="0.4">
      <c r="A220" s="5">
        <v>46211.635416666664</v>
      </c>
      <c r="B220" s="1" t="s">
        <v>73</v>
      </c>
      <c r="C220" s="1" t="s">
        <v>8</v>
      </c>
      <c r="D220" s="6">
        <v>3</v>
      </c>
      <c r="E220" s="4">
        <v>3341</v>
      </c>
      <c r="H220" t="e">
        <f>IF(COUNTIFS(
    Sheet1!#REF!, B220,
    Sheet1!#REF!, C220,
    Sheet1!#REF!, D220,
    Sheet1!#REF!, E220
) = 0, "NO MATCH IN TARGET", "MATCHED")</f>
        <v>#REF!</v>
      </c>
    </row>
    <row r="221" spans="1:8" ht="15" thickBot="1" x14ac:dyDescent="0.4">
      <c r="A221" s="10" t="s">
        <v>85</v>
      </c>
      <c r="B221" s="12" t="s">
        <v>38</v>
      </c>
      <c r="C221" s="1" t="s">
        <v>8</v>
      </c>
      <c r="D221" s="6">
        <v>40</v>
      </c>
      <c r="E221" s="13">
        <v>996</v>
      </c>
      <c r="H221" t="e">
        <f>IF(COUNTIFS(
    Sheet1!#REF!, B221,
    Sheet1!#REF!, C221,
    Sheet1!#REF!, D221,
    Sheet1!#REF!, E221
) = 0, "NO MATCH IN TARGET", "MATCHED")</f>
        <v>#REF!</v>
      </c>
    </row>
    <row r="222" spans="1:8" ht="15" thickBot="1" x14ac:dyDescent="0.4">
      <c r="A222" s="10" t="s">
        <v>85</v>
      </c>
      <c r="B222" s="1" t="s">
        <v>38</v>
      </c>
      <c r="C222" s="1" t="s">
        <v>8</v>
      </c>
      <c r="D222" s="6">
        <v>5</v>
      </c>
      <c r="E222" s="4">
        <v>1002</v>
      </c>
      <c r="H222" t="e">
        <f>IF(COUNTIFS(
    Sheet1!#REF!, B222,
    Sheet1!#REF!, C222,
    Sheet1!#REF!, D222,
    Sheet1!#REF!, E222
) = 0, "NO MATCH IN TARGET", "MATCHED")</f>
        <v>#REF!</v>
      </c>
    </row>
    <row r="223" spans="1:8" ht="15" thickBot="1" x14ac:dyDescent="0.4">
      <c r="A223" s="5">
        <v>46247.645138888889</v>
      </c>
      <c r="B223" s="1" t="s">
        <v>79</v>
      </c>
      <c r="C223" s="1" t="s">
        <v>8</v>
      </c>
      <c r="D223" s="6">
        <v>5</v>
      </c>
      <c r="E223" s="6">
        <v>596</v>
      </c>
      <c r="H223" t="e">
        <f>IF(COUNTIFS(
    Sheet1!#REF!, B223,
    Sheet1!#REF!, C223,
    Sheet1!#REF!, D223,
    Sheet1!#REF!, E223
) = 0, "NO MATCH IN TARGET", "MATCHED")</f>
        <v>#REF!</v>
      </c>
    </row>
    <row r="224" spans="1:8" ht="15" thickBot="1" x14ac:dyDescent="0.4">
      <c r="A224" s="5">
        <v>46239.788888888892</v>
      </c>
      <c r="B224" s="1" t="s">
        <v>36</v>
      </c>
      <c r="C224" s="1" t="s">
        <v>8</v>
      </c>
      <c r="D224" s="6">
        <v>100</v>
      </c>
      <c r="E224" s="4">
        <v>318</v>
      </c>
      <c r="H224" t="e">
        <f>IF(COUNTIFS(
    Sheet1!#REF!, B224,
    Sheet1!#REF!, C224,
    Sheet1!#REF!, D224,
    Sheet1!#REF!, E224
) = 0, "NO MATCH IN TARGET", "MATCHED")</f>
        <v>#REF!</v>
      </c>
    </row>
    <row r="225" spans="1:8" ht="15" hidden="1" thickBot="1" x14ac:dyDescent="0.4">
      <c r="A225" s="5">
        <v>46248.770937499998</v>
      </c>
      <c r="B225" s="1" t="s">
        <v>7</v>
      </c>
      <c r="C225" s="1" t="s">
        <v>8</v>
      </c>
      <c r="D225" s="6">
        <v>20</v>
      </c>
      <c r="E225" s="6">
        <v>2310</v>
      </c>
      <c r="H225" t="e">
        <f>IF(COUNTIFS(
    Sheet1!#REF!, B225,
    Sheet1!#REF!, C225,
    Sheet1!#REF!, D225,
    Sheet1!#REF!, E225
) = 0, "NO MATCH IN TARGET", "MATCHED")</f>
        <v>#REF!</v>
      </c>
    </row>
    <row r="226" spans="1:8" ht="15" thickBot="1" x14ac:dyDescent="0.4">
      <c r="A226" s="10" t="s">
        <v>85</v>
      </c>
      <c r="B226" s="1" t="s">
        <v>36</v>
      </c>
      <c r="C226" s="1" t="s">
        <v>8</v>
      </c>
      <c r="D226" s="6">
        <v>100</v>
      </c>
      <c r="E226" s="11">
        <v>319</v>
      </c>
      <c r="H226" t="e">
        <f>IF(COUNTIFS(
    Sheet1!#REF!, B226,
    Sheet1!#REF!, C226,
    Sheet1!#REF!, D226,
    Sheet1!#REF!, E226
) = 0, "NO MATCH IN TARGET", "MATCHED")</f>
        <v>#REF!</v>
      </c>
    </row>
    <row r="227" spans="1:8" ht="15" thickBot="1" x14ac:dyDescent="0.4">
      <c r="A227" s="10" t="s">
        <v>85</v>
      </c>
      <c r="B227" s="1" t="s">
        <v>94</v>
      </c>
      <c r="C227" s="1" t="s">
        <v>8</v>
      </c>
      <c r="D227" s="6">
        <v>35</v>
      </c>
      <c r="E227" s="11">
        <v>494</v>
      </c>
      <c r="H227" t="e">
        <f>IF(COUNTIFS(
    Sheet1!#REF!, B227,
    Sheet1!#REF!, C227,
    Sheet1!#REF!, D227,
    Sheet1!#REF!, E227
) = 0, "NO MATCH IN TARGET", "MATCHED")</f>
        <v>#REF!</v>
      </c>
    </row>
    <row r="228" spans="1:8" ht="15" thickBot="1" x14ac:dyDescent="0.4">
      <c r="A228" s="5">
        <v>46150.788888888892</v>
      </c>
      <c r="B228" s="1" t="s">
        <v>36</v>
      </c>
      <c r="C228" s="1" t="s">
        <v>8</v>
      </c>
      <c r="D228" s="6">
        <v>150</v>
      </c>
      <c r="E228" s="4">
        <v>323</v>
      </c>
      <c r="H228" t="e">
        <f>IF(COUNTIFS(
    Sheet1!#REF!, B228,
    Sheet1!#REF!, C228,
    Sheet1!#REF!, D228,
    Sheet1!#REF!, E228
) = 0, "NO MATCH IN TARGET", "MATCHED")</f>
        <v>#REF!</v>
      </c>
    </row>
    <row r="229" spans="1:8" ht="15" thickBot="1" x14ac:dyDescent="0.4">
      <c r="A229" s="14">
        <v>46334.645833333336</v>
      </c>
      <c r="B229" s="15" t="s">
        <v>83</v>
      </c>
      <c r="C229" s="15" t="s">
        <v>8</v>
      </c>
      <c r="D229" s="16">
        <v>7</v>
      </c>
      <c r="E229" s="4">
        <v>1170</v>
      </c>
      <c r="H229" t="e">
        <f>IF(COUNTIFS(
    Sheet1!#REF!, B229,
    Sheet1!#REF!, C229,
    Sheet1!#REF!, D229,
    Sheet1!#REF!, E229
) = 0, "NO MATCH IN TARGET", "MATCHED")</f>
        <v>#REF!</v>
      </c>
    </row>
    <row r="230" spans="1:8" ht="15" thickBot="1" x14ac:dyDescent="0.4">
      <c r="A230" s="5">
        <v>46364.689583333333</v>
      </c>
      <c r="B230" s="1" t="s">
        <v>21</v>
      </c>
      <c r="C230" s="1" t="s">
        <v>8</v>
      </c>
      <c r="D230" s="6">
        <v>5</v>
      </c>
      <c r="E230" s="4">
        <v>416</v>
      </c>
      <c r="H230" t="e">
        <f>IF(COUNTIFS(
    Sheet1!#REF!, B230,
    Sheet1!#REF!, C230,
    Sheet1!#REF!, D230,
    Sheet1!#REF!, E230
) = 0, "NO MATCH IN TARGET", "MATCHED")</f>
        <v>#REF!</v>
      </c>
    </row>
    <row r="231" spans="1:8" ht="15" thickBot="1" x14ac:dyDescent="0.4">
      <c r="A231" s="5">
        <v>46247.689583333333</v>
      </c>
      <c r="B231" s="1" t="s">
        <v>7</v>
      </c>
      <c r="C231" s="1" t="s">
        <v>8</v>
      </c>
      <c r="D231" s="6">
        <v>1</v>
      </c>
      <c r="E231" s="6">
        <v>2494</v>
      </c>
      <c r="H231" t="e">
        <f>IF(COUNTIFS(
    Sheet1!#REF!, B231,
    Sheet1!#REF!, C231,
    Sheet1!#REF!, D231,
    Sheet1!#REF!, E231
) = 0, "NO MATCH IN TARGET", "MATCHED")</f>
        <v>#REF!</v>
      </c>
    </row>
    <row r="232" spans="1:8" ht="15" thickBot="1" x14ac:dyDescent="0.4">
      <c r="A232" s="5">
        <v>46246.689583333333</v>
      </c>
      <c r="B232" s="1" t="s">
        <v>21</v>
      </c>
      <c r="C232" s="1" t="s">
        <v>8</v>
      </c>
      <c r="D232" s="6">
        <v>5</v>
      </c>
      <c r="E232" s="4">
        <v>435</v>
      </c>
      <c r="H232" t="e">
        <f>IF(COUNTIFS(
    Sheet1!#REF!, B232,
    Sheet1!#REF!, C232,
    Sheet1!#REF!, D232,
    Sheet1!#REF!, E232
) = 0, "NO MATCH IN TARGET", "MATCHED")</f>
        <v>#REF!</v>
      </c>
    </row>
    <row r="233" spans="1:8" ht="15" thickBot="1" x14ac:dyDescent="0.4">
      <c r="A233" s="5">
        <v>46239.793055555558</v>
      </c>
      <c r="B233" s="1" t="s">
        <v>95</v>
      </c>
      <c r="C233" s="1" t="s">
        <v>8</v>
      </c>
      <c r="D233" s="6">
        <v>23</v>
      </c>
      <c r="E233" s="4">
        <v>890</v>
      </c>
      <c r="H233" t="e">
        <f>IF(COUNTIFS(
    Sheet1!#REF!, B233,
    Sheet1!#REF!, C233,
    Sheet1!#REF!, D233,
    Sheet1!#REF!, E233
) = 0, "NO MATCH IN TARGET", "MATCHED")</f>
        <v>#REF!</v>
      </c>
    </row>
    <row r="234" spans="1:8" ht="15" thickBot="1" x14ac:dyDescent="0.4">
      <c r="A234" s="17"/>
      <c r="B234" s="17"/>
      <c r="C234" s="17"/>
      <c r="D234" s="17"/>
      <c r="E234" s="18"/>
    </row>
  </sheetData>
  <autoFilter ref="A1:H233" xr:uid="{668305BF-A2A0-4D4A-B425-623EC32451A8}">
    <filterColumn colId="7">
      <filters>
        <filter val="NO MATCH IN TARGET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59D15-A3E7-4DAC-8F14-AA0C5D5FD722}">
  <dimension ref="A1:H34"/>
  <sheetViews>
    <sheetView workbookViewId="0">
      <selection activeCell="K16" sqref="K16"/>
    </sheetView>
  </sheetViews>
  <sheetFormatPr defaultRowHeight="14.5" x14ac:dyDescent="0.35"/>
  <cols>
    <col min="8" max="8" width="8.7265625" style="19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s="19" t="str" cm="1">
        <f t="array" ref="H1:H16">_xlfn.UNIQUE(B:B)</f>
        <v>Stock</v>
      </c>
    </row>
    <row r="2" spans="1:8" x14ac:dyDescent="0.35">
      <c r="A2" t="s">
        <v>96</v>
      </c>
      <c r="B2" t="s">
        <v>7</v>
      </c>
      <c r="C2" t="s">
        <v>12</v>
      </c>
      <c r="D2">
        <v>3</v>
      </c>
      <c r="E2">
        <v>1714</v>
      </c>
      <c r="F2" t="s">
        <v>97</v>
      </c>
      <c r="H2" s="19" t="str">
        <v>KERNEXEQ</v>
      </c>
    </row>
    <row r="3" spans="1:8" x14ac:dyDescent="0.35">
      <c r="A3" t="s">
        <v>98</v>
      </c>
      <c r="B3" t="s">
        <v>7</v>
      </c>
      <c r="C3" t="s">
        <v>12</v>
      </c>
      <c r="D3">
        <v>2</v>
      </c>
      <c r="E3">
        <v>1776</v>
      </c>
      <c r="F3" t="s">
        <v>97</v>
      </c>
      <c r="H3" s="19" t="str">
        <v>DHOOTTRANSEQ</v>
      </c>
    </row>
    <row r="4" spans="1:8" x14ac:dyDescent="0.35">
      <c r="A4" t="s">
        <v>99</v>
      </c>
      <c r="B4" t="s">
        <v>7</v>
      </c>
      <c r="C4" t="s">
        <v>12</v>
      </c>
      <c r="D4">
        <v>3</v>
      </c>
      <c r="E4">
        <v>1793</v>
      </c>
      <c r="F4" t="s">
        <v>97</v>
      </c>
      <c r="H4" s="20" t="str">
        <v>IGILEQ</v>
      </c>
    </row>
    <row r="5" spans="1:8" x14ac:dyDescent="0.35">
      <c r="A5" t="s">
        <v>100</v>
      </c>
      <c r="B5" t="s">
        <v>7</v>
      </c>
      <c r="C5" t="s">
        <v>12</v>
      </c>
      <c r="D5">
        <v>2</v>
      </c>
      <c r="E5">
        <v>1864</v>
      </c>
      <c r="F5" t="s">
        <v>97</v>
      </c>
      <c r="H5" s="19" t="str">
        <v>IRFCEQ</v>
      </c>
    </row>
    <row r="6" spans="1:8" x14ac:dyDescent="0.35">
      <c r="A6" t="s">
        <v>101</v>
      </c>
      <c r="B6" t="s">
        <v>102</v>
      </c>
      <c r="C6" t="s">
        <v>8</v>
      </c>
      <c r="D6">
        <v>17</v>
      </c>
      <c r="E6">
        <v>1100</v>
      </c>
      <c r="F6" t="s">
        <v>97</v>
      </c>
      <c r="H6" s="19" t="str">
        <v>COCHINSHIPEQ</v>
      </c>
    </row>
    <row r="7" spans="1:8" x14ac:dyDescent="0.35">
      <c r="A7" t="s">
        <v>103</v>
      </c>
      <c r="B7" t="s">
        <v>18</v>
      </c>
      <c r="C7" t="s">
        <v>8</v>
      </c>
      <c r="D7">
        <v>50</v>
      </c>
      <c r="E7">
        <v>357</v>
      </c>
      <c r="F7" t="s">
        <v>97</v>
      </c>
      <c r="H7" s="19" t="str">
        <v>BSEEQ</v>
      </c>
    </row>
    <row r="8" spans="1:8" x14ac:dyDescent="0.35">
      <c r="A8" t="s">
        <v>104</v>
      </c>
      <c r="B8" t="s">
        <v>18</v>
      </c>
      <c r="C8" t="s">
        <v>8</v>
      </c>
      <c r="D8">
        <v>50</v>
      </c>
      <c r="E8">
        <v>353</v>
      </c>
      <c r="F8" t="s">
        <v>97</v>
      </c>
      <c r="H8" s="19" t="str">
        <v>SCIEQ</v>
      </c>
    </row>
    <row r="9" spans="1:8" x14ac:dyDescent="0.35">
      <c r="A9" t="s">
        <v>105</v>
      </c>
      <c r="B9" t="s">
        <v>49</v>
      </c>
      <c r="C9" t="s">
        <v>12</v>
      </c>
      <c r="D9">
        <v>100</v>
      </c>
      <c r="E9">
        <v>86.3</v>
      </c>
      <c r="F9" t="s">
        <v>97</v>
      </c>
      <c r="H9" s="19" t="str">
        <v>APOLLOTYREEQ</v>
      </c>
    </row>
    <row r="10" spans="1:8" x14ac:dyDescent="0.35">
      <c r="A10" t="s">
        <v>106</v>
      </c>
      <c r="B10" t="s">
        <v>18</v>
      </c>
      <c r="C10" t="s">
        <v>12</v>
      </c>
      <c r="D10">
        <v>150</v>
      </c>
      <c r="E10">
        <v>346</v>
      </c>
      <c r="F10" t="s">
        <v>97</v>
      </c>
      <c r="H10" s="19" t="str">
        <v>SENCOEQ</v>
      </c>
    </row>
    <row r="11" spans="1:8" x14ac:dyDescent="0.35">
      <c r="A11" t="s">
        <v>107</v>
      </c>
      <c r="B11" t="s">
        <v>42</v>
      </c>
      <c r="C11" t="s">
        <v>12</v>
      </c>
      <c r="D11">
        <v>10</v>
      </c>
      <c r="E11">
        <v>1452</v>
      </c>
      <c r="F11" t="s">
        <v>97</v>
      </c>
      <c r="H11" s="19" t="str">
        <v>GRSEEQ</v>
      </c>
    </row>
    <row r="12" spans="1:8" x14ac:dyDescent="0.35">
      <c r="A12" t="s">
        <v>108</v>
      </c>
      <c r="B12" t="s">
        <v>42</v>
      </c>
      <c r="C12" t="s">
        <v>8</v>
      </c>
      <c r="D12">
        <v>20</v>
      </c>
      <c r="E12">
        <v>1492.2</v>
      </c>
      <c r="F12" t="s">
        <v>97</v>
      </c>
      <c r="H12" s="19" t="str">
        <v>BDLEQ</v>
      </c>
    </row>
    <row r="13" spans="1:8" x14ac:dyDescent="0.35">
      <c r="A13" t="s">
        <v>109</v>
      </c>
      <c r="B13" t="s">
        <v>47</v>
      </c>
      <c r="C13" t="s">
        <v>12</v>
      </c>
      <c r="D13">
        <v>3</v>
      </c>
      <c r="E13">
        <v>3310</v>
      </c>
      <c r="F13" t="s">
        <v>97</v>
      </c>
      <c r="H13" s="19" t="str">
        <v>KFINTECHEQ</v>
      </c>
    </row>
    <row r="14" spans="1:8" x14ac:dyDescent="0.35">
      <c r="A14" t="s">
        <v>110</v>
      </c>
      <c r="B14" t="s">
        <v>7</v>
      </c>
      <c r="C14" t="s">
        <v>12</v>
      </c>
      <c r="D14">
        <v>3</v>
      </c>
      <c r="E14">
        <v>1814</v>
      </c>
      <c r="F14" t="s">
        <v>97</v>
      </c>
      <c r="H14" s="19" t="str">
        <v>SILVERBEESEQ</v>
      </c>
    </row>
    <row r="15" spans="1:8" x14ac:dyDescent="0.35">
      <c r="A15" t="s">
        <v>111</v>
      </c>
      <c r="B15" t="s">
        <v>7</v>
      </c>
      <c r="C15" t="s">
        <v>12</v>
      </c>
      <c r="D15">
        <v>3</v>
      </c>
      <c r="E15">
        <v>1914</v>
      </c>
      <c r="F15" t="s">
        <v>97</v>
      </c>
      <c r="H15" s="19" t="str">
        <v>CGPOWEREQ</v>
      </c>
    </row>
    <row r="16" spans="1:8" x14ac:dyDescent="0.35">
      <c r="A16" t="s">
        <v>112</v>
      </c>
      <c r="B16" t="s">
        <v>7</v>
      </c>
      <c r="C16" t="s">
        <v>12</v>
      </c>
      <c r="D16">
        <v>5</v>
      </c>
      <c r="E16">
        <v>1964</v>
      </c>
      <c r="F16" t="s">
        <v>97</v>
      </c>
      <c r="H16" s="19">
        <v>0</v>
      </c>
    </row>
    <row r="17" spans="1:6" x14ac:dyDescent="0.35">
      <c r="A17" t="s">
        <v>113</v>
      </c>
      <c r="B17" t="s">
        <v>42</v>
      </c>
      <c r="C17" t="s">
        <v>12</v>
      </c>
      <c r="D17">
        <v>10</v>
      </c>
      <c r="E17">
        <v>1440</v>
      </c>
      <c r="F17" t="s">
        <v>97</v>
      </c>
    </row>
    <row r="18" spans="1:6" x14ac:dyDescent="0.35">
      <c r="A18" t="s">
        <v>113</v>
      </c>
      <c r="B18" t="s">
        <v>42</v>
      </c>
      <c r="C18" t="s">
        <v>12</v>
      </c>
      <c r="D18">
        <v>10</v>
      </c>
      <c r="E18">
        <v>1452</v>
      </c>
      <c r="F18" t="s">
        <v>97</v>
      </c>
    </row>
    <row r="19" spans="1:6" x14ac:dyDescent="0.35">
      <c r="A19" t="s">
        <v>113</v>
      </c>
      <c r="B19" t="s">
        <v>27</v>
      </c>
      <c r="C19" t="s">
        <v>12</v>
      </c>
      <c r="D19">
        <v>30</v>
      </c>
      <c r="E19">
        <v>286</v>
      </c>
      <c r="F19" t="s">
        <v>97</v>
      </c>
    </row>
    <row r="20" spans="1:6" x14ac:dyDescent="0.35">
      <c r="A20" t="s">
        <v>113</v>
      </c>
      <c r="B20" t="s">
        <v>16</v>
      </c>
      <c r="C20" t="s">
        <v>12</v>
      </c>
      <c r="D20">
        <v>40</v>
      </c>
      <c r="E20">
        <v>436</v>
      </c>
      <c r="F20" t="s">
        <v>97</v>
      </c>
    </row>
    <row r="21" spans="1:6" x14ac:dyDescent="0.35">
      <c r="A21" t="s">
        <v>113</v>
      </c>
      <c r="B21" t="s">
        <v>21</v>
      </c>
      <c r="C21" t="s">
        <v>12</v>
      </c>
      <c r="D21">
        <v>25</v>
      </c>
      <c r="E21">
        <v>336</v>
      </c>
      <c r="F21" t="s">
        <v>97</v>
      </c>
    </row>
    <row r="22" spans="1:6" x14ac:dyDescent="0.35">
      <c r="A22" t="s">
        <v>114</v>
      </c>
      <c r="B22" t="s">
        <v>19</v>
      </c>
      <c r="C22" t="s">
        <v>12</v>
      </c>
      <c r="D22">
        <v>10</v>
      </c>
      <c r="E22">
        <v>2602</v>
      </c>
      <c r="F22" t="s">
        <v>97</v>
      </c>
    </row>
    <row r="23" spans="1:6" x14ac:dyDescent="0.35">
      <c r="A23" t="s">
        <v>113</v>
      </c>
      <c r="B23" t="s">
        <v>47</v>
      </c>
      <c r="C23" t="s">
        <v>12</v>
      </c>
      <c r="D23">
        <v>2</v>
      </c>
      <c r="E23">
        <v>3410</v>
      </c>
      <c r="F23" t="s">
        <v>97</v>
      </c>
    </row>
    <row r="24" spans="1:6" x14ac:dyDescent="0.35">
      <c r="A24" t="s">
        <v>113</v>
      </c>
      <c r="B24" t="s">
        <v>19</v>
      </c>
      <c r="C24" t="s">
        <v>12</v>
      </c>
      <c r="D24">
        <v>10</v>
      </c>
      <c r="E24">
        <v>2601</v>
      </c>
      <c r="F24" t="s">
        <v>97</v>
      </c>
    </row>
    <row r="25" spans="1:6" x14ac:dyDescent="0.35">
      <c r="A25" t="s">
        <v>113</v>
      </c>
      <c r="B25" t="s">
        <v>49</v>
      </c>
      <c r="C25" t="s">
        <v>12</v>
      </c>
      <c r="D25">
        <v>100</v>
      </c>
      <c r="E25">
        <v>87.3</v>
      </c>
      <c r="F25" t="s">
        <v>97</v>
      </c>
    </row>
    <row r="26" spans="1:6" x14ac:dyDescent="0.35">
      <c r="A26" t="s">
        <v>113</v>
      </c>
      <c r="B26" t="s">
        <v>51</v>
      </c>
      <c r="C26" t="s">
        <v>12</v>
      </c>
      <c r="D26">
        <v>10</v>
      </c>
      <c r="E26">
        <v>1440</v>
      </c>
      <c r="F26" t="s">
        <v>97</v>
      </c>
    </row>
    <row r="27" spans="1:6" x14ac:dyDescent="0.35">
      <c r="A27" t="s">
        <v>113</v>
      </c>
      <c r="B27" t="s">
        <v>18</v>
      </c>
      <c r="C27" t="s">
        <v>8</v>
      </c>
      <c r="D27">
        <v>50</v>
      </c>
      <c r="E27">
        <v>361</v>
      </c>
      <c r="F27" t="s">
        <v>97</v>
      </c>
    </row>
    <row r="28" spans="1:6" x14ac:dyDescent="0.35">
      <c r="A28" t="s">
        <v>115</v>
      </c>
      <c r="B28" t="s">
        <v>44</v>
      </c>
      <c r="C28" t="s">
        <v>8</v>
      </c>
      <c r="D28">
        <v>10</v>
      </c>
      <c r="E28">
        <v>977</v>
      </c>
      <c r="F28" t="s">
        <v>97</v>
      </c>
    </row>
    <row r="29" spans="1:6" x14ac:dyDescent="0.35">
      <c r="A29" t="s">
        <v>115</v>
      </c>
      <c r="B29" t="s">
        <v>18</v>
      </c>
      <c r="C29" t="s">
        <v>8</v>
      </c>
      <c r="D29">
        <v>50</v>
      </c>
      <c r="E29">
        <v>357</v>
      </c>
      <c r="F29" t="s">
        <v>97</v>
      </c>
    </row>
    <row r="30" spans="1:6" x14ac:dyDescent="0.35">
      <c r="A30" t="s">
        <v>115</v>
      </c>
      <c r="B30" t="s">
        <v>18</v>
      </c>
      <c r="C30" t="s">
        <v>8</v>
      </c>
      <c r="D30">
        <v>50</v>
      </c>
      <c r="E30">
        <v>353</v>
      </c>
      <c r="F30" t="s">
        <v>97</v>
      </c>
    </row>
    <row r="31" spans="1:6" x14ac:dyDescent="0.35">
      <c r="A31" t="s">
        <v>115</v>
      </c>
      <c r="B31" t="s">
        <v>44</v>
      </c>
      <c r="C31" t="s">
        <v>8</v>
      </c>
      <c r="D31">
        <v>10</v>
      </c>
      <c r="E31">
        <v>957</v>
      </c>
      <c r="F31" t="s">
        <v>97</v>
      </c>
    </row>
    <row r="32" spans="1:6" x14ac:dyDescent="0.35">
      <c r="A32" t="s">
        <v>116</v>
      </c>
      <c r="B32" t="s">
        <v>23</v>
      </c>
      <c r="C32" t="s">
        <v>8</v>
      </c>
      <c r="D32">
        <v>100</v>
      </c>
      <c r="E32">
        <v>223</v>
      </c>
      <c r="F32" t="s">
        <v>97</v>
      </c>
    </row>
    <row r="33" spans="1:6" x14ac:dyDescent="0.35">
      <c r="A33" t="s">
        <v>115</v>
      </c>
      <c r="B33" t="s">
        <v>52</v>
      </c>
      <c r="C33" t="s">
        <v>8</v>
      </c>
      <c r="D33">
        <v>20</v>
      </c>
      <c r="E33">
        <v>896</v>
      </c>
      <c r="F33" t="s">
        <v>97</v>
      </c>
    </row>
    <row r="34" spans="1:6" x14ac:dyDescent="0.35">
      <c r="A34" t="s">
        <v>115</v>
      </c>
      <c r="B34" t="s">
        <v>44</v>
      </c>
      <c r="C34" t="s">
        <v>8</v>
      </c>
      <c r="D34">
        <v>10</v>
      </c>
      <c r="E34">
        <v>947</v>
      </c>
      <c r="F34" t="s">
        <v>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3C4F3-54BF-4DD5-A3E9-8D9BB60A1964}">
  <dimension ref="A1:F17"/>
  <sheetViews>
    <sheetView workbookViewId="0">
      <selection activeCell="J10" sqref="J10"/>
    </sheetView>
  </sheetViews>
  <sheetFormatPr defaultRowHeight="14.5" x14ac:dyDescent="0.35"/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s="22" t="s">
        <v>6</v>
      </c>
      <c r="B2" s="22" t="s">
        <v>7</v>
      </c>
      <c r="C2" s="22" t="s">
        <v>8</v>
      </c>
      <c r="D2" s="22">
        <v>3</v>
      </c>
      <c r="E2" s="22">
        <v>1896</v>
      </c>
      <c r="F2" s="22" t="s">
        <v>9</v>
      </c>
    </row>
    <row r="3" spans="1:6" x14ac:dyDescent="0.35">
      <c r="A3" t="s">
        <v>6</v>
      </c>
      <c r="B3" t="s">
        <v>7</v>
      </c>
      <c r="C3" t="s">
        <v>12</v>
      </c>
      <c r="D3">
        <v>2</v>
      </c>
      <c r="E3">
        <v>1664</v>
      </c>
      <c r="F3" t="s">
        <v>9</v>
      </c>
    </row>
    <row r="4" spans="1:6" x14ac:dyDescent="0.35">
      <c r="A4" s="21" t="s">
        <v>6</v>
      </c>
      <c r="B4" s="21" t="s">
        <v>7</v>
      </c>
      <c r="C4" s="21" t="s">
        <v>8</v>
      </c>
      <c r="D4" s="21">
        <v>5</v>
      </c>
      <c r="E4" s="21">
        <v>1914</v>
      </c>
      <c r="F4" s="21" t="s">
        <v>9</v>
      </c>
    </row>
    <row r="5" spans="1:6" x14ac:dyDescent="0.35">
      <c r="A5" s="20" t="s">
        <v>6</v>
      </c>
      <c r="B5" s="20" t="s">
        <v>7</v>
      </c>
      <c r="C5" s="20" t="s">
        <v>8</v>
      </c>
      <c r="D5" s="20">
        <v>5</v>
      </c>
      <c r="E5" s="20">
        <v>2014</v>
      </c>
      <c r="F5" s="20" t="s">
        <v>9</v>
      </c>
    </row>
    <row r="6" spans="1:6" x14ac:dyDescent="0.35">
      <c r="A6" s="19" t="s">
        <v>6</v>
      </c>
      <c r="B6" s="19" t="s">
        <v>7</v>
      </c>
      <c r="C6" s="19" t="s">
        <v>8</v>
      </c>
      <c r="D6" s="19">
        <v>5</v>
      </c>
      <c r="E6" s="19">
        <v>2094</v>
      </c>
      <c r="F6" s="19" t="s">
        <v>9</v>
      </c>
    </row>
    <row r="7" spans="1:6" x14ac:dyDescent="0.35">
      <c r="A7" t="s">
        <v>6</v>
      </c>
      <c r="B7" t="s">
        <v>7</v>
      </c>
      <c r="C7" t="s">
        <v>8</v>
      </c>
      <c r="D7">
        <v>20</v>
      </c>
      <c r="E7">
        <v>2310</v>
      </c>
      <c r="F7" t="s">
        <v>9</v>
      </c>
    </row>
    <row r="8" spans="1:6" x14ac:dyDescent="0.35">
      <c r="A8" t="s">
        <v>6</v>
      </c>
      <c r="B8" t="s">
        <v>7</v>
      </c>
      <c r="C8" t="s">
        <v>8</v>
      </c>
      <c r="D8">
        <v>10</v>
      </c>
      <c r="E8">
        <v>2189</v>
      </c>
      <c r="F8" t="s">
        <v>9</v>
      </c>
    </row>
    <row r="9" spans="1:6" ht="15" thickBot="1" x14ac:dyDescent="0.4">
      <c r="A9" t="s">
        <v>6</v>
      </c>
      <c r="B9" t="s">
        <v>7</v>
      </c>
      <c r="C9" t="s">
        <v>8</v>
      </c>
      <c r="D9">
        <v>10</v>
      </c>
      <c r="E9">
        <v>2114</v>
      </c>
      <c r="F9" t="s">
        <v>9</v>
      </c>
    </row>
    <row r="10" spans="1:6" ht="29.5" thickBot="1" x14ac:dyDescent="0.4">
      <c r="A10" s="5">
        <v>46247.689583333333</v>
      </c>
      <c r="B10" s="1" t="s">
        <v>7</v>
      </c>
      <c r="C10" s="1" t="s">
        <v>8</v>
      </c>
      <c r="D10" s="6">
        <v>1</v>
      </c>
      <c r="E10" s="6">
        <v>2494</v>
      </c>
      <c r="F10" t="s">
        <v>9</v>
      </c>
    </row>
    <row r="11" spans="1:6" x14ac:dyDescent="0.35">
      <c r="A11" s="22" t="s">
        <v>96</v>
      </c>
      <c r="B11" s="22" t="s">
        <v>7</v>
      </c>
      <c r="C11" s="22" t="s">
        <v>12</v>
      </c>
      <c r="D11" s="22">
        <v>3</v>
      </c>
      <c r="E11" s="22">
        <v>1714</v>
      </c>
      <c r="F11" s="22" t="s">
        <v>97</v>
      </c>
    </row>
    <row r="12" spans="1:6" x14ac:dyDescent="0.35">
      <c r="A12" s="21" t="s">
        <v>98</v>
      </c>
      <c r="B12" s="21" t="s">
        <v>7</v>
      </c>
      <c r="C12" s="21" t="s">
        <v>12</v>
      </c>
      <c r="D12" s="21">
        <v>2</v>
      </c>
      <c r="E12" s="21">
        <v>1776</v>
      </c>
      <c r="F12" s="21" t="s">
        <v>97</v>
      </c>
    </row>
    <row r="13" spans="1:6" x14ac:dyDescent="0.35">
      <c r="A13" t="s">
        <v>99</v>
      </c>
      <c r="B13" t="s">
        <v>7</v>
      </c>
      <c r="C13" t="s">
        <v>8</v>
      </c>
      <c r="D13">
        <v>3</v>
      </c>
      <c r="E13">
        <v>2496</v>
      </c>
      <c r="F13" t="s">
        <v>9</v>
      </c>
    </row>
    <row r="14" spans="1:6" x14ac:dyDescent="0.35">
      <c r="A14" s="20" t="s">
        <v>100</v>
      </c>
      <c r="B14" s="20" t="s">
        <v>7</v>
      </c>
      <c r="C14" s="20" t="s">
        <v>12</v>
      </c>
      <c r="D14" s="20">
        <v>2</v>
      </c>
      <c r="E14" s="20">
        <v>1864</v>
      </c>
      <c r="F14" s="20" t="s">
        <v>97</v>
      </c>
    </row>
    <row r="15" spans="1:6" x14ac:dyDescent="0.35">
      <c r="A15" s="21" t="s">
        <v>110</v>
      </c>
      <c r="B15" s="21" t="s">
        <v>7</v>
      </c>
      <c r="C15" s="21" t="s">
        <v>12</v>
      </c>
      <c r="D15" s="21">
        <v>3</v>
      </c>
      <c r="E15" s="21">
        <v>1814</v>
      </c>
      <c r="F15" s="21" t="s">
        <v>97</v>
      </c>
    </row>
    <row r="16" spans="1:6" x14ac:dyDescent="0.35">
      <c r="A16" s="20" t="s">
        <v>111</v>
      </c>
      <c r="B16" s="20" t="s">
        <v>7</v>
      </c>
      <c r="C16" s="20" t="s">
        <v>12</v>
      </c>
      <c r="D16" s="20">
        <v>3</v>
      </c>
      <c r="E16" s="20">
        <v>1914</v>
      </c>
      <c r="F16" s="20" t="s">
        <v>97</v>
      </c>
    </row>
    <row r="17" spans="1:6" x14ac:dyDescent="0.35">
      <c r="A17" s="19" t="s">
        <v>112</v>
      </c>
      <c r="B17" s="19" t="s">
        <v>7</v>
      </c>
      <c r="C17" s="19" t="s">
        <v>12</v>
      </c>
      <c r="D17" s="19">
        <v>5</v>
      </c>
      <c r="E17" s="19">
        <v>1964</v>
      </c>
      <c r="F17" s="19" t="s">
        <v>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1E3CF-E152-4686-AD14-F49E07134562}">
  <dimension ref="A1:P238"/>
  <sheetViews>
    <sheetView workbookViewId="0"/>
  </sheetViews>
  <sheetFormatPr defaultRowHeight="14.5" x14ac:dyDescent="0.35"/>
  <cols>
    <col min="1" max="1" width="27" customWidth="1"/>
    <col min="2" max="2" width="14.1796875" customWidth="1"/>
    <col min="14" max="14" width="8.7265625" style="24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N1" s="24" t="s">
        <v>118</v>
      </c>
    </row>
    <row r="2" spans="1:16" s="22" customFormat="1" ht="15.5" x14ac:dyDescent="0.35">
      <c r="A2" s="22" t="s">
        <v>6</v>
      </c>
      <c r="B2" s="22" t="s">
        <v>7</v>
      </c>
      <c r="C2" s="22" t="s">
        <v>8</v>
      </c>
      <c r="D2" s="22">
        <v>3</v>
      </c>
      <c r="E2" s="22">
        <v>1896</v>
      </c>
      <c r="F2" s="22" t="s">
        <v>9</v>
      </c>
      <c r="N2" s="23" t="s">
        <v>120</v>
      </c>
      <c r="P2" s="22" t="str">
        <f>IF(COUNTIFS( $B$2:$B$970, B2, $C$2:$C$970, C2, $D$2:$D$970, D2, $E$2:$E$970, E2) &gt; 1, "Duplicate", "Unique")</f>
        <v>Unique</v>
      </c>
    </row>
    <row r="3" spans="1:16" x14ac:dyDescent="0.35">
      <c r="A3" t="s">
        <v>10</v>
      </c>
      <c r="B3" t="s">
        <v>11</v>
      </c>
      <c r="C3" t="s">
        <v>12</v>
      </c>
      <c r="D3">
        <v>1</v>
      </c>
      <c r="E3">
        <v>5010</v>
      </c>
      <c r="F3" t="s">
        <v>9</v>
      </c>
      <c r="N3"/>
      <c r="P3" s="22" t="str">
        <f>IF(COUNTIFS( $B$2:$B$970, B3, $C$2:$C$970, C3, $D$2:$D$970, D3, $E$2:$E$970, E3) &gt; 1, "Duplicate", "Unique")</f>
        <v>Unique</v>
      </c>
    </row>
    <row r="4" spans="1:16" x14ac:dyDescent="0.35">
      <c r="A4" t="s">
        <v>13</v>
      </c>
      <c r="B4" t="s">
        <v>14</v>
      </c>
      <c r="C4" t="s">
        <v>12</v>
      </c>
      <c r="D4">
        <v>5</v>
      </c>
      <c r="E4">
        <v>634</v>
      </c>
      <c r="F4" t="s">
        <v>9</v>
      </c>
      <c r="N4"/>
      <c r="P4" s="22" t="str">
        <f>IF(COUNTIFS( $B$2:$B$970, B4, $C$2:$C$970, C4, $D$2:$D$970, D4, $E$2:$E$970, E4) &gt; 1, "Duplicate", "Unique")</f>
        <v>Unique</v>
      </c>
    </row>
    <row r="5" spans="1:16" x14ac:dyDescent="0.35">
      <c r="A5" t="s">
        <v>15</v>
      </c>
      <c r="B5" t="s">
        <v>16</v>
      </c>
      <c r="C5" t="s">
        <v>12</v>
      </c>
      <c r="D5">
        <v>40</v>
      </c>
      <c r="E5">
        <v>426</v>
      </c>
      <c r="F5" t="s">
        <v>9</v>
      </c>
      <c r="N5" t="s">
        <v>125</v>
      </c>
      <c r="P5" s="22" t="str">
        <f>IF(COUNTIFS( $B$2:$B$970, B5, $C$2:$C$970, C5, $D$2:$D$970, D5, $E$2:$E$970, E5) &gt; 1, "Duplicate", "Unique")</f>
        <v>Unique</v>
      </c>
    </row>
    <row r="6" spans="1:16" x14ac:dyDescent="0.35">
      <c r="A6" t="s">
        <v>15</v>
      </c>
      <c r="B6" t="s">
        <v>16</v>
      </c>
      <c r="C6" t="s">
        <v>8</v>
      </c>
      <c r="D6">
        <v>40</v>
      </c>
      <c r="E6">
        <v>446</v>
      </c>
      <c r="F6" t="s">
        <v>9</v>
      </c>
      <c r="N6" t="s">
        <v>117</v>
      </c>
      <c r="P6" s="22" t="str">
        <f>IF(COUNTIFS( $B$2:$B$970, B6, $C$2:$C$970, C6, $D$2:$D$970, D6, $E$2:$E$970, E6) &gt; 1, "Duplicate", "Unique")</f>
        <v>Unique</v>
      </c>
    </row>
    <row r="7" spans="1:16" ht="15.5" x14ac:dyDescent="0.35">
      <c r="A7" t="s">
        <v>6</v>
      </c>
      <c r="B7" t="s">
        <v>7</v>
      </c>
      <c r="C7" t="s">
        <v>12</v>
      </c>
      <c r="D7">
        <v>2</v>
      </c>
      <c r="E7">
        <v>1664</v>
      </c>
      <c r="F7" t="s">
        <v>9</v>
      </c>
      <c r="N7" s="23" t="s">
        <v>119</v>
      </c>
      <c r="P7" s="22" t="str">
        <f>IF(COUNTIFS( $B$2:$B$970, B7, $C$2:$C$970, C7, $D$2:$D$970, D7, $E$2:$E$970, E7) &gt; 1, "Duplicate", "Unique")</f>
        <v>Unique</v>
      </c>
    </row>
    <row r="8" spans="1:16" s="21" customFormat="1" ht="15.5" x14ac:dyDescent="0.35">
      <c r="A8" s="21" t="s">
        <v>6</v>
      </c>
      <c r="B8" s="21" t="s">
        <v>7</v>
      </c>
      <c r="C8" s="21" t="s">
        <v>8</v>
      </c>
      <c r="D8" s="21">
        <v>5</v>
      </c>
      <c r="E8" s="21">
        <v>1914</v>
      </c>
      <c r="F8" s="21" t="s">
        <v>9</v>
      </c>
      <c r="N8" s="23" t="s">
        <v>120</v>
      </c>
      <c r="P8" s="22" t="str">
        <f>IF(COUNTIFS( $B$2:$B$970, B8, $C$2:$C$970, C8, $D$2:$D$970, D8, $E$2:$E$970, E8) &gt; 1, "Duplicate", "Unique")</f>
        <v>Unique</v>
      </c>
    </row>
    <row r="9" spans="1:16" x14ac:dyDescent="0.35">
      <c r="A9" t="s">
        <v>17</v>
      </c>
      <c r="B9" t="s">
        <v>18</v>
      </c>
      <c r="C9" t="s">
        <v>8</v>
      </c>
      <c r="D9">
        <v>17</v>
      </c>
      <c r="E9">
        <v>373</v>
      </c>
      <c r="F9" t="s">
        <v>9</v>
      </c>
      <c r="N9" s="24" t="s">
        <v>117</v>
      </c>
      <c r="P9" s="22" t="str">
        <f>IF(COUNTIFS( $B$2:$B$970, B9, $C$2:$C$970, C9, $D$2:$D$970, D9, $E$2:$E$970, E9) &gt; 1, "Duplicate", "Unique")</f>
        <v>Unique</v>
      </c>
    </row>
    <row r="10" spans="1:16" x14ac:dyDescent="0.35">
      <c r="A10" t="s">
        <v>17</v>
      </c>
      <c r="B10" t="s">
        <v>18</v>
      </c>
      <c r="C10" t="s">
        <v>12</v>
      </c>
      <c r="D10">
        <v>50</v>
      </c>
      <c r="E10">
        <v>348</v>
      </c>
      <c r="F10" t="s">
        <v>9</v>
      </c>
      <c r="N10" s="24" t="s">
        <v>119</v>
      </c>
      <c r="P10" s="22" t="str">
        <f>IF(COUNTIFS( $B$2:$B$970, B10, $C$2:$C$970, C10, $D$2:$D$970, D10, $E$2:$E$970, E10) &gt; 1, "Duplicate", "Unique")</f>
        <v>Unique</v>
      </c>
    </row>
    <row r="11" spans="1:16" x14ac:dyDescent="0.35">
      <c r="A11" t="s">
        <v>17</v>
      </c>
      <c r="B11" t="s">
        <v>18</v>
      </c>
      <c r="C11" t="s">
        <v>12</v>
      </c>
      <c r="D11">
        <v>50</v>
      </c>
      <c r="E11">
        <v>344</v>
      </c>
      <c r="F11" t="s">
        <v>9</v>
      </c>
      <c r="N11" s="24" t="s">
        <v>119</v>
      </c>
      <c r="P11" s="22" t="str">
        <f>IF(COUNTIFS( $B$2:$B$970, B11, $C$2:$C$970, C11, $D$2:$D$970, D11, $E$2:$E$970, E11) &gt; 1, "Duplicate", "Unique")</f>
        <v>Unique</v>
      </c>
    </row>
    <row r="12" spans="1:16" x14ac:dyDescent="0.35">
      <c r="A12" t="s">
        <v>13</v>
      </c>
      <c r="B12" t="s">
        <v>19</v>
      </c>
      <c r="C12" t="s">
        <v>8</v>
      </c>
      <c r="D12">
        <v>10</v>
      </c>
      <c r="E12">
        <v>2648</v>
      </c>
      <c r="F12" t="s">
        <v>9</v>
      </c>
      <c r="N12" s="24" t="s">
        <v>117</v>
      </c>
      <c r="P12" s="22" t="str">
        <f>IF(COUNTIFS( $B$2:$B$970, B12, $C$2:$C$970, C12, $D$2:$D$970, D12, $E$2:$E$970, E12) &gt; 1, "Duplicate", "Unique")</f>
        <v>Unique</v>
      </c>
    </row>
    <row r="13" spans="1:16" x14ac:dyDescent="0.35">
      <c r="A13" t="s">
        <v>20</v>
      </c>
      <c r="B13" t="s">
        <v>19</v>
      </c>
      <c r="C13" t="s">
        <v>8</v>
      </c>
      <c r="D13">
        <v>10</v>
      </c>
      <c r="E13">
        <v>2636</v>
      </c>
      <c r="F13" t="s">
        <v>9</v>
      </c>
      <c r="N13" s="24" t="s">
        <v>117</v>
      </c>
      <c r="P13" s="22" t="str">
        <f>IF(COUNTIFS( $B$2:$B$970, B13, $C$2:$C$970, C13, $D$2:$D$970, D13, $E$2:$E$970, E13) &gt; 1, "Duplicate", "Unique")</f>
        <v>Unique</v>
      </c>
    </row>
    <row r="14" spans="1:16" s="20" customFormat="1" ht="15.5" x14ac:dyDescent="0.35">
      <c r="A14" s="20" t="s">
        <v>6</v>
      </c>
      <c r="B14" s="20" t="s">
        <v>7</v>
      </c>
      <c r="C14" s="20" t="s">
        <v>8</v>
      </c>
      <c r="D14" s="20">
        <v>5</v>
      </c>
      <c r="E14" s="20">
        <v>2014</v>
      </c>
      <c r="F14" s="20" t="s">
        <v>9</v>
      </c>
      <c r="N14" s="23" t="s">
        <v>120</v>
      </c>
      <c r="P14" s="22" t="str">
        <f>IF(COUNTIFS( $B$2:$B$970, B14, $C$2:$C$970, C14, $D$2:$D$970, D14, $E$2:$E$970, E14) &gt; 1, "Duplicate", "Unique")</f>
        <v>Unique</v>
      </c>
    </row>
    <row r="15" spans="1:16" x14ac:dyDescent="0.35">
      <c r="A15" t="s">
        <v>10</v>
      </c>
      <c r="B15" t="s">
        <v>21</v>
      </c>
      <c r="C15" t="s">
        <v>12</v>
      </c>
      <c r="D15">
        <v>25</v>
      </c>
      <c r="E15">
        <v>326</v>
      </c>
      <c r="F15" t="s">
        <v>9</v>
      </c>
      <c r="N15" t="s">
        <v>123</v>
      </c>
      <c r="P15" s="22" t="str">
        <f>IF(COUNTIFS( $B$2:$B$970, B15, $C$2:$C$970, C15, $D$2:$D$970, D15, $E$2:$E$970, E15) &gt; 1, "Duplicate", "Unique")</f>
        <v>Unique</v>
      </c>
    </row>
    <row r="16" spans="1:16" x14ac:dyDescent="0.35">
      <c r="A16" t="s">
        <v>13</v>
      </c>
      <c r="B16" t="s">
        <v>22</v>
      </c>
      <c r="C16" t="s">
        <v>12</v>
      </c>
      <c r="D16">
        <v>10</v>
      </c>
      <c r="E16">
        <v>1666</v>
      </c>
      <c r="F16" t="s">
        <v>9</v>
      </c>
      <c r="N16"/>
      <c r="P16" s="22" t="str">
        <f>IF(COUNTIFS( $B$2:$B$970, B16, $C$2:$C$970, C16, $D$2:$D$970, D16, $E$2:$E$970, E16) &gt; 1, "Duplicate", "Unique")</f>
        <v>Unique</v>
      </c>
    </row>
    <row r="17" spans="1:16" x14ac:dyDescent="0.35">
      <c r="A17" t="s">
        <v>20</v>
      </c>
      <c r="B17" t="s">
        <v>23</v>
      </c>
      <c r="C17" t="s">
        <v>12</v>
      </c>
      <c r="D17">
        <v>100</v>
      </c>
      <c r="E17">
        <v>217</v>
      </c>
      <c r="F17" t="s">
        <v>9</v>
      </c>
      <c r="N17" t="s">
        <v>123</v>
      </c>
      <c r="P17" s="22" t="str">
        <f>IF(COUNTIFS( $B$2:$B$970, B17, $C$2:$C$970, C17, $D$2:$D$970, D17, $E$2:$E$970, E17) &gt; 1, "Duplicate", "Unique")</f>
        <v>Unique</v>
      </c>
    </row>
    <row r="18" spans="1:16" x14ac:dyDescent="0.35">
      <c r="A18" t="s">
        <v>20</v>
      </c>
      <c r="B18" t="s">
        <v>23</v>
      </c>
      <c r="C18" t="s">
        <v>12</v>
      </c>
      <c r="D18">
        <v>100</v>
      </c>
      <c r="E18">
        <v>220</v>
      </c>
      <c r="F18" t="s">
        <v>9</v>
      </c>
      <c r="N18" t="s">
        <v>123</v>
      </c>
      <c r="P18" s="22" t="str">
        <f>IF(COUNTIFS( $B$2:$B$970, B18, $C$2:$C$970, C18, $D$2:$D$970, D18, $E$2:$E$970, E18) &gt; 1, "Duplicate", "Unique")</f>
        <v>Unique</v>
      </c>
    </row>
    <row r="19" spans="1:16" ht="15.5" x14ac:dyDescent="0.35">
      <c r="A19" t="s">
        <v>17</v>
      </c>
      <c r="B19" t="s">
        <v>18</v>
      </c>
      <c r="C19" t="s">
        <v>8</v>
      </c>
      <c r="D19">
        <v>50</v>
      </c>
      <c r="E19">
        <v>361</v>
      </c>
      <c r="F19" t="s">
        <v>9</v>
      </c>
      <c r="N19" s="23" t="s">
        <v>120</v>
      </c>
      <c r="P19" s="22" t="str">
        <f>IF(COUNTIFS( $B$2:$B$970, B19, $C$2:$C$970, C19, $D$2:$D$970, D19, $E$2:$E$970, E19) &gt; 1, "Duplicate", "Unique")</f>
        <v>Unique</v>
      </c>
    </row>
    <row r="20" spans="1:16" x14ac:dyDescent="0.35">
      <c r="A20" t="s">
        <v>24</v>
      </c>
      <c r="B20" t="s">
        <v>21</v>
      </c>
      <c r="C20" t="s">
        <v>8</v>
      </c>
      <c r="D20">
        <v>25</v>
      </c>
      <c r="E20">
        <v>348</v>
      </c>
      <c r="F20" t="s">
        <v>9</v>
      </c>
      <c r="N20" t="s">
        <v>122</v>
      </c>
      <c r="P20" s="22" t="str">
        <f>IF(COUNTIFS( $B$2:$B$970, B20, $C$2:$C$970, C20, $D$2:$D$970, D20, $E$2:$E$970, E20) &gt; 1, "Duplicate", "Unique")</f>
        <v>Unique</v>
      </c>
    </row>
    <row r="21" spans="1:16" s="19" customFormat="1" ht="15.5" x14ac:dyDescent="0.35">
      <c r="A21" s="19" t="s">
        <v>6</v>
      </c>
      <c r="B21" s="19" t="s">
        <v>7</v>
      </c>
      <c r="C21" s="19" t="s">
        <v>8</v>
      </c>
      <c r="D21" s="19">
        <v>5</v>
      </c>
      <c r="E21" s="19">
        <v>2094</v>
      </c>
      <c r="F21" s="19" t="s">
        <v>9</v>
      </c>
      <c r="N21" s="23" t="s">
        <v>120</v>
      </c>
      <c r="P21" s="22" t="str">
        <f>IF(COUNTIFS( $B$2:$B$970, B21, $C$2:$C$970, C21, $D$2:$D$970, D21, $E$2:$E$970, E21) &gt; 1, "Duplicate", "Unique")</f>
        <v>Unique</v>
      </c>
    </row>
    <row r="22" spans="1:16" ht="15.5" x14ac:dyDescent="0.35">
      <c r="A22" t="s">
        <v>17</v>
      </c>
      <c r="B22" t="s">
        <v>18</v>
      </c>
      <c r="C22" t="s">
        <v>8</v>
      </c>
      <c r="D22">
        <v>50</v>
      </c>
      <c r="E22">
        <v>365</v>
      </c>
      <c r="F22" t="s">
        <v>9</v>
      </c>
      <c r="N22" s="23" t="s">
        <v>120</v>
      </c>
      <c r="P22" s="22" t="str">
        <f>IF(COUNTIFS( $B$2:$B$970, B22, $C$2:$C$970, C22, $D$2:$D$970, D22, $E$2:$E$970, E22) &gt; 1, "Duplicate", "Unique")</f>
        <v>Unique</v>
      </c>
    </row>
    <row r="23" spans="1:16" x14ac:dyDescent="0.35">
      <c r="A23" t="s">
        <v>17</v>
      </c>
      <c r="B23" t="s">
        <v>18</v>
      </c>
      <c r="C23" t="s">
        <v>12</v>
      </c>
      <c r="D23">
        <v>100</v>
      </c>
      <c r="E23">
        <v>327</v>
      </c>
      <c r="F23" t="s">
        <v>9</v>
      </c>
      <c r="N23" s="24" t="s">
        <v>121</v>
      </c>
      <c r="P23" s="22" t="str">
        <f>IF(COUNTIFS( $B$2:$B$970, B23, $C$2:$C$970, C23, $D$2:$D$970, D23, $E$2:$E$970, E23) &gt; 1, "Duplicate", "Unique")</f>
        <v>Unique</v>
      </c>
    </row>
    <row r="24" spans="1:16" x14ac:dyDescent="0.35">
      <c r="A24" t="s">
        <v>25</v>
      </c>
      <c r="B24" t="s">
        <v>26</v>
      </c>
      <c r="C24" t="s">
        <v>12</v>
      </c>
      <c r="D24">
        <v>45</v>
      </c>
      <c r="E24">
        <v>136.15</v>
      </c>
      <c r="F24" t="s">
        <v>9</v>
      </c>
      <c r="N24"/>
      <c r="P24" s="22" t="str">
        <f>IF(COUNTIFS( $B$2:$B$970, B24, $C$2:$C$970, C24, $D$2:$D$970, D24, $E$2:$E$970, E24) &gt; 1, "Duplicate", "Unique")</f>
        <v>Unique</v>
      </c>
    </row>
    <row r="25" spans="1:16" x14ac:dyDescent="0.35">
      <c r="A25" t="s">
        <v>15</v>
      </c>
      <c r="B25" t="s">
        <v>27</v>
      </c>
      <c r="C25" t="s">
        <v>12</v>
      </c>
      <c r="D25">
        <v>37</v>
      </c>
      <c r="E25">
        <v>277</v>
      </c>
      <c r="F25" t="s">
        <v>9</v>
      </c>
      <c r="N25" t="s">
        <v>121</v>
      </c>
      <c r="P25" s="22" t="str">
        <f>IF(COUNTIFS( $B$2:$B$970, B25, $C$2:$C$970, C25, $D$2:$D$970, D25, $E$2:$E$970, E25) &gt; 1, "Duplicate", "Unique")</f>
        <v>Unique</v>
      </c>
    </row>
    <row r="26" spans="1:16" x14ac:dyDescent="0.35">
      <c r="A26" t="s">
        <v>15</v>
      </c>
      <c r="B26" t="s">
        <v>28</v>
      </c>
      <c r="C26" t="s">
        <v>12</v>
      </c>
      <c r="D26">
        <v>5</v>
      </c>
      <c r="E26">
        <v>452</v>
      </c>
      <c r="F26" t="s">
        <v>9</v>
      </c>
      <c r="N26"/>
      <c r="P26" s="22" t="str">
        <f>IF(COUNTIFS( $B$2:$B$970, B26, $C$2:$C$970, C26, $D$2:$D$970, D26, $E$2:$E$970, E26) &gt; 1, "Duplicate", "Unique")</f>
        <v>Unique</v>
      </c>
    </row>
    <row r="27" spans="1:16" x14ac:dyDescent="0.35">
      <c r="A27" t="s">
        <v>29</v>
      </c>
      <c r="B27" t="s">
        <v>30</v>
      </c>
      <c r="C27" t="s">
        <v>12</v>
      </c>
      <c r="D27">
        <v>60</v>
      </c>
      <c r="E27">
        <v>271</v>
      </c>
      <c r="F27" t="s">
        <v>9</v>
      </c>
      <c r="N27"/>
      <c r="P27" s="22" t="str">
        <f>IF(COUNTIFS( $B$2:$B$970, B27, $C$2:$C$970, C27, $D$2:$D$970, D27, $E$2:$E$970, E27) &gt; 1, "Duplicate", "Unique")</f>
        <v>Unique</v>
      </c>
    </row>
    <row r="28" spans="1:16" x14ac:dyDescent="0.35">
      <c r="A28" t="s">
        <v>31</v>
      </c>
      <c r="B28" t="s">
        <v>18</v>
      </c>
      <c r="C28" t="s">
        <v>12</v>
      </c>
      <c r="D28">
        <v>100</v>
      </c>
      <c r="E28">
        <v>331</v>
      </c>
      <c r="F28" t="s">
        <v>9</v>
      </c>
      <c r="N28" s="24" t="s">
        <v>121</v>
      </c>
      <c r="P28" s="22" t="str">
        <f>IF(COUNTIFS( $B$2:$B$970, B28, $C$2:$C$970, C28, $D$2:$D$970, D28, $E$2:$E$970, E28) &gt; 1, "Duplicate", "Unique")</f>
        <v>Unique</v>
      </c>
    </row>
    <row r="29" spans="1:16" x14ac:dyDescent="0.35">
      <c r="A29" t="s">
        <v>31</v>
      </c>
      <c r="B29" t="s">
        <v>18</v>
      </c>
      <c r="C29" t="s">
        <v>12</v>
      </c>
      <c r="D29">
        <v>100</v>
      </c>
      <c r="E29">
        <v>335</v>
      </c>
      <c r="F29" t="s">
        <v>9</v>
      </c>
      <c r="N29" s="24" t="s">
        <v>121</v>
      </c>
      <c r="P29" s="22" t="str">
        <f>IF(COUNTIFS( $B$2:$B$970, B29, $C$2:$C$970, C29, $D$2:$D$970, D29, $E$2:$E$970, E29) &gt; 1, "Duplicate", "Unique")</f>
        <v>Unique</v>
      </c>
    </row>
    <row r="30" spans="1:16" x14ac:dyDescent="0.35">
      <c r="A30" t="s">
        <v>20</v>
      </c>
      <c r="B30" t="s">
        <v>19</v>
      </c>
      <c r="C30" t="s">
        <v>12</v>
      </c>
      <c r="D30">
        <v>5</v>
      </c>
      <c r="E30">
        <v>2510</v>
      </c>
      <c r="F30" t="s">
        <v>9</v>
      </c>
      <c r="N30" t="s">
        <v>123</v>
      </c>
      <c r="P30" s="22" t="str">
        <f>IF(COUNTIFS( $B$2:$B$970, B30, $C$2:$C$970, C30, $D$2:$D$970, D30, $E$2:$E$970, E30) &gt; 1, "Duplicate", "Unique")</f>
        <v>Unique</v>
      </c>
    </row>
    <row r="31" spans="1:16" x14ac:dyDescent="0.35">
      <c r="A31" t="s">
        <v>31</v>
      </c>
      <c r="B31" t="s">
        <v>18</v>
      </c>
      <c r="C31" t="s">
        <v>12</v>
      </c>
      <c r="D31">
        <v>100</v>
      </c>
      <c r="E31">
        <v>337</v>
      </c>
      <c r="F31" t="s">
        <v>9</v>
      </c>
      <c r="N31" s="24" t="s">
        <v>121</v>
      </c>
      <c r="P31" s="22" t="str">
        <f>IF(COUNTIFS( $B$2:$B$970, B31, $C$2:$C$970, C31, $D$2:$D$970, D31, $E$2:$E$970, E31) &gt; 1, "Duplicate", "Unique")</f>
        <v>Unique</v>
      </c>
    </row>
    <row r="32" spans="1:16" x14ac:dyDescent="0.35">
      <c r="A32" t="s">
        <v>31</v>
      </c>
      <c r="B32" t="s">
        <v>32</v>
      </c>
      <c r="C32" t="s">
        <v>12</v>
      </c>
      <c r="D32">
        <v>5</v>
      </c>
      <c r="E32">
        <v>660</v>
      </c>
      <c r="F32" t="s">
        <v>9</v>
      </c>
      <c r="N32"/>
      <c r="P32" s="22" t="str">
        <f>IF(COUNTIFS( $B$2:$B$970, B32, $C$2:$C$970, C32, $D$2:$D$970, D32, $E$2:$E$970, E32) &gt; 1, "Duplicate", "Unique")</f>
        <v>Unique</v>
      </c>
    </row>
    <row r="33" spans="1:16" x14ac:dyDescent="0.35">
      <c r="A33" t="s">
        <v>10</v>
      </c>
      <c r="B33" t="s">
        <v>33</v>
      </c>
      <c r="C33" t="s">
        <v>12</v>
      </c>
      <c r="D33">
        <v>50</v>
      </c>
      <c r="E33">
        <v>122</v>
      </c>
      <c r="F33" t="s">
        <v>9</v>
      </c>
      <c r="N33"/>
      <c r="P33" s="22" t="str">
        <f>IF(COUNTIFS( $B$2:$B$970, B33, $C$2:$C$970, C33, $D$2:$D$970, D33, $E$2:$E$970, E33) &gt; 1, "Duplicate", "Unique")</f>
        <v>Unique</v>
      </c>
    </row>
    <row r="34" spans="1:16" x14ac:dyDescent="0.35">
      <c r="A34" t="s">
        <v>34</v>
      </c>
      <c r="B34" t="s">
        <v>35</v>
      </c>
      <c r="C34" t="s">
        <v>12</v>
      </c>
      <c r="D34">
        <v>50</v>
      </c>
      <c r="E34">
        <v>203.5</v>
      </c>
      <c r="F34" t="s">
        <v>9</v>
      </c>
      <c r="N34"/>
      <c r="P34" s="22" t="str">
        <f>IF(COUNTIFS( $B$2:$B$970, B34, $C$2:$C$970, C34, $D$2:$D$970, D34, $E$2:$E$970, E34) &gt; 1, "Duplicate", "Unique")</f>
        <v>Unique</v>
      </c>
    </row>
    <row r="35" spans="1:16" x14ac:dyDescent="0.35">
      <c r="A35" t="s">
        <v>20</v>
      </c>
      <c r="B35" t="s">
        <v>19</v>
      </c>
      <c r="C35" t="s">
        <v>12</v>
      </c>
      <c r="D35">
        <v>10</v>
      </c>
      <c r="E35">
        <v>2553</v>
      </c>
      <c r="F35" t="s">
        <v>9</v>
      </c>
      <c r="N35" t="s">
        <v>125</v>
      </c>
      <c r="P35" s="22" t="str">
        <f>IF(COUNTIFS( $B$2:$B$970, B35, $C$2:$C$970, C35, $D$2:$D$970, D35, $E$2:$E$970, E35) &gt; 1, "Duplicate", "Unique")</f>
        <v>Unique</v>
      </c>
    </row>
    <row r="36" spans="1:16" x14ac:dyDescent="0.35">
      <c r="A36" t="s">
        <v>15</v>
      </c>
      <c r="B36" t="s">
        <v>36</v>
      </c>
      <c r="C36" t="s">
        <v>12</v>
      </c>
      <c r="D36">
        <v>20</v>
      </c>
      <c r="E36">
        <v>276</v>
      </c>
      <c r="F36" t="s">
        <v>9</v>
      </c>
      <c r="N36"/>
      <c r="P36" s="22" t="str">
        <f>IF(COUNTIFS( $B$2:$B$970, B36, $C$2:$C$970, C36, $D$2:$D$970, D36, $E$2:$E$970, E36) &gt; 1, "Duplicate", "Unique")</f>
        <v>Unique</v>
      </c>
    </row>
    <row r="37" spans="1:16" x14ac:dyDescent="0.35">
      <c r="A37" t="s">
        <v>15</v>
      </c>
      <c r="B37" t="s">
        <v>37</v>
      </c>
      <c r="C37" t="s">
        <v>12</v>
      </c>
      <c r="D37">
        <v>5</v>
      </c>
      <c r="E37">
        <v>916</v>
      </c>
      <c r="F37" t="s">
        <v>9</v>
      </c>
      <c r="N37"/>
      <c r="P37" s="22" t="str">
        <f>IF(COUNTIFS( $B$2:$B$970, B37, $C$2:$C$970, C37, $D$2:$D$970, D37, $E$2:$E$970, E37) &gt; 1, "Duplicate", "Unique")</f>
        <v>Unique</v>
      </c>
    </row>
    <row r="38" spans="1:16" x14ac:dyDescent="0.35">
      <c r="A38" t="s">
        <v>17</v>
      </c>
      <c r="B38" t="s">
        <v>18</v>
      </c>
      <c r="C38" t="s">
        <v>12</v>
      </c>
      <c r="D38">
        <v>100</v>
      </c>
      <c r="E38">
        <v>341</v>
      </c>
      <c r="F38" t="s">
        <v>9</v>
      </c>
      <c r="N38" s="24" t="s">
        <v>121</v>
      </c>
      <c r="P38" s="22" t="str">
        <f>IF(COUNTIFS( $B$2:$B$970, B38, $C$2:$C$970, C38, $D$2:$D$970, D38, $E$2:$E$970, E38) &gt; 1, "Duplicate", "Unique")</f>
        <v>Unique</v>
      </c>
    </row>
    <row r="39" spans="1:16" x14ac:dyDescent="0.35">
      <c r="A39" t="s">
        <v>20</v>
      </c>
      <c r="B39" t="s">
        <v>19</v>
      </c>
      <c r="C39" t="s">
        <v>12</v>
      </c>
      <c r="D39">
        <v>10</v>
      </c>
      <c r="E39">
        <v>2578</v>
      </c>
      <c r="F39" t="s">
        <v>9</v>
      </c>
      <c r="N39" t="s">
        <v>123</v>
      </c>
      <c r="P39" s="22" t="str">
        <f>IF(COUNTIFS( $B$2:$B$970, B39, $C$2:$C$970, C39, $D$2:$D$970, D39, $E$2:$E$970, E39) &gt; 1, "Duplicate", "Unique")</f>
        <v>Unique</v>
      </c>
    </row>
    <row r="40" spans="1:16" ht="15.5" x14ac:dyDescent="0.35">
      <c r="A40" t="s">
        <v>6</v>
      </c>
      <c r="B40" t="s">
        <v>7</v>
      </c>
      <c r="C40" t="s">
        <v>8</v>
      </c>
      <c r="D40">
        <v>20</v>
      </c>
      <c r="E40">
        <v>2310</v>
      </c>
      <c r="F40" t="s">
        <v>9</v>
      </c>
      <c r="N40" s="23" t="s">
        <v>120</v>
      </c>
      <c r="P40" s="22" t="str">
        <f>IF(COUNTIFS( $B$2:$B$970, B40, $C$2:$C$970, C40, $D$2:$D$970, D40, $E$2:$E$970, E40) &gt; 1, "Duplicate", "Unique")</f>
        <v>Unique</v>
      </c>
    </row>
    <row r="41" spans="1:16" ht="15.5" x14ac:dyDescent="0.35">
      <c r="A41" t="s">
        <v>6</v>
      </c>
      <c r="B41" t="s">
        <v>7</v>
      </c>
      <c r="C41" t="s">
        <v>8</v>
      </c>
      <c r="D41">
        <v>10</v>
      </c>
      <c r="E41">
        <v>2189</v>
      </c>
      <c r="F41" t="s">
        <v>9</v>
      </c>
      <c r="N41" s="23" t="s">
        <v>120</v>
      </c>
      <c r="P41" s="22" t="str">
        <f>IF(COUNTIFS( $B$2:$B$970, B41, $C$2:$C$970, C41, $D$2:$D$970, D41, $E$2:$E$970, E41) &gt; 1, "Duplicate", "Unique")</f>
        <v>Unique</v>
      </c>
    </row>
    <row r="42" spans="1:16" x14ac:dyDescent="0.35">
      <c r="A42" t="s">
        <v>15</v>
      </c>
      <c r="B42" t="s">
        <v>36</v>
      </c>
      <c r="C42" t="s">
        <v>8</v>
      </c>
      <c r="D42">
        <v>120</v>
      </c>
      <c r="E42">
        <v>300.5</v>
      </c>
      <c r="F42" t="s">
        <v>9</v>
      </c>
      <c r="N42"/>
      <c r="P42" s="22" t="str">
        <f>IF(COUNTIFS( $B$2:$B$970, B42, $C$2:$C$970, C42, $D$2:$D$970, D42, $E$2:$E$970, E42) &gt; 1, "Duplicate", "Unique")</f>
        <v>Unique</v>
      </c>
    </row>
    <row r="43" spans="1:16" x14ac:dyDescent="0.35">
      <c r="A43" t="s">
        <v>15</v>
      </c>
      <c r="B43" t="s">
        <v>27</v>
      </c>
      <c r="C43" t="s">
        <v>8</v>
      </c>
      <c r="D43">
        <v>50</v>
      </c>
      <c r="E43">
        <v>305</v>
      </c>
      <c r="F43" t="s">
        <v>9</v>
      </c>
      <c r="N43" t="s">
        <v>124</v>
      </c>
      <c r="P43" s="22" t="str">
        <f>IF(COUNTIFS( $B$2:$B$970, B43, $C$2:$C$970, C43, $D$2:$D$970, D43, $E$2:$E$970, E43) &gt; 1, "Duplicate", "Unique")</f>
        <v>Unique</v>
      </c>
    </row>
    <row r="44" spans="1:16" x14ac:dyDescent="0.35">
      <c r="A44" t="s">
        <v>31</v>
      </c>
      <c r="B44" t="s">
        <v>38</v>
      </c>
      <c r="C44" t="s">
        <v>8</v>
      </c>
      <c r="D44">
        <v>30</v>
      </c>
      <c r="E44">
        <v>930</v>
      </c>
      <c r="F44" t="s">
        <v>9</v>
      </c>
      <c r="N44"/>
      <c r="P44" s="22" t="str">
        <f>IF(COUNTIFS( $B$2:$B$970, B44, $C$2:$C$970, C44, $D$2:$D$970, D44, $E$2:$E$970, E44) &gt; 1, "Duplicate", "Unique")</f>
        <v>Unique</v>
      </c>
    </row>
    <row r="45" spans="1:16" x14ac:dyDescent="0.35">
      <c r="A45" t="s">
        <v>24</v>
      </c>
      <c r="B45" t="s">
        <v>21</v>
      </c>
      <c r="C45" t="s">
        <v>8</v>
      </c>
      <c r="D45">
        <v>25</v>
      </c>
      <c r="E45">
        <v>360</v>
      </c>
      <c r="F45" t="s">
        <v>9</v>
      </c>
      <c r="N45" t="s">
        <v>122</v>
      </c>
      <c r="P45" s="22" t="str">
        <f>IF(COUNTIFS( $B$2:$B$970, B45, $C$2:$C$970, C45, $D$2:$D$970, D45, $E$2:$E$970, E45) &gt; 1, "Duplicate", "Unique")</f>
        <v>Unique</v>
      </c>
    </row>
    <row r="46" spans="1:16" x14ac:dyDescent="0.35">
      <c r="A46" t="s">
        <v>34</v>
      </c>
      <c r="B46" t="s">
        <v>39</v>
      </c>
      <c r="C46" t="s">
        <v>8</v>
      </c>
      <c r="D46">
        <v>25</v>
      </c>
      <c r="E46">
        <v>199.9</v>
      </c>
      <c r="F46" t="s">
        <v>9</v>
      </c>
      <c r="N46"/>
      <c r="P46" s="22" t="str">
        <f>IF(COUNTIFS( $B$2:$B$970, B46, $C$2:$C$970, C46, $D$2:$D$970, D46, $E$2:$E$970, E46) &gt; 1, "Duplicate", "Unique")</f>
        <v>Unique</v>
      </c>
    </row>
    <row r="47" spans="1:16" x14ac:dyDescent="0.35">
      <c r="A47" t="s">
        <v>15</v>
      </c>
      <c r="B47" t="s">
        <v>16</v>
      </c>
      <c r="C47" t="s">
        <v>8</v>
      </c>
      <c r="D47">
        <v>5</v>
      </c>
      <c r="E47">
        <v>467.25</v>
      </c>
      <c r="F47" t="s">
        <v>9</v>
      </c>
      <c r="N47" t="s">
        <v>124</v>
      </c>
      <c r="P47" s="22" t="str">
        <f>IF(COUNTIFS( $B$2:$B$970, B47, $C$2:$C$970, C47, $D$2:$D$970, D47, $E$2:$E$970, E47) &gt; 1, "Duplicate", "Unique")</f>
        <v>Unique</v>
      </c>
    </row>
    <row r="48" spans="1:16" x14ac:dyDescent="0.35">
      <c r="A48" t="s">
        <v>34</v>
      </c>
      <c r="B48" t="s">
        <v>35</v>
      </c>
      <c r="C48" t="s">
        <v>8</v>
      </c>
      <c r="D48">
        <v>65</v>
      </c>
      <c r="E48">
        <v>219</v>
      </c>
      <c r="F48" t="s">
        <v>9</v>
      </c>
      <c r="N48"/>
      <c r="P48" s="22" t="str">
        <f>IF(COUNTIFS( $B$2:$B$970, B48, $C$2:$C$970, C48, $D$2:$D$970, D48, $E$2:$E$970, E48) &gt; 1, "Duplicate", "Unique")</f>
        <v>Unique</v>
      </c>
    </row>
    <row r="49" spans="1:16" x14ac:dyDescent="0.35">
      <c r="A49" t="s">
        <v>15</v>
      </c>
      <c r="B49" t="s">
        <v>36</v>
      </c>
      <c r="C49" t="s">
        <v>8</v>
      </c>
      <c r="D49">
        <v>30</v>
      </c>
      <c r="E49">
        <v>294</v>
      </c>
      <c r="F49" t="s">
        <v>9</v>
      </c>
      <c r="N49"/>
      <c r="P49" s="22" t="str">
        <f>IF(COUNTIFS( $B$2:$B$970, B49, $C$2:$C$970, C49, $D$2:$D$970, D49, $E$2:$E$970, E49) &gt; 1, "Duplicate", "Unique")</f>
        <v>Unique</v>
      </c>
    </row>
    <row r="50" spans="1:16" x14ac:dyDescent="0.35">
      <c r="A50" t="s">
        <v>20</v>
      </c>
      <c r="B50" t="s">
        <v>40</v>
      </c>
      <c r="C50" t="s">
        <v>8</v>
      </c>
      <c r="D50">
        <v>150</v>
      </c>
      <c r="E50">
        <v>130</v>
      </c>
      <c r="F50" t="s">
        <v>9</v>
      </c>
      <c r="N50"/>
      <c r="P50" s="22" t="str">
        <f>IF(COUNTIFS( $B$2:$B$970, B50, $C$2:$C$970, C50, $D$2:$D$970, D50, $E$2:$E$970, E50) &gt; 1, "Duplicate", "Unique")</f>
        <v>Unique</v>
      </c>
    </row>
    <row r="51" spans="1:16" x14ac:dyDescent="0.35">
      <c r="A51" t="s">
        <v>15</v>
      </c>
      <c r="B51" t="s">
        <v>36</v>
      </c>
      <c r="C51" t="s">
        <v>8</v>
      </c>
      <c r="D51">
        <v>50</v>
      </c>
      <c r="E51">
        <v>293</v>
      </c>
      <c r="F51" t="s">
        <v>9</v>
      </c>
      <c r="N51"/>
      <c r="P51" s="22" t="str">
        <f>IF(COUNTIFS( $B$2:$B$970, B51, $C$2:$C$970, C51, $D$2:$D$970, D51, $E$2:$E$970, E51) &gt; 1, "Duplicate", "Unique")</f>
        <v>Unique</v>
      </c>
    </row>
    <row r="52" spans="1:16" ht="15.5" x14ac:dyDescent="0.35">
      <c r="A52" t="s">
        <v>6</v>
      </c>
      <c r="B52" t="s">
        <v>7</v>
      </c>
      <c r="C52" t="s">
        <v>8</v>
      </c>
      <c r="D52">
        <v>10</v>
      </c>
      <c r="E52">
        <v>2114</v>
      </c>
      <c r="F52" t="s">
        <v>9</v>
      </c>
      <c r="N52" s="23" t="s">
        <v>120</v>
      </c>
      <c r="P52" s="22" t="str">
        <f>IF(COUNTIFS( $B$2:$B$970, B52, $C$2:$C$970, C52, $D$2:$D$970, D52, $E$2:$E$970, E52) &gt; 1, "Duplicate", "Unique")</f>
        <v>Unique</v>
      </c>
    </row>
    <row r="53" spans="1:16" x14ac:dyDescent="0.35">
      <c r="A53" t="s">
        <v>13</v>
      </c>
      <c r="B53" t="s">
        <v>19</v>
      </c>
      <c r="C53" t="s">
        <v>8</v>
      </c>
      <c r="D53">
        <v>10</v>
      </c>
      <c r="E53">
        <v>2696</v>
      </c>
      <c r="F53" t="s">
        <v>9</v>
      </c>
      <c r="N53" t="s">
        <v>122</v>
      </c>
      <c r="P53" s="22" t="str">
        <f>IF(COUNTIFS( $B$2:$B$970, B53, $C$2:$C$970, C53, $D$2:$D$970, D53, $E$2:$E$970, E53) &gt; 1, "Duplicate", "Unique")</f>
        <v>Unique</v>
      </c>
    </row>
    <row r="54" spans="1:16" x14ac:dyDescent="0.35">
      <c r="A54" t="s">
        <v>13</v>
      </c>
      <c r="B54" t="s">
        <v>23</v>
      </c>
      <c r="C54" t="s">
        <v>8</v>
      </c>
      <c r="D54">
        <v>50</v>
      </c>
      <c r="E54">
        <v>228</v>
      </c>
      <c r="F54" t="s">
        <v>9</v>
      </c>
      <c r="N54" t="s">
        <v>124</v>
      </c>
      <c r="P54" s="22" t="str">
        <f>IF(COUNTIFS( $B$2:$B$970, B54, $C$2:$C$970, C54, $D$2:$D$970, D54, $E$2:$E$970, E54) &gt; 1, "Duplicate", "Unique")</f>
        <v>Unique</v>
      </c>
    </row>
    <row r="55" spans="1:16" x14ac:dyDescent="0.35">
      <c r="A55" t="s">
        <v>34</v>
      </c>
      <c r="B55" t="s">
        <v>35</v>
      </c>
      <c r="C55" t="s">
        <v>8</v>
      </c>
      <c r="D55">
        <v>50</v>
      </c>
      <c r="E55">
        <v>214</v>
      </c>
      <c r="F55" t="s">
        <v>9</v>
      </c>
      <c r="N55"/>
      <c r="P55" s="22" t="str">
        <f>IF(COUNTIFS( $B$2:$B$970, B55, $C$2:$C$970, C55, $D$2:$D$970, D55, $E$2:$E$970, E55) &gt; 1, "Duplicate", "Unique")</f>
        <v>Unique</v>
      </c>
    </row>
    <row r="56" spans="1:16" x14ac:dyDescent="0.35">
      <c r="A56" t="s">
        <v>20</v>
      </c>
      <c r="B56" t="s">
        <v>19</v>
      </c>
      <c r="C56" t="s">
        <v>8</v>
      </c>
      <c r="D56">
        <v>10</v>
      </c>
      <c r="E56">
        <v>2672</v>
      </c>
      <c r="F56" t="s">
        <v>9</v>
      </c>
      <c r="N56" t="s">
        <v>122</v>
      </c>
      <c r="P56" s="22" t="str">
        <f>IF(COUNTIFS( $B$2:$B$970, B56, $C$2:$C$970, C56, $D$2:$D$970, D56, $E$2:$E$970, E56) &gt; 1, "Duplicate", "Unique")</f>
        <v>Unique</v>
      </c>
    </row>
    <row r="57" spans="1:16" x14ac:dyDescent="0.35">
      <c r="A57" t="s">
        <v>41</v>
      </c>
      <c r="B57" t="s">
        <v>42</v>
      </c>
      <c r="C57" t="s">
        <v>8</v>
      </c>
      <c r="D57">
        <v>10</v>
      </c>
      <c r="E57">
        <v>1510</v>
      </c>
      <c r="F57" t="s">
        <v>9</v>
      </c>
      <c r="N57"/>
      <c r="P57" s="22" t="str">
        <f>IF(COUNTIFS( $B$2:$B$970, B57, $C$2:$C$970, C57, $D$2:$D$970, D57, $E$2:$E$970, E57) &gt; 1, "Duplicate", "Unique")</f>
        <v>Unique</v>
      </c>
    </row>
    <row r="58" spans="1:16" x14ac:dyDescent="0.35">
      <c r="A58" t="s">
        <v>43</v>
      </c>
      <c r="B58" t="s">
        <v>44</v>
      </c>
      <c r="C58" t="s">
        <v>8</v>
      </c>
      <c r="D58">
        <v>10</v>
      </c>
      <c r="E58">
        <v>997</v>
      </c>
      <c r="F58" t="s">
        <v>9</v>
      </c>
      <c r="N58"/>
      <c r="P58" s="22" t="str">
        <f>IF(COUNTIFS( $B$2:$B$970, B58, $C$2:$C$970, C58, $D$2:$D$970, D58, $E$2:$E$970, E58) &gt; 1, "Duplicate", "Unique")</f>
        <v>Unique</v>
      </c>
    </row>
    <row r="59" spans="1:16" x14ac:dyDescent="0.35">
      <c r="A59" t="s">
        <v>45</v>
      </c>
      <c r="B59" t="s">
        <v>44</v>
      </c>
      <c r="C59" t="s">
        <v>12</v>
      </c>
      <c r="D59">
        <v>10</v>
      </c>
      <c r="E59">
        <v>937</v>
      </c>
      <c r="F59" t="s">
        <v>9</v>
      </c>
      <c r="N59"/>
      <c r="P59" s="22" t="str">
        <f>IF(COUNTIFS( $B$2:$B$970, B59, $C$2:$C$970, C59, $D$2:$D$970, D59, $E$2:$E$970, E59) &gt; 1, "Duplicate", "Unique")</f>
        <v>Unique</v>
      </c>
    </row>
    <row r="60" spans="1:16" x14ac:dyDescent="0.35">
      <c r="A60" t="s">
        <v>45</v>
      </c>
      <c r="B60" t="s">
        <v>44</v>
      </c>
      <c r="C60" t="s">
        <v>12</v>
      </c>
      <c r="D60">
        <v>10</v>
      </c>
      <c r="E60">
        <v>927</v>
      </c>
      <c r="F60" t="s">
        <v>9</v>
      </c>
      <c r="N60"/>
      <c r="P60" s="22" t="str">
        <f>IF(COUNTIFS( $B$2:$B$970, B60, $C$2:$C$970, C60, $D$2:$D$970, D60, $E$2:$E$970, E60) &gt; 1, "Duplicate", "Unique")</f>
        <v>Unique</v>
      </c>
    </row>
    <row r="61" spans="1:16" x14ac:dyDescent="0.35">
      <c r="A61" t="s">
        <v>46</v>
      </c>
      <c r="B61" t="s">
        <v>47</v>
      </c>
      <c r="C61" t="s">
        <v>12</v>
      </c>
      <c r="D61">
        <v>2</v>
      </c>
      <c r="E61">
        <v>3210</v>
      </c>
      <c r="F61" t="s">
        <v>9</v>
      </c>
      <c r="N61" t="s">
        <v>123</v>
      </c>
      <c r="P61" s="22" t="str">
        <f>IF(COUNTIFS( $B$2:$B$970, B61, $C$2:$C$970, C61, $D$2:$D$970, D61, $E$2:$E$970, E61) &gt; 1, "Duplicate", "Unique")</f>
        <v>Unique</v>
      </c>
    </row>
    <row r="62" spans="1:16" ht="15.5" x14ac:dyDescent="0.35">
      <c r="A62" t="s">
        <v>48</v>
      </c>
      <c r="B62" t="s">
        <v>49</v>
      </c>
      <c r="C62" t="s">
        <v>8</v>
      </c>
      <c r="D62">
        <v>200</v>
      </c>
      <c r="E62">
        <v>89.3</v>
      </c>
      <c r="F62" t="s">
        <v>9</v>
      </c>
      <c r="N62" s="23" t="s">
        <v>120</v>
      </c>
      <c r="P62" s="22" t="str">
        <f>IF(COUNTIFS( $B$2:$B$970, B62, $C$2:$C$970, C62, $D$2:$D$970, D62, $E$2:$E$970, E62) &gt; 1, "Duplicate", "Unique")</f>
        <v>Unique</v>
      </c>
    </row>
    <row r="63" spans="1:16" ht="15.5" x14ac:dyDescent="0.35">
      <c r="A63" t="s">
        <v>46</v>
      </c>
      <c r="B63" t="s">
        <v>47</v>
      </c>
      <c r="C63" t="s">
        <v>8</v>
      </c>
      <c r="D63">
        <v>5</v>
      </c>
      <c r="E63">
        <v>3482</v>
      </c>
      <c r="F63" t="s">
        <v>9</v>
      </c>
      <c r="N63" s="23" t="s">
        <v>120</v>
      </c>
      <c r="P63" s="22" t="str">
        <f>IF(COUNTIFS( $B$2:$B$970, B63, $C$2:$C$970, C63, $D$2:$D$970, D63, $E$2:$E$970, E63) &gt; 1, "Duplicate", "Unique")</f>
        <v>Unique</v>
      </c>
    </row>
    <row r="64" spans="1:16" x14ac:dyDescent="0.35">
      <c r="A64" t="s">
        <v>50</v>
      </c>
      <c r="B64" t="s">
        <v>51</v>
      </c>
      <c r="C64" t="s">
        <v>8</v>
      </c>
      <c r="D64">
        <v>10</v>
      </c>
      <c r="E64">
        <v>1479</v>
      </c>
      <c r="F64" t="s">
        <v>9</v>
      </c>
      <c r="N64" t="s">
        <v>120</v>
      </c>
      <c r="P64" s="22" t="str">
        <f>IF(COUNTIFS( $B$2:$B$970, B64, $C$2:$C$970, C64, $D$2:$D$970, D64, $E$2:$E$970, E64) &gt; 1, "Duplicate", "Unique")</f>
        <v>Unique</v>
      </c>
    </row>
    <row r="65" spans="1:16" x14ac:dyDescent="0.35">
      <c r="A65" t="s">
        <v>41</v>
      </c>
      <c r="B65" t="s">
        <v>52</v>
      </c>
      <c r="C65" t="s">
        <v>12</v>
      </c>
      <c r="D65">
        <v>20</v>
      </c>
      <c r="E65">
        <v>861</v>
      </c>
      <c r="F65" t="s">
        <v>9</v>
      </c>
      <c r="N65" t="s">
        <v>125</v>
      </c>
      <c r="P65" s="22" t="str">
        <f>IF(COUNTIFS( $B$2:$B$970, B65, $C$2:$C$970, C65, $D$2:$D$970, D65, $E$2:$E$970, E65) &gt; 1, "Duplicate", "Unique")</f>
        <v>Unique</v>
      </c>
    </row>
    <row r="66" spans="1:16" x14ac:dyDescent="0.35">
      <c r="A66" t="s">
        <v>43</v>
      </c>
      <c r="B66" t="s">
        <v>42</v>
      </c>
      <c r="C66" t="s">
        <v>12</v>
      </c>
      <c r="D66">
        <v>10</v>
      </c>
      <c r="E66">
        <v>1440</v>
      </c>
      <c r="F66" t="s">
        <v>9</v>
      </c>
      <c r="N66"/>
      <c r="P66" s="22" t="str">
        <f>IF(COUNTIFS( $B$2:$B$970, B66, $C$2:$C$970, C66, $D$2:$D$970, D66, $E$2:$E$970, E66) &gt; 1, "Duplicate", "Unique")</f>
        <v>Unique</v>
      </c>
    </row>
    <row r="67" spans="1:16" x14ac:dyDescent="0.35">
      <c r="A67" t="s">
        <v>50</v>
      </c>
      <c r="B67" t="s">
        <v>53</v>
      </c>
      <c r="C67" t="s">
        <v>12</v>
      </c>
      <c r="D67">
        <v>1</v>
      </c>
      <c r="E67">
        <v>4640</v>
      </c>
      <c r="F67" t="s">
        <v>9</v>
      </c>
      <c r="N67"/>
      <c r="P67" s="22" t="str">
        <f>IF(COUNTIFS( $B$2:$B$970, B67, $C$2:$C$970, C67, $D$2:$D$970, D67, $E$2:$E$970, E67) &gt; 1, "Duplicate", "Unique")</f>
        <v>Unique</v>
      </c>
    </row>
    <row r="68" spans="1:16" x14ac:dyDescent="0.35">
      <c r="A68" t="s">
        <v>50</v>
      </c>
      <c r="B68" t="s">
        <v>54</v>
      </c>
      <c r="C68" t="s">
        <v>12</v>
      </c>
      <c r="D68">
        <v>7</v>
      </c>
      <c r="E68">
        <v>2401</v>
      </c>
      <c r="F68" t="s">
        <v>9</v>
      </c>
      <c r="N68"/>
      <c r="P68" s="22" t="str">
        <f>IF(COUNTIFS( $B$2:$B$970, B68, $C$2:$C$970, C68, $D$2:$D$970, D68, $E$2:$E$970, E68) &gt; 1, "Duplicate", "Unique")</f>
        <v>Unique</v>
      </c>
    </row>
    <row r="69" spans="1:16" x14ac:dyDescent="0.35">
      <c r="A69" t="s">
        <v>50</v>
      </c>
      <c r="B69" t="s">
        <v>51</v>
      </c>
      <c r="C69" t="s">
        <v>12</v>
      </c>
      <c r="D69">
        <v>10</v>
      </c>
      <c r="E69">
        <v>1303</v>
      </c>
      <c r="F69" t="s">
        <v>9</v>
      </c>
      <c r="N69" t="s">
        <v>125</v>
      </c>
      <c r="P69" s="22" t="str">
        <f>IF(COUNTIFS( $B$2:$B$970, B69, $C$2:$C$970, C69, $D$2:$D$970, D69, $E$2:$E$970, E69) &gt; 1, "Duplicate", "Unique")</f>
        <v>Unique</v>
      </c>
    </row>
    <row r="70" spans="1:16" x14ac:dyDescent="0.35">
      <c r="A70" t="s">
        <v>55</v>
      </c>
      <c r="B70" t="s">
        <v>56</v>
      </c>
      <c r="C70" t="s">
        <v>12</v>
      </c>
      <c r="D70">
        <v>10</v>
      </c>
      <c r="E70">
        <v>1166</v>
      </c>
      <c r="F70" t="s">
        <v>9</v>
      </c>
      <c r="N70"/>
      <c r="P70" s="22" t="str">
        <f>IF(COUNTIFS( $B$2:$B$970, B70, $C$2:$C$970, C70, $D$2:$D$970, D70, $E$2:$E$970, E70) &gt; 1, "Duplicate", "Unique")</f>
        <v>Unique</v>
      </c>
    </row>
    <row r="71" spans="1:16" x14ac:dyDescent="0.35">
      <c r="A71" t="s">
        <v>41</v>
      </c>
      <c r="B71" t="s">
        <v>42</v>
      </c>
      <c r="C71" t="s">
        <v>12</v>
      </c>
      <c r="D71">
        <v>10</v>
      </c>
      <c r="E71">
        <v>1410</v>
      </c>
      <c r="F71" t="s">
        <v>9</v>
      </c>
      <c r="N71"/>
      <c r="P71" s="22" t="str">
        <f>IF(COUNTIFS( $B$2:$B$970, B71, $C$2:$C$970, C71, $D$2:$D$970, D71, $E$2:$E$970, E71) &gt; 1, "Duplicate", "Unique")</f>
        <v>Unique</v>
      </c>
    </row>
    <row r="72" spans="1:16" x14ac:dyDescent="0.35">
      <c r="A72" t="s">
        <v>57</v>
      </c>
      <c r="B72" t="s">
        <v>58</v>
      </c>
      <c r="C72" t="s">
        <v>12</v>
      </c>
      <c r="D72">
        <v>100</v>
      </c>
      <c r="E72">
        <v>390</v>
      </c>
      <c r="F72" t="s">
        <v>9</v>
      </c>
      <c r="N72"/>
      <c r="P72" s="22" t="str">
        <f>IF(COUNTIFS( $B$2:$B$970, B72, $C$2:$C$970, C72, $D$2:$D$970, D72, $E$2:$E$970, E72) &gt; 1, "Duplicate", "Unique")</f>
        <v>Unique</v>
      </c>
    </row>
    <row r="73" spans="1:16" x14ac:dyDescent="0.35">
      <c r="A73" t="s">
        <v>59</v>
      </c>
      <c r="B73" t="s">
        <v>42</v>
      </c>
      <c r="C73" t="s">
        <v>12</v>
      </c>
      <c r="D73">
        <v>10</v>
      </c>
      <c r="E73">
        <v>1420</v>
      </c>
      <c r="F73" t="s">
        <v>9</v>
      </c>
      <c r="N73"/>
      <c r="P73" s="22" t="str">
        <f>IF(COUNTIFS( $B$2:$B$970, B73, $C$2:$C$970, C73, $D$2:$D$970, D73, $E$2:$E$970, E73) &gt; 1, "Duplicate", "Unique")</f>
        <v>Unique</v>
      </c>
    </row>
    <row r="74" spans="1:16" x14ac:dyDescent="0.35">
      <c r="A74" t="s">
        <v>45</v>
      </c>
      <c r="B74" t="s">
        <v>44</v>
      </c>
      <c r="C74" t="s">
        <v>12</v>
      </c>
      <c r="D74">
        <v>40</v>
      </c>
      <c r="E74">
        <v>897</v>
      </c>
      <c r="F74" t="s">
        <v>9</v>
      </c>
      <c r="N74"/>
      <c r="P74" s="22" t="str">
        <f>IF(COUNTIFS( $B$2:$B$970, B74, $C$2:$C$970, C74, $D$2:$D$970, D74, $E$2:$E$970, E74) &gt; 1, "Duplicate", "Unique")</f>
        <v>Unique</v>
      </c>
    </row>
    <row r="75" spans="1:16" x14ac:dyDescent="0.35">
      <c r="A75" t="s">
        <v>50</v>
      </c>
      <c r="B75" t="s">
        <v>60</v>
      </c>
      <c r="C75" t="s">
        <v>12</v>
      </c>
      <c r="D75">
        <v>1</v>
      </c>
      <c r="E75">
        <v>19052</v>
      </c>
      <c r="F75" t="s">
        <v>9</v>
      </c>
      <c r="N75"/>
      <c r="P75" s="22" t="str">
        <f>IF(COUNTIFS( $B$2:$B$970, B75, $C$2:$C$970, C75, $D$2:$D$970, D75, $E$2:$E$970, E75) &gt; 1, "Duplicate", "Unique")</f>
        <v>Unique</v>
      </c>
    </row>
    <row r="76" spans="1:16" x14ac:dyDescent="0.35">
      <c r="A76" t="s">
        <v>41</v>
      </c>
      <c r="B76" t="s">
        <v>52</v>
      </c>
      <c r="C76" t="s">
        <v>12</v>
      </c>
      <c r="D76">
        <v>50</v>
      </c>
      <c r="E76">
        <v>850</v>
      </c>
      <c r="F76" t="s">
        <v>9</v>
      </c>
      <c r="N76" t="s">
        <v>125</v>
      </c>
      <c r="P76" s="22" t="str">
        <f>IF(COUNTIFS( $B$2:$B$970, B76, $C$2:$C$970, C76, $D$2:$D$970, D76, $E$2:$E$970, E76) &gt; 1, "Duplicate", "Unique")</f>
        <v>Unique</v>
      </c>
    </row>
    <row r="77" spans="1:16" x14ac:dyDescent="0.35">
      <c r="A77" t="s">
        <v>48</v>
      </c>
      <c r="B77" t="s">
        <v>61</v>
      </c>
      <c r="C77" t="s">
        <v>12</v>
      </c>
      <c r="D77">
        <v>9</v>
      </c>
      <c r="E77">
        <v>2251</v>
      </c>
      <c r="F77" t="s">
        <v>9</v>
      </c>
      <c r="N77"/>
      <c r="P77" s="22" t="str">
        <f>IF(COUNTIFS( $B$2:$B$970, B77, $C$2:$C$970, C77, $D$2:$D$970, D77, $E$2:$E$970, E77) &gt; 1, "Duplicate", "Unique")</f>
        <v>Unique</v>
      </c>
    </row>
    <row r="78" spans="1:16" x14ac:dyDescent="0.35">
      <c r="A78" t="s">
        <v>55</v>
      </c>
      <c r="B78" t="s">
        <v>62</v>
      </c>
      <c r="C78" t="s">
        <v>12</v>
      </c>
      <c r="D78">
        <v>1</v>
      </c>
      <c r="E78">
        <v>13552</v>
      </c>
      <c r="F78" t="s">
        <v>9</v>
      </c>
      <c r="N78"/>
      <c r="P78" s="22" t="str">
        <f>IF(COUNTIFS( $B$2:$B$970, B78, $C$2:$C$970, C78, $D$2:$D$970, D78, $E$2:$E$970, E78) &gt; 1, "Duplicate", "Unique")</f>
        <v>Unique</v>
      </c>
    </row>
    <row r="79" spans="1:16" x14ac:dyDescent="0.35">
      <c r="A79" t="s">
        <v>48</v>
      </c>
      <c r="B79" t="s">
        <v>51</v>
      </c>
      <c r="C79" t="s">
        <v>12</v>
      </c>
      <c r="D79">
        <v>10</v>
      </c>
      <c r="E79">
        <v>1340</v>
      </c>
      <c r="F79" t="s">
        <v>9</v>
      </c>
      <c r="N79" t="s">
        <v>125</v>
      </c>
      <c r="P79" s="22" t="str">
        <f>IF(COUNTIFS( $B$2:$B$970, B79, $C$2:$C$970, C79, $D$2:$D$970, D79, $E$2:$E$970, E79) &gt; 1, "Duplicate", "Unique")</f>
        <v>Unique</v>
      </c>
    </row>
    <row r="80" spans="1:16" x14ac:dyDescent="0.35">
      <c r="A80" t="s">
        <v>50</v>
      </c>
      <c r="B80" t="s">
        <v>63</v>
      </c>
      <c r="C80" t="s">
        <v>12</v>
      </c>
      <c r="D80">
        <v>7</v>
      </c>
      <c r="E80">
        <v>2230</v>
      </c>
      <c r="F80" t="s">
        <v>9</v>
      </c>
      <c r="N80"/>
      <c r="P80" s="22" t="str">
        <f>IF(COUNTIFS( $B$2:$B$970, B80, $C$2:$C$970, C80, $D$2:$D$970, D80, $E$2:$E$970, E80) &gt; 1, "Duplicate", "Unique")</f>
        <v>Unique</v>
      </c>
    </row>
    <row r="81" spans="1:16" x14ac:dyDescent="0.35">
      <c r="A81" t="s">
        <v>55</v>
      </c>
      <c r="B81" t="s">
        <v>56</v>
      </c>
      <c r="C81" t="s">
        <v>12</v>
      </c>
      <c r="D81">
        <v>5</v>
      </c>
      <c r="E81">
        <v>1188</v>
      </c>
      <c r="F81" t="s">
        <v>9</v>
      </c>
      <c r="N81"/>
      <c r="P81" s="22" t="str">
        <f>IF(COUNTIFS( $B$2:$B$970, B81, $C$2:$C$970, C81, $D$2:$D$970, D81, $E$2:$E$970, E81) &gt; 1, "Duplicate", "Unique")</f>
        <v>Unique</v>
      </c>
    </row>
    <row r="82" spans="1:16" x14ac:dyDescent="0.35">
      <c r="A82" t="s">
        <v>55</v>
      </c>
      <c r="B82" t="s">
        <v>44</v>
      </c>
      <c r="C82" t="s">
        <v>12</v>
      </c>
      <c r="D82">
        <v>20</v>
      </c>
      <c r="E82">
        <v>917</v>
      </c>
      <c r="F82" t="s">
        <v>9</v>
      </c>
      <c r="N82"/>
      <c r="P82" s="22" t="str">
        <f>IF(COUNTIFS( $B$2:$B$970, B82, $C$2:$C$970, C82, $D$2:$D$970, D82, $E$2:$E$970, E82) &gt; 1, "Duplicate", "Unique")</f>
        <v>Unique</v>
      </c>
    </row>
    <row r="83" spans="1:16" x14ac:dyDescent="0.35">
      <c r="A83" t="s">
        <v>55</v>
      </c>
      <c r="B83" t="s">
        <v>64</v>
      </c>
      <c r="C83" t="s">
        <v>12</v>
      </c>
      <c r="D83">
        <v>10</v>
      </c>
      <c r="E83">
        <v>1030</v>
      </c>
      <c r="F83" t="s">
        <v>9</v>
      </c>
      <c r="N83"/>
      <c r="P83" s="22" t="str">
        <f>IF(COUNTIFS( $B$2:$B$970, B83, $C$2:$C$970, C83, $D$2:$D$970, D83, $E$2:$E$970, E83) &gt; 1, "Duplicate", "Unique")</f>
        <v>Unique</v>
      </c>
    </row>
    <row r="84" spans="1:16" x14ac:dyDescent="0.35">
      <c r="A84" t="s">
        <v>46</v>
      </c>
      <c r="B84" t="s">
        <v>65</v>
      </c>
      <c r="C84" t="s">
        <v>12</v>
      </c>
      <c r="D84">
        <v>3</v>
      </c>
      <c r="E84">
        <v>1302</v>
      </c>
      <c r="F84" t="s">
        <v>9</v>
      </c>
      <c r="N84"/>
      <c r="P84" s="22" t="str">
        <f>IF(COUNTIFS( $B$2:$B$970, B84, $C$2:$C$970, C84, $D$2:$D$970, D84, $E$2:$E$970, E84) &gt; 1, "Duplicate", "Unique")</f>
        <v>Unique</v>
      </c>
    </row>
    <row r="85" spans="1:16" x14ac:dyDescent="0.35">
      <c r="A85" t="s">
        <v>50</v>
      </c>
      <c r="B85" t="s">
        <v>66</v>
      </c>
      <c r="C85" t="s">
        <v>12</v>
      </c>
      <c r="D85">
        <v>5</v>
      </c>
      <c r="E85">
        <v>1132</v>
      </c>
      <c r="F85" t="s">
        <v>9</v>
      </c>
      <c r="N85"/>
      <c r="P85" s="22" t="str">
        <f>IF(COUNTIFS( $B$2:$B$970, B85, $C$2:$C$970, C85, $D$2:$D$970, D85, $E$2:$E$970, E85) &gt; 1, "Duplicate", "Unique")</f>
        <v>Unique</v>
      </c>
    </row>
    <row r="86" spans="1:16" x14ac:dyDescent="0.35">
      <c r="A86" t="s">
        <v>67</v>
      </c>
      <c r="B86" t="s">
        <v>58</v>
      </c>
      <c r="C86" t="s">
        <v>12</v>
      </c>
      <c r="D86">
        <v>10</v>
      </c>
      <c r="E86">
        <v>400</v>
      </c>
      <c r="F86" t="s">
        <v>9</v>
      </c>
      <c r="N86"/>
      <c r="P86" s="22" t="str">
        <f>IF(COUNTIFS( $B$2:$B$970, B86, $C$2:$C$970, C86, $D$2:$D$970, D86, $E$2:$E$970, E86) &gt; 1, "Duplicate", "Unique")</f>
        <v>Unique</v>
      </c>
    </row>
    <row r="87" spans="1:16" x14ac:dyDescent="0.35">
      <c r="A87" t="s">
        <v>55</v>
      </c>
      <c r="B87" t="s">
        <v>68</v>
      </c>
      <c r="C87" t="s">
        <v>12</v>
      </c>
      <c r="D87">
        <v>5</v>
      </c>
      <c r="E87">
        <v>3952</v>
      </c>
      <c r="F87" t="s">
        <v>9</v>
      </c>
      <c r="N87"/>
      <c r="P87" s="22" t="str">
        <f>IF(COUNTIFS( $B$2:$B$970, B87, $C$2:$C$970, C87, $D$2:$D$970, D87, $E$2:$E$970, E87) &gt; 1, "Duplicate", "Unique")</f>
        <v>Unique</v>
      </c>
    </row>
    <row r="88" spans="1:16" x14ac:dyDescent="0.35">
      <c r="A88" t="s">
        <v>57</v>
      </c>
      <c r="B88" t="s">
        <v>69</v>
      </c>
      <c r="C88" t="s">
        <v>12</v>
      </c>
      <c r="D88">
        <v>2</v>
      </c>
      <c r="E88">
        <v>4206</v>
      </c>
      <c r="F88" t="s">
        <v>9</v>
      </c>
      <c r="N88"/>
      <c r="P88" s="22" t="str">
        <f>IF(COUNTIFS( $B$2:$B$970, B88, $C$2:$C$970, C88, $D$2:$D$970, D88, $E$2:$E$970, E88) &gt; 1, "Duplicate", "Unique")</f>
        <v>Unique</v>
      </c>
    </row>
    <row r="89" spans="1:16" x14ac:dyDescent="0.35">
      <c r="A89" t="s">
        <v>48</v>
      </c>
      <c r="B89" t="s">
        <v>60</v>
      </c>
      <c r="C89" t="s">
        <v>12</v>
      </c>
      <c r="D89">
        <v>1</v>
      </c>
      <c r="E89">
        <v>19552</v>
      </c>
      <c r="F89" t="s">
        <v>9</v>
      </c>
      <c r="N89"/>
      <c r="P89" s="22" t="str">
        <f>IF(COUNTIFS( $B$2:$B$970, B89, $C$2:$C$970, C89, $D$2:$D$970, D89, $E$2:$E$970, E89) &gt; 1, "Duplicate", "Unique")</f>
        <v>Unique</v>
      </c>
    </row>
    <row r="90" spans="1:16" x14ac:dyDescent="0.35">
      <c r="A90" t="s">
        <v>57</v>
      </c>
      <c r="B90" t="s">
        <v>66</v>
      </c>
      <c r="C90" t="s">
        <v>12</v>
      </c>
      <c r="D90">
        <v>5</v>
      </c>
      <c r="E90">
        <v>1142</v>
      </c>
      <c r="F90" t="s">
        <v>9</v>
      </c>
      <c r="N90"/>
      <c r="P90" s="22" t="str">
        <f>IF(COUNTIFS( $B$2:$B$970, B90, $C$2:$C$970, C90, $D$2:$D$970, D90, $E$2:$E$970, E90) &gt; 1, "Duplicate", "Unique")</f>
        <v>Unique</v>
      </c>
    </row>
    <row r="91" spans="1:16" x14ac:dyDescent="0.35">
      <c r="A91" t="s">
        <v>59</v>
      </c>
      <c r="B91" t="s">
        <v>70</v>
      </c>
      <c r="C91" t="s">
        <v>12</v>
      </c>
      <c r="D91">
        <v>4</v>
      </c>
      <c r="E91">
        <v>1066</v>
      </c>
      <c r="F91" t="s">
        <v>9</v>
      </c>
      <c r="N91"/>
      <c r="P91" s="22" t="str">
        <f>IF(COUNTIFS( $B$2:$B$970, B91, $C$2:$C$970, C91, $D$2:$D$970, D91, $E$2:$E$970, E91) &gt; 1, "Duplicate", "Unique")</f>
        <v>Unique</v>
      </c>
    </row>
    <row r="92" spans="1:16" x14ac:dyDescent="0.35">
      <c r="A92" t="s">
        <v>59</v>
      </c>
      <c r="B92" t="s">
        <v>71</v>
      </c>
      <c r="C92" t="s">
        <v>12</v>
      </c>
      <c r="D92">
        <v>10</v>
      </c>
      <c r="E92">
        <v>223</v>
      </c>
      <c r="F92" t="s">
        <v>9</v>
      </c>
      <c r="N92"/>
      <c r="P92" s="22" t="str">
        <f>IF(COUNTIFS( $B$2:$B$970, B92, $C$2:$C$970, C92, $D$2:$D$970, D92, $E$2:$E$970, E92) &gt; 1, "Duplicate", "Unique")</f>
        <v>Unique</v>
      </c>
    </row>
    <row r="93" spans="1:16" x14ac:dyDescent="0.35">
      <c r="A93" t="s">
        <v>72</v>
      </c>
      <c r="B93" t="s">
        <v>73</v>
      </c>
      <c r="C93" t="s">
        <v>12</v>
      </c>
      <c r="D93">
        <v>5</v>
      </c>
      <c r="E93">
        <v>2938</v>
      </c>
      <c r="F93" t="s">
        <v>9</v>
      </c>
      <c r="N93"/>
      <c r="P93" s="22" t="str">
        <f>IF(COUNTIFS( $B$2:$B$970, B93, $C$2:$C$970, C93, $D$2:$D$970, D93, $E$2:$E$970, E93) &gt; 1, "Duplicate", "Unique")</f>
        <v>Unique</v>
      </c>
    </row>
    <row r="94" spans="1:16" x14ac:dyDescent="0.35">
      <c r="A94" t="s">
        <v>59</v>
      </c>
      <c r="B94" t="s">
        <v>68</v>
      </c>
      <c r="C94" t="s">
        <v>12</v>
      </c>
      <c r="D94">
        <v>5</v>
      </c>
      <c r="E94">
        <v>4002</v>
      </c>
      <c r="F94" t="s">
        <v>9</v>
      </c>
      <c r="N94"/>
      <c r="P94" s="22" t="str">
        <f>IF(COUNTIFS( $B$2:$B$970, B94, $C$2:$C$970, C94, $D$2:$D$970, D94, $E$2:$E$970, E94) &gt; 1, "Duplicate", "Unique")</f>
        <v>Unique</v>
      </c>
    </row>
    <row r="95" spans="1:16" x14ac:dyDescent="0.35">
      <c r="A95" t="s">
        <v>43</v>
      </c>
      <c r="B95" t="s">
        <v>74</v>
      </c>
      <c r="C95" t="s">
        <v>12</v>
      </c>
      <c r="D95">
        <v>5</v>
      </c>
      <c r="E95">
        <v>712</v>
      </c>
      <c r="F95" t="s">
        <v>9</v>
      </c>
      <c r="N95"/>
      <c r="P95" s="22" t="str">
        <f>IF(COUNTIFS( $B$2:$B$970, B95, $C$2:$C$970, C95, $D$2:$D$970, D95, $E$2:$E$970, E95) &gt; 1, "Duplicate", "Unique")</f>
        <v>Unique</v>
      </c>
    </row>
    <row r="96" spans="1:16" x14ac:dyDescent="0.35">
      <c r="A96" t="s">
        <v>57</v>
      </c>
      <c r="B96" t="s">
        <v>66</v>
      </c>
      <c r="C96" t="s">
        <v>12</v>
      </c>
      <c r="D96">
        <v>5</v>
      </c>
      <c r="E96">
        <v>1152</v>
      </c>
      <c r="F96" t="s">
        <v>9</v>
      </c>
      <c r="N96"/>
      <c r="P96" s="22" t="str">
        <f>IF(COUNTIFS( $B$2:$B$970, B96, $C$2:$C$970, C96, $D$2:$D$970, D96, $E$2:$E$970, E96) &gt; 1, "Duplicate", "Unique")</f>
        <v>Unique</v>
      </c>
    </row>
    <row r="97" spans="1:16" x14ac:dyDescent="0.35">
      <c r="A97" t="s">
        <v>75</v>
      </c>
      <c r="B97" t="s">
        <v>76</v>
      </c>
      <c r="C97" t="s">
        <v>12</v>
      </c>
      <c r="D97">
        <v>2</v>
      </c>
      <c r="E97">
        <v>2460</v>
      </c>
      <c r="F97" t="s">
        <v>9</v>
      </c>
      <c r="N97"/>
      <c r="P97" s="22" t="str">
        <f>IF(COUNTIFS( $B$2:$B$970, B97, $C$2:$C$970, C97, $D$2:$D$970, D97, $E$2:$E$970, E97) &gt; 1, "Duplicate", "Unique")</f>
        <v>Unique</v>
      </c>
    </row>
    <row r="98" spans="1:16" x14ac:dyDescent="0.35">
      <c r="A98" t="s">
        <v>41</v>
      </c>
      <c r="B98" t="s">
        <v>77</v>
      </c>
      <c r="C98" t="s">
        <v>8</v>
      </c>
      <c r="D98">
        <v>150</v>
      </c>
      <c r="E98">
        <v>123.4</v>
      </c>
      <c r="F98" t="s">
        <v>9</v>
      </c>
      <c r="N98"/>
      <c r="P98" s="22" t="str">
        <f>IF(COUNTIFS( $B$2:$B$970, B98, $C$2:$C$970, C98, $D$2:$D$970, D98, $E$2:$E$970, E98) &gt; 1, "Duplicate", "Unique")</f>
        <v>Unique</v>
      </c>
    </row>
    <row r="99" spans="1:16" x14ac:dyDescent="0.35">
      <c r="A99" t="s">
        <v>46</v>
      </c>
      <c r="B99" t="s">
        <v>78</v>
      </c>
      <c r="C99" t="s">
        <v>8</v>
      </c>
      <c r="D99">
        <v>5</v>
      </c>
      <c r="E99">
        <v>2190</v>
      </c>
      <c r="F99" t="s">
        <v>9</v>
      </c>
      <c r="N99"/>
      <c r="P99" s="22" t="str">
        <f>IF(COUNTIFS( $B$2:$B$970, B99, $C$2:$C$970, C99, $D$2:$D$970, D99, $E$2:$E$970, E99) &gt; 1, "Duplicate", "Unique")</f>
        <v>Unique</v>
      </c>
    </row>
    <row r="100" spans="1:16" x14ac:dyDescent="0.35">
      <c r="A100" t="s">
        <v>46</v>
      </c>
      <c r="B100" t="s">
        <v>69</v>
      </c>
      <c r="C100" t="s">
        <v>8</v>
      </c>
      <c r="D100">
        <v>1</v>
      </c>
      <c r="E100">
        <v>4556</v>
      </c>
      <c r="F100" t="s">
        <v>9</v>
      </c>
      <c r="N100"/>
      <c r="P100" s="22" t="str">
        <f>IF(COUNTIFS( $B$2:$B$970, B100, $C$2:$C$970, C100, $D$2:$D$970, D100, $E$2:$E$970, E100) &gt; 1, "Duplicate", "Unique")</f>
        <v>Unique</v>
      </c>
    </row>
    <row r="101" spans="1:16" ht="15.5" x14ac:dyDescent="0.35">
      <c r="A101" t="s">
        <v>46</v>
      </c>
      <c r="B101" t="s">
        <v>47</v>
      </c>
      <c r="C101" t="s">
        <v>8</v>
      </c>
      <c r="D101">
        <v>5</v>
      </c>
      <c r="E101">
        <v>3633</v>
      </c>
      <c r="F101" t="s">
        <v>9</v>
      </c>
      <c r="N101" s="23" t="s">
        <v>120</v>
      </c>
      <c r="P101" s="22" t="str">
        <f>IF(COUNTIFS( $B$2:$B$970, B101, $C$2:$C$970, C101, $D$2:$D$970, D101, $E$2:$E$970, E101) &gt; 1, "Duplicate", "Unique")</f>
        <v>Unique</v>
      </c>
    </row>
    <row r="102" spans="1:16" x14ac:dyDescent="0.35">
      <c r="A102" t="s">
        <v>55</v>
      </c>
      <c r="B102" t="s">
        <v>71</v>
      </c>
      <c r="C102" t="s">
        <v>8</v>
      </c>
      <c r="D102">
        <v>110</v>
      </c>
      <c r="E102">
        <v>238.2</v>
      </c>
      <c r="F102" t="s">
        <v>9</v>
      </c>
      <c r="N102"/>
      <c r="P102" s="22" t="str">
        <f>IF(COUNTIFS( $B$2:$B$970, B102, $C$2:$C$970, C102, $D$2:$D$970, D102, $E$2:$E$970, E102) &gt; 1, "Duplicate", "Unique")</f>
        <v>Unique</v>
      </c>
    </row>
    <row r="103" spans="1:16" x14ac:dyDescent="0.35">
      <c r="A103" t="s">
        <v>67</v>
      </c>
      <c r="B103" t="s">
        <v>66</v>
      </c>
      <c r="C103" t="s">
        <v>8</v>
      </c>
      <c r="D103">
        <v>10</v>
      </c>
      <c r="E103">
        <v>1221</v>
      </c>
      <c r="F103" t="s">
        <v>9</v>
      </c>
      <c r="N103"/>
      <c r="P103" s="22" t="str">
        <f>IF(COUNTIFS( $B$2:$B$970, B103, $C$2:$C$970, C103, $D$2:$D$970, D103, $E$2:$E$970, E103) &gt; 1, "Duplicate", "Unique")</f>
        <v>Unique</v>
      </c>
    </row>
    <row r="104" spans="1:16" x14ac:dyDescent="0.35">
      <c r="A104" t="s">
        <v>55</v>
      </c>
      <c r="B104" t="s">
        <v>63</v>
      </c>
      <c r="C104" t="s">
        <v>8</v>
      </c>
      <c r="D104">
        <v>6</v>
      </c>
      <c r="E104">
        <v>2420</v>
      </c>
      <c r="F104" t="s">
        <v>9</v>
      </c>
      <c r="N104"/>
      <c r="P104" s="22" t="str">
        <f>IF(COUNTIFS( $B$2:$B$970, B104, $C$2:$C$970, C104, $D$2:$D$970, D104, $E$2:$E$970, E104) &gt; 1, "Duplicate", "Unique")</f>
        <v>Unique</v>
      </c>
    </row>
    <row r="105" spans="1:16" x14ac:dyDescent="0.35">
      <c r="A105" t="s">
        <v>67</v>
      </c>
      <c r="B105" t="s">
        <v>66</v>
      </c>
      <c r="C105" t="s">
        <v>8</v>
      </c>
      <c r="D105">
        <v>5</v>
      </c>
      <c r="E105">
        <v>1212</v>
      </c>
      <c r="F105" t="s">
        <v>9</v>
      </c>
      <c r="N105"/>
      <c r="P105" s="22" t="str">
        <f>IF(COUNTIFS( $B$2:$B$970, B105, $C$2:$C$970, C105, $D$2:$D$970, D105, $E$2:$E$970, E105) &gt; 1, "Duplicate", "Unique")</f>
        <v>Unique</v>
      </c>
    </row>
    <row r="106" spans="1:16" x14ac:dyDescent="0.35">
      <c r="A106" t="s">
        <v>57</v>
      </c>
      <c r="B106" t="s">
        <v>61</v>
      </c>
      <c r="C106" t="s">
        <v>8</v>
      </c>
      <c r="D106">
        <v>8</v>
      </c>
      <c r="E106">
        <v>2448</v>
      </c>
      <c r="F106" t="s">
        <v>9</v>
      </c>
      <c r="N106"/>
      <c r="P106" s="22" t="str">
        <f>IF(COUNTIFS( $B$2:$B$970, B106, $C$2:$C$970, C106, $D$2:$D$970, D106, $E$2:$E$970, E106) &gt; 1, "Duplicate", "Unique")</f>
        <v>Unique</v>
      </c>
    </row>
    <row r="107" spans="1:16" x14ac:dyDescent="0.35">
      <c r="A107" t="s">
        <v>41</v>
      </c>
      <c r="B107" t="s">
        <v>42</v>
      </c>
      <c r="C107" t="s">
        <v>8</v>
      </c>
      <c r="D107">
        <v>10</v>
      </c>
      <c r="E107">
        <v>1548</v>
      </c>
      <c r="F107" t="s">
        <v>9</v>
      </c>
      <c r="N107"/>
      <c r="P107" s="22" t="str">
        <f>IF(COUNTIFS( $B$2:$B$970, B107, $C$2:$C$970, C107, $D$2:$D$970, D107, $E$2:$E$970, E107) &gt; 1, "Duplicate", "Unique")</f>
        <v>Unique</v>
      </c>
    </row>
    <row r="108" spans="1:16" x14ac:dyDescent="0.35">
      <c r="A108" t="s">
        <v>41</v>
      </c>
      <c r="B108" t="s">
        <v>79</v>
      </c>
      <c r="C108" t="s">
        <v>8</v>
      </c>
      <c r="D108">
        <v>6</v>
      </c>
      <c r="E108">
        <v>548</v>
      </c>
      <c r="F108" t="s">
        <v>9</v>
      </c>
      <c r="N108"/>
      <c r="P108" s="22" t="str">
        <f>IF(COUNTIFS( $B$2:$B$970, B108, $C$2:$C$970, C108, $D$2:$D$970, D108, $E$2:$E$970, E108) &gt; 1, "Duplicate", "Unique")</f>
        <v>Unique</v>
      </c>
    </row>
    <row r="109" spans="1:16" ht="15.5" x14ac:dyDescent="0.35">
      <c r="A109" t="s">
        <v>80</v>
      </c>
      <c r="B109" t="s">
        <v>49</v>
      </c>
      <c r="C109" t="s">
        <v>8</v>
      </c>
      <c r="D109">
        <v>200</v>
      </c>
      <c r="E109">
        <v>90.75</v>
      </c>
      <c r="F109" t="s">
        <v>9</v>
      </c>
      <c r="N109" s="23" t="s">
        <v>120</v>
      </c>
      <c r="P109" s="22" t="str">
        <f>IF(COUNTIFS( $B$2:$B$970, B109, $C$2:$C$970, C109, $D$2:$D$970, D109, $E$2:$E$970, E109) &gt; 1, "Duplicate", "Unique")</f>
        <v>Unique</v>
      </c>
    </row>
    <row r="110" spans="1:16" x14ac:dyDescent="0.35">
      <c r="A110" t="s">
        <v>81</v>
      </c>
      <c r="B110" t="s">
        <v>71</v>
      </c>
      <c r="C110" t="s">
        <v>8</v>
      </c>
      <c r="D110">
        <v>10</v>
      </c>
      <c r="E110">
        <v>235</v>
      </c>
      <c r="F110" t="s">
        <v>9</v>
      </c>
      <c r="N110"/>
      <c r="P110" s="22" t="str">
        <f>IF(COUNTIFS( $B$2:$B$970, B110, $C$2:$C$970, C110, $D$2:$D$970, D110, $E$2:$E$970, E110) &gt; 1, "Duplicate", "Unique")</f>
        <v>Unique</v>
      </c>
    </row>
    <row r="111" spans="1:16" x14ac:dyDescent="0.35">
      <c r="A111" t="s">
        <v>59</v>
      </c>
      <c r="B111" t="s">
        <v>58</v>
      </c>
      <c r="C111" t="s">
        <v>8</v>
      </c>
      <c r="D111">
        <v>20</v>
      </c>
      <c r="E111">
        <v>424</v>
      </c>
      <c r="F111" t="s">
        <v>9</v>
      </c>
      <c r="N111"/>
      <c r="P111" s="22" t="str">
        <f>IF(COUNTIFS( $B$2:$B$970, B111, $C$2:$C$970, C111, $D$2:$D$970, D111, $E$2:$E$970, E111) &gt; 1, "Duplicate", "Unique")</f>
        <v>Unique</v>
      </c>
    </row>
    <row r="112" spans="1:16" x14ac:dyDescent="0.35">
      <c r="A112" t="s">
        <v>43</v>
      </c>
      <c r="B112" t="s">
        <v>68</v>
      </c>
      <c r="C112" t="s">
        <v>8</v>
      </c>
      <c r="D112">
        <v>5</v>
      </c>
      <c r="E112">
        <v>4177</v>
      </c>
      <c r="F112" t="s">
        <v>9</v>
      </c>
      <c r="N112"/>
      <c r="P112" s="22" t="str">
        <f>IF(COUNTIFS( $B$2:$B$970, B112, $C$2:$C$970, C112, $D$2:$D$970, D112, $E$2:$E$970, E112) &gt; 1, "Duplicate", "Unique")</f>
        <v>Unique</v>
      </c>
    </row>
    <row r="113" spans="1:16" x14ac:dyDescent="0.35">
      <c r="A113" t="s">
        <v>43</v>
      </c>
      <c r="B113" t="s">
        <v>82</v>
      </c>
      <c r="C113" t="s">
        <v>8</v>
      </c>
      <c r="D113">
        <v>25</v>
      </c>
      <c r="E113">
        <v>784</v>
      </c>
      <c r="F113" t="s">
        <v>9</v>
      </c>
      <c r="N113"/>
      <c r="P113" s="22" t="str">
        <f>IF(COUNTIFS( $B$2:$B$970, B113, $C$2:$C$970, C113, $D$2:$D$970, D113, $E$2:$E$970, E113) &gt; 1, "Duplicate", "Unique")</f>
        <v>Unique</v>
      </c>
    </row>
    <row r="114" spans="1:16" x14ac:dyDescent="0.35">
      <c r="A114" t="s">
        <v>50</v>
      </c>
      <c r="B114" t="s">
        <v>83</v>
      </c>
      <c r="C114" t="s">
        <v>8</v>
      </c>
      <c r="D114">
        <v>15</v>
      </c>
      <c r="E114">
        <v>1040</v>
      </c>
      <c r="F114" t="s">
        <v>9</v>
      </c>
      <c r="N114"/>
      <c r="P114" s="22" t="str">
        <f>IF(COUNTIFS( $B$2:$B$970, B114, $C$2:$C$970, C114, $D$2:$D$970, D114, $E$2:$E$970, E114) &gt; 1, "Duplicate", "Unique")</f>
        <v>Unique</v>
      </c>
    </row>
    <row r="115" spans="1:16" x14ac:dyDescent="0.35">
      <c r="A115" t="s">
        <v>59</v>
      </c>
      <c r="B115" t="s">
        <v>71</v>
      </c>
      <c r="C115" t="s">
        <v>8</v>
      </c>
      <c r="D115">
        <v>200</v>
      </c>
      <c r="E115">
        <v>232</v>
      </c>
      <c r="F115" t="s">
        <v>9</v>
      </c>
      <c r="N115"/>
      <c r="P115" s="22" t="str">
        <f>IF(COUNTIFS( $B$2:$B$970, B115, $C$2:$C$970, C115, $D$2:$D$970, D115, $E$2:$E$970, E115) &gt; 1, "Duplicate", "Unique")</f>
        <v>Unique</v>
      </c>
    </row>
    <row r="116" spans="1:16" ht="15" thickBot="1" x14ac:dyDescent="0.4">
      <c r="A116" t="s">
        <v>43</v>
      </c>
      <c r="B116" t="s">
        <v>68</v>
      </c>
      <c r="C116" t="s">
        <v>8</v>
      </c>
      <c r="D116">
        <v>5</v>
      </c>
      <c r="E116">
        <v>4129</v>
      </c>
      <c r="F116" t="s">
        <v>9</v>
      </c>
      <c r="N116"/>
      <c r="P116" s="22" t="str">
        <f>IF(COUNTIFS( $B$2:$B$970, B116, $C$2:$C$970, C116, $D$2:$D$970, D116, $E$2:$E$970, E116) &gt; 1, "Duplicate", "Unique")</f>
        <v>Unique</v>
      </c>
    </row>
    <row r="117" spans="1:16" ht="15" thickBot="1" x14ac:dyDescent="0.4">
      <c r="A117" s="5">
        <v>46247.645138888889</v>
      </c>
      <c r="B117" s="1" t="s">
        <v>74</v>
      </c>
      <c r="C117" s="1" t="s">
        <v>12</v>
      </c>
      <c r="D117" s="6">
        <v>5</v>
      </c>
      <c r="E117" s="6">
        <v>702</v>
      </c>
      <c r="F117" t="s">
        <v>9</v>
      </c>
      <c r="N117"/>
      <c r="P117" s="22" t="str">
        <f>IF(COUNTIFS( $B$2:$B$970, B117, $C$2:$C$970, C117, $D$2:$D$970, D117, $E$2:$E$970, E117) &gt; 1, "Duplicate", "Unique")</f>
        <v>Unique</v>
      </c>
    </row>
    <row r="118" spans="1:16" ht="15" thickBot="1" x14ac:dyDescent="0.4">
      <c r="A118" s="5">
        <v>46247.689583333333</v>
      </c>
      <c r="B118" s="1" t="s">
        <v>19</v>
      </c>
      <c r="C118" s="1" t="s">
        <v>12</v>
      </c>
      <c r="D118" s="6">
        <v>5</v>
      </c>
      <c r="E118" s="6">
        <v>2540</v>
      </c>
      <c r="F118" t="s">
        <v>9</v>
      </c>
      <c r="N118" t="s">
        <v>123</v>
      </c>
      <c r="P118" s="22" t="str">
        <f>IF(COUNTIFS( $B$2:$B$970, B118, $C$2:$C$970, C118, $D$2:$D$970, D118, $E$2:$E$970, E118) &gt; 1, "Duplicate", "Unique")</f>
        <v>Unique</v>
      </c>
    </row>
    <row r="119" spans="1:16" ht="15" thickBot="1" x14ac:dyDescent="0.4">
      <c r="A119" s="5">
        <v>46247.645138888889</v>
      </c>
      <c r="B119" s="1" t="s">
        <v>68</v>
      </c>
      <c r="C119" s="1" t="s">
        <v>12</v>
      </c>
      <c r="D119" s="6">
        <v>5</v>
      </c>
      <c r="E119" s="6">
        <v>3938</v>
      </c>
      <c r="F119" t="s">
        <v>9</v>
      </c>
      <c r="N119"/>
      <c r="P119" s="22" t="str">
        <f>IF(COUNTIFS( $B$2:$B$970, B119, $C$2:$C$970, C119, $D$2:$D$970, D119, $E$2:$E$970, E119) &gt; 1, "Duplicate", "Unique")</f>
        <v>Unique</v>
      </c>
    </row>
    <row r="120" spans="1:16" ht="15" thickBot="1" x14ac:dyDescent="0.4">
      <c r="A120" s="5">
        <v>46364.635416666664</v>
      </c>
      <c r="B120" s="1" t="s">
        <v>71</v>
      </c>
      <c r="C120" s="1" t="s">
        <v>12</v>
      </c>
      <c r="D120" s="6">
        <v>10</v>
      </c>
      <c r="E120" s="6">
        <v>220.1</v>
      </c>
      <c r="F120" t="s">
        <v>9</v>
      </c>
      <c r="N120"/>
      <c r="P120" s="22" t="str">
        <f>IF(COUNTIFS( $B$2:$B$970, B120, $C$2:$C$970, C120, $D$2:$D$970, D120, $E$2:$E$970, E120) &gt; 1, "Duplicate", "Unique")</f>
        <v>Unique</v>
      </c>
    </row>
    <row r="121" spans="1:16" ht="15" thickBot="1" x14ac:dyDescent="0.4">
      <c r="A121" s="7">
        <v>46248.769120370373</v>
      </c>
      <c r="B121" s="8" t="s">
        <v>23</v>
      </c>
      <c r="C121" s="8" t="s">
        <v>12</v>
      </c>
      <c r="D121" s="9">
        <v>150</v>
      </c>
      <c r="E121" s="9">
        <v>214</v>
      </c>
      <c r="F121" t="s">
        <v>9</v>
      </c>
      <c r="N121" t="s">
        <v>125</v>
      </c>
      <c r="P121" s="22" t="str">
        <f>IF(COUNTIFS( $B$2:$B$970, B121, $C$2:$C$970, C121, $D$2:$D$970, D121, $E$2:$E$970, E121) &gt; 1, "Duplicate", "Unique")</f>
        <v>Unique</v>
      </c>
    </row>
    <row r="122" spans="1:16" ht="15" thickBot="1" x14ac:dyDescent="0.4">
      <c r="A122" s="5">
        <v>46247.635416666664</v>
      </c>
      <c r="B122" s="1" t="s">
        <v>73</v>
      </c>
      <c r="C122" s="1" t="s">
        <v>12</v>
      </c>
      <c r="D122" s="6">
        <v>5</v>
      </c>
      <c r="E122" s="6">
        <v>2888</v>
      </c>
      <c r="F122" t="s">
        <v>9</v>
      </c>
      <c r="N122"/>
      <c r="P122" s="22" t="str">
        <f>IF(COUNTIFS( $B$2:$B$970, B122, $C$2:$C$970, C122, $D$2:$D$970, D122, $E$2:$E$970, E122) &gt; 1, "Duplicate", "Unique")</f>
        <v>Unique</v>
      </c>
    </row>
    <row r="123" spans="1:16" ht="15" thickBot="1" x14ac:dyDescent="0.4">
      <c r="A123" s="5">
        <v>46248.769120370373</v>
      </c>
      <c r="B123" s="1" t="s">
        <v>35</v>
      </c>
      <c r="C123" s="1" t="s">
        <v>12</v>
      </c>
      <c r="D123" s="6">
        <v>50</v>
      </c>
      <c r="E123" s="6">
        <v>201</v>
      </c>
      <c r="F123" t="s">
        <v>9</v>
      </c>
      <c r="N123"/>
      <c r="P123" s="22" t="str">
        <f>IF(COUNTIFS( $B$2:$B$970, B123, $C$2:$C$970, C123, $D$2:$D$970, D123, $E$2:$E$970, E123) &gt; 1, "Duplicate", "Unique")</f>
        <v>Unique</v>
      </c>
    </row>
    <row r="124" spans="1:16" ht="15" thickBot="1" x14ac:dyDescent="0.4">
      <c r="A124" s="5">
        <v>46248.635509259257</v>
      </c>
      <c r="B124" s="1" t="s">
        <v>44</v>
      </c>
      <c r="C124" s="1" t="s">
        <v>12</v>
      </c>
      <c r="D124" s="6">
        <v>10</v>
      </c>
      <c r="E124" s="6">
        <v>907</v>
      </c>
      <c r="F124" t="s">
        <v>9</v>
      </c>
      <c r="N124"/>
      <c r="P124" s="22" t="str">
        <f>IF(COUNTIFS( $B$2:$B$970, B124, $C$2:$C$970, C124, $D$2:$D$970, D124, $E$2:$E$970, E124) &gt; 1, "Duplicate", "Unique")</f>
        <v>Unique</v>
      </c>
    </row>
    <row r="125" spans="1:16" ht="15" thickBot="1" x14ac:dyDescent="0.4">
      <c r="A125" s="5">
        <v>46245.635416666664</v>
      </c>
      <c r="B125" s="1" t="s">
        <v>68</v>
      </c>
      <c r="C125" s="1" t="s">
        <v>12</v>
      </c>
      <c r="D125" s="6">
        <v>5</v>
      </c>
      <c r="E125" s="6">
        <v>3888</v>
      </c>
      <c r="F125" t="s">
        <v>9</v>
      </c>
      <c r="N125"/>
      <c r="P125" s="22" t="str">
        <f>IF(COUNTIFS( $B$2:$B$970, B125, $C$2:$C$970, C125, $D$2:$D$970, D125, $E$2:$E$970, E125) &gt; 1, "Duplicate", "Unique")</f>
        <v>Unique</v>
      </c>
    </row>
    <row r="126" spans="1:16" ht="15" thickBot="1" x14ac:dyDescent="0.4">
      <c r="A126" s="5">
        <v>46246.689583333333</v>
      </c>
      <c r="B126" s="1" t="s">
        <v>27</v>
      </c>
      <c r="C126" s="1" t="s">
        <v>12</v>
      </c>
      <c r="D126" s="6">
        <v>20</v>
      </c>
      <c r="E126" s="6">
        <v>281</v>
      </c>
      <c r="F126" t="s">
        <v>9</v>
      </c>
      <c r="N126" t="s">
        <v>123</v>
      </c>
      <c r="P126" s="22" t="str">
        <f>IF(COUNTIFS( $B$2:$B$970, B126, $C$2:$C$970, C126, $D$2:$D$970, D126, $E$2:$E$970, E126) &gt; 1, "Duplicate", "Unique")</f>
        <v>Unique</v>
      </c>
    </row>
    <row r="127" spans="1:16" ht="15" thickBot="1" x14ac:dyDescent="0.4">
      <c r="A127" s="5">
        <v>46248.769120370373</v>
      </c>
      <c r="B127" s="1" t="s">
        <v>23</v>
      </c>
      <c r="C127" s="1" t="s">
        <v>12</v>
      </c>
      <c r="D127" s="6">
        <v>50</v>
      </c>
      <c r="E127" s="6">
        <v>212</v>
      </c>
      <c r="F127" t="s">
        <v>9</v>
      </c>
      <c r="N127" t="s">
        <v>123</v>
      </c>
      <c r="P127" s="22" t="str">
        <f>IF(COUNTIFS( $B$2:$B$970, B127, $C$2:$C$970, C127, $D$2:$D$970, D127, $E$2:$E$970, E127) &gt; 1, "Duplicate", "Unique")</f>
        <v>Unique</v>
      </c>
    </row>
    <row r="128" spans="1:16" ht="15" thickBot="1" x14ac:dyDescent="0.4">
      <c r="A128" s="5">
        <v>46248.635555555556</v>
      </c>
      <c r="B128" s="1" t="s">
        <v>69</v>
      </c>
      <c r="C128" s="1" t="s">
        <v>12</v>
      </c>
      <c r="D128" s="6">
        <v>4</v>
      </c>
      <c r="E128" s="6">
        <v>4110</v>
      </c>
      <c r="F128" t="s">
        <v>9</v>
      </c>
      <c r="N128"/>
      <c r="P128" s="22" t="str">
        <f>IF(COUNTIFS( $B$2:$B$970, B128, $C$2:$C$970, C128, $D$2:$D$970, D128, $E$2:$E$970, E128) &gt; 1, "Duplicate", "Unique")</f>
        <v>Unique</v>
      </c>
    </row>
    <row r="129" spans="1:16" ht="15" thickBot="1" x14ac:dyDescent="0.4">
      <c r="A129" s="5">
        <v>46247.689583333333</v>
      </c>
      <c r="B129" s="1" t="s">
        <v>19</v>
      </c>
      <c r="C129" s="1" t="s">
        <v>12</v>
      </c>
      <c r="D129" s="6">
        <v>5</v>
      </c>
      <c r="E129" s="6">
        <v>2490</v>
      </c>
      <c r="F129" t="s">
        <v>9</v>
      </c>
      <c r="N129" t="s">
        <v>123</v>
      </c>
      <c r="P129" s="22" t="str">
        <f>IF(COUNTIFS( $B$2:$B$970, B129, $C$2:$C$970, C129, $D$2:$D$970, D129, $E$2:$E$970, E129) &gt; 1, "Duplicate", "Unique")</f>
        <v>Unique</v>
      </c>
    </row>
    <row r="130" spans="1:16" ht="15" thickBot="1" x14ac:dyDescent="0.4">
      <c r="A130" s="7">
        <v>46248.769120370373</v>
      </c>
      <c r="B130" s="8" t="s">
        <v>84</v>
      </c>
      <c r="C130" s="8" t="s">
        <v>12</v>
      </c>
      <c r="D130" s="9">
        <v>500</v>
      </c>
      <c r="E130" s="9">
        <v>33.159999999999997</v>
      </c>
      <c r="F130" t="s">
        <v>9</v>
      </c>
      <c r="N130"/>
      <c r="P130" s="22" t="str">
        <f>IF(COUNTIFS( $B$2:$B$970, B130, $C$2:$C$970, C130, $D$2:$D$970, D130, $E$2:$E$970, E130) &gt; 1, "Duplicate", "Unique")</f>
        <v>Unique</v>
      </c>
    </row>
    <row r="131" spans="1:16" ht="15" thickBot="1" x14ac:dyDescent="0.4">
      <c r="A131" s="5">
        <v>46246.689583333333</v>
      </c>
      <c r="B131" s="1" t="s">
        <v>33</v>
      </c>
      <c r="C131" s="1" t="s">
        <v>12</v>
      </c>
      <c r="D131" s="6">
        <v>50</v>
      </c>
      <c r="E131" s="6">
        <v>119</v>
      </c>
      <c r="F131" t="s">
        <v>9</v>
      </c>
      <c r="N131"/>
      <c r="P131" s="22" t="str">
        <f>IF(COUNTIFS( $B$2:$B$970, B131, $C$2:$C$970, C131, $D$2:$D$970, D131, $E$2:$E$970, E131) &gt; 1, "Duplicate", "Unique")</f>
        <v>Unique</v>
      </c>
    </row>
    <row r="132" spans="1:16" ht="15" thickBot="1" x14ac:dyDescent="0.4">
      <c r="A132" s="10" t="s">
        <v>85</v>
      </c>
      <c r="B132" s="1" t="s">
        <v>68</v>
      </c>
      <c r="C132" s="1" t="s">
        <v>12</v>
      </c>
      <c r="D132" s="6">
        <v>2</v>
      </c>
      <c r="E132" s="6">
        <v>3856</v>
      </c>
      <c r="F132" t="s">
        <v>9</v>
      </c>
      <c r="N132"/>
      <c r="P132" s="22" t="str">
        <f>IF(COUNTIFS( $B$2:$B$970, B132, $C$2:$C$970, C132, $D$2:$D$970, D132, $E$2:$E$970, E132) &gt; 1, "Duplicate", "Unique")</f>
        <v>Unique</v>
      </c>
    </row>
    <row r="133" spans="1:16" ht="15" thickBot="1" x14ac:dyDescent="0.4">
      <c r="A133" s="5">
        <v>46246.635416666664</v>
      </c>
      <c r="B133" s="1" t="s">
        <v>65</v>
      </c>
      <c r="C133" s="1" t="s">
        <v>12</v>
      </c>
      <c r="D133" s="6">
        <v>69</v>
      </c>
      <c r="E133" s="6">
        <v>1277</v>
      </c>
      <c r="F133" t="s">
        <v>9</v>
      </c>
      <c r="N133"/>
      <c r="P133" s="22" t="str">
        <f>IF(COUNTIFS( $B$2:$B$970, B133, $C$2:$C$970, C133, $D$2:$D$970, D133, $E$2:$E$970, E133) &gt; 1, "Duplicate", "Unique")</f>
        <v>Unique</v>
      </c>
    </row>
    <row r="134" spans="1:16" ht="15" thickBot="1" x14ac:dyDescent="0.4">
      <c r="A134" s="5">
        <v>46241.76458333333</v>
      </c>
      <c r="B134" s="1" t="s">
        <v>86</v>
      </c>
      <c r="C134" s="1" t="s">
        <v>12</v>
      </c>
      <c r="D134" s="6">
        <v>25</v>
      </c>
      <c r="E134" s="6">
        <v>196</v>
      </c>
      <c r="F134" t="s">
        <v>9</v>
      </c>
      <c r="N134"/>
      <c r="P134" s="22" t="str">
        <f>IF(COUNTIFS( $B$2:$B$970, B134, $C$2:$C$970, C134, $D$2:$D$970, D134, $E$2:$E$970, E134) &gt; 1, "Duplicate", "Unique")</f>
        <v>Unique</v>
      </c>
    </row>
    <row r="135" spans="1:16" ht="15" thickBot="1" x14ac:dyDescent="0.4">
      <c r="A135" s="5">
        <v>46364.689583333333</v>
      </c>
      <c r="B135" s="1" t="s">
        <v>19</v>
      </c>
      <c r="C135" s="1" t="s">
        <v>12</v>
      </c>
      <c r="D135" s="6">
        <v>5</v>
      </c>
      <c r="E135" s="6">
        <v>2470</v>
      </c>
      <c r="F135" t="s">
        <v>9</v>
      </c>
      <c r="N135" t="s">
        <v>123</v>
      </c>
      <c r="P135" s="22" t="str">
        <f>IF(COUNTIFS( $B$2:$B$970, B135, $C$2:$C$970, C135, $D$2:$D$970, D135, $E$2:$E$970, E135) &gt; 1, "Duplicate", "Unique")</f>
        <v>Unique</v>
      </c>
    </row>
    <row r="136" spans="1:16" ht="15" thickBot="1" x14ac:dyDescent="0.4">
      <c r="A136" s="10" t="s">
        <v>85</v>
      </c>
      <c r="B136" s="1" t="s">
        <v>68</v>
      </c>
      <c r="C136" s="1" t="s">
        <v>12</v>
      </c>
      <c r="D136" s="6">
        <v>2</v>
      </c>
      <c r="E136" s="6">
        <v>3830</v>
      </c>
      <c r="F136" t="s">
        <v>9</v>
      </c>
      <c r="N136"/>
      <c r="P136" s="22" t="str">
        <f>IF(COUNTIFS( $B$2:$B$970, B136, $C$2:$C$970, C136, $D$2:$D$970, D136, $E$2:$E$970, E136) &gt; 1, "Duplicate", "Unique")</f>
        <v>Unique</v>
      </c>
    </row>
    <row r="137" spans="1:16" ht="15" thickBot="1" x14ac:dyDescent="0.4">
      <c r="A137" s="5">
        <v>46211.6875</v>
      </c>
      <c r="B137" s="1" t="s">
        <v>32</v>
      </c>
      <c r="C137" s="1" t="s">
        <v>12</v>
      </c>
      <c r="D137" s="6">
        <v>10</v>
      </c>
      <c r="E137" s="6">
        <v>640</v>
      </c>
      <c r="F137" t="s">
        <v>9</v>
      </c>
      <c r="N137"/>
      <c r="P137" s="22" t="str">
        <f>IF(COUNTIFS( $B$2:$B$970, B137, $C$2:$C$970, C137, $D$2:$D$970, D137, $E$2:$E$970, E137) &gt; 1, "Duplicate", "Unique")</f>
        <v>Unique</v>
      </c>
    </row>
    <row r="138" spans="1:16" ht="15" thickBot="1" x14ac:dyDescent="0.4">
      <c r="A138" s="5">
        <v>46247.635416666664</v>
      </c>
      <c r="B138" s="1" t="s">
        <v>64</v>
      </c>
      <c r="C138" s="1" t="s">
        <v>12</v>
      </c>
      <c r="D138" s="6">
        <v>15</v>
      </c>
      <c r="E138" s="6">
        <v>1005</v>
      </c>
      <c r="F138" t="s">
        <v>9</v>
      </c>
      <c r="N138"/>
      <c r="P138" s="22" t="str">
        <f>IF(COUNTIFS( $B$2:$B$970, B138, $C$2:$C$970, C138, $D$2:$D$970, D138, $E$2:$E$970, E138) &gt; 1, "Duplicate", "Unique")</f>
        <v>Unique</v>
      </c>
    </row>
    <row r="139" spans="1:16" ht="15" thickBot="1" x14ac:dyDescent="0.4">
      <c r="A139" s="5">
        <v>46246.635416666664</v>
      </c>
      <c r="B139" s="1" t="s">
        <v>52</v>
      </c>
      <c r="C139" s="1" t="s">
        <v>12</v>
      </c>
      <c r="D139" s="6">
        <v>5</v>
      </c>
      <c r="E139" s="6">
        <v>838</v>
      </c>
      <c r="F139" t="s">
        <v>9</v>
      </c>
      <c r="N139" t="s">
        <v>123</v>
      </c>
      <c r="P139" s="22" t="str">
        <f>IF(COUNTIFS( $B$2:$B$970, B139, $C$2:$C$970, C139, $D$2:$D$970, D139, $E$2:$E$970, E139) &gt; 1, "Duplicate", "Unique")</f>
        <v>Unique</v>
      </c>
    </row>
    <row r="140" spans="1:16" ht="15" thickBot="1" x14ac:dyDescent="0.4">
      <c r="A140" s="5">
        <v>46247.689583333333</v>
      </c>
      <c r="B140" s="1" t="s">
        <v>19</v>
      </c>
      <c r="C140" s="1" t="s">
        <v>12</v>
      </c>
      <c r="D140" s="6">
        <v>30</v>
      </c>
      <c r="E140" s="6">
        <v>2460</v>
      </c>
      <c r="F140" t="s">
        <v>9</v>
      </c>
      <c r="N140" t="s">
        <v>125</v>
      </c>
      <c r="P140" s="22" t="str">
        <f>IF(COUNTIFS( $B$2:$B$970, B140, $C$2:$C$970, C140, $D$2:$D$970, D140, $E$2:$E$970, E140) &gt; 1, "Duplicate", "Unique")</f>
        <v>Unique</v>
      </c>
    </row>
    <row r="141" spans="1:16" ht="15" thickBot="1" x14ac:dyDescent="0.4">
      <c r="A141" s="5">
        <v>46248.769120370373</v>
      </c>
      <c r="B141" s="1" t="s">
        <v>11</v>
      </c>
      <c r="C141" s="1" t="s">
        <v>12</v>
      </c>
      <c r="D141" s="6">
        <v>3</v>
      </c>
      <c r="E141" s="6">
        <v>4710</v>
      </c>
      <c r="F141" t="s">
        <v>9</v>
      </c>
      <c r="N141"/>
      <c r="P141" s="22" t="str">
        <f>IF(COUNTIFS( $B$2:$B$970, B141, $C$2:$C$970, C141, $D$2:$D$970, D141, $E$2:$E$970, E141) &gt; 1, "Duplicate", "Unique")</f>
        <v>Unique</v>
      </c>
    </row>
    <row r="142" spans="1:16" ht="15" thickBot="1" x14ac:dyDescent="0.4">
      <c r="A142" s="5">
        <v>46248.63553240741</v>
      </c>
      <c r="B142" s="1" t="s">
        <v>87</v>
      </c>
      <c r="C142" s="1" t="s">
        <v>12</v>
      </c>
      <c r="D142" s="6">
        <v>1</v>
      </c>
      <c r="E142" s="6">
        <v>2752</v>
      </c>
      <c r="F142" t="s">
        <v>9</v>
      </c>
      <c r="N142"/>
      <c r="P142" s="22" t="str">
        <f>IF(COUNTIFS( $B$2:$B$970, B142, $C$2:$C$970, C142, $D$2:$D$970, D142, $E$2:$E$970, E142) &gt; 1, "Duplicate", "Unique")</f>
        <v>Unique</v>
      </c>
    </row>
    <row r="143" spans="1:16" ht="15" thickBot="1" x14ac:dyDescent="0.4">
      <c r="A143" s="5">
        <v>46247.689583333333</v>
      </c>
      <c r="B143" s="1" t="s">
        <v>35</v>
      </c>
      <c r="C143" s="1" t="s">
        <v>12</v>
      </c>
      <c r="D143" s="6">
        <v>50</v>
      </c>
      <c r="E143" s="6">
        <v>196</v>
      </c>
      <c r="F143" t="s">
        <v>9</v>
      </c>
      <c r="N143"/>
      <c r="P143" s="22" t="str">
        <f>IF(COUNTIFS( $B$2:$B$970, B143, $C$2:$C$970, C143, $D$2:$D$970, D143, $E$2:$E$970, E143) &gt; 1, "Duplicate", "Unique")</f>
        <v>Unique</v>
      </c>
    </row>
    <row r="144" spans="1:16" ht="15" thickBot="1" x14ac:dyDescent="0.4">
      <c r="A144" s="5">
        <v>46248.635567129626</v>
      </c>
      <c r="B144" s="1" t="s">
        <v>52</v>
      </c>
      <c r="C144" s="1" t="s">
        <v>12</v>
      </c>
      <c r="D144" s="6">
        <v>25</v>
      </c>
      <c r="E144" s="6">
        <v>836</v>
      </c>
      <c r="F144" t="s">
        <v>9</v>
      </c>
      <c r="N144" t="s">
        <v>125</v>
      </c>
      <c r="P144" s="22" t="str">
        <f>IF(COUNTIFS( $B$2:$B$970, B144, $C$2:$C$970, C144, $D$2:$D$970, D144, $E$2:$E$970, E144) &gt; 1, "Duplicate", "Unique")</f>
        <v>Unique</v>
      </c>
    </row>
    <row r="145" spans="1:16" ht="15" thickBot="1" x14ac:dyDescent="0.4">
      <c r="A145" s="10" t="s">
        <v>85</v>
      </c>
      <c r="B145" s="1" t="s">
        <v>68</v>
      </c>
      <c r="C145" s="1" t="s">
        <v>12</v>
      </c>
      <c r="D145" s="6">
        <v>3</v>
      </c>
      <c r="E145" s="6">
        <v>3810</v>
      </c>
      <c r="F145" t="s">
        <v>9</v>
      </c>
      <c r="N145"/>
      <c r="P145" s="22" t="str">
        <f>IF(COUNTIFS( $B$2:$B$970, B145, $C$2:$C$970, C145, $D$2:$D$970, D145, $E$2:$E$970, E145) &gt; 1, "Duplicate", "Unique")</f>
        <v>Unique</v>
      </c>
    </row>
    <row r="146" spans="1:16" ht="15" thickBot="1" x14ac:dyDescent="0.4">
      <c r="A146" s="5">
        <v>46239.635416666664</v>
      </c>
      <c r="B146" s="1" t="s">
        <v>44</v>
      </c>
      <c r="C146" s="1" t="s">
        <v>12</v>
      </c>
      <c r="D146" s="6">
        <v>40</v>
      </c>
      <c r="E146" s="6">
        <v>878</v>
      </c>
      <c r="F146" t="s">
        <v>9</v>
      </c>
      <c r="N146"/>
      <c r="P146" s="22" t="str">
        <f>IF(COUNTIFS( $B$2:$B$970, B146, $C$2:$C$970, C146, $D$2:$D$970, D146, $E$2:$E$970, E146) &gt; 1, "Duplicate", "Unique")</f>
        <v>Unique</v>
      </c>
    </row>
    <row r="147" spans="1:16" ht="15" thickBot="1" x14ac:dyDescent="0.4">
      <c r="A147" s="5">
        <v>46334.692361111112</v>
      </c>
      <c r="B147" s="1" t="s">
        <v>37</v>
      </c>
      <c r="C147" s="1" t="s">
        <v>12</v>
      </c>
      <c r="D147" s="6">
        <v>11</v>
      </c>
      <c r="E147" s="6">
        <v>882</v>
      </c>
      <c r="F147" t="s">
        <v>9</v>
      </c>
      <c r="N147"/>
      <c r="P147" s="22" t="str">
        <f>IF(COUNTIFS( $B$2:$B$970, B147, $C$2:$C$970, C147, $D$2:$D$970, D147, $E$2:$E$970, E147) &gt; 1, "Duplicate", "Unique")</f>
        <v>Unique</v>
      </c>
    </row>
    <row r="148" spans="1:16" ht="15" thickBot="1" x14ac:dyDescent="0.4">
      <c r="A148" s="5">
        <v>46247.689583333333</v>
      </c>
      <c r="B148" s="1" t="s">
        <v>19</v>
      </c>
      <c r="C148" s="1" t="s">
        <v>12</v>
      </c>
      <c r="D148" s="6">
        <v>30</v>
      </c>
      <c r="E148" s="6">
        <v>2435</v>
      </c>
      <c r="F148" t="s">
        <v>9</v>
      </c>
      <c r="N148" t="s">
        <v>125</v>
      </c>
      <c r="P148" s="22" t="str">
        <f>IF(COUNTIFS( $B$2:$B$970, B148, $C$2:$C$970, C148, $D$2:$D$970, D148, $E$2:$E$970, E148) &gt; 1, "Duplicate", "Unique")</f>
        <v>Unique</v>
      </c>
    </row>
    <row r="149" spans="1:16" ht="15" thickBot="1" x14ac:dyDescent="0.4">
      <c r="A149" s="5">
        <v>46241.6875</v>
      </c>
      <c r="B149" s="1" t="s">
        <v>23</v>
      </c>
      <c r="C149" s="1" t="s">
        <v>12</v>
      </c>
      <c r="D149" s="6">
        <v>50</v>
      </c>
      <c r="E149" s="6">
        <v>206</v>
      </c>
      <c r="F149" t="s">
        <v>9</v>
      </c>
      <c r="N149" t="s">
        <v>123</v>
      </c>
      <c r="P149" s="22" t="str">
        <f>IF(COUNTIFS( $B$2:$B$970, B149, $C$2:$C$970, C149, $D$2:$D$970, D149, $E$2:$E$970, E149) &gt; 1, "Duplicate", "Unique")</f>
        <v>Unique</v>
      </c>
    </row>
    <row r="150" spans="1:16" ht="15" thickBot="1" x14ac:dyDescent="0.4">
      <c r="A150" s="5">
        <v>46245.693055555559</v>
      </c>
      <c r="B150" s="1" t="s">
        <v>18</v>
      </c>
      <c r="C150" s="1" t="s">
        <v>12</v>
      </c>
      <c r="D150" s="6">
        <v>100</v>
      </c>
      <c r="E150" s="6">
        <v>322</v>
      </c>
      <c r="F150" t="s">
        <v>9</v>
      </c>
      <c r="N150" s="24" t="s">
        <v>121</v>
      </c>
      <c r="P150" s="22" t="str">
        <f>IF(COUNTIFS( $B$2:$B$970, B150, $C$2:$C$970, C150, $D$2:$D$970, D150, $E$2:$E$970, E150) &gt; 1, "Duplicate", "Unique")</f>
        <v>Unique</v>
      </c>
    </row>
    <row r="151" spans="1:16" ht="15" thickBot="1" x14ac:dyDescent="0.4">
      <c r="A151" s="10" t="s">
        <v>85</v>
      </c>
      <c r="B151" s="1" t="s">
        <v>69</v>
      </c>
      <c r="C151" s="1" t="s">
        <v>12</v>
      </c>
      <c r="D151" s="6">
        <v>2</v>
      </c>
      <c r="E151" s="6">
        <v>4010</v>
      </c>
      <c r="F151" t="s">
        <v>9</v>
      </c>
      <c r="N151"/>
      <c r="P151" s="22" t="str">
        <f>IF(COUNTIFS( $B$2:$B$970, B151, $C$2:$C$970, C151, $D$2:$D$970, D151, $E$2:$E$970, E151) &gt; 1, "Duplicate", "Unique")</f>
        <v>Unique</v>
      </c>
    </row>
    <row r="152" spans="1:16" ht="15" thickBot="1" x14ac:dyDescent="0.4">
      <c r="A152" s="5">
        <v>46247.635416666664</v>
      </c>
      <c r="B152" s="1" t="s">
        <v>60</v>
      </c>
      <c r="C152" s="1" t="s">
        <v>12</v>
      </c>
      <c r="D152" s="6">
        <v>1</v>
      </c>
      <c r="E152" s="6">
        <v>18552</v>
      </c>
      <c r="F152" t="s">
        <v>9</v>
      </c>
      <c r="N152"/>
      <c r="P152" s="22" t="str">
        <f>IF(COUNTIFS( $B$2:$B$970, B152, $C$2:$C$970, C152, $D$2:$D$970, D152, $E$2:$E$970, E152) &gt; 1, "Duplicate", "Unique")</f>
        <v>Unique</v>
      </c>
    </row>
    <row r="153" spans="1:16" ht="15" thickBot="1" x14ac:dyDescent="0.4">
      <c r="A153" s="10" t="s">
        <v>85</v>
      </c>
      <c r="B153" s="1" t="s">
        <v>68</v>
      </c>
      <c r="C153" s="1" t="s">
        <v>12</v>
      </c>
      <c r="D153" s="6">
        <v>2</v>
      </c>
      <c r="E153" s="6">
        <v>3760</v>
      </c>
      <c r="F153" t="s">
        <v>9</v>
      </c>
      <c r="N153"/>
      <c r="P153" s="22" t="str">
        <f>IF(COUNTIFS( $B$2:$B$970, B153, $C$2:$C$970, C153, $D$2:$D$970, D153, $E$2:$E$970, E153) &gt; 1, "Duplicate", "Unique")</f>
        <v>Unique</v>
      </c>
    </row>
    <row r="154" spans="1:16" ht="15" thickBot="1" x14ac:dyDescent="0.4">
      <c r="A154" s="5">
        <v>46245.693055555559</v>
      </c>
      <c r="B154" s="1" t="s">
        <v>33</v>
      </c>
      <c r="C154" s="1" t="s">
        <v>12</v>
      </c>
      <c r="D154" s="6">
        <v>50</v>
      </c>
      <c r="E154" s="6">
        <v>116</v>
      </c>
      <c r="F154" t="s">
        <v>9</v>
      </c>
      <c r="N154"/>
      <c r="P154" s="22" t="str">
        <f>IF(COUNTIFS( $B$2:$B$970, B154, $C$2:$C$970, C154, $D$2:$D$970, D154, $E$2:$E$970, E154) &gt; 1, "Duplicate", "Unique")</f>
        <v>Unique</v>
      </c>
    </row>
    <row r="155" spans="1:16" ht="15" thickBot="1" x14ac:dyDescent="0.4">
      <c r="A155" s="5">
        <v>46364.635416666664</v>
      </c>
      <c r="B155" s="1" t="s">
        <v>62</v>
      </c>
      <c r="C155" s="1" t="s">
        <v>12</v>
      </c>
      <c r="D155" s="6">
        <v>1</v>
      </c>
      <c r="E155" s="6">
        <v>13052</v>
      </c>
      <c r="F155" t="s">
        <v>9</v>
      </c>
      <c r="N155"/>
      <c r="P155" s="22" t="str">
        <f>IF(COUNTIFS( $B$2:$B$970, B155, $C$2:$C$970, C155, $D$2:$D$970, D155, $E$2:$E$970, E155) &gt; 1, "Duplicate", "Unique")</f>
        <v>Unique</v>
      </c>
    </row>
    <row r="156" spans="1:16" ht="15" thickBot="1" x14ac:dyDescent="0.4">
      <c r="A156" s="5">
        <v>46245.693055555559</v>
      </c>
      <c r="B156" s="1" t="s">
        <v>33</v>
      </c>
      <c r="C156" s="1" t="s">
        <v>12</v>
      </c>
      <c r="D156" s="6">
        <v>200</v>
      </c>
      <c r="E156" s="6">
        <v>115.25</v>
      </c>
      <c r="F156" t="s">
        <v>9</v>
      </c>
      <c r="N156"/>
      <c r="P156" s="22" t="str">
        <f>IF(COUNTIFS( $B$2:$B$970, B156, $C$2:$C$970, C156, $D$2:$D$970, D156, $E$2:$E$970, E156) &gt; 1, "Duplicate", "Unique")</f>
        <v>Unique</v>
      </c>
    </row>
    <row r="157" spans="1:16" ht="15" thickBot="1" x14ac:dyDescent="0.4">
      <c r="A157" s="5">
        <v>46246.635416666664</v>
      </c>
      <c r="B157" s="1" t="s">
        <v>54</v>
      </c>
      <c r="C157" s="1" t="s">
        <v>12</v>
      </c>
      <c r="D157" s="6">
        <v>8</v>
      </c>
      <c r="E157" s="6">
        <v>2370</v>
      </c>
      <c r="F157" t="s">
        <v>9</v>
      </c>
      <c r="N157"/>
      <c r="P157" s="22" t="str">
        <f>IF(COUNTIFS( $B$2:$B$970, B157, $C$2:$C$970, C157, $D$2:$D$970, D157, $E$2:$E$970, E157) &gt; 1, "Duplicate", "Unique")</f>
        <v>Unique</v>
      </c>
    </row>
    <row r="158" spans="1:16" ht="15" thickBot="1" x14ac:dyDescent="0.4">
      <c r="A158" s="5">
        <v>46241.765277777777</v>
      </c>
      <c r="B158" s="1" t="s">
        <v>88</v>
      </c>
      <c r="C158" s="1" t="s">
        <v>12</v>
      </c>
      <c r="D158" s="6">
        <v>4</v>
      </c>
      <c r="E158" s="6">
        <v>1751</v>
      </c>
      <c r="F158" t="s">
        <v>9</v>
      </c>
      <c r="N158"/>
      <c r="P158" s="22" t="str">
        <f>IF(COUNTIFS( $B$2:$B$970, B158, $C$2:$C$970, C158, $D$2:$D$970, D158, $E$2:$E$970, E158) &gt; 1, "Duplicate", "Unique")</f>
        <v>Unique</v>
      </c>
    </row>
    <row r="159" spans="1:16" ht="15" thickBot="1" x14ac:dyDescent="0.4">
      <c r="A159" s="5">
        <v>46246.635416666664</v>
      </c>
      <c r="B159" s="1" t="s">
        <v>56</v>
      </c>
      <c r="C159" s="1" t="s">
        <v>12</v>
      </c>
      <c r="D159" s="6">
        <v>10</v>
      </c>
      <c r="E159" s="6">
        <v>1132</v>
      </c>
      <c r="F159" t="s">
        <v>9</v>
      </c>
      <c r="N159"/>
      <c r="P159" s="22" t="str">
        <f>IF(COUNTIFS( $B$2:$B$970, B159, $C$2:$C$970, C159, $D$2:$D$970, D159, $E$2:$E$970, E159) &gt; 1, "Duplicate", "Unique")</f>
        <v>Unique</v>
      </c>
    </row>
    <row r="160" spans="1:16" ht="15" thickBot="1" x14ac:dyDescent="0.4">
      <c r="A160" s="5">
        <v>46246.635416666664</v>
      </c>
      <c r="B160" s="1" t="s">
        <v>51</v>
      </c>
      <c r="C160" s="1" t="s">
        <v>12</v>
      </c>
      <c r="D160" s="6">
        <v>10</v>
      </c>
      <c r="E160" s="6">
        <v>1280</v>
      </c>
      <c r="F160" t="s">
        <v>9</v>
      </c>
      <c r="N160" t="s">
        <v>125</v>
      </c>
      <c r="P160" s="22" t="str">
        <f>IF(COUNTIFS( $B$2:$B$970, B160, $C$2:$C$970, C160, $D$2:$D$970, D160, $E$2:$E$970, E160) &gt; 1, "Duplicate", "Unique")</f>
        <v>Unique</v>
      </c>
    </row>
    <row r="161" spans="1:16" ht="15" thickBot="1" x14ac:dyDescent="0.4">
      <c r="A161" s="5">
        <v>46246.644444444442</v>
      </c>
      <c r="B161" s="1" t="s">
        <v>44</v>
      </c>
      <c r="C161" s="1" t="s">
        <v>12</v>
      </c>
      <c r="D161" s="6">
        <v>40</v>
      </c>
      <c r="E161" s="6">
        <v>862</v>
      </c>
      <c r="F161" t="s">
        <v>9</v>
      </c>
      <c r="N161"/>
      <c r="P161" s="22" t="str">
        <f>IF(COUNTIFS( $B$2:$B$970, B161, $C$2:$C$970, C161, $D$2:$D$970, D161, $E$2:$E$970, E161) &gt; 1, "Duplicate", "Unique")</f>
        <v>Unique</v>
      </c>
    </row>
    <row r="162" spans="1:16" ht="15" thickBot="1" x14ac:dyDescent="0.4">
      <c r="A162" s="5">
        <v>46241.6875</v>
      </c>
      <c r="B162" s="1" t="s">
        <v>32</v>
      </c>
      <c r="C162" s="1" t="s">
        <v>12</v>
      </c>
      <c r="D162" s="6">
        <v>20</v>
      </c>
      <c r="E162" s="6">
        <v>620</v>
      </c>
      <c r="F162" t="s">
        <v>9</v>
      </c>
      <c r="N162"/>
      <c r="P162" s="22" t="str">
        <f>IF(COUNTIFS( $B$2:$B$970, B162, $C$2:$C$970, C162, $D$2:$D$970, D162, $E$2:$E$970, E162) &gt; 1, "Duplicate", "Unique")</f>
        <v>Unique</v>
      </c>
    </row>
    <row r="163" spans="1:16" ht="15" thickBot="1" x14ac:dyDescent="0.4">
      <c r="A163" s="5">
        <v>46240.6875</v>
      </c>
      <c r="B163" s="1" t="s">
        <v>32</v>
      </c>
      <c r="C163" s="1" t="s">
        <v>12</v>
      </c>
      <c r="D163" s="6">
        <v>30</v>
      </c>
      <c r="E163" s="6">
        <v>620</v>
      </c>
      <c r="F163" t="s">
        <v>9</v>
      </c>
      <c r="N163"/>
      <c r="P163" s="22" t="str">
        <f>IF(COUNTIFS( $B$2:$B$970, B163, $C$2:$C$970, C163, $D$2:$D$970, D163, $E$2:$E$970, E163) &gt; 1, "Duplicate", "Unique")</f>
        <v>Unique</v>
      </c>
    </row>
    <row r="164" spans="1:16" ht="15" thickBot="1" x14ac:dyDescent="0.4">
      <c r="A164" s="5">
        <v>46334.635416666664</v>
      </c>
      <c r="B164" s="1" t="s">
        <v>87</v>
      </c>
      <c r="C164" s="1" t="s">
        <v>12</v>
      </c>
      <c r="D164" s="6">
        <v>2</v>
      </c>
      <c r="E164" s="6">
        <v>2660</v>
      </c>
      <c r="F164" t="s">
        <v>9</v>
      </c>
      <c r="N164"/>
      <c r="P164" s="22" t="str">
        <f>IF(COUNTIFS( $B$2:$B$970, B164, $C$2:$C$970, C164, $D$2:$D$970, D164, $E$2:$E$970, E164) &gt; 1, "Duplicate", "Unique")</f>
        <v>Unique</v>
      </c>
    </row>
    <row r="165" spans="1:16" ht="15" thickBot="1" x14ac:dyDescent="0.4">
      <c r="A165" s="5">
        <v>46211.635416666664</v>
      </c>
      <c r="B165" s="1" t="s">
        <v>53</v>
      </c>
      <c r="C165" s="1" t="s">
        <v>12</v>
      </c>
      <c r="D165" s="6">
        <v>1</v>
      </c>
      <c r="E165" s="6">
        <v>4560</v>
      </c>
      <c r="F165" t="s">
        <v>9</v>
      </c>
      <c r="N165"/>
      <c r="P165" s="22" t="str">
        <f>IF(COUNTIFS( $B$2:$B$970, B165, $C$2:$C$970, C165, $D$2:$D$970, D165, $E$2:$E$970, E165) &gt; 1, "Duplicate", "Unique")</f>
        <v>Unique</v>
      </c>
    </row>
    <row r="166" spans="1:16" ht="15" thickBot="1" x14ac:dyDescent="0.4">
      <c r="A166" s="5">
        <v>46334.692361111112</v>
      </c>
      <c r="B166" s="1" t="s">
        <v>37</v>
      </c>
      <c r="C166" s="1" t="s">
        <v>12</v>
      </c>
      <c r="D166" s="6">
        <v>30</v>
      </c>
      <c r="E166" s="6">
        <v>860</v>
      </c>
      <c r="F166" t="s">
        <v>9</v>
      </c>
      <c r="N166"/>
      <c r="P166" s="22" t="str">
        <f>IF(COUNTIFS( $B$2:$B$970, B166, $C$2:$C$970, C166, $D$2:$D$970, D166, $E$2:$E$970, E166) &gt; 1, "Duplicate", "Unique")</f>
        <v>Unique</v>
      </c>
    </row>
    <row r="167" spans="1:16" ht="15" thickBot="1" x14ac:dyDescent="0.4">
      <c r="A167" s="5">
        <v>46248.770914351851</v>
      </c>
      <c r="B167" s="1" t="s">
        <v>14</v>
      </c>
      <c r="C167" s="1" t="s">
        <v>12</v>
      </c>
      <c r="D167" s="6">
        <v>5</v>
      </c>
      <c r="E167" s="6">
        <v>604</v>
      </c>
      <c r="F167" t="s">
        <v>9</v>
      </c>
      <c r="N167"/>
      <c r="P167" s="22" t="str">
        <f>IF(COUNTIFS( $B$2:$B$970, B167, $C$2:$C$970, C167, $D$2:$D$970, D167, $E$2:$E$970, E167) &gt; 1, "Duplicate", "Unique")</f>
        <v>Unique</v>
      </c>
    </row>
    <row r="168" spans="1:16" ht="15" thickBot="1" x14ac:dyDescent="0.4">
      <c r="A168" s="10" t="s">
        <v>85</v>
      </c>
      <c r="B168" s="1" t="s">
        <v>89</v>
      </c>
      <c r="C168" s="1" t="s">
        <v>12</v>
      </c>
      <c r="D168" s="6">
        <v>1</v>
      </c>
      <c r="E168" s="6">
        <v>6920</v>
      </c>
      <c r="F168" t="s">
        <v>9</v>
      </c>
      <c r="N168"/>
      <c r="P168" s="22" t="str">
        <f>IF(COUNTIFS( $B$2:$B$970, B168, $C$2:$C$970, C168, $D$2:$D$970, D168, $E$2:$E$970, E168) &gt; 1, "Duplicate", "Unique")</f>
        <v>Unique</v>
      </c>
    </row>
    <row r="169" spans="1:16" ht="15" thickBot="1" x14ac:dyDescent="0.4">
      <c r="A169" s="5">
        <v>46247.635416666664</v>
      </c>
      <c r="B169" s="1" t="s">
        <v>60</v>
      </c>
      <c r="C169" s="1" t="s">
        <v>12</v>
      </c>
      <c r="D169" s="6">
        <v>1</v>
      </c>
      <c r="E169" s="6">
        <v>18052</v>
      </c>
      <c r="F169" t="s">
        <v>9</v>
      </c>
      <c r="N169"/>
      <c r="P169" s="22" t="str">
        <f>IF(COUNTIFS( $B$2:$B$970, B169, $C$2:$C$970, C169, $D$2:$D$970, D169, $E$2:$E$970, E169) &gt; 1, "Duplicate", "Unique")</f>
        <v>Unique</v>
      </c>
    </row>
    <row r="170" spans="1:16" ht="15" thickBot="1" x14ac:dyDescent="0.4">
      <c r="A170" s="5">
        <v>46246.635416666664</v>
      </c>
      <c r="B170" s="1" t="s">
        <v>51</v>
      </c>
      <c r="C170" s="1" t="s">
        <v>12</v>
      </c>
      <c r="D170" s="6">
        <v>10</v>
      </c>
      <c r="E170" s="6">
        <v>1260</v>
      </c>
      <c r="F170" t="s">
        <v>9</v>
      </c>
      <c r="N170" t="s">
        <v>125</v>
      </c>
      <c r="P170" s="22" t="str">
        <f>IF(COUNTIFS( $B$2:$B$970, B170, $C$2:$C$970, C170, $D$2:$D$970, D170, $E$2:$E$970, E170) &gt; 1, "Duplicate", "Unique")</f>
        <v>Unique</v>
      </c>
    </row>
    <row r="171" spans="1:16" ht="15" thickBot="1" x14ac:dyDescent="0.4">
      <c r="A171" s="5">
        <v>46334.692361111112</v>
      </c>
      <c r="B171" s="1" t="s">
        <v>37</v>
      </c>
      <c r="C171" s="1" t="s">
        <v>12</v>
      </c>
      <c r="D171" s="6">
        <v>5</v>
      </c>
      <c r="E171" s="6">
        <v>852</v>
      </c>
      <c r="F171" t="s">
        <v>9</v>
      </c>
      <c r="N171"/>
      <c r="P171" s="22" t="str">
        <f>IF(COUNTIFS( $B$2:$B$970, B171, $C$2:$C$970, C171, $D$2:$D$970, D171, $E$2:$E$970, E171) &gt; 1, "Duplicate", "Unique")</f>
        <v>Unique</v>
      </c>
    </row>
    <row r="172" spans="1:16" ht="15" thickBot="1" x14ac:dyDescent="0.4">
      <c r="A172" s="5">
        <v>46246.635416666664</v>
      </c>
      <c r="B172" s="1" t="s">
        <v>51</v>
      </c>
      <c r="C172" s="1" t="s">
        <v>12</v>
      </c>
      <c r="D172" s="6">
        <v>10</v>
      </c>
      <c r="E172" s="6">
        <v>1251</v>
      </c>
      <c r="F172" t="s">
        <v>9</v>
      </c>
      <c r="N172" t="s">
        <v>125</v>
      </c>
      <c r="P172" s="22" t="str">
        <f>IF(COUNTIFS( $B$2:$B$970, B172, $C$2:$C$970, C172, $D$2:$D$970, D172, $E$2:$E$970, E172) &gt; 1, "Duplicate", "Unique")</f>
        <v>Unique</v>
      </c>
    </row>
    <row r="173" spans="1:16" ht="15" thickBot="1" x14ac:dyDescent="0.4">
      <c r="A173" s="5">
        <v>46246.689583333333</v>
      </c>
      <c r="B173" s="1" t="s">
        <v>84</v>
      </c>
      <c r="C173" s="1" t="s">
        <v>12</v>
      </c>
      <c r="D173" s="6">
        <v>200</v>
      </c>
      <c r="E173" s="6">
        <v>31.01</v>
      </c>
      <c r="F173" t="s">
        <v>9</v>
      </c>
      <c r="N173"/>
      <c r="P173" s="22" t="str">
        <f>IF(COUNTIFS( $B$2:$B$970, B173, $C$2:$C$970, C173, $D$2:$D$970, D173, $E$2:$E$970, E173) &gt; 1, "Duplicate", "Unique")</f>
        <v>Unique</v>
      </c>
    </row>
    <row r="174" spans="1:16" ht="15" thickBot="1" x14ac:dyDescent="0.4">
      <c r="A174" s="5">
        <v>46240.635416666664</v>
      </c>
      <c r="B174" s="1" t="s">
        <v>53</v>
      </c>
      <c r="C174" s="1" t="s">
        <v>12</v>
      </c>
      <c r="D174" s="6">
        <v>2</v>
      </c>
      <c r="E174" s="6">
        <v>4456</v>
      </c>
      <c r="F174" t="s">
        <v>9</v>
      </c>
      <c r="N174"/>
      <c r="P174" s="22" t="str">
        <f>IF(COUNTIFS( $B$2:$B$970, B174, $C$2:$C$970, C174, $D$2:$D$970, D174, $E$2:$E$970, E174) &gt; 1, "Duplicate", "Unique")</f>
        <v>Unique</v>
      </c>
    </row>
    <row r="175" spans="1:16" ht="15" thickBot="1" x14ac:dyDescent="0.4">
      <c r="A175" s="5">
        <v>46181.6875</v>
      </c>
      <c r="B175" s="1" t="s">
        <v>33</v>
      </c>
      <c r="C175" s="1" t="s">
        <v>12</v>
      </c>
      <c r="D175" s="6">
        <v>100</v>
      </c>
      <c r="E175" s="6">
        <v>111</v>
      </c>
      <c r="F175" t="s">
        <v>9</v>
      </c>
      <c r="N175"/>
      <c r="P175" s="22" t="str">
        <f>IF(COUNTIFS( $B$2:$B$970, B175, $C$2:$C$970, C175, $D$2:$D$970, D175, $E$2:$E$970, E175) &gt; 1, "Duplicate", "Unique")</f>
        <v>Unique</v>
      </c>
    </row>
    <row r="176" spans="1:16" ht="15" thickBot="1" x14ac:dyDescent="0.4">
      <c r="A176" s="10" t="s">
        <v>85</v>
      </c>
      <c r="B176" s="1" t="s">
        <v>30</v>
      </c>
      <c r="C176" s="1" t="s">
        <v>12</v>
      </c>
      <c r="D176" s="6">
        <v>10</v>
      </c>
      <c r="E176" s="6">
        <v>251</v>
      </c>
      <c r="F176" t="s">
        <v>9</v>
      </c>
      <c r="N176"/>
      <c r="P176" s="22" t="str">
        <f>IF(COUNTIFS( $B$2:$B$970, B176, $C$2:$C$970, C176, $D$2:$D$970, D176, $E$2:$E$970, E176) &gt; 1, "Duplicate", "Unique")</f>
        <v>Unique</v>
      </c>
    </row>
    <row r="177" spans="1:16" ht="15" thickBot="1" x14ac:dyDescent="0.4">
      <c r="A177" s="10" t="s">
        <v>85</v>
      </c>
      <c r="B177" s="1" t="s">
        <v>90</v>
      </c>
      <c r="C177" s="1" t="s">
        <v>12</v>
      </c>
      <c r="D177" s="6">
        <v>4</v>
      </c>
      <c r="E177" s="6">
        <v>701</v>
      </c>
      <c r="F177" t="s">
        <v>9</v>
      </c>
      <c r="N177"/>
      <c r="P177" s="22" t="str">
        <f>IF(COUNTIFS( $B$2:$B$970, B177, $C$2:$C$970, C177, $D$2:$D$970, D177, $E$2:$E$970, E177) &gt; 1, "Duplicate", "Unique")</f>
        <v>Unique</v>
      </c>
    </row>
    <row r="178" spans="1:16" ht="15" thickBot="1" x14ac:dyDescent="0.4">
      <c r="A178" s="5">
        <v>46241.6875</v>
      </c>
      <c r="B178" s="1" t="s">
        <v>11</v>
      </c>
      <c r="C178" s="1" t="s">
        <v>12</v>
      </c>
      <c r="D178" s="6">
        <v>2</v>
      </c>
      <c r="E178" s="6">
        <v>4410</v>
      </c>
      <c r="F178" t="s">
        <v>9</v>
      </c>
      <c r="N178"/>
      <c r="P178" s="22" t="str">
        <f>IF(COUNTIFS( $B$2:$B$970, B178, $C$2:$C$970, C178, $D$2:$D$970, D178, $E$2:$E$970, E178) &gt; 1, "Duplicate", "Unique")</f>
        <v>Unique</v>
      </c>
    </row>
    <row r="179" spans="1:16" ht="15" thickBot="1" x14ac:dyDescent="0.4">
      <c r="A179" s="5">
        <v>46239.788888888892</v>
      </c>
      <c r="B179" s="1" t="s">
        <v>28</v>
      </c>
      <c r="C179" s="1" t="s">
        <v>12</v>
      </c>
      <c r="D179" s="6">
        <v>5</v>
      </c>
      <c r="E179" s="6">
        <v>419</v>
      </c>
      <c r="F179" t="s">
        <v>9</v>
      </c>
      <c r="N179"/>
      <c r="P179" s="22" t="str">
        <f>IF(COUNTIFS( $B$2:$B$970, B179, $C$2:$C$970, C179, $D$2:$D$970, D179, $E$2:$E$970, E179) &gt; 1, "Duplicate", "Unique")</f>
        <v>Unique</v>
      </c>
    </row>
    <row r="180" spans="1:16" ht="15" thickBot="1" x14ac:dyDescent="0.4">
      <c r="A180" s="5">
        <v>46150.635416666664</v>
      </c>
      <c r="B180" s="1" t="s">
        <v>53</v>
      </c>
      <c r="C180" s="1" t="s">
        <v>12</v>
      </c>
      <c r="D180" s="6">
        <v>15</v>
      </c>
      <c r="E180" s="6">
        <v>4415</v>
      </c>
      <c r="F180" t="s">
        <v>9</v>
      </c>
      <c r="N180"/>
      <c r="P180" s="22" t="str">
        <f>IF(COUNTIFS( $B$2:$B$970, B180, $C$2:$C$970, C180, $D$2:$D$970, D180, $E$2:$E$970, E180) &gt; 1, "Duplicate", "Unique")</f>
        <v>Unique</v>
      </c>
    </row>
    <row r="181" spans="1:16" ht="15" thickBot="1" x14ac:dyDescent="0.4">
      <c r="A181" s="5">
        <v>46244.635416666664</v>
      </c>
      <c r="B181" s="1" t="s">
        <v>87</v>
      </c>
      <c r="C181" s="1" t="s">
        <v>12</v>
      </c>
      <c r="D181" s="6">
        <v>2</v>
      </c>
      <c r="E181" s="6">
        <v>2560</v>
      </c>
      <c r="F181" t="s">
        <v>9</v>
      </c>
      <c r="N181"/>
      <c r="P181" s="22" t="str">
        <f>IF(COUNTIFS( $B$2:$B$970, B181, $C$2:$C$970, C181, $D$2:$D$970, D181, $E$2:$E$970, E181) &gt; 1, "Duplicate", "Unique")</f>
        <v>Unique</v>
      </c>
    </row>
    <row r="182" spans="1:16" ht="15" thickBot="1" x14ac:dyDescent="0.4">
      <c r="A182" s="10" t="s">
        <v>85</v>
      </c>
      <c r="B182" s="1" t="s">
        <v>11</v>
      </c>
      <c r="C182" s="1" t="s">
        <v>12</v>
      </c>
      <c r="D182" s="6">
        <v>1</v>
      </c>
      <c r="E182" s="6">
        <v>4364</v>
      </c>
      <c r="F182" t="s">
        <v>9</v>
      </c>
      <c r="N182"/>
      <c r="P182" s="22" t="str">
        <f>IF(COUNTIFS( $B$2:$B$970, B182, $C$2:$C$970, C182, $D$2:$D$970, D182, $E$2:$E$970, E182) &gt; 1, "Duplicate", "Unique")</f>
        <v>Unique</v>
      </c>
    </row>
    <row r="183" spans="1:16" ht="15" thickBot="1" x14ac:dyDescent="0.4">
      <c r="A183" s="5">
        <v>46240.6875</v>
      </c>
      <c r="B183" s="1" t="s">
        <v>22</v>
      </c>
      <c r="C183" s="1" t="s">
        <v>12</v>
      </c>
      <c r="D183" s="6">
        <v>5</v>
      </c>
      <c r="E183" s="6">
        <v>1614</v>
      </c>
      <c r="F183" t="s">
        <v>9</v>
      </c>
      <c r="N183"/>
      <c r="P183" s="22" t="str">
        <f>IF(COUNTIFS( $B$2:$B$970, B183, $C$2:$C$970, C183, $D$2:$D$970, D183, $E$2:$E$970, E183) &gt; 1, "Duplicate", "Unique")</f>
        <v>Unique</v>
      </c>
    </row>
    <row r="184" spans="1:16" ht="15" thickBot="1" x14ac:dyDescent="0.4">
      <c r="A184" s="5">
        <v>46150.789583333331</v>
      </c>
      <c r="B184" s="1" t="s">
        <v>91</v>
      </c>
      <c r="C184" s="1" t="s">
        <v>12</v>
      </c>
      <c r="D184" s="6">
        <v>7</v>
      </c>
      <c r="E184" s="6">
        <v>411</v>
      </c>
      <c r="F184" t="s">
        <v>9</v>
      </c>
      <c r="N184"/>
      <c r="P184" s="22" t="str">
        <f>IF(COUNTIFS( $B$2:$B$970, B184, $C$2:$C$970, C184, $D$2:$D$970, D184, $E$2:$E$970, E184) &gt; 1, "Duplicate", "Unique")</f>
        <v>Unique</v>
      </c>
    </row>
    <row r="185" spans="1:16" ht="15" thickBot="1" x14ac:dyDescent="0.4">
      <c r="A185" s="10" t="s">
        <v>85</v>
      </c>
      <c r="B185" s="1" t="s">
        <v>28</v>
      </c>
      <c r="C185" s="1" t="s">
        <v>12</v>
      </c>
      <c r="D185" s="6">
        <v>29</v>
      </c>
      <c r="E185" s="6">
        <v>401</v>
      </c>
      <c r="F185" t="s">
        <v>9</v>
      </c>
      <c r="N185"/>
      <c r="P185" s="22" t="str">
        <f>IF(COUNTIFS( $B$2:$B$970, B185, $C$2:$C$970, C185, $D$2:$D$970, D185, $E$2:$E$970, E185) &gt; 1, "Duplicate", "Unique")</f>
        <v>Unique</v>
      </c>
    </row>
    <row r="186" spans="1:16" ht="15" thickBot="1" x14ac:dyDescent="0.4">
      <c r="A186" s="10" t="s">
        <v>85</v>
      </c>
      <c r="B186" s="1" t="s">
        <v>11</v>
      </c>
      <c r="C186" s="1" t="s">
        <v>12</v>
      </c>
      <c r="D186" s="6">
        <v>1</v>
      </c>
      <c r="E186" s="6">
        <v>4164</v>
      </c>
      <c r="F186" t="s">
        <v>9</v>
      </c>
      <c r="N186"/>
      <c r="P186" s="22" t="str">
        <f>IF(COUNTIFS( $B$2:$B$970, B186, $C$2:$C$970, C186, $D$2:$D$970, D186, $E$2:$E$970, E186) &gt; 1, "Duplicate", "Unique")</f>
        <v>Unique</v>
      </c>
    </row>
    <row r="187" spans="1:16" ht="15" thickBot="1" x14ac:dyDescent="0.4">
      <c r="A187" s="10" t="s">
        <v>85</v>
      </c>
      <c r="B187" s="1" t="s">
        <v>11</v>
      </c>
      <c r="C187" s="1" t="s">
        <v>12</v>
      </c>
      <c r="D187" s="6">
        <v>1</v>
      </c>
      <c r="E187" s="6">
        <v>4014</v>
      </c>
      <c r="F187" t="s">
        <v>9</v>
      </c>
      <c r="N187"/>
      <c r="P187" s="22" t="str">
        <f>IF(COUNTIFS( $B$2:$B$970, B187, $C$2:$C$970, C187, $D$2:$D$970, D187, $E$2:$E$970, E187) &gt; 1, "Duplicate", "Unique")</f>
        <v>Unique</v>
      </c>
    </row>
    <row r="188" spans="1:16" ht="15" thickBot="1" x14ac:dyDescent="0.4">
      <c r="A188" s="10" t="s">
        <v>85</v>
      </c>
      <c r="B188" s="1" t="s">
        <v>11</v>
      </c>
      <c r="C188" s="1" t="s">
        <v>12</v>
      </c>
      <c r="D188" s="6">
        <v>1</v>
      </c>
      <c r="E188" s="6">
        <v>3914</v>
      </c>
      <c r="F188" t="s">
        <v>9</v>
      </c>
      <c r="N188"/>
      <c r="P188" s="22" t="str">
        <f>IF(COUNTIFS( $B$2:$B$970, B188, $C$2:$C$970, C188, $D$2:$D$970, D188, $E$2:$E$970, E188) &gt; 1, "Duplicate", "Unique")</f>
        <v>Unique</v>
      </c>
    </row>
    <row r="189" spans="1:16" ht="29.5" thickBot="1" x14ac:dyDescent="0.4">
      <c r="A189" s="5">
        <v>46244.767361111109</v>
      </c>
      <c r="B189" s="1" t="s">
        <v>92</v>
      </c>
      <c r="C189" s="1" t="s">
        <v>12</v>
      </c>
      <c r="D189" s="6">
        <v>2</v>
      </c>
      <c r="E189" s="6">
        <v>660</v>
      </c>
      <c r="F189" t="s">
        <v>9</v>
      </c>
      <c r="N189"/>
      <c r="P189" s="22" t="str">
        <f>IF(COUNTIFS( $B$2:$B$970, B189, $C$2:$C$970, C189, $D$2:$D$970, D189, $E$2:$E$970, E189) &gt; 1, "Duplicate", "Unique")</f>
        <v>Unique</v>
      </c>
    </row>
    <row r="190" spans="1:16" ht="15" thickBot="1" x14ac:dyDescent="0.4">
      <c r="A190" s="5">
        <v>46248.635520833333</v>
      </c>
      <c r="B190" s="1" t="s">
        <v>71</v>
      </c>
      <c r="C190" s="1" t="s">
        <v>8</v>
      </c>
      <c r="D190" s="6">
        <v>200</v>
      </c>
      <c r="E190" s="6">
        <v>235</v>
      </c>
      <c r="F190" t="s">
        <v>9</v>
      </c>
      <c r="N190"/>
      <c r="P190" s="22" t="str">
        <f>IF(COUNTIFS( $B$2:$B$970, B190, $C$2:$C$970, C190, $D$2:$D$970, D190, $E$2:$E$970, E190) &gt; 1, "Duplicate", "Unique")</f>
        <v>Unique</v>
      </c>
    </row>
    <row r="191" spans="1:16" ht="15" thickBot="1" x14ac:dyDescent="0.4">
      <c r="A191" s="5">
        <v>46248.771122685182</v>
      </c>
      <c r="B191" s="1" t="s">
        <v>19</v>
      </c>
      <c r="C191" s="1" t="s">
        <v>8</v>
      </c>
      <c r="D191" s="6">
        <v>10</v>
      </c>
      <c r="E191" s="6">
        <v>2720</v>
      </c>
      <c r="F191" t="s">
        <v>9</v>
      </c>
      <c r="N191" t="s">
        <v>122</v>
      </c>
      <c r="P191" s="22" t="str">
        <f>IF(COUNTIFS( $B$2:$B$970, B191, $C$2:$C$970, C191, $D$2:$D$970, D191, $E$2:$E$970, E191) &gt; 1, "Duplicate", "Unique")</f>
        <v>Unique</v>
      </c>
    </row>
    <row r="192" spans="1:16" ht="15" thickBot="1" x14ac:dyDescent="0.4">
      <c r="A192" s="5">
        <v>46248.635567129626</v>
      </c>
      <c r="B192" s="1" t="s">
        <v>82</v>
      </c>
      <c r="C192" s="1" t="s">
        <v>8</v>
      </c>
      <c r="D192" s="6">
        <v>20</v>
      </c>
      <c r="E192" s="6">
        <v>796</v>
      </c>
      <c r="F192" t="s">
        <v>9</v>
      </c>
      <c r="N192"/>
      <c r="P192" s="22" t="str">
        <f>IF(COUNTIFS( $B$2:$B$970, B192, $C$2:$C$970, C192, $D$2:$D$970, D192, $E$2:$E$970, E192) &gt; 1, "Duplicate", "Unique")</f>
        <v>Unique</v>
      </c>
    </row>
    <row r="193" spans="1:16" ht="16" thickBot="1" x14ac:dyDescent="0.4">
      <c r="A193" s="5">
        <v>46248.635578703703</v>
      </c>
      <c r="B193" s="1" t="s">
        <v>49</v>
      </c>
      <c r="C193" s="1" t="s">
        <v>8</v>
      </c>
      <c r="D193" s="6">
        <v>200</v>
      </c>
      <c r="E193" s="6">
        <v>91.75</v>
      </c>
      <c r="F193" t="s">
        <v>9</v>
      </c>
      <c r="N193" s="23" t="s">
        <v>120</v>
      </c>
      <c r="P193" s="22" t="str">
        <f>IF(COUNTIFS( $B$2:$B$970, B193, $C$2:$C$970, C193, $D$2:$D$970, D193, $E$2:$E$970, E193) &gt; 1, "Duplicate", "Unique")</f>
        <v>Unique</v>
      </c>
    </row>
    <row r="194" spans="1:16" ht="15" thickBot="1" x14ac:dyDescent="0.4">
      <c r="A194" s="5">
        <v>46247.635416666664</v>
      </c>
      <c r="B194" s="1" t="s">
        <v>71</v>
      </c>
      <c r="C194" s="1" t="s">
        <v>8</v>
      </c>
      <c r="D194" s="6">
        <v>200</v>
      </c>
      <c r="E194" s="6">
        <v>239</v>
      </c>
      <c r="F194" t="s">
        <v>9</v>
      </c>
      <c r="N194"/>
      <c r="P194" s="22" t="str">
        <f>IF(COUNTIFS( $B$2:$B$970, B194, $C$2:$C$970, C194, $D$2:$D$970, D194, $E$2:$E$970, E194) &gt; 1, "Duplicate", "Unique")</f>
        <v>Unique</v>
      </c>
    </row>
    <row r="195" spans="1:16" ht="15" thickBot="1" x14ac:dyDescent="0.4">
      <c r="A195" s="5">
        <v>46247.635416666664</v>
      </c>
      <c r="B195" s="1" t="s">
        <v>58</v>
      </c>
      <c r="C195" s="1" t="s">
        <v>8</v>
      </c>
      <c r="D195" s="6">
        <v>10</v>
      </c>
      <c r="E195" s="6">
        <v>435</v>
      </c>
      <c r="F195" t="s">
        <v>9</v>
      </c>
      <c r="N195"/>
      <c r="P195" s="22" t="str">
        <f>IF(COUNTIFS( $B$2:$B$970, B195, $C$2:$C$970, C195, $D$2:$D$970, D195, $E$2:$E$970, E195) &gt; 1, "Duplicate", "Unique")</f>
        <v>Unique</v>
      </c>
    </row>
    <row r="196" spans="1:16" ht="15" thickBot="1" x14ac:dyDescent="0.4">
      <c r="A196" s="5">
        <v>46364.635416666664</v>
      </c>
      <c r="B196" s="1" t="s">
        <v>65</v>
      </c>
      <c r="C196" s="1" t="s">
        <v>8</v>
      </c>
      <c r="D196" s="6">
        <v>7</v>
      </c>
      <c r="E196" s="4">
        <v>1424</v>
      </c>
      <c r="F196" t="s">
        <v>9</v>
      </c>
      <c r="N196"/>
      <c r="P196" s="22" t="str">
        <f>IF(COUNTIFS( $B$2:$B$970, B196, $C$2:$C$970, C196, $D$2:$D$970, D196, $E$2:$E$970, E196) &gt; 1, "Duplicate", "Unique")</f>
        <v>Unique</v>
      </c>
    </row>
    <row r="197" spans="1:16" ht="15" thickBot="1" x14ac:dyDescent="0.4">
      <c r="A197" s="5">
        <v>46239.635416666664</v>
      </c>
      <c r="B197" s="1" t="s">
        <v>77</v>
      </c>
      <c r="C197" s="1" t="s">
        <v>8</v>
      </c>
      <c r="D197" s="6">
        <v>150</v>
      </c>
      <c r="E197" s="4">
        <v>124.9</v>
      </c>
      <c r="F197" t="s">
        <v>9</v>
      </c>
      <c r="N197"/>
      <c r="P197" s="22" t="str">
        <f>IF(COUNTIFS( $B$2:$B$970, B197, $C$2:$C$970, C197, $D$2:$D$970, D197, $E$2:$E$970, E197) &gt; 1, "Duplicate", "Unique")</f>
        <v>Unique</v>
      </c>
    </row>
    <row r="198" spans="1:16" ht="15" thickBot="1" x14ac:dyDescent="0.4">
      <c r="A198" s="5">
        <v>46303.635416666664</v>
      </c>
      <c r="B198" s="1" t="s">
        <v>74</v>
      </c>
      <c r="C198" s="1" t="s">
        <v>8</v>
      </c>
      <c r="D198" s="6">
        <v>10</v>
      </c>
      <c r="E198" s="4">
        <v>773</v>
      </c>
      <c r="F198" t="s">
        <v>9</v>
      </c>
      <c r="N198"/>
      <c r="P198" s="22" t="str">
        <f>IF(COUNTIFS( $B$2:$B$970, B198, $C$2:$C$970, C198, $D$2:$D$970, D198, $E$2:$E$970, E198) &gt; 1, "Duplicate", "Unique")</f>
        <v>Unique</v>
      </c>
    </row>
    <row r="199" spans="1:16" ht="15" thickBot="1" x14ac:dyDescent="0.4">
      <c r="A199" s="5">
        <v>46364.635416666664</v>
      </c>
      <c r="B199" s="1" t="s">
        <v>71</v>
      </c>
      <c r="C199" s="1" t="s">
        <v>8</v>
      </c>
      <c r="D199" s="6">
        <v>200</v>
      </c>
      <c r="E199" s="4">
        <v>244</v>
      </c>
      <c r="F199" t="s">
        <v>9</v>
      </c>
      <c r="N199"/>
      <c r="P199" s="22" t="str">
        <f>IF(COUNTIFS( $B$2:$B$970, B199, $C$2:$C$970, C199, $D$2:$D$970, D199, $E$2:$E$970, E199) &gt; 1, "Duplicate", "Unique")</f>
        <v>Unique</v>
      </c>
    </row>
    <row r="200" spans="1:16" ht="16" thickBot="1" x14ac:dyDescent="0.4">
      <c r="A200" s="5">
        <v>46247.635416666664</v>
      </c>
      <c r="B200" s="1" t="s">
        <v>47</v>
      </c>
      <c r="C200" s="1" t="s">
        <v>8</v>
      </c>
      <c r="D200" s="6">
        <v>1</v>
      </c>
      <c r="E200" s="6">
        <v>3710</v>
      </c>
      <c r="F200" t="s">
        <v>9</v>
      </c>
      <c r="N200" s="23" t="s">
        <v>120</v>
      </c>
      <c r="P200" s="22" t="str">
        <f>IF(COUNTIFS( $B$2:$B$970, B200, $C$2:$C$970, C200, $D$2:$D$970, D200, $E$2:$E$970, E200) &gt; 1, "Duplicate", "Unique")</f>
        <v>Unique</v>
      </c>
    </row>
    <row r="201" spans="1:16" ht="15" thickBot="1" x14ac:dyDescent="0.4">
      <c r="A201" s="5">
        <v>46247.689583333333</v>
      </c>
      <c r="B201" s="1" t="s">
        <v>32</v>
      </c>
      <c r="C201" s="1" t="s">
        <v>8</v>
      </c>
      <c r="D201" s="6">
        <v>5</v>
      </c>
      <c r="E201" s="6">
        <v>730</v>
      </c>
      <c r="F201" t="s">
        <v>9</v>
      </c>
      <c r="N201"/>
      <c r="P201" s="22" t="str">
        <f>IF(COUNTIFS( $B$2:$B$970, B201, $C$2:$C$970, C201, $D$2:$D$970, D201, $E$2:$E$970, E201) &gt; 1, "Duplicate", "Unique")</f>
        <v>Unique</v>
      </c>
    </row>
    <row r="202" spans="1:16" ht="16" thickBot="1" x14ac:dyDescent="0.4">
      <c r="A202" s="5">
        <v>46239.696527777778</v>
      </c>
      <c r="B202" s="1" t="s">
        <v>18</v>
      </c>
      <c r="C202" s="1" t="s">
        <v>8</v>
      </c>
      <c r="D202" s="6">
        <v>50</v>
      </c>
      <c r="E202" s="4">
        <v>373</v>
      </c>
      <c r="F202" t="s">
        <v>9</v>
      </c>
      <c r="N202" s="23" t="s">
        <v>120</v>
      </c>
      <c r="P202" s="22" t="str">
        <f>IF(COUNTIFS( $B$2:$B$970, B202, $C$2:$C$970, C202, $D$2:$D$970, D202, $E$2:$E$970, E202) &gt; 1, "Duplicate", "Unique")</f>
        <v>Unique</v>
      </c>
    </row>
    <row r="203" spans="1:16" ht="15" thickBot="1" x14ac:dyDescent="0.4">
      <c r="A203" s="5">
        <v>46247.635416666664</v>
      </c>
      <c r="B203" s="1" t="s">
        <v>83</v>
      </c>
      <c r="C203" s="1" t="s">
        <v>8</v>
      </c>
      <c r="D203" s="6">
        <v>15</v>
      </c>
      <c r="E203" s="6">
        <v>1090</v>
      </c>
      <c r="F203" t="s">
        <v>9</v>
      </c>
      <c r="N203"/>
      <c r="P203" s="22" t="str">
        <f>IF(COUNTIFS( $B$2:$B$970, B203, $C$2:$C$970, C203, $D$2:$D$970, D203, $E$2:$E$970, E203) &gt; 1, "Duplicate", "Unique")</f>
        <v>Unique</v>
      </c>
    </row>
    <row r="204" spans="1:16" ht="15" thickBot="1" x14ac:dyDescent="0.4">
      <c r="A204" s="5">
        <v>46211.635416666664</v>
      </c>
      <c r="B204" s="1" t="s">
        <v>77</v>
      </c>
      <c r="C204" s="1" t="s">
        <v>8</v>
      </c>
      <c r="D204" s="6">
        <v>150</v>
      </c>
      <c r="E204" s="4">
        <v>125.9</v>
      </c>
      <c r="F204" t="s">
        <v>9</v>
      </c>
      <c r="N204"/>
      <c r="P204" s="22" t="str">
        <f>IF(COUNTIFS( $B$2:$B$970, B204, $C$2:$C$970, C204, $D$2:$D$970, D204, $E$2:$E$970, E204) &gt; 1, "Duplicate", "Unique")</f>
        <v>Unique</v>
      </c>
    </row>
    <row r="205" spans="1:16" ht="15" thickBot="1" x14ac:dyDescent="0.4">
      <c r="A205" s="5">
        <v>46247.689583333333</v>
      </c>
      <c r="B205" s="1" t="s">
        <v>27</v>
      </c>
      <c r="C205" s="1" t="s">
        <v>8</v>
      </c>
      <c r="D205" s="6">
        <v>50</v>
      </c>
      <c r="E205" s="6">
        <v>317</v>
      </c>
      <c r="F205" t="s">
        <v>9</v>
      </c>
      <c r="N205" t="s">
        <v>124</v>
      </c>
      <c r="P205" s="22" t="str">
        <f>IF(COUNTIFS( $B$2:$B$970, B205, $C$2:$C$970, C205, $D$2:$D$970, D205, $E$2:$E$970, E205) &gt; 1, "Duplicate", "Unique")</f>
        <v>Unique</v>
      </c>
    </row>
    <row r="206" spans="1:16" ht="15" thickBot="1" x14ac:dyDescent="0.4">
      <c r="A206" s="5">
        <v>46364.635416666664</v>
      </c>
      <c r="B206" s="1" t="s">
        <v>76</v>
      </c>
      <c r="C206" s="1" t="s">
        <v>8</v>
      </c>
      <c r="D206" s="6">
        <v>2</v>
      </c>
      <c r="E206" s="4">
        <v>2690</v>
      </c>
      <c r="F206" t="s">
        <v>9</v>
      </c>
      <c r="N206"/>
      <c r="P206" s="22" t="str">
        <f>IF(COUNTIFS( $B$2:$B$970, B206, $C$2:$C$970, C206, $D$2:$D$970, D206, $E$2:$E$970, E206) &gt; 1, "Duplicate", "Unique")</f>
        <v>Unique</v>
      </c>
    </row>
    <row r="207" spans="1:16" ht="15" thickBot="1" x14ac:dyDescent="0.4">
      <c r="A207" s="10" t="s">
        <v>85</v>
      </c>
      <c r="B207" s="1" t="s">
        <v>44</v>
      </c>
      <c r="C207" s="1" t="s">
        <v>8</v>
      </c>
      <c r="D207" s="6">
        <v>10</v>
      </c>
      <c r="E207" s="11">
        <v>1024</v>
      </c>
      <c r="F207" t="s">
        <v>9</v>
      </c>
      <c r="N207"/>
      <c r="P207" s="22" t="str">
        <f>IF(COUNTIFS( $B$2:$B$970, B207, $C$2:$C$970, C207, $D$2:$D$970, D207, $E$2:$E$970, E207) &gt; 1, "Duplicate", "Unique")</f>
        <v>Unique</v>
      </c>
    </row>
    <row r="208" spans="1:16" ht="15" thickBot="1" x14ac:dyDescent="0.4">
      <c r="A208" s="5">
        <v>46247.635416666664</v>
      </c>
      <c r="B208" s="1" t="s">
        <v>93</v>
      </c>
      <c r="C208" s="1" t="s">
        <v>8</v>
      </c>
      <c r="D208" s="6">
        <v>5</v>
      </c>
      <c r="E208" s="6">
        <v>3980</v>
      </c>
      <c r="F208" t="s">
        <v>9</v>
      </c>
      <c r="N208"/>
      <c r="P208" s="22" t="str">
        <f>IF(COUNTIFS( $B$2:$B$970, B208, $C$2:$C$970, C208, $D$2:$D$970, D208, $E$2:$E$970, E208) &gt; 1, "Duplicate", "Unique")</f>
        <v>Unique</v>
      </c>
    </row>
    <row r="209" spans="1:16" ht="15" thickBot="1" x14ac:dyDescent="0.4">
      <c r="A209" s="5">
        <v>46246.689583333333</v>
      </c>
      <c r="B209" s="1" t="s">
        <v>40</v>
      </c>
      <c r="C209" s="1" t="s">
        <v>8</v>
      </c>
      <c r="D209" s="6">
        <v>150</v>
      </c>
      <c r="E209" s="4">
        <v>136</v>
      </c>
      <c r="F209" t="s">
        <v>9</v>
      </c>
      <c r="N209"/>
      <c r="P209" s="22" t="str">
        <f>IF(COUNTIFS( $B$2:$B$970, B209, $C$2:$C$970, C209, $D$2:$D$970, D209, $E$2:$E$970, E209) &gt; 1, "Duplicate", "Unique")</f>
        <v>Unique</v>
      </c>
    </row>
    <row r="210" spans="1:16" ht="15" thickBot="1" x14ac:dyDescent="0.4">
      <c r="A210" s="5">
        <v>46211.635416666664</v>
      </c>
      <c r="B210" s="1" t="s">
        <v>76</v>
      </c>
      <c r="C210" s="1" t="s">
        <v>8</v>
      </c>
      <c r="D210" s="6">
        <v>3</v>
      </c>
      <c r="E210" s="4">
        <v>2710</v>
      </c>
      <c r="F210" t="s">
        <v>9</v>
      </c>
      <c r="N210"/>
      <c r="P210" s="22" t="str">
        <f>IF(COUNTIFS( $B$2:$B$970, B210, $C$2:$C$970, C210, $D$2:$D$970, D210, $E$2:$E$970, E210) &gt; 1, "Duplicate", "Unique")</f>
        <v>Unique</v>
      </c>
    </row>
    <row r="211" spans="1:16" ht="15" thickBot="1" x14ac:dyDescent="0.4">
      <c r="A211" s="5">
        <v>46247.689583333333</v>
      </c>
      <c r="B211" s="1" t="s">
        <v>27</v>
      </c>
      <c r="C211" s="1" t="s">
        <v>8</v>
      </c>
      <c r="D211" s="6">
        <v>40</v>
      </c>
      <c r="E211" s="6">
        <v>320.5</v>
      </c>
      <c r="F211" t="s">
        <v>9</v>
      </c>
      <c r="N211" t="s">
        <v>124</v>
      </c>
      <c r="P211" s="22" t="str">
        <f>IF(COUNTIFS( $B$2:$B$970, B211, $C$2:$C$970, C211, $D$2:$D$970, D211, $E$2:$E$970, E211) &gt; 1, "Duplicate", "Unique")</f>
        <v>Unique</v>
      </c>
    </row>
    <row r="212" spans="1:16" ht="15" thickBot="1" x14ac:dyDescent="0.4">
      <c r="A212" s="10" t="s">
        <v>85</v>
      </c>
      <c r="B212" s="1" t="s">
        <v>38</v>
      </c>
      <c r="C212" s="1" t="s">
        <v>8</v>
      </c>
      <c r="D212" s="6">
        <v>30</v>
      </c>
      <c r="E212" s="11">
        <v>974</v>
      </c>
      <c r="F212" t="s">
        <v>9</v>
      </c>
      <c r="N212"/>
      <c r="P212" s="22" t="str">
        <f>IF(COUNTIFS( $B$2:$B$970, B212, $C$2:$C$970, C212, $D$2:$D$970, D212, $E$2:$E$970, E212) &gt; 1, "Duplicate", "Unique")</f>
        <v>Unique</v>
      </c>
    </row>
    <row r="213" spans="1:16" ht="15" thickBot="1" x14ac:dyDescent="0.4">
      <c r="A213" s="5">
        <v>46241.635416666664</v>
      </c>
      <c r="B213" s="1" t="s">
        <v>71</v>
      </c>
      <c r="C213" s="1" t="s">
        <v>8</v>
      </c>
      <c r="D213" s="6">
        <v>200</v>
      </c>
      <c r="E213" s="4">
        <v>249</v>
      </c>
      <c r="F213" t="s">
        <v>9</v>
      </c>
      <c r="N213"/>
      <c r="P213" s="22" t="str">
        <f>IF(COUNTIFS( $B$2:$B$970, B213, $C$2:$C$970, C213, $D$2:$D$970, D213, $E$2:$E$970, E213) &gt; 1, "Duplicate", "Unique")</f>
        <v>Unique</v>
      </c>
    </row>
    <row r="214" spans="1:16" ht="15" thickBot="1" x14ac:dyDescent="0.4">
      <c r="A214" s="5">
        <v>46211.635416666664</v>
      </c>
      <c r="B214" s="1" t="s">
        <v>74</v>
      </c>
      <c r="C214" s="1" t="s">
        <v>8</v>
      </c>
      <c r="D214" s="6">
        <v>5</v>
      </c>
      <c r="E214" s="4">
        <v>790</v>
      </c>
      <c r="F214" t="s">
        <v>9</v>
      </c>
      <c r="N214"/>
      <c r="P214" s="22" t="str">
        <f>IF(COUNTIFS( $B$2:$B$970, B214, $C$2:$C$970, C214, $D$2:$D$970, D214, $E$2:$E$970, E214) &gt; 1, "Duplicate", "Unique")</f>
        <v>Unique</v>
      </c>
    </row>
    <row r="215" spans="1:16" ht="15" thickBot="1" x14ac:dyDescent="0.4">
      <c r="A215" s="5">
        <v>46245.693055555559</v>
      </c>
      <c r="B215" s="12" t="s">
        <v>35</v>
      </c>
      <c r="C215" s="1" t="s">
        <v>8</v>
      </c>
      <c r="D215" s="6">
        <v>40</v>
      </c>
      <c r="E215" s="13">
        <v>229</v>
      </c>
      <c r="F215" t="s">
        <v>9</v>
      </c>
      <c r="N215"/>
      <c r="P215" s="22" t="str">
        <f>IF(COUNTIFS( $B$2:$B$970, B215, $C$2:$C$970, C215, $D$2:$D$970, D215, $E$2:$E$970, E215) &gt; 1, "Duplicate", "Unique")</f>
        <v>Unique</v>
      </c>
    </row>
    <row r="216" spans="1:16" ht="15" thickBot="1" x14ac:dyDescent="0.4">
      <c r="A216" s="5">
        <v>46244.635416666664</v>
      </c>
      <c r="B216" s="1" t="s">
        <v>64</v>
      </c>
      <c r="C216" s="1" t="s">
        <v>8</v>
      </c>
      <c r="D216" s="6">
        <v>11</v>
      </c>
      <c r="E216" s="4">
        <v>1170</v>
      </c>
      <c r="F216" t="s">
        <v>9</v>
      </c>
      <c r="N216"/>
      <c r="P216" s="22" t="str">
        <f>IF(COUNTIFS( $B$2:$B$970, B216, $C$2:$C$970, C216, $D$2:$D$970, D216, $E$2:$E$970, E216) &gt; 1, "Duplicate", "Unique")</f>
        <v>Unique</v>
      </c>
    </row>
    <row r="217" spans="1:16" ht="15" thickBot="1" x14ac:dyDescent="0.4">
      <c r="A217" s="5">
        <v>46247.689583333333</v>
      </c>
      <c r="B217" s="1" t="s">
        <v>36</v>
      </c>
      <c r="C217" s="1" t="s">
        <v>8</v>
      </c>
      <c r="D217" s="6">
        <v>100</v>
      </c>
      <c r="E217" s="6">
        <v>310.5</v>
      </c>
      <c r="F217" t="s">
        <v>9</v>
      </c>
      <c r="N217"/>
      <c r="P217" s="22" t="str">
        <f>IF(COUNTIFS( $B$2:$B$970, B217, $C$2:$C$970, C217, $D$2:$D$970, D217, $E$2:$E$970, E217) &gt; 1, "Duplicate", "Unique")</f>
        <v>Unique</v>
      </c>
    </row>
    <row r="218" spans="1:16" ht="15" thickBot="1" x14ac:dyDescent="0.4">
      <c r="A218" s="5">
        <v>46364.689583333333</v>
      </c>
      <c r="B218" s="1" t="s">
        <v>32</v>
      </c>
      <c r="C218" s="1" t="s">
        <v>8</v>
      </c>
      <c r="D218" s="6">
        <v>11</v>
      </c>
      <c r="E218" s="4">
        <v>749</v>
      </c>
      <c r="F218" t="s">
        <v>9</v>
      </c>
      <c r="N218"/>
      <c r="P218" s="22" t="str">
        <f>IF(COUNTIFS( $B$2:$B$970, B218, $C$2:$C$970, C218, $D$2:$D$970, D218, $E$2:$E$970, E218) &gt; 1, "Duplicate", "Unique")</f>
        <v>Unique</v>
      </c>
    </row>
    <row r="219" spans="1:16" ht="15" thickBot="1" x14ac:dyDescent="0.4">
      <c r="A219" s="5">
        <v>46247.689583333333</v>
      </c>
      <c r="B219" s="1" t="s">
        <v>39</v>
      </c>
      <c r="C219" s="1" t="s">
        <v>8</v>
      </c>
      <c r="D219" s="6">
        <v>25</v>
      </c>
      <c r="E219" s="6">
        <v>210</v>
      </c>
      <c r="F219" t="s">
        <v>9</v>
      </c>
      <c r="N219"/>
      <c r="P219" s="22" t="str">
        <f>IF(COUNTIFS( $B$2:$B$970, B219, $C$2:$C$970, C219, $D$2:$D$970, D219, $E$2:$E$970, E219) &gt; 1, "Duplicate", "Unique")</f>
        <v>Unique</v>
      </c>
    </row>
    <row r="220" spans="1:16" ht="16" thickBot="1" x14ac:dyDescent="0.4">
      <c r="A220" s="5">
        <v>46246.635416666664</v>
      </c>
      <c r="B220" s="1" t="s">
        <v>47</v>
      </c>
      <c r="C220" s="1" t="s">
        <v>8</v>
      </c>
      <c r="D220" s="6">
        <v>1</v>
      </c>
      <c r="E220" s="4">
        <v>3810</v>
      </c>
      <c r="F220" t="s">
        <v>9</v>
      </c>
      <c r="N220" s="23" t="s">
        <v>120</v>
      </c>
      <c r="P220" s="22" t="str">
        <f>IF(COUNTIFS( $B$2:$B$970, B220, $C$2:$C$970, C220, $D$2:$D$970, D220, $E$2:$E$970, E220) &gt; 1, "Duplicate", "Unique")</f>
        <v>Unique</v>
      </c>
    </row>
    <row r="221" spans="1:16" ht="15" thickBot="1" x14ac:dyDescent="0.4">
      <c r="A221" s="5">
        <v>46303.635416666664</v>
      </c>
      <c r="B221" s="1" t="s">
        <v>94</v>
      </c>
      <c r="C221" s="1" t="s">
        <v>8</v>
      </c>
      <c r="D221" s="6">
        <v>50</v>
      </c>
      <c r="E221" s="4">
        <v>480</v>
      </c>
      <c r="F221" t="s">
        <v>9</v>
      </c>
      <c r="N221"/>
      <c r="P221" s="22" t="str">
        <f>IF(COUNTIFS( $B$2:$B$970, B221, $C$2:$C$970, C221, $D$2:$D$970, D221, $E$2:$E$970, E221) &gt; 1, "Duplicate", "Unique")</f>
        <v>Unique</v>
      </c>
    </row>
    <row r="222" spans="1:16" ht="15" thickBot="1" x14ac:dyDescent="0.4">
      <c r="A222" s="10" t="s">
        <v>85</v>
      </c>
      <c r="B222" s="1" t="s">
        <v>38</v>
      </c>
      <c r="C222" s="1" t="s">
        <v>8</v>
      </c>
      <c r="D222" s="6">
        <v>5</v>
      </c>
      <c r="E222" s="4">
        <v>986</v>
      </c>
      <c r="F222" t="s">
        <v>9</v>
      </c>
      <c r="N222"/>
      <c r="P222" s="22" t="str">
        <f>IF(COUNTIFS( $B$2:$B$970, B222, $C$2:$C$970, C222, $D$2:$D$970, D222, $E$2:$E$970, E222) &gt; 1, "Duplicate", "Unique")</f>
        <v>Unique</v>
      </c>
    </row>
    <row r="223" spans="1:16" ht="15" thickBot="1" x14ac:dyDescent="0.4">
      <c r="A223" s="10" t="s">
        <v>85</v>
      </c>
      <c r="B223" s="1" t="s">
        <v>36</v>
      </c>
      <c r="C223" s="1" t="s">
        <v>8</v>
      </c>
      <c r="D223" s="6">
        <v>100</v>
      </c>
      <c r="E223" s="11">
        <v>314</v>
      </c>
      <c r="F223" t="s">
        <v>9</v>
      </c>
      <c r="N223"/>
      <c r="P223" s="22" t="str">
        <f>IF(COUNTIFS( $B$2:$B$970, B223, $C$2:$C$970, C223, $D$2:$D$970, D223, $E$2:$E$970, E223) &gt; 1, "Duplicate", "Unique")</f>
        <v>Unique</v>
      </c>
    </row>
    <row r="224" spans="1:16" ht="15" thickBot="1" x14ac:dyDescent="0.4">
      <c r="A224" s="5">
        <v>46211.635416666664</v>
      </c>
      <c r="B224" s="1" t="s">
        <v>73</v>
      </c>
      <c r="C224" s="1" t="s">
        <v>8</v>
      </c>
      <c r="D224" s="6">
        <v>3</v>
      </c>
      <c r="E224" s="4">
        <v>3341</v>
      </c>
      <c r="F224" t="s">
        <v>9</v>
      </c>
      <c r="N224"/>
      <c r="P224" s="22" t="str">
        <f>IF(COUNTIFS( $B$2:$B$970, B224, $C$2:$C$970, C224, $D$2:$D$970, D224, $E$2:$E$970, E224) &gt; 1, "Duplicate", "Unique")</f>
        <v>Unique</v>
      </c>
    </row>
    <row r="225" spans="1:16" ht="15" thickBot="1" x14ac:dyDescent="0.4">
      <c r="A225" s="10" t="s">
        <v>85</v>
      </c>
      <c r="B225" s="12" t="s">
        <v>38</v>
      </c>
      <c r="C225" s="1" t="s">
        <v>8</v>
      </c>
      <c r="D225" s="6">
        <v>40</v>
      </c>
      <c r="E225" s="13">
        <v>996</v>
      </c>
      <c r="F225" t="s">
        <v>9</v>
      </c>
      <c r="N225"/>
      <c r="P225" s="22" t="str">
        <f>IF(COUNTIFS( $B$2:$B$970, B225, $C$2:$C$970, C225, $D$2:$D$970, D225, $E$2:$E$970, E225) &gt; 1, "Duplicate", "Unique")</f>
        <v>Unique</v>
      </c>
    </row>
    <row r="226" spans="1:16" ht="15" thickBot="1" x14ac:dyDescent="0.4">
      <c r="A226" s="10" t="s">
        <v>85</v>
      </c>
      <c r="B226" s="1" t="s">
        <v>38</v>
      </c>
      <c r="C226" s="1" t="s">
        <v>8</v>
      </c>
      <c r="D226" s="6">
        <v>5</v>
      </c>
      <c r="E226" s="4">
        <v>1002</v>
      </c>
      <c r="F226" t="s">
        <v>9</v>
      </c>
      <c r="N226"/>
      <c r="P226" s="22" t="str">
        <f>IF(COUNTIFS( $B$2:$B$970, B226, $C$2:$C$970, C226, $D$2:$D$970, D226, $E$2:$E$970, E226) &gt; 1, "Duplicate", "Unique")</f>
        <v>Unique</v>
      </c>
    </row>
    <row r="227" spans="1:16" ht="15" thickBot="1" x14ac:dyDescent="0.4">
      <c r="A227" s="5">
        <v>46247.645138888889</v>
      </c>
      <c r="B227" s="1" t="s">
        <v>79</v>
      </c>
      <c r="C227" s="1" t="s">
        <v>8</v>
      </c>
      <c r="D227" s="6">
        <v>5</v>
      </c>
      <c r="E227" s="6">
        <v>596</v>
      </c>
      <c r="F227" t="s">
        <v>9</v>
      </c>
      <c r="N227"/>
      <c r="P227" s="22" t="str">
        <f>IF(COUNTIFS( $B$2:$B$970, B227, $C$2:$C$970, C227, $D$2:$D$970, D227, $E$2:$E$970, E227) &gt; 1, "Duplicate", "Unique")</f>
        <v>Unique</v>
      </c>
    </row>
    <row r="228" spans="1:16" ht="15" thickBot="1" x14ac:dyDescent="0.4">
      <c r="A228" s="5">
        <v>46239.788888888892</v>
      </c>
      <c r="B228" s="1" t="s">
        <v>36</v>
      </c>
      <c r="C228" s="1" t="s">
        <v>8</v>
      </c>
      <c r="D228" s="6">
        <v>100</v>
      </c>
      <c r="E228" s="4">
        <v>318</v>
      </c>
      <c r="F228" t="s">
        <v>9</v>
      </c>
      <c r="N228"/>
      <c r="P228" s="22" t="str">
        <f>IF(COUNTIFS( $B$2:$B$970, B228, $C$2:$C$970, C228, $D$2:$D$970, D228, $E$2:$E$970, E228) &gt; 1, "Duplicate", "Unique")</f>
        <v>Unique</v>
      </c>
    </row>
    <row r="229" spans="1:16" ht="15" thickBot="1" x14ac:dyDescent="0.4">
      <c r="A229" s="10" t="s">
        <v>85</v>
      </c>
      <c r="B229" s="1" t="s">
        <v>36</v>
      </c>
      <c r="C229" s="1" t="s">
        <v>8</v>
      </c>
      <c r="D229" s="6">
        <v>100</v>
      </c>
      <c r="E229" s="11">
        <v>319</v>
      </c>
      <c r="F229" t="s">
        <v>9</v>
      </c>
      <c r="N229"/>
      <c r="P229" s="22" t="str">
        <f>IF(COUNTIFS( $B$2:$B$970, B229, $C$2:$C$970, C229, $D$2:$D$970, D229, $E$2:$E$970, E229) &gt; 1, "Duplicate", "Unique")</f>
        <v>Unique</v>
      </c>
    </row>
    <row r="230" spans="1:16" ht="15" thickBot="1" x14ac:dyDescent="0.4">
      <c r="A230" s="10" t="s">
        <v>85</v>
      </c>
      <c r="B230" s="1" t="s">
        <v>94</v>
      </c>
      <c r="C230" s="1" t="s">
        <v>8</v>
      </c>
      <c r="D230" s="6">
        <v>35</v>
      </c>
      <c r="E230" s="11">
        <v>494</v>
      </c>
      <c r="F230" t="s">
        <v>9</v>
      </c>
      <c r="N230"/>
      <c r="P230" s="22" t="str">
        <f>IF(COUNTIFS( $B$2:$B$970, B230, $C$2:$C$970, C230, $D$2:$D$970, D230, $E$2:$E$970, E230) &gt; 1, "Duplicate", "Unique")</f>
        <v>Unique</v>
      </c>
    </row>
    <row r="231" spans="1:16" ht="15" thickBot="1" x14ac:dyDescent="0.4">
      <c r="A231" s="5">
        <v>46150.788888888892</v>
      </c>
      <c r="B231" s="1" t="s">
        <v>36</v>
      </c>
      <c r="C231" s="1" t="s">
        <v>8</v>
      </c>
      <c r="D231" s="6">
        <v>150</v>
      </c>
      <c r="E231" s="4">
        <v>323</v>
      </c>
      <c r="F231" t="s">
        <v>9</v>
      </c>
      <c r="N231"/>
      <c r="P231" s="22" t="str">
        <f>IF(COUNTIFS( $B$2:$B$970, B231, $C$2:$C$970, C231, $D$2:$D$970, D231, $E$2:$E$970, E231) &gt; 1, "Duplicate", "Unique")</f>
        <v>Unique</v>
      </c>
    </row>
    <row r="232" spans="1:16" ht="15" thickBot="1" x14ac:dyDescent="0.4">
      <c r="A232" s="14">
        <v>46334.645833333336</v>
      </c>
      <c r="B232" s="15" t="s">
        <v>83</v>
      </c>
      <c r="C232" s="15" t="s">
        <v>8</v>
      </c>
      <c r="D232" s="16">
        <v>7</v>
      </c>
      <c r="E232" s="4">
        <v>1170</v>
      </c>
      <c r="F232" t="s">
        <v>9</v>
      </c>
      <c r="N232"/>
      <c r="P232" s="22" t="str">
        <f>IF(COUNTIFS( $B$2:$B$970, B232, $C$2:$C$970, C232, $D$2:$D$970, D232, $E$2:$E$970, E232) &gt; 1, "Duplicate", "Unique")</f>
        <v>Unique</v>
      </c>
    </row>
    <row r="233" spans="1:16" ht="15" thickBot="1" x14ac:dyDescent="0.4">
      <c r="A233" s="5">
        <v>46364.689583333333</v>
      </c>
      <c r="B233" s="1" t="s">
        <v>21</v>
      </c>
      <c r="C233" s="1" t="s">
        <v>8</v>
      </c>
      <c r="D233" s="6">
        <v>5</v>
      </c>
      <c r="E233" s="4">
        <v>416</v>
      </c>
      <c r="F233" t="s">
        <v>9</v>
      </c>
      <c r="N233" t="s">
        <v>120</v>
      </c>
      <c r="P233" s="22" t="str">
        <f>IF(COUNTIFS( $B$2:$B$970, B233, $C$2:$C$970, C233, $D$2:$D$970, D233, $E$2:$E$970, E233) &gt; 1, "Duplicate", "Unique")</f>
        <v>Unique</v>
      </c>
    </row>
    <row r="234" spans="1:16" ht="16" thickBot="1" x14ac:dyDescent="0.4">
      <c r="A234" s="5">
        <v>46247.689583333333</v>
      </c>
      <c r="B234" s="1" t="s">
        <v>7</v>
      </c>
      <c r="C234" s="1" t="s">
        <v>8</v>
      </c>
      <c r="D234" s="6">
        <v>1</v>
      </c>
      <c r="E234" s="6">
        <v>2494</v>
      </c>
      <c r="F234" t="s">
        <v>9</v>
      </c>
      <c r="I234" s="20"/>
      <c r="N234" s="23" t="s">
        <v>120</v>
      </c>
      <c r="P234" s="22" t="str">
        <f>IF(COUNTIFS( $B$2:$B$970, B234, $C$2:$C$970, C234, $D$2:$D$970, D234, $E$2:$E$970, E234) &gt; 1, "Duplicate", "Unique")</f>
        <v>Unique</v>
      </c>
    </row>
    <row r="235" spans="1:16" ht="15" thickBot="1" x14ac:dyDescent="0.4">
      <c r="A235" s="5">
        <v>46246.689583333333</v>
      </c>
      <c r="B235" s="1" t="s">
        <v>21</v>
      </c>
      <c r="C235" s="1" t="s">
        <v>8</v>
      </c>
      <c r="D235" s="6">
        <v>5</v>
      </c>
      <c r="E235" s="4">
        <v>435</v>
      </c>
      <c r="F235" t="s">
        <v>9</v>
      </c>
      <c r="N235" t="s">
        <v>120</v>
      </c>
      <c r="P235" s="22" t="str">
        <f>IF(COUNTIFS( $B$2:$B$970, B235, $C$2:$C$970, C235, $D$2:$D$970, D235, $E$2:$E$970, E235) &gt; 1, "Duplicate", "Unique")</f>
        <v>Unique</v>
      </c>
    </row>
    <row r="236" spans="1:16" ht="15" thickBot="1" x14ac:dyDescent="0.4">
      <c r="A236" s="5">
        <v>46239.793055555558</v>
      </c>
      <c r="B236" s="1" t="s">
        <v>95</v>
      </c>
      <c r="C236" s="1" t="s">
        <v>8</v>
      </c>
      <c r="D236" s="6">
        <v>23</v>
      </c>
      <c r="E236" s="4">
        <v>890</v>
      </c>
      <c r="F236" t="s">
        <v>9</v>
      </c>
      <c r="N236"/>
      <c r="P236" s="22" t="str">
        <f>IF(COUNTIFS( $B$2:$B$970, B236, $C$2:$C$970, C236, $D$2:$D$970, D236, $E$2:$E$970, E236) &gt; 1, "Duplicate", "Unique")</f>
        <v>Unique</v>
      </c>
    </row>
    <row r="237" spans="1:16" ht="15" thickBot="1" x14ac:dyDescent="0.4">
      <c r="A237" t="s">
        <v>99</v>
      </c>
      <c r="B237" t="s">
        <v>7</v>
      </c>
      <c r="C237" t="s">
        <v>8</v>
      </c>
      <c r="D237">
        <v>3</v>
      </c>
      <c r="E237">
        <v>2494</v>
      </c>
      <c r="F237" t="s">
        <v>9</v>
      </c>
      <c r="N237" t="s">
        <v>117</v>
      </c>
      <c r="P237" s="22" t="str">
        <f>IF(COUNTIFS( $B$2:$B$970, B237, $C$2:$C$970, C237, $D$2:$D$970, D237, $E$2:$E$970, E237) &gt; 1, "Duplicate", "Unique")</f>
        <v>Unique</v>
      </c>
    </row>
    <row r="238" spans="1:16" ht="16" thickBot="1" x14ac:dyDescent="0.4">
      <c r="A238" s="5">
        <v>46239.696527777778</v>
      </c>
      <c r="B238" s="1" t="s">
        <v>18</v>
      </c>
      <c r="C238" s="1" t="s">
        <v>8</v>
      </c>
      <c r="D238" s="6">
        <v>50</v>
      </c>
      <c r="E238" s="4">
        <v>383</v>
      </c>
      <c r="F238" t="s">
        <v>9</v>
      </c>
      <c r="N238" s="23" t="s">
        <v>120</v>
      </c>
      <c r="P238" s="22" t="str">
        <f>IF(COUNTIFS( $B$2:$B$970, B238, $C$2:$C$970, C238, $D$2:$D$970, D238, $E$2:$E$970, E238) &gt; 1, "Duplicate", "Unique")</f>
        <v>Unique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Rough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2026-08-17T13:43:39Z</dcterms:created>
  <dcterms:modified xsi:type="dcterms:W3CDTF">2026-08-17T18:13:29Z</dcterms:modified>
</cp:coreProperties>
</file>